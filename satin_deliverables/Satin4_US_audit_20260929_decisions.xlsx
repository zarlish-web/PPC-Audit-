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all analysis" sheetId="1" state="visible" r:id="rId1"/>
    <sheet xmlns:r="http://schemas.openxmlformats.org/officeDocument/2006/relationships" name="Every campaign" sheetId="2" state="visible" r:id="rId2"/>
    <sheet xmlns:r="http://schemas.openxmlformats.org/officeDocument/2006/relationships" name="Ranking push" sheetId="3" state="visible" r:id="rId3"/>
    <sheet xmlns:r="http://schemas.openxmlformats.org/officeDocument/2006/relationships" name="Competitors" sheetId="4" state="visible" r:id="rId4"/>
    <sheet xmlns:r="http://schemas.openxmlformats.org/officeDocument/2006/relationships" name="New campaigns" sheetId="5" state="visible" r:id="rId5"/>
    <sheet xmlns:r="http://schemas.openxmlformats.org/officeDocument/2006/relationships" name="Not in the run" sheetId="6" state="visible" r:id="rId6"/>
    <sheet xmlns:r="http://schemas.openxmlformats.org/officeDocument/2006/relationships" name="Read me" sheetId="7" state="visible" r:id="rId7"/>
    <sheet xmlns:r="http://schemas.openxmlformats.org/officeDocument/2006/relationships" name="Data sources" sheetId="8" state="visible" r:id="rId8"/>
  </sheets>
  <definedNames>
    <definedName name="_xlnm._FilterDatabase" localSheetId="1" hidden="1">'Every campaign'!$A$1:$AL$565</definedName>
    <definedName name="_xlnm._FilterDatabase" localSheetId="2" hidden="1">'Ranking push'!$A$1:$AK$27</definedName>
  </definedNames>
  <calcPr calcId="191029" fullCalcOnLoad="1"/>
</workbook>
</file>

<file path=xl/styles.xml><?xml version="1.0" encoding="utf-8"?>
<styleSheet xmlns="http://schemas.openxmlformats.org/spreadsheetml/2006/main">
  <numFmts count="5">
    <numFmt numFmtId="164" formatCode="$#,##0.00"/>
    <numFmt numFmtId="165" formatCode="0.0"/>
    <numFmt numFmtId="166" formatCode="0.0%"/>
    <numFmt numFmtId="167" formatCode="$#,##0"/>
    <numFmt numFmtId="168" formatCode="$#,##0;($#,##0)"/>
  </numFmts>
  <fonts count="7">
    <font>
      <name val="Calibri"/>
      <family val="2"/>
      <color theme="1"/>
      <sz val="11"/>
      <scheme val="minor"/>
    </font>
    <font>
      <name val="Arial"/>
      <b val="1"/>
      <color rgb="00FFFFFF"/>
      <sz val="10"/>
    </font>
    <font>
      <name val="Arial"/>
      <sz val="10"/>
    </font>
    <font>
      <name val="Arial"/>
      <color rgb="000000FF"/>
      <sz val="10"/>
    </font>
    <font>
      <name val="Arial"/>
      <b val="1"/>
      <color rgb="001F3864"/>
      <sz val="11"/>
    </font>
    <font>
      <name val="Arial"/>
      <b val="1"/>
      <sz val="10"/>
    </font>
    <font>
      <name val="Arial"/>
      <b val="1"/>
      <sz val="14"/>
    </font>
  </fonts>
  <fills count="5">
    <fill>
      <patternFill/>
    </fill>
    <fill>
      <patternFill patternType="gray125"/>
    </fill>
    <fill>
      <patternFill patternType="solid">
        <fgColor rgb="001F3864"/>
      </patternFill>
    </fill>
    <fill>
      <patternFill patternType="solid">
        <fgColor rgb="00E2EFDA"/>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8">
    <xf numFmtId="0" fontId="0" fillId="0" borderId="0" pivotButton="0" quotePrefix="0" xfId="0"/>
    <xf numFmtId="0" fontId="6" fillId="0" borderId="0" pivotButton="0" quotePrefix="0" xfId="0"/>
    <xf numFmtId="0" fontId="2" fillId="0" borderId="0" pivotButton="0" quotePrefix="0" xfId="0"/>
    <xf numFmtId="0" fontId="4" fillId="0" borderId="0" pivotButton="0" quotePrefix="0" xfId="0"/>
    <xf numFmtId="0" fontId="1" fillId="2" borderId="0" applyAlignment="1" pivotButton="0" quotePrefix="0" xfId="0">
      <alignment vertical="center" wrapText="1"/>
    </xf>
    <xf numFmtId="166" fontId="3" fillId="0" borderId="0" pivotButton="0" quotePrefix="0" xfId="0"/>
    <xf numFmtId="164" fontId="3" fillId="0" borderId="0" pivotButton="0" quotePrefix="0" xfId="0"/>
    <xf numFmtId="167" fontId="3" fillId="0" borderId="0" pivotButton="0" quotePrefix="0" xfId="0"/>
    <xf numFmtId="168" fontId="3" fillId="0" borderId="0" pivotButton="0" quotePrefix="0" xfId="0"/>
    <xf numFmtId="165" fontId="3" fillId="0" borderId="0" pivotButton="0" quotePrefix="0" xfId="0"/>
    <xf numFmtId="3" fontId="3" fillId="0" borderId="0" pivotButton="0" quotePrefix="0" xfId="0"/>
    <xf numFmtId="3" fontId="2" fillId="0" borderId="0" pivotButton="0" quotePrefix="0" xfId="0"/>
    <xf numFmtId="167" fontId="2" fillId="0" borderId="0" pivotButton="0" quotePrefix="0" xfId="0"/>
    <xf numFmtId="166" fontId="2" fillId="0" borderId="0" pivotButton="0" quotePrefix="0" xfId="0"/>
    <xf numFmtId="0" fontId="5" fillId="0" borderId="0" pivotButton="0" quotePrefix="0" xfId="0"/>
    <xf numFmtId="3" fontId="5" fillId="0" borderId="0" pivotButton="0" quotePrefix="0" xfId="0"/>
    <xf numFmtId="167" fontId="5" fillId="0" borderId="0" pivotButton="0" quotePrefix="0" xfId="0"/>
    <xf numFmtId="1" fontId="2" fillId="0" borderId="0" pivotButton="0" quotePrefix="0" xfId="0"/>
    <xf numFmtId="165" fontId="2" fillId="0" borderId="0" pivotButton="0" quotePrefix="0" xfId="0"/>
    <xf numFmtId="0" fontId="2" fillId="4" borderId="0" pivotButton="0" quotePrefix="0" xfId="0"/>
    <xf numFmtId="0" fontId="1" fillId="2" borderId="1" applyAlignment="1" pivotButton="0" quotePrefix="0" xfId="0">
      <alignment vertical="center" wrapText="1"/>
    </xf>
    <xf numFmtId="164" fontId="2" fillId="0" borderId="0" pivotButton="0" quotePrefix="0" xfId="0"/>
    <xf numFmtId="0" fontId="2" fillId="0" borderId="0" applyAlignment="1" pivotButton="0" quotePrefix="0" xfId="0">
      <alignment/>
    </xf>
    <xf numFmtId="0" fontId="2" fillId="3" borderId="0" pivotButton="0" quotePrefix="0" xfId="0"/>
    <xf numFmtId="0" fontId="2" fillId="3" borderId="0" applyAlignment="1" pivotButton="0" quotePrefix="0" xfId="0">
      <alignment/>
    </xf>
    <xf numFmtId="0" fontId="2" fillId="4" borderId="0" applyAlignment="1" pivotButton="0" quotePrefix="0" xfId="0">
      <alignment/>
    </xf>
    <xf numFmtId="0" fontId="3" fillId="0"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3"/>
  <sheetViews>
    <sheetView showGridLines="1" workbookViewId="0">
      <pane ySplit="3" topLeftCell="A4" activePane="bottomLeft" state="frozen"/>
      <selection pane="bottomLeft" activeCell="A1" sqref="A1"/>
    </sheetView>
  </sheetViews>
  <sheetFormatPr baseColWidth="8" defaultRowHeight="15"/>
  <cols>
    <col width="46" customWidth="1" min="1" max="1"/>
    <col width="18" customWidth="1" min="2" max="2"/>
    <col width="18" customWidth="1" min="3" max="3"/>
    <col width="18" customWidth="1" min="4" max="4"/>
    <col width="18" customWidth="1" min="5" max="5"/>
    <col width="18" customWidth="1" min="6" max="6"/>
    <col width="18" customWidth="1" min="7" max="7"/>
  </cols>
  <sheetData>
    <row r="1">
      <c r="A1" s="1" t="inlineStr">
        <is>
          <t>Satin Sheets 4 Piece (US): exact decisions on the 29 Sep audit, run 20260929-6050bf68</t>
        </is>
      </c>
    </row>
    <row r="2">
      <c r="A2" s="2" t="inlineStr">
        <is>
          <t>Every figure carries its date range; figures are compared only on identical days. Sources: Data sources tab.</t>
        </is>
      </c>
    </row>
    <row r="4">
      <c r="A4" s="3" t="inlineStr">
        <is>
          <t>Key findings</t>
        </is>
      </c>
    </row>
    <row r="5">
      <c r="A5" s="2" t="inlineStr">
        <is>
          <t>Satin is a maintenance product with a thin margin: profit after ads is 4.1% (Sellerboard 30 Aug–29 Sep) and Queen loses money after ads (−$540). Queen Black spends $267–310 a day on ads against about $102–127 that would break even.</t>
        </is>
      </c>
    </row>
    <row r="6">
      <c r="A6" s="2" t="inlineStr">
        <is>
          <t>The run does nothing for rank and cuts or re-colours the campaigns that own the terms we can win. Push a small set where we convert and click at or above market: the King and Full head terms (scores 71–83).</t>
        </is>
      </c>
    </row>
    <row r="7">
      <c r="A7" s="2" t="inlineStr">
        <is>
          <t>The Queen head terms score Low: our like-for-like conversion is about half the market (satin sheets queen size 3.36% vs 6.83%, search-query data 30 Aug–26 Sep) and rivals at #1–2 sell at $17.99–19.99 against our $29.95. Fix the offer before buying rank.</t>
        </is>
      </c>
    </row>
    <row r="8">
      <c r="A8" s="2" t="inlineStr">
        <is>
          <t>Deal days are nearly margin-free: break-even ACoS at the Lightning Deal price is 7.5% on Queen Black and 4.8% on King Grey. The last deal lifted rank through the badge, not the ads. Hold prices on deal days.</t>
        </is>
      </c>
    </row>
    <row r="9">
      <c r="A9" s="2" t="inlineStr">
        <is>
          <t>Break-even is 23.3% on the audit window (Sellerboard), not the engine's 28.5%; at full price about 25%. The audit window includes 6 deal days.</t>
        </is>
      </c>
    </row>
    <row r="10">
      <c r="A10" s="2" t="inlineStr">
        <is>
          <t>103 campaigns held as "not serving" spent $4,634 (CC 31 Aug–29 Sep), mostly Queen Black at 39–87% ACoS. Releasing and pricing them to break-even is the largest saving.</t>
        </is>
      </c>
    </row>
    <row r="11">
      <c r="A11" s="2" t="inlineStr">
        <is>
          <t>Full Black runs out about 4 Dec with no purchase order; Queen Red about 10 Oct and Queen Dark Green about 2 Oct.</t>
        </is>
      </c>
    </row>
    <row r="13">
      <c r="A13" s="3" t="inlineStr">
        <is>
          <t>Where the product stands</t>
        </is>
      </c>
    </row>
    <row r="14">
      <c r="A14" s="4" t="inlineStr">
        <is>
          <t>Metric</t>
        </is>
      </c>
      <c r="B14" s="4" t="inlineStr">
        <is>
          <t>Window</t>
        </is>
      </c>
      <c r="C14" s="4" t="inlineStr">
        <is>
          <t>Value</t>
        </is>
      </c>
      <c r="D14" s="4" t="inlineStr">
        <is>
          <t>Engine</t>
        </is>
      </c>
      <c r="E14" s="4" t="inlineStr">
        <is>
          <t>Source</t>
        </is>
      </c>
    </row>
    <row r="15">
      <c r="A15" s="2" t="inlineStr">
        <is>
          <t>Break-even ACoS (all-in)</t>
        </is>
      </c>
      <c r="B15" s="2" t="inlineStr">
        <is>
          <t>30 Aug–29 Sep</t>
        </is>
      </c>
      <c r="C15" s="5" t="n">
        <v>0.2326</v>
      </c>
      <c r="D15" s="5" t="n">
        <v>0.2847</v>
      </c>
      <c r="E15" s="2" t="inlineStr">
        <is>
          <t>Sellerboard; engine margin block</t>
        </is>
      </c>
    </row>
    <row r="16">
      <c r="A16" s="2" t="inlineStr">
        <is>
          <t>Profit per unit before ads</t>
        </is>
      </c>
      <c r="B16" s="2" t="inlineStr">
        <is>
          <t>30 Aug–29 Sep</t>
        </is>
      </c>
      <c r="C16" s="6" t="n">
        <v>7.02</v>
      </c>
      <c r="D16" s="6" t="n">
        <v>8.56</v>
      </c>
      <c r="E16" s="2" t="inlineStr">
        <is>
          <t>Sellerboard</t>
        </is>
      </c>
    </row>
    <row r="17">
      <c r="A17" s="2" t="inlineStr">
        <is>
          <t>Profit after ads, all sizes</t>
        </is>
      </c>
      <c r="B17" s="2" t="inlineStr">
        <is>
          <t>30 Aug–29 Sep</t>
        </is>
      </c>
      <c r="C17" s="7" t="n">
        <v>4700</v>
      </c>
      <c r="D17" s="7" t="n"/>
      <c r="E17" s="2" t="inlineStr">
        <is>
          <t>Sellerboard</t>
        </is>
      </c>
    </row>
    <row r="18">
      <c r="A18" s="2" t="inlineStr">
        <is>
          <t>Profit after ads, Queen</t>
        </is>
      </c>
      <c r="B18" s="2" t="inlineStr">
        <is>
          <t>30 Aug–29 Sep</t>
        </is>
      </c>
      <c r="C18" s="8" t="n">
        <v>-540</v>
      </c>
      <c r="D18" s="8" t="n"/>
      <c r="E18" s="2" t="inlineStr">
        <is>
          <t>Sellerboard</t>
        </is>
      </c>
    </row>
    <row r="19">
      <c r="A19" s="2" t="inlineStr">
        <is>
          <t>Ad spend per day</t>
        </is>
      </c>
      <c r="B19" s="2" t="inlineStr">
        <is>
          <t>15–28 Sep</t>
        </is>
      </c>
      <c r="C19" s="6" t="n">
        <v>586.9299999999999</v>
      </c>
      <c r="D19" s="6" t="n">
        <v>630.38</v>
      </c>
      <c r="E19" s="2" t="inlineStr">
        <is>
          <t>Command Center campaign view</t>
        </is>
      </c>
    </row>
    <row r="20">
      <c r="A20" s="2" t="inlineStr">
        <is>
          <t>TACoS</t>
        </is>
      </c>
      <c r="B20" s="2" t="inlineStr">
        <is>
          <t>15–27 Sep</t>
        </is>
      </c>
      <c r="C20" s="5" t="n">
        <v>0.1664</v>
      </c>
      <c r="D20" s="5" t="n">
        <v>0.1749</v>
      </c>
      <c r="E20" s="2" t="inlineStr">
        <is>
          <t>Command Center product view</t>
        </is>
      </c>
    </row>
    <row r="21">
      <c r="A21" s="2" t="inlineStr">
        <is>
          <t>Queen Black units per day</t>
        </is>
      </c>
      <c r="B21" s="2" t="inlineStr">
        <is>
          <t>30 Aug–29 Sep</t>
        </is>
      </c>
      <c r="C21" s="9" t="n">
        <v>20.3</v>
      </c>
      <c r="D21" s="9" t="n"/>
      <c r="E21" s="2" t="inlineStr">
        <is>
          <t>Sellerboard</t>
        </is>
      </c>
    </row>
    <row r="22">
      <c r="A22" s="2" t="inlineStr">
        <is>
          <t>Queen Black available</t>
        </is>
      </c>
      <c r="B22" s="2" t="inlineStr">
        <is>
          <t>29 Sep</t>
        </is>
      </c>
      <c r="C22" s="10" t="n">
        <v>1807</v>
      </c>
      <c r="D22" s="10" t="n"/>
      <c r="E22" s="2" t="inlineStr">
        <is>
          <t>Sellerboard</t>
        </is>
      </c>
    </row>
    <row r="23">
      <c r="A23" s="2" t="inlineStr">
        <is>
          <t>Full Black available</t>
        </is>
      </c>
      <c r="B23" s="2" t="inlineStr">
        <is>
          <t>29 Sep</t>
        </is>
      </c>
      <c r="C23" s="10" t="n">
        <v>722</v>
      </c>
      <c r="D23" s="10" t="n"/>
      <c r="E23" s="2" t="inlineStr">
        <is>
          <t>Sellerboard</t>
        </is>
      </c>
    </row>
    <row r="24">
      <c r="A24" s="2" t="inlineStr">
        <is>
          <t>King (all colours) available</t>
        </is>
      </c>
      <c r="B24" s="2" t="inlineStr">
        <is>
          <t>29 Sep</t>
        </is>
      </c>
      <c r="C24" s="10" t="n">
        <v>4186</v>
      </c>
      <c r="D24" s="10" t="n">
        <v>47</v>
      </c>
      <c r="E24" s="2" t="inlineStr">
        <is>
          <t>Sellerboard; engine size map</t>
        </is>
      </c>
    </row>
    <row r="26">
      <c r="A26" s="3" t="inlineStr">
        <is>
          <t>Decisions by type (every campaign)</t>
        </is>
      </c>
    </row>
    <row r="27">
      <c r="A27" s="4" t="inlineStr">
        <is>
          <t>Decision type</t>
        </is>
      </c>
      <c r="B27" s="4" t="inlineStr">
        <is>
          <t>Campaigns</t>
        </is>
      </c>
      <c r="C27" s="4" t="inlineStr">
        <is>
          <t>30d spend $ (CC 31 Aug–29 Sep)</t>
        </is>
      </c>
      <c r="D27" s="4" t="inlineStr">
        <is>
          <t>Share of spend</t>
        </is>
      </c>
    </row>
    <row r="28">
      <c r="A28" s="2" t="inlineStr">
        <is>
          <t>Retag only</t>
        </is>
      </c>
      <c r="B28" s="11">
        <f>COUNTIF('Every campaign'!$AH$2:$AH$565,A28)</f>
        <v>121.0</v>
      </c>
      <c r="C28" s="12">
        <f>SUMIF('Every campaign'!$AH$2:$AH$565,A28,'Every campaign'!$AA$2:$AA$565)</f>
        <v>571.7899999999998</v>
      </c>
      <c r="D28" s="13">
        <f>IF($C$50=0,0,C28/$C$50)</f>
        <v>0.029728039313653965</v>
      </c>
    </row>
    <row r="29">
      <c r="A29" s="2" t="inlineStr">
        <is>
          <t>Pause</t>
        </is>
      </c>
      <c r="B29" s="11">
        <f>COUNTIF('Every campaign'!$AH$2:$AH$565,A29)</f>
        <v>78.0</v>
      </c>
      <c r="C29" s="12">
        <f>SUMIF('Every campaign'!$AH$2:$AH$565,A29,'Every campaign'!$AA$2:$AA$565)</f>
        <v>763.51</v>
      </c>
      <c r="D29" s="13">
        <f>IF($C$50=0,0,C29/$C$50)</f>
        <v>0.039695789181986296</v>
      </c>
    </row>
    <row r="30">
      <c r="A30" s="2" t="inlineStr">
        <is>
          <t>Rename only</t>
        </is>
      </c>
      <c r="B30" s="11">
        <f>COUNTIF('Every campaign'!$AH$2:$AH$565,A30)</f>
        <v>53.0</v>
      </c>
      <c r="C30" s="12">
        <f>SUMIF('Every campaign'!$AH$2:$AH$565,A30,'Every campaign'!$AA$2:$AA$565)</f>
        <v>696.63</v>
      </c>
      <c r="D30" s="13">
        <f>IF($C$50=0,0,C30/$C$50)</f>
        <v>0.03621861877100119</v>
      </c>
    </row>
    <row r="31">
      <c r="A31" s="2" t="inlineStr">
        <is>
          <t>Release hold + price to break-even</t>
        </is>
      </c>
      <c r="B31" s="11">
        <f>COUNTIF('Every campaign'!$AH$2:$AH$565,A31)</f>
        <v>52.0</v>
      </c>
      <c r="C31" s="12">
        <f>SUMIF('Every campaign'!$AH$2:$AH$565,A31,'Every campaign'!$AA$2:$AA$565)</f>
        <v>3389.560000000001</v>
      </c>
      <c r="D31" s="13">
        <f>IF($C$50=0,0,C31/$C$50)</f>
        <v>0.17622723890937056</v>
      </c>
    </row>
    <row r="32">
      <c r="A32" s="2" t="inlineStr">
        <is>
          <t>No change</t>
        </is>
      </c>
      <c r="B32" s="11">
        <f>COUNTIF('Every campaign'!$AH$2:$AH$565,A32)</f>
        <v>48.0</v>
      </c>
      <c r="C32" s="12">
        <f>SUMIF('Every campaign'!$AH$2:$AH$565,A32,'Every campaign'!$AA$2:$AA$565)</f>
        <v>1139.36</v>
      </c>
      <c r="D32" s="13">
        <f>IF($C$50=0,0,C32/$C$50)</f>
        <v>0.05923667582924638</v>
      </c>
    </row>
    <row r="33">
      <c r="A33" s="2" t="inlineStr">
        <is>
          <t>No change (engine move rejected/held)</t>
        </is>
      </c>
      <c r="B33" s="11">
        <f>COUNTIF('Every campaign'!$AH$2:$AH$565,A33)</f>
        <v>45.0</v>
      </c>
      <c r="C33" s="12">
        <f>SUMIF('Every campaign'!$AH$2:$AH$565,A33,'Every campaign'!$AA$2:$AA$565)</f>
        <v>111.36000000000001</v>
      </c>
      <c r="D33" s="13">
        <f>IF($C$50=0,0,C33/$C$50)</f>
        <v>0.005789738291975212</v>
      </c>
    </row>
    <row r="34">
      <c r="A34" s="2" t="inlineStr">
        <is>
          <t>Release hold, keep price</t>
        </is>
      </c>
      <c r="B34" s="11">
        <f>COUNTIF('Every campaign'!$AH$2:$AH$565,A34)</f>
        <v>37.0</v>
      </c>
      <c r="C34" s="12">
        <f>SUMIF('Every campaign'!$AH$2:$AH$565,A34,'Every campaign'!$AA$2:$AA$565)</f>
        <v>103.55</v>
      </c>
      <c r="D34" s="13">
        <f>IF($C$50=0,0,C34/$C$50)</f>
        <v>0.0053836871420082</v>
      </c>
    </row>
    <row r="35">
      <c r="A35" s="2" t="inlineStr">
        <is>
          <t>Price cut</t>
        </is>
      </c>
      <c r="B35" s="11">
        <f>COUNTIF('Every campaign'!$AH$2:$AH$565,A35)</f>
        <v>34.0</v>
      </c>
      <c r="C35" s="12">
        <f>SUMIF('Every campaign'!$AH$2:$AH$565,A35,'Every campaign'!$AA$2:$AA$565)</f>
        <v>4327.76</v>
      </c>
      <c r="D35" s="13">
        <f>IF($C$50=0,0,C35/$C$50)</f>
        <v>0.2250053680897867</v>
      </c>
    </row>
    <row r="36">
      <c r="A36" s="2" t="inlineStr">
        <is>
          <t>Keep paused</t>
        </is>
      </c>
      <c r="B36" s="11">
        <f>COUNTIF('Every campaign'!$AH$2:$AH$565,A36)</f>
        <v>27.0</v>
      </c>
      <c r="C36" s="12">
        <f>SUMIF('Every campaign'!$AH$2:$AH$565,A36,'Every campaign'!$AA$2:$AA$565)</f>
        <v>52.97</v>
      </c>
      <c r="D36" s="13">
        <f>IF($C$50=0,0,C36/$C$50)</f>
        <v>0.002753973036331959</v>
      </c>
    </row>
    <row r="37">
      <c r="A37" s="2" t="inlineStr">
        <is>
          <t>Child swap</t>
        </is>
      </c>
      <c r="B37" s="11">
        <f>COUNTIF('Every campaign'!$AH$2:$AH$565,A37)</f>
        <v>18.0</v>
      </c>
      <c r="C37" s="12">
        <f>SUMIF('Every campaign'!$AH$2:$AH$565,A37,'Every campaign'!$AA$2:$AA$565)</f>
        <v>427.74999999999994</v>
      </c>
      <c r="D37" s="13">
        <f>IF($C$50=0,0,C37/$C$50)</f>
        <v>0.022239229116311033</v>
      </c>
    </row>
    <row r="38">
      <c r="A38" s="2" t="inlineStr">
        <is>
          <t>Reject pause</t>
        </is>
      </c>
      <c r="B38" s="11">
        <f>COUNTIF('Every campaign'!$AH$2:$AH$565,A38)</f>
        <v>10.0</v>
      </c>
      <c r="C38" s="12">
        <f>SUMIF('Every campaign'!$AH$2:$AH$565,A38,'Every campaign'!$AA$2:$AA$565)</f>
        <v>65.74</v>
      </c>
      <c r="D38" s="13">
        <f>IF($C$50=0,0,C38/$C$50)</f>
        <v>0.003417900460797866</v>
      </c>
    </row>
    <row r="39">
      <c r="A39" s="2" t="inlineStr">
        <is>
          <t>Ranking push</t>
        </is>
      </c>
      <c r="B39" s="11">
        <f>COUNTIF('Every campaign'!$AH$2:$AH$565,A39)</f>
        <v>9.0</v>
      </c>
      <c r="C39" s="12">
        <f>SUMIF('Every campaign'!$AH$2:$AH$565,A39,'Every campaign'!$AA$2:$AA$565)</f>
        <v>2506.8300000000004</v>
      </c>
      <c r="D39" s="13">
        <f>IF($C$50=0,0,C39/$C$50)</f>
        <v>0.13033306072622328</v>
      </c>
    </row>
    <row r="40">
      <c r="A40" s="2" t="inlineStr">
        <is>
          <t>Mix fix + price cut</t>
        </is>
      </c>
      <c r="B40" s="11">
        <f>COUNTIF('Every campaign'!$AH$2:$AH$565,A40)</f>
        <v>9.0</v>
      </c>
      <c r="C40" s="12">
        <f>SUMIF('Every campaign'!$AH$2:$AH$565,A40,'Every campaign'!$AA$2:$AA$565)</f>
        <v>1309.99</v>
      </c>
      <c r="D40" s="13">
        <f>IF($C$50=0,0,C40/$C$50)</f>
        <v>0.06810793161911466</v>
      </c>
    </row>
    <row r="41">
      <c r="A41" s="2" t="inlineStr">
        <is>
          <t>Revive at break-even</t>
        </is>
      </c>
      <c r="B41" s="11">
        <f>COUNTIF('Every campaign'!$AH$2:$AH$565,A41)</f>
        <v>5.0</v>
      </c>
      <c r="C41" s="12">
        <f>SUMIF('Every campaign'!$AH$2:$AH$565,A41,'Every campaign'!$AA$2:$AA$565)</f>
        <v>310.16</v>
      </c>
      <c r="D41" s="13">
        <f>IF($C$50=0,0,C41/$C$50)</f>
        <v>0.016125585745680963</v>
      </c>
    </row>
    <row r="42">
      <c r="A42" s="2" t="inlineStr">
        <is>
          <t>Hold (price)</t>
        </is>
      </c>
      <c r="B42" s="11">
        <f>COUNTIF('Every campaign'!$AH$2:$AH$565,A42)</f>
        <v>5.0</v>
      </c>
      <c r="C42" s="12">
        <f>SUMIF('Every campaign'!$AH$2:$AH$565,A42,'Every campaign'!$AA$2:$AA$565)</f>
        <v>324.54</v>
      </c>
      <c r="D42" s="13">
        <f>IF($C$50=0,0,C42/$C$50)</f>
        <v>0.016873218976990262</v>
      </c>
    </row>
    <row r="43">
      <c r="A43" s="2" t="inlineStr">
        <is>
          <t>Negatives only</t>
        </is>
      </c>
      <c r="B43" s="11">
        <f>COUNTIF('Every campaign'!$AH$2:$AH$565,A43)</f>
        <v>4.0</v>
      </c>
      <c r="C43" s="12">
        <f>SUMIF('Every campaign'!$AH$2:$AH$565,A43,'Every campaign'!$AA$2:$AA$565)</f>
        <v>898.77</v>
      </c>
      <c r="D43" s="13">
        <f>IF($C$50=0,0,C43/$C$50)</f>
        <v>0.04672811678051869</v>
      </c>
    </row>
    <row r="44">
      <c r="A44" s="2" t="inlineStr">
        <is>
          <t>No change (flag: above break-even)</t>
        </is>
      </c>
      <c r="B44" s="11">
        <f>COUNTIF('Every campaign'!$AH$2:$AH$565,A44)</f>
        <v>3.0</v>
      </c>
      <c r="C44" s="12">
        <f>SUMIF('Every campaign'!$AH$2:$AH$565,A44,'Every campaign'!$AA$2:$AA$565)</f>
        <v>208.45999999999998</v>
      </c>
      <c r="D44" s="13">
        <f>IF($C$50=0,0,C44/$C$50)</f>
        <v>0.010838082294766098</v>
      </c>
    </row>
    <row r="45">
      <c r="A45" s="2" t="inlineStr">
        <is>
          <t>Revive (harvest)</t>
        </is>
      </c>
      <c r="B45" s="11">
        <f>COUNTIF('Every campaign'!$AH$2:$AH$565,A45)</f>
        <v>2.0</v>
      </c>
      <c r="C45" s="12">
        <f>SUMIF('Every campaign'!$AH$2:$AH$565,A45,'Every campaign'!$AA$2:$AA$565)</f>
        <v>33.89</v>
      </c>
      <c r="D45" s="13">
        <f>IF($C$50=0,0,C45/$C$50)</f>
        <v>0.0017619812384612062</v>
      </c>
    </row>
    <row r="46">
      <c r="A46" s="2" t="inlineStr">
        <is>
          <t>Restart</t>
        </is>
      </c>
      <c r="B46" s="11">
        <f>COUNTIF('Every campaign'!$AH$2:$AH$565,A46)</f>
        <v>1.0</v>
      </c>
      <c r="C46" s="12">
        <f>SUMIF('Every campaign'!$AH$2:$AH$565,A46,'Every campaign'!$AA$2:$AA$565)</f>
        <v>196.59</v>
      </c>
      <c r="D46" s="13">
        <f>IF($C$50=0,0,C46/$C$50)</f>
        <v>0.01022094693623749</v>
      </c>
    </row>
    <row r="47">
      <c r="A47" s="2" t="inlineStr">
        <is>
          <t>Pause target</t>
        </is>
      </c>
      <c r="B47" s="11">
        <f>COUNTIF('Every campaign'!$AH$2:$AH$565,A47)</f>
        <v>1.0</v>
      </c>
      <c r="C47" s="12">
        <f>SUMIF('Every campaign'!$AH$2:$AH$565,A47,'Every campaign'!$AA$2:$AA$565)</f>
        <v>45.4</v>
      </c>
      <c r="D47" s="13">
        <f>IF($C$50=0,0,C47/$C$50)</f>
        <v>0.002360399770614894</v>
      </c>
    </row>
    <row r="48">
      <c r="A48" s="2" t="inlineStr">
        <is>
          <t>Pause (duplicate)</t>
        </is>
      </c>
      <c r="B48" s="11">
        <f>COUNTIF('Every campaign'!$AH$2:$AH$565,A48)</f>
        <v>1.0</v>
      </c>
      <c r="C48" s="12">
        <f>SUMIF('Every campaign'!$AH$2:$AH$565,A48,'Every campaign'!$AA$2:$AA$565)</f>
        <v>234.7</v>
      </c>
      <c r="D48" s="13">
        <f>IF($C$50=0,0,C48/$C$50)</f>
        <v>0.012202330972760257</v>
      </c>
    </row>
    <row r="49">
      <c r="A49" s="2" t="inlineStr">
        <is>
          <t>Ranking push (your decision)</t>
        </is>
      </c>
      <c r="B49" s="11">
        <f>COUNTIF('Every campaign'!$AH$2:$AH$565,A49)</f>
        <v>1.0</v>
      </c>
      <c r="C49" s="12">
        <f>SUMIF('Every campaign'!$AH$2:$AH$565,A49,'Every campaign'!$AA$2:$AA$565)</f>
        <v>1514.72</v>
      </c>
      <c r="D49" s="13">
        <f>IF($C$50=0,0,C49/$C$50)</f>
        <v>0.07875208679616283</v>
      </c>
    </row>
    <row r="50">
      <c r="A50" s="14" t="inlineStr">
        <is>
          <t>Total</t>
        </is>
      </c>
      <c r="B50" s="15">
        <f>SUM(B28:B49)</f>
        <v>564.0</v>
      </c>
      <c r="C50" s="16">
        <f>SUM(C28:C49)</f>
        <v>19234.030000000002</v>
      </c>
    </row>
    <row r="52">
      <c r="A52" s="3" t="inlineStr">
        <is>
          <t>Ranking push (Ranking push tab)</t>
        </is>
      </c>
    </row>
    <row r="53">
      <c r="A53" s="4" t="inlineStr">
        <is>
          <t>Set</t>
        </is>
      </c>
      <c r="B53" s="4" t="inlineStr">
        <is>
          <t>Terms</t>
        </is>
      </c>
      <c r="C53" s="4" t="inlineStr">
        <is>
          <t>TOS clicks/day now</t>
        </is>
      </c>
      <c r="D53" s="4" t="inlineStr">
        <is>
          <t>TOS clicks/day planned</t>
        </is>
      </c>
      <c r="E53" s="4" t="inlineStr">
        <is>
          <t>Budget/day $</t>
        </is>
      </c>
      <c r="F53" s="4" t="inlineStr">
        <is>
          <t>Loss/day, full price $</t>
        </is>
      </c>
      <c r="G53" s="4" t="inlineStr">
        <is>
          <t>Loss/day, deal days $</t>
        </is>
      </c>
    </row>
    <row r="54">
      <c r="A54" s="2" t="inlineStr">
        <is>
          <t>Recommended now (King, Full, small Queen terms)</t>
        </is>
      </c>
      <c r="B54" s="17">
        <f>COUNTIF('Ranking push'!$AI$2:$AI$27,"Yes")</f>
        <v>8.0</v>
      </c>
      <c r="C54" s="18">
        <f>SUMIF('Ranking push'!$AI$2:$AI$27,"Yes",'Ranking push'!$O$2:$O$27)</f>
        <v>19.498</v>
      </c>
      <c r="D54" s="18">
        <f>SUMIF('Ranking push'!$AI$2:$AI$27,"Yes",'Ranking push'!$P$2:$P$27)</f>
        <v>24.8879</v>
      </c>
      <c r="E54" s="12">
        <f>SUMIF('Ranking push'!$AI$2:$AI$27,"Yes",'Ranking push'!$Z$2:$Z$27)</f>
        <v>81.67770000000002</v>
      </c>
      <c r="F54" s="12">
        <f>SUMIF('Ranking push'!$AI$2:$AI$27,"Yes",'Ranking push'!$AG$2:$AG$27)</f>
        <v>36.56914951381311</v>
      </c>
      <c r="G54" s="12">
        <f>SUMIF('Ranking push'!$AI$2:$AI$27,"Yes",'Ranking push'!$AH$2:$AH$27)</f>
        <v>61.86654356198611</v>
      </c>
    </row>
    <row r="55">
      <c r="A55" s="2" t="inlineStr">
        <is>
          <t>Full plan (PUSH + PUSH-SMALL)</t>
        </is>
      </c>
      <c r="B55" s="17">
        <f>COUNTIF('Ranking push'!$J$2:$J$27,"PUSH*")</f>
        <v>9.0</v>
      </c>
      <c r="C55" s="18">
        <f>SUMIF('Ranking push'!$J$2:$J$27,"PUSH*",'Ranking push'!$O$2:$O$27)</f>
        <v>47.333299999999994</v>
      </c>
      <c r="D55" s="18">
        <f>SUMIF('Ranking push'!$J$2:$J$27,"PUSH*",'Ranking push'!$P$2:$P$27)</f>
        <v>103.8994</v>
      </c>
      <c r="E55" s="12">
        <f>SUMIF('Ranking push'!$J$2:$J$27,"PUSH*",'Ranking push'!$Z$2:$Z$27)</f>
        <v>268.7962</v>
      </c>
      <c r="F55" s="12">
        <f>SUMIF('Ranking push'!$J$2:$J$27,"PUSH*",'Ranking push'!$AG$2:$AG$27)</f>
        <v>126.10150196580962</v>
      </c>
      <c r="G55" s="12">
        <f>SUMIF('Ranking push'!$J$2:$J$27,"PUSH*",'Ranking push'!$AH$2:$AH$27)</f>
        <v>219.0469274753786</v>
      </c>
    </row>
    <row r="57">
      <c r="A57" s="3" t="inlineStr">
        <is>
          <t>Needs your decision</t>
        </is>
      </c>
    </row>
    <row r="58">
      <c r="A58" s="19" t="inlineStr">
        <is>
          <t>1. Which lane governs Satin: maintenance (operator ruling 21 Sep) with the small push we recommend, or Erik's ranking push.</t>
        </is>
      </c>
    </row>
    <row r="59">
      <c r="A59" s="19" t="inlineStr">
        <is>
          <t>2. The full plan: add "satin sheets" and "silk sheets queen" (+$137 a day, about $126 a day of loss at full price and $219 on deal days), or hold them at today's price through 28 Oct (recommended).</t>
        </is>
      </c>
    </row>
    <row r="60">
      <c r="A60" s="19" t="inlineStr">
        <is>
          <t>3. Sign-off for the funded loss on the recommended set: about $37 a day at full price and $62 on deal days.</t>
        </is>
      </c>
    </row>
    <row r="61">
      <c r="A61" s="19" t="inlineStr">
        <is>
          <t>4. King advertised colour on the King terms outside the push: King Grey or King Black.</t>
        </is>
      </c>
    </row>
    <row r="62">
      <c r="A62" s="19" t="inlineStr">
        <is>
          <t>5. Confirm the 1 Oct Lightning Deal, and the prices and children in each deal.</t>
        </is>
      </c>
    </row>
    <row r="63">
      <c r="A63" s="19" t="inlineStr">
        <is>
          <t>6. Arrival dates for Queen Black, Full Black and Twin Black; a Full Black order by about 20 Oct.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L565"/>
  <sheetViews>
    <sheetView showGridLines="1"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48" customWidth="1" min="2" max="2"/>
    <col width="46" customWidth="1" min="3" max="3"/>
    <col width="30" customWidth="1" min="4" max="4"/>
    <col width="11" customWidth="1" min="5" max="5"/>
    <col width="11" customWidth="1" min="6" max="6"/>
    <col width="11" customWidth="1" min="7" max="7"/>
    <col width="14" customWidth="1" min="8" max="8"/>
    <col width="11" customWidth="1" min="9" max="9"/>
    <col width="22" customWidth="1" min="10" max="10"/>
    <col width="22"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22" customWidth="1" min="25" max="25"/>
    <col width="30"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22" customWidth="1" min="34" max="34"/>
    <col width="60" customWidth="1" min="35" max="35"/>
    <col width="60" customWidth="1" min="36" max="36"/>
    <col width="40" customWidth="1" min="37" max="37"/>
    <col width="48" customWidth="1" min="38" max="38"/>
  </cols>
  <sheetData>
    <row r="1">
      <c r="A1" s="20" t="inlineStr">
        <is>
          <t>Campaign ID</t>
        </is>
      </c>
      <c r="B1" s="20" t="inlineStr">
        <is>
          <t>Campaign name</t>
        </is>
      </c>
      <c r="C1" s="20" t="inlineStr">
        <is>
          <t>Keywords / targets</t>
        </is>
      </c>
      <c r="D1" s="20" t="inlineStr">
        <is>
          <t>Keyword acted on</t>
        </is>
      </c>
      <c r="E1" s="20" t="inlineStr">
        <is>
          <t>Status now</t>
        </is>
      </c>
      <c r="F1" s="20" t="inlineStr">
        <is>
          <t>Objective now</t>
        </is>
      </c>
      <c r="G1" s="20" t="inlineStr">
        <is>
          <t>Correct objective</t>
        </is>
      </c>
      <c r="H1" s="20" t="inlineStr">
        <is>
          <t>Syntax</t>
        </is>
      </c>
      <c r="I1" s="20" t="inlineStr">
        <is>
          <t>Match / targeting</t>
        </is>
      </c>
      <c r="J1" s="20" t="inlineStr">
        <is>
          <t>Advertised child now</t>
        </is>
      </c>
      <c r="K1" s="20" t="inlineStr">
        <is>
          <t>Advertised child after</t>
        </is>
      </c>
      <c r="L1" s="20" t="inlineStr">
        <is>
          <t>Base bid now</t>
        </is>
      </c>
      <c r="M1" s="20" t="inlineStr">
        <is>
          <t>Base bid after</t>
        </is>
      </c>
      <c r="N1" s="20" t="inlineStr">
        <is>
          <t>TOS % now</t>
        </is>
      </c>
      <c r="O1" s="20" t="inlineStr">
        <is>
          <t>TOS % after</t>
        </is>
      </c>
      <c r="P1" s="20" t="inlineStr">
        <is>
          <t>TOS price now</t>
        </is>
      </c>
      <c r="Q1" s="20" t="inlineStr">
        <is>
          <t>TOS price after</t>
        </is>
      </c>
      <c r="R1" s="20" t="inlineStr">
        <is>
          <t>PP % now</t>
        </is>
      </c>
      <c r="S1" s="20" t="inlineStr">
        <is>
          <t>PP % after</t>
        </is>
      </c>
      <c r="T1" s="20" t="inlineStr">
        <is>
          <t>ROS % now</t>
        </is>
      </c>
      <c r="U1" s="20" t="inlineStr">
        <is>
          <t>ROS % after</t>
        </is>
      </c>
      <c r="V1" s="20" t="inlineStr">
        <is>
          <t>Budget now</t>
        </is>
      </c>
      <c r="W1" s="20" t="inlineStr">
        <is>
          <t>Budget after</t>
        </is>
      </c>
      <c r="X1" s="20" t="inlineStr">
        <is>
          <t>State after</t>
        </is>
      </c>
      <c r="Y1" s="20" t="inlineStr">
        <is>
          <t>Negatives</t>
        </is>
      </c>
      <c r="Z1" s="20" t="inlineStr">
        <is>
          <t>Rename</t>
        </is>
      </c>
      <c r="AA1" s="20" t="inlineStr">
        <is>
          <t>30d spend $</t>
        </is>
      </c>
      <c r="AB1" s="20" t="inlineStr">
        <is>
          <t>30d clicks</t>
        </is>
      </c>
      <c r="AC1" s="20" t="inlineStr">
        <is>
          <t>30d orders</t>
        </is>
      </c>
      <c r="AD1" s="20" t="inlineStr">
        <is>
          <t>30d ACoS %</t>
        </is>
      </c>
      <c r="AE1" s="20" t="inlineStr">
        <is>
          <t>30d TOS click share %</t>
        </is>
      </c>
      <c r="AF1" s="20" t="inlineStr">
        <is>
          <t>30d PP click share %</t>
        </is>
      </c>
      <c r="AG1" s="20" t="inlineStr">
        <is>
          <t>90d orders</t>
        </is>
      </c>
      <c r="AH1" s="20" t="inlineStr">
        <is>
          <t>Decision type</t>
        </is>
      </c>
      <c r="AI1" s="20" t="inlineStr">
        <is>
          <t>Decision</t>
        </is>
      </c>
      <c r="AJ1" s="20" t="inlineStr">
        <is>
          <t>Why</t>
        </is>
      </c>
      <c r="AK1" s="20" t="inlineStr">
        <is>
          <t>Source</t>
        </is>
      </c>
      <c r="AL1" s="20" t="inlineStr">
        <is>
          <t>Ranking push</t>
        </is>
      </c>
    </row>
    <row r="2">
      <c r="A2" s="2" t="inlineStr">
        <is>
          <t>504037860004352</t>
        </is>
      </c>
      <c r="B2" s="2" t="inlineStr">
        <is>
          <t>D-S4-SP-satin sheets queen-(Satin)-HSV-Exact-Rank-DO-SATIN-WHITE-QUEEN-V2</t>
        </is>
      </c>
      <c r="C2" s="2" t="inlineStr">
        <is>
          <t>satin sheets queen size [exact, $2.12, 443 clicks]; satin sheets queen [exact, $2.15, 101 clicks]; satin sheet queen [exact, paused, $3.00]</t>
        </is>
      </c>
      <c r="D2" s="2" t="inlineStr">
        <is>
          <t>satin sheets queen / satin sheets queen size</t>
        </is>
      </c>
      <c r="E2" s="2" t="inlineStr">
        <is>
          <t>ENABLED</t>
        </is>
      </c>
      <c r="F2" s="2" t="inlineStr">
        <is>
          <t>Ranking</t>
        </is>
      </c>
      <c r="G2" s="2" t="inlineStr">
        <is>
          <t>Ranking</t>
        </is>
      </c>
      <c r="H2" s="2" t="inlineStr">
        <is>
          <t>Satin|Queen</t>
        </is>
      </c>
      <c r="I2" s="2" t="inlineStr">
        <is>
          <t>Exact</t>
        </is>
      </c>
      <c r="J2" s="2" t="inlineStr">
        <is>
          <t>SATIN-QUEEN-BLACK</t>
        </is>
      </c>
      <c r="K2" s="2" t="inlineStr">
        <is>
          <t>SATIN-QUEEN-BLACK</t>
        </is>
      </c>
      <c r="L2" s="2" t="inlineStr">
        <is>
          <t>$2.12 / $2.15</t>
        </is>
      </c>
      <c r="M2" s="2" t="inlineStr">
        <is>
          <t>$1.59 / $1.61</t>
        </is>
      </c>
      <c r="N2" s="2" t="n">
        <v>80</v>
      </c>
      <c r="O2" s="2" t="n">
        <v>104</v>
      </c>
      <c r="P2" s="21" t="n">
        <v>3.82</v>
      </c>
      <c r="Q2" s="21" t="n">
        <v>3.24</v>
      </c>
      <c r="R2" s="2" t="n">
        <v>0</v>
      </c>
      <c r="S2" s="2" t="n">
        <v>0</v>
      </c>
      <c r="T2" s="2" t="n">
        <v>0</v>
      </c>
      <c r="U2" s="2" t="n">
        <v>0</v>
      </c>
      <c r="V2" s="21" t="n">
        <v>120</v>
      </c>
      <c r="W2" s="21" t="n">
        <v>120</v>
      </c>
      <c r="X2" s="2" t="inlineStr">
        <is>
          <t>ENABLED</t>
        </is>
      </c>
      <c r="Y2" s="2" t="inlineStr">
        <is>
          <t>none</t>
        </is>
      </c>
      <c r="Z2" s="2" t="inlineStr">
        <is>
          <t>defer — engine name wrong (SKU token SATIN-QUEEN-BLACK); load a corrected name after 28 Oct</t>
        </is>
      </c>
      <c r="AA2" s="21" t="n">
        <v>1522.55</v>
      </c>
      <c r="AB2" s="2" t="n">
        <v>544</v>
      </c>
      <c r="AC2" s="2" t="n">
        <v>104</v>
      </c>
      <c r="AD2" s="2" t="n">
        <v>46.7</v>
      </c>
      <c r="AE2" s="2" t="n">
        <v>40.07</v>
      </c>
      <c r="AF2" s="2" t="n">
        <v>56.62</v>
      </c>
      <c r="AG2" s="2" t="n">
        <v>202</v>
      </c>
      <c r="AH2" s="2" t="inlineStr">
        <is>
          <t>Price cut</t>
        </is>
      </c>
      <c r="AI2" s="22" t="inlineStr">
        <is>
          <t>MAINTAIN: cut base 25% ($2.12 → $1.59, $2.15 → $1.61); TOS +80% → +104% (TOS $3.82 → $3.24); re-score on the 1 Oct and 6 Oct deal days before any Queen push</t>
        </is>
      </c>
      <c r="AJ2" s="22" t="inlineStr">
        <is>
          <t>46.7% ACoS on 104 orders / 544 clicks (CC 31 Aug–29 Sep). The class step undoes the mix fix: Today TOS $2.12×1.80 = $3.82. Written $1.83×1.77 = $3.24. TOS:PP ratio goes 1.80 → 1.77 on a campaign at 57% PP / 40% TOS (audit read, 308 of 544 clicks).</t>
        </is>
      </c>
      <c r="AK2" s="2" t="inlineStr">
        <is>
          <t>seq 1 tos: correct to 104%; seq 4 bid: correct to 1.59; seq 5 bid: correct to 1.61; seq 1798 child: reject — keep SATIN-QUEEN-BLACK; seq 2867 rename CHANGE; seq 0 budget hold $120 → pass</t>
        </is>
      </c>
      <c r="AL2" s="22" t="inlineStr">
        <is>
          <t>MAINTAIN · score 49 and 42 · CVR half the market like-for-like; re-score on the 1 Oct and 6 Oct deal days; push 16–28 Oct only if deal-day TOS CVR reaches market</t>
        </is>
      </c>
    </row>
    <row r="3">
      <c r="A3" s="2" t="inlineStr">
        <is>
          <t>527361393975073</t>
        </is>
      </c>
      <c r="B3" s="23" t="inlineStr">
        <is>
          <t>D-S4-SP-satin sheets-(Satin)-HSV-Exact-Rank-DO-SATIN-QUEEN-GREY</t>
        </is>
      </c>
      <c r="C3" s="2" t="inlineStr">
        <is>
          <t>satin sheets [exact, $1.15, 739 clicks]</t>
        </is>
      </c>
      <c r="D3" s="23" t="inlineStr">
        <is>
          <t>satin sheets</t>
        </is>
      </c>
      <c r="E3" s="2" t="inlineStr">
        <is>
          <t>ENABLED</t>
        </is>
      </c>
      <c r="F3" s="2" t="inlineStr">
        <is>
          <t>Ranking</t>
        </is>
      </c>
      <c r="G3" s="2" t="inlineStr">
        <is>
          <t>Ranking</t>
        </is>
      </c>
      <c r="H3" s="2" t="inlineStr">
        <is>
          <t>Satin</t>
        </is>
      </c>
      <c r="I3" s="2" t="inlineStr">
        <is>
          <t>Exact</t>
        </is>
      </c>
      <c r="J3" s="2" t="inlineStr">
        <is>
          <t>SATIN-QUEEN-BLACK</t>
        </is>
      </c>
      <c r="K3" s="2" t="inlineStr">
        <is>
          <t>SATIN-QUEEN-BLACK</t>
        </is>
      </c>
      <c r="L3" s="2" t="inlineStr">
        <is>
          <t>$1.15</t>
        </is>
      </c>
      <c r="M3" s="2" t="inlineStr">
        <is>
          <t>$1.15</t>
        </is>
      </c>
      <c r="N3" s="2" t="n">
        <v>100</v>
      </c>
      <c r="O3" s="2" t="n">
        <v>100</v>
      </c>
      <c r="P3" s="21" t="n">
        <v>2.3</v>
      </c>
      <c r="Q3" s="21" t="n">
        <v>2.3</v>
      </c>
      <c r="R3" s="2" t="n">
        <v>0</v>
      </c>
      <c r="S3" s="2" t="n">
        <v>0</v>
      </c>
      <c r="T3" s="2" t="n">
        <v>0</v>
      </c>
      <c r="U3" s="2" t="n">
        <v>0</v>
      </c>
      <c r="V3" s="21" t="n">
        <v>70</v>
      </c>
      <c r="W3" s="21" t="n">
        <v>70</v>
      </c>
      <c r="X3" s="2" t="inlineStr">
        <is>
          <t>ENABLED</t>
        </is>
      </c>
      <c r="Y3" s="2" t="inlineStr">
        <is>
          <t>none</t>
        </is>
      </c>
      <c r="Z3" s="2" t="inlineStr">
        <is>
          <t>load (clean): DSS4-SP-Satin Sheets-[Satin]-(HSV)-Exact-(Ranking)-DO-SATIN-QUEEN-BLACK</t>
        </is>
      </c>
      <c r="AA3" s="21" t="n">
        <v>1514.72</v>
      </c>
      <c r="AB3" s="2" t="n">
        <v>739</v>
      </c>
      <c r="AC3" s="2" t="n">
        <v>127</v>
      </c>
      <c r="AD3" s="2" t="n">
        <v>39</v>
      </c>
      <c r="AE3" s="2" t="n">
        <v>88.36</v>
      </c>
      <c r="AF3" s="2" t="n">
        <v>7.85</v>
      </c>
      <c r="AG3" s="2" t="n">
        <v>366</v>
      </c>
      <c r="AH3" s="2" t="inlineStr">
        <is>
          <t>Ranking push (your decision)</t>
        </is>
      </c>
      <c r="AI3" s="24" t="inlineStr">
        <is>
          <t>HOLD satin sheets (#5) at today's price: base $1.15, TOS $2.30 (+100%), budget $70 through 28 Oct; no class cut. Full-plan option: TOS $2.32 and budget $145, then +20% steps to $2.48 if under 70% of 60 TOS clicks/day arrive</t>
        </is>
      </c>
      <c r="AJ3" s="22" t="inlineStr">
        <is>
          <t>39.0% ACoS on 127 orders / 739 clicks (CC 31 Aug–29 Sep). Head term "satin sheets" at #5 (our crawl 29 Sep), SV 30,210, three deals ahead (1, 6 and 16–28 Oct).</t>
        </is>
      </c>
      <c r="AK3" s="2" t="inlineStr">
        <is>
          <t>seq 2868 rename LOAD; seq 8 hold → hold through 28 Oct; re-issue −15% on 29 Oct; seq 11 hold → hold through 28 Oct; re-issue −15% on 29 Oct</t>
        </is>
      </c>
      <c r="AL3" s="24" t="inlineStr">
        <is>
          <t>PUSH-SMALL in the full plan only · score 51 · 60 TOS clicks/day (now 21) · TOS $2.32–2.48 · $142/day · loss $7.30/order full price, $12.15 deal</t>
        </is>
      </c>
    </row>
    <row r="4">
      <c r="A4" s="2" t="inlineStr">
        <is>
          <t>512077609025515</t>
        </is>
      </c>
      <c r="B4" s="2" t="inlineStr">
        <is>
          <t>DECOLURE - SATIN 4 - LTSF Campaign</t>
        </is>
      </c>
      <c r="C4" s="2" t="inlineStr">
        <is>
          <t>Auto: close-match; loose-match; substitutes</t>
        </is>
      </c>
      <c r="D4" s="2" t="inlineStr">
        <is>
          <t>whole campaign</t>
        </is>
      </c>
      <c r="E4" s="2" t="inlineStr">
        <is>
          <t>ENABLED</t>
        </is>
      </c>
      <c r="F4" s="2" t="inlineStr">
        <is>
          <t>Liquidation</t>
        </is>
      </c>
      <c r="G4" s="2" t="inlineStr">
        <is>
          <t>Liquidation</t>
        </is>
      </c>
      <c r="H4" s="2" t="n"/>
      <c r="I4" s="2" t="inlineStr">
        <is>
          <t>Auto</t>
        </is>
      </c>
      <c r="J4" s="2" t="inlineStr">
        <is>
          <t>SATIN-FULL-PURPLE</t>
        </is>
      </c>
      <c r="K4" s="2" t="inlineStr">
        <is>
          <t>SATIN-FULL-PURPLE</t>
        </is>
      </c>
      <c r="L4" s="2" t="inlineStr">
        <is>
          <t>n/a (no target bid in audit)</t>
        </is>
      </c>
      <c r="M4" s="2" t="inlineStr">
        <is>
          <t>n/a</t>
        </is>
      </c>
      <c r="N4" s="2" t="n">
        <v>0</v>
      </c>
      <c r="O4" s="2" t="n">
        <v>0</v>
      </c>
      <c r="P4" s="21" t="n"/>
      <c r="Q4" s="21" t="n"/>
      <c r="R4" s="2" t="n"/>
      <c r="S4" s="2" t="n"/>
      <c r="T4" s="2" t="n"/>
      <c r="U4" s="2" t="n"/>
      <c r="V4" s="21" t="n">
        <v>50</v>
      </c>
      <c r="W4" s="21" t="n">
        <v>50</v>
      </c>
      <c r="X4" s="2" t="inlineStr">
        <is>
          <t>ENABLED</t>
        </is>
      </c>
      <c r="Y4" s="2" t="inlineStr">
        <is>
          <t>add 13 negatives (seq 2266) · add negative exact: satin sheets full; silk sheets twin; king satin sheets; silk bed sheets queen; silk bed sheets; satin sheets queen; queen satin sheet set; king size satin sheets</t>
        </is>
      </c>
      <c r="Z4" s="2" t="inlineStr">
        <is>
          <t>none</t>
        </is>
      </c>
      <c r="AA4" s="21" t="n">
        <v>787.5</v>
      </c>
      <c r="AB4" s="2" t="n">
        <v>1438</v>
      </c>
      <c r="AC4" s="2" t="n">
        <v>86</v>
      </c>
      <c r="AD4" s="2" t="n">
        <v>29.2</v>
      </c>
      <c r="AE4" s="2" t="n">
        <v>3.27</v>
      </c>
      <c r="AF4" s="2" t="n">
        <v>27.68</v>
      </c>
      <c r="AG4" s="2" t="n">
        <v>220</v>
      </c>
      <c r="AH4" s="2" t="inlineStr">
        <is>
          <t>Negatives only</t>
        </is>
      </c>
      <c r="AI4" s="22" t="inlineStr">
        <is>
          <t>Add negatives</t>
        </is>
      </c>
      <c r="AJ4" s="22" t="inlineStr">
        <is>
          <t>Negative rows agreed with review 40 (add 13 negatives (seq 2266)); 29.2% ACoS on 86 orders / 1438 clicks (CC 31 Aug–29 Sep).</t>
        </is>
      </c>
      <c r="AK4" s="2" t="inlineStr">
        <is>
          <t>seq 2266 negatives: agree with review 40</t>
        </is>
      </c>
      <c r="AL4" s="22" t="n"/>
    </row>
    <row r="5">
      <c r="A5" s="2" t="inlineStr">
        <is>
          <t>414850094869263</t>
        </is>
      </c>
      <c r="B5" s="2" t="inlineStr">
        <is>
          <t>D-S4-SP-Auto-Agr-Auto-Disc-DO-SATIN-QUEEN-BLACK</t>
        </is>
      </c>
      <c r="C5" s="2" t="inlineStr">
        <is>
          <t>complements [auto, $0.70]; substitutes [auto, $0.79]</t>
        </is>
      </c>
      <c r="D5" s="2" t="inlineStr">
        <is>
          <t>all enabled targets: complements; substitutes</t>
        </is>
      </c>
      <c r="E5" s="2" t="inlineStr">
        <is>
          <t>ENABLED</t>
        </is>
      </c>
      <c r="F5" s="2" t="inlineStr">
        <is>
          <t>Discovery</t>
        </is>
      </c>
      <c r="G5" s="2" t="inlineStr">
        <is>
          <t>Discovery</t>
        </is>
      </c>
      <c r="H5" s="2" t="n"/>
      <c r="I5" s="2" t="inlineStr">
        <is>
          <t>Auto</t>
        </is>
      </c>
      <c r="J5" s="2" t="inlineStr">
        <is>
          <t>SATIN-QUEEN-BLACK</t>
        </is>
      </c>
      <c r="K5" s="2" t="inlineStr">
        <is>
          <t>SATIN-QUEEN-BLACK</t>
        </is>
      </c>
      <c r="L5" s="2" t="inlineStr">
        <is>
          <t>$0.70 / $0.79</t>
        </is>
      </c>
      <c r="M5" s="2" t="inlineStr">
        <is>
          <t>$0.52 / $0.59</t>
        </is>
      </c>
      <c r="N5" s="2" t="n">
        <v>0</v>
      </c>
      <c r="O5" s="2" t="n">
        <v>0</v>
      </c>
      <c r="P5" s="21" t="n">
        <v>0.7</v>
      </c>
      <c r="Q5" s="21" t="n">
        <v>0.52</v>
      </c>
      <c r="R5" s="2" t="n"/>
      <c r="S5" s="2" t="n"/>
      <c r="T5" s="2" t="n"/>
      <c r="U5" s="2" t="n"/>
      <c r="V5" s="21" t="n">
        <v>40</v>
      </c>
      <c r="W5" s="21" t="n">
        <v>40</v>
      </c>
      <c r="X5" s="2" t="inlineStr">
        <is>
          <t>ENABLED</t>
        </is>
      </c>
      <c r="Y5" s="2" t="inlineStr">
        <is>
          <t>hold seq 1788 (terms not named); add 9 negatives (seq 2269) · add negative exact: satin sheets full; silk bed sheets; silk bed sheets full · negative product target B0839MKJMV</t>
        </is>
      </c>
      <c r="Z5" s="2" t="inlineStr">
        <is>
          <t>load (clean): DSS4-SP-Auto-(AUTO)-Auto-(Discovery)-DO-SATIN-QUEEN-BLACK</t>
        </is>
      </c>
      <c r="AA5" s="21" t="n">
        <v>687.9299999999999</v>
      </c>
      <c r="AB5" s="2" t="n">
        <v>801</v>
      </c>
      <c r="AC5" s="2" t="n">
        <v>53</v>
      </c>
      <c r="AD5" s="2" t="n">
        <v>43.3</v>
      </c>
      <c r="AE5" s="2" t="n">
        <v>4.74</v>
      </c>
      <c r="AF5" s="2" t="n">
        <v>15.48</v>
      </c>
      <c r="AG5" s="2" t="n">
        <v>214</v>
      </c>
      <c r="AH5" s="2" t="inlineStr">
        <is>
          <t>Release hold + price to break-even</t>
        </is>
      </c>
      <c r="AI5" s="22" t="inlineStr">
        <is>
          <t>Release hold; cut base $0.70 / $0.79 → $0.52 / $0.59</t>
        </is>
      </c>
      <c r="AJ5" s="22" t="inlineStr">
        <is>
          <t>43.3% ACoS, 53 orders on 801 clicks (CC 31 Aug–29 Sep) vs Queen Black break-even 17.8%; BE base = $5.03 contribution (Queen Black) × 6.6% CVR = $0.33; cap 25% cut.</t>
        </is>
      </c>
      <c r="AK5" s="2" t="inlineStr">
        <is>
          <t>seq 1788 negatives: flag: unverifiable; seq 2269 negatives: agree with review 40; seq 2871 rename LOAD; seq 1719,1720 NOT SERVING hold(s) → release; price to break-even (our addition, reviewer D)</t>
        </is>
      </c>
      <c r="AL5" s="22" t="n"/>
    </row>
    <row r="6">
      <c r="A6" s="2" t="inlineStr">
        <is>
          <t>379276084224195</t>
        </is>
      </c>
      <c r="B6" s="2" t="inlineStr">
        <is>
          <t>Decolure_SP_Exact_PAT_Defensive</t>
        </is>
      </c>
      <c r="C6" s="2" t="inlineStr">
        <is>
          <t>Product targets: B0839KG4VY; B0839L4HWH; B0839L5PDJ +530 more targets</t>
        </is>
      </c>
      <c r="D6" s="2" t="inlineStr">
        <is>
          <t>—</t>
        </is>
      </c>
      <c r="E6" s="2" t="inlineStr">
        <is>
          <t>ENABLED</t>
        </is>
      </c>
      <c r="F6" s="2" t="inlineStr">
        <is>
          <t>Defensive</t>
        </is>
      </c>
      <c r="G6" s="2" t="inlineStr">
        <is>
          <t>Defensive</t>
        </is>
      </c>
      <c r="H6" s="2" t="n"/>
      <c r="I6" s="2" t="inlineStr">
        <is>
          <t>ASIN</t>
        </is>
      </c>
      <c r="J6" s="2" t="inlineStr">
        <is>
          <t>SATIN-QUEEN-BLACK</t>
        </is>
      </c>
      <c r="K6" s="2" t="inlineStr">
        <is>
          <t>SATIN-QUEEN-BLACK</t>
        </is>
      </c>
      <c r="L6" s="2" t="inlineStr">
        <is>
          <t>n/a (no target bid in audit)</t>
        </is>
      </c>
      <c r="M6" s="2" t="inlineStr">
        <is>
          <t>n/a</t>
        </is>
      </c>
      <c r="N6" s="2" t="n">
        <v>0</v>
      </c>
      <c r="O6" s="2" t="n">
        <v>0</v>
      </c>
      <c r="P6" s="21" t="n"/>
      <c r="Q6" s="21" t="n"/>
      <c r="R6" s="2" t="n"/>
      <c r="S6" s="2" t="n"/>
      <c r="T6" s="2" t="n"/>
      <c r="U6" s="2" t="n"/>
      <c r="V6" s="21" t="n">
        <v>48.46</v>
      </c>
      <c r="W6" s="21" t="n">
        <v>48.46</v>
      </c>
      <c r="X6" s="2" t="inlineStr">
        <is>
          <t>ENABLED</t>
        </is>
      </c>
      <c r="Y6" s="2" t="inlineStr">
        <is>
          <t>none</t>
        </is>
      </c>
      <c r="Z6" s="2" t="inlineStr">
        <is>
          <t>none</t>
        </is>
      </c>
      <c r="AA6" s="21" t="n">
        <v>674.61</v>
      </c>
      <c r="AB6" s="2" t="n">
        <v>843</v>
      </c>
      <c r="AC6" s="2" t="n">
        <v>99</v>
      </c>
      <c r="AD6" s="2" t="n">
        <v>20.6</v>
      </c>
      <c r="AE6" s="2" t="n">
        <v>2.49</v>
      </c>
      <c r="AF6" s="2" t="n">
        <v>84.45999999999999</v>
      </c>
      <c r="AG6" s="2" t="n">
        <v>403</v>
      </c>
      <c r="AH6" s="2" t="inlineStr">
        <is>
          <t>No change</t>
        </is>
      </c>
      <c r="AI6" s="22" t="inlineStr">
        <is>
          <t>No change</t>
        </is>
      </c>
      <c r="AJ6" s="22" t="inlineStr">
        <is>
          <t>No run decision and no issue found; 20.6% ACoS on 99 orders / 843 clicks (CC 31 Aug–29 Sep).</t>
        </is>
      </c>
      <c r="AK6" s="2" t="inlineStr">
        <is>
          <t>no run decision</t>
        </is>
      </c>
      <c r="AL6" s="22" t="n"/>
    </row>
    <row r="7">
      <c r="A7" s="2" t="inlineStr">
        <is>
          <t>265771609218691</t>
        </is>
      </c>
      <c r="B7" s="23" t="inlineStr">
        <is>
          <t>D-S4-king silk sheet set - [Silk|King] - Exact - Ran - DO - SATIN-4PC-KING-GREY</t>
        </is>
      </c>
      <c r="C7" s="2" t="inlineStr">
        <is>
          <t>king silk sheet set [exact, $2.75, 170 clicks]</t>
        </is>
      </c>
      <c r="D7" s="23" t="inlineStr">
        <is>
          <t>king silk sheet set (buys the search term: king size silk sheets set)</t>
        </is>
      </c>
      <c r="E7" s="2" t="inlineStr">
        <is>
          <t>ENABLED</t>
        </is>
      </c>
      <c r="F7" s="2" t="inlineStr">
        <is>
          <t>Ranking</t>
        </is>
      </c>
      <c r="G7" s="2" t="inlineStr">
        <is>
          <t>Ranking</t>
        </is>
      </c>
      <c r="H7" s="2" t="inlineStr">
        <is>
          <t>OUT</t>
        </is>
      </c>
      <c r="I7" s="2" t="inlineStr">
        <is>
          <t>Exact</t>
        </is>
      </c>
      <c r="J7" s="2" t="inlineStr">
        <is>
          <t>SATIN-4PC-KING-GREY</t>
        </is>
      </c>
      <c r="K7" s="2" t="inlineStr">
        <is>
          <t>SATIN-4PC-KING-GREY</t>
        </is>
      </c>
      <c r="L7" s="2" t="inlineStr">
        <is>
          <t>$2.75</t>
        </is>
      </c>
      <c r="M7" s="2" t="inlineStr">
        <is>
          <t>$2.07</t>
        </is>
      </c>
      <c r="N7" s="2" t="n">
        <v>100</v>
      </c>
      <c r="O7" s="2" t="n">
        <v>100</v>
      </c>
      <c r="P7" s="21" t="n">
        <v>5.5</v>
      </c>
      <c r="Q7" s="21" t="n">
        <v>4.14</v>
      </c>
      <c r="R7" s="2" t="n">
        <v>0</v>
      </c>
      <c r="S7" s="2" t="n">
        <v>0</v>
      </c>
      <c r="T7" s="2" t="n">
        <v>30</v>
      </c>
      <c r="U7" s="2" t="n">
        <v>0</v>
      </c>
      <c r="V7" s="21" t="n">
        <v>30</v>
      </c>
      <c r="W7" s="21" t="n">
        <v>30</v>
      </c>
      <c r="X7" s="2" t="inlineStr">
        <is>
          <t>ENABLED</t>
        </is>
      </c>
      <c r="Y7" s="2" t="inlineStr">
        <is>
          <t>none</t>
        </is>
      </c>
      <c r="Z7" s="2" t="inlineStr">
        <is>
          <t>load (clean): DSS4-SP-King Silk Sheet Set-[Silk|King]-(LSV)-Exact-(Ranking)-DO-SATIN-4PC-KING-GREY</t>
        </is>
      </c>
      <c r="AA7" s="21" t="n">
        <v>614.8</v>
      </c>
      <c r="AB7" s="2" t="n">
        <v>170</v>
      </c>
      <c r="AC7" s="2" t="n">
        <v>32</v>
      </c>
      <c r="AD7" s="2" t="n">
        <v>58.4</v>
      </c>
      <c r="AE7" s="2" t="n">
        <v>89.41</v>
      </c>
      <c r="AF7" s="2" t="n">
        <v>0</v>
      </c>
      <c r="AG7" s="2" t="n">
        <v>71</v>
      </c>
      <c r="AH7" s="2" t="inlineStr">
        <is>
          <t>Ranking push</t>
        </is>
      </c>
      <c r="AI7" s="24" t="inlineStr">
        <is>
          <t>PUSH-SMALL king size silk sheets set (10 → 3): cut base 25% ($2.75 → $2.07), TOS $5.50 → $4.14 (the market bound is $4.06); ROS 30% → 0%; budget $30</t>
        </is>
      </c>
      <c r="AJ7" s="22" t="inlineStr">
        <is>
          <t>58.4% ACoS (CC 31 Aug–29 Sep, 32 orders / 170 clicks) on King Grey, break-even ≈15%.</t>
        </is>
      </c>
      <c r="AK7" s="2" t="inlineStr">
        <is>
          <t>seq 15 ros: agree with review 40; seq 2869 rename LOAD; seq 16 bid hold → load (correct: load it)</t>
        </is>
      </c>
      <c r="AL7" s="24" t="inlineStr">
        <is>
          <t>PUSH-SMALL · score 64 · 3.7 TOS clicks/day · TOS ≈$4.06–4.14 · $15/day · loss $14.10/order full price, $19.12 deal</t>
        </is>
      </c>
    </row>
    <row r="8">
      <c r="A8" s="2" t="inlineStr">
        <is>
          <t>96870561028328</t>
        </is>
      </c>
      <c r="B8" s="2" t="inlineStr">
        <is>
          <t>D-S4-king size silk sheets - [Silk|King] - Exact - Ran - DO - SATIN-4PC-KING-GREY</t>
        </is>
      </c>
      <c r="C8" s="2" t="inlineStr">
        <is>
          <t>king size silk sheets [exact, $2.30, 161 clicks]</t>
        </is>
      </c>
      <c r="D8" s="2" t="inlineStr">
        <is>
          <t>king size silk sheets</t>
        </is>
      </c>
      <c r="E8" s="2" t="inlineStr">
        <is>
          <t>ENABLED</t>
        </is>
      </c>
      <c r="F8" s="2" t="inlineStr">
        <is>
          <t>Ranking</t>
        </is>
      </c>
      <c r="G8" s="2" t="inlineStr">
        <is>
          <t>Ranking</t>
        </is>
      </c>
      <c r="H8" s="2" t="inlineStr">
        <is>
          <t>OUT</t>
        </is>
      </c>
      <c r="I8" s="2" t="inlineStr">
        <is>
          <t>Exact</t>
        </is>
      </c>
      <c r="J8" s="2" t="inlineStr">
        <is>
          <t>SATIN-4PC-KING-GREY</t>
        </is>
      </c>
      <c r="K8" s="2" t="inlineStr">
        <is>
          <t>SATIN-4PC-KING-GREY</t>
        </is>
      </c>
      <c r="L8" s="2" t="inlineStr">
        <is>
          <t>$2.30</t>
        </is>
      </c>
      <c r="M8" s="2" t="inlineStr">
        <is>
          <t>$1.73</t>
        </is>
      </c>
      <c r="N8" s="2" t="n">
        <v>100</v>
      </c>
      <c r="O8" s="2" t="n">
        <v>100</v>
      </c>
      <c r="P8" s="21" t="n">
        <v>4.6</v>
      </c>
      <c r="Q8" s="21" t="n">
        <v>3.46</v>
      </c>
      <c r="R8" s="2" t="n">
        <v>0</v>
      </c>
      <c r="S8" s="2" t="n">
        <v>0</v>
      </c>
      <c r="T8" s="2" t="n">
        <v>0</v>
      </c>
      <c r="U8" s="2" t="n">
        <v>0</v>
      </c>
      <c r="V8" s="21" t="n">
        <v>23.28</v>
      </c>
      <c r="W8" s="21" t="n">
        <v>14.67</v>
      </c>
      <c r="X8" s="2" t="inlineStr">
        <is>
          <t>ENABLED</t>
        </is>
      </c>
      <c r="Y8" s="2" t="inlineStr">
        <is>
          <t>none</t>
        </is>
      </c>
      <c r="Z8" s="2" t="inlineStr">
        <is>
          <t>load (clean): DSS4-SP-King Size Silk Sheets-[Silk|King]-(LSV)-Exact-(Ranking)-DO-SATIN-4PC-KING-GREY</t>
        </is>
      </c>
      <c r="AA8" s="21" t="n">
        <v>545.8099999999999</v>
      </c>
      <c r="AB8" s="2" t="n">
        <v>161</v>
      </c>
      <c r="AC8" s="2" t="n">
        <v>23</v>
      </c>
      <c r="AD8" s="2" t="n">
        <v>71.2</v>
      </c>
      <c r="AE8" s="2" t="n">
        <v>76.40000000000001</v>
      </c>
      <c r="AF8" s="2" t="n">
        <v>13.66</v>
      </c>
      <c r="AG8" s="2" t="n">
        <v>46</v>
      </c>
      <c r="AH8" s="2" t="inlineStr">
        <is>
          <t>Price cut</t>
        </is>
      </c>
      <c r="AI8" s="22" t="inlineStr">
        <is>
          <t>Cut base 25% ($2.30 → $1.73); Budget $23.28 → $14.67</t>
        </is>
      </c>
      <c r="AJ8" s="22" t="inlineStr">
        <is>
          <t>71.2% ACoS (CC 30d). The cut fails only because of an engine defect.</t>
        </is>
      </c>
      <c r="AK8" s="2" t="inlineStr">
        <is>
          <t>seq 17 budget: agree with review 40; seq 18 tos: correct: drop the no-move row 18, load 21; seq 21 bid: pass: load alone; seq 2872 rename LOAD</t>
        </is>
      </c>
      <c r="AL8" s="22" t="n"/>
    </row>
    <row r="9">
      <c r="A9" s="2" t="inlineStr">
        <is>
          <t>103662305423437</t>
        </is>
      </c>
      <c r="B9" s="2" t="inlineStr">
        <is>
          <t>D-S4-SP-satin sheets queen-(Satin)-HSV-Broad-Disc-DO-SATIN-QUEEN-GREY</t>
        </is>
      </c>
      <c r="C9" s="2" t="inlineStr">
        <is>
          <t>satin sheets queen [broad, $1.30]; satin sheets queen [broad, $1.36]</t>
        </is>
      </c>
      <c r="D9" s="2" t="inlineStr">
        <is>
          <t>satin sheets queen</t>
        </is>
      </c>
      <c r="E9" s="2" t="inlineStr">
        <is>
          <t>ENABLED</t>
        </is>
      </c>
      <c r="F9" s="2" t="inlineStr">
        <is>
          <t>Discovery</t>
        </is>
      </c>
      <c r="G9" s="2" t="inlineStr">
        <is>
          <t>Discovery</t>
        </is>
      </c>
      <c r="H9" s="2" t="n"/>
      <c r="I9" s="2" t="inlineStr">
        <is>
          <t>Broad</t>
        </is>
      </c>
      <c r="J9" s="2" t="inlineStr">
        <is>
          <t>SATIN-QUEEN-BLACK</t>
        </is>
      </c>
      <c r="K9" s="2" t="inlineStr">
        <is>
          <t>SATIN-QUEEN-BLACK</t>
        </is>
      </c>
      <c r="L9" s="2" t="inlineStr">
        <is>
          <t>$1.30</t>
        </is>
      </c>
      <c r="M9" s="2" t="inlineStr">
        <is>
          <t>$0.98</t>
        </is>
      </c>
      <c r="N9" s="2" t="n">
        <v>25</v>
      </c>
      <c r="O9" s="2" t="n">
        <v>25</v>
      </c>
      <c r="P9" s="21" t="n">
        <v>1.62</v>
      </c>
      <c r="Q9" s="21" t="n">
        <v>1.23</v>
      </c>
      <c r="R9" s="2" t="n"/>
      <c r="S9" s="2" t="n"/>
      <c r="T9" s="2" t="n"/>
      <c r="U9" s="2" t="n"/>
      <c r="V9" s="21" t="n">
        <v>20</v>
      </c>
      <c r="W9" s="21" t="n">
        <v>20</v>
      </c>
      <c r="X9" s="2" t="inlineStr">
        <is>
          <t>ENABLED</t>
        </is>
      </c>
      <c r="Y9" s="2" t="inlineStr">
        <is>
          <t>add 5 negatives (seq 2259) · add negative exact: black satin sheets; silk bed sheets; king size satin sheets; queen satin sheet set; silk queen bed sheets set; satin bed sheets full; silk sheets full size</t>
        </is>
      </c>
      <c r="Z9" s="2" t="inlineStr">
        <is>
          <t>none</t>
        </is>
      </c>
      <c r="AA9" s="21" t="n">
        <v>505.75</v>
      </c>
      <c r="AB9" s="2" t="n">
        <v>331</v>
      </c>
      <c r="AC9" s="2" t="n">
        <v>48</v>
      </c>
      <c r="AD9" s="2" t="n">
        <v>33.8</v>
      </c>
      <c r="AE9" s="2" t="n">
        <v>47.43</v>
      </c>
      <c r="AF9" s="2" t="n">
        <v>16.62</v>
      </c>
      <c r="AG9" s="2" t="n">
        <v>214</v>
      </c>
      <c r="AH9" s="2" t="inlineStr">
        <is>
          <t>Release hold + price to break-even</t>
        </is>
      </c>
      <c r="AI9" s="22" t="inlineStr">
        <is>
          <t>Release hold; cut base $1.30 → $0.98; Keep enabled (fold held)</t>
        </is>
      </c>
      <c r="AJ9" s="22" t="inlineStr">
        <is>
          <t>33.8% ACoS on 48 orders / 331 clicks (CC 31 Aug–29 Sep). The survivors are smaller (e.g. 2849: 215 orders folded into a 14-order survivor, 90d). 2857 repeats review 28's 2868.</t>
        </is>
      </c>
      <c r="AK9" s="2" t="inlineStr">
        <is>
          <t>seq 2259 negatives: agree with review 40; seq 2849 structure: hold (agree); seq 1717,1971 NOT SERVING hold(s) → release; price to break-even (our addition, reviewer D)</t>
        </is>
      </c>
      <c r="AL9" s="22" t="n"/>
    </row>
    <row r="10">
      <c r="A10" s="2" t="inlineStr">
        <is>
          <t>82540637405662</t>
        </is>
      </c>
      <c r="B10" s="23" t="inlineStr">
        <is>
          <t>D-S4-satin sheets full size - [Satin|Full] - Exact - Ran - DO - SATIN-FULL-BLACK</t>
        </is>
      </c>
      <c r="C10" s="2" t="inlineStr">
        <is>
          <t>satin sheets full size [exact, $1.13, 138 clicks]</t>
        </is>
      </c>
      <c r="D10" s="23" t="inlineStr">
        <is>
          <t>satin sheets full size (buys the search term: satin sheets full)</t>
        </is>
      </c>
      <c r="E10" s="2" t="inlineStr">
        <is>
          <t>ENABLED</t>
        </is>
      </c>
      <c r="F10" s="2" t="inlineStr">
        <is>
          <t>Ranking</t>
        </is>
      </c>
      <c r="G10" s="2" t="inlineStr">
        <is>
          <t>Ranking</t>
        </is>
      </c>
      <c r="H10" s="2" t="inlineStr">
        <is>
          <t>OUT</t>
        </is>
      </c>
      <c r="I10" s="2" t="inlineStr">
        <is>
          <t>Exact</t>
        </is>
      </c>
      <c r="J10" s="2" t="inlineStr">
        <is>
          <t>SATIN-FULL-BLACK</t>
        </is>
      </c>
      <c r="K10" s="2" t="inlineStr">
        <is>
          <t>SATIN-FULL-BLACK</t>
        </is>
      </c>
      <c r="L10" s="2" t="inlineStr">
        <is>
          <t>$1.13</t>
        </is>
      </c>
      <c r="M10" s="2" t="inlineStr">
        <is>
          <t>$1.13</t>
        </is>
      </c>
      <c r="N10" s="2" t="n">
        <v>230</v>
      </c>
      <c r="O10" s="2" t="n">
        <v>230</v>
      </c>
      <c r="P10" s="21" t="n">
        <v>3.73</v>
      </c>
      <c r="Q10" s="21" t="n">
        <v>3.73</v>
      </c>
      <c r="R10" s="2" t="n">
        <v>0</v>
      </c>
      <c r="S10" s="2" t="n">
        <v>0</v>
      </c>
      <c r="T10" s="2" t="n">
        <v>0</v>
      </c>
      <c r="U10" s="2" t="n">
        <v>0</v>
      </c>
      <c r="V10" s="21" t="n">
        <v>30</v>
      </c>
      <c r="W10" s="21" t="n">
        <v>30</v>
      </c>
      <c r="X10" s="2" t="inlineStr">
        <is>
          <t>ENABLED</t>
        </is>
      </c>
      <c r="Y10" s="2" t="inlineStr">
        <is>
          <t>none</t>
        </is>
      </c>
      <c r="Z10" s="2" t="inlineStr">
        <is>
          <t>defer — engine name wrong (SKU token SATIN-FULL-BLACK); load a corrected name after 28 Oct</t>
        </is>
      </c>
      <c r="AA10" s="21" t="n">
        <v>445.56</v>
      </c>
      <c r="AB10" s="2" t="n">
        <v>138</v>
      </c>
      <c r="AC10" s="2" t="n">
        <v>45</v>
      </c>
      <c r="AD10" s="2" t="n">
        <v>33.2</v>
      </c>
      <c r="AE10" s="2" t="n">
        <v>99.28</v>
      </c>
      <c r="AF10" s="2" t="n">
        <v>0.72</v>
      </c>
      <c r="AG10" s="2" t="n">
        <v>65</v>
      </c>
      <c r="AH10" s="2" t="inlineStr">
        <is>
          <t>Ranking push</t>
        </is>
      </c>
      <c r="AI10" s="24" t="inlineStr">
        <is>
          <t>PUSH satin sheets full (4 → 3): hold base $1.13 and TOS $3.73 (+230%, at the market bound); budget $30; target 8.0 TOS clicks/day (now 3.9)</t>
        </is>
      </c>
      <c r="AJ10" s="22" t="inlineStr">
        <is>
          <t>Engine swap SATIN-FULL-BLACK → SATIN-4PCS-FULL-ROSEWOOD rejected: the pick comes from the broken size map, and SATIN-FULL-BLACK is the size's best seller with cover (SB 30 Aug–29 Sep); the engine rename writes a wrong token and is deferred; 33.2% ACoS on 45 orders / 138 clicks (CC 31 Aug–29 Sep).</t>
        </is>
      </c>
      <c r="AK10" s="2" t="inlineStr">
        <is>
          <t>seq 1800 child: reject — keep SATIN-FULL-BLACK; seq 2873 rename CHANGE</t>
        </is>
      </c>
      <c r="AL10" s="24" t="inlineStr">
        <is>
          <t>PUSH · score 82 · 8.0 TOS clicks/day (now 3.9) · TOS $3.73 (market bound $3.69) · $30/day · 1.9 orders/day · loss $7.19/order full price, $11.66 deal</t>
        </is>
      </c>
    </row>
    <row r="11">
      <c r="A11" s="2" t="inlineStr">
        <is>
          <t>274586208953923</t>
        </is>
      </c>
      <c r="B11" s="2" t="inlineStr">
        <is>
          <t>D-S4-king satin sheets - [Satin|King] - Exact - Ran - DO - SATIN-4PC-KING-GREY</t>
        </is>
      </c>
      <c r="C11" s="2" t="inlineStr">
        <is>
          <t>king satin sheets [exact]</t>
        </is>
      </c>
      <c r="D11" s="2" t="inlineStr">
        <is>
          <t>king satin sheets</t>
        </is>
      </c>
      <c r="E11" s="2" t="inlineStr">
        <is>
          <t>ENABLED</t>
        </is>
      </c>
      <c r="F11" s="2" t="inlineStr">
        <is>
          <t>Ranking</t>
        </is>
      </c>
      <c r="G11" s="2" t="inlineStr">
        <is>
          <t>Ranking</t>
        </is>
      </c>
      <c r="H11" s="2" t="inlineStr">
        <is>
          <t>Satin|King</t>
        </is>
      </c>
      <c r="I11" s="2" t="inlineStr">
        <is>
          <t>Exact</t>
        </is>
      </c>
      <c r="J11" s="2" t="inlineStr">
        <is>
          <t>SATIN-4PC-KING-GREY</t>
        </is>
      </c>
      <c r="K11" s="2" t="inlineStr">
        <is>
          <t>SATIN-4PC-KING-GREY</t>
        </is>
      </c>
      <c r="L11" s="2" t="inlineStr">
        <is>
          <t>$2.00</t>
        </is>
      </c>
      <c r="M11" s="2" t="inlineStr">
        <is>
          <t>$1.50</t>
        </is>
      </c>
      <c r="N11" s="2" t="n">
        <v>44</v>
      </c>
      <c r="O11" s="2" t="n">
        <v>73</v>
      </c>
      <c r="P11" s="21" t="n">
        <v>2.88</v>
      </c>
      <c r="Q11" s="21" t="n">
        <v>2.59</v>
      </c>
      <c r="R11" s="2" t="n"/>
      <c r="S11" s="2" t="n"/>
      <c r="T11" s="2" t="n"/>
      <c r="U11" s="2" t="n">
        <v>0</v>
      </c>
      <c r="V11" s="21" t="n">
        <v>20.42</v>
      </c>
      <c r="W11" s="21" t="n">
        <v>20.42</v>
      </c>
      <c r="X11" s="2" t="inlineStr">
        <is>
          <t>ENABLED</t>
        </is>
      </c>
      <c r="Y11" s="2" t="inlineStr">
        <is>
          <t>none</t>
        </is>
      </c>
      <c r="Z11" s="2" t="inlineStr">
        <is>
          <t>load (clean): DSS4-SP-King Satin Sheets-[Satin|King]-(LSV)-Exact-(Ranking)-DO-SATIN-4PC-KING-GREY</t>
        </is>
      </c>
      <c r="AA11" s="21" t="n">
        <v>395.83</v>
      </c>
      <c r="AB11" s="2" t="n">
        <v>169</v>
      </c>
      <c r="AC11" s="2" t="n">
        <v>25</v>
      </c>
      <c r="AD11" s="2" t="n">
        <v>48.7</v>
      </c>
      <c r="AE11" s="2" t="n">
        <v>55.62</v>
      </c>
      <c r="AF11" s="2" t="n">
        <v>37.28</v>
      </c>
      <c r="AG11" s="2" t="n">
        <v>58</v>
      </c>
      <c r="AH11" s="2" t="inlineStr">
        <is>
          <t>Mix fix + price cut</t>
        </is>
      </c>
      <c r="AI11" s="22" t="inlineStr">
        <is>
          <t>Mix fix in one write: base $2.00 → $1.50, boost → 73% (top of search $2.88 → $2.59); 48.7% ACoS vs King Grey 18.9% break-even at full price; product pages 37% of clicks</t>
        </is>
      </c>
      <c r="AJ11" s="22" t="inlineStr">
        <is>
          <t>Clean rename (SKU token and objective match what the campaign advertises); 48.7% ACoS on 25 orders / 169 clicks (CC 31 Aug–29 Sep). Note: above break-even with no pricing row in the run; price at the next cycle unless it is chosen for the ranking push.</t>
        </is>
      </c>
      <c r="AK11" s="2" t="inlineStr">
        <is>
          <t>seq 2071 retag LOAD; seq 2876 rename LOAD</t>
        </is>
      </c>
      <c r="AL11" s="22" t="n"/>
    </row>
    <row r="12">
      <c r="A12" s="2" t="inlineStr">
        <is>
          <t>33389871513217</t>
        </is>
      </c>
      <c r="B12" s="23" t="inlineStr">
        <is>
          <t>D-S4-satin sheets king - [Satin|King] - Exact - Ran - DO - SATIN-4PC-KING-GREY</t>
        </is>
      </c>
      <c r="C12" s="2" t="inlineStr">
        <is>
          <t>satin sheets king [exact, $1.27, 153 clicks]</t>
        </is>
      </c>
      <c r="D12" s="23" t="inlineStr">
        <is>
          <t>satin sheets king</t>
        </is>
      </c>
      <c r="E12" s="2" t="inlineStr">
        <is>
          <t>ENABLED</t>
        </is>
      </c>
      <c r="F12" s="2" t="inlineStr">
        <is>
          <t>Ranking</t>
        </is>
      </c>
      <c r="G12" s="2" t="inlineStr">
        <is>
          <t>Ranking</t>
        </is>
      </c>
      <c r="H12" s="2" t="inlineStr">
        <is>
          <t>Satin|King</t>
        </is>
      </c>
      <c r="I12" s="2" t="inlineStr">
        <is>
          <t>Exact</t>
        </is>
      </c>
      <c r="J12" s="2" t="inlineStr">
        <is>
          <t>SATIN-4PC-KING-GREY</t>
        </is>
      </c>
      <c r="K12" s="2" t="inlineStr">
        <is>
          <t>SATIN-4PC-KING-GREY</t>
        </is>
      </c>
      <c r="L12" s="2" t="inlineStr">
        <is>
          <t>$1.27</t>
        </is>
      </c>
      <c r="M12" s="2" t="inlineStr">
        <is>
          <t>$1.27</t>
        </is>
      </c>
      <c r="N12" s="2" t="n">
        <v>120</v>
      </c>
      <c r="O12" s="2" t="n">
        <v>120</v>
      </c>
      <c r="P12" s="21" t="n">
        <v>2.79</v>
      </c>
      <c r="Q12" s="21" t="n">
        <v>2.79</v>
      </c>
      <c r="R12" s="2" t="n">
        <v>0</v>
      </c>
      <c r="S12" s="2" t="n">
        <v>0</v>
      </c>
      <c r="T12" s="2" t="n">
        <v>0</v>
      </c>
      <c r="U12" s="2" t="n">
        <v>0</v>
      </c>
      <c r="V12" s="21" t="n">
        <v>15</v>
      </c>
      <c r="W12" s="21" t="n">
        <v>20</v>
      </c>
      <c r="X12" s="2" t="inlineStr">
        <is>
          <t>ENABLED</t>
        </is>
      </c>
      <c r="Y12" s="2" t="inlineStr">
        <is>
          <t>add negative exact: satin sheets king size</t>
        </is>
      </c>
      <c r="Z12" s="2" t="inlineStr">
        <is>
          <t>load (clean): DSS4-SP-Satin Sheets King-[Satin|King]-(MSV)-Exact-(Ranking)-DO-SATIN-4PC-KING-GREY</t>
        </is>
      </c>
      <c r="AA12" s="21" t="n">
        <v>359.53</v>
      </c>
      <c r="AB12" s="2" t="n">
        <v>153</v>
      </c>
      <c r="AC12" s="2" t="n">
        <v>36</v>
      </c>
      <c r="AD12" s="2" t="n">
        <v>28.3</v>
      </c>
      <c r="AE12" s="2" t="n">
        <v>84.20999999999999</v>
      </c>
      <c r="AF12" s="2" t="n">
        <v>15.13</v>
      </c>
      <c r="AG12" s="2" t="n">
        <v>51</v>
      </c>
      <c r="AH12" s="2" t="inlineStr">
        <is>
          <t>Ranking push</t>
        </is>
      </c>
      <c r="AI12" s="24" t="inlineStr">
        <is>
          <t>PUSH satin sheets king (4 → 3): reject the 10% base cut; hold base $1.27 and TOS $2.79 (+120%); budget $15 → $20; tune daily to 5.3 TOS clicks/day</t>
        </is>
      </c>
      <c r="AJ12" s="22" t="inlineStr">
        <is>
          <t>28.3% ACoS on 36 orders / 153 clicks (CC 31 Aug–29 Sep) vs King Grey break-even 15.3%; audit row loads as written (review 40 agrees).</t>
        </is>
      </c>
      <c r="AK12" s="2" t="inlineStr">
        <is>
          <t>seq 31 bid: pass (flag); seq 2879 rename LOAD</t>
        </is>
      </c>
      <c r="AL12" s="24" t="inlineStr">
        <is>
          <t>PUSH · score 83 · 5.3 TOS clicks/day (now 5.3) · TOS $2.79 · $16/day · 1.2 orders/day · loss $6.29/order full price, $11.31 deal</t>
        </is>
      </c>
    </row>
    <row r="13">
      <c r="A13" s="2" t="inlineStr">
        <is>
          <t>137973631643313</t>
        </is>
      </c>
      <c r="B13" s="23" t="inlineStr">
        <is>
          <t>D-S4-SP-EXACT-silk sheets full size-Silk|Full-SATIN-FULL-BLACK</t>
        </is>
      </c>
      <c r="C13" s="2" t="inlineStr">
        <is>
          <t>silk sheets full size [exact]</t>
        </is>
      </c>
      <c r="D13" s="23" t="inlineStr">
        <is>
          <t>silk sheets full size (buys the search term: silk sheets full)</t>
        </is>
      </c>
      <c r="E13" s="2" t="inlineStr">
        <is>
          <t>ENABLED</t>
        </is>
      </c>
      <c r="F13" s="2" t="inlineStr">
        <is>
          <t>Ranking</t>
        </is>
      </c>
      <c r="G13" s="2" t="inlineStr">
        <is>
          <t>Ranking</t>
        </is>
      </c>
      <c r="H13" s="2" t="n"/>
      <c r="I13" s="2" t="inlineStr">
        <is>
          <t>Exact</t>
        </is>
      </c>
      <c r="J13" s="2" t="inlineStr">
        <is>
          <t>SATIN-FULL-BLACK</t>
        </is>
      </c>
      <c r="K13" s="2" t="inlineStr">
        <is>
          <t>SATIN-FULL-BLACK</t>
        </is>
      </c>
      <c r="L13" s="2" t="inlineStr">
        <is>
          <t>n/a (no target bid in audit)</t>
        </is>
      </c>
      <c r="M13" s="2" t="inlineStr">
        <is>
          <t>n/a</t>
        </is>
      </c>
      <c r="N13" s="2" t="n">
        <v>50</v>
      </c>
      <c r="O13" s="2" t="n">
        <v>52</v>
      </c>
      <c r="P13" s="21" t="n"/>
      <c r="Q13" s="21" t="n">
        <v>2.6</v>
      </c>
      <c r="R13" s="2" t="n"/>
      <c r="S13" s="2" t="n"/>
      <c r="T13" s="2" t="n"/>
      <c r="U13" s="2" t="n"/>
      <c r="V13" s="21" t="n">
        <v>12</v>
      </c>
      <c r="W13" s="21" t="n">
        <v>15</v>
      </c>
      <c r="X13" s="2" t="inlineStr">
        <is>
          <t>ENABLED</t>
        </is>
      </c>
      <c r="Y13" s="2" t="inlineStr">
        <is>
          <t>hold seq 2775 (held)</t>
        </is>
      </c>
      <c r="Z13" s="2" t="inlineStr">
        <is>
          <t>none</t>
        </is>
      </c>
      <c r="AA13" s="21" t="n">
        <v>348.4</v>
      </c>
      <c r="AB13" s="2" t="n">
        <v>146</v>
      </c>
      <c r="AC13" s="2" t="n">
        <v>37</v>
      </c>
      <c r="AD13" s="2" t="n">
        <v>31.8</v>
      </c>
      <c r="AE13" s="2" t="n">
        <v>80.81999999999999</v>
      </c>
      <c r="AF13" s="2" t="n">
        <v>8.9</v>
      </c>
      <c r="AG13" s="2" t="n">
        <v>42</v>
      </c>
      <c r="AH13" s="2" t="inlineStr">
        <is>
          <t>Ranking push</t>
        </is>
      </c>
      <c r="AI13" s="24" t="inlineStr">
        <is>
          <t>PUSH silk sheets full (5 → 3): TOS +50% → +52% (TOS $2.56 → $2.60); budget $12 → $15 (budget-capped now)</t>
        </is>
      </c>
      <c r="AJ13" s="22" t="inlineStr">
        <is>
          <t>31.8% ACoS on 37 orders / 146 clicks (CC 31 Aug–29 Sep). This pause and #2771 each name the other as the survivor, so "silk sheets full size" goes dark. Keep this campaign: 42 orders in 90d, $12.38/day.</t>
        </is>
      </c>
      <c r="AK13" s="2" t="inlineStr">
        <is>
          <t>seq 1440 state: hold; seq 2775 negatives: agree with review 40</t>
        </is>
      </c>
      <c r="AL13" s="24" t="inlineStr">
        <is>
          <t>PUSH · score 80 · 3.3 TOS clicks/day (now 2.9) · TOS $2.60 · $10/day on the term · 0.8 orders/day · loss $2.17/order full price, $6.64 deal</t>
        </is>
      </c>
    </row>
    <row r="14">
      <c r="A14" s="2" t="inlineStr">
        <is>
          <t>34079573232348</t>
        </is>
      </c>
      <c r="B14" s="2" t="inlineStr">
        <is>
          <t>D-S4-SP-BROAD-silk bedsheets-Silk-SATIN-QUEEN-GREY</t>
        </is>
      </c>
      <c r="C14" s="2" t="inlineStr">
        <is>
          <t>silk bedsheets [broad, $1.20]; silk bedsheets [broad, $1.20]</t>
        </is>
      </c>
      <c r="D14" s="2" t="inlineStr">
        <is>
          <t>whole campaign</t>
        </is>
      </c>
      <c r="E14" s="2" t="inlineStr">
        <is>
          <t>ENABLED</t>
        </is>
      </c>
      <c r="F14" s="2" t="inlineStr">
        <is>
          <t>Discovery</t>
        </is>
      </c>
      <c r="G14" s="2" t="inlineStr">
        <is>
          <t>Discovery</t>
        </is>
      </c>
      <c r="H14" s="2" t="n"/>
      <c r="I14" s="2" t="inlineStr">
        <is>
          <t>Broad</t>
        </is>
      </c>
      <c r="J14" s="2" t="inlineStr">
        <is>
          <t>SATIN-QUEEN-GREY</t>
        </is>
      </c>
      <c r="K14" s="2" t="inlineStr">
        <is>
          <t>SATIN-QUEEN-GREY</t>
        </is>
      </c>
      <c r="L14" s="2" t="inlineStr">
        <is>
          <t>$1.20</t>
        </is>
      </c>
      <c r="M14" s="2" t="inlineStr">
        <is>
          <t>$1.20</t>
        </is>
      </c>
      <c r="N14" s="2" t="n">
        <v>0</v>
      </c>
      <c r="O14" s="2" t="n">
        <v>0</v>
      </c>
      <c r="P14" s="21" t="n">
        <v>1.2</v>
      </c>
      <c r="Q14" s="21" t="n">
        <v>1.2</v>
      </c>
      <c r="R14" s="2" t="n"/>
      <c r="S14" s="2" t="n"/>
      <c r="T14" s="2" t="n"/>
      <c r="U14" s="2" t="n"/>
      <c r="V14" s="21" t="n">
        <v>15</v>
      </c>
      <c r="W14" s="21" t="n">
        <v>15</v>
      </c>
      <c r="X14" s="2" t="inlineStr">
        <is>
          <t>PAUSED</t>
        </is>
      </c>
      <c r="Y14" s="2" t="inlineStr">
        <is>
          <t>hold seq 1789 (terms not named); add 3 negatives (seq 2257)</t>
        </is>
      </c>
      <c r="Z14" s="2" t="inlineStr">
        <is>
          <t>none</t>
        </is>
      </c>
      <c r="AA14" s="21" t="n">
        <v>310.92</v>
      </c>
      <c r="AB14" s="2" t="n">
        <v>239</v>
      </c>
      <c r="AC14" s="2" t="n">
        <v>25</v>
      </c>
      <c r="AD14" s="2" t="n">
        <v>39.1</v>
      </c>
      <c r="AE14" s="2" t="n">
        <v>2.94</v>
      </c>
      <c r="AF14" s="2" t="n">
        <v>30.67</v>
      </c>
      <c r="AG14" s="2" t="n">
        <v>28</v>
      </c>
      <c r="AH14" s="2" t="inlineStr">
        <is>
          <t>Pause</t>
        </is>
      </c>
      <c r="AI14" s="22" t="inlineStr">
        <is>
          <t>Pause (seq 2856)</t>
        </is>
      </c>
      <c r="AJ14" s="22" t="inlineStr">
        <is>
          <t>39.1% ACoS on 25 orders / 239 clicks (CC 31 Aug–29 Sep). The survivor's budget is $5/day and it spent $46.20 in 14 days. It cannot absorb the loser's $205.07 in 14 days (audit spend_14d), so this is a pause of a 38.4%-ACoS broad (CC 7/2–9/29), not a merge.</t>
        </is>
      </c>
      <c r="AK14" s="2" t="inlineStr">
        <is>
          <t>seq 1789 negatives: flag: unverifiable; seq 2257 negatives: agree with review 40; seq 2856 structure: pass as a pause (flag); seq 1721 NOT SERVING hold(s) moot — campaign paused</t>
        </is>
      </c>
      <c r="AL14" s="22" t="n"/>
    </row>
    <row r="15">
      <c r="A15" s="2" t="inlineStr">
        <is>
          <t>108995710931187</t>
        </is>
      </c>
      <c r="B15" s="2" t="inlineStr">
        <is>
          <t>D-S4-silk sheets twin - [Silk|Twin] - Exact - Ran - DO - SATIN-TWIN-BLACK-NEW</t>
        </is>
      </c>
      <c r="C15" s="2" t="inlineStr">
        <is>
          <t>silk sheets twin [exact, $1.10, 97 clicks]</t>
        </is>
      </c>
      <c r="D15" s="2" t="inlineStr">
        <is>
          <t>silk sheets twin</t>
        </is>
      </c>
      <c r="E15" s="2" t="inlineStr">
        <is>
          <t>ENABLED</t>
        </is>
      </c>
      <c r="F15" s="2" t="inlineStr">
        <is>
          <t>Ranking</t>
        </is>
      </c>
      <c r="G15" s="2" t="inlineStr">
        <is>
          <t>Ranking</t>
        </is>
      </c>
      <c r="H15" s="2" t="inlineStr">
        <is>
          <t>OUT</t>
        </is>
      </c>
      <c r="I15" s="2" t="inlineStr">
        <is>
          <t>Exact</t>
        </is>
      </c>
      <c r="J15" s="2" t="inlineStr">
        <is>
          <t>SATIN-TWIN-BLACK-NEW</t>
        </is>
      </c>
      <c r="K15" s="2" t="inlineStr">
        <is>
          <t>SATIN-TWIN-BLACK-NEW</t>
        </is>
      </c>
      <c r="L15" s="2" t="inlineStr">
        <is>
          <t>$1.10</t>
        </is>
      </c>
      <c r="M15" s="2" t="inlineStr">
        <is>
          <t>$1.10</t>
        </is>
      </c>
      <c r="N15" s="2" t="n">
        <v>220</v>
      </c>
      <c r="O15" s="2" t="n">
        <v>220</v>
      </c>
      <c r="P15" s="21" t="n">
        <v>3.52</v>
      </c>
      <c r="Q15" s="21" t="n">
        <v>3.52</v>
      </c>
      <c r="R15" s="2" t="n">
        <v>0</v>
      </c>
      <c r="S15" s="2" t="n">
        <v>0</v>
      </c>
      <c r="T15" s="2" t="n">
        <v>30</v>
      </c>
      <c r="U15" s="2" t="n">
        <v>0</v>
      </c>
      <c r="V15" s="21" t="n">
        <v>16</v>
      </c>
      <c r="W15" s="21" t="n">
        <v>16</v>
      </c>
      <c r="X15" s="2" t="inlineStr">
        <is>
          <t>ENABLED</t>
        </is>
      </c>
      <c r="Y15" s="2" t="inlineStr">
        <is>
          <t>none</t>
        </is>
      </c>
      <c r="Z15" s="2" t="inlineStr">
        <is>
          <t>defer — engine name wrong (SKU token SATIN-TWIN-BLACK-NEW); load a corrected name after 28 Oct</t>
        </is>
      </c>
      <c r="AA15" s="21" t="n">
        <v>292.64</v>
      </c>
      <c r="AB15" s="2" t="n">
        <v>97</v>
      </c>
      <c r="AC15" s="2" t="n">
        <v>13</v>
      </c>
      <c r="AD15" s="2" t="n">
        <v>81.2</v>
      </c>
      <c r="AE15" s="2" t="n">
        <v>98.97</v>
      </c>
      <c r="AF15" s="2" t="n">
        <v>1.03</v>
      </c>
      <c r="AG15" s="2" t="n">
        <v>20</v>
      </c>
      <c r="AH15" s="2" t="inlineStr">
        <is>
          <t>Hold (price)</t>
        </is>
      </c>
      <c r="AI15" s="22" t="inlineStr">
        <is>
          <t>HOLD: don't load the run's cuts (budget $16 → $8, TOS $3.52 → $2.65) while "silk sheets twin" is unranked and Twin Black may be losing its featured offer; close tuner record 2851 as superseded</t>
        </is>
      </c>
      <c r="AJ15" s="22" t="inlineStr">
        <is>
          <t>81.2% ACoS on 13 orders / 97 clicks (CC 31 Aug–29 Sep) vs Twin Black break-even 31.4%; audit row loads as written (review 40 agrees). Note: plan move to SATIN-TWIN-GREY before 16 Oct (Twin Black 66 units, ~34 days).</t>
        </is>
      </c>
      <c r="AK15" s="2" t="inlineStr">
        <is>
          <t>seq 32 budget: pass (flag); seq 33 tos: pass (flag); seq 35 ros: pass the cuts; drop the rank claim; close the 27 Sep tuner r…; seq 36 bid: pass (flag); seq 1803 child: reject — keep SATIN-TWIN-BLACK-NEW; seq 2880 rename CHANGE</t>
        </is>
      </c>
      <c r="AL15" s="22" t="inlineStr">
        <is>
          <t>MAINTAIN · score 46 · Twin Black cover 33 days; unranked 29 Sep</t>
        </is>
      </c>
    </row>
    <row r="16">
      <c r="A16" s="2" t="inlineStr">
        <is>
          <t>428094781835473</t>
        </is>
      </c>
      <c r="B16" s="2" t="inlineStr">
        <is>
          <t>DCS-SP-Auto/LTSF-Def-Multi LTSF SKUs</t>
        </is>
      </c>
      <c r="C16" s="2" t="inlineStr">
        <is>
          <t>Auto: close-match; complements; loose-match +1 more targets</t>
        </is>
      </c>
      <c r="D16" s="2" t="inlineStr">
        <is>
          <t>—</t>
        </is>
      </c>
      <c r="E16" s="2" t="inlineStr">
        <is>
          <t>ENABLED</t>
        </is>
      </c>
      <c r="F16" s="2" t="inlineStr">
        <is>
          <t>Liquidation</t>
        </is>
      </c>
      <c r="G16" s="2" t="inlineStr">
        <is>
          <t>Liquidation</t>
        </is>
      </c>
      <c r="H16" s="2" t="n"/>
      <c r="I16" s="2" t="inlineStr">
        <is>
          <t>Auto</t>
        </is>
      </c>
      <c r="J16" s="2" t="inlineStr">
        <is>
          <t>SATIN-STRIPE-FULL-GOLD</t>
        </is>
      </c>
      <c r="K16" s="2" t="inlineStr">
        <is>
          <t>SATIN-STRIPE-FULL-GOLD</t>
        </is>
      </c>
      <c r="L16" s="2" t="inlineStr">
        <is>
          <t>n/a (no target bid in audit)</t>
        </is>
      </c>
      <c r="M16" s="2" t="inlineStr">
        <is>
          <t>n/a</t>
        </is>
      </c>
      <c r="N16" s="2" t="n">
        <v>0</v>
      </c>
      <c r="O16" s="2" t="n">
        <v>0</v>
      </c>
      <c r="P16" s="21" t="n"/>
      <c r="Q16" s="21" t="n"/>
      <c r="R16" s="2" t="n"/>
      <c r="S16" s="2" t="n"/>
      <c r="T16" s="2" t="n"/>
      <c r="U16" s="2" t="n"/>
      <c r="V16" s="21" t="n">
        <v>20</v>
      </c>
      <c r="W16" s="21" t="n">
        <v>20</v>
      </c>
      <c r="X16" s="2" t="inlineStr">
        <is>
          <t>ENABLED</t>
        </is>
      </c>
      <c r="Y16" s="2" t="inlineStr">
        <is>
          <t>add negative exact in the satin-sheet ad group only: chair covers; chair covers for dining chairs</t>
        </is>
      </c>
      <c r="Z16" s="2" t="inlineStr">
        <is>
          <t>none</t>
        </is>
      </c>
      <c r="AA16" s="21" t="n">
        <v>270.33</v>
      </c>
      <c r="AB16" s="2" t="n">
        <v>612</v>
      </c>
      <c r="AC16" s="2" t="n">
        <v>31</v>
      </c>
      <c r="AD16" s="2" t="n">
        <v>24.5</v>
      </c>
      <c r="AE16" s="2" t="n">
        <v>1.8</v>
      </c>
      <c r="AF16" s="2" t="n">
        <v>68.45999999999999</v>
      </c>
      <c r="AG16" s="2" t="n">
        <v>141</v>
      </c>
      <c r="AH16" s="2" t="inlineStr">
        <is>
          <t>No change</t>
        </is>
      </c>
      <c r="AI16" s="22" t="inlineStr">
        <is>
          <t>No change</t>
        </is>
      </c>
      <c r="AJ16" s="22" t="inlineStr">
        <is>
          <t>No run decision and no issue found; 24.5% ACoS on 31 orders / 612 clicks (CC 31 Aug–29 Sep).</t>
        </is>
      </c>
      <c r="AK16" s="2" t="inlineStr">
        <is>
          <t>no run decision</t>
        </is>
      </c>
      <c r="AL16" s="22" t="n"/>
    </row>
    <row r="17">
      <c r="A17" s="2" t="inlineStr">
        <is>
          <t>40865602759529</t>
        </is>
      </c>
      <c r="B17" s="23" t="inlineStr">
        <is>
          <t>D-S4-silk sheets queen size - [Silk|Queen] - Exact - Ran - DO - SATIN-QUEEN-BLACK</t>
        </is>
      </c>
      <c r="C17" s="2" t="inlineStr">
        <is>
          <t>silk sheets queen size [exact]</t>
        </is>
      </c>
      <c r="D17" s="23" t="inlineStr">
        <is>
          <t>silk sheets queen size (buys the search term: silk sheets queen)</t>
        </is>
      </c>
      <c r="E17" s="2" t="inlineStr">
        <is>
          <t>ENABLED</t>
        </is>
      </c>
      <c r="F17" s="2" t="inlineStr">
        <is>
          <t>Ranking</t>
        </is>
      </c>
      <c r="G17" s="2" t="inlineStr">
        <is>
          <t>Ranking</t>
        </is>
      </c>
      <c r="H17" s="2" t="inlineStr">
        <is>
          <t>Silk|Queen</t>
        </is>
      </c>
      <c r="I17" s="2" t="inlineStr">
        <is>
          <t>Exact</t>
        </is>
      </c>
      <c r="J17" s="2" t="inlineStr">
        <is>
          <t>SATIN-QUEEN-BLACK</t>
        </is>
      </c>
      <c r="K17" s="2" t="inlineStr">
        <is>
          <t>SATIN-QUEEN-BLACK</t>
        </is>
      </c>
      <c r="L17" s="2" t="inlineStr">
        <is>
          <t>$1.41</t>
        </is>
      </c>
      <c r="M17" s="2" t="inlineStr">
        <is>
          <t>$1.41</t>
        </is>
      </c>
      <c r="N17" s="2" t="n">
        <v>30</v>
      </c>
      <c r="O17" s="2" t="n">
        <v>66</v>
      </c>
      <c r="P17" s="21" t="n">
        <v>1.83</v>
      </c>
      <c r="Q17" s="21" t="n">
        <v>2.34</v>
      </c>
      <c r="R17" s="2" t="n"/>
      <c r="S17" s="2" t="n"/>
      <c r="T17" s="2" t="n"/>
      <c r="U17" s="2" t="n"/>
      <c r="V17" s="21" t="n">
        <v>25</v>
      </c>
      <c r="W17" s="21" t="n">
        <v>40</v>
      </c>
      <c r="X17" s="2" t="inlineStr">
        <is>
          <t>ENABLED</t>
        </is>
      </c>
      <c r="Y17" s="2" t="inlineStr">
        <is>
          <t>none</t>
        </is>
      </c>
      <c r="Z17" s="2" t="inlineStr">
        <is>
          <t>defer — engine name wrong (SKU token SATIN-QUEEN-BLACK); load a corrected name after 28 Oct</t>
        </is>
      </c>
      <c r="AA17" s="21" t="n">
        <v>261.91</v>
      </c>
      <c r="AB17" s="2" t="n">
        <v>151</v>
      </c>
      <c r="AC17" s="2" t="n">
        <v>32</v>
      </c>
      <c r="AD17" s="2" t="n">
        <v>27.1</v>
      </c>
      <c r="AE17" s="2" t="n">
        <v>82.78</v>
      </c>
      <c r="AF17" s="2" t="n">
        <v>0</v>
      </c>
      <c r="AG17" s="2" t="n">
        <v>91</v>
      </c>
      <c r="AH17" s="2" t="inlineStr">
        <is>
          <t>Ranking push</t>
        </is>
      </c>
      <c r="AI17" s="24" t="inlineStr">
        <is>
          <t>OWNER of silk sheets queen (#10; was #6 before its clicks fell on 8 Sep): release the hold; keep base $1.41, boost 30% → 66% (TOS $1.83 → $2.34, what the duplicate already pays); budget $25 → $40 (takes the duplicate's $15); restore about 10 TOS clicks a day. Full-plan option: 20 a day</t>
        </is>
      </c>
      <c r="AJ17" s="22" t="inlineStr">
        <is>
          <t>27.1% ACoS, 32 orders on 151 clicks (CC 31 Aug–29 Sep) vs Queen Black break-even 17.8%; BE base = $5.03 contribution (Queen Black) × 21.2% CVR = $1.07; cap 25% cut.</t>
        </is>
      </c>
      <c r="AK17" s="2" t="inlineStr">
        <is>
          <t>seq 1813 child: reject — keep SATIN-QUEEN-BLACK; seq 2076 retag LOAD; seq 2898 rename CHANGE; seq 1975 NOT SERVING hold(s) → release; price to break-even (our addition, reviewer D)</t>
        </is>
      </c>
      <c r="AL17" s="24" t="inlineStr">
        <is>
          <t>RESTORE · score 55 · ~10 TOS clicks/day (7.2 now; ~10 before 8 Sep) · TOS $2.34 · full plan: 20/day at $2.33, $47/day</t>
        </is>
      </c>
    </row>
    <row r="18">
      <c r="A18" s="2" t="inlineStr">
        <is>
          <t>234075729975572</t>
        </is>
      </c>
      <c r="B18" s="2" t="inlineStr">
        <is>
          <t>D-S4-black silk sheets - [Silk] - Exact - Ran - DO - SATIN-QUEEN-BLACK</t>
        </is>
      </c>
      <c r="C18" s="2" t="inlineStr">
        <is>
          <t>black silk sheets [exact]</t>
        </is>
      </c>
      <c r="D18" s="2" t="inlineStr">
        <is>
          <t>black silk sheets</t>
        </is>
      </c>
      <c r="E18" s="2" t="inlineStr">
        <is>
          <t>ENABLED</t>
        </is>
      </c>
      <c r="F18" s="2" t="inlineStr">
        <is>
          <t>Ranking</t>
        </is>
      </c>
      <c r="G18" s="2" t="inlineStr">
        <is>
          <t>Conversions</t>
        </is>
      </c>
      <c r="H18" s="2" t="inlineStr">
        <is>
          <t>Silk</t>
        </is>
      </c>
      <c r="I18" s="2" t="inlineStr">
        <is>
          <t>Exact</t>
        </is>
      </c>
      <c r="J18" s="2" t="inlineStr">
        <is>
          <t>SATIN-QUEEN-BLACK</t>
        </is>
      </c>
      <c r="K18" s="2" t="inlineStr">
        <is>
          <t>SATIN-QUEEN-BLACK</t>
        </is>
      </c>
      <c r="L18" s="2" t="inlineStr">
        <is>
          <t>$1.42</t>
        </is>
      </c>
      <c r="M18" s="2" t="inlineStr">
        <is>
          <t>$1.06</t>
        </is>
      </c>
      <c r="N18" s="2" t="n">
        <v>35</v>
      </c>
      <c r="O18" s="2" t="n">
        <v>35</v>
      </c>
      <c r="P18" s="21" t="n">
        <v>1.92</v>
      </c>
      <c r="Q18" s="21" t="n">
        <v>1.43</v>
      </c>
      <c r="R18" s="2" t="n"/>
      <c r="S18" s="2" t="n"/>
      <c r="T18" s="2" t="n"/>
      <c r="U18" s="2" t="n"/>
      <c r="V18" s="21" t="n">
        <v>10</v>
      </c>
      <c r="W18" s="21" t="n">
        <v>10</v>
      </c>
      <c r="X18" s="2" t="inlineStr">
        <is>
          <t>ENABLED</t>
        </is>
      </c>
      <c r="Y18" s="2" t="inlineStr">
        <is>
          <t>none</t>
        </is>
      </c>
      <c r="Z18" s="2" t="inlineStr">
        <is>
          <t>defer — engine name wrong ((Conversion)); load a corrected name after 28 Oct</t>
        </is>
      </c>
      <c r="AA18" s="21" t="n">
        <v>261.61</v>
      </c>
      <c r="AB18" s="2" t="n">
        <v>155</v>
      </c>
      <c r="AC18" s="2" t="n">
        <v>19</v>
      </c>
      <c r="AD18" s="2" t="n">
        <v>40.4</v>
      </c>
      <c r="AE18" s="2" t="n">
        <v>57.79</v>
      </c>
      <c r="AF18" s="2" t="n">
        <v>33.77</v>
      </c>
      <c r="AG18" s="2" t="n">
        <v>45</v>
      </c>
      <c r="AH18" s="2" t="inlineStr">
        <is>
          <t>Release hold + price to break-even</t>
        </is>
      </c>
      <c r="AI18" s="22" t="inlineStr">
        <is>
          <t>Release hold; cut base $1.42 → $1.06; retag → Conversions</t>
        </is>
      </c>
      <c r="AJ18" s="22" t="inlineStr">
        <is>
          <t>40.4% ACoS, 19 orders on 155 clicks (CC 31 Aug–29 Sep) vs Queen Black break-even 17.8%; BE base = $5.03 contribution (Queen Black) × 12.3% CVR = $0.62; cap 25% cut.</t>
        </is>
      </c>
      <c r="AK18" s="2" t="inlineStr">
        <is>
          <t>seq 2072 retag correct to Conversions; seq 2882 rename CHANGE; seq 1973 NOT SERVING hold(s) → release; price to break-even (our addition, reviewer D)</t>
        </is>
      </c>
      <c r="AL18" s="22" t="inlineStr">
        <is>
          <t>MAINTAIN · score 29</t>
        </is>
      </c>
    </row>
    <row r="19">
      <c r="A19" s="2" t="inlineStr">
        <is>
          <t>509115242799026</t>
        </is>
      </c>
      <c r="B19" s="2" t="inlineStr">
        <is>
          <t>D-S4-SP-king satin sheet set-(Satin)-VLSV-Exact-Rank-DO-SATIN-KING-BLACK-V2</t>
        </is>
      </c>
      <c r="C19" s="2" t="inlineStr">
        <is>
          <t>king size satin sheet set [exact, $2.60, 81 clicks]; king satin sheets set [exact, $2.35, 4 clicks]; king satin sheet set [exact, $1.43]; king size satin sheets set [exact, $1.65]</t>
        </is>
      </c>
      <c r="D19" s="2" t="inlineStr">
        <is>
          <t>whole campaign</t>
        </is>
      </c>
      <c r="E19" s="2" t="inlineStr">
        <is>
          <t>PAUSED</t>
        </is>
      </c>
      <c r="F19" s="2" t="inlineStr">
        <is>
          <t>Ranking</t>
        </is>
      </c>
      <c r="G19" s="2" t="inlineStr">
        <is>
          <t>Ranking</t>
        </is>
      </c>
      <c r="H19" s="2" t="inlineStr">
        <is>
          <t>Satin|King</t>
        </is>
      </c>
      <c r="I19" s="2" t="inlineStr">
        <is>
          <t>Exact</t>
        </is>
      </c>
      <c r="J19" s="2" t="inlineStr">
        <is>
          <t>SATIN-4PC-KING-GREY</t>
        </is>
      </c>
      <c r="K19" s="2" t="inlineStr">
        <is>
          <t>SATIN-KING-BLACK</t>
        </is>
      </c>
      <c r="L19" s="2" t="inlineStr">
        <is>
          <t>$2.60 / $2.35 / $1.43 / $1.65</t>
        </is>
      </c>
      <c r="M19" s="2" t="inlineStr">
        <is>
          <t>$1.70 / $1.70 / $1.43 / $1.65</t>
        </is>
      </c>
      <c r="N19" s="2" t="n">
        <v>50</v>
      </c>
      <c r="O19" s="2" t="n">
        <v>50</v>
      </c>
      <c r="P19" s="21" t="n">
        <v>3.9</v>
      </c>
      <c r="Q19" s="21" t="n">
        <v>2.55</v>
      </c>
      <c r="R19" s="2" t="n">
        <v>0</v>
      </c>
      <c r="S19" s="2" t="n">
        <v>0</v>
      </c>
      <c r="T19" s="2" t="n">
        <v>0</v>
      </c>
      <c r="U19" s="2" t="n">
        <v>0</v>
      </c>
      <c r="V19" s="21" t="n">
        <v>12</v>
      </c>
      <c r="W19" s="21" t="n">
        <v>12</v>
      </c>
      <c r="X19" s="2" t="inlineStr">
        <is>
          <t>ENABLED</t>
        </is>
      </c>
      <c r="Y19" s="2" t="inlineStr">
        <is>
          <t>none</t>
        </is>
      </c>
      <c r="Z19" s="2" t="inlineStr">
        <is>
          <t>load (clean): DSS4-SP-King Size Satin Sheet Set-[Satin|King]-(LSV)-Exact-(Ranking)-DO-SATIN-4PC-KING-GREY</t>
        </is>
      </c>
      <c r="AA19" s="21" t="n">
        <v>247.68</v>
      </c>
      <c r="AB19" s="2" t="n">
        <v>85</v>
      </c>
      <c r="AC19" s="2" t="n">
        <v>9</v>
      </c>
      <c r="AD19" s="2" t="n">
        <v>85.90000000000001</v>
      </c>
      <c r="AE19" s="2" t="n">
        <v>80</v>
      </c>
      <c r="AF19" s="2" t="n">
        <v>8.24</v>
      </c>
      <c r="AG19" s="2" t="n">
        <v>51</v>
      </c>
      <c r="AH19" s="2" t="inlineStr">
        <is>
          <t>Revive at break-even</t>
        </is>
      </c>
      <c r="AI19" s="22" t="inlineStr">
        <is>
          <t>Revive at break-even base ($1.70 max); Swap child to SATIN-KING-BLACK</t>
        </is>
      </c>
      <c r="AJ19" s="22" t="inlineStr">
        <is>
          <t>85.9% ACoS on 9 orders / 85 clicks (CC 31 Aug–29 Sep). The review's "King on 10 shelf days" is wrong: King Grey has 1,057 units (210 days, SB 9/29). The real reason is margin.</t>
        </is>
      </c>
      <c r="AK19" s="2" t="inlineStr">
        <is>
          <t>seq 2827 structure: hold, reason corrected; seq 2891 rename LOAD</t>
        </is>
      </c>
      <c r="AL19" s="22" t="n"/>
    </row>
    <row r="20">
      <c r="A20" s="2" t="inlineStr">
        <is>
          <t>287639399820558</t>
        </is>
      </c>
      <c r="B20" s="2" t="inlineStr">
        <is>
          <t>D-S4-SP-red satin sheet-(Satin)-LSV-Exact-Rank-DO-SATIN-RED-QUEEN</t>
        </is>
      </c>
      <c r="C20" s="2" t="inlineStr">
        <is>
          <t>red satin sheet [exact, $1.40, 157 clicks]</t>
        </is>
      </c>
      <c r="D20" s="2" t="inlineStr">
        <is>
          <t>whole campaign</t>
        </is>
      </c>
      <c r="E20" s="2" t="inlineStr">
        <is>
          <t>ENABLED</t>
        </is>
      </c>
      <c r="F20" s="2" t="inlineStr">
        <is>
          <t>Ranking</t>
        </is>
      </c>
      <c r="G20" s="2" t="inlineStr">
        <is>
          <t>Conversions</t>
        </is>
      </c>
      <c r="H20" s="2" t="inlineStr">
        <is>
          <t>Satin</t>
        </is>
      </c>
      <c r="I20" s="2" t="inlineStr">
        <is>
          <t>Exact</t>
        </is>
      </c>
      <c r="J20" s="2" t="inlineStr">
        <is>
          <t>SATIN-4PC-RED-QUEEN</t>
        </is>
      </c>
      <c r="K20" s="2" t="inlineStr">
        <is>
          <t>SATIN-4PCS-KING-RED</t>
        </is>
      </c>
      <c r="L20" s="2" t="inlineStr">
        <is>
          <t>$1.40</t>
        </is>
      </c>
      <c r="M20" s="2" t="inlineStr">
        <is>
          <t>$1.32</t>
        </is>
      </c>
      <c r="N20" s="2" t="n">
        <v>65</v>
      </c>
      <c r="O20" s="2" t="n">
        <v>65</v>
      </c>
      <c r="P20" s="21" t="n">
        <v>2.31</v>
      </c>
      <c r="Q20" s="21" t="n">
        <v>2.18</v>
      </c>
      <c r="R20" s="2" t="n">
        <v>0</v>
      </c>
      <c r="S20" s="2" t="n">
        <v>0</v>
      </c>
      <c r="T20" s="2" t="n">
        <v>0</v>
      </c>
      <c r="U20" s="2" t="n">
        <v>0</v>
      </c>
      <c r="V20" s="21" t="n">
        <v>13</v>
      </c>
      <c r="W20" s="21" t="n">
        <v>9.1</v>
      </c>
      <c r="X20" s="2" t="inlineStr">
        <is>
          <t>ENABLED</t>
        </is>
      </c>
      <c r="Y20" s="2" t="inlineStr">
        <is>
          <t>none</t>
        </is>
      </c>
      <c r="Z20" s="2" t="inlineStr">
        <is>
          <t>defer — engine name wrong (SKU token SATIN-4PC-RED-QUEEN; (Conversion)); load a corrected name after 28 Oct</t>
        </is>
      </c>
      <c r="AA20" s="21" t="n">
        <v>245.96</v>
      </c>
      <c r="AB20" s="2" t="n">
        <v>157</v>
      </c>
      <c r="AC20" s="2" t="n">
        <v>28</v>
      </c>
      <c r="AD20" s="2" t="n">
        <v>29.7</v>
      </c>
      <c r="AE20" s="2" t="n">
        <v>33.12</v>
      </c>
      <c r="AF20" s="2" t="n">
        <v>64.97</v>
      </c>
      <c r="AG20" s="2" t="n">
        <v>32</v>
      </c>
      <c r="AH20" s="2" t="inlineStr">
        <is>
          <t>Child swap</t>
        </is>
      </c>
      <c r="AI20" s="22" t="inlineStr">
        <is>
          <t>Swap child to SATIN-4PCS-KING-RED; Cut base 6% ($1.40 → $1.32); Budget $13 → $9.1; retag → Conversions</t>
        </is>
      </c>
      <c r="AJ20" s="22" t="inlineStr">
        <is>
          <t>29.7% ACoS on 28 orders / 157 clicks (CC 31 Aug–29 Sep). Swap by hand now (seq 1804); Queen Red 34 units, out ~10 Oct (SB 29 Sep).</t>
        </is>
      </c>
      <c r="AK20" s="2" t="inlineStr">
        <is>
          <t>seq 45 budget: pass (flag); seq 49 bid: agree with review 40; seq 1804 child: pass — apply NOW (outside the held group); seq 2881 rename CHANGE; our addition: standard → Conversions (colour term "red satin sheet")</t>
        </is>
      </c>
      <c r="AL20" s="22" t="n"/>
    </row>
    <row r="21">
      <c r="A21" s="2" t="inlineStr">
        <is>
          <t>520117564893402</t>
        </is>
      </c>
      <c r="B21" s="2" t="inlineStr">
        <is>
          <t>SATIN-QUEEN-GREY SP - Silk Sheets - Exact 091323</t>
        </is>
      </c>
      <c r="C21" s="2" t="inlineStr">
        <is>
          <t>silk sheets [exact, $0.98, 118 clicks]</t>
        </is>
      </c>
      <c r="D21" s="2" t="inlineStr">
        <is>
          <t>silk sheets</t>
        </is>
      </c>
      <c r="E21" s="2" t="inlineStr">
        <is>
          <t>ENABLED</t>
        </is>
      </c>
      <c r="F21" s="2" t="inlineStr">
        <is>
          <t>Ranking</t>
        </is>
      </c>
      <c r="G21" s="2" t="inlineStr">
        <is>
          <t>Ranking</t>
        </is>
      </c>
      <c r="H21" s="2" t="inlineStr">
        <is>
          <t>OUT</t>
        </is>
      </c>
      <c r="I21" s="2" t="inlineStr">
        <is>
          <t>Exact</t>
        </is>
      </c>
      <c r="J21" s="2" t="inlineStr">
        <is>
          <t>SATIN-QUEEN-GREY</t>
        </is>
      </c>
      <c r="K21" s="2" t="inlineStr">
        <is>
          <t>SATIN-QUEEN-BLACK</t>
        </is>
      </c>
      <c r="L21" s="2" t="inlineStr">
        <is>
          <t>$0.98</t>
        </is>
      </c>
      <c r="M21" s="2" t="inlineStr">
        <is>
          <t>$0.98</t>
        </is>
      </c>
      <c r="N21" s="2" t="n">
        <v>130</v>
      </c>
      <c r="O21" s="2" t="n">
        <v>72</v>
      </c>
      <c r="P21" s="21" t="n">
        <v>2.25</v>
      </c>
      <c r="Q21" s="21" t="n">
        <v>1.69</v>
      </c>
      <c r="R21" s="2" t="n">
        <v>0</v>
      </c>
      <c r="S21" s="2" t="n">
        <v>0</v>
      </c>
      <c r="T21" s="2" t="n">
        <v>0</v>
      </c>
      <c r="U21" s="2" t="n">
        <v>0</v>
      </c>
      <c r="V21" s="21" t="n">
        <v>20</v>
      </c>
      <c r="W21" s="21" t="n">
        <v>20</v>
      </c>
      <c r="X21" s="2" t="inlineStr">
        <is>
          <t>ENABLED</t>
        </is>
      </c>
      <c r="Y21" s="2" t="inlineStr">
        <is>
          <t>none</t>
        </is>
      </c>
      <c r="Z21" s="2" t="inlineStr">
        <is>
          <t>load (clean): DSS4-SP-Silk Sheets-[Silk]-(VHSV)-Exact-(Ranking)-DO-SATIN-QUEEN-GREY</t>
        </is>
      </c>
      <c r="AA21" s="21" t="n">
        <v>245.75</v>
      </c>
      <c r="AB21" s="2" t="n">
        <v>118</v>
      </c>
      <c r="AC21" s="2" t="n">
        <v>21</v>
      </c>
      <c r="AD21" s="2" t="n">
        <v>33.8</v>
      </c>
      <c r="AE21" s="2" t="n">
        <v>91.53</v>
      </c>
      <c r="AF21" s="2" t="n">
        <v>5.93</v>
      </c>
      <c r="AG21" s="2" t="n">
        <v>28</v>
      </c>
      <c r="AH21" s="2" t="inlineStr">
        <is>
          <t>Price cut</t>
        </is>
      </c>
      <c r="AI21" s="22" t="inlineStr">
        <is>
          <t>MAINTAIN silk sheets (#28): swap the ad from Queen Grey to Queen Black (the Queen velocity leader); TOS +130% → +72% (TOS $2.25 → $1.69); 33.8% ACoS against Queen Grey 11.2% break-even</t>
        </is>
      </c>
      <c r="AJ21" s="22" t="inlineStr">
        <is>
          <t>Clean rename (SKU token and objective match what the campaign advertises); 33.8% ACoS on 21 orders / 118 clicks (CC 31 Aug–29 Sep). Note: above break-even with no pricing row in the run; price at the next cycle unless it is chosen for the ranking push.</t>
        </is>
      </c>
      <c r="AK21" s="2" t="inlineStr">
        <is>
          <t>seq 2877 rename LOAD</t>
        </is>
      </c>
      <c r="AL21" s="22" t="inlineStr">
        <is>
          <t>MAINTAIN · score 29 · wrong child (Queen Grey)</t>
        </is>
      </c>
    </row>
    <row r="22">
      <c r="A22" s="2" t="inlineStr">
        <is>
          <t>152213290901148</t>
        </is>
      </c>
      <c r="B22" s="2" t="inlineStr">
        <is>
          <t>D-S4-TESTING-NEW-FEATURE</t>
        </is>
      </c>
      <c r="C22" s="2" t="inlineStr">
        <is>
          <t>keyword-group="Keywords related to your product category" [$0.69]</t>
        </is>
      </c>
      <c r="D22" s="2" t="inlineStr">
        <is>
          <t>keyword-group="Keywords related to your product category"</t>
        </is>
      </c>
      <c r="E22" s="2" t="inlineStr">
        <is>
          <t>ENABLED</t>
        </is>
      </c>
      <c r="F22" s="2" t="inlineStr">
        <is>
          <t>Conversions</t>
        </is>
      </c>
      <c r="G22" s="2" t="inlineStr">
        <is>
          <t>Discovery</t>
        </is>
      </c>
      <c r="H22" s="2" t="n"/>
      <c r="I22" s="2" t="inlineStr">
        <is>
          <t>Theme</t>
        </is>
      </c>
      <c r="J22" s="2" t="inlineStr">
        <is>
          <t>SATIN-4PCS-FULL-ROSEWOOD</t>
        </is>
      </c>
      <c r="K22" s="2" t="inlineStr">
        <is>
          <t>SATIN-4PCS-FULL-ROSEWOOD</t>
        </is>
      </c>
      <c r="L22" s="2" t="inlineStr">
        <is>
          <t>$0.69</t>
        </is>
      </c>
      <c r="M22" s="2" t="inlineStr">
        <is>
          <t>$0.52</t>
        </is>
      </c>
      <c r="N22" s="2" t="n">
        <v>0</v>
      </c>
      <c r="O22" s="2" t="n">
        <v>0</v>
      </c>
      <c r="P22" s="21" t="n">
        <v>0.6899999999999999</v>
      </c>
      <c r="Q22" s="21" t="n">
        <v>0.52</v>
      </c>
      <c r="R22" s="2" t="n"/>
      <c r="S22" s="2" t="n"/>
      <c r="T22" s="2" t="n"/>
      <c r="U22" s="2" t="n"/>
      <c r="V22" s="21" t="n">
        <v>10</v>
      </c>
      <c r="W22" s="21" t="n">
        <v>10</v>
      </c>
      <c r="X22" s="2" t="inlineStr">
        <is>
          <t>ENABLED</t>
        </is>
      </c>
      <c r="Y22" s="2" t="inlineStr">
        <is>
          <t>none</t>
        </is>
      </c>
      <c r="Z22" s="2" t="inlineStr">
        <is>
          <t>defer — engine name wrong ((Discovery)); load a corrected name after 28 Oct</t>
        </is>
      </c>
      <c r="AA22" s="21" t="n">
        <v>243.74</v>
      </c>
      <c r="AB22" s="2" t="n">
        <v>304</v>
      </c>
      <c r="AC22" s="2" t="n">
        <v>18</v>
      </c>
      <c r="AD22" s="2" t="n">
        <v>46.4</v>
      </c>
      <c r="AE22" s="2" t="n">
        <v>1.32</v>
      </c>
      <c r="AF22" s="2" t="n">
        <v>28.95</v>
      </c>
      <c r="AG22" s="2" t="n">
        <v>37</v>
      </c>
      <c r="AH22" s="2" t="inlineStr">
        <is>
          <t>Release hold + price to break-even</t>
        </is>
      </c>
      <c r="AI22" s="22" t="inlineStr">
        <is>
          <t>Release hold; cut base $0.69 → $0.52; retag → Discovery</t>
        </is>
      </c>
      <c r="AJ22" s="22" t="inlineStr">
        <is>
          <t>46.4% ACoS, 18 orders on 304 clicks (CC 31 Aug–29 Sep) vs Full Rosewood break-even 15.0%; BE base = $4.50 contribution (Full Rosewood) × 5.9% CVR = $0.27; cap 25% cut.</t>
        </is>
      </c>
      <c r="AK22" s="2" t="inlineStr">
        <is>
          <t>seq 2073 retag correct to Discovery; seq 2883 rename CHANGE; seq 1725 NOT SERVING hold(s) → release; price to break-even (our addition, reviewer D)</t>
        </is>
      </c>
      <c r="AL22" s="22" t="n"/>
    </row>
    <row r="23">
      <c r="A23" s="2" t="inlineStr">
        <is>
          <t>323452708337783</t>
        </is>
      </c>
      <c r="B23" s="2" t="inlineStr">
        <is>
          <t>D-S4-SP-Auto-Agr-Auto-Disc-DO-SATIN-WHITE-QUEEN</t>
        </is>
      </c>
      <c r="C23" s="2" t="inlineStr">
        <is>
          <t>close-match [auto, $0.84]; loose-match [auto, $0.70]</t>
        </is>
      </c>
      <c r="D23" s="2" t="inlineStr">
        <is>
          <t>all enabled targets: close-match; loose-match</t>
        </is>
      </c>
      <c r="E23" s="2" t="inlineStr">
        <is>
          <t>ENABLED</t>
        </is>
      </c>
      <c r="F23" s="2" t="inlineStr">
        <is>
          <t>Discovery</t>
        </is>
      </c>
      <c r="G23" s="2" t="inlineStr">
        <is>
          <t>Discovery</t>
        </is>
      </c>
      <c r="H23" s="2" t="n"/>
      <c r="I23" s="2" t="inlineStr">
        <is>
          <t>Auto</t>
        </is>
      </c>
      <c r="J23" s="2" t="inlineStr">
        <is>
          <t>SATIN-QUEEN-BLACK</t>
        </is>
      </c>
      <c r="K23" s="2" t="inlineStr">
        <is>
          <t>SATIN-QUEEN-BLACK</t>
        </is>
      </c>
      <c r="L23" s="2" t="inlineStr">
        <is>
          <t>$0.84 / $0.70</t>
        </is>
      </c>
      <c r="M23" s="2" t="inlineStr">
        <is>
          <t>$0.63 / $0.52</t>
        </is>
      </c>
      <c r="N23" s="2" t="n">
        <v>0</v>
      </c>
      <c r="O23" s="2" t="n">
        <v>0</v>
      </c>
      <c r="P23" s="21" t="n">
        <v>0.84</v>
      </c>
      <c r="Q23" s="21" t="n">
        <v>0.63</v>
      </c>
      <c r="R23" s="2" t="n"/>
      <c r="S23" s="2" t="n"/>
      <c r="T23" s="2" t="n"/>
      <c r="U23" s="2" t="n"/>
      <c r="V23" s="21" t="n">
        <v>40</v>
      </c>
      <c r="W23" s="21" t="n">
        <v>40</v>
      </c>
      <c r="X23" s="2" t="inlineStr">
        <is>
          <t>ENABLED</t>
        </is>
      </c>
      <c r="Y23" s="2" t="inlineStr">
        <is>
          <t>hold seq 1791 (terms not named); add 9 negatives (seq 2264) · add negative exact: silk sheets queen; silk bed sheets · negative product target B0839MKJMV</t>
        </is>
      </c>
      <c r="Z23" s="2" t="inlineStr">
        <is>
          <t>defer — engine name wrong (SKU token SATIN-QUEEN-BLACK + suffix elsewhere); load a corrected name after 28 Oct</t>
        </is>
      </c>
      <c r="AA23" s="21" t="n">
        <v>242.28</v>
      </c>
      <c r="AB23" s="2" t="n">
        <v>296</v>
      </c>
      <c r="AC23" s="2" t="n">
        <v>19</v>
      </c>
      <c r="AD23" s="2" t="n">
        <v>43.8</v>
      </c>
      <c r="AE23" s="2" t="n">
        <v>14.19</v>
      </c>
      <c r="AF23" s="2" t="n">
        <v>5.07</v>
      </c>
      <c r="AG23" s="2" t="n">
        <v>106</v>
      </c>
      <c r="AH23" s="2" t="inlineStr">
        <is>
          <t>Release hold + price to break-even</t>
        </is>
      </c>
      <c r="AI23" s="22" t="inlineStr">
        <is>
          <t>Release hold; cut base $0.84 / $0.70 → $0.63 / $0.52</t>
        </is>
      </c>
      <c r="AJ23" s="22" t="inlineStr">
        <is>
          <t>43.8% ACoS, 19 orders on 296 clicks (CC 31 Aug–29 Sep) vs Queen Black break-even 17.8%; BE base = $5.03 contribution (Queen Black) × 6.4% CVR = $0.32; cap 25% cut.</t>
        </is>
      </c>
      <c r="AK23" s="2" t="inlineStr">
        <is>
          <t>seq 1791 negatives: flag: unverifiable; seq 2264 negatives: agree with review 40; seq 2896 rename CHANGE; seq 1730,1731 NOT SERVING hold(s) → release; price to break-even (our addition, reviewer D)</t>
        </is>
      </c>
      <c r="AL23" s="22" t="n"/>
    </row>
    <row r="24">
      <c r="A24" s="2" t="inlineStr">
        <is>
          <t>100830568607053</t>
        </is>
      </c>
      <c r="B24" s="23" t="inlineStr">
        <is>
          <t>D-S4-SP-silk sheets queen-(Silk)-HSV-Exact-Rank-DO-SATIN-QUEEN-BLACK</t>
        </is>
      </c>
      <c r="C24" s="2" t="inlineStr">
        <is>
          <t>silk sheets queen [exact, $1.17, 104 clicks]</t>
        </is>
      </c>
      <c r="D24" s="23" t="inlineStr">
        <is>
          <t>silk sheets queen</t>
        </is>
      </c>
      <c r="E24" s="2" t="inlineStr">
        <is>
          <t>ENABLED</t>
        </is>
      </c>
      <c r="F24" s="2" t="inlineStr">
        <is>
          <t>Ranking</t>
        </is>
      </c>
      <c r="G24" s="2" t="inlineStr">
        <is>
          <t>Ranking</t>
        </is>
      </c>
      <c r="H24" s="2" t="inlineStr">
        <is>
          <t>OUT</t>
        </is>
      </c>
      <c r="I24" s="2" t="inlineStr">
        <is>
          <t>Exact</t>
        </is>
      </c>
      <c r="J24" s="2" t="inlineStr">
        <is>
          <t>SATIN-QUEEN-BLACK</t>
        </is>
      </c>
      <c r="K24" s="2" t="inlineStr">
        <is>
          <t>SATIN-QUEEN-BLACK</t>
        </is>
      </c>
      <c r="L24" s="2" t="inlineStr">
        <is>
          <t>$1.17</t>
        </is>
      </c>
      <c r="M24" s="2" t="inlineStr">
        <is>
          <t>$1.17</t>
        </is>
      </c>
      <c r="N24" s="2" t="n">
        <v>100</v>
      </c>
      <c r="O24" s="2" t="n">
        <v>100</v>
      </c>
      <c r="P24" s="21" t="n">
        <v>2.34</v>
      </c>
      <c r="Q24" s="21" t="n">
        <v>2.34</v>
      </c>
      <c r="R24" s="2" t="n">
        <v>0</v>
      </c>
      <c r="S24" s="2" t="n">
        <v>0</v>
      </c>
      <c r="T24" s="2" t="n">
        <v>0</v>
      </c>
      <c r="U24" s="2" t="n">
        <v>0</v>
      </c>
      <c r="V24" s="21" t="n">
        <v>15</v>
      </c>
      <c r="W24" s="21" t="n">
        <v>15</v>
      </c>
      <c r="X24" s="2" t="inlineStr">
        <is>
          <t>PAUSED</t>
        </is>
      </c>
      <c r="Y24" s="2" t="inlineStr">
        <is>
          <t>none</t>
        </is>
      </c>
      <c r="Z24" s="2" t="inlineStr">
        <is>
          <t>defer — engine name wrong (SKU token SATIN-QUEEN-BLACK); load a corrected name after 28 Oct</t>
        </is>
      </c>
      <c r="AA24" s="21" t="n">
        <v>234.7</v>
      </c>
      <c r="AB24" s="2" t="n">
        <v>104</v>
      </c>
      <c r="AC24" s="2" t="n">
        <v>32</v>
      </c>
      <c r="AD24" s="2" t="n">
        <v>24</v>
      </c>
      <c r="AE24" s="2" t="n">
        <v>95.19</v>
      </c>
      <c r="AF24" s="2" t="n">
        <v>4.81</v>
      </c>
      <c r="AG24" s="2" t="n">
        <v>73</v>
      </c>
      <c r="AH24" s="2" t="inlineStr">
        <is>
          <t>Pause (duplicate)</t>
        </is>
      </c>
      <c r="AI24" s="24" t="inlineStr">
        <is>
          <t>PAUSE: duplicate exact on silk sheets queen (same keyword, same Queen Black ad as 40865602759529, which keeps the term with 142 of its 245 clicks); its $15 budget moves to the owner</t>
        </is>
      </c>
      <c r="AJ24" s="22" t="inlineStr">
        <is>
          <t>No run decision and no issue found; 24.0% ACoS on 32 orders / 104 clicks (CC 31 Aug–29 Sep). Note: above break-even with no pricing row in the run; price at the next cycle unless it is chosen for the ranking push.</t>
        </is>
      </c>
      <c r="AK24" s="2" t="inlineStr">
        <is>
          <t>seq 1802 child: reject — keep SATIN-QUEEN-BLACK; seq 2878 rename CHANGE</t>
        </is>
      </c>
      <c r="AL24" s="24" t="inlineStr">
        <is>
          <t>Duplicate owner of silk sheets queen · paused into 40865602759529</t>
        </is>
      </c>
    </row>
    <row r="25">
      <c r="A25" s="2" t="inlineStr">
        <is>
          <t>34608790713465</t>
        </is>
      </c>
      <c r="B25" s="2" t="inlineStr">
        <is>
          <t>D-S4-SP-EXACT-silk bedsheets-Silk-SATIN-QUEEN-BLACK</t>
        </is>
      </c>
      <c r="C25" s="2" t="inlineStr">
        <is>
          <t>silk bedsheets [exact]</t>
        </is>
      </c>
      <c r="D25" s="2" t="inlineStr">
        <is>
          <t>silk bedsheets (buys the search term: silk bed sheets)</t>
        </is>
      </c>
      <c r="E25" s="2" t="inlineStr">
        <is>
          <t>ENABLED</t>
        </is>
      </c>
      <c r="F25" s="2" t="inlineStr">
        <is>
          <t>Ranking</t>
        </is>
      </c>
      <c r="G25" s="2" t="inlineStr">
        <is>
          <t>Conversions</t>
        </is>
      </c>
      <c r="H25" s="2" t="n"/>
      <c r="I25" s="2" t="inlineStr">
        <is>
          <t>Exact</t>
        </is>
      </c>
      <c r="J25" s="2" t="inlineStr">
        <is>
          <t>SATIN-QUEEN-BLACK</t>
        </is>
      </c>
      <c r="K25" s="2" t="inlineStr">
        <is>
          <t>SATIN-QUEEN-BLACK</t>
        </is>
      </c>
      <c r="L25" s="2" t="inlineStr">
        <is>
          <t>$1.78</t>
        </is>
      </c>
      <c r="M25" s="2" t="inlineStr">
        <is>
          <t>$1.33</t>
        </is>
      </c>
      <c r="N25" s="2" t="n">
        <v>0</v>
      </c>
      <c r="O25" s="2" t="n">
        <v>0</v>
      </c>
      <c r="P25" s="21" t="n">
        <v>1.78</v>
      </c>
      <c r="Q25" s="21" t="n">
        <v>1.33</v>
      </c>
      <c r="R25" s="2" t="n"/>
      <c r="S25" s="2" t="n"/>
      <c r="T25" s="2" t="n"/>
      <c r="U25" s="2" t="n"/>
      <c r="V25" s="21" t="n">
        <v>10</v>
      </c>
      <c r="W25" s="21" t="n">
        <v>10</v>
      </c>
      <c r="X25" s="2" t="inlineStr">
        <is>
          <t>ENABLED</t>
        </is>
      </c>
      <c r="Y25" s="2" t="inlineStr">
        <is>
          <t>none</t>
        </is>
      </c>
      <c r="Z25" s="2" t="inlineStr">
        <is>
          <t>defer — engine name wrong ((Conversion)); load a corrected name after 28 Oct</t>
        </is>
      </c>
      <c r="AA25" s="21" t="n">
        <v>234.04</v>
      </c>
      <c r="AB25" s="2" t="n">
        <v>130</v>
      </c>
      <c r="AC25" s="2" t="n">
        <v>9</v>
      </c>
      <c r="AD25" s="2" t="n">
        <v>86.59999999999999</v>
      </c>
      <c r="AE25" s="2" t="n">
        <v>56.15</v>
      </c>
      <c r="AF25" s="2" t="n">
        <v>23.85</v>
      </c>
      <c r="AG25" s="2" t="n">
        <v>16</v>
      </c>
      <c r="AH25" s="2" t="inlineStr">
        <is>
          <t>Price cut</t>
        </is>
      </c>
      <c r="AI25" s="22" t="inlineStr">
        <is>
          <t>Cut base $1.78 → $1.33 (break-even, 25% cap); retag → Conversions</t>
        </is>
      </c>
      <c r="AJ25" s="22" t="inlineStr">
        <is>
          <t>86.6% ACoS, 9 orders on 130 clicks (CC 31 Aug–29 Sep) vs Queen Black break-even 17.8%; BE base = $5.03 contribution (Queen Black) × 6.9% CVR = $0.35; cap 25% cut.</t>
        </is>
      </c>
      <c r="AK25" s="2" t="inlineStr">
        <is>
          <t>seq 2074 retag correct to Conversions; seq 2884 rename CHANGE; seq 1453 state hold → correct: cut the bid</t>
        </is>
      </c>
      <c r="AL25" s="22" t="inlineStr">
        <is>
          <t>MAINTAIN · score 37</t>
        </is>
      </c>
    </row>
    <row r="26">
      <c r="A26" s="2" t="inlineStr">
        <is>
          <t>238180925389130</t>
        </is>
      </c>
      <c r="B26" s="2" t="inlineStr">
        <is>
          <t>D-S4-SP-queen size silk sheets-(Silk)-MSV-Exact-Rank-DO-SATIN-QUEEN-BLACK</t>
        </is>
      </c>
      <c r="C26" s="2" t="inlineStr">
        <is>
          <t>queen satin sheets [exact, $1.99, 107 clicks]; queen bed sheet set silk satin [exact, $0.50]; queen comforter sets with sheets and pillows [exact, paused, $1.25]; queen fitted sheet deep pocket satin [exact, $0.50]; queen fitted sheet pillow case satin taupe [exact, $0.50]; queen size silk sheets [exact, $0.50]</t>
        </is>
      </c>
      <c r="D26" s="2" t="inlineStr">
        <is>
          <t>queen satin sheets</t>
        </is>
      </c>
      <c r="E26" s="2" t="inlineStr">
        <is>
          <t>ENABLED</t>
        </is>
      </c>
      <c r="F26" s="2" t="inlineStr">
        <is>
          <t>Ranking</t>
        </is>
      </c>
      <c r="G26" s="2" t="inlineStr">
        <is>
          <t>Ranking</t>
        </is>
      </c>
      <c r="H26" s="2" t="inlineStr">
        <is>
          <t>Satin|Queen</t>
        </is>
      </c>
      <c r="I26" s="2" t="inlineStr">
        <is>
          <t>Exact</t>
        </is>
      </c>
      <c r="J26" s="2" t="inlineStr">
        <is>
          <t>SATIN-QUEEN-BLACK</t>
        </is>
      </c>
      <c r="K26" s="2" t="inlineStr">
        <is>
          <t>SATIN-QUEEN-BLACK</t>
        </is>
      </c>
      <c r="L26" s="2" t="inlineStr">
        <is>
          <t>$1.99</t>
        </is>
      </c>
      <c r="M26" s="2" t="inlineStr">
        <is>
          <t>$1.49</t>
        </is>
      </c>
      <c r="N26" s="2" t="n">
        <v>30</v>
      </c>
      <c r="O26" s="2" t="n">
        <v>56</v>
      </c>
      <c r="P26" s="21" t="n">
        <v>2.59</v>
      </c>
      <c r="Q26" s="21" t="n">
        <v>2.33</v>
      </c>
      <c r="R26" s="2" t="n">
        <v>0</v>
      </c>
      <c r="S26" s="2" t="n">
        <v>0</v>
      </c>
      <c r="T26" s="2" t="n">
        <v>0</v>
      </c>
      <c r="U26" s="2" t="n">
        <v>0</v>
      </c>
      <c r="V26" s="21" t="n">
        <v>10</v>
      </c>
      <c r="W26" s="21" t="n">
        <v>10</v>
      </c>
      <c r="X26" s="2" t="inlineStr">
        <is>
          <t>ENABLED</t>
        </is>
      </c>
      <c r="Y26" s="2" t="inlineStr">
        <is>
          <t>none</t>
        </is>
      </c>
      <c r="Z26" s="2" t="inlineStr">
        <is>
          <t>defer — engine name wrong (SKU token SATIN-QUEEN-BLACK); load a corrected name after 28 Oct</t>
        </is>
      </c>
      <c r="AA26" s="21" t="n">
        <v>228.69</v>
      </c>
      <c r="AB26" s="2" t="n">
        <v>107</v>
      </c>
      <c r="AC26" s="2" t="n">
        <v>27</v>
      </c>
      <c r="AD26" s="2" t="n">
        <v>27</v>
      </c>
      <c r="AE26" s="2" t="n">
        <v>37.38</v>
      </c>
      <c r="AF26" s="2" t="n">
        <v>57.94</v>
      </c>
      <c r="AG26" s="2" t="n">
        <v>48</v>
      </c>
      <c r="AH26" s="2" t="inlineStr">
        <is>
          <t>Mix fix + price cut</t>
        </is>
      </c>
      <c r="AI26" s="22" t="inlineStr">
        <is>
          <t>Mix fix in one write: base $1.99 → $1.49, boost → 56% (top of search $2.59 → $2.33); target "queen satin sheets"; 27.0% ACoS vs Queen Black 22.5%; product pages 58%</t>
        </is>
      </c>
      <c r="AJ26" s="22" t="inlineStr">
        <is>
          <t>No run decision and no issue found; 27.0% ACoS on 27 orders / 107 clicks (CC 31 Aug–29 Sep). Note: above break-even with no pricing row in the run; price at the next cycle unless it is chosen for the ranking push.</t>
        </is>
      </c>
      <c r="AK26" s="2" t="inlineStr">
        <is>
          <t>seq 1808 child: reject — keep SATIN-QUEEN-BLACK; seq 2888 rename CHANGE</t>
        </is>
      </c>
      <c r="AL26" s="22" t="n"/>
    </row>
    <row r="27">
      <c r="A27" s="2" t="inlineStr">
        <is>
          <t>244008066214488</t>
        </is>
      </c>
      <c r="B27" s="2" t="inlineStr">
        <is>
          <t>D-S4-satin bed sheets full - [Satin|Full] - Exact - Ran - DO - SATIN-FULL-BLACK</t>
        </is>
      </c>
      <c r="C27" s="2" t="inlineStr">
        <is>
          <t>satin bed sheets full [exact, $1.14, 63 clicks]</t>
        </is>
      </c>
      <c r="D27" s="2" t="inlineStr">
        <is>
          <t>satin bed sheets full</t>
        </is>
      </c>
      <c r="E27" s="2" t="inlineStr">
        <is>
          <t>ENABLED</t>
        </is>
      </c>
      <c r="F27" s="2" t="inlineStr">
        <is>
          <t>Ranking</t>
        </is>
      </c>
      <c r="G27" s="2" t="inlineStr">
        <is>
          <t>Ranking</t>
        </is>
      </c>
      <c r="H27" s="2" t="inlineStr">
        <is>
          <t>OUT</t>
        </is>
      </c>
      <c r="I27" s="2" t="inlineStr">
        <is>
          <t>Exact</t>
        </is>
      </c>
      <c r="J27" s="2" t="inlineStr">
        <is>
          <t>SATIN-FULL-BLACK</t>
        </is>
      </c>
      <c r="K27" s="2" t="inlineStr">
        <is>
          <t>SATIN-FULL-BLACK</t>
        </is>
      </c>
      <c r="L27" s="2" t="inlineStr">
        <is>
          <t>$1.14</t>
        </is>
      </c>
      <c r="M27" s="2" t="inlineStr">
        <is>
          <t>$0.93</t>
        </is>
      </c>
      <c r="N27" s="2" t="n">
        <v>300</v>
      </c>
      <c r="O27" s="2" t="n">
        <v>300</v>
      </c>
      <c r="P27" s="21" t="n">
        <v>4.56</v>
      </c>
      <c r="Q27" s="21" t="n">
        <v>3.72</v>
      </c>
      <c r="R27" s="2" t="n">
        <v>0</v>
      </c>
      <c r="S27" s="2" t="n">
        <v>0</v>
      </c>
      <c r="T27" s="2" t="n">
        <v>0</v>
      </c>
      <c r="U27" s="2" t="n">
        <v>0</v>
      </c>
      <c r="V27" s="21" t="n">
        <v>9.529999999999999</v>
      </c>
      <c r="W27" s="21" t="n">
        <v>9.529999999999999</v>
      </c>
      <c r="X27" s="2" t="inlineStr">
        <is>
          <t>ENABLED</t>
        </is>
      </c>
      <c r="Y27" s="2" t="inlineStr">
        <is>
          <t>none</t>
        </is>
      </c>
      <c r="Z27" s="2" t="inlineStr">
        <is>
          <t>defer — engine name wrong (SKU token SATIN-FULL-BLACK); load a corrected name after 28 Oct</t>
        </is>
      </c>
      <c r="AA27" s="21" t="n">
        <v>198.58</v>
      </c>
      <c r="AB27" s="2" t="n">
        <v>63</v>
      </c>
      <c r="AC27" s="2" t="n">
        <v>11</v>
      </c>
      <c r="AD27" s="2" t="n">
        <v>60.6</v>
      </c>
      <c r="AE27" s="2" t="n">
        <v>95.23999999999999</v>
      </c>
      <c r="AF27" s="2" t="n">
        <v>1.59</v>
      </c>
      <c r="AG27" s="2" t="n">
        <v>16</v>
      </c>
      <c r="AH27" s="2" t="inlineStr">
        <is>
          <t>Price cut</t>
        </is>
      </c>
      <c r="AI27" s="22" t="inlineStr">
        <is>
          <t>Cut base 18% ($1.14 → $0.93)</t>
        </is>
      </c>
      <c r="AJ27" s="22" t="inlineStr">
        <is>
          <t>60.6% ACoS on 11 orders / 63 clicks (CC 31 Aug–29 Sep). PROTECT −10% leaves TOS at $4.12, still above the engine's market bound of $3.74. The row is at 2.17× BE with 11 orders. $0.93 × 4.00 = $3.72, a −18% cut, inside the cap.</t>
        </is>
      </c>
      <c r="AK27" s="2" t="inlineStr">
        <is>
          <t>seq 74 bid: correct to 0.93; seq 1806 child: reject — keep SATIN-FULL-BLACK; seq 2886 rename CHANGE; seq 71 TOS hold → correct: cut (delivered by the base cut, TOS % kept)</t>
        </is>
      </c>
      <c r="AL27" s="22" t="n"/>
    </row>
    <row r="28">
      <c r="A28" s="2" t="inlineStr">
        <is>
          <t>224280280721130</t>
        </is>
      </c>
      <c r="B28" s="2" t="inlineStr">
        <is>
          <t>D-S4-silk twin bed sheets - [Silk|Twin] - Exact - Ran - DO - SATIN-TWIN-BLACK-NEW</t>
        </is>
      </c>
      <c r="C28" s="2" t="inlineStr">
        <is>
          <t>silk twin bed sheets [exact, $1.29, 58 clicks]</t>
        </is>
      </c>
      <c r="D28" s="2" t="inlineStr">
        <is>
          <t>silk twin bed sheets</t>
        </is>
      </c>
      <c r="E28" s="2" t="inlineStr">
        <is>
          <t>PAUSED</t>
        </is>
      </c>
      <c r="F28" s="2" t="inlineStr">
        <is>
          <t>Ranking</t>
        </is>
      </c>
      <c r="G28" s="2" t="inlineStr">
        <is>
          <t>Ranking</t>
        </is>
      </c>
      <c r="H28" s="2" t="inlineStr">
        <is>
          <t>OUT</t>
        </is>
      </c>
      <c r="I28" s="2" t="inlineStr">
        <is>
          <t>Exact</t>
        </is>
      </c>
      <c r="J28" s="2" t="inlineStr">
        <is>
          <t>SATIN-TWIN-BLACK-NEW</t>
        </is>
      </c>
      <c r="K28" s="2" t="inlineStr">
        <is>
          <t>SATIN-TWIN-BLACK-NEW</t>
        </is>
      </c>
      <c r="L28" s="2" t="inlineStr">
        <is>
          <t>$1.29</t>
        </is>
      </c>
      <c r="M28" s="2" t="inlineStr">
        <is>
          <t>$1.29</t>
        </is>
      </c>
      <c r="N28" s="2" t="n">
        <v>300</v>
      </c>
      <c r="O28" s="2" t="n">
        <v>300</v>
      </c>
      <c r="P28" s="21" t="n">
        <v>5.16</v>
      </c>
      <c r="Q28" s="21" t="n">
        <v>5.16</v>
      </c>
      <c r="R28" s="2" t="n">
        <v>0</v>
      </c>
      <c r="S28" s="2" t="n">
        <v>0</v>
      </c>
      <c r="T28" s="2" t="n">
        <v>0</v>
      </c>
      <c r="U28" s="2" t="n">
        <v>0</v>
      </c>
      <c r="V28" s="21" t="n">
        <v>15</v>
      </c>
      <c r="W28" s="21" t="n">
        <v>15</v>
      </c>
      <c r="X28" s="2" t="inlineStr">
        <is>
          <t>ENABLED</t>
        </is>
      </c>
      <c r="Y28" s="2" t="inlineStr">
        <is>
          <t>none</t>
        </is>
      </c>
      <c r="Z28" s="2" t="inlineStr">
        <is>
          <t>load (clean): DSS4-SP-Silk Twin Bed Sheets-[Silk|Twin]-(LSV)-Exact-(Ranking)-DO-SATIN-TWIN-BLACK-NEW</t>
        </is>
      </c>
      <c r="AA28" s="21" t="n">
        <v>196.59</v>
      </c>
      <c r="AB28" s="2" t="n">
        <v>58</v>
      </c>
      <c r="AC28" s="2" t="n">
        <v>9</v>
      </c>
      <c r="AD28" s="2" t="n">
        <v>78.5</v>
      </c>
      <c r="AE28" s="2" t="n">
        <v>100</v>
      </c>
      <c r="AF28" s="2" t="n">
        <v>0</v>
      </c>
      <c r="AG28" s="2" t="n">
        <v>25</v>
      </c>
      <c r="AH28" s="2" t="inlineStr">
        <is>
          <t>Restart</t>
        </is>
      </c>
      <c r="AI28" s="22" t="inlineStr">
        <is>
          <t>RESTART after the Twin Black listing check: the silk twin bed sheets exact was paused outside the tuner (last served 22 Sep; rank 8 → 100 on 24 Sep). Keep base $1.29 and boost +300%</t>
        </is>
      </c>
      <c r="AJ28" s="22" t="inlineStr">
        <is>
          <t>78.5% ACoS on 9 orders / 58 clicks (CC 31 Aug–29 Sep). Revive rejected: 30d ACoS 78.5%. The child is a 3-pc set with 66 units and 33 days of cover (SB, out ~1 Nov).</t>
        </is>
      </c>
      <c r="AK28" s="2" t="inlineStr">
        <is>
          <t>seq 2816 structure: hold; seq 2890 rename LOAD</t>
        </is>
      </c>
      <c r="AL28" s="22" t="n"/>
    </row>
    <row r="29">
      <c r="A29" s="2" t="inlineStr">
        <is>
          <t>152138103637187</t>
        </is>
      </c>
      <c r="B29" s="2" t="inlineStr">
        <is>
          <t>D-S4-SP-satin sheets king-(Satin)-HSV-Phrase-Disc-DO-SATIN-4PC-KING-GREY</t>
        </is>
      </c>
      <c r="C29" s="2" t="inlineStr">
        <is>
          <t>satin sheets king [phrase, $1.90]; satin sheets king [phrase, $1.90]</t>
        </is>
      </c>
      <c r="D29" s="2" t="inlineStr">
        <is>
          <t>satin sheets king</t>
        </is>
      </c>
      <c r="E29" s="2" t="inlineStr">
        <is>
          <t>ENABLED</t>
        </is>
      </c>
      <c r="F29" s="2" t="inlineStr">
        <is>
          <t>Discovery</t>
        </is>
      </c>
      <c r="G29" s="2" t="inlineStr">
        <is>
          <t>Discovery</t>
        </is>
      </c>
      <c r="H29" s="2" t="n"/>
      <c r="I29" s="2" t="inlineStr">
        <is>
          <t>Phrase</t>
        </is>
      </c>
      <c r="J29" s="2" t="inlineStr">
        <is>
          <t>SATIN-4PC-KING-GREY</t>
        </is>
      </c>
      <c r="K29" s="2" t="inlineStr">
        <is>
          <t>SATIN-4PC-KING-GREY</t>
        </is>
      </c>
      <c r="L29" s="2" t="inlineStr">
        <is>
          <t>$1.90</t>
        </is>
      </c>
      <c r="M29" s="2" t="inlineStr">
        <is>
          <t>$1.42</t>
        </is>
      </c>
      <c r="N29" s="2" t="n">
        <v>50</v>
      </c>
      <c r="O29" s="2" t="n">
        <v>50</v>
      </c>
      <c r="P29" s="21" t="n">
        <v>2.85</v>
      </c>
      <c r="Q29" s="21" t="n">
        <v>2.13</v>
      </c>
      <c r="R29" s="2" t="n"/>
      <c r="S29" s="2" t="n"/>
      <c r="T29" s="2" t="n"/>
      <c r="U29" s="2" t="n"/>
      <c r="V29" s="21" t="n">
        <v>15</v>
      </c>
      <c r="W29" s="21" t="n">
        <v>15</v>
      </c>
      <c r="X29" s="2" t="inlineStr">
        <is>
          <t>ENABLED</t>
        </is>
      </c>
      <c r="Y29" s="2" t="inlineStr">
        <is>
          <t>add negative exact: satin sheets king</t>
        </is>
      </c>
      <c r="Z29" s="2" t="inlineStr">
        <is>
          <t>load (clean): DSS4-SP-Satin Sheets King-[Satin|King]-(MSV)-Phrase-(Discovery)-DO-SATIN-4PC-KING-GREY</t>
        </is>
      </c>
      <c r="AA29" s="21" t="n">
        <v>189.86</v>
      </c>
      <c r="AB29" s="2" t="n">
        <v>79</v>
      </c>
      <c r="AC29" s="2" t="n">
        <v>12</v>
      </c>
      <c r="AD29" s="2" t="n">
        <v>44.5</v>
      </c>
      <c r="AE29" s="2" t="n">
        <v>74.68000000000001</v>
      </c>
      <c r="AF29" s="2" t="n">
        <v>10.13</v>
      </c>
      <c r="AG29" s="2" t="n">
        <v>21</v>
      </c>
      <c r="AH29" s="2" t="inlineStr">
        <is>
          <t>Release hold + price to break-even</t>
        </is>
      </c>
      <c r="AI29" s="22" t="inlineStr">
        <is>
          <t>Release hold; cut base $1.90 → $1.42</t>
        </is>
      </c>
      <c r="AJ29" s="22" t="inlineStr">
        <is>
          <t>44.5% ACoS, 12 orders on 79 clicks (CC 31 Aug–29 Sep) vs King Grey break-even 15.3%; BE base = $4.93 contribution (King Grey) × 15.2% CVR = $0.75; cap 25% cut.</t>
        </is>
      </c>
      <c r="AK29" s="2" t="inlineStr">
        <is>
          <t>seq 2875 rename LOAD; seq 1723,1972 NOT SERVING hold(s) → release; price to break-even (our addition, reviewer D)</t>
        </is>
      </c>
      <c r="AL29" s="22" t="n"/>
    </row>
    <row r="30">
      <c r="A30" s="2" t="inlineStr">
        <is>
          <t>246449445739132</t>
        </is>
      </c>
      <c r="B30" s="2" t="inlineStr">
        <is>
          <t>D-S4-full satin sheets set - [Satin|Full] - Exact - Ran - DO - SATIN-FULL-BLACK</t>
        </is>
      </c>
      <c r="C30" s="2" t="inlineStr">
        <is>
          <t>full satin sheets set [exact, $1.10, 55 clicks]</t>
        </is>
      </c>
      <c r="D30" s="2" t="inlineStr">
        <is>
          <t>full satin sheets set</t>
        </is>
      </c>
      <c r="E30" s="2" t="inlineStr">
        <is>
          <t>ENABLED</t>
        </is>
      </c>
      <c r="F30" s="2" t="inlineStr">
        <is>
          <t>Ranking</t>
        </is>
      </c>
      <c r="G30" s="2" t="inlineStr">
        <is>
          <t>Ranking</t>
        </is>
      </c>
      <c r="H30" s="2" t="inlineStr">
        <is>
          <t>OUT</t>
        </is>
      </c>
      <c r="I30" s="2" t="inlineStr">
        <is>
          <t>Exact</t>
        </is>
      </c>
      <c r="J30" s="2" t="inlineStr">
        <is>
          <t>SATIN-FULL-BLACK</t>
        </is>
      </c>
      <c r="K30" s="2" t="inlineStr">
        <is>
          <t>SATIN-FULL-BLACK</t>
        </is>
      </c>
      <c r="L30" s="2" t="inlineStr">
        <is>
          <t>$1.10</t>
        </is>
      </c>
      <c r="M30" s="2" t="inlineStr">
        <is>
          <t>$0.99</t>
        </is>
      </c>
      <c r="N30" s="2" t="n">
        <v>300</v>
      </c>
      <c r="O30" s="2" t="n">
        <v>300</v>
      </c>
      <c r="P30" s="21" t="n">
        <v>4.4</v>
      </c>
      <c r="Q30" s="21" t="n">
        <v>3.96</v>
      </c>
      <c r="R30" s="2" t="n">
        <v>0</v>
      </c>
      <c r="S30" s="2" t="n">
        <v>0</v>
      </c>
      <c r="T30" s="2" t="n">
        <v>0</v>
      </c>
      <c r="U30" s="2" t="n">
        <v>0</v>
      </c>
      <c r="V30" s="21" t="n">
        <v>9.699999999999999</v>
      </c>
      <c r="W30" s="21" t="n">
        <v>9.699999999999999</v>
      </c>
      <c r="X30" s="2" t="inlineStr">
        <is>
          <t>ENABLED</t>
        </is>
      </c>
      <c r="Y30" s="2" t="inlineStr">
        <is>
          <t>none</t>
        </is>
      </c>
      <c r="Z30" s="2" t="inlineStr">
        <is>
          <t>defer — engine name wrong (SKU token SATIN-FULL-BLACK); load a corrected name after 28 Oct</t>
        </is>
      </c>
      <c r="AA30" s="21" t="n">
        <v>187.29</v>
      </c>
      <c r="AB30" s="2" t="n">
        <v>55</v>
      </c>
      <c r="AC30" s="2" t="n">
        <v>15</v>
      </c>
      <c r="AD30" s="2" t="n">
        <v>43</v>
      </c>
      <c r="AE30" s="2" t="n">
        <v>98.18000000000001</v>
      </c>
      <c r="AF30" s="2" t="n">
        <v>0</v>
      </c>
      <c r="AG30" s="2" t="n">
        <v>20</v>
      </c>
      <c r="AH30" s="2" t="inlineStr">
        <is>
          <t>Price cut</t>
        </is>
      </c>
      <c r="AI30" s="22" t="inlineStr">
        <is>
          <t>Cut base 10% ($1.10 → $0.99)</t>
        </is>
      </c>
      <c r="AJ30" s="22" t="inlineStr">
        <is>
          <t>43.0% ACoS on 15 orders / 55 clicks (CC 31 Aug–29 Sep) vs Full Black break-even 27.5%; audit row loads as written (review 40 agrees).</t>
        </is>
      </c>
      <c r="AK30" s="2" t="inlineStr">
        <is>
          <t>seq 84 bid: agree with review 40; seq 1807 child: reject — keep SATIN-FULL-BLACK; seq 2887 rename CHANGE; seq 81 TOS hold → correct: cut (delivered by the base cut, TOS % kept)</t>
        </is>
      </c>
      <c r="AL30" s="22" t="n"/>
    </row>
    <row r="31">
      <c r="A31" s="2" t="inlineStr">
        <is>
          <t>189967409565927</t>
        </is>
      </c>
      <c r="B31" s="23" t="inlineStr">
        <is>
          <t>D-S4-satin sheets king size - [Satin|King] - Exact - Ran - DO - SATIN-4PC-KING-GREY</t>
        </is>
      </c>
      <c r="C31" s="2" t="inlineStr">
        <is>
          <t>satin sheets king size [exact]</t>
        </is>
      </c>
      <c r="D31" s="23" t="inlineStr">
        <is>
          <t>satin sheets king size</t>
        </is>
      </c>
      <c r="E31" s="2" t="inlineStr">
        <is>
          <t>ENABLED</t>
        </is>
      </c>
      <c r="F31" s="2" t="inlineStr">
        <is>
          <t>Ranking</t>
        </is>
      </c>
      <c r="G31" s="2" t="inlineStr">
        <is>
          <t>Ranking</t>
        </is>
      </c>
      <c r="H31" s="2" t="inlineStr">
        <is>
          <t>Satin|King</t>
        </is>
      </c>
      <c r="I31" s="2" t="inlineStr">
        <is>
          <t>Exact</t>
        </is>
      </c>
      <c r="J31" s="2" t="inlineStr">
        <is>
          <t>SATIN-4PC-KING-GREY</t>
        </is>
      </c>
      <c r="K31" s="2" t="inlineStr">
        <is>
          <t>SATIN-4PC-KING-GREY</t>
        </is>
      </c>
      <c r="L31" s="2" t="inlineStr">
        <is>
          <t>n/a (no target bid in audit)</t>
        </is>
      </c>
      <c r="M31" s="2" t="inlineStr">
        <is>
          <t>n/a</t>
        </is>
      </c>
      <c r="N31" s="2" t="n">
        <v>60</v>
      </c>
      <c r="O31" s="2" t="n">
        <v>60</v>
      </c>
      <c r="P31" s="21" t="n"/>
      <c r="Q31" s="21" t="n"/>
      <c r="R31" s="2" t="n"/>
      <c r="S31" s="2" t="n"/>
      <c r="T31" s="2" t="n"/>
      <c r="U31" s="2" t="n"/>
      <c r="V31" s="21" t="n">
        <v>20</v>
      </c>
      <c r="W31" s="21" t="n">
        <v>20</v>
      </c>
      <c r="X31" s="2" t="inlineStr">
        <is>
          <t>ENABLED</t>
        </is>
      </c>
      <c r="Y31" s="2" t="inlineStr">
        <is>
          <t>add negative exact: satin sheets king</t>
        </is>
      </c>
      <c r="Z31" s="2" t="inlineStr">
        <is>
          <t>load (clean): DSS4-SP-Satin Sheets King Size-[Satin|King]-(LSV)-Exact-(Ranking)-DO-SATIN-4PC-KING-GREY</t>
        </is>
      </c>
      <c r="AA31" s="21" t="n">
        <v>167.72</v>
      </c>
      <c r="AB31" s="2" t="n">
        <v>81</v>
      </c>
      <c r="AC31" s="2" t="n">
        <v>12</v>
      </c>
      <c r="AD31" s="2" t="n">
        <v>45.4</v>
      </c>
      <c r="AE31" s="2" t="n">
        <v>67.90000000000001</v>
      </c>
      <c r="AF31" s="2" t="n">
        <v>7.41</v>
      </c>
      <c r="AG31" s="2" t="n">
        <v>44</v>
      </c>
      <c r="AH31" s="2" t="inlineStr">
        <is>
          <t>Ranking push</t>
        </is>
      </c>
      <c r="AI31" s="24" t="inlineStr">
        <is>
          <t>HOLD AT TARGET satin sheets king size (#2): hold TOS $2.51 (+60%) through 28 Oct; after 11 Nov probe TOS −3–5%</t>
        </is>
      </c>
      <c r="AJ31" s="22" t="inlineStr">
        <is>
          <t>Clean rename (SKU token and objective match what the campaign advertises); 45.4% ACoS on 12 orders / 81 clicks (CC 31 Aug–29 Sep). Note: above break-even with no pricing row in the run; price at the next cycle unless it is chosen for the ranking push.</t>
        </is>
      </c>
      <c r="AK31" s="2" t="inlineStr">
        <is>
          <t>seq 2077 retag LOAD; seq 2899 rename LOAD</t>
        </is>
      </c>
      <c r="AL31" s="24" t="inlineStr">
        <is>
          <t>HOLD-AT-TARGET · score 80 · 0.8 TOS clicks/day · TOS $2.51 · $2/day · loss $7.86/order full price</t>
        </is>
      </c>
    </row>
    <row r="32">
      <c r="A32" s="2" t="inlineStr">
        <is>
          <t>173283715685585</t>
        </is>
      </c>
      <c r="B32" s="2" t="inlineStr">
        <is>
          <t>D-S4-full silk bed sheets - [Silk|Full] - Exact - Ran - DO - SATIN-FULL-BLACK</t>
        </is>
      </c>
      <c r="C32" s="2" t="inlineStr">
        <is>
          <t>full silk bed sheets [exact, $1.45, 57 clicks]</t>
        </is>
      </c>
      <c r="D32" s="2" t="inlineStr">
        <is>
          <t>full silk bed sheets</t>
        </is>
      </c>
      <c r="E32" s="2" t="inlineStr">
        <is>
          <t>ENABLED</t>
        </is>
      </c>
      <c r="F32" s="2" t="inlineStr">
        <is>
          <t>Ranking</t>
        </is>
      </c>
      <c r="G32" s="2" t="inlineStr">
        <is>
          <t>Ranking</t>
        </is>
      </c>
      <c r="H32" s="2" t="inlineStr">
        <is>
          <t>OUT</t>
        </is>
      </c>
      <c r="I32" s="2" t="inlineStr">
        <is>
          <t>Exact</t>
        </is>
      </c>
      <c r="J32" s="2" t="inlineStr">
        <is>
          <t>SATIN-FULL-BLACK</t>
        </is>
      </c>
      <c r="K32" s="2" t="inlineStr">
        <is>
          <t>SATIN-FULL-BLACK</t>
        </is>
      </c>
      <c r="L32" s="2" t="inlineStr">
        <is>
          <t>$1.45</t>
        </is>
      </c>
      <c r="M32" s="2" t="inlineStr">
        <is>
          <t>$1.09</t>
        </is>
      </c>
      <c r="N32" s="2" t="n">
        <v>120</v>
      </c>
      <c r="O32" s="2" t="n">
        <v>120</v>
      </c>
      <c r="P32" s="21" t="n">
        <v>3.19</v>
      </c>
      <c r="Q32" s="21" t="n">
        <v>2.4</v>
      </c>
      <c r="R32" s="2" t="n">
        <v>0</v>
      </c>
      <c r="S32" s="2" t="n">
        <v>0</v>
      </c>
      <c r="T32" s="2" t="n">
        <v>0</v>
      </c>
      <c r="U32" s="2" t="n">
        <v>0</v>
      </c>
      <c r="V32" s="21" t="n">
        <v>11.29</v>
      </c>
      <c r="W32" s="21" t="n">
        <v>5.65</v>
      </c>
      <c r="X32" s="2" t="inlineStr">
        <is>
          <t>ENABLED</t>
        </is>
      </c>
      <c r="Y32" s="2" t="inlineStr">
        <is>
          <t>none</t>
        </is>
      </c>
      <c r="Z32" s="2" t="inlineStr">
        <is>
          <t>defer — engine name wrong (SKU token SATIN-FULL-BLACK); load a corrected name after 28 Oct</t>
        </is>
      </c>
      <c r="AA32" s="21" t="n">
        <v>162.64</v>
      </c>
      <c r="AB32" s="2" t="n">
        <v>57</v>
      </c>
      <c r="AC32" s="2" t="n">
        <v>14</v>
      </c>
      <c r="AD32" s="2" t="n">
        <v>39.8</v>
      </c>
      <c r="AE32" s="2" t="n">
        <v>98.25</v>
      </c>
      <c r="AF32" s="2" t="n">
        <v>0</v>
      </c>
      <c r="AG32" s="2" t="n">
        <v>26</v>
      </c>
      <c r="AH32" s="2" t="inlineStr">
        <is>
          <t>Price cut</t>
        </is>
      </c>
      <c r="AI32" s="22" t="inlineStr">
        <is>
          <t>Cut base 25% ($1.45 → $1.09); Budget $11.29 → $5.65</t>
        </is>
      </c>
      <c r="AJ32" s="22" t="inlineStr">
        <is>
          <t>39.8% ACoS on 14 orders / 57 clicks (CC 31 Aug–29 Sep). The written −29.7% breaks the team's 25% base-cut cap for a target with real sales (14 orders on 57 clicks, audit read). No orders at risk are named.</t>
        </is>
      </c>
      <c r="AK32" s="2" t="inlineStr">
        <is>
          <t>seq 85 budget: agree with review 40; seq 86 tos: drop (hold 120); seq 89 bid: correct to 1.09; seq 1810 child: reject — keep SATIN-FULL-BLACK; seq 2893 rename CHANGE</t>
        </is>
      </c>
      <c r="AL32" s="22" t="n"/>
    </row>
    <row r="33">
      <c r="A33" s="2" t="inlineStr">
        <is>
          <t>48825734993999</t>
        </is>
      </c>
      <c r="B33" s="2" t="inlineStr">
        <is>
          <t>D-S4-SP-EXACT-queen silk sheet-Silk|Queen-SATIN-QUEEN-BLACK</t>
        </is>
      </c>
      <c r="C33" s="2" t="inlineStr">
        <is>
          <t>queen silk sheet [exact]</t>
        </is>
      </c>
      <c r="D33" s="2" t="inlineStr">
        <is>
          <t>queen silk sheet</t>
        </is>
      </c>
      <c r="E33" s="2" t="inlineStr">
        <is>
          <t>ENABLED</t>
        </is>
      </c>
      <c r="F33" s="2" t="inlineStr">
        <is>
          <t>Ranking</t>
        </is>
      </c>
      <c r="G33" s="2" t="inlineStr">
        <is>
          <t>Ranking</t>
        </is>
      </c>
      <c r="H33" s="2" t="n"/>
      <c r="I33" s="2" t="inlineStr">
        <is>
          <t>Exact</t>
        </is>
      </c>
      <c r="J33" s="2" t="inlineStr">
        <is>
          <t>SATIN-QUEEN-BLACK</t>
        </is>
      </c>
      <c r="K33" s="2" t="inlineStr">
        <is>
          <t>SATIN-QUEEN-BLACK</t>
        </is>
      </c>
      <c r="L33" s="2" t="inlineStr">
        <is>
          <t>$1.86</t>
        </is>
      </c>
      <c r="M33" s="2" t="inlineStr">
        <is>
          <t>$1.40</t>
        </is>
      </c>
      <c r="N33" s="2" t="n">
        <v>0</v>
      </c>
      <c r="O33" s="2" t="n">
        <v>19</v>
      </c>
      <c r="P33" s="21" t="n">
        <v>1.86</v>
      </c>
      <c r="Q33" s="21" t="n">
        <v>1.67</v>
      </c>
      <c r="R33" s="2" t="n"/>
      <c r="S33" s="2" t="n"/>
      <c r="T33" s="2" t="n"/>
      <c r="U33" s="2" t="n">
        <v>0</v>
      </c>
      <c r="V33" s="21" t="n">
        <v>10</v>
      </c>
      <c r="W33" s="21" t="n">
        <v>10</v>
      </c>
      <c r="X33" s="2" t="inlineStr">
        <is>
          <t>ENABLED</t>
        </is>
      </c>
      <c r="Y33" s="2" t="inlineStr">
        <is>
          <t>none</t>
        </is>
      </c>
      <c r="Z33" s="2" t="inlineStr">
        <is>
          <t>defer — engine name wrong (SKU token SATIN-QUEEN-BLACK); load a corrected name after 28 Oct</t>
        </is>
      </c>
      <c r="AA33" s="21" t="n">
        <v>151.01</v>
      </c>
      <c r="AB33" s="2" t="n">
        <v>81</v>
      </c>
      <c r="AC33" s="2" t="n">
        <v>9</v>
      </c>
      <c r="AD33" s="2" t="n">
        <v>56.4</v>
      </c>
      <c r="AE33" s="2" t="n">
        <v>30.86</v>
      </c>
      <c r="AF33" s="2" t="n">
        <v>56.79</v>
      </c>
      <c r="AG33" s="2" t="n">
        <v>17</v>
      </c>
      <c r="AH33" s="2" t="inlineStr">
        <is>
          <t>Mix fix + price cut</t>
        </is>
      </c>
      <c r="AI33" s="22" t="inlineStr">
        <is>
          <t>Mix fix in one write: base $1.86 → $1.40, boost → 19% (top of search $1.86 → $1.67); rest of search 20% → 0%; 56.4% ACoS vs Queen Black 22.5%; product pages 57%</t>
        </is>
      </c>
      <c r="AJ33" s="22" t="inlineStr">
        <is>
          <t>No run decision and no issue found; 56.4% ACoS on 9 orders / 81 clicks (CC 31 Aug–29 Sep). Note: above break-even with no pricing row in the run; price at the next cycle unless it is chosen for the ranking push.</t>
        </is>
      </c>
      <c r="AK33" s="2" t="inlineStr">
        <is>
          <t>seq 1820 child: reject — keep SATIN-QUEEN-BLACK; seq 2086 retag LOAD; seq 2913 rename CHANGE</t>
        </is>
      </c>
      <c r="AL33" s="22" t="n"/>
    </row>
    <row r="34">
      <c r="A34" s="2" t="inlineStr">
        <is>
          <t>208595143922254</t>
        </is>
      </c>
      <c r="B34" s="2" t="inlineStr">
        <is>
          <t>D-S4-SP-AUTO-CATCH ALL</t>
        </is>
      </c>
      <c r="C34" s="2" t="inlineStr">
        <is>
          <t>complements [auto, $0.78]</t>
        </is>
      </c>
      <c r="D34" s="2" t="inlineStr">
        <is>
          <t>complements</t>
        </is>
      </c>
      <c r="E34" s="2" t="inlineStr">
        <is>
          <t>ENABLED</t>
        </is>
      </c>
      <c r="F34" s="2" t="inlineStr">
        <is>
          <t>Discovery</t>
        </is>
      </c>
      <c r="G34" s="2" t="inlineStr">
        <is>
          <t>Discovery</t>
        </is>
      </c>
      <c r="H34" s="2" t="n"/>
      <c r="I34" s="2" t="inlineStr">
        <is>
          <t>Auto</t>
        </is>
      </c>
      <c r="J34" s="2" t="inlineStr">
        <is>
          <t>SATIN-QUEEN-GREY</t>
        </is>
      </c>
      <c r="K34" s="2" t="inlineStr">
        <is>
          <t>SATIN-QUEEN-GREY</t>
        </is>
      </c>
      <c r="L34" s="2" t="inlineStr">
        <is>
          <t>$0.78</t>
        </is>
      </c>
      <c r="M34" s="2" t="inlineStr">
        <is>
          <t>$0.58</t>
        </is>
      </c>
      <c r="N34" s="2" t="n">
        <v>0</v>
      </c>
      <c r="O34" s="2" t="n">
        <v>0</v>
      </c>
      <c r="P34" s="21" t="n">
        <v>0.78</v>
      </c>
      <c r="Q34" s="21" t="n">
        <v>0.58</v>
      </c>
      <c r="R34" s="2" t="n"/>
      <c r="S34" s="2" t="n"/>
      <c r="T34" s="2" t="n"/>
      <c r="U34" s="2" t="n"/>
      <c r="V34" s="21" t="n">
        <v>100</v>
      </c>
      <c r="W34" s="21" t="n">
        <v>100</v>
      </c>
      <c r="X34" s="2" t="inlineStr">
        <is>
          <t>ENABLED</t>
        </is>
      </c>
      <c r="Y34" s="2" t="inlineStr">
        <is>
          <t>hold seq 1792 (terms not named); add 9 negatives (seq 2273) · negative product target B0839MKJMV</t>
        </is>
      </c>
      <c r="Z34" s="2" t="inlineStr">
        <is>
          <t>load (clean): DSS4-SP-Auto-(AUTO)-Auto-(Discovery)-DO-SATIN-QUEEN-GREY</t>
        </is>
      </c>
      <c r="AA34" s="21" t="n">
        <v>146.82</v>
      </c>
      <c r="AB34" s="2" t="n">
        <v>231</v>
      </c>
      <c r="AC34" s="2" t="n">
        <v>13</v>
      </c>
      <c r="AD34" s="2" t="n">
        <v>40.3</v>
      </c>
      <c r="AE34" s="2" t="n">
        <v>1.73</v>
      </c>
      <c r="AF34" s="2" t="n">
        <v>61.47</v>
      </c>
      <c r="AG34" s="2" t="n">
        <v>141</v>
      </c>
      <c r="AH34" s="2" t="inlineStr">
        <is>
          <t>Release hold + price to break-even</t>
        </is>
      </c>
      <c r="AI34" s="22" t="inlineStr">
        <is>
          <t>Release hold; cut base $0.78 → $0.58</t>
        </is>
      </c>
      <c r="AJ34" s="22" t="inlineStr">
        <is>
          <t>40.3% ACoS, 13 orders on 231 clicks (CC 31 Aug–29 Sep) vs Queen Grey break-even 11.2%; BE base = $3.28 contribution (Queen Grey) × 5.6% CVR = $0.18; cap 25% cut.</t>
        </is>
      </c>
      <c r="AK34" s="2" t="inlineStr">
        <is>
          <t>seq 1792 negatives: flag: unverifiable; seq 2080 retag LOAD; seq 2273 negatives: agree with review 40; seq 2903 rename LOAD; seq 1732 NOT SERVING hold(s) → release; price to break-even (our addition, reviewer D)</t>
        </is>
      </c>
      <c r="AL34" s="22" t="n"/>
    </row>
    <row r="35">
      <c r="A35" s="2" t="inlineStr">
        <is>
          <t>167888639670385</t>
        </is>
      </c>
      <c r="B35" s="23" t="inlineStr">
        <is>
          <t>D-S4-SP-EXACT-silk sheets king size-Silk|King-SATIN-4PC-KING-GREY</t>
        </is>
      </c>
      <c r="C35" s="2" t="inlineStr">
        <is>
          <t>silk sheets king size [exact]</t>
        </is>
      </c>
      <c r="D35" s="23" t="inlineStr">
        <is>
          <t>silk sheets king size (buys the search term: silk sheets king)</t>
        </is>
      </c>
      <c r="E35" s="2" t="inlineStr">
        <is>
          <t>ENABLED</t>
        </is>
      </c>
      <c r="F35" s="2" t="inlineStr">
        <is>
          <t>Ranking</t>
        </is>
      </c>
      <c r="G35" s="2" t="inlineStr">
        <is>
          <t>Ranking</t>
        </is>
      </c>
      <c r="H35" s="2" t="n"/>
      <c r="I35" s="2" t="inlineStr">
        <is>
          <t>Exact</t>
        </is>
      </c>
      <c r="J35" s="2" t="inlineStr">
        <is>
          <t>SATIN-4PC-KING-GREY</t>
        </is>
      </c>
      <c r="K35" s="2" t="inlineStr">
        <is>
          <t>SATIN-4PC-KING-GREY</t>
        </is>
      </c>
      <c r="L35" s="2" t="inlineStr">
        <is>
          <t>$1.50</t>
        </is>
      </c>
      <c r="M35" s="2" t="inlineStr">
        <is>
          <t>$1.12</t>
        </is>
      </c>
      <c r="N35" s="2" t="n">
        <v>0</v>
      </c>
      <c r="O35" s="2" t="n">
        <v>34</v>
      </c>
      <c r="P35" s="21" t="n">
        <v>1.5</v>
      </c>
      <c r="Q35" s="21" t="n">
        <v>1.5</v>
      </c>
      <c r="R35" s="2" t="n"/>
      <c r="S35" s="2" t="n"/>
      <c r="T35" s="2" t="n"/>
      <c r="U35" s="2" t="n">
        <v>0</v>
      </c>
      <c r="V35" s="21" t="n">
        <v>10</v>
      </c>
      <c r="W35" s="21" t="n">
        <v>10</v>
      </c>
      <c r="X35" s="2" t="inlineStr">
        <is>
          <t>ENABLED</t>
        </is>
      </c>
      <c r="Y35" s="2" t="inlineStr">
        <is>
          <t>none</t>
        </is>
      </c>
      <c r="Z35" s="2" t="inlineStr">
        <is>
          <t>load (clean): DSS4-SP-Silk Sheets King Size-[Silk|King]-(LSV)-Exact-(Ranking)-DO-SATIN-4PC-KING-GREY</t>
        </is>
      </c>
      <c r="AA35" s="21" t="n">
        <v>144.79</v>
      </c>
      <c r="AB35" s="2" t="n">
        <v>84</v>
      </c>
      <c r="AC35" s="2" t="n">
        <v>15</v>
      </c>
      <c r="AD35" s="2" t="n">
        <v>28.7</v>
      </c>
      <c r="AE35" s="2" t="n">
        <v>15.48</v>
      </c>
      <c r="AF35" s="2" t="n">
        <v>1.19</v>
      </c>
      <c r="AG35" s="2" t="n">
        <v>20</v>
      </c>
      <c r="AH35" s="2" t="inlineStr">
        <is>
          <t>Ranking push</t>
        </is>
      </c>
      <c r="AI35" s="24" t="inlineStr">
        <is>
          <t>Mix fix in one write: base $1.50 → $1.12, boost → 34% (top of search $1.50 → $1.50); rest of search 20% → 0% (83% of clicks); FIX FIRST silk sheets king (#40): get 70% of clicks to the top before any push</t>
        </is>
      </c>
      <c r="AJ35" s="22" t="inlineStr">
        <is>
          <t>Clean rename (SKU token and objective match what the campaign advertises); 28.7% ACoS on 15 orders / 84 clicks (CC 31 Aug–29 Sep). Note: above break-even with no pricing row in the run; price at the next cycle unless it is chosen for the ranking push.</t>
        </is>
      </c>
      <c r="AK35" s="2" t="inlineStr">
        <is>
          <t>seq 2083 retag LOAD; seq 2909 rename LOAD</t>
        </is>
      </c>
      <c r="AL35" s="24" t="inlineStr">
        <is>
          <t>FIX-FIRST · score 50 · TOS 15% of clicks · ceiling $0.74</t>
        </is>
      </c>
    </row>
    <row r="36">
      <c r="A36" s="2" t="inlineStr">
        <is>
          <t>162964778769639</t>
        </is>
      </c>
      <c r="B36" s="2" t="inlineStr">
        <is>
          <t>SSS4-PHRASE-(silk sheet set)-Browse Kws Migr.</t>
        </is>
      </c>
      <c r="C36" s="2" t="inlineStr">
        <is>
          <t>silk sheet set [phrase, $1.01]; silk sheet set [phrase, $2.00]</t>
        </is>
      </c>
      <c r="D36" s="2" t="inlineStr">
        <is>
          <t>silk sheet set</t>
        </is>
      </c>
      <c r="E36" s="2" t="inlineStr">
        <is>
          <t>ENABLED</t>
        </is>
      </c>
      <c r="F36" s="2" t="inlineStr">
        <is>
          <t>Discovery</t>
        </is>
      </c>
      <c r="G36" s="2" t="inlineStr">
        <is>
          <t>Discovery</t>
        </is>
      </c>
      <c r="H36" s="2" t="n"/>
      <c r="I36" s="2" t="inlineStr">
        <is>
          <t>Phrase</t>
        </is>
      </c>
      <c r="J36" s="2" t="inlineStr">
        <is>
          <t>SATIN-QUEEN-BLACK</t>
        </is>
      </c>
      <c r="K36" s="2" t="inlineStr">
        <is>
          <t>SATIN-QUEEN-BLACK</t>
        </is>
      </c>
      <c r="L36" s="2" t="inlineStr">
        <is>
          <t>$1.01</t>
        </is>
      </c>
      <c r="M36" s="2" t="inlineStr">
        <is>
          <t>$0.76</t>
        </is>
      </c>
      <c r="N36" s="2" t="n">
        <v>0</v>
      </c>
      <c r="O36" s="2" t="n">
        <v>0</v>
      </c>
      <c r="P36" s="21" t="n">
        <v>1.01</v>
      </c>
      <c r="Q36" s="21" t="n">
        <v>0.76</v>
      </c>
      <c r="R36" s="2" t="n"/>
      <c r="S36" s="2" t="n"/>
      <c r="T36" s="2" t="n"/>
      <c r="U36" s="2" t="n"/>
      <c r="V36" s="21" t="n">
        <v>30</v>
      </c>
      <c r="W36" s="21" t="n">
        <v>30</v>
      </c>
      <c r="X36" s="2" t="inlineStr">
        <is>
          <t>ENABLED</t>
        </is>
      </c>
      <c r="Y36" s="2" t="inlineStr">
        <is>
          <t>hold seq 1794 (terms not named); add 1 negatives (seq 2275) · add negative exact: queen silk sheets set; king size silk sheets set</t>
        </is>
      </c>
      <c r="Z36" s="2" t="inlineStr">
        <is>
          <t>load (clean): DSS4-SP-Silk Sheet Set-[Silk]-(LSV)-Phrase-(Discovery)-DO-SATIN-QUEEN-BLACK</t>
        </is>
      </c>
      <c r="AA36" s="21" t="n">
        <v>143.73</v>
      </c>
      <c r="AB36" s="2" t="n">
        <v>106</v>
      </c>
      <c r="AC36" s="2" t="n">
        <v>9</v>
      </c>
      <c r="AD36" s="2" t="n">
        <v>53.9</v>
      </c>
      <c r="AE36" s="2" t="n">
        <v>34.29</v>
      </c>
      <c r="AF36" s="2" t="n">
        <v>13.33</v>
      </c>
      <c r="AG36" s="2" t="n">
        <v>61</v>
      </c>
      <c r="AH36" s="2" t="inlineStr">
        <is>
          <t>Release hold + price to break-even</t>
        </is>
      </c>
      <c r="AI36" s="22" t="inlineStr">
        <is>
          <t>Release hold; cut base $1.01 → $0.76</t>
        </is>
      </c>
      <c r="AJ36" s="22" t="inlineStr">
        <is>
          <t>53.9% ACoS, 9 orders on 106 clicks (CC 31 Aug–29 Sep) vs Queen Black break-even 17.8%; BE base = $5.03 contribution (Queen Black) × 8.5% CVR = $0.43; cap 25% cut.</t>
        </is>
      </c>
      <c r="AK36" s="2" t="inlineStr">
        <is>
          <t>seq 1794 negatives: flag: unverifiable; seq 2101 retag LOAD; seq 2275 negatives: agree with review 40; seq 2942 rename LOAD; seq 1743 NOT SERVING hold(s) → release; price to break-even (our addition, reviewer D)</t>
        </is>
      </c>
      <c r="AL36" s="22" t="n"/>
    </row>
    <row r="37">
      <c r="A37" s="2" t="inlineStr">
        <is>
          <t>47024149807888</t>
        </is>
      </c>
      <c r="B37" s="2" t="inlineStr">
        <is>
          <t>D-S4-SP-PHRASE-silk bedsheets-Silk-SATIN-QUEEN-GREY</t>
        </is>
      </c>
      <c r="C37" s="2" t="inlineStr">
        <is>
          <t>silk bedsheets [phrase, $1.50]; silk bedsheets [phrase, $1.50]</t>
        </is>
      </c>
      <c r="D37" s="2" t="inlineStr">
        <is>
          <t>whole campaign</t>
        </is>
      </c>
      <c r="E37" s="2" t="inlineStr">
        <is>
          <t>ENABLED</t>
        </is>
      </c>
      <c r="F37" s="2" t="inlineStr">
        <is>
          <t>Discovery</t>
        </is>
      </c>
      <c r="G37" s="2" t="inlineStr">
        <is>
          <t>Discovery</t>
        </is>
      </c>
      <c r="H37" s="2" t="n"/>
      <c r="I37" s="2" t="inlineStr">
        <is>
          <t>Phrase</t>
        </is>
      </c>
      <c r="J37" s="2" t="inlineStr">
        <is>
          <t>SATIN-QUEEN-GREY</t>
        </is>
      </c>
      <c r="K37" s="2" t="inlineStr">
        <is>
          <t>SATIN-QUEEN-GREY</t>
        </is>
      </c>
      <c r="L37" s="2" t="inlineStr">
        <is>
          <t>$1.50</t>
        </is>
      </c>
      <c r="M37" s="2" t="inlineStr">
        <is>
          <t>$1.50</t>
        </is>
      </c>
      <c r="N37" s="2" t="n">
        <v>0</v>
      </c>
      <c r="O37" s="2" t="n">
        <v>0</v>
      </c>
      <c r="P37" s="21" t="n">
        <v>1.5</v>
      </c>
      <c r="Q37" s="21" t="n">
        <v>1.5</v>
      </c>
      <c r="R37" s="2" t="n"/>
      <c r="S37" s="2" t="n"/>
      <c r="T37" s="2" t="n"/>
      <c r="U37" s="2" t="n"/>
      <c r="V37" s="21" t="n">
        <v>5</v>
      </c>
      <c r="W37" s="21" t="n">
        <v>5</v>
      </c>
      <c r="X37" s="2" t="inlineStr">
        <is>
          <t>PAUSED</t>
        </is>
      </c>
      <c r="Y37" s="2" t="inlineStr">
        <is>
          <t>none</t>
        </is>
      </c>
      <c r="Z37" s="2" t="inlineStr">
        <is>
          <t>none</t>
        </is>
      </c>
      <c r="AA37" s="21" t="n">
        <v>143.6</v>
      </c>
      <c r="AB37" s="2" t="n">
        <v>87</v>
      </c>
      <c r="AC37" s="2" t="n">
        <v>9</v>
      </c>
      <c r="AD37" s="2" t="n">
        <v>55.8</v>
      </c>
      <c r="AE37" s="2" t="n">
        <v>10.34</v>
      </c>
      <c r="AF37" s="2" t="n">
        <v>27.59</v>
      </c>
      <c r="AG37" s="2" t="n">
        <v>11</v>
      </c>
      <c r="AH37" s="2" t="inlineStr">
        <is>
          <t>Pause</t>
        </is>
      </c>
      <c r="AI37" s="22" t="inlineStr">
        <is>
          <t>Pause (seq 2859)</t>
        </is>
      </c>
      <c r="AJ37" s="22" t="inlineStr">
        <is>
          <t>55.8% ACoS on 9 orders / 87 clicks (CC 31 Aug–29 Sep). Second discovery campaign in its family (fold = pause; only negatives move).</t>
        </is>
      </c>
      <c r="AK37" s="2" t="inlineStr">
        <is>
          <t>seq 2859 structure: agree with review 40; seq 1728 NOT SERVING hold(s) moot — campaign paused</t>
        </is>
      </c>
      <c r="AL37" s="22" t="n"/>
    </row>
    <row r="38">
      <c r="A38" s="2" t="inlineStr">
        <is>
          <t>24229225667028</t>
        </is>
      </c>
      <c r="B38" s="2" t="inlineStr">
        <is>
          <t>D-S4-SP-queen sheet silk-(Silk)-LSV-Exact-Rank-DO-SATIN-WHITE-QUEEN</t>
        </is>
      </c>
      <c r="C38" s="2" t="inlineStr">
        <is>
          <t>silk fitted sheet [exact, $1.68, 25 clicks]; queen sheet silk [exact, $1.83, 18 clicks]; queen bed sheet silk [exact, $1.35, 8 clicks]; satin silk sheet set queen [exact, $1.90]; silk bed sheet [exact, paused, $1.41]; silk bedsheet [exact, paused, $2.66]; silk sheet [exact, paused, $3.17]</t>
        </is>
      </c>
      <c r="D38" s="2" t="inlineStr">
        <is>
          <t>117005423745524; 13334085515870; 46784893351913; 77370120349440</t>
        </is>
      </c>
      <c r="E38" s="2" t="inlineStr">
        <is>
          <t>ENABLED</t>
        </is>
      </c>
      <c r="F38" s="2" t="inlineStr">
        <is>
          <t>Ranking</t>
        </is>
      </c>
      <c r="G38" s="2" t="inlineStr">
        <is>
          <t>Ranking</t>
        </is>
      </c>
      <c r="H38" s="2" t="inlineStr">
        <is>
          <t>OUT</t>
        </is>
      </c>
      <c r="I38" s="2" t="inlineStr">
        <is>
          <t>Exact</t>
        </is>
      </c>
      <c r="J38" s="2" t="inlineStr">
        <is>
          <t>SATIN-QUEEN-BLACK</t>
        </is>
      </c>
      <c r="K38" s="2" t="inlineStr">
        <is>
          <t>SATIN-QUEEN-BLACK</t>
        </is>
      </c>
      <c r="L38" s="2" t="inlineStr">
        <is>
          <t>$1.68 / $1.83 / $1.35 / $1.90 / $1.68 / $1.83 / $1.35 / $1.90</t>
        </is>
      </c>
      <c r="M38" s="2" t="inlineStr">
        <is>
          <t>$1.68 / $1.83 / $1.35 / $1.90 / $1.26 / $1.37 / $1.01 / $1.43</t>
        </is>
      </c>
      <c r="N38" s="2" t="n">
        <v>100</v>
      </c>
      <c r="O38" s="2" t="n">
        <v>100</v>
      </c>
      <c r="P38" s="21" t="n">
        <v>3.36</v>
      </c>
      <c r="Q38" s="21" t="n">
        <v>3.36</v>
      </c>
      <c r="R38" s="2" t="n">
        <v>0</v>
      </c>
      <c r="S38" s="2" t="n">
        <v>0</v>
      </c>
      <c r="T38" s="2" t="n">
        <v>0</v>
      </c>
      <c r="U38" s="2" t="n">
        <v>0</v>
      </c>
      <c r="V38" s="21" t="n">
        <v>10</v>
      </c>
      <c r="W38" s="21" t="n">
        <v>5</v>
      </c>
      <c r="X38" s="2" t="inlineStr">
        <is>
          <t>ENABLED</t>
        </is>
      </c>
      <c r="Y38" s="2" t="inlineStr">
        <is>
          <t>none</t>
        </is>
      </c>
      <c r="Z38" s="2" t="inlineStr">
        <is>
          <t>defer — engine name wrong (SKU token SATIN-QUEEN-BLACK); load a corrected name after 28 Oct</t>
        </is>
      </c>
      <c r="AA38" s="21" t="n">
        <v>142.72</v>
      </c>
      <c r="AB38" s="2" t="n">
        <v>51</v>
      </c>
      <c r="AC38" s="2" t="n">
        <v>9</v>
      </c>
      <c r="AD38" s="2" t="n">
        <v>52.6</v>
      </c>
      <c r="AE38" s="2" t="n">
        <v>86.27</v>
      </c>
      <c r="AF38" s="2" t="n">
        <v>11.76</v>
      </c>
      <c r="AG38" s="2" t="n">
        <v>31</v>
      </c>
      <c r="AH38" s="2" t="inlineStr">
        <is>
          <t>Price cut</t>
        </is>
      </c>
      <c r="AI38" s="22" t="inlineStr">
        <is>
          <t>Cut base 25% ($1.68 / $1.83 / $1.35 / $1.90 / $1.68 / $1.83 / $1.35 / $1.90 → $1.68 / $1.83 / $1.35 / $1.90 / $1.26 / $1.37 / $1.01 / $1.43); Budget $10 → $5</t>
        </is>
      </c>
      <c r="AJ38" s="22" t="inlineStr">
        <is>
          <t>52.6% ACoS on 9 orders / 51 clicks (CC 31 Aug–29 Sep). Cuts of −29.6% to −30.1% on targets with 1, 5 and 3 orders break the 25% cap. With the modifier at 100% the TOS price still falls 25%. Mix is right: 86% TOS, 12% PP (CC 30d).</t>
        </is>
      </c>
      <c r="AK38" s="2" t="inlineStr">
        <is>
          <t>seq 90 budget: agree with review 40; seq 91 tos: drop (hold 100); seq 94 bid: correct to 1.26/1.37/1.01/1.43; seq 95 bid: correct to 1.26/1.37/1.01/1.43; seq 96 bid: correct to 1.26/1.37/1.01/1.43; seq 97 bid: correct to 1.26/1.37/1.01/1.43; seq 1805 child: reject — keep SATIN-QUEEN-BLACK; seq 2885 rename CHANGE</t>
        </is>
      </c>
      <c r="AL38" s="22" t="n"/>
    </row>
    <row r="39">
      <c r="A39" s="2" t="inlineStr">
        <is>
          <t>173446552008266</t>
        </is>
      </c>
      <c r="B39" s="23" t="inlineStr">
        <is>
          <t>D-S4-satin queen sheets set - [Satin|Queen] - Exact - Ran - DO - SATIN-QUEEN-BLACK</t>
        </is>
      </c>
      <c r="C39" s="2" t="inlineStr">
        <is>
          <t>satin queen sheets set [exact]</t>
        </is>
      </c>
      <c r="D39" s="23" t="inlineStr">
        <is>
          <t>satin queen sheets set</t>
        </is>
      </c>
      <c r="E39" s="2" t="inlineStr">
        <is>
          <t>ENABLED</t>
        </is>
      </c>
      <c r="F39" s="2" t="inlineStr">
        <is>
          <t>Ranking</t>
        </is>
      </c>
      <c r="G39" s="2" t="inlineStr">
        <is>
          <t>Ranking</t>
        </is>
      </c>
      <c r="H39" s="2" t="inlineStr">
        <is>
          <t>Satin|Queen</t>
        </is>
      </c>
      <c r="I39" s="2" t="inlineStr">
        <is>
          <t>Exact</t>
        </is>
      </c>
      <c r="J39" s="2" t="inlineStr">
        <is>
          <t>SATIN-QUEEN-BLACK</t>
        </is>
      </c>
      <c r="K39" s="2" t="inlineStr">
        <is>
          <t>SATIN-QUEEN-BLACK</t>
        </is>
      </c>
      <c r="L39" s="2" t="inlineStr">
        <is>
          <t>$1.65</t>
        </is>
      </c>
      <c r="M39" s="2" t="inlineStr">
        <is>
          <t>$1.24</t>
        </is>
      </c>
      <c r="N39" s="2" t="n">
        <v>30</v>
      </c>
      <c r="O39" s="2" t="n">
        <v>73</v>
      </c>
      <c r="P39" s="21" t="n">
        <v>2.15</v>
      </c>
      <c r="Q39" s="21" t="n">
        <v>2.15</v>
      </c>
      <c r="R39" s="2" t="n"/>
      <c r="S39" s="2" t="n"/>
      <c r="T39" s="2" t="n"/>
      <c r="U39" s="2" t="n">
        <v>0</v>
      </c>
      <c r="V39" s="21" t="n">
        <v>14.13</v>
      </c>
      <c r="W39" s="21" t="n">
        <v>14.13</v>
      </c>
      <c r="X39" s="2" t="inlineStr">
        <is>
          <t>ENABLED</t>
        </is>
      </c>
      <c r="Y39" s="2" t="inlineStr">
        <is>
          <t>none</t>
        </is>
      </c>
      <c r="Z39" s="2" t="inlineStr">
        <is>
          <t>defer — engine name wrong (SKU token SATIN-QUEEN-BLACK); load a corrected name after 28 Oct</t>
        </is>
      </c>
      <c r="AA39" s="21" t="n">
        <v>139.09</v>
      </c>
      <c r="AB39" s="2" t="n">
        <v>77</v>
      </c>
      <c r="AC39" s="2" t="n">
        <v>6</v>
      </c>
      <c r="AD39" s="2" t="n">
        <v>75.7</v>
      </c>
      <c r="AE39" s="2" t="n">
        <v>49.35</v>
      </c>
      <c r="AF39" s="2" t="n">
        <v>41.56</v>
      </c>
      <c r="AG39" s="2" t="n">
        <v>44</v>
      </c>
      <c r="AH39" s="2" t="inlineStr">
        <is>
          <t>Ranking push</t>
        </is>
      </c>
      <c r="AI39" s="24" t="inlineStr">
        <is>
          <t>Mix fix in one write: base $1.65 → $1.24, boost → 73% (top of search $2.15 → $2.15); PUSH-SMALL satin queen sheets set (8 → 3): hold the top-of-search price; product pages 42%</t>
        </is>
      </c>
      <c r="AJ39" s="22" t="inlineStr">
        <is>
          <t>No run decision and no issue found; 75.7% ACoS on 6 orders / 77 clicks (CC 31 Aug–29 Sep). Note: above break-even with no pricing row in the run; price at the next cycle unless it is chosen for the ranking push.</t>
        </is>
      </c>
      <c r="AK39" s="2" t="inlineStr">
        <is>
          <t>seq 1815 child: reject — keep SATIN-QUEEN-BLACK; seq 2079 retag LOAD; seq 2902 rename CHANGE</t>
        </is>
      </c>
      <c r="AL39" s="24" t="inlineStr">
        <is>
          <t>PUSH-SMALL · score 50 · 1.7 TOS clicks/day (now 1.2) · TOS $2.03 · $5/day · loss $4.01/order full price, $8.86 deal</t>
        </is>
      </c>
    </row>
    <row r="40">
      <c r="A40" s="2" t="inlineStr">
        <is>
          <t>50488152164936</t>
        </is>
      </c>
      <c r="B40" s="2" t="inlineStr">
        <is>
          <t>D-S4-SP-satin sheets for queen-(Satin)-HSV-Exact-Rank-DO-SATIN-QUEEN-BLACK</t>
        </is>
      </c>
      <c r="C40" s="2" t="inlineStr">
        <is>
          <t>satin sheets for queen [exact, $1.42, 53 clicks]</t>
        </is>
      </c>
      <c r="D40" s="2" t="inlineStr">
        <is>
          <t>satin sheets for queen (buys the search term: satin sheets queen)</t>
        </is>
      </c>
      <c r="E40" s="2" t="inlineStr">
        <is>
          <t>ENABLED</t>
        </is>
      </c>
      <c r="F40" s="2" t="inlineStr">
        <is>
          <t>Ranking</t>
        </is>
      </c>
      <c r="G40" s="2" t="inlineStr">
        <is>
          <t>Ranking</t>
        </is>
      </c>
      <c r="H40" s="2" t="inlineStr">
        <is>
          <t>OUT</t>
        </is>
      </c>
      <c r="I40" s="2" t="inlineStr">
        <is>
          <t>Exact</t>
        </is>
      </c>
      <c r="J40" s="2" t="inlineStr">
        <is>
          <t>SATIN-QUEEN-BLACK</t>
        </is>
      </c>
      <c r="K40" s="2" t="inlineStr">
        <is>
          <t>SATIN-QUEEN-BLACK</t>
        </is>
      </c>
      <c r="L40" s="2" t="inlineStr">
        <is>
          <t>$1.42</t>
        </is>
      </c>
      <c r="M40" s="2" t="inlineStr">
        <is>
          <t>$1.07</t>
        </is>
      </c>
      <c r="N40" s="2" t="n">
        <v>120</v>
      </c>
      <c r="O40" s="2" t="n">
        <v>163</v>
      </c>
      <c r="P40" s="21" t="n">
        <v>3.12</v>
      </c>
      <c r="Q40" s="21" t="n">
        <v>2.81</v>
      </c>
      <c r="R40" s="2" t="n">
        <v>0</v>
      </c>
      <c r="S40" s="2" t="n">
        <v>0</v>
      </c>
      <c r="T40" s="2" t="n">
        <v>5</v>
      </c>
      <c r="U40" s="2" t="n">
        <v>0</v>
      </c>
      <c r="V40" s="21" t="n">
        <v>9</v>
      </c>
      <c r="W40" s="21" t="n">
        <v>5</v>
      </c>
      <c r="X40" s="2" t="inlineStr">
        <is>
          <t>ENABLED</t>
        </is>
      </c>
      <c r="Y40" s="2" t="inlineStr">
        <is>
          <t>add negative exact: satin sheets queen; satin sheets queen size</t>
        </is>
      </c>
      <c r="Z40" s="2" t="inlineStr">
        <is>
          <t>defer — engine name wrong (SKU token SATIN-QUEEN-BLACK); load a corrected name after 28 Oct</t>
        </is>
      </c>
      <c r="AA40" s="21" t="n">
        <v>132.41</v>
      </c>
      <c r="AB40" s="2" t="n">
        <v>53</v>
      </c>
      <c r="AC40" s="2" t="n">
        <v>10</v>
      </c>
      <c r="AD40" s="2" t="n">
        <v>42.7</v>
      </c>
      <c r="AE40" s="2" t="n">
        <v>69.81</v>
      </c>
      <c r="AF40" s="2" t="n">
        <v>28.3</v>
      </c>
      <c r="AG40" s="2" t="n">
        <v>29</v>
      </c>
      <c r="AH40" s="2" t="inlineStr">
        <is>
          <t>Mix fix + price cut</t>
        </is>
      </c>
      <c r="AI40" s="22" t="inlineStr">
        <is>
          <t>Mix fix in one write: base $1.42 → $1.07, boost → 163% (top of search $3.12 → $2.81); rest of search 5% → 0%; 42.7% ACoS vs Queen Black 22.5%; product pages 28%</t>
        </is>
      </c>
      <c r="AJ40" s="22" t="inlineStr">
        <is>
          <t>42.7% ACoS on 10 orders / 53 clicks (CC 31 Aug–29 Sep). −25% base with the modifier at 120% gives TOS $2.35 and PP $1.07. The TOS:PP ratio stays 2.2 instead of dropping to 1.83.</t>
        </is>
      </c>
      <c r="AK40" s="2" t="inlineStr">
        <is>
          <t>seq 101 budget: pass (flag); seq 102 tos: drop (hold 120); seq 104 ros: flag: take the cuts only after closing tuner record 2848 as…; seq 105 bid: correct to 1.07; seq 1812 child: reject — keep SATIN-QUEEN-BLACK; seq 2897 rename CHANGE</t>
        </is>
      </c>
      <c r="AL40" s="22" t="inlineStr">
        <is>
          <t>MAINTAIN · score 49</t>
        </is>
      </c>
    </row>
    <row r="41">
      <c r="A41" s="2" t="inlineStr">
        <is>
          <t>152302990884047</t>
        </is>
      </c>
      <c r="B41" s="2" t="inlineStr">
        <is>
          <t>D-S4-silk queen bed sheets set - [Silk|Queen] - Exact - Ran - DO - SATIN-QUEEN-BLACK</t>
        </is>
      </c>
      <c r="C41" s="2" t="inlineStr">
        <is>
          <t>silk queen bed sheets set [exact]</t>
        </is>
      </c>
      <c r="D41" s="2" t="inlineStr">
        <is>
          <t>silk queen bed sheets set</t>
        </is>
      </c>
      <c r="E41" s="2" t="inlineStr">
        <is>
          <t>ENABLED</t>
        </is>
      </c>
      <c r="F41" s="2" t="inlineStr">
        <is>
          <t>Ranking</t>
        </is>
      </c>
      <c r="G41" s="2" t="inlineStr">
        <is>
          <t>Ranking</t>
        </is>
      </c>
      <c r="H41" s="2" t="inlineStr">
        <is>
          <t>Silk|Queen</t>
        </is>
      </c>
      <c r="I41" s="2" t="inlineStr">
        <is>
          <t>Exact</t>
        </is>
      </c>
      <c r="J41" s="2" t="inlineStr">
        <is>
          <t>SATIN-QUEEN-BLACK</t>
        </is>
      </c>
      <c r="K41" s="2" t="inlineStr">
        <is>
          <t>SATIN-QUEEN-BLACK</t>
        </is>
      </c>
      <c r="L41" s="2" t="inlineStr">
        <is>
          <t>$1.50</t>
        </is>
      </c>
      <c r="M41" s="2" t="inlineStr">
        <is>
          <t>$1.12</t>
        </is>
      </c>
      <c r="N41" s="2" t="n">
        <v>30</v>
      </c>
      <c r="O41" s="2" t="n">
        <v>57</v>
      </c>
      <c r="P41" s="21" t="n">
        <v>1.95</v>
      </c>
      <c r="Q41" s="21" t="n">
        <v>1.76</v>
      </c>
      <c r="R41" s="2" t="n"/>
      <c r="S41" s="2" t="n"/>
      <c r="T41" s="2" t="n"/>
      <c r="U41" s="2" t="n">
        <v>0</v>
      </c>
      <c r="V41" s="21" t="n">
        <v>10.92</v>
      </c>
      <c r="W41" s="21" t="n">
        <v>10.92</v>
      </c>
      <c r="X41" s="2" t="inlineStr">
        <is>
          <t>ENABLED</t>
        </is>
      </c>
      <c r="Y41" s="2" t="inlineStr">
        <is>
          <t>none</t>
        </is>
      </c>
      <c r="Z41" s="2" t="inlineStr">
        <is>
          <t>defer — engine name wrong (SKU token SATIN-QUEEN-BLACK); load a corrected name after 28 Oct</t>
        </is>
      </c>
      <c r="AA41" s="21" t="n">
        <v>132.08</v>
      </c>
      <c r="AB41" s="2" t="n">
        <v>75</v>
      </c>
      <c r="AC41" s="2" t="n">
        <v>10</v>
      </c>
      <c r="AD41" s="2" t="n">
        <v>43.5</v>
      </c>
      <c r="AE41" s="2" t="n">
        <v>62.67</v>
      </c>
      <c r="AF41" s="2" t="n">
        <v>36</v>
      </c>
      <c r="AG41" s="2" t="n">
        <v>43</v>
      </c>
      <c r="AH41" s="2" t="inlineStr">
        <is>
          <t>Mix fix + price cut</t>
        </is>
      </c>
      <c r="AI41" s="22" t="inlineStr">
        <is>
          <t>Mix fix in one write: base $1.50 → $1.12, boost → 57% (top of search $1.95 → $1.76); release the hold; 43.5% ACoS vs Queen Black 22.5%; product pages 36%</t>
        </is>
      </c>
      <c r="AJ41" s="22" t="inlineStr">
        <is>
          <t>43.5% ACoS, 10 orders on 75 clicks (CC 31 Aug–29 Sep) vs Queen Black break-even 17.8%; BE base = $5.03 contribution (Queen Black) × 13.3% CVR = $0.67; cap 25% cut.</t>
        </is>
      </c>
      <c r="AK41" s="2" t="inlineStr">
        <is>
          <t>seq 1814 child: reject — keep SATIN-QUEEN-BLACK; seq 2078 retag LOAD; seq 2901 rename CHANGE; seq 1977 NOT SERVING hold(s) → release; price to break-even (our addition, reviewer D)</t>
        </is>
      </c>
      <c r="AL41" s="22" t="inlineStr">
        <is>
          <t>MAINTAIN · score 32</t>
        </is>
      </c>
    </row>
    <row r="42">
      <c r="A42" s="2" t="inlineStr">
        <is>
          <t>217109942552945</t>
        </is>
      </c>
      <c r="B42" s="2" t="inlineStr">
        <is>
          <t>D-S4-SP-queen sheets silk-(Silk)-MSV-Broad-Disc-DO-SATIN-QUEEN-GREY</t>
        </is>
      </c>
      <c r="C42" s="2" t="inlineStr">
        <is>
          <t>queen sheets silk [broad, $1.27]; queen sheets silk [broad, $1.27]</t>
        </is>
      </c>
      <c r="D42" s="2" t="inlineStr">
        <is>
          <t>queen sheets silk</t>
        </is>
      </c>
      <c r="E42" s="2" t="inlineStr">
        <is>
          <t>ENABLED</t>
        </is>
      </c>
      <c r="F42" s="2" t="inlineStr">
        <is>
          <t>Discovery</t>
        </is>
      </c>
      <c r="G42" s="2" t="inlineStr">
        <is>
          <t>Discovery</t>
        </is>
      </c>
      <c r="H42" s="2" t="n"/>
      <c r="I42" s="2" t="inlineStr">
        <is>
          <t>Broad</t>
        </is>
      </c>
      <c r="J42" s="2" t="inlineStr">
        <is>
          <t>SATIN-QUEEN-BLACK</t>
        </is>
      </c>
      <c r="K42" s="2" t="inlineStr">
        <is>
          <t>SATIN-QUEEN-BLACK</t>
        </is>
      </c>
      <c r="L42" s="2" t="inlineStr">
        <is>
          <t>$1.27</t>
        </is>
      </c>
      <c r="M42" s="2" t="inlineStr">
        <is>
          <t>$0.95</t>
        </is>
      </c>
      <c r="N42" s="2" t="n">
        <v>10</v>
      </c>
      <c r="O42" s="2" t="n">
        <v>10</v>
      </c>
      <c r="P42" s="21" t="n">
        <v>1.4</v>
      </c>
      <c r="Q42" s="21" t="n">
        <v>1.04</v>
      </c>
      <c r="R42" s="2" t="n"/>
      <c r="S42" s="2" t="n"/>
      <c r="T42" s="2" t="n"/>
      <c r="U42" s="2" t="n"/>
      <c r="V42" s="21" t="n">
        <v>5</v>
      </c>
      <c r="W42" s="21" t="n">
        <v>5</v>
      </c>
      <c r="X42" s="2" t="inlineStr">
        <is>
          <t>ENABLED</t>
        </is>
      </c>
      <c r="Y42" s="2" t="inlineStr">
        <is>
          <t>hold seq 1790 (terms not named); add 4 negatives (seq 2261) · add negative exact: king silk sheets; satin bed sheets queen</t>
        </is>
      </c>
      <c r="Z42" s="2" t="inlineStr">
        <is>
          <t>none</t>
        </is>
      </c>
      <c r="AA42" s="21" t="n">
        <v>118.62</v>
      </c>
      <c r="AB42" s="2" t="n">
        <v>89</v>
      </c>
      <c r="AC42" s="2" t="n">
        <v>11</v>
      </c>
      <c r="AD42" s="2" t="n">
        <v>34.7</v>
      </c>
      <c r="AE42" s="2" t="n">
        <v>49.44</v>
      </c>
      <c r="AF42" s="2" t="n">
        <v>13.48</v>
      </c>
      <c r="AG42" s="2" t="n">
        <v>92</v>
      </c>
      <c r="AH42" s="2" t="inlineStr">
        <is>
          <t>Release hold + price to break-even</t>
        </is>
      </c>
      <c r="AI42" s="22" t="inlineStr">
        <is>
          <t>Release hold; cut base $1.27 → $0.95; Keep enabled (fold held)</t>
        </is>
      </c>
      <c r="AJ42" s="22" t="inlineStr">
        <is>
          <t>34.7% ACoS on 11 orders / 89 clicks (CC 31 Aug–29 Sep). The survivors are smaller (e.g. 2849: 215 orders folded into a 14-order survivor, 90d). 2857 repeats review 28's 2868.</t>
        </is>
      </c>
      <c r="AK42" s="2" t="inlineStr">
        <is>
          <t>seq 1790 negatives: flag: unverifiable; seq 2261 negatives: agree with review 40; seq 2857 structure: hold (agree); seq 1726,1974 NOT SERVING hold(s) → release; price to break-even (our addition, reviewer D)</t>
        </is>
      </c>
      <c r="AL42" s="22" t="n"/>
    </row>
    <row r="43">
      <c r="A43" s="2" t="inlineStr">
        <is>
          <t>4187663354432</t>
        </is>
      </c>
      <c r="B43" s="2" t="inlineStr">
        <is>
          <t>D-S4-SP-silk sheets-(Silk)-HSV-Broad-Disc-DO-SATIN-FULL-GREY</t>
        </is>
      </c>
      <c r="C43" s="2" t="inlineStr">
        <is>
          <t>silk sheets [broad]</t>
        </is>
      </c>
      <c r="D43" s="2" t="inlineStr">
        <is>
          <t>whole campaign</t>
        </is>
      </c>
      <c r="E43" s="2" t="inlineStr">
        <is>
          <t>ENABLED</t>
        </is>
      </c>
      <c r="F43" s="2" t="inlineStr">
        <is>
          <t>Discovery</t>
        </is>
      </c>
      <c r="G43" s="2" t="inlineStr">
        <is>
          <t>Discovery</t>
        </is>
      </c>
      <c r="H43" s="2" t="n"/>
      <c r="I43" s="2" t="inlineStr">
        <is>
          <t>Broad</t>
        </is>
      </c>
      <c r="J43" s="2" t="inlineStr">
        <is>
          <t>SATIN-QUEEN-BLACK</t>
        </is>
      </c>
      <c r="K43" s="2" t="inlineStr">
        <is>
          <t>SATIN-QUEEN-BLACK</t>
        </is>
      </c>
      <c r="L43" s="2" t="inlineStr">
        <is>
          <t>n/a (no target bid in audit)</t>
        </is>
      </c>
      <c r="M43" s="2" t="inlineStr">
        <is>
          <t>n/a</t>
        </is>
      </c>
      <c r="N43" s="2" t="n">
        <v>45</v>
      </c>
      <c r="O43" s="2" t="n">
        <v>45</v>
      </c>
      <c r="P43" s="21" t="n"/>
      <c r="Q43" s="21" t="n"/>
      <c r="R43" s="2" t="n"/>
      <c r="S43" s="2" t="n"/>
      <c r="T43" s="2" t="n"/>
      <c r="U43" s="2" t="n"/>
      <c r="V43" s="21" t="n">
        <v>5</v>
      </c>
      <c r="W43" s="21" t="n">
        <v>5</v>
      </c>
      <c r="X43" s="2" t="inlineStr">
        <is>
          <t>ENABLED</t>
        </is>
      </c>
      <c r="Y43" s="2" t="inlineStr">
        <is>
          <t>none</t>
        </is>
      </c>
      <c r="Z43" s="2" t="inlineStr">
        <is>
          <t>load (clean): DSS4-SP-Silk Sheets-[Silk]-(VHSV)-Broad-(Discovery)-DO-SATIN-QUEEN-BLACK</t>
        </is>
      </c>
      <c r="AA43" s="21" t="n">
        <v>117.76</v>
      </c>
      <c r="AB43" s="2" t="n">
        <v>121</v>
      </c>
      <c r="AC43" s="2" t="n">
        <v>21</v>
      </c>
      <c r="AD43" s="2" t="n">
        <v>19.2</v>
      </c>
      <c r="AE43" s="2" t="n">
        <v>52.07</v>
      </c>
      <c r="AF43" s="2" t="n">
        <v>1.65</v>
      </c>
      <c r="AG43" s="2" t="n">
        <v>45</v>
      </c>
      <c r="AH43" s="2" t="inlineStr">
        <is>
          <t>Rename only</t>
        </is>
      </c>
      <c r="AI43" s="22" t="inlineStr">
        <is>
          <t>Load rename only</t>
        </is>
      </c>
      <c r="AJ43" s="22" t="inlineStr">
        <is>
          <t>Clean rename (SKU token and objective match what the campaign advertises); 19.2% ACoS on 21 orders / 121 clicks (CC 31 Aug–29 Sep).</t>
        </is>
      </c>
      <c r="AK43" s="2" t="inlineStr">
        <is>
          <t>seq 2900 rename LOAD</t>
        </is>
      </c>
      <c r="AL43" s="22" t="n"/>
    </row>
    <row r="44">
      <c r="A44" s="2" t="inlineStr">
        <is>
          <t>90694496079420</t>
        </is>
      </c>
      <c r="B44" s="2" t="inlineStr">
        <is>
          <t>SATIN-TWIN-GREY SP Exact 032923 STR 15 JP</t>
        </is>
      </c>
      <c r="C44" s="2" t="inlineStr">
        <is>
          <t>twin satin sheet sets [exact, $1.76, 28 clicks]</t>
        </is>
      </c>
      <c r="D44" s="2" t="inlineStr">
        <is>
          <t>twin satin sheet sets</t>
        </is>
      </c>
      <c r="E44" s="2" t="inlineStr">
        <is>
          <t>ENABLED</t>
        </is>
      </c>
      <c r="F44" s="2" t="inlineStr">
        <is>
          <t>Ranking</t>
        </is>
      </c>
      <c r="G44" s="2" t="inlineStr">
        <is>
          <t>Ranking</t>
        </is>
      </c>
      <c r="H44" s="2" t="inlineStr">
        <is>
          <t>OUT</t>
        </is>
      </c>
      <c r="I44" s="2" t="inlineStr">
        <is>
          <t>Exact</t>
        </is>
      </c>
      <c r="J44" s="2" t="inlineStr">
        <is>
          <t>SATIN-TWIN-BLACK-NEW</t>
        </is>
      </c>
      <c r="K44" s="2" t="inlineStr">
        <is>
          <t>SATIN-TWIN-BLACK-NEW</t>
        </is>
      </c>
      <c r="L44" s="2" t="inlineStr">
        <is>
          <t>$1.76</t>
        </is>
      </c>
      <c r="M44" s="2" t="inlineStr">
        <is>
          <t>$1.41</t>
        </is>
      </c>
      <c r="N44" s="2" t="n">
        <v>300</v>
      </c>
      <c r="O44" s="2" t="n">
        <v>215</v>
      </c>
      <c r="P44" s="21" t="n">
        <v>7.04</v>
      </c>
      <c r="Q44" s="21" t="n">
        <v>4.44</v>
      </c>
      <c r="R44" s="2" t="n">
        <v>0</v>
      </c>
      <c r="S44" s="2" t="n">
        <v>0</v>
      </c>
      <c r="T44" s="2" t="n">
        <v>0</v>
      </c>
      <c r="U44" s="2" t="n">
        <v>0</v>
      </c>
      <c r="V44" s="21" t="n">
        <v>5</v>
      </c>
      <c r="W44" s="21" t="n">
        <v>5</v>
      </c>
      <c r="X44" s="2" t="inlineStr">
        <is>
          <t>ENABLED</t>
        </is>
      </c>
      <c r="Y44" s="2" t="inlineStr">
        <is>
          <t>none</t>
        </is>
      </c>
      <c r="Z44" s="2" t="inlineStr">
        <is>
          <t>defer — engine name wrong (SKU token SATIN-TWIN-BLACK-NEW); load a corrected name after 28 Oct</t>
        </is>
      </c>
      <c r="AA44" s="21" t="n">
        <v>110.35</v>
      </c>
      <c r="AB44" s="2" t="n">
        <v>29</v>
      </c>
      <c r="AC44" s="2" t="n">
        <v>4</v>
      </c>
      <c r="AD44" s="2" t="n">
        <v>101.2</v>
      </c>
      <c r="AE44" s="2" t="n">
        <v>96.55</v>
      </c>
      <c r="AF44" s="2" t="n">
        <v>3.45</v>
      </c>
      <c r="AG44" s="2" t="n">
        <v>12</v>
      </c>
      <c r="AH44" s="2" t="inlineStr">
        <is>
          <t>Price cut</t>
        </is>
      </c>
      <c r="AI44" s="22" t="inlineStr">
        <is>
          <t>Cut base 20% ($1.76 → $1.41); TOS 300% → 215%</t>
        </is>
      </c>
      <c r="AJ44" s="22" t="inlineStr">
        <is>
          <t>101.2% ACoS on 4 orders / 29 clicks (CC 31 Aug–29 Sep). A no-op again, so replace it with a real move: #110 base $1.41 with modifier 215% writes TOS $4.44, at or under the engine's own market bound of $4.46. Today $7.04 = 1.76×4.00. Note: plan move to SATIN-TWIN-GREY before 16 Oct (Twin Black 66 units, ~34 days).</t>
        </is>
      </c>
      <c r="AK44" s="2" t="inlineStr">
        <is>
          <t>seq 107 tos: correct to 215%; seq 110 bid: pass (with 107→215); seq 1811 child: reject — keep SATIN-TWIN-BLACK-NEW; seq 2894 rename CHANGE</t>
        </is>
      </c>
      <c r="AL44" s="22" t="n"/>
    </row>
    <row r="45">
      <c r="A45" s="2" t="inlineStr">
        <is>
          <t>134608688897105</t>
        </is>
      </c>
      <c r="B45" s="2" t="inlineStr">
        <is>
          <t>D-S4-silk black sheets - [Silk] - Exact - Ran - DO - SATIN-QUEEN-BLACK</t>
        </is>
      </c>
      <c r="C45" s="2" t="inlineStr">
        <is>
          <t>silk black sheets [exact, $1.34, 46 clicks]</t>
        </is>
      </c>
      <c r="D45" s="2" t="inlineStr">
        <is>
          <t>silk black sheets</t>
        </is>
      </c>
      <c r="E45" s="2" t="inlineStr">
        <is>
          <t>ENABLED</t>
        </is>
      </c>
      <c r="F45" s="2" t="inlineStr">
        <is>
          <t>Ranking</t>
        </is>
      </c>
      <c r="G45" s="2" t="inlineStr">
        <is>
          <t>Conversions</t>
        </is>
      </c>
      <c r="H45" s="2" t="inlineStr">
        <is>
          <t>OUT</t>
        </is>
      </c>
      <c r="I45" s="2" t="inlineStr">
        <is>
          <t>Exact</t>
        </is>
      </c>
      <c r="J45" s="2" t="inlineStr">
        <is>
          <t>SATIN-QUEEN-BLACK</t>
        </is>
      </c>
      <c r="K45" s="2" t="inlineStr">
        <is>
          <t>SATIN-QUEEN-BLACK</t>
        </is>
      </c>
      <c r="L45" s="2" t="inlineStr">
        <is>
          <t>$1.34</t>
        </is>
      </c>
      <c r="M45" s="2" t="inlineStr">
        <is>
          <t>$1.01</t>
        </is>
      </c>
      <c r="N45" s="2" t="n">
        <v>90</v>
      </c>
      <c r="O45" s="2" t="n">
        <v>115</v>
      </c>
      <c r="P45" s="21" t="n">
        <v>2.55</v>
      </c>
      <c r="Q45" s="21" t="n">
        <v>2.17</v>
      </c>
      <c r="R45" s="2" t="n">
        <v>0</v>
      </c>
      <c r="S45" s="2" t="n">
        <v>0</v>
      </c>
      <c r="T45" s="2" t="n">
        <v>0</v>
      </c>
      <c r="U45" s="2" t="n">
        <v>0</v>
      </c>
      <c r="V45" s="21" t="n">
        <v>10</v>
      </c>
      <c r="W45" s="21" t="n">
        <v>10</v>
      </c>
      <c r="X45" s="2" t="inlineStr">
        <is>
          <t>ENABLED</t>
        </is>
      </c>
      <c r="Y45" s="2" t="inlineStr">
        <is>
          <t>none</t>
        </is>
      </c>
      <c r="Z45" s="2" t="inlineStr">
        <is>
          <t>defer — engine name wrong ((Conversion)); load a corrected name after 28 Oct</t>
        </is>
      </c>
      <c r="AA45" s="21" t="n">
        <v>107</v>
      </c>
      <c r="AB45" s="2" t="n">
        <v>46</v>
      </c>
      <c r="AC45" s="2" t="n">
        <v>5</v>
      </c>
      <c r="AD45" s="2" t="n">
        <v>69.59999999999999</v>
      </c>
      <c r="AE45" s="2" t="n">
        <v>93.48</v>
      </c>
      <c r="AF45" s="2" t="n">
        <v>6.52</v>
      </c>
      <c r="AG45" s="2" t="n">
        <v>16</v>
      </c>
      <c r="AH45" s="2" t="inlineStr">
        <is>
          <t>Price cut</t>
        </is>
      </c>
      <c r="AI45" s="22" t="inlineStr">
        <is>
          <t>Cut base 25% ($1.34 → $1.01); TOS 90% → 115%; retag → Conversions</t>
        </is>
      </c>
      <c r="AJ45" s="22" t="inlineStr">
        <is>
          <t>69.6% ACoS on 5 orders / 46 clicks (CC 31 Aug–29 Sep). See #115. The GENTLE class takes 15% from a row at 2.49× BE; the step is set by rank proximity, not economics.</t>
        </is>
      </c>
      <c r="AK45" s="2" t="inlineStr">
        <is>
          <t>seq 112 tos: correct to 115%; seq 115 bid: correct to 1.01; seq 2895 rename CHANGE; our addition: standard → Conversions (colour term "silk black sheets")</t>
        </is>
      </c>
      <c r="AL45" s="22" t="n"/>
    </row>
    <row r="46">
      <c r="A46" s="2" t="inlineStr">
        <is>
          <t>152256281509429</t>
        </is>
      </c>
      <c r="B46" s="2" t="inlineStr">
        <is>
          <t>D-S4-satin sheets full - [Satin|Full] - Broad - Disc - DO - SATIN-4PCS-FULL-ROSEWOOD</t>
        </is>
      </c>
      <c r="C46" s="2" t="inlineStr">
        <is>
          <t>satin sheets full [broad]</t>
        </is>
      </c>
      <c r="D46" s="2" t="inlineStr">
        <is>
          <t>whole campaign</t>
        </is>
      </c>
      <c r="E46" s="2" t="inlineStr">
        <is>
          <t>ENABLED</t>
        </is>
      </c>
      <c r="F46" s="2" t="inlineStr">
        <is>
          <t>Discovery</t>
        </is>
      </c>
      <c r="G46" s="2" t="inlineStr">
        <is>
          <t>Discovery</t>
        </is>
      </c>
      <c r="H46" s="2" t="inlineStr">
        <is>
          <t>Satin|Full</t>
        </is>
      </c>
      <c r="I46" s="2" t="inlineStr">
        <is>
          <t>Broad</t>
        </is>
      </c>
      <c r="J46" s="2" t="inlineStr">
        <is>
          <t>SATIN-FULL-GREY</t>
        </is>
      </c>
      <c r="K46" s="2" t="inlineStr">
        <is>
          <t>SATIN-FULL-GREY</t>
        </is>
      </c>
      <c r="L46" s="2" t="inlineStr">
        <is>
          <t>n/a (no target bid in audit)</t>
        </is>
      </c>
      <c r="M46" s="2" t="inlineStr">
        <is>
          <t>n/a</t>
        </is>
      </c>
      <c r="N46" s="2" t="n">
        <v>20</v>
      </c>
      <c r="O46" s="2" t="n">
        <v>20</v>
      </c>
      <c r="P46" s="21" t="n"/>
      <c r="Q46" s="21" t="n"/>
      <c r="R46" s="2" t="n"/>
      <c r="S46" s="2" t="n"/>
      <c r="T46" s="2" t="n"/>
      <c r="U46" s="2" t="n"/>
      <c r="V46" s="21" t="n">
        <v>15</v>
      </c>
      <c r="W46" s="21" t="n">
        <v>15</v>
      </c>
      <c r="X46" s="2" t="inlineStr">
        <is>
          <t>ENABLED</t>
        </is>
      </c>
      <c r="Y46" s="2" t="inlineStr">
        <is>
          <t>add 2 negatives (seq 2260) · add negative exact: silk sheets; satin sheets full; satin sheets; silk sheets queen; silk sheets full; king satin sheets</t>
        </is>
      </c>
      <c r="Z46" s="2" t="inlineStr">
        <is>
          <t>defer — engine name wrong (SKU token SATIN-FULL-GREY); load a corrected name after 28 Oct</t>
        </is>
      </c>
      <c r="AA46" s="21" t="n">
        <v>106.47</v>
      </c>
      <c r="AB46" s="2" t="n">
        <v>114</v>
      </c>
      <c r="AC46" s="2" t="n">
        <v>11</v>
      </c>
      <c r="AD46" s="2" t="n">
        <v>32.4</v>
      </c>
      <c r="AE46" s="2" t="n">
        <v>29.82</v>
      </c>
      <c r="AF46" s="2" t="n">
        <v>32.46</v>
      </c>
      <c r="AG46" s="2" t="n">
        <v>33</v>
      </c>
      <c r="AH46" s="2" t="inlineStr">
        <is>
          <t>Negatives only</t>
        </is>
      </c>
      <c r="AI46" s="22" t="inlineStr">
        <is>
          <t>Add negatives</t>
        </is>
      </c>
      <c r="AJ46" s="22" t="inlineStr">
        <is>
          <t>Negative rows agreed with review 40 (add 2 negatives (seq 2260)); 32.4% ACoS on 11 orders / 114 clicks (CC 31 Aug–29 Sep).</t>
        </is>
      </c>
      <c r="AK46" s="2" t="inlineStr">
        <is>
          <t>seq 1832 child: reject — keep SATIN-FULL-GREY; seq 2260 negatives: agree with review 40; seq 2932 rename CHANGE</t>
        </is>
      </c>
      <c r="AL46" s="22" t="n"/>
    </row>
    <row r="47">
      <c r="A47" s="2" t="inlineStr">
        <is>
          <t>27425066208772</t>
        </is>
      </c>
      <c r="B47" s="2" t="inlineStr">
        <is>
          <t>D-S4-SP-EXACT-dark blue satin sheets-Satin-SATIN-4PC-QUEEN-NAVY BLUE</t>
        </is>
      </c>
      <c r="C47" s="2" t="inlineStr">
        <is>
          <t>dark blue satin sheets [exact]</t>
        </is>
      </c>
      <c r="D47" s="2" t="inlineStr">
        <is>
          <t>whole campaign</t>
        </is>
      </c>
      <c r="E47" s="2" t="inlineStr">
        <is>
          <t>ENABLED</t>
        </is>
      </c>
      <c r="F47" s="2" t="inlineStr">
        <is>
          <t>Conversions</t>
        </is>
      </c>
      <c r="G47" s="2" t="inlineStr">
        <is>
          <t>Conversions</t>
        </is>
      </c>
      <c r="H47" s="2" t="n"/>
      <c r="I47" s="2" t="inlineStr">
        <is>
          <t>Exact</t>
        </is>
      </c>
      <c r="J47" s="2" t="inlineStr">
        <is>
          <t>SATIN-4PC-QUEEN-NAVY BLUE</t>
        </is>
      </c>
      <c r="K47" s="2" t="inlineStr">
        <is>
          <t>SATIN-4PC-QUEEN-NAVY BLUE</t>
        </is>
      </c>
      <c r="L47" s="2" t="inlineStr">
        <is>
          <t>n/a (no target bid in audit)</t>
        </is>
      </c>
      <c r="M47" s="2" t="inlineStr">
        <is>
          <t>n/a</t>
        </is>
      </c>
      <c r="N47" s="2" t="n">
        <v>0</v>
      </c>
      <c r="O47" s="2" t="n">
        <v>0</v>
      </c>
      <c r="P47" s="21" t="n"/>
      <c r="Q47" s="21" t="n"/>
      <c r="R47" s="2" t="n"/>
      <c r="S47" s="2" t="n"/>
      <c r="T47" s="2" t="n"/>
      <c r="U47" s="2" t="n"/>
      <c r="V47" s="21" t="n">
        <v>9.92</v>
      </c>
      <c r="W47" s="21" t="n">
        <v>9.92</v>
      </c>
      <c r="X47" s="2" t="inlineStr">
        <is>
          <t>ENABLED</t>
        </is>
      </c>
      <c r="Y47" s="2" t="inlineStr">
        <is>
          <t>none</t>
        </is>
      </c>
      <c r="Z47" s="2" t="inlineStr">
        <is>
          <t>load (clean): DSS4-SP-Dark Blue Satin Sheets-(VLSV)-Exact-(Conversion)-DO-SATIN-4PC-QUEEN-NAVY BLUE</t>
        </is>
      </c>
      <c r="AA47" s="21" t="n">
        <v>101.24</v>
      </c>
      <c r="AB47" s="2" t="n">
        <v>50</v>
      </c>
      <c r="AC47" s="2" t="n">
        <v>12</v>
      </c>
      <c r="AD47" s="2" t="n">
        <v>24.4</v>
      </c>
      <c r="AE47" s="2" t="n">
        <v>12</v>
      </c>
      <c r="AF47" s="2" t="n">
        <v>86</v>
      </c>
      <c r="AG47" s="2" t="n">
        <v>13</v>
      </c>
      <c r="AH47" s="2" t="inlineStr">
        <is>
          <t>Rename only</t>
        </is>
      </c>
      <c r="AI47" s="22" t="inlineStr">
        <is>
          <t>Load rename only</t>
        </is>
      </c>
      <c r="AJ47" s="22" t="inlineStr">
        <is>
          <t>Clean rename (SKU token and objective match what the campaign advertises); 24.4% ACoS on 12 orders / 50 clicks (CC 31 Aug–29 Sep).</t>
        </is>
      </c>
      <c r="AK47" s="2" t="inlineStr">
        <is>
          <t>seq 2084 retag LOAD; seq 2910 rename LOAD</t>
        </is>
      </c>
      <c r="AL47" s="22" t="n"/>
    </row>
    <row r="48">
      <c r="A48" s="2" t="inlineStr">
        <is>
          <t>146264161268494</t>
        </is>
      </c>
      <c r="B48" s="2" t="inlineStr">
        <is>
          <t>D-S4-SP-PHRASE-silk sheets full size-Silk|Full-SATIN-FULL-GREY</t>
        </is>
      </c>
      <c r="C48" s="2" t="inlineStr">
        <is>
          <t>silk sheets full size [phrase, $1.50]; silk sheets full size [phrase, $1.50]</t>
        </is>
      </c>
      <c r="D48" s="2" t="inlineStr">
        <is>
          <t>silk sheets full size</t>
        </is>
      </c>
      <c r="E48" s="2" t="inlineStr">
        <is>
          <t>ENABLED</t>
        </is>
      </c>
      <c r="F48" s="2" t="inlineStr">
        <is>
          <t>Discovery</t>
        </is>
      </c>
      <c r="G48" s="2" t="inlineStr">
        <is>
          <t>Discovery</t>
        </is>
      </c>
      <c r="H48" s="2" t="n"/>
      <c r="I48" s="2" t="inlineStr">
        <is>
          <t>Phrase</t>
        </is>
      </c>
      <c r="J48" s="2" t="inlineStr">
        <is>
          <t>SATIN-FULL-GREY</t>
        </is>
      </c>
      <c r="K48" s="2" t="inlineStr">
        <is>
          <t>SATIN-FULL-GREY</t>
        </is>
      </c>
      <c r="L48" s="2" t="inlineStr">
        <is>
          <t>$1.50</t>
        </is>
      </c>
      <c r="M48" s="2" t="inlineStr">
        <is>
          <t>$1.12</t>
        </is>
      </c>
      <c r="N48" s="2" t="n">
        <v>0</v>
      </c>
      <c r="O48" s="2" t="n">
        <v>0</v>
      </c>
      <c r="P48" s="21" t="n">
        <v>1.5</v>
      </c>
      <c r="Q48" s="21" t="n">
        <v>1.12</v>
      </c>
      <c r="R48" s="2" t="n"/>
      <c r="S48" s="2" t="n"/>
      <c r="T48" s="2" t="n"/>
      <c r="U48" s="2" t="n"/>
      <c r="V48" s="21" t="n">
        <v>5</v>
      </c>
      <c r="W48" s="21" t="n">
        <v>5</v>
      </c>
      <c r="X48" s="2" t="inlineStr">
        <is>
          <t>ENABLED</t>
        </is>
      </c>
      <c r="Y48" s="2" t="inlineStr">
        <is>
          <t>hold seq 1793 (terms not named) · add negative exact: silk sheets full; silk sheets full size</t>
        </is>
      </c>
      <c r="Z48" s="2" t="inlineStr">
        <is>
          <t>defer — engine name wrong (SKU token SATIN-FULL-GREY); load a corrected name after 28 Oct</t>
        </is>
      </c>
      <c r="AA48" s="21" t="n">
        <v>101.17</v>
      </c>
      <c r="AB48" s="2" t="n">
        <v>63</v>
      </c>
      <c r="AC48" s="2" t="n">
        <v>9</v>
      </c>
      <c r="AD48" s="2" t="n">
        <v>38.6</v>
      </c>
      <c r="AE48" s="2" t="n">
        <v>16.13</v>
      </c>
      <c r="AF48" s="2" t="n">
        <v>35.48</v>
      </c>
      <c r="AG48" s="2" t="n">
        <v>11</v>
      </c>
      <c r="AH48" s="2" t="inlineStr">
        <is>
          <t>Release hold + price to break-even</t>
        </is>
      </c>
      <c r="AI48" s="22" t="inlineStr">
        <is>
          <t>Release hold; cut base $1.50 → $1.12</t>
        </is>
      </c>
      <c r="AJ48" s="22" t="inlineStr">
        <is>
          <t>38.6% ACoS, 9 orders on 63 clicks (CC 31 Aug–29 Sep) vs Full Grey break-even 26.2%; BE base = $7.62 contribution (Full Grey) × 14.3% CVR = $1.09; cap 25% cut.</t>
        </is>
      </c>
      <c r="AK48" s="2" t="inlineStr">
        <is>
          <t>seq 1793 negatives: flag: unverifiable; seq 1817 child: reject — keep SATIN-FULL-GREY; seq 2081 retag LOAD; seq 2906 rename CHANGE; seq 1733 NOT SERVING hold(s) → release; price to break-even (our addition, reviewer D)</t>
        </is>
      </c>
      <c r="AL48" s="22" t="n"/>
    </row>
    <row r="49">
      <c r="A49" s="2" t="inlineStr">
        <is>
          <t>59818700734597</t>
        </is>
      </c>
      <c r="B49" s="2" t="inlineStr">
        <is>
          <t>D-S4-satin king sheets set - [Satin|King] - Exact - Ran - DO - SATIN-4PC-KING-GREY</t>
        </is>
      </c>
      <c r="C49" s="2" t="inlineStr">
        <is>
          <t>satin king sheets set [exact]</t>
        </is>
      </c>
      <c r="D49" s="2" t="inlineStr">
        <is>
          <t>satin king sheets set</t>
        </is>
      </c>
      <c r="E49" s="2" t="inlineStr">
        <is>
          <t>ENABLED</t>
        </is>
      </c>
      <c r="F49" s="2" t="inlineStr">
        <is>
          <t>Ranking</t>
        </is>
      </c>
      <c r="G49" s="2" t="inlineStr">
        <is>
          <t>Ranking</t>
        </is>
      </c>
      <c r="H49" s="2" t="inlineStr">
        <is>
          <t>Satin|King</t>
        </is>
      </c>
      <c r="I49" s="2" t="inlineStr">
        <is>
          <t>Exact</t>
        </is>
      </c>
      <c r="J49" s="2" t="inlineStr">
        <is>
          <t>SATIN-4PC-KING-GREY</t>
        </is>
      </c>
      <c r="K49" s="2" t="inlineStr">
        <is>
          <t>SATIN-4PC-KING-GREY</t>
        </is>
      </c>
      <c r="L49" s="2" t="inlineStr">
        <is>
          <t>$1.73</t>
        </is>
      </c>
      <c r="M49" s="2" t="inlineStr">
        <is>
          <t>$1.30</t>
        </is>
      </c>
      <c r="N49" s="2" t="n">
        <v>30</v>
      </c>
      <c r="O49" s="2" t="n">
        <v>55</v>
      </c>
      <c r="P49" s="21" t="n">
        <v>2.25</v>
      </c>
      <c r="Q49" s="21" t="n">
        <v>2.02</v>
      </c>
      <c r="R49" s="2" t="n"/>
      <c r="S49" s="2" t="n"/>
      <c r="T49" s="2" t="n"/>
      <c r="U49" s="2" t="n">
        <v>0</v>
      </c>
      <c r="V49" s="21" t="n">
        <v>16.74</v>
      </c>
      <c r="W49" s="21" t="n">
        <v>16.74</v>
      </c>
      <c r="X49" s="2" t="inlineStr">
        <is>
          <t>ENABLED</t>
        </is>
      </c>
      <c r="Y49" s="2" t="inlineStr">
        <is>
          <t>none</t>
        </is>
      </c>
      <c r="Z49" s="2" t="inlineStr">
        <is>
          <t>load (clean): DSS4-SP-Satin King Sheets Set-[Satin|King]-(LSV)-Exact-(Ranking)-DO-SATIN-4PC-KING-GREY</t>
        </is>
      </c>
      <c r="AA49" s="21" t="n">
        <v>97.81</v>
      </c>
      <c r="AB49" s="2" t="n">
        <v>52</v>
      </c>
      <c r="AC49" s="2" t="n">
        <v>7</v>
      </c>
      <c r="AD49" s="2" t="n">
        <v>42.2</v>
      </c>
      <c r="AE49" s="2" t="n">
        <v>47.06</v>
      </c>
      <c r="AF49" s="2" t="n">
        <v>29.41</v>
      </c>
      <c r="AG49" s="2" t="n">
        <v>17</v>
      </c>
      <c r="AH49" s="2" t="inlineStr">
        <is>
          <t>Mix fix + price cut</t>
        </is>
      </c>
      <c r="AI49" s="22" t="inlineStr">
        <is>
          <t>Mix fix in one write: base $1.73 → $1.30, boost → 55% (top of search $2.25 → $2.02); rest of search → 0% (24% of clicks); 42.2% ACoS vs King Grey 18.9%; product pages 29%</t>
        </is>
      </c>
      <c r="AJ49" s="22" t="inlineStr">
        <is>
          <t>Clean rename (SKU token and objective match what the campaign advertises); 42.2% ACoS on 7 orders / 52 clicks (CC 31 Aug–29 Sep). Note: above break-even with no pricing row in the run; price at the next cycle unless it is chosen for the ranking push.</t>
        </is>
      </c>
      <c r="AK49" s="2" t="inlineStr">
        <is>
          <t>seq 2099 retag LOAD; seq 2937 rename LOAD</t>
        </is>
      </c>
      <c r="AL49" s="22" t="n"/>
    </row>
    <row r="50">
      <c r="A50" s="2" t="inlineStr">
        <is>
          <t>117094112974140</t>
        </is>
      </c>
      <c r="B50" s="2" t="inlineStr">
        <is>
          <t>D-S4-black silk sheets queen - [Silk|Queen] - Exact - Ran - DO - SATIN-QUEEN-BLACK</t>
        </is>
      </c>
      <c r="C50" s="2" t="inlineStr">
        <is>
          <t>black silk sheets queen [exact]</t>
        </is>
      </c>
      <c r="D50" s="2" t="inlineStr">
        <is>
          <t>black silk sheets queen</t>
        </is>
      </c>
      <c r="E50" s="2" t="inlineStr">
        <is>
          <t>ENABLED</t>
        </is>
      </c>
      <c r="F50" s="2" t="inlineStr">
        <is>
          <t>Ranking</t>
        </is>
      </c>
      <c r="G50" s="2" t="inlineStr">
        <is>
          <t>Conversions</t>
        </is>
      </c>
      <c r="H50" s="2" t="inlineStr">
        <is>
          <t>Silk|Queen</t>
        </is>
      </c>
      <c r="I50" s="2" t="inlineStr">
        <is>
          <t>Exact</t>
        </is>
      </c>
      <c r="J50" s="2" t="inlineStr">
        <is>
          <t>SATIN-QUEEN-BLACK</t>
        </is>
      </c>
      <c r="K50" s="2" t="inlineStr">
        <is>
          <t>SATIN-QUEEN-BLACK</t>
        </is>
      </c>
      <c r="L50" s="2" t="inlineStr">
        <is>
          <t>$1.55</t>
        </is>
      </c>
      <c r="M50" s="2" t="inlineStr">
        <is>
          <t>$1.16</t>
        </is>
      </c>
      <c r="N50" s="2" t="n">
        <v>30</v>
      </c>
      <c r="O50" s="2" t="n">
        <v>30</v>
      </c>
      <c r="P50" s="21" t="n">
        <v>2.02</v>
      </c>
      <c r="Q50" s="21" t="n">
        <v>1.51</v>
      </c>
      <c r="R50" s="2" t="n"/>
      <c r="S50" s="2" t="n"/>
      <c r="T50" s="2" t="n"/>
      <c r="U50" s="2" t="n"/>
      <c r="V50" s="21" t="n">
        <v>13.51</v>
      </c>
      <c r="W50" s="21" t="n">
        <v>13.51</v>
      </c>
      <c r="X50" s="2" t="inlineStr">
        <is>
          <t>ENABLED</t>
        </is>
      </c>
      <c r="Y50" s="2" t="inlineStr">
        <is>
          <t>none</t>
        </is>
      </c>
      <c r="Z50" s="2" t="inlineStr">
        <is>
          <t>defer — engine name wrong ((Conversion)); load a corrected name after 28 Oct</t>
        </is>
      </c>
      <c r="AA50" s="21" t="n">
        <v>94.68000000000001</v>
      </c>
      <c r="AB50" s="2" t="n">
        <v>50</v>
      </c>
      <c r="AC50" s="2" t="n">
        <v>11</v>
      </c>
      <c r="AD50" s="2" t="n">
        <v>32.7</v>
      </c>
      <c r="AE50" s="2" t="n">
        <v>46</v>
      </c>
      <c r="AF50" s="2" t="n">
        <v>24</v>
      </c>
      <c r="AG50" s="2" t="n">
        <v>37</v>
      </c>
      <c r="AH50" s="2" t="inlineStr">
        <is>
          <t>Release hold + price to break-even</t>
        </is>
      </c>
      <c r="AI50" s="22" t="inlineStr">
        <is>
          <t>Release hold; cut base $1.55 → $1.16; retag → Conversions</t>
        </is>
      </c>
      <c r="AJ50" s="22" t="inlineStr">
        <is>
          <t>32.7% ACoS, 11 orders on 50 clicks (CC 31 Aug–29 Sep) vs Queen Black break-even 17.8%; BE base = $5.03 contribution (Queen Black) × 22.0% CVR = $1.11; cap 25% cut.</t>
        </is>
      </c>
      <c r="AK50" s="2" t="inlineStr">
        <is>
          <t>seq 2085 retag correct to Conversions; seq 2912 rename CHANGE; seq 1978 NOT SERVING hold(s) → release; price to break-even (our addition, reviewer D)</t>
        </is>
      </c>
      <c r="AL50" s="22" t="n"/>
    </row>
    <row r="51">
      <c r="A51" s="2" t="inlineStr">
        <is>
          <t>119529723647443</t>
        </is>
      </c>
      <c r="B51" s="2" t="inlineStr">
        <is>
          <t>SSS4-PHRASE-(silk bedsheets)-Browse Kws Migr.</t>
        </is>
      </c>
      <c r="C51" s="2" t="inlineStr">
        <is>
          <t>silk bedsheets [phrase, $1.41]; silk bedsheets [phrase, $2.00]</t>
        </is>
      </c>
      <c r="D51" s="2" t="inlineStr">
        <is>
          <t>whole campaign</t>
        </is>
      </c>
      <c r="E51" s="2" t="inlineStr">
        <is>
          <t>ENABLED</t>
        </is>
      </c>
      <c r="F51" s="2" t="inlineStr">
        <is>
          <t>Discovery</t>
        </is>
      </c>
      <c r="G51" s="2" t="inlineStr">
        <is>
          <t>Discovery</t>
        </is>
      </c>
      <c r="H51" s="2" t="n"/>
      <c r="I51" s="2" t="inlineStr">
        <is>
          <t>Phrase</t>
        </is>
      </c>
      <c r="J51" s="2" t="inlineStr">
        <is>
          <t>SATIN-QUEEN-BLACK</t>
        </is>
      </c>
      <c r="K51" s="2" t="inlineStr">
        <is>
          <t>SATIN-QUEEN-BLACK</t>
        </is>
      </c>
      <c r="L51" s="2" t="inlineStr">
        <is>
          <t>$1.41</t>
        </is>
      </c>
      <c r="M51" s="2" t="inlineStr">
        <is>
          <t>$1.41</t>
        </is>
      </c>
      <c r="N51" s="2" t="n">
        <v>0</v>
      </c>
      <c r="O51" s="2" t="n">
        <v>0</v>
      </c>
      <c r="P51" s="21" t="n">
        <v>1.41</v>
      </c>
      <c r="Q51" s="21" t="n">
        <v>1.41</v>
      </c>
      <c r="R51" s="2" t="n"/>
      <c r="S51" s="2" t="n"/>
      <c r="T51" s="2" t="n"/>
      <c r="U51" s="2" t="n"/>
      <c r="V51" s="21" t="n">
        <v>20</v>
      </c>
      <c r="W51" s="21" t="n">
        <v>20</v>
      </c>
      <c r="X51" s="2" t="inlineStr">
        <is>
          <t>PAUSED</t>
        </is>
      </c>
      <c r="Y51" s="2" t="inlineStr">
        <is>
          <t>none</t>
        </is>
      </c>
      <c r="Z51" s="2" t="inlineStr">
        <is>
          <t>none</t>
        </is>
      </c>
      <c r="AA51" s="21" t="n">
        <v>94.04000000000001</v>
      </c>
      <c r="AB51" s="2" t="n">
        <v>67</v>
      </c>
      <c r="AC51" s="2" t="n">
        <v>3</v>
      </c>
      <c r="AD51" s="2" t="n">
        <v>109.8</v>
      </c>
      <c r="AE51" s="2" t="n">
        <v>76.12</v>
      </c>
      <c r="AF51" s="2" t="n">
        <v>0</v>
      </c>
      <c r="AG51" s="2" t="n">
        <v>47</v>
      </c>
      <c r="AH51" s="2" t="inlineStr">
        <is>
          <t>Pause</t>
        </is>
      </c>
      <c r="AI51" s="22" t="inlineStr">
        <is>
          <t>Pause (seq 2860)</t>
        </is>
      </c>
      <c r="AJ51" s="22" t="inlineStr">
        <is>
          <t>109.8% ACoS on 3 orders / 67 clicks (CC 31 Aug–29 Sep). Only the fences travel, never the keywords. Phrase "silk sheet set" does not cover "silk bedsheets" or "silk bed sheets", so the coverage is dropped, not merged.</t>
        </is>
      </c>
      <c r="AK51" s="2" t="inlineStr">
        <is>
          <t>seq 2860 structure: pass as pauses (flag); seq 1751 NOT SERVING hold(s) moot — campaign paused</t>
        </is>
      </c>
      <c r="AL51" s="22" t="n"/>
    </row>
    <row r="52">
      <c r="A52" s="2" t="inlineStr">
        <is>
          <t>204281123271494</t>
        </is>
      </c>
      <c r="B52" s="2" t="inlineStr">
        <is>
          <t>D-S4-satin full size bed sheets - [Satin|Full] - Exact - Ran - DO - SATIN-FULL-BLACK</t>
        </is>
      </c>
      <c r="C52" s="2" t="inlineStr">
        <is>
          <t>satin full size bed sheets [exact, $1.01, 30 clicks]</t>
        </is>
      </c>
      <c r="D52" s="2" t="inlineStr">
        <is>
          <t>satin full size bed sheets</t>
        </is>
      </c>
      <c r="E52" s="2" t="inlineStr">
        <is>
          <t>ENABLED</t>
        </is>
      </c>
      <c r="F52" s="2" t="inlineStr">
        <is>
          <t>Ranking</t>
        </is>
      </c>
      <c r="G52" s="2" t="inlineStr">
        <is>
          <t>Ranking</t>
        </is>
      </c>
      <c r="H52" s="2" t="inlineStr">
        <is>
          <t>OUT</t>
        </is>
      </c>
      <c r="I52" s="2" t="inlineStr">
        <is>
          <t>Exact</t>
        </is>
      </c>
      <c r="J52" s="2" t="inlineStr">
        <is>
          <t>SATIN-FULL-BLACK</t>
        </is>
      </c>
      <c r="K52" s="2" t="inlineStr">
        <is>
          <t>SATIN-FULL-BLACK</t>
        </is>
      </c>
      <c r="L52" s="2" t="inlineStr">
        <is>
          <t>$1.01</t>
        </is>
      </c>
      <c r="M52" s="2" t="inlineStr">
        <is>
          <t>$0.86</t>
        </is>
      </c>
      <c r="N52" s="2" t="n">
        <v>260</v>
      </c>
      <c r="O52" s="2" t="n">
        <v>260</v>
      </c>
      <c r="P52" s="21" t="n">
        <v>3.64</v>
      </c>
      <c r="Q52" s="21" t="n">
        <v>3.1</v>
      </c>
      <c r="R52" s="2" t="n">
        <v>0</v>
      </c>
      <c r="S52" s="2" t="n">
        <v>0</v>
      </c>
      <c r="T52" s="2" t="n">
        <v>0</v>
      </c>
      <c r="U52" s="2" t="n">
        <v>0</v>
      </c>
      <c r="V52" s="21" t="n">
        <v>23.83</v>
      </c>
      <c r="W52" s="21" t="n">
        <v>23.83</v>
      </c>
      <c r="X52" s="2" t="inlineStr">
        <is>
          <t>ENABLED</t>
        </is>
      </c>
      <c r="Y52" s="2" t="inlineStr">
        <is>
          <t>none</t>
        </is>
      </c>
      <c r="Z52" s="2" t="inlineStr">
        <is>
          <t>defer — engine name wrong (SKU token SATIN-FULL-BLACK); load a corrected name after 28 Oct</t>
        </is>
      </c>
      <c r="AA52" s="21" t="n">
        <v>93.69</v>
      </c>
      <c r="AB52" s="2" t="n">
        <v>30</v>
      </c>
      <c r="AC52" s="2" t="n">
        <v>10</v>
      </c>
      <c r="AD52" s="2" t="n">
        <v>31.1</v>
      </c>
      <c r="AE52" s="2" t="n">
        <v>93.33</v>
      </c>
      <c r="AF52" s="2" t="n">
        <v>6.67</v>
      </c>
      <c r="AG52" s="2" t="n">
        <v>49</v>
      </c>
      <c r="AH52" s="2" t="inlineStr">
        <is>
          <t>Price cut</t>
        </is>
      </c>
      <c r="AI52" s="22" t="inlineStr">
        <is>
          <t>Cut base 15% ($1.01 → $0.86)</t>
        </is>
      </c>
      <c r="AJ52" s="22" t="inlineStr">
        <is>
          <t>31.1% ACoS on 10 orders / 30 clicks (CC 31 Aug–29 Sep) vs Full Black break-even 27.5%; audit row loads as written (review 40 agrees).</t>
        </is>
      </c>
      <c r="AK52" s="2" t="inlineStr">
        <is>
          <t>seq 120 bid: pass (flag); seq 1819 child: reject — keep SATIN-FULL-BLACK; seq 2911 rename CHANGE</t>
        </is>
      </c>
      <c r="AL52" s="22" t="n"/>
    </row>
    <row r="53">
      <c r="A53" s="2" t="inlineStr">
        <is>
          <t>49674570581247</t>
        </is>
      </c>
      <c r="B53" s="2" t="inlineStr">
        <is>
          <t>D-S4-SP-queen size sheets silk-(Silk)-LSV-Exact-Rank-DO-SATIN-QUEEN-GREY</t>
        </is>
      </c>
      <c r="C53" s="2" t="inlineStr">
        <is>
          <t>queen size sheets silk [exact, $1.79, 29 clicks]</t>
        </is>
      </c>
      <c r="D53" s="2" t="inlineStr">
        <is>
          <t>—</t>
        </is>
      </c>
      <c r="E53" s="2" t="inlineStr">
        <is>
          <t>ENABLED</t>
        </is>
      </c>
      <c r="F53" s="2" t="inlineStr">
        <is>
          <t>Ranking</t>
        </is>
      </c>
      <c r="G53" s="2" t="inlineStr">
        <is>
          <t>Ranking</t>
        </is>
      </c>
      <c r="H53" s="2" t="inlineStr">
        <is>
          <t>OUT</t>
        </is>
      </c>
      <c r="I53" s="2" t="inlineStr">
        <is>
          <t>Exact</t>
        </is>
      </c>
      <c r="J53" s="2" t="inlineStr">
        <is>
          <t>SATIN-QUEEN-BLACK</t>
        </is>
      </c>
      <c r="K53" s="2" t="inlineStr">
        <is>
          <t>SATIN-QUEEN-BLACK</t>
        </is>
      </c>
      <c r="L53" s="2" t="inlineStr">
        <is>
          <t>$1.79</t>
        </is>
      </c>
      <c r="M53" s="2" t="inlineStr">
        <is>
          <t>$1.79</t>
        </is>
      </c>
      <c r="N53" s="2" t="n">
        <v>100</v>
      </c>
      <c r="O53" s="2" t="n">
        <v>100</v>
      </c>
      <c r="P53" s="21" t="n">
        <v>3.58</v>
      </c>
      <c r="Q53" s="21" t="n">
        <v>3.58</v>
      </c>
      <c r="R53" s="2" t="n">
        <v>0</v>
      </c>
      <c r="S53" s="2" t="n">
        <v>0</v>
      </c>
      <c r="T53" s="2" t="n">
        <v>0</v>
      </c>
      <c r="U53" s="2" t="n">
        <v>0</v>
      </c>
      <c r="V53" s="21" t="n">
        <v>5</v>
      </c>
      <c r="W53" s="21" t="n">
        <v>5</v>
      </c>
      <c r="X53" s="2" t="inlineStr">
        <is>
          <t>ENABLED</t>
        </is>
      </c>
      <c r="Y53" s="2" t="inlineStr">
        <is>
          <t>none</t>
        </is>
      </c>
      <c r="Z53" s="2" t="inlineStr">
        <is>
          <t>defer — engine name wrong (SKU token SATIN-QUEEN-BLACK); load a corrected name after 28 Oct</t>
        </is>
      </c>
      <c r="AA53" s="21" t="n">
        <v>89.72</v>
      </c>
      <c r="AB53" s="2" t="n">
        <v>29</v>
      </c>
      <c r="AC53" s="2" t="n">
        <v>8</v>
      </c>
      <c r="AD53" s="2" t="n">
        <v>36.7</v>
      </c>
      <c r="AE53" s="2" t="n">
        <v>93.09999999999999</v>
      </c>
      <c r="AF53" s="2" t="n">
        <v>0</v>
      </c>
      <c r="AG53" s="2" t="n">
        <v>24</v>
      </c>
      <c r="AH53" s="2" t="inlineStr">
        <is>
          <t>No change (flag: above break-even)</t>
        </is>
      </c>
      <c r="AI53" s="25" t="inlineStr">
        <is>
          <t>No change in this run — flag: 36.7% ACoS vs Queen Black break-even 17.8% (no run row prices it)</t>
        </is>
      </c>
      <c r="AJ53" s="22" t="inlineStr">
        <is>
          <t>No run decision and no issue found; 36.7% ACoS on 8 orders / 29 clicks (CC 31 Aug–29 Sep). Note: above break-even with no pricing row in the run; price at the next cycle unless it is chosen for the ranking push.</t>
        </is>
      </c>
      <c r="AK53" s="2" t="inlineStr">
        <is>
          <t>seq 1816 child: reject — keep SATIN-QUEEN-BLACK; seq 2904 rename CHANGE</t>
        </is>
      </c>
      <c r="AL53" s="22" t="n"/>
    </row>
    <row r="54">
      <c r="A54" s="2" t="inlineStr">
        <is>
          <t>19421880211317</t>
        </is>
      </c>
      <c r="B54" s="2" t="inlineStr">
        <is>
          <t>D-S4-queen silk sheets set - [Silk|Queen] - Exact - Ran - DO - SATIN-QUEEN-BLACK</t>
        </is>
      </c>
      <c r="C54" s="2" t="inlineStr">
        <is>
          <t>queen silk sheets set [exact, $0.78, 48 clicks]</t>
        </is>
      </c>
      <c r="D54" s="2" t="inlineStr">
        <is>
          <t>queen silk sheets set</t>
        </is>
      </c>
      <c r="E54" s="2" t="inlineStr">
        <is>
          <t>ENABLED</t>
        </is>
      </c>
      <c r="F54" s="2" t="inlineStr">
        <is>
          <t>Ranking</t>
        </is>
      </c>
      <c r="G54" s="2" t="inlineStr">
        <is>
          <t>Ranking</t>
        </is>
      </c>
      <c r="H54" s="2" t="inlineStr">
        <is>
          <t>OUT</t>
        </is>
      </c>
      <c r="I54" s="2" t="inlineStr">
        <is>
          <t>Exact</t>
        </is>
      </c>
      <c r="J54" s="2" t="inlineStr">
        <is>
          <t>SATIN-QUEEN-BLACK</t>
        </is>
      </c>
      <c r="K54" s="2" t="inlineStr">
        <is>
          <t>SATIN-QUEEN-BLACK</t>
        </is>
      </c>
      <c r="L54" s="2" t="inlineStr">
        <is>
          <t>$0.78</t>
        </is>
      </c>
      <c r="M54" s="2" t="inlineStr">
        <is>
          <t>$0.78</t>
        </is>
      </c>
      <c r="N54" s="2" t="n">
        <v>140</v>
      </c>
      <c r="O54" s="2" t="n">
        <v>80</v>
      </c>
      <c r="P54" s="21" t="n">
        <v>1.87</v>
      </c>
      <c r="Q54" s="21" t="n">
        <v>1.4</v>
      </c>
      <c r="R54" s="2" t="n">
        <v>0</v>
      </c>
      <c r="S54" s="2" t="n">
        <v>0</v>
      </c>
      <c r="T54" s="2" t="n">
        <v>0</v>
      </c>
      <c r="U54" s="2" t="n">
        <v>0</v>
      </c>
      <c r="V54" s="21" t="n">
        <v>20</v>
      </c>
      <c r="W54" s="21" t="n">
        <v>20</v>
      </c>
      <c r="X54" s="2" t="inlineStr">
        <is>
          <t>ENABLED</t>
        </is>
      </c>
      <c r="Y54" s="2" t="inlineStr">
        <is>
          <t>none</t>
        </is>
      </c>
      <c r="Z54" s="2" t="inlineStr">
        <is>
          <t>defer — engine name wrong (SKU token SATIN-QUEEN-BLACK); load a corrected name after 28 Oct</t>
        </is>
      </c>
      <c r="AA54" s="21" t="n">
        <v>86.65000000000001</v>
      </c>
      <c r="AB54" s="2" t="n">
        <v>48</v>
      </c>
      <c r="AC54" s="2" t="n">
        <v>11</v>
      </c>
      <c r="AD54" s="2" t="n">
        <v>26.3</v>
      </c>
      <c r="AE54" s="2" t="n">
        <v>97.92</v>
      </c>
      <c r="AF54" s="2" t="n">
        <v>0</v>
      </c>
      <c r="AG54" s="2" t="n">
        <v>46</v>
      </c>
      <c r="AH54" s="2" t="inlineStr">
        <is>
          <t>Price cut</t>
        </is>
      </c>
      <c r="AI54" s="22" t="inlineStr">
        <is>
          <t>MAINTAIN queen silk sheets set: TOS +140% → +80% (TOS $1.87 → $1.40); 26.3% ACoS against Queen Black 17.8% break-even</t>
        </is>
      </c>
      <c r="AJ54" s="22" t="inlineStr">
        <is>
          <t>No run decision and no issue found; 26.3% ACoS on 11 orders / 48 clicks (CC 31 Aug–29 Sep). Note: above break-even with no pricing row in the run; price at the next cycle unless it is chosen for the ranking push.</t>
        </is>
      </c>
      <c r="AK54" s="2" t="inlineStr">
        <is>
          <t>seq 1828 child: reject — keep SATIN-QUEEN-BLACK; seq 2926 rename CHANGE</t>
        </is>
      </c>
      <c r="AL54" s="22" t="inlineStr">
        <is>
          <t>MAINTAIN · score 38</t>
        </is>
      </c>
    </row>
    <row r="55">
      <c r="A55" s="2" t="inlineStr">
        <is>
          <t>119446025046609</t>
        </is>
      </c>
      <c r="B55" s="2" t="inlineStr">
        <is>
          <t>D-S4-red satin sheets - [Satin] - Exact - Ran - DO - SATIN-4PC-RED-QUEEN</t>
        </is>
      </c>
      <c r="C55" s="2" t="inlineStr">
        <is>
          <t>red satin sheets [exact]</t>
        </is>
      </c>
      <c r="D55" s="2" t="inlineStr">
        <is>
          <t>whole campaign</t>
        </is>
      </c>
      <c r="E55" s="2" t="inlineStr">
        <is>
          <t>ENABLED</t>
        </is>
      </c>
      <c r="F55" s="2" t="inlineStr">
        <is>
          <t>Ranking</t>
        </is>
      </c>
      <c r="G55" s="2" t="inlineStr">
        <is>
          <t>Conversions</t>
        </is>
      </c>
      <c r="H55" s="2" t="inlineStr">
        <is>
          <t>Satin</t>
        </is>
      </c>
      <c r="I55" s="2" t="inlineStr">
        <is>
          <t>Exact</t>
        </is>
      </c>
      <c r="J55" s="2" t="inlineStr">
        <is>
          <t>SATIN-4PC-RED-QUEEN</t>
        </is>
      </c>
      <c r="K55" s="2" t="inlineStr">
        <is>
          <t>SATIN-4PCS-KING-RED</t>
        </is>
      </c>
      <c r="L55" s="2" t="inlineStr">
        <is>
          <t>n/a (no target bid in audit)</t>
        </is>
      </c>
      <c r="M55" s="2" t="inlineStr">
        <is>
          <t>n/a</t>
        </is>
      </c>
      <c r="N55" s="2" t="n">
        <v>50</v>
      </c>
      <c r="O55" s="2" t="n">
        <v>50</v>
      </c>
      <c r="P55" s="21" t="n"/>
      <c r="Q55" s="21" t="n"/>
      <c r="R55" s="2" t="n"/>
      <c r="S55" s="2" t="n"/>
      <c r="T55" s="2" t="n"/>
      <c r="U55" s="2" t="n"/>
      <c r="V55" s="21" t="n">
        <v>6.52</v>
      </c>
      <c r="W55" s="21" t="n">
        <v>6.52</v>
      </c>
      <c r="X55" s="2" t="inlineStr">
        <is>
          <t>ENABLED</t>
        </is>
      </c>
      <c r="Y55" s="2" t="inlineStr">
        <is>
          <t>none</t>
        </is>
      </c>
      <c r="Z55" s="2" t="inlineStr">
        <is>
          <t>defer — engine name wrong (SKU token SATIN-4PC-RED-QUEEN; (Conversion)); load a corrected name after 28 Oct</t>
        </is>
      </c>
      <c r="AA55" s="21" t="n">
        <v>85.81999999999999</v>
      </c>
      <c r="AB55" s="2" t="n">
        <v>76</v>
      </c>
      <c r="AC55" s="2" t="n">
        <v>8</v>
      </c>
      <c r="AD55" s="2" t="n">
        <v>32.8</v>
      </c>
      <c r="AE55" s="2" t="n">
        <v>51.32</v>
      </c>
      <c r="AF55" s="2" t="n">
        <v>44.74</v>
      </c>
      <c r="AG55" s="2" t="n">
        <v>36</v>
      </c>
      <c r="AH55" s="2" t="inlineStr">
        <is>
          <t>Child swap</t>
        </is>
      </c>
      <c r="AI55" s="22" t="inlineStr">
        <is>
          <t>Swap child to SATIN-4PCS-KING-RED; retag → Conversions</t>
        </is>
      </c>
      <c r="AJ55" s="22" t="inlineStr">
        <is>
          <t>32.8% ACoS on 8 orders / 76 clicks (CC 31 Aug–29 Sep). Swap by hand now (seq 1825); Queen Red 34 units, out ~10 Oct (SB 29 Sep).</t>
        </is>
      </c>
      <c r="AK55" s="2" t="inlineStr">
        <is>
          <t>seq 1825 child: pass — apply NOW (outside the held group); seq 2089 retag correct to Conversions; seq 2918 rename CHANGE</t>
        </is>
      </c>
      <c r="AL55" s="22" t="n"/>
    </row>
    <row r="56">
      <c r="A56" s="2" t="inlineStr">
        <is>
          <t>276983621807441</t>
        </is>
      </c>
      <c r="B56" s="2" t="inlineStr">
        <is>
          <t>D-S4-twin silk sheets - [Silk|Twin] - Exact - Ran - DO - SATIN-TWIN-BLACK-NEW</t>
        </is>
      </c>
      <c r="C56" s="2" t="inlineStr">
        <is>
          <t>twin silk sheets [exact, $1.44, 33 clicks]</t>
        </is>
      </c>
      <c r="D56" s="2" t="inlineStr">
        <is>
          <t>twin silk sheets</t>
        </is>
      </c>
      <c r="E56" s="2" t="inlineStr">
        <is>
          <t>ENABLED</t>
        </is>
      </c>
      <c r="F56" s="2" t="inlineStr">
        <is>
          <t>Ranking</t>
        </is>
      </c>
      <c r="G56" s="2" t="inlineStr">
        <is>
          <t>Ranking</t>
        </is>
      </c>
      <c r="H56" s="2" t="inlineStr">
        <is>
          <t>OUT</t>
        </is>
      </c>
      <c r="I56" s="2" t="inlineStr">
        <is>
          <t>Exact</t>
        </is>
      </c>
      <c r="J56" s="2" t="inlineStr">
        <is>
          <t>SATIN-TWIN-BLACK-NEW</t>
        </is>
      </c>
      <c r="K56" s="2" t="inlineStr">
        <is>
          <t>SATIN-TWIN-BLACK-NEW</t>
        </is>
      </c>
      <c r="L56" s="2" t="inlineStr">
        <is>
          <t>$1.44</t>
        </is>
      </c>
      <c r="M56" s="2" t="inlineStr">
        <is>
          <t>$1.08</t>
        </is>
      </c>
      <c r="N56" s="2" t="n">
        <v>100</v>
      </c>
      <c r="O56" s="2" t="n">
        <v>100</v>
      </c>
      <c r="P56" s="21" t="n">
        <v>2.88</v>
      </c>
      <c r="Q56" s="21" t="n">
        <v>2.16</v>
      </c>
      <c r="R56" s="2" t="n">
        <v>0</v>
      </c>
      <c r="S56" s="2" t="n">
        <v>0</v>
      </c>
      <c r="T56" s="2" t="n">
        <v>0</v>
      </c>
      <c r="U56" s="2" t="n">
        <v>0</v>
      </c>
      <c r="V56" s="21" t="n">
        <v>11.64</v>
      </c>
      <c r="W56" s="21" t="n">
        <v>5.82</v>
      </c>
      <c r="X56" s="2" t="inlineStr">
        <is>
          <t>ENABLED</t>
        </is>
      </c>
      <c r="Y56" s="2" t="inlineStr">
        <is>
          <t>none</t>
        </is>
      </c>
      <c r="Z56" s="2" t="inlineStr">
        <is>
          <t>defer — engine name wrong (SKU token SATIN-TWIN-BLACK-NEW); load a corrected name after 28 Oct</t>
        </is>
      </c>
      <c r="AA56" s="21" t="n">
        <v>83.59</v>
      </c>
      <c r="AB56" s="2" t="n">
        <v>33</v>
      </c>
      <c r="AC56" s="2" t="n">
        <v>5</v>
      </c>
      <c r="AD56" s="2" t="n">
        <v>55.4</v>
      </c>
      <c r="AE56" s="2" t="n">
        <v>96.97</v>
      </c>
      <c r="AF56" s="2" t="n">
        <v>3.03</v>
      </c>
      <c r="AG56" s="2" t="n">
        <v>21</v>
      </c>
      <c r="AH56" s="2" t="inlineStr">
        <is>
          <t>Price cut</t>
        </is>
      </c>
      <c r="AI56" s="22" t="inlineStr">
        <is>
          <t>Cut base 25% ($1.44 → $1.08); Budget $11.64 → $5.82</t>
        </is>
      </c>
      <c r="AJ56" s="22" t="inlineStr">
        <is>
          <t>55.4% ACoS on 5 orders / 33 clicks (CC 31 Aug–29 Sep). −29.9% breaks the cap (5 orders). $1.08 × 2.00 = $2.16. Note: plan move to SATIN-TWIN-GREY before 16 Oct (Twin Black 66 units, ~34 days).</t>
        </is>
      </c>
      <c r="AK56" s="2" t="inlineStr">
        <is>
          <t>seq 131 budget: agree with review 40; seq 132 tos: drop (hold 100); seq 135 bid: correct to 1.08; seq 1833 child: reject — keep SATIN-TWIN-BLACK-NEW; seq 2933 rename CHANGE</t>
        </is>
      </c>
      <c r="AL56" s="22" t="n"/>
    </row>
    <row r="57">
      <c r="A57" s="2" t="inlineStr">
        <is>
          <t>156074162580081</t>
        </is>
      </c>
      <c r="B57" s="2" t="inlineStr">
        <is>
          <t>D-S4-sateen sheets king size - [Satin|King] - Exact - Ran - DO - SATIN-4PC-KING-GREY</t>
        </is>
      </c>
      <c r="C57" s="2" t="inlineStr">
        <is>
          <t>sateen sheets king size [exact]</t>
        </is>
      </c>
      <c r="D57" s="2" t="inlineStr">
        <is>
          <t>—</t>
        </is>
      </c>
      <c r="E57" s="2" t="inlineStr">
        <is>
          <t>ENABLED</t>
        </is>
      </c>
      <c r="F57" s="2" t="inlineStr">
        <is>
          <t>Ranking</t>
        </is>
      </c>
      <c r="G57" s="2" t="inlineStr">
        <is>
          <t>Ranking</t>
        </is>
      </c>
      <c r="H57" s="2" t="inlineStr">
        <is>
          <t>Satin|King</t>
        </is>
      </c>
      <c r="I57" s="2" t="inlineStr">
        <is>
          <t>Exact</t>
        </is>
      </c>
      <c r="J57" s="2" t="inlineStr">
        <is>
          <t>SATIN-4PC-KING-GREY</t>
        </is>
      </c>
      <c r="K57" s="2" t="inlineStr">
        <is>
          <t>SATIN-4PC-KING-GREY</t>
        </is>
      </c>
      <c r="L57" s="2" t="inlineStr">
        <is>
          <t>n/a (no target bid in audit)</t>
        </is>
      </c>
      <c r="M57" s="2" t="inlineStr">
        <is>
          <t>n/a</t>
        </is>
      </c>
      <c r="N57" s="2" t="n">
        <v>50</v>
      </c>
      <c r="O57" s="2" t="n">
        <v>50</v>
      </c>
      <c r="P57" s="21" t="n"/>
      <c r="Q57" s="21" t="n"/>
      <c r="R57" s="2" t="n"/>
      <c r="S57" s="2" t="n"/>
      <c r="T57" s="2" t="n"/>
      <c r="U57" s="2" t="n"/>
      <c r="V57" s="21" t="n">
        <v>25.16</v>
      </c>
      <c r="W57" s="21" t="n">
        <v>25.16</v>
      </c>
      <c r="X57" s="2" t="inlineStr">
        <is>
          <t>ENABLED</t>
        </is>
      </c>
      <c r="Y57" s="2" t="inlineStr">
        <is>
          <t>none</t>
        </is>
      </c>
      <c r="Z57" s="2" t="inlineStr">
        <is>
          <t>load (clean): DSS4-SP-Sateen Sheets King Size-[Satin|King]-(LSV)-Exact-(Ranking)-DO-SATIN-4PC-KING-GREY</t>
        </is>
      </c>
      <c r="AA57" s="21" t="n">
        <v>82.09999999999999</v>
      </c>
      <c r="AB57" s="2" t="n">
        <v>29</v>
      </c>
      <c r="AC57" s="2" t="n">
        <v>3</v>
      </c>
      <c r="AD57" s="2" t="n">
        <v>87.90000000000001</v>
      </c>
      <c r="AE57" s="2" t="n">
        <v>34.48</v>
      </c>
      <c r="AF57" s="2" t="n">
        <v>0</v>
      </c>
      <c r="AG57" s="2" t="n">
        <v>6</v>
      </c>
      <c r="AH57" s="2" t="inlineStr">
        <is>
          <t>No change (flag: above break-even)</t>
        </is>
      </c>
      <c r="AI57" s="25" t="inlineStr">
        <is>
          <t>No change in this run — flag: 87.9% ACoS vs King Grey break-even 15.3% (no run row prices it)</t>
        </is>
      </c>
      <c r="AJ57" s="22" t="inlineStr">
        <is>
          <t>Clean rename (SKU token and objective match what the campaign advertises); 87.9% ACoS on 3 orders / 29 clicks (CC 31 Aug–29 Sep). Note: above break-even with no pricing row in the run; price at the next cycle unless it is chosen for the ranking push.</t>
        </is>
      </c>
      <c r="AK57" s="2" t="inlineStr">
        <is>
          <t>seq 2082 retag LOAD; seq 2908 rename LOAD</t>
        </is>
      </c>
      <c r="AL57" s="22" t="n"/>
    </row>
    <row r="58">
      <c r="A58" s="2" t="inlineStr">
        <is>
          <t>159484070732130</t>
        </is>
      </c>
      <c r="B58" s="2" t="inlineStr">
        <is>
          <t>D-S4-black satin sheets full - [Satin|Full] - Exact - Ran - DO - SATIN-FULL-BLACK</t>
        </is>
      </c>
      <c r="C58" s="2" t="inlineStr">
        <is>
          <t>black satin sheets full [exact, $1.27, 34 clicks]</t>
        </is>
      </c>
      <c r="D58" s="2" t="inlineStr">
        <is>
          <t>black satin sheets full</t>
        </is>
      </c>
      <c r="E58" s="2" t="inlineStr">
        <is>
          <t>ENABLED</t>
        </is>
      </c>
      <c r="F58" s="2" t="inlineStr">
        <is>
          <t>Ranking</t>
        </is>
      </c>
      <c r="G58" s="2" t="inlineStr">
        <is>
          <t>Conversions</t>
        </is>
      </c>
      <c r="H58" s="2" t="inlineStr">
        <is>
          <t>OUT</t>
        </is>
      </c>
      <c r="I58" s="2" t="inlineStr">
        <is>
          <t>Exact</t>
        </is>
      </c>
      <c r="J58" s="2" t="inlineStr">
        <is>
          <t>SATIN-FULL-BLACK</t>
        </is>
      </c>
      <c r="K58" s="2" t="inlineStr">
        <is>
          <t>SATIN-FULL-BLACK</t>
        </is>
      </c>
      <c r="L58" s="2" t="inlineStr">
        <is>
          <t>$1.27</t>
        </is>
      </c>
      <c r="M58" s="2" t="inlineStr">
        <is>
          <t>$1.27</t>
        </is>
      </c>
      <c r="N58" s="2" t="n">
        <v>100</v>
      </c>
      <c r="O58" s="2" t="n">
        <v>100</v>
      </c>
      <c r="P58" s="21" t="n">
        <v>2.54</v>
      </c>
      <c r="Q58" s="21" t="n">
        <v>2.54</v>
      </c>
      <c r="R58" s="2" t="n">
        <v>0</v>
      </c>
      <c r="S58" s="2" t="n">
        <v>0</v>
      </c>
      <c r="T58" s="2" t="n">
        <v>30</v>
      </c>
      <c r="U58" s="2" t="n">
        <v>0</v>
      </c>
      <c r="V58" s="21" t="n">
        <v>19.4</v>
      </c>
      <c r="W58" s="21" t="n">
        <v>19.4</v>
      </c>
      <c r="X58" s="2" t="inlineStr">
        <is>
          <t>ENABLED</t>
        </is>
      </c>
      <c r="Y58" s="2" t="inlineStr">
        <is>
          <t>none</t>
        </is>
      </c>
      <c r="Z58" s="2" t="inlineStr">
        <is>
          <t>defer — engine name wrong ((Conversion)); load a corrected name after 28 Oct</t>
        </is>
      </c>
      <c r="AA58" s="21" t="n">
        <v>81.98</v>
      </c>
      <c r="AB58" s="2" t="n">
        <v>34</v>
      </c>
      <c r="AC58" s="2" t="n">
        <v>16</v>
      </c>
      <c r="AD58" s="2" t="n">
        <v>17.3</v>
      </c>
      <c r="AE58" s="2" t="n">
        <v>94.12</v>
      </c>
      <c r="AF58" s="2" t="n">
        <v>2.94</v>
      </c>
      <c r="AG58" s="2" t="n">
        <v>34</v>
      </c>
      <c r="AH58" s="2" t="inlineStr">
        <is>
          <t>Price cut</t>
        </is>
      </c>
      <c r="AI58" s="22" t="inlineStr">
        <is>
          <t>ROS 30% → 0%; retag → Conversions</t>
        </is>
      </c>
      <c r="AJ58" s="22" t="inlineStr">
        <is>
          <t>Objective Ranking → Conversions by the standard (colour term "black satin sheets full"); 17.3% ACoS on 16 orders / 34 clicks (CC 31 Aug–29 Sep).</t>
        </is>
      </c>
      <c r="AK58" s="2" t="inlineStr">
        <is>
          <t>seq 139 ros: agree with review 40; seq 2905 rename CHANGE; our addition: standard → Conversions (colour term "black satin sheets full")</t>
        </is>
      </c>
      <c r="AL58" s="22" t="n"/>
    </row>
    <row r="59">
      <c r="A59" s="2" t="inlineStr">
        <is>
          <t>36991466146796</t>
        </is>
      </c>
      <c r="B59" s="2" t="inlineStr">
        <is>
          <t>D-S4-full size bed sheets silk - [Silk|Full] - Exact - Ran - DO - SATIN-FULL-BLACK</t>
        </is>
      </c>
      <c r="C59" s="2" t="inlineStr">
        <is>
          <t>full size bed sheets silk [exact, $1.14, 32 clicks]</t>
        </is>
      </c>
      <c r="D59" s="2" t="inlineStr">
        <is>
          <t>full size bed sheets silk</t>
        </is>
      </c>
      <c r="E59" s="2" t="inlineStr">
        <is>
          <t>ENABLED</t>
        </is>
      </c>
      <c r="F59" s="2" t="inlineStr">
        <is>
          <t>Ranking</t>
        </is>
      </c>
      <c r="G59" s="2" t="inlineStr">
        <is>
          <t>Ranking</t>
        </is>
      </c>
      <c r="H59" s="2" t="inlineStr">
        <is>
          <t>OUT</t>
        </is>
      </c>
      <c r="I59" s="2" t="inlineStr">
        <is>
          <t>Exact</t>
        </is>
      </c>
      <c r="J59" s="2" t="inlineStr">
        <is>
          <t>SATIN-FULL-BLACK</t>
        </is>
      </c>
      <c r="K59" s="2" t="inlineStr">
        <is>
          <t>SATIN-FULL-BLACK</t>
        </is>
      </c>
      <c r="L59" s="2" t="inlineStr">
        <is>
          <t>$1.14</t>
        </is>
      </c>
      <c r="M59" s="2" t="inlineStr">
        <is>
          <t>$0.86</t>
        </is>
      </c>
      <c r="N59" s="2" t="n">
        <v>120</v>
      </c>
      <c r="O59" s="2" t="n">
        <v>120</v>
      </c>
      <c r="P59" s="21" t="n">
        <v>2.51</v>
      </c>
      <c r="Q59" s="21" t="n">
        <v>1.89</v>
      </c>
      <c r="R59" s="2" t="n">
        <v>0</v>
      </c>
      <c r="S59" s="2" t="n">
        <v>0</v>
      </c>
      <c r="T59" s="2" t="n">
        <v>0</v>
      </c>
      <c r="U59" s="2" t="n">
        <v>0</v>
      </c>
      <c r="V59" s="21" t="n">
        <v>15</v>
      </c>
      <c r="W59" s="21" t="n">
        <v>7.5</v>
      </c>
      <c r="X59" s="2" t="inlineStr">
        <is>
          <t>ENABLED</t>
        </is>
      </c>
      <c r="Y59" s="2" t="inlineStr">
        <is>
          <t>none</t>
        </is>
      </c>
      <c r="Z59" s="2" t="inlineStr">
        <is>
          <t>defer — engine name wrong (SKU token SATIN-FULL-BLACK); load a corrected name after 28 Oct</t>
        </is>
      </c>
      <c r="AA59" s="21" t="n">
        <v>76.97</v>
      </c>
      <c r="AB59" s="2" t="n">
        <v>32</v>
      </c>
      <c r="AC59" s="2" t="n">
        <v>9</v>
      </c>
      <c r="AD59" s="2" t="n">
        <v>29.4</v>
      </c>
      <c r="AE59" s="2" t="n">
        <v>100</v>
      </c>
      <c r="AF59" s="2" t="n">
        <v>0</v>
      </c>
      <c r="AG59" s="2" t="n">
        <v>16</v>
      </c>
      <c r="AH59" s="2" t="inlineStr">
        <is>
          <t>Price cut</t>
        </is>
      </c>
      <c r="AI59" s="22" t="inlineStr">
        <is>
          <t>Cut base 25% ($1.14 → $0.86); Budget $15 → $7.5</t>
        </is>
      </c>
      <c r="AJ59" s="22" t="inlineStr">
        <is>
          <t>29.4% ACoS on 9 orders / 32 clicks (CC 31 Aug–29 Sep) vs Full Black break-even 27.5%; audit row loads as written (review 40 agrees).</t>
        </is>
      </c>
      <c r="AK59" s="2" t="inlineStr">
        <is>
          <t>seq 141 budget: agree with review 40; seq 145 bid: pass (flag); seq 1822 child: reject — keep SATIN-FULL-BLACK; seq 2915 rename CHANGE</t>
        </is>
      </c>
      <c r="AL59" s="22" t="n"/>
    </row>
    <row r="60">
      <c r="A60" s="2" t="inlineStr">
        <is>
          <t>279063293275463</t>
        </is>
      </c>
      <c r="B60" s="2" t="inlineStr">
        <is>
          <t>D-S4-white silk sheets queen - [Silk|Queen] - Exact - Ran - DO - SATIN-WHITE-QUEEN</t>
        </is>
      </c>
      <c r="C60" s="2" t="inlineStr">
        <is>
          <t>white silk sheets queen [exact]</t>
        </is>
      </c>
      <c r="D60" s="2" t="inlineStr">
        <is>
          <t>white silk sheets queen</t>
        </is>
      </c>
      <c r="E60" s="2" t="inlineStr">
        <is>
          <t>ENABLED</t>
        </is>
      </c>
      <c r="F60" s="2" t="inlineStr">
        <is>
          <t>Ranking</t>
        </is>
      </c>
      <c r="G60" s="2" t="inlineStr">
        <is>
          <t>Conversions</t>
        </is>
      </c>
      <c r="H60" s="2" t="inlineStr">
        <is>
          <t>Silk|Queen</t>
        </is>
      </c>
      <c r="I60" s="2" t="inlineStr">
        <is>
          <t>Exact</t>
        </is>
      </c>
      <c r="J60" s="2" t="inlineStr">
        <is>
          <t>SATIN-WHITE-QUEEN</t>
        </is>
      </c>
      <c r="K60" s="2" t="inlineStr">
        <is>
          <t>SATIN-WHITE-QUEEN</t>
        </is>
      </c>
      <c r="L60" s="2" t="inlineStr">
        <is>
          <t>$1.53</t>
        </is>
      </c>
      <c r="M60" s="2" t="inlineStr">
        <is>
          <t>$1.32</t>
        </is>
      </c>
      <c r="N60" s="2" t="n">
        <v>50</v>
      </c>
      <c r="O60" s="2" t="n">
        <v>50</v>
      </c>
      <c r="P60" s="21" t="n">
        <v>2.29</v>
      </c>
      <c r="Q60" s="21" t="n">
        <v>1.98</v>
      </c>
      <c r="R60" s="2" t="n"/>
      <c r="S60" s="2" t="n"/>
      <c r="T60" s="2" t="n"/>
      <c r="U60" s="2" t="n"/>
      <c r="V60" s="21" t="n">
        <v>11.36</v>
      </c>
      <c r="W60" s="21" t="n">
        <v>11.36</v>
      </c>
      <c r="X60" s="2" t="inlineStr">
        <is>
          <t>ENABLED</t>
        </is>
      </c>
      <c r="Y60" s="2" t="inlineStr">
        <is>
          <t>none</t>
        </is>
      </c>
      <c r="Z60" s="2" t="inlineStr">
        <is>
          <t>defer — engine name wrong ((Conversion)); load a corrected name after 28 Oct</t>
        </is>
      </c>
      <c r="AA60" s="21" t="n">
        <v>76.83</v>
      </c>
      <c r="AB60" s="2" t="n">
        <v>41</v>
      </c>
      <c r="AC60" s="2" t="n">
        <v>6</v>
      </c>
      <c r="AD60" s="2" t="n">
        <v>41.5</v>
      </c>
      <c r="AE60" s="2" t="n">
        <v>70.73</v>
      </c>
      <c r="AF60" s="2" t="n">
        <v>24.39</v>
      </c>
      <c r="AG60" s="2" t="n">
        <v>22</v>
      </c>
      <c r="AH60" s="2" t="inlineStr">
        <is>
          <t>Release hold + price to break-even</t>
        </is>
      </c>
      <c r="AI60" s="22" t="inlineStr">
        <is>
          <t>Release hold; cut base $1.53 → $1.32; retag → Conversions</t>
        </is>
      </c>
      <c r="AJ60" s="22" t="inlineStr">
        <is>
          <t>41.5% ACoS, 6 orders on 41 clicks (CC 31 Aug–29 Sep) vs Queen White break-even 29.1%; BE base = $9.02 contribution (Queen White) × 14.6% CVR = $1.32; cap 25% cut.</t>
        </is>
      </c>
      <c r="AK60" s="2" t="inlineStr">
        <is>
          <t>seq 2092 retag correct to Conversions; seq 2924 rename CHANGE; seq 1981 NOT SERVING hold(s) → release; price to break-even (our addition, reviewer D)</t>
        </is>
      </c>
      <c r="AL60" s="22" t="n"/>
    </row>
    <row r="61">
      <c r="A61" s="2" t="inlineStr">
        <is>
          <t>166165612969671</t>
        </is>
      </c>
      <c r="B61" s="2" t="inlineStr">
        <is>
          <t>D-S4-full silk sheets - [Silk|Full] - Exact - Ran - DO - SATIN-FULL-BLACK</t>
        </is>
      </c>
      <c r="C61" s="2" t="inlineStr">
        <is>
          <t>full silk sheets [exact]</t>
        </is>
      </c>
      <c r="D61" s="2" t="inlineStr">
        <is>
          <t>full silk sheets</t>
        </is>
      </c>
      <c r="E61" s="2" t="inlineStr">
        <is>
          <t>ENABLED</t>
        </is>
      </c>
      <c r="F61" s="2" t="inlineStr">
        <is>
          <t>Ranking</t>
        </is>
      </c>
      <c r="G61" s="2" t="inlineStr">
        <is>
          <t>Ranking</t>
        </is>
      </c>
      <c r="H61" s="2" t="inlineStr">
        <is>
          <t>Silk|Full</t>
        </is>
      </c>
      <c r="I61" s="2" t="inlineStr">
        <is>
          <t>Exact</t>
        </is>
      </c>
      <c r="J61" s="2" t="inlineStr">
        <is>
          <t>SATIN-FULL-BLACK</t>
        </is>
      </c>
      <c r="K61" s="2" t="inlineStr">
        <is>
          <t>SATIN-FULL-BLACK</t>
        </is>
      </c>
      <c r="L61" s="2" t="inlineStr">
        <is>
          <t>$1.50</t>
        </is>
      </c>
      <c r="M61" s="2" t="inlineStr">
        <is>
          <t>$1.50</t>
        </is>
      </c>
      <c r="N61" s="2" t="n">
        <v>50</v>
      </c>
      <c r="O61" s="2" t="n">
        <v>50</v>
      </c>
      <c r="P61" s="21" t="n">
        <v>2.25</v>
      </c>
      <c r="Q61" s="21" t="n">
        <v>2.25</v>
      </c>
      <c r="R61" s="2" t="n"/>
      <c r="S61" s="2" t="n"/>
      <c r="T61" s="2" t="n"/>
      <c r="U61" s="2" t="n"/>
      <c r="V61" s="21" t="n">
        <v>11.68</v>
      </c>
      <c r="W61" s="21" t="n">
        <v>11.68</v>
      </c>
      <c r="X61" s="2" t="inlineStr">
        <is>
          <t>ENABLED</t>
        </is>
      </c>
      <c r="Y61" s="2" t="inlineStr">
        <is>
          <t>none</t>
        </is>
      </c>
      <c r="Z61" s="2" t="inlineStr">
        <is>
          <t>defer — engine name wrong (SKU token SATIN-FULL-BLACK); load a corrected name after 28 Oct</t>
        </is>
      </c>
      <c r="AA61" s="21" t="n">
        <v>76.7</v>
      </c>
      <c r="AB61" s="2" t="n">
        <v>36</v>
      </c>
      <c r="AC61" s="2" t="n">
        <v>7</v>
      </c>
      <c r="AD61" s="2" t="n">
        <v>37.5</v>
      </c>
      <c r="AE61" s="2" t="n">
        <v>94.44</v>
      </c>
      <c r="AF61" s="2" t="n">
        <v>2.78</v>
      </c>
      <c r="AG61" s="2" t="n">
        <v>14</v>
      </c>
      <c r="AH61" s="2" t="inlineStr">
        <is>
          <t>Release hold, keep price</t>
        </is>
      </c>
      <c r="AI61" s="22" t="inlineStr">
        <is>
          <t>Release hold; keep base $1.50 (at/under break-even)</t>
        </is>
      </c>
      <c r="AJ61" s="22" t="inlineStr">
        <is>
          <t>37.5% ACoS, 7 orders on 36 clicks (CC 31 Aug–29 Sep) vs Full Black break-even 27.5%; BE base = $8.04 contribution (Full Black) × 19.4% CVR = $1.56; cap 25% cut.</t>
        </is>
      </c>
      <c r="AK61" s="2" t="inlineStr">
        <is>
          <t>seq 1823 child: reject — keep SATIN-FULL-BLACK; seq 2088 retag LOAD; seq 2916 rename CHANGE; seq 1979 NOT SERVING hold(s) → release; price to break-even (our addition, reviewer D)</t>
        </is>
      </c>
      <c r="AL61" s="22" t="n"/>
    </row>
    <row r="62">
      <c r="A62" s="2" t="inlineStr">
        <is>
          <t>80956023116321</t>
        </is>
      </c>
      <c r="B62" s="2" t="inlineStr">
        <is>
          <t>D-S4-SP-EXACT-satin full sheets-Satin|Full-SATIN-FULL-BLACK</t>
        </is>
      </c>
      <c r="C62" s="2" t="inlineStr">
        <is>
          <t>satin full sheets [exact, $2.21]; satin full sheets [exact, $2.21]</t>
        </is>
      </c>
      <c r="D62" s="2" t="inlineStr">
        <is>
          <t>satin full sheets</t>
        </is>
      </c>
      <c r="E62" s="2" t="inlineStr">
        <is>
          <t>ENABLED</t>
        </is>
      </c>
      <c r="F62" s="2" t="inlineStr">
        <is>
          <t>Conversions</t>
        </is>
      </c>
      <c r="G62" s="2" t="inlineStr">
        <is>
          <t>Ranking</t>
        </is>
      </c>
      <c r="H62" s="2" t="n"/>
      <c r="I62" s="2" t="inlineStr">
        <is>
          <t>Exact</t>
        </is>
      </c>
      <c r="J62" s="2" t="inlineStr">
        <is>
          <t>SATIN-FULL-BLACK</t>
        </is>
      </c>
      <c r="K62" s="2" t="inlineStr">
        <is>
          <t>SATIN-FULL-BLACK</t>
        </is>
      </c>
      <c r="L62" s="2" t="inlineStr">
        <is>
          <t>$2.21</t>
        </is>
      </c>
      <c r="M62" s="2" t="inlineStr">
        <is>
          <t>$1.66</t>
        </is>
      </c>
      <c r="N62" s="2" t="n">
        <v>0</v>
      </c>
      <c r="O62" s="2" t="n">
        <v>20</v>
      </c>
      <c r="P62" s="21" t="n">
        <v>2.21</v>
      </c>
      <c r="Q62" s="21" t="n">
        <v>1.99</v>
      </c>
      <c r="R62" s="2" t="n"/>
      <c r="S62" s="2" t="n"/>
      <c r="T62" s="2" t="n"/>
      <c r="U62" s="2" t="n">
        <v>0</v>
      </c>
      <c r="V62" s="21" t="n">
        <v>9.58</v>
      </c>
      <c r="W62" s="21" t="n">
        <v>9.58</v>
      </c>
      <c r="X62" s="2" t="inlineStr">
        <is>
          <t>ENABLED</t>
        </is>
      </c>
      <c r="Y62" s="2" t="inlineStr">
        <is>
          <t>none</t>
        </is>
      </c>
      <c r="Z62" s="2" t="inlineStr">
        <is>
          <t>defer — engine name wrong (SKU token SATIN-FULL-BLACK; (Ranking)); load a corrected name after 28 Oct</t>
        </is>
      </c>
      <c r="AA62" s="21" t="n">
        <v>69.97</v>
      </c>
      <c r="AB62" s="2" t="n">
        <v>33</v>
      </c>
      <c r="AC62" s="2" t="n">
        <v>4</v>
      </c>
      <c r="AD62" s="2" t="n">
        <v>59.4</v>
      </c>
      <c r="AE62" s="2" t="n">
        <v>15.15</v>
      </c>
      <c r="AF62" s="2" t="n">
        <v>81.81999999999999</v>
      </c>
      <c r="AG62" s="2" t="n">
        <v>4</v>
      </c>
      <c r="AH62" s="2" t="inlineStr">
        <is>
          <t>Mix fix + price cut</t>
        </is>
      </c>
      <c r="AI62" s="22" t="inlineStr">
        <is>
          <t>Mix fix in one write: base $2.21 → $1.66, boost → 20% (top of search $2.21 → $1.99); release the hold; 59.4% ACoS vs Full Black 28.5%; product pages 82%</t>
        </is>
      </c>
      <c r="AJ62" s="22" t="inlineStr">
        <is>
          <t>59.4% ACoS, 4 orders on 33 clicks (CC 31 Aug–29 Sep) vs Full Black break-even 27.5%; BE base = $8.04 contribution (Full Black) × 12.1% CVR = $0.97; cap 25% cut.</t>
        </is>
      </c>
      <c r="AK62" s="2" t="inlineStr">
        <is>
          <t>seq 1821 child: reject — keep SATIN-FULL-BLACK; seq 2087 retag correct to Ranking; seq 2914 rename CHANGE; seq 1735 NOT SERVING hold(s) → release; price to break-even (our addition, reviewer D)</t>
        </is>
      </c>
      <c r="AL62" s="22" t="n"/>
    </row>
    <row r="63">
      <c r="A63" s="2" t="inlineStr">
        <is>
          <t>68788829997180</t>
        </is>
      </c>
      <c r="B63" s="2" t="inlineStr">
        <is>
          <t>SSS4-PHRASE-(silk bed sheets)-Browse Kws Migr.</t>
        </is>
      </c>
      <c r="C63" s="2" t="inlineStr">
        <is>
          <t>silk bed sheets [phrase, $1.04]; silk bed sheets [phrase, $2.25]</t>
        </is>
      </c>
      <c r="D63" s="2" t="inlineStr">
        <is>
          <t>whole campaign</t>
        </is>
      </c>
      <c r="E63" s="2" t="inlineStr">
        <is>
          <t>ENABLED</t>
        </is>
      </c>
      <c r="F63" s="2" t="inlineStr">
        <is>
          <t>Discovery</t>
        </is>
      </c>
      <c r="G63" s="2" t="inlineStr">
        <is>
          <t>Discovery</t>
        </is>
      </c>
      <c r="H63" s="2" t="n"/>
      <c r="I63" s="2" t="inlineStr">
        <is>
          <t>Phrase</t>
        </is>
      </c>
      <c r="J63" s="2" t="inlineStr">
        <is>
          <t>SATIN-QUEEN-BLACK</t>
        </is>
      </c>
      <c r="K63" s="2" t="inlineStr">
        <is>
          <t>SATIN-QUEEN-BLACK</t>
        </is>
      </c>
      <c r="L63" s="2" t="inlineStr">
        <is>
          <t>$1.04</t>
        </is>
      </c>
      <c r="M63" s="2" t="inlineStr">
        <is>
          <t>$1.04</t>
        </is>
      </c>
      <c r="N63" s="2" t="n">
        <v>0</v>
      </c>
      <c r="O63" s="2" t="n">
        <v>0</v>
      </c>
      <c r="P63" s="21" t="n">
        <v>1.04</v>
      </c>
      <c r="Q63" s="21" t="n">
        <v>1.04</v>
      </c>
      <c r="R63" s="2" t="n"/>
      <c r="S63" s="2" t="n"/>
      <c r="T63" s="2" t="n"/>
      <c r="U63" s="2" t="n"/>
      <c r="V63" s="21" t="n">
        <v>10</v>
      </c>
      <c r="W63" s="21" t="n">
        <v>10</v>
      </c>
      <c r="X63" s="2" t="inlineStr">
        <is>
          <t>PAUSED</t>
        </is>
      </c>
      <c r="Y63" s="2" t="inlineStr">
        <is>
          <t>none</t>
        </is>
      </c>
      <c r="Z63" s="2" t="inlineStr">
        <is>
          <t>none</t>
        </is>
      </c>
      <c r="AA63" s="21" t="n">
        <v>69.56</v>
      </c>
      <c r="AB63" s="2" t="n">
        <v>48</v>
      </c>
      <c r="AC63" s="2" t="n">
        <v>4</v>
      </c>
      <c r="AD63" s="2" t="n">
        <v>56.6</v>
      </c>
      <c r="AE63" s="2" t="n">
        <v>25.53</v>
      </c>
      <c r="AF63" s="2" t="n">
        <v>6.38</v>
      </c>
      <c r="AG63" s="2" t="n">
        <v>37</v>
      </c>
      <c r="AH63" s="2" t="inlineStr">
        <is>
          <t>Pause</t>
        </is>
      </c>
      <c r="AI63" s="22" t="inlineStr">
        <is>
          <t>Pause (seq 2861)</t>
        </is>
      </c>
      <c r="AJ63" s="22" t="inlineStr">
        <is>
          <t>56.6% ACoS on 4 orders / 48 clicks (CC 31 Aug–29 Sep). Only the fences travel, never the keywords. Phrase "silk sheet set" does not cover "silk bedsheets" or "silk bed sheets", so the coverage is dropped, not merged.</t>
        </is>
      </c>
      <c r="AK63" s="2" t="inlineStr">
        <is>
          <t>seq 2861 structure: pass as pauses (flag); seq 1755 NOT SERVING hold(s) moot — campaign paused</t>
        </is>
      </c>
      <c r="AL63" s="22" t="n"/>
    </row>
    <row r="64">
      <c r="A64" s="2" t="inlineStr">
        <is>
          <t>72069146058874</t>
        </is>
      </c>
      <c r="B64" s="2" t="inlineStr">
        <is>
          <t>D-S4-bed sheets full size silk - [Silk|Full] - Exact - Ran - DO - SATIN-FULL-BLACK</t>
        </is>
      </c>
      <c r="C64" s="2" t="inlineStr">
        <is>
          <t>bed sheets full size silk [exact, $1.46, 18 clicks]</t>
        </is>
      </c>
      <c r="D64" s="2" t="inlineStr">
        <is>
          <t>whole campaign</t>
        </is>
      </c>
      <c r="E64" s="2" t="inlineStr">
        <is>
          <t>PAUSED</t>
        </is>
      </c>
      <c r="F64" s="2" t="inlineStr">
        <is>
          <t>Ranking</t>
        </is>
      </c>
      <c r="G64" s="2" t="inlineStr">
        <is>
          <t>Ranking</t>
        </is>
      </c>
      <c r="H64" s="2" t="inlineStr">
        <is>
          <t>OUT</t>
        </is>
      </c>
      <c r="I64" s="2" t="inlineStr">
        <is>
          <t>Exact</t>
        </is>
      </c>
      <c r="J64" s="2" t="inlineStr">
        <is>
          <t>SATIN-FULL-BLACK</t>
        </is>
      </c>
      <c r="K64" s="2" t="inlineStr">
        <is>
          <t>SATIN-FULL-BLACK</t>
        </is>
      </c>
      <c r="L64" s="2" t="inlineStr">
        <is>
          <t>$1.46</t>
        </is>
      </c>
      <c r="M64" s="2" t="inlineStr">
        <is>
          <t>$1.46</t>
        </is>
      </c>
      <c r="N64" s="2" t="n">
        <v>300</v>
      </c>
      <c r="O64" s="2" t="n">
        <v>300</v>
      </c>
      <c r="P64" s="21" t="n">
        <v>5.84</v>
      </c>
      <c r="Q64" s="21" t="n">
        <v>5.84</v>
      </c>
      <c r="R64" s="2" t="n">
        <v>0</v>
      </c>
      <c r="S64" s="2" t="n">
        <v>0</v>
      </c>
      <c r="T64" s="2" t="n">
        <v>0</v>
      </c>
      <c r="U64" s="2" t="n">
        <v>0</v>
      </c>
      <c r="V64" s="21" t="n">
        <v>11.37</v>
      </c>
      <c r="W64" s="21" t="n">
        <v>11.37</v>
      </c>
      <c r="X64" s="2" t="inlineStr">
        <is>
          <t>PAUSED</t>
        </is>
      </c>
      <c r="Y64" s="2" t="inlineStr">
        <is>
          <t>none</t>
        </is>
      </c>
      <c r="Z64" s="2" t="inlineStr">
        <is>
          <t>load (clean): DSS4-SP-Bed Sheets Full Size Silk-[Silk|Full]-(LSV)-Exact-(Ranking)-DO-SATIN-FULL-BLACK</t>
        </is>
      </c>
      <c r="AA64" s="21" t="n">
        <v>69.43000000000001</v>
      </c>
      <c r="AB64" s="2" t="n">
        <v>18</v>
      </c>
      <c r="AC64" s="2" t="n">
        <v>2</v>
      </c>
      <c r="AD64" s="2" t="n">
        <v>119.9</v>
      </c>
      <c r="AE64" s="2" t="n">
        <v>100</v>
      </c>
      <c r="AF64" s="2" t="n">
        <v>0</v>
      </c>
      <c r="AG64" s="2" t="n">
        <v>8</v>
      </c>
      <c r="AH64" s="2" t="inlineStr">
        <is>
          <t>Rename only</t>
        </is>
      </c>
      <c r="AI64" s="22" t="inlineStr">
        <is>
          <t>Load rename only</t>
        </is>
      </c>
      <c r="AJ64" s="22" t="inlineStr">
        <is>
          <t>Clean rename (SKU token and objective match what the campaign advertises); 119.9% ACoS on 2 orders / 18 clicks (CC 31 Aug–29 Sep).</t>
        </is>
      </c>
      <c r="AK64" s="2" t="inlineStr">
        <is>
          <t>seq 2948 rename LOAD</t>
        </is>
      </c>
      <c r="AL64" s="22" t="n"/>
    </row>
    <row r="65">
      <c r="A65" s="2" t="inlineStr">
        <is>
          <t>126220886415242</t>
        </is>
      </c>
      <c r="B65" s="2" t="inlineStr">
        <is>
          <t>D-S4-silky sheets queen - [Silk|Queen] - Exact - Ran - DO - SATIN-QUEEN-BLACK</t>
        </is>
      </c>
      <c r="C65" s="2" t="inlineStr">
        <is>
          <t>silky sheets queen [exact, $0.59, 29 clicks]</t>
        </is>
      </c>
      <c r="D65" s="2" t="inlineStr">
        <is>
          <t>silky sheets queen</t>
        </is>
      </c>
      <c r="E65" s="2" t="inlineStr">
        <is>
          <t>ENABLED</t>
        </is>
      </c>
      <c r="F65" s="2" t="inlineStr">
        <is>
          <t>Ranking</t>
        </is>
      </c>
      <c r="G65" s="2" t="inlineStr">
        <is>
          <t>Ranking</t>
        </is>
      </c>
      <c r="H65" s="2" t="inlineStr">
        <is>
          <t>OUT</t>
        </is>
      </c>
      <c r="I65" s="2" t="inlineStr">
        <is>
          <t>Exact</t>
        </is>
      </c>
      <c r="J65" s="2" t="inlineStr">
        <is>
          <t>SATIN-QUEEN-BLACK</t>
        </is>
      </c>
      <c r="K65" s="2" t="inlineStr">
        <is>
          <t>SATIN-QUEEN-BLACK</t>
        </is>
      </c>
      <c r="L65" s="2" t="inlineStr">
        <is>
          <t>$0.59</t>
        </is>
      </c>
      <c r="M65" s="2" t="inlineStr">
        <is>
          <t>$0.50</t>
        </is>
      </c>
      <c r="N65" s="2" t="n">
        <v>300</v>
      </c>
      <c r="O65" s="2" t="n">
        <v>300</v>
      </c>
      <c r="P65" s="21" t="n">
        <v>2.36</v>
      </c>
      <c r="Q65" s="21" t="n">
        <v>2</v>
      </c>
      <c r="R65" s="2" t="n">
        <v>0</v>
      </c>
      <c r="S65" s="2" t="n">
        <v>0</v>
      </c>
      <c r="T65" s="2" t="n">
        <v>0</v>
      </c>
      <c r="U65" s="2" t="n">
        <v>0</v>
      </c>
      <c r="V65" s="21" t="n">
        <v>13.74</v>
      </c>
      <c r="W65" s="21" t="n">
        <v>13.74</v>
      </c>
      <c r="X65" s="2" t="inlineStr">
        <is>
          <t>ENABLED</t>
        </is>
      </c>
      <c r="Y65" s="2" t="inlineStr">
        <is>
          <t>none</t>
        </is>
      </c>
      <c r="Z65" s="2" t="inlineStr">
        <is>
          <t>defer — engine name wrong (SKU token SATIN-QUEEN-BLACK); load a corrected name after 28 Oct</t>
        </is>
      </c>
      <c r="AA65" s="21" t="n">
        <v>66.92</v>
      </c>
      <c r="AB65" s="2" t="n">
        <v>29</v>
      </c>
      <c r="AC65" s="2" t="n">
        <v>8</v>
      </c>
      <c r="AD65" s="2" t="n">
        <v>28.1</v>
      </c>
      <c r="AE65" s="2" t="n">
        <v>100</v>
      </c>
      <c r="AF65" s="2" t="n">
        <v>0</v>
      </c>
      <c r="AG65" s="2" t="n">
        <v>20</v>
      </c>
      <c r="AH65" s="2" t="inlineStr">
        <is>
          <t>Price cut</t>
        </is>
      </c>
      <c r="AI65" s="22" t="inlineStr">
        <is>
          <t>Cut base 15% ($0.59 → $0.50)</t>
        </is>
      </c>
      <c r="AJ65" s="22" t="inlineStr">
        <is>
          <t>28.1% ACoS on 8 orders / 29 clicks (CC 31 Aug–29 Sep) vs Queen Black break-even 17.8%; audit row loads as written (review 40 agrees).</t>
        </is>
      </c>
      <c r="AK65" s="2" t="inlineStr">
        <is>
          <t>seq 155 bid: pass (flag); seq 1830 child: reject — keep SATIN-QUEEN-BLACK; seq 2928 rename CHANGE</t>
        </is>
      </c>
      <c r="AL65" s="22" t="n"/>
    </row>
    <row r="66">
      <c r="A66" s="2" t="inlineStr">
        <is>
          <t>10111709816414</t>
        </is>
      </c>
      <c r="B66" s="2" t="inlineStr">
        <is>
          <t>D-S4-queen bed sheets silk - [Silk|Queen] - Exact - Ran - DO - SATIN-QUEEN-BLACK</t>
        </is>
      </c>
      <c r="C66" s="2" t="inlineStr">
        <is>
          <t>queen bed sheets silk [exact]</t>
        </is>
      </c>
      <c r="D66" s="2" t="inlineStr">
        <is>
          <t>queen bed sheets silk</t>
        </is>
      </c>
      <c r="E66" s="2" t="inlineStr">
        <is>
          <t>ENABLED</t>
        </is>
      </c>
      <c r="F66" s="2" t="inlineStr">
        <is>
          <t>Ranking</t>
        </is>
      </c>
      <c r="G66" s="2" t="inlineStr">
        <is>
          <t>Ranking</t>
        </is>
      </c>
      <c r="H66" s="2" t="inlineStr">
        <is>
          <t>Silk|Queen</t>
        </is>
      </c>
      <c r="I66" s="2" t="inlineStr">
        <is>
          <t>Exact</t>
        </is>
      </c>
      <c r="J66" s="2" t="inlineStr">
        <is>
          <t>SATIN-QUEEN-BLACK</t>
        </is>
      </c>
      <c r="K66" s="2" t="inlineStr">
        <is>
          <t>SATIN-QUEEN-BLACK</t>
        </is>
      </c>
      <c r="L66" s="2" t="inlineStr">
        <is>
          <t>$1.46</t>
        </is>
      </c>
      <c r="M66" s="2" t="inlineStr">
        <is>
          <t>$1.09</t>
        </is>
      </c>
      <c r="N66" s="2" t="n">
        <v>50</v>
      </c>
      <c r="O66" s="2" t="n">
        <v>50</v>
      </c>
      <c r="P66" s="21" t="n">
        <v>2.19</v>
      </c>
      <c r="Q66" s="21" t="n">
        <v>1.64</v>
      </c>
      <c r="R66" s="2" t="n"/>
      <c r="S66" s="2" t="n"/>
      <c r="T66" s="2" t="n"/>
      <c r="U66" s="2" t="n"/>
      <c r="V66" s="21" t="n">
        <v>10.84</v>
      </c>
      <c r="W66" s="21" t="n">
        <v>10.84</v>
      </c>
      <c r="X66" s="2" t="inlineStr">
        <is>
          <t>ENABLED</t>
        </is>
      </c>
      <c r="Y66" s="2" t="inlineStr">
        <is>
          <t>none</t>
        </is>
      </c>
      <c r="Z66" s="2" t="inlineStr">
        <is>
          <t>defer — engine name wrong (SKU token SATIN-QUEEN-BLACK); load a corrected name after 28 Oct</t>
        </is>
      </c>
      <c r="AA66" s="21" t="n">
        <v>64.73</v>
      </c>
      <c r="AB66" s="2" t="n">
        <v>31</v>
      </c>
      <c r="AC66" s="2" t="n">
        <v>6</v>
      </c>
      <c r="AD66" s="2" t="n">
        <v>38.2</v>
      </c>
      <c r="AE66" s="2" t="n">
        <v>93.55</v>
      </c>
      <c r="AF66" s="2" t="n">
        <v>0</v>
      </c>
      <c r="AG66" s="2" t="n">
        <v>18</v>
      </c>
      <c r="AH66" s="2" t="inlineStr">
        <is>
          <t>Release hold + price to break-even</t>
        </is>
      </c>
      <c r="AI66" s="22" t="inlineStr">
        <is>
          <t>Release hold; cut base $1.46 → $1.09</t>
        </is>
      </c>
      <c r="AJ66" s="22" t="inlineStr">
        <is>
          <t>38.2% ACoS, 6 orders on 31 clicks (CC 31 Aug–29 Sep) vs Queen Black break-even 17.8%; BE base = $5.03 contribution (Queen Black) × 19.4% CVR = $0.97; cap 25% cut.</t>
        </is>
      </c>
      <c r="AK66" s="2" t="inlineStr">
        <is>
          <t>seq 1834 child: reject — keep SATIN-QUEEN-BLACK; seq 2097 retag LOAD; seq 2934 rename CHANGE; seq 1983 NOT SERVING hold(s) → release; price to break-even (our addition, reviewer D)</t>
        </is>
      </c>
      <c r="AL66" s="22" t="n"/>
    </row>
    <row r="67">
      <c r="A67" s="2" t="inlineStr">
        <is>
          <t>195376730173968</t>
        </is>
      </c>
      <c r="B67" s="2" t="inlineStr">
        <is>
          <t>D-S4-twin satin sheets - [Satin|Twin] - Exact - Ran - DO - SATIN-TWIN-BLACK-NEW</t>
        </is>
      </c>
      <c r="C67" s="2" t="inlineStr">
        <is>
          <t>twin satin sheets [exact, $1.55, 25 clicks]</t>
        </is>
      </c>
      <c r="D67" s="2" t="inlineStr">
        <is>
          <t>twin satin sheets</t>
        </is>
      </c>
      <c r="E67" s="2" t="inlineStr">
        <is>
          <t>ENABLED</t>
        </is>
      </c>
      <c r="F67" s="2" t="inlineStr">
        <is>
          <t>Ranking</t>
        </is>
      </c>
      <c r="G67" s="2" t="inlineStr">
        <is>
          <t>Ranking</t>
        </is>
      </c>
      <c r="H67" s="2" t="inlineStr">
        <is>
          <t>OUT</t>
        </is>
      </c>
      <c r="I67" s="2" t="inlineStr">
        <is>
          <t>Exact</t>
        </is>
      </c>
      <c r="J67" s="2" t="inlineStr">
        <is>
          <t>SATIN-TWIN-BLACK-NEW</t>
        </is>
      </c>
      <c r="K67" s="2" t="inlineStr">
        <is>
          <t>SATIN-TWIN-BLACK-NEW</t>
        </is>
      </c>
      <c r="L67" s="2" t="inlineStr">
        <is>
          <t>$1.55</t>
        </is>
      </c>
      <c r="M67" s="2" t="inlineStr">
        <is>
          <t>$1.16</t>
        </is>
      </c>
      <c r="N67" s="2" t="n">
        <v>100</v>
      </c>
      <c r="O67" s="2" t="n">
        <v>100</v>
      </c>
      <c r="P67" s="21" t="n">
        <v>3.1</v>
      </c>
      <c r="Q67" s="21" t="n">
        <v>2.32</v>
      </c>
      <c r="R67" s="2" t="n">
        <v>0</v>
      </c>
      <c r="S67" s="2" t="n">
        <v>0</v>
      </c>
      <c r="T67" s="2" t="n">
        <v>0</v>
      </c>
      <c r="U67" s="2" t="n">
        <v>0</v>
      </c>
      <c r="V67" s="21" t="n">
        <v>12.53</v>
      </c>
      <c r="W67" s="21" t="n">
        <v>6.27</v>
      </c>
      <c r="X67" s="2" t="inlineStr">
        <is>
          <t>ENABLED</t>
        </is>
      </c>
      <c r="Y67" s="2" t="inlineStr">
        <is>
          <t>none</t>
        </is>
      </c>
      <c r="Z67" s="2" t="inlineStr">
        <is>
          <t>defer — engine name wrong (SKU token SATIN-TWIN-BLACK-NEW); load a corrected name after 28 Oct</t>
        </is>
      </c>
      <c r="AA67" s="21" t="n">
        <v>63.21</v>
      </c>
      <c r="AB67" s="2" t="n">
        <v>25</v>
      </c>
      <c r="AC67" s="2" t="n">
        <v>7</v>
      </c>
      <c r="AD67" s="2" t="n">
        <v>33.3</v>
      </c>
      <c r="AE67" s="2" t="n">
        <v>80</v>
      </c>
      <c r="AF67" s="2" t="n">
        <v>20</v>
      </c>
      <c r="AG67" s="2" t="n">
        <v>20</v>
      </c>
      <c r="AH67" s="2" t="inlineStr">
        <is>
          <t>Price cut</t>
        </is>
      </c>
      <c r="AI67" s="22" t="inlineStr">
        <is>
          <t>Cut base 25% ($1.55 → $1.16); Budget $12.53 → $6.27</t>
        </is>
      </c>
      <c r="AJ67" s="22" t="inlineStr">
        <is>
          <t>33.3% ACoS on 7 orders / 25 clicks (CC 31 Aug–29 Sep). −29.7% breaks the cap (7 orders). $1.16 × 2.00 = $2.32. Note: plan move to SATIN-TWIN-GREY before 16 Oct (Twin Black 66 units, ~34 days).</t>
        </is>
      </c>
      <c r="AK67" s="2" t="inlineStr">
        <is>
          <t>seq 156 budget: agree with review 40; seq 157 tos: drop (hold 100); seq 160 bid: correct to 1.16; seq 1818 child: reject — keep SATIN-TWIN-BLACK-NEW; seq 2907 rename CHANGE</t>
        </is>
      </c>
      <c r="AL67" s="22" t="n"/>
    </row>
    <row r="68">
      <c r="A68" s="2" t="inlineStr">
        <is>
          <t>45314620215925</t>
        </is>
      </c>
      <c r="B68" s="2" t="inlineStr">
        <is>
          <t>D-S4-SP-EXACT-black silk sheets full-Silk|Full-SATIN-FULL-BLACK</t>
        </is>
      </c>
      <c r="C68" s="2" t="inlineStr">
        <is>
          <t>black silk sheets full [exact]</t>
        </is>
      </c>
      <c r="D68" s="2" t="inlineStr">
        <is>
          <t>whole campaign</t>
        </is>
      </c>
      <c r="E68" s="2" t="inlineStr">
        <is>
          <t>ENABLED</t>
        </is>
      </c>
      <c r="F68" s="2" t="inlineStr">
        <is>
          <t>Ranking</t>
        </is>
      </c>
      <c r="G68" s="2" t="inlineStr">
        <is>
          <t>Conversions</t>
        </is>
      </c>
      <c r="H68" s="2" t="n"/>
      <c r="I68" s="2" t="inlineStr">
        <is>
          <t>Exact</t>
        </is>
      </c>
      <c r="J68" s="2" t="inlineStr">
        <is>
          <t>SATIN-FULL-BLACK</t>
        </is>
      </c>
      <c r="K68" s="2" t="inlineStr">
        <is>
          <t>SATIN-FULL-BLACK</t>
        </is>
      </c>
      <c r="L68" s="2" t="inlineStr">
        <is>
          <t>n/a (no target bid in audit)</t>
        </is>
      </c>
      <c r="M68" s="2" t="inlineStr">
        <is>
          <t>n/a</t>
        </is>
      </c>
      <c r="N68" s="2" t="n">
        <v>0</v>
      </c>
      <c r="O68" s="2" t="n">
        <v>0</v>
      </c>
      <c r="P68" s="21" t="n"/>
      <c r="Q68" s="21" t="n"/>
      <c r="R68" s="2" t="n"/>
      <c r="S68" s="2" t="n"/>
      <c r="T68" s="2" t="n"/>
      <c r="U68" s="2" t="n"/>
      <c r="V68" s="21" t="n">
        <v>9.58</v>
      </c>
      <c r="W68" s="21" t="n">
        <v>9.58</v>
      </c>
      <c r="X68" s="2" t="inlineStr">
        <is>
          <t>ENABLED</t>
        </is>
      </c>
      <c r="Y68" s="2" t="inlineStr">
        <is>
          <t>none</t>
        </is>
      </c>
      <c r="Z68" s="2" t="inlineStr">
        <is>
          <t>defer — engine name wrong ((Conversion)); load a corrected name after 28 Oct</t>
        </is>
      </c>
      <c r="AA68" s="21" t="n">
        <v>62.61</v>
      </c>
      <c r="AB68" s="2" t="n">
        <v>37</v>
      </c>
      <c r="AC68" s="2" t="n">
        <v>4</v>
      </c>
      <c r="AD68" s="2" t="n">
        <v>53.1</v>
      </c>
      <c r="AE68" s="2" t="n">
        <v>47.22</v>
      </c>
      <c r="AF68" s="2" t="n">
        <v>38.89</v>
      </c>
      <c r="AG68" s="2" t="n">
        <v>4</v>
      </c>
      <c r="AH68" s="2" t="inlineStr">
        <is>
          <t>Retag only</t>
        </is>
      </c>
      <c r="AI68" s="22" t="inlineStr">
        <is>
          <t>retag → Conversions</t>
        </is>
      </c>
      <c r="AJ68" s="22" t="inlineStr">
        <is>
          <t>Objective Ranking → Conversions by the standard (our retag verdict); 53.1% ACoS on 4 orders / 37 clicks (CC 31 Aug–29 Sep).</t>
        </is>
      </c>
      <c r="AK68" s="2" t="inlineStr">
        <is>
          <t>seq 2091 retag correct to Conversions; seq 2922 rename CHANGE</t>
        </is>
      </c>
      <c r="AL68" s="22" t="n"/>
    </row>
    <row r="69">
      <c r="A69" s="2" t="inlineStr">
        <is>
          <t>96686463090060</t>
        </is>
      </c>
      <c r="B69" s="2" t="inlineStr">
        <is>
          <t>D-S4-grey silk sheets - [Silk] - Exact - Ran - DO - SATIN-QUEEN-GREY</t>
        </is>
      </c>
      <c r="C69" s="2" t="inlineStr">
        <is>
          <t>grey silk sheets [exact, $1.37, 37 clicks]</t>
        </is>
      </c>
      <c r="D69" s="2" t="inlineStr">
        <is>
          <t>whole campaign</t>
        </is>
      </c>
      <c r="E69" s="2" t="inlineStr">
        <is>
          <t>PAUSED</t>
        </is>
      </c>
      <c r="F69" s="2" t="inlineStr">
        <is>
          <t>Ranking</t>
        </is>
      </c>
      <c r="G69" s="2" t="inlineStr">
        <is>
          <t>Conversions</t>
        </is>
      </c>
      <c r="H69" s="2" t="inlineStr">
        <is>
          <t>OUT</t>
        </is>
      </c>
      <c r="I69" s="2" t="inlineStr">
        <is>
          <t>Exact</t>
        </is>
      </c>
      <c r="J69" s="2" t="inlineStr">
        <is>
          <t>SATIN-QUEEN-GREY</t>
        </is>
      </c>
      <c r="K69" s="2" t="inlineStr">
        <is>
          <t>SATIN-QUEEN-GREY</t>
        </is>
      </c>
      <c r="L69" s="2" t="inlineStr">
        <is>
          <t>$1.37</t>
        </is>
      </c>
      <c r="M69" s="2" t="inlineStr">
        <is>
          <t>$0.47</t>
        </is>
      </c>
      <c r="N69" s="2" t="n">
        <v>100</v>
      </c>
      <c r="O69" s="2" t="n">
        <v>100</v>
      </c>
      <c r="P69" s="21" t="n">
        <v>2.74</v>
      </c>
      <c r="Q69" s="21" t="n">
        <v>0.9399999999999999</v>
      </c>
      <c r="R69" s="2" t="n">
        <v>0</v>
      </c>
      <c r="S69" s="2" t="n">
        <v>0</v>
      </c>
      <c r="T69" s="2" t="n">
        <v>0</v>
      </c>
      <c r="U69" s="2" t="n">
        <v>0</v>
      </c>
      <c r="V69" s="21" t="n">
        <v>8.31</v>
      </c>
      <c r="W69" s="21" t="n">
        <v>8.31</v>
      </c>
      <c r="X69" s="2" t="inlineStr">
        <is>
          <t>ENABLED</t>
        </is>
      </c>
      <c r="Y69" s="2" t="inlineStr">
        <is>
          <t>none</t>
        </is>
      </c>
      <c r="Z69" s="2" t="inlineStr">
        <is>
          <t>defer — engine name wrong ((Conversion)); load a corrected name after 28 Oct</t>
        </is>
      </c>
      <c r="AA69" s="21" t="n">
        <v>62.48</v>
      </c>
      <c r="AB69" s="2" t="n">
        <v>37</v>
      </c>
      <c r="AC69" s="2" t="n">
        <v>5</v>
      </c>
      <c r="AD69" s="2" t="n">
        <v>42.5</v>
      </c>
      <c r="AE69" s="2" t="n">
        <v>33.33</v>
      </c>
      <c r="AF69" s="2" t="n">
        <v>63.89</v>
      </c>
      <c r="AG69" s="2" t="n">
        <v>18</v>
      </c>
      <c r="AH69" s="2" t="inlineStr">
        <is>
          <t>Revive at break-even</t>
        </is>
      </c>
      <c r="AI69" s="22" t="inlineStr">
        <is>
          <t>Revive at break-even base ($0.47 max); retag → Conversions</t>
        </is>
      </c>
      <c r="AJ69" s="22" t="inlineStr">
        <is>
          <t>42.5% ACoS on 5 orders / 37 clicks (CC 31 Aug–29 Sep). Queen Grey break-even is 10.8% (SB 8/30–9/28).</t>
        </is>
      </c>
      <c r="AK69" s="2" t="inlineStr">
        <is>
          <t>seq 2836 structure: correct to ruling-D price; seq 2959 rename CHANGE; our addition: standard → Conversions (colour term "grey silk sheets")</t>
        </is>
      </c>
      <c r="AL69" s="22" t="n"/>
    </row>
    <row r="70">
      <c r="A70" s="2" t="inlineStr">
        <is>
          <t>96788673180864</t>
        </is>
      </c>
      <c r="B70" s="2" t="inlineStr">
        <is>
          <t>D-S4-purple silk sheets - [Silk] - Exact - Ran - DO - SATIN-QUEEN-PURPLE</t>
        </is>
      </c>
      <c r="C70" s="2" t="inlineStr">
        <is>
          <t>purple silk sheets [exact]</t>
        </is>
      </c>
      <c r="D70" s="2" t="inlineStr">
        <is>
          <t>whole campaign</t>
        </is>
      </c>
      <c r="E70" s="2" t="inlineStr">
        <is>
          <t>ENABLED</t>
        </is>
      </c>
      <c r="F70" s="2" t="inlineStr">
        <is>
          <t>Ranking</t>
        </is>
      </c>
      <c r="G70" s="2" t="inlineStr">
        <is>
          <t>Conversions</t>
        </is>
      </c>
      <c r="H70" s="2" t="inlineStr">
        <is>
          <t>Silk</t>
        </is>
      </c>
      <c r="I70" s="2" t="inlineStr">
        <is>
          <t>Exact</t>
        </is>
      </c>
      <c r="J70" s="2" t="inlineStr">
        <is>
          <t>SATIN-QUEEN-PURPLE</t>
        </is>
      </c>
      <c r="K70" s="2" t="inlineStr">
        <is>
          <t>SATIN-QUEEN-PURPLE</t>
        </is>
      </c>
      <c r="L70" s="2" t="inlineStr">
        <is>
          <t>n/a (no target bid in audit)</t>
        </is>
      </c>
      <c r="M70" s="2" t="inlineStr">
        <is>
          <t>n/a</t>
        </is>
      </c>
      <c r="N70" s="2" t="n">
        <v>0</v>
      </c>
      <c r="O70" s="2" t="n">
        <v>0</v>
      </c>
      <c r="P70" s="21" t="n"/>
      <c r="Q70" s="21" t="n"/>
      <c r="R70" s="2" t="n"/>
      <c r="S70" s="2" t="n"/>
      <c r="T70" s="2" t="n"/>
      <c r="U70" s="2" t="n"/>
      <c r="V70" s="21" t="n">
        <v>12</v>
      </c>
      <c r="W70" s="21" t="n">
        <v>12</v>
      </c>
      <c r="X70" s="2" t="inlineStr">
        <is>
          <t>ENABLED</t>
        </is>
      </c>
      <c r="Y70" s="2" t="inlineStr">
        <is>
          <t>none</t>
        </is>
      </c>
      <c r="Z70" s="2" t="inlineStr">
        <is>
          <t>defer — engine name wrong ((Conversion)); load a corrected name after 28 Oct</t>
        </is>
      </c>
      <c r="AA70" s="21" t="n">
        <v>62.24</v>
      </c>
      <c r="AB70" s="2" t="n">
        <v>76</v>
      </c>
      <c r="AC70" s="2" t="n">
        <v>5</v>
      </c>
      <c r="AD70" s="2" t="n">
        <v>41.1</v>
      </c>
      <c r="AE70" s="2" t="n">
        <v>5.26</v>
      </c>
      <c r="AF70" s="2" t="n">
        <v>88.16</v>
      </c>
      <c r="AG70" s="2" t="n">
        <v>36</v>
      </c>
      <c r="AH70" s="2" t="inlineStr">
        <is>
          <t>Retag only</t>
        </is>
      </c>
      <c r="AI70" s="22" t="inlineStr">
        <is>
          <t>retag → Conversions</t>
        </is>
      </c>
      <c r="AJ70" s="22" t="inlineStr">
        <is>
          <t>Objective Ranking → Conversions by the standard (our retag verdict); 41.1% ACoS on 5 orders / 76 clicks (CC 31 Aug–29 Sep).</t>
        </is>
      </c>
      <c r="AK70" s="2" t="inlineStr">
        <is>
          <t>seq 2102 retag correct to Conversions; seq 2943 rename CHANGE</t>
        </is>
      </c>
      <c r="AL70" s="22" t="n"/>
    </row>
    <row r="71">
      <c r="A71" s="2" t="inlineStr">
        <is>
          <t>9973300181593</t>
        </is>
      </c>
      <c r="B71" s="2" t="inlineStr">
        <is>
          <t>D-S4-SP-EXACT-black queen sheets-Generic-SATIN-QUEEN-BLACK</t>
        </is>
      </c>
      <c r="C71" s="2" t="inlineStr">
        <is>
          <t>black queen sheets [exact, $1.55]; black queen sheets [exact, $1.55]</t>
        </is>
      </c>
      <c r="D71" s="2" t="inlineStr">
        <is>
          <t>black queen sheets</t>
        </is>
      </c>
      <c r="E71" s="2" t="inlineStr">
        <is>
          <t>ENABLED</t>
        </is>
      </c>
      <c r="F71" s="2" t="inlineStr">
        <is>
          <t>Conversions</t>
        </is>
      </c>
      <c r="G71" s="2" t="inlineStr">
        <is>
          <t>Conversions</t>
        </is>
      </c>
      <c r="H71" s="2" t="n"/>
      <c r="I71" s="2" t="inlineStr">
        <is>
          <t>Exact</t>
        </is>
      </c>
      <c r="J71" s="2" t="inlineStr">
        <is>
          <t>SATIN-QUEEN-BLACK</t>
        </is>
      </c>
      <c r="K71" s="2" t="inlineStr">
        <is>
          <t>SATIN-QUEEN-BLACK</t>
        </is>
      </c>
      <c r="L71" s="2" t="inlineStr">
        <is>
          <t>$1.55</t>
        </is>
      </c>
      <c r="M71" s="2" t="inlineStr">
        <is>
          <t>$1.16</t>
        </is>
      </c>
      <c r="N71" s="2" t="n">
        <v>0</v>
      </c>
      <c r="O71" s="2" t="n">
        <v>0</v>
      </c>
      <c r="P71" s="21" t="n">
        <v>1.55</v>
      </c>
      <c r="Q71" s="21" t="n">
        <v>1.16</v>
      </c>
      <c r="R71" s="2" t="n"/>
      <c r="S71" s="2" t="n"/>
      <c r="T71" s="2" t="n"/>
      <c r="U71" s="2" t="n"/>
      <c r="V71" s="21" t="n">
        <v>8.06</v>
      </c>
      <c r="W71" s="21" t="n">
        <v>8.06</v>
      </c>
      <c r="X71" s="2" t="inlineStr">
        <is>
          <t>ENABLED</t>
        </is>
      </c>
      <c r="Y71" s="2" t="inlineStr">
        <is>
          <t>none</t>
        </is>
      </c>
      <c r="Z71" s="2" t="inlineStr">
        <is>
          <t>load (clean): DSS4-SP-Black Queen Sheets-(MSV)-Exact-(Conversion)-DO-SATIN-QUEEN-BLACK</t>
        </is>
      </c>
      <c r="AA71" s="21" t="n">
        <v>60.59</v>
      </c>
      <c r="AB71" s="2" t="n">
        <v>36</v>
      </c>
      <c r="AC71" s="2" t="n">
        <v>4</v>
      </c>
      <c r="AD71" s="2" t="n">
        <v>58.3</v>
      </c>
      <c r="AE71" s="2" t="n">
        <v>0</v>
      </c>
      <c r="AF71" s="2" t="n">
        <v>48.57</v>
      </c>
      <c r="AG71" s="2" t="n">
        <v>5</v>
      </c>
      <c r="AH71" s="2" t="inlineStr">
        <is>
          <t>Release hold + price to break-even</t>
        </is>
      </c>
      <c r="AI71" s="22" t="inlineStr">
        <is>
          <t>Release hold; cut base $1.55 → $1.16</t>
        </is>
      </c>
      <c r="AJ71" s="22" t="inlineStr">
        <is>
          <t>58.3% ACoS, 4 orders on 36 clicks (CC 31 Aug–29 Sep) vs Queen Black break-even 17.8%; BE base = $5.03 contribution (Queen Black) × 11.1% CVR = $0.56; cap 25% cut.</t>
        </is>
      </c>
      <c r="AK71" s="2" t="inlineStr">
        <is>
          <t>seq 2096 retag LOAD; seq 2931 rename LOAD; seq 1741 NOT SERVING hold(s) → release; price to break-even (our addition, reviewer D)</t>
        </is>
      </c>
      <c r="AL71" s="22" t="n"/>
    </row>
    <row r="72">
      <c r="A72" s="2" t="inlineStr">
        <is>
          <t>47941523261030</t>
        </is>
      </c>
      <c r="B72" s="23" t="inlineStr">
        <is>
          <t>D-S4-SP-EXACT-satin bedsheets queen size-Satin|Queen-SATIN-QUEEN-BLACK</t>
        </is>
      </c>
      <c r="C72" s="2" t="inlineStr">
        <is>
          <t>satin bedsheets queen size [exact]</t>
        </is>
      </c>
      <c r="D72" s="23" t="inlineStr">
        <is>
          <t>satin bedsheets queen size (buys the search term: satin bed sheets queen)</t>
        </is>
      </c>
      <c r="E72" s="2" t="inlineStr">
        <is>
          <t>ENABLED</t>
        </is>
      </c>
      <c r="F72" s="2" t="inlineStr">
        <is>
          <t>Ranking</t>
        </is>
      </c>
      <c r="G72" s="2" t="inlineStr">
        <is>
          <t>Conversions</t>
        </is>
      </c>
      <c r="H72" s="2" t="n"/>
      <c r="I72" s="2" t="inlineStr">
        <is>
          <t>Exact</t>
        </is>
      </c>
      <c r="J72" s="2" t="inlineStr">
        <is>
          <t>SATIN-QUEEN-BLACK</t>
        </is>
      </c>
      <c r="K72" s="2" t="inlineStr">
        <is>
          <t>SATIN-QUEEN-BLACK</t>
        </is>
      </c>
      <c r="L72" s="2" t="inlineStr">
        <is>
          <t>n/a (no target bid in audit)</t>
        </is>
      </c>
      <c r="M72" s="2" t="inlineStr">
        <is>
          <t>n/a</t>
        </is>
      </c>
      <c r="N72" s="2" t="n">
        <v>0</v>
      </c>
      <c r="O72" s="2" t="n">
        <v>0</v>
      </c>
      <c r="P72" s="21" t="n"/>
      <c r="Q72" s="21" t="n"/>
      <c r="R72" s="2" t="n"/>
      <c r="S72" s="2" t="n"/>
      <c r="T72" s="2" t="n"/>
      <c r="U72" s="2" t="n"/>
      <c r="V72" s="21" t="n">
        <v>8.06</v>
      </c>
      <c r="W72" s="21" t="n">
        <v>8.06</v>
      </c>
      <c r="X72" s="2" t="inlineStr">
        <is>
          <t>ENABLED</t>
        </is>
      </c>
      <c r="Y72" s="2" t="inlineStr">
        <is>
          <t>add negative exact: satin bed sheets queen (only after the owner holds its top-of-search price)</t>
        </is>
      </c>
      <c r="Z72" s="2" t="inlineStr">
        <is>
          <t>defer — engine name wrong (SKU token SATIN-QUEEN-BLACK; (Conversion)); load a corrected name after 28 Oct</t>
        </is>
      </c>
      <c r="AA72" s="21" t="n">
        <v>59.44</v>
      </c>
      <c r="AB72" s="2" t="n">
        <v>31</v>
      </c>
      <c r="AC72" s="2" t="n">
        <v>7</v>
      </c>
      <c r="AD72" s="2" t="n">
        <v>27.7</v>
      </c>
      <c r="AE72" s="2" t="n">
        <v>58.06</v>
      </c>
      <c r="AF72" s="2" t="n">
        <v>3.23</v>
      </c>
      <c r="AG72" s="2" t="n">
        <v>7</v>
      </c>
      <c r="AH72" s="2" t="inlineStr">
        <is>
          <t>Retag only</t>
        </is>
      </c>
      <c r="AI72" s="24" t="inlineStr">
        <is>
          <t>retag → Conversions</t>
        </is>
      </c>
      <c r="AJ72" s="22" t="inlineStr">
        <is>
          <t>Objective Ranking → Conversions by the standard (our retag verdict); 27.7% ACoS on 7 orders / 31 clicks (CC 31 Aug–29 Sep).</t>
        </is>
      </c>
      <c r="AK72" s="2" t="inlineStr">
        <is>
          <t>seq 1827 child: reject — keep SATIN-QUEEN-BLACK; seq 2093 retag correct to Conversions; seq 2925 rename CHANGE</t>
        </is>
      </c>
      <c r="AL72" s="24" t="inlineStr">
        <is>
          <t>PUSH-SMALL · score 60 · 0.7 TOS clicks/day · TOS $1.77 · $1/day (with 79231677791815) · loss $2.75/order full price, $7.60 deal</t>
        </is>
      </c>
    </row>
    <row r="73">
      <c r="A73" s="2" t="inlineStr">
        <is>
          <t>221215321421557</t>
        </is>
      </c>
      <c r="B73" s="2" t="inlineStr">
        <is>
          <t>D-S4-SP-EXACT-silk bedsheets queen-Silk|Queen-SATIN-QUEEN-BLACK</t>
        </is>
      </c>
      <c r="C73" s="2" t="inlineStr">
        <is>
          <t>silk bedsheets queen [exact, $1.86]; silk bedsheets queen [exact, $1.86]</t>
        </is>
      </c>
      <c r="D73" s="2" t="inlineStr">
        <is>
          <t>silk bedsheets queen (buys the search term: silk bed sheets queen)</t>
        </is>
      </c>
      <c r="E73" s="2" t="inlineStr">
        <is>
          <t>PAUSED</t>
        </is>
      </c>
      <c r="F73" s="2" t="inlineStr">
        <is>
          <t>Conversions</t>
        </is>
      </c>
      <c r="G73" s="2" t="inlineStr">
        <is>
          <t>Conversions</t>
        </is>
      </c>
      <c r="H73" s="2" t="n"/>
      <c r="I73" s="2" t="inlineStr">
        <is>
          <t>Exact</t>
        </is>
      </c>
      <c r="J73" s="2" t="inlineStr">
        <is>
          <t>SATIN-QUEEN-BLACK</t>
        </is>
      </c>
      <c r="K73" s="2" t="inlineStr">
        <is>
          <t>SATIN-QUEEN-BLACK</t>
        </is>
      </c>
      <c r="L73" s="2" t="inlineStr">
        <is>
          <t>n/a (no target bid in audit)</t>
        </is>
      </c>
      <c r="M73" s="2" t="inlineStr">
        <is>
          <t>n/a</t>
        </is>
      </c>
      <c r="N73" s="2" t="n">
        <v>0</v>
      </c>
      <c r="O73" s="2" t="n">
        <v>0</v>
      </c>
      <c r="P73" s="21" t="n"/>
      <c r="Q73" s="21" t="n"/>
      <c r="R73" s="2" t="n"/>
      <c r="S73" s="2" t="n"/>
      <c r="T73" s="2" t="n"/>
      <c r="U73" s="2" t="n"/>
      <c r="V73" s="21" t="n">
        <v>8.06</v>
      </c>
      <c r="W73" s="21" t="n">
        <v>8.06</v>
      </c>
      <c r="X73" s="2" t="inlineStr">
        <is>
          <t>PAUSED</t>
        </is>
      </c>
      <c r="Y73" s="2" t="inlineStr">
        <is>
          <t>none</t>
        </is>
      </c>
      <c r="Z73" s="2" t="inlineStr">
        <is>
          <t>load (clean): DSS4-SP-Silk Bedsheets Queen-(VLSV)-Exact-(Conversion)-DO-SATIN-QUEEN-BLACK</t>
        </is>
      </c>
      <c r="AA73" s="21" t="n">
        <v>58.3</v>
      </c>
      <c r="AB73" s="2" t="n">
        <v>30</v>
      </c>
      <c r="AC73" s="2" t="n">
        <v>3</v>
      </c>
      <c r="AD73" s="2" t="n">
        <v>69.5</v>
      </c>
      <c r="AE73" s="2" t="n">
        <v>66.67</v>
      </c>
      <c r="AF73" s="2" t="n">
        <v>0</v>
      </c>
      <c r="AG73" s="2" t="n">
        <v>3</v>
      </c>
      <c r="AH73" s="2" t="inlineStr">
        <is>
          <t>Rename only</t>
        </is>
      </c>
      <c r="AI73" s="22" t="inlineStr">
        <is>
          <t>Load rename only</t>
        </is>
      </c>
      <c r="AJ73" s="22" t="inlineStr">
        <is>
          <t>Clean rename (SKU token and objective match what the campaign advertises); 69.5% ACoS on 3 orders / 30 clicks (CC 31 Aug–29 Sep).</t>
        </is>
      </c>
      <c r="AK73" s="2" t="inlineStr">
        <is>
          <t>seq 2112 retag LOAD; seq 2960 rename LOAD</t>
        </is>
      </c>
      <c r="AL73" s="22" t="inlineStr">
        <is>
          <t>MAINTAIN · score 36</t>
        </is>
      </c>
    </row>
    <row r="74">
      <c r="A74" s="2" t="inlineStr">
        <is>
          <t>243989248483473</t>
        </is>
      </c>
      <c r="B74" s="2" t="inlineStr">
        <is>
          <t>D-S4-SP-queen size satin sheets set-(Satin)-MSV-Exact-Rank-DO-SS-SATIN-RED-QUEEN-4PCS</t>
        </is>
      </c>
      <c r="C74" s="2" t="inlineStr">
        <is>
          <t>queen size satin sheets set [exact, $1.54, 32 clicks]</t>
        </is>
      </c>
      <c r="D74" s="2" t="inlineStr">
        <is>
          <t>queen size satin sheets set (buys the search term: queen satin sheet set)</t>
        </is>
      </c>
      <c r="E74" s="2" t="inlineStr">
        <is>
          <t>ENABLED</t>
        </is>
      </c>
      <c r="F74" s="2" t="inlineStr">
        <is>
          <t>Ranking</t>
        </is>
      </c>
      <c r="G74" s="2" t="inlineStr">
        <is>
          <t>Ranking</t>
        </is>
      </c>
      <c r="H74" s="2" t="inlineStr">
        <is>
          <t>Satin|Queen</t>
        </is>
      </c>
      <c r="I74" s="2" t="inlineStr">
        <is>
          <t>Exact</t>
        </is>
      </c>
      <c r="J74" s="2" t="inlineStr">
        <is>
          <t>SATIN-QUEEN-BLACK</t>
        </is>
      </c>
      <c r="K74" s="2" t="inlineStr">
        <is>
          <t>SATIN-QUEEN-BLACK</t>
        </is>
      </c>
      <c r="L74" s="2" t="inlineStr">
        <is>
          <t>$1.54</t>
        </is>
      </c>
      <c r="M74" s="2" t="inlineStr">
        <is>
          <t>$1.54</t>
        </is>
      </c>
      <c r="N74" s="2" t="n">
        <v>25</v>
      </c>
      <c r="O74" s="2" t="n">
        <v>25</v>
      </c>
      <c r="P74" s="21" t="n">
        <v>1.93</v>
      </c>
      <c r="Q74" s="21" t="n">
        <v>1.93</v>
      </c>
      <c r="R74" s="2" t="n">
        <v>1</v>
      </c>
      <c r="S74" s="2" t="n">
        <v>0</v>
      </c>
      <c r="T74" s="2" t="n">
        <v>0</v>
      </c>
      <c r="U74" s="2" t="n">
        <v>0</v>
      </c>
      <c r="V74" s="21" t="n">
        <v>3.91</v>
      </c>
      <c r="W74" s="21" t="n">
        <v>3.91</v>
      </c>
      <c r="X74" s="2" t="inlineStr">
        <is>
          <t>PAUSED</t>
        </is>
      </c>
      <c r="Y74" s="2" t="inlineStr">
        <is>
          <t>none</t>
        </is>
      </c>
      <c r="Z74" s="2" t="inlineStr">
        <is>
          <t>defer — engine name wrong (SKU token SATIN-QUEEN-BLACK); load a corrected name after 28 Oct</t>
        </is>
      </c>
      <c r="AA74" s="21" t="n">
        <v>57.13</v>
      </c>
      <c r="AB74" s="2" t="n">
        <v>32</v>
      </c>
      <c r="AC74" s="2" t="n">
        <v>4</v>
      </c>
      <c r="AD74" s="2" t="n">
        <v>51.6</v>
      </c>
      <c r="AE74" s="2" t="n">
        <v>71.88</v>
      </c>
      <c r="AF74" s="2" t="n">
        <v>6.25</v>
      </c>
      <c r="AG74" s="2" t="n">
        <v>15</v>
      </c>
      <c r="AH74" s="2" t="inlineStr">
        <is>
          <t>Pause</t>
        </is>
      </c>
      <c r="AI74" s="22" t="inlineStr">
        <is>
          <t>Pause target "queen size satin sheets set" (its only target — campaign goes dark)</t>
        </is>
      </c>
      <c r="AJ74" s="22" t="inlineStr">
        <is>
          <t>51.6% ACoS on 4 orders / 32 clicks (CC 31 Aug–29 Sep). Engine target pause agreed with review 40: "queen size satin sheets set" is bought EXACT by 2 enabled campaigns — one exact owner per term (the ownership axiom);</t>
        </is>
      </c>
      <c r="AK74" s="2" t="inlineStr">
        <is>
          <t>seq 168 pp: agree with review 40; seq 1835 child: reject — keep SATIN-QUEEN-BLACK; seq 2769 state: agree with review 40; seq 2938 rename CHANGE</t>
        </is>
      </c>
      <c r="AL74" s="22" t="inlineStr">
        <is>
          <t>MAINTAIN · score 36 · target "queen satin sheet set" TOS $1.93 → $1.44</t>
        </is>
      </c>
    </row>
    <row r="75">
      <c r="A75" s="2" t="inlineStr">
        <is>
          <t>171902714860303</t>
        </is>
      </c>
      <c r="B75" s="2" t="inlineStr">
        <is>
          <t>D-S4-king sheets silk - [Silk|King] - Exact - Ran - DO - SATIN-4PC-KING-GREY</t>
        </is>
      </c>
      <c r="C75" s="2" t="inlineStr">
        <is>
          <t>king sheets silk [exact]</t>
        </is>
      </c>
      <c r="D75" s="2" t="inlineStr">
        <is>
          <t>king sheets silk</t>
        </is>
      </c>
      <c r="E75" s="2" t="inlineStr">
        <is>
          <t>ENABLED</t>
        </is>
      </c>
      <c r="F75" s="2" t="inlineStr">
        <is>
          <t>Ranking</t>
        </is>
      </c>
      <c r="G75" s="2" t="inlineStr">
        <is>
          <t>Ranking</t>
        </is>
      </c>
      <c r="H75" s="2" t="inlineStr">
        <is>
          <t>Silk|King</t>
        </is>
      </c>
      <c r="I75" s="2" t="inlineStr">
        <is>
          <t>Exact</t>
        </is>
      </c>
      <c r="J75" s="2" t="inlineStr">
        <is>
          <t>SATIN-4PC-KING-GREY</t>
        </is>
      </c>
      <c r="K75" s="2" t="inlineStr">
        <is>
          <t>SATIN-4PC-KING-GREY</t>
        </is>
      </c>
      <c r="L75" s="2" t="inlineStr">
        <is>
          <t>$1.64</t>
        </is>
      </c>
      <c r="M75" s="2" t="inlineStr">
        <is>
          <t>$1.34</t>
        </is>
      </c>
      <c r="N75" s="2" t="n">
        <v>70</v>
      </c>
      <c r="O75" s="2" t="n">
        <v>70</v>
      </c>
      <c r="P75" s="21" t="n">
        <v>2.79</v>
      </c>
      <c r="Q75" s="21" t="n">
        <v>2.28</v>
      </c>
      <c r="R75" s="2" t="n"/>
      <c r="S75" s="2" t="n"/>
      <c r="T75" s="2" t="n"/>
      <c r="U75" s="2" t="n"/>
      <c r="V75" s="21" t="n">
        <v>15.97</v>
      </c>
      <c r="W75" s="21" t="n">
        <v>15.97</v>
      </c>
      <c r="X75" s="2" t="inlineStr">
        <is>
          <t>ENABLED</t>
        </is>
      </c>
      <c r="Y75" s="2" t="inlineStr">
        <is>
          <t>none</t>
        </is>
      </c>
      <c r="Z75" s="2" t="inlineStr">
        <is>
          <t>load (clean): DSS4-SP-King Sheets Silk-[Silk|King]-(LSV)-Exact-(Ranking)-DO-SATIN-4PC-KING-GREY</t>
        </is>
      </c>
      <c r="AA75" s="21" t="n">
        <v>55.68</v>
      </c>
      <c r="AB75" s="2" t="n">
        <v>22</v>
      </c>
      <c r="AC75" s="2" t="n">
        <v>6</v>
      </c>
      <c r="AD75" s="2" t="n">
        <v>28</v>
      </c>
      <c r="AE75" s="2" t="n">
        <v>86.36</v>
      </c>
      <c r="AF75" s="2" t="n">
        <v>0</v>
      </c>
      <c r="AG75" s="2" t="n">
        <v>13</v>
      </c>
      <c r="AH75" s="2" t="inlineStr">
        <is>
          <t>Release hold + price to break-even</t>
        </is>
      </c>
      <c r="AI75" s="22" t="inlineStr">
        <is>
          <t>Release hold; cut base $1.64 → $1.34</t>
        </is>
      </c>
      <c r="AJ75" s="22" t="inlineStr">
        <is>
          <t>28.0% ACoS, 6 orders on 22 clicks (CC 31 Aug–29 Sep) vs King Grey break-even 15.3%; BE base = $4.93 contribution (King Grey) × 27.3% CVR = $1.34; cap 25% cut.</t>
        </is>
      </c>
      <c r="AK75" s="2" t="inlineStr">
        <is>
          <t>seq 2100 retag LOAD; seq 2941 rename LOAD; seq 1985 NOT SERVING hold(s) → release; price to break-even (our addition, reviewer D)</t>
        </is>
      </c>
      <c r="AL75" s="22" t="n"/>
    </row>
    <row r="76">
      <c r="A76" s="2" t="inlineStr">
        <is>
          <t>276865047785028</t>
        </is>
      </c>
      <c r="B76" s="2" t="inlineStr">
        <is>
          <t>D-S4-silk bed sheets full size - [Silk|Full] - Exact - Ran - DO - SATIN-FULL-BLACK</t>
        </is>
      </c>
      <c r="C76" s="2" t="inlineStr">
        <is>
          <t>silk bed sheets full size [exact]</t>
        </is>
      </c>
      <c r="D76" s="2" t="inlineStr">
        <is>
          <t>silk bed sheets full size (buys the search term: silk bed sheets full)</t>
        </is>
      </c>
      <c r="E76" s="2" t="inlineStr">
        <is>
          <t>PAUSED</t>
        </is>
      </c>
      <c r="F76" s="2" t="inlineStr">
        <is>
          <t>Ranking</t>
        </is>
      </c>
      <c r="G76" s="2" t="inlineStr">
        <is>
          <t>Ranking</t>
        </is>
      </c>
      <c r="H76" s="2" t="inlineStr">
        <is>
          <t>Silk|Full</t>
        </is>
      </c>
      <c r="I76" s="2" t="inlineStr">
        <is>
          <t>Exact</t>
        </is>
      </c>
      <c r="J76" s="2" t="inlineStr">
        <is>
          <t>SATIN-FULL-BLACK</t>
        </is>
      </c>
      <c r="K76" s="2" t="inlineStr">
        <is>
          <t>SATIN-FULL-BLACK</t>
        </is>
      </c>
      <c r="L76" s="2" t="inlineStr">
        <is>
          <t>n/a (no target bid in audit)</t>
        </is>
      </c>
      <c r="M76" s="2" t="inlineStr">
        <is>
          <t>n/a</t>
        </is>
      </c>
      <c r="N76" s="2" t="n">
        <v>50</v>
      </c>
      <c r="O76" s="2" t="n">
        <v>50</v>
      </c>
      <c r="P76" s="21" t="n"/>
      <c r="Q76" s="21" t="n"/>
      <c r="R76" s="2" t="n"/>
      <c r="S76" s="2" t="n"/>
      <c r="T76" s="2" t="n"/>
      <c r="U76" s="2" t="n"/>
      <c r="V76" s="21" t="n">
        <v>13.47</v>
      </c>
      <c r="W76" s="21" t="n">
        <v>13.47</v>
      </c>
      <c r="X76" s="2" t="inlineStr">
        <is>
          <t>PAUSED</t>
        </is>
      </c>
      <c r="Y76" s="2" t="inlineStr">
        <is>
          <t>none</t>
        </is>
      </c>
      <c r="Z76" s="2" t="inlineStr">
        <is>
          <t>none</t>
        </is>
      </c>
      <c r="AA76" s="21" t="n">
        <v>55.55</v>
      </c>
      <c r="AB76" s="2" t="n">
        <v>30</v>
      </c>
      <c r="AC76" s="2" t="n">
        <v>4</v>
      </c>
      <c r="AD76" s="2" t="n">
        <v>48</v>
      </c>
      <c r="AE76" s="2" t="n">
        <v>96.67</v>
      </c>
      <c r="AF76" s="2" t="n">
        <v>0</v>
      </c>
      <c r="AG76" s="2" t="n">
        <v>36</v>
      </c>
      <c r="AH76" s="2" t="inlineStr">
        <is>
          <t>No change</t>
        </is>
      </c>
      <c r="AI76" s="22" t="inlineStr">
        <is>
          <t>Keep paused</t>
        </is>
      </c>
      <c r="AJ76" s="22" t="inlineStr">
        <is>
          <t>No run decision and no issue found; 48.0% ACoS on 4 orders / 30 clicks (CC 31 Aug–29 Sep).</t>
        </is>
      </c>
      <c r="AK76" s="2" t="inlineStr">
        <is>
          <t>no run decision</t>
        </is>
      </c>
      <c r="AL76" s="22" t="inlineStr">
        <is>
          <t>Paused owner; the push runs on 50992822442833</t>
        </is>
      </c>
    </row>
    <row r="77">
      <c r="A77" s="2" t="inlineStr">
        <is>
          <t>170402329751715</t>
        </is>
      </c>
      <c r="B77" s="2" t="inlineStr">
        <is>
          <t>D-S4-satin bed sheets queen - [Satin|Queen] - Broad - Disc - DO - SATIN-QUEEN-GREY</t>
        </is>
      </c>
      <c r="C77" s="2" t="inlineStr">
        <is>
          <t>satin bed sheets queen [broad]</t>
        </is>
      </c>
      <c r="D77" s="2" t="inlineStr">
        <is>
          <t>—</t>
        </is>
      </c>
      <c r="E77" s="2" t="inlineStr">
        <is>
          <t>ENABLED</t>
        </is>
      </c>
      <c r="F77" s="2" t="inlineStr">
        <is>
          <t>Discovery</t>
        </is>
      </c>
      <c r="G77" s="2" t="inlineStr">
        <is>
          <t>Discovery</t>
        </is>
      </c>
      <c r="H77" s="2" t="inlineStr">
        <is>
          <t>Satin|Queen</t>
        </is>
      </c>
      <c r="I77" s="2" t="inlineStr">
        <is>
          <t>Broad</t>
        </is>
      </c>
      <c r="J77" s="2" t="inlineStr">
        <is>
          <t>SATIN-QUEEN-GREY</t>
        </is>
      </c>
      <c r="K77" s="2" t="inlineStr">
        <is>
          <t>SATIN-QUEEN-GREY</t>
        </is>
      </c>
      <c r="L77" s="2" t="inlineStr">
        <is>
          <t>n/a (no target bid in audit)</t>
        </is>
      </c>
      <c r="M77" s="2" t="inlineStr">
        <is>
          <t>n/a</t>
        </is>
      </c>
      <c r="N77" s="2" t="n">
        <v>0</v>
      </c>
      <c r="O77" s="2" t="n">
        <v>0</v>
      </c>
      <c r="P77" s="21" t="n"/>
      <c r="Q77" s="21" t="n"/>
      <c r="R77" s="2" t="n"/>
      <c r="S77" s="2" t="n"/>
      <c r="T77" s="2" t="n"/>
      <c r="U77" s="2" t="n"/>
      <c r="V77" s="21" t="n">
        <v>10</v>
      </c>
      <c r="W77" s="21" t="n">
        <v>10</v>
      </c>
      <c r="X77" s="2" t="inlineStr">
        <is>
          <t>ENABLED</t>
        </is>
      </c>
      <c r="Y77" s="2" t="inlineStr">
        <is>
          <t>add 3 negatives (seq 2263) · add negative exact: satin bed sheets queen; satin sheets; silk sheets; silk bed sheets; satin sheets queen size; queen silk sheets set; queen satin sheet set; king size satin sheets; silk sheets queen</t>
        </is>
      </c>
      <c r="Z77" s="2" t="inlineStr">
        <is>
          <t>none</t>
        </is>
      </c>
      <c r="AA77" s="21" t="n">
        <v>51.27</v>
      </c>
      <c r="AB77" s="2" t="n">
        <v>65</v>
      </c>
      <c r="AC77" s="2" t="n">
        <v>15</v>
      </c>
      <c r="AD77" s="2" t="n">
        <v>11.6</v>
      </c>
      <c r="AE77" s="2" t="n">
        <v>1.54</v>
      </c>
      <c r="AF77" s="2" t="n">
        <v>26.15</v>
      </c>
      <c r="AG77" s="2" t="n">
        <v>19</v>
      </c>
      <c r="AH77" s="2" t="inlineStr">
        <is>
          <t>No change</t>
        </is>
      </c>
      <c r="AI77" s="22" t="inlineStr">
        <is>
          <t>Keep enabled (fold held)</t>
        </is>
      </c>
      <c r="AJ77" s="22" t="inlineStr">
        <is>
          <t>11.6% ACoS on 15 orders / 65 clicks (CC 31 Aug–29 Sep). The survivors are smaller (e.g. 2849: 215 orders folded into a 14-order survivor, 90d). 2857 repeats review 28's 2868.</t>
        </is>
      </c>
      <c r="AK77" s="2" t="inlineStr">
        <is>
          <t>seq 2263 negatives: agree with review 40; seq 2850 structure: hold (agree)</t>
        </is>
      </c>
      <c r="AL77" s="22" t="n"/>
    </row>
    <row r="78">
      <c r="A78" s="2" t="inlineStr">
        <is>
          <t>253348963885567</t>
        </is>
      </c>
      <c r="B78" s="2" t="inlineStr">
        <is>
          <t>D-S4-twin sheets silk - [Silk|Twin] - Exact - Ran - DO - SATIN-TWIN-BLACK-NEW</t>
        </is>
      </c>
      <c r="C78" s="2" t="inlineStr">
        <is>
          <t>twin sheets silk [exact, $1.66, 17 clicks]</t>
        </is>
      </c>
      <c r="D78" s="2" t="inlineStr">
        <is>
          <t>twin sheets silk</t>
        </is>
      </c>
      <c r="E78" s="2" t="inlineStr">
        <is>
          <t>ENABLED</t>
        </is>
      </c>
      <c r="F78" s="2" t="inlineStr">
        <is>
          <t>Ranking</t>
        </is>
      </c>
      <c r="G78" s="2" t="inlineStr">
        <is>
          <t>Ranking</t>
        </is>
      </c>
      <c r="H78" s="2" t="inlineStr">
        <is>
          <t>OUT</t>
        </is>
      </c>
      <c r="I78" s="2" t="inlineStr">
        <is>
          <t>Exact</t>
        </is>
      </c>
      <c r="J78" s="2" t="inlineStr">
        <is>
          <t>SATIN-TWIN-BLACK-NEW</t>
        </is>
      </c>
      <c r="K78" s="2" t="inlineStr">
        <is>
          <t>SATIN-TWIN-BLACK-NEW</t>
        </is>
      </c>
      <c r="L78" s="2" t="inlineStr">
        <is>
          <t>$1.66</t>
        </is>
      </c>
      <c r="M78" s="2" t="inlineStr">
        <is>
          <t>$1.25</t>
        </is>
      </c>
      <c r="N78" s="2" t="n">
        <v>150</v>
      </c>
      <c r="O78" s="2" t="n">
        <v>166</v>
      </c>
      <c r="P78" s="21" t="n">
        <v>4.15</v>
      </c>
      <c r="Q78" s="21" t="n">
        <v>3.33</v>
      </c>
      <c r="R78" s="2" t="n">
        <v>0</v>
      </c>
      <c r="S78" s="2" t="n">
        <v>0</v>
      </c>
      <c r="T78" s="2" t="n">
        <v>0</v>
      </c>
      <c r="U78" s="2" t="n">
        <v>0</v>
      </c>
      <c r="V78" s="21" t="n">
        <v>13.42</v>
      </c>
      <c r="W78" s="21" t="n">
        <v>9.390000000000001</v>
      </c>
      <c r="X78" s="2" t="inlineStr">
        <is>
          <t>ENABLED</t>
        </is>
      </c>
      <c r="Y78" s="2" t="inlineStr">
        <is>
          <t>none</t>
        </is>
      </c>
      <c r="Z78" s="2" t="inlineStr">
        <is>
          <t>defer — engine name wrong (SKU token SATIN-TWIN-BLACK-NEW); load a corrected name after 28 Oct</t>
        </is>
      </c>
      <c r="AA78" s="21" t="n">
        <v>51.23</v>
      </c>
      <c r="AB78" s="2" t="n">
        <v>17</v>
      </c>
      <c r="AC78" s="2" t="n">
        <v>2</v>
      </c>
      <c r="AD78" s="2" t="n">
        <v>88.5</v>
      </c>
      <c r="AE78" s="2" t="n">
        <v>58.82</v>
      </c>
      <c r="AF78" s="2" t="n">
        <v>35.29</v>
      </c>
      <c r="AG78" s="2" t="n">
        <v>8</v>
      </c>
      <c r="AH78" s="2" t="inlineStr">
        <is>
          <t>Mix fix + price cut</t>
        </is>
      </c>
      <c r="AI78" s="22" t="inlineStr">
        <is>
          <t>Mix fix in one write: base $1.66 → $1.25, boost → 166% (top of search $4.15 → $3.33); 88.5% ACoS vs Twin Black 31.1%; product pages 35%; keeps the engine's −20% at the top</t>
        </is>
      </c>
      <c r="AJ78" s="22" t="inlineStr">
        <is>
          <t>88.5% ACoS on 2 orders / 17 clicks (CC 31 Aug–29 Sep) vs Twin Black break-even 31.4%; audit row loads as written (review 40 agrees). Note: plan move to SATIN-TWIN-GREY before 16 Oct (Twin Black 66 units, ~34 days).</t>
        </is>
      </c>
      <c r="AK78" s="2" t="inlineStr">
        <is>
          <t>seq 171 budget: agree with review 40; seq 172 tos: pass (flag); seq 175 bid: pass (flag); seq 1826 child: reject — keep SATIN-TWIN-BLACK-NEW; seq 2920 rename CHANGE</t>
        </is>
      </c>
      <c r="AL78" s="22" t="n"/>
    </row>
    <row r="79">
      <c r="A79" s="2" t="inlineStr">
        <is>
          <t>4681005199760</t>
        </is>
      </c>
      <c r="B79" s="2" t="inlineStr">
        <is>
          <t>D-S4-SP-EXACT-twin size satin sheets-Satin|Twin-SATIN-TWIN-BLACK-NEW</t>
        </is>
      </c>
      <c r="C79" s="2" t="inlineStr">
        <is>
          <t>twin size satin sheets [exact]</t>
        </is>
      </c>
      <c r="D79" s="2" t="inlineStr">
        <is>
          <t>twin size satin sheets</t>
        </is>
      </c>
      <c r="E79" s="2" t="inlineStr">
        <is>
          <t>ENABLED</t>
        </is>
      </c>
      <c r="F79" s="2" t="inlineStr">
        <is>
          <t>Ranking</t>
        </is>
      </c>
      <c r="G79" s="2" t="inlineStr">
        <is>
          <t>Ranking</t>
        </is>
      </c>
      <c r="H79" s="2" t="n"/>
      <c r="I79" s="2" t="inlineStr">
        <is>
          <t>Exact</t>
        </is>
      </c>
      <c r="J79" s="2" t="inlineStr">
        <is>
          <t>SATIN-TWIN-BLACK-NEW</t>
        </is>
      </c>
      <c r="K79" s="2" t="inlineStr">
        <is>
          <t>SATIN-TWIN-BLACK-NEW</t>
        </is>
      </c>
      <c r="L79" s="2" t="inlineStr">
        <is>
          <t>$2.50</t>
        </is>
      </c>
      <c r="M79" s="2" t="inlineStr">
        <is>
          <t>$1.88</t>
        </is>
      </c>
      <c r="N79" s="2" t="n">
        <v>0</v>
      </c>
      <c r="O79" s="2" t="n">
        <v>20</v>
      </c>
      <c r="P79" s="21" t="n">
        <v>2.5</v>
      </c>
      <c r="Q79" s="21" t="n">
        <v>2.25</v>
      </c>
      <c r="R79" s="2" t="n"/>
      <c r="S79" s="2" t="n"/>
      <c r="T79" s="2" t="n"/>
      <c r="U79" s="2" t="n">
        <v>0</v>
      </c>
      <c r="V79" s="21" t="n">
        <v>10.83</v>
      </c>
      <c r="W79" s="21" t="n">
        <v>10.83</v>
      </c>
      <c r="X79" s="2" t="inlineStr">
        <is>
          <t>ENABLED</t>
        </is>
      </c>
      <c r="Y79" s="2" t="inlineStr">
        <is>
          <t>none</t>
        </is>
      </c>
      <c r="Z79" s="2" t="inlineStr">
        <is>
          <t>defer — engine name wrong (SKU token SATIN-TWIN-BLACK-NEW); load a corrected name after 28 Oct</t>
        </is>
      </c>
      <c r="AA79" s="21" t="n">
        <v>50.96</v>
      </c>
      <c r="AB79" s="2" t="n">
        <v>21</v>
      </c>
      <c r="AC79" s="2" t="n">
        <v>2</v>
      </c>
      <c r="AD79" s="2" t="n">
        <v>102.1</v>
      </c>
      <c r="AE79" s="2" t="n">
        <v>14.29</v>
      </c>
      <c r="AF79" s="2" t="n">
        <v>47.62</v>
      </c>
      <c r="AG79" s="2" t="n">
        <v>3</v>
      </c>
      <c r="AH79" s="2" t="inlineStr">
        <is>
          <t>Mix fix + price cut</t>
        </is>
      </c>
      <c r="AI79" s="22" t="inlineStr">
        <is>
          <t>Mix fix in one write: base $2.50 → $1.88, boost → 20% (top of search $2.50 → $2.25); rest of search → 0% (33% of clicks); 102.1% ACoS vs Twin Black 31.1%; product pages 48%</t>
        </is>
      </c>
      <c r="AJ79" s="22" t="inlineStr">
        <is>
          <t>No run decision and no issue found; 102.1% ACoS on 2 orders / 21 clicks (CC 31 Aug–29 Sep). Note: above break-even with no pricing row in the run; price at the next cycle unless it is chosen for the ranking push; plan move to SATIN-TWIN-GREY before 16 Oct (Twin Black 66 units, ~34 days).</t>
        </is>
      </c>
      <c r="AK79" s="2" t="inlineStr">
        <is>
          <t>seq 1844 child: reject — keep SATIN-TWIN-BLACK-NEW; seq 2113 retag LOAD; seq 2961 rename CHANGE</t>
        </is>
      </c>
      <c r="AL79" s="22" t="n"/>
    </row>
    <row r="80">
      <c r="A80" s="2" t="inlineStr">
        <is>
          <t>237149166614031</t>
        </is>
      </c>
      <c r="B80" s="2" t="inlineStr">
        <is>
          <t>SSS4-PHRASE-(satin sheets)-Browse Kws Migr.</t>
        </is>
      </c>
      <c r="C80" s="2" t="inlineStr">
        <is>
          <t>satin sheets [phrase, $1.07]</t>
        </is>
      </c>
      <c r="D80" s="2" t="inlineStr">
        <is>
          <t>satin sheets</t>
        </is>
      </c>
      <c r="E80" s="2" t="inlineStr">
        <is>
          <t>ENABLED</t>
        </is>
      </c>
      <c r="F80" s="2" t="inlineStr">
        <is>
          <t>Discovery</t>
        </is>
      </c>
      <c r="G80" s="2" t="inlineStr">
        <is>
          <t>Discovery</t>
        </is>
      </c>
      <c r="H80" s="2" t="n"/>
      <c r="I80" s="2" t="inlineStr">
        <is>
          <t>Phrase</t>
        </is>
      </c>
      <c r="J80" s="2" t="inlineStr">
        <is>
          <t>SATIN-QUEEN-BLACK</t>
        </is>
      </c>
      <c r="K80" s="2" t="inlineStr">
        <is>
          <t>SATIN-QUEEN-BLACK</t>
        </is>
      </c>
      <c r="L80" s="2" t="inlineStr">
        <is>
          <t>$1.07</t>
        </is>
      </c>
      <c r="M80" s="2" t="inlineStr">
        <is>
          <t>$0.80</t>
        </is>
      </c>
      <c r="N80" s="2" t="n">
        <v>0</v>
      </c>
      <c r="O80" s="2" t="n">
        <v>0</v>
      </c>
      <c r="P80" s="21" t="n">
        <v>1.07</v>
      </c>
      <c r="Q80" s="21" t="n">
        <v>0.8</v>
      </c>
      <c r="R80" s="2" t="n"/>
      <c r="S80" s="2" t="n"/>
      <c r="T80" s="2" t="n"/>
      <c r="U80" s="2" t="n"/>
      <c r="V80" s="21" t="n">
        <v>5</v>
      </c>
      <c r="W80" s="21" t="n">
        <v>5</v>
      </c>
      <c r="X80" s="2" t="inlineStr">
        <is>
          <t>ENABLED</t>
        </is>
      </c>
      <c r="Y80" s="2" t="inlineStr">
        <is>
          <t>add 5 negatives (seq 2271) · add negative exact: satin sheets queen size; satin sheets</t>
        </is>
      </c>
      <c r="Z80" s="2" t="inlineStr">
        <is>
          <t>load (clean): DSS4-SP-Satin Sheets-[Satin]-(HSV)-Phrase-(Discovery)-DO-SATIN-QUEEN-BLACK</t>
        </is>
      </c>
      <c r="AA80" s="21" t="n">
        <v>48.42</v>
      </c>
      <c r="AB80" s="2" t="n">
        <v>54</v>
      </c>
      <c r="AC80" s="2" t="n">
        <v>3</v>
      </c>
      <c r="AD80" s="2" t="n">
        <v>53.9</v>
      </c>
      <c r="AE80" s="2" t="n">
        <v>18.52</v>
      </c>
      <c r="AF80" s="2" t="n">
        <v>5.56</v>
      </c>
      <c r="AG80" s="2" t="n">
        <v>30</v>
      </c>
      <c r="AH80" s="2" t="inlineStr">
        <is>
          <t>Release hold + price to break-even</t>
        </is>
      </c>
      <c r="AI80" s="22" t="inlineStr">
        <is>
          <t>Release hold; cut base $1.07 → $0.80</t>
        </is>
      </c>
      <c r="AJ80" s="22" t="inlineStr">
        <is>
          <t>53.9% ACoS, 3 orders on 54 clicks (CC 31 Aug–29 Sep) vs Queen Black break-even 17.8%; BE base = $5.03 contribution (Queen Black) × 5.6% CVR = $0.28; cap 25% cut.</t>
        </is>
      </c>
      <c r="AK80" s="2" t="inlineStr">
        <is>
          <t>seq 2193 retag LOAD; seq 2271 negatives: agree with review 40; seq 3179 rename LOAD; seq 1777 NOT SERVING hold(s) → release; price to break-even (our addition, reviewer D)</t>
        </is>
      </c>
      <c r="AL80" s="22" t="n"/>
    </row>
    <row r="81">
      <c r="A81" s="2" t="inlineStr">
        <is>
          <t>484073051253364</t>
        </is>
      </c>
      <c r="B81" s="2" t="inlineStr">
        <is>
          <t>D-S4-SP-decolure satin sheets-Brand-Agr-Broad-Def-DO-SATIN-QUEEN-BLACK</t>
        </is>
      </c>
      <c r="C81" s="2" t="inlineStr">
        <is>
          <t>decolure satin; decolure satin sheets [broad]</t>
        </is>
      </c>
      <c r="D81" s="2" t="inlineStr">
        <is>
          <t>whole campaign</t>
        </is>
      </c>
      <c r="E81" s="2" t="inlineStr">
        <is>
          <t>ENABLED</t>
        </is>
      </c>
      <c r="F81" s="2" t="inlineStr">
        <is>
          <t>Defensive</t>
        </is>
      </c>
      <c r="G81" s="2" t="inlineStr">
        <is>
          <t>Defensive</t>
        </is>
      </c>
      <c r="H81" s="2" t="n"/>
      <c r="I81" s="2" t="inlineStr">
        <is>
          <t>Broad</t>
        </is>
      </c>
      <c r="J81" s="2" t="inlineStr">
        <is>
          <t>SATIN-QUEEN-BLACK</t>
        </is>
      </c>
      <c r="K81" s="2" t="inlineStr">
        <is>
          <t>SATIN-QUEEN-BLACK</t>
        </is>
      </c>
      <c r="L81" s="2" t="inlineStr">
        <is>
          <t>n/a (no target bid in audit)</t>
        </is>
      </c>
      <c r="M81" s="2" t="inlineStr">
        <is>
          <t>n/a</t>
        </is>
      </c>
      <c r="N81" s="2" t="n">
        <v>100</v>
      </c>
      <c r="O81" s="2" t="n">
        <v>100</v>
      </c>
      <c r="P81" s="21" t="n"/>
      <c r="Q81" s="21" t="n"/>
      <c r="R81" s="2" t="n"/>
      <c r="S81" s="2" t="n"/>
      <c r="T81" s="2" t="n"/>
      <c r="U81" s="2" t="n"/>
      <c r="V81" s="21" t="n">
        <v>10</v>
      </c>
      <c r="W81" s="21" t="n">
        <v>10</v>
      </c>
      <c r="X81" s="2" t="inlineStr">
        <is>
          <t>ENABLED</t>
        </is>
      </c>
      <c r="Y81" s="2" t="inlineStr">
        <is>
          <t>add negative exact: satin sheets full</t>
        </is>
      </c>
      <c r="Z81" s="2" t="inlineStr">
        <is>
          <t>load (clean): DSS4-SP-Decolure Satin-(VLSV)-Broad-(Defensive)-DO-SATIN-QUEEN-BLACK</t>
        </is>
      </c>
      <c r="AA81" s="21" t="n">
        <v>47.58</v>
      </c>
      <c r="AB81" s="2" t="n">
        <v>61</v>
      </c>
      <c r="AC81" s="2" t="n">
        <v>14</v>
      </c>
      <c r="AD81" s="2" t="n">
        <v>11.2</v>
      </c>
      <c r="AE81" s="2" t="n">
        <v>86.89</v>
      </c>
      <c r="AF81" s="2" t="n">
        <v>11.48</v>
      </c>
      <c r="AG81" s="2" t="n">
        <v>126</v>
      </c>
      <c r="AH81" s="2" t="inlineStr">
        <is>
          <t>Rename only</t>
        </is>
      </c>
      <c r="AI81" s="22" t="inlineStr">
        <is>
          <t>Load rename only</t>
        </is>
      </c>
      <c r="AJ81" s="22" t="inlineStr">
        <is>
          <t>Clean rename (SKU token and objective match what the campaign advertises); 11.2% ACoS on 14 orders / 61 clicks (CC 31 Aug–29 Sep).</t>
        </is>
      </c>
      <c r="AK81" s="2" t="inlineStr">
        <is>
          <t>seq 2921 rename LOAD</t>
        </is>
      </c>
      <c r="AL81" s="22" t="n"/>
    </row>
    <row r="82">
      <c r="A82" s="2" t="inlineStr">
        <is>
          <t>125893435398877</t>
        </is>
      </c>
      <c r="B82" s="2" t="inlineStr">
        <is>
          <t>D-S4-SP-PHRASE-silk satin sheets-Silk-SATIN-QUEEN-GREY</t>
        </is>
      </c>
      <c r="C82" s="2" t="inlineStr">
        <is>
          <t>silk satin sheets [phrase, $0.91]; silk satin sheets [phrase, $0.91]</t>
        </is>
      </c>
      <c r="D82" s="2" t="inlineStr">
        <is>
          <t>whole campaign</t>
        </is>
      </c>
      <c r="E82" s="2" t="inlineStr">
        <is>
          <t>ENABLED</t>
        </is>
      </c>
      <c r="F82" s="2" t="inlineStr">
        <is>
          <t>Discovery</t>
        </is>
      </c>
      <c r="G82" s="2" t="inlineStr">
        <is>
          <t>Discovery</t>
        </is>
      </c>
      <c r="H82" s="2" t="n"/>
      <c r="I82" s="2" t="inlineStr">
        <is>
          <t>Phrase</t>
        </is>
      </c>
      <c r="J82" s="2" t="inlineStr">
        <is>
          <t>SATIN-QUEEN-GREY</t>
        </is>
      </c>
      <c r="K82" s="2" t="inlineStr">
        <is>
          <t>SATIN-QUEEN-GREY</t>
        </is>
      </c>
      <c r="L82" s="2" t="inlineStr">
        <is>
          <t>$0.91</t>
        </is>
      </c>
      <c r="M82" s="2" t="inlineStr">
        <is>
          <t>$0.91</t>
        </is>
      </c>
      <c r="N82" s="2" t="n">
        <v>0</v>
      </c>
      <c r="O82" s="2" t="n">
        <v>0</v>
      </c>
      <c r="P82" s="21" t="n">
        <v>0.91</v>
      </c>
      <c r="Q82" s="21" t="n">
        <v>0.91</v>
      </c>
      <c r="R82" s="2" t="n"/>
      <c r="S82" s="2" t="n"/>
      <c r="T82" s="2" t="n"/>
      <c r="U82" s="2" t="n"/>
      <c r="V82" s="21" t="n">
        <v>5</v>
      </c>
      <c r="W82" s="21" t="n">
        <v>5</v>
      </c>
      <c r="X82" s="2" t="inlineStr">
        <is>
          <t>PAUSED</t>
        </is>
      </c>
      <c r="Y82" s="2" t="inlineStr">
        <is>
          <t>none</t>
        </is>
      </c>
      <c r="Z82" s="2" t="inlineStr">
        <is>
          <t>none</t>
        </is>
      </c>
      <c r="AA82" s="21" t="n">
        <v>47.5</v>
      </c>
      <c r="AB82" s="2" t="n">
        <v>60</v>
      </c>
      <c r="AC82" s="2" t="n">
        <v>4</v>
      </c>
      <c r="AD82" s="2" t="n">
        <v>37.9</v>
      </c>
      <c r="AE82" s="2" t="n">
        <v>3.33</v>
      </c>
      <c r="AF82" s="2" t="n">
        <v>8.33</v>
      </c>
      <c r="AG82" s="2" t="n">
        <v>5</v>
      </c>
      <c r="AH82" s="2" t="inlineStr">
        <is>
          <t>Pause</t>
        </is>
      </c>
      <c r="AI82" s="22" t="inlineStr">
        <is>
          <t>Pause (seq 2852)</t>
        </is>
      </c>
      <c r="AJ82" s="22" t="inlineStr">
        <is>
          <t>37.9% ACoS on 4 orders / 60 clicks (CC 31 Aug–29 Sep). Second discovery campaign in its family (fold = pause; only negatives move).</t>
        </is>
      </c>
      <c r="AK82" s="2" t="inlineStr">
        <is>
          <t>seq 2852 structure: agree with review 40; seq 1739 NOT SERVING hold(s) moot — campaign paused</t>
        </is>
      </c>
      <c r="AL82" s="22" t="n"/>
    </row>
    <row r="83">
      <c r="A83" s="2" t="inlineStr">
        <is>
          <t>218060067204712</t>
        </is>
      </c>
      <c r="B83" s="2" t="inlineStr">
        <is>
          <t>D-S4-SP-EXACT-olive green silk sheets-Silk-SATIN-4PC-QUEEN-DARK GREEN</t>
        </is>
      </c>
      <c r="C83" s="2" t="inlineStr">
        <is>
          <t>olive green silk sheets [exact, $2.30]; olive green silk sheets [exact, $2.30]</t>
        </is>
      </c>
      <c r="D83" s="2" t="inlineStr">
        <is>
          <t>olive green silk sheets</t>
        </is>
      </c>
      <c r="E83" s="2" t="inlineStr">
        <is>
          <t>ENABLED</t>
        </is>
      </c>
      <c r="F83" s="2" t="inlineStr">
        <is>
          <t>Conversions</t>
        </is>
      </c>
      <c r="G83" s="2" t="inlineStr">
        <is>
          <t>Conversions</t>
        </is>
      </c>
      <c r="H83" s="2" t="n"/>
      <c r="I83" s="2" t="inlineStr">
        <is>
          <t>Exact</t>
        </is>
      </c>
      <c r="J83" s="2" t="inlineStr">
        <is>
          <t>SATIN-4PC-QUEEN-DARK GREEN</t>
        </is>
      </c>
      <c r="K83" s="2" t="inlineStr">
        <is>
          <t>SATIN-4PC-KING-DARK GREEN</t>
        </is>
      </c>
      <c r="L83" s="2" t="inlineStr">
        <is>
          <t>$2.30</t>
        </is>
      </c>
      <c r="M83" s="2" t="inlineStr">
        <is>
          <t>$1.72</t>
        </is>
      </c>
      <c r="N83" s="2" t="n">
        <v>0</v>
      </c>
      <c r="O83" s="2" t="n">
        <v>0</v>
      </c>
      <c r="P83" s="21" t="n">
        <v>2.3</v>
      </c>
      <c r="Q83" s="21" t="n">
        <v>1.72</v>
      </c>
      <c r="R83" s="2" t="n"/>
      <c r="S83" s="2" t="n"/>
      <c r="T83" s="2" t="n"/>
      <c r="U83" s="2" t="n"/>
      <c r="V83" s="21" t="n">
        <v>9.27</v>
      </c>
      <c r="W83" s="21" t="n">
        <v>9.27</v>
      </c>
      <c r="X83" s="2" t="inlineStr">
        <is>
          <t>ENABLED</t>
        </is>
      </c>
      <c r="Y83" s="2" t="inlineStr">
        <is>
          <t>none</t>
        </is>
      </c>
      <c r="Z83" s="2" t="inlineStr">
        <is>
          <t>load (clean): DSS4-SP-Olive Green Silk Sheets-(VLSV)-Exact-(Conversion)-DO-SATIN-4PC-QUEEN-DARK GREEN</t>
        </is>
      </c>
      <c r="AA83" s="21" t="n">
        <v>47.19</v>
      </c>
      <c r="AB83" s="2" t="n">
        <v>22</v>
      </c>
      <c r="AC83" s="2" t="n">
        <v>3</v>
      </c>
      <c r="AD83" s="2" t="n">
        <v>54</v>
      </c>
      <c r="AE83" s="2" t="n">
        <v>13.64</v>
      </c>
      <c r="AF83" s="2" t="n">
        <v>81.81999999999999</v>
      </c>
      <c r="AG83" s="2" t="n">
        <v>4</v>
      </c>
      <c r="AH83" s="2" t="inlineStr">
        <is>
          <t>Release hold + price to break-even</t>
        </is>
      </c>
      <c r="AI83" s="22" t="inlineStr">
        <is>
          <t>Release hold; cut base $2.30 → $1.72; Swap child to SATIN-4PC-KING-DARK GREEN</t>
        </is>
      </c>
      <c r="AJ83" s="22" t="inlineStr">
        <is>
          <t>54.0% ACoS, 3 orders on 22 clicks (CC 31 Aug–29 Sep) vs blended (other colour) break-even 23.3%; BE base = $7.02 contribution (blended (other colour)) × 13.6% CVR = $0.96; cap 25% cut.</t>
        </is>
      </c>
      <c r="AK83" s="2" t="inlineStr">
        <is>
          <t>seq 2090 retag LOAD; seq 2919 rename LOAD; seq 1737 NOT SERVING hold(s) → release; price to break-even (our addition, reviewer D); our addition (corrections §5 / reviewer C A4)</t>
        </is>
      </c>
      <c r="AL83" s="22" t="n"/>
    </row>
    <row r="84">
      <c r="A84" s="2" t="inlineStr">
        <is>
          <t>181043135198607</t>
        </is>
      </c>
      <c r="B84" s="2" t="inlineStr">
        <is>
          <t>D-S4-SP-EXACT-silk satin sheets-Silk-SATIN-QUEEN-BLACK</t>
        </is>
      </c>
      <c r="C84" s="2" t="inlineStr">
        <is>
          <t>silk satin sheets [exact]</t>
        </is>
      </c>
      <c r="D84" s="2" t="inlineStr">
        <is>
          <t>whole campaign</t>
        </is>
      </c>
      <c r="E84" s="2" t="inlineStr">
        <is>
          <t>ENABLED</t>
        </is>
      </c>
      <c r="F84" s="2" t="inlineStr">
        <is>
          <t>Ranking</t>
        </is>
      </c>
      <c r="G84" s="2" t="inlineStr">
        <is>
          <t>Ranking</t>
        </is>
      </c>
      <c r="H84" s="2" t="n"/>
      <c r="I84" s="2" t="inlineStr">
        <is>
          <t>Exact</t>
        </is>
      </c>
      <c r="J84" s="2" t="inlineStr">
        <is>
          <t>SATIN-QUEEN-BLACK</t>
        </is>
      </c>
      <c r="K84" s="2" t="inlineStr">
        <is>
          <t>SATIN-QUEEN-BLACK</t>
        </is>
      </c>
      <c r="L84" s="2" t="inlineStr">
        <is>
          <t>n/a (no target bid in audit)</t>
        </is>
      </c>
      <c r="M84" s="2" t="inlineStr">
        <is>
          <t>n/a</t>
        </is>
      </c>
      <c r="N84" s="2" t="n">
        <v>50</v>
      </c>
      <c r="O84" s="2" t="n">
        <v>50</v>
      </c>
      <c r="P84" s="21" t="n"/>
      <c r="Q84" s="21" t="n"/>
      <c r="R84" s="2" t="n"/>
      <c r="S84" s="2" t="n"/>
      <c r="T84" s="2" t="n"/>
      <c r="U84" s="2" t="n"/>
      <c r="V84" s="21" t="n">
        <v>8.039999999999999</v>
      </c>
      <c r="W84" s="21" t="n">
        <v>8.039999999999999</v>
      </c>
      <c r="X84" s="2" t="inlineStr">
        <is>
          <t>ENABLED</t>
        </is>
      </c>
      <c r="Y84" s="2" t="inlineStr">
        <is>
          <t>none</t>
        </is>
      </c>
      <c r="Z84" s="2" t="inlineStr">
        <is>
          <t>load (clean): DSS4-SP-Silk Satin Sheets-[Satin]-(LSV)-Exact-(Ranking)-DO-SATIN-QUEEN-BLACK</t>
        </is>
      </c>
      <c r="AA84" s="21" t="n">
        <v>46.59</v>
      </c>
      <c r="AB84" s="2" t="n">
        <v>31</v>
      </c>
      <c r="AC84" s="2" t="n">
        <v>8</v>
      </c>
      <c r="AD84" s="2" t="n">
        <v>19.4</v>
      </c>
      <c r="AE84" s="2" t="n">
        <v>83.87</v>
      </c>
      <c r="AF84" s="2" t="n">
        <v>6.45</v>
      </c>
      <c r="AG84" s="2" t="n">
        <v>11</v>
      </c>
      <c r="AH84" s="2" t="inlineStr">
        <is>
          <t>Rename only</t>
        </is>
      </c>
      <c r="AI84" s="22" t="inlineStr">
        <is>
          <t>Load rename only</t>
        </is>
      </c>
      <c r="AJ84" s="22" t="inlineStr">
        <is>
          <t>Clean rename (SKU token and objective match what the campaign advertises); 19.4% ACoS on 8 orders / 31 clicks (CC 31 Aug–29 Sep).</t>
        </is>
      </c>
      <c r="AK84" s="2" t="inlineStr">
        <is>
          <t>seq 2105 retag LOAD; seq 2950 rename LOAD</t>
        </is>
      </c>
      <c r="AL84" s="22" t="n"/>
    </row>
    <row r="85">
      <c r="A85" s="2" t="inlineStr">
        <is>
          <t>179785157492956</t>
        </is>
      </c>
      <c r="B85" s="2" t="inlineStr">
        <is>
          <t>D-S4-SP-king size bed sheets silk-(Silk)-LSV-Exact-Rank-DO-FH-CXP0-5741</t>
        </is>
      </c>
      <c r="C85" s="2" t="inlineStr">
        <is>
          <t>king size bed sheets silk [exact, $1.38, 18 clicks]</t>
        </is>
      </c>
      <c r="D85" s="2" t="inlineStr">
        <is>
          <t>king size bed sheets silk</t>
        </is>
      </c>
      <c r="E85" s="2" t="inlineStr">
        <is>
          <t>ENABLED</t>
        </is>
      </c>
      <c r="F85" s="2" t="inlineStr">
        <is>
          <t>Ranking</t>
        </is>
      </c>
      <c r="G85" s="2" t="inlineStr">
        <is>
          <t>Ranking</t>
        </is>
      </c>
      <c r="H85" s="2" t="inlineStr">
        <is>
          <t>OUT</t>
        </is>
      </c>
      <c r="I85" s="2" t="inlineStr">
        <is>
          <t>Exact</t>
        </is>
      </c>
      <c r="J85" s="2" t="inlineStr">
        <is>
          <t>SATIN-4PC-KING-GREY</t>
        </is>
      </c>
      <c r="K85" s="2" t="inlineStr">
        <is>
          <t>SATIN-4PC-KING-GREY</t>
        </is>
      </c>
      <c r="L85" s="2" t="inlineStr">
        <is>
          <t>$1.38</t>
        </is>
      </c>
      <c r="M85" s="2" t="inlineStr">
        <is>
          <t>$1.03</t>
        </is>
      </c>
      <c r="N85" s="2" t="n">
        <v>100</v>
      </c>
      <c r="O85" s="2" t="n">
        <v>100</v>
      </c>
      <c r="P85" s="21" t="n">
        <v>2.76</v>
      </c>
      <c r="Q85" s="21" t="n">
        <v>2.06</v>
      </c>
      <c r="R85" s="2" t="n">
        <v>0</v>
      </c>
      <c r="S85" s="2" t="n">
        <v>0</v>
      </c>
      <c r="T85" s="2" t="n">
        <v>10</v>
      </c>
      <c r="U85" s="2" t="n">
        <v>0</v>
      </c>
      <c r="V85" s="21" t="n">
        <v>191.91</v>
      </c>
      <c r="W85" s="21" t="n">
        <v>95.95999999999999</v>
      </c>
      <c r="X85" s="2" t="inlineStr">
        <is>
          <t>ENABLED</t>
        </is>
      </c>
      <c r="Y85" s="2" t="inlineStr">
        <is>
          <t>none</t>
        </is>
      </c>
      <c r="Z85" s="2" t="inlineStr">
        <is>
          <t>load (clean): DSS4-SP-King Size Bed Sheets Silk-[Silk|King]-(VLSV)-Exact-(Ranking)-DO-SATIN-4PC-KING-GREY</t>
        </is>
      </c>
      <c r="AA85" s="21" t="n">
        <v>46.09</v>
      </c>
      <c r="AB85" s="2" t="n">
        <v>18</v>
      </c>
      <c r="AC85" s="2" t="n">
        <v>3</v>
      </c>
      <c r="AD85" s="2" t="n">
        <v>49.4</v>
      </c>
      <c r="AE85" s="2" t="n">
        <v>100</v>
      </c>
      <c r="AF85" s="2" t="n">
        <v>0</v>
      </c>
      <c r="AG85" s="2" t="n">
        <v>9</v>
      </c>
      <c r="AH85" s="2" t="inlineStr">
        <is>
          <t>Price cut</t>
        </is>
      </c>
      <c r="AI85" s="22" t="inlineStr">
        <is>
          <t>Cut base 25% ($1.38 → $1.03); ROS 10% → 0%; Budget $191.91 → $95.96</t>
        </is>
      </c>
      <c r="AJ85" s="22" t="inlineStr">
        <is>
          <t>49.4% ACoS on 3 orders / 18 clicks (CC 31 Aug–29 Sep) vs King Grey break-even 15.3%; audit row loads as written (review 40 agrees).</t>
        </is>
      </c>
      <c r="AK85" s="2" t="inlineStr">
        <is>
          <t>seq 176 budget: agree with review 40; seq 179 ros: agree with review 40; seq 180 bid: agree with review 40; seq 2936 rename LOAD</t>
        </is>
      </c>
      <c r="AL85" s="22" t="n"/>
    </row>
    <row r="86">
      <c r="A86" s="2" t="inlineStr">
        <is>
          <t>239111461875974</t>
        </is>
      </c>
      <c r="B86" s="2" t="inlineStr">
        <is>
          <t>D-S4-SP-EXACT-decolure satin bed sheets-Brand-SATIN-QUEEN-BLACK</t>
        </is>
      </c>
      <c r="C86" s="2" t="inlineStr">
        <is>
          <t>decolure satin bed sheets [exact]</t>
        </is>
      </c>
      <c r="D86" s="2" t="inlineStr">
        <is>
          <t>whole campaign</t>
        </is>
      </c>
      <c r="E86" s="2" t="inlineStr">
        <is>
          <t>ENABLED</t>
        </is>
      </c>
      <c r="F86" s="2" t="inlineStr">
        <is>
          <t>Defensive</t>
        </is>
      </c>
      <c r="G86" s="2" t="inlineStr">
        <is>
          <t>Defensive</t>
        </is>
      </c>
      <c r="H86" s="2" t="n"/>
      <c r="I86" s="2" t="inlineStr">
        <is>
          <t>Exact</t>
        </is>
      </c>
      <c r="J86" s="2" t="inlineStr">
        <is>
          <t>SATIN-QUEEN-BLACK</t>
        </is>
      </c>
      <c r="K86" s="2" t="inlineStr">
        <is>
          <t>SATIN-QUEEN-BLACK</t>
        </is>
      </c>
      <c r="L86" s="2" t="inlineStr">
        <is>
          <t>n/a (no target bid in audit)</t>
        </is>
      </c>
      <c r="M86" s="2" t="inlineStr">
        <is>
          <t>n/a</t>
        </is>
      </c>
      <c r="N86" s="2" t="n">
        <v>50</v>
      </c>
      <c r="O86" s="2" t="n">
        <v>50</v>
      </c>
      <c r="P86" s="21" t="n"/>
      <c r="Q86" s="21" t="n"/>
      <c r="R86" s="2" t="n"/>
      <c r="S86" s="2" t="n"/>
      <c r="T86" s="2" t="n"/>
      <c r="U86" s="2" t="n"/>
      <c r="V86" s="21" t="n">
        <v>8.06</v>
      </c>
      <c r="W86" s="21" t="n">
        <v>8.06</v>
      </c>
      <c r="X86" s="2" t="inlineStr">
        <is>
          <t>ENABLED</t>
        </is>
      </c>
      <c r="Y86" s="2" t="inlineStr">
        <is>
          <t>none</t>
        </is>
      </c>
      <c r="Z86" s="2" t="inlineStr">
        <is>
          <t>load (clean): DSS4-SP-Decolure Satin Bed Sheets-(VLSV)-Exact-(Defensive)-DO-SATIN-QUEEN-BLACK</t>
        </is>
      </c>
      <c r="AA86" s="21" t="n">
        <v>46.06</v>
      </c>
      <c r="AB86" s="2" t="n">
        <v>33</v>
      </c>
      <c r="AC86" s="2" t="n">
        <v>9</v>
      </c>
      <c r="AD86" s="2" t="n">
        <v>15.4</v>
      </c>
      <c r="AE86" s="2" t="n">
        <v>21.21</v>
      </c>
      <c r="AF86" s="2" t="n">
        <v>72.73</v>
      </c>
      <c r="AG86" s="2" t="n">
        <v>12</v>
      </c>
      <c r="AH86" s="2" t="inlineStr">
        <is>
          <t>Rename only</t>
        </is>
      </c>
      <c r="AI86" s="22" t="inlineStr">
        <is>
          <t>Load rename only</t>
        </is>
      </c>
      <c r="AJ86" s="22" t="inlineStr">
        <is>
          <t>Clean rename (SKU token and objective match what the campaign advertises); 15.4% ACoS on 9 orders / 33 clicks (CC 31 Aug–29 Sep).</t>
        </is>
      </c>
      <c r="AK86" s="2" t="inlineStr">
        <is>
          <t>seq 2117 retag LOAD; seq 2967 rename LOAD</t>
        </is>
      </c>
      <c r="AL86" s="22" t="n"/>
    </row>
    <row r="87">
      <c r="A87" s="2" t="inlineStr">
        <is>
          <t>14719207426710</t>
        </is>
      </c>
      <c r="B87" s="2" t="inlineStr">
        <is>
          <t>D-S4-SP-silk sheet set full-(Silk)-LSV-Exact-Rank-DO-SATIN-FULL-BLACK</t>
        </is>
      </c>
      <c r="C87" s="2" t="inlineStr">
        <is>
          <t>silk sheets full size [exact, $1.40, 15 clicks]; silk sheet set full [exact, $1.55, 7 clicks]; silk sheets full bed [exact, paused, $2.35]; silk sheets full size bed set [exact, paused, $2.16]; silk sheets and pillow cases full [exact, paused, $2.21]</t>
        </is>
      </c>
      <c r="D87" s="2" t="inlineStr">
        <is>
          <t>silk sheets full size; silk sheet set full</t>
        </is>
      </c>
      <c r="E87" s="2" t="inlineStr">
        <is>
          <t>ENABLED</t>
        </is>
      </c>
      <c r="F87" s="2" t="inlineStr">
        <is>
          <t>Ranking</t>
        </is>
      </c>
      <c r="G87" s="2" t="inlineStr">
        <is>
          <t>Ranking</t>
        </is>
      </c>
      <c r="H87" s="2" t="inlineStr">
        <is>
          <t>OUT</t>
        </is>
      </c>
      <c r="I87" s="2" t="inlineStr">
        <is>
          <t>Exact</t>
        </is>
      </c>
      <c r="J87" s="2" t="inlineStr">
        <is>
          <t>SATIN-FULL-BLACK</t>
        </is>
      </c>
      <c r="K87" s="2" t="inlineStr">
        <is>
          <t>SATIN-FULL-BLACK</t>
        </is>
      </c>
      <c r="L87" s="2" t="inlineStr">
        <is>
          <t>$1.40 / $1.55</t>
        </is>
      </c>
      <c r="M87" s="2" t="inlineStr">
        <is>
          <t>$1.40 / $1.55</t>
        </is>
      </c>
      <c r="N87" s="2" t="n">
        <v>50</v>
      </c>
      <c r="O87" s="2" t="n">
        <v>50</v>
      </c>
      <c r="P87" s="21" t="n">
        <v>2.1</v>
      </c>
      <c r="Q87" s="21" t="n">
        <v>2.1</v>
      </c>
      <c r="R87" s="2" t="n">
        <v>0</v>
      </c>
      <c r="S87" s="2" t="n">
        <v>0</v>
      </c>
      <c r="T87" s="2" t="n">
        <v>10</v>
      </c>
      <c r="U87" s="2" t="n">
        <v>0</v>
      </c>
      <c r="V87" s="21" t="n">
        <v>5</v>
      </c>
      <c r="W87" s="21" t="n">
        <v>5</v>
      </c>
      <c r="X87" s="2" t="inlineStr">
        <is>
          <t>ENABLED</t>
        </is>
      </c>
      <c r="Y87" s="2" t="inlineStr">
        <is>
          <t>add negative exact: silk sheets full size; silk sheets full</t>
        </is>
      </c>
      <c r="Z87" s="2" t="inlineStr">
        <is>
          <t>defer — engine name wrong (SKU token SATIN-FULL-BLACK); load a corrected name after 28 Oct</t>
        </is>
      </c>
      <c r="AA87" s="21" t="n">
        <v>45.4</v>
      </c>
      <c r="AB87" s="2" t="n">
        <v>22</v>
      </c>
      <c r="AC87" s="2" t="n">
        <v>4</v>
      </c>
      <c r="AD87" s="2" t="n">
        <v>38.5</v>
      </c>
      <c r="AE87" s="2" t="n">
        <v>95.45</v>
      </c>
      <c r="AF87" s="2" t="n">
        <v>4.55</v>
      </c>
      <c r="AG87" s="2" t="n">
        <v>18</v>
      </c>
      <c r="AH87" s="2" t="inlineStr">
        <is>
          <t>Pause target</t>
        </is>
      </c>
      <c r="AI87" s="22" t="inlineStr">
        <is>
          <t>Pause target "silk sheets full size" (campaign stays on with 1 other target(s)); Keep target "silk sheet set full" enabled (reject pause seq 2770); ROS 10% → 0%</t>
        </is>
      </c>
      <c r="AJ87" s="22" t="inlineStr">
        <is>
          <t>38.5% ACoS on 4 orders / 22 clicks (CC 31 Aug–29 Sep). Circular with #1443, whose campaign #2770 names as the survivor. Keep this target; pass #1443.</t>
        </is>
      </c>
      <c r="AK87" s="2" t="inlineStr">
        <is>
          <t>seq 184 ros: agree with review 40; seq 1824 child: reject — keep SATIN-FULL-BLACK; seq 2770 state: hold; seq 2771 state: agree with review 40; seq 2917 rename CHANGE</t>
        </is>
      </c>
      <c r="AL87" s="22" t="n"/>
    </row>
    <row r="88">
      <c r="A88" s="2" t="inlineStr">
        <is>
          <t>101321352254672</t>
        </is>
      </c>
      <c r="B88" s="2" t="inlineStr">
        <is>
          <t>D-S4-silk queen sheets - [Silk|Queen] - Exact - Ran - DO - SATIN-QUEEN-BLACK</t>
        </is>
      </c>
      <c r="C88" s="2" t="inlineStr">
        <is>
          <t>silk queen sheets [exact]</t>
        </is>
      </c>
      <c r="D88" s="2" t="inlineStr">
        <is>
          <t>silk queen sheets</t>
        </is>
      </c>
      <c r="E88" s="2" t="inlineStr">
        <is>
          <t>ENABLED</t>
        </is>
      </c>
      <c r="F88" s="2" t="inlineStr">
        <is>
          <t>Ranking</t>
        </is>
      </c>
      <c r="G88" s="2" t="inlineStr">
        <is>
          <t>Ranking</t>
        </is>
      </c>
      <c r="H88" s="2" t="inlineStr">
        <is>
          <t>Silk|Queen</t>
        </is>
      </c>
      <c r="I88" s="2" t="inlineStr">
        <is>
          <t>Exact</t>
        </is>
      </c>
      <c r="J88" s="2" t="inlineStr">
        <is>
          <t>SATIN-QUEEN-BLACK</t>
        </is>
      </c>
      <c r="K88" s="2" t="inlineStr">
        <is>
          <t>SATIN-QUEEN-BLACK</t>
        </is>
      </c>
      <c r="L88" s="2" t="inlineStr">
        <is>
          <t>$1.39</t>
        </is>
      </c>
      <c r="M88" s="2" t="inlineStr">
        <is>
          <t>$1.35</t>
        </is>
      </c>
      <c r="N88" s="2" t="n">
        <v>30</v>
      </c>
      <c r="O88" s="2" t="n">
        <v>30</v>
      </c>
      <c r="P88" s="21" t="n">
        <v>1.81</v>
      </c>
      <c r="Q88" s="21" t="n">
        <v>1.76</v>
      </c>
      <c r="R88" s="2" t="n"/>
      <c r="S88" s="2" t="n"/>
      <c r="T88" s="2" t="n"/>
      <c r="U88" s="2" t="n"/>
      <c r="V88" s="21" t="n">
        <v>10.32</v>
      </c>
      <c r="W88" s="21" t="n">
        <v>10.32</v>
      </c>
      <c r="X88" s="2" t="inlineStr">
        <is>
          <t>ENABLED</t>
        </is>
      </c>
      <c r="Y88" s="2" t="inlineStr">
        <is>
          <t>none</t>
        </is>
      </c>
      <c r="Z88" s="2" t="inlineStr">
        <is>
          <t>defer — engine name wrong (SKU token SATIN-QUEEN-BLACK); load a corrected name after 28 Oct</t>
        </is>
      </c>
      <c r="AA88" s="21" t="n">
        <v>44.77</v>
      </c>
      <c r="AB88" s="2" t="n">
        <v>26</v>
      </c>
      <c r="AC88" s="2" t="n">
        <v>7</v>
      </c>
      <c r="AD88" s="2" t="n">
        <v>24.6</v>
      </c>
      <c r="AE88" s="2" t="n">
        <v>88.45999999999999</v>
      </c>
      <c r="AF88" s="2" t="n">
        <v>0</v>
      </c>
      <c r="AG88" s="2" t="n">
        <v>23</v>
      </c>
      <c r="AH88" s="2" t="inlineStr">
        <is>
          <t>Release hold + price to break-even</t>
        </is>
      </c>
      <c r="AI88" s="22" t="inlineStr">
        <is>
          <t>Release hold; cut base $1.39 → $1.35</t>
        </is>
      </c>
      <c r="AJ88" s="22" t="inlineStr">
        <is>
          <t>24.6% ACoS, 7 orders on 26 clicks (CC 31 Aug–29 Sep) vs Queen Black break-even 17.8%; BE base = $5.03 contribution (Queen Black) × 26.9% CVR = $1.35; cap 25% cut.</t>
        </is>
      </c>
      <c r="AK88" s="2" t="inlineStr">
        <is>
          <t>seq 1856 child: reject — keep SATIN-QUEEN-BLACK; seq 2126 retag LOAD; seq 2988 rename CHANGE; seq 1995 NOT SERVING hold(s) → release; price to break-even (our addition, reviewer D)</t>
        </is>
      </c>
      <c r="AL88" s="22" t="n"/>
    </row>
    <row r="89">
      <c r="A89" s="2" t="inlineStr">
        <is>
          <t>244395883069947</t>
        </is>
      </c>
      <c r="B89" s="2" t="inlineStr">
        <is>
          <t>D-S4-SP-PHRASE-silk sheets king size-Silk|King-SATIN-4PC-KING-GREY</t>
        </is>
      </c>
      <c r="C89" s="2" t="inlineStr">
        <is>
          <t>silk sheets king size [phrase]</t>
        </is>
      </c>
      <c r="D89" s="2" t="inlineStr">
        <is>
          <t>whole campaign</t>
        </is>
      </c>
      <c r="E89" s="2" t="inlineStr">
        <is>
          <t>ENABLED</t>
        </is>
      </c>
      <c r="F89" s="2" t="inlineStr">
        <is>
          <t>Discovery</t>
        </is>
      </c>
      <c r="G89" s="2" t="inlineStr">
        <is>
          <t>Discovery</t>
        </is>
      </c>
      <c r="H89" s="2" t="n"/>
      <c r="I89" s="2" t="inlineStr">
        <is>
          <t>Phrase</t>
        </is>
      </c>
      <c r="J89" s="2" t="inlineStr">
        <is>
          <t>SATIN-4PC-KING-GREY</t>
        </is>
      </c>
      <c r="K89" s="2" t="inlineStr">
        <is>
          <t>SATIN-4PC-KING-GREY</t>
        </is>
      </c>
      <c r="L89" s="2" t="inlineStr">
        <is>
          <t>n/a (no target bid in audit)</t>
        </is>
      </c>
      <c r="M89" s="2" t="inlineStr">
        <is>
          <t>n/a</t>
        </is>
      </c>
      <c r="N89" s="2" t="n">
        <v>0</v>
      </c>
      <c r="O89" s="2" t="n">
        <v>0</v>
      </c>
      <c r="P89" s="21" t="n"/>
      <c r="Q89" s="21" t="n"/>
      <c r="R89" s="2" t="n"/>
      <c r="S89" s="2" t="n"/>
      <c r="T89" s="2" t="n"/>
      <c r="U89" s="2" t="n"/>
      <c r="V89" s="21" t="n">
        <v>5</v>
      </c>
      <c r="W89" s="21" t="n">
        <v>5</v>
      </c>
      <c r="X89" s="2" t="inlineStr">
        <is>
          <t>ENABLED</t>
        </is>
      </c>
      <c r="Y89" s="2" t="inlineStr">
        <is>
          <t>none</t>
        </is>
      </c>
      <c r="Z89" s="2" t="inlineStr">
        <is>
          <t>load (clean): DSS4-SP-Silk Sheets King Size-[Silk|King]-(LSV)-Phrase-(Discovery)-DO-SATIN-4PC-KING-GREY</t>
        </is>
      </c>
      <c r="AA89" s="21" t="n">
        <v>43.12</v>
      </c>
      <c r="AB89" s="2" t="n">
        <v>30</v>
      </c>
      <c r="AC89" s="2" t="n">
        <v>7</v>
      </c>
      <c r="AD89" s="2" t="n">
        <v>18.8</v>
      </c>
      <c r="AE89" s="2" t="n">
        <v>26.67</v>
      </c>
      <c r="AF89" s="2" t="n">
        <v>0</v>
      </c>
      <c r="AG89" s="2" t="n">
        <v>8</v>
      </c>
      <c r="AH89" s="2" t="inlineStr">
        <is>
          <t>Rename only</t>
        </is>
      </c>
      <c r="AI89" s="22" t="inlineStr">
        <is>
          <t>Load rename only</t>
        </is>
      </c>
      <c r="AJ89" s="22" t="inlineStr">
        <is>
          <t>Clean rename (SKU token and objective match what the campaign advertises); 18.8% ACoS on 7 orders / 30 clicks (CC 31 Aug–29 Sep).</t>
        </is>
      </c>
      <c r="AK89" s="2" t="inlineStr">
        <is>
          <t>seq 2110 retag LOAD; seq 2956 rename LOAD</t>
        </is>
      </c>
      <c r="AL89" s="22" t="n"/>
    </row>
    <row r="90">
      <c r="A90" s="2" t="inlineStr">
        <is>
          <t>129065458297522</t>
        </is>
      </c>
      <c r="B90" s="2" t="inlineStr">
        <is>
          <t>D-S4-white satin sheets - [Satin] - Exact - Ran - DO - SATIN-WHITE-QUEEN</t>
        </is>
      </c>
      <c r="C90" s="2" t="inlineStr">
        <is>
          <t>white satin sheets [exact, $0.98, 24 clicks]</t>
        </is>
      </c>
      <c r="D90" s="2" t="inlineStr">
        <is>
          <t>whole campaign</t>
        </is>
      </c>
      <c r="E90" s="2" t="inlineStr">
        <is>
          <t>ENABLED</t>
        </is>
      </c>
      <c r="F90" s="2" t="inlineStr">
        <is>
          <t>Ranking</t>
        </is>
      </c>
      <c r="G90" s="2" t="inlineStr">
        <is>
          <t>Conversions</t>
        </is>
      </c>
      <c r="H90" s="2" t="inlineStr">
        <is>
          <t>Satin</t>
        </is>
      </c>
      <c r="I90" s="2" t="inlineStr">
        <is>
          <t>Exact</t>
        </is>
      </c>
      <c r="J90" s="2" t="inlineStr">
        <is>
          <t>SATIN-WHITE-QUEEN</t>
        </is>
      </c>
      <c r="K90" s="2" t="inlineStr">
        <is>
          <t>SATIN-WHITE-QUEEN</t>
        </is>
      </c>
      <c r="L90" s="2" t="inlineStr">
        <is>
          <t>$0.98</t>
        </is>
      </c>
      <c r="M90" s="2" t="inlineStr">
        <is>
          <t>$0.98</t>
        </is>
      </c>
      <c r="N90" s="2" t="n">
        <v>110</v>
      </c>
      <c r="O90" s="2" t="n">
        <v>110</v>
      </c>
      <c r="P90" s="21" t="n">
        <v>2.06</v>
      </c>
      <c r="Q90" s="21" t="n">
        <v>2.06</v>
      </c>
      <c r="R90" s="2" t="n">
        <v>0</v>
      </c>
      <c r="S90" s="2" t="n">
        <v>0</v>
      </c>
      <c r="T90" s="2" t="n">
        <v>0</v>
      </c>
      <c r="U90" s="2" t="n">
        <v>0</v>
      </c>
      <c r="V90" s="21" t="n">
        <v>6.39</v>
      </c>
      <c r="W90" s="21" t="n">
        <v>6.39</v>
      </c>
      <c r="X90" s="2" t="inlineStr">
        <is>
          <t>ENABLED</t>
        </is>
      </c>
      <c r="Y90" s="2" t="inlineStr">
        <is>
          <t>none</t>
        </is>
      </c>
      <c r="Z90" s="2" t="inlineStr">
        <is>
          <t>defer — engine name wrong ((Conversion)); load a corrected name after 28 Oct</t>
        </is>
      </c>
      <c r="AA90" s="21" t="n">
        <v>38.78</v>
      </c>
      <c r="AB90" s="2" t="n">
        <v>24</v>
      </c>
      <c r="AC90" s="2" t="n">
        <v>9</v>
      </c>
      <c r="AD90" s="2" t="n">
        <v>13.9</v>
      </c>
      <c r="AE90" s="2" t="n">
        <v>65.22</v>
      </c>
      <c r="AF90" s="2" t="n">
        <v>34.78</v>
      </c>
      <c r="AG90" s="2" t="n">
        <v>16</v>
      </c>
      <c r="AH90" s="2" t="inlineStr">
        <is>
          <t>Retag only</t>
        </is>
      </c>
      <c r="AI90" s="22" t="inlineStr">
        <is>
          <t>retag → Conversions</t>
        </is>
      </c>
      <c r="AJ90" s="22" t="inlineStr">
        <is>
          <t>Objective Ranking → Conversions by the standard (colour term "white satin sheets"); 13.9% ACoS on 9 orders / 24 clicks (CC 31 Aug–29 Sep).</t>
        </is>
      </c>
      <c r="AK90" s="2" t="inlineStr">
        <is>
          <t>seq 2953 rename CHANGE; our addition: standard → Conversions (colour term "white satin sheets")</t>
        </is>
      </c>
      <c r="AL90" s="22" t="n"/>
    </row>
    <row r="91">
      <c r="A91" s="2" t="inlineStr">
        <is>
          <t>389488083794809</t>
        </is>
      </c>
      <c r="B91" s="2" t="inlineStr">
        <is>
          <t>D-S4-SP-pink satin sheet-(Satin)-VLSV-Exact-Rank-DO-SATIN-QUEEN-PINK</t>
        </is>
      </c>
      <c r="C91" s="2" t="inlineStr">
        <is>
          <t>pink satin sheet [exact, $0.65, 57 clicks]</t>
        </is>
      </c>
      <c r="D91" s="2" t="inlineStr">
        <is>
          <t>pink satin sheet</t>
        </is>
      </c>
      <c r="E91" s="2" t="inlineStr">
        <is>
          <t>ENABLED</t>
        </is>
      </c>
      <c r="F91" s="2" t="inlineStr">
        <is>
          <t>Ranking</t>
        </is>
      </c>
      <c r="G91" s="2" t="inlineStr">
        <is>
          <t>Conversions</t>
        </is>
      </c>
      <c r="H91" s="2" t="inlineStr">
        <is>
          <t>Satin</t>
        </is>
      </c>
      <c r="I91" s="2" t="inlineStr">
        <is>
          <t>Exact</t>
        </is>
      </c>
      <c r="J91" s="2" t="inlineStr">
        <is>
          <t>SATIN-QUEEN-PINK</t>
        </is>
      </c>
      <c r="K91" s="2" t="inlineStr">
        <is>
          <t>SATIN-QUEEN-PINK</t>
        </is>
      </c>
      <c r="L91" s="2" t="inlineStr">
        <is>
          <t>$0.65</t>
        </is>
      </c>
      <c r="M91" s="2" t="inlineStr">
        <is>
          <t>$0.50</t>
        </is>
      </c>
      <c r="N91" s="2" t="n">
        <v>60</v>
      </c>
      <c r="O91" s="2" t="n">
        <v>108</v>
      </c>
      <c r="P91" s="21" t="n">
        <v>1.04</v>
      </c>
      <c r="Q91" s="21" t="n">
        <v>1.04</v>
      </c>
      <c r="R91" s="2" t="n">
        <v>0</v>
      </c>
      <c r="S91" s="2" t="n">
        <v>0</v>
      </c>
      <c r="T91" s="2" t="n">
        <v>0</v>
      </c>
      <c r="U91" s="2" t="n">
        <v>0</v>
      </c>
      <c r="V91" s="21" t="n">
        <v>10</v>
      </c>
      <c r="W91" s="21" t="n">
        <v>5</v>
      </c>
      <c r="X91" s="2" t="inlineStr">
        <is>
          <t>ENABLED</t>
        </is>
      </c>
      <c r="Y91" s="2" t="inlineStr">
        <is>
          <t>none</t>
        </is>
      </c>
      <c r="Z91" s="2" t="inlineStr">
        <is>
          <t>defer — engine name wrong ((Conversion)); load a corrected name after 28 Oct</t>
        </is>
      </c>
      <c r="AA91" s="21" t="n">
        <v>38.66</v>
      </c>
      <c r="AB91" s="2" t="n">
        <v>57</v>
      </c>
      <c r="AC91" s="2" t="n">
        <v>2</v>
      </c>
      <c r="AD91" s="2" t="n">
        <v>58.7</v>
      </c>
      <c r="AE91" s="2" t="n">
        <v>10.71</v>
      </c>
      <c r="AF91" s="2" t="n">
        <v>76.79000000000001</v>
      </c>
      <c r="AG91" s="2" t="n">
        <v>7</v>
      </c>
      <c r="AH91" s="2" t="inlineStr">
        <is>
          <t>Price cut</t>
        </is>
      </c>
      <c r="AI91" s="22" t="inlineStr">
        <is>
          <t>Cut base 23% ($0.65 → $0.50); TOS 60% → 108%; Budget $10 → $5; retag → Conversions</t>
        </is>
      </c>
      <c r="AJ91" s="22" t="inlineStr">
        <is>
          <t>58.7% ACoS on 2 orders / 57 clicks (CC 31 Aug–29 Sep). A HARD cut on a TOS price already under its ceiling: TOS $1.04 vs $1.87 ceiling (0.42× after the cut to $0.78). The loss is on product pages: 43 PP vs 6 TOS clicks (audit read); 76.8% PP (CC 30d).</t>
        </is>
      </c>
      <c r="AK91" s="2" t="inlineStr">
        <is>
          <t>seq 195 budget: agree with review 40; seq 196 tos: correct to 108%; seq 199 bid: correct to 0.50; seq 2844 structure: agree with review 40; seq 2976 rename CHANGE; our addition: standard → Conversions (colour term "pink satin sheet")</t>
        </is>
      </c>
      <c r="AL91" s="22" t="n"/>
    </row>
    <row r="92">
      <c r="A92" s="2" t="inlineStr">
        <is>
          <t>165862484156935</t>
        </is>
      </c>
      <c r="B92" s="2" t="inlineStr">
        <is>
          <t>D-S4-silk sheets queen size bed set - [Silk|Queen] - Exact - Ran - DO - SATIN-QUEEN-BLACK</t>
        </is>
      </c>
      <c r="C92" s="2" t="inlineStr">
        <is>
          <t>silk sheets queen size bed set [exact, $0.87, 13 clicks]</t>
        </is>
      </c>
      <c r="D92" s="2" t="inlineStr">
        <is>
          <t>silk sheets queen size bed set</t>
        </is>
      </c>
      <c r="E92" s="2" t="inlineStr">
        <is>
          <t>ENABLED</t>
        </is>
      </c>
      <c r="F92" s="2" t="inlineStr">
        <is>
          <t>Ranking</t>
        </is>
      </c>
      <c r="G92" s="2" t="inlineStr">
        <is>
          <t>Ranking</t>
        </is>
      </c>
      <c r="H92" s="2" t="inlineStr">
        <is>
          <t>OUT</t>
        </is>
      </c>
      <c r="I92" s="2" t="inlineStr">
        <is>
          <t>Exact</t>
        </is>
      </c>
      <c r="J92" s="2" t="inlineStr">
        <is>
          <t>SATIN-QUEEN-BLACK</t>
        </is>
      </c>
      <c r="K92" s="2" t="inlineStr">
        <is>
          <t>SATIN-QUEEN-BLACK</t>
        </is>
      </c>
      <c r="L92" s="2" t="inlineStr">
        <is>
          <t>$0.87</t>
        </is>
      </c>
      <c r="M92" s="2" t="inlineStr">
        <is>
          <t>$0.61</t>
        </is>
      </c>
      <c r="N92" s="2" t="n">
        <v>300</v>
      </c>
      <c r="O92" s="2" t="n">
        <v>300</v>
      </c>
      <c r="P92" s="21" t="n">
        <v>3.48</v>
      </c>
      <c r="Q92" s="21" t="n">
        <v>2.44</v>
      </c>
      <c r="R92" s="2" t="n">
        <v>0</v>
      </c>
      <c r="S92" s="2" t="n">
        <v>0</v>
      </c>
      <c r="T92" s="2" t="n">
        <v>0</v>
      </c>
      <c r="U92" s="2" t="n">
        <v>0</v>
      </c>
      <c r="V92" s="21" t="n">
        <v>20.2</v>
      </c>
      <c r="W92" s="21" t="n">
        <v>10.1</v>
      </c>
      <c r="X92" s="2" t="inlineStr">
        <is>
          <t>ENABLED</t>
        </is>
      </c>
      <c r="Y92" s="2" t="inlineStr">
        <is>
          <t>none</t>
        </is>
      </c>
      <c r="Z92" s="2" t="inlineStr">
        <is>
          <t>defer — engine name wrong (SKU token SATIN-QUEEN-BLACK); load a corrected name after 28 Oct</t>
        </is>
      </c>
      <c r="AA92" s="21" t="n">
        <v>37.75</v>
      </c>
      <c r="AB92" s="2" t="n">
        <v>13</v>
      </c>
      <c r="AC92" s="2" t="n">
        <v>0</v>
      </c>
      <c r="AD92" s="2" t="n"/>
      <c r="AE92" s="2" t="n">
        <v>100</v>
      </c>
      <c r="AF92" s="2" t="n">
        <v>0</v>
      </c>
      <c r="AG92" s="2" t="n">
        <v>4</v>
      </c>
      <c r="AH92" s="2" t="inlineStr">
        <is>
          <t>Price cut</t>
        </is>
      </c>
      <c r="AI92" s="22" t="inlineStr">
        <is>
          <t>Cut base 30% ($0.87 → $0.61); Budget $20.2 → $10.1</t>
        </is>
      </c>
      <c r="AJ92" s="22" t="inlineStr">
        <is>
          <t>no sales ACoS on 0 orders / 13 clicks (CC 31 Aug–29 Sep) vs Queen Black break-even 17.8%; audit row loads as written (review 40 agrees).</t>
        </is>
      </c>
      <c r="AK92" s="2" t="inlineStr">
        <is>
          <t>seq 200 budget: agree with review 40; seq 204 bid: agree with review 40; seq 1829 child: reject — keep SATIN-QUEEN-BLACK; seq 2927 rename CHANGE</t>
        </is>
      </c>
      <c r="AL92" s="22" t="n"/>
    </row>
    <row r="93">
      <c r="A93" s="2" t="inlineStr">
        <is>
          <t>258041816107512</t>
        </is>
      </c>
      <c r="B93" s="2" t="inlineStr">
        <is>
          <t>D-S4-SP-satin sheets queen size deep pocket-(Satin)-LSV-Exact-Rank-DO-SATIN-QUEEN-BLACK</t>
        </is>
      </c>
      <c r="C93" s="2" t="inlineStr">
        <is>
          <t>satin sheets queen size deep pocket [exact, $1.20, 18 clicks]; satin sheets deep pockets queen [exact, paused, $2.06]; satin sheets queen hotel luxury silky bed sheets [exact, paused, $1.65]; satin silk sheets queen set [exact, $1.46]</t>
        </is>
      </c>
      <c r="D93" s="2" t="inlineStr">
        <is>
          <t>satin sheets queen size deep pocket; satin silk sheets queen set</t>
        </is>
      </c>
      <c r="E93" s="2" t="inlineStr">
        <is>
          <t>ENABLED</t>
        </is>
      </c>
      <c r="F93" s="2" t="inlineStr">
        <is>
          <t>Ranking</t>
        </is>
      </c>
      <c r="G93" s="2" t="inlineStr">
        <is>
          <t>Ranking</t>
        </is>
      </c>
      <c r="H93" s="2" t="inlineStr">
        <is>
          <t>Satin|Queen</t>
        </is>
      </c>
      <c r="I93" s="2" t="inlineStr">
        <is>
          <t>Exact</t>
        </is>
      </c>
      <c r="J93" s="2" t="inlineStr">
        <is>
          <t>SATIN-QUEEN-BLACK</t>
        </is>
      </c>
      <c r="K93" s="2" t="inlineStr">
        <is>
          <t>SATIN-QUEEN-BLACK</t>
        </is>
      </c>
      <c r="L93" s="2" t="inlineStr">
        <is>
          <t>$1.20 / $1.46</t>
        </is>
      </c>
      <c r="M93" s="2" t="inlineStr">
        <is>
          <t>$0.90 / $1.10</t>
        </is>
      </c>
      <c r="N93" s="2" t="n">
        <v>85</v>
      </c>
      <c r="O93" s="2" t="n">
        <v>85</v>
      </c>
      <c r="P93" s="21" t="n">
        <v>2.22</v>
      </c>
      <c r="Q93" s="21" t="n">
        <v>1.67</v>
      </c>
      <c r="R93" s="2" t="n">
        <v>0</v>
      </c>
      <c r="S93" s="2" t="n">
        <v>0</v>
      </c>
      <c r="T93" s="2" t="n">
        <v>5</v>
      </c>
      <c r="U93" s="2" t="n">
        <v>5</v>
      </c>
      <c r="V93" s="21" t="n">
        <v>10</v>
      </c>
      <c r="W93" s="21" t="n">
        <v>5</v>
      </c>
      <c r="X93" s="2" t="inlineStr">
        <is>
          <t>ENABLED</t>
        </is>
      </c>
      <c r="Y93" s="2" t="inlineStr">
        <is>
          <t>none</t>
        </is>
      </c>
      <c r="Z93" s="2" t="inlineStr">
        <is>
          <t>defer — engine name wrong (SKU token SATIN-QUEEN-BLACK); load a corrected name after 28 Oct</t>
        </is>
      </c>
      <c r="AA93" s="21" t="n">
        <v>37.45</v>
      </c>
      <c r="AB93" s="2" t="n">
        <v>18</v>
      </c>
      <c r="AC93" s="2" t="n">
        <v>2</v>
      </c>
      <c r="AD93" s="2" t="n">
        <v>62.5</v>
      </c>
      <c r="AE93" s="2" t="n">
        <v>100</v>
      </c>
      <c r="AF93" s="2" t="n">
        <v>0</v>
      </c>
      <c r="AG93" s="2" t="n">
        <v>19</v>
      </c>
      <c r="AH93" s="2" t="inlineStr">
        <is>
          <t>Price cut</t>
        </is>
      </c>
      <c r="AI93" s="22" t="inlineStr">
        <is>
          <t>Cut base 25% ($1.20 / $1.46 → $0.90 / $1.10); Budget $10 → $5</t>
        </is>
      </c>
      <c r="AJ93" s="22" t="inlineStr">
        <is>
          <t>62.5% ACoS on 2 orders / 18 clicks (CC 31 Aug–29 Sep) vs Queen Black break-even 17.8%; audit row loads as written (review 40 agrees).</t>
        </is>
      </c>
      <c r="AK93" s="2" t="inlineStr">
        <is>
          <t>seq 205 budget: agree with review 40; seq 209 bid: agree with review 40; seq 212 bid: agree with review 40; seq 1836 child: reject — keep SATIN-QUEEN-BLACK; seq 2939 rename CHANGE</t>
        </is>
      </c>
      <c r="AL93" s="22" t="n"/>
    </row>
    <row r="94">
      <c r="A94" s="2" t="inlineStr">
        <is>
          <t>253974915161779</t>
        </is>
      </c>
      <c r="B94" s="2" t="inlineStr">
        <is>
          <t>D-S4-white satin sheets queen - [Satin|Queen] - Exact - Ran - DO - SATIN-WHITE-QUEEN</t>
        </is>
      </c>
      <c r="C94" s="2" t="inlineStr">
        <is>
          <t>white satin sheets queen [exact]</t>
        </is>
      </c>
      <c r="D94" s="2" t="inlineStr">
        <is>
          <t>whole campaign</t>
        </is>
      </c>
      <c r="E94" s="2" t="inlineStr">
        <is>
          <t>ENABLED</t>
        </is>
      </c>
      <c r="F94" s="2" t="inlineStr">
        <is>
          <t>Ranking</t>
        </is>
      </c>
      <c r="G94" s="2" t="inlineStr">
        <is>
          <t>Conversions</t>
        </is>
      </c>
      <c r="H94" s="2" t="inlineStr">
        <is>
          <t>Satin|Queen</t>
        </is>
      </c>
      <c r="I94" s="2" t="inlineStr">
        <is>
          <t>Exact</t>
        </is>
      </c>
      <c r="J94" s="2" t="inlineStr">
        <is>
          <t>SATIN-WHITE-QUEEN</t>
        </is>
      </c>
      <c r="K94" s="2" t="inlineStr">
        <is>
          <t>SATIN-WHITE-QUEEN</t>
        </is>
      </c>
      <c r="L94" s="2" t="inlineStr">
        <is>
          <t>n/a (no target bid in audit)</t>
        </is>
      </c>
      <c r="M94" s="2" t="inlineStr">
        <is>
          <t>n/a</t>
        </is>
      </c>
      <c r="N94" s="2" t="n">
        <v>20</v>
      </c>
      <c r="O94" s="2" t="n">
        <v>20</v>
      </c>
      <c r="P94" s="21" t="n"/>
      <c r="Q94" s="21" t="n"/>
      <c r="R94" s="2" t="n"/>
      <c r="S94" s="2" t="n"/>
      <c r="T94" s="2" t="n"/>
      <c r="U94" s="2" t="n"/>
      <c r="V94" s="21" t="n">
        <v>13.33</v>
      </c>
      <c r="W94" s="21" t="n">
        <v>13.33</v>
      </c>
      <c r="X94" s="2" t="inlineStr">
        <is>
          <t>ENABLED</t>
        </is>
      </c>
      <c r="Y94" s="2" t="inlineStr">
        <is>
          <t>none</t>
        </is>
      </c>
      <c r="Z94" s="2" t="inlineStr">
        <is>
          <t>defer — engine name wrong ((Conversion)); load a corrected name after 28 Oct</t>
        </is>
      </c>
      <c r="AA94" s="21" t="n">
        <v>36.81</v>
      </c>
      <c r="AB94" s="2" t="n">
        <v>23</v>
      </c>
      <c r="AC94" s="2" t="n">
        <v>6</v>
      </c>
      <c r="AD94" s="2" t="n">
        <v>21.8</v>
      </c>
      <c r="AE94" s="2" t="n">
        <v>21.74</v>
      </c>
      <c r="AF94" s="2" t="n">
        <v>56.52</v>
      </c>
      <c r="AG94" s="2" t="n">
        <v>32</v>
      </c>
      <c r="AH94" s="2" t="inlineStr">
        <is>
          <t>Retag only</t>
        </is>
      </c>
      <c r="AI94" s="22" t="inlineStr">
        <is>
          <t>retag → Conversions</t>
        </is>
      </c>
      <c r="AJ94" s="22" t="inlineStr">
        <is>
          <t>Objective Ranking → Conversions by the standard (our retag verdict); 21.8% ACoS on 6 orders / 23 clicks (CC 31 Aug–29 Sep).</t>
        </is>
      </c>
      <c r="AK94" s="2" t="inlineStr">
        <is>
          <t>seq 2098 retag correct to Conversions; seq 2935 rename CHANGE</t>
        </is>
      </c>
      <c r="AL94" s="22" t="n"/>
    </row>
    <row r="95">
      <c r="A95" s="2" t="inlineStr">
        <is>
          <t>272586279246311</t>
        </is>
      </c>
      <c r="B95" s="2" t="inlineStr">
        <is>
          <t>D-S4-SP-EXACT-gray satin sheets-Satin-SATIN-QUEEN-GREY</t>
        </is>
      </c>
      <c r="C95" s="2" t="inlineStr">
        <is>
          <t>gray satin sheets [exact]</t>
        </is>
      </c>
      <c r="D95" s="2" t="inlineStr">
        <is>
          <t>—</t>
        </is>
      </c>
      <c r="E95" s="2" t="inlineStr">
        <is>
          <t>ENABLED</t>
        </is>
      </c>
      <c r="F95" s="2" t="inlineStr">
        <is>
          <t>Conversions</t>
        </is>
      </c>
      <c r="G95" s="2" t="inlineStr">
        <is>
          <t>Conversions</t>
        </is>
      </c>
      <c r="H95" s="2" t="n"/>
      <c r="I95" s="2" t="inlineStr">
        <is>
          <t>Exact</t>
        </is>
      </c>
      <c r="J95" s="2" t="inlineStr">
        <is>
          <t>SATIN-QUEEN-GREY</t>
        </is>
      </c>
      <c r="K95" s="2" t="inlineStr">
        <is>
          <t>SATIN-QUEEN-GREY</t>
        </is>
      </c>
      <c r="L95" s="2" t="inlineStr">
        <is>
          <t>n/a (no target bid in audit)</t>
        </is>
      </c>
      <c r="M95" s="2" t="inlineStr">
        <is>
          <t>n/a</t>
        </is>
      </c>
      <c r="N95" s="2" t="n">
        <v>0</v>
      </c>
      <c r="O95" s="2" t="n">
        <v>0</v>
      </c>
      <c r="P95" s="21" t="n"/>
      <c r="Q95" s="21" t="n"/>
      <c r="R95" s="2" t="n"/>
      <c r="S95" s="2" t="n"/>
      <c r="T95" s="2" t="n"/>
      <c r="U95" s="2" t="n"/>
      <c r="V95" s="21" t="n">
        <v>8.449999999999999</v>
      </c>
      <c r="W95" s="21" t="n">
        <v>8.449999999999999</v>
      </c>
      <c r="X95" s="2" t="inlineStr">
        <is>
          <t>ENABLED</t>
        </is>
      </c>
      <c r="Y95" s="2" t="inlineStr">
        <is>
          <t>none</t>
        </is>
      </c>
      <c r="Z95" s="2" t="inlineStr">
        <is>
          <t>load (clean): DSS4-SP-Gray Satin Sheets-(VLSV)-Exact-(Conversion)-DO-SATIN-QUEEN-GREY</t>
        </is>
      </c>
      <c r="AA95" s="21" t="n">
        <v>36.64</v>
      </c>
      <c r="AB95" s="2" t="n">
        <v>19</v>
      </c>
      <c r="AC95" s="2" t="n">
        <v>4</v>
      </c>
      <c r="AD95" s="2" t="n">
        <v>31.1</v>
      </c>
      <c r="AE95" s="2" t="n">
        <v>5.26</v>
      </c>
      <c r="AF95" s="2" t="n">
        <v>89.47</v>
      </c>
      <c r="AG95" s="2" t="n">
        <v>7</v>
      </c>
      <c r="AH95" s="2" t="inlineStr">
        <is>
          <t>No change (flag: above break-even)</t>
        </is>
      </c>
      <c r="AI95" s="25" t="inlineStr">
        <is>
          <t>No change in this run — flag: 31.1% ACoS vs Queen Grey break-even 11.2% (no run row prices it)</t>
        </is>
      </c>
      <c r="AJ95" s="22" t="inlineStr">
        <is>
          <t>Clean rename (SKU token and objective match what the campaign advertises); 31.1% ACoS on 4 orders / 19 clicks (CC 31 Aug–29 Sep). Note: above break-even with no pricing row in the run; price at the next cycle unless it is chosen for the ranking push.</t>
        </is>
      </c>
      <c r="AK95" s="2" t="inlineStr">
        <is>
          <t>seq 2103 retag LOAD; seq 2947 rename LOAD</t>
        </is>
      </c>
      <c r="AL95" s="22" t="n"/>
    </row>
    <row r="96">
      <c r="A96" s="2" t="inlineStr">
        <is>
          <t>228452491938143</t>
        </is>
      </c>
      <c r="B96" s="2" t="inlineStr">
        <is>
          <t>D-S4-SP-EXACT-decolure sheet-Brand-SATIN-QUEEN-BLACK</t>
        </is>
      </c>
      <c r="C96" s="2" t="inlineStr">
        <is>
          <t>decolure sheet [exact]</t>
        </is>
      </c>
      <c r="D96" s="2" t="inlineStr">
        <is>
          <t>whole campaign</t>
        </is>
      </c>
      <c r="E96" s="2" t="inlineStr">
        <is>
          <t>ENABLED</t>
        </is>
      </c>
      <c r="F96" s="2" t="inlineStr">
        <is>
          <t>Defensive</t>
        </is>
      </c>
      <c r="G96" s="2" t="inlineStr">
        <is>
          <t>Defensive</t>
        </is>
      </c>
      <c r="H96" s="2" t="n"/>
      <c r="I96" s="2" t="inlineStr">
        <is>
          <t>Exact</t>
        </is>
      </c>
      <c r="J96" s="2" t="inlineStr">
        <is>
          <t>SATIN-QUEEN-BLACK</t>
        </is>
      </c>
      <c r="K96" s="2" t="inlineStr">
        <is>
          <t>SATIN-QUEEN-BLACK</t>
        </is>
      </c>
      <c r="L96" s="2" t="inlineStr">
        <is>
          <t>n/a (no target bid in audit)</t>
        </is>
      </c>
      <c r="M96" s="2" t="inlineStr">
        <is>
          <t>n/a</t>
        </is>
      </c>
      <c r="N96" s="2" t="n">
        <v>0</v>
      </c>
      <c r="O96" s="2" t="n">
        <v>0</v>
      </c>
      <c r="P96" s="21" t="n"/>
      <c r="Q96" s="21" t="n"/>
      <c r="R96" s="2" t="n"/>
      <c r="S96" s="2" t="n"/>
      <c r="T96" s="2" t="n"/>
      <c r="U96" s="2" t="n"/>
      <c r="V96" s="21" t="n">
        <v>8.06</v>
      </c>
      <c r="W96" s="21" t="n">
        <v>8.06</v>
      </c>
      <c r="X96" s="2" t="inlineStr">
        <is>
          <t>ENABLED</t>
        </is>
      </c>
      <c r="Y96" s="2" t="inlineStr">
        <is>
          <t>none</t>
        </is>
      </c>
      <c r="Z96" s="2" t="inlineStr">
        <is>
          <t>load (clean): DSS4-SP-Decolure Sheet-(VLSV)-Exact-(Defensive)-DO-SATIN-QUEEN-BLACK</t>
        </is>
      </c>
      <c r="AA96" s="21" t="n">
        <v>34.6</v>
      </c>
      <c r="AB96" s="2" t="n">
        <v>23</v>
      </c>
      <c r="AC96" s="2" t="n">
        <v>10</v>
      </c>
      <c r="AD96" s="2" t="n">
        <v>8.4</v>
      </c>
      <c r="AE96" s="2" t="n">
        <v>30.43</v>
      </c>
      <c r="AF96" s="2" t="n">
        <v>69.56999999999999</v>
      </c>
      <c r="AG96" s="2" t="n">
        <v>10</v>
      </c>
      <c r="AH96" s="2" t="inlineStr">
        <is>
          <t>Rename only</t>
        </is>
      </c>
      <c r="AI96" s="22" t="inlineStr">
        <is>
          <t>Load rename only</t>
        </is>
      </c>
      <c r="AJ96" s="22" t="inlineStr">
        <is>
          <t>Clean rename (SKU token and objective match what the campaign advertises); 8.4% ACoS on 10 orders / 23 clicks (CC 31 Aug–29 Sep).</t>
        </is>
      </c>
      <c r="AK96" s="2" t="inlineStr">
        <is>
          <t>seq 2125 retag LOAD; seq 2987 rename LOAD</t>
        </is>
      </c>
      <c r="AL96" s="22" t="n"/>
    </row>
    <row r="97">
      <c r="A97" s="2" t="inlineStr">
        <is>
          <t>267925169057994</t>
        </is>
      </c>
      <c r="B97" s="2" t="inlineStr">
        <is>
          <t>D-S4-queen sheet set silk - [Silk|Queen] - Exact - Ran - DO - SATIN-QUEEN-BLACK</t>
        </is>
      </c>
      <c r="C97" s="2" t="inlineStr">
        <is>
          <t>queen sheet set silk [exact, $0.75, 15 clicks]</t>
        </is>
      </c>
      <c r="D97" s="2" t="inlineStr">
        <is>
          <t>whole campaign</t>
        </is>
      </c>
      <c r="E97" s="2" t="inlineStr">
        <is>
          <t>PAUSED</t>
        </is>
      </c>
      <c r="F97" s="2" t="inlineStr">
        <is>
          <t>Ranking</t>
        </is>
      </c>
      <c r="G97" s="2" t="inlineStr">
        <is>
          <t>Ranking</t>
        </is>
      </c>
      <c r="H97" s="2" t="inlineStr">
        <is>
          <t>OUT</t>
        </is>
      </c>
      <c r="I97" s="2" t="inlineStr">
        <is>
          <t>Exact</t>
        </is>
      </c>
      <c r="J97" s="2" t="inlineStr">
        <is>
          <t>SATIN-QUEEN-BLACK</t>
        </is>
      </c>
      <c r="K97" s="2" t="inlineStr">
        <is>
          <t>SATIN-QUEEN-BLACK</t>
        </is>
      </c>
      <c r="L97" s="2" t="inlineStr">
        <is>
          <t>$0.75</t>
        </is>
      </c>
      <c r="M97" s="2" t="inlineStr">
        <is>
          <t>$0.52</t>
        </is>
      </c>
      <c r="N97" s="2" t="n">
        <v>225</v>
      </c>
      <c r="O97" s="2" t="n">
        <v>0</v>
      </c>
      <c r="P97" s="21" t="n">
        <v>2.44</v>
      </c>
      <c r="Q97" s="21" t="n">
        <v>0.52</v>
      </c>
      <c r="R97" s="2" t="n">
        <v>0</v>
      </c>
      <c r="S97" s="2" t="n">
        <v>0</v>
      </c>
      <c r="T97" s="2" t="n">
        <v>0</v>
      </c>
      <c r="U97" s="2" t="n">
        <v>0</v>
      </c>
      <c r="V97" s="21" t="n">
        <v>23.39</v>
      </c>
      <c r="W97" s="21" t="n">
        <v>5</v>
      </c>
      <c r="X97" s="2" t="inlineStr">
        <is>
          <t>ENABLED</t>
        </is>
      </c>
      <c r="Y97" s="2" t="inlineStr">
        <is>
          <t>none</t>
        </is>
      </c>
      <c r="Z97" s="2" t="inlineStr">
        <is>
          <t>load (clean): DSS4-SP-Queen Sheet Set Silk-[Silk|Queen]-(LSV)-Exact-(Ranking)-DO-SATIN-QUEEN-BLACK</t>
        </is>
      </c>
      <c r="AA97" s="21" t="n">
        <v>33.89</v>
      </c>
      <c r="AB97" s="2" t="n">
        <v>15</v>
      </c>
      <c r="AC97" s="2" t="n">
        <v>1</v>
      </c>
      <c r="AD97" s="2" t="n">
        <v>117.8</v>
      </c>
      <c r="AE97" s="2" t="n">
        <v>100</v>
      </c>
      <c r="AF97" s="2" t="n">
        <v>0</v>
      </c>
      <c r="AG97" s="2" t="n">
        <v>29</v>
      </c>
      <c r="AH97" s="2" t="inlineStr">
        <is>
          <t>Revive (harvest)</t>
        </is>
      </c>
      <c r="AI97" s="22" t="inlineStr">
        <is>
          <t>Revive at harvest price; Cut base 31% ($0.75 → $0.52); TOS 225% → 0%; Budget $23.39 → $5</t>
        </is>
      </c>
      <c r="AJ97" s="22" t="inlineStr">
        <is>
          <t>117.8% ACoS on 1 orders / 15 clicks (CC 31 Aug–29 Sep). Harvest revive (seq 2323) agreed with review 40; priced for profit with a $5 budget and TOS boost removed. Note: revive seq 2838 dropped as a duplicate; the harvest revive and its price win.</t>
        </is>
      </c>
      <c r="AK97" s="2" t="inlineStr">
        <is>
          <t>seq 2311 retag correct to Ranking; seq 2318 bid: agree with review 40; seq 2319 tos: agree with review 40; seq 2320 pp: agree with review 40; seq 2321 ros: agree with review 40; seq 2322 budget: agree with review 40; seq 2323 state: agree with review 40; seq 2838 structure: hold (duplicate of harvest 2323); seq 2990 rename LOAD</t>
        </is>
      </c>
      <c r="AL97" s="22" t="n"/>
    </row>
    <row r="98">
      <c r="A98" s="2" t="inlineStr">
        <is>
          <t>211241691618706</t>
        </is>
      </c>
      <c r="B98" s="2" t="inlineStr">
        <is>
          <t>D-S4-gold satin sheets - [Satin] - Exact - Ran - DO - SATIN-GOLD-KING</t>
        </is>
      </c>
      <c r="C98" s="2" t="inlineStr">
        <is>
          <t>gold satin sheets [exact]</t>
        </is>
      </c>
      <c r="D98" s="2" t="inlineStr">
        <is>
          <t>whole campaign</t>
        </is>
      </c>
      <c r="E98" s="2" t="inlineStr">
        <is>
          <t>ENABLED</t>
        </is>
      </c>
      <c r="F98" s="2" t="inlineStr">
        <is>
          <t>Ranking</t>
        </is>
      </c>
      <c r="G98" s="2" t="inlineStr">
        <is>
          <t>Conversions</t>
        </is>
      </c>
      <c r="H98" s="2" t="inlineStr">
        <is>
          <t>Satin</t>
        </is>
      </c>
      <c r="I98" s="2" t="inlineStr">
        <is>
          <t>Exact</t>
        </is>
      </c>
      <c r="J98" s="2" t="inlineStr">
        <is>
          <t>SATIN-GOLD-QUEEN</t>
        </is>
      </c>
      <c r="K98" s="2" t="inlineStr">
        <is>
          <t>SATIN-GOLD-QUEEN</t>
        </is>
      </c>
      <c r="L98" s="2" t="inlineStr">
        <is>
          <t>n/a (no target bid in audit)</t>
        </is>
      </c>
      <c r="M98" s="2" t="inlineStr">
        <is>
          <t>n/a</t>
        </is>
      </c>
      <c r="N98" s="2" t="n">
        <v>50</v>
      </c>
      <c r="O98" s="2" t="n">
        <v>50</v>
      </c>
      <c r="P98" s="21" t="n"/>
      <c r="Q98" s="21" t="n"/>
      <c r="R98" s="2" t="n"/>
      <c r="S98" s="2" t="n"/>
      <c r="T98" s="2" t="n"/>
      <c r="U98" s="2" t="n"/>
      <c r="V98" s="21" t="n">
        <v>4.17</v>
      </c>
      <c r="W98" s="21" t="n">
        <v>4.17</v>
      </c>
      <c r="X98" s="2" t="inlineStr">
        <is>
          <t>ENABLED</t>
        </is>
      </c>
      <c r="Y98" s="2" t="inlineStr">
        <is>
          <t>none</t>
        </is>
      </c>
      <c r="Z98" s="2" t="inlineStr">
        <is>
          <t>defer — engine name wrong ((Conversion)); load a corrected name after 28 Oct</t>
        </is>
      </c>
      <c r="AA98" s="21" t="n">
        <v>33.68</v>
      </c>
      <c r="AB98" s="2" t="n">
        <v>53</v>
      </c>
      <c r="AC98" s="2" t="n">
        <v>2</v>
      </c>
      <c r="AD98" s="2" t="n">
        <v>52.7</v>
      </c>
      <c r="AE98" s="2" t="n">
        <v>15.09</v>
      </c>
      <c r="AF98" s="2" t="n">
        <v>75.47</v>
      </c>
      <c r="AG98" s="2" t="n">
        <v>9</v>
      </c>
      <c r="AH98" s="2" t="inlineStr">
        <is>
          <t>Retag only</t>
        </is>
      </c>
      <c r="AI98" s="22" t="inlineStr">
        <is>
          <t>retag → Conversions</t>
        </is>
      </c>
      <c r="AJ98" s="22" t="inlineStr">
        <is>
          <t>Objective Ranking → Conversions by the standard (our retag verdict); 52.7% ACoS on 2 orders / 53 clicks (CC 31 Aug–29 Sep).</t>
        </is>
      </c>
      <c r="AK98" s="2" t="inlineStr">
        <is>
          <t>seq 2107 retag correct to Conversions; seq 2952 rename CHANGE</t>
        </is>
      </c>
      <c r="AL98" s="22" t="n"/>
    </row>
    <row r="99">
      <c r="A99" s="2" t="inlineStr">
        <is>
          <t>54895613793659</t>
        </is>
      </c>
      <c r="B99" s="2" t="inlineStr">
        <is>
          <t>D-S4-green satin sheets - [Satin] - Exact - Ran - DO - SATIN-4PC-QUEEN-DARK GREEN</t>
        </is>
      </c>
      <c r="C99" s="2" t="inlineStr">
        <is>
          <t>green satin sheets [exact, $1.15, 22 clicks]</t>
        </is>
      </c>
      <c r="D99" s="2" t="inlineStr">
        <is>
          <t>whole campaign</t>
        </is>
      </c>
      <c r="E99" s="2" t="inlineStr">
        <is>
          <t>ENABLED</t>
        </is>
      </c>
      <c r="F99" s="2" t="inlineStr">
        <is>
          <t>Ranking</t>
        </is>
      </c>
      <c r="G99" s="2" t="inlineStr">
        <is>
          <t>Conversions</t>
        </is>
      </c>
      <c r="H99" s="2" t="inlineStr">
        <is>
          <t>Satin</t>
        </is>
      </c>
      <c r="I99" s="2" t="inlineStr">
        <is>
          <t>Exact</t>
        </is>
      </c>
      <c r="J99" s="2" t="inlineStr">
        <is>
          <t>SATIN-4PC-QUEEN-DARK GREEN</t>
        </is>
      </c>
      <c r="K99" s="2" t="inlineStr">
        <is>
          <t>SATIN-4PC-KING-DARK GREEN</t>
        </is>
      </c>
      <c r="L99" s="2" t="inlineStr">
        <is>
          <t>$1.15</t>
        </is>
      </c>
      <c r="M99" s="2" t="inlineStr">
        <is>
          <t>$1.04</t>
        </is>
      </c>
      <c r="N99" s="2" t="n">
        <v>90</v>
      </c>
      <c r="O99" s="2" t="n">
        <v>58</v>
      </c>
      <c r="P99" s="21" t="n">
        <v>2.18</v>
      </c>
      <c r="Q99" s="21" t="n">
        <v>1.64</v>
      </c>
      <c r="R99" s="2" t="n">
        <v>0</v>
      </c>
      <c r="S99" s="2" t="n">
        <v>0</v>
      </c>
      <c r="T99" s="2" t="n">
        <v>0</v>
      </c>
      <c r="U99" s="2" t="n">
        <v>0</v>
      </c>
      <c r="V99" s="21" t="n">
        <v>7.5</v>
      </c>
      <c r="W99" s="21" t="n">
        <v>5</v>
      </c>
      <c r="X99" s="2" t="inlineStr">
        <is>
          <t>ENABLED</t>
        </is>
      </c>
      <c r="Y99" s="2" t="inlineStr">
        <is>
          <t>none</t>
        </is>
      </c>
      <c r="Z99" s="2" t="inlineStr">
        <is>
          <t>defer — engine name wrong (SKU token SATIN-4PC-QUEEN-DARK GREEN; (Conversion)); load a corrected name after 28 Oct</t>
        </is>
      </c>
      <c r="AA99" s="21" t="n">
        <v>33.37</v>
      </c>
      <c r="AB99" s="2" t="n">
        <v>22</v>
      </c>
      <c r="AC99" s="2" t="n">
        <v>2</v>
      </c>
      <c r="AD99" s="2" t="n">
        <v>55.7</v>
      </c>
      <c r="AE99" s="2" t="n">
        <v>50</v>
      </c>
      <c r="AF99" s="2" t="n">
        <v>45.45</v>
      </c>
      <c r="AG99" s="2" t="n">
        <v>7</v>
      </c>
      <c r="AH99" s="2" t="inlineStr">
        <is>
          <t>Child swap</t>
        </is>
      </c>
      <c r="AI99" s="22" t="inlineStr">
        <is>
          <t>Swap child to SATIN-4PC-KING-DARK GREEN; Cut base 10% ($1.15 → $1.04); TOS 90% → 58%; Budget $7.5 → $5; retag → Conversions</t>
        </is>
      </c>
      <c r="AJ99" s="22" t="inlineStr">
        <is>
          <t>55.7% ACoS on 2 orders / 22 clicks (CC 31 Aug–29 Sep). Correct to SATIN-4PC-KING-DARK GREEN (and/or SATIN-4PC-FULL-DARK GREEN) — NOW (seq 1837).</t>
        </is>
      </c>
      <c r="AK99" s="2" t="inlineStr">
        <is>
          <t>seq 218 budget: agree with review 40; seq 219 tos: agree with review 40; seq 222 bid: agree with review 40; seq 1837 child: correct to SATIN-4PC-KING-DARK GREEN (and/or SATIN-4PC-FULL-…; seq 2940 rename CHANGE; our addition: standard → Conversions (colour term "green satin sheets")</t>
        </is>
      </c>
      <c r="AL99" s="22" t="n"/>
    </row>
    <row r="100">
      <c r="A100" s="2" t="inlineStr">
        <is>
          <t>245425710999426</t>
        </is>
      </c>
      <c r="B100" s="2" t="inlineStr">
        <is>
          <t>D-S4-queen satin sheet set - [Satin|Queen] - Broad - Disc - DO - SATIN-QUEEN-GREY</t>
        </is>
      </c>
      <c r="C100" s="2" t="inlineStr">
        <is>
          <t>queen satin sheet set [broad]</t>
        </is>
      </c>
      <c r="D100" s="2" t="inlineStr">
        <is>
          <t>—</t>
        </is>
      </c>
      <c r="E100" s="2" t="inlineStr">
        <is>
          <t>ENABLED</t>
        </is>
      </c>
      <c r="F100" s="2" t="inlineStr">
        <is>
          <t>Discovery</t>
        </is>
      </c>
      <c r="G100" s="2" t="inlineStr">
        <is>
          <t>Discovery</t>
        </is>
      </c>
      <c r="H100" s="2" t="inlineStr">
        <is>
          <t>Satin|Queen</t>
        </is>
      </c>
      <c r="I100" s="2" t="inlineStr">
        <is>
          <t>Broad</t>
        </is>
      </c>
      <c r="J100" s="2" t="inlineStr">
        <is>
          <t>SATIN-QUEEN-GREY</t>
        </is>
      </c>
      <c r="K100" s="2" t="inlineStr">
        <is>
          <t>SATIN-QUEEN-GREY</t>
        </is>
      </c>
      <c r="L100" s="2" t="inlineStr">
        <is>
          <t>n/a (no target bid in audit)</t>
        </is>
      </c>
      <c r="M100" s="2" t="inlineStr">
        <is>
          <t>n/a</t>
        </is>
      </c>
      <c r="N100" s="2" t="n">
        <v>0</v>
      </c>
      <c r="O100" s="2" t="n">
        <v>0</v>
      </c>
      <c r="P100" s="21" t="n"/>
      <c r="Q100" s="21" t="n"/>
      <c r="R100" s="2" t="n"/>
      <c r="S100" s="2" t="n"/>
      <c r="T100" s="2" t="n"/>
      <c r="U100" s="2" t="n"/>
      <c r="V100" s="21" t="n">
        <v>10</v>
      </c>
      <c r="W100" s="21" t="n">
        <v>10</v>
      </c>
      <c r="X100" s="2" t="inlineStr">
        <is>
          <t>ENABLED</t>
        </is>
      </c>
      <c r="Y100" s="2" t="inlineStr">
        <is>
          <t>add 2 negatives minus the "white satin sheet set queen" wall (seq 2265) · add negative exact: silk sheets queen; satin sheets; silk sheets; satin sheets queen size; queen satin sheet set; silk queen bed sheets set</t>
        </is>
      </c>
      <c r="Z100" s="2" t="inlineStr">
        <is>
          <t>none</t>
        </is>
      </c>
      <c r="AA100" s="21" t="n">
        <v>33.24</v>
      </c>
      <c r="AB100" s="2" t="n">
        <v>44</v>
      </c>
      <c r="AC100" s="2" t="n">
        <v>9</v>
      </c>
      <c r="AD100" s="2" t="n">
        <v>13.7</v>
      </c>
      <c r="AE100" s="2" t="n">
        <v>0</v>
      </c>
      <c r="AF100" s="2" t="n">
        <v>6.82</v>
      </c>
      <c r="AG100" s="2" t="n">
        <v>12</v>
      </c>
      <c r="AH100" s="2" t="inlineStr">
        <is>
          <t>No change</t>
        </is>
      </c>
      <c r="AI100" s="22" t="inlineStr">
        <is>
          <t>Keep enabled (fold held)</t>
        </is>
      </c>
      <c r="AJ100" s="22" t="inlineStr">
        <is>
          <t>13.7% ACoS on 9 orders / 44 clicks (CC 31 Aug–29 Sep). The survivors are smaller (e.g. 2849: 215 orders folded into a 14-order survivor, 90d). 2857 repeats review 28's 2868.</t>
        </is>
      </c>
      <c r="AK100" s="2" t="inlineStr">
        <is>
          <t>seq 2265 negatives: correct: drop the "white satin sheet set queen" wall; seq 2851 structure: hold (agree)</t>
        </is>
      </c>
      <c r="AL100" s="22" t="n"/>
    </row>
    <row r="101">
      <c r="A101" s="2" t="inlineStr">
        <is>
          <t>144410759378538</t>
        </is>
      </c>
      <c r="B101" s="2" t="inlineStr">
        <is>
          <t>D-S4-queen bed sheets satin - [Satin|Queen] - Exact - Ran - DO - SATIN-QUEEN-BLACK</t>
        </is>
      </c>
      <c r="C101" s="2" t="inlineStr">
        <is>
          <t>queen bed sheets satin [exact]</t>
        </is>
      </c>
      <c r="D101" s="2" t="inlineStr">
        <is>
          <t>—</t>
        </is>
      </c>
      <c r="E101" s="2" t="inlineStr">
        <is>
          <t>ENABLED</t>
        </is>
      </c>
      <c r="F101" s="2" t="inlineStr">
        <is>
          <t>Ranking</t>
        </is>
      </c>
      <c r="G101" s="2" t="inlineStr">
        <is>
          <t>Ranking</t>
        </is>
      </c>
      <c r="H101" s="2" t="inlineStr">
        <is>
          <t>Satin|Queen</t>
        </is>
      </c>
      <c r="I101" s="2" t="inlineStr">
        <is>
          <t>Exact</t>
        </is>
      </c>
      <c r="J101" s="2" t="inlineStr">
        <is>
          <t>SATIN-QUEEN-BLACK</t>
        </is>
      </c>
      <c r="K101" s="2" t="inlineStr">
        <is>
          <t>SATIN-QUEEN-BLACK</t>
        </is>
      </c>
      <c r="L101" s="2" t="inlineStr">
        <is>
          <t>n/a (no target bid in audit)</t>
        </is>
      </c>
      <c r="M101" s="2" t="inlineStr">
        <is>
          <t>n/a</t>
        </is>
      </c>
      <c r="N101" s="2" t="n">
        <v>50</v>
      </c>
      <c r="O101" s="2" t="n">
        <v>50</v>
      </c>
      <c r="P101" s="21" t="n"/>
      <c r="Q101" s="21" t="n"/>
      <c r="R101" s="2" t="n"/>
      <c r="S101" s="2" t="n"/>
      <c r="T101" s="2" t="n"/>
      <c r="U101" s="2" t="n"/>
      <c r="V101" s="21" t="n">
        <v>13.11</v>
      </c>
      <c r="W101" s="21" t="n">
        <v>13.11</v>
      </c>
      <c r="X101" s="2" t="inlineStr">
        <is>
          <t>ENABLED</t>
        </is>
      </c>
      <c r="Y101" s="2" t="inlineStr">
        <is>
          <t>none</t>
        </is>
      </c>
      <c r="Z101" s="2" t="inlineStr">
        <is>
          <t>defer — engine name wrong (SKU token SATIN-QUEEN-BLACK); load a corrected name after 28 Oct</t>
        </is>
      </c>
      <c r="AA101" s="21" t="n">
        <v>32.68</v>
      </c>
      <c r="AB101" s="2" t="n">
        <v>13</v>
      </c>
      <c r="AC101" s="2" t="n">
        <v>5</v>
      </c>
      <c r="AD101" s="2" t="n">
        <v>20.7</v>
      </c>
      <c r="AE101" s="2" t="n">
        <v>92.31</v>
      </c>
      <c r="AF101" s="2" t="n">
        <v>0</v>
      </c>
      <c r="AG101" s="2" t="n">
        <v>10</v>
      </c>
      <c r="AH101" s="2" t="inlineStr">
        <is>
          <t>No change (engine move rejected/held)</t>
        </is>
      </c>
      <c r="AI101" s="22" t="inlineStr">
        <is>
          <t>No change (reject engine child swap seq 1831; defer engine rename)</t>
        </is>
      </c>
      <c r="AJ101" s="22" t="inlineStr">
        <is>
          <t>Engine swap SATIN-QUEEN-BLACK → SATIN-4PCS-QUEEN-STONE-GREY rejected: the pick comes from the broken size map, and SATIN-QUEEN-BLACK is the size's best seller with cover (SB 30 Aug–29 Sep); the engine rename writes a wrong token and is deferred; 20.7% ACoS on 5 orders / 13 clicks (CC 31 Aug–29 Sep).</t>
        </is>
      </c>
      <c r="AK101" s="2" t="inlineStr">
        <is>
          <t>seq 1831 child: reject — keep SATIN-QUEEN-BLACK; seq 2094 retag LOAD; seq 2929 rename CHANGE</t>
        </is>
      </c>
      <c r="AL101" s="22" t="n"/>
    </row>
    <row r="102">
      <c r="A102" s="2" t="inlineStr">
        <is>
          <t>46848658718888</t>
        </is>
      </c>
      <c r="B102" s="2" t="inlineStr">
        <is>
          <t>High LTSF Charge SKUS - Automatic - USA</t>
        </is>
      </c>
      <c r="C102" s="2" t="inlineStr">
        <is>
          <t>Auto: close-match; loose-match; substitutes</t>
        </is>
      </c>
      <c r="D102" s="2" t="inlineStr">
        <is>
          <t>—</t>
        </is>
      </c>
      <c r="E102" s="2" t="inlineStr">
        <is>
          <t>PAUSED</t>
        </is>
      </c>
      <c r="F102" s="2" t="inlineStr">
        <is>
          <t>Liquidation</t>
        </is>
      </c>
      <c r="G102" s="2" t="inlineStr">
        <is>
          <t>Liquidation</t>
        </is>
      </c>
      <c r="H102" s="2" t="n"/>
      <c r="I102" s="2" t="inlineStr">
        <is>
          <t>Auto</t>
        </is>
      </c>
      <c r="J102" s="2" t="inlineStr">
        <is>
          <t>SATIN-TWIN-GREY</t>
        </is>
      </c>
      <c r="K102" s="2" t="inlineStr">
        <is>
          <t>SATIN-TWIN-GREY</t>
        </is>
      </c>
      <c r="L102" s="2" t="inlineStr">
        <is>
          <t>n/a (no target bid in audit)</t>
        </is>
      </c>
      <c r="M102" s="2" t="inlineStr">
        <is>
          <t>n/a</t>
        </is>
      </c>
      <c r="N102" s="2" t="n">
        <v>0</v>
      </c>
      <c r="O102" s="2" t="n">
        <v>0</v>
      </c>
      <c r="P102" s="21" t="n"/>
      <c r="Q102" s="21" t="n"/>
      <c r="R102" s="2" t="n"/>
      <c r="S102" s="2" t="n"/>
      <c r="T102" s="2" t="n"/>
      <c r="U102" s="2" t="n"/>
      <c r="V102" s="21" t="n">
        <v>20</v>
      </c>
      <c r="W102" s="21" t="n">
        <v>20</v>
      </c>
      <c r="X102" s="2" t="inlineStr">
        <is>
          <t>PAUSED</t>
        </is>
      </c>
      <c r="Y102" s="2" t="inlineStr">
        <is>
          <t>none</t>
        </is>
      </c>
      <c r="Z102" s="2" t="inlineStr">
        <is>
          <t>none</t>
        </is>
      </c>
      <c r="AA102" s="21" t="n">
        <v>30.62</v>
      </c>
      <c r="AB102" s="2" t="n">
        <v>67</v>
      </c>
      <c r="AC102" s="2" t="n">
        <v>3</v>
      </c>
      <c r="AD102" s="2" t="n">
        <v>31.9</v>
      </c>
      <c r="AE102" s="2" t="n">
        <v>11.94</v>
      </c>
      <c r="AF102" s="2" t="n">
        <v>41.79</v>
      </c>
      <c r="AG102" s="2" t="n">
        <v>144</v>
      </c>
      <c r="AH102" s="2" t="inlineStr">
        <is>
          <t>No change</t>
        </is>
      </c>
      <c r="AI102" s="22" t="inlineStr">
        <is>
          <t>Keep paused</t>
        </is>
      </c>
      <c r="AJ102" s="22" t="inlineStr">
        <is>
          <t>No run decision and no issue found; 31.9% ACoS on 3 orders / 67 clicks (CC 31 Aug–29 Sep).</t>
        </is>
      </c>
      <c r="AK102" s="2" t="inlineStr">
        <is>
          <t>no run decision</t>
        </is>
      </c>
      <c r="AL102" s="22" t="n"/>
    </row>
    <row r="103">
      <c r="A103" s="2" t="inlineStr">
        <is>
          <t>199606181244375</t>
        </is>
      </c>
      <c r="B103" s="2" t="inlineStr">
        <is>
          <t>D-S4-purple satin sheets - [Satin] - Exact - Ran - DO - SATIN-QUEEN-PURPLE</t>
        </is>
      </c>
      <c r="C103" s="2" t="inlineStr">
        <is>
          <t>purple satin sheets [exact]</t>
        </is>
      </c>
      <c r="D103" s="2" t="inlineStr">
        <is>
          <t>whole campaign</t>
        </is>
      </c>
      <c r="E103" s="2" t="inlineStr">
        <is>
          <t>ENABLED</t>
        </is>
      </c>
      <c r="F103" s="2" t="inlineStr">
        <is>
          <t>Ranking</t>
        </is>
      </c>
      <c r="G103" s="2" t="inlineStr">
        <is>
          <t>Conversions</t>
        </is>
      </c>
      <c r="H103" s="2" t="inlineStr">
        <is>
          <t>Satin</t>
        </is>
      </c>
      <c r="I103" s="2" t="inlineStr">
        <is>
          <t>Exact</t>
        </is>
      </c>
      <c r="J103" s="2" t="inlineStr">
        <is>
          <t>SATIN-QUEEN-PURPLE</t>
        </is>
      </c>
      <c r="K103" s="2" t="inlineStr">
        <is>
          <t>SATIN-QUEEN-PURPLE</t>
        </is>
      </c>
      <c r="L103" s="2" t="inlineStr">
        <is>
          <t>n/a (no target bid in audit)</t>
        </is>
      </c>
      <c r="M103" s="2" t="inlineStr">
        <is>
          <t>n/a</t>
        </is>
      </c>
      <c r="N103" s="2" t="n">
        <v>50</v>
      </c>
      <c r="O103" s="2" t="n">
        <v>50</v>
      </c>
      <c r="P103" s="21" t="n"/>
      <c r="Q103" s="21" t="n"/>
      <c r="R103" s="2" t="n"/>
      <c r="S103" s="2" t="n"/>
      <c r="T103" s="2" t="n"/>
      <c r="U103" s="2" t="n"/>
      <c r="V103" s="21" t="n">
        <v>5.28</v>
      </c>
      <c r="W103" s="21" t="n">
        <v>5.28</v>
      </c>
      <c r="X103" s="2" t="inlineStr">
        <is>
          <t>ENABLED</t>
        </is>
      </c>
      <c r="Y103" s="2" t="inlineStr">
        <is>
          <t>none</t>
        </is>
      </c>
      <c r="Z103" s="2" t="inlineStr">
        <is>
          <t>defer — engine name wrong ((Conversion)); load a corrected name after 28 Oct</t>
        </is>
      </c>
      <c r="AA103" s="21" t="n">
        <v>30.58</v>
      </c>
      <c r="AB103" s="2" t="n">
        <v>32</v>
      </c>
      <c r="AC103" s="2" t="n">
        <v>4</v>
      </c>
      <c r="AD103" s="2" t="n">
        <v>24.3</v>
      </c>
      <c r="AE103" s="2" t="n">
        <v>50</v>
      </c>
      <c r="AF103" s="2" t="n">
        <v>50</v>
      </c>
      <c r="AG103" s="2" t="n">
        <v>18</v>
      </c>
      <c r="AH103" s="2" t="inlineStr">
        <is>
          <t>Retag only</t>
        </is>
      </c>
      <c r="AI103" s="22" t="inlineStr">
        <is>
          <t>retag → Conversions</t>
        </is>
      </c>
      <c r="AJ103" s="22" t="inlineStr">
        <is>
          <t>Objective Ranking → Conversions by the standard (our retag verdict); 24.3% ACoS on 4 orders / 32 clicks (CC 31 Aug–29 Sep).</t>
        </is>
      </c>
      <c r="AK103" s="2" t="inlineStr">
        <is>
          <t>seq 2106 retag correct to Conversions; seq 2951 rename CHANGE</t>
        </is>
      </c>
      <c r="AL103" s="22" t="n"/>
    </row>
    <row r="104">
      <c r="A104" s="2" t="inlineStr">
        <is>
          <t>179865095197860</t>
        </is>
      </c>
      <c r="B104" s="2" t="inlineStr">
        <is>
          <t>D-S4-satin queen sheets - [Satin|Queen] - Exact - Ran - DO - SATIN-QUEEN-BLACK</t>
        </is>
      </c>
      <c r="C104" s="2" t="inlineStr">
        <is>
          <t>satin queen sheets [exact]</t>
        </is>
      </c>
      <c r="D104" s="2" t="inlineStr">
        <is>
          <t>whole campaign</t>
        </is>
      </c>
      <c r="E104" s="2" t="inlineStr">
        <is>
          <t>PAUSED</t>
        </is>
      </c>
      <c r="F104" s="2" t="inlineStr">
        <is>
          <t>Ranking</t>
        </is>
      </c>
      <c r="G104" s="2" t="inlineStr">
        <is>
          <t>Ranking</t>
        </is>
      </c>
      <c r="H104" s="2" t="inlineStr">
        <is>
          <t>Satin|Queen</t>
        </is>
      </c>
      <c r="I104" s="2" t="inlineStr">
        <is>
          <t>Exact</t>
        </is>
      </c>
      <c r="J104" s="2" t="inlineStr">
        <is>
          <t>SATIN-QUEEN-BLACK</t>
        </is>
      </c>
      <c r="K104" s="2" t="inlineStr">
        <is>
          <t>SATIN-QUEEN-BLACK</t>
        </is>
      </c>
      <c r="L104" s="2" t="inlineStr">
        <is>
          <t>n/a (no target bid in audit)</t>
        </is>
      </c>
      <c r="M104" s="2" t="inlineStr">
        <is>
          <t>n/a</t>
        </is>
      </c>
      <c r="N104" s="2" t="n">
        <v>30</v>
      </c>
      <c r="O104" s="2" t="n">
        <v>30</v>
      </c>
      <c r="P104" s="21" t="n"/>
      <c r="Q104" s="21" t="n"/>
      <c r="R104" s="2" t="n"/>
      <c r="S104" s="2" t="n"/>
      <c r="T104" s="2" t="n"/>
      <c r="U104" s="2" t="n"/>
      <c r="V104" s="21" t="n">
        <v>12.89</v>
      </c>
      <c r="W104" s="21" t="n">
        <v>12.89</v>
      </c>
      <c r="X104" s="2" t="inlineStr">
        <is>
          <t>PAUSED</t>
        </is>
      </c>
      <c r="Y104" s="2" t="inlineStr">
        <is>
          <t>none</t>
        </is>
      </c>
      <c r="Z104" s="2" t="inlineStr">
        <is>
          <t>load (clean): DSS4-SP-Satin Queen Sheets-[Satin|Queen]-(LSV)-Exact-(Ranking)-DO-SATIN-QUEEN-BLACK</t>
        </is>
      </c>
      <c r="AA104" s="21" t="n">
        <v>30.25</v>
      </c>
      <c r="AB104" s="2" t="n">
        <v>14</v>
      </c>
      <c r="AC104" s="2" t="n">
        <v>1</v>
      </c>
      <c r="AD104" s="2" t="n">
        <v>94.7</v>
      </c>
      <c r="AE104" s="2" t="n">
        <v>100</v>
      </c>
      <c r="AF104" s="2" t="n">
        <v>0</v>
      </c>
      <c r="AG104" s="2" t="n">
        <v>14</v>
      </c>
      <c r="AH104" s="2" t="inlineStr">
        <is>
          <t>Keep paused</t>
        </is>
      </c>
      <c r="AI104" s="22" t="inlineStr">
        <is>
          <t>Keep paused (reject revive)</t>
        </is>
      </c>
      <c r="AJ104" s="22" t="inlineStr">
        <is>
          <t>94.7% ACoS on 1 orders / 14 clicks (CC 31 Aug–29 Sep). Revive rejected: 51% ACoS over 90 days, 94.7% over 30.</t>
        </is>
      </c>
      <c r="AK104" s="2" t="inlineStr">
        <is>
          <t>seq 2135 retag LOAD; seq 2834 structure: hold; seq 3014 rename LOAD</t>
        </is>
      </c>
      <c r="AL104" s="22" t="n"/>
    </row>
    <row r="105">
      <c r="A105" s="2" t="inlineStr">
        <is>
          <t>48241954355043</t>
        </is>
      </c>
      <c r="B105" s="2" t="inlineStr">
        <is>
          <t>D-S4-sage green silk sheets - [Silk] - Exact - Ran - DO - SATIN-4PC-QUEEN-SAGE GREEN</t>
        </is>
      </c>
      <c r="C105" s="2" t="inlineStr">
        <is>
          <t>sage green silk sheets [exact]</t>
        </is>
      </c>
      <c r="D105" s="2" t="inlineStr">
        <is>
          <t>whole campaign</t>
        </is>
      </c>
      <c r="E105" s="2" t="inlineStr">
        <is>
          <t>PAUSED</t>
        </is>
      </c>
      <c r="F105" s="2" t="inlineStr">
        <is>
          <t>Ranking</t>
        </is>
      </c>
      <c r="G105" s="2" t="inlineStr">
        <is>
          <t>Conversions</t>
        </is>
      </c>
      <c r="H105" s="2" t="inlineStr">
        <is>
          <t>Silk</t>
        </is>
      </c>
      <c r="I105" s="2" t="inlineStr">
        <is>
          <t>Exact</t>
        </is>
      </c>
      <c r="J105" s="2" t="inlineStr">
        <is>
          <t>SATIN-4PC-FULL-SAGE GREEN</t>
        </is>
      </c>
      <c r="K105" s="2" t="inlineStr">
        <is>
          <t>SATIN-4PC-FULL-SAGE GREEN</t>
        </is>
      </c>
      <c r="L105" s="2" t="inlineStr">
        <is>
          <t>n/a (no target bid in audit)</t>
        </is>
      </c>
      <c r="M105" s="2" t="inlineStr">
        <is>
          <t>n/a</t>
        </is>
      </c>
      <c r="N105" s="2" t="n">
        <v>50</v>
      </c>
      <c r="O105" s="2" t="n">
        <v>50</v>
      </c>
      <c r="P105" s="21" t="n"/>
      <c r="Q105" s="21" t="n"/>
      <c r="R105" s="2" t="n"/>
      <c r="S105" s="2" t="n"/>
      <c r="T105" s="2" t="n"/>
      <c r="U105" s="2" t="n"/>
      <c r="V105" s="21" t="n">
        <v>7.03</v>
      </c>
      <c r="W105" s="21" t="n">
        <v>7.03</v>
      </c>
      <c r="X105" s="2" t="inlineStr">
        <is>
          <t>PAUSED</t>
        </is>
      </c>
      <c r="Y105" s="2" t="inlineStr">
        <is>
          <t>none</t>
        </is>
      </c>
      <c r="Z105" s="2" t="inlineStr">
        <is>
          <t>defer — engine name wrong ((Conversion)); load a corrected name after 28 Oct</t>
        </is>
      </c>
      <c r="AA105" s="21" t="n">
        <v>29.16</v>
      </c>
      <c r="AB105" s="2" t="n">
        <v>24</v>
      </c>
      <c r="AC105" s="2" t="n">
        <v>1</v>
      </c>
      <c r="AD105" s="2" t="n">
        <v>97.40000000000001</v>
      </c>
      <c r="AE105" s="2" t="n">
        <v>12.5</v>
      </c>
      <c r="AF105" s="2" t="n">
        <v>83.33</v>
      </c>
      <c r="AG105" s="2" t="n">
        <v>5</v>
      </c>
      <c r="AH105" s="2" t="inlineStr">
        <is>
          <t>Retag only</t>
        </is>
      </c>
      <c r="AI105" s="22" t="inlineStr">
        <is>
          <t>retag → Conversions</t>
        </is>
      </c>
      <c r="AJ105" s="22" t="inlineStr">
        <is>
          <t>Objective Ranking → Conversions by the standard (our retag verdict); 97.4% ACoS on 1 orders / 24 clicks (CC 31 Aug–29 Sep).</t>
        </is>
      </c>
      <c r="AK105" s="2" t="inlineStr">
        <is>
          <t>seq 2123 retag correct to Conversions; seq 2984 rename CHANGE</t>
        </is>
      </c>
      <c r="AL105" s="22" t="n"/>
    </row>
    <row r="106">
      <c r="A106" s="2" t="inlineStr">
        <is>
          <t>120561743176244</t>
        </is>
      </c>
      <c r="B106" s="2" t="inlineStr">
        <is>
          <t>D-S4-pink satin sheets - [Satin] - Broad - Disc - DO - SATIN-4PCS-FULL-STRIPE-PINK</t>
        </is>
      </c>
      <c r="C106" s="2" t="inlineStr">
        <is>
          <t>pink satin sheets [broad, $0.60]; pink satin sheets [broad, $0.60]</t>
        </is>
      </c>
      <c r="D106" s="2" t="inlineStr">
        <is>
          <t>pink satin sheets</t>
        </is>
      </c>
      <c r="E106" s="2" t="inlineStr">
        <is>
          <t>ENABLED</t>
        </is>
      </c>
      <c r="F106" s="2" t="inlineStr">
        <is>
          <t>Discovery</t>
        </is>
      </c>
      <c r="G106" s="2" t="inlineStr">
        <is>
          <t>Discovery</t>
        </is>
      </c>
      <c r="H106" s="2" t="inlineStr">
        <is>
          <t>Satin</t>
        </is>
      </c>
      <c r="I106" s="2" t="inlineStr">
        <is>
          <t>Broad</t>
        </is>
      </c>
      <c r="J106" s="2" t="inlineStr">
        <is>
          <t>SATIN-QUEEN-PINK</t>
        </is>
      </c>
      <c r="K106" s="2" t="inlineStr">
        <is>
          <t>SATIN-QUEEN-PINK</t>
        </is>
      </c>
      <c r="L106" s="2" t="inlineStr">
        <is>
          <t>$0.60</t>
        </is>
      </c>
      <c r="M106" s="2" t="inlineStr">
        <is>
          <t>$0.57</t>
        </is>
      </c>
      <c r="N106" s="2" t="n">
        <v>0</v>
      </c>
      <c r="O106" s="2" t="n">
        <v>0</v>
      </c>
      <c r="P106" s="21" t="n">
        <v>0.6</v>
      </c>
      <c r="Q106" s="21" t="n">
        <v>0.57</v>
      </c>
      <c r="R106" s="2" t="n"/>
      <c r="S106" s="2" t="n"/>
      <c r="T106" s="2" t="n"/>
      <c r="U106" s="2" t="n"/>
      <c r="V106" s="21" t="n">
        <v>10</v>
      </c>
      <c r="W106" s="21" t="n">
        <v>10</v>
      </c>
      <c r="X106" s="2" t="inlineStr">
        <is>
          <t>ENABLED</t>
        </is>
      </c>
      <c r="Y106" s="2" t="inlineStr">
        <is>
          <t>hold seq 1795 (terms not named) · add negative exact: satin sheets queen size; queen satin sheet set</t>
        </is>
      </c>
      <c r="Z106" s="2" t="inlineStr">
        <is>
          <t>load (clean): DSS4-SP-Pink Satin Sheets-[Satin]-(MSV)-Broad-(Discovery)-DO-SATIN-QUEEN-PINK</t>
        </is>
      </c>
      <c r="AA106" s="21" t="n">
        <v>28.9</v>
      </c>
      <c r="AB106" s="2" t="n">
        <v>49</v>
      </c>
      <c r="AC106" s="2" t="n">
        <v>4</v>
      </c>
      <c r="AD106" s="2" t="n">
        <v>24.4</v>
      </c>
      <c r="AE106" s="2" t="n">
        <v>4.08</v>
      </c>
      <c r="AF106" s="2" t="n">
        <v>71.43000000000001</v>
      </c>
      <c r="AG106" s="2" t="n">
        <v>14</v>
      </c>
      <c r="AH106" s="2" t="inlineStr">
        <is>
          <t>Release hold + price to break-even</t>
        </is>
      </c>
      <c r="AI106" s="22" t="inlineStr">
        <is>
          <t>Release hold; cut base $0.60 → $0.57</t>
        </is>
      </c>
      <c r="AJ106" s="22" t="inlineStr">
        <is>
          <t>24.4% ACoS, 4 orders on 49 clicks (CC 31 Aug–29 Sep) vs blended (other colour) break-even 23.3%; BE base = $7.02 contribution (blended (other colour)) × 8.2% CVR = $0.57; cap 25% cut.</t>
        </is>
      </c>
      <c r="AK106" s="2" t="inlineStr">
        <is>
          <t>seq 1795 negatives: flag: unverifiable; seq 2982 rename LOAD; seq 1749 NOT SERVING hold(s) → release; price to break-even (our addition, reviewer D)</t>
        </is>
      </c>
      <c r="AL106" s="22" t="n"/>
    </row>
    <row r="107">
      <c r="A107" s="2" t="inlineStr">
        <is>
          <t>119253927903556</t>
        </is>
      </c>
      <c r="B107" s="2" t="inlineStr">
        <is>
          <t>D-S4-SP-gold silk sheets-(Silk)-MSV-Exact-Rank-DO-SATIN-GOLD-QUEEN</t>
        </is>
      </c>
      <c r="C107" s="2" t="inlineStr">
        <is>
          <t>gold silk sheets [exact, $0.59, 25 clicks]</t>
        </is>
      </c>
      <c r="D107" s="2" t="inlineStr">
        <is>
          <t>gold silk sheets</t>
        </is>
      </c>
      <c r="E107" s="2" t="inlineStr">
        <is>
          <t>ENABLED</t>
        </is>
      </c>
      <c r="F107" s="2" t="inlineStr">
        <is>
          <t>Ranking</t>
        </is>
      </c>
      <c r="G107" s="2" t="inlineStr">
        <is>
          <t>Conversions</t>
        </is>
      </c>
      <c r="H107" s="2" t="inlineStr">
        <is>
          <t>OUT</t>
        </is>
      </c>
      <c r="I107" s="2" t="inlineStr">
        <is>
          <t>Exact</t>
        </is>
      </c>
      <c r="J107" s="2" t="inlineStr">
        <is>
          <t>SATIN-GOLD-QUEEN</t>
        </is>
      </c>
      <c r="K107" s="2" t="inlineStr">
        <is>
          <t>SATIN-GOLD-QUEEN</t>
        </is>
      </c>
      <c r="L107" s="2" t="inlineStr">
        <is>
          <t>$0.59</t>
        </is>
      </c>
      <c r="M107" s="2" t="inlineStr">
        <is>
          <t>$0.53</t>
        </is>
      </c>
      <c r="N107" s="2" t="n">
        <v>170</v>
      </c>
      <c r="O107" s="2" t="n">
        <v>155</v>
      </c>
      <c r="P107" s="21" t="n">
        <v>1.59</v>
      </c>
      <c r="Q107" s="21" t="n">
        <v>1.35</v>
      </c>
      <c r="R107" s="2" t="n">
        <v>0</v>
      </c>
      <c r="S107" s="2" t="n">
        <v>0</v>
      </c>
      <c r="T107" s="2" t="n">
        <v>0</v>
      </c>
      <c r="U107" s="2" t="n">
        <v>0</v>
      </c>
      <c r="V107" s="21" t="n">
        <v>10</v>
      </c>
      <c r="W107" s="21" t="n">
        <v>10</v>
      </c>
      <c r="X107" s="2" t="inlineStr">
        <is>
          <t>ENABLED</t>
        </is>
      </c>
      <c r="Y107" s="2" t="inlineStr">
        <is>
          <t>none</t>
        </is>
      </c>
      <c r="Z107" s="2" t="inlineStr">
        <is>
          <t>defer — engine name wrong ((Conversion)); load a corrected name after 28 Oct</t>
        </is>
      </c>
      <c r="AA107" s="21" t="n">
        <v>26.8</v>
      </c>
      <c r="AB107" s="2" t="n">
        <v>25</v>
      </c>
      <c r="AC107" s="2" t="n">
        <v>2</v>
      </c>
      <c r="AD107" s="2" t="n">
        <v>39.5</v>
      </c>
      <c r="AE107" s="2" t="n">
        <v>64</v>
      </c>
      <c r="AF107" s="2" t="n">
        <v>32</v>
      </c>
      <c r="AG107" s="2" t="n">
        <v>9</v>
      </c>
      <c r="AH107" s="2" t="inlineStr">
        <is>
          <t>Price cut</t>
        </is>
      </c>
      <c r="AI107" s="22" t="inlineStr">
        <is>
          <t>Cut base 10% ($0.59 → $0.53); TOS 170% → 155%; retag → Conversions</t>
        </is>
      </c>
      <c r="AJ107" s="22" t="inlineStr">
        <is>
          <t>Objective Ranking → Conversions by the standard (colour term "gold silk sheets"); 39.5% ACoS on 2 orders / 25 clicks (CC 31 Aug–29 Sep).</t>
        </is>
      </c>
      <c r="AK107" s="2" t="inlineStr">
        <is>
          <t>seq 224 tos: agree with review 40; seq 227 bid: agree with review 40; seq 2944 rename CHANGE; our addition: standard → Conversions (colour term "gold silk sheets")</t>
        </is>
      </c>
      <c r="AL107" s="22" t="n"/>
    </row>
    <row r="108">
      <c r="A108" s="2" t="inlineStr">
        <is>
          <t>225253892537941</t>
        </is>
      </c>
      <c r="B108" s="2" t="inlineStr">
        <is>
          <t>D-S4-SP-silky sheets king-(Silky)-LSV-Exact-Rank-DO-SATIN-KING-BLUE</t>
        </is>
      </c>
      <c r="C108" s="2" t="inlineStr">
        <is>
          <t>silky sheets king [exact, $1.90, 9 clicks]; silky bed sheets [exact, paused, $0.73]; cooling silk sheets [exact, paused, $0.65]</t>
        </is>
      </c>
      <c r="D108" s="2" t="inlineStr">
        <is>
          <t>silky sheets king</t>
        </is>
      </c>
      <c r="E108" s="2" t="inlineStr">
        <is>
          <t>ENABLED</t>
        </is>
      </c>
      <c r="F108" s="2" t="inlineStr">
        <is>
          <t>Ranking</t>
        </is>
      </c>
      <c r="G108" s="2" t="inlineStr">
        <is>
          <t>Ranking</t>
        </is>
      </c>
      <c r="H108" s="2" t="inlineStr">
        <is>
          <t>OUT</t>
        </is>
      </c>
      <c r="I108" s="2" t="inlineStr">
        <is>
          <t>Exact</t>
        </is>
      </c>
      <c r="J108" s="2" t="inlineStr">
        <is>
          <t>SATIN-4PC-KING-GREY</t>
        </is>
      </c>
      <c r="K108" s="2" t="inlineStr">
        <is>
          <t>SATIN-4PC-KING-GREY</t>
        </is>
      </c>
      <c r="L108" s="2" t="inlineStr">
        <is>
          <t>$1.90</t>
        </is>
      </c>
      <c r="M108" s="2" t="inlineStr">
        <is>
          <t>$1.90</t>
        </is>
      </c>
      <c r="N108" s="2" t="n">
        <v>100</v>
      </c>
      <c r="O108" s="2" t="n">
        <v>100</v>
      </c>
      <c r="P108" s="21" t="n">
        <v>3.8</v>
      </c>
      <c r="Q108" s="21" t="n">
        <v>3.8</v>
      </c>
      <c r="R108" s="2" t="n">
        <v>0</v>
      </c>
      <c r="S108" s="2" t="n">
        <v>0</v>
      </c>
      <c r="T108" s="2" t="n">
        <v>0</v>
      </c>
      <c r="U108" s="2" t="n">
        <v>0</v>
      </c>
      <c r="V108" s="21" t="n">
        <v>5</v>
      </c>
      <c r="W108" s="21" t="n">
        <v>5</v>
      </c>
      <c r="X108" s="2" t="inlineStr">
        <is>
          <t>ENABLED</t>
        </is>
      </c>
      <c r="Y108" s="2" t="inlineStr">
        <is>
          <t>none</t>
        </is>
      </c>
      <c r="Z108" s="2" t="inlineStr">
        <is>
          <t>load (clean): DSS4-SP-Silky Sheets King-[Silk|King]-(VLSV)-Exact-(Ranking)-DO-SATIN-4PC-KING-GREY</t>
        </is>
      </c>
      <c r="AA108" s="21" t="n">
        <v>25.72</v>
      </c>
      <c r="AB108" s="2" t="n">
        <v>9</v>
      </c>
      <c r="AC108" s="2" t="n">
        <v>2</v>
      </c>
      <c r="AD108" s="2" t="n">
        <v>37.9</v>
      </c>
      <c r="AE108" s="2" t="n">
        <v>100</v>
      </c>
      <c r="AF108" s="2" t="n">
        <v>0</v>
      </c>
      <c r="AG108" s="2" t="n">
        <v>10</v>
      </c>
      <c r="AH108" s="2" t="inlineStr">
        <is>
          <t>Reject pause</t>
        </is>
      </c>
      <c r="AI108" s="22" t="inlineStr">
        <is>
          <t>Keep target "silky sheets king" enabled (reject pause seq 2772)</t>
        </is>
      </c>
      <c r="AJ108" s="22" t="inlineStr">
        <is>
          <t>37.9% ACoS on 2 orders / 9 clicks (CC 31 Aug–29 Sep). Circular with #1444: the survivor it names is the campaign #1444 pauses, which spent $0 in 14 days. Keep the live instance (9 clicks, 2 orders); pass #1444.</t>
        </is>
      </c>
      <c r="AK108" s="2" t="inlineStr">
        <is>
          <t>seq 2772 state: hold; seq 2963 rename LOAD</t>
        </is>
      </c>
      <c r="AL108" s="22" t="n"/>
    </row>
    <row r="109">
      <c r="A109" s="2" t="inlineStr">
        <is>
          <t>27345152937758</t>
        </is>
      </c>
      <c r="B109" s="2" t="inlineStr">
        <is>
          <t>D-S4-blue satin sheets - [Satin] - Exact - Ran - DO - SATIN-QUEEN-BLUE</t>
        </is>
      </c>
      <c r="C109" s="2" t="inlineStr">
        <is>
          <t>blue satin sheets [exact]</t>
        </is>
      </c>
      <c r="D109" s="2" t="inlineStr">
        <is>
          <t>whole campaign</t>
        </is>
      </c>
      <c r="E109" s="2" t="inlineStr">
        <is>
          <t>ENABLED</t>
        </is>
      </c>
      <c r="F109" s="2" t="inlineStr">
        <is>
          <t>Ranking</t>
        </is>
      </c>
      <c r="G109" s="2" t="inlineStr">
        <is>
          <t>Conversions</t>
        </is>
      </c>
      <c r="H109" s="2" t="inlineStr">
        <is>
          <t>Satin</t>
        </is>
      </c>
      <c r="I109" s="2" t="inlineStr">
        <is>
          <t>Exact</t>
        </is>
      </c>
      <c r="J109" s="2" t="inlineStr">
        <is>
          <t>SATIN-TWIN-BLUE</t>
        </is>
      </c>
      <c r="K109" s="2" t="inlineStr">
        <is>
          <t>SATIN-QUEEN-BLUE</t>
        </is>
      </c>
      <c r="L109" s="2" t="inlineStr">
        <is>
          <t>n/a (no target bid in audit)</t>
        </is>
      </c>
      <c r="M109" s="2" t="inlineStr">
        <is>
          <t>n/a</t>
        </is>
      </c>
      <c r="N109" s="2" t="n">
        <v>50</v>
      </c>
      <c r="O109" s="2" t="n">
        <v>50</v>
      </c>
      <c r="P109" s="21" t="n"/>
      <c r="Q109" s="21" t="n"/>
      <c r="R109" s="2" t="n"/>
      <c r="S109" s="2" t="n"/>
      <c r="T109" s="2" t="n"/>
      <c r="U109" s="2" t="n"/>
      <c r="V109" s="21" t="n">
        <v>8.279999999999999</v>
      </c>
      <c r="W109" s="21" t="n">
        <v>8.279999999999999</v>
      </c>
      <c r="X109" s="2" t="inlineStr">
        <is>
          <t>ENABLED</t>
        </is>
      </c>
      <c r="Y109" s="2" t="inlineStr">
        <is>
          <t>none</t>
        </is>
      </c>
      <c r="Z109" s="2" t="inlineStr">
        <is>
          <t>defer — engine name wrong (SKU token SATIN-TWIN-BLUE; (Conversion)); load a corrected name after 28 Oct</t>
        </is>
      </c>
      <c r="AA109" s="21" t="n">
        <v>25.4</v>
      </c>
      <c r="AB109" s="2" t="n">
        <v>17</v>
      </c>
      <c r="AC109" s="2" t="n">
        <v>0</v>
      </c>
      <c r="AD109" s="2" t="n"/>
      <c r="AE109" s="2" t="n">
        <v>58.82</v>
      </c>
      <c r="AF109" s="2" t="n">
        <v>17.65</v>
      </c>
      <c r="AG109" s="2" t="n">
        <v>19</v>
      </c>
      <c r="AH109" s="2" t="inlineStr">
        <is>
          <t>Child swap</t>
        </is>
      </c>
      <c r="AI109" s="22" t="inlineStr">
        <is>
          <t>Swap child to SATIN-QUEEN-BLUE; retag → Conversions</t>
        </is>
      </c>
      <c r="AJ109" s="22" t="inlineStr">
        <is>
          <t>no sales ACoS on 0 orders / 17 clicks (CC 31 Aug–29 Sep). Correct to SATIN-QUEEN-BLUE (seq 1842).</t>
        </is>
      </c>
      <c r="AK109" s="2" t="inlineStr">
        <is>
          <t>seq 1842 child: correct to SATIN-QUEEN-BLUE; seq 2109 retag correct to Conversions; seq 2955 rename CHANGE</t>
        </is>
      </c>
      <c r="AL109" s="22" t="n"/>
    </row>
    <row r="110">
      <c r="A110" s="2" t="inlineStr">
        <is>
          <t>111063132748170</t>
        </is>
      </c>
      <c r="B110" s="2" t="inlineStr">
        <is>
          <t>D-S4-SP-EXACT-cooling satin sheets queen-Satin|Queen-SATIN-QUEEN-BLACK</t>
        </is>
      </c>
      <c r="C110" s="2" t="inlineStr">
        <is>
          <t>cooling satin sheets queen [exact]</t>
        </is>
      </c>
      <c r="D110" s="2" t="inlineStr">
        <is>
          <t>—</t>
        </is>
      </c>
      <c r="E110" s="2" t="inlineStr">
        <is>
          <t>ENABLED</t>
        </is>
      </c>
      <c r="F110" s="2" t="inlineStr">
        <is>
          <t>Ranking</t>
        </is>
      </c>
      <c r="G110" s="2" t="inlineStr">
        <is>
          <t>Ranking</t>
        </is>
      </c>
      <c r="H110" s="2" t="n"/>
      <c r="I110" s="2" t="inlineStr">
        <is>
          <t>Exact</t>
        </is>
      </c>
      <c r="J110" s="2" t="inlineStr">
        <is>
          <t>SATIN-QUEEN-BLACK</t>
        </is>
      </c>
      <c r="K110" s="2" t="inlineStr">
        <is>
          <t>SATIN-QUEEN-BLACK</t>
        </is>
      </c>
      <c r="L110" s="2" t="inlineStr">
        <is>
          <t>n/a (no target bid in audit)</t>
        </is>
      </c>
      <c r="M110" s="2" t="inlineStr">
        <is>
          <t>n/a</t>
        </is>
      </c>
      <c r="N110" s="2" t="n">
        <v>0</v>
      </c>
      <c r="O110" s="2" t="n">
        <v>0</v>
      </c>
      <c r="P110" s="21" t="n"/>
      <c r="Q110" s="21" t="n"/>
      <c r="R110" s="2" t="n"/>
      <c r="S110" s="2" t="n"/>
      <c r="T110" s="2" t="n"/>
      <c r="U110" s="2" t="n"/>
      <c r="V110" s="21" t="n">
        <v>8.06</v>
      </c>
      <c r="W110" s="21" t="n">
        <v>8.06</v>
      </c>
      <c r="X110" s="2" t="inlineStr">
        <is>
          <t>ENABLED</t>
        </is>
      </c>
      <c r="Y110" s="2" t="inlineStr">
        <is>
          <t>none</t>
        </is>
      </c>
      <c r="Z110" s="2" t="inlineStr">
        <is>
          <t>defer — engine name wrong (SKU token SATIN-QUEEN-BLACK); load a corrected name after 28 Oct</t>
        </is>
      </c>
      <c r="AA110" s="21" t="n">
        <v>25.28</v>
      </c>
      <c r="AB110" s="2" t="n">
        <v>13</v>
      </c>
      <c r="AC110" s="2" t="n">
        <v>4</v>
      </c>
      <c r="AD110" s="2" t="n">
        <v>20.8</v>
      </c>
      <c r="AE110" s="2" t="n">
        <v>69.23</v>
      </c>
      <c r="AF110" s="2" t="n">
        <v>0</v>
      </c>
      <c r="AG110" s="2" t="n">
        <v>5</v>
      </c>
      <c r="AH110" s="2" t="inlineStr">
        <is>
          <t>No change (engine move rejected/held)</t>
        </is>
      </c>
      <c r="AI110" s="22" t="inlineStr">
        <is>
          <t>No change (reject engine child swap seq 1841; defer engine rename)</t>
        </is>
      </c>
      <c r="AJ110" s="22" t="inlineStr">
        <is>
          <t>Engine swap SATIN-QUEEN-BLACK → SATIN-4PCS-QUEEN-STONE-GREY rejected: the pick comes from the broken size map, and SATIN-QUEEN-BLACK is the size's best seller with cover (SB 30 Aug–29 Sep); the engine rename writes a wrong token and is deferred; 20.8% ACoS on 4 orders / 13 clicks (CC 31 Aug–29 Sep).</t>
        </is>
      </c>
      <c r="AK110" s="2" t="inlineStr">
        <is>
          <t>seq 1841 child: reject — keep SATIN-QUEEN-BLACK; seq 2108 retag LOAD; seq 2954 rename CHANGE</t>
        </is>
      </c>
      <c r="AL110" s="22" t="n"/>
    </row>
    <row r="111">
      <c r="A111" s="2" t="inlineStr">
        <is>
          <t>86566020622084</t>
        </is>
      </c>
      <c r="B111" s="2" t="inlineStr">
        <is>
          <t>D-S4-black satin sheets queen - [Satin|Queen] - Exact - Ran - DO - SATIN-QUEEN-BLACK</t>
        </is>
      </c>
      <c r="C111" s="2" t="inlineStr">
        <is>
          <t>black satin sheets queen [exact, $0.50, 14 clicks]</t>
        </is>
      </c>
      <c r="D111" s="2" t="inlineStr">
        <is>
          <t>whole campaign</t>
        </is>
      </c>
      <c r="E111" s="2" t="inlineStr">
        <is>
          <t>ENABLED</t>
        </is>
      </c>
      <c r="F111" s="2" t="inlineStr">
        <is>
          <t>Ranking</t>
        </is>
      </c>
      <c r="G111" s="2" t="inlineStr">
        <is>
          <t>Conversions</t>
        </is>
      </c>
      <c r="H111" s="2" t="inlineStr">
        <is>
          <t>Satin|Queen</t>
        </is>
      </c>
      <c r="I111" s="2" t="inlineStr">
        <is>
          <t>Exact</t>
        </is>
      </c>
      <c r="J111" s="2" t="inlineStr">
        <is>
          <t>SATIN-QUEEN-BLACK</t>
        </is>
      </c>
      <c r="K111" s="2" t="inlineStr">
        <is>
          <t>SATIN-QUEEN-BLACK</t>
        </is>
      </c>
      <c r="L111" s="2" t="inlineStr">
        <is>
          <t>$0.50</t>
        </is>
      </c>
      <c r="M111" s="2" t="inlineStr">
        <is>
          <t>$0.50</t>
        </is>
      </c>
      <c r="N111" s="2" t="n">
        <v>270</v>
      </c>
      <c r="O111" s="2" t="n">
        <v>270</v>
      </c>
      <c r="P111" s="21" t="n">
        <v>1.85</v>
      </c>
      <c r="Q111" s="21" t="n">
        <v>1.85</v>
      </c>
      <c r="R111" s="2" t="n">
        <v>0</v>
      </c>
      <c r="S111" s="2" t="n">
        <v>0</v>
      </c>
      <c r="T111" s="2" t="n">
        <v>0</v>
      </c>
      <c r="U111" s="2" t="n">
        <v>0</v>
      </c>
      <c r="V111" s="21" t="n">
        <v>5</v>
      </c>
      <c r="W111" s="21" t="n">
        <v>5</v>
      </c>
      <c r="X111" s="2" t="inlineStr">
        <is>
          <t>ENABLED</t>
        </is>
      </c>
      <c r="Y111" s="2" t="inlineStr">
        <is>
          <t>none</t>
        </is>
      </c>
      <c r="Z111" s="2" t="inlineStr">
        <is>
          <t>defer — engine name wrong ((Conversion)); load a corrected name after 28 Oct</t>
        </is>
      </c>
      <c r="AA111" s="21" t="n">
        <v>25.28</v>
      </c>
      <c r="AB111" s="2" t="n">
        <v>14</v>
      </c>
      <c r="AC111" s="2" t="n">
        <v>3</v>
      </c>
      <c r="AD111" s="2" t="n">
        <v>27.5</v>
      </c>
      <c r="AE111" s="2" t="n">
        <v>100</v>
      </c>
      <c r="AF111" s="2" t="n">
        <v>0</v>
      </c>
      <c r="AG111" s="2" t="n">
        <v>18</v>
      </c>
      <c r="AH111" s="2" t="inlineStr">
        <is>
          <t>Retag only</t>
        </is>
      </c>
      <c r="AI111" s="22" t="inlineStr">
        <is>
          <t>retag → Conversions</t>
        </is>
      </c>
      <c r="AJ111" s="22" t="inlineStr">
        <is>
          <t>Objective Ranking → Conversions by the standard (colour term "black satin sheets queen"); 27.5% ACoS on 3 orders / 14 clicks (CC 31 Aug–29 Sep).</t>
        </is>
      </c>
      <c r="AK111" s="2" t="inlineStr">
        <is>
          <t>seq 2958 rename CHANGE; our addition: standard → Conversions (colour term "black satin sheets queen")</t>
        </is>
      </c>
      <c r="AL111" s="22" t="n"/>
    </row>
    <row r="112">
      <c r="A112" s="2" t="inlineStr">
        <is>
          <t>50992822442833</t>
        </is>
      </c>
      <c r="B112" s="23" t="inlineStr">
        <is>
          <t>D-S4-SP-silk bed sheets full size-(Silk)-MSV-Exact-Rank-DO-SATIN-FULL-GREY</t>
        </is>
      </c>
      <c r="C112" s="2" t="inlineStr">
        <is>
          <t>silk bed sheets full size [exact, $1.28, 12 clicks]</t>
        </is>
      </c>
      <c r="D112" s="23" t="inlineStr">
        <is>
          <t>silk bed sheets full size (buys the search term: silk bed sheets full)</t>
        </is>
      </c>
      <c r="E112" s="2" t="inlineStr">
        <is>
          <t>ENABLED</t>
        </is>
      </c>
      <c r="F112" s="2" t="inlineStr">
        <is>
          <t>Ranking</t>
        </is>
      </c>
      <c r="G112" s="2" t="inlineStr">
        <is>
          <t>Ranking</t>
        </is>
      </c>
      <c r="H112" s="2" t="inlineStr">
        <is>
          <t>OUT</t>
        </is>
      </c>
      <c r="I112" s="2" t="inlineStr">
        <is>
          <t>Exact</t>
        </is>
      </c>
      <c r="J112" s="2" t="inlineStr">
        <is>
          <t>SATIN-FULL-BLACK</t>
        </is>
      </c>
      <c r="K112" s="2" t="inlineStr">
        <is>
          <t>SATIN-FULL-BLACK</t>
        </is>
      </c>
      <c r="L112" s="2" t="inlineStr">
        <is>
          <t>$1.28</t>
        </is>
      </c>
      <c r="M112" s="2" t="inlineStr">
        <is>
          <t>$1.15</t>
        </is>
      </c>
      <c r="N112" s="2" t="n">
        <v>75</v>
      </c>
      <c r="O112" s="2" t="n">
        <v>75</v>
      </c>
      <c r="P112" s="21" t="n">
        <v>2.24</v>
      </c>
      <c r="Q112" s="21" t="n">
        <v>2.01</v>
      </c>
      <c r="R112" s="2" t="n">
        <v>0</v>
      </c>
      <c r="S112" s="2" t="n">
        <v>0</v>
      </c>
      <c r="T112" s="2" t="n">
        <v>0</v>
      </c>
      <c r="U112" s="2" t="n">
        <v>0</v>
      </c>
      <c r="V112" s="21" t="n">
        <v>2</v>
      </c>
      <c r="W112" s="21" t="n">
        <v>4</v>
      </c>
      <c r="X112" s="2" t="inlineStr">
        <is>
          <t>ENABLED</t>
        </is>
      </c>
      <c r="Y112" s="2" t="inlineStr">
        <is>
          <t>none</t>
        </is>
      </c>
      <c r="Z112" s="2" t="inlineStr">
        <is>
          <t>defer — engine name wrong (SKU token SATIN-FULL-BLACK); load a corrected name after 28 Oct</t>
        </is>
      </c>
      <c r="AA112" s="21" t="n">
        <v>25.03</v>
      </c>
      <c r="AB112" s="2" t="n">
        <v>12</v>
      </c>
      <c r="AC112" s="2" t="n">
        <v>1</v>
      </c>
      <c r="AD112" s="2" t="n">
        <v>83.59999999999999</v>
      </c>
      <c r="AE112" s="2" t="n">
        <v>100</v>
      </c>
      <c r="AF112" s="2" t="n">
        <v>0</v>
      </c>
      <c r="AG112" s="2" t="n">
        <v>5</v>
      </c>
      <c r="AH112" s="2" t="inlineStr">
        <is>
          <t>Ranking push</t>
        </is>
      </c>
      <c r="AI112" s="24" t="inlineStr">
        <is>
          <t>PUSH silk bed sheets full (4 → 3): cut base 10% ($1.28 → $1.15, TOS $2.01); budget $2 → $4 (the paused Full Black owner stays paused)</t>
        </is>
      </c>
      <c r="AJ112" s="22" t="inlineStr">
        <is>
          <t>83.6% ACoS on 1 orders / 12 clicks (CC 31 Aug–29 Sep) vs Full Black break-even 27.5%; audit row loads as written (review 40 agrees).</t>
        </is>
      </c>
      <c r="AK112" s="2" t="inlineStr">
        <is>
          <t>seq 244 bid: agree with review 40; seq 1838 child: reject — keep SATIN-FULL-BLACK; seq 2945 rename CHANGE</t>
        </is>
      </c>
      <c r="AL112" s="24" t="inlineStr">
        <is>
          <t>PUSH · score 71 · 1.4 TOS clicks/day (now 1.0) · TOS $1.96–2.01 · $3/day · loss $4.49/order full price, $8.96 deal</t>
        </is>
      </c>
    </row>
    <row r="113">
      <c r="A113" s="2" t="inlineStr">
        <is>
          <t>271068025397925</t>
        </is>
      </c>
      <c r="B113" s="2" t="inlineStr">
        <is>
          <t>D-S4-SP-EXACT-satin queen size sheets-Satin|Queen-SATIN-QUEEN-BLACK</t>
        </is>
      </c>
      <c r="C113" s="2" t="inlineStr">
        <is>
          <t>satin queen size sheets [exact, $1.86]; satin queen size sheets [exact, $1.86]</t>
        </is>
      </c>
      <c r="D113" s="2" t="inlineStr">
        <is>
          <t>whole campaign</t>
        </is>
      </c>
      <c r="E113" s="2" t="inlineStr">
        <is>
          <t>PAUSED</t>
        </is>
      </c>
      <c r="F113" s="2" t="inlineStr">
        <is>
          <t>Conversions</t>
        </is>
      </c>
      <c r="G113" s="2" t="inlineStr">
        <is>
          <t>Ranking</t>
        </is>
      </c>
      <c r="H113" s="2" t="n"/>
      <c r="I113" s="2" t="inlineStr">
        <is>
          <t>Exact</t>
        </is>
      </c>
      <c r="J113" s="2" t="inlineStr">
        <is>
          <t>SATIN-QUEEN-BLACK</t>
        </is>
      </c>
      <c r="K113" s="2" t="inlineStr">
        <is>
          <t>SATIN-QUEEN-BLACK</t>
        </is>
      </c>
      <c r="L113" s="2" t="inlineStr">
        <is>
          <t>n/a (no target bid in audit)</t>
        </is>
      </c>
      <c r="M113" s="2" t="inlineStr">
        <is>
          <t>n/a</t>
        </is>
      </c>
      <c r="N113" s="2" t="n">
        <v>0</v>
      </c>
      <c r="O113" s="2" t="n">
        <v>0</v>
      </c>
      <c r="P113" s="21" t="n"/>
      <c r="Q113" s="21" t="n"/>
      <c r="R113" s="2" t="n"/>
      <c r="S113" s="2" t="n"/>
      <c r="T113" s="2" t="n"/>
      <c r="U113" s="2" t="n"/>
      <c r="V113" s="21" t="n">
        <v>8.06</v>
      </c>
      <c r="W113" s="21" t="n">
        <v>8.06</v>
      </c>
      <c r="X113" s="2" t="inlineStr">
        <is>
          <t>PAUSED</t>
        </is>
      </c>
      <c r="Y113" s="2" t="inlineStr">
        <is>
          <t>none</t>
        </is>
      </c>
      <c r="Z113" s="2" t="inlineStr">
        <is>
          <t>defer — engine name wrong ((Ranking)); load a corrected name after 28 Oct</t>
        </is>
      </c>
      <c r="AA113" s="21" t="n">
        <v>24.45</v>
      </c>
      <c r="AB113" s="2" t="n">
        <v>11</v>
      </c>
      <c r="AC113" s="2" t="n">
        <v>1</v>
      </c>
      <c r="AD113" s="2" t="n">
        <v>81.59999999999999</v>
      </c>
      <c r="AE113" s="2" t="n">
        <v>0</v>
      </c>
      <c r="AF113" s="2" t="n">
        <v>0</v>
      </c>
      <c r="AG113" s="2" t="n">
        <v>1</v>
      </c>
      <c r="AH113" s="2" t="inlineStr">
        <is>
          <t>Retag only</t>
        </is>
      </c>
      <c r="AI113" s="22" t="inlineStr">
        <is>
          <t>retag → Ranking</t>
        </is>
      </c>
      <c r="AJ113" s="22" t="inlineStr">
        <is>
          <t>Objective Conversions → Ranking by the standard (our retag verdict); 81.6% ACoS on 1 orders / 11 clicks (CC 31 Aug–29 Sep).</t>
        </is>
      </c>
      <c r="AK113" s="2" t="inlineStr">
        <is>
          <t>seq 2115 retag correct to Ranking; seq 2965 rename CHANGE</t>
        </is>
      </c>
      <c r="AL113" s="22" t="n"/>
    </row>
    <row r="114">
      <c r="A114" s="2" t="inlineStr">
        <is>
          <t>47154720857946</t>
        </is>
      </c>
      <c r="B114" s="2" t="inlineStr">
        <is>
          <t>D-S4-SP-satin queen sheet set stain resistance-(Satin)-HSV-Exact-Rank-DO-SATIN-QUEEN-GREY</t>
        </is>
      </c>
      <c r="C114" s="2" t="inlineStr">
        <is>
          <t>satin bed set queen [exact, $1.36, 12 clicks]; satin 18 inch deep pocket queen sheets [exact, $1.90]; satin deep pocket queen sheets [exact, paused, $2.84]; satin queen sheet set stain resistance [exact, $1.90]; satin sheets queen gray [exact, paused, $3.00]; satin sheets queen set sage [exact, $1.90]</t>
        </is>
      </c>
      <c r="D114" s="2" t="inlineStr">
        <is>
          <t>whole campaign</t>
        </is>
      </c>
      <c r="E114" s="2" t="inlineStr">
        <is>
          <t>PAUSED</t>
        </is>
      </c>
      <c r="F114" s="2" t="inlineStr">
        <is>
          <t>Ranking</t>
        </is>
      </c>
      <c r="G114" s="2" t="inlineStr">
        <is>
          <t>Ranking</t>
        </is>
      </c>
      <c r="H114" s="2" t="inlineStr">
        <is>
          <t>OUT</t>
        </is>
      </c>
      <c r="I114" s="2" t="inlineStr">
        <is>
          <t>Exact</t>
        </is>
      </c>
      <c r="J114" s="2" t="inlineStr">
        <is>
          <t>SATIN-QUEEN-BLACK</t>
        </is>
      </c>
      <c r="K114" s="2" t="inlineStr">
        <is>
          <t>SATIN-QUEEN-BLACK</t>
        </is>
      </c>
      <c r="L114" s="2" t="inlineStr">
        <is>
          <t>$1.36 / $1.90 / $1.90 / $1.90</t>
        </is>
      </c>
      <c r="M114" s="2" t="inlineStr">
        <is>
          <t>$1.36 / $1.90 / $1.90 / $1.90</t>
        </is>
      </c>
      <c r="N114" s="2" t="n">
        <v>70</v>
      </c>
      <c r="O114" s="2" t="n">
        <v>70</v>
      </c>
      <c r="P114" s="21" t="n">
        <v>2.31</v>
      </c>
      <c r="Q114" s="21" t="n">
        <v>2.31</v>
      </c>
      <c r="R114" s="2" t="n">
        <v>5</v>
      </c>
      <c r="S114" s="2" t="n">
        <v>5</v>
      </c>
      <c r="T114" s="2" t="n">
        <v>0</v>
      </c>
      <c r="U114" s="2" t="n">
        <v>0</v>
      </c>
      <c r="V114" s="21" t="n">
        <v>1</v>
      </c>
      <c r="W114" s="21" t="n">
        <v>1</v>
      </c>
      <c r="X114" s="2" t="inlineStr">
        <is>
          <t>PAUSED</t>
        </is>
      </c>
      <c r="Y114" s="2" t="inlineStr">
        <is>
          <t>none</t>
        </is>
      </c>
      <c r="Z114" s="2" t="inlineStr">
        <is>
          <t>load (clean): DSS4-SP-Satin Bed Set Queen-(LSV)-Exact-(Ranking)-DO-SATIN-QUEEN-BLACK</t>
        </is>
      </c>
      <c r="AA114" s="21" t="n">
        <v>24.13</v>
      </c>
      <c r="AB114" s="2" t="n">
        <v>12</v>
      </c>
      <c r="AC114" s="2" t="n">
        <v>0</v>
      </c>
      <c r="AD114" s="2" t="n"/>
      <c r="AE114" s="2" t="n">
        <v>100</v>
      </c>
      <c r="AF114" s="2" t="n">
        <v>0</v>
      </c>
      <c r="AG114" s="2" t="n">
        <v>4</v>
      </c>
      <c r="AH114" s="2" t="inlineStr">
        <is>
          <t>Rename only</t>
        </is>
      </c>
      <c r="AI114" s="22" t="inlineStr">
        <is>
          <t>Load rename only</t>
        </is>
      </c>
      <c r="AJ114" s="22" t="inlineStr">
        <is>
          <t>Clean rename (SKU token and objective match what the campaign advertises); no sales ACoS on 0 orders / 12 clicks (CC 31 Aug–29 Sep).</t>
        </is>
      </c>
      <c r="AK114" s="2" t="inlineStr">
        <is>
          <t>seq 2968 rename LOAD</t>
        </is>
      </c>
      <c r="AL114" s="22" t="n"/>
    </row>
    <row r="115">
      <c r="A115" s="2" t="inlineStr">
        <is>
          <t>176668458976065</t>
        </is>
      </c>
      <c r="B115" s="2" t="inlineStr">
        <is>
          <t>D-S4-SP-EXACT-satin bed set twin-Satin|Twin-SATIN-TWIN-BLACK-NEW</t>
        </is>
      </c>
      <c r="C115" s="2" t="inlineStr">
        <is>
          <t>satin bed set twin [exact]</t>
        </is>
      </c>
      <c r="D115" s="2" t="inlineStr">
        <is>
          <t>whole campaign</t>
        </is>
      </c>
      <c r="E115" s="2" t="inlineStr">
        <is>
          <t>ENABLED</t>
        </is>
      </c>
      <c r="F115" s="2" t="inlineStr">
        <is>
          <t>Conversions</t>
        </is>
      </c>
      <c r="G115" s="2" t="inlineStr">
        <is>
          <t>Ranking</t>
        </is>
      </c>
      <c r="H115" s="2" t="n"/>
      <c r="I115" s="2" t="inlineStr">
        <is>
          <t>Exact</t>
        </is>
      </c>
      <c r="J115" s="2" t="inlineStr">
        <is>
          <t>SATIN-TWIN-BLACK-NEW</t>
        </is>
      </c>
      <c r="K115" s="2" t="inlineStr">
        <is>
          <t>SATIN-TWIN-BLACK-NEW</t>
        </is>
      </c>
      <c r="L115" s="2" t="inlineStr">
        <is>
          <t>n/a (no target bid in audit)</t>
        </is>
      </c>
      <c r="M115" s="2" t="inlineStr">
        <is>
          <t>n/a</t>
        </is>
      </c>
      <c r="N115" s="2" t="n">
        <v>0</v>
      </c>
      <c r="O115" s="2" t="n">
        <v>0</v>
      </c>
      <c r="P115" s="21" t="n"/>
      <c r="Q115" s="21" t="n"/>
      <c r="R115" s="2" t="n"/>
      <c r="S115" s="2" t="n"/>
      <c r="T115" s="2" t="n"/>
      <c r="U115" s="2" t="n"/>
      <c r="V115" s="21" t="n">
        <v>10.83</v>
      </c>
      <c r="W115" s="21" t="n">
        <v>10.83</v>
      </c>
      <c r="X115" s="2" t="inlineStr">
        <is>
          <t>ENABLED</t>
        </is>
      </c>
      <c r="Y115" s="2" t="inlineStr">
        <is>
          <t>none</t>
        </is>
      </c>
      <c r="Z115" s="2" t="inlineStr">
        <is>
          <t>defer — engine name wrong (SKU token SATIN-TWIN-BLACK-NEW; (Ranking)); load a corrected name after 28 Oct</t>
        </is>
      </c>
      <c r="AA115" s="21" t="n">
        <v>24.08</v>
      </c>
      <c r="AB115" s="2" t="n">
        <v>10</v>
      </c>
      <c r="AC115" s="2" t="n">
        <v>2</v>
      </c>
      <c r="AD115" s="2" t="n">
        <v>43.7</v>
      </c>
      <c r="AE115" s="2" t="n">
        <v>60</v>
      </c>
      <c r="AF115" s="2" t="n">
        <v>30</v>
      </c>
      <c r="AG115" s="2" t="n">
        <v>2</v>
      </c>
      <c r="AH115" s="2" t="inlineStr">
        <is>
          <t>Retag only</t>
        </is>
      </c>
      <c r="AI115" s="22" t="inlineStr">
        <is>
          <t>retag → Ranking</t>
        </is>
      </c>
      <c r="AJ115" s="22" t="inlineStr">
        <is>
          <t>Objective Conversions → Ranking by the standard (our retag verdict); 43.7% ACoS on 2 orders / 10 clicks (CC 31 Aug–29 Sep). Note: plan move to SATIN-TWIN-GREY before 16 Oct (Twin Black 66 units, ~34 days).</t>
        </is>
      </c>
      <c r="AK115" s="2" t="inlineStr">
        <is>
          <t>seq 1857 child: reject — keep SATIN-TWIN-BLACK-NEW; seq 2127 retag correct to Ranking; seq 2991 rename CHANGE</t>
        </is>
      </c>
      <c r="AL115" s="22" t="n"/>
    </row>
    <row r="116">
      <c r="A116" s="2" t="inlineStr">
        <is>
          <t>64620070475306</t>
        </is>
      </c>
      <c r="B116" s="2" t="inlineStr">
        <is>
          <t>D-S4-silk queen bed sheets - [Silk|Queen] - Exact - Ran - DO - SATIN-QUEEN-BLACK</t>
        </is>
      </c>
      <c r="C116" s="2" t="inlineStr">
        <is>
          <t>silk queen bed sheets [exact]</t>
        </is>
      </c>
      <c r="D116" s="2" t="inlineStr">
        <is>
          <t>silk queen bed sheets</t>
        </is>
      </c>
      <c r="E116" s="2" t="inlineStr">
        <is>
          <t>ENABLED</t>
        </is>
      </c>
      <c r="F116" s="2" t="inlineStr">
        <is>
          <t>Ranking</t>
        </is>
      </c>
      <c r="G116" s="2" t="inlineStr">
        <is>
          <t>Ranking</t>
        </is>
      </c>
      <c r="H116" s="2" t="inlineStr">
        <is>
          <t>Silk|Queen</t>
        </is>
      </c>
      <c r="I116" s="2" t="inlineStr">
        <is>
          <t>Exact</t>
        </is>
      </c>
      <c r="J116" s="2" t="inlineStr">
        <is>
          <t>SATIN-QUEEN-BLACK</t>
        </is>
      </c>
      <c r="K116" s="2" t="inlineStr">
        <is>
          <t>SATIN-QUEEN-BLACK</t>
        </is>
      </c>
      <c r="L116" s="2" t="inlineStr">
        <is>
          <t>$1.46</t>
        </is>
      </c>
      <c r="M116" s="2" t="inlineStr">
        <is>
          <t>$1.16</t>
        </is>
      </c>
      <c r="N116" s="2" t="n">
        <v>30</v>
      </c>
      <c r="O116" s="2" t="n">
        <v>30</v>
      </c>
      <c r="P116" s="21" t="n">
        <v>1.9</v>
      </c>
      <c r="Q116" s="21" t="n">
        <v>1.51</v>
      </c>
      <c r="R116" s="2" t="n"/>
      <c r="S116" s="2" t="n"/>
      <c r="T116" s="2" t="n"/>
      <c r="U116" s="2" t="n"/>
      <c r="V116" s="21" t="n">
        <v>10.84</v>
      </c>
      <c r="W116" s="21" t="n">
        <v>10.84</v>
      </c>
      <c r="X116" s="2" t="inlineStr">
        <is>
          <t>ENABLED</t>
        </is>
      </c>
      <c r="Y116" s="2" t="inlineStr">
        <is>
          <t>none</t>
        </is>
      </c>
      <c r="Z116" s="2" t="inlineStr">
        <is>
          <t>defer — engine name wrong (SKU token SATIN-QUEEN-BLACK); load a corrected name after 28 Oct</t>
        </is>
      </c>
      <c r="AA116" s="21" t="n">
        <v>23.41</v>
      </c>
      <c r="AB116" s="2" t="n">
        <v>13</v>
      </c>
      <c r="AC116" s="2" t="n">
        <v>3</v>
      </c>
      <c r="AD116" s="2" t="n">
        <v>28.3</v>
      </c>
      <c r="AE116" s="2" t="n">
        <v>84.62</v>
      </c>
      <c r="AF116" s="2" t="n">
        <v>0</v>
      </c>
      <c r="AG116" s="2" t="n">
        <v>9</v>
      </c>
      <c r="AH116" s="2" t="inlineStr">
        <is>
          <t>Release hold + price to break-even</t>
        </is>
      </c>
      <c r="AI116" s="22" t="inlineStr">
        <is>
          <t>Release hold; cut base $1.46 → $1.16</t>
        </is>
      </c>
      <c r="AJ116" s="22" t="inlineStr">
        <is>
          <t>28.3% ACoS, 3 orders on 13 clicks (CC 31 Aug–29 Sep) vs Queen Black break-even 17.8%; BE base = $5.03 contribution (Queen Black) × 23.1% CVR = $1.16; cap 25% cut.</t>
        </is>
      </c>
      <c r="AK116" s="2" t="inlineStr">
        <is>
          <t>seq 1848 child: reject — keep SATIN-QUEEN-BLACK; seq 2118 retag LOAD; seq 2971 rename CHANGE; seq 1992 NOT SERVING hold(s) → release; price to break-even (our addition, reviewer D)</t>
        </is>
      </c>
      <c r="AL116" s="22" t="n"/>
    </row>
    <row r="117">
      <c r="A117" s="2" t="inlineStr">
        <is>
          <t>216174406224410</t>
        </is>
      </c>
      <c r="B117" s="2" t="inlineStr">
        <is>
          <t>SSS4-PHRASE-(satin bedsheets)-Browse Kws Migr.</t>
        </is>
      </c>
      <c r="C117" s="2" t="inlineStr">
        <is>
          <t>satin bedsheets [phrase, $0.88]; satin bedsheets [phrase, $1.38]</t>
        </is>
      </c>
      <c r="D117" s="2" t="inlineStr">
        <is>
          <t>whole campaign</t>
        </is>
      </c>
      <c r="E117" s="2" t="inlineStr">
        <is>
          <t>PAUSED</t>
        </is>
      </c>
      <c r="F117" s="2" t="inlineStr">
        <is>
          <t>Discovery</t>
        </is>
      </c>
      <c r="G117" s="2" t="inlineStr">
        <is>
          <t>Discovery</t>
        </is>
      </c>
      <c r="H117" s="2" t="n"/>
      <c r="I117" s="2" t="inlineStr">
        <is>
          <t>Phrase</t>
        </is>
      </c>
      <c r="J117" s="2" t="inlineStr">
        <is>
          <t>SATIN-QUEEN-BLACK</t>
        </is>
      </c>
      <c r="K117" s="2" t="inlineStr">
        <is>
          <t>SATIN-QUEEN-BLACK</t>
        </is>
      </c>
      <c r="L117" s="2" t="inlineStr">
        <is>
          <t>n/a (no target bid in audit)</t>
        </is>
      </c>
      <c r="M117" s="2" t="inlineStr">
        <is>
          <t>n/a</t>
        </is>
      </c>
      <c r="N117" s="2" t="n">
        <v>0</v>
      </c>
      <c r="O117" s="2" t="n">
        <v>0</v>
      </c>
      <c r="P117" s="21" t="n"/>
      <c r="Q117" s="21" t="n"/>
      <c r="R117" s="2" t="n"/>
      <c r="S117" s="2" t="n"/>
      <c r="T117" s="2" t="n"/>
      <c r="U117" s="2" t="n"/>
      <c r="V117" s="21" t="n">
        <v>5</v>
      </c>
      <c r="W117" s="21" t="n">
        <v>5</v>
      </c>
      <c r="X117" s="2" t="inlineStr">
        <is>
          <t>PAUSED</t>
        </is>
      </c>
      <c r="Y117" s="2" t="inlineStr">
        <is>
          <t>none</t>
        </is>
      </c>
      <c r="Z117" s="2" t="inlineStr">
        <is>
          <t>load (clean): DSS4-SP-Satin Bedsheets-[Satin]-(LSV)-Phrase-(Discovery)-DO-SATIN-QUEEN-BLACK</t>
        </is>
      </c>
      <c r="AA117" s="21" t="n">
        <v>23.25</v>
      </c>
      <c r="AB117" s="2" t="n">
        <v>19</v>
      </c>
      <c r="AC117" s="2" t="n">
        <v>1</v>
      </c>
      <c r="AD117" s="2" t="n">
        <v>76.59999999999999</v>
      </c>
      <c r="AE117" s="2" t="n">
        <v>42.11</v>
      </c>
      <c r="AF117" s="2" t="n">
        <v>0</v>
      </c>
      <c r="AG117" s="2" t="n">
        <v>12</v>
      </c>
      <c r="AH117" s="2" t="inlineStr">
        <is>
          <t>Rename only</t>
        </is>
      </c>
      <c r="AI117" s="22" t="inlineStr">
        <is>
          <t>Load rename only</t>
        </is>
      </c>
      <c r="AJ117" s="22" t="inlineStr">
        <is>
          <t>Clean rename (SKU token and objective match what the campaign advertises); 76.6% ACoS on 1 orders / 19 clicks (CC 31 Aug–29 Sep).</t>
        </is>
      </c>
      <c r="AK117" s="2" t="inlineStr">
        <is>
          <t>seq 2150 retag LOAD; seq 3046 rename LOAD</t>
        </is>
      </c>
      <c r="AL117" s="22" t="n"/>
    </row>
    <row r="118">
      <c r="A118" s="2" t="inlineStr">
        <is>
          <t>258750239855263</t>
        </is>
      </c>
      <c r="B118" s="2" t="inlineStr">
        <is>
          <t>D-S4-bed sheets queen size silk - [Silk|Queen] - Exact - Ran - DO - SATIN-QUEEN-BLACK</t>
        </is>
      </c>
      <c r="C118" s="2" t="inlineStr">
        <is>
          <t>bed sheets queen size silk [exact]</t>
        </is>
      </c>
      <c r="D118" s="2" t="inlineStr">
        <is>
          <t>bed sheets queen size silk</t>
        </is>
      </c>
      <c r="E118" s="2" t="inlineStr">
        <is>
          <t>ENABLED</t>
        </is>
      </c>
      <c r="F118" s="2" t="inlineStr">
        <is>
          <t>Ranking</t>
        </is>
      </c>
      <c r="G118" s="2" t="inlineStr">
        <is>
          <t>Ranking</t>
        </is>
      </c>
      <c r="H118" s="2" t="inlineStr">
        <is>
          <t>Silk|Queen</t>
        </is>
      </c>
      <c r="I118" s="2" t="inlineStr">
        <is>
          <t>Exact</t>
        </is>
      </c>
      <c r="J118" s="2" t="inlineStr">
        <is>
          <t>SATIN-QUEEN-BLACK</t>
        </is>
      </c>
      <c r="K118" s="2" t="inlineStr">
        <is>
          <t>SATIN-QUEEN-BLACK</t>
        </is>
      </c>
      <c r="L118" s="2" t="inlineStr">
        <is>
          <t>$1.43</t>
        </is>
      </c>
      <c r="M118" s="2" t="inlineStr">
        <is>
          <t>$1.07</t>
        </is>
      </c>
      <c r="N118" s="2" t="n">
        <v>50</v>
      </c>
      <c r="O118" s="2" t="n">
        <v>50</v>
      </c>
      <c r="P118" s="21" t="n">
        <v>2.15</v>
      </c>
      <c r="Q118" s="21" t="n">
        <v>1.6</v>
      </c>
      <c r="R118" s="2" t="n"/>
      <c r="S118" s="2" t="n"/>
      <c r="T118" s="2" t="n"/>
      <c r="U118" s="2" t="n"/>
      <c r="V118" s="21" t="n">
        <v>5</v>
      </c>
      <c r="W118" s="21" t="n">
        <v>5</v>
      </c>
      <c r="X118" s="2" t="inlineStr">
        <is>
          <t>ENABLED</t>
        </is>
      </c>
      <c r="Y118" s="2" t="inlineStr">
        <is>
          <t>none</t>
        </is>
      </c>
      <c r="Z118" s="2" t="inlineStr">
        <is>
          <t>defer — engine name wrong (SKU token SATIN-QUEEN-BLACK); load a corrected name after 28 Oct</t>
        </is>
      </c>
      <c r="AA118" s="21" t="n">
        <v>23.05</v>
      </c>
      <c r="AB118" s="2" t="n">
        <v>11</v>
      </c>
      <c r="AC118" s="2" t="n">
        <v>1</v>
      </c>
      <c r="AD118" s="2" t="n">
        <v>105</v>
      </c>
      <c r="AE118" s="2" t="n">
        <v>100</v>
      </c>
      <c r="AF118" s="2" t="n">
        <v>0</v>
      </c>
      <c r="AG118" s="2" t="n">
        <v>15</v>
      </c>
      <c r="AH118" s="2" t="inlineStr">
        <is>
          <t>Release hold + price to break-even</t>
        </is>
      </c>
      <c r="AI118" s="22" t="inlineStr">
        <is>
          <t>Release hold; cut base $1.43 → $1.07</t>
        </is>
      </c>
      <c r="AJ118" s="22" t="inlineStr">
        <is>
          <t>105.0% ACoS, 1 orders on 11 clicks (CC 31 Aug–29 Sep) vs Queen Black break-even 17.8%; BE base = $5.03 contribution (Queen Black) × 9.1% CVR = $0.46; cap 25% cut.</t>
        </is>
      </c>
      <c r="AK118" s="2" t="inlineStr">
        <is>
          <t>seq 1843 child: reject — keep SATIN-QUEEN-BLACK; seq 2111 retag LOAD; seq 2957 rename CHANGE; seq 1991 NOT SERVING hold(s) → release; price to break-even (our addition, reviewer D)</t>
        </is>
      </c>
      <c r="AL118" s="22" t="n"/>
    </row>
    <row r="119">
      <c r="A119" s="2" t="inlineStr">
        <is>
          <t>302124675724544</t>
        </is>
      </c>
      <c r="B119" s="2" t="inlineStr">
        <is>
          <t>BAMBOO-KING-WHITE-6PCS_SP_Exact_PAT_Defensive</t>
        </is>
      </c>
      <c r="C119" s="2" t="inlineStr">
        <is>
          <t>Product targets: B0CQ2XQF9N</t>
        </is>
      </c>
      <c r="D119" s="2" t="inlineStr">
        <is>
          <t>whole campaign</t>
        </is>
      </c>
      <c r="E119" s="2" t="inlineStr">
        <is>
          <t>ENABLED</t>
        </is>
      </c>
      <c r="F119" s="2" t="inlineStr">
        <is>
          <t>Defensive</t>
        </is>
      </c>
      <c r="G119" s="2" t="inlineStr">
        <is>
          <t>Defensive</t>
        </is>
      </c>
      <c r="H119" s="2" t="n"/>
      <c r="I119" s="2" t="inlineStr">
        <is>
          <t>ASIN</t>
        </is>
      </c>
      <c r="J119" s="2" t="inlineStr">
        <is>
          <t>SATIN-4PCS-KING-ROSEWOOD</t>
        </is>
      </c>
      <c r="K119" s="2" t="inlineStr">
        <is>
          <t>SATIN-KING-BLACK</t>
        </is>
      </c>
      <c r="L119" s="2" t="inlineStr">
        <is>
          <t>n/a (no target bid in audit)</t>
        </is>
      </c>
      <c r="M119" s="2" t="inlineStr">
        <is>
          <t>n/a</t>
        </is>
      </c>
      <c r="N119" s="2" t="n">
        <v>0</v>
      </c>
      <c r="O119" s="2" t="n">
        <v>0</v>
      </c>
      <c r="P119" s="21" t="n"/>
      <c r="Q119" s="21" t="n"/>
      <c r="R119" s="2" t="n"/>
      <c r="S119" s="2" t="n"/>
      <c r="T119" s="2" t="n"/>
      <c r="U119" s="2" t="n"/>
      <c r="V119" s="21" t="n">
        <v>20</v>
      </c>
      <c r="W119" s="21" t="n">
        <v>20</v>
      </c>
      <c r="X119" s="2" t="inlineStr">
        <is>
          <t>ENABLED</t>
        </is>
      </c>
      <c r="Y119" s="2" t="inlineStr">
        <is>
          <t>none</t>
        </is>
      </c>
      <c r="Z119" s="2" t="inlineStr">
        <is>
          <t>none</t>
        </is>
      </c>
      <c r="AA119" s="21" t="n">
        <v>22.8</v>
      </c>
      <c r="AB119" s="2" t="n">
        <v>18</v>
      </c>
      <c r="AC119" s="2" t="n">
        <v>2</v>
      </c>
      <c r="AD119" s="2" t="n">
        <v>14.7</v>
      </c>
      <c r="AE119" s="2" t="n">
        <v>27.78</v>
      </c>
      <c r="AF119" s="2" t="n">
        <v>61.11</v>
      </c>
      <c r="AG119" s="2" t="n">
        <v>4</v>
      </c>
      <c r="AH119" s="2" t="inlineStr">
        <is>
          <t>Child swap</t>
        </is>
      </c>
      <c r="AI119" s="22" t="inlineStr">
        <is>
          <t>Swap child to SATIN-KING-BLACK</t>
        </is>
      </c>
      <c r="AJ119" s="22" t="inlineStr">
        <is>
          <t>14.7% ACoS on 2 orders / 18 clicks (CC 31 Aug–29 Sep). King Rosewood has 4 units (~2 days, SB 29 Sep); King Black has 1,385.</t>
        </is>
      </c>
      <c r="AK119" s="2" t="inlineStr">
        <is>
          <t>our addition (corrections §5 / reviewer C A4)</t>
        </is>
      </c>
      <c r="AL119" s="22" t="n"/>
    </row>
    <row r="120">
      <c r="A120" s="2" t="inlineStr">
        <is>
          <t>321364120520911</t>
        </is>
      </c>
      <c r="B120" s="2" t="inlineStr">
        <is>
          <t>D-S4-SP-red silk sheet-(Silk)-LSV-Exact-Rank-DO-SATIN-RED-QUEEN</t>
        </is>
      </c>
      <c r="C120" s="2" t="inlineStr">
        <is>
          <t>red silk sheet [exact, 15 clicks]</t>
        </is>
      </c>
      <c r="D120" s="2" t="inlineStr">
        <is>
          <t>whole campaign</t>
        </is>
      </c>
      <c r="E120" s="2" t="inlineStr">
        <is>
          <t>PAUSED</t>
        </is>
      </c>
      <c r="F120" s="2" t="inlineStr">
        <is>
          <t>Ranking</t>
        </is>
      </c>
      <c r="G120" s="2" t="inlineStr">
        <is>
          <t>Conversions</t>
        </is>
      </c>
      <c r="H120" s="2" t="inlineStr">
        <is>
          <t>OUT</t>
        </is>
      </c>
      <c r="I120" s="2" t="inlineStr">
        <is>
          <t>Exact</t>
        </is>
      </c>
      <c r="J120" s="2" t="inlineStr">
        <is>
          <t>SATIN-4PC-RED-QUEEN</t>
        </is>
      </c>
      <c r="K120" s="2" t="inlineStr">
        <is>
          <t>SATIN-4PC-RED-QUEEN</t>
        </is>
      </c>
      <c r="L120" s="2" t="inlineStr">
        <is>
          <t>n/a (no target bid in audit)</t>
        </is>
      </c>
      <c r="M120" s="2" t="inlineStr">
        <is>
          <t>n/a</t>
        </is>
      </c>
      <c r="N120" s="2" t="n">
        <v>50</v>
      </c>
      <c r="O120" s="2" t="n">
        <v>50</v>
      </c>
      <c r="P120" s="21" t="n"/>
      <c r="Q120" s="21" t="n"/>
      <c r="R120" s="2" t="n">
        <v>0</v>
      </c>
      <c r="S120" s="2" t="n">
        <v>0</v>
      </c>
      <c r="T120" s="2" t="n">
        <v>0</v>
      </c>
      <c r="U120" s="2" t="n">
        <v>0</v>
      </c>
      <c r="V120" s="21" t="n">
        <v>5</v>
      </c>
      <c r="W120" s="21" t="n">
        <v>5</v>
      </c>
      <c r="X120" s="2" t="inlineStr">
        <is>
          <t>PAUSED</t>
        </is>
      </c>
      <c r="Y120" s="2" t="inlineStr">
        <is>
          <t>none</t>
        </is>
      </c>
      <c r="Z120" s="2" t="inlineStr">
        <is>
          <t>defer — engine name wrong ((Conversion)); load a corrected name after 28 Oct</t>
        </is>
      </c>
      <c r="AA120" s="21" t="n">
        <v>22.72</v>
      </c>
      <c r="AB120" s="2" t="n">
        <v>15</v>
      </c>
      <c r="AC120" s="2" t="n">
        <v>0</v>
      </c>
      <c r="AD120" s="2" t="n"/>
      <c r="AE120" s="2" t="n">
        <v>53.33</v>
      </c>
      <c r="AF120" s="2" t="n">
        <v>40</v>
      </c>
      <c r="AG120" s="2" t="n">
        <v>2</v>
      </c>
      <c r="AH120" s="2" t="inlineStr">
        <is>
          <t>Keep paused</t>
        </is>
      </c>
      <c r="AI120" s="22" t="inlineStr">
        <is>
          <t>Keep paused (reject revive); retag → Conversions</t>
        </is>
      </c>
      <c r="AJ120" s="22" t="inlineStr">
        <is>
          <t>no sales ACoS on 0 orders / 15 clicks (CC 31 Aug–29 Sep). Revive rejected: Red Queen has 34 units and runs out around 10 Oct (SB). Row 2054 pauses red-queen targeting.</t>
        </is>
      </c>
      <c r="AK120" s="2" t="inlineStr">
        <is>
          <t>seq 2820 structure: hold (agree); seq 3323 rename CHANGE; our addition: standard → Conversions (colour term "red silk sheet")</t>
        </is>
      </c>
      <c r="AL120" s="22" t="n"/>
    </row>
    <row r="121">
      <c r="A121" s="2" t="inlineStr">
        <is>
          <t>206277809154691</t>
        </is>
      </c>
      <c r="B121" s="2" t="inlineStr">
        <is>
          <t>D-S4-silk sheets and pillow cases - [Silk] - Exact - Ran - DO - SATIN-QUEEN-BLACK</t>
        </is>
      </c>
      <c r="C121" s="2" t="inlineStr">
        <is>
          <t>silk sheets and pillow cases [exact, $0.50, 13 clicks]</t>
        </is>
      </c>
      <c r="D121" s="2" t="inlineStr">
        <is>
          <t>silk sheets and pillow cases</t>
        </is>
      </c>
      <c r="E121" s="2" t="inlineStr">
        <is>
          <t>ENABLED</t>
        </is>
      </c>
      <c r="F121" s="2" t="inlineStr">
        <is>
          <t>Ranking</t>
        </is>
      </c>
      <c r="G121" s="2" t="inlineStr">
        <is>
          <t>Ranking</t>
        </is>
      </c>
      <c r="H121" s="2" t="inlineStr">
        <is>
          <t>OUT</t>
        </is>
      </c>
      <c r="I121" s="2" t="inlineStr">
        <is>
          <t>Exact</t>
        </is>
      </c>
      <c r="J121" s="2" t="inlineStr">
        <is>
          <t>SATIN-QUEEN-BLACK</t>
        </is>
      </c>
      <c r="K121" s="2" t="inlineStr">
        <is>
          <t>SATIN-QUEEN-BLACK</t>
        </is>
      </c>
      <c r="L121" s="2" t="inlineStr">
        <is>
          <t>$0.50</t>
        </is>
      </c>
      <c r="M121" s="2" t="inlineStr">
        <is>
          <t>$0.38</t>
        </is>
      </c>
      <c r="N121" s="2" t="n">
        <v>250</v>
      </c>
      <c r="O121" s="2" t="n">
        <v>250</v>
      </c>
      <c r="P121" s="21" t="n">
        <v>1.75</v>
      </c>
      <c r="Q121" s="21" t="n">
        <v>1.33</v>
      </c>
      <c r="R121" s="2" t="n">
        <v>0</v>
      </c>
      <c r="S121" s="2" t="n">
        <v>0</v>
      </c>
      <c r="T121" s="2" t="n">
        <v>0</v>
      </c>
      <c r="U121" s="2" t="n">
        <v>0</v>
      </c>
      <c r="V121" s="21" t="n">
        <v>8.19</v>
      </c>
      <c r="W121" s="21" t="n">
        <v>5</v>
      </c>
      <c r="X121" s="2" t="inlineStr">
        <is>
          <t>ENABLED</t>
        </is>
      </c>
      <c r="Y121" s="2" t="inlineStr">
        <is>
          <t>none</t>
        </is>
      </c>
      <c r="Z121" s="2" t="inlineStr">
        <is>
          <t>load (clean): DSS4-SP-Silk Sheets And Pillow Cases-(LSV)-Exact-(Ranking)-DO-SATIN-QUEEN-BLACK</t>
        </is>
      </c>
      <c r="AA121" s="21" t="n">
        <v>22.06</v>
      </c>
      <c r="AB121" s="2" t="n">
        <v>13</v>
      </c>
      <c r="AC121" s="2" t="n">
        <v>2</v>
      </c>
      <c r="AD121" s="2" t="n">
        <v>41.7</v>
      </c>
      <c r="AE121" s="2" t="n">
        <v>100</v>
      </c>
      <c r="AF121" s="2" t="n">
        <v>0</v>
      </c>
      <c r="AG121" s="2" t="n">
        <v>7</v>
      </c>
      <c r="AH121" s="2" t="inlineStr">
        <is>
          <t>Price cut</t>
        </is>
      </c>
      <c r="AI121" s="22" t="inlineStr">
        <is>
          <t>Cut base 24% ($0.50 → $0.38); Budget $8.19 → $5</t>
        </is>
      </c>
      <c r="AJ121" s="22" t="inlineStr">
        <is>
          <t>41.7% ACoS on 2 orders / 13 clicks (CC 31 Aug–29 Sep) vs Queen Black break-even 17.8%; audit row loads as written (review 40 agrees).</t>
        </is>
      </c>
      <c r="AK121" s="2" t="inlineStr">
        <is>
          <t>seq 260 budget: agree with review 40; seq 264 bid: agree with review 40; seq 2977 rename LOAD</t>
        </is>
      </c>
      <c r="AL121" s="22" t="n"/>
    </row>
    <row r="122">
      <c r="A122" s="2" t="inlineStr">
        <is>
          <t>51043125164740</t>
        </is>
      </c>
      <c r="B122" s="2" t="inlineStr">
        <is>
          <t>D-S4-SP-EXACT-queen size sheets satin-Satin|Queen-SATIN-QUEEN-BLACK</t>
        </is>
      </c>
      <c r="C122" s="2" t="inlineStr">
        <is>
          <t>queen size sheets satin [exact]</t>
        </is>
      </c>
      <c r="D122" s="2" t="inlineStr">
        <is>
          <t>whole campaign</t>
        </is>
      </c>
      <c r="E122" s="2" t="inlineStr">
        <is>
          <t>ENABLED</t>
        </is>
      </c>
      <c r="F122" s="2" t="inlineStr">
        <is>
          <t>Conversions</t>
        </is>
      </c>
      <c r="G122" s="2" t="inlineStr">
        <is>
          <t>Ranking</t>
        </is>
      </c>
      <c r="H122" s="2" t="n"/>
      <c r="I122" s="2" t="inlineStr">
        <is>
          <t>Exact</t>
        </is>
      </c>
      <c r="J122" s="2" t="inlineStr">
        <is>
          <t>SATIN-QUEEN-BLACK</t>
        </is>
      </c>
      <c r="K122" s="2" t="inlineStr">
        <is>
          <t>SATIN-QUEEN-BLACK</t>
        </is>
      </c>
      <c r="L122" s="2" t="inlineStr">
        <is>
          <t>n/a (no target bid in audit)</t>
        </is>
      </c>
      <c r="M122" s="2" t="inlineStr">
        <is>
          <t>n/a</t>
        </is>
      </c>
      <c r="N122" s="2" t="n">
        <v>0</v>
      </c>
      <c r="O122" s="2" t="n">
        <v>0</v>
      </c>
      <c r="P122" s="21" t="n"/>
      <c r="Q122" s="21" t="n"/>
      <c r="R122" s="2" t="n"/>
      <c r="S122" s="2" t="n"/>
      <c r="T122" s="2" t="n"/>
      <c r="U122" s="2" t="n"/>
      <c r="V122" s="21" t="n">
        <v>8.06</v>
      </c>
      <c r="W122" s="21" t="n">
        <v>8.06</v>
      </c>
      <c r="X122" s="2" t="inlineStr">
        <is>
          <t>ENABLED</t>
        </is>
      </c>
      <c r="Y122" s="2" t="inlineStr">
        <is>
          <t>none</t>
        </is>
      </c>
      <c r="Z122" s="2" t="inlineStr">
        <is>
          <t>defer — engine name wrong (SKU token SATIN-QUEEN-BLACK; (Ranking)); load a corrected name after 28 Oct</t>
        </is>
      </c>
      <c r="AA122" s="21" t="n">
        <v>21.2</v>
      </c>
      <c r="AB122" s="2" t="n">
        <v>11</v>
      </c>
      <c r="AC122" s="2" t="n">
        <v>1</v>
      </c>
      <c r="AD122" s="2" t="n">
        <v>70.8</v>
      </c>
      <c r="AE122" s="2" t="n">
        <v>81.81999999999999</v>
      </c>
      <c r="AF122" s="2" t="n">
        <v>0</v>
      </c>
      <c r="AG122" s="2" t="n">
        <v>1</v>
      </c>
      <c r="AH122" s="2" t="inlineStr">
        <is>
          <t>Retag only</t>
        </is>
      </c>
      <c r="AI122" s="22" t="inlineStr">
        <is>
          <t>retag → Ranking</t>
        </is>
      </c>
      <c r="AJ122" s="22" t="inlineStr">
        <is>
          <t>Objective Conversions → Ranking by the standard (our retag verdict); 70.8% ACoS on 1 orders / 11 clicks (CC 31 Aug–29 Sep).</t>
        </is>
      </c>
      <c r="AK122" s="2" t="inlineStr">
        <is>
          <t>seq 1849 child: reject — keep SATIN-QUEEN-BLACK; seq 2119 retag correct to Ranking; seq 2972 rename CHANGE</t>
        </is>
      </c>
      <c r="AL122" s="22" t="n"/>
    </row>
    <row r="123">
      <c r="A123" s="2" t="inlineStr">
        <is>
          <t>136940552977737</t>
        </is>
      </c>
      <c r="B123" s="2" t="inlineStr">
        <is>
          <t>D-S4-silk white sheets - [Silk] - Exact - Ran - DO - SATIN-WHITE-QUEEN</t>
        </is>
      </c>
      <c r="C123" s="2" t="inlineStr">
        <is>
          <t>silk white sheets [exact]</t>
        </is>
      </c>
      <c r="D123" s="2" t="inlineStr">
        <is>
          <t>silk white sheets</t>
        </is>
      </c>
      <c r="E123" s="2" t="inlineStr">
        <is>
          <t>ENABLED</t>
        </is>
      </c>
      <c r="F123" s="2" t="inlineStr">
        <is>
          <t>Ranking</t>
        </is>
      </c>
      <c r="G123" s="2" t="inlineStr">
        <is>
          <t>Conversions</t>
        </is>
      </c>
      <c r="H123" s="2" t="inlineStr">
        <is>
          <t>Silk</t>
        </is>
      </c>
      <c r="I123" s="2" t="inlineStr">
        <is>
          <t>Exact</t>
        </is>
      </c>
      <c r="J123" s="2" t="inlineStr">
        <is>
          <t>SATIN-WHITE-QUEEN</t>
        </is>
      </c>
      <c r="K123" s="2" t="inlineStr">
        <is>
          <t>SATIN-WHITE-QUEEN</t>
        </is>
      </c>
      <c r="L123" s="2" t="inlineStr">
        <is>
          <t>$1.27</t>
        </is>
      </c>
      <c r="M123" s="2" t="inlineStr">
        <is>
          <t>$0.64</t>
        </is>
      </c>
      <c r="N123" s="2" t="n">
        <v>50</v>
      </c>
      <c r="O123" s="2" t="n">
        <v>50</v>
      </c>
      <c r="P123" s="21" t="n">
        <v>1.91</v>
      </c>
      <c r="Q123" s="21" t="n">
        <v>0.96</v>
      </c>
      <c r="R123" s="2" t="n"/>
      <c r="S123" s="2" t="n"/>
      <c r="T123" s="2" t="n"/>
      <c r="U123" s="2" t="n"/>
      <c r="V123" s="21" t="n">
        <v>7.7</v>
      </c>
      <c r="W123" s="21" t="n">
        <v>7.7</v>
      </c>
      <c r="X123" s="2" t="inlineStr">
        <is>
          <t>ENABLED</t>
        </is>
      </c>
      <c r="Y123" s="2" t="inlineStr">
        <is>
          <t>none</t>
        </is>
      </c>
      <c r="Z123" s="2" t="inlineStr">
        <is>
          <t>defer — engine name wrong ((Conversion)); load a corrected name after 28 Oct</t>
        </is>
      </c>
      <c r="AA123" s="21" t="n">
        <v>20.1</v>
      </c>
      <c r="AB123" s="2" t="n">
        <v>11</v>
      </c>
      <c r="AC123" s="2" t="n">
        <v>0</v>
      </c>
      <c r="AD123" s="2" t="n"/>
      <c r="AE123" s="2" t="n">
        <v>90.91</v>
      </c>
      <c r="AF123" s="2" t="n">
        <v>0</v>
      </c>
      <c r="AG123" s="2" t="n">
        <v>3</v>
      </c>
      <c r="AH123" s="2" t="inlineStr">
        <is>
          <t>Release hold + price to break-even</t>
        </is>
      </c>
      <c r="AI123" s="22" t="inlineStr">
        <is>
          <t>Release hold; cut base $1.27 → $0.64; retag → Conversions</t>
        </is>
      </c>
      <c r="AJ123" s="22" t="inlineStr">
        <is>
          <t>no-sale ACoS, 0 orders on 11 clicks (CC 31 Aug–29 Sep) vs Queen White break-even 29.1%; BE base = $9.02 contribution (Queen White) × 0.0% CVR = $0.00; cap 50% cut.</t>
        </is>
      </c>
      <c r="AK123" s="2" t="inlineStr">
        <is>
          <t>seq 2124 retag correct to Conversions; seq 2986 rename CHANGE; seq 1994 NOT SERVING hold(s) → release; price to break-even (our addition, reviewer D)</t>
        </is>
      </c>
      <c r="AL123" s="22" t="n"/>
    </row>
    <row r="124">
      <c r="A124" s="2" t="inlineStr">
        <is>
          <t>86667514335220</t>
        </is>
      </c>
      <c r="B124" s="2" t="inlineStr">
        <is>
          <t>D-S4-silk sheets twin - [Silk|Twin] - Broad - Disc - DO - SATIN-TWIN-GREY</t>
        </is>
      </c>
      <c r="C124" s="2" t="inlineStr">
        <is>
          <t>silk sheets twin [broad]</t>
        </is>
      </c>
      <c r="D124" s="2" t="inlineStr">
        <is>
          <t>—</t>
        </is>
      </c>
      <c r="E124" s="2" t="inlineStr">
        <is>
          <t>ENABLED</t>
        </is>
      </c>
      <c r="F124" s="2" t="inlineStr">
        <is>
          <t>Discovery</t>
        </is>
      </c>
      <c r="G124" s="2" t="inlineStr">
        <is>
          <t>Discovery</t>
        </is>
      </c>
      <c r="H124" s="2" t="inlineStr">
        <is>
          <t>Silk|Twin</t>
        </is>
      </c>
      <c r="I124" s="2" t="inlineStr">
        <is>
          <t>Broad</t>
        </is>
      </c>
      <c r="J124" s="2" t="inlineStr">
        <is>
          <t>SATIN-TWIN-GREY</t>
        </is>
      </c>
      <c r="K124" s="2" t="inlineStr">
        <is>
          <t>SATIN-TWIN-GREY</t>
        </is>
      </c>
      <c r="L124" s="2" t="inlineStr">
        <is>
          <t>n/a (no target bid in audit)</t>
        </is>
      </c>
      <c r="M124" s="2" t="inlineStr">
        <is>
          <t>n/a</t>
        </is>
      </c>
      <c r="N124" s="2" t="n">
        <v>45</v>
      </c>
      <c r="O124" s="2" t="n">
        <v>45</v>
      </c>
      <c r="P124" s="21" t="n"/>
      <c r="Q124" s="21" t="n"/>
      <c r="R124" s="2" t="n"/>
      <c r="S124" s="2" t="n"/>
      <c r="T124" s="2" t="n"/>
      <c r="U124" s="2" t="n"/>
      <c r="V124" s="21" t="n">
        <v>10</v>
      </c>
      <c r="W124" s="21" t="n">
        <v>10</v>
      </c>
      <c r="X124" s="2" t="inlineStr">
        <is>
          <t>ENABLED</t>
        </is>
      </c>
      <c r="Y124" s="2" t="inlineStr">
        <is>
          <t>add negative exact: silk sheets twin; silk sheets</t>
        </is>
      </c>
      <c r="Z124" s="2" t="inlineStr">
        <is>
          <t>defer — engine name wrong (SKU token SATIN-TWIN-GREY); load a corrected name after 28 Oct</t>
        </is>
      </c>
      <c r="AA124" s="21" t="n">
        <v>19.21</v>
      </c>
      <c r="AB124" s="2" t="n">
        <v>21</v>
      </c>
      <c r="AC124" s="2" t="n">
        <v>2</v>
      </c>
      <c r="AD124" s="2" t="n">
        <v>33.2</v>
      </c>
      <c r="AE124" s="2" t="n">
        <v>47.62</v>
      </c>
      <c r="AF124" s="2" t="n">
        <v>9.52</v>
      </c>
      <c r="AG124" s="2" t="n">
        <v>7</v>
      </c>
      <c r="AH124" s="2" t="inlineStr">
        <is>
          <t>No change (engine move rejected/held)</t>
        </is>
      </c>
      <c r="AI124" s="22" t="inlineStr">
        <is>
          <t>No change (reject engine child swap seq 1863; defer engine rename)</t>
        </is>
      </c>
      <c r="AJ124" s="22" t="inlineStr">
        <is>
          <t>Engine swap SATIN-TWIN-GREY → SATIN-4PC-TWIN-BLUSH PINK rejected: the pick comes from the broken size map, and SATIN-TWIN-GREY is the size's best seller with cover (SB 30 Aug–29 Sep); the engine rename writes a wrong token and is deferred; 33.2% ACoS on 2 orders / 21 clicks (CC 31 Aug–29 Sep).</t>
        </is>
      </c>
      <c r="AK124" s="2" t="inlineStr">
        <is>
          <t>seq 1863 child: reject — keep SATIN-TWIN-GREY; seq 3009 rename CHANGE</t>
        </is>
      </c>
      <c r="AL124" s="22" t="n"/>
    </row>
    <row r="125">
      <c r="A125" s="2" t="inlineStr">
        <is>
          <t>131422906864580</t>
        </is>
      </c>
      <c r="B125" s="2" t="inlineStr">
        <is>
          <t>D-S4-full bed silk sheets - [Silk|Full] - Exact - Ran - DO - SATIN-FULL-BLACK</t>
        </is>
      </c>
      <c r="C125" s="2" t="inlineStr">
        <is>
          <t>full bed silk sheets [exact]</t>
        </is>
      </c>
      <c r="D125" s="2" t="inlineStr">
        <is>
          <t>full bed silk sheets</t>
        </is>
      </c>
      <c r="E125" s="2" t="inlineStr">
        <is>
          <t>ENABLED</t>
        </is>
      </c>
      <c r="F125" s="2" t="inlineStr">
        <is>
          <t>Ranking</t>
        </is>
      </c>
      <c r="G125" s="2" t="inlineStr">
        <is>
          <t>Ranking</t>
        </is>
      </c>
      <c r="H125" s="2" t="inlineStr">
        <is>
          <t>Silk|Full</t>
        </is>
      </c>
      <c r="I125" s="2" t="inlineStr">
        <is>
          <t>Exact</t>
        </is>
      </c>
      <c r="J125" s="2" t="inlineStr">
        <is>
          <t>SATIN-FULL-BLACK</t>
        </is>
      </c>
      <c r="K125" s="2" t="inlineStr">
        <is>
          <t>SATIN-FULL-BLACK</t>
        </is>
      </c>
      <c r="L125" s="2" t="inlineStr">
        <is>
          <t>$1.48</t>
        </is>
      </c>
      <c r="M125" s="2" t="inlineStr">
        <is>
          <t>$1.11</t>
        </is>
      </c>
      <c r="N125" s="2" t="n">
        <v>50</v>
      </c>
      <c r="O125" s="2" t="n">
        <v>50</v>
      </c>
      <c r="P125" s="21" t="n">
        <v>2.22</v>
      </c>
      <c r="Q125" s="21" t="n">
        <v>1.67</v>
      </c>
      <c r="R125" s="2" t="n"/>
      <c r="S125" s="2" t="n"/>
      <c r="T125" s="2" t="n"/>
      <c r="U125" s="2" t="n"/>
      <c r="V125" s="21" t="n">
        <v>11.53</v>
      </c>
      <c r="W125" s="21" t="n">
        <v>11.53</v>
      </c>
      <c r="X125" s="2" t="inlineStr">
        <is>
          <t>ENABLED</t>
        </is>
      </c>
      <c r="Y125" s="2" t="inlineStr">
        <is>
          <t>none</t>
        </is>
      </c>
      <c r="Z125" s="2" t="inlineStr">
        <is>
          <t>defer — engine name wrong (SKU token SATIN-FULL-BLACK); load a corrected name after 28 Oct</t>
        </is>
      </c>
      <c r="AA125" s="21" t="n">
        <v>19.13</v>
      </c>
      <c r="AB125" s="2" t="n">
        <v>9</v>
      </c>
      <c r="AC125" s="2" t="n">
        <v>1</v>
      </c>
      <c r="AD125" s="2" t="n">
        <v>63.9</v>
      </c>
      <c r="AE125" s="2" t="n">
        <v>100</v>
      </c>
      <c r="AF125" s="2" t="n">
        <v>0</v>
      </c>
      <c r="AG125" s="2" t="n">
        <v>5</v>
      </c>
      <c r="AH125" s="2" t="inlineStr">
        <is>
          <t>Release hold + price to break-even</t>
        </is>
      </c>
      <c r="AI125" s="22" t="inlineStr">
        <is>
          <t>Release hold; cut base $1.48 → $1.11</t>
        </is>
      </c>
      <c r="AJ125" s="22" t="inlineStr">
        <is>
          <t>63.9% ACoS, 1 orders on 9 clicks (CC 31 Aug–29 Sep) vs Full Black break-even 27.5%; BE base = $8.04 contribution (Full Black) × 11.1% CVR = $0.89; cap 25% cut.</t>
        </is>
      </c>
      <c r="AK125" s="2" t="inlineStr">
        <is>
          <t>seq 1840 child: reject — keep SATIN-FULL-BLACK; seq 2104 retag LOAD; seq 2949 rename CHANGE; seq 1986 NOT SERVING hold(s) → release; price to break-even (our addition, reviewer D)</t>
        </is>
      </c>
      <c r="AL125" s="22" t="n"/>
    </row>
    <row r="126">
      <c r="A126" s="2" t="inlineStr">
        <is>
          <t>149688376863915</t>
        </is>
      </c>
      <c r="B126" s="2" t="inlineStr">
        <is>
          <t>D-S4-SP-EXACT-silk satin sheets queen-Silk|Queen-SATIN-QUEEN-BLACK</t>
        </is>
      </c>
      <c r="C126" s="2" t="inlineStr">
        <is>
          <t>silk satin sheets queen [exact]</t>
        </is>
      </c>
      <c r="D126" s="2" t="inlineStr">
        <is>
          <t>whole campaign</t>
        </is>
      </c>
      <c r="E126" s="2" t="inlineStr">
        <is>
          <t>ENABLED</t>
        </is>
      </c>
      <c r="F126" s="2" t="inlineStr">
        <is>
          <t>Conversions</t>
        </is>
      </c>
      <c r="G126" s="2" t="inlineStr">
        <is>
          <t>Ranking</t>
        </is>
      </c>
      <c r="H126" s="2" t="n"/>
      <c r="I126" s="2" t="inlineStr">
        <is>
          <t>Exact</t>
        </is>
      </c>
      <c r="J126" s="2" t="inlineStr">
        <is>
          <t>SATIN-QUEEN-BLACK</t>
        </is>
      </c>
      <c r="K126" s="2" t="inlineStr">
        <is>
          <t>SATIN-QUEEN-BLACK</t>
        </is>
      </c>
      <c r="L126" s="2" t="inlineStr">
        <is>
          <t>n/a (no target bid in audit)</t>
        </is>
      </c>
      <c r="M126" s="2" t="inlineStr">
        <is>
          <t>n/a</t>
        </is>
      </c>
      <c r="N126" s="2" t="n">
        <v>0</v>
      </c>
      <c r="O126" s="2" t="n">
        <v>0</v>
      </c>
      <c r="P126" s="21" t="n"/>
      <c r="Q126" s="21" t="n"/>
      <c r="R126" s="2" t="n"/>
      <c r="S126" s="2" t="n"/>
      <c r="T126" s="2" t="n"/>
      <c r="U126" s="2" t="n"/>
      <c r="V126" s="21" t="n">
        <v>8.06</v>
      </c>
      <c r="W126" s="21" t="n">
        <v>8.06</v>
      </c>
      <c r="X126" s="2" t="inlineStr">
        <is>
          <t>ENABLED</t>
        </is>
      </c>
      <c r="Y126" s="2" t="inlineStr">
        <is>
          <t>none</t>
        </is>
      </c>
      <c r="Z126" s="2" t="inlineStr">
        <is>
          <t>defer — engine name wrong (SKU token SATIN-QUEEN-BLACK; (Ranking)); load a corrected name after 28 Oct</t>
        </is>
      </c>
      <c r="AA126" s="21" t="n">
        <v>18.58</v>
      </c>
      <c r="AB126" s="2" t="n">
        <v>10</v>
      </c>
      <c r="AC126" s="2" t="n">
        <v>2</v>
      </c>
      <c r="AD126" s="2" t="n">
        <v>30</v>
      </c>
      <c r="AE126" s="2" t="n">
        <v>80</v>
      </c>
      <c r="AF126" s="2" t="n">
        <v>0</v>
      </c>
      <c r="AG126" s="2" t="n">
        <v>2</v>
      </c>
      <c r="AH126" s="2" t="inlineStr">
        <is>
          <t>Retag only</t>
        </is>
      </c>
      <c r="AI126" s="22" t="inlineStr">
        <is>
          <t>retag → Ranking</t>
        </is>
      </c>
      <c r="AJ126" s="22" t="inlineStr">
        <is>
          <t>Objective Conversions → Ranking by the standard (our retag verdict); 30.0% ACoS on 2 orders / 10 clicks (CC 31 Aug–29 Sep).</t>
        </is>
      </c>
      <c r="AK126" s="2" t="inlineStr">
        <is>
          <t>seq 1846 child: reject — keep SATIN-QUEEN-BLACK; seq 2116 retag correct to Ranking; seq 2966 rename CHANGE</t>
        </is>
      </c>
      <c r="AL126" s="22" t="n"/>
    </row>
    <row r="127">
      <c r="A127" s="2" t="inlineStr">
        <is>
          <t>95237925863242</t>
        </is>
      </c>
      <c r="B127" s="2" t="inlineStr">
        <is>
          <t>D-S4-silk bed sheets twin - [Silk|Twin] - Broad - Disc - DO - SATIN-TWIN-GREY</t>
        </is>
      </c>
      <c r="C127" s="2" t="inlineStr">
        <is>
          <t>silk bed sheets twin [broad, $0.75]; silk bed sheets twin [broad, $0.75]</t>
        </is>
      </c>
      <c r="D127" s="2" t="inlineStr">
        <is>
          <t>silk bed sheets twin</t>
        </is>
      </c>
      <c r="E127" s="2" t="inlineStr">
        <is>
          <t>ENABLED</t>
        </is>
      </c>
      <c r="F127" s="2" t="inlineStr">
        <is>
          <t>Discovery</t>
        </is>
      </c>
      <c r="G127" s="2" t="inlineStr">
        <is>
          <t>Discovery</t>
        </is>
      </c>
      <c r="H127" s="2" t="inlineStr">
        <is>
          <t>Silk|Twin</t>
        </is>
      </c>
      <c r="I127" s="2" t="inlineStr">
        <is>
          <t>Broad</t>
        </is>
      </c>
      <c r="J127" s="2" t="inlineStr">
        <is>
          <t>SATIN-TWIN-GREY</t>
        </is>
      </c>
      <c r="K127" s="2" t="inlineStr">
        <is>
          <t>SATIN-TWIN-GREY</t>
        </is>
      </c>
      <c r="L127" s="2" t="inlineStr">
        <is>
          <t>$0.75</t>
        </is>
      </c>
      <c r="M127" s="2" t="inlineStr">
        <is>
          <t>$0.56</t>
        </is>
      </c>
      <c r="N127" s="2" t="n">
        <v>0</v>
      </c>
      <c r="O127" s="2" t="n">
        <v>0</v>
      </c>
      <c r="P127" s="21" t="n">
        <v>0.75</v>
      </c>
      <c r="Q127" s="21" t="n">
        <v>0.5600000000000001</v>
      </c>
      <c r="R127" s="2" t="n"/>
      <c r="S127" s="2" t="n"/>
      <c r="T127" s="2" t="n"/>
      <c r="U127" s="2" t="n"/>
      <c r="V127" s="21" t="n">
        <v>10</v>
      </c>
      <c r="W127" s="21" t="n">
        <v>10</v>
      </c>
      <c r="X127" s="2" t="inlineStr">
        <is>
          <t>ENABLED</t>
        </is>
      </c>
      <c r="Y127" s="2" t="inlineStr">
        <is>
          <t>add negative exact: silk sheets twin; silk sheets; silk bed sheets</t>
        </is>
      </c>
      <c r="Z127" s="2" t="inlineStr">
        <is>
          <t>defer — engine name wrong (SKU token SATIN-TWIN-GREY); load a corrected name after 28 Oct</t>
        </is>
      </c>
      <c r="AA127" s="21" t="n">
        <v>17.8</v>
      </c>
      <c r="AB127" s="2" t="n">
        <v>21</v>
      </c>
      <c r="AC127" s="2" t="n">
        <v>1</v>
      </c>
      <c r="AD127" s="2" t="n">
        <v>52.4</v>
      </c>
      <c r="AE127" s="2" t="n">
        <v>4.76</v>
      </c>
      <c r="AF127" s="2" t="n">
        <v>23.81</v>
      </c>
      <c r="AG127" s="2" t="n">
        <v>2</v>
      </c>
      <c r="AH127" s="2" t="inlineStr">
        <is>
          <t>Release hold + price to break-even</t>
        </is>
      </c>
      <c r="AI127" s="22" t="inlineStr">
        <is>
          <t>Release hold; cut base $0.75 → $0.56</t>
        </is>
      </c>
      <c r="AJ127" s="22" t="inlineStr">
        <is>
          <t>52.4% ACoS, 1 orders on 21 clicks (CC 31 Aug–29 Sep) vs Twin Grey break-even 26.7%; BE base = $6.93 contribution (Twin Grey) × 4.8% CVR = $0.33; cap 25% cut.</t>
        </is>
      </c>
      <c r="AK127" s="2" t="inlineStr">
        <is>
          <t>seq 1862 child: reject — keep SATIN-TWIN-GREY; seq 3004 rename CHANGE; seq 1753 NOT SERVING hold(s) → release; price to break-even (our addition, reviewer D)</t>
        </is>
      </c>
      <c r="AL127" s="22" t="n"/>
    </row>
    <row r="128">
      <c r="A128" s="2" t="inlineStr">
        <is>
          <t>543635348444795</t>
        </is>
      </c>
      <c r="B128" s="2" t="inlineStr">
        <is>
          <t>D-S4-SP-white satin sheet set queen-(Satin)-HSV-Exact-Rank-DO-SATIN-QUEEN-GREY-FBM</t>
        </is>
      </c>
      <c r="C128" s="2" t="inlineStr">
        <is>
          <t>white satin sheet set queen [exact, $1.90, 9 clicks]</t>
        </is>
      </c>
      <c r="D128" s="2" t="inlineStr">
        <is>
          <t>whole campaign</t>
        </is>
      </c>
      <c r="E128" s="2" t="inlineStr">
        <is>
          <t>ENABLED</t>
        </is>
      </c>
      <c r="F128" s="2" t="inlineStr">
        <is>
          <t>Ranking</t>
        </is>
      </c>
      <c r="G128" s="2" t="inlineStr">
        <is>
          <t>Conversions</t>
        </is>
      </c>
      <c r="H128" s="2" t="inlineStr">
        <is>
          <t>OUT</t>
        </is>
      </c>
      <c r="I128" s="2" t="inlineStr">
        <is>
          <t>Exact</t>
        </is>
      </c>
      <c r="J128" s="2" t="inlineStr">
        <is>
          <t>SATIN-WHITE-QUEEN</t>
        </is>
      </c>
      <c r="K128" s="2" t="inlineStr">
        <is>
          <t>SATIN-WHITE-QUEEN</t>
        </is>
      </c>
      <c r="L128" s="2" t="inlineStr">
        <is>
          <t>$1.90</t>
        </is>
      </c>
      <c r="M128" s="2" t="inlineStr">
        <is>
          <t>$1.90</t>
        </is>
      </c>
      <c r="N128" s="2" t="n">
        <v>0</v>
      </c>
      <c r="O128" s="2" t="n">
        <v>0</v>
      </c>
      <c r="P128" s="21" t="n">
        <v>1.9</v>
      </c>
      <c r="Q128" s="21" t="n">
        <v>1.9</v>
      </c>
      <c r="R128" s="2" t="n">
        <v>0</v>
      </c>
      <c r="S128" s="2" t="n">
        <v>0</v>
      </c>
      <c r="T128" s="2" t="n">
        <v>0</v>
      </c>
      <c r="U128" s="2" t="n">
        <v>0</v>
      </c>
      <c r="V128" s="21" t="n">
        <v>5</v>
      </c>
      <c r="W128" s="21" t="n">
        <v>5</v>
      </c>
      <c r="X128" s="2" t="inlineStr">
        <is>
          <t>ENABLED</t>
        </is>
      </c>
      <c r="Y128" s="2" t="inlineStr">
        <is>
          <t>none</t>
        </is>
      </c>
      <c r="Z128" s="2" t="inlineStr">
        <is>
          <t>defer — engine name wrong ((Conversion)); load a corrected name after 28 Oct</t>
        </is>
      </c>
      <c r="AA128" s="21" t="n">
        <v>16.55</v>
      </c>
      <c r="AB128" s="2" t="n">
        <v>9</v>
      </c>
      <c r="AC128" s="2" t="n">
        <v>1</v>
      </c>
      <c r="AD128" s="2" t="n">
        <v>51.8</v>
      </c>
      <c r="AE128" s="2" t="n">
        <v>33.33</v>
      </c>
      <c r="AF128" s="2" t="n">
        <v>66.67</v>
      </c>
      <c r="AG128" s="2" t="n">
        <v>1</v>
      </c>
      <c r="AH128" s="2" t="inlineStr">
        <is>
          <t>Retag only</t>
        </is>
      </c>
      <c r="AI128" s="22" t="inlineStr">
        <is>
          <t>retag → Conversions</t>
        </is>
      </c>
      <c r="AJ128" s="22" t="inlineStr">
        <is>
          <t>Objective Ranking → Conversions by the standard (colour term "white satin sheet set queen"); 51.8% ACoS on 1 orders / 9 clicks (CC 31 Aug–29 Sep).</t>
        </is>
      </c>
      <c r="AK128" s="2" t="inlineStr">
        <is>
          <t>seq 2989 rename CHANGE; our addition: standard → Conversions (colour term "white satin sheet set queen")</t>
        </is>
      </c>
      <c r="AL128" s="22" t="n"/>
    </row>
    <row r="129">
      <c r="A129" s="2" t="inlineStr">
        <is>
          <t>459348017927929</t>
        </is>
      </c>
      <c r="B129" s="2" t="inlineStr">
        <is>
          <t>D-S4-SP-satin sheets deep pocket-(Satin)-LSV-Exact-Rank-DO-SATIN-QUEEN-GREY-FBM</t>
        </is>
      </c>
      <c r="C129" s="2" t="inlineStr">
        <is>
          <t>satin sheets deep pocket [exact, $1.90, 9 clicks]</t>
        </is>
      </c>
      <c r="D129" s="2" t="inlineStr">
        <is>
          <t>whole campaign</t>
        </is>
      </c>
      <c r="E129" s="2" t="inlineStr">
        <is>
          <t>ENABLED</t>
        </is>
      </c>
      <c r="F129" s="2" t="inlineStr">
        <is>
          <t>Ranking</t>
        </is>
      </c>
      <c r="G129" s="2" t="inlineStr">
        <is>
          <t>Ranking</t>
        </is>
      </c>
      <c r="H129" s="2" t="inlineStr">
        <is>
          <t>Satin</t>
        </is>
      </c>
      <c r="I129" s="2" t="inlineStr">
        <is>
          <t>Exact</t>
        </is>
      </c>
      <c r="J129" s="2" t="inlineStr">
        <is>
          <t>SATIN-QUEEN-BLACK</t>
        </is>
      </c>
      <c r="K129" s="2" t="inlineStr">
        <is>
          <t>SATIN-QUEEN-BLACK</t>
        </is>
      </c>
      <c r="L129" s="2" t="inlineStr">
        <is>
          <t>$1.90</t>
        </is>
      </c>
      <c r="M129" s="2" t="inlineStr">
        <is>
          <t>$1.90</t>
        </is>
      </c>
      <c r="N129" s="2" t="n">
        <v>0</v>
      </c>
      <c r="O129" s="2" t="n">
        <v>0</v>
      </c>
      <c r="P129" s="21" t="n">
        <v>1.9</v>
      </c>
      <c r="Q129" s="21" t="n">
        <v>1.9</v>
      </c>
      <c r="R129" s="2" t="n">
        <v>0</v>
      </c>
      <c r="S129" s="2" t="n">
        <v>0</v>
      </c>
      <c r="T129" s="2" t="n">
        <v>0</v>
      </c>
      <c r="U129" s="2" t="n">
        <v>0</v>
      </c>
      <c r="V129" s="21" t="n">
        <v>5</v>
      </c>
      <c r="W129" s="21" t="n">
        <v>5</v>
      </c>
      <c r="X129" s="2" t="inlineStr">
        <is>
          <t>ENABLED</t>
        </is>
      </c>
      <c r="Y129" s="2" t="inlineStr">
        <is>
          <t>none</t>
        </is>
      </c>
      <c r="Z129" s="2" t="inlineStr">
        <is>
          <t>load (clean): DSS4-SP-Satin Sheets Deep Pocket-[Satin]-(VLSV)-Exact-(Ranking)-DO-SATIN-QUEEN-BLACK</t>
        </is>
      </c>
      <c r="AA129" s="21" t="n">
        <v>16.16</v>
      </c>
      <c r="AB129" s="2" t="n">
        <v>9</v>
      </c>
      <c r="AC129" s="2" t="n">
        <v>0</v>
      </c>
      <c r="AD129" s="2" t="n"/>
      <c r="AE129" s="2" t="n">
        <v>77.78</v>
      </c>
      <c r="AF129" s="2" t="n">
        <v>11.11</v>
      </c>
      <c r="AG129" s="2" t="n">
        <v>0</v>
      </c>
      <c r="AH129" s="2" t="inlineStr">
        <is>
          <t>Rename only</t>
        </is>
      </c>
      <c r="AI129" s="22" t="inlineStr">
        <is>
          <t>Load rename only</t>
        </is>
      </c>
      <c r="AJ129" s="22" t="inlineStr">
        <is>
          <t>Clean rename (SKU token and objective match what the campaign advertises); no sales ACoS on 0 orders / 9 clicks (CC 31 Aug–29 Sep).</t>
        </is>
      </c>
      <c r="AK129" s="2" t="inlineStr">
        <is>
          <t>seq 2975 rename LOAD</t>
        </is>
      </c>
      <c r="AL129" s="22" t="n"/>
    </row>
    <row r="130">
      <c r="A130" s="2" t="inlineStr">
        <is>
          <t>352589606538209</t>
        </is>
      </c>
      <c r="B130" s="2" t="inlineStr">
        <is>
          <t>D-S4-SP-satin sheets set queen size-(Satin)-MSV-Exact-Rank-DO-SATIN-QUEEN-GREY-FBM</t>
        </is>
      </c>
      <c r="C130" s="2" t="inlineStr">
        <is>
          <t>satin sheets set queen size [exact, $1.90, 9 clicks]</t>
        </is>
      </c>
      <c r="D130" s="2" t="inlineStr">
        <is>
          <t>satin sheets set queen size</t>
        </is>
      </c>
      <c r="E130" s="2" t="inlineStr">
        <is>
          <t>ENABLED</t>
        </is>
      </c>
      <c r="F130" s="2" t="inlineStr">
        <is>
          <t>Ranking</t>
        </is>
      </c>
      <c r="G130" s="2" t="inlineStr">
        <is>
          <t>Ranking</t>
        </is>
      </c>
      <c r="H130" s="2" t="inlineStr">
        <is>
          <t>Satin|Queen</t>
        </is>
      </c>
      <c r="I130" s="2" t="inlineStr">
        <is>
          <t>Exact</t>
        </is>
      </c>
      <c r="J130" s="2" t="inlineStr">
        <is>
          <t>SATIN-QUEEN-BLACK</t>
        </is>
      </c>
      <c r="K130" s="2" t="inlineStr">
        <is>
          <t>SATIN-QUEEN-BLACK</t>
        </is>
      </c>
      <c r="L130" s="2" t="inlineStr">
        <is>
          <t>$1.90</t>
        </is>
      </c>
      <c r="M130" s="2" t="inlineStr">
        <is>
          <t>$1.82</t>
        </is>
      </c>
      <c r="N130" s="2" t="n">
        <v>0</v>
      </c>
      <c r="O130" s="2" t="n">
        <v>0</v>
      </c>
      <c r="P130" s="21" t="n">
        <v>1.9</v>
      </c>
      <c r="Q130" s="21" t="n">
        <v>1.82</v>
      </c>
      <c r="R130" s="2" t="n">
        <v>0</v>
      </c>
      <c r="S130" s="2" t="n">
        <v>0</v>
      </c>
      <c r="T130" s="2" t="n">
        <v>0</v>
      </c>
      <c r="U130" s="2" t="n">
        <v>0</v>
      </c>
      <c r="V130" s="21" t="n">
        <v>5</v>
      </c>
      <c r="W130" s="21" t="n">
        <v>5</v>
      </c>
      <c r="X130" s="2" t="inlineStr">
        <is>
          <t>ENABLED</t>
        </is>
      </c>
      <c r="Y130" s="2" t="inlineStr">
        <is>
          <t>none</t>
        </is>
      </c>
      <c r="Z130" s="2" t="inlineStr">
        <is>
          <t>defer — engine name wrong (SKU token SATIN-QUEEN-BLACK); load a corrected name after 28 Oct</t>
        </is>
      </c>
      <c r="AA130" s="21" t="n">
        <v>16.01</v>
      </c>
      <c r="AB130" s="2" t="n">
        <v>9</v>
      </c>
      <c r="AC130" s="2" t="n">
        <v>2</v>
      </c>
      <c r="AD130" s="2" t="n">
        <v>29.1</v>
      </c>
      <c r="AE130" s="2" t="n">
        <v>77.78</v>
      </c>
      <c r="AF130" s="2" t="n">
        <v>0</v>
      </c>
      <c r="AG130" s="2" t="n">
        <v>2</v>
      </c>
      <c r="AH130" s="2" t="inlineStr">
        <is>
          <t>Price cut</t>
        </is>
      </c>
      <c r="AI130" s="22" t="inlineStr">
        <is>
          <t>Cut base 4% ($1.90 → $1.82)</t>
        </is>
      </c>
      <c r="AJ130" s="22" t="inlineStr">
        <is>
          <t>29.1% ACoS on 2 orders / 9 clicks (CC 31 Aug–29 Sep) vs Queen Black break-even 17.8%; audit row loads as written (review 40 agrees).</t>
        </is>
      </c>
      <c r="AK130" s="2" t="inlineStr">
        <is>
          <t>seq 279 bid: agree with review 40; seq 1851 child: reject — keep SATIN-QUEEN-BLACK; seq 2978 rename CHANGE</t>
        </is>
      </c>
      <c r="AL130" s="22" t="n"/>
    </row>
    <row r="131">
      <c r="A131" s="2" t="inlineStr">
        <is>
          <t>274778889527487</t>
        </is>
      </c>
      <c r="B131" s="2" t="inlineStr">
        <is>
          <t>D-S4-queen size satin sheets set - [Satin|Queen] - Exact - Ran - DO - SATIN-QUEEN-BLACK</t>
        </is>
      </c>
      <c r="C131" s="2" t="inlineStr">
        <is>
          <t>queen size satin sheets set [exact]</t>
        </is>
      </c>
      <c r="D131" s="2" t="inlineStr">
        <is>
          <t>whole campaign</t>
        </is>
      </c>
      <c r="E131" s="2" t="inlineStr">
        <is>
          <t>ENABLED</t>
        </is>
      </c>
      <c r="F131" s="2" t="inlineStr">
        <is>
          <t>Ranking</t>
        </is>
      </c>
      <c r="G131" s="2" t="inlineStr">
        <is>
          <t>Ranking</t>
        </is>
      </c>
      <c r="H131" s="2" t="inlineStr">
        <is>
          <t>Satin|Queen</t>
        </is>
      </c>
      <c r="I131" s="2" t="inlineStr">
        <is>
          <t>Exact</t>
        </is>
      </c>
      <c r="J131" s="2" t="inlineStr">
        <is>
          <t>SATIN-QUEEN-BLACK</t>
        </is>
      </c>
      <c r="K131" s="2" t="inlineStr">
        <is>
          <t>SATIN-QUEEN-BLACK</t>
        </is>
      </c>
      <c r="L131" s="2" t="inlineStr">
        <is>
          <t>n/a (no target bid in audit)</t>
        </is>
      </c>
      <c r="M131" s="2" t="inlineStr">
        <is>
          <t>n/a</t>
        </is>
      </c>
      <c r="N131" s="2" t="n">
        <v>30</v>
      </c>
      <c r="O131" s="2" t="n">
        <v>30</v>
      </c>
      <c r="P131" s="21" t="n"/>
      <c r="Q131" s="21" t="n"/>
      <c r="R131" s="2" t="n"/>
      <c r="S131" s="2" t="n"/>
      <c r="T131" s="2" t="n"/>
      <c r="U131" s="2" t="n"/>
      <c r="V131" s="21" t="n">
        <v>13.03</v>
      </c>
      <c r="W131" s="21" t="n">
        <v>13.03</v>
      </c>
      <c r="X131" s="2" t="inlineStr">
        <is>
          <t>ENABLED</t>
        </is>
      </c>
      <c r="Y131" s="2" t="inlineStr">
        <is>
          <t>none</t>
        </is>
      </c>
      <c r="Z131" s="2" t="inlineStr">
        <is>
          <t>none</t>
        </is>
      </c>
      <c r="AA131" s="21" t="n">
        <v>15.43</v>
      </c>
      <c r="AB131" s="2" t="n">
        <v>9</v>
      </c>
      <c r="AC131" s="2" t="n">
        <v>2</v>
      </c>
      <c r="AD131" s="2" t="n">
        <v>25.4</v>
      </c>
      <c r="AE131" s="2" t="n">
        <v>77.78</v>
      </c>
      <c r="AF131" s="2" t="n">
        <v>0</v>
      </c>
      <c r="AG131" s="2" t="n">
        <v>53</v>
      </c>
      <c r="AH131" s="2" t="inlineStr">
        <is>
          <t>Reject pause</t>
        </is>
      </c>
      <c r="AI131" s="22" t="inlineStr">
        <is>
          <t>Keep enabled (reject pause seq 1442)</t>
        </is>
      </c>
      <c r="AJ131" s="22" t="inlineStr">
        <is>
          <t>25.4% ACoS on 2 orders / 9 clicks (CC 31 Aug–29 Sep). Circular with #2769: each pause names the other as the survivor, so "queen size satin sheets set" goes dark. Keep this campaign (corrections §10).</t>
        </is>
      </c>
      <c r="AK131" s="2" t="inlineStr">
        <is>
          <t>seq 1442 state: hold</t>
        </is>
      </c>
      <c r="AL131" s="22" t="n"/>
    </row>
    <row r="132">
      <c r="A132" s="2" t="inlineStr">
        <is>
          <t>49495791920546</t>
        </is>
      </c>
      <c r="B132" s="2" t="inlineStr">
        <is>
          <t>D-S4-queen bed silk sheets - [Silk|Queen] - Exact - Ran - DO - SATIN-QUEEN-BLACK</t>
        </is>
      </c>
      <c r="C132" s="2" t="inlineStr">
        <is>
          <t>queen bed silk sheets [exact, $0.50, 8 clicks]</t>
        </is>
      </c>
      <c r="D132" s="2" t="inlineStr">
        <is>
          <t>queen bed silk sheets</t>
        </is>
      </c>
      <c r="E132" s="2" t="inlineStr">
        <is>
          <t>ENABLED</t>
        </is>
      </c>
      <c r="F132" s="2" t="inlineStr">
        <is>
          <t>Ranking</t>
        </is>
      </c>
      <c r="G132" s="2" t="inlineStr">
        <is>
          <t>Ranking</t>
        </is>
      </c>
      <c r="H132" s="2" t="inlineStr">
        <is>
          <t>OUT</t>
        </is>
      </c>
      <c r="I132" s="2" t="inlineStr">
        <is>
          <t>Exact</t>
        </is>
      </c>
      <c r="J132" s="2" t="inlineStr">
        <is>
          <t>SATIN-QUEEN-BLACK</t>
        </is>
      </c>
      <c r="K132" s="2" t="inlineStr">
        <is>
          <t>SATIN-QUEEN-BLACK</t>
        </is>
      </c>
      <c r="L132" s="2" t="inlineStr">
        <is>
          <t>$0.50</t>
        </is>
      </c>
      <c r="M132" s="2" t="inlineStr">
        <is>
          <t>$0.44</t>
        </is>
      </c>
      <c r="N132" s="2" t="n">
        <v>300</v>
      </c>
      <c r="O132" s="2" t="n">
        <v>300</v>
      </c>
      <c r="P132" s="21" t="n">
        <v>2</v>
      </c>
      <c r="Q132" s="21" t="n">
        <v>1.76</v>
      </c>
      <c r="R132" s="2" t="n">
        <v>0</v>
      </c>
      <c r="S132" s="2" t="n">
        <v>0</v>
      </c>
      <c r="T132" s="2" t="n">
        <v>0</v>
      </c>
      <c r="U132" s="2" t="n">
        <v>0</v>
      </c>
      <c r="V132" s="21" t="n">
        <v>11.06</v>
      </c>
      <c r="W132" s="21" t="n">
        <v>7.74</v>
      </c>
      <c r="X132" s="2" t="inlineStr">
        <is>
          <t>ENABLED</t>
        </is>
      </c>
      <c r="Y132" s="2" t="inlineStr">
        <is>
          <t>none</t>
        </is>
      </c>
      <c r="Z132" s="2" t="inlineStr">
        <is>
          <t>defer — engine name wrong (SKU token SATIN-QUEEN-BLACK); load a corrected name after 28 Oct</t>
        </is>
      </c>
      <c r="AA132" s="21" t="n">
        <v>15.24</v>
      </c>
      <c r="AB132" s="2" t="n">
        <v>8</v>
      </c>
      <c r="AC132" s="2" t="n">
        <v>2</v>
      </c>
      <c r="AD132" s="2" t="n">
        <v>25.4</v>
      </c>
      <c r="AE132" s="2" t="n">
        <v>100</v>
      </c>
      <c r="AF132" s="2" t="n">
        <v>0</v>
      </c>
      <c r="AG132" s="2" t="n">
        <v>11</v>
      </c>
      <c r="AH132" s="2" t="inlineStr">
        <is>
          <t>Price cut</t>
        </is>
      </c>
      <c r="AI132" s="22" t="inlineStr">
        <is>
          <t>Cut base 12% ($0.50 → $0.44); Budget $11.06 → $7.74</t>
        </is>
      </c>
      <c r="AJ132" s="22" t="inlineStr">
        <is>
          <t>25.4% ACoS on 2 orders / 8 clicks (CC 31 Aug–29 Sep) vs Queen Black break-even 17.8%; audit row loads as written (review 40 agrees).</t>
        </is>
      </c>
      <c r="AK132" s="2" t="inlineStr">
        <is>
          <t>seq 280 budget: agree with review 40; seq 284 bid: agree with review 40; seq 1861 child: reject — keep SATIN-QUEEN-BLACK; seq 3002 rename CHANGE</t>
        </is>
      </c>
      <c r="AL132" s="22" t="n"/>
    </row>
    <row r="133">
      <c r="A133" s="2" t="inlineStr">
        <is>
          <t>18998711990195</t>
        </is>
      </c>
      <c r="B133" s="2" t="inlineStr">
        <is>
          <t>D-S4-queen silk bed sheets - [Silk|Queen] - Exact - Ran - DO - SATIN-QUEEN-BLACK</t>
        </is>
      </c>
      <c r="C133" s="2" t="inlineStr">
        <is>
          <t>queen silk bed sheets [exact]</t>
        </is>
      </c>
      <c r="D133" s="2" t="inlineStr">
        <is>
          <t>queen silk bed sheets</t>
        </is>
      </c>
      <c r="E133" s="2" t="inlineStr">
        <is>
          <t>ENABLED</t>
        </is>
      </c>
      <c r="F133" s="2" t="inlineStr">
        <is>
          <t>Ranking</t>
        </is>
      </c>
      <c r="G133" s="2" t="inlineStr">
        <is>
          <t>Ranking</t>
        </is>
      </c>
      <c r="H133" s="2" t="inlineStr">
        <is>
          <t>Silk|Queen</t>
        </is>
      </c>
      <c r="I133" s="2" t="inlineStr">
        <is>
          <t>Exact</t>
        </is>
      </c>
      <c r="J133" s="2" t="inlineStr">
        <is>
          <t>SATIN-QUEEN-BLACK</t>
        </is>
      </c>
      <c r="K133" s="2" t="inlineStr">
        <is>
          <t>SATIN-QUEEN-BLACK</t>
        </is>
      </c>
      <c r="L133" s="2" t="inlineStr">
        <is>
          <t>$1.51</t>
        </is>
      </c>
      <c r="M133" s="2" t="inlineStr">
        <is>
          <t>$1.13</t>
        </is>
      </c>
      <c r="N133" s="2" t="n">
        <v>30</v>
      </c>
      <c r="O133" s="2" t="n">
        <v>30</v>
      </c>
      <c r="P133" s="21" t="n">
        <v>1.96</v>
      </c>
      <c r="Q133" s="21" t="n">
        <v>1.47</v>
      </c>
      <c r="R133" s="2" t="n"/>
      <c r="S133" s="2" t="n"/>
      <c r="T133" s="2" t="n"/>
      <c r="U133" s="2" t="n"/>
      <c r="V133" s="21" t="n">
        <v>14.93</v>
      </c>
      <c r="W133" s="21" t="n">
        <v>14.93</v>
      </c>
      <c r="X133" s="2" t="inlineStr">
        <is>
          <t>ENABLED</t>
        </is>
      </c>
      <c r="Y133" s="2" t="inlineStr">
        <is>
          <t>none</t>
        </is>
      </c>
      <c r="Z133" s="2" t="inlineStr">
        <is>
          <t>defer — engine name wrong (SKU token SATIN-QUEEN-BLACK); load a corrected name after 28 Oct</t>
        </is>
      </c>
      <c r="AA133" s="21" t="n">
        <v>15.21</v>
      </c>
      <c r="AB133" s="2" t="n">
        <v>8</v>
      </c>
      <c r="AC133" s="2" t="n">
        <v>1</v>
      </c>
      <c r="AD133" s="2" t="n">
        <v>60.8</v>
      </c>
      <c r="AE133" s="2" t="n">
        <v>100</v>
      </c>
      <c r="AF133" s="2" t="n">
        <v>0</v>
      </c>
      <c r="AG133" s="2" t="n">
        <v>6</v>
      </c>
      <c r="AH133" s="2" t="inlineStr">
        <is>
          <t>Release hold + price to break-even</t>
        </is>
      </c>
      <c r="AI133" s="22" t="inlineStr">
        <is>
          <t>Release hold; cut base $1.51 → $1.13</t>
        </is>
      </c>
      <c r="AJ133" s="22" t="inlineStr">
        <is>
          <t>60.8% ACoS, 1 orders on 8 clicks (CC 31 Aug–29 Sep) vs Queen Black break-even 17.8%; BE base = $5.03 contribution (Queen Black) × 12.5% CVR = $0.63; cap 25% cut.</t>
        </is>
      </c>
      <c r="AK133" s="2" t="inlineStr">
        <is>
          <t>seq 1850 child: reject — keep SATIN-QUEEN-BLACK; seq 2120 retag LOAD; seq 2973 rename CHANGE; seq 1993 NOT SERVING hold(s) → release; price to break-even (our addition, reviewer D)</t>
        </is>
      </c>
      <c r="AL133" s="22" t="n"/>
    </row>
    <row r="134">
      <c r="A134" s="2" t="inlineStr">
        <is>
          <t>512350935063593</t>
        </is>
      </c>
      <c r="B134" s="2" t="inlineStr">
        <is>
          <t>D-S4-SP-red silk sheets king-(Silk)-LSV-Exact-Rank-DO-SATIN-4PCS-KING-RED</t>
        </is>
      </c>
      <c r="C134" s="2" t="inlineStr">
        <is>
          <t>red silk sheets king [exact, $0.80, 19 clicks]</t>
        </is>
      </c>
      <c r="D134" s="2" t="inlineStr">
        <is>
          <t>red silk sheets king</t>
        </is>
      </c>
      <c r="E134" s="2" t="inlineStr">
        <is>
          <t>ENABLED</t>
        </is>
      </c>
      <c r="F134" s="2" t="inlineStr">
        <is>
          <t>Ranking</t>
        </is>
      </c>
      <c r="G134" s="2" t="inlineStr">
        <is>
          <t>Conversions</t>
        </is>
      </c>
      <c r="H134" s="2" t="inlineStr">
        <is>
          <t>OUT</t>
        </is>
      </c>
      <c r="I134" s="2" t="inlineStr">
        <is>
          <t>Exact</t>
        </is>
      </c>
      <c r="J134" s="2" t="inlineStr">
        <is>
          <t>SATIN-4PCS-KING-RED</t>
        </is>
      </c>
      <c r="K134" s="2" t="inlineStr">
        <is>
          <t>SATIN-4PCS-KING-RED</t>
        </is>
      </c>
      <c r="L134" s="2" t="inlineStr">
        <is>
          <t>$0.80</t>
        </is>
      </c>
      <c r="M134" s="2" t="inlineStr">
        <is>
          <t>$0.80</t>
        </is>
      </c>
      <c r="N134" s="2" t="n">
        <v>0</v>
      </c>
      <c r="O134" s="2" t="n">
        <v>0</v>
      </c>
      <c r="P134" s="21" t="n">
        <v>0.8</v>
      </c>
      <c r="Q134" s="21" t="n">
        <v>0.8</v>
      </c>
      <c r="R134" s="2" t="n">
        <v>0</v>
      </c>
      <c r="S134" s="2" t="n">
        <v>0</v>
      </c>
      <c r="T134" s="2" t="n">
        <v>0</v>
      </c>
      <c r="U134" s="2" t="n">
        <v>0</v>
      </c>
      <c r="V134" s="21" t="n">
        <v>20</v>
      </c>
      <c r="W134" s="21" t="n">
        <v>20</v>
      </c>
      <c r="X134" s="2" t="inlineStr">
        <is>
          <t>ENABLED</t>
        </is>
      </c>
      <c r="Y134" s="2" t="inlineStr">
        <is>
          <t>none</t>
        </is>
      </c>
      <c r="Z134" s="2" t="inlineStr">
        <is>
          <t>defer — engine name wrong ((Conversion)); load a corrected name after 28 Oct</t>
        </is>
      </c>
      <c r="AA134" s="21" t="n">
        <v>15.08</v>
      </c>
      <c r="AB134" s="2" t="n">
        <v>19</v>
      </c>
      <c r="AC134" s="2" t="n">
        <v>3</v>
      </c>
      <c r="AD134" s="2" t="n">
        <v>15.4</v>
      </c>
      <c r="AE134" s="2" t="n">
        <v>5.26</v>
      </c>
      <c r="AF134" s="2" t="n">
        <v>84.20999999999999</v>
      </c>
      <c r="AG134" s="2" t="n">
        <v>27</v>
      </c>
      <c r="AH134" s="2" t="inlineStr">
        <is>
          <t>Reject pause</t>
        </is>
      </c>
      <c r="AI134" s="22" t="inlineStr">
        <is>
          <t>Keep target "red silk sheets king" enabled; child SATIN-4PCS-KING-RED is already the live colour child (reject pause seq 2049); retag → Conversions</t>
        </is>
      </c>
      <c r="AJ134" s="22" t="inlineStr">
        <is>
          <t>15.4% ACoS on 3 orders / 19 clicks (CC 31 Aug–29 Sep). The rule says "SATIN-RED-KING is out of stock", but these campaigns advertise SATIN-4PCS-KING-RED. Sellerboard shows 262 available + 402 inbound, about 70 days of cover (SB inventory 09-28).</t>
        </is>
      </c>
      <c r="AK134" s="2" t="inlineStr">
        <is>
          <t>seq 2049 state: hold; seq 2970 rename CHANGE; our addition: standard → Conversions (colour term "red silk sheets king")</t>
        </is>
      </c>
      <c r="AL134" s="22" t="n"/>
    </row>
    <row r="135">
      <c r="A135" s="2" t="inlineStr">
        <is>
          <t>543022839298112</t>
        </is>
      </c>
      <c r="B135" s="2" t="inlineStr">
        <is>
          <t>D-S4-SP-sheets queen satin-(Satin)-HSV-Exact-Rank-DO-SS-SATIN-RED-QUEEN-4PCS</t>
        </is>
      </c>
      <c r="C135" s="2" t="inlineStr">
        <is>
          <t>sheets queen satin [exact, $1.90, 5 clicks]</t>
        </is>
      </c>
      <c r="D135" s="2" t="inlineStr">
        <is>
          <t>sheets queen satin</t>
        </is>
      </c>
      <c r="E135" s="2" t="inlineStr">
        <is>
          <t>ENABLED</t>
        </is>
      </c>
      <c r="F135" s="2" t="inlineStr">
        <is>
          <t>Ranking</t>
        </is>
      </c>
      <c r="G135" s="2" t="inlineStr">
        <is>
          <t>Ranking</t>
        </is>
      </c>
      <c r="H135" s="2" t="inlineStr">
        <is>
          <t>OUT</t>
        </is>
      </c>
      <c r="I135" s="2" t="inlineStr">
        <is>
          <t>Exact</t>
        </is>
      </c>
      <c r="J135" s="2" t="inlineStr">
        <is>
          <t>SATIN-QUEEN-GREY</t>
        </is>
      </c>
      <c r="K135" s="2" t="inlineStr">
        <is>
          <t>SATIN-QUEEN-GREY</t>
        </is>
      </c>
      <c r="L135" s="2" t="inlineStr">
        <is>
          <t>$1.90</t>
        </is>
      </c>
      <c r="M135" s="2" t="inlineStr">
        <is>
          <t>$1.33</t>
        </is>
      </c>
      <c r="N135" s="2" t="n">
        <v>105</v>
      </c>
      <c r="O135" s="2" t="n">
        <v>105</v>
      </c>
      <c r="P135" s="21" t="n">
        <v>3.89</v>
      </c>
      <c r="Q135" s="21" t="n">
        <v>2.73</v>
      </c>
      <c r="R135" s="2" t="n">
        <v>0</v>
      </c>
      <c r="S135" s="2" t="n">
        <v>0</v>
      </c>
      <c r="T135" s="2" t="n">
        <v>0</v>
      </c>
      <c r="U135" s="2" t="n">
        <v>0</v>
      </c>
      <c r="V135" s="21" t="n">
        <v>10</v>
      </c>
      <c r="W135" s="21" t="n">
        <v>5</v>
      </c>
      <c r="X135" s="2" t="inlineStr">
        <is>
          <t>ENABLED</t>
        </is>
      </c>
      <c r="Y135" s="2" t="inlineStr">
        <is>
          <t>none</t>
        </is>
      </c>
      <c r="Z135" s="2" t="inlineStr">
        <is>
          <t>defer — engine name wrong (SKU token SATIN-QUEEN-GREY); load a corrected name after 28 Oct</t>
        </is>
      </c>
      <c r="AA135" s="21" t="n">
        <v>14.73</v>
      </c>
      <c r="AB135" s="2" t="n">
        <v>5</v>
      </c>
      <c r="AC135" s="2" t="n">
        <v>0</v>
      </c>
      <c r="AD135" s="2" t="n"/>
      <c r="AE135" s="2" t="n">
        <v>80</v>
      </c>
      <c r="AF135" s="2" t="n">
        <v>0</v>
      </c>
      <c r="AG135" s="2" t="n">
        <v>1</v>
      </c>
      <c r="AH135" s="2" t="inlineStr">
        <is>
          <t>Price cut</t>
        </is>
      </c>
      <c r="AI135" s="22" t="inlineStr">
        <is>
          <t>Cut base 30% ($1.90 → $1.33); Budget $10 → $5</t>
        </is>
      </c>
      <c r="AJ135" s="22" t="inlineStr">
        <is>
          <t>no sales ACoS on 0 orders / 5 clicks (CC 31 Aug–29 Sep) vs Queen Grey break-even 11.2%; audit row loads as written (review 40 agrees).</t>
        </is>
      </c>
      <c r="AK135" s="2" t="inlineStr">
        <is>
          <t>seq 290 budget: agree with review 40; seq 294 bid: agree with review 40; seq 1854 child: reject — keep SATIN-QUEEN-GREY; seq 2985 rename CHANGE</t>
        </is>
      </c>
      <c r="AL135" s="22" t="n"/>
    </row>
    <row r="136">
      <c r="A136" s="2" t="inlineStr">
        <is>
          <t>251474464308160</t>
        </is>
      </c>
      <c r="B136" s="2" t="inlineStr">
        <is>
          <t>D-S4-SP-EXACT-deep pocket queen satin sheets-Satin|Queen-SATIN-QUEEN-BLACK</t>
        </is>
      </c>
      <c r="C136" s="2" t="inlineStr">
        <is>
          <t>deep pocket queen satin sheets [exact]</t>
        </is>
      </c>
      <c r="D136" s="2" t="inlineStr">
        <is>
          <t>whole campaign</t>
        </is>
      </c>
      <c r="E136" s="2" t="inlineStr">
        <is>
          <t>ENABLED</t>
        </is>
      </c>
      <c r="F136" s="2" t="inlineStr">
        <is>
          <t>Conversions</t>
        </is>
      </c>
      <c r="G136" s="2" t="inlineStr">
        <is>
          <t>Ranking</t>
        </is>
      </c>
      <c r="H136" s="2" t="n"/>
      <c r="I136" s="2" t="inlineStr">
        <is>
          <t>Exact</t>
        </is>
      </c>
      <c r="J136" s="2" t="inlineStr">
        <is>
          <t>SATIN-QUEEN-BLACK</t>
        </is>
      </c>
      <c r="K136" s="2" t="inlineStr">
        <is>
          <t>SATIN-QUEEN-BLACK</t>
        </is>
      </c>
      <c r="L136" s="2" t="inlineStr">
        <is>
          <t>n/a (no target bid in audit)</t>
        </is>
      </c>
      <c r="M136" s="2" t="inlineStr">
        <is>
          <t>n/a</t>
        </is>
      </c>
      <c r="N136" s="2" t="n">
        <v>0</v>
      </c>
      <c r="O136" s="2" t="n">
        <v>0</v>
      </c>
      <c r="P136" s="21" t="n"/>
      <c r="Q136" s="21" t="n"/>
      <c r="R136" s="2" t="n"/>
      <c r="S136" s="2" t="n"/>
      <c r="T136" s="2" t="n"/>
      <c r="U136" s="2" t="n"/>
      <c r="V136" s="21" t="n">
        <v>8.06</v>
      </c>
      <c r="W136" s="21" t="n">
        <v>8.06</v>
      </c>
      <c r="X136" s="2" t="inlineStr">
        <is>
          <t>ENABLED</t>
        </is>
      </c>
      <c r="Y136" s="2" t="inlineStr">
        <is>
          <t>none</t>
        </is>
      </c>
      <c r="Z136" s="2" t="inlineStr">
        <is>
          <t>defer — engine name wrong (SKU token SATIN-QUEEN-BLACK; (Ranking)); load a corrected name after 28 Oct</t>
        </is>
      </c>
      <c r="AA136" s="21" t="n">
        <v>14.43</v>
      </c>
      <c r="AB136" s="2" t="n">
        <v>8</v>
      </c>
      <c r="AC136" s="2" t="n">
        <v>1</v>
      </c>
      <c r="AD136" s="2" t="n">
        <v>45.2</v>
      </c>
      <c r="AE136" s="2" t="n">
        <v>62.5</v>
      </c>
      <c r="AF136" s="2" t="n">
        <v>12.5</v>
      </c>
      <c r="AG136" s="2" t="n">
        <v>1</v>
      </c>
      <c r="AH136" s="2" t="inlineStr">
        <is>
          <t>Retag only</t>
        </is>
      </c>
      <c r="AI136" s="22" t="inlineStr">
        <is>
          <t>retag → Ranking</t>
        </is>
      </c>
      <c r="AJ136" s="22" t="inlineStr">
        <is>
          <t>Objective Conversions → Ranking by the standard (our retag verdict); 45.2% ACoS on 1 orders / 8 clicks (CC 31 Aug–29 Sep).</t>
        </is>
      </c>
      <c r="AK136" s="2" t="inlineStr">
        <is>
          <t>seq 1873 child: reject — keep SATIN-QUEEN-BLACK; seq 2142 retag correct to Ranking; seq 3028 rename CHANGE</t>
        </is>
      </c>
      <c r="AL136" s="22" t="n"/>
    </row>
    <row r="137">
      <c r="A137" s="2" t="inlineStr">
        <is>
          <t>102524994194293</t>
        </is>
      </c>
      <c r="B137" s="2" t="inlineStr">
        <is>
          <t>D-S4-full satin sheets - [Satin|Full] - Exact - Ran - DO - SATIN-FULL-BLACK</t>
        </is>
      </c>
      <c r="C137" s="2" t="inlineStr">
        <is>
          <t>full satin sheets [exact, $0.57, 9 clicks]</t>
        </is>
      </c>
      <c r="D137" s="2" t="inlineStr">
        <is>
          <t>—</t>
        </is>
      </c>
      <c r="E137" s="2" t="inlineStr">
        <is>
          <t>ENABLED</t>
        </is>
      </c>
      <c r="F137" s="2" t="inlineStr">
        <is>
          <t>Ranking</t>
        </is>
      </c>
      <c r="G137" s="2" t="inlineStr">
        <is>
          <t>Ranking</t>
        </is>
      </c>
      <c r="H137" s="2" t="inlineStr">
        <is>
          <t>OUT</t>
        </is>
      </c>
      <c r="I137" s="2" t="inlineStr">
        <is>
          <t>Exact</t>
        </is>
      </c>
      <c r="J137" s="2" t="inlineStr">
        <is>
          <t>SATIN-FULL-BLACK</t>
        </is>
      </c>
      <c r="K137" s="2" t="inlineStr">
        <is>
          <t>SATIN-FULL-BLACK</t>
        </is>
      </c>
      <c r="L137" s="2" t="inlineStr">
        <is>
          <t>$0.57</t>
        </is>
      </c>
      <c r="M137" s="2" t="inlineStr">
        <is>
          <t>$0.57</t>
        </is>
      </c>
      <c r="N137" s="2" t="n">
        <v>220</v>
      </c>
      <c r="O137" s="2" t="n">
        <v>220</v>
      </c>
      <c r="P137" s="21" t="n">
        <v>1.82</v>
      </c>
      <c r="Q137" s="21" t="n">
        <v>1.82</v>
      </c>
      <c r="R137" s="2" t="n">
        <v>0</v>
      </c>
      <c r="S137" s="2" t="n">
        <v>0</v>
      </c>
      <c r="T137" s="2" t="n">
        <v>0</v>
      </c>
      <c r="U137" s="2" t="n">
        <v>0</v>
      </c>
      <c r="V137" s="21" t="n">
        <v>11.87</v>
      </c>
      <c r="W137" s="21" t="n">
        <v>11.87</v>
      </c>
      <c r="X137" s="2" t="inlineStr">
        <is>
          <t>ENABLED</t>
        </is>
      </c>
      <c r="Y137" s="2" t="inlineStr">
        <is>
          <t>none</t>
        </is>
      </c>
      <c r="Z137" s="2" t="inlineStr">
        <is>
          <t>defer — engine name wrong (SKU token SATIN-FULL-BLACK); load a corrected name after 28 Oct</t>
        </is>
      </c>
      <c r="AA137" s="21" t="n">
        <v>14.22</v>
      </c>
      <c r="AB137" s="2" t="n">
        <v>9</v>
      </c>
      <c r="AC137" s="2" t="n">
        <v>3</v>
      </c>
      <c r="AD137" s="2" t="n">
        <v>15.2</v>
      </c>
      <c r="AE137" s="2" t="n">
        <v>100</v>
      </c>
      <c r="AF137" s="2" t="n">
        <v>0</v>
      </c>
      <c r="AG137" s="2" t="n">
        <v>17</v>
      </c>
      <c r="AH137" s="2" t="inlineStr">
        <is>
          <t>No change (engine move rejected/held)</t>
        </is>
      </c>
      <c r="AI137" s="22" t="inlineStr">
        <is>
          <t>No change (reject engine child swap seq 1847; defer engine rename)</t>
        </is>
      </c>
      <c r="AJ137" s="22" t="inlineStr">
        <is>
          <t>Engine swap SATIN-FULL-BLACK → SATIN-4PCS-FULL-ROSEWOOD rejected: the pick comes from the broken size map, and SATIN-FULL-BLACK is the size's best seller with cover (SB 30 Aug–29 Sep); the engine rename writes a wrong token and is deferred; 15.2% ACoS on 3 orders / 9 clicks (CC 31 Aug–29 Sep).</t>
        </is>
      </c>
      <c r="AK137" s="2" t="inlineStr">
        <is>
          <t>seq 1847 child: reject — keep SATIN-FULL-BLACK; seq 2847 structure: correct: drop the notice; seq 2969 rename CHANGE</t>
        </is>
      </c>
      <c r="AL137" s="22" t="n"/>
    </row>
    <row r="138">
      <c r="A138" s="2" t="inlineStr">
        <is>
          <t>79231677791815</t>
        </is>
      </c>
      <c r="B138" s="23" t="inlineStr">
        <is>
          <t>D-S4-satin bed sheets queen - [Satin|Queen] - Exact - Ran - DO - SATIN-QUEEN-BLACK</t>
        </is>
      </c>
      <c r="C138" s="2" t="inlineStr">
        <is>
          <t>satin bed sheets queen [exact, $0.50, 8 clicks]</t>
        </is>
      </c>
      <c r="D138" s="23" t="inlineStr">
        <is>
          <t>satin bed sheets queen</t>
        </is>
      </c>
      <c r="E138" s="2" t="inlineStr">
        <is>
          <t>ENABLED</t>
        </is>
      </c>
      <c r="F138" s="2" t="inlineStr">
        <is>
          <t>Ranking</t>
        </is>
      </c>
      <c r="G138" s="2" t="inlineStr">
        <is>
          <t>Ranking</t>
        </is>
      </c>
      <c r="H138" s="2" t="inlineStr">
        <is>
          <t>Satin|Queen</t>
        </is>
      </c>
      <c r="I138" s="2" t="inlineStr">
        <is>
          <t>Exact</t>
        </is>
      </c>
      <c r="J138" s="2" t="inlineStr">
        <is>
          <t>SATIN-QUEEN-BLACK</t>
        </is>
      </c>
      <c r="K138" s="2" t="inlineStr">
        <is>
          <t>SATIN-QUEEN-BLACK</t>
        </is>
      </c>
      <c r="L138" s="2" t="inlineStr">
        <is>
          <t>$0.50</t>
        </is>
      </c>
      <c r="M138" s="2" t="inlineStr">
        <is>
          <t>$0.50</t>
        </is>
      </c>
      <c r="N138" s="2" t="n">
        <v>270</v>
      </c>
      <c r="O138" s="2" t="n">
        <v>270</v>
      </c>
      <c r="P138" s="21" t="n">
        <v>1.85</v>
      </c>
      <c r="Q138" s="21" t="n">
        <v>1.85</v>
      </c>
      <c r="R138" s="2" t="n">
        <v>0</v>
      </c>
      <c r="S138" s="2" t="n">
        <v>0</v>
      </c>
      <c r="T138" s="2" t="n">
        <v>0</v>
      </c>
      <c r="U138" s="2" t="n">
        <v>0</v>
      </c>
      <c r="V138" s="21" t="n">
        <v>10.7</v>
      </c>
      <c r="W138" s="21" t="n">
        <v>10.7</v>
      </c>
      <c r="X138" s="2" t="inlineStr">
        <is>
          <t>ENABLED</t>
        </is>
      </c>
      <c r="Y138" s="2" t="inlineStr">
        <is>
          <t>none</t>
        </is>
      </c>
      <c r="Z138" s="2" t="inlineStr">
        <is>
          <t>defer — engine name wrong (SKU token SATIN-QUEEN-BLACK); load a corrected name after 28 Oct</t>
        </is>
      </c>
      <c r="AA138" s="21" t="n">
        <v>14.11</v>
      </c>
      <c r="AB138" s="2" t="n">
        <v>8</v>
      </c>
      <c r="AC138" s="2" t="n">
        <v>0</v>
      </c>
      <c r="AD138" s="2" t="n"/>
      <c r="AE138" s="2" t="n">
        <v>100</v>
      </c>
      <c r="AF138" s="2" t="n">
        <v>0</v>
      </c>
      <c r="AG138" s="2" t="n">
        <v>19</v>
      </c>
      <c r="AH138" s="2" t="inlineStr">
        <is>
          <t>Hold (price)</t>
        </is>
      </c>
      <c r="AI138" s="24" t="inlineStr">
        <is>
          <t>Hold price (seq 304)</t>
        </is>
      </c>
      <c r="AJ138" s="22" t="inlineStr">
        <is>
          <t>no sales ACoS on 0 orders / 8 clicks (CC 31 Aug–29 Sep). 8 clicks, 0 orders; TOS $1.85 equals its $1.85 ceiling. The engine's own base analysis says "the correction is the modifier, not the base", and team §12 says no… Note: bid satin bed sheets queen held (seq 304).</t>
        </is>
      </c>
      <c r="AK138" s="2" t="inlineStr">
        <is>
          <t>seq 304 bid: hold; seq 1845 child: reject — keep SATIN-QUEEN-BLACK; seq 2964 rename CHANGE</t>
        </is>
      </c>
      <c r="AL138" s="24" t="inlineStr">
        <is>
          <t>PUSH-SMALL · score 60 · 0.7 TOS clicks/day · TOS $1.77 · $1/day (with 47941523261030)</t>
        </is>
      </c>
    </row>
    <row r="139">
      <c r="A139" s="2" t="inlineStr">
        <is>
          <t>545053729101534</t>
        </is>
      </c>
      <c r="B139" s="2" t="inlineStr">
        <is>
          <t>DBS6-SP-B0CQ2ZWGNQ-(PAT)-Targeting-(Defensive)-DO-BAMBOO-QUEEN-WHITE-6PCS</t>
        </is>
      </c>
      <c r="C139" s="2" t="inlineStr">
        <is>
          <t>Product targets: B0CQ2ZWGNQ</t>
        </is>
      </c>
      <c r="D139" s="2" t="inlineStr">
        <is>
          <t>—</t>
        </is>
      </c>
      <c r="E139" s="2" t="inlineStr">
        <is>
          <t>ENABLED</t>
        </is>
      </c>
      <c r="F139" s="2" t="inlineStr">
        <is>
          <t>Defensive</t>
        </is>
      </c>
      <c r="G139" s="2" t="inlineStr">
        <is>
          <t>Defensive</t>
        </is>
      </c>
      <c r="H139" s="2" t="n"/>
      <c r="I139" s="2" t="inlineStr">
        <is>
          <t>ASIN</t>
        </is>
      </c>
      <c r="J139" s="2" t="inlineStr">
        <is>
          <t>SATIN-QUEEN-BLACK</t>
        </is>
      </c>
      <c r="K139" s="2" t="inlineStr">
        <is>
          <t>SATIN-QUEEN-BLACK</t>
        </is>
      </c>
      <c r="L139" s="2" t="inlineStr">
        <is>
          <t>n/a (no target bid in audit)</t>
        </is>
      </c>
      <c r="M139" s="2" t="inlineStr">
        <is>
          <t>n/a</t>
        </is>
      </c>
      <c r="N139" s="2" t="n">
        <v>0</v>
      </c>
      <c r="O139" s="2" t="n">
        <v>0</v>
      </c>
      <c r="P139" s="21" t="n"/>
      <c r="Q139" s="21" t="n"/>
      <c r="R139" s="2" t="n"/>
      <c r="S139" s="2" t="n"/>
      <c r="T139" s="2" t="n"/>
      <c r="U139" s="2" t="n"/>
      <c r="V139" s="21" t="n">
        <v>10</v>
      </c>
      <c r="W139" s="21" t="n">
        <v>10</v>
      </c>
      <c r="X139" s="2" t="inlineStr">
        <is>
          <t>ENABLED</t>
        </is>
      </c>
      <c r="Y139" s="2" t="inlineStr">
        <is>
          <t>none</t>
        </is>
      </c>
      <c r="Z139" s="2" t="inlineStr">
        <is>
          <t>none</t>
        </is>
      </c>
      <c r="AA139" s="21" t="n">
        <v>13.86</v>
      </c>
      <c r="AB139" s="2" t="n">
        <v>14</v>
      </c>
      <c r="AC139" s="2" t="n">
        <v>3</v>
      </c>
      <c r="AD139" s="2" t="n">
        <v>6.1</v>
      </c>
      <c r="AE139" s="2" t="n">
        <v>21.43</v>
      </c>
      <c r="AF139" s="2" t="n">
        <v>7.14</v>
      </c>
      <c r="AG139" s="2" t="n">
        <v>6</v>
      </c>
      <c r="AH139" s="2" t="inlineStr">
        <is>
          <t>No change</t>
        </is>
      </c>
      <c r="AI139" s="22" t="inlineStr">
        <is>
          <t>No change</t>
        </is>
      </c>
      <c r="AJ139" s="22" t="inlineStr">
        <is>
          <t>No run decision and no issue found; 6.1% ACoS on 3 orders / 14 clicks (CC 31 Aug–29 Sep).</t>
        </is>
      </c>
      <c r="AK139" s="2" t="inlineStr">
        <is>
          <t>no run decision</t>
        </is>
      </c>
      <c r="AL139" s="22" t="n"/>
    </row>
    <row r="140">
      <c r="A140" s="2" t="inlineStr">
        <is>
          <t>52459436187143</t>
        </is>
      </c>
      <c r="B140" s="2" t="inlineStr">
        <is>
          <t>D-S4-SP-EXACT-full size black silk sheet set-Silk|Full-SATIN-FULL-BLACK</t>
        </is>
      </c>
      <c r="C140" s="2" t="inlineStr">
        <is>
          <t>full size black silk sheet set [exact]</t>
        </is>
      </c>
      <c r="D140" s="2" t="inlineStr">
        <is>
          <t>whole campaign</t>
        </is>
      </c>
      <c r="E140" s="2" t="inlineStr">
        <is>
          <t>ENABLED</t>
        </is>
      </c>
      <c r="F140" s="2" t="inlineStr">
        <is>
          <t>Conversions</t>
        </is>
      </c>
      <c r="G140" s="2" t="inlineStr">
        <is>
          <t>Conversions</t>
        </is>
      </c>
      <c r="H140" s="2" t="n"/>
      <c r="I140" s="2" t="inlineStr">
        <is>
          <t>Exact</t>
        </is>
      </c>
      <c r="J140" s="2" t="inlineStr">
        <is>
          <t>SATIN-FULL-BLACK</t>
        </is>
      </c>
      <c r="K140" s="2" t="inlineStr">
        <is>
          <t>SATIN-FULL-BLACK</t>
        </is>
      </c>
      <c r="L140" s="2" t="inlineStr">
        <is>
          <t>n/a (no target bid in audit)</t>
        </is>
      </c>
      <c r="M140" s="2" t="inlineStr">
        <is>
          <t>n/a</t>
        </is>
      </c>
      <c r="N140" s="2" t="n">
        <v>0</v>
      </c>
      <c r="O140" s="2" t="n">
        <v>0</v>
      </c>
      <c r="P140" s="21" t="n"/>
      <c r="Q140" s="21" t="n"/>
      <c r="R140" s="2" t="n"/>
      <c r="S140" s="2" t="n"/>
      <c r="T140" s="2" t="n"/>
      <c r="U140" s="2" t="n"/>
      <c r="V140" s="21" t="n">
        <v>9.58</v>
      </c>
      <c r="W140" s="21" t="n">
        <v>9.58</v>
      </c>
      <c r="X140" s="2" t="inlineStr">
        <is>
          <t>ENABLED</t>
        </is>
      </c>
      <c r="Y140" s="2" t="inlineStr">
        <is>
          <t>none</t>
        </is>
      </c>
      <c r="Z140" s="2" t="inlineStr">
        <is>
          <t>load (clean): DSS4-SP-Full Size Black Silk Sheet Set-(VLSV)-Exact-(Conversion)-DO-SATIN-FULL-BLACK</t>
        </is>
      </c>
      <c r="AA140" s="21" t="n">
        <v>13.7</v>
      </c>
      <c r="AB140" s="2" t="n">
        <v>6</v>
      </c>
      <c r="AC140" s="2" t="n">
        <v>2</v>
      </c>
      <c r="AD140" s="2" t="n">
        <v>23.7</v>
      </c>
      <c r="AE140" s="2" t="n">
        <v>83.33</v>
      </c>
      <c r="AF140" s="2" t="n">
        <v>0</v>
      </c>
      <c r="AG140" s="2" t="n">
        <v>2</v>
      </c>
      <c r="AH140" s="2" t="inlineStr">
        <is>
          <t>Rename only</t>
        </is>
      </c>
      <c r="AI140" s="22" t="inlineStr">
        <is>
          <t>Load rename only</t>
        </is>
      </c>
      <c r="AJ140" s="22" t="inlineStr">
        <is>
          <t>Clean rename (SKU token and objective match what the campaign advertises); 23.7% ACoS on 2 orders / 6 clicks (CC 31 Aug–29 Sep).</t>
        </is>
      </c>
      <c r="AK140" s="2" t="inlineStr">
        <is>
          <t>seq 2114 retag LOAD; seq 2962 rename LOAD</t>
        </is>
      </c>
      <c r="AL140" s="22" t="n"/>
    </row>
    <row r="141">
      <c r="A141" s="2" t="inlineStr">
        <is>
          <t>132033654836368</t>
        </is>
      </c>
      <c r="B141" s="2" t="inlineStr">
        <is>
          <t>D-S4-black satin sheets - [Satin] - Exact - Ran - DO - SATIN-QUEEN-BLACK</t>
        </is>
      </c>
      <c r="C141" s="2" t="inlineStr">
        <is>
          <t>black satin sheets [exact]</t>
        </is>
      </c>
      <c r="D141" s="2" t="inlineStr">
        <is>
          <t>black satin sheets</t>
        </is>
      </c>
      <c r="E141" s="2" t="inlineStr">
        <is>
          <t>ENABLED</t>
        </is>
      </c>
      <c r="F141" s="2" t="inlineStr">
        <is>
          <t>Ranking</t>
        </is>
      </c>
      <c r="G141" s="2" t="inlineStr">
        <is>
          <t>Conversions</t>
        </is>
      </c>
      <c r="H141" s="2" t="inlineStr">
        <is>
          <t>Satin</t>
        </is>
      </c>
      <c r="I141" s="2" t="inlineStr">
        <is>
          <t>Exact</t>
        </is>
      </c>
      <c r="J141" s="2" t="inlineStr">
        <is>
          <t>SATIN-QUEEN-BLACK</t>
        </is>
      </c>
      <c r="K141" s="2" t="inlineStr">
        <is>
          <t>SATIN-QUEEN-BLACK</t>
        </is>
      </c>
      <c r="L141" s="2" t="inlineStr">
        <is>
          <t>n/a (no target bid in audit)</t>
        </is>
      </c>
      <c r="M141" s="2" t="inlineStr">
        <is>
          <t>n/a</t>
        </is>
      </c>
      <c r="N141" s="2" t="n">
        <v>30</v>
      </c>
      <c r="O141" s="2" t="n">
        <v>30</v>
      </c>
      <c r="P141" s="21" t="n"/>
      <c r="Q141" s="21" t="n"/>
      <c r="R141" s="2" t="n"/>
      <c r="S141" s="2" t="n"/>
      <c r="T141" s="2" t="n"/>
      <c r="U141" s="2" t="n"/>
      <c r="V141" s="21" t="n">
        <v>9.94</v>
      </c>
      <c r="W141" s="21" t="n">
        <v>9.94</v>
      </c>
      <c r="X141" s="2" t="inlineStr">
        <is>
          <t>ENABLED</t>
        </is>
      </c>
      <c r="Y141" s="2" t="inlineStr">
        <is>
          <t>none</t>
        </is>
      </c>
      <c r="Z141" s="2" t="inlineStr">
        <is>
          <t>defer — engine name wrong ((Conversion)); load a corrected name after 28 Oct</t>
        </is>
      </c>
      <c r="AA141" s="21" t="n">
        <v>11.7</v>
      </c>
      <c r="AB141" s="2" t="n">
        <v>11</v>
      </c>
      <c r="AC141" s="2" t="n">
        <v>0</v>
      </c>
      <c r="AD141" s="2" t="n"/>
      <c r="AE141" s="2" t="n">
        <v>18.18</v>
      </c>
      <c r="AF141" s="2" t="n">
        <v>18.18</v>
      </c>
      <c r="AG141" s="2" t="n">
        <v>27</v>
      </c>
      <c r="AH141" s="2" t="inlineStr">
        <is>
          <t>Retag only</t>
        </is>
      </c>
      <c r="AI141" s="22" t="inlineStr">
        <is>
          <t>retag → Conversions</t>
        </is>
      </c>
      <c r="AJ141" s="22" t="inlineStr">
        <is>
          <t>Objective Ranking → Conversions by the standard (our retag verdict); no sales ACoS on 0 orders / 11 clicks (CC 31 Aug–29 Sep).</t>
        </is>
      </c>
      <c r="AK141" s="2" t="inlineStr">
        <is>
          <t>seq 2133 retag correct to Conversions; seq 3003 rename CHANGE</t>
        </is>
      </c>
      <c r="AL141" s="22" t="inlineStr">
        <is>
          <t>MAINTAIN · score 45 · colour term; TOS $1.57 → $1.17</t>
        </is>
      </c>
    </row>
    <row r="142">
      <c r="A142" s="2" t="inlineStr">
        <is>
          <t>51176122488466</t>
        </is>
      </c>
      <c r="B142" s="2" t="inlineStr">
        <is>
          <t>D-S4-white silk sheets full - [Silk|Full] - Exact - Ran - DO - SATIN-WHITE-FULL</t>
        </is>
      </c>
      <c r="C142" s="2" t="inlineStr">
        <is>
          <t>white silk sheets full [exact, $0.61, 6 clicks]</t>
        </is>
      </c>
      <c r="D142" s="2" t="inlineStr">
        <is>
          <t>white silk sheets full</t>
        </is>
      </c>
      <c r="E142" s="2" t="inlineStr">
        <is>
          <t>ENABLED</t>
        </is>
      </c>
      <c r="F142" s="2" t="inlineStr">
        <is>
          <t>Ranking</t>
        </is>
      </c>
      <c r="G142" s="2" t="inlineStr">
        <is>
          <t>Conversions</t>
        </is>
      </c>
      <c r="H142" s="2" t="inlineStr">
        <is>
          <t>OUT</t>
        </is>
      </c>
      <c r="I142" s="2" t="inlineStr">
        <is>
          <t>Exact</t>
        </is>
      </c>
      <c r="J142" s="2" t="inlineStr">
        <is>
          <t>SATIN-WHITE-FULL</t>
        </is>
      </c>
      <c r="K142" s="2" t="inlineStr">
        <is>
          <t>SATIN-WHITE-FULL</t>
        </is>
      </c>
      <c r="L142" s="2" t="inlineStr">
        <is>
          <t>$0.61</t>
        </is>
      </c>
      <c r="M142" s="2" t="inlineStr">
        <is>
          <t>$0.43</t>
        </is>
      </c>
      <c r="N142" s="2" t="n">
        <v>220</v>
      </c>
      <c r="O142" s="2" t="n">
        <v>220</v>
      </c>
      <c r="P142" s="21" t="n">
        <v>1.95</v>
      </c>
      <c r="Q142" s="21" t="n">
        <v>1.38</v>
      </c>
      <c r="R142" s="2" t="n">
        <v>0</v>
      </c>
      <c r="S142" s="2" t="n">
        <v>0</v>
      </c>
      <c r="T142" s="2" t="n">
        <v>0</v>
      </c>
      <c r="U142" s="2" t="n">
        <v>0</v>
      </c>
      <c r="V142" s="21" t="n">
        <v>11.21</v>
      </c>
      <c r="W142" s="21" t="n">
        <v>5.61</v>
      </c>
      <c r="X142" s="2" t="inlineStr">
        <is>
          <t>ENABLED</t>
        </is>
      </c>
      <c r="Y142" s="2" t="inlineStr">
        <is>
          <t>none</t>
        </is>
      </c>
      <c r="Z142" s="2" t="inlineStr">
        <is>
          <t>defer — engine name wrong ((Conversion)); load a corrected name after 28 Oct</t>
        </is>
      </c>
      <c r="AA142" s="21" t="n">
        <v>11.42</v>
      </c>
      <c r="AB142" s="2" t="n">
        <v>6</v>
      </c>
      <c r="AC142" s="2" t="n">
        <v>0</v>
      </c>
      <c r="AD142" s="2" t="n"/>
      <c r="AE142" s="2" t="n">
        <v>100</v>
      </c>
      <c r="AF142" s="2" t="n">
        <v>0</v>
      </c>
      <c r="AG142" s="2" t="n">
        <v>8</v>
      </c>
      <c r="AH142" s="2" t="inlineStr">
        <is>
          <t>Price cut</t>
        </is>
      </c>
      <c r="AI142" s="22" t="inlineStr">
        <is>
          <t>Cut base 30% ($0.61 → $0.43); Budget $11.21 → $5.61; retag → Conversions</t>
        </is>
      </c>
      <c r="AJ142" s="22" t="inlineStr">
        <is>
          <t>Objective Ranking → Conversions by the standard (colour term "white silk sheets full"); no sales ACoS on 0 orders / 6 clicks (CC 31 Aug–29 Sep).</t>
        </is>
      </c>
      <c r="AK142" s="2" t="inlineStr">
        <is>
          <t>seq 305 budget: agree with review 40; seq 309 bid: agree with review 40; seq 2983 rename CHANGE; our addition: standard → Conversions (colour term "white silk sheets full")</t>
        </is>
      </c>
      <c r="AL142" s="22" t="n"/>
    </row>
    <row r="143">
      <c r="A143" s="2" t="inlineStr">
        <is>
          <t>178061752043931</t>
        </is>
      </c>
      <c r="B143" s="2" t="inlineStr">
        <is>
          <t>D-S4-silk sheets white - [Silk] - Exact - Ran - DO - SATIN-WHITE-QUEEN</t>
        </is>
      </c>
      <c r="C143" s="2" t="inlineStr">
        <is>
          <t>silk sheets white [exact]</t>
        </is>
      </c>
      <c r="D143" s="2" t="inlineStr">
        <is>
          <t>silk sheets white</t>
        </is>
      </c>
      <c r="E143" s="2" t="inlineStr">
        <is>
          <t>ENABLED</t>
        </is>
      </c>
      <c r="F143" s="2" t="inlineStr">
        <is>
          <t>Ranking</t>
        </is>
      </c>
      <c r="G143" s="2" t="inlineStr">
        <is>
          <t>Conversions</t>
        </is>
      </c>
      <c r="H143" s="2" t="inlineStr">
        <is>
          <t>Silk</t>
        </is>
      </c>
      <c r="I143" s="2" t="inlineStr">
        <is>
          <t>Exact</t>
        </is>
      </c>
      <c r="J143" s="2" t="inlineStr">
        <is>
          <t>SATIN-WHITE-QUEEN</t>
        </is>
      </c>
      <c r="K143" s="2" t="inlineStr">
        <is>
          <t>SATIN-WHITE-QUEEN</t>
        </is>
      </c>
      <c r="L143" s="2" t="inlineStr">
        <is>
          <t>$1.30</t>
        </is>
      </c>
      <c r="M143" s="2" t="inlineStr">
        <is>
          <t>$1.13</t>
        </is>
      </c>
      <c r="N143" s="2" t="n">
        <v>20</v>
      </c>
      <c r="O143" s="2" t="n">
        <v>20</v>
      </c>
      <c r="P143" s="21" t="n">
        <v>1.56</v>
      </c>
      <c r="Q143" s="21" t="n">
        <v>1.36</v>
      </c>
      <c r="R143" s="2" t="n"/>
      <c r="S143" s="2" t="n"/>
      <c r="T143" s="2" t="n"/>
      <c r="U143" s="2" t="n"/>
      <c r="V143" s="21" t="n">
        <v>7.88</v>
      </c>
      <c r="W143" s="21" t="n">
        <v>7.88</v>
      </c>
      <c r="X143" s="2" t="inlineStr">
        <is>
          <t>ENABLED</t>
        </is>
      </c>
      <c r="Y143" s="2" t="inlineStr">
        <is>
          <t>none</t>
        </is>
      </c>
      <c r="Z143" s="2" t="inlineStr">
        <is>
          <t>defer — engine name wrong ((Conversion)); load a corrected name after 28 Oct</t>
        </is>
      </c>
      <c r="AA143" s="21" t="n">
        <v>11.2</v>
      </c>
      <c r="AB143" s="2" t="n">
        <v>8</v>
      </c>
      <c r="AC143" s="2" t="n">
        <v>1</v>
      </c>
      <c r="AD143" s="2" t="n">
        <v>35.1</v>
      </c>
      <c r="AE143" s="2" t="n">
        <v>62.5</v>
      </c>
      <c r="AF143" s="2" t="n">
        <v>37.5</v>
      </c>
      <c r="AG143" s="2" t="n">
        <v>5</v>
      </c>
      <c r="AH143" s="2" t="inlineStr">
        <is>
          <t>Release hold + price to break-even</t>
        </is>
      </c>
      <c r="AI143" s="22" t="inlineStr">
        <is>
          <t>Release hold; cut base $1.30 → $1.13; retag → Conversions</t>
        </is>
      </c>
      <c r="AJ143" s="22" t="inlineStr">
        <is>
          <t>35.1% ACoS, 1 orders on 8 clicks (CC 31 Aug–29 Sep) vs Queen White break-even 29.1%; BE base = $9.02 contribution (Queen White) × 12.5% CVR = $1.13; cap 25% cut.</t>
        </is>
      </c>
      <c r="AK143" s="2" t="inlineStr">
        <is>
          <t>seq 2131 retag correct to Conversions; seq 2997 rename CHANGE; seq 1996 NOT SERVING hold(s) → release; price to break-even (our addition, reviewer D)</t>
        </is>
      </c>
      <c r="AL143" s="22" t="n"/>
    </row>
    <row r="144">
      <c r="A144" s="2" t="inlineStr">
        <is>
          <t>264130503590458</t>
        </is>
      </c>
      <c r="B144" s="2" t="inlineStr">
        <is>
          <t>D-S4-full size silk sheets - [Silk|Full] - Exact - Ran - DO - SATIN-FULL-BLACK</t>
        </is>
      </c>
      <c r="C144" s="2" t="inlineStr">
        <is>
          <t>full size silk sheets [exact]</t>
        </is>
      </c>
      <c r="D144" s="2" t="inlineStr">
        <is>
          <t>full size silk sheets</t>
        </is>
      </c>
      <c r="E144" s="2" t="inlineStr">
        <is>
          <t>ENABLED</t>
        </is>
      </c>
      <c r="F144" s="2" t="inlineStr">
        <is>
          <t>Ranking</t>
        </is>
      </c>
      <c r="G144" s="2" t="inlineStr">
        <is>
          <t>Ranking</t>
        </is>
      </c>
      <c r="H144" s="2" t="inlineStr">
        <is>
          <t>Silk|Full</t>
        </is>
      </c>
      <c r="I144" s="2" t="inlineStr">
        <is>
          <t>Exact</t>
        </is>
      </c>
      <c r="J144" s="2" t="inlineStr">
        <is>
          <t>SATIN-FULL-BLACK</t>
        </is>
      </c>
      <c r="K144" s="2" t="inlineStr">
        <is>
          <t>SATIN-FULL-BLACK</t>
        </is>
      </c>
      <c r="L144" s="2" t="inlineStr">
        <is>
          <t>$1.12</t>
        </is>
      </c>
      <c r="M144" s="2" t="inlineStr">
        <is>
          <t>$1.12</t>
        </is>
      </c>
      <c r="N144" s="2" t="n">
        <v>30</v>
      </c>
      <c r="O144" s="2" t="n">
        <v>30</v>
      </c>
      <c r="P144" s="21" t="n">
        <v>1.46</v>
      </c>
      <c r="Q144" s="21" t="n">
        <v>1.46</v>
      </c>
      <c r="R144" s="2" t="n"/>
      <c r="S144" s="2" t="n"/>
      <c r="T144" s="2" t="n"/>
      <c r="U144" s="2" t="n"/>
      <c r="V144" s="21" t="n">
        <v>11.6</v>
      </c>
      <c r="W144" s="21" t="n">
        <v>11.6</v>
      </c>
      <c r="X144" s="2" t="inlineStr">
        <is>
          <t>ENABLED</t>
        </is>
      </c>
      <c r="Y144" s="2" t="inlineStr">
        <is>
          <t>none</t>
        </is>
      </c>
      <c r="Z144" s="2" t="inlineStr">
        <is>
          <t>defer — engine name wrong (SKU token SATIN-FULL-BLACK); load a corrected name after 28 Oct</t>
        </is>
      </c>
      <c r="AA144" s="21" t="n">
        <v>11.08</v>
      </c>
      <c r="AB144" s="2" t="n">
        <v>10</v>
      </c>
      <c r="AC144" s="2" t="n">
        <v>3</v>
      </c>
      <c r="AD144" s="2" t="n">
        <v>12.8</v>
      </c>
      <c r="AE144" s="2" t="n">
        <v>0</v>
      </c>
      <c r="AF144" s="2" t="n">
        <v>100</v>
      </c>
      <c r="AG144" s="2" t="n">
        <v>11</v>
      </c>
      <c r="AH144" s="2" t="inlineStr">
        <is>
          <t>Release hold, keep price</t>
        </is>
      </c>
      <c r="AI144" s="22" t="inlineStr">
        <is>
          <t>Release hold; keep base $1.12 (at/under break-even)</t>
        </is>
      </c>
      <c r="AJ144" s="22" t="inlineStr">
        <is>
          <t>12.8% ACoS, 3 orders on 10 clicks (CC 31 Aug–29 Sep) vs Full Black break-even 27.5%; BE base = $8.04 contribution (Full Black) × 30.0% CVR = $2.41; cap 25% cut.</t>
        </is>
      </c>
      <c r="AK144" s="2" t="inlineStr">
        <is>
          <t>seq 1865 child: reject — keep SATIN-FULL-BLACK; seq 2136 retag LOAD; seq 3015 rename CHANGE; seq 1997 NOT SERVING hold(s) → release; price to break-even (our addition, reviewer D)</t>
        </is>
      </c>
      <c r="AL144" s="22" t="n"/>
    </row>
    <row r="145">
      <c r="A145" s="2" t="inlineStr">
        <is>
          <t>169880880670693</t>
        </is>
      </c>
      <c r="B145" s="2" t="inlineStr">
        <is>
          <t>D-S4-SP-EXACT-silk bed set full-Silk|Full-SATIN-FULL-BLACK</t>
        </is>
      </c>
      <c r="C145" s="2" t="inlineStr">
        <is>
          <t>silk bed set full [exact]</t>
        </is>
      </c>
      <c r="D145" s="2" t="inlineStr">
        <is>
          <t>whole campaign</t>
        </is>
      </c>
      <c r="E145" s="2" t="inlineStr">
        <is>
          <t>ENABLED</t>
        </is>
      </c>
      <c r="F145" s="2" t="inlineStr">
        <is>
          <t>Conversions</t>
        </is>
      </c>
      <c r="G145" s="2" t="inlineStr">
        <is>
          <t>Ranking</t>
        </is>
      </c>
      <c r="H145" s="2" t="n"/>
      <c r="I145" s="2" t="inlineStr">
        <is>
          <t>Exact</t>
        </is>
      </c>
      <c r="J145" s="2" t="inlineStr">
        <is>
          <t>SATIN-FULL-BLACK</t>
        </is>
      </c>
      <c r="K145" s="2" t="inlineStr">
        <is>
          <t>SATIN-FULL-BLACK</t>
        </is>
      </c>
      <c r="L145" s="2" t="inlineStr">
        <is>
          <t>n/a (no target bid in audit)</t>
        </is>
      </c>
      <c r="M145" s="2" t="inlineStr">
        <is>
          <t>n/a</t>
        </is>
      </c>
      <c r="N145" s="2" t="n">
        <v>0</v>
      </c>
      <c r="O145" s="2" t="n">
        <v>0</v>
      </c>
      <c r="P145" s="21" t="n"/>
      <c r="Q145" s="21" t="n"/>
      <c r="R145" s="2" t="n"/>
      <c r="S145" s="2" t="n"/>
      <c r="T145" s="2" t="n"/>
      <c r="U145" s="2" t="n"/>
      <c r="V145" s="21" t="n">
        <v>9.58</v>
      </c>
      <c r="W145" s="21" t="n">
        <v>9.58</v>
      </c>
      <c r="X145" s="2" t="inlineStr">
        <is>
          <t>ENABLED</t>
        </is>
      </c>
      <c r="Y145" s="2" t="inlineStr">
        <is>
          <t>none</t>
        </is>
      </c>
      <c r="Z145" s="2" t="inlineStr">
        <is>
          <t>defer — engine name wrong (SKU token SATIN-FULL-BLACK; (Ranking)); load a corrected name after 28 Oct</t>
        </is>
      </c>
      <c r="AA145" s="21" t="n">
        <v>10.74</v>
      </c>
      <c r="AB145" s="2" t="n">
        <v>7</v>
      </c>
      <c r="AC145" s="2" t="n">
        <v>0</v>
      </c>
      <c r="AD145" s="2" t="n"/>
      <c r="AE145" s="2" t="n">
        <v>57.14</v>
      </c>
      <c r="AF145" s="2" t="n">
        <v>28.57</v>
      </c>
      <c r="AG145" s="2" t="n">
        <v>0</v>
      </c>
      <c r="AH145" s="2" t="inlineStr">
        <is>
          <t>Retag only</t>
        </is>
      </c>
      <c r="AI145" s="22" t="inlineStr">
        <is>
          <t>retag → Ranking</t>
        </is>
      </c>
      <c r="AJ145" s="22" t="inlineStr">
        <is>
          <t>Objective Conversions → Ranking by the standard (our retag verdict); no sales ACoS on 0 orders / 7 clicks (CC 31 Aug–29 Sep).</t>
        </is>
      </c>
      <c r="AK145" s="2" t="inlineStr">
        <is>
          <t>seq 1859 child: reject — keep SATIN-FULL-BLACK; seq 2129 retag correct to Ranking; seq 2995 rename CHANGE</t>
        </is>
      </c>
      <c r="AL145" s="22" t="n"/>
    </row>
    <row r="146">
      <c r="A146" s="2" t="inlineStr">
        <is>
          <t>331342999808577</t>
        </is>
      </c>
      <c r="B146" s="2" t="inlineStr">
        <is>
          <t>D-S4-SP-bedsure dark gray king bed sheets-(Bed)-HSV-Exact-Rank-DO-SATIN-KING-GREY</t>
        </is>
      </c>
      <c r="C146" s="2" t="inlineStr">
        <is>
          <t>gray silk sheets [exact, $1.44, 7 clicks]; bedsure dark gray king bed sheets [exact, $1.90]</t>
        </is>
      </c>
      <c r="D146" s="2" t="inlineStr">
        <is>
          <t>all enabled targets: gray silk sheets; bedsure dark gray king bed sheets</t>
        </is>
      </c>
      <c r="E146" s="2" t="inlineStr">
        <is>
          <t>ENABLED</t>
        </is>
      </c>
      <c r="F146" s="2" t="inlineStr">
        <is>
          <t>Ranking</t>
        </is>
      </c>
      <c r="G146" s="2" t="inlineStr">
        <is>
          <t>Conversions</t>
        </is>
      </c>
      <c r="H146" s="2" t="inlineStr">
        <is>
          <t>OUT</t>
        </is>
      </c>
      <c r="I146" s="2" t="inlineStr">
        <is>
          <t>Exact</t>
        </is>
      </c>
      <c r="J146" s="2" t="inlineStr">
        <is>
          <t>SATIN-QUEEN-GREY</t>
        </is>
      </c>
      <c r="K146" s="2" t="inlineStr">
        <is>
          <t>SATIN-QUEEN-GREY</t>
        </is>
      </c>
      <c r="L146" s="2" t="inlineStr">
        <is>
          <t>$1.44 / $1.90</t>
        </is>
      </c>
      <c r="M146" s="2" t="inlineStr">
        <is>
          <t>$1.44 / $1.90</t>
        </is>
      </c>
      <c r="N146" s="2" t="n">
        <v>20</v>
      </c>
      <c r="O146" s="2" t="n">
        <v>20</v>
      </c>
      <c r="P146" s="21" t="n">
        <v>1.73</v>
      </c>
      <c r="Q146" s="21" t="n">
        <v>1.73</v>
      </c>
      <c r="R146" s="2" t="n">
        <v>5</v>
      </c>
      <c r="S146" s="2" t="n">
        <v>0</v>
      </c>
      <c r="T146" s="2" t="n">
        <v>0</v>
      </c>
      <c r="U146" s="2" t="n">
        <v>0</v>
      </c>
      <c r="V146" s="21" t="n">
        <v>1.33</v>
      </c>
      <c r="W146" s="21" t="n">
        <v>1.33</v>
      </c>
      <c r="X146" s="2" t="inlineStr">
        <is>
          <t>ENABLED</t>
        </is>
      </c>
      <c r="Y146" s="2" t="inlineStr">
        <is>
          <t>none</t>
        </is>
      </c>
      <c r="Z146" s="2" t="inlineStr">
        <is>
          <t>defer — engine name wrong ((Conversion); flag); load a corrected name after 28 Oct</t>
        </is>
      </c>
      <c r="AA146" s="21" t="n">
        <v>10.71</v>
      </c>
      <c r="AB146" s="2" t="n">
        <v>7</v>
      </c>
      <c r="AC146" s="2" t="n">
        <v>1</v>
      </c>
      <c r="AD146" s="2" t="n">
        <v>33.5</v>
      </c>
      <c r="AE146" s="2" t="n">
        <v>14.29</v>
      </c>
      <c r="AF146" s="2" t="n">
        <v>71.43000000000001</v>
      </c>
      <c r="AG146" s="2" t="n">
        <v>2</v>
      </c>
      <c r="AH146" s="2" t="inlineStr">
        <is>
          <t>Price cut</t>
        </is>
      </c>
      <c r="AI146" s="22" t="inlineStr">
        <is>
          <t>PP 5% → 0%; retag → Conversions</t>
        </is>
      </c>
      <c r="AJ146" s="22" t="inlineStr">
        <is>
          <t>Objective Ranking → Conversions by the standard (competitor-brand term "bedsure dark gray king bed sheets"); 33.5% ACoS on 1 orders / 7 clicks (CC 31 Aug–29 Sep).</t>
        </is>
      </c>
      <c r="AK146" s="2" t="inlineStr">
        <is>
          <t>seq 312 pp: agree with review 40; seq 2993 rename CHANGE; our addition: standard → Conversions (competitor-brand term "bedsure dark gray king bed sheets")</t>
        </is>
      </c>
      <c r="AL146" s="22" t="n"/>
    </row>
    <row r="147">
      <c r="A147" s="2" t="inlineStr">
        <is>
          <t>80298222571</t>
        </is>
      </c>
      <c r="B147" s="2" t="inlineStr">
        <is>
          <t>D-S4-SP-EXACT-red satin sheets twin-Satin|Twin-SATIN-RED-TWIN</t>
        </is>
      </c>
      <c r="C147" s="2" t="inlineStr">
        <is>
          <t>red satin sheets twin [exact]</t>
        </is>
      </c>
      <c r="D147" s="2" t="inlineStr">
        <is>
          <t>whole campaign</t>
        </is>
      </c>
      <c r="E147" s="2" t="inlineStr">
        <is>
          <t>ENABLED</t>
        </is>
      </c>
      <c r="F147" s="2" t="inlineStr">
        <is>
          <t>Ranking</t>
        </is>
      </c>
      <c r="G147" s="2" t="inlineStr">
        <is>
          <t>Conversions</t>
        </is>
      </c>
      <c r="H147" s="2" t="n"/>
      <c r="I147" s="2" t="inlineStr">
        <is>
          <t>Exact</t>
        </is>
      </c>
      <c r="J147" s="2" t="inlineStr">
        <is>
          <t>SATIN-RED-TWIN</t>
        </is>
      </c>
      <c r="K147" s="2" t="inlineStr">
        <is>
          <t>SATIN-RED-TWIN</t>
        </is>
      </c>
      <c r="L147" s="2" t="inlineStr">
        <is>
          <t>n/a (no target bid in audit)</t>
        </is>
      </c>
      <c r="M147" s="2" t="inlineStr">
        <is>
          <t>n/a</t>
        </is>
      </c>
      <c r="N147" s="2" t="n">
        <v>0</v>
      </c>
      <c r="O147" s="2" t="n">
        <v>0</v>
      </c>
      <c r="P147" s="21" t="n"/>
      <c r="Q147" s="21" t="n"/>
      <c r="R147" s="2" t="n"/>
      <c r="S147" s="2" t="n"/>
      <c r="T147" s="2" t="n"/>
      <c r="U147" s="2" t="n"/>
      <c r="V147" s="21" t="n">
        <v>9.640000000000001</v>
      </c>
      <c r="W147" s="21" t="n">
        <v>9.640000000000001</v>
      </c>
      <c r="X147" s="2" t="inlineStr">
        <is>
          <t>ENABLED</t>
        </is>
      </c>
      <c r="Y147" s="2" t="inlineStr">
        <is>
          <t>none</t>
        </is>
      </c>
      <c r="Z147" s="2" t="inlineStr">
        <is>
          <t>defer — engine name wrong ((Conversion)); load a corrected name after 28 Oct</t>
        </is>
      </c>
      <c r="AA147" s="21" t="n">
        <v>10.27</v>
      </c>
      <c r="AB147" s="2" t="n">
        <v>6</v>
      </c>
      <c r="AC147" s="2" t="n">
        <v>0</v>
      </c>
      <c r="AD147" s="2" t="n"/>
      <c r="AE147" s="2" t="n">
        <v>83.33</v>
      </c>
      <c r="AF147" s="2" t="n">
        <v>16.67</v>
      </c>
      <c r="AG147" s="2" t="n">
        <v>0</v>
      </c>
      <c r="AH147" s="2" t="inlineStr">
        <is>
          <t>Retag only</t>
        </is>
      </c>
      <c r="AI147" s="22" t="inlineStr">
        <is>
          <t>retag → Conversions</t>
        </is>
      </c>
      <c r="AJ147" s="22" t="inlineStr">
        <is>
          <t>Objective Ranking → Conversions by the standard (our retag verdict); no sales ACoS on 0 orders / 6 clicks (CC 31 Aug–29 Sep).</t>
        </is>
      </c>
      <c r="AK147" s="2" t="inlineStr">
        <is>
          <t>seq 2132 retag correct to Conversions; seq 3001 rename CHANGE</t>
        </is>
      </c>
      <c r="AL147" s="22" t="n"/>
    </row>
    <row r="148">
      <c r="A148" s="2" t="inlineStr">
        <is>
          <t>233811296814618</t>
        </is>
      </c>
      <c r="B148" s="2" t="inlineStr">
        <is>
          <t>D-S4-deep pocket satin sheets - [Satin] - Exact - Ran - DO - SATIN-QUEEN-BLACK</t>
        </is>
      </c>
      <c r="C148" s="2" t="inlineStr">
        <is>
          <t>deep pocket satin sheets [exact]</t>
        </is>
      </c>
      <c r="D148" s="2" t="inlineStr">
        <is>
          <t>whole campaign</t>
        </is>
      </c>
      <c r="E148" s="2" t="inlineStr">
        <is>
          <t>ENABLED</t>
        </is>
      </c>
      <c r="F148" s="2" t="inlineStr">
        <is>
          <t>Ranking</t>
        </is>
      </c>
      <c r="G148" s="2" t="inlineStr">
        <is>
          <t>Ranking</t>
        </is>
      </c>
      <c r="H148" s="2" t="inlineStr">
        <is>
          <t>Satin</t>
        </is>
      </c>
      <c r="I148" s="2" t="inlineStr">
        <is>
          <t>Exact</t>
        </is>
      </c>
      <c r="J148" s="2" t="inlineStr">
        <is>
          <t>SATIN-QUEEN-BLACK</t>
        </is>
      </c>
      <c r="K148" s="2" t="inlineStr">
        <is>
          <t>SATIN-QUEEN-BLACK</t>
        </is>
      </c>
      <c r="L148" s="2" t="inlineStr">
        <is>
          <t>n/a (no target bid in audit)</t>
        </is>
      </c>
      <c r="M148" s="2" t="inlineStr">
        <is>
          <t>n/a</t>
        </is>
      </c>
      <c r="N148" s="2" t="n">
        <v>50</v>
      </c>
      <c r="O148" s="2" t="n">
        <v>50</v>
      </c>
      <c r="P148" s="21" t="n"/>
      <c r="Q148" s="21" t="n"/>
      <c r="R148" s="2" t="n"/>
      <c r="S148" s="2" t="n"/>
      <c r="T148" s="2" t="n"/>
      <c r="U148" s="2" t="n"/>
      <c r="V148" s="21" t="n">
        <v>5.74</v>
      </c>
      <c r="W148" s="21" t="n">
        <v>5.74</v>
      </c>
      <c r="X148" s="2" t="inlineStr">
        <is>
          <t>ENABLED</t>
        </is>
      </c>
      <c r="Y148" s="2" t="inlineStr">
        <is>
          <t>none</t>
        </is>
      </c>
      <c r="Z148" s="2" t="inlineStr">
        <is>
          <t>load (clean): DSS4-SP-Deep Pocket Satin Sheets-[Satin]-(VLSV)-Exact-(Ranking)-DO-SATIN-QUEEN-BLACK</t>
        </is>
      </c>
      <c r="AA148" s="21" t="n">
        <v>10.12</v>
      </c>
      <c r="AB148" s="2" t="n">
        <v>9</v>
      </c>
      <c r="AC148" s="2" t="n">
        <v>1</v>
      </c>
      <c r="AD148" s="2" t="n">
        <v>33.3</v>
      </c>
      <c r="AE148" s="2" t="n">
        <v>55.56</v>
      </c>
      <c r="AF148" s="2" t="n">
        <v>44.44</v>
      </c>
      <c r="AG148" s="2" t="n">
        <v>6</v>
      </c>
      <c r="AH148" s="2" t="inlineStr">
        <is>
          <t>Rename only</t>
        </is>
      </c>
      <c r="AI148" s="22" t="inlineStr">
        <is>
          <t>Load rename only</t>
        </is>
      </c>
      <c r="AJ148" s="22" t="inlineStr">
        <is>
          <t>Clean rename (SKU token and objective match what the campaign advertises); 33.3% ACoS on 1 orders / 9 clicks (CC 31 Aug–29 Sep).</t>
        </is>
      </c>
      <c r="AK148" s="2" t="inlineStr">
        <is>
          <t>seq 2138 retag LOAD; seq 3018 rename LOAD</t>
        </is>
      </c>
      <c r="AL148" s="22" t="n"/>
    </row>
    <row r="149">
      <c r="A149" s="2" t="inlineStr">
        <is>
          <t>183041310179172</t>
        </is>
      </c>
      <c r="B149" s="2" t="inlineStr">
        <is>
          <t>D-S4-satin bed sheets twin - [Satin|Twin] - Exact - Ran - DO - SATIN-TWIN-BLACK-NEW</t>
        </is>
      </c>
      <c r="C149" s="2" t="inlineStr">
        <is>
          <t>satin bed sheets twin [exact]</t>
        </is>
      </c>
      <c r="D149" s="2" t="inlineStr">
        <is>
          <t>satin bed sheets twin</t>
        </is>
      </c>
      <c r="E149" s="2" t="inlineStr">
        <is>
          <t>ENABLED</t>
        </is>
      </c>
      <c r="F149" s="2" t="inlineStr">
        <is>
          <t>Ranking</t>
        </is>
      </c>
      <c r="G149" s="2" t="inlineStr">
        <is>
          <t>Ranking</t>
        </is>
      </c>
      <c r="H149" s="2" t="inlineStr">
        <is>
          <t>Satin|Twin</t>
        </is>
      </c>
      <c r="I149" s="2" t="inlineStr">
        <is>
          <t>Exact</t>
        </is>
      </c>
      <c r="J149" s="2" t="inlineStr">
        <is>
          <t>SATIN-TWIN-BLACK-NEW</t>
        </is>
      </c>
      <c r="K149" s="2" t="inlineStr">
        <is>
          <t>SATIN-TWIN-BLACK-NEW</t>
        </is>
      </c>
      <c r="L149" s="2" t="inlineStr">
        <is>
          <t>$1.34</t>
        </is>
      </c>
      <c r="M149" s="2" t="inlineStr">
        <is>
          <t>$0.67</t>
        </is>
      </c>
      <c r="N149" s="2" t="n">
        <v>30</v>
      </c>
      <c r="O149" s="2" t="n">
        <v>30</v>
      </c>
      <c r="P149" s="21" t="n">
        <v>1.74</v>
      </c>
      <c r="Q149" s="21" t="n">
        <v>0.87</v>
      </c>
      <c r="R149" s="2" t="n"/>
      <c r="S149" s="2" t="n"/>
      <c r="T149" s="2" t="n"/>
      <c r="U149" s="2" t="n"/>
      <c r="V149" s="21" t="n">
        <v>10.83</v>
      </c>
      <c r="W149" s="21" t="n">
        <v>10.83</v>
      </c>
      <c r="X149" s="2" t="inlineStr">
        <is>
          <t>ENABLED</t>
        </is>
      </c>
      <c r="Y149" s="2" t="inlineStr">
        <is>
          <t>none</t>
        </is>
      </c>
      <c r="Z149" s="2" t="inlineStr">
        <is>
          <t>defer — engine name wrong (SKU token SATIN-TWIN-BLACK-NEW); load a corrected name after 28 Oct</t>
        </is>
      </c>
      <c r="AA149" s="21" t="n">
        <v>10.07</v>
      </c>
      <c r="AB149" s="2" t="n">
        <v>6</v>
      </c>
      <c r="AC149" s="2" t="n">
        <v>0</v>
      </c>
      <c r="AD149" s="2" t="n"/>
      <c r="AE149" s="2" t="n">
        <v>100</v>
      </c>
      <c r="AF149" s="2" t="n">
        <v>0</v>
      </c>
      <c r="AG149" s="2" t="n">
        <v>6</v>
      </c>
      <c r="AH149" s="2" t="inlineStr">
        <is>
          <t>Release hold + price to break-even</t>
        </is>
      </c>
      <c r="AI149" s="22" t="inlineStr">
        <is>
          <t>Release hold; cut base $1.34 → $0.67</t>
        </is>
      </c>
      <c r="AJ149" s="22" t="inlineStr">
        <is>
          <t>no-sale ACoS, 0 orders on 6 clicks (CC 31 Aug–29 Sep) vs Twin Black break-even 31.4%; BE base = $8.50 contribution (Twin Black) × 0.0% CVR = $0.00; cap 50% cut. Note: plan move to SATIN-TWIN-GREY before 16 Oct (Twin Black 66 units, ~34 days).</t>
        </is>
      </c>
      <c r="AK149" s="2" t="inlineStr">
        <is>
          <t>seq 1906 child: reject — keep SATIN-TWIN-BLACK-NEW; seq 2178 retag LOAD; seq 3132 rename CHANGE; seq 2017 NOT SERVING hold(s) → release; price to break-even (our addition, reviewer D)</t>
        </is>
      </c>
      <c r="AL149" s="22" t="n"/>
    </row>
    <row r="150">
      <c r="A150" s="2" t="inlineStr">
        <is>
          <t>345754272659953</t>
        </is>
      </c>
      <c r="B150" s="2" t="inlineStr">
        <is>
          <t>BAMBOO-KING-LIGHTGREY-6PCS_SP_Exact_PAT_Defensive</t>
        </is>
      </c>
      <c r="C150" s="2" t="inlineStr">
        <is>
          <t>Product targets: B0CQ33H4QW</t>
        </is>
      </c>
      <c r="D150" s="2" t="inlineStr">
        <is>
          <t>—</t>
        </is>
      </c>
      <c r="E150" s="2" t="inlineStr">
        <is>
          <t>ENABLED</t>
        </is>
      </c>
      <c r="F150" s="2" t="inlineStr">
        <is>
          <t>Defensive</t>
        </is>
      </c>
      <c r="G150" s="2" t="inlineStr">
        <is>
          <t>Defensive</t>
        </is>
      </c>
      <c r="H150" s="2" t="n"/>
      <c r="I150" s="2" t="inlineStr">
        <is>
          <t>ASIN</t>
        </is>
      </c>
      <c r="J150" s="2" t="inlineStr">
        <is>
          <t>SATIN-TAUPE-QUEEN</t>
        </is>
      </c>
      <c r="K150" s="2" t="inlineStr">
        <is>
          <t>SATIN-TAUPE-QUEEN</t>
        </is>
      </c>
      <c r="L150" s="2" t="inlineStr">
        <is>
          <t>n/a (no target bid in audit)</t>
        </is>
      </c>
      <c r="M150" s="2" t="inlineStr">
        <is>
          <t>n/a</t>
        </is>
      </c>
      <c r="N150" s="2" t="n">
        <v>0</v>
      </c>
      <c r="O150" s="2" t="n">
        <v>0</v>
      </c>
      <c r="P150" s="21" t="n"/>
      <c r="Q150" s="21" t="n"/>
      <c r="R150" s="2" t="n"/>
      <c r="S150" s="2" t="n"/>
      <c r="T150" s="2" t="n"/>
      <c r="U150" s="2" t="n"/>
      <c r="V150" s="21" t="n">
        <v>10</v>
      </c>
      <c r="W150" s="21" t="n">
        <v>10</v>
      </c>
      <c r="X150" s="2" t="inlineStr">
        <is>
          <t>ENABLED</t>
        </is>
      </c>
      <c r="Y150" s="2" t="inlineStr">
        <is>
          <t>none</t>
        </is>
      </c>
      <c r="Z150" s="2" t="inlineStr">
        <is>
          <t>none</t>
        </is>
      </c>
      <c r="AA150" s="21" t="n">
        <v>9.880000000000001</v>
      </c>
      <c r="AB150" s="2" t="n">
        <v>8</v>
      </c>
      <c r="AC150" s="2" t="n">
        <v>1</v>
      </c>
      <c r="AD150" s="2" t="n">
        <v>26</v>
      </c>
      <c r="AE150" s="2" t="n">
        <v>0</v>
      </c>
      <c r="AF150" s="2" t="n">
        <v>50</v>
      </c>
      <c r="AG150" s="2" t="n">
        <v>2</v>
      </c>
      <c r="AH150" s="2" t="inlineStr">
        <is>
          <t>No change</t>
        </is>
      </c>
      <c r="AI150" s="22" t="inlineStr">
        <is>
          <t>No change</t>
        </is>
      </c>
      <c r="AJ150" s="22" t="inlineStr">
        <is>
          <t>No run decision and no issue found; 26.0% ACoS on 1 orders / 8 clicks (CC 31 Aug–29 Sep).</t>
        </is>
      </c>
      <c r="AK150" s="2" t="inlineStr">
        <is>
          <t>no run decision</t>
        </is>
      </c>
      <c r="AL150" s="22" t="n"/>
    </row>
    <row r="151">
      <c r="A151" s="2" t="inlineStr">
        <is>
          <t>108183046444296</t>
        </is>
      </c>
      <c r="B151" s="2" t="inlineStr">
        <is>
          <t>D-S4-SP-EXACT-purple satin bed sheets-Satin-SATIN-QUEEN-PURPLE</t>
        </is>
      </c>
      <c r="C151" s="2" t="inlineStr">
        <is>
          <t>purple satin bed sheets [exact]</t>
        </is>
      </c>
      <c r="D151" s="2" t="inlineStr">
        <is>
          <t>whole campaign</t>
        </is>
      </c>
      <c r="E151" s="2" t="inlineStr">
        <is>
          <t>ENABLED</t>
        </is>
      </c>
      <c r="F151" s="2" t="inlineStr">
        <is>
          <t>Conversions</t>
        </is>
      </c>
      <c r="G151" s="2" t="inlineStr">
        <is>
          <t>Conversions</t>
        </is>
      </c>
      <c r="H151" s="2" t="n"/>
      <c r="I151" s="2" t="inlineStr">
        <is>
          <t>Exact</t>
        </is>
      </c>
      <c r="J151" s="2" t="inlineStr">
        <is>
          <t>SATIN-QUEEN-PURPLE</t>
        </is>
      </c>
      <c r="K151" s="2" t="inlineStr">
        <is>
          <t>SATIN-QUEEN-PURPLE</t>
        </is>
      </c>
      <c r="L151" s="2" t="inlineStr">
        <is>
          <t>n/a (no target bid in audit)</t>
        </is>
      </c>
      <c r="M151" s="2" t="inlineStr">
        <is>
          <t>n/a</t>
        </is>
      </c>
      <c r="N151" s="2" t="n">
        <v>0</v>
      </c>
      <c r="O151" s="2" t="n">
        <v>0</v>
      </c>
      <c r="P151" s="21" t="n"/>
      <c r="Q151" s="21" t="n"/>
      <c r="R151" s="2" t="n"/>
      <c r="S151" s="2" t="n"/>
      <c r="T151" s="2" t="n"/>
      <c r="U151" s="2" t="n"/>
      <c r="V151" s="21" t="n">
        <v>10.49</v>
      </c>
      <c r="W151" s="21" t="n">
        <v>10.49</v>
      </c>
      <c r="X151" s="2" t="inlineStr">
        <is>
          <t>ENABLED</t>
        </is>
      </c>
      <c r="Y151" s="2" t="inlineStr">
        <is>
          <t>none</t>
        </is>
      </c>
      <c r="Z151" s="2" t="inlineStr">
        <is>
          <t>load (clean): DSS4-SP-Purple Satin Bed Sheets-(VLSV)-Exact-(Conversion)-DO-SATIN-QUEEN-PURPLE</t>
        </is>
      </c>
      <c r="AA151" s="21" t="n">
        <v>9.720000000000001</v>
      </c>
      <c r="AB151" s="2" t="n">
        <v>5</v>
      </c>
      <c r="AC151" s="2" t="n">
        <v>0</v>
      </c>
      <c r="AD151" s="2" t="n"/>
      <c r="AE151" s="2" t="n">
        <v>40</v>
      </c>
      <c r="AF151" s="2" t="n">
        <v>60</v>
      </c>
      <c r="AG151" s="2" t="n">
        <v>0</v>
      </c>
      <c r="AH151" s="2" t="inlineStr">
        <is>
          <t>Rename only</t>
        </is>
      </c>
      <c r="AI151" s="22" t="inlineStr">
        <is>
          <t>Load rename only</t>
        </is>
      </c>
      <c r="AJ151" s="22" t="inlineStr">
        <is>
          <t>Clean rename (SKU token and objective match what the campaign advertises); no sales ACoS on 0 orders / 5 clicks (CC 31 Aug–29 Sep).</t>
        </is>
      </c>
      <c r="AK151" s="2" t="inlineStr">
        <is>
          <t>seq 2121 retag LOAD; seq 2974 rename LOAD</t>
        </is>
      </c>
      <c r="AL151" s="22" t="n"/>
    </row>
    <row r="152">
      <c r="A152" s="2" t="inlineStr">
        <is>
          <t>145596127184968</t>
        </is>
      </c>
      <c r="B152" s="2" t="inlineStr">
        <is>
          <t>D-S4-silky bed sheets - [Silk] - Exact - Ran - DO - SATIN-QUEEN-BLACK</t>
        </is>
      </c>
      <c r="C152" s="2" t="inlineStr">
        <is>
          <t>silky bed sheets [exact, $0.50, 6 clicks]</t>
        </is>
      </c>
      <c r="D152" s="2" t="inlineStr">
        <is>
          <t>silky bed sheets</t>
        </is>
      </c>
      <c r="E152" s="2" t="inlineStr">
        <is>
          <t>ENABLED</t>
        </is>
      </c>
      <c r="F152" s="2" t="inlineStr">
        <is>
          <t>Ranking</t>
        </is>
      </c>
      <c r="G152" s="2" t="inlineStr">
        <is>
          <t>Ranking</t>
        </is>
      </c>
      <c r="H152" s="2" t="inlineStr">
        <is>
          <t>OUT</t>
        </is>
      </c>
      <c r="I152" s="2" t="inlineStr">
        <is>
          <t>Exact</t>
        </is>
      </c>
      <c r="J152" s="2" t="inlineStr">
        <is>
          <t>SATIN-QUEEN-BLACK</t>
        </is>
      </c>
      <c r="K152" s="2" t="inlineStr">
        <is>
          <t>SATIN-QUEEN-BLACK</t>
        </is>
      </c>
      <c r="L152" s="2" t="inlineStr">
        <is>
          <t>$0.50</t>
        </is>
      </c>
      <c r="M152" s="2" t="inlineStr">
        <is>
          <t>$0.35</t>
        </is>
      </c>
      <c r="N152" s="2" t="n">
        <v>210</v>
      </c>
      <c r="O152" s="2" t="n">
        <v>210</v>
      </c>
      <c r="P152" s="21" t="n">
        <v>1.55</v>
      </c>
      <c r="Q152" s="21" t="n">
        <v>1.08</v>
      </c>
      <c r="R152" s="2" t="n">
        <v>0</v>
      </c>
      <c r="S152" s="2" t="n">
        <v>0</v>
      </c>
      <c r="T152" s="2" t="n">
        <v>0</v>
      </c>
      <c r="U152" s="2" t="n">
        <v>0</v>
      </c>
      <c r="V152" s="21" t="n">
        <v>5</v>
      </c>
      <c r="W152" s="21" t="n">
        <v>5</v>
      </c>
      <c r="X152" s="2" t="inlineStr">
        <is>
          <t>ENABLED</t>
        </is>
      </c>
      <c r="Y152" s="2" t="inlineStr">
        <is>
          <t>none</t>
        </is>
      </c>
      <c r="Z152" s="2" t="inlineStr">
        <is>
          <t>load (clean): DSS4-SP-Silky Bed Sheets-(LSV)-Exact-(Ranking)-DO-SATIN-QUEEN-BLACK</t>
        </is>
      </c>
      <c r="AA152" s="21" t="n">
        <v>9.17</v>
      </c>
      <c r="AB152" s="2" t="n">
        <v>6</v>
      </c>
      <c r="AC152" s="2" t="n">
        <v>0</v>
      </c>
      <c r="AD152" s="2" t="n"/>
      <c r="AE152" s="2" t="n">
        <v>100</v>
      </c>
      <c r="AF152" s="2" t="n">
        <v>0</v>
      </c>
      <c r="AG152" s="2" t="n">
        <v>10</v>
      </c>
      <c r="AH152" s="2" t="inlineStr">
        <is>
          <t>Price cut</t>
        </is>
      </c>
      <c r="AI152" s="22" t="inlineStr">
        <is>
          <t>Cut base 30% ($0.50 → $0.35)</t>
        </is>
      </c>
      <c r="AJ152" s="22" t="inlineStr">
        <is>
          <t>no sales ACoS on 0 orders / 6 clicks (CC 31 Aug–29 Sep) vs Queen Black break-even 17.8%; audit row loads as written (review 40 agrees).</t>
        </is>
      </c>
      <c r="AK152" s="2" t="inlineStr">
        <is>
          <t>seq 320 bid: agree with review 40; seq 3008 rename LOAD</t>
        </is>
      </c>
      <c r="AL152" s="22" t="n"/>
    </row>
    <row r="153">
      <c r="A153" s="2" t="inlineStr">
        <is>
          <t>375073519492207</t>
        </is>
      </c>
      <c r="B153" s="2" t="inlineStr">
        <is>
          <t>D-S4-SP-queen sheet sets satin-(Satin)-VLSV-Exact-Rank-DO-SATIN-QUEEN-GREY-FBM</t>
        </is>
      </c>
      <c r="C153" s="2" t="inlineStr">
        <is>
          <t>queen sheet sets satin [exact, $1.90, 5 clicks]</t>
        </is>
      </c>
      <c r="D153" s="2" t="inlineStr">
        <is>
          <t>queen sheet sets satin</t>
        </is>
      </c>
      <c r="E153" s="2" t="inlineStr">
        <is>
          <t>ENABLED</t>
        </is>
      </c>
      <c r="F153" s="2" t="inlineStr">
        <is>
          <t>Ranking</t>
        </is>
      </c>
      <c r="G153" s="2" t="inlineStr">
        <is>
          <t>Ranking</t>
        </is>
      </c>
      <c r="H153" s="2" t="inlineStr">
        <is>
          <t>Satin|Queen</t>
        </is>
      </c>
      <c r="I153" s="2" t="inlineStr">
        <is>
          <t>Exact</t>
        </is>
      </c>
      <c r="J153" s="2" t="inlineStr">
        <is>
          <t>SATIN-QUEEN-BLACK</t>
        </is>
      </c>
      <c r="K153" s="2" t="inlineStr">
        <is>
          <t>SATIN-QUEEN-BLACK</t>
        </is>
      </c>
      <c r="L153" s="2" t="inlineStr">
        <is>
          <t>$1.90</t>
        </is>
      </c>
      <c r="M153" s="2" t="inlineStr">
        <is>
          <t>$1.65</t>
        </is>
      </c>
      <c r="N153" s="2" t="n">
        <v>0</v>
      </c>
      <c r="O153" s="2" t="n">
        <v>0</v>
      </c>
      <c r="P153" s="21" t="n">
        <v>1.9</v>
      </c>
      <c r="Q153" s="21" t="n">
        <v>1.65</v>
      </c>
      <c r="R153" s="2" t="n">
        <v>0</v>
      </c>
      <c r="S153" s="2" t="n">
        <v>0</v>
      </c>
      <c r="T153" s="2" t="n">
        <v>0</v>
      </c>
      <c r="U153" s="2" t="n">
        <v>0</v>
      </c>
      <c r="V153" s="21" t="n">
        <v>5</v>
      </c>
      <c r="W153" s="21" t="n">
        <v>5</v>
      </c>
      <c r="X153" s="2" t="inlineStr">
        <is>
          <t>ENABLED</t>
        </is>
      </c>
      <c r="Y153" s="2" t="inlineStr">
        <is>
          <t>none</t>
        </is>
      </c>
      <c r="Z153" s="2" t="inlineStr">
        <is>
          <t>defer — engine name wrong (SKU token SATIN-QUEEN-BLACK); load a corrected name after 28 Oct</t>
        </is>
      </c>
      <c r="AA153" s="21" t="n">
        <v>9.130000000000001</v>
      </c>
      <c r="AB153" s="2" t="n">
        <v>5</v>
      </c>
      <c r="AC153" s="2" t="n">
        <v>1</v>
      </c>
      <c r="AD153" s="2" t="n">
        <v>31.7</v>
      </c>
      <c r="AE153" s="2" t="n">
        <v>80</v>
      </c>
      <c r="AF153" s="2" t="n">
        <v>0</v>
      </c>
      <c r="AG153" s="2" t="n">
        <v>1</v>
      </c>
      <c r="AH153" s="2" t="inlineStr">
        <is>
          <t>Price cut</t>
        </is>
      </c>
      <c r="AI153" s="22" t="inlineStr">
        <is>
          <t>Cut base 13% ($1.90 → $1.65)</t>
        </is>
      </c>
      <c r="AJ153" s="22" t="inlineStr">
        <is>
          <t>31.7% ACoS on 1 orders / 5 clicks (CC 31 Aug–29 Sep) vs Queen Black break-even 17.8%; audit row loads as written (review 40 agrees).</t>
        </is>
      </c>
      <c r="AK153" s="2" t="inlineStr">
        <is>
          <t>seq 325 bid: agree with review 40; seq 1860 child: reject — keep SATIN-QUEEN-BLACK; seq 2845 structure: agree with review 40; seq 3000 rename CHANGE</t>
        </is>
      </c>
      <c r="AL153" s="22" t="n"/>
    </row>
    <row r="154">
      <c r="A154" s="2" t="inlineStr">
        <is>
          <t>75384181188544</t>
        </is>
      </c>
      <c r="B154" s="2" t="inlineStr">
        <is>
          <t>D-S4-queen size satin sheets - [Satin|Queen] - Exact - Ran - DO - SATIN-QUEEN-BLACK</t>
        </is>
      </c>
      <c r="C154" s="2" t="inlineStr">
        <is>
          <t>queen size satin sheets [exact]</t>
        </is>
      </c>
      <c r="D154" s="2" t="inlineStr">
        <is>
          <t>—</t>
        </is>
      </c>
      <c r="E154" s="2" t="inlineStr">
        <is>
          <t>ENABLED</t>
        </is>
      </c>
      <c r="F154" s="2" t="inlineStr">
        <is>
          <t>Ranking</t>
        </is>
      </c>
      <c r="G154" s="2" t="inlineStr">
        <is>
          <t>Ranking</t>
        </is>
      </c>
      <c r="H154" s="2" t="inlineStr">
        <is>
          <t>Satin|Queen</t>
        </is>
      </c>
      <c r="I154" s="2" t="inlineStr">
        <is>
          <t>Exact</t>
        </is>
      </c>
      <c r="J154" s="2" t="inlineStr">
        <is>
          <t>SATIN-QUEEN-BLACK</t>
        </is>
      </c>
      <c r="K154" s="2" t="inlineStr">
        <is>
          <t>SATIN-QUEEN-BLACK</t>
        </is>
      </c>
      <c r="L154" s="2" t="inlineStr">
        <is>
          <t>n/a (no target bid in audit)</t>
        </is>
      </c>
      <c r="M154" s="2" t="inlineStr">
        <is>
          <t>n/a</t>
        </is>
      </c>
      <c r="N154" s="2" t="n">
        <v>30</v>
      </c>
      <c r="O154" s="2" t="n">
        <v>30</v>
      </c>
      <c r="P154" s="21" t="n"/>
      <c r="Q154" s="21" t="n"/>
      <c r="R154" s="2" t="n"/>
      <c r="S154" s="2" t="n"/>
      <c r="T154" s="2" t="n"/>
      <c r="U154" s="2" t="n"/>
      <c r="V154" s="21" t="n">
        <v>20</v>
      </c>
      <c r="W154" s="21" t="n">
        <v>20</v>
      </c>
      <c r="X154" s="2" t="inlineStr">
        <is>
          <t>ENABLED</t>
        </is>
      </c>
      <c r="Y154" s="2" t="inlineStr">
        <is>
          <t>add negative exact: queen satin sheets</t>
        </is>
      </c>
      <c r="Z154" s="2" t="inlineStr">
        <is>
          <t>defer — engine name wrong (SKU token SATIN-QUEEN-BLACK); load a corrected name after 28 Oct</t>
        </is>
      </c>
      <c r="AA154" s="21" t="n">
        <v>9.050000000000001</v>
      </c>
      <c r="AB154" s="2" t="n">
        <v>5</v>
      </c>
      <c r="AC154" s="2" t="n">
        <v>1</v>
      </c>
      <c r="AD154" s="2" t="n">
        <v>30.2</v>
      </c>
      <c r="AE154" s="2" t="n">
        <v>80</v>
      </c>
      <c r="AF154" s="2" t="n">
        <v>0</v>
      </c>
      <c r="AG154" s="2" t="n">
        <v>13</v>
      </c>
      <c r="AH154" s="2" t="inlineStr">
        <is>
          <t>No change (engine move rejected/held)</t>
        </is>
      </c>
      <c r="AI154" s="22" t="inlineStr">
        <is>
          <t>No change (reject engine child swap seq 1961; defer engine rename)</t>
        </is>
      </c>
      <c r="AJ154" s="22" t="inlineStr">
        <is>
          <t>Engine swap SATIN-QUEEN-BLACK → SATIN-4PCS-QUEEN-STONE-GREY rejected: the pick comes from the broken size map, and SATIN-QUEEN-BLACK is the size's best seller with cover (SB 30 Aug–29 Sep); the engine rename writes a wrong token and is deferred; 30.2% ACoS on 1 orders / 5 clicks (CC 31 Aug–29 Sep).</t>
        </is>
      </c>
      <c r="AK154" s="2" t="inlineStr">
        <is>
          <t>seq 1961 child: reject — keep SATIN-QUEEN-BLACK; seq 2224 retag LOAD; seq 3294 rename CHANGE</t>
        </is>
      </c>
      <c r="AL154" s="22" t="n"/>
    </row>
    <row r="155">
      <c r="A155" s="2" t="inlineStr">
        <is>
          <t>164701929948189</t>
        </is>
      </c>
      <c r="B155" s="2" t="inlineStr">
        <is>
          <t>D-S4-SP-EXACT-black silk-Silk-SATIN-QUEEN-BLACK</t>
        </is>
      </c>
      <c r="C155" s="2" t="inlineStr">
        <is>
          <t>black silk [exact]</t>
        </is>
      </c>
      <c r="D155" s="2" t="inlineStr">
        <is>
          <t>whole campaign</t>
        </is>
      </c>
      <c r="E155" s="2" t="inlineStr">
        <is>
          <t>ENABLED</t>
        </is>
      </c>
      <c r="F155" s="2" t="inlineStr">
        <is>
          <t>Conversions</t>
        </is>
      </c>
      <c r="G155" s="2" t="inlineStr">
        <is>
          <t>Conversions</t>
        </is>
      </c>
      <c r="H155" s="2" t="n"/>
      <c r="I155" s="2" t="inlineStr">
        <is>
          <t>Exact</t>
        </is>
      </c>
      <c r="J155" s="2" t="inlineStr">
        <is>
          <t>SATIN-QUEEN-BLACK</t>
        </is>
      </c>
      <c r="K155" s="2" t="inlineStr">
        <is>
          <t>SATIN-QUEEN-BLACK</t>
        </is>
      </c>
      <c r="L155" s="2" t="inlineStr">
        <is>
          <t>n/a (no target bid in audit)</t>
        </is>
      </c>
      <c r="M155" s="2" t="inlineStr">
        <is>
          <t>n/a</t>
        </is>
      </c>
      <c r="N155" s="2" t="n">
        <v>0</v>
      </c>
      <c r="O155" s="2" t="n">
        <v>0</v>
      </c>
      <c r="P155" s="21" t="n"/>
      <c r="Q155" s="21" t="n"/>
      <c r="R155" s="2" t="n"/>
      <c r="S155" s="2" t="n"/>
      <c r="T155" s="2" t="n"/>
      <c r="U155" s="2" t="n"/>
      <c r="V155" s="21" t="n">
        <v>8.06</v>
      </c>
      <c r="W155" s="21" t="n">
        <v>8.06</v>
      </c>
      <c r="X155" s="2" t="inlineStr">
        <is>
          <t>ENABLED</t>
        </is>
      </c>
      <c r="Y155" s="2" t="inlineStr">
        <is>
          <t>none</t>
        </is>
      </c>
      <c r="Z155" s="2" t="inlineStr">
        <is>
          <t>load (clean): DSS4-SP-Black Silk-(VLSV)-Exact-(Conversion)-DO-SATIN-QUEEN-BLACK</t>
        </is>
      </c>
      <c r="AA155" s="21" t="n">
        <v>9</v>
      </c>
      <c r="AB155" s="2" t="n">
        <v>5</v>
      </c>
      <c r="AC155" s="2" t="n">
        <v>0</v>
      </c>
      <c r="AD155" s="2" t="n"/>
      <c r="AE155" s="2" t="n">
        <v>60</v>
      </c>
      <c r="AF155" s="2" t="n">
        <v>20</v>
      </c>
      <c r="AG155" s="2" t="n">
        <v>0</v>
      </c>
      <c r="AH155" s="2" t="inlineStr">
        <is>
          <t>Rename only</t>
        </is>
      </c>
      <c r="AI155" s="22" t="inlineStr">
        <is>
          <t>Load rename only</t>
        </is>
      </c>
      <c r="AJ155" s="22" t="inlineStr">
        <is>
          <t>Clean rename (SKU token and objective match what the campaign advertises); no sales ACoS on 0 orders / 5 clicks (CC 31 Aug–29 Sep).</t>
        </is>
      </c>
      <c r="AK155" s="2" t="inlineStr">
        <is>
          <t>seq 2169 retag LOAD; seq 3109 rename LOAD</t>
        </is>
      </c>
      <c r="AL155" s="22" t="n"/>
    </row>
    <row r="156">
      <c r="A156" s="2" t="inlineStr">
        <is>
          <t>270730002979109</t>
        </is>
      </c>
      <c r="B156" s="2" t="inlineStr">
        <is>
          <t>D-S4-silk sheet set full - [Silk|Full] - Exact - Ran - DO - SATIN-FULL-BLACK</t>
        </is>
      </c>
      <c r="C156" s="2" t="inlineStr">
        <is>
          <t>silk sheet set full [exact]</t>
        </is>
      </c>
      <c r="D156" s="2" t="inlineStr">
        <is>
          <t>whole campaign</t>
        </is>
      </c>
      <c r="E156" s="2" t="inlineStr">
        <is>
          <t>ENABLED</t>
        </is>
      </c>
      <c r="F156" s="2" t="inlineStr">
        <is>
          <t>Ranking</t>
        </is>
      </c>
      <c r="G156" s="2" t="inlineStr">
        <is>
          <t>Ranking</t>
        </is>
      </c>
      <c r="H156" s="2" t="inlineStr">
        <is>
          <t>Silk|Full</t>
        </is>
      </c>
      <c r="I156" s="2" t="inlineStr">
        <is>
          <t>Exact</t>
        </is>
      </c>
      <c r="J156" s="2" t="inlineStr">
        <is>
          <t>SATIN-FULL-BLACK</t>
        </is>
      </c>
      <c r="K156" s="2" t="inlineStr">
        <is>
          <t>SATIN-FULL-BLACK</t>
        </is>
      </c>
      <c r="L156" s="2" t="inlineStr">
        <is>
          <t>n/a (no target bid in audit)</t>
        </is>
      </c>
      <c r="M156" s="2" t="inlineStr">
        <is>
          <t>n/a</t>
        </is>
      </c>
      <c r="N156" s="2" t="n">
        <v>50</v>
      </c>
      <c r="O156" s="2" t="n">
        <v>50</v>
      </c>
      <c r="P156" s="21" t="n"/>
      <c r="Q156" s="21" t="n"/>
      <c r="R156" s="2" t="n"/>
      <c r="S156" s="2" t="n"/>
      <c r="T156" s="2" t="n"/>
      <c r="U156" s="2" t="n"/>
      <c r="V156" s="21" t="n">
        <v>11.53</v>
      </c>
      <c r="W156" s="21" t="n">
        <v>11.53</v>
      </c>
      <c r="X156" s="2" t="inlineStr">
        <is>
          <t>PAUSED</t>
        </is>
      </c>
      <c r="Y156" s="2" t="inlineStr">
        <is>
          <t>hold seq 2774 (held)</t>
        </is>
      </c>
      <c r="Z156" s="2" t="inlineStr">
        <is>
          <t>none</t>
        </is>
      </c>
      <c r="AA156" s="21" t="n">
        <v>8.880000000000001</v>
      </c>
      <c r="AB156" s="2" t="n">
        <v>4</v>
      </c>
      <c r="AC156" s="2" t="n">
        <v>0</v>
      </c>
      <c r="AD156" s="2" t="n"/>
      <c r="AE156" s="2" t="n">
        <v>100</v>
      </c>
      <c r="AF156" s="2" t="n">
        <v>0</v>
      </c>
      <c r="AG156" s="2" t="n">
        <v>3</v>
      </c>
      <c r="AH156" s="2" t="inlineStr">
        <is>
          <t>Pause</t>
        </is>
      </c>
      <c r="AI156" s="22" t="inlineStr">
        <is>
          <t>Pause (seq 1443)</t>
        </is>
      </c>
      <c r="AJ156" s="22" t="inlineStr">
        <is>
          <t>no sales ACoS on 0 orders / 4 clicks (CC 31 Aug–29 Sep). Engine pause agreed with review 40: Ranking campaign on a Re-Launch product whose objective is re-ranking — this campaign supports the push and is graded on its own objective's metric, never on the ranking bar (doctrine…</t>
        </is>
      </c>
      <c r="AK156" s="2" t="inlineStr">
        <is>
          <t>seq 1443 state: agree with review 40; seq 2774 negatives: agree with review 40</t>
        </is>
      </c>
      <c r="AL156" s="22" t="n"/>
    </row>
    <row r="157">
      <c r="A157" s="2" t="inlineStr">
        <is>
          <t>53580430497696</t>
        </is>
      </c>
      <c r="B157" s="2" t="inlineStr">
        <is>
          <t>D-S4-SP-grey silk satin sheets-(Silk)-MSV-Exact-Rank-DO-SATIN-FULL-GREY</t>
        </is>
      </c>
      <c r="C157" s="2" t="inlineStr">
        <is>
          <t>light grey silk sheets [exact, $0.98, 6 clicks]; grey silk satin sheets [exact, $2.96]; light grey silk sheet set [exact, paused, $3.00]</t>
        </is>
      </c>
      <c r="D157" s="2" t="inlineStr">
        <is>
          <t>grey silk satin sheets; light grey silk sheets</t>
        </is>
      </c>
      <c r="E157" s="2" t="inlineStr">
        <is>
          <t>ENABLED</t>
        </is>
      </c>
      <c r="F157" s="2" t="inlineStr">
        <is>
          <t>Ranking</t>
        </is>
      </c>
      <c r="G157" s="2" t="inlineStr">
        <is>
          <t>Conversions</t>
        </is>
      </c>
      <c r="H157" s="2" t="inlineStr">
        <is>
          <t>OUT</t>
        </is>
      </c>
      <c r="I157" s="2" t="inlineStr">
        <is>
          <t>Exact</t>
        </is>
      </c>
      <c r="J157" s="2" t="inlineStr">
        <is>
          <t>SATIN-QUEEN-GREY</t>
        </is>
      </c>
      <c r="K157" s="2" t="inlineStr">
        <is>
          <t>SATIN-QUEEN-GREY</t>
        </is>
      </c>
      <c r="L157" s="2" t="inlineStr">
        <is>
          <t>$0.98 / $2.96</t>
        </is>
      </c>
      <c r="M157" s="2" t="inlineStr">
        <is>
          <t>$0.98 / $2.96</t>
        </is>
      </c>
      <c r="N157" s="2" t="n">
        <v>87</v>
      </c>
      <c r="O157" s="2" t="n">
        <v>87</v>
      </c>
      <c r="P157" s="21" t="n">
        <v>1.83</v>
      </c>
      <c r="Q157" s="21" t="n">
        <v>1.83</v>
      </c>
      <c r="R157" s="2" t="n">
        <v>0</v>
      </c>
      <c r="S157" s="2" t="n">
        <v>0</v>
      </c>
      <c r="T157" s="2" t="n">
        <v>0</v>
      </c>
      <c r="U157" s="2" t="n">
        <v>0</v>
      </c>
      <c r="V157" s="21" t="n">
        <v>2.15</v>
      </c>
      <c r="W157" s="21" t="n">
        <v>2.15</v>
      </c>
      <c r="X157" s="2" t="inlineStr">
        <is>
          <t>ENABLED</t>
        </is>
      </c>
      <c r="Y157" s="2" t="inlineStr">
        <is>
          <t>none</t>
        </is>
      </c>
      <c r="Z157" s="2" t="inlineStr">
        <is>
          <t>defer — engine name wrong ((Conversion)); load a corrected name after 28 Oct</t>
        </is>
      </c>
      <c r="AA157" s="21" t="n">
        <v>8.43</v>
      </c>
      <c r="AB157" s="2" t="n">
        <v>6</v>
      </c>
      <c r="AC157" s="2" t="n">
        <v>4</v>
      </c>
      <c r="AD157" s="2" t="n">
        <v>9.300000000000001</v>
      </c>
      <c r="AE157" s="2" t="n">
        <v>50</v>
      </c>
      <c r="AF157" s="2" t="n">
        <v>50</v>
      </c>
      <c r="AG157" s="2" t="n">
        <v>6</v>
      </c>
      <c r="AH157" s="2" t="inlineStr">
        <is>
          <t>Hold (price)</t>
        </is>
      </c>
      <c r="AI157" s="22" t="inlineStr">
        <is>
          <t>Hold price (seq 330, seq 331); retag → Conversions</t>
        </is>
      </c>
      <c r="AJ157" s="22" t="inlineStr">
        <is>
          <t>9.3% ACoS on 4 orders / 6 clicks (CC 31 Aug–29 Sep). The lean-in rests on a thin read: 6 clicks and 4 orders in the target read, under the 15-click read floor. TOS $2.11 is already 1.64× the $1.29 ceiling. Note: bid light grey silk sheets held (seq 330); bid grey silk satin sheets held (seq 331).</t>
        </is>
      </c>
      <c r="AK157" s="2" t="inlineStr">
        <is>
          <t>seq 330 bid: hold; seq 331 bid: hold; seq 3010 rename CHANGE; our addition: standard → Conversions (colour term "grey silk satin sheets")</t>
        </is>
      </c>
      <c r="AL157" s="22" t="n"/>
    </row>
    <row r="158">
      <c r="A158" s="2" t="inlineStr">
        <is>
          <t>236057015351232</t>
        </is>
      </c>
      <c r="B158" s="2" t="inlineStr">
        <is>
          <t>D-S4-SP-EXACT-queen sheets deep pocket satin-Satin|Queen-SATIN-QUEEN-BLACK</t>
        </is>
      </c>
      <c r="C158" s="2" t="inlineStr">
        <is>
          <t>queen sheets deep pocket satin [exact]</t>
        </is>
      </c>
      <c r="D158" s="2" t="inlineStr">
        <is>
          <t>whole campaign</t>
        </is>
      </c>
      <c r="E158" s="2" t="inlineStr">
        <is>
          <t>ENABLED</t>
        </is>
      </c>
      <c r="F158" s="2" t="inlineStr">
        <is>
          <t>Conversions</t>
        </is>
      </c>
      <c r="G158" s="2" t="inlineStr">
        <is>
          <t>Ranking</t>
        </is>
      </c>
      <c r="H158" s="2" t="n"/>
      <c r="I158" s="2" t="inlineStr">
        <is>
          <t>Exact</t>
        </is>
      </c>
      <c r="J158" s="2" t="inlineStr">
        <is>
          <t>SATIN-QUEEN-BLACK</t>
        </is>
      </c>
      <c r="K158" s="2" t="inlineStr">
        <is>
          <t>SATIN-QUEEN-BLACK</t>
        </is>
      </c>
      <c r="L158" s="2" t="inlineStr">
        <is>
          <t>n/a (no target bid in audit)</t>
        </is>
      </c>
      <c r="M158" s="2" t="inlineStr">
        <is>
          <t>n/a</t>
        </is>
      </c>
      <c r="N158" s="2" t="n">
        <v>0</v>
      </c>
      <c r="O158" s="2" t="n">
        <v>0</v>
      </c>
      <c r="P158" s="21" t="n"/>
      <c r="Q158" s="21" t="n"/>
      <c r="R158" s="2" t="n"/>
      <c r="S158" s="2" t="n"/>
      <c r="T158" s="2" t="n"/>
      <c r="U158" s="2" t="n"/>
      <c r="V158" s="21" t="n">
        <v>8.06</v>
      </c>
      <c r="W158" s="21" t="n">
        <v>8.06</v>
      </c>
      <c r="X158" s="2" t="inlineStr">
        <is>
          <t>ENABLED</t>
        </is>
      </c>
      <c r="Y158" s="2" t="inlineStr">
        <is>
          <t>none</t>
        </is>
      </c>
      <c r="Z158" s="2" t="inlineStr">
        <is>
          <t>defer — engine name wrong (SKU token SATIN-QUEEN-BLACK; (Ranking)); load a corrected name after 28 Oct</t>
        </is>
      </c>
      <c r="AA158" s="21" t="n">
        <v>8.18</v>
      </c>
      <c r="AB158" s="2" t="n">
        <v>4</v>
      </c>
      <c r="AC158" s="2" t="n">
        <v>4</v>
      </c>
      <c r="AD158" s="2" t="n">
        <v>6.5</v>
      </c>
      <c r="AE158" s="2" t="n">
        <v>50</v>
      </c>
      <c r="AF158" s="2" t="n">
        <v>0</v>
      </c>
      <c r="AG158" s="2" t="n">
        <v>4</v>
      </c>
      <c r="AH158" s="2" t="inlineStr">
        <is>
          <t>Retag only</t>
        </is>
      </c>
      <c r="AI158" s="22" t="inlineStr">
        <is>
          <t>retag → Ranking</t>
        </is>
      </c>
      <c r="AJ158" s="22" t="inlineStr">
        <is>
          <t>Objective Conversions → Ranking by the standard (our retag verdict); 6.5% ACoS on 4 orders / 4 clicks (CC 31 Aug–29 Sep).</t>
        </is>
      </c>
      <c r="AK158" s="2" t="inlineStr">
        <is>
          <t>seq 1858 child: reject — keep SATIN-QUEEN-BLACK; seq 2128 retag correct to Ranking; seq 2994 rename CHANGE</t>
        </is>
      </c>
      <c r="AL158" s="22" t="n"/>
    </row>
    <row r="159">
      <c r="A159" s="2" t="inlineStr">
        <is>
          <t>272593829381073</t>
        </is>
      </c>
      <c r="B159" s="2" t="inlineStr">
        <is>
          <t>D-S4-SP-EXACT-satin queen sheets deep pocket-Satin|Queen-SATIN-QUEEN-BLACK</t>
        </is>
      </c>
      <c r="C159" s="2" t="inlineStr">
        <is>
          <t>satin queen sheets deep pocket [exact]</t>
        </is>
      </c>
      <c r="D159" s="2" t="inlineStr">
        <is>
          <t>whole campaign</t>
        </is>
      </c>
      <c r="E159" s="2" t="inlineStr">
        <is>
          <t>ENABLED</t>
        </is>
      </c>
      <c r="F159" s="2" t="inlineStr">
        <is>
          <t>Conversions</t>
        </is>
      </c>
      <c r="G159" s="2" t="inlineStr">
        <is>
          <t>Ranking</t>
        </is>
      </c>
      <c r="H159" s="2" t="n"/>
      <c r="I159" s="2" t="inlineStr">
        <is>
          <t>Exact</t>
        </is>
      </c>
      <c r="J159" s="2" t="inlineStr">
        <is>
          <t>SATIN-QUEEN-BLACK</t>
        </is>
      </c>
      <c r="K159" s="2" t="inlineStr">
        <is>
          <t>SATIN-QUEEN-BLACK</t>
        </is>
      </c>
      <c r="L159" s="2" t="inlineStr">
        <is>
          <t>n/a (no target bid in audit)</t>
        </is>
      </c>
      <c r="M159" s="2" t="inlineStr">
        <is>
          <t>n/a</t>
        </is>
      </c>
      <c r="N159" s="2" t="n">
        <v>0</v>
      </c>
      <c r="O159" s="2" t="n">
        <v>0</v>
      </c>
      <c r="P159" s="21" t="n"/>
      <c r="Q159" s="21" t="n"/>
      <c r="R159" s="2" t="n"/>
      <c r="S159" s="2" t="n"/>
      <c r="T159" s="2" t="n"/>
      <c r="U159" s="2" t="n"/>
      <c r="V159" s="21" t="n">
        <v>8.06</v>
      </c>
      <c r="W159" s="21" t="n">
        <v>8.06</v>
      </c>
      <c r="X159" s="2" t="inlineStr">
        <is>
          <t>ENABLED</t>
        </is>
      </c>
      <c r="Y159" s="2" t="inlineStr">
        <is>
          <t>none</t>
        </is>
      </c>
      <c r="Z159" s="2" t="inlineStr">
        <is>
          <t>defer — engine name wrong (SKU token SATIN-QUEEN-BLACK; (Ranking)); load a corrected name after 28 Oct</t>
        </is>
      </c>
      <c r="AA159" s="21" t="n">
        <v>8.09</v>
      </c>
      <c r="AB159" s="2" t="n">
        <v>4</v>
      </c>
      <c r="AC159" s="2" t="n">
        <v>0</v>
      </c>
      <c r="AD159" s="2" t="n"/>
      <c r="AE159" s="2" t="n">
        <v>50</v>
      </c>
      <c r="AF159" s="2" t="n">
        <v>0</v>
      </c>
      <c r="AG159" s="2" t="n">
        <v>0</v>
      </c>
      <c r="AH159" s="2" t="inlineStr">
        <is>
          <t>Retag only</t>
        </is>
      </c>
      <c r="AI159" s="22" t="inlineStr">
        <is>
          <t>retag → Ranking</t>
        </is>
      </c>
      <c r="AJ159" s="22" t="inlineStr">
        <is>
          <t>Objective Conversions → Ranking by the standard (our retag verdict); no sales ACoS on 0 orders / 4 clicks (CC 31 Aug–29 Sep).</t>
        </is>
      </c>
      <c r="AK159" s="2" t="inlineStr">
        <is>
          <t>seq 1853 child: reject — keep SATIN-QUEEN-BLACK; seq 2122 retag correct to Ranking; seq 2980 rename CHANGE</t>
        </is>
      </c>
      <c r="AL159" s="22" t="n"/>
    </row>
    <row r="160">
      <c r="A160" s="2" t="inlineStr">
        <is>
          <t>148230624327240</t>
        </is>
      </c>
      <c r="B160" s="2" t="inlineStr">
        <is>
          <t>D-S4-queen sheet set satin - [Satin|Queen] - Exact - Ran - DO - SATIN-QUEEN-BLACK</t>
        </is>
      </c>
      <c r="C160" s="2" t="inlineStr">
        <is>
          <t>queen sheet set satin [exact, $0.50, 4 clicks]</t>
        </is>
      </c>
      <c r="D160" s="2" t="inlineStr">
        <is>
          <t>queen sheet set satin</t>
        </is>
      </c>
      <c r="E160" s="2" t="inlineStr">
        <is>
          <t>ENABLED</t>
        </is>
      </c>
      <c r="F160" s="2" t="inlineStr">
        <is>
          <t>Ranking</t>
        </is>
      </c>
      <c r="G160" s="2" t="inlineStr">
        <is>
          <t>Ranking</t>
        </is>
      </c>
      <c r="H160" s="2" t="inlineStr">
        <is>
          <t>Satin|Queen</t>
        </is>
      </c>
      <c r="I160" s="2" t="inlineStr">
        <is>
          <t>Exact</t>
        </is>
      </c>
      <c r="J160" s="2" t="inlineStr">
        <is>
          <t>SATIN-QUEEN-BLACK</t>
        </is>
      </c>
      <c r="K160" s="2" t="inlineStr">
        <is>
          <t>SATIN-QUEEN-BLACK</t>
        </is>
      </c>
      <c r="L160" s="2" t="inlineStr">
        <is>
          <t>$0.50</t>
        </is>
      </c>
      <c r="M160" s="2" t="inlineStr">
        <is>
          <t>$0.25</t>
        </is>
      </c>
      <c r="N160" s="2" t="n">
        <v>300</v>
      </c>
      <c r="O160" s="2" t="n">
        <v>300</v>
      </c>
      <c r="P160" s="21" t="n">
        <v>2</v>
      </c>
      <c r="Q160" s="21" t="n">
        <v>1</v>
      </c>
      <c r="R160" s="2" t="n">
        <v>0</v>
      </c>
      <c r="S160" s="2" t="n">
        <v>0</v>
      </c>
      <c r="T160" s="2" t="n">
        <v>0</v>
      </c>
      <c r="U160" s="2" t="n">
        <v>0</v>
      </c>
      <c r="V160" s="21" t="n">
        <v>10.92</v>
      </c>
      <c r="W160" s="21" t="n">
        <v>10.92</v>
      </c>
      <c r="X160" s="2" t="inlineStr">
        <is>
          <t>ENABLED</t>
        </is>
      </c>
      <c r="Y160" s="2" t="inlineStr">
        <is>
          <t>none</t>
        </is>
      </c>
      <c r="Z160" s="2" t="inlineStr">
        <is>
          <t>defer — engine name wrong (SKU token SATIN-QUEEN-BLACK); load a corrected name after 28 Oct</t>
        </is>
      </c>
      <c r="AA160" s="21" t="n">
        <v>7.68</v>
      </c>
      <c r="AB160" s="2" t="n">
        <v>4</v>
      </c>
      <c r="AC160" s="2" t="n">
        <v>0</v>
      </c>
      <c r="AD160" s="2" t="n"/>
      <c r="AE160" s="2" t="n">
        <v>100</v>
      </c>
      <c r="AF160" s="2" t="n">
        <v>0</v>
      </c>
      <c r="AG160" s="2" t="n">
        <v>7</v>
      </c>
      <c r="AH160" s="2" t="inlineStr">
        <is>
          <t>Release hold + price to break-even</t>
        </is>
      </c>
      <c r="AI160" s="22" t="inlineStr">
        <is>
          <t>Release hold; cut base $0.50 → $0.25</t>
        </is>
      </c>
      <c r="AJ160" s="22" t="inlineStr">
        <is>
          <t>no-sale ACoS, 0 orders on 4 clicks (CC 31 Aug–29 Sep) vs Queen Black break-even 17.8%; BE base = $5.03 contribution (Queen Black) × 0.0% CVR = $0.00; cap 50% cut.</t>
        </is>
      </c>
      <c r="AK160" s="2" t="inlineStr">
        <is>
          <t>seq 1869 child: reject — keep SATIN-QUEEN-BLACK; seq 3020 rename CHANGE; seq 337 NOT SERVING hold(s) → release; price to break-even (our addition, reviewer D)</t>
        </is>
      </c>
      <c r="AL160" s="22" t="n"/>
    </row>
    <row r="161">
      <c r="A161" s="2" t="inlineStr">
        <is>
          <t>15472271686285</t>
        </is>
      </c>
      <c r="B161" s="2" t="inlineStr">
        <is>
          <t>D-S4-pink satin sheets full - [Satin|Full] - Exact - Ran - DO - SATIN-FULL-PINK</t>
        </is>
      </c>
      <c r="C161" s="2" t="inlineStr">
        <is>
          <t>pink satin sheets full [exact]</t>
        </is>
      </c>
      <c r="D161" s="2" t="inlineStr">
        <is>
          <t>pink satin sheets full</t>
        </is>
      </c>
      <c r="E161" s="2" t="inlineStr">
        <is>
          <t>ENABLED</t>
        </is>
      </c>
      <c r="F161" s="2" t="inlineStr">
        <is>
          <t>Ranking</t>
        </is>
      </c>
      <c r="G161" s="2" t="inlineStr">
        <is>
          <t>Conversions</t>
        </is>
      </c>
      <c r="H161" s="2" t="inlineStr">
        <is>
          <t>Satin|Full</t>
        </is>
      </c>
      <c r="I161" s="2" t="inlineStr">
        <is>
          <t>Exact</t>
        </is>
      </c>
      <c r="J161" s="2" t="inlineStr">
        <is>
          <t>SATIN-FULL-PINK</t>
        </is>
      </c>
      <c r="K161" s="2" t="inlineStr">
        <is>
          <t>SATIN-FULL-PINK</t>
        </is>
      </c>
      <c r="L161" s="2" t="inlineStr">
        <is>
          <t>$0.69</t>
        </is>
      </c>
      <c r="M161" s="2" t="inlineStr">
        <is>
          <t>$0.69</t>
        </is>
      </c>
      <c r="N161" s="2" t="n">
        <v>50</v>
      </c>
      <c r="O161" s="2" t="n">
        <v>50</v>
      </c>
      <c r="P161" s="21" t="n">
        <v>1.03</v>
      </c>
      <c r="Q161" s="21" t="n">
        <v>1.03</v>
      </c>
      <c r="R161" s="2" t="n"/>
      <c r="S161" s="2" t="n"/>
      <c r="T161" s="2" t="n"/>
      <c r="U161" s="2" t="n"/>
      <c r="V161" s="21" t="n">
        <v>5.77</v>
      </c>
      <c r="W161" s="21" t="n">
        <v>5.77</v>
      </c>
      <c r="X161" s="2" t="inlineStr">
        <is>
          <t>ENABLED</t>
        </is>
      </c>
      <c r="Y161" s="2" t="inlineStr">
        <is>
          <t>none</t>
        </is>
      </c>
      <c r="Z161" s="2" t="inlineStr">
        <is>
          <t>defer — engine name wrong ((Conversion)); load a corrected name after 28 Oct</t>
        </is>
      </c>
      <c r="AA161" s="21" t="n">
        <v>7.64</v>
      </c>
      <c r="AB161" s="2" t="n">
        <v>11</v>
      </c>
      <c r="AC161" s="2" t="n">
        <v>2</v>
      </c>
      <c r="AD161" s="2" t="n">
        <v>13.4</v>
      </c>
      <c r="AE161" s="2" t="n">
        <v>20</v>
      </c>
      <c r="AF161" s="2" t="n">
        <v>70</v>
      </c>
      <c r="AG161" s="2" t="n">
        <v>8</v>
      </c>
      <c r="AH161" s="2" t="inlineStr">
        <is>
          <t>Release hold, keep price</t>
        </is>
      </c>
      <c r="AI161" s="22" t="inlineStr">
        <is>
          <t>Release hold; keep base $0.69 (at/under break-even); retag → Conversions</t>
        </is>
      </c>
      <c r="AJ161" s="22" t="inlineStr">
        <is>
          <t>13.4% ACoS, 2 orders on 11 clicks (CC 31 Aug–29 Sep) vs blended (other colour) break-even 23.3%; BE base = $7.02 contribution (blended (other colour)) × 18.2% CVR = $1.28; cap 25% cut.</t>
        </is>
      </c>
      <c r="AK161" s="2" t="inlineStr">
        <is>
          <t>seq 2146 retag correct to Conversions; seq 3036 rename CHANGE; seq 2001 NOT SERVING hold(s) → release; price to break-even (our addition, reviewer D)</t>
        </is>
      </c>
      <c r="AL161" s="22" t="n"/>
    </row>
    <row r="162">
      <c r="A162" s="2" t="inlineStr">
        <is>
          <t>262203516686903</t>
        </is>
      </c>
      <c r="B162" s="2" t="inlineStr">
        <is>
          <t>D-S4-satin silk sheets - [Silk] - Exact - Ran - DO - SATIN-QUEEN-BLACK</t>
        </is>
      </c>
      <c r="C162" s="2" t="inlineStr">
        <is>
          <t>satin silk sheets [exact]</t>
        </is>
      </c>
      <c r="D162" s="2" t="inlineStr">
        <is>
          <t>whole campaign</t>
        </is>
      </c>
      <c r="E162" s="2" t="inlineStr">
        <is>
          <t>ENABLED</t>
        </is>
      </c>
      <c r="F162" s="2" t="inlineStr">
        <is>
          <t>Ranking</t>
        </is>
      </c>
      <c r="G162" s="2" t="inlineStr">
        <is>
          <t>Ranking</t>
        </is>
      </c>
      <c r="H162" s="2" t="inlineStr">
        <is>
          <t>Silk</t>
        </is>
      </c>
      <c r="I162" s="2" t="inlineStr">
        <is>
          <t>Exact</t>
        </is>
      </c>
      <c r="J162" s="2" t="inlineStr">
        <is>
          <t>SATIN-QUEEN-BLACK</t>
        </is>
      </c>
      <c r="K162" s="2" t="inlineStr">
        <is>
          <t>SATIN-QUEEN-BLACK</t>
        </is>
      </c>
      <c r="L162" s="2" t="inlineStr">
        <is>
          <t>n/a (no target bid in audit)</t>
        </is>
      </c>
      <c r="M162" s="2" t="inlineStr">
        <is>
          <t>n/a</t>
        </is>
      </c>
      <c r="N162" s="2" t="n">
        <v>30</v>
      </c>
      <c r="O162" s="2" t="n">
        <v>30</v>
      </c>
      <c r="P162" s="21" t="n"/>
      <c r="Q162" s="21" t="n"/>
      <c r="R162" s="2" t="n"/>
      <c r="S162" s="2" t="n"/>
      <c r="T162" s="2" t="n"/>
      <c r="U162" s="2" t="n"/>
      <c r="V162" s="21" t="n">
        <v>8.19</v>
      </c>
      <c r="W162" s="21" t="n">
        <v>8.19</v>
      </c>
      <c r="X162" s="2" t="inlineStr">
        <is>
          <t>ENABLED</t>
        </is>
      </c>
      <c r="Y162" s="2" t="inlineStr">
        <is>
          <t>none</t>
        </is>
      </c>
      <c r="Z162" s="2" t="inlineStr">
        <is>
          <t>load (clean): DSS4-SP-Satin Silk Sheets-[Satin]-(VLSV)-Exact-(Ranking)-DO-SATIN-QUEEN-BLACK</t>
        </is>
      </c>
      <c r="AA162" s="21" t="n">
        <v>7.26</v>
      </c>
      <c r="AB162" s="2" t="n">
        <v>6</v>
      </c>
      <c r="AC162" s="2" t="n">
        <v>0</v>
      </c>
      <c r="AD162" s="2" t="n"/>
      <c r="AE162" s="2" t="n">
        <v>66.67</v>
      </c>
      <c r="AF162" s="2" t="n">
        <v>0</v>
      </c>
      <c r="AG162" s="2" t="n">
        <v>6</v>
      </c>
      <c r="AH162" s="2" t="inlineStr">
        <is>
          <t>Rename only</t>
        </is>
      </c>
      <c r="AI162" s="22" t="inlineStr">
        <is>
          <t>Load rename only</t>
        </is>
      </c>
      <c r="AJ162" s="22" t="inlineStr">
        <is>
          <t>Clean rename (SKU token and objective match what the campaign advertises); no sales ACoS on 0 orders / 6 clicks (CC 31 Aug–29 Sep).</t>
        </is>
      </c>
      <c r="AK162" s="2" t="inlineStr">
        <is>
          <t>seq 2148 retag LOAD; seq 3039 rename LOAD</t>
        </is>
      </c>
      <c r="AL162" s="22" t="n"/>
    </row>
    <row r="163">
      <c r="A163" s="2" t="inlineStr">
        <is>
          <t>331046733037096</t>
        </is>
      </c>
      <c r="B163" s="2" t="inlineStr">
        <is>
          <t>D-S4-SP-queen pink satin sheets-(Satin)-VLSV-Exact-Rank-DO-SATIN-QUEEN-GREY-FBM</t>
        </is>
      </c>
      <c r="C163" s="2" t="inlineStr">
        <is>
          <t>queen pink satin sheets [exact, $1.45, 5 clicks]</t>
        </is>
      </c>
      <c r="D163" s="2" t="inlineStr">
        <is>
          <t>queen pink satin sheets</t>
        </is>
      </c>
      <c r="E163" s="2" t="inlineStr">
        <is>
          <t>ENABLED</t>
        </is>
      </c>
      <c r="F163" s="2" t="inlineStr">
        <is>
          <t>Ranking</t>
        </is>
      </c>
      <c r="G163" s="2" t="inlineStr">
        <is>
          <t>Conversions</t>
        </is>
      </c>
      <c r="H163" s="2" t="inlineStr">
        <is>
          <t>OUT</t>
        </is>
      </c>
      <c r="I163" s="2" t="inlineStr">
        <is>
          <t>Exact</t>
        </is>
      </c>
      <c r="J163" s="2" t="inlineStr">
        <is>
          <t>SATIN-QUEEN-PINK</t>
        </is>
      </c>
      <c r="K163" s="2" t="inlineStr">
        <is>
          <t>SATIN-QUEEN-PINK</t>
        </is>
      </c>
      <c r="L163" s="2" t="inlineStr">
        <is>
          <t>$1.45</t>
        </is>
      </c>
      <c r="M163" s="2" t="inlineStr">
        <is>
          <t>$0.72</t>
        </is>
      </c>
      <c r="N163" s="2" t="n">
        <v>0</v>
      </c>
      <c r="O163" s="2" t="n">
        <v>0</v>
      </c>
      <c r="P163" s="21" t="n">
        <v>1.45</v>
      </c>
      <c r="Q163" s="21" t="n">
        <v>0.72</v>
      </c>
      <c r="R163" s="2" t="n">
        <v>0</v>
      </c>
      <c r="S163" s="2" t="n">
        <v>0</v>
      </c>
      <c r="T163" s="2" t="n">
        <v>0</v>
      </c>
      <c r="U163" s="2" t="n">
        <v>0</v>
      </c>
      <c r="V163" s="21" t="n">
        <v>5</v>
      </c>
      <c r="W163" s="21" t="n">
        <v>5</v>
      </c>
      <c r="X163" s="2" t="inlineStr">
        <is>
          <t>ENABLED</t>
        </is>
      </c>
      <c r="Y163" s="2" t="inlineStr">
        <is>
          <t>none</t>
        </is>
      </c>
      <c r="Z163" s="2" t="inlineStr">
        <is>
          <t>defer — engine name wrong ((Conversion)); load a corrected name after 28 Oct</t>
        </is>
      </c>
      <c r="AA163" s="21" t="n">
        <v>7.25</v>
      </c>
      <c r="AB163" s="2" t="n">
        <v>5</v>
      </c>
      <c r="AC163" s="2" t="n">
        <v>0</v>
      </c>
      <c r="AD163" s="2" t="n"/>
      <c r="AE163" s="2" t="n">
        <v>0</v>
      </c>
      <c r="AF163" s="2" t="n">
        <v>100</v>
      </c>
      <c r="AG163" s="2" t="n">
        <v>0</v>
      </c>
      <c r="AH163" s="2" t="inlineStr">
        <is>
          <t>Release hold + price to break-even</t>
        </is>
      </c>
      <c r="AI163" s="22" t="inlineStr">
        <is>
          <t>Release hold; cut base $1.45 → $0.72; retag → Conversions</t>
        </is>
      </c>
      <c r="AJ163" s="22" t="inlineStr">
        <is>
          <t>no-sale ACoS, 0 orders on 5 clicks (CC 31 Aug–29 Sep) vs blended (other colour) break-even 23.3%; BE base = $7.02 contribution (blended (other colour)) × 0.0% CVR = $0.00; cap 50% cut.</t>
        </is>
      </c>
      <c r="AK163" s="2" t="inlineStr">
        <is>
          <t>seq 3226 rename CHANGE; seq 339 NOT SERVING hold(s) → release; price to break-even (our addition, reviewer D); our addition: standard → Conversions (colour term "queen pink satin sheets")</t>
        </is>
      </c>
      <c r="AL163" s="22" t="n"/>
    </row>
    <row r="164">
      <c r="A164" s="2" t="inlineStr">
        <is>
          <t>228172658955841</t>
        </is>
      </c>
      <c r="B164" s="2" t="inlineStr">
        <is>
          <t>D-S4-SP-satin bed set king-(Satin)-VLSV-Exact-Rank-DO-SATIN-KING-BLACK</t>
        </is>
      </c>
      <c r="C164" s="2" t="inlineStr">
        <is>
          <t>satin bed set king [exact, $1.46, 4 clicks]; satin bed sheets king set [exact, $2.11]</t>
        </is>
      </c>
      <c r="D164" s="2" t="inlineStr">
        <is>
          <t>satin bed set king; satin bed sheets king set</t>
        </is>
      </c>
      <c r="E164" s="2" t="inlineStr">
        <is>
          <t>ENABLED</t>
        </is>
      </c>
      <c r="F164" s="2" t="inlineStr">
        <is>
          <t>Ranking</t>
        </is>
      </c>
      <c r="G164" s="2" t="inlineStr">
        <is>
          <t>Ranking</t>
        </is>
      </c>
      <c r="H164" s="2" t="inlineStr">
        <is>
          <t>OUT</t>
        </is>
      </c>
      <c r="I164" s="2" t="inlineStr">
        <is>
          <t>Exact</t>
        </is>
      </c>
      <c r="J164" s="2" t="inlineStr">
        <is>
          <t>SATIN-4PC-KING-GREY</t>
        </is>
      </c>
      <c r="K164" s="2" t="inlineStr">
        <is>
          <t>SATIN-4PC-KING-GREY</t>
        </is>
      </c>
      <c r="L164" s="2" t="inlineStr">
        <is>
          <t>$1.46 / $2.11</t>
        </is>
      </c>
      <c r="M164" s="2" t="inlineStr">
        <is>
          <t>$1.02 / $1.48</t>
        </is>
      </c>
      <c r="N164" s="2" t="n">
        <v>40</v>
      </c>
      <c r="O164" s="2" t="n">
        <v>40</v>
      </c>
      <c r="P164" s="21" t="n">
        <v>2.04</v>
      </c>
      <c r="Q164" s="21" t="n">
        <v>1.43</v>
      </c>
      <c r="R164" s="2" t="n">
        <v>0</v>
      </c>
      <c r="S164" s="2" t="n">
        <v>0</v>
      </c>
      <c r="T164" s="2" t="n">
        <v>0</v>
      </c>
      <c r="U164" s="2" t="n">
        <v>0</v>
      </c>
      <c r="V164" s="21" t="n">
        <v>2.24</v>
      </c>
      <c r="W164" s="21" t="n">
        <v>2.24</v>
      </c>
      <c r="X164" s="2" t="inlineStr">
        <is>
          <t>ENABLED</t>
        </is>
      </c>
      <c r="Y164" s="2" t="inlineStr">
        <is>
          <t>none</t>
        </is>
      </c>
      <c r="Z164" s="2" t="inlineStr">
        <is>
          <t>load (clean): DSS4-SP-Satin Bed Set King-(VLSV)-Exact-(Ranking)-DO-SATIN-4PC-KING-GREY</t>
        </is>
      </c>
      <c r="AA164" s="21" t="n">
        <v>6.94</v>
      </c>
      <c r="AB164" s="2" t="n">
        <v>4</v>
      </c>
      <c r="AC164" s="2" t="n">
        <v>0</v>
      </c>
      <c r="AD164" s="2" t="n"/>
      <c r="AE164" s="2" t="n">
        <v>75</v>
      </c>
      <c r="AF164" s="2" t="n">
        <v>0</v>
      </c>
      <c r="AG164" s="2" t="n">
        <v>0</v>
      </c>
      <c r="AH164" s="2" t="inlineStr">
        <is>
          <t>Price cut</t>
        </is>
      </c>
      <c r="AI164" s="22" t="inlineStr">
        <is>
          <t>Cut base 30% ($1.46 / $2.11 → $1.02 / $1.48)</t>
        </is>
      </c>
      <c r="AJ164" s="22" t="inlineStr">
        <is>
          <t>no sales ACoS on 0 orders / 4 clicks (CC 31 Aug–29 Sep) vs King Grey break-even 15.3%; audit row loads as written (review 40 agrees).</t>
        </is>
      </c>
      <c r="AK164" s="2" t="inlineStr">
        <is>
          <t>seq 347 bid: agree with review 40; seq 348 bid: agree with review 40; seq 3044 rename LOAD</t>
        </is>
      </c>
      <c r="AL164" s="22" t="n"/>
    </row>
    <row r="165">
      <c r="A165" s="2" t="inlineStr">
        <is>
          <t>164335949259674</t>
        </is>
      </c>
      <c r="B165" s="2" t="inlineStr">
        <is>
          <t>D-S4-queen silk sheets - [Silk|Queen] - Exact - Ran - DO - SATIN-QUEEN-BLACK</t>
        </is>
      </c>
      <c r="C165" s="2" t="inlineStr">
        <is>
          <t>queen silk sheets [exact, $0.53, 4 clicks]</t>
        </is>
      </c>
      <c r="D165" s="2" t="inlineStr">
        <is>
          <t>queen silk sheets</t>
        </is>
      </c>
      <c r="E165" s="2" t="inlineStr">
        <is>
          <t>ENABLED</t>
        </is>
      </c>
      <c r="F165" s="2" t="inlineStr">
        <is>
          <t>Ranking</t>
        </is>
      </c>
      <c r="G165" s="2" t="inlineStr">
        <is>
          <t>Ranking</t>
        </is>
      </c>
      <c r="H165" s="2" t="inlineStr">
        <is>
          <t>OUT</t>
        </is>
      </c>
      <c r="I165" s="2" t="inlineStr">
        <is>
          <t>Exact</t>
        </is>
      </c>
      <c r="J165" s="2" t="inlineStr">
        <is>
          <t>SATIN-QUEEN-BLACK</t>
        </is>
      </c>
      <c r="K165" s="2" t="inlineStr">
        <is>
          <t>SATIN-QUEEN-BLACK</t>
        </is>
      </c>
      <c r="L165" s="2" t="inlineStr">
        <is>
          <t>$0.53</t>
        </is>
      </c>
      <c r="M165" s="2" t="inlineStr">
        <is>
          <t>$0.53</t>
        </is>
      </c>
      <c r="N165" s="2" t="n">
        <v>225</v>
      </c>
      <c r="O165" s="2" t="n">
        <v>225</v>
      </c>
      <c r="P165" s="21" t="n">
        <v>1.72</v>
      </c>
      <c r="Q165" s="21" t="n">
        <v>1.72</v>
      </c>
      <c r="R165" s="2" t="n">
        <v>0</v>
      </c>
      <c r="S165" s="2" t="n">
        <v>0</v>
      </c>
      <c r="T165" s="2" t="n">
        <v>0</v>
      </c>
      <c r="U165" s="2" t="n">
        <v>0</v>
      </c>
      <c r="V165" s="21" t="n">
        <v>25</v>
      </c>
      <c r="W165" s="21" t="n">
        <v>25</v>
      </c>
      <c r="X165" s="2" t="inlineStr">
        <is>
          <t>ENABLED</t>
        </is>
      </c>
      <c r="Y165" s="2" t="inlineStr">
        <is>
          <t>none</t>
        </is>
      </c>
      <c r="Z165" s="2" t="inlineStr">
        <is>
          <t>defer — engine name wrong (SKU token SATIN-QUEEN-BLACK); load a corrected name after 28 Oct</t>
        </is>
      </c>
      <c r="AA165" s="21" t="n">
        <v>6.88</v>
      </c>
      <c r="AB165" s="2" t="n">
        <v>4</v>
      </c>
      <c r="AC165" s="2" t="n">
        <v>0</v>
      </c>
      <c r="AD165" s="2" t="n"/>
      <c r="AE165" s="2" t="n">
        <v>100</v>
      </c>
      <c r="AF165" s="2" t="n">
        <v>0</v>
      </c>
      <c r="AG165" s="2" t="n">
        <v>48</v>
      </c>
      <c r="AH165" s="2" t="inlineStr">
        <is>
          <t>Hold (price)</t>
        </is>
      </c>
      <c r="AI165" s="22" t="inlineStr">
        <is>
          <t>Hold price (seq 353)</t>
        </is>
      </c>
      <c r="AJ165" s="22" t="inlineStr">
        <is>
          <t>no sales ACoS on 0 orders / 4 clicks (CC 31 Aug–29 Sep). 4 clicks in window; the engine itself wrote "cutting the base of a row that is not delivering makes delivery worse (§12)". The class overrode that. Note: bid queen silk sheets held (seq 353).</t>
        </is>
      </c>
      <c r="AK165" s="2" t="inlineStr">
        <is>
          <t>seq 353 bid: hold; seq 1875 child: reject — keep SATIN-QUEEN-BLACK; seq 3031 rename CHANGE</t>
        </is>
      </c>
      <c r="AL165" s="22" t="n"/>
    </row>
    <row r="166">
      <c r="A166" s="2" t="inlineStr">
        <is>
          <t>398108140003951</t>
        </is>
      </c>
      <c r="B166" s="2" t="inlineStr">
        <is>
          <t>D-S4-SP-decolure-Brand-Agr-Exact-Def-DO-SATIN-QUEEN-GREY</t>
        </is>
      </c>
      <c r="C166" s="2" t="inlineStr">
        <is>
          <t>decolure [exact]</t>
        </is>
      </c>
      <c r="D166" s="2" t="inlineStr">
        <is>
          <t>whole campaign</t>
        </is>
      </c>
      <c r="E166" s="2" t="inlineStr">
        <is>
          <t>ENABLED</t>
        </is>
      </c>
      <c r="F166" s="2" t="inlineStr">
        <is>
          <t>Defensive</t>
        </is>
      </c>
      <c r="G166" s="2" t="inlineStr">
        <is>
          <t>Defensive</t>
        </is>
      </c>
      <c r="H166" s="2" t="n"/>
      <c r="I166" s="2" t="inlineStr">
        <is>
          <t>Exact</t>
        </is>
      </c>
      <c r="J166" s="2" t="inlineStr">
        <is>
          <t>SATIN-QUEEN-BLACK</t>
        </is>
      </c>
      <c r="K166" s="2" t="inlineStr">
        <is>
          <t>SATIN-QUEEN-BLACK</t>
        </is>
      </c>
      <c r="L166" s="2" t="inlineStr">
        <is>
          <t>n/a (no target bid in audit)</t>
        </is>
      </c>
      <c r="M166" s="2" t="inlineStr">
        <is>
          <t>n/a</t>
        </is>
      </c>
      <c r="N166" s="2" t="n">
        <v>45</v>
      </c>
      <c r="O166" s="2" t="n">
        <v>45</v>
      </c>
      <c r="P166" s="21" t="n"/>
      <c r="Q166" s="21" t="n"/>
      <c r="R166" s="2" t="n"/>
      <c r="S166" s="2" t="n"/>
      <c r="T166" s="2" t="n"/>
      <c r="U166" s="2" t="n"/>
      <c r="V166" s="21" t="n">
        <v>10</v>
      </c>
      <c r="W166" s="21" t="n">
        <v>10</v>
      </c>
      <c r="X166" s="2" t="inlineStr">
        <is>
          <t>ENABLED</t>
        </is>
      </c>
      <c r="Y166" s="2" t="inlineStr">
        <is>
          <t>none</t>
        </is>
      </c>
      <c r="Z166" s="2" t="inlineStr">
        <is>
          <t>load (clean): DSS4-SP-Decolure-(VLSV)-Exact-(Defensive)-DO-SATIN-QUEEN-BLACK</t>
        </is>
      </c>
      <c r="AA166" s="21" t="n">
        <v>6.86</v>
      </c>
      <c r="AB166" s="2" t="n">
        <v>12</v>
      </c>
      <c r="AC166" s="2" t="n">
        <v>1</v>
      </c>
      <c r="AD166" s="2" t="n">
        <v>21.5</v>
      </c>
      <c r="AE166" s="2" t="n">
        <v>66.67</v>
      </c>
      <c r="AF166" s="2" t="n">
        <v>8.33</v>
      </c>
      <c r="AG166" s="2" t="n">
        <v>16</v>
      </c>
      <c r="AH166" s="2" t="inlineStr">
        <is>
          <t>Rename only</t>
        </is>
      </c>
      <c r="AI166" s="22" t="inlineStr">
        <is>
          <t>Load rename only</t>
        </is>
      </c>
      <c r="AJ166" s="22" t="inlineStr">
        <is>
          <t>Clean rename (SKU token and objective match what the campaign advertises); 21.5% ACoS on 1 orders / 12 clicks (CC 31 Aug–29 Sep).</t>
        </is>
      </c>
      <c r="AK166" s="2" t="inlineStr">
        <is>
          <t>seq 3006 rename LOAD</t>
        </is>
      </c>
      <c r="AL166" s="22" t="n"/>
    </row>
    <row r="167">
      <c r="A167" s="2" t="inlineStr">
        <is>
          <t>99038470646931</t>
        </is>
      </c>
      <c r="B167" s="2" t="inlineStr">
        <is>
          <t>D-S4-silk bed sheets queen - [Silk|Queen] - Exact - Ran - DO - SATIN-QUEEN-BLACK</t>
        </is>
      </c>
      <c r="C167" s="2" t="inlineStr">
        <is>
          <t>silk bed sheets queen [exact, $0.50, 5 clicks]</t>
        </is>
      </c>
      <c r="D167" s="2" t="inlineStr">
        <is>
          <t>silk bed sheets queen</t>
        </is>
      </c>
      <c r="E167" s="2" t="inlineStr">
        <is>
          <t>ENABLED</t>
        </is>
      </c>
      <c r="F167" s="2" t="inlineStr">
        <is>
          <t>Ranking</t>
        </is>
      </c>
      <c r="G167" s="2" t="inlineStr">
        <is>
          <t>Ranking</t>
        </is>
      </c>
      <c r="H167" s="2" t="inlineStr">
        <is>
          <t>OUT</t>
        </is>
      </c>
      <c r="I167" s="2" t="inlineStr">
        <is>
          <t>Exact</t>
        </is>
      </c>
      <c r="J167" s="2" t="inlineStr">
        <is>
          <t>SATIN-QUEEN-BLACK</t>
        </is>
      </c>
      <c r="K167" s="2" t="inlineStr">
        <is>
          <t>SATIN-QUEEN-BLACK</t>
        </is>
      </c>
      <c r="L167" s="2" t="inlineStr">
        <is>
          <t>$0.50</t>
        </is>
      </c>
      <c r="M167" s="2" t="inlineStr">
        <is>
          <t>$0.25</t>
        </is>
      </c>
      <c r="N167" s="2" t="n">
        <v>170</v>
      </c>
      <c r="O167" s="2" t="n">
        <v>170</v>
      </c>
      <c r="P167" s="21" t="n">
        <v>1.35</v>
      </c>
      <c r="Q167" s="21" t="n">
        <v>0.68</v>
      </c>
      <c r="R167" s="2" t="n">
        <v>0</v>
      </c>
      <c r="S167" s="2" t="n">
        <v>0</v>
      </c>
      <c r="T167" s="2" t="n">
        <v>30</v>
      </c>
      <c r="U167" s="2" t="n">
        <v>30</v>
      </c>
      <c r="V167" s="21" t="n">
        <v>11.88</v>
      </c>
      <c r="W167" s="21" t="n">
        <v>11.88</v>
      </c>
      <c r="X167" s="2" t="inlineStr">
        <is>
          <t>ENABLED</t>
        </is>
      </c>
      <c r="Y167" s="2" t="inlineStr">
        <is>
          <t>none</t>
        </is>
      </c>
      <c r="Z167" s="2" t="inlineStr">
        <is>
          <t>defer — engine name wrong (SKU token SATIN-QUEEN-BLACK); load a corrected name after 28 Oct</t>
        </is>
      </c>
      <c r="AA167" s="21" t="n">
        <v>6.75</v>
      </c>
      <c r="AB167" s="2" t="n">
        <v>5</v>
      </c>
      <c r="AC167" s="2" t="n">
        <v>0</v>
      </c>
      <c r="AD167" s="2" t="n"/>
      <c r="AE167" s="2" t="n">
        <v>100</v>
      </c>
      <c r="AF167" s="2" t="n">
        <v>0</v>
      </c>
      <c r="AG167" s="2" t="n">
        <v>36</v>
      </c>
      <c r="AH167" s="2" t="inlineStr">
        <is>
          <t>Release hold + price to break-even</t>
        </is>
      </c>
      <c r="AI167" s="22" t="inlineStr">
        <is>
          <t>Release hold; cut base $0.50 → $0.25</t>
        </is>
      </c>
      <c r="AJ167" s="22" t="inlineStr">
        <is>
          <t>no-sale ACoS, 0 orders on 5 clicks (CC 31 Aug–29 Sep) vs Queen Black break-even 17.8%; BE base = $5.03 contribution (Queen Black) × 0.0% CVR = $0.00; cap 50% cut.</t>
        </is>
      </c>
      <c r="AK167" s="2" t="inlineStr">
        <is>
          <t>seq 1970 child: reject — keep SATIN-QUEEN-BLACK; seq 3316 rename CHANGE; seq 354,357,358 NOT SERVING hold(s) → release; price to break-even (our addition, reviewer D)</t>
        </is>
      </c>
      <c r="AL167" s="22" t="inlineStr">
        <is>
          <t>MAINTAIN · score 36</t>
        </is>
      </c>
    </row>
    <row r="168">
      <c r="A168" s="2" t="inlineStr">
        <is>
          <t>246870509252619</t>
        </is>
      </c>
      <c r="B168" s="2" t="inlineStr">
        <is>
          <t>D-S4-SP-EXACT-real silk sheets full-Silk|Full-SATIN-FULL-BLACK</t>
        </is>
      </c>
      <c r="C168" s="2" t="inlineStr">
        <is>
          <t>real silk sheets full [exact]</t>
        </is>
      </c>
      <c r="D168" s="2" t="inlineStr">
        <is>
          <t>—</t>
        </is>
      </c>
      <c r="E168" s="2" t="inlineStr">
        <is>
          <t>ENABLED</t>
        </is>
      </c>
      <c r="F168" s="2" t="inlineStr">
        <is>
          <t>Conversions</t>
        </is>
      </c>
      <c r="G168" s="2" t="inlineStr">
        <is>
          <t>Conversions</t>
        </is>
      </c>
      <c r="H168" s="2" t="n"/>
      <c r="I168" s="2" t="inlineStr">
        <is>
          <t>Exact</t>
        </is>
      </c>
      <c r="J168" s="2" t="inlineStr">
        <is>
          <t>SATIN-FULL-BLACK</t>
        </is>
      </c>
      <c r="K168" s="2" t="inlineStr">
        <is>
          <t>SATIN-FULL-BLACK</t>
        </is>
      </c>
      <c r="L168" s="2" t="inlineStr">
        <is>
          <t>n/a (no target bid in audit)</t>
        </is>
      </c>
      <c r="M168" s="2" t="inlineStr">
        <is>
          <t>n/a</t>
        </is>
      </c>
      <c r="N168" s="2" t="n">
        <v>0</v>
      </c>
      <c r="O168" s="2" t="n">
        <v>0</v>
      </c>
      <c r="P168" s="21" t="n"/>
      <c r="Q168" s="21" t="n"/>
      <c r="R168" s="2" t="n"/>
      <c r="S168" s="2" t="n"/>
      <c r="T168" s="2" t="n"/>
      <c r="U168" s="2" t="n"/>
      <c r="V168" s="21" t="n">
        <v>9.58</v>
      </c>
      <c r="W168" s="21" t="n">
        <v>9.58</v>
      </c>
      <c r="X168" s="2" t="inlineStr">
        <is>
          <t>ENABLED</t>
        </is>
      </c>
      <c r="Y168" s="2" t="inlineStr">
        <is>
          <t>none</t>
        </is>
      </c>
      <c r="Z168" s="2" t="inlineStr">
        <is>
          <t>defer — engine name wrong (SKU token SATIN-FULL-BLACK); load a corrected name after 28 Oct</t>
        </is>
      </c>
      <c r="AA168" s="21" t="n">
        <v>6.04</v>
      </c>
      <c r="AB168" s="2" t="n">
        <v>3</v>
      </c>
      <c r="AC168" s="2" t="n">
        <v>0</v>
      </c>
      <c r="AD168" s="2" t="n"/>
      <c r="AE168" s="2" t="n">
        <v>100</v>
      </c>
      <c r="AF168" s="2" t="n">
        <v>0</v>
      </c>
      <c r="AG168" s="2" t="n">
        <v>1</v>
      </c>
      <c r="AH168" s="2" t="inlineStr">
        <is>
          <t>No change (engine move rejected/held)</t>
        </is>
      </c>
      <c r="AI168" s="22" t="inlineStr">
        <is>
          <t>No change (reject engine child swap seq 1870; defer engine rename)</t>
        </is>
      </c>
      <c r="AJ168" s="22" t="inlineStr">
        <is>
          <t>Engine swap SATIN-FULL-BLACK → SATIN-4PCS-FULL-ROSEWOOD rejected: the pick comes from the broken size map, and SATIN-FULL-BLACK is the size's best seller with cover (SB 30 Aug–29 Sep); the engine rename writes a wrong token and is deferred; no sales ACoS on 0 orders / 3 clicks (CC 31 Aug–29 Sep).</t>
        </is>
      </c>
      <c r="AK168" s="2" t="inlineStr">
        <is>
          <t>seq 1870 child: reject — keep SATIN-FULL-BLACK; seq 2140 retag LOAD; seq 3022 rename CHANGE</t>
        </is>
      </c>
      <c r="AL168" s="22" t="n"/>
    </row>
    <row r="169">
      <c r="A169" s="2" t="inlineStr">
        <is>
          <t>493654542872206</t>
        </is>
      </c>
      <c r="B169" s="2" t="inlineStr">
        <is>
          <t>D-S4-SP-deep pocket queen satin sheet set-(Satin)-HSV-Exact-Rank-DO-SATIN-STONEGREY-QUEEN-FBM</t>
        </is>
      </c>
      <c r="C169" s="2" t="inlineStr">
        <is>
          <t>deep pocket queen satin sheet set [exact, $2.76, 2 clicks]</t>
        </is>
      </c>
      <c r="D169" s="2" t="inlineStr">
        <is>
          <t>deep pocket queen satin sheet set</t>
        </is>
      </c>
      <c r="E169" s="2" t="inlineStr">
        <is>
          <t>ENABLED</t>
        </is>
      </c>
      <c r="F169" s="2" t="inlineStr">
        <is>
          <t>Ranking</t>
        </is>
      </c>
      <c r="G169" s="2" t="inlineStr">
        <is>
          <t>Ranking</t>
        </is>
      </c>
      <c r="H169" s="2" t="inlineStr">
        <is>
          <t>OUT</t>
        </is>
      </c>
      <c r="I169" s="2" t="inlineStr">
        <is>
          <t>Exact</t>
        </is>
      </c>
      <c r="J169" s="2" t="inlineStr">
        <is>
          <t>SATIN-QUEEN-BLACK</t>
        </is>
      </c>
      <c r="K169" s="2" t="inlineStr">
        <is>
          <t>SATIN-QUEEN-BLACK</t>
        </is>
      </c>
      <c r="L169" s="2" t="inlineStr">
        <is>
          <t>$2.76</t>
        </is>
      </c>
      <c r="M169" s="2" t="inlineStr">
        <is>
          <t>$1.38</t>
        </is>
      </c>
      <c r="N169" s="2" t="n">
        <v>100</v>
      </c>
      <c r="O169" s="2" t="n">
        <v>100</v>
      </c>
      <c r="P169" s="21" t="n">
        <v>5.52</v>
      </c>
      <c r="Q169" s="21" t="n">
        <v>2.76</v>
      </c>
      <c r="R169" s="2" t="n">
        <v>0</v>
      </c>
      <c r="S169" s="2" t="n">
        <v>0</v>
      </c>
      <c r="T169" s="2" t="n">
        <v>0</v>
      </c>
      <c r="U169" s="2" t="n">
        <v>0</v>
      </c>
      <c r="V169" s="21" t="n">
        <v>5</v>
      </c>
      <c r="W169" s="21" t="n">
        <v>5</v>
      </c>
      <c r="X169" s="2" t="inlineStr">
        <is>
          <t>ENABLED</t>
        </is>
      </c>
      <c r="Y169" s="2" t="inlineStr">
        <is>
          <t>none</t>
        </is>
      </c>
      <c r="Z169" s="2" t="inlineStr">
        <is>
          <t>defer — engine name wrong (SKU token SATIN-QUEEN-BLACK); load a corrected name after 28 Oct</t>
        </is>
      </c>
      <c r="AA169" s="21" t="n">
        <v>5.74</v>
      </c>
      <c r="AB169" s="2" t="n">
        <v>2</v>
      </c>
      <c r="AC169" s="2" t="n">
        <v>0</v>
      </c>
      <c r="AD169" s="2" t="n"/>
      <c r="AE169" s="2" t="n">
        <v>100</v>
      </c>
      <c r="AF169" s="2" t="n">
        <v>0</v>
      </c>
      <c r="AG169" s="2" t="n">
        <v>0</v>
      </c>
      <c r="AH169" s="2" t="inlineStr">
        <is>
          <t>Release hold + price to break-even</t>
        </is>
      </c>
      <c r="AI169" s="22" t="inlineStr">
        <is>
          <t>Release hold; cut base $2.76 → $1.38</t>
        </is>
      </c>
      <c r="AJ169" s="22" t="inlineStr">
        <is>
          <t>no-sale ACoS, 0 orders on 2 clicks (CC 31 Aug–29 Sep) vs Queen Black break-even 17.8%; BE base = $5.03 contribution (Queen Black) × 0.0% CVR = $0.00; cap 50% cut.</t>
        </is>
      </c>
      <c r="AK169" s="2" t="inlineStr">
        <is>
          <t>seq 1950 child: reject — keep SATIN-QUEEN-BLACK; seq 3263 rename CHANGE; seq 363 NOT SERVING hold(s) → release; price to break-even (our addition, reviewer D)</t>
        </is>
      </c>
      <c r="AL169" s="22" t="n"/>
    </row>
    <row r="170">
      <c r="A170" s="2" t="inlineStr">
        <is>
          <t>316066169149376</t>
        </is>
      </c>
      <c r="B170" s="2" t="inlineStr">
        <is>
          <t>D-S4-SP-black satin sheets queen deep pocket-(Satin)-VLSV-Exact-Rank-DO-FH-CXP0-5741</t>
        </is>
      </c>
      <c r="C170" s="2" t="inlineStr">
        <is>
          <t>black satin sheets queen deep pocket [exact, $1.90, 3 clicks]</t>
        </is>
      </c>
      <c r="D170" s="2" t="inlineStr">
        <is>
          <t>black satin sheets queen deep pocket</t>
        </is>
      </c>
      <c r="E170" s="2" t="inlineStr">
        <is>
          <t>ENABLED</t>
        </is>
      </c>
      <c r="F170" s="2" t="inlineStr">
        <is>
          <t>Ranking</t>
        </is>
      </c>
      <c r="G170" s="2" t="inlineStr">
        <is>
          <t>Conversions</t>
        </is>
      </c>
      <c r="H170" s="2" t="inlineStr">
        <is>
          <t>OUT</t>
        </is>
      </c>
      <c r="I170" s="2" t="inlineStr">
        <is>
          <t>Exact</t>
        </is>
      </c>
      <c r="J170" s="2" t="inlineStr">
        <is>
          <t>SATIN-QUEEN-BLACK</t>
        </is>
      </c>
      <c r="K170" s="2" t="inlineStr">
        <is>
          <t>SATIN-QUEEN-BLACK</t>
        </is>
      </c>
      <c r="L170" s="2" t="inlineStr">
        <is>
          <t>$1.90</t>
        </is>
      </c>
      <c r="M170" s="2" t="inlineStr">
        <is>
          <t>$1.33</t>
        </is>
      </c>
      <c r="N170" s="2" t="n">
        <v>0</v>
      </c>
      <c r="O170" s="2" t="n">
        <v>0</v>
      </c>
      <c r="P170" s="21" t="n">
        <v>1.9</v>
      </c>
      <c r="Q170" s="21" t="n">
        <v>1.33</v>
      </c>
      <c r="R170" s="2" t="n">
        <v>0</v>
      </c>
      <c r="S170" s="2" t="n">
        <v>0</v>
      </c>
      <c r="T170" s="2" t="n">
        <v>0</v>
      </c>
      <c r="U170" s="2" t="n">
        <v>0</v>
      </c>
      <c r="V170" s="21" t="n">
        <v>5</v>
      </c>
      <c r="W170" s="21" t="n">
        <v>5</v>
      </c>
      <c r="X170" s="2" t="inlineStr">
        <is>
          <t>ENABLED</t>
        </is>
      </c>
      <c r="Y170" s="2" t="inlineStr">
        <is>
          <t>none</t>
        </is>
      </c>
      <c r="Z170" s="2" t="inlineStr">
        <is>
          <t>defer — engine name wrong ((Conversion)); load a corrected name after 28 Oct</t>
        </is>
      </c>
      <c r="AA170" s="21" t="n">
        <v>5.7</v>
      </c>
      <c r="AB170" s="2" t="n">
        <v>3</v>
      </c>
      <c r="AC170" s="2" t="n">
        <v>0</v>
      </c>
      <c r="AD170" s="2" t="n"/>
      <c r="AE170" s="2" t="n">
        <v>33.33</v>
      </c>
      <c r="AF170" s="2" t="n">
        <v>0</v>
      </c>
      <c r="AG170" s="2" t="n">
        <v>0</v>
      </c>
      <c r="AH170" s="2" t="inlineStr">
        <is>
          <t>Price cut</t>
        </is>
      </c>
      <c r="AI170" s="22" t="inlineStr">
        <is>
          <t>Cut base 30% ($1.90 → $1.33); retag → Conversions</t>
        </is>
      </c>
      <c r="AJ170" s="22" t="inlineStr">
        <is>
          <t>Objective Ranking → Conversions by the standard (colour term "black satin sheets queen deep pocket"); no sales ACoS on 0 orders / 3 clicks (CC 31 Aug–29 Sep).</t>
        </is>
      </c>
      <c r="AK170" s="2" t="inlineStr">
        <is>
          <t>seq 368 bid: agree with review 40; seq 3024 rename CHANGE; our addition: standard → Conversions (colour term "black satin sheets queen deep pocket")</t>
        </is>
      </c>
      <c r="AL170" s="22" t="n"/>
    </row>
    <row r="171">
      <c r="A171" s="2" t="inlineStr">
        <is>
          <t>475368596913023</t>
        </is>
      </c>
      <c r="B171" s="2" t="inlineStr">
        <is>
          <t>D-S4-SP-red satin sheets king size-(Satin)-VLSV-Exact-Rank-DO-SATIN-RED-KING</t>
        </is>
      </c>
      <c r="C171" s="2" t="inlineStr">
        <is>
          <t>red satin sheets king size [exact, $0.76, 6 clicks]</t>
        </is>
      </c>
      <c r="D171" s="2" t="inlineStr">
        <is>
          <t>red satin sheets king size</t>
        </is>
      </c>
      <c r="E171" s="2" t="inlineStr">
        <is>
          <t>ENABLED</t>
        </is>
      </c>
      <c r="F171" s="2" t="inlineStr">
        <is>
          <t>Ranking</t>
        </is>
      </c>
      <c r="G171" s="2" t="inlineStr">
        <is>
          <t>Conversions</t>
        </is>
      </c>
      <c r="H171" s="2" t="inlineStr">
        <is>
          <t>OUT</t>
        </is>
      </c>
      <c r="I171" s="2" t="inlineStr">
        <is>
          <t>Exact</t>
        </is>
      </c>
      <c r="J171" s="2" t="inlineStr">
        <is>
          <t>SATIN-4PCS-KING-RED</t>
        </is>
      </c>
      <c r="K171" s="2" t="inlineStr">
        <is>
          <t>SATIN-4PCS-KING-RED</t>
        </is>
      </c>
      <c r="L171" s="2" t="inlineStr">
        <is>
          <t>$0.76</t>
        </is>
      </c>
      <c r="M171" s="2" t="inlineStr">
        <is>
          <t>$0.76</t>
        </is>
      </c>
      <c r="N171" s="2" t="n">
        <v>80</v>
      </c>
      <c r="O171" s="2" t="n">
        <v>80</v>
      </c>
      <c r="P171" s="21" t="n">
        <v>1.37</v>
      </c>
      <c r="Q171" s="21" t="n">
        <v>1.37</v>
      </c>
      <c r="R171" s="2" t="n">
        <v>10</v>
      </c>
      <c r="S171" s="2" t="n">
        <v>10</v>
      </c>
      <c r="T171" s="2" t="n">
        <v>0</v>
      </c>
      <c r="U171" s="2" t="n">
        <v>0</v>
      </c>
      <c r="V171" s="21" t="n">
        <v>30</v>
      </c>
      <c r="W171" s="21" t="n">
        <v>30</v>
      </c>
      <c r="X171" s="2" t="inlineStr">
        <is>
          <t>ENABLED</t>
        </is>
      </c>
      <c r="Y171" s="2" t="inlineStr">
        <is>
          <t>none</t>
        </is>
      </c>
      <c r="Z171" s="2" t="inlineStr">
        <is>
          <t>defer — engine name wrong ((Conversion)); load a corrected name after 28 Oct</t>
        </is>
      </c>
      <c r="AA171" s="21" t="n">
        <v>5.62</v>
      </c>
      <c r="AB171" s="2" t="n">
        <v>6</v>
      </c>
      <c r="AC171" s="2" t="n">
        <v>1</v>
      </c>
      <c r="AD171" s="2" t="n">
        <v>16.6</v>
      </c>
      <c r="AE171" s="2" t="n">
        <v>66.67</v>
      </c>
      <c r="AF171" s="2" t="n">
        <v>16.67</v>
      </c>
      <c r="AG171" s="2" t="n">
        <v>3</v>
      </c>
      <c r="AH171" s="2" t="inlineStr">
        <is>
          <t>Reject pause</t>
        </is>
      </c>
      <c r="AI171" s="22" t="inlineStr">
        <is>
          <t>Keep target "red satin sheets king size" enabled; child SATIN-4PCS-KING-RED is already the live colour child (reject pause seq 2052); retag → Conversions</t>
        </is>
      </c>
      <c r="AJ171" s="22" t="inlineStr">
        <is>
          <t>16.6% ACoS on 1 orders / 6 clicks (CC 31 Aug–29 Sep). The rule says "SATIN-RED-KING is out of stock", but these campaigns advertise SATIN-4PCS-KING-RED. Sellerboard shows 262 available + 402 inbound, about 70 days of cover (SB inventory 09-28).</t>
        </is>
      </c>
      <c r="AK171" s="2" t="inlineStr">
        <is>
          <t>seq 2052 state: hold; seq 3011 rename CHANGE; our addition: standard → Conversions (colour term "red satin sheets king size")</t>
        </is>
      </c>
      <c r="AL171" s="22" t="n"/>
    </row>
    <row r="172">
      <c r="A172" s="2" t="inlineStr">
        <is>
          <t>324297767964386</t>
        </is>
      </c>
      <c r="B172" s="2" t="inlineStr">
        <is>
          <t>D-S4-SP-satin sheets queen size set-(Satin)-VLSV-Exact-Rank-DO-TF-XHNL-B3YJ</t>
        </is>
      </c>
      <c r="C172" s="2" t="inlineStr">
        <is>
          <t>satin sheets queen size set [exact, $1.90, 3 clicks]</t>
        </is>
      </c>
      <c r="D172" s="2" t="inlineStr">
        <is>
          <t>satin sheets queen size set</t>
        </is>
      </c>
      <c r="E172" s="2" t="inlineStr">
        <is>
          <t>ENABLED</t>
        </is>
      </c>
      <c r="F172" s="2" t="inlineStr">
        <is>
          <t>Ranking</t>
        </is>
      </c>
      <c r="G172" s="2" t="inlineStr">
        <is>
          <t>Ranking</t>
        </is>
      </c>
      <c r="H172" s="2" t="inlineStr">
        <is>
          <t>OUT</t>
        </is>
      </c>
      <c r="I172" s="2" t="inlineStr">
        <is>
          <t>Exact</t>
        </is>
      </c>
      <c r="J172" s="2" t="inlineStr">
        <is>
          <t>SATIN-QUEEN-BLACK</t>
        </is>
      </c>
      <c r="K172" s="2" t="inlineStr">
        <is>
          <t>SATIN-QUEEN-BLACK</t>
        </is>
      </c>
      <c r="L172" s="2" t="inlineStr">
        <is>
          <t>$1.90</t>
        </is>
      </c>
      <c r="M172" s="2" t="inlineStr">
        <is>
          <t>$1.33</t>
        </is>
      </c>
      <c r="N172" s="2" t="n">
        <v>0</v>
      </c>
      <c r="O172" s="2" t="n">
        <v>0</v>
      </c>
      <c r="P172" s="21" t="n">
        <v>1.9</v>
      </c>
      <c r="Q172" s="21" t="n">
        <v>1.33</v>
      </c>
      <c r="R172" s="2" t="n">
        <v>0</v>
      </c>
      <c r="S172" s="2" t="n">
        <v>0</v>
      </c>
      <c r="T172" s="2" t="n">
        <v>0</v>
      </c>
      <c r="U172" s="2" t="n">
        <v>0</v>
      </c>
      <c r="V172" s="21" t="n">
        <v>5</v>
      </c>
      <c r="W172" s="21" t="n">
        <v>5</v>
      </c>
      <c r="X172" s="2" t="inlineStr">
        <is>
          <t>ENABLED</t>
        </is>
      </c>
      <c r="Y172" s="2" t="inlineStr">
        <is>
          <t>none</t>
        </is>
      </c>
      <c r="Z172" s="2" t="inlineStr">
        <is>
          <t>defer — engine name wrong (SKU token SATIN-QUEEN-BLACK); load a corrected name after 28 Oct</t>
        </is>
      </c>
      <c r="AA172" s="21" t="n">
        <v>5.56</v>
      </c>
      <c r="AB172" s="2" t="n">
        <v>3</v>
      </c>
      <c r="AC172" s="2" t="n">
        <v>0</v>
      </c>
      <c r="AD172" s="2" t="n"/>
      <c r="AE172" s="2" t="n">
        <v>100</v>
      </c>
      <c r="AF172" s="2" t="n">
        <v>0</v>
      </c>
      <c r="AG172" s="2" t="n">
        <v>0</v>
      </c>
      <c r="AH172" s="2" t="inlineStr">
        <is>
          <t>Price cut</t>
        </is>
      </c>
      <c r="AI172" s="22" t="inlineStr">
        <is>
          <t>Cut base 30% ($1.90 → $1.33)</t>
        </is>
      </c>
      <c r="AJ172" s="22" t="inlineStr">
        <is>
          <t>no sales ACoS on 0 orders / 3 clicks (CC 31 Aug–29 Sep) vs Queen Black break-even 17.8%; audit row loads as written (review 40 agrees).</t>
        </is>
      </c>
      <c r="AK172" s="2" t="inlineStr">
        <is>
          <t>seq 378 bid: agree with review 40; seq 1871 child: reject — keep SATIN-QUEEN-BLACK; seq 3023 rename CHANGE</t>
        </is>
      </c>
      <c r="AL172" s="22" t="n"/>
    </row>
    <row r="173">
      <c r="A173" s="2" t="inlineStr">
        <is>
          <t>509615843769972</t>
        </is>
      </c>
      <c r="B173" s="2" t="inlineStr">
        <is>
          <t>D-S4-SP-grey satin sheets queen size-(Satin)-HSV-Exact-Rank-DO-TF-XHNL-B3YJ</t>
        </is>
      </c>
      <c r="C173" s="2" t="inlineStr">
        <is>
          <t>grey satin sheets queen size [exact, $1.90, 3 clicks]</t>
        </is>
      </c>
      <c r="D173" s="2" t="inlineStr">
        <is>
          <t>grey satin sheets queen size</t>
        </is>
      </c>
      <c r="E173" s="2" t="inlineStr">
        <is>
          <t>ENABLED</t>
        </is>
      </c>
      <c r="F173" s="2" t="inlineStr">
        <is>
          <t>Ranking</t>
        </is>
      </c>
      <c r="G173" s="2" t="inlineStr">
        <is>
          <t>Conversions</t>
        </is>
      </c>
      <c r="H173" s="2" t="inlineStr">
        <is>
          <t>OUT</t>
        </is>
      </c>
      <c r="I173" s="2" t="inlineStr">
        <is>
          <t>Exact</t>
        </is>
      </c>
      <c r="J173" s="2" t="inlineStr">
        <is>
          <t>SATIN-QUEEN-GREY</t>
        </is>
      </c>
      <c r="K173" s="2" t="inlineStr">
        <is>
          <t>SATIN-QUEEN-GREY</t>
        </is>
      </c>
      <c r="L173" s="2" t="inlineStr">
        <is>
          <t>$1.90</t>
        </is>
      </c>
      <c r="M173" s="2" t="inlineStr">
        <is>
          <t>$1.90</t>
        </is>
      </c>
      <c r="N173" s="2" t="n">
        <v>0</v>
      </c>
      <c r="O173" s="2" t="n">
        <v>0</v>
      </c>
      <c r="P173" s="21" t="n">
        <v>1.9</v>
      </c>
      <c r="Q173" s="21" t="n">
        <v>1.9</v>
      </c>
      <c r="R173" s="2" t="n">
        <v>0</v>
      </c>
      <c r="S173" s="2" t="n">
        <v>0</v>
      </c>
      <c r="T173" s="2" t="n">
        <v>0</v>
      </c>
      <c r="U173" s="2" t="n">
        <v>0</v>
      </c>
      <c r="V173" s="21" t="n">
        <v>5</v>
      </c>
      <c r="W173" s="21" t="n">
        <v>5</v>
      </c>
      <c r="X173" s="2" t="inlineStr">
        <is>
          <t>PAUSED</t>
        </is>
      </c>
      <c r="Y173" s="2" t="inlineStr">
        <is>
          <t>none</t>
        </is>
      </c>
      <c r="Z173" s="2" t="inlineStr">
        <is>
          <t>defer — engine name wrong ((Conversion)); load a corrected name after 28 Oct</t>
        </is>
      </c>
      <c r="AA173" s="21" t="n">
        <v>5.46</v>
      </c>
      <c r="AB173" s="2" t="n">
        <v>3</v>
      </c>
      <c r="AC173" s="2" t="n">
        <v>1</v>
      </c>
      <c r="AD173" s="2" t="n">
        <v>18.2</v>
      </c>
      <c r="AE173" s="2" t="n">
        <v>66.67</v>
      </c>
      <c r="AF173" s="2" t="n">
        <v>0</v>
      </c>
      <c r="AG173" s="2" t="n">
        <v>1</v>
      </c>
      <c r="AH173" s="2" t="inlineStr">
        <is>
          <t>Pause</t>
        </is>
      </c>
      <c r="AI173" s="22" t="inlineStr">
        <is>
          <t>Pause target "grey satin sheets queen size" (its only target — campaign goes dark); retag → Conversions</t>
        </is>
      </c>
      <c r="AJ173" s="22" t="inlineStr">
        <is>
          <t>18.2% ACoS on 1 orders / 3 clicks (CC 31 Aug–29 Sep). Engine target pause agreed with review 40: Ranking campaign on a Re-Launch product whose objective is re-ranking — this campaign supports the push and is graded on its own objective's metric, never on the ranking bar (do…</t>
        </is>
      </c>
      <c r="AK173" s="2" t="inlineStr">
        <is>
          <t>seq 2050 state: agree with review 40; seq 2999 rename CHANGE; our addition: standard → Conversions (colour term "grey satin sheets queen size")</t>
        </is>
      </c>
      <c r="AL173" s="22" t="n"/>
    </row>
    <row r="174">
      <c r="A174" s="2" t="inlineStr">
        <is>
          <t>80505504602477</t>
        </is>
      </c>
      <c r="B174" s="2" t="inlineStr">
        <is>
          <t>D-S4-SP-EXACT-black satin queen sheets-Satin|Queen-SATIN-QUEEN-BLACK</t>
        </is>
      </c>
      <c r="C174" s="2" t="inlineStr">
        <is>
          <t>black satin queen sheets [exact]</t>
        </is>
      </c>
      <c r="D174" s="2" t="inlineStr">
        <is>
          <t>whole campaign</t>
        </is>
      </c>
      <c r="E174" s="2" t="inlineStr">
        <is>
          <t>ENABLED</t>
        </is>
      </c>
      <c r="F174" s="2" t="inlineStr">
        <is>
          <t>Conversions</t>
        </is>
      </c>
      <c r="G174" s="2" t="inlineStr">
        <is>
          <t>Conversions</t>
        </is>
      </c>
      <c r="H174" s="2" t="n"/>
      <c r="I174" s="2" t="inlineStr">
        <is>
          <t>Exact</t>
        </is>
      </c>
      <c r="J174" s="2" t="inlineStr">
        <is>
          <t>SATIN-QUEEN-BLACK</t>
        </is>
      </c>
      <c r="K174" s="2" t="inlineStr">
        <is>
          <t>SATIN-QUEEN-BLACK</t>
        </is>
      </c>
      <c r="L174" s="2" t="inlineStr">
        <is>
          <t>n/a (no target bid in audit)</t>
        </is>
      </c>
      <c r="M174" s="2" t="inlineStr">
        <is>
          <t>n/a</t>
        </is>
      </c>
      <c r="N174" s="2" t="n">
        <v>0</v>
      </c>
      <c r="O174" s="2" t="n">
        <v>0</v>
      </c>
      <c r="P174" s="21" t="n"/>
      <c r="Q174" s="21" t="n"/>
      <c r="R174" s="2" t="n"/>
      <c r="S174" s="2" t="n"/>
      <c r="T174" s="2" t="n"/>
      <c r="U174" s="2" t="n"/>
      <c r="V174" s="21" t="n">
        <v>8.06</v>
      </c>
      <c r="W174" s="21" t="n">
        <v>8.06</v>
      </c>
      <c r="X174" s="2" t="inlineStr">
        <is>
          <t>ENABLED</t>
        </is>
      </c>
      <c r="Y174" s="2" t="inlineStr">
        <is>
          <t>none</t>
        </is>
      </c>
      <c r="Z174" s="2" t="inlineStr">
        <is>
          <t>load (clean): DSS4-SP-Black Satin Queen Sheets-(VLSV)-Exact-(Conversion)-DO-SATIN-QUEEN-BLACK</t>
        </is>
      </c>
      <c r="AA174" s="21" t="n">
        <v>5.42</v>
      </c>
      <c r="AB174" s="2" t="n">
        <v>3</v>
      </c>
      <c r="AC174" s="2" t="n">
        <v>0</v>
      </c>
      <c r="AD174" s="2" t="n"/>
      <c r="AE174" s="2" t="n">
        <v>66.67</v>
      </c>
      <c r="AF174" s="2" t="n">
        <v>33.33</v>
      </c>
      <c r="AG174" s="2" t="n">
        <v>0</v>
      </c>
      <c r="AH174" s="2" t="inlineStr">
        <is>
          <t>Rename only</t>
        </is>
      </c>
      <c r="AI174" s="22" t="inlineStr">
        <is>
          <t>Load rename only</t>
        </is>
      </c>
      <c r="AJ174" s="22" t="inlineStr">
        <is>
          <t>Clean rename (SKU token and objective match what the campaign advertises); no sales ACoS on 0 orders / 3 clicks (CC 31 Aug–29 Sep).</t>
        </is>
      </c>
      <c r="AK174" s="2" t="inlineStr">
        <is>
          <t>seq 2141 retag LOAD; seq 3027 rename LOAD</t>
        </is>
      </c>
      <c r="AL174" s="22" t="n"/>
    </row>
    <row r="175">
      <c r="A175" s="2" t="inlineStr">
        <is>
          <t>441690572900694</t>
        </is>
      </c>
      <c r="B175" s="2" t="inlineStr">
        <is>
          <t>D-S4-SP-satin deep pocket sheets-(Satin)-LSV-Exact-Rank-DO-BJ-EGRL-IVTV</t>
        </is>
      </c>
      <c r="C175" s="2" t="inlineStr">
        <is>
          <t>satin deep pocket sheets [exact, $1.90, 3 clicks]</t>
        </is>
      </c>
      <c r="D175" s="2" t="inlineStr">
        <is>
          <t>satin deep pocket sheets</t>
        </is>
      </c>
      <c r="E175" s="2" t="inlineStr">
        <is>
          <t>ENABLED</t>
        </is>
      </c>
      <c r="F175" s="2" t="inlineStr">
        <is>
          <t>Ranking</t>
        </is>
      </c>
      <c r="G175" s="2" t="inlineStr">
        <is>
          <t>Ranking</t>
        </is>
      </c>
      <c r="H175" s="2" t="inlineStr">
        <is>
          <t>OUT</t>
        </is>
      </c>
      <c r="I175" s="2" t="inlineStr">
        <is>
          <t>Exact</t>
        </is>
      </c>
      <c r="J175" s="2" t="inlineStr">
        <is>
          <t>SATIN-QUEEN-BLACK</t>
        </is>
      </c>
      <c r="K175" s="2" t="inlineStr">
        <is>
          <t>SATIN-QUEEN-BLACK</t>
        </is>
      </c>
      <c r="L175" s="2" t="inlineStr">
        <is>
          <t>$1.90</t>
        </is>
      </c>
      <c r="M175" s="2" t="inlineStr">
        <is>
          <t>$0.95</t>
        </is>
      </c>
      <c r="N175" s="2" t="n">
        <v>0</v>
      </c>
      <c r="O175" s="2" t="n">
        <v>0</v>
      </c>
      <c r="P175" s="21" t="n">
        <v>1.9</v>
      </c>
      <c r="Q175" s="21" t="n">
        <v>0.95</v>
      </c>
      <c r="R175" s="2" t="n">
        <v>0</v>
      </c>
      <c r="S175" s="2" t="n">
        <v>0</v>
      </c>
      <c r="T175" s="2" t="n">
        <v>0</v>
      </c>
      <c r="U175" s="2" t="n">
        <v>0</v>
      </c>
      <c r="V175" s="21" t="n">
        <v>5</v>
      </c>
      <c r="W175" s="21" t="n">
        <v>5</v>
      </c>
      <c r="X175" s="2" t="inlineStr">
        <is>
          <t>ENABLED</t>
        </is>
      </c>
      <c r="Y175" s="2" t="inlineStr">
        <is>
          <t>none</t>
        </is>
      </c>
      <c r="Z175" s="2" t="inlineStr">
        <is>
          <t>load (clean): DSS4-SP-Satin Deep Pocket Sheets-(VLSV)-Exact-(Ranking)-DO-SATIN-QUEEN-BLACK</t>
        </is>
      </c>
      <c r="AA175" s="21" t="n">
        <v>5.31</v>
      </c>
      <c r="AB175" s="2" t="n">
        <v>3</v>
      </c>
      <c r="AC175" s="2" t="n">
        <v>0</v>
      </c>
      <c r="AD175" s="2" t="n"/>
      <c r="AE175" s="2" t="n">
        <v>66.67</v>
      </c>
      <c r="AF175" s="2" t="n">
        <v>33.33</v>
      </c>
      <c r="AG175" s="2" t="n">
        <v>0</v>
      </c>
      <c r="AH175" s="2" t="inlineStr">
        <is>
          <t>Release hold + price to break-even</t>
        </is>
      </c>
      <c r="AI175" s="22" t="inlineStr">
        <is>
          <t>Release hold; cut base $1.90 → $0.95</t>
        </is>
      </c>
      <c r="AJ175" s="22" t="inlineStr">
        <is>
          <t>no-sale ACoS, 0 orders on 3 clicks (CC 31 Aug–29 Sep) vs Queen Black break-even 17.8%; BE base = $5.03 contribution (Queen Black) × 0.0% CVR = $0.00; cap 50% cut.</t>
        </is>
      </c>
      <c r="AK175" s="2" t="inlineStr">
        <is>
          <t>seq 3249 rename LOAD; seq 388 NOT SERVING hold(s) → release; price to break-even (our addition, reviewer D)</t>
        </is>
      </c>
      <c r="AL175" s="22" t="n"/>
    </row>
    <row r="176">
      <c r="A176" s="2" t="inlineStr">
        <is>
          <t>199013692212254</t>
        </is>
      </c>
      <c r="B176" s="2" t="inlineStr">
        <is>
          <t>D-S4-silk bed sheets full - [Silk|Full] - Broad - Disc - DO - SATIN-CHAMPAGNE-FULL</t>
        </is>
      </c>
      <c r="C176" s="2" t="inlineStr">
        <is>
          <t>silk bed sheets full [broad]</t>
        </is>
      </c>
      <c r="D176" s="2" t="inlineStr">
        <is>
          <t>whole campaign</t>
        </is>
      </c>
      <c r="E176" s="2" t="inlineStr">
        <is>
          <t>ENABLED</t>
        </is>
      </c>
      <c r="F176" s="2" t="inlineStr">
        <is>
          <t>Discovery</t>
        </is>
      </c>
      <c r="G176" s="2" t="inlineStr">
        <is>
          <t>Discovery</t>
        </is>
      </c>
      <c r="H176" s="2" t="inlineStr">
        <is>
          <t>Silk|Full</t>
        </is>
      </c>
      <c r="I176" s="2" t="inlineStr">
        <is>
          <t>Broad</t>
        </is>
      </c>
      <c r="J176" s="2" t="inlineStr">
        <is>
          <t>SATIN-CHAMPAGNE-FULL</t>
        </is>
      </c>
      <c r="K176" s="2" t="inlineStr">
        <is>
          <t>SATIN-FULL-BLACK</t>
        </is>
      </c>
      <c r="L176" s="2" t="inlineStr">
        <is>
          <t>n/a (no target bid in audit)</t>
        </is>
      </c>
      <c r="M176" s="2" t="inlineStr">
        <is>
          <t>n/a</t>
        </is>
      </c>
      <c r="N176" s="2" t="n">
        <v>0</v>
      </c>
      <c r="O176" s="2" t="n">
        <v>0</v>
      </c>
      <c r="P176" s="21" t="n"/>
      <c r="Q176" s="21" t="n"/>
      <c r="R176" s="2" t="n"/>
      <c r="S176" s="2" t="n"/>
      <c r="T176" s="2" t="n"/>
      <c r="U176" s="2" t="n"/>
      <c r="V176" s="21" t="n">
        <v>10</v>
      </c>
      <c r="W176" s="21" t="n">
        <v>10</v>
      </c>
      <c r="X176" s="2" t="inlineStr">
        <is>
          <t>ENABLED</t>
        </is>
      </c>
      <c r="Y176" s="2" t="inlineStr">
        <is>
          <t>add 2 negatives (seq 2268) · add negative exact: silk sheets; satin sheets full; silk bed sheets</t>
        </is>
      </c>
      <c r="Z176" s="2" t="inlineStr">
        <is>
          <t>defer — engine name wrong (SKU token SATIN-CHAMPAGNE-FULL); load a corrected name after 28 Oct</t>
        </is>
      </c>
      <c r="AA176" s="21" t="n">
        <v>5.13</v>
      </c>
      <c r="AB176" s="2" t="n">
        <v>9</v>
      </c>
      <c r="AC176" s="2" t="n">
        <v>2</v>
      </c>
      <c r="AD176" s="2" t="n">
        <v>8.1</v>
      </c>
      <c r="AE176" s="2" t="n">
        <v>0</v>
      </c>
      <c r="AF176" s="2" t="n">
        <v>88.89</v>
      </c>
      <c r="AG176" s="2" t="n">
        <v>8</v>
      </c>
      <c r="AH176" s="2" t="inlineStr">
        <is>
          <t>Child swap</t>
        </is>
      </c>
      <c r="AI176" s="22" t="inlineStr">
        <is>
          <t>Swap child to SATIN-FULL-BLACK</t>
        </is>
      </c>
      <c r="AJ176" s="22" t="inlineStr">
        <is>
          <t>8.1% ACoS on 2 orders / 9 clicks (CC 31 Aug–29 Sep). Correct to SATIN-FULL-BLACK (once size map fixed; low stakes) (seq 1864).</t>
        </is>
      </c>
      <c r="AK176" s="2" t="inlineStr">
        <is>
          <t>seq 1864 child: correct to SATIN-FULL-BLACK (once size map fixed; low stakes…; seq 2268 negatives: agree with review 40; seq 3012 rename CHANGE</t>
        </is>
      </c>
      <c r="AL176" s="22" t="n"/>
    </row>
    <row r="177">
      <c r="A177" s="2" t="inlineStr">
        <is>
          <t>300118699926444</t>
        </is>
      </c>
      <c r="B177" s="2" t="inlineStr">
        <is>
          <t>D-S4-SP-satin sheets queen red-(Satin)-LSV-Exact-Rank-DO-SATIN-QUEEN-GREY-FBM</t>
        </is>
      </c>
      <c r="C177" s="2" t="inlineStr">
        <is>
          <t>satin sheets queen red [exact, $1.90, 3 clicks]</t>
        </is>
      </c>
      <c r="D177" s="2" t="inlineStr">
        <is>
          <t>satin sheets queen red</t>
        </is>
      </c>
      <c r="E177" s="2" t="inlineStr">
        <is>
          <t>ENABLED</t>
        </is>
      </c>
      <c r="F177" s="2" t="inlineStr">
        <is>
          <t>Ranking</t>
        </is>
      </c>
      <c r="G177" s="2" t="inlineStr">
        <is>
          <t>Conversions</t>
        </is>
      </c>
      <c r="H177" s="2" t="inlineStr">
        <is>
          <t>OUT</t>
        </is>
      </c>
      <c r="I177" s="2" t="inlineStr">
        <is>
          <t>Exact</t>
        </is>
      </c>
      <c r="J177" s="2" t="inlineStr">
        <is>
          <t>SATIN-4PC-RED-QUEEN</t>
        </is>
      </c>
      <c r="K177" s="2" t="inlineStr">
        <is>
          <t>SATIN-4PC-RED-QUEEN</t>
        </is>
      </c>
      <c r="L177" s="2" t="inlineStr">
        <is>
          <t>$1.90</t>
        </is>
      </c>
      <c r="M177" s="2" t="inlineStr">
        <is>
          <t>$1.90</t>
        </is>
      </c>
      <c r="N177" s="2" t="n">
        <v>0</v>
      </c>
      <c r="O177" s="2" t="n">
        <v>0</v>
      </c>
      <c r="P177" s="21" t="n">
        <v>1.9</v>
      </c>
      <c r="Q177" s="21" t="n">
        <v>1.9</v>
      </c>
      <c r="R177" s="2" t="n">
        <v>0</v>
      </c>
      <c r="S177" s="2" t="n">
        <v>0</v>
      </c>
      <c r="T177" s="2" t="n">
        <v>0</v>
      </c>
      <c r="U177" s="2" t="n">
        <v>0</v>
      </c>
      <c r="V177" s="21" t="n">
        <v>5</v>
      </c>
      <c r="W177" s="21" t="n">
        <v>5</v>
      </c>
      <c r="X177" s="2" t="inlineStr">
        <is>
          <t>PAUSED</t>
        </is>
      </c>
      <c r="Y177" s="2" t="inlineStr">
        <is>
          <t>none</t>
        </is>
      </c>
      <c r="Z177" s="2" t="inlineStr">
        <is>
          <t>defer — engine name wrong ((Conversion)); load a corrected name after 28 Oct</t>
        </is>
      </c>
      <c r="AA177" s="21" t="n">
        <v>5.02</v>
      </c>
      <c r="AB177" s="2" t="n">
        <v>3</v>
      </c>
      <c r="AC177" s="2" t="n">
        <v>2</v>
      </c>
      <c r="AD177" s="2" t="n">
        <v>7.9</v>
      </c>
      <c r="AE177" s="2" t="n">
        <v>33.33</v>
      </c>
      <c r="AF177" s="2" t="n">
        <v>0</v>
      </c>
      <c r="AG177" s="2" t="n">
        <v>2</v>
      </c>
      <c r="AH177" s="2" t="inlineStr">
        <is>
          <t>Pause</t>
        </is>
      </c>
      <c r="AI177" s="22" t="inlineStr">
        <is>
          <t>Pause target "satin sheets queen red" (its only target — campaign goes dark); retag → Conversions</t>
        </is>
      </c>
      <c r="AJ177" s="22" t="inlineStr">
        <is>
          <t>7.9% ACoS on 2 orders / 3 clicks (CC 31 Aug–29 Sep). Engine target pause agreed with review 40: Ranking campaign on a Re-Launch product whose objective is re-ranking — this campaign supports the push and is graded on its own objective's metric, never on the ranking bar (do…</t>
        </is>
      </c>
      <c r="AK177" s="2" t="inlineStr">
        <is>
          <t>seq 2051 state: agree with review 40; seq 3005 rename CHANGE; our addition: standard → Conversions (colour term "satin sheets queen red")</t>
        </is>
      </c>
      <c r="AL177" s="22" t="n"/>
    </row>
    <row r="178">
      <c r="A178" s="2" t="inlineStr">
        <is>
          <t>148583723825972</t>
        </is>
      </c>
      <c r="B178" s="2" t="inlineStr">
        <is>
          <t>D-S4-satin sheets and pillow cases - [Satin] - Exact - Ran - DO - SATIN-QUEEN-BLACK</t>
        </is>
      </c>
      <c r="C178" s="2" t="inlineStr">
        <is>
          <t>satin sheets and pillow cases [exact, $1.07]; satin sheets and pillow cases [exact, $1.07]</t>
        </is>
      </c>
      <c r="D178" s="2" t="inlineStr">
        <is>
          <t>satin sheets and pillow cases</t>
        </is>
      </c>
      <c r="E178" s="2" t="inlineStr">
        <is>
          <t>ENABLED</t>
        </is>
      </c>
      <c r="F178" s="2" t="inlineStr">
        <is>
          <t>Conversions</t>
        </is>
      </c>
      <c r="G178" s="2" t="inlineStr">
        <is>
          <t>Ranking</t>
        </is>
      </c>
      <c r="H178" s="2" t="inlineStr">
        <is>
          <t>Satin</t>
        </is>
      </c>
      <c r="I178" s="2" t="inlineStr">
        <is>
          <t>Exact</t>
        </is>
      </c>
      <c r="J178" s="2" t="inlineStr">
        <is>
          <t>SATIN-QUEEN-BLACK</t>
        </is>
      </c>
      <c r="K178" s="2" t="inlineStr">
        <is>
          <t>SATIN-QUEEN-BLACK</t>
        </is>
      </c>
      <c r="L178" s="2" t="inlineStr">
        <is>
          <t>$1.07</t>
        </is>
      </c>
      <c r="M178" s="2" t="inlineStr">
        <is>
          <t>$0.54</t>
        </is>
      </c>
      <c r="N178" s="2" t="n">
        <v>50</v>
      </c>
      <c r="O178" s="2" t="n">
        <v>50</v>
      </c>
      <c r="P178" s="21" t="n">
        <v>1.6</v>
      </c>
      <c r="Q178" s="21" t="n">
        <v>0.8100000000000001</v>
      </c>
      <c r="R178" s="2" t="n"/>
      <c r="S178" s="2" t="n"/>
      <c r="T178" s="2" t="n"/>
      <c r="U178" s="2" t="n"/>
      <c r="V178" s="21" t="n">
        <v>6.98</v>
      </c>
      <c r="W178" s="21" t="n">
        <v>6.98</v>
      </c>
      <c r="X178" s="2" t="inlineStr">
        <is>
          <t>ENABLED</t>
        </is>
      </c>
      <c r="Y178" s="2" t="inlineStr">
        <is>
          <t>none</t>
        </is>
      </c>
      <c r="Z178" s="2" t="inlineStr">
        <is>
          <t>defer — engine name wrong ((Ranking)); load a corrected name after 28 Oct</t>
        </is>
      </c>
      <c r="AA178" s="21" t="n">
        <v>4.8</v>
      </c>
      <c r="AB178" s="2" t="n">
        <v>3</v>
      </c>
      <c r="AC178" s="2" t="n">
        <v>0</v>
      </c>
      <c r="AD178" s="2" t="n"/>
      <c r="AE178" s="2" t="n">
        <v>100</v>
      </c>
      <c r="AF178" s="2" t="n">
        <v>0</v>
      </c>
      <c r="AG178" s="2" t="n">
        <v>2</v>
      </c>
      <c r="AH178" s="2" t="inlineStr">
        <is>
          <t>Release hold + price to break-even</t>
        </is>
      </c>
      <c r="AI178" s="22" t="inlineStr">
        <is>
          <t>Release hold; cut base $1.07 → $0.54; retag → Ranking</t>
        </is>
      </c>
      <c r="AJ178" s="22" t="inlineStr">
        <is>
          <t>no-sale ACoS, 0 orders on 3 clicks (CC 31 Aug–29 Sep) vs Queen Black break-even 17.8%; BE base = $5.03 contribution (Queen Black) × 0.0% CVR = $0.00; cap 50% cut.</t>
        </is>
      </c>
      <c r="AK178" s="2" t="inlineStr">
        <is>
          <t>seq 2143 retag correct to Ranking; seq 3032 rename CHANGE; seq 1757,1999 NOT SERVING hold(s) → release; price to break-even (our addition, reviewer D)</t>
        </is>
      </c>
      <c r="AL178" s="22" t="n"/>
    </row>
    <row r="179">
      <c r="A179" s="2" t="inlineStr">
        <is>
          <t>115346154431177</t>
        </is>
      </c>
      <c r="B179" s="2" t="inlineStr">
        <is>
          <t>D-S4-black silk sheets king - [Silk|King] - Exact - Ran - DO - SATIN-KING-BLACK</t>
        </is>
      </c>
      <c r="C179" s="2" t="inlineStr">
        <is>
          <t>black silk sheets king [exact]</t>
        </is>
      </c>
      <c r="D179" s="2" t="inlineStr">
        <is>
          <t>black silk sheets king</t>
        </is>
      </c>
      <c r="E179" s="2" t="inlineStr">
        <is>
          <t>ENABLED</t>
        </is>
      </c>
      <c r="F179" s="2" t="inlineStr">
        <is>
          <t>Ranking</t>
        </is>
      </c>
      <c r="G179" s="2" t="inlineStr">
        <is>
          <t>Conversions</t>
        </is>
      </c>
      <c r="H179" s="2" t="inlineStr">
        <is>
          <t>Silk|King</t>
        </is>
      </c>
      <c r="I179" s="2" t="inlineStr">
        <is>
          <t>Exact</t>
        </is>
      </c>
      <c r="J179" s="2" t="inlineStr">
        <is>
          <t>SATIN-4PC-KING-GREY</t>
        </is>
      </c>
      <c r="K179" s="2" t="inlineStr">
        <is>
          <t>SATIN-KING-BLACK</t>
        </is>
      </c>
      <c r="L179" s="2" t="inlineStr">
        <is>
          <t>$1.38</t>
        </is>
      </c>
      <c r="M179" s="2" t="inlineStr">
        <is>
          <t>$1.38</t>
        </is>
      </c>
      <c r="N179" s="2" t="n">
        <v>50</v>
      </c>
      <c r="O179" s="2" t="n">
        <v>50</v>
      </c>
      <c r="P179" s="21" t="n">
        <v>2.07</v>
      </c>
      <c r="Q179" s="21" t="n">
        <v>2.07</v>
      </c>
      <c r="R179" s="2" t="n"/>
      <c r="S179" s="2" t="n"/>
      <c r="T179" s="2" t="n"/>
      <c r="U179" s="2" t="n"/>
      <c r="V179" s="21" t="n">
        <v>13.44</v>
      </c>
      <c r="W179" s="21" t="n">
        <v>13.44</v>
      </c>
      <c r="X179" s="2" t="inlineStr">
        <is>
          <t>ENABLED</t>
        </is>
      </c>
      <c r="Y179" s="2" t="inlineStr">
        <is>
          <t>none</t>
        </is>
      </c>
      <c r="Z179" s="2" t="inlineStr">
        <is>
          <t>defer — engine name wrong ((Conversion); flag); load a corrected name after 28 Oct</t>
        </is>
      </c>
      <c r="AA179" s="21" t="n">
        <v>4.76</v>
      </c>
      <c r="AB179" s="2" t="n">
        <v>3</v>
      </c>
      <c r="AC179" s="2" t="n">
        <v>1</v>
      </c>
      <c r="AD179" s="2" t="n">
        <v>14.8</v>
      </c>
      <c r="AE179" s="2" t="n">
        <v>33.33</v>
      </c>
      <c r="AF179" s="2" t="n">
        <v>66.67</v>
      </c>
      <c r="AG179" s="2" t="n">
        <v>4</v>
      </c>
      <c r="AH179" s="2" t="inlineStr">
        <is>
          <t>Release hold, keep price</t>
        </is>
      </c>
      <c r="AI179" s="22" t="inlineStr">
        <is>
          <t>Release hold; keep base $1.38 (at/under break-even); Swap child to SATIN-KING-BLACK; retag → Conversions</t>
        </is>
      </c>
      <c r="AJ179" s="22" t="inlineStr">
        <is>
          <t>14.8% ACoS, 1 orders on 3 clicks (CC 31 Aug–29 Sep) vs King Grey break-even 15.3%; BE base = $4.93 contribution (King Grey) × 33.3% CVR = $1.64; cap 25% cut.</t>
        </is>
      </c>
      <c r="AK179" s="2" t="inlineStr">
        <is>
          <t>seq 2156 retag correct to Conversions; seq 3068 rename CHANGE; seq 2006 NOT SERVING hold(s) → release; price to break-even (our addition, reviewer D); our addition (corrections §5 / reviewer C A4)</t>
        </is>
      </c>
      <c r="AL179" s="22" t="n"/>
    </row>
    <row r="180">
      <c r="A180" s="2" t="inlineStr">
        <is>
          <t>254307747492903</t>
        </is>
      </c>
      <c r="B180" s="2" t="inlineStr">
        <is>
          <t>D-S4-SP-light grey satin sheets-(Satin)-MSV-Exact-Rank-DO-SATIN-KING-GREY</t>
        </is>
      </c>
      <c r="C180" s="2" t="inlineStr">
        <is>
          <t>light grey satin sheets [exact, $1.31, 2 clicks]; gray satin sheets king [exact, paused, $1.64]; silver satin queen sheets pillowcases [exact, $1.90]</t>
        </is>
      </c>
      <c r="D180" s="2" t="inlineStr">
        <is>
          <t>light grey satin sheets; silver satin queen sheets pillowcases</t>
        </is>
      </c>
      <c r="E180" s="2" t="inlineStr">
        <is>
          <t>ENABLED</t>
        </is>
      </c>
      <c r="F180" s="2" t="inlineStr">
        <is>
          <t>Ranking</t>
        </is>
      </c>
      <c r="G180" s="2" t="inlineStr">
        <is>
          <t>Conversions</t>
        </is>
      </c>
      <c r="H180" s="2" t="inlineStr">
        <is>
          <t>OUT</t>
        </is>
      </c>
      <c r="I180" s="2" t="inlineStr">
        <is>
          <t>Exact</t>
        </is>
      </c>
      <c r="J180" s="2" t="inlineStr">
        <is>
          <t>SATIN-QUEEN-GREY</t>
        </is>
      </c>
      <c r="K180" s="2" t="inlineStr">
        <is>
          <t>SATIN-QUEEN-GREY</t>
        </is>
      </c>
      <c r="L180" s="2" t="inlineStr">
        <is>
          <t>$1.31 / $1.90</t>
        </is>
      </c>
      <c r="M180" s="2" t="inlineStr">
        <is>
          <t>$0.92 / $1.33</t>
        </is>
      </c>
      <c r="N180" s="2" t="n">
        <v>100</v>
      </c>
      <c r="O180" s="2" t="n">
        <v>100</v>
      </c>
      <c r="P180" s="21" t="n">
        <v>2.62</v>
      </c>
      <c r="Q180" s="21" t="n">
        <v>1.84</v>
      </c>
      <c r="R180" s="2" t="n">
        <v>0</v>
      </c>
      <c r="S180" s="2" t="n">
        <v>0</v>
      </c>
      <c r="T180" s="2" t="n">
        <v>0</v>
      </c>
      <c r="U180" s="2" t="n">
        <v>0</v>
      </c>
      <c r="V180" s="21" t="n">
        <v>10</v>
      </c>
      <c r="W180" s="21" t="n">
        <v>5</v>
      </c>
      <c r="X180" s="2" t="inlineStr">
        <is>
          <t>ENABLED</t>
        </is>
      </c>
      <c r="Y180" s="2" t="inlineStr">
        <is>
          <t>none</t>
        </is>
      </c>
      <c r="Z180" s="2" t="inlineStr">
        <is>
          <t>defer — engine name wrong ((Conversion)); load a corrected name after 28 Oct</t>
        </is>
      </c>
      <c r="AA180" s="21" t="n">
        <v>4.6</v>
      </c>
      <c r="AB180" s="2" t="n">
        <v>2</v>
      </c>
      <c r="AC180" s="2" t="n">
        <v>0</v>
      </c>
      <c r="AD180" s="2" t="n"/>
      <c r="AE180" s="2" t="n">
        <v>100</v>
      </c>
      <c r="AF180" s="2" t="n">
        <v>0</v>
      </c>
      <c r="AG180" s="2" t="n">
        <v>0</v>
      </c>
      <c r="AH180" s="2" t="inlineStr">
        <is>
          <t>Price cut</t>
        </is>
      </c>
      <c r="AI180" s="22" t="inlineStr">
        <is>
          <t>Cut base 30% ($1.31 / $1.90 → $0.92 / $1.33); Budget $10 → $5; retag → Conversions</t>
        </is>
      </c>
      <c r="AJ180" s="22" t="inlineStr">
        <is>
          <t>Objective Ranking → Conversions by the standard (colour term "light grey satin sheets"); no sales ACoS on 0 orders / 2 clicks (CC 31 Aug–29 Sep).</t>
        </is>
      </c>
      <c r="AK180" s="2" t="inlineStr">
        <is>
          <t>seq 394 budget: agree with review 40; seq 398 bid: agree with review 40; seq 400 bid: agree with review 40; seq 2992 rename CHANGE; our addition: standard → Conversions (colour term "light grey satin sheets")</t>
        </is>
      </c>
      <c r="AL180" s="22" t="n"/>
    </row>
    <row r="181">
      <c r="A181" s="2" t="inlineStr">
        <is>
          <t>12066855874066</t>
        </is>
      </c>
      <c r="B181" s="2" t="inlineStr">
        <is>
          <t>D-S4-SP-B0839LQK8K-PAT-Exact-Agr-Def-DO-Amazon.Found.B08KRXDWNN</t>
        </is>
      </c>
      <c r="C181" s="2" t="inlineStr">
        <is>
          <t>asin="B082B4Z5QB" [$1.06]; asin="B0839LQK8K" [$0.70]</t>
        </is>
      </c>
      <c r="D181" s="2" t="inlineStr">
        <is>
          <t>all enabled targets: asin="B082B4Z5QB"; asin="B0839LQK8K"</t>
        </is>
      </c>
      <c r="E181" s="2" t="inlineStr">
        <is>
          <t>ENABLED</t>
        </is>
      </c>
      <c r="F181" s="2" t="inlineStr">
        <is>
          <t>Defensive</t>
        </is>
      </c>
      <c r="G181" s="2" t="inlineStr">
        <is>
          <t>Defensive</t>
        </is>
      </c>
      <c r="H181" s="2" t="n"/>
      <c r="I181" s="2" t="inlineStr">
        <is>
          <t>ASIN</t>
        </is>
      </c>
      <c r="J181" s="2" t="inlineStr">
        <is>
          <t>SATIN-QUEEN-BLACK</t>
        </is>
      </c>
      <c r="K181" s="2" t="inlineStr">
        <is>
          <t>SATIN-QUEEN-BLACK</t>
        </is>
      </c>
      <c r="L181" s="2" t="inlineStr">
        <is>
          <t>$1.06 / $0.70</t>
        </is>
      </c>
      <c r="M181" s="2" t="inlineStr">
        <is>
          <t>$0.53 / $0.35</t>
        </is>
      </c>
      <c r="N181" s="2" t="n">
        <v>0</v>
      </c>
      <c r="O181" s="2" t="n">
        <v>0</v>
      </c>
      <c r="P181" s="21" t="n">
        <v>1.06</v>
      </c>
      <c r="Q181" s="21" t="n">
        <v>0.53</v>
      </c>
      <c r="R181" s="2" t="n"/>
      <c r="S181" s="2" t="n"/>
      <c r="T181" s="2" t="n"/>
      <c r="U181" s="2" t="n"/>
      <c r="V181" s="21" t="n">
        <v>28.14</v>
      </c>
      <c r="W181" s="21" t="n">
        <v>28.14</v>
      </c>
      <c r="X181" s="2" t="inlineStr">
        <is>
          <t>ENABLED</t>
        </is>
      </c>
      <c r="Y181" s="2" t="inlineStr">
        <is>
          <t>none</t>
        </is>
      </c>
      <c r="Z181" s="2" t="inlineStr">
        <is>
          <t>load (clean): DSS4-SP-B082B4Z5QB-(PAT)-Targeting-(Defensive)-DO-SATIN-QUEEN-BLACK</t>
        </is>
      </c>
      <c r="AA181" s="21" t="n">
        <v>4.56</v>
      </c>
      <c r="AB181" s="2" t="n">
        <v>4</v>
      </c>
      <c r="AC181" s="2" t="n">
        <v>0</v>
      </c>
      <c r="AD181" s="2" t="n"/>
      <c r="AE181" s="2" t="n">
        <v>0</v>
      </c>
      <c r="AF181" s="2" t="n">
        <v>0</v>
      </c>
      <c r="AG181" s="2" t="n">
        <v>1</v>
      </c>
      <c r="AH181" s="2" t="inlineStr">
        <is>
          <t>Release hold + price to break-even</t>
        </is>
      </c>
      <c r="AI181" s="22" t="inlineStr">
        <is>
          <t>Release hold; cut base $1.06 / $0.70 → $0.53 / $0.35</t>
        </is>
      </c>
      <c r="AJ181" s="22" t="inlineStr">
        <is>
          <t>no-sale ACoS, 0 orders on 4 clicks (CC 31 Aug–29 Sep) vs Queen Black break-even 17.8%; BE base = $5.03 contribution (Queen Black) × 0.0% CVR = $0.00; cap 50% cut.</t>
        </is>
      </c>
      <c r="AK181" s="2" t="inlineStr">
        <is>
          <t>seq 3037 rename LOAD; seq 1759,1760 NOT SERVING hold(s) → release; price to break-even (our addition, reviewer D)</t>
        </is>
      </c>
      <c r="AL181" s="22" t="n"/>
    </row>
    <row r="182">
      <c r="A182" s="2" t="inlineStr">
        <is>
          <t>495573359268531</t>
        </is>
      </c>
      <c r="B182" s="2" t="inlineStr">
        <is>
          <t>D-S4-SP-white satin queen sheet set-(Satin)-HSV-Exact-Rank-DO-SATIN-WHITE-KING</t>
        </is>
      </c>
      <c r="C182" s="2" t="inlineStr">
        <is>
          <t>white satin queen sheet set [exact, $1.50, 3 clicks]</t>
        </is>
      </c>
      <c r="D182" s="2" t="inlineStr">
        <is>
          <t>white satin queen sheet set</t>
        </is>
      </c>
      <c r="E182" s="2" t="inlineStr">
        <is>
          <t>ENABLED</t>
        </is>
      </c>
      <c r="F182" s="2" t="inlineStr">
        <is>
          <t>Ranking</t>
        </is>
      </c>
      <c r="G182" s="2" t="inlineStr">
        <is>
          <t>Conversions</t>
        </is>
      </c>
      <c r="H182" s="2" t="inlineStr">
        <is>
          <t>OUT</t>
        </is>
      </c>
      <c r="I182" s="2" t="inlineStr">
        <is>
          <t>Exact</t>
        </is>
      </c>
      <c r="J182" s="2" t="inlineStr">
        <is>
          <t>SATIN-WHITE-QUEEN</t>
        </is>
      </c>
      <c r="K182" s="2" t="inlineStr">
        <is>
          <t>SATIN-WHITE-QUEEN</t>
        </is>
      </c>
      <c r="L182" s="2" t="inlineStr">
        <is>
          <t>$1.50</t>
        </is>
      </c>
      <c r="M182" s="2" t="inlineStr">
        <is>
          <t>$0.75</t>
        </is>
      </c>
      <c r="N182" s="2" t="n">
        <v>0</v>
      </c>
      <c r="O182" s="2" t="n">
        <v>0</v>
      </c>
      <c r="P182" s="21" t="n">
        <v>1.5</v>
      </c>
      <c r="Q182" s="21" t="n">
        <v>0.75</v>
      </c>
      <c r="R182" s="2" t="n">
        <v>0</v>
      </c>
      <c r="S182" s="2" t="n">
        <v>0</v>
      </c>
      <c r="T182" s="2" t="n">
        <v>0</v>
      </c>
      <c r="U182" s="2" t="n">
        <v>0</v>
      </c>
      <c r="V182" s="21" t="n">
        <v>10</v>
      </c>
      <c r="W182" s="21" t="n">
        <v>10</v>
      </c>
      <c r="X182" s="2" t="inlineStr">
        <is>
          <t>ENABLED</t>
        </is>
      </c>
      <c r="Y182" s="2" t="inlineStr">
        <is>
          <t>none</t>
        </is>
      </c>
      <c r="Z182" s="2" t="inlineStr">
        <is>
          <t>defer — engine name wrong ((Conversion)); load a corrected name after 28 Oct</t>
        </is>
      </c>
      <c r="AA182" s="21" t="n">
        <v>4.5</v>
      </c>
      <c r="AB182" s="2" t="n">
        <v>3</v>
      </c>
      <c r="AC182" s="2" t="n">
        <v>0</v>
      </c>
      <c r="AD182" s="2" t="n"/>
      <c r="AE182" s="2" t="n">
        <v>66.67</v>
      </c>
      <c r="AF182" s="2" t="n">
        <v>0</v>
      </c>
      <c r="AG182" s="2" t="n">
        <v>0</v>
      </c>
      <c r="AH182" s="2" t="inlineStr">
        <is>
          <t>Release hold + price to break-even</t>
        </is>
      </c>
      <c r="AI182" s="22" t="inlineStr">
        <is>
          <t>Release hold; cut base $1.50 → $0.75; retag → Conversions</t>
        </is>
      </c>
      <c r="AJ182" s="22" t="inlineStr">
        <is>
          <t>no-sale ACoS, 0 orders on 3 clicks (CC 31 Aug–29 Sep) vs Queen White break-even 29.1%; BE base = $9.02 contribution (Queen White) × 0.0% CVR = $0.00; cap 50% cut.</t>
        </is>
      </c>
      <c r="AK182" s="2" t="inlineStr">
        <is>
          <t>seq 3034 rename CHANGE; seq 401,405 NOT SERVING hold(s) → release; price to break-even (our addition, reviewer D); our addition: standard → Conversions (colour term "white satin queen sheet set")</t>
        </is>
      </c>
      <c r="AL182" s="22" t="n"/>
    </row>
    <row r="183">
      <c r="A183" s="2" t="inlineStr">
        <is>
          <t>118023067359754</t>
        </is>
      </c>
      <c r="B183" s="2" t="inlineStr">
        <is>
          <t>SSS4-PHRASE-(satin bed set)-Browse Kws Migr.</t>
        </is>
      </c>
      <c r="C183" s="2" t="inlineStr">
        <is>
          <t>satin bed set [phrase, $0.62]; satin bed set [phrase, $0.98]</t>
        </is>
      </c>
      <c r="D183" s="2" t="inlineStr">
        <is>
          <t>whole campaign</t>
        </is>
      </c>
      <c r="E183" s="2" t="inlineStr">
        <is>
          <t>ENABLED</t>
        </is>
      </c>
      <c r="F183" s="2" t="inlineStr">
        <is>
          <t>Discovery</t>
        </is>
      </c>
      <c r="G183" s="2" t="inlineStr">
        <is>
          <t>Discovery</t>
        </is>
      </c>
      <c r="H183" s="2" t="n"/>
      <c r="I183" s="2" t="inlineStr">
        <is>
          <t>Phrase</t>
        </is>
      </c>
      <c r="J183" s="2" t="inlineStr">
        <is>
          <t>SATIN-QUEEN-BLACK</t>
        </is>
      </c>
      <c r="K183" s="2" t="inlineStr">
        <is>
          <t>SATIN-QUEEN-BLACK</t>
        </is>
      </c>
      <c r="L183" s="2" t="inlineStr">
        <is>
          <t>$0.62</t>
        </is>
      </c>
      <c r="M183" s="2" t="inlineStr">
        <is>
          <t>$0.62</t>
        </is>
      </c>
      <c r="N183" s="2" t="n">
        <v>0</v>
      </c>
      <c r="O183" s="2" t="n">
        <v>0</v>
      </c>
      <c r="P183" s="21" t="n">
        <v>0.62</v>
      </c>
      <c r="Q183" s="21" t="n">
        <v>0.62</v>
      </c>
      <c r="R183" s="2" t="n"/>
      <c r="S183" s="2" t="n"/>
      <c r="T183" s="2" t="n"/>
      <c r="U183" s="2" t="n"/>
      <c r="V183" s="21" t="n">
        <v>10</v>
      </c>
      <c r="W183" s="21" t="n">
        <v>10</v>
      </c>
      <c r="X183" s="2" t="inlineStr">
        <is>
          <t>PAUSED</t>
        </is>
      </c>
      <c r="Y183" s="2" t="inlineStr">
        <is>
          <t>none</t>
        </is>
      </c>
      <c r="Z183" s="2" t="inlineStr">
        <is>
          <t>none</t>
        </is>
      </c>
      <c r="AA183" s="21" t="n">
        <v>4.47</v>
      </c>
      <c r="AB183" s="2" t="n">
        <v>5</v>
      </c>
      <c r="AC183" s="2" t="n">
        <v>0</v>
      </c>
      <c r="AD183" s="2" t="n"/>
      <c r="AE183" s="2" t="n">
        <v>40</v>
      </c>
      <c r="AF183" s="2" t="n">
        <v>20</v>
      </c>
      <c r="AG183" s="2" t="n">
        <v>3</v>
      </c>
      <c r="AH183" s="2" t="inlineStr">
        <is>
          <t>Pause</t>
        </is>
      </c>
      <c r="AI183" s="22" t="inlineStr">
        <is>
          <t>Pause (seq 2853)</t>
        </is>
      </c>
      <c r="AJ183" s="22" t="inlineStr">
        <is>
          <t>no sales ACoS on 0 orders / 5 clicks (CC 31 Aug–29 Sep). Second discovery campaign in its family (fold = pause; only negatives move).</t>
        </is>
      </c>
      <c r="AK183" s="2" t="inlineStr">
        <is>
          <t>seq 2853 structure: agree with review 40; seq 1769 NOT SERVING hold(s) moot — campaign paused</t>
        </is>
      </c>
      <c r="AL183" s="22" t="n"/>
    </row>
    <row r="184">
      <c r="A184" s="2" t="inlineStr">
        <is>
          <t>63547587138242</t>
        </is>
      </c>
      <c r="B184" s="2" t="inlineStr">
        <is>
          <t>D-S4-navy blue silk sheets - [Silk] - Exact - Ran - DO - SATIN-4PC-QUEEN-NAVY BLUE</t>
        </is>
      </c>
      <c r="C184" s="2" t="inlineStr">
        <is>
          <t>navy blue silk sheets [exact]</t>
        </is>
      </c>
      <c r="D184" s="2" t="inlineStr">
        <is>
          <t>whole campaign</t>
        </is>
      </c>
      <c r="E184" s="2" t="inlineStr">
        <is>
          <t>ENABLED</t>
        </is>
      </c>
      <c r="F184" s="2" t="inlineStr">
        <is>
          <t>Ranking</t>
        </is>
      </c>
      <c r="G184" s="2" t="inlineStr">
        <is>
          <t>Conversions</t>
        </is>
      </c>
      <c r="H184" s="2" t="inlineStr">
        <is>
          <t>Silk</t>
        </is>
      </c>
      <c r="I184" s="2" t="inlineStr">
        <is>
          <t>Exact</t>
        </is>
      </c>
      <c r="J184" s="2" t="inlineStr">
        <is>
          <t>SATIN-4PC-QUEEN-NAVY BLUE</t>
        </is>
      </c>
      <c r="K184" s="2" t="inlineStr">
        <is>
          <t>SATIN-4PC-QUEEN-NAVY BLUE</t>
        </is>
      </c>
      <c r="L184" s="2" t="inlineStr">
        <is>
          <t>n/a (no target bid in audit)</t>
        </is>
      </c>
      <c r="M184" s="2" t="inlineStr">
        <is>
          <t>n/a</t>
        </is>
      </c>
      <c r="N184" s="2" t="n">
        <v>0</v>
      </c>
      <c r="O184" s="2" t="n">
        <v>0</v>
      </c>
      <c r="P184" s="21" t="n"/>
      <c r="Q184" s="21" t="n"/>
      <c r="R184" s="2" t="n"/>
      <c r="S184" s="2" t="n"/>
      <c r="T184" s="2" t="n"/>
      <c r="U184" s="2" t="n"/>
      <c r="V184" s="21" t="n">
        <v>8.67</v>
      </c>
      <c r="W184" s="21" t="n">
        <v>8.67</v>
      </c>
      <c r="X184" s="2" t="inlineStr">
        <is>
          <t>ENABLED</t>
        </is>
      </c>
      <c r="Y184" s="2" t="inlineStr">
        <is>
          <t>none</t>
        </is>
      </c>
      <c r="Z184" s="2" t="inlineStr">
        <is>
          <t>defer — engine name wrong ((Conversion)); load a corrected name after 28 Oct</t>
        </is>
      </c>
      <c r="AA184" s="21" t="n">
        <v>4.38</v>
      </c>
      <c r="AB184" s="2" t="n">
        <v>6</v>
      </c>
      <c r="AC184" s="2" t="n">
        <v>3</v>
      </c>
      <c r="AD184" s="2" t="n">
        <v>4.6</v>
      </c>
      <c r="AE184" s="2" t="n">
        <v>0</v>
      </c>
      <c r="AF184" s="2" t="n">
        <v>100</v>
      </c>
      <c r="AG184" s="2" t="n">
        <v>17</v>
      </c>
      <c r="AH184" s="2" t="inlineStr">
        <is>
          <t>Retag only</t>
        </is>
      </c>
      <c r="AI184" s="22" t="inlineStr">
        <is>
          <t>retag → Conversions</t>
        </is>
      </c>
      <c r="AJ184" s="22" t="inlineStr">
        <is>
          <t>Objective Ranking → Conversions by the standard (our retag verdict); 4.6% ACoS on 3 orders / 6 clicks (CC 31 Aug–29 Sep).</t>
        </is>
      </c>
      <c r="AK184" s="2" t="inlineStr">
        <is>
          <t>seq 2139 retag correct to Conversions; seq 3019 rename CHANGE</t>
        </is>
      </c>
      <c r="AL184" s="22" t="n"/>
    </row>
    <row r="185">
      <c r="A185" s="2" t="inlineStr">
        <is>
          <t>147986701552068</t>
        </is>
      </c>
      <c r="B185" s="2" t="inlineStr">
        <is>
          <t>D-S4-black silk queen sheet set - [Silk|Queen] - Exact - Ran - DO - SATIN-QUEEN-BLACK</t>
        </is>
      </c>
      <c r="C185" s="2" t="inlineStr">
        <is>
          <t>black silk queen sheet set [exact]</t>
        </is>
      </c>
      <c r="D185" s="2" t="inlineStr">
        <is>
          <t>whole campaign</t>
        </is>
      </c>
      <c r="E185" s="2" t="inlineStr">
        <is>
          <t>ENABLED</t>
        </is>
      </c>
      <c r="F185" s="2" t="inlineStr">
        <is>
          <t>Ranking</t>
        </is>
      </c>
      <c r="G185" s="2" t="inlineStr">
        <is>
          <t>Conversions</t>
        </is>
      </c>
      <c r="H185" s="2" t="inlineStr">
        <is>
          <t>Silk|Queen</t>
        </is>
      </c>
      <c r="I185" s="2" t="inlineStr">
        <is>
          <t>Exact</t>
        </is>
      </c>
      <c r="J185" s="2" t="inlineStr">
        <is>
          <t>SATIN-QUEEN-BLACK</t>
        </is>
      </c>
      <c r="K185" s="2" t="inlineStr">
        <is>
          <t>SATIN-QUEEN-BLACK</t>
        </is>
      </c>
      <c r="L185" s="2" t="inlineStr">
        <is>
          <t>n/a (no target bid in audit)</t>
        </is>
      </c>
      <c r="M185" s="2" t="inlineStr">
        <is>
          <t>n/a</t>
        </is>
      </c>
      <c r="N185" s="2" t="n">
        <v>0</v>
      </c>
      <c r="O185" s="2" t="n">
        <v>0</v>
      </c>
      <c r="P185" s="21" t="n"/>
      <c r="Q185" s="21" t="n"/>
      <c r="R185" s="2" t="n"/>
      <c r="S185" s="2" t="n"/>
      <c r="T185" s="2" t="n"/>
      <c r="U185" s="2" t="n"/>
      <c r="V185" s="21" t="n">
        <v>10.54</v>
      </c>
      <c r="W185" s="21" t="n">
        <v>10.54</v>
      </c>
      <c r="X185" s="2" t="inlineStr">
        <is>
          <t>ENABLED</t>
        </is>
      </c>
      <c r="Y185" s="2" t="inlineStr">
        <is>
          <t>none</t>
        </is>
      </c>
      <c r="Z185" s="2" t="inlineStr">
        <is>
          <t>defer — engine name wrong ((Conversion)); load a corrected name after 28 Oct</t>
        </is>
      </c>
      <c r="AA185" s="21" t="n">
        <v>4.26</v>
      </c>
      <c r="AB185" s="2" t="n">
        <v>3</v>
      </c>
      <c r="AC185" s="2" t="n">
        <v>0</v>
      </c>
      <c r="AD185" s="2" t="n"/>
      <c r="AE185" s="2" t="n">
        <v>100</v>
      </c>
      <c r="AF185" s="2" t="n">
        <v>0</v>
      </c>
      <c r="AG185" s="2" t="n">
        <v>7</v>
      </c>
      <c r="AH185" s="2" t="inlineStr">
        <is>
          <t>Retag only</t>
        </is>
      </c>
      <c r="AI185" s="22" t="inlineStr">
        <is>
          <t>retag → Conversions</t>
        </is>
      </c>
      <c r="AJ185" s="22" t="inlineStr">
        <is>
          <t>Objective Ranking → Conversions by the standard (our retag verdict); no sales ACoS on 0 orders / 3 clicks (CC 31 Aug–29 Sep).</t>
        </is>
      </c>
      <c r="AK185" s="2" t="inlineStr">
        <is>
          <t>seq 2145 retag correct to Conversions; seq 3035 rename CHANGE</t>
        </is>
      </c>
      <c r="AL185" s="22" t="n"/>
    </row>
    <row r="186">
      <c r="A186" s="2" t="inlineStr">
        <is>
          <t>80001210575872</t>
        </is>
      </c>
      <c r="B186" s="2" t="inlineStr">
        <is>
          <t>D-S4-queen silk sheets set - [Silk|Queen] - Broad - Disc - DO - SATIN-4PCS-QUEEN-STONE-GREY</t>
        </is>
      </c>
      <c r="C186" s="2" t="inlineStr">
        <is>
          <t>queen silk sheets set [broad]</t>
        </is>
      </c>
      <c r="D186" s="2" t="inlineStr">
        <is>
          <t>whole campaign</t>
        </is>
      </c>
      <c r="E186" s="2" t="inlineStr">
        <is>
          <t>ENABLED</t>
        </is>
      </c>
      <c r="F186" s="2" t="inlineStr">
        <is>
          <t>Discovery</t>
        </is>
      </c>
      <c r="G186" s="2" t="inlineStr">
        <is>
          <t>Discovery</t>
        </is>
      </c>
      <c r="H186" s="2" t="inlineStr">
        <is>
          <t>Silk|Queen</t>
        </is>
      </c>
      <c r="I186" s="2" t="inlineStr">
        <is>
          <t>Broad</t>
        </is>
      </c>
      <c r="J186" s="2" t="inlineStr">
        <is>
          <t>SATIN-4PCS-QUEEN-STONE-GREY</t>
        </is>
      </c>
      <c r="K186" s="2" t="inlineStr">
        <is>
          <t>SATIN-4PCS-QUEEN-STONE-GREY</t>
        </is>
      </c>
      <c r="L186" s="2" t="inlineStr">
        <is>
          <t>n/a (no target bid in audit)</t>
        </is>
      </c>
      <c r="M186" s="2" t="inlineStr">
        <is>
          <t>n/a</t>
        </is>
      </c>
      <c r="N186" s="2" t="n">
        <v>0</v>
      </c>
      <c r="O186" s="2" t="n">
        <v>0</v>
      </c>
      <c r="P186" s="21" t="n"/>
      <c r="Q186" s="21" t="n"/>
      <c r="R186" s="2" t="n"/>
      <c r="S186" s="2" t="n"/>
      <c r="T186" s="2" t="n"/>
      <c r="U186" s="2" t="n"/>
      <c r="V186" s="21" t="n">
        <v>10</v>
      </c>
      <c r="W186" s="21" t="n">
        <v>10</v>
      </c>
      <c r="X186" s="2" t="inlineStr">
        <is>
          <t>PAUSED</t>
        </is>
      </c>
      <c r="Y186" s="2" t="inlineStr">
        <is>
          <t>none</t>
        </is>
      </c>
      <c r="Z186" s="2" t="inlineStr">
        <is>
          <t>none</t>
        </is>
      </c>
      <c r="AA186" s="21" t="n">
        <v>4.22</v>
      </c>
      <c r="AB186" s="2" t="n">
        <v>7</v>
      </c>
      <c r="AC186" s="2" t="n">
        <v>0</v>
      </c>
      <c r="AD186" s="2" t="n"/>
      <c r="AE186" s="2" t="n">
        <v>0</v>
      </c>
      <c r="AF186" s="2" t="n">
        <v>85.70999999999999</v>
      </c>
      <c r="AG186" s="2" t="n">
        <v>1</v>
      </c>
      <c r="AH186" s="2" t="inlineStr">
        <is>
          <t>Pause</t>
        </is>
      </c>
      <c r="AI186" s="22" t="inlineStr">
        <is>
          <t>Pause (seq 2858)</t>
        </is>
      </c>
      <c r="AJ186" s="22" t="inlineStr">
        <is>
          <t>no sales ACoS on 0 orders / 7 clicks (CC 31 Aug–29 Sep). Second discovery campaign in its family (fold = pause; only negatives move).</t>
        </is>
      </c>
      <c r="AK186" s="2" t="inlineStr">
        <is>
          <t>seq 2858 structure: agree with review 40</t>
        </is>
      </c>
      <c r="AL186" s="22" t="n"/>
    </row>
    <row r="187">
      <c r="A187" s="2" t="inlineStr">
        <is>
          <t>521697115244185</t>
        </is>
      </c>
      <c r="B187" s="2" t="inlineStr">
        <is>
          <t>D-S4-SP-red silk sheets full size bed set-(Silk)-LSV-Exact-Rank-DO-WX-EJO9-2LXF</t>
        </is>
      </c>
      <c r="C187" s="2" t="inlineStr">
        <is>
          <t>red silk sheets full size bed set [exact, $2.87, 2 clicks]</t>
        </is>
      </c>
      <c r="D187" s="2" t="inlineStr">
        <is>
          <t>red silk sheets full size bed set</t>
        </is>
      </c>
      <c r="E187" s="2" t="inlineStr">
        <is>
          <t>ENABLED</t>
        </is>
      </c>
      <c r="F187" s="2" t="inlineStr">
        <is>
          <t>Ranking</t>
        </is>
      </c>
      <c r="G187" s="2" t="inlineStr">
        <is>
          <t>Conversions</t>
        </is>
      </c>
      <c r="H187" s="2" t="inlineStr">
        <is>
          <t>OUT</t>
        </is>
      </c>
      <c r="I187" s="2" t="inlineStr">
        <is>
          <t>Exact</t>
        </is>
      </c>
      <c r="J187" s="2" t="inlineStr">
        <is>
          <t>SATIN-RED-FULL</t>
        </is>
      </c>
      <c r="K187" s="2" t="inlineStr">
        <is>
          <t>SATIN-RED-FULL</t>
        </is>
      </c>
      <c r="L187" s="2" t="inlineStr">
        <is>
          <t>$2.87</t>
        </is>
      </c>
      <c r="M187" s="2" t="inlineStr">
        <is>
          <t>$1.44</t>
        </is>
      </c>
      <c r="N187" s="2" t="n">
        <v>60</v>
      </c>
      <c r="O187" s="2" t="n">
        <v>60</v>
      </c>
      <c r="P187" s="21" t="n">
        <v>4.59</v>
      </c>
      <c r="Q187" s="21" t="n">
        <v>2.3</v>
      </c>
      <c r="R187" s="2" t="n">
        <v>0</v>
      </c>
      <c r="S187" s="2" t="n">
        <v>0</v>
      </c>
      <c r="T187" s="2" t="n">
        <v>0</v>
      </c>
      <c r="U187" s="2" t="n">
        <v>0</v>
      </c>
      <c r="V187" s="21" t="n">
        <v>5</v>
      </c>
      <c r="W187" s="21" t="n">
        <v>5</v>
      </c>
      <c r="X187" s="2" t="inlineStr">
        <is>
          <t>ENABLED</t>
        </is>
      </c>
      <c r="Y187" s="2" t="inlineStr">
        <is>
          <t>none</t>
        </is>
      </c>
      <c r="Z187" s="2" t="inlineStr">
        <is>
          <t>defer — engine name wrong ((Conversion)); load a corrected name after 28 Oct</t>
        </is>
      </c>
      <c r="AA187" s="21" t="n">
        <v>4.12</v>
      </c>
      <c r="AB187" s="2" t="n">
        <v>2</v>
      </c>
      <c r="AC187" s="2" t="n">
        <v>0</v>
      </c>
      <c r="AD187" s="2" t="n"/>
      <c r="AE187" s="2" t="n">
        <v>100</v>
      </c>
      <c r="AF187" s="2" t="n">
        <v>0</v>
      </c>
      <c r="AG187" s="2" t="n">
        <v>0</v>
      </c>
      <c r="AH187" s="2" t="inlineStr">
        <is>
          <t>Release hold + price to break-even</t>
        </is>
      </c>
      <c r="AI187" s="22" t="inlineStr">
        <is>
          <t>Release hold; cut base $2.87 → $1.44; retag → Conversions</t>
        </is>
      </c>
      <c r="AJ187" s="22" t="inlineStr">
        <is>
          <t>no-sale ACoS, 0 orders on 2 clicks (CC 31 Aug–29 Sep) vs blended (other colour) break-even 23.3%; BE base = $7.02 contribution (blended (other colour)) × 0.0% CVR = $0.00; cap 50% cut.</t>
        </is>
      </c>
      <c r="AK187" s="2" t="inlineStr">
        <is>
          <t>seq 3029 rename CHANGE; seq 410 NOT SERVING hold(s) → release; price to break-even (our addition, reviewer D); our addition: standard → Conversions (colour term "red silk sheets full size bed set")</t>
        </is>
      </c>
      <c r="AL187" s="22" t="n"/>
    </row>
    <row r="188">
      <c r="A188" s="2" t="inlineStr">
        <is>
          <t>164195013739103</t>
        </is>
      </c>
      <c r="B188" s="2" t="inlineStr">
        <is>
          <t>D-S4-sheets queen size bed set silk - [Silk|Queen] - Exact - Ran - DO - SATIN-QUEEN-BLACK</t>
        </is>
      </c>
      <c r="C188" s="2" t="inlineStr">
        <is>
          <t>sheets queen size bed set silk [exact]</t>
        </is>
      </c>
      <c r="D188" s="2" t="inlineStr">
        <is>
          <t>sheets queen size bed set silk</t>
        </is>
      </c>
      <c r="E188" s="2" t="inlineStr">
        <is>
          <t>ENABLED</t>
        </is>
      </c>
      <c r="F188" s="2" t="inlineStr">
        <is>
          <t>Ranking</t>
        </is>
      </c>
      <c r="G188" s="2" t="inlineStr">
        <is>
          <t>Ranking</t>
        </is>
      </c>
      <c r="H188" s="2" t="inlineStr">
        <is>
          <t>Silk|Queen</t>
        </is>
      </c>
      <c r="I188" s="2" t="inlineStr">
        <is>
          <t>Exact</t>
        </is>
      </c>
      <c r="J188" s="2" t="inlineStr">
        <is>
          <t>SATIN-QUEEN-BLACK</t>
        </is>
      </c>
      <c r="K188" s="2" t="inlineStr">
        <is>
          <t>SATIN-QUEEN-BLACK</t>
        </is>
      </c>
      <c r="L188" s="2" t="inlineStr">
        <is>
          <t>$1.49</t>
        </is>
      </c>
      <c r="M188" s="2" t="inlineStr">
        <is>
          <t>$0.74</t>
        </is>
      </c>
      <c r="N188" s="2" t="n">
        <v>30</v>
      </c>
      <c r="O188" s="2" t="n">
        <v>30</v>
      </c>
      <c r="P188" s="21" t="n">
        <v>1.94</v>
      </c>
      <c r="Q188" s="21" t="n">
        <v>0.96</v>
      </c>
      <c r="R188" s="2" t="n"/>
      <c r="S188" s="2" t="n"/>
      <c r="T188" s="2" t="n"/>
      <c r="U188" s="2" t="n"/>
      <c r="V188" s="21" t="n">
        <v>11.06</v>
      </c>
      <c r="W188" s="21" t="n">
        <v>11.06</v>
      </c>
      <c r="X188" s="2" t="inlineStr">
        <is>
          <t>ENABLED</t>
        </is>
      </c>
      <c r="Y188" s="2" t="inlineStr">
        <is>
          <t>none</t>
        </is>
      </c>
      <c r="Z188" s="2" t="inlineStr">
        <is>
          <t>defer — engine name wrong (SKU token SATIN-QUEEN-BLACK); load a corrected name after 28 Oct</t>
        </is>
      </c>
      <c r="AA188" s="21" t="n">
        <v>3.86</v>
      </c>
      <c r="AB188" s="2" t="n">
        <v>2</v>
      </c>
      <c r="AC188" s="2" t="n">
        <v>0</v>
      </c>
      <c r="AD188" s="2" t="n"/>
      <c r="AE188" s="2" t="n">
        <v>100</v>
      </c>
      <c r="AF188" s="2" t="n">
        <v>0</v>
      </c>
      <c r="AG188" s="2" t="n">
        <v>2</v>
      </c>
      <c r="AH188" s="2" t="inlineStr">
        <is>
          <t>Release hold + price to break-even</t>
        </is>
      </c>
      <c r="AI188" s="22" t="inlineStr">
        <is>
          <t>Release hold; cut base $1.49 → $0.74</t>
        </is>
      </c>
      <c r="AJ188" s="22" t="inlineStr">
        <is>
          <t>no-sale ACoS, 0 orders on 2 clicks (CC 31 Aug–29 Sep) vs Queen Black break-even 17.8%; BE base = $5.03 contribution (Queen Black) × 0.0% CVR = $0.00; cap 50% cut.</t>
        </is>
      </c>
      <c r="AK188" s="2" t="inlineStr">
        <is>
          <t>seq 1894 child: reject — keep SATIN-QUEEN-BLACK; seq 2168 retag LOAD; seq 3108 rename CHANGE; seq 2010 NOT SERVING hold(s) → release; price to break-even (our addition, reviewer D)</t>
        </is>
      </c>
      <c r="AL188" s="22" t="n"/>
    </row>
    <row r="189">
      <c r="A189" s="2" t="inlineStr">
        <is>
          <t>217433771452577</t>
        </is>
      </c>
      <c r="B189" s="2" t="inlineStr">
        <is>
          <t>D-S4-SP-EXACT-black sheets queen satin-Satin|Queen-SATIN-QUEEN-BLACK</t>
        </is>
      </c>
      <c r="C189" s="2" t="inlineStr">
        <is>
          <t>black sheets queen satin [exact]</t>
        </is>
      </c>
      <c r="D189" s="2" t="inlineStr">
        <is>
          <t>whole campaign</t>
        </is>
      </c>
      <c r="E189" s="2" t="inlineStr">
        <is>
          <t>ENABLED</t>
        </is>
      </c>
      <c r="F189" s="2" t="inlineStr">
        <is>
          <t>Conversions</t>
        </is>
      </c>
      <c r="G189" s="2" t="inlineStr">
        <is>
          <t>Conversions</t>
        </is>
      </c>
      <c r="H189" s="2" t="n"/>
      <c r="I189" s="2" t="inlineStr">
        <is>
          <t>Exact</t>
        </is>
      </c>
      <c r="J189" s="2" t="inlineStr">
        <is>
          <t>SATIN-QUEEN-BLACK</t>
        </is>
      </c>
      <c r="K189" s="2" t="inlineStr">
        <is>
          <t>SATIN-QUEEN-BLACK</t>
        </is>
      </c>
      <c r="L189" s="2" t="inlineStr">
        <is>
          <t>n/a (no target bid in audit)</t>
        </is>
      </c>
      <c r="M189" s="2" t="inlineStr">
        <is>
          <t>n/a</t>
        </is>
      </c>
      <c r="N189" s="2" t="n">
        <v>0</v>
      </c>
      <c r="O189" s="2" t="n">
        <v>0</v>
      </c>
      <c r="P189" s="21" t="n"/>
      <c r="Q189" s="21" t="n"/>
      <c r="R189" s="2" t="n"/>
      <c r="S189" s="2" t="n"/>
      <c r="T189" s="2" t="n"/>
      <c r="U189" s="2" t="n"/>
      <c r="V189" s="21" t="n">
        <v>8.06</v>
      </c>
      <c r="W189" s="21" t="n">
        <v>8.06</v>
      </c>
      <c r="X189" s="2" t="inlineStr">
        <is>
          <t>ENABLED</t>
        </is>
      </c>
      <c r="Y189" s="2" t="inlineStr">
        <is>
          <t>none</t>
        </is>
      </c>
      <c r="Z189" s="2" t="inlineStr">
        <is>
          <t>load (clean): DSS4-SP-Black Sheets Queen Satin-(VLSV)-Exact-(Conversion)-DO-SATIN-QUEEN-BLACK</t>
        </is>
      </c>
      <c r="AA189" s="21" t="n">
        <v>3.83</v>
      </c>
      <c r="AB189" s="2" t="n">
        <v>2</v>
      </c>
      <c r="AC189" s="2" t="n">
        <v>0</v>
      </c>
      <c r="AD189" s="2" t="n"/>
      <c r="AE189" s="2" t="n">
        <v>50</v>
      </c>
      <c r="AF189" s="2" t="n">
        <v>0</v>
      </c>
      <c r="AG189" s="2" t="n">
        <v>0</v>
      </c>
      <c r="AH189" s="2" t="inlineStr">
        <is>
          <t>Rename only</t>
        </is>
      </c>
      <c r="AI189" s="22" t="inlineStr">
        <is>
          <t>Load rename only</t>
        </is>
      </c>
      <c r="AJ189" s="22" t="inlineStr">
        <is>
          <t>Clean rename (SKU token and objective match what the campaign advertises); no sales ACoS on 0 orders / 2 clicks (CC 31 Aug–29 Sep).</t>
        </is>
      </c>
      <c r="AK189" s="2" t="inlineStr">
        <is>
          <t>seq 2187 retag LOAD; seq 3161 rename LOAD</t>
        </is>
      </c>
      <c r="AL189" s="22" t="n"/>
    </row>
    <row r="190">
      <c r="A190" s="2" t="inlineStr">
        <is>
          <t>317305862491739</t>
        </is>
      </c>
      <c r="B190" s="2" t="inlineStr">
        <is>
          <t>D-S4-SP-extra deep pocket queen sheets satin-(Satin)-VLSV-Exact-Rank-DO-SATIN-QUEEN-GREY-FBM</t>
        </is>
      </c>
      <c r="C190" s="2" t="inlineStr">
        <is>
          <t>extra deep pocket queen sheets satin [exact, $1.90, 2 clicks]</t>
        </is>
      </c>
      <c r="D190" s="2" t="inlineStr">
        <is>
          <t>extra deep pocket queen sheets satin</t>
        </is>
      </c>
      <c r="E190" s="2" t="inlineStr">
        <is>
          <t>ENABLED</t>
        </is>
      </c>
      <c r="F190" s="2" t="inlineStr">
        <is>
          <t>Ranking</t>
        </is>
      </c>
      <c r="G190" s="2" t="inlineStr">
        <is>
          <t>Ranking</t>
        </is>
      </c>
      <c r="H190" s="2" t="inlineStr">
        <is>
          <t>OUT</t>
        </is>
      </c>
      <c r="I190" s="2" t="inlineStr">
        <is>
          <t>Exact</t>
        </is>
      </c>
      <c r="J190" s="2" t="inlineStr">
        <is>
          <t>SATIN-QUEEN-BLACK</t>
        </is>
      </c>
      <c r="K190" s="2" t="inlineStr">
        <is>
          <t>SATIN-QUEEN-BLACK</t>
        </is>
      </c>
      <c r="L190" s="2" t="inlineStr">
        <is>
          <t>$1.90</t>
        </is>
      </c>
      <c r="M190" s="2" t="inlineStr">
        <is>
          <t>$0.95</t>
        </is>
      </c>
      <c r="N190" s="2" t="n">
        <v>0</v>
      </c>
      <c r="O190" s="2" t="n">
        <v>0</v>
      </c>
      <c r="P190" s="21" t="n">
        <v>1.9</v>
      </c>
      <c r="Q190" s="21" t="n">
        <v>0.95</v>
      </c>
      <c r="R190" s="2" t="n">
        <v>0</v>
      </c>
      <c r="S190" s="2" t="n">
        <v>0</v>
      </c>
      <c r="T190" s="2" t="n">
        <v>0</v>
      </c>
      <c r="U190" s="2" t="n">
        <v>0</v>
      </c>
      <c r="V190" s="21" t="n">
        <v>5</v>
      </c>
      <c r="W190" s="21" t="n">
        <v>5</v>
      </c>
      <c r="X190" s="2" t="inlineStr">
        <is>
          <t>ENABLED</t>
        </is>
      </c>
      <c r="Y190" s="2" t="inlineStr">
        <is>
          <t>none</t>
        </is>
      </c>
      <c r="Z190" s="2" t="inlineStr">
        <is>
          <t>defer — engine name wrong (SKU token SATIN-QUEEN-BLACK); load a corrected name after 28 Oct</t>
        </is>
      </c>
      <c r="AA190" s="21" t="n">
        <v>3.8</v>
      </c>
      <c r="AB190" s="2" t="n">
        <v>2</v>
      </c>
      <c r="AC190" s="2" t="n">
        <v>0</v>
      </c>
      <c r="AD190" s="2" t="n"/>
      <c r="AE190" s="2" t="n">
        <v>50</v>
      </c>
      <c r="AF190" s="2" t="n">
        <v>0</v>
      </c>
      <c r="AG190" s="2" t="n">
        <v>0</v>
      </c>
      <c r="AH190" s="2" t="inlineStr">
        <is>
          <t>Release hold + price to break-even</t>
        </is>
      </c>
      <c r="AI190" s="22" t="inlineStr">
        <is>
          <t>Release hold; cut base $1.90 → $0.95</t>
        </is>
      </c>
      <c r="AJ190" s="22" t="inlineStr">
        <is>
          <t>no-sale ACoS, 0 orders on 2 clicks (CC 31 Aug–29 Sep) vs Queen Black break-even 17.8%; BE base = $5.03 contribution (Queen Black) × 0.0% CVR = $0.00; cap 50% cut.</t>
        </is>
      </c>
      <c r="AK190" s="2" t="inlineStr">
        <is>
          <t>seq 1933 child: reject — keep SATIN-QUEEN-BLACK; seq 3224 rename CHANGE; seq 415 NOT SERVING hold(s) → release; price to break-even (our addition, reviewer D)</t>
        </is>
      </c>
      <c r="AL190" s="22" t="n"/>
    </row>
    <row r="191">
      <c r="A191" s="2" t="inlineStr">
        <is>
          <t>387564212550899</t>
        </is>
      </c>
      <c r="B191" s="2" t="inlineStr">
        <is>
          <t>D-S4-SP-white queen satin sheets-(Satin)-LSV-Exact-Rank-DO-SATIN-QUEEN-GREY-FBM</t>
        </is>
      </c>
      <c r="C191" s="2" t="inlineStr">
        <is>
          <t>white queen satin sheets [exact, $1.90, 2 clicks]</t>
        </is>
      </c>
      <c r="D191" s="2" t="inlineStr">
        <is>
          <t>whole campaign</t>
        </is>
      </c>
      <c r="E191" s="2" t="inlineStr">
        <is>
          <t>ENABLED</t>
        </is>
      </c>
      <c r="F191" s="2" t="inlineStr">
        <is>
          <t>Ranking</t>
        </is>
      </c>
      <c r="G191" s="2" t="inlineStr">
        <is>
          <t>Conversions</t>
        </is>
      </c>
      <c r="H191" s="2" t="inlineStr">
        <is>
          <t>OUT</t>
        </is>
      </c>
      <c r="I191" s="2" t="inlineStr">
        <is>
          <t>Exact</t>
        </is>
      </c>
      <c r="J191" s="2" t="inlineStr">
        <is>
          <t>SATIN-WHITE-QUEEN</t>
        </is>
      </c>
      <c r="K191" s="2" t="inlineStr">
        <is>
          <t>SATIN-WHITE-QUEEN</t>
        </is>
      </c>
      <c r="L191" s="2" t="inlineStr">
        <is>
          <t>$1.90</t>
        </is>
      </c>
      <c r="M191" s="2" t="inlineStr">
        <is>
          <t>$1.90</t>
        </is>
      </c>
      <c r="N191" s="2" t="n">
        <v>0</v>
      </c>
      <c r="O191" s="2" t="n">
        <v>0</v>
      </c>
      <c r="P191" s="21" t="n">
        <v>1.9</v>
      </c>
      <c r="Q191" s="21" t="n">
        <v>1.9</v>
      </c>
      <c r="R191" s="2" t="n">
        <v>0</v>
      </c>
      <c r="S191" s="2" t="n">
        <v>0</v>
      </c>
      <c r="T191" s="2" t="n">
        <v>0</v>
      </c>
      <c r="U191" s="2" t="n">
        <v>0</v>
      </c>
      <c r="V191" s="21" t="n">
        <v>5</v>
      </c>
      <c r="W191" s="21" t="n">
        <v>5</v>
      </c>
      <c r="X191" s="2" t="inlineStr">
        <is>
          <t>ENABLED</t>
        </is>
      </c>
      <c r="Y191" s="2" t="inlineStr">
        <is>
          <t>none</t>
        </is>
      </c>
      <c r="Z191" s="2" t="inlineStr">
        <is>
          <t>defer — engine name wrong ((Conversion)); load a corrected name after 28 Oct</t>
        </is>
      </c>
      <c r="AA191" s="21" t="n">
        <v>3.8</v>
      </c>
      <c r="AB191" s="2" t="n">
        <v>2</v>
      </c>
      <c r="AC191" s="2" t="n">
        <v>1</v>
      </c>
      <c r="AD191" s="2" t="n">
        <v>11.9</v>
      </c>
      <c r="AE191" s="2" t="n">
        <v>100</v>
      </c>
      <c r="AF191" s="2" t="n">
        <v>0</v>
      </c>
      <c r="AG191" s="2" t="n">
        <v>1</v>
      </c>
      <c r="AH191" s="2" t="inlineStr">
        <is>
          <t>Retag only</t>
        </is>
      </c>
      <c r="AI191" s="22" t="inlineStr">
        <is>
          <t>retag → Conversions</t>
        </is>
      </c>
      <c r="AJ191" s="22" t="inlineStr">
        <is>
          <t>Objective Ranking → Conversions by the standard (colour term "white queen satin sheets"); 11.9% ACoS on 1 orders / 2 clicks (CC 31 Aug–29 Sep).</t>
        </is>
      </c>
      <c r="AK191" s="2" t="inlineStr">
        <is>
          <t>seq 2998 rename CHANGE; our addition: standard → Conversions (colour term "white queen satin sheets")</t>
        </is>
      </c>
      <c r="AL191" s="22" t="n"/>
    </row>
    <row r="192">
      <c r="A192" s="2" t="inlineStr">
        <is>
          <t>373703912304641</t>
        </is>
      </c>
      <c r="B192" s="2" t="inlineStr">
        <is>
          <t>D-S4-SP-satin black queen bed sheets-(Satin)-MSV-Exact-Rank-DO-TF-XHNL-B3YJ</t>
        </is>
      </c>
      <c r="C192" s="2" t="inlineStr">
        <is>
          <t>satin black queen bed sheets [exact, $1.90, 2 clicks]</t>
        </is>
      </c>
      <c r="D192" s="2" t="inlineStr">
        <is>
          <t>satin black queen bed sheets</t>
        </is>
      </c>
      <c r="E192" s="2" t="inlineStr">
        <is>
          <t>ENABLED</t>
        </is>
      </c>
      <c r="F192" s="2" t="inlineStr">
        <is>
          <t>Ranking</t>
        </is>
      </c>
      <c r="G192" s="2" t="inlineStr">
        <is>
          <t>Conversions</t>
        </is>
      </c>
      <c r="H192" s="2" t="inlineStr">
        <is>
          <t>OUT</t>
        </is>
      </c>
      <c r="I192" s="2" t="inlineStr">
        <is>
          <t>Exact</t>
        </is>
      </c>
      <c r="J192" s="2" t="inlineStr">
        <is>
          <t>SATIN-QUEEN-BLACK</t>
        </is>
      </c>
      <c r="K192" s="2" t="inlineStr">
        <is>
          <t>SATIN-QUEEN-BLACK</t>
        </is>
      </c>
      <c r="L192" s="2" t="inlineStr">
        <is>
          <t>$1.90</t>
        </is>
      </c>
      <c r="M192" s="2" t="inlineStr">
        <is>
          <t>$0.95</t>
        </is>
      </c>
      <c r="N192" s="2" t="n">
        <v>0</v>
      </c>
      <c r="O192" s="2" t="n">
        <v>0</v>
      </c>
      <c r="P192" s="21" t="n">
        <v>1.9</v>
      </c>
      <c r="Q192" s="21" t="n">
        <v>0.95</v>
      </c>
      <c r="R192" s="2" t="n">
        <v>0</v>
      </c>
      <c r="S192" s="2" t="n">
        <v>0</v>
      </c>
      <c r="T192" s="2" t="n">
        <v>0</v>
      </c>
      <c r="U192" s="2" t="n">
        <v>0</v>
      </c>
      <c r="V192" s="21" t="n">
        <v>5</v>
      </c>
      <c r="W192" s="21" t="n">
        <v>5</v>
      </c>
      <c r="X192" s="2" t="inlineStr">
        <is>
          <t>ENABLED</t>
        </is>
      </c>
      <c r="Y192" s="2" t="inlineStr">
        <is>
          <t>none</t>
        </is>
      </c>
      <c r="Z192" s="2" t="inlineStr">
        <is>
          <t>defer — engine name wrong ((Conversion)); load a corrected name after 28 Oct</t>
        </is>
      </c>
      <c r="AA192" s="21" t="n">
        <v>3.59</v>
      </c>
      <c r="AB192" s="2" t="n">
        <v>2</v>
      </c>
      <c r="AC192" s="2" t="n">
        <v>0</v>
      </c>
      <c r="AD192" s="2" t="n"/>
      <c r="AE192" s="2" t="n">
        <v>100</v>
      </c>
      <c r="AF192" s="2" t="n">
        <v>0</v>
      </c>
      <c r="AG192" s="2" t="n">
        <v>0</v>
      </c>
      <c r="AH192" s="2" t="inlineStr">
        <is>
          <t>Release hold + price to break-even</t>
        </is>
      </c>
      <c r="AI192" s="22" t="inlineStr">
        <is>
          <t>Release hold; cut base $1.90 → $0.95; retag → Conversions</t>
        </is>
      </c>
      <c r="AJ192" s="22" t="inlineStr">
        <is>
          <t>no-sale ACoS, 0 orders on 2 clicks (CC 31 Aug–29 Sep) vs Queen Black break-even 17.8%; BE base = $5.03 contribution (Queen Black) × 0.0% CVR = $0.00; cap 50% cut.</t>
        </is>
      </c>
      <c r="AK192" s="2" t="inlineStr">
        <is>
          <t>seq 3025 rename CHANGE; seq 425 NOT SERVING hold(s) → release; price to break-even (our addition, reviewer D); our addition: standard → Conversions (colour term "satin black queen bed sheets")</t>
        </is>
      </c>
      <c r="AL192" s="22" t="n"/>
    </row>
    <row r="193">
      <c r="A193" s="2" t="inlineStr">
        <is>
          <t>265962402100834</t>
        </is>
      </c>
      <c r="B193" s="2" t="inlineStr">
        <is>
          <t>D-S4-cream silk sheets - [Silk] - Exact - Ran - DO - SATIN-QUEEN-BLACK</t>
        </is>
      </c>
      <c r="C193" s="2" t="inlineStr">
        <is>
          <t>cream silk sheets [exact]</t>
        </is>
      </c>
      <c r="D193" s="2" t="inlineStr">
        <is>
          <t>cream silk sheets</t>
        </is>
      </c>
      <c r="E193" s="2" t="inlineStr">
        <is>
          <t>ENABLED</t>
        </is>
      </c>
      <c r="F193" s="2" t="inlineStr">
        <is>
          <t>Ranking</t>
        </is>
      </c>
      <c r="G193" s="2" t="inlineStr">
        <is>
          <t>Conversions</t>
        </is>
      </c>
      <c r="H193" s="2" t="inlineStr">
        <is>
          <t>Silk</t>
        </is>
      </c>
      <c r="I193" s="2" t="inlineStr">
        <is>
          <t>Exact</t>
        </is>
      </c>
      <c r="J193" s="2" t="inlineStr">
        <is>
          <t>SATIN-IVORY-KING</t>
        </is>
      </c>
      <c r="K193" s="2" t="inlineStr">
        <is>
          <t>SATIN-IVORY-KING</t>
        </is>
      </c>
      <c r="L193" s="2" t="inlineStr">
        <is>
          <t>$1.24</t>
        </is>
      </c>
      <c r="M193" s="2" t="inlineStr">
        <is>
          <t>$0.62</t>
        </is>
      </c>
      <c r="N193" s="2" t="n">
        <v>50</v>
      </c>
      <c r="O193" s="2" t="n">
        <v>50</v>
      </c>
      <c r="P193" s="21" t="n">
        <v>1.86</v>
      </c>
      <c r="Q193" s="21" t="n">
        <v>0.93</v>
      </c>
      <c r="R193" s="2" t="n"/>
      <c r="S193" s="2" t="n"/>
      <c r="T193" s="2" t="n"/>
      <c r="U193" s="2" t="n"/>
      <c r="V193" s="21" t="n">
        <v>7.52</v>
      </c>
      <c r="W193" s="21" t="n">
        <v>7.52</v>
      </c>
      <c r="X193" s="2" t="inlineStr">
        <is>
          <t>ENABLED</t>
        </is>
      </c>
      <c r="Y193" s="2" t="inlineStr">
        <is>
          <t>none</t>
        </is>
      </c>
      <c r="Z193" s="2" t="inlineStr">
        <is>
          <t>defer — engine name wrong ((Conversion)); load a corrected name after 28 Oct</t>
        </is>
      </c>
      <c r="AA193" s="21" t="n">
        <v>3.4</v>
      </c>
      <c r="AB193" s="2" t="n">
        <v>2</v>
      </c>
      <c r="AC193" s="2" t="n">
        <v>0</v>
      </c>
      <c r="AD193" s="2" t="n"/>
      <c r="AE193" s="2" t="n">
        <v>100</v>
      </c>
      <c r="AF193" s="2" t="n">
        <v>0</v>
      </c>
      <c r="AG193" s="2" t="n">
        <v>0</v>
      </c>
      <c r="AH193" s="2" t="inlineStr">
        <is>
          <t>Release hold + price to break-even</t>
        </is>
      </c>
      <c r="AI193" s="22" t="inlineStr">
        <is>
          <t>Release hold; cut base $1.24 → $0.62; retag → Conversions</t>
        </is>
      </c>
      <c r="AJ193" s="22" t="inlineStr">
        <is>
          <t>no-sale ACoS, 0 orders on 2 clicks (CC 31 Aug–29 Sep) vs blended (other colour) break-even 23.3%; BE base = $7.02 contribution (blended (other colour)) × 0.0% CVR = $0.00; cap 50% cut.</t>
        </is>
      </c>
      <c r="AK193" s="2" t="inlineStr">
        <is>
          <t>seq 2144 retag correct to Conversions; seq 3033 rename CHANGE; seq 2000 NOT SERVING hold(s) → release; price to break-even (our addition, reviewer D)</t>
        </is>
      </c>
      <c r="AL193" s="22" t="n"/>
    </row>
    <row r="194">
      <c r="A194" s="2" t="inlineStr">
        <is>
          <t>85523138318625</t>
        </is>
      </c>
      <c r="B194" s="2" t="inlineStr">
        <is>
          <t>D-S4-SP-EXACT-plum satin sheets-Satin-SATIN-QUEEN-BLACK</t>
        </is>
      </c>
      <c r="C194" s="2" t="inlineStr">
        <is>
          <t>plum satin sheets [exact]</t>
        </is>
      </c>
      <c r="D194" s="2" t="inlineStr">
        <is>
          <t>whole campaign</t>
        </is>
      </c>
      <c r="E194" s="2" t="inlineStr">
        <is>
          <t>ENABLED</t>
        </is>
      </c>
      <c r="F194" s="2" t="inlineStr">
        <is>
          <t>Conversions</t>
        </is>
      </c>
      <c r="G194" s="2" t="inlineStr">
        <is>
          <t>Conversions</t>
        </is>
      </c>
      <c r="H194" s="2" t="n"/>
      <c r="I194" s="2" t="inlineStr">
        <is>
          <t>Exact</t>
        </is>
      </c>
      <c r="J194" s="2" t="inlineStr">
        <is>
          <t>SATIN-QUEEN-BLACK</t>
        </is>
      </c>
      <c r="K194" s="2" t="inlineStr">
        <is>
          <t>SATIN-QUEEN-PURPLE</t>
        </is>
      </c>
      <c r="L194" s="2" t="inlineStr">
        <is>
          <t>n/a (no target bid in audit)</t>
        </is>
      </c>
      <c r="M194" s="2" t="inlineStr">
        <is>
          <t>n/a</t>
        </is>
      </c>
      <c r="N194" s="2" t="n">
        <v>0</v>
      </c>
      <c r="O194" s="2" t="n">
        <v>0</v>
      </c>
      <c r="P194" s="21" t="n"/>
      <c r="Q194" s="21" t="n"/>
      <c r="R194" s="2" t="n"/>
      <c r="S194" s="2" t="n"/>
      <c r="T194" s="2" t="n"/>
      <c r="U194" s="2" t="n"/>
      <c r="V194" s="21" t="n">
        <v>8.06</v>
      </c>
      <c r="W194" s="21" t="n">
        <v>8.06</v>
      </c>
      <c r="X194" s="2" t="inlineStr">
        <is>
          <t>ENABLED</t>
        </is>
      </c>
      <c r="Y194" s="2" t="inlineStr">
        <is>
          <t>none</t>
        </is>
      </c>
      <c r="Z194" s="2" t="inlineStr">
        <is>
          <t>defer — engine name wrong (flag); load a corrected name after 28 Oct</t>
        </is>
      </c>
      <c r="AA194" s="21" t="n">
        <v>3.21</v>
      </c>
      <c r="AB194" s="2" t="n">
        <v>2</v>
      </c>
      <c r="AC194" s="2" t="n">
        <v>1</v>
      </c>
      <c r="AD194" s="2" t="n">
        <v>10.7</v>
      </c>
      <c r="AE194" s="2" t="n">
        <v>50</v>
      </c>
      <c r="AF194" s="2" t="n">
        <v>0</v>
      </c>
      <c r="AG194" s="2" t="n">
        <v>1</v>
      </c>
      <c r="AH194" s="2" t="inlineStr">
        <is>
          <t>Child swap</t>
        </is>
      </c>
      <c r="AI194" s="22" t="inlineStr">
        <is>
          <t>Swap child to SATIN-QUEEN-PURPLE</t>
        </is>
      </c>
      <c r="AJ194" s="22" t="inlineStr">
        <is>
          <t>10.7% ACoS on 1 orders / 2 clicks (CC 31 Aug–29 Sep). Plum term on Queen Black; Queen Purple has 143 units (SB 29 Sep).</t>
        </is>
      </c>
      <c r="AK194" s="2" t="inlineStr">
        <is>
          <t>seq 2147 retag LOAD; seq 3038 rename CHANGE; our addition (corrections §5 / reviewer C A4)</t>
        </is>
      </c>
      <c r="AL194" s="22" t="n"/>
    </row>
    <row r="195">
      <c r="A195" s="2" t="inlineStr">
        <is>
          <t>44991939714781</t>
        </is>
      </c>
      <c r="B195" s="2" t="inlineStr">
        <is>
          <t>D-S4-light blue satin sheets - [Satin] - Exact - Ran - DO - SATIN-4PC-QUEEN-BABY BLUE</t>
        </is>
      </c>
      <c r="C195" s="2" t="inlineStr">
        <is>
          <t>light blue satin sheets [exact]</t>
        </is>
      </c>
      <c r="D195" s="2" t="inlineStr">
        <is>
          <t>—</t>
        </is>
      </c>
      <c r="E195" s="2" t="inlineStr">
        <is>
          <t>ENABLED</t>
        </is>
      </c>
      <c r="F195" s="2" t="inlineStr">
        <is>
          <t>Conversions</t>
        </is>
      </c>
      <c r="G195" s="2" t="inlineStr">
        <is>
          <t>Conversions</t>
        </is>
      </c>
      <c r="H195" s="2" t="inlineStr">
        <is>
          <t>Satin</t>
        </is>
      </c>
      <c r="I195" s="2" t="inlineStr">
        <is>
          <t>Exact</t>
        </is>
      </c>
      <c r="J195" s="2" t="inlineStr">
        <is>
          <t>SATIN-4PC-FULL-BABY BLUE</t>
        </is>
      </c>
      <c r="K195" s="2" t="inlineStr">
        <is>
          <t>SATIN-4PC-FULL-BABY BLUE</t>
        </is>
      </c>
      <c r="L195" s="2" t="inlineStr">
        <is>
          <t>n/a (no target bid in audit)</t>
        </is>
      </c>
      <c r="M195" s="2" t="inlineStr">
        <is>
          <t>n/a</t>
        </is>
      </c>
      <c r="N195" s="2" t="n">
        <v>50</v>
      </c>
      <c r="O195" s="2" t="n">
        <v>50</v>
      </c>
      <c r="P195" s="21" t="n"/>
      <c r="Q195" s="21" t="n"/>
      <c r="R195" s="2" t="n"/>
      <c r="S195" s="2" t="n"/>
      <c r="T195" s="2" t="n"/>
      <c r="U195" s="2" t="n"/>
      <c r="V195" s="21" t="n">
        <v>8.02</v>
      </c>
      <c r="W195" s="21" t="n">
        <v>8.02</v>
      </c>
      <c r="X195" s="2" t="inlineStr">
        <is>
          <t>ENABLED</t>
        </is>
      </c>
      <c r="Y195" s="2" t="inlineStr">
        <is>
          <t>none</t>
        </is>
      </c>
      <c r="Z195" s="2" t="inlineStr">
        <is>
          <t>defer — engine name wrong (SKU token SATIN-4PC-FULL-BABY BLUE); load a corrected name after 28 Oct</t>
        </is>
      </c>
      <c r="AA195" s="21" t="n">
        <v>3.12</v>
      </c>
      <c r="AB195" s="2" t="n">
        <v>2</v>
      </c>
      <c r="AC195" s="2" t="n">
        <v>0</v>
      </c>
      <c r="AD195" s="2" t="n"/>
      <c r="AE195" s="2" t="n">
        <v>100</v>
      </c>
      <c r="AF195" s="2" t="n">
        <v>0</v>
      </c>
      <c r="AG195" s="2" t="n">
        <v>1</v>
      </c>
      <c r="AH195" s="2" t="inlineStr">
        <is>
          <t>No change (engine move rejected/held)</t>
        </is>
      </c>
      <c r="AI195" s="22" t="inlineStr">
        <is>
          <t>No change (reject engine child swap seq 1876; defer engine rename)</t>
        </is>
      </c>
      <c r="AJ195" s="22" t="inlineStr">
        <is>
          <t>Engine swap SATIN-4PC-FULL-BABY BLUE → SATIN-4PC-QUEEN-NAVY BLUE rejected: the pick comes from the broken size map, and SATIN-4PC-FULL-BABY BLUE is the size's best seller with cover (SB 30 Aug–29 Sep); the engine rename writes a wrong token and is deferred; no sales ACoS on 0 orders / 2 clicks (CC 31 Aug–29 Sep).</t>
        </is>
      </c>
      <c r="AK195" s="2" t="inlineStr">
        <is>
          <t>seq 1876 child: reject (keep baby blue; optionally SATIN-4PC-QUEEN-BABY BLUE…; seq 2149 retag LOAD; seq 3040 rename CHANGE</t>
        </is>
      </c>
      <c r="AL195" s="22" t="n"/>
    </row>
    <row r="196">
      <c r="A196" s="2" t="inlineStr">
        <is>
          <t>192099983632467</t>
        </is>
      </c>
      <c r="B196" s="2" t="inlineStr">
        <is>
          <t>D-S4-gold satin sheets - [Satin] - Phrase - Conv - DO - SATIN-STRIPE-TWIN-GOLD</t>
        </is>
      </c>
      <c r="C196" s="2" t="inlineStr">
        <is>
          <t>gold satin sheets [phrase]</t>
        </is>
      </c>
      <c r="D196" s="2" t="inlineStr">
        <is>
          <t>whole campaign</t>
        </is>
      </c>
      <c r="E196" s="2" t="inlineStr">
        <is>
          <t>ENABLED</t>
        </is>
      </c>
      <c r="F196" s="2" t="inlineStr">
        <is>
          <t>Conversions</t>
        </is>
      </c>
      <c r="G196" s="2" t="inlineStr">
        <is>
          <t>Discovery</t>
        </is>
      </c>
      <c r="H196" s="2" t="inlineStr">
        <is>
          <t>Satin</t>
        </is>
      </c>
      <c r="I196" s="2" t="inlineStr">
        <is>
          <t>Phrase</t>
        </is>
      </c>
      <c r="J196" s="2" t="inlineStr">
        <is>
          <t>SATIN-GOLD-QUEEN</t>
        </is>
      </c>
      <c r="K196" s="2" t="inlineStr">
        <is>
          <t>SATIN-GOLD-QUEEN</t>
        </is>
      </c>
      <c r="L196" s="2" t="inlineStr">
        <is>
          <t>n/a (no target bid in audit)</t>
        </is>
      </c>
      <c r="M196" s="2" t="inlineStr">
        <is>
          <t>n/a</t>
        </is>
      </c>
      <c r="N196" s="2" t="n">
        <v>0</v>
      </c>
      <c r="O196" s="2" t="n">
        <v>0</v>
      </c>
      <c r="P196" s="21" t="n"/>
      <c r="Q196" s="21" t="n"/>
      <c r="R196" s="2" t="n"/>
      <c r="S196" s="2" t="n"/>
      <c r="T196" s="2" t="n"/>
      <c r="U196" s="2" t="n"/>
      <c r="V196" s="21" t="n">
        <v>10</v>
      </c>
      <c r="W196" s="21" t="n">
        <v>10</v>
      </c>
      <c r="X196" s="2" t="inlineStr">
        <is>
          <t>ENABLED</t>
        </is>
      </c>
      <c r="Y196" s="2" t="inlineStr">
        <is>
          <t>none</t>
        </is>
      </c>
      <c r="Z196" s="2" t="inlineStr">
        <is>
          <t>defer — engine name wrong ((Discovery)); load a corrected name after 28 Oct</t>
        </is>
      </c>
      <c r="AA196" s="21" t="n">
        <v>3</v>
      </c>
      <c r="AB196" s="2" t="n">
        <v>5</v>
      </c>
      <c r="AC196" s="2" t="n">
        <v>1</v>
      </c>
      <c r="AD196" s="2" t="n">
        <v>9.4</v>
      </c>
      <c r="AE196" s="2" t="n">
        <v>20</v>
      </c>
      <c r="AF196" s="2" t="n">
        <v>40</v>
      </c>
      <c r="AG196" s="2" t="n">
        <v>1</v>
      </c>
      <c r="AH196" s="2" t="inlineStr">
        <is>
          <t>Retag only</t>
        </is>
      </c>
      <c r="AI196" s="22" t="inlineStr">
        <is>
          <t>retag → Discovery</t>
        </is>
      </c>
      <c r="AJ196" s="22" t="inlineStr">
        <is>
          <t>Objective Conversions → Discovery by the standard (phrase); 9.4% ACoS on 1 orders / 5 clicks (CC 31 Aug–29 Sep).</t>
        </is>
      </c>
      <c r="AK196" s="2" t="inlineStr">
        <is>
          <t>seq 3043 rename CHANGE; our addition: standard → Discovery (phrase)</t>
        </is>
      </c>
      <c r="AL196" s="22" t="n"/>
    </row>
    <row r="197">
      <c r="A197" s="2" t="inlineStr">
        <is>
          <t>272769458013940</t>
        </is>
      </c>
      <c r="B197" s="2" t="inlineStr">
        <is>
          <t>D-S4-king satin sheets - [Satin|King] - Broad - Disc - DO - SATIN-4PCS-KING-SEA-TEAL</t>
        </is>
      </c>
      <c r="C197" s="2" t="inlineStr">
        <is>
          <t>king satin sheets [broad]</t>
        </is>
      </c>
      <c r="D197" s="2" t="inlineStr">
        <is>
          <t>whole campaign</t>
        </is>
      </c>
      <c r="E197" s="2" t="inlineStr">
        <is>
          <t>ENABLED</t>
        </is>
      </c>
      <c r="F197" s="2" t="inlineStr">
        <is>
          <t>Discovery</t>
        </is>
      </c>
      <c r="G197" s="2" t="inlineStr">
        <is>
          <t>Discovery</t>
        </is>
      </c>
      <c r="H197" s="2" t="inlineStr">
        <is>
          <t>Satin|King</t>
        </is>
      </c>
      <c r="I197" s="2" t="inlineStr">
        <is>
          <t>Broad</t>
        </is>
      </c>
      <c r="J197" s="2" t="inlineStr">
        <is>
          <t>SATIN-4PC-KING-GREY</t>
        </is>
      </c>
      <c r="K197" s="2" t="inlineStr">
        <is>
          <t>SATIN-4PC-KING-GREY</t>
        </is>
      </c>
      <c r="L197" s="2" t="inlineStr">
        <is>
          <t>n/a (no target bid in audit)</t>
        </is>
      </c>
      <c r="M197" s="2" t="inlineStr">
        <is>
          <t>n/a</t>
        </is>
      </c>
      <c r="N197" s="2" t="n">
        <v>0</v>
      </c>
      <c r="O197" s="2" t="n">
        <v>0</v>
      </c>
      <c r="P197" s="21" t="n"/>
      <c r="Q197" s="21" t="n"/>
      <c r="R197" s="2" t="n"/>
      <c r="S197" s="2" t="n"/>
      <c r="T197" s="2" t="n"/>
      <c r="U197" s="2" t="n"/>
      <c r="V197" s="21" t="n">
        <v>10</v>
      </c>
      <c r="W197" s="21" t="n">
        <v>10</v>
      </c>
      <c r="X197" s="2" t="inlineStr">
        <is>
          <t>ENABLED</t>
        </is>
      </c>
      <c r="Y197" s="2" t="inlineStr">
        <is>
          <t>add 1 negatives (seq 2270) · add negative exact: satin sheets; queen silk sheets set</t>
        </is>
      </c>
      <c r="Z197" s="2" t="inlineStr">
        <is>
          <t>load (clean): DSS4-SP-King Satin Sheets-[Satin|King]-(LSV)-Broad-(Discovery)-DO-SATIN-4PC-KING-GREY</t>
        </is>
      </c>
      <c r="AA197" s="21" t="n">
        <v>3</v>
      </c>
      <c r="AB197" s="2" t="n">
        <v>5</v>
      </c>
      <c r="AC197" s="2" t="n">
        <v>1</v>
      </c>
      <c r="AD197" s="2" t="n">
        <v>8.800000000000001</v>
      </c>
      <c r="AE197" s="2" t="n">
        <v>0</v>
      </c>
      <c r="AF197" s="2" t="n">
        <v>60</v>
      </c>
      <c r="AG197" s="2" t="n">
        <v>4</v>
      </c>
      <c r="AH197" s="2" t="inlineStr">
        <is>
          <t>Negatives only</t>
        </is>
      </c>
      <c r="AI197" s="22" t="inlineStr">
        <is>
          <t>Add negatives</t>
        </is>
      </c>
      <c r="AJ197" s="22" t="inlineStr">
        <is>
          <t>Negative rows agreed with review 40 (add 1 negatives (seq 2270)); 8.8% ACoS on 1 orders / 5 clicks (CC 31 Aug–29 Sep).</t>
        </is>
      </c>
      <c r="AK197" s="2" t="inlineStr">
        <is>
          <t>seq 2270 negatives: agree with review 40; seq 3042 rename LOAD</t>
        </is>
      </c>
      <c r="AL197" s="22" t="n"/>
    </row>
    <row r="198">
      <c r="A198" s="2" t="inlineStr">
        <is>
          <t>539022438345916</t>
        </is>
      </c>
      <c r="B198" s="2" t="inlineStr">
        <is>
          <t>D-S4-SP-pink silk sheets-(Silk)-HSV-Exact-Rank-DO-SATIN-QUEEN-PINK</t>
        </is>
      </c>
      <c r="C198" s="2" t="inlineStr">
        <is>
          <t>pink silk sheets [exact, $0.50, 5 clicks]</t>
        </is>
      </c>
      <c r="D198" s="2" t="inlineStr">
        <is>
          <t>pink silk sheets</t>
        </is>
      </c>
      <c r="E198" s="2" t="inlineStr">
        <is>
          <t>ENABLED</t>
        </is>
      </c>
      <c r="F198" s="2" t="inlineStr">
        <is>
          <t>Ranking</t>
        </is>
      </c>
      <c r="G198" s="2" t="inlineStr">
        <is>
          <t>Conversions</t>
        </is>
      </c>
      <c r="H198" s="2" t="inlineStr">
        <is>
          <t>OUT</t>
        </is>
      </c>
      <c r="I198" s="2" t="inlineStr">
        <is>
          <t>Exact</t>
        </is>
      </c>
      <c r="J198" s="2" t="inlineStr">
        <is>
          <t>SATIN-QUEEN-PINK</t>
        </is>
      </c>
      <c r="K198" s="2" t="inlineStr">
        <is>
          <t>SATIN-QUEEN-PINK</t>
        </is>
      </c>
      <c r="L198" s="2" t="inlineStr">
        <is>
          <t>$0.50</t>
        </is>
      </c>
      <c r="M198" s="2" t="inlineStr">
        <is>
          <t>$0.50</t>
        </is>
      </c>
      <c r="N198" s="2" t="n">
        <v>0</v>
      </c>
      <c r="O198" s="2" t="n">
        <v>0</v>
      </c>
      <c r="P198" s="21" t="n">
        <v>0.5</v>
      </c>
      <c r="Q198" s="21" t="n">
        <v>0.5</v>
      </c>
      <c r="R198" s="2" t="n">
        <v>0</v>
      </c>
      <c r="S198" s="2" t="n">
        <v>0</v>
      </c>
      <c r="T198" s="2" t="n">
        <v>0</v>
      </c>
      <c r="U198" s="2" t="n">
        <v>0</v>
      </c>
      <c r="V198" s="21" t="n">
        <v>5</v>
      </c>
      <c r="W198" s="21" t="n">
        <v>5</v>
      </c>
      <c r="X198" s="2" t="inlineStr">
        <is>
          <t>ENABLED</t>
        </is>
      </c>
      <c r="Y198" s="2" t="inlineStr">
        <is>
          <t>none</t>
        </is>
      </c>
      <c r="Z198" s="2" t="inlineStr">
        <is>
          <t>defer — engine name wrong ((Conversion)); load a corrected name after 28 Oct</t>
        </is>
      </c>
      <c r="AA198" s="21" t="n">
        <v>2.48</v>
      </c>
      <c r="AB198" s="2" t="n">
        <v>5</v>
      </c>
      <c r="AC198" s="2" t="n">
        <v>0</v>
      </c>
      <c r="AD198" s="2" t="n"/>
      <c r="AE198" s="2" t="n">
        <v>0</v>
      </c>
      <c r="AF198" s="2" t="n">
        <v>100</v>
      </c>
      <c r="AG198" s="2" t="n">
        <v>33</v>
      </c>
      <c r="AH198" s="2" t="inlineStr">
        <is>
          <t>Hold (price)</t>
        </is>
      </c>
      <c r="AI198" s="22" t="inlineStr">
        <is>
          <t>Hold price (seq 430); retag → Conversions</t>
        </is>
      </c>
      <c r="AJ198" s="22" t="inlineStr">
        <is>
          <t>no sales ACoS on 0 orders / 5 clicks (CC 31 Aug–29 Sep). Considered row #426 flags this campaign CASE 1 BUDGET EXHAUSTED (122% utilisation), and its rule says the price holds. #430 cuts the price 30% anyway. Note: bid pink silk sheets held (seq 430).</t>
        </is>
      </c>
      <c r="AK198" s="2" t="inlineStr">
        <is>
          <t>seq 430 bid: hold; seq 3055 rename CHANGE; our addition: standard → Conversions (colour term "pink silk sheets")</t>
        </is>
      </c>
      <c r="AL198" s="22" t="n"/>
    </row>
    <row r="199">
      <c r="A199" s="2" t="inlineStr">
        <is>
          <t>89494222275072</t>
        </is>
      </c>
      <c r="B199" s="2" t="inlineStr">
        <is>
          <t>D-S4-blue silk sheets - [Silk] - Phrase - Conv - DO - SATIN-STRIPE-TWIN-BLUE</t>
        </is>
      </c>
      <c r="C199" s="2" t="inlineStr">
        <is>
          <t>blue silk sheets [phrase]</t>
        </is>
      </c>
      <c r="D199" s="2" t="inlineStr">
        <is>
          <t>whole campaign</t>
        </is>
      </c>
      <c r="E199" s="2" t="inlineStr">
        <is>
          <t>ENABLED</t>
        </is>
      </c>
      <c r="F199" s="2" t="inlineStr">
        <is>
          <t>Conversions</t>
        </is>
      </c>
      <c r="G199" s="2" t="inlineStr">
        <is>
          <t>Discovery</t>
        </is>
      </c>
      <c r="H199" s="2" t="inlineStr">
        <is>
          <t>Silk</t>
        </is>
      </c>
      <c r="I199" s="2" t="inlineStr">
        <is>
          <t>Phrase</t>
        </is>
      </c>
      <c r="J199" s="2" t="inlineStr">
        <is>
          <t>SATIN-TWIN-BLUE</t>
        </is>
      </c>
      <c r="K199" s="2" t="inlineStr">
        <is>
          <t>SATIN-TWIN-BLUE</t>
        </is>
      </c>
      <c r="L199" s="2" t="inlineStr">
        <is>
          <t>n/a (no target bid in audit)</t>
        </is>
      </c>
      <c r="M199" s="2" t="inlineStr">
        <is>
          <t>n/a</t>
        </is>
      </c>
      <c r="N199" s="2" t="n">
        <v>0</v>
      </c>
      <c r="O199" s="2" t="n">
        <v>0</v>
      </c>
      <c r="P199" s="21" t="n"/>
      <c r="Q199" s="21" t="n"/>
      <c r="R199" s="2" t="n"/>
      <c r="S199" s="2" t="n"/>
      <c r="T199" s="2" t="n"/>
      <c r="U199" s="2" t="n"/>
      <c r="V199" s="21" t="n">
        <v>10</v>
      </c>
      <c r="W199" s="21" t="n">
        <v>10</v>
      </c>
      <c r="X199" s="2" t="inlineStr">
        <is>
          <t>PAUSED</t>
        </is>
      </c>
      <c r="Y199" s="2" t="inlineStr">
        <is>
          <t>none</t>
        </is>
      </c>
      <c r="Z199" s="2" t="inlineStr">
        <is>
          <t>none</t>
        </is>
      </c>
      <c r="AA199" s="21" t="n">
        <v>2.4</v>
      </c>
      <c r="AB199" s="2" t="n">
        <v>4</v>
      </c>
      <c r="AC199" s="2" t="n">
        <v>0</v>
      </c>
      <c r="AD199" s="2" t="n"/>
      <c r="AE199" s="2" t="n">
        <v>0</v>
      </c>
      <c r="AF199" s="2" t="n">
        <v>0</v>
      </c>
      <c r="AG199" s="2" t="n">
        <v>0</v>
      </c>
      <c r="AH199" s="2" t="inlineStr">
        <is>
          <t>Pause</t>
        </is>
      </c>
      <c r="AI199" s="22" t="inlineStr">
        <is>
          <t>Pause (seq 3340); retag → Discovery</t>
        </is>
      </c>
      <c r="AJ199" s="22" t="inlineStr">
        <is>
          <t>no sales ACoS on 0 orders / 4 clicks (CC 31 Aug–29 Sep). Duplicate discovery campaign with under 15 clicks and no order in 90 days (audit read to 29 Sep).</t>
        </is>
      </c>
      <c r="AK199" s="2" t="inlineStr">
        <is>
          <t>seq 3340 structure 3340: agree with review 40; our addition: standard → Discovery (phrase)</t>
        </is>
      </c>
      <c r="AL199" s="22" t="n"/>
    </row>
    <row r="200">
      <c r="A200" s="2" t="inlineStr">
        <is>
          <t>204101017113437</t>
        </is>
      </c>
      <c r="B200" s="2" t="inlineStr">
        <is>
          <t>D-S4-purple silk sheets - [Silk] - Phrase - Conv - DO - SATIN-STRIPE-FULL-PURPLE</t>
        </is>
      </c>
      <c r="C200" s="2" t="inlineStr">
        <is>
          <t>purple silk sheets [phrase, $0.60]; purple silk sheets [phrase, $0.60]</t>
        </is>
      </c>
      <c r="D200" s="2" t="inlineStr">
        <is>
          <t>purple silk sheets</t>
        </is>
      </c>
      <c r="E200" s="2" t="inlineStr">
        <is>
          <t>ENABLED</t>
        </is>
      </c>
      <c r="F200" s="2" t="inlineStr">
        <is>
          <t>Conversions</t>
        </is>
      </c>
      <c r="G200" s="2" t="inlineStr">
        <is>
          <t>Discovery</t>
        </is>
      </c>
      <c r="H200" s="2" t="inlineStr">
        <is>
          <t>Silk</t>
        </is>
      </c>
      <c r="I200" s="2" t="inlineStr">
        <is>
          <t>Phrase</t>
        </is>
      </c>
      <c r="J200" s="2" t="inlineStr">
        <is>
          <t>SATIN-QUEEN-PURPLE</t>
        </is>
      </c>
      <c r="K200" s="2" t="inlineStr">
        <is>
          <t>SATIN-QUEEN-PURPLE</t>
        </is>
      </c>
      <c r="L200" s="2" t="inlineStr">
        <is>
          <t>$0.60</t>
        </is>
      </c>
      <c r="M200" s="2" t="inlineStr">
        <is>
          <t>$0.30</t>
        </is>
      </c>
      <c r="N200" s="2" t="n">
        <v>0</v>
      </c>
      <c r="O200" s="2" t="n">
        <v>0</v>
      </c>
      <c r="P200" s="21" t="n">
        <v>0.6</v>
      </c>
      <c r="Q200" s="21" t="n">
        <v>0.3</v>
      </c>
      <c r="R200" s="2" t="n"/>
      <c r="S200" s="2" t="n"/>
      <c r="T200" s="2" t="n"/>
      <c r="U200" s="2" t="n"/>
      <c r="V200" s="21" t="n">
        <v>10</v>
      </c>
      <c r="W200" s="21" t="n">
        <v>10</v>
      </c>
      <c r="X200" s="2" t="inlineStr">
        <is>
          <t>ENABLED</t>
        </is>
      </c>
      <c r="Y200" s="2" t="inlineStr">
        <is>
          <t>none</t>
        </is>
      </c>
      <c r="Z200" s="2" t="inlineStr">
        <is>
          <t>defer — engine name wrong ((Discovery)); load a corrected name after 28 Oct</t>
        </is>
      </c>
      <c r="AA200" s="21" t="n">
        <v>2.4</v>
      </c>
      <c r="AB200" s="2" t="n">
        <v>4</v>
      </c>
      <c r="AC200" s="2" t="n">
        <v>0</v>
      </c>
      <c r="AD200" s="2" t="n"/>
      <c r="AE200" s="2" t="n">
        <v>0</v>
      </c>
      <c r="AF200" s="2" t="n">
        <v>75</v>
      </c>
      <c r="AG200" s="2" t="n">
        <v>1</v>
      </c>
      <c r="AH200" s="2" t="inlineStr">
        <is>
          <t>Release hold + price to break-even</t>
        </is>
      </c>
      <c r="AI200" s="22" t="inlineStr">
        <is>
          <t>Release hold; cut base $0.60 → $0.30; retag → Discovery</t>
        </is>
      </c>
      <c r="AJ200" s="22" t="inlineStr">
        <is>
          <t>no-sale ACoS, 0 orders on 4 clicks (CC 31 Aug–29 Sep) vs blended (other colour) break-even 23.3%; BE base = $7.02 contribution (blended (other colour)) × 0.0% CVR = $0.00; cap 50% cut.</t>
        </is>
      </c>
      <c r="AK200" s="2" t="inlineStr">
        <is>
          <t>seq 3050 rename CHANGE; seq 1765 NOT SERVING hold(s) → release; price to break-even (our addition, reviewer D); our addition: standard → Discovery (phrase)</t>
        </is>
      </c>
      <c r="AL200" s="22" t="n"/>
    </row>
    <row r="201">
      <c r="A201" s="2" t="inlineStr">
        <is>
          <t>75184612460893</t>
        </is>
      </c>
      <c r="B201" s="2" t="inlineStr">
        <is>
          <t>D-S4-satin sheets king - [Satin|King] - Broad - Disc - DO - SATIN-4PCS-KING-SEA-TEAL</t>
        </is>
      </c>
      <c r="C201" s="2" t="inlineStr">
        <is>
          <t>satin sheets king [broad, $0.60]; satin sheets king [broad, $0.60]</t>
        </is>
      </c>
      <c r="D201" s="2" t="inlineStr">
        <is>
          <t>whole campaign</t>
        </is>
      </c>
      <c r="E201" s="2" t="inlineStr">
        <is>
          <t>ENABLED</t>
        </is>
      </c>
      <c r="F201" s="2" t="inlineStr">
        <is>
          <t>Discovery</t>
        </is>
      </c>
      <c r="G201" s="2" t="inlineStr">
        <is>
          <t>Discovery</t>
        </is>
      </c>
      <c r="H201" s="2" t="inlineStr">
        <is>
          <t>Satin|King</t>
        </is>
      </c>
      <c r="I201" s="2" t="inlineStr">
        <is>
          <t>Broad</t>
        </is>
      </c>
      <c r="J201" s="2" t="inlineStr">
        <is>
          <t>SATIN-4PC-KING-GREY</t>
        </is>
      </c>
      <c r="K201" s="2" t="inlineStr">
        <is>
          <t>SATIN-4PC-KING-GREY</t>
        </is>
      </c>
      <c r="L201" s="2" t="inlineStr">
        <is>
          <t>$0.60</t>
        </is>
      </c>
      <c r="M201" s="2" t="inlineStr">
        <is>
          <t>$0.60</t>
        </is>
      </c>
      <c r="N201" s="2" t="n">
        <v>0</v>
      </c>
      <c r="O201" s="2" t="n">
        <v>0</v>
      </c>
      <c r="P201" s="21" t="n">
        <v>0.6</v>
      </c>
      <c r="Q201" s="21" t="n">
        <v>0.6</v>
      </c>
      <c r="R201" s="2" t="n"/>
      <c r="S201" s="2" t="n"/>
      <c r="T201" s="2" t="n"/>
      <c r="U201" s="2" t="n"/>
      <c r="V201" s="21" t="n">
        <v>10</v>
      </c>
      <c r="W201" s="21" t="n">
        <v>10</v>
      </c>
      <c r="X201" s="2" t="inlineStr">
        <is>
          <t>PAUSED</t>
        </is>
      </c>
      <c r="Y201" s="2" t="inlineStr">
        <is>
          <t>none</t>
        </is>
      </c>
      <c r="Z201" s="2" t="inlineStr">
        <is>
          <t>none</t>
        </is>
      </c>
      <c r="AA201" s="21" t="n">
        <v>2.4</v>
      </c>
      <c r="AB201" s="2" t="n">
        <v>4</v>
      </c>
      <c r="AC201" s="2" t="n">
        <v>0</v>
      </c>
      <c r="AD201" s="2" t="n"/>
      <c r="AE201" s="2" t="n">
        <v>0</v>
      </c>
      <c r="AF201" s="2" t="n">
        <v>25</v>
      </c>
      <c r="AG201" s="2" t="n">
        <v>2</v>
      </c>
      <c r="AH201" s="2" t="inlineStr">
        <is>
          <t>Pause</t>
        </is>
      </c>
      <c r="AI201" s="22" t="inlineStr">
        <is>
          <t>Pause (seq 2863)</t>
        </is>
      </c>
      <c r="AJ201" s="22" t="inlineStr">
        <is>
          <t>no sales ACoS on 0 orders / 4 clicks (CC 31 Aug–29 Sep). Second discovery campaign in its family (fold = pause; only negatives move).</t>
        </is>
      </c>
      <c r="AK201" s="2" t="inlineStr">
        <is>
          <t>seq 2863 structure: agree with review 40; seq 1783 NOT SERVING hold(s) moot — campaign paused</t>
        </is>
      </c>
      <c r="AL201" s="22" t="n"/>
    </row>
    <row r="202">
      <c r="A202" s="2" t="inlineStr">
        <is>
          <t>241834541383889</t>
        </is>
      </c>
      <c r="B202" s="2" t="inlineStr">
        <is>
          <t>D-S4-SP-BROAD-silk bed sheets-Silk-SATIN-QUEEN-GREY</t>
        </is>
      </c>
      <c r="C202" s="2" t="inlineStr">
        <is>
          <t>silk bed sheets [broad]</t>
        </is>
      </c>
      <c r="D202" s="2" t="inlineStr">
        <is>
          <t>whole campaign</t>
        </is>
      </c>
      <c r="E202" s="2" t="inlineStr">
        <is>
          <t>ENABLED</t>
        </is>
      </c>
      <c r="F202" s="2" t="inlineStr">
        <is>
          <t>Discovery</t>
        </is>
      </c>
      <c r="G202" s="2" t="inlineStr">
        <is>
          <t>Discovery</t>
        </is>
      </c>
      <c r="H202" s="2" t="n"/>
      <c r="I202" s="2" t="inlineStr">
        <is>
          <t>Broad</t>
        </is>
      </c>
      <c r="J202" s="2" t="inlineStr">
        <is>
          <t>SATIN-QUEEN-GREY</t>
        </is>
      </c>
      <c r="K202" s="2" t="inlineStr">
        <is>
          <t>SATIN-QUEEN-GREY</t>
        </is>
      </c>
      <c r="L202" s="2" t="inlineStr">
        <is>
          <t>n/a (no target bid in audit)</t>
        </is>
      </c>
      <c r="M202" s="2" t="inlineStr">
        <is>
          <t>n/a</t>
        </is>
      </c>
      <c r="N202" s="2" t="n">
        <v>0</v>
      </c>
      <c r="O202" s="2" t="n">
        <v>0</v>
      </c>
      <c r="P202" s="21" t="n"/>
      <c r="Q202" s="21" t="n"/>
      <c r="R202" s="2" t="n"/>
      <c r="S202" s="2" t="n"/>
      <c r="T202" s="2" t="n"/>
      <c r="U202" s="2" t="n"/>
      <c r="V202" s="21" t="n">
        <v>5</v>
      </c>
      <c r="W202" s="21" t="n">
        <v>5</v>
      </c>
      <c r="X202" s="2" t="inlineStr">
        <is>
          <t>PAUSED</t>
        </is>
      </c>
      <c r="Y202" s="2" t="inlineStr">
        <is>
          <t>none</t>
        </is>
      </c>
      <c r="Z202" s="2" t="inlineStr">
        <is>
          <t>none</t>
        </is>
      </c>
      <c r="AA202" s="21" t="n">
        <v>2.3</v>
      </c>
      <c r="AB202" s="2" t="n">
        <v>4</v>
      </c>
      <c r="AC202" s="2" t="n">
        <v>0</v>
      </c>
      <c r="AD202" s="2" t="n"/>
      <c r="AE202" s="2" t="n">
        <v>0</v>
      </c>
      <c r="AF202" s="2" t="n">
        <v>25</v>
      </c>
      <c r="AG202" s="2" t="n">
        <v>0</v>
      </c>
      <c r="AH202" s="2" t="inlineStr">
        <is>
          <t>Pause</t>
        </is>
      </c>
      <c r="AI202" s="22" t="inlineStr">
        <is>
          <t>Pause (seq 3340)</t>
        </is>
      </c>
      <c r="AJ202" s="22" t="inlineStr">
        <is>
          <t>no sales ACoS on 0 orders / 4 clicks (CC 31 Aug–29 Sep). Duplicate discovery campaign with under 15 clicks and no order in 90 days (audit read to 29 Sep).</t>
        </is>
      </c>
      <c r="AK202" s="2" t="inlineStr">
        <is>
          <t>seq 3340 structure 3340: agree with review 40</t>
        </is>
      </c>
      <c r="AL202" s="22" t="n"/>
    </row>
    <row r="203">
      <c r="A203" s="2" t="inlineStr">
        <is>
          <t>53401686626359</t>
        </is>
      </c>
      <c r="B203" s="2" t="inlineStr">
        <is>
          <t>D-S4-silk sheets full - [Silk|Full] - Exact - Ran - DO - SATIN-FULL-BLACK</t>
        </is>
      </c>
      <c r="C203" s="2" t="inlineStr">
        <is>
          <t>silk sheets full [exact]</t>
        </is>
      </c>
      <c r="D203" s="2" t="inlineStr">
        <is>
          <t>silk sheets full</t>
        </is>
      </c>
      <c r="E203" s="2" t="inlineStr">
        <is>
          <t>ENABLED</t>
        </is>
      </c>
      <c r="F203" s="2" t="inlineStr">
        <is>
          <t>Ranking</t>
        </is>
      </c>
      <c r="G203" s="2" t="inlineStr">
        <is>
          <t>Ranking</t>
        </is>
      </c>
      <c r="H203" s="2" t="inlineStr">
        <is>
          <t>Silk|Full</t>
        </is>
      </c>
      <c r="I203" s="2" t="inlineStr">
        <is>
          <t>Exact</t>
        </is>
      </c>
      <c r="J203" s="2" t="inlineStr">
        <is>
          <t>SATIN-FULL-BLACK</t>
        </is>
      </c>
      <c r="K203" s="2" t="inlineStr">
        <is>
          <t>SATIN-FULL-BLACK</t>
        </is>
      </c>
      <c r="L203" s="2" t="inlineStr">
        <is>
          <t>$0.75</t>
        </is>
      </c>
      <c r="M203" s="2" t="inlineStr">
        <is>
          <t>$0.38</t>
        </is>
      </c>
      <c r="N203" s="2" t="n">
        <v>45</v>
      </c>
      <c r="O203" s="2" t="n">
        <v>45</v>
      </c>
      <c r="P203" s="21" t="n">
        <v>1.09</v>
      </c>
      <c r="Q203" s="21" t="n">
        <v>0.55</v>
      </c>
      <c r="R203" s="2" t="n"/>
      <c r="S203" s="2" t="n"/>
      <c r="T203" s="2" t="n"/>
      <c r="U203" s="2" t="n"/>
      <c r="V203" s="21" t="n">
        <v>16.23</v>
      </c>
      <c r="W203" s="21" t="n">
        <v>16.23</v>
      </c>
      <c r="X203" s="2" t="inlineStr">
        <is>
          <t>ENABLED</t>
        </is>
      </c>
      <c r="Y203" s="2" t="inlineStr">
        <is>
          <t>none</t>
        </is>
      </c>
      <c r="Z203" s="2" t="inlineStr">
        <is>
          <t>defer — engine name wrong (SKU token SATIN-FULL-BLACK); load a corrected name after 28 Oct</t>
        </is>
      </c>
      <c r="AA203" s="21" t="n">
        <v>2.25</v>
      </c>
      <c r="AB203" s="2" t="n">
        <v>3</v>
      </c>
      <c r="AC203" s="2" t="n">
        <v>0</v>
      </c>
      <c r="AD203" s="2" t="n"/>
      <c r="AE203" s="2" t="n">
        <v>0</v>
      </c>
      <c r="AF203" s="2" t="n">
        <v>66.67</v>
      </c>
      <c r="AG203" s="2" t="n">
        <v>13</v>
      </c>
      <c r="AH203" s="2" t="inlineStr">
        <is>
          <t>Release hold + price to break-even</t>
        </is>
      </c>
      <c r="AI203" s="22" t="inlineStr">
        <is>
          <t>Release hold; cut base $0.75 → $0.38</t>
        </is>
      </c>
      <c r="AJ203" s="22" t="inlineStr">
        <is>
          <t>no-sale ACoS, 0 orders on 3 clicks (CC 31 Aug–29 Sep) vs Full Black break-even 27.5%; BE base = $8.04 contribution (Full Black) × 0.0% CVR = $0.00; cap 50% cut.</t>
        </is>
      </c>
      <c r="AK203" s="2" t="inlineStr">
        <is>
          <t>seq 1953 child: reject — keep SATIN-FULL-BLACK; seq 2218 retag LOAD; seq 3272 rename CHANGE; seq 2038 NOT SERVING hold(s) → release; price to break-even (our addition, reviewer D)</t>
        </is>
      </c>
      <c r="AL203" s="22" t="n"/>
    </row>
    <row r="204">
      <c r="A204" s="2" t="inlineStr">
        <is>
          <t>196713339418766</t>
        </is>
      </c>
      <c r="B204" s="2" t="inlineStr">
        <is>
          <t>D-S4-SP-EXACT-queen sheets satin silk-Silk|Queen-SATIN-QUEEN-BLACK</t>
        </is>
      </c>
      <c r="C204" s="2" t="inlineStr">
        <is>
          <t>queen sheets satin silk [exact]</t>
        </is>
      </c>
      <c r="D204" s="2" t="inlineStr">
        <is>
          <t>whole campaign</t>
        </is>
      </c>
      <c r="E204" s="2" t="inlineStr">
        <is>
          <t>ENABLED</t>
        </is>
      </c>
      <c r="F204" s="2" t="inlineStr">
        <is>
          <t>Conversions</t>
        </is>
      </c>
      <c r="G204" s="2" t="inlineStr">
        <is>
          <t>Ranking</t>
        </is>
      </c>
      <c r="H204" s="2" t="n"/>
      <c r="I204" s="2" t="inlineStr">
        <is>
          <t>Exact</t>
        </is>
      </c>
      <c r="J204" s="2" t="inlineStr">
        <is>
          <t>SATIN-QUEEN-BLACK</t>
        </is>
      </c>
      <c r="K204" s="2" t="inlineStr">
        <is>
          <t>SATIN-QUEEN-BLACK</t>
        </is>
      </c>
      <c r="L204" s="2" t="inlineStr">
        <is>
          <t>n/a (no target bid in audit)</t>
        </is>
      </c>
      <c r="M204" s="2" t="inlineStr">
        <is>
          <t>n/a</t>
        </is>
      </c>
      <c r="N204" s="2" t="n">
        <v>0</v>
      </c>
      <c r="O204" s="2" t="n">
        <v>0</v>
      </c>
      <c r="P204" s="21" t="n"/>
      <c r="Q204" s="21" t="n"/>
      <c r="R204" s="2" t="n"/>
      <c r="S204" s="2" t="n"/>
      <c r="T204" s="2" t="n"/>
      <c r="U204" s="2" t="n"/>
      <c r="V204" s="21" t="n">
        <v>8.06</v>
      </c>
      <c r="W204" s="21" t="n">
        <v>8.06</v>
      </c>
      <c r="X204" s="2" t="inlineStr">
        <is>
          <t>ENABLED</t>
        </is>
      </c>
      <c r="Y204" s="2" t="inlineStr">
        <is>
          <t>none</t>
        </is>
      </c>
      <c r="Z204" s="2" t="inlineStr">
        <is>
          <t>defer — engine name wrong (SKU token SATIN-QUEEN-BLACK; (Ranking)); load a corrected name after 28 Oct</t>
        </is>
      </c>
      <c r="AA204" s="21" t="n">
        <v>2.23</v>
      </c>
      <c r="AB204" s="2" t="n">
        <v>1</v>
      </c>
      <c r="AC204" s="2" t="n">
        <v>0</v>
      </c>
      <c r="AD204" s="2" t="n"/>
      <c r="AE204" s="2" t="n">
        <v>0</v>
      </c>
      <c r="AF204" s="2" t="n">
        <v>0</v>
      </c>
      <c r="AG204" s="2" t="n">
        <v>0</v>
      </c>
      <c r="AH204" s="2" t="inlineStr">
        <is>
          <t>Retag only</t>
        </is>
      </c>
      <c r="AI204" s="22" t="inlineStr">
        <is>
          <t>retag → Ranking</t>
        </is>
      </c>
      <c r="AJ204" s="22" t="inlineStr">
        <is>
          <t>Objective Conversions → Ranking by the standard (our retag verdict); no sales ACoS on 0 orders / 1 clicks (CC 31 Aug–29 Sep).</t>
        </is>
      </c>
      <c r="AK204" s="2" t="inlineStr">
        <is>
          <t>seq 1866 child: reject — keep SATIN-QUEEN-BLACK; seq 2137 retag correct to Ranking; seq 3016 rename CHANGE</t>
        </is>
      </c>
      <c r="AL204" s="22" t="n"/>
    </row>
    <row r="205">
      <c r="A205" s="2" t="inlineStr">
        <is>
          <t>56638932944526</t>
        </is>
      </c>
      <c r="B205" s="2" t="inlineStr">
        <is>
          <t>D-S4-SP-queen satin flat sheet-(Satin)-VLSV-Exact-Rank-DO-SATIN-QUEEN-GREY</t>
        </is>
      </c>
      <c r="C205" s="2" t="inlineStr">
        <is>
          <t>queen satin set [exact, $1.90, 1 clicks]; queen satin flat sheet [exact, $1.90]; queen satin sheet 14 inches [exact, $1.90]</t>
        </is>
      </c>
      <c r="D205" s="2" t="inlineStr">
        <is>
          <t>whole campaign</t>
        </is>
      </c>
      <c r="E205" s="2" t="inlineStr">
        <is>
          <t>PAUSED</t>
        </is>
      </c>
      <c r="F205" s="2" t="inlineStr">
        <is>
          <t>Ranking</t>
        </is>
      </c>
      <c r="G205" s="2" t="inlineStr">
        <is>
          <t>Conversions</t>
        </is>
      </c>
      <c r="H205" s="2" t="inlineStr">
        <is>
          <t>OUT</t>
        </is>
      </c>
      <c r="I205" s="2" t="inlineStr">
        <is>
          <t>Exact</t>
        </is>
      </c>
      <c r="J205" s="2" t="inlineStr">
        <is>
          <t>SATIN-QUEEN-BLACK</t>
        </is>
      </c>
      <c r="K205" s="2" t="inlineStr">
        <is>
          <t>SATIN-QUEEN-BLACK</t>
        </is>
      </c>
      <c r="L205" s="2" t="inlineStr">
        <is>
          <t>$1.90 / $1.90 / $1.90</t>
        </is>
      </c>
      <c r="M205" s="2" t="inlineStr">
        <is>
          <t>$1.90 / $1.90 / $1.90</t>
        </is>
      </c>
      <c r="N205" s="2" t="n">
        <v>50</v>
      </c>
      <c r="O205" s="2" t="n">
        <v>50</v>
      </c>
      <c r="P205" s="21" t="n">
        <v>2.85</v>
      </c>
      <c r="Q205" s="21" t="n">
        <v>2.85</v>
      </c>
      <c r="R205" s="2" t="n">
        <v>0</v>
      </c>
      <c r="S205" s="2" t="n">
        <v>0</v>
      </c>
      <c r="T205" s="2" t="n">
        <v>0</v>
      </c>
      <c r="U205" s="2" t="n">
        <v>0</v>
      </c>
      <c r="V205" s="21" t="n">
        <v>1</v>
      </c>
      <c r="W205" s="21" t="n">
        <v>1</v>
      </c>
      <c r="X205" s="2" t="inlineStr">
        <is>
          <t>PAUSED</t>
        </is>
      </c>
      <c r="Y205" s="2" t="inlineStr">
        <is>
          <t>none</t>
        </is>
      </c>
      <c r="Z205" s="2" t="inlineStr">
        <is>
          <t>load (clean): DSS4-SP-Queen Satin Set-(VLSV)-Exact-(Ranking)-DO-SATIN-QUEEN-BLACK</t>
        </is>
      </c>
      <c r="AA205" s="21" t="n">
        <v>2.22</v>
      </c>
      <c r="AB205" s="2" t="n">
        <v>1</v>
      </c>
      <c r="AC205" s="2" t="n">
        <v>0</v>
      </c>
      <c r="AD205" s="2" t="n"/>
      <c r="AE205" s="2" t="n">
        <v>100</v>
      </c>
      <c r="AF205" s="2" t="n">
        <v>0</v>
      </c>
      <c r="AG205" s="2" t="n">
        <v>1</v>
      </c>
      <c r="AH205" s="2" t="inlineStr">
        <is>
          <t>Retag only</t>
        </is>
      </c>
      <c r="AI205" s="22" t="inlineStr">
        <is>
          <t>retag → Conversions</t>
        </is>
      </c>
      <c r="AJ205" s="22" t="inlineStr">
        <is>
          <t>Objective Ranking → Conversions by the standard (misspelled/irrelevant term "queen satin flat sheet"); no sales ACoS on 0 orders / 1 clicks (CC 31 Aug–29 Sep).</t>
        </is>
      </c>
      <c r="AK205" s="2" t="inlineStr">
        <is>
          <t>seq 3339 rename LOAD; our addition: standard → Conversions (misspelled/irrelevant term "queen satin flat sheet")</t>
        </is>
      </c>
      <c r="AL205" s="22" t="n"/>
    </row>
    <row r="206">
      <c r="A206" s="2" t="inlineStr">
        <is>
          <t>274956919141434</t>
        </is>
      </c>
      <c r="B206" s="2" t="inlineStr">
        <is>
          <t>D-S4-blue satin sheets - [Satin] - Phrase - Conv - DO - SATIN-STRIPE-TWIN-BLUE</t>
        </is>
      </c>
      <c r="C206" s="2" t="inlineStr">
        <is>
          <t>blue satin sheets [phrase]</t>
        </is>
      </c>
      <c r="D206" s="2" t="inlineStr">
        <is>
          <t>whole campaign</t>
        </is>
      </c>
      <c r="E206" s="2" t="inlineStr">
        <is>
          <t>ENABLED</t>
        </is>
      </c>
      <c r="F206" s="2" t="inlineStr">
        <is>
          <t>Conversions</t>
        </is>
      </c>
      <c r="G206" s="2" t="inlineStr">
        <is>
          <t>Discovery</t>
        </is>
      </c>
      <c r="H206" s="2" t="inlineStr">
        <is>
          <t>Satin</t>
        </is>
      </c>
      <c r="I206" s="2" t="inlineStr">
        <is>
          <t>Phrase</t>
        </is>
      </c>
      <c r="J206" s="2" t="inlineStr">
        <is>
          <t>SATIN-TWIN-BLUE</t>
        </is>
      </c>
      <c r="K206" s="2" t="inlineStr">
        <is>
          <t>SATIN-QUEEN-BLUE</t>
        </is>
      </c>
      <c r="L206" s="2" t="inlineStr">
        <is>
          <t>n/a (no target bid in audit)</t>
        </is>
      </c>
      <c r="M206" s="2" t="inlineStr">
        <is>
          <t>n/a</t>
        </is>
      </c>
      <c r="N206" s="2" t="n">
        <v>0</v>
      </c>
      <c r="O206" s="2" t="n">
        <v>0</v>
      </c>
      <c r="P206" s="21" t="n"/>
      <c r="Q206" s="21" t="n"/>
      <c r="R206" s="2" t="n"/>
      <c r="S206" s="2" t="n"/>
      <c r="T206" s="2" t="n"/>
      <c r="U206" s="2" t="n"/>
      <c r="V206" s="21" t="n">
        <v>10</v>
      </c>
      <c r="W206" s="21" t="n">
        <v>10</v>
      </c>
      <c r="X206" s="2" t="inlineStr">
        <is>
          <t>ENABLED</t>
        </is>
      </c>
      <c r="Y206" s="2" t="inlineStr">
        <is>
          <t>none</t>
        </is>
      </c>
      <c r="Z206" s="2" t="inlineStr">
        <is>
          <t>defer — engine name wrong (SKU token SATIN-TWIN-BLUE; (Discovery)); load a corrected name after 28 Oct</t>
        </is>
      </c>
      <c r="AA206" s="21" t="n">
        <v>2.22</v>
      </c>
      <c r="AB206" s="2" t="n">
        <v>4</v>
      </c>
      <c r="AC206" s="2" t="n">
        <v>1</v>
      </c>
      <c r="AD206" s="2" t="n">
        <v>7.9</v>
      </c>
      <c r="AE206" s="2" t="n">
        <v>0</v>
      </c>
      <c r="AF206" s="2" t="n">
        <v>75</v>
      </c>
      <c r="AG206" s="2" t="n">
        <v>2</v>
      </c>
      <c r="AH206" s="2" t="inlineStr">
        <is>
          <t>Child swap</t>
        </is>
      </c>
      <c r="AI206" s="22" t="inlineStr">
        <is>
          <t>Swap child to SATIN-QUEEN-BLUE; retag → Discovery</t>
        </is>
      </c>
      <c r="AJ206" s="22" t="inlineStr">
        <is>
          <t>7.9% ACoS on 1 orders / 4 clicks (CC 31 Aug–29 Sep). Correct to SATIN-QUEEN-BLUE (seq 1877).</t>
        </is>
      </c>
      <c r="AK206" s="2" t="inlineStr">
        <is>
          <t>seq 1877 child: correct to SATIN-QUEEN-BLUE; seq 3045 rename CHANGE; our addition: standard → Discovery (phrase)</t>
        </is>
      </c>
      <c r="AL206" s="22" t="n"/>
    </row>
    <row r="207">
      <c r="A207" s="2" t="inlineStr">
        <is>
          <t>349605670239828</t>
        </is>
      </c>
      <c r="B207" s="2" t="inlineStr">
        <is>
          <t>D-S4-SP-deep queen sheet set satin-(Satin)-HSV-Exact-Rank-DO-SATIN-STONEGREY-QUEEN-FBM</t>
        </is>
      </c>
      <c r="C207" s="2" t="inlineStr">
        <is>
          <t>deep queen sheet set satin [exact, $2.77, 1 clicks]</t>
        </is>
      </c>
      <c r="D207" s="2" t="inlineStr">
        <is>
          <t>deep queen sheet set satin</t>
        </is>
      </c>
      <c r="E207" s="2" t="inlineStr">
        <is>
          <t>ENABLED</t>
        </is>
      </c>
      <c r="F207" s="2" t="inlineStr">
        <is>
          <t>Ranking</t>
        </is>
      </c>
      <c r="G207" s="2" t="inlineStr">
        <is>
          <t>Ranking</t>
        </is>
      </c>
      <c r="H207" s="2" t="inlineStr">
        <is>
          <t>OUT</t>
        </is>
      </c>
      <c r="I207" s="2" t="inlineStr">
        <is>
          <t>Exact</t>
        </is>
      </c>
      <c r="J207" s="2" t="inlineStr">
        <is>
          <t>SATIN-QUEEN-BLACK</t>
        </is>
      </c>
      <c r="K207" s="2" t="inlineStr">
        <is>
          <t>SATIN-QUEEN-BLACK</t>
        </is>
      </c>
      <c r="L207" s="2" t="inlineStr">
        <is>
          <t>$2.77</t>
        </is>
      </c>
      <c r="M207" s="2" t="inlineStr">
        <is>
          <t>$1.39</t>
        </is>
      </c>
      <c r="N207" s="2" t="n">
        <v>0</v>
      </c>
      <c r="O207" s="2" t="n">
        <v>0</v>
      </c>
      <c r="P207" s="21" t="n">
        <v>2.77</v>
      </c>
      <c r="Q207" s="21" t="n">
        <v>1.39</v>
      </c>
      <c r="R207" s="2" t="n">
        <v>0</v>
      </c>
      <c r="S207" s="2" t="n">
        <v>0</v>
      </c>
      <c r="T207" s="2" t="n">
        <v>0</v>
      </c>
      <c r="U207" s="2" t="n">
        <v>0</v>
      </c>
      <c r="V207" s="21" t="n">
        <v>5</v>
      </c>
      <c r="W207" s="21" t="n">
        <v>5</v>
      </c>
      <c r="X207" s="2" t="inlineStr">
        <is>
          <t>ENABLED</t>
        </is>
      </c>
      <c r="Y207" s="2" t="inlineStr">
        <is>
          <t>none</t>
        </is>
      </c>
      <c r="Z207" s="2" t="inlineStr">
        <is>
          <t>defer — engine name wrong (SKU token SATIN-QUEEN-BLACK); load a corrected name after 28 Oct</t>
        </is>
      </c>
      <c r="AA207" s="21" t="n">
        <v>2.21</v>
      </c>
      <c r="AB207" s="2" t="n">
        <v>1</v>
      </c>
      <c r="AC207" s="2" t="n">
        <v>0</v>
      </c>
      <c r="AD207" s="2" t="n"/>
      <c r="AE207" s="2" t="n">
        <v>100</v>
      </c>
      <c r="AF207" s="2" t="n">
        <v>0</v>
      </c>
      <c r="AG207" s="2" t="n">
        <v>0</v>
      </c>
      <c r="AH207" s="2" t="inlineStr">
        <is>
          <t>Release hold + price to break-even</t>
        </is>
      </c>
      <c r="AI207" s="22" t="inlineStr">
        <is>
          <t>Release hold; cut base $2.77 → $1.39</t>
        </is>
      </c>
      <c r="AJ207" s="22" t="inlineStr">
        <is>
          <t>no-sale ACoS, 0 orders on 1 clicks (CC 31 Aug–29 Sep) vs Queen Black break-even 17.8%; BE base = $5.03 contribution (Queen Black) × 0.0% CVR = $0.00; cap 50% cut.</t>
        </is>
      </c>
      <c r="AK207" s="2" t="inlineStr">
        <is>
          <t>seq 1868 child: reject — keep SATIN-QUEEN-BLACK; seq 3017 rename CHANGE; seq 442 NOT SERVING hold(s) → release; price to break-even (our addition, reviewer D)</t>
        </is>
      </c>
      <c r="AL207" s="22" t="n"/>
    </row>
    <row r="208">
      <c r="A208" s="2" t="inlineStr">
        <is>
          <t>78059494831628</t>
        </is>
      </c>
      <c r="B208" s="2" t="inlineStr">
        <is>
          <t>D-S4-SP-EXACT-twin silk sheet-Silk|Twin-SATIN-TWIN-BLACK-NEW</t>
        </is>
      </c>
      <c r="C208" s="2" t="inlineStr">
        <is>
          <t>twin silk sheet [exact]</t>
        </is>
      </c>
      <c r="D208" s="2" t="inlineStr">
        <is>
          <t>whole campaign</t>
        </is>
      </c>
      <c r="E208" s="2" t="inlineStr">
        <is>
          <t>PAUSED</t>
        </is>
      </c>
      <c r="F208" s="2" t="inlineStr">
        <is>
          <t>UNSET</t>
        </is>
      </c>
      <c r="G208" s="2" t="inlineStr">
        <is>
          <t>Ranking</t>
        </is>
      </c>
      <c r="H208" s="2" t="n"/>
      <c r="I208" s="2" t="inlineStr">
        <is>
          <t>Exact</t>
        </is>
      </c>
      <c r="J208" s="2" t="inlineStr">
        <is>
          <t>SATIN-TWIN-BLACK-NEW</t>
        </is>
      </c>
      <c r="K208" s="2" t="inlineStr">
        <is>
          <t>SATIN-TWIN-BLACK-NEW</t>
        </is>
      </c>
      <c r="L208" s="2" t="inlineStr">
        <is>
          <t>n/a (no target bid in audit)</t>
        </is>
      </c>
      <c r="M208" s="2" t="inlineStr">
        <is>
          <t>n/a</t>
        </is>
      </c>
      <c r="N208" s="2" t="n">
        <v>0</v>
      </c>
      <c r="O208" s="2" t="n">
        <v>0</v>
      </c>
      <c r="P208" s="21" t="n"/>
      <c r="Q208" s="21" t="n"/>
      <c r="R208" s="2" t="n"/>
      <c r="S208" s="2" t="n"/>
      <c r="T208" s="2" t="n"/>
      <c r="U208" s="2" t="n"/>
      <c r="V208" s="21" t="n">
        <v>10.83</v>
      </c>
      <c r="W208" s="21" t="n">
        <v>10.83</v>
      </c>
      <c r="X208" s="2" t="inlineStr">
        <is>
          <t>PAUSED</t>
        </is>
      </c>
      <c r="Y208" s="2" t="inlineStr">
        <is>
          <t>none</t>
        </is>
      </c>
      <c r="Z208" s="2" t="inlineStr">
        <is>
          <t>none</t>
        </is>
      </c>
      <c r="AA208" s="21" t="n">
        <v>2.12</v>
      </c>
      <c r="AB208" s="2" t="n">
        <v>1</v>
      </c>
      <c r="AC208" s="2" t="n">
        <v>0</v>
      </c>
      <c r="AD208" s="2" t="n"/>
      <c r="AE208" s="2" t="n">
        <v>0</v>
      </c>
      <c r="AF208" s="2" t="n">
        <v>100</v>
      </c>
      <c r="AG208" s="2" t="n">
        <v>1</v>
      </c>
      <c r="AH208" s="2" t="inlineStr">
        <is>
          <t>Retag only</t>
        </is>
      </c>
      <c r="AI208" s="22" t="inlineStr">
        <is>
          <t>retag → Ranking</t>
        </is>
      </c>
      <c r="AJ208" s="22" t="inlineStr">
        <is>
          <t>Objective UNSET → Ranking by the standard (generic exact "twin silk sheet"); no sales ACoS on 0 orders / 1 clicks (CC 31 Aug–29 Sep).</t>
        </is>
      </c>
      <c r="AK208" s="2" t="inlineStr">
        <is>
          <t>our addition: standard → Ranking (generic exact "twin silk sheet")</t>
        </is>
      </c>
      <c r="AL208" s="22" t="n"/>
    </row>
    <row r="209">
      <c r="A209" s="2" t="inlineStr">
        <is>
          <t>6014447980749</t>
        </is>
      </c>
      <c r="B209" s="2" t="inlineStr">
        <is>
          <t>D-S4-red satin sheets - [Satin] - Phrase - Conv - DO - SATIN-RED-TWIN</t>
        </is>
      </c>
      <c r="C209" s="2" t="inlineStr">
        <is>
          <t>red satin sheets [phrase]</t>
        </is>
      </c>
      <c r="D209" s="2" t="inlineStr">
        <is>
          <t>whole campaign</t>
        </is>
      </c>
      <c r="E209" s="2" t="inlineStr">
        <is>
          <t>ENABLED</t>
        </is>
      </c>
      <c r="F209" s="2" t="inlineStr">
        <is>
          <t>Conversions</t>
        </is>
      </c>
      <c r="G209" s="2" t="inlineStr">
        <is>
          <t>Discovery</t>
        </is>
      </c>
      <c r="H209" s="2" t="inlineStr">
        <is>
          <t>Satin</t>
        </is>
      </c>
      <c r="I209" s="2" t="inlineStr">
        <is>
          <t>Phrase</t>
        </is>
      </c>
      <c r="J209" s="2" t="inlineStr">
        <is>
          <t>SATIN-4PC-RED-QUEEN</t>
        </is>
      </c>
      <c r="K209" s="2" t="inlineStr">
        <is>
          <t>SATIN-4PCS-KING-RED</t>
        </is>
      </c>
      <c r="L209" s="2" t="inlineStr">
        <is>
          <t>n/a (no target bid in audit)</t>
        </is>
      </c>
      <c r="M209" s="2" t="inlineStr">
        <is>
          <t>n/a</t>
        </is>
      </c>
      <c r="N209" s="2" t="n">
        <v>0</v>
      </c>
      <c r="O209" s="2" t="n">
        <v>0</v>
      </c>
      <c r="P209" s="21" t="n"/>
      <c r="Q209" s="21" t="n"/>
      <c r="R209" s="2" t="n"/>
      <c r="S209" s="2" t="n"/>
      <c r="T209" s="2" t="n"/>
      <c r="U209" s="2" t="n"/>
      <c r="V209" s="21" t="n">
        <v>10</v>
      </c>
      <c r="W209" s="21" t="n">
        <v>10</v>
      </c>
      <c r="X209" s="2" t="inlineStr">
        <is>
          <t>ENABLED</t>
        </is>
      </c>
      <c r="Y209" s="2" t="inlineStr">
        <is>
          <t>none</t>
        </is>
      </c>
      <c r="Z209" s="2" t="inlineStr">
        <is>
          <t>defer — engine name wrong (SKU token SATIN-4PC-RED-QUEEN; (Discovery)); load a corrected name after 28 Oct</t>
        </is>
      </c>
      <c r="AA209" s="21" t="n">
        <v>2</v>
      </c>
      <c r="AB209" s="2" t="n">
        <v>4</v>
      </c>
      <c r="AC209" s="2" t="n">
        <v>1</v>
      </c>
      <c r="AD209" s="2" t="n">
        <v>6.3</v>
      </c>
      <c r="AE209" s="2" t="n">
        <v>0</v>
      </c>
      <c r="AF209" s="2" t="n">
        <v>100</v>
      </c>
      <c r="AG209" s="2" t="n">
        <v>4</v>
      </c>
      <c r="AH209" s="2" t="inlineStr">
        <is>
          <t>Child swap</t>
        </is>
      </c>
      <c r="AI209" s="22" t="inlineStr">
        <is>
          <t>Swap child to SATIN-4PCS-KING-RED; retag → Discovery</t>
        </is>
      </c>
      <c r="AJ209" s="22" t="inlineStr">
        <is>
          <t>6.3% ACoS on 1 orders / 4 clicks (CC 31 Aug–29 Sep). Swap by hand now (seq 1956); Queen Red 34 units, out ~10 Oct (SB 29 Sep).</t>
        </is>
      </c>
      <c r="AK209" s="2" t="inlineStr">
        <is>
          <t>seq 1956 child: pass — apply NOW (outside the held group); seq 3283 rename CHANGE; our addition: standard → Discovery (phrase)</t>
        </is>
      </c>
      <c r="AL209" s="22" t="n"/>
    </row>
    <row r="210">
      <c r="A210" s="2" t="inlineStr">
        <is>
          <t>204471210085673</t>
        </is>
      </c>
      <c r="B210" s="2" t="inlineStr">
        <is>
          <t>D-S4-SP-satin sheets king size bed set candory-(Satin)-LSV-Exact-Rank-DO-SATIN-4PC-KING-GREY</t>
        </is>
      </c>
      <c r="C210" s="2" t="inlineStr">
        <is>
          <t>red satin king size sheet set [exact, $1.62, 1 clicks]; satin sheets king size bed set candory [exact, $1.40]</t>
        </is>
      </c>
      <c r="D210" s="2" t="inlineStr">
        <is>
          <t>red satin king size sheet set</t>
        </is>
      </c>
      <c r="E210" s="2" t="inlineStr">
        <is>
          <t>ENABLED</t>
        </is>
      </c>
      <c r="F210" s="2" t="inlineStr">
        <is>
          <t>Ranking</t>
        </is>
      </c>
      <c r="G210" s="2" t="inlineStr">
        <is>
          <t>Conversions</t>
        </is>
      </c>
      <c r="H210" s="2" t="inlineStr">
        <is>
          <t>OUT</t>
        </is>
      </c>
      <c r="I210" s="2" t="inlineStr">
        <is>
          <t>Exact</t>
        </is>
      </c>
      <c r="J210" s="2" t="inlineStr">
        <is>
          <t>SATIN-4PCS-KING-RED</t>
        </is>
      </c>
      <c r="K210" s="2" t="inlineStr">
        <is>
          <t>SATIN-4PCS-KING-RED</t>
        </is>
      </c>
      <c r="L210" s="2" t="inlineStr">
        <is>
          <t>$1.62 / $1.40</t>
        </is>
      </c>
      <c r="M210" s="2" t="inlineStr">
        <is>
          <t>$0.81 / $0.70</t>
        </is>
      </c>
      <c r="N210" s="2" t="n">
        <v>50</v>
      </c>
      <c r="O210" s="2" t="n">
        <v>50</v>
      </c>
      <c r="P210" s="21" t="n">
        <v>2.43</v>
      </c>
      <c r="Q210" s="21" t="n">
        <v>1.22</v>
      </c>
      <c r="R210" s="2" t="n">
        <v>0</v>
      </c>
      <c r="S210" s="2" t="n">
        <v>0</v>
      </c>
      <c r="T210" s="2" t="n">
        <v>0</v>
      </c>
      <c r="U210" s="2" t="n">
        <v>0</v>
      </c>
      <c r="V210" s="21" t="n">
        <v>10</v>
      </c>
      <c r="W210" s="21" t="n">
        <v>10</v>
      </c>
      <c r="X210" s="2" t="inlineStr">
        <is>
          <t>ENABLED</t>
        </is>
      </c>
      <c r="Y210" s="2" t="inlineStr">
        <is>
          <t>none</t>
        </is>
      </c>
      <c r="Z210" s="2" t="inlineStr">
        <is>
          <t>defer — engine name wrong ((Conversion); flag); load a corrected name after 28 Oct</t>
        </is>
      </c>
      <c r="AA210" s="21" t="n">
        <v>1.99</v>
      </c>
      <c r="AB210" s="2" t="n">
        <v>1</v>
      </c>
      <c r="AC210" s="2" t="n">
        <v>0</v>
      </c>
      <c r="AD210" s="2" t="n"/>
      <c r="AE210" s="2" t="n">
        <v>100</v>
      </c>
      <c r="AF210" s="2" t="n">
        <v>0</v>
      </c>
      <c r="AG210" s="2" t="n">
        <v>0</v>
      </c>
      <c r="AH210" s="2" t="inlineStr">
        <is>
          <t>Reject pause</t>
        </is>
      </c>
      <c r="AI210" s="22" t="inlineStr">
        <is>
          <t>Release hold; cut base $1.62 / $1.40 → $0.81 / $0.70; Keep target "red satin king size sheet set" enabled; child SATIN-4PCS-KING-RED is already the live colour child (reject pause seq 2053); retag → Conversions</t>
        </is>
      </c>
      <c r="AJ210" s="22" t="inlineStr">
        <is>
          <t>no sales ACoS on 0 orders / 1 clicks (CC 31 Aug–29 Sep). The rule says "SATIN-RED-KING is out of stock", but these campaigns advertise SATIN-4PCS-KING-RED. Sellerboard shows 262 available + 402 inbound, about 70 days of cover (SB inventory 09-28).</t>
        </is>
      </c>
      <c r="AK210" s="2" t="inlineStr">
        <is>
          <t>seq 2053 state: hold; seq 3021 rename CHANGE; seq 443,448 NOT SERVING hold(s) → release; price to break-even (our addition, reviewer D); our addition: standard → Conversions (competitor-brand term "satin sheets king size bed set candory")</t>
        </is>
      </c>
      <c r="AL210" s="22" t="n"/>
    </row>
    <row r="211">
      <c r="A211" s="2" t="inlineStr">
        <is>
          <t>8589448083338</t>
        </is>
      </c>
      <c r="B211" s="2" t="inlineStr">
        <is>
          <t>D-S4-silk sheets king - [Silk|King] - Exact - Ran - DO - SATIN-4PC-KING-GREY</t>
        </is>
      </c>
      <c r="C211" s="2" t="inlineStr">
        <is>
          <t>silk sheets king [exact, $0.50, 2 clicks]</t>
        </is>
      </c>
      <c r="D211" s="2" t="inlineStr">
        <is>
          <t>silk sheets king</t>
        </is>
      </c>
      <c r="E211" s="2" t="inlineStr">
        <is>
          <t>ENABLED</t>
        </is>
      </c>
      <c r="F211" s="2" t="inlineStr">
        <is>
          <t>Ranking</t>
        </is>
      </c>
      <c r="G211" s="2" t="inlineStr">
        <is>
          <t>Ranking</t>
        </is>
      </c>
      <c r="H211" s="2" t="inlineStr">
        <is>
          <t>OUT</t>
        </is>
      </c>
      <c r="I211" s="2" t="inlineStr">
        <is>
          <t>Exact</t>
        </is>
      </c>
      <c r="J211" s="2" t="inlineStr">
        <is>
          <t>SATIN-4PC-KING-GREY</t>
        </is>
      </c>
      <c r="K211" s="2" t="inlineStr">
        <is>
          <t>SATIN-4PC-KING-GREY</t>
        </is>
      </c>
      <c r="L211" s="2" t="inlineStr">
        <is>
          <t>$0.50</t>
        </is>
      </c>
      <c r="M211" s="2" t="inlineStr">
        <is>
          <t>$0.25</t>
        </is>
      </c>
      <c r="N211" s="2" t="n">
        <v>160</v>
      </c>
      <c r="O211" s="2" t="n">
        <v>160</v>
      </c>
      <c r="P211" s="21" t="n">
        <v>1.3</v>
      </c>
      <c r="Q211" s="21" t="n">
        <v>0.65</v>
      </c>
      <c r="R211" s="2" t="n">
        <v>0</v>
      </c>
      <c r="S211" s="2" t="n">
        <v>0</v>
      </c>
      <c r="T211" s="2" t="n">
        <v>30</v>
      </c>
      <c r="U211" s="2" t="n">
        <v>30</v>
      </c>
      <c r="V211" s="21" t="n">
        <v>5</v>
      </c>
      <c r="W211" s="21" t="n">
        <v>5</v>
      </c>
      <c r="X211" s="2" t="inlineStr">
        <is>
          <t>ENABLED</t>
        </is>
      </c>
      <c r="Y211" s="2" t="inlineStr">
        <is>
          <t>none</t>
        </is>
      </c>
      <c r="Z211" s="2" t="inlineStr">
        <is>
          <t>load (clean): DSS4-SP-Silk Sheets King-[Silk|King]-(MSV)-Exact-(Ranking)-DO-SATIN-4PC-KING-GREY</t>
        </is>
      </c>
      <c r="AA211" s="21" t="n">
        <v>1.95</v>
      </c>
      <c r="AB211" s="2" t="n">
        <v>2</v>
      </c>
      <c r="AC211" s="2" t="n">
        <v>0</v>
      </c>
      <c r="AD211" s="2" t="n"/>
      <c r="AE211" s="2" t="n">
        <v>50</v>
      </c>
      <c r="AF211" s="2" t="n">
        <v>0</v>
      </c>
      <c r="AG211" s="2" t="n">
        <v>15</v>
      </c>
      <c r="AH211" s="2" t="inlineStr">
        <is>
          <t>Release hold + price to break-even</t>
        </is>
      </c>
      <c r="AI211" s="22" t="inlineStr">
        <is>
          <t>Release hold; cut base $0.50 → $0.25</t>
        </is>
      </c>
      <c r="AJ211" s="22" t="inlineStr">
        <is>
          <t>no-sale ACoS, 0 orders on 2 clicks (CC 31 Aug–29 Sep) vs King Grey break-even 15.3%; BE base = $4.93 contribution (King Grey) × 0.0% CVR = $0.00; cap 50% cut.</t>
        </is>
      </c>
      <c r="AK211" s="2" t="inlineStr">
        <is>
          <t>seq 3306 rename LOAD; seq 452,453 NOT SERVING hold(s) → release; price to break-even (our addition, reviewer D)</t>
        </is>
      </c>
      <c r="AL211" s="22" t="n"/>
    </row>
    <row r="212">
      <c r="A212" s="2" t="inlineStr">
        <is>
          <t>269101032916279</t>
        </is>
      </c>
      <c r="B212" s="2" t="inlineStr">
        <is>
          <t>D-S4-SP-king satin sheets red-(Satin)-VLSV-Exact-Rank-DO-SATIN-RED-QUEEN</t>
        </is>
      </c>
      <c r="C212" s="2" t="inlineStr">
        <is>
          <t>king satin sheets red [exact, $1.90, 1 clicks]; king silk sheets [exact, paused, $0.90]</t>
        </is>
      </c>
      <c r="D212" s="2" t="inlineStr">
        <is>
          <t>king satin sheets red</t>
        </is>
      </c>
      <c r="E212" s="2" t="inlineStr">
        <is>
          <t>ENABLED</t>
        </is>
      </c>
      <c r="F212" s="2" t="inlineStr">
        <is>
          <t>Ranking</t>
        </is>
      </c>
      <c r="G212" s="2" t="inlineStr">
        <is>
          <t>Conversions</t>
        </is>
      </c>
      <c r="H212" s="2" t="inlineStr">
        <is>
          <t>OUT</t>
        </is>
      </c>
      <c r="I212" s="2" t="inlineStr">
        <is>
          <t>Exact</t>
        </is>
      </c>
      <c r="J212" s="2" t="inlineStr">
        <is>
          <t>SATIN-4PCS-KING-RED</t>
        </is>
      </c>
      <c r="K212" s="2" t="inlineStr">
        <is>
          <t>SATIN-4PCS-KING-RED</t>
        </is>
      </c>
      <c r="L212" s="2" t="inlineStr">
        <is>
          <t>$1.90</t>
        </is>
      </c>
      <c r="M212" s="2" t="inlineStr">
        <is>
          <t>$1.90</t>
        </is>
      </c>
      <c r="N212" s="2" t="n">
        <v>0</v>
      </c>
      <c r="O212" s="2" t="n">
        <v>0</v>
      </c>
      <c r="P212" s="21" t="n">
        <v>1.9</v>
      </c>
      <c r="Q212" s="21" t="n">
        <v>1.9</v>
      </c>
      <c r="R212" s="2" t="n">
        <v>0</v>
      </c>
      <c r="S212" s="2" t="n">
        <v>0</v>
      </c>
      <c r="T212" s="2" t="n">
        <v>0</v>
      </c>
      <c r="U212" s="2" t="n">
        <v>0</v>
      </c>
      <c r="V212" s="21" t="n">
        <v>10</v>
      </c>
      <c r="W212" s="21" t="n">
        <v>10</v>
      </c>
      <c r="X212" s="2" t="inlineStr">
        <is>
          <t>ENABLED</t>
        </is>
      </c>
      <c r="Y212" s="2" t="inlineStr">
        <is>
          <t>none</t>
        </is>
      </c>
      <c r="Z212" s="2" t="inlineStr">
        <is>
          <t>defer — engine name wrong ((Conversion)); load a corrected name after 28 Oct</t>
        </is>
      </c>
      <c r="AA212" s="21" t="n">
        <v>1.9</v>
      </c>
      <c r="AB212" s="2" t="n">
        <v>1</v>
      </c>
      <c r="AC212" s="2" t="n">
        <v>1</v>
      </c>
      <c r="AD212" s="2" t="n">
        <v>5.6</v>
      </c>
      <c r="AE212" s="2" t="n">
        <v>100</v>
      </c>
      <c r="AF212" s="2" t="n">
        <v>0</v>
      </c>
      <c r="AG212" s="2" t="n">
        <v>1</v>
      </c>
      <c r="AH212" s="2" t="inlineStr">
        <is>
          <t>Reject pause</t>
        </is>
      </c>
      <c r="AI212" s="22" t="inlineStr">
        <is>
          <t>Keep target "king satin sheets red" enabled; child SATIN-4PCS-KING-RED is already the live colour child (reject pause seq 2060); retag → Conversions</t>
        </is>
      </c>
      <c r="AJ212" s="22" t="inlineStr">
        <is>
          <t>5.6% ACoS on 1 orders / 1 clicks (CC 31 Aug–29 Sep). The rule says "SATIN-RED-KING is out of stock", but these campaigns advertise SATIN-4PCS-KING-RED. Sellerboard shows 262 available + 402 inbound, about 70 days of cover (SB inventory 09-28).</t>
        </is>
      </c>
      <c r="AK212" s="2" t="inlineStr">
        <is>
          <t>seq 2060 state: hold; seq 3201 rename CHANGE; our addition: standard → Conversions (colour term "king satin sheets red")</t>
        </is>
      </c>
      <c r="AL212" s="22" t="n"/>
    </row>
    <row r="213">
      <c r="A213" s="2" t="inlineStr">
        <is>
          <t>303040440027609</t>
        </is>
      </c>
      <c r="B213" s="2" t="inlineStr">
        <is>
          <t>D-S4-SP-satin sheets oversized queen-(Satin)-VLSV-Exact-Rank-DO-SATIN-QUEEN-GREY-FBM</t>
        </is>
      </c>
      <c r="C213" s="2" t="inlineStr">
        <is>
          <t>satin sheets oversized queen [exact, $1.90, 1 clicks]</t>
        </is>
      </c>
      <c r="D213" s="2" t="inlineStr">
        <is>
          <t>satin sheets oversized queen</t>
        </is>
      </c>
      <c r="E213" s="2" t="inlineStr">
        <is>
          <t>ENABLED</t>
        </is>
      </c>
      <c r="F213" s="2" t="inlineStr">
        <is>
          <t>Ranking</t>
        </is>
      </c>
      <c r="G213" s="2" t="inlineStr">
        <is>
          <t>Ranking</t>
        </is>
      </c>
      <c r="H213" s="2" t="inlineStr">
        <is>
          <t>OUT</t>
        </is>
      </c>
      <c r="I213" s="2" t="inlineStr">
        <is>
          <t>Exact</t>
        </is>
      </c>
      <c r="J213" s="2" t="inlineStr">
        <is>
          <t>SATIN-QUEEN-BLACK</t>
        </is>
      </c>
      <c r="K213" s="2" t="inlineStr">
        <is>
          <t>SATIN-QUEEN-BLACK</t>
        </is>
      </c>
      <c r="L213" s="2" t="inlineStr">
        <is>
          <t>$1.90</t>
        </is>
      </c>
      <c r="M213" s="2" t="inlineStr">
        <is>
          <t>$0.95</t>
        </is>
      </c>
      <c r="N213" s="2" t="n">
        <v>0</v>
      </c>
      <c r="O213" s="2" t="n">
        <v>0</v>
      </c>
      <c r="P213" s="21" t="n">
        <v>1.9</v>
      </c>
      <c r="Q213" s="21" t="n">
        <v>0.95</v>
      </c>
      <c r="R213" s="2" t="n">
        <v>0</v>
      </c>
      <c r="S213" s="2" t="n">
        <v>0</v>
      </c>
      <c r="T213" s="2" t="n">
        <v>0</v>
      </c>
      <c r="U213" s="2" t="n">
        <v>0</v>
      </c>
      <c r="V213" s="21" t="n">
        <v>5</v>
      </c>
      <c r="W213" s="21" t="n">
        <v>5</v>
      </c>
      <c r="X213" s="2" t="inlineStr">
        <is>
          <t>ENABLED</t>
        </is>
      </c>
      <c r="Y213" s="2" t="inlineStr">
        <is>
          <t>none</t>
        </is>
      </c>
      <c r="Z213" s="2" t="inlineStr">
        <is>
          <t>defer — engine name wrong (SKU token SATIN-QUEEN-BLACK); load a corrected name after 28 Oct</t>
        </is>
      </c>
      <c r="AA213" s="21" t="n">
        <v>1.9</v>
      </c>
      <c r="AB213" s="2" t="n">
        <v>1</v>
      </c>
      <c r="AC213" s="2" t="n">
        <v>0</v>
      </c>
      <c r="AD213" s="2" t="n"/>
      <c r="AE213" s="2" t="n">
        <v>0</v>
      </c>
      <c r="AF213" s="2" t="n">
        <v>100</v>
      </c>
      <c r="AG213" s="2" t="n">
        <v>0</v>
      </c>
      <c r="AH213" s="2" t="inlineStr">
        <is>
          <t>Release hold + price to break-even</t>
        </is>
      </c>
      <c r="AI213" s="22" t="inlineStr">
        <is>
          <t>Release hold; cut base $1.90 → $0.95</t>
        </is>
      </c>
      <c r="AJ213" s="22" t="inlineStr">
        <is>
          <t>no-sale ACoS, 0 orders on 1 clicks (CC 31 Aug–29 Sep) vs Queen Black break-even 17.8%; BE base = $5.03 contribution (Queen Black) × 0.0% CVR = $0.00; cap 50% cut.</t>
        </is>
      </c>
      <c r="AK213" s="2" t="inlineStr">
        <is>
          <t>seq 1872 child: reject — keep SATIN-QUEEN-BLACK; seq 3026 rename CHANGE; seq 464 NOT SERVING hold(s) → release; price to break-even (our addition, reviewer D)</t>
        </is>
      </c>
      <c r="AL213" s="22" t="n"/>
    </row>
    <row r="214">
      <c r="A214" s="2" t="inlineStr">
        <is>
          <t>27617740500522</t>
        </is>
      </c>
      <c r="B214" s="2" t="inlineStr">
        <is>
          <t>D-S4-silk king size sheets - [Silk|King] - Exact - Ran - DO - SATIN-4PC-KING-GREY</t>
        </is>
      </c>
      <c r="C214" s="2" t="inlineStr">
        <is>
          <t>silk king size sheets [exact, $0.50, 1 clicks]</t>
        </is>
      </c>
      <c r="D214" s="2" t="inlineStr">
        <is>
          <t>silk king size sheets</t>
        </is>
      </c>
      <c r="E214" s="2" t="inlineStr">
        <is>
          <t>ENABLED</t>
        </is>
      </c>
      <c r="F214" s="2" t="inlineStr">
        <is>
          <t>Ranking</t>
        </is>
      </c>
      <c r="G214" s="2" t="inlineStr">
        <is>
          <t>Ranking</t>
        </is>
      </c>
      <c r="H214" s="2" t="inlineStr">
        <is>
          <t>OUT</t>
        </is>
      </c>
      <c r="I214" s="2" t="inlineStr">
        <is>
          <t>Exact</t>
        </is>
      </c>
      <c r="J214" s="2" t="inlineStr">
        <is>
          <t>SATIN-4PC-KING-GREY</t>
        </is>
      </c>
      <c r="K214" s="2" t="inlineStr">
        <is>
          <t>SATIN-4PC-KING-GREY</t>
        </is>
      </c>
      <c r="L214" s="2" t="inlineStr">
        <is>
          <t>$0.50</t>
        </is>
      </c>
      <c r="M214" s="2" t="inlineStr">
        <is>
          <t>$0.50</t>
        </is>
      </c>
      <c r="N214" s="2" t="n">
        <v>270</v>
      </c>
      <c r="O214" s="2" t="n">
        <v>270</v>
      </c>
      <c r="P214" s="21" t="n">
        <v>1.85</v>
      </c>
      <c r="Q214" s="21" t="n">
        <v>1.85</v>
      </c>
      <c r="R214" s="2" t="n">
        <v>0</v>
      </c>
      <c r="S214" s="2" t="n">
        <v>0</v>
      </c>
      <c r="T214" s="2" t="n">
        <v>0</v>
      </c>
      <c r="U214" s="2" t="n">
        <v>0</v>
      </c>
      <c r="V214" s="21" t="n">
        <v>24.06</v>
      </c>
      <c r="W214" s="21" t="n">
        <v>24.06</v>
      </c>
      <c r="X214" s="2" t="inlineStr">
        <is>
          <t>ENABLED</t>
        </is>
      </c>
      <c r="Y214" s="2" t="inlineStr">
        <is>
          <t>none</t>
        </is>
      </c>
      <c r="Z214" s="2" t="inlineStr">
        <is>
          <t>load (clean): DSS4-SP-Silk King Size Sheets-(VLSV)-Exact-(Ranking)-DO-SATIN-4PC-KING-GREY</t>
        </is>
      </c>
      <c r="AA214" s="21" t="n">
        <v>1.85</v>
      </c>
      <c r="AB214" s="2" t="n">
        <v>1</v>
      </c>
      <c r="AC214" s="2" t="n">
        <v>1</v>
      </c>
      <c r="AD214" s="2" t="n">
        <v>6.3</v>
      </c>
      <c r="AE214" s="2" t="n">
        <v>100</v>
      </c>
      <c r="AF214" s="2" t="n">
        <v>0</v>
      </c>
      <c r="AG214" s="2" t="n">
        <v>10</v>
      </c>
      <c r="AH214" s="2" t="inlineStr">
        <is>
          <t>Release hold, keep price</t>
        </is>
      </c>
      <c r="AI214" s="22" t="inlineStr">
        <is>
          <t>Release hold; keep base $0.50 (at/under break-even)</t>
        </is>
      </c>
      <c r="AJ214" s="22" t="inlineStr">
        <is>
          <t>6.3% ACoS, 1 orders on 1 clicks (CC 31 Aug–29 Sep) vs King Grey break-even 15.3%; BE base = $4.93 contribution (King Grey) × 100.0% CVR = $4.93; cap 25% cut.</t>
        </is>
      </c>
      <c r="AK214" s="2" t="inlineStr">
        <is>
          <t>seq 3208 rename LOAD; seq 469 NOT SERVING hold(s) → release; price to break-even (our addition, reviewer D)</t>
        </is>
      </c>
      <c r="AL214" s="22" t="n"/>
    </row>
    <row r="215">
      <c r="A215" s="2" t="inlineStr">
        <is>
          <t>7962250633236</t>
        </is>
      </c>
      <c r="B215" s="2" t="inlineStr">
        <is>
          <t>D-S4-king silk sheets - [Silk|King] - Broad - Disc - DO - SATIN-4PCS-KING-ROSEWOOD</t>
        </is>
      </c>
      <c r="C215" s="2" t="inlineStr">
        <is>
          <t>king silk sheets [broad]</t>
        </is>
      </c>
      <c r="D215" s="2" t="inlineStr">
        <is>
          <t>whole campaign</t>
        </is>
      </c>
      <c r="E215" s="2" t="inlineStr">
        <is>
          <t>ENABLED</t>
        </is>
      </c>
      <c r="F215" s="2" t="inlineStr">
        <is>
          <t>Discovery</t>
        </is>
      </c>
      <c r="G215" s="2" t="inlineStr">
        <is>
          <t>Discovery</t>
        </is>
      </c>
      <c r="H215" s="2" t="inlineStr">
        <is>
          <t>Silk|King</t>
        </is>
      </c>
      <c r="I215" s="2" t="inlineStr">
        <is>
          <t>Broad</t>
        </is>
      </c>
      <c r="J215" s="2" t="inlineStr">
        <is>
          <t>SATIN-4PC-KING-GREY</t>
        </is>
      </c>
      <c r="K215" s="2" t="inlineStr">
        <is>
          <t>SATIN-4PC-KING-GREY</t>
        </is>
      </c>
      <c r="L215" s="2" t="inlineStr">
        <is>
          <t>n/a (no target bid in audit)</t>
        </is>
      </c>
      <c r="M215" s="2" t="inlineStr">
        <is>
          <t>n/a</t>
        </is>
      </c>
      <c r="N215" s="2" t="n">
        <v>0</v>
      </c>
      <c r="O215" s="2" t="n">
        <v>0</v>
      </c>
      <c r="P215" s="21" t="n"/>
      <c r="Q215" s="21" t="n"/>
      <c r="R215" s="2" t="n"/>
      <c r="S215" s="2" t="n"/>
      <c r="T215" s="2" t="n"/>
      <c r="U215" s="2" t="n"/>
      <c r="V215" s="21" t="n">
        <v>10</v>
      </c>
      <c r="W215" s="21" t="n">
        <v>10</v>
      </c>
      <c r="X215" s="2" t="inlineStr">
        <is>
          <t>ENABLED</t>
        </is>
      </c>
      <c r="Y215" s="2" t="inlineStr">
        <is>
          <t>add 1 negatives (seq 2267)</t>
        </is>
      </c>
      <c r="Z215" s="2" t="inlineStr">
        <is>
          <t>load (clean): DSS4-SP-King Silk Sheets-[Silk|King]-(LSV)-Broad-(Discovery)-DO-SATIN-4PC-KING-GREY</t>
        </is>
      </c>
      <c r="AA215" s="21" t="n">
        <v>1.8</v>
      </c>
      <c r="AB215" s="2" t="n">
        <v>3</v>
      </c>
      <c r="AC215" s="2" t="n">
        <v>1</v>
      </c>
      <c r="AD215" s="2" t="n">
        <v>5.3</v>
      </c>
      <c r="AE215" s="2" t="n">
        <v>0</v>
      </c>
      <c r="AF215" s="2" t="n">
        <v>0</v>
      </c>
      <c r="AG215" s="2" t="n">
        <v>10</v>
      </c>
      <c r="AH215" s="2" t="inlineStr">
        <is>
          <t>Negatives only</t>
        </is>
      </c>
      <c r="AI215" s="22" t="inlineStr">
        <is>
          <t>Add negatives</t>
        </is>
      </c>
      <c r="AJ215" s="22" t="inlineStr">
        <is>
          <t>Negative rows agreed with review 40 (add 1 negatives (seq 2267)); 5.3% ACoS on 1 orders / 3 clicks (CC 31 Aug–29 Sep).</t>
        </is>
      </c>
      <c r="AK215" s="2" t="inlineStr">
        <is>
          <t>seq 2267 negatives: agree with review 40; seq 3051 rename LOAD</t>
        </is>
      </c>
      <c r="AL215" s="22" t="n"/>
    </row>
    <row r="216">
      <c r="A216" s="2" t="inlineStr">
        <is>
          <t>188816027325506</t>
        </is>
      </c>
      <c r="B216" s="2" t="inlineStr">
        <is>
          <t>D-S4-purple satin sheets - [Satin] - Phrase - Conv - DO - SATIN-STRIPE-FULL-PURPLE</t>
        </is>
      </c>
      <c r="C216" s="2" t="inlineStr">
        <is>
          <t>purple satin sheets [phrase, $0.60]; purple satin sheets [phrase, $0.60]</t>
        </is>
      </c>
      <c r="D216" s="2" t="inlineStr">
        <is>
          <t>purple satin sheets</t>
        </is>
      </c>
      <c r="E216" s="2" t="inlineStr">
        <is>
          <t>ENABLED</t>
        </is>
      </c>
      <c r="F216" s="2" t="inlineStr">
        <is>
          <t>Conversions</t>
        </is>
      </c>
      <c r="G216" s="2" t="inlineStr">
        <is>
          <t>Discovery</t>
        </is>
      </c>
      <c r="H216" s="2" t="inlineStr">
        <is>
          <t>Satin</t>
        </is>
      </c>
      <c r="I216" s="2" t="inlineStr">
        <is>
          <t>Phrase</t>
        </is>
      </c>
      <c r="J216" s="2" t="inlineStr">
        <is>
          <t>SATIN-QUEEN-PURPLE</t>
        </is>
      </c>
      <c r="K216" s="2" t="inlineStr">
        <is>
          <t>SATIN-QUEEN-PURPLE</t>
        </is>
      </c>
      <c r="L216" s="2" t="inlineStr">
        <is>
          <t>$0.60</t>
        </is>
      </c>
      <c r="M216" s="2" t="inlineStr">
        <is>
          <t>$0.30</t>
        </is>
      </c>
      <c r="N216" s="2" t="n">
        <v>0</v>
      </c>
      <c r="O216" s="2" t="n">
        <v>0</v>
      </c>
      <c r="P216" s="21" t="n">
        <v>0.6</v>
      </c>
      <c r="Q216" s="21" t="n">
        <v>0.3</v>
      </c>
      <c r="R216" s="2" t="n"/>
      <c r="S216" s="2" t="n"/>
      <c r="T216" s="2" t="n"/>
      <c r="U216" s="2" t="n"/>
      <c r="V216" s="21" t="n">
        <v>10</v>
      </c>
      <c r="W216" s="21" t="n">
        <v>10</v>
      </c>
      <c r="X216" s="2" t="inlineStr">
        <is>
          <t>ENABLED</t>
        </is>
      </c>
      <c r="Y216" s="2" t="inlineStr">
        <is>
          <t>none</t>
        </is>
      </c>
      <c r="Z216" s="2" t="inlineStr">
        <is>
          <t>defer — engine name wrong ((Discovery)); load a corrected name after 28 Oct</t>
        </is>
      </c>
      <c r="AA216" s="21" t="n">
        <v>1.8</v>
      </c>
      <c r="AB216" s="2" t="n">
        <v>3</v>
      </c>
      <c r="AC216" s="2" t="n">
        <v>0</v>
      </c>
      <c r="AD216" s="2" t="n"/>
      <c r="AE216" s="2" t="n">
        <v>0</v>
      </c>
      <c r="AF216" s="2" t="n">
        <v>33.33</v>
      </c>
      <c r="AG216" s="2" t="n">
        <v>1</v>
      </c>
      <c r="AH216" s="2" t="inlineStr">
        <is>
          <t>Release hold + price to break-even</t>
        </is>
      </c>
      <c r="AI216" s="22" t="inlineStr">
        <is>
          <t>Release hold; cut base $0.60 → $0.30; retag → Discovery</t>
        </is>
      </c>
      <c r="AJ216" s="22" t="inlineStr">
        <is>
          <t>no-sale ACoS, 0 orders on 3 clicks (CC 31 Aug–29 Sep) vs blended (other colour) break-even 23.3%; BE base = $7.02 contribution (blended (other colour)) × 0.0% CVR = $0.00; cap 50% cut.</t>
        </is>
      </c>
      <c r="AK216" s="2" t="inlineStr">
        <is>
          <t>seq 3135 rename CHANGE; seq 1773 NOT SERVING hold(s) → release; price to break-even (our addition, reviewer D); our addition: standard → Discovery (phrase)</t>
        </is>
      </c>
      <c r="AL216" s="22" t="n"/>
    </row>
    <row r="217">
      <c r="A217" s="2" t="inlineStr">
        <is>
          <t>21205928596744</t>
        </is>
      </c>
      <c r="B217" s="2" t="inlineStr">
        <is>
          <t>D-S4-silk king bed sheets - [Silk|King] - Exact - Ran - DO - SATIN-4PC-KING-GREY</t>
        </is>
      </c>
      <c r="C217" s="2" t="inlineStr">
        <is>
          <t>silk king bed sheets [exact, $0.50, 1 clicks]</t>
        </is>
      </c>
      <c r="D217" s="2" t="inlineStr">
        <is>
          <t>silk king bed sheets</t>
        </is>
      </c>
      <c r="E217" s="2" t="inlineStr">
        <is>
          <t>ENABLED</t>
        </is>
      </c>
      <c r="F217" s="2" t="inlineStr">
        <is>
          <t>Ranking</t>
        </is>
      </c>
      <c r="G217" s="2" t="inlineStr">
        <is>
          <t>Ranking</t>
        </is>
      </c>
      <c r="H217" s="2" t="inlineStr">
        <is>
          <t>OUT</t>
        </is>
      </c>
      <c r="I217" s="2" t="inlineStr">
        <is>
          <t>Exact</t>
        </is>
      </c>
      <c r="J217" s="2" t="inlineStr">
        <is>
          <t>SATIN-4PC-KING-GREY</t>
        </is>
      </c>
      <c r="K217" s="2" t="inlineStr">
        <is>
          <t>SATIN-4PC-KING-GREY</t>
        </is>
      </c>
      <c r="L217" s="2" t="inlineStr">
        <is>
          <t>$0.50</t>
        </is>
      </c>
      <c r="M217" s="2" t="inlineStr">
        <is>
          <t>$0.25</t>
        </is>
      </c>
      <c r="N217" s="2" t="n">
        <v>300</v>
      </c>
      <c r="O217" s="2" t="n">
        <v>300</v>
      </c>
      <c r="P217" s="21" t="n">
        <v>2</v>
      </c>
      <c r="Q217" s="21" t="n">
        <v>1</v>
      </c>
      <c r="R217" s="2" t="n">
        <v>0</v>
      </c>
      <c r="S217" s="2" t="n">
        <v>0</v>
      </c>
      <c r="T217" s="2" t="n">
        <v>0</v>
      </c>
      <c r="U217" s="2" t="n">
        <v>0</v>
      </c>
      <c r="V217" s="21" t="n">
        <v>14.22</v>
      </c>
      <c r="W217" s="21" t="n">
        <v>14.22</v>
      </c>
      <c r="X217" s="2" t="inlineStr">
        <is>
          <t>ENABLED</t>
        </is>
      </c>
      <c r="Y217" s="2" t="inlineStr">
        <is>
          <t>none</t>
        </is>
      </c>
      <c r="Z217" s="2" t="inlineStr">
        <is>
          <t>load (clean): DSS4-SP-Silk King Bed Sheets-[Silk|King]-(LSV)-Exact-(Ranking)-DO-SATIN-4PC-KING-GREY</t>
        </is>
      </c>
      <c r="AA217" s="21" t="n">
        <v>1.79</v>
      </c>
      <c r="AB217" s="2" t="n">
        <v>1</v>
      </c>
      <c r="AC217" s="2" t="n">
        <v>0</v>
      </c>
      <c r="AD217" s="2" t="n"/>
      <c r="AE217" s="2" t="n">
        <v>100</v>
      </c>
      <c r="AF217" s="2" t="n">
        <v>0</v>
      </c>
      <c r="AG217" s="2" t="n">
        <v>6</v>
      </c>
      <c r="AH217" s="2" t="inlineStr">
        <is>
          <t>Release hold + price to break-even</t>
        </is>
      </c>
      <c r="AI217" s="22" t="inlineStr">
        <is>
          <t>Release hold; cut base $0.50 → $0.25</t>
        </is>
      </c>
      <c r="AJ217" s="22" t="inlineStr">
        <is>
          <t>no-sale ACoS, 0 orders on 1 clicks (CC 31 Aug–29 Sep) vs King Grey break-even 15.3%; BE base = $4.93 contribution (King Grey) × 0.0% CVR = $0.00; cap 50% cut.</t>
        </is>
      </c>
      <c r="AK217" s="2" t="inlineStr">
        <is>
          <t>seq 3155 rename LOAD; seq 470,474 NOT SERVING hold(s) → release; price to break-even (our addition, reviewer D)</t>
        </is>
      </c>
      <c r="AL217" s="22" t="n"/>
    </row>
    <row r="218">
      <c r="A218" s="2" t="inlineStr">
        <is>
          <t>416346604335992</t>
        </is>
      </c>
      <c r="B218" s="2" t="inlineStr">
        <is>
          <t>D-S4-SP-sheets queen size bed set satin-(Satin)-VLSV-Exact-Rank-DO-SATIN-QUEEN-GREY-FBM</t>
        </is>
      </c>
      <c r="C218" s="2" t="inlineStr">
        <is>
          <t>sheets queen size bed set satin [exact, $1.90, 1 clicks]</t>
        </is>
      </c>
      <c r="D218" s="2" t="inlineStr">
        <is>
          <t>—</t>
        </is>
      </c>
      <c r="E218" s="2" t="inlineStr">
        <is>
          <t>ENABLED</t>
        </is>
      </c>
      <c r="F218" s="2" t="inlineStr">
        <is>
          <t>Ranking</t>
        </is>
      </c>
      <c r="G218" s="2" t="inlineStr">
        <is>
          <t>Ranking</t>
        </is>
      </c>
      <c r="H218" s="2" t="inlineStr">
        <is>
          <t>Satin|Queen</t>
        </is>
      </c>
      <c r="I218" s="2" t="inlineStr">
        <is>
          <t>Exact</t>
        </is>
      </c>
      <c r="J218" s="2" t="inlineStr">
        <is>
          <t>SATIN-QUEEN-BLACK</t>
        </is>
      </c>
      <c r="K218" s="2" t="inlineStr">
        <is>
          <t>SATIN-QUEEN-BLACK</t>
        </is>
      </c>
      <c r="L218" s="2" t="inlineStr">
        <is>
          <t>$1.90</t>
        </is>
      </c>
      <c r="M218" s="2" t="inlineStr">
        <is>
          <t>$1.90</t>
        </is>
      </c>
      <c r="N218" s="2" t="n">
        <v>0</v>
      </c>
      <c r="O218" s="2" t="n">
        <v>0</v>
      </c>
      <c r="P218" s="21" t="n">
        <v>1.9</v>
      </c>
      <c r="Q218" s="21" t="n">
        <v>1.9</v>
      </c>
      <c r="R218" s="2" t="n">
        <v>0</v>
      </c>
      <c r="S218" s="2" t="n">
        <v>0</v>
      </c>
      <c r="T218" s="2" t="n">
        <v>0</v>
      </c>
      <c r="U218" s="2" t="n">
        <v>0</v>
      </c>
      <c r="V218" s="21" t="n">
        <v>5</v>
      </c>
      <c r="W218" s="21" t="n">
        <v>5</v>
      </c>
      <c r="X218" s="2" t="inlineStr">
        <is>
          <t>ENABLED</t>
        </is>
      </c>
      <c r="Y218" s="2" t="inlineStr">
        <is>
          <t>none</t>
        </is>
      </c>
      <c r="Z218" s="2" t="inlineStr">
        <is>
          <t>defer — engine name wrong (SKU token SATIN-QUEEN-BLACK); load a corrected name after 28 Oct</t>
        </is>
      </c>
      <c r="AA218" s="21" t="n">
        <v>1.76</v>
      </c>
      <c r="AB218" s="2" t="n">
        <v>1</v>
      </c>
      <c r="AC218" s="2" t="n">
        <v>0</v>
      </c>
      <c r="AD218" s="2" t="n"/>
      <c r="AE218" s="2" t="n"/>
      <c r="AF218" s="2" t="n"/>
      <c r="AG218" s="2" t="n">
        <v>0</v>
      </c>
      <c r="AH218" s="2" t="inlineStr">
        <is>
          <t>No change (engine move rejected/held)</t>
        </is>
      </c>
      <c r="AI218" s="22" t="inlineStr">
        <is>
          <t>No change (reject engine child swap seq 1941; defer engine rename)</t>
        </is>
      </c>
      <c r="AJ218" s="22" t="inlineStr">
        <is>
          <t>Engine swap SATIN-QUEEN-BLACK → SATIN-4PCS-QUEEN-STONE-GREY rejected: the pick comes from the broken size map, and SATIN-QUEEN-BLACK is the size's best seller with cover (SB 30 Aug–29 Sep); the engine rename writes a wrong token and is deferred; no sales ACoS on 0 orders / 1 clicks (CC 31 Aug–29 Sep).</t>
        </is>
      </c>
      <c r="AK218" s="2" t="inlineStr">
        <is>
          <t>seq 1941 child: reject — keep SATIN-QUEEN-BLACK; seq 3244 rename CHANGE</t>
        </is>
      </c>
      <c r="AL218" s="22" t="n"/>
    </row>
    <row r="219">
      <c r="A219" s="2" t="inlineStr">
        <is>
          <t>109961423227131</t>
        </is>
      </c>
      <c r="B219" s="2" t="inlineStr">
        <is>
          <t>D-S4-queen size silk sheets set - [Silk|Queen] - Exact - Ran - DO - SATIN-QUEEN-BLACK</t>
        </is>
      </c>
      <c r="C219" s="2" t="inlineStr">
        <is>
          <t>queen size silk sheets set [exact, $0.54, 1 clicks]</t>
        </is>
      </c>
      <c r="D219" s="2" t="inlineStr">
        <is>
          <t>queen size silk sheets set</t>
        </is>
      </c>
      <c r="E219" s="2" t="inlineStr">
        <is>
          <t>ENABLED</t>
        </is>
      </c>
      <c r="F219" s="2" t="inlineStr">
        <is>
          <t>Ranking</t>
        </is>
      </c>
      <c r="G219" s="2" t="inlineStr">
        <is>
          <t>Ranking</t>
        </is>
      </c>
      <c r="H219" s="2" t="inlineStr">
        <is>
          <t>OUT</t>
        </is>
      </c>
      <c r="I219" s="2" t="inlineStr">
        <is>
          <t>Exact</t>
        </is>
      </c>
      <c r="J219" s="2" t="inlineStr">
        <is>
          <t>SATIN-QUEEN-BLACK</t>
        </is>
      </c>
      <c r="K219" s="2" t="inlineStr">
        <is>
          <t>SATIN-QUEEN-BLACK</t>
        </is>
      </c>
      <c r="L219" s="2" t="inlineStr">
        <is>
          <t>$0.54</t>
        </is>
      </c>
      <c r="M219" s="2" t="inlineStr">
        <is>
          <t>$0.27</t>
        </is>
      </c>
      <c r="N219" s="2" t="n">
        <v>225</v>
      </c>
      <c r="O219" s="2" t="n">
        <v>225</v>
      </c>
      <c r="P219" s="21" t="n">
        <v>1.76</v>
      </c>
      <c r="Q219" s="21" t="n">
        <v>0.88</v>
      </c>
      <c r="R219" s="2" t="n">
        <v>0</v>
      </c>
      <c r="S219" s="2" t="n">
        <v>0</v>
      </c>
      <c r="T219" s="2" t="n">
        <v>0</v>
      </c>
      <c r="U219" s="2" t="n">
        <v>0</v>
      </c>
      <c r="V219" s="21" t="n">
        <v>16.86</v>
      </c>
      <c r="W219" s="21" t="n">
        <v>16.86</v>
      </c>
      <c r="X219" s="2" t="inlineStr">
        <is>
          <t>ENABLED</t>
        </is>
      </c>
      <c r="Y219" s="2" t="inlineStr">
        <is>
          <t>none</t>
        </is>
      </c>
      <c r="Z219" s="2" t="inlineStr">
        <is>
          <t>defer — engine name wrong (SKU token SATIN-QUEEN-BLACK); load a corrected name after 28 Oct</t>
        </is>
      </c>
      <c r="AA219" s="21" t="n">
        <v>1.75</v>
      </c>
      <c r="AB219" s="2" t="n">
        <v>1</v>
      </c>
      <c r="AC219" s="2" t="n">
        <v>0</v>
      </c>
      <c r="AD219" s="2" t="n"/>
      <c r="AE219" s="2" t="n">
        <v>100</v>
      </c>
      <c r="AF219" s="2" t="n">
        <v>0</v>
      </c>
      <c r="AG219" s="2" t="n">
        <v>31</v>
      </c>
      <c r="AH219" s="2" t="inlineStr">
        <is>
          <t>Release hold + price to break-even</t>
        </is>
      </c>
      <c r="AI219" s="22" t="inlineStr">
        <is>
          <t>Release hold; cut base $0.54 → $0.27</t>
        </is>
      </c>
      <c r="AJ219" s="22" t="inlineStr">
        <is>
          <t>no-sale ACoS, 0 orders on 1 clicks (CC 31 Aug–29 Sep) vs Queen Black break-even 17.8%; BE base = $5.03 contribution (Queen Black) × 0.0% CVR = $0.00; cap 50% cut.</t>
        </is>
      </c>
      <c r="AK219" s="2" t="inlineStr">
        <is>
          <t>seq 1874 child: reject — keep SATIN-QUEEN-BLACK; seq 3030 rename CHANGE; seq 484 NOT SERVING hold(s) → release; price to break-even (our addition, reviewer D)</t>
        </is>
      </c>
      <c r="AL219" s="22" t="n"/>
    </row>
    <row r="220">
      <c r="A220" s="2" t="inlineStr">
        <is>
          <t>269860932158131</t>
        </is>
      </c>
      <c r="B220" s="2" t="inlineStr">
        <is>
          <t>D-S4-SP-EXACT-pure satin sheets-Satin-SATIN-QUEEN-BLACK</t>
        </is>
      </c>
      <c r="C220" s="2" t="inlineStr">
        <is>
          <t>pure satin sheets [exact]</t>
        </is>
      </c>
      <c r="D220" s="2" t="inlineStr">
        <is>
          <t>whole campaign</t>
        </is>
      </c>
      <c r="E220" s="2" t="inlineStr">
        <is>
          <t>ENABLED</t>
        </is>
      </c>
      <c r="F220" s="2" t="inlineStr">
        <is>
          <t>Conversions</t>
        </is>
      </c>
      <c r="G220" s="2" t="inlineStr">
        <is>
          <t>Conversions</t>
        </is>
      </c>
      <c r="H220" s="2" t="n"/>
      <c r="I220" s="2" t="inlineStr">
        <is>
          <t>Exact</t>
        </is>
      </c>
      <c r="J220" s="2" t="inlineStr">
        <is>
          <t>SATIN-QUEEN-BLACK</t>
        </is>
      </c>
      <c r="K220" s="2" t="inlineStr">
        <is>
          <t>SATIN-QUEEN-BLACK</t>
        </is>
      </c>
      <c r="L220" s="2" t="inlineStr">
        <is>
          <t>n/a (no target bid in audit)</t>
        </is>
      </c>
      <c r="M220" s="2" t="inlineStr">
        <is>
          <t>n/a</t>
        </is>
      </c>
      <c r="N220" s="2" t="n">
        <v>0</v>
      </c>
      <c r="O220" s="2" t="n">
        <v>0</v>
      </c>
      <c r="P220" s="21" t="n"/>
      <c r="Q220" s="21" t="n"/>
      <c r="R220" s="2" t="n"/>
      <c r="S220" s="2" t="n"/>
      <c r="T220" s="2" t="n"/>
      <c r="U220" s="2" t="n"/>
      <c r="V220" s="21" t="n">
        <v>8.06</v>
      </c>
      <c r="W220" s="21" t="n">
        <v>8.06</v>
      </c>
      <c r="X220" s="2" t="inlineStr">
        <is>
          <t>ENABLED</t>
        </is>
      </c>
      <c r="Y220" s="2" t="inlineStr">
        <is>
          <t>none</t>
        </is>
      </c>
      <c r="Z220" s="2" t="inlineStr">
        <is>
          <t>load (clean): DSS4-SP-Pure Satin Sheets-(VLSV)-Exact-(Conversion)-DO-SATIN-QUEEN-BLACK</t>
        </is>
      </c>
      <c r="AA220" s="21" t="n">
        <v>1.7</v>
      </c>
      <c r="AB220" s="2" t="n">
        <v>1</v>
      </c>
      <c r="AC220" s="2" t="n">
        <v>0</v>
      </c>
      <c r="AD220" s="2" t="n"/>
      <c r="AE220" s="2" t="n">
        <v>100</v>
      </c>
      <c r="AF220" s="2" t="n">
        <v>0</v>
      </c>
      <c r="AG220" s="2" t="n">
        <v>0</v>
      </c>
      <c r="AH220" s="2" t="inlineStr">
        <is>
          <t>Rename only</t>
        </is>
      </c>
      <c r="AI220" s="22" t="inlineStr">
        <is>
          <t>Load rename only</t>
        </is>
      </c>
      <c r="AJ220" s="22" t="inlineStr">
        <is>
          <t>Clean rename (SKU token and objective match what the campaign advertises); no sales ACoS on 0 orders / 1 clicks (CC 31 Aug–29 Sep).</t>
        </is>
      </c>
      <c r="AK220" s="2" t="inlineStr">
        <is>
          <t>seq 2206 retag LOAD; seq 3202 rename LOAD</t>
        </is>
      </c>
      <c r="AL220" s="22" t="n"/>
    </row>
    <row r="221">
      <c r="A221" s="2" t="inlineStr">
        <is>
          <t>408360202485433</t>
        </is>
      </c>
      <c r="B221" s="2" t="inlineStr">
        <is>
          <t>D-S4-SP-silky satin bed sheets queen-(Satin)-VLSV-Exact-Rank-DO-SATIN-QUEEN-GREY-FBM</t>
        </is>
      </c>
      <c r="C221" s="2" t="inlineStr">
        <is>
          <t>silky satin bed sheets queen [exact, $1.90, 1 clicks]</t>
        </is>
      </c>
      <c r="D221" s="2" t="inlineStr">
        <is>
          <t>silky satin bed sheets queen</t>
        </is>
      </c>
      <c r="E221" s="2" t="inlineStr">
        <is>
          <t>ENABLED</t>
        </is>
      </c>
      <c r="F221" s="2" t="inlineStr">
        <is>
          <t>Ranking</t>
        </is>
      </c>
      <c r="G221" s="2" t="inlineStr">
        <is>
          <t>Ranking</t>
        </is>
      </c>
      <c r="H221" s="2" t="inlineStr">
        <is>
          <t>OUT</t>
        </is>
      </c>
      <c r="I221" s="2" t="inlineStr">
        <is>
          <t>Exact</t>
        </is>
      </c>
      <c r="J221" s="2" t="inlineStr">
        <is>
          <t>SATIN-QUEEN-BLACK</t>
        </is>
      </c>
      <c r="K221" s="2" t="inlineStr">
        <is>
          <t>SATIN-QUEEN-BLACK</t>
        </is>
      </c>
      <c r="L221" s="2" t="inlineStr">
        <is>
          <t>$1.90</t>
        </is>
      </c>
      <c r="M221" s="2" t="inlineStr">
        <is>
          <t>$0.95</t>
        </is>
      </c>
      <c r="N221" s="2" t="n">
        <v>0</v>
      </c>
      <c r="O221" s="2" t="n">
        <v>0</v>
      </c>
      <c r="P221" s="21" t="n">
        <v>1.9</v>
      </c>
      <c r="Q221" s="21" t="n">
        <v>0.95</v>
      </c>
      <c r="R221" s="2" t="n">
        <v>0</v>
      </c>
      <c r="S221" s="2" t="n">
        <v>0</v>
      </c>
      <c r="T221" s="2" t="n">
        <v>0</v>
      </c>
      <c r="U221" s="2" t="n">
        <v>0</v>
      </c>
      <c r="V221" s="21" t="n">
        <v>5</v>
      </c>
      <c r="W221" s="21" t="n">
        <v>5</v>
      </c>
      <c r="X221" s="2" t="inlineStr">
        <is>
          <t>ENABLED</t>
        </is>
      </c>
      <c r="Y221" s="2" t="inlineStr">
        <is>
          <t>none</t>
        </is>
      </c>
      <c r="Z221" s="2" t="inlineStr">
        <is>
          <t>defer — engine name wrong (SKU token SATIN-QUEEN-BLACK); load a corrected name after 28 Oct</t>
        </is>
      </c>
      <c r="AA221" s="21" t="n">
        <v>1.65</v>
      </c>
      <c r="AB221" s="2" t="n">
        <v>1</v>
      </c>
      <c r="AC221" s="2" t="n">
        <v>0</v>
      </c>
      <c r="AD221" s="2" t="n"/>
      <c r="AE221" s="2" t="n">
        <v>100</v>
      </c>
      <c r="AF221" s="2" t="n">
        <v>0</v>
      </c>
      <c r="AG221" s="2" t="n">
        <v>0</v>
      </c>
      <c r="AH221" s="2" t="inlineStr">
        <is>
          <t>Release hold + price to break-even</t>
        </is>
      </c>
      <c r="AI221" s="22" t="inlineStr">
        <is>
          <t>Release hold; cut base $1.90 → $0.95</t>
        </is>
      </c>
      <c r="AJ221" s="22" t="inlineStr">
        <is>
          <t>no-sale ACoS, 0 orders on 1 clicks (CC 31 Aug–29 Sep) vs Queen Black break-even 17.8%; BE base = $5.03 contribution (Queen Black) × 0.0% CVR = $0.00; cap 50% cut.</t>
        </is>
      </c>
      <c r="AK221" s="2" t="inlineStr">
        <is>
          <t>seq 1940 child: reject — keep SATIN-QUEEN-BLACK; seq 3243 rename CHANGE; seq 489 NOT SERVING hold(s) → release; price to break-even (our addition, reviewer D)</t>
        </is>
      </c>
      <c r="AL221" s="22" t="n"/>
    </row>
    <row r="222">
      <c r="A222" s="2" t="inlineStr">
        <is>
          <t>177239915449451</t>
        </is>
      </c>
      <c r="B222" s="2" t="inlineStr">
        <is>
          <t>D-S4-SP-EXACT-satin sheets twin size bed set-Satin|Twin-SATIN-TWIN-BLACK-NEW</t>
        </is>
      </c>
      <c r="C222" s="2" t="inlineStr">
        <is>
          <t>satin sheets twin size bed set [exact]</t>
        </is>
      </c>
      <c r="D222" s="2" t="inlineStr">
        <is>
          <t>whole campaign</t>
        </is>
      </c>
      <c r="E222" s="2" t="inlineStr">
        <is>
          <t>ENABLED</t>
        </is>
      </c>
      <c r="F222" s="2" t="inlineStr">
        <is>
          <t>Conversions</t>
        </is>
      </c>
      <c r="G222" s="2" t="inlineStr">
        <is>
          <t>Ranking</t>
        </is>
      </c>
      <c r="H222" s="2" t="n"/>
      <c r="I222" s="2" t="inlineStr">
        <is>
          <t>Exact</t>
        </is>
      </c>
      <c r="J222" s="2" t="inlineStr">
        <is>
          <t>SATIN-TWIN-BLACK-NEW</t>
        </is>
      </c>
      <c r="K222" s="2" t="inlineStr">
        <is>
          <t>SATIN-TWIN-BLACK-NEW</t>
        </is>
      </c>
      <c r="L222" s="2" t="inlineStr">
        <is>
          <t>n/a (no target bid in audit)</t>
        </is>
      </c>
      <c r="M222" s="2" t="inlineStr">
        <is>
          <t>n/a</t>
        </is>
      </c>
      <c r="N222" s="2" t="n">
        <v>0</v>
      </c>
      <c r="O222" s="2" t="n">
        <v>0</v>
      </c>
      <c r="P222" s="21" t="n"/>
      <c r="Q222" s="21" t="n"/>
      <c r="R222" s="2" t="n"/>
      <c r="S222" s="2" t="n"/>
      <c r="T222" s="2" t="n"/>
      <c r="U222" s="2" t="n"/>
      <c r="V222" s="21" t="n">
        <v>10.83</v>
      </c>
      <c r="W222" s="21" t="n">
        <v>10.83</v>
      </c>
      <c r="X222" s="2" t="inlineStr">
        <is>
          <t>ENABLED</t>
        </is>
      </c>
      <c r="Y222" s="2" t="inlineStr">
        <is>
          <t>none</t>
        </is>
      </c>
      <c r="Z222" s="2" t="inlineStr">
        <is>
          <t>defer — engine name wrong (SKU token SATIN-TWIN-BLACK-NEW; (Ranking)); load a corrected name after 28 Oct</t>
        </is>
      </c>
      <c r="AA222" s="21" t="n">
        <v>1.59</v>
      </c>
      <c r="AB222" s="2" t="n">
        <v>1</v>
      </c>
      <c r="AC222" s="2" t="n">
        <v>0</v>
      </c>
      <c r="AD222" s="2" t="n"/>
      <c r="AE222" s="2" t="n">
        <v>100</v>
      </c>
      <c r="AF222" s="2" t="n">
        <v>0</v>
      </c>
      <c r="AG222" s="2" t="n">
        <v>0</v>
      </c>
      <c r="AH222" s="2" t="inlineStr">
        <is>
          <t>Retag only</t>
        </is>
      </c>
      <c r="AI222" s="22" t="inlineStr">
        <is>
          <t>retag → Ranking</t>
        </is>
      </c>
      <c r="AJ222" s="22" t="inlineStr">
        <is>
          <t>Objective Conversions → Ranking by the standard (our retag verdict); no sales ACoS on 0 orders / 1 clicks (CC 31 Aug–29 Sep). Note: plan move to SATIN-TWIN-GREY before 16 Oct (Twin Black 66 units, ~34 days).</t>
        </is>
      </c>
      <c r="AK222" s="2" t="inlineStr">
        <is>
          <t>seq 1903 child: reject — keep SATIN-TWIN-BLACK-NEW; seq 2176 retag correct to Ranking; seq 3127 rename CHANGE</t>
        </is>
      </c>
      <c r="AL222" s="22" t="n"/>
    </row>
    <row r="223">
      <c r="A223" s="2" t="inlineStr">
        <is>
          <t>283568554452942</t>
        </is>
      </c>
      <c r="B223" s="2" t="inlineStr">
        <is>
          <t>D-S4-SP-white satin queen size sheets-(Satin)-LSV-Exact-Rank-DO-SATIN-WHITE-KING</t>
        </is>
      </c>
      <c r="C223" s="2" t="inlineStr">
        <is>
          <t>white satin queen size sheets [exact, $1.53, 1 clicks]</t>
        </is>
      </c>
      <c r="D223" s="2" t="inlineStr">
        <is>
          <t>white satin queen size sheets</t>
        </is>
      </c>
      <c r="E223" s="2" t="inlineStr">
        <is>
          <t>ENABLED</t>
        </is>
      </c>
      <c r="F223" s="2" t="inlineStr">
        <is>
          <t>Ranking</t>
        </is>
      </c>
      <c r="G223" s="2" t="inlineStr">
        <is>
          <t>Conversions</t>
        </is>
      </c>
      <c r="H223" s="2" t="inlineStr">
        <is>
          <t>OUT</t>
        </is>
      </c>
      <c r="I223" s="2" t="inlineStr">
        <is>
          <t>Exact</t>
        </is>
      </c>
      <c r="J223" s="2" t="inlineStr">
        <is>
          <t>SATIN-WHITE-QUEEN</t>
        </is>
      </c>
      <c r="K223" s="2" t="inlineStr">
        <is>
          <t>SATIN-WHITE-QUEEN</t>
        </is>
      </c>
      <c r="L223" s="2" t="inlineStr">
        <is>
          <t>$1.53</t>
        </is>
      </c>
      <c r="M223" s="2" t="inlineStr">
        <is>
          <t>$0.77</t>
        </is>
      </c>
      <c r="N223" s="2" t="n">
        <v>0</v>
      </c>
      <c r="O223" s="2" t="n">
        <v>0</v>
      </c>
      <c r="P223" s="21" t="n">
        <v>1.53</v>
      </c>
      <c r="Q223" s="21" t="n">
        <v>0.77</v>
      </c>
      <c r="R223" s="2" t="n">
        <v>0</v>
      </c>
      <c r="S223" s="2" t="n">
        <v>0</v>
      </c>
      <c r="T223" s="2" t="n">
        <v>0</v>
      </c>
      <c r="U223" s="2" t="n">
        <v>0</v>
      </c>
      <c r="V223" s="21" t="n">
        <v>10</v>
      </c>
      <c r="W223" s="21" t="n">
        <v>10</v>
      </c>
      <c r="X223" s="2" t="inlineStr">
        <is>
          <t>ENABLED</t>
        </is>
      </c>
      <c r="Y223" s="2" t="inlineStr">
        <is>
          <t>none</t>
        </is>
      </c>
      <c r="Z223" s="2" t="inlineStr">
        <is>
          <t>defer — engine name wrong ((Conversion)); load a corrected name after 28 Oct</t>
        </is>
      </c>
      <c r="AA223" s="21" t="n">
        <v>1.53</v>
      </c>
      <c r="AB223" s="2" t="n">
        <v>1</v>
      </c>
      <c r="AC223" s="2" t="n">
        <v>0</v>
      </c>
      <c r="AD223" s="2" t="n"/>
      <c r="AE223" s="2" t="n">
        <v>100</v>
      </c>
      <c r="AF223" s="2" t="n">
        <v>0</v>
      </c>
      <c r="AG223" s="2" t="n">
        <v>0</v>
      </c>
      <c r="AH223" s="2" t="inlineStr">
        <is>
          <t>Release hold + price to break-even</t>
        </is>
      </c>
      <c r="AI223" s="22" t="inlineStr">
        <is>
          <t>Release hold; cut base $1.53 → $0.77; retag → Conversions</t>
        </is>
      </c>
      <c r="AJ223" s="22" t="inlineStr">
        <is>
          <t>no-sale ACoS, 0 orders on 1 clicks (CC 31 Aug–29 Sep) vs Queen White break-even 29.1%; BE base = $9.02 contribution (Queen White) × 0.0% CVR = $0.00; cap 50% cut.</t>
        </is>
      </c>
      <c r="AK223" s="2" t="inlineStr">
        <is>
          <t>seq 3212 rename CHANGE; seq 490,494 NOT SERVING hold(s) → release; price to break-even (our addition, reviewer D); our addition: standard → Conversions (colour term "white satin queen size sheets")</t>
        </is>
      </c>
      <c r="AL223" s="22" t="n"/>
    </row>
    <row r="224">
      <c r="A224" s="2" t="inlineStr">
        <is>
          <t>97190123777056</t>
        </is>
      </c>
      <c r="B224" s="2" t="inlineStr">
        <is>
          <t>D-S4-white silk sheets - [Silk] - Broad - Disc - DO - SATIN-STRIPE-TWIN-WHITE</t>
        </is>
      </c>
      <c r="C224" s="2" t="inlineStr">
        <is>
          <t>white silk sheets [broad, $0.60]; white silk sheets [broad, $0.60]</t>
        </is>
      </c>
      <c r="D224" s="2" t="inlineStr">
        <is>
          <t>white silk sheets</t>
        </is>
      </c>
      <c r="E224" s="2" t="inlineStr">
        <is>
          <t>ENABLED</t>
        </is>
      </c>
      <c r="F224" s="2" t="inlineStr">
        <is>
          <t>Discovery</t>
        </is>
      </c>
      <c r="G224" s="2" t="inlineStr">
        <is>
          <t>Discovery</t>
        </is>
      </c>
      <c r="H224" s="2" t="inlineStr">
        <is>
          <t>Silk</t>
        </is>
      </c>
      <c r="I224" s="2" t="inlineStr">
        <is>
          <t>Broad</t>
        </is>
      </c>
      <c r="J224" s="2" t="inlineStr">
        <is>
          <t>SATIN-WHITE-QUEEN</t>
        </is>
      </c>
      <c r="K224" s="2" t="inlineStr">
        <is>
          <t>SATIN-WHITE-QUEEN</t>
        </is>
      </c>
      <c r="L224" s="2" t="inlineStr">
        <is>
          <t>$0.60</t>
        </is>
      </c>
      <c r="M224" s="2" t="inlineStr">
        <is>
          <t>$0.60</t>
        </is>
      </c>
      <c r="N224" s="2" t="n">
        <v>0</v>
      </c>
      <c r="O224" s="2" t="n">
        <v>0</v>
      </c>
      <c r="P224" s="21" t="n">
        <v>0.6</v>
      </c>
      <c r="Q224" s="21" t="n">
        <v>0.6</v>
      </c>
      <c r="R224" s="2" t="n"/>
      <c r="S224" s="2" t="n"/>
      <c r="T224" s="2" t="n"/>
      <c r="U224" s="2" t="n"/>
      <c r="V224" s="21" t="n">
        <v>10</v>
      </c>
      <c r="W224" s="21" t="n">
        <v>10</v>
      </c>
      <c r="X224" s="2" t="inlineStr">
        <is>
          <t>ENABLED</t>
        </is>
      </c>
      <c r="Y224" s="2" t="inlineStr">
        <is>
          <t>hold seq 1796 (terms not named); add 1 negatives (seq 2262) · add negative exact: queen silk sheets set; silk sheets</t>
        </is>
      </c>
      <c r="Z224" s="2" t="inlineStr">
        <is>
          <t>load (clean): DSS4-SP-White Silk Sheets-[Silk]-(MSV)-Broad-(Discovery)-DO-SATIN-WHITE-QUEEN</t>
        </is>
      </c>
      <c r="AA224" s="21" t="n">
        <v>1.52</v>
      </c>
      <c r="AB224" s="2" t="n">
        <v>3</v>
      </c>
      <c r="AC224" s="2" t="n">
        <v>1</v>
      </c>
      <c r="AD224" s="2" t="n">
        <v>4.5</v>
      </c>
      <c r="AE224" s="2" t="n">
        <v>0</v>
      </c>
      <c r="AF224" s="2" t="n">
        <v>66.67</v>
      </c>
      <c r="AG224" s="2" t="n">
        <v>8</v>
      </c>
      <c r="AH224" s="2" t="inlineStr">
        <is>
          <t>Release hold, keep price</t>
        </is>
      </c>
      <c r="AI224" s="22" t="inlineStr">
        <is>
          <t>Release hold; keep base $0.60 (at/under break-even)</t>
        </is>
      </c>
      <c r="AJ224" s="22" t="inlineStr">
        <is>
          <t>4.5% ACoS, 1 orders on 3 clicks (CC 31 Aug–29 Sep) vs Queen White break-even 29.1%; BE base = $9.02 contribution (Queen White) × 33.3% CVR = $3.01; cap 25% cut.</t>
        </is>
      </c>
      <c r="AK224" s="2" t="inlineStr">
        <is>
          <t>seq 1796 negatives: flag: unverifiable; seq 2262 negatives: agree with review 40; seq 3048 rename LOAD; seq 1763 NOT SERVING hold(s) → release; price to break-even (our addition, reviewer D)</t>
        </is>
      </c>
      <c r="AL224" s="22" t="n"/>
    </row>
    <row r="225">
      <c r="A225" s="2" t="inlineStr">
        <is>
          <t>11274428154900</t>
        </is>
      </c>
      <c r="B225" s="2" t="inlineStr">
        <is>
          <t>D-S4-SP-silk sheets king size-(Silk)-MSV-Phrase-Disc-DO-SATIN-KING-BLACK</t>
        </is>
      </c>
      <c r="C225" s="2" t="inlineStr">
        <is>
          <t>silk sheets king size [phrase]</t>
        </is>
      </c>
      <c r="D225" s="2" t="inlineStr">
        <is>
          <t>whole campaign</t>
        </is>
      </c>
      <c r="E225" s="2" t="inlineStr">
        <is>
          <t>ENABLED</t>
        </is>
      </c>
      <c r="F225" s="2" t="inlineStr">
        <is>
          <t>Discovery</t>
        </is>
      </c>
      <c r="G225" s="2" t="inlineStr">
        <is>
          <t>Discovery</t>
        </is>
      </c>
      <c r="H225" s="2" t="n"/>
      <c r="I225" s="2" t="inlineStr">
        <is>
          <t>Phrase</t>
        </is>
      </c>
      <c r="J225" s="2" t="inlineStr">
        <is>
          <t>SATIN-4PC-KING-GREY</t>
        </is>
      </c>
      <c r="K225" s="2" t="inlineStr">
        <is>
          <t>SATIN-4PC-KING-GREY</t>
        </is>
      </c>
      <c r="L225" s="2" t="inlineStr">
        <is>
          <t>$1.12</t>
        </is>
      </c>
      <c r="M225" s="2" t="inlineStr">
        <is>
          <t>$1.12</t>
        </is>
      </c>
      <c r="N225" s="2" t="n">
        <v>30</v>
      </c>
      <c r="O225" s="2" t="n">
        <v>30</v>
      </c>
      <c r="P225" s="21" t="n">
        <v>1.46</v>
      </c>
      <c r="Q225" s="21" t="n">
        <v>1.46</v>
      </c>
      <c r="R225" s="2" t="n"/>
      <c r="S225" s="2" t="n"/>
      <c r="T225" s="2" t="n"/>
      <c r="U225" s="2" t="n"/>
      <c r="V225" s="21" t="n">
        <v>1</v>
      </c>
      <c r="W225" s="21" t="n">
        <v>1</v>
      </c>
      <c r="X225" s="2" t="inlineStr">
        <is>
          <t>PAUSED</t>
        </is>
      </c>
      <c r="Y225" s="2" t="inlineStr">
        <is>
          <t>none</t>
        </is>
      </c>
      <c r="Z225" s="2" t="inlineStr">
        <is>
          <t>none</t>
        </is>
      </c>
      <c r="AA225" s="21" t="n">
        <v>1.45</v>
      </c>
      <c r="AB225" s="2" t="n">
        <v>1</v>
      </c>
      <c r="AC225" s="2" t="n">
        <v>0</v>
      </c>
      <c r="AD225" s="2" t="n"/>
      <c r="AE225" s="2" t="n">
        <v>100</v>
      </c>
      <c r="AF225" s="2" t="n">
        <v>0</v>
      </c>
      <c r="AG225" s="2" t="n">
        <v>3</v>
      </c>
      <c r="AH225" s="2" t="inlineStr">
        <is>
          <t>Pause</t>
        </is>
      </c>
      <c r="AI225" s="22" t="inlineStr">
        <is>
          <t>Pause (seq 2866)</t>
        </is>
      </c>
      <c r="AJ225" s="22" t="inlineStr">
        <is>
          <t>no sales ACoS on 0 orders / 1 clicks (CC 31 Aug–29 Sep). Second discovery campaign in its family (fold = pause; only negatives move).</t>
        </is>
      </c>
      <c r="AK225" s="2" t="inlineStr">
        <is>
          <t>seq 2866 structure: agree with review 40; seq 2004 NOT SERVING hold(s) moot — campaign paused</t>
        </is>
      </c>
      <c r="AL225" s="22" t="n"/>
    </row>
    <row r="226">
      <c r="A226" s="2" t="inlineStr">
        <is>
          <t>171303786851530</t>
        </is>
      </c>
      <c r="B226" s="2" t="inlineStr">
        <is>
          <t>D-S4-full size satin sheet set - [Satin|Full] - Exact - Ran - DO - SATIN-FULL-BLACK</t>
        </is>
      </c>
      <c r="C226" s="2" t="inlineStr">
        <is>
          <t>full size satin sheet set [exact, $0.50, 1 clicks]</t>
        </is>
      </c>
      <c r="D226" s="2" t="inlineStr">
        <is>
          <t>full size satin sheet set</t>
        </is>
      </c>
      <c r="E226" s="2" t="inlineStr">
        <is>
          <t>ENABLED</t>
        </is>
      </c>
      <c r="F226" s="2" t="inlineStr">
        <is>
          <t>Ranking</t>
        </is>
      </c>
      <c r="G226" s="2" t="inlineStr">
        <is>
          <t>Ranking</t>
        </is>
      </c>
      <c r="H226" s="2" t="inlineStr">
        <is>
          <t>OUT</t>
        </is>
      </c>
      <c r="I226" s="2" t="inlineStr">
        <is>
          <t>Exact</t>
        </is>
      </c>
      <c r="J226" s="2" t="inlineStr">
        <is>
          <t>SATIN-FULL-BLACK</t>
        </is>
      </c>
      <c r="K226" s="2" t="inlineStr">
        <is>
          <t>SATIN-FULL-BLACK</t>
        </is>
      </c>
      <c r="L226" s="2" t="inlineStr">
        <is>
          <t>$0.50</t>
        </is>
      </c>
      <c r="M226" s="2" t="inlineStr">
        <is>
          <t>$0.25</t>
        </is>
      </c>
      <c r="N226" s="2" t="n">
        <v>190</v>
      </c>
      <c r="O226" s="2" t="n">
        <v>190</v>
      </c>
      <c r="P226" s="21" t="n">
        <v>1.45</v>
      </c>
      <c r="Q226" s="21" t="n">
        <v>0.72</v>
      </c>
      <c r="R226" s="2" t="n">
        <v>0</v>
      </c>
      <c r="S226" s="2" t="n">
        <v>0</v>
      </c>
      <c r="T226" s="2" t="n">
        <v>0</v>
      </c>
      <c r="U226" s="2" t="n">
        <v>0</v>
      </c>
      <c r="V226" s="21" t="n">
        <v>9.359999999999999</v>
      </c>
      <c r="W226" s="21" t="n">
        <v>9.359999999999999</v>
      </c>
      <c r="X226" s="2" t="inlineStr">
        <is>
          <t>ENABLED</t>
        </is>
      </c>
      <c r="Y226" s="2" t="inlineStr">
        <is>
          <t>none</t>
        </is>
      </c>
      <c r="Z226" s="2" t="inlineStr">
        <is>
          <t>defer — engine name wrong (SKU token SATIN-FULL-BLACK); load a corrected name after 28 Oct</t>
        </is>
      </c>
      <c r="AA226" s="21" t="n">
        <v>1.45</v>
      </c>
      <c r="AB226" s="2" t="n">
        <v>1</v>
      </c>
      <c r="AC226" s="2" t="n">
        <v>0</v>
      </c>
      <c r="AD226" s="2" t="n"/>
      <c r="AE226" s="2" t="n">
        <v>100</v>
      </c>
      <c r="AF226" s="2" t="n">
        <v>0</v>
      </c>
      <c r="AG226" s="2" t="n">
        <v>0</v>
      </c>
      <c r="AH226" s="2" t="inlineStr">
        <is>
          <t>Release hold + price to break-even</t>
        </is>
      </c>
      <c r="AI226" s="22" t="inlineStr">
        <is>
          <t>Release hold; cut base $0.50 → $0.25</t>
        </is>
      </c>
      <c r="AJ226" s="22" t="inlineStr">
        <is>
          <t>no-sale ACoS, 0 orders on 1 clicks (CC 31 Aug–29 Sep) vs Full Black break-even 27.5%; BE base = $8.04 contribution (Full Black) × 0.0% CVR = $0.00; cap 50% cut.</t>
        </is>
      </c>
      <c r="AK226" s="2" t="inlineStr">
        <is>
          <t>seq 1899 child: reject — keep SATIN-FULL-BLACK; seq 3120 rename CHANGE; seq 495,499 NOT SERVING hold(s) → release; price to break-even (our addition, reviewer D)</t>
        </is>
      </c>
      <c r="AL226" s="22" t="n"/>
    </row>
    <row r="227">
      <c r="A227" s="2" t="inlineStr">
        <is>
          <t>253453691028673</t>
        </is>
      </c>
      <c r="B227" s="2" t="inlineStr">
        <is>
          <t>D-S4-full size silk sheets - [Silk|Full] - Broad - Disc - DO - SATIN-CHAMPAGNE-FULL</t>
        </is>
      </c>
      <c r="C227" s="2" t="inlineStr">
        <is>
          <t>full size silk sheets [broad]</t>
        </is>
      </c>
      <c r="D227" s="2" t="inlineStr">
        <is>
          <t>whole campaign</t>
        </is>
      </c>
      <c r="E227" s="2" t="inlineStr">
        <is>
          <t>ENABLED</t>
        </is>
      </c>
      <c r="F227" s="2" t="inlineStr">
        <is>
          <t>Discovery</t>
        </is>
      </c>
      <c r="G227" s="2" t="inlineStr">
        <is>
          <t>Discovery</t>
        </is>
      </c>
      <c r="H227" s="2" t="inlineStr">
        <is>
          <t>Silk|Full</t>
        </is>
      </c>
      <c r="I227" s="2" t="inlineStr">
        <is>
          <t>Broad</t>
        </is>
      </c>
      <c r="J227" s="2" t="inlineStr">
        <is>
          <t>SATIN-CHAMPAGNE-FULL</t>
        </is>
      </c>
      <c r="K227" s="2" t="inlineStr">
        <is>
          <t>SATIN-FULL-BLACK</t>
        </is>
      </c>
      <c r="L227" s="2" t="inlineStr">
        <is>
          <t>n/a (no target bid in audit)</t>
        </is>
      </c>
      <c r="M227" s="2" t="inlineStr">
        <is>
          <t>n/a</t>
        </is>
      </c>
      <c r="N227" s="2" t="n">
        <v>0</v>
      </c>
      <c r="O227" s="2" t="n">
        <v>0</v>
      </c>
      <c r="P227" s="21" t="n"/>
      <c r="Q227" s="21" t="n"/>
      <c r="R227" s="2" t="n"/>
      <c r="S227" s="2" t="n"/>
      <c r="T227" s="2" t="n"/>
      <c r="U227" s="2" t="n"/>
      <c r="V227" s="21" t="n">
        <v>10</v>
      </c>
      <c r="W227" s="21" t="n">
        <v>10</v>
      </c>
      <c r="X227" s="2" t="inlineStr">
        <is>
          <t>ENABLED</t>
        </is>
      </c>
      <c r="Y227" s="2" t="inlineStr">
        <is>
          <t>none</t>
        </is>
      </c>
      <c r="Z227" s="2" t="inlineStr">
        <is>
          <t>defer — engine name wrong (SKU token SATIN-CHAMPAGNE-FULL); load a corrected name after 28 Oct</t>
        </is>
      </c>
      <c r="AA227" s="21" t="n">
        <v>1.34</v>
      </c>
      <c r="AB227" s="2" t="n">
        <v>2</v>
      </c>
      <c r="AC227" s="2" t="n">
        <v>0</v>
      </c>
      <c r="AD227" s="2" t="n"/>
      <c r="AE227" s="2" t="n">
        <v>0</v>
      </c>
      <c r="AF227" s="2" t="n">
        <v>0</v>
      </c>
      <c r="AG227" s="2" t="n">
        <v>2</v>
      </c>
      <c r="AH227" s="2" t="inlineStr">
        <is>
          <t>Child swap</t>
        </is>
      </c>
      <c r="AI227" s="22" t="inlineStr">
        <is>
          <t>Swap child to SATIN-FULL-BLACK</t>
        </is>
      </c>
      <c r="AJ227" s="22" t="inlineStr">
        <is>
          <t>no sales ACoS on 0 orders / 2 clicks (CC 31 Aug–29 Sep). Correct to SATIN-FULL-BLACK (once size map fixed; low stakes) (seq 1878).</t>
        </is>
      </c>
      <c r="AK227" s="2" t="inlineStr">
        <is>
          <t>seq 1878 child: correct to SATIN-FULL-BLACK (once size map fixed; low stakes…; seq 3047 rename CHANGE</t>
        </is>
      </c>
      <c r="AL227" s="22" t="n"/>
    </row>
    <row r="228">
      <c r="A228" s="2" t="inlineStr">
        <is>
          <t>160580227993835</t>
        </is>
      </c>
      <c r="B228" s="2" t="inlineStr">
        <is>
          <t>D-S4-SP-grey silk sheets-(Silk)-MSV-Phrase-Disc-DO-SATIN-KING-GREY</t>
        </is>
      </c>
      <c r="C228" s="2" t="inlineStr">
        <is>
          <t>grey silk sheets [phrase]</t>
        </is>
      </c>
      <c r="D228" s="2" t="inlineStr">
        <is>
          <t>whole campaign</t>
        </is>
      </c>
      <c r="E228" s="2" t="inlineStr">
        <is>
          <t>ENABLED</t>
        </is>
      </c>
      <c r="F228" s="2" t="inlineStr">
        <is>
          <t>Discovery</t>
        </is>
      </c>
      <c r="G228" s="2" t="inlineStr">
        <is>
          <t>Discovery</t>
        </is>
      </c>
      <c r="H228" s="2" t="n"/>
      <c r="I228" s="2" t="inlineStr">
        <is>
          <t>Phrase</t>
        </is>
      </c>
      <c r="J228" s="2" t="inlineStr">
        <is>
          <t>SATIN-QUEEN-GREY</t>
        </is>
      </c>
      <c r="K228" s="2" t="inlineStr">
        <is>
          <t>SATIN-QUEEN-GREY</t>
        </is>
      </c>
      <c r="L228" s="2" t="inlineStr">
        <is>
          <t>n/a (no target bid in audit)</t>
        </is>
      </c>
      <c r="M228" s="2" t="inlineStr">
        <is>
          <t>n/a</t>
        </is>
      </c>
      <c r="N228" s="2" t="n">
        <v>40</v>
      </c>
      <c r="O228" s="2" t="n">
        <v>40</v>
      </c>
      <c r="P228" s="21" t="n"/>
      <c r="Q228" s="21" t="n"/>
      <c r="R228" s="2" t="n"/>
      <c r="S228" s="2" t="n"/>
      <c r="T228" s="2" t="n"/>
      <c r="U228" s="2" t="n"/>
      <c r="V228" s="21" t="n">
        <v>10.92</v>
      </c>
      <c r="W228" s="21" t="n">
        <v>10.92</v>
      </c>
      <c r="X228" s="2" t="inlineStr">
        <is>
          <t>ENABLED</t>
        </is>
      </c>
      <c r="Y228" s="2" t="inlineStr">
        <is>
          <t>none</t>
        </is>
      </c>
      <c r="Z228" s="2" t="inlineStr">
        <is>
          <t>load (clean): DSS4-SP-Grey Silk Sheets-[Silk]-(LSV)-Phrase-(Discovery)-DO-SATIN-QUEEN-GREY</t>
        </is>
      </c>
      <c r="AA228" s="21" t="n">
        <v>0.8</v>
      </c>
      <c r="AB228" s="2" t="n">
        <v>1</v>
      </c>
      <c r="AC228" s="2" t="n">
        <v>0</v>
      </c>
      <c r="AD228" s="2" t="n"/>
      <c r="AE228" s="2" t="n">
        <v>0</v>
      </c>
      <c r="AF228" s="2" t="n">
        <v>100</v>
      </c>
      <c r="AG228" s="2" t="n">
        <v>2</v>
      </c>
      <c r="AH228" s="2" t="inlineStr">
        <is>
          <t>Rename only</t>
        </is>
      </c>
      <c r="AI228" s="22" t="inlineStr">
        <is>
          <t>Load rename only</t>
        </is>
      </c>
      <c r="AJ228" s="22" t="inlineStr">
        <is>
          <t>Clean rename (SKU token and objective match what the campaign advertises); no sales ACoS on 0 orders / 1 clicks (CC 31 Aug–29 Sep).</t>
        </is>
      </c>
      <c r="AK228" s="2" t="inlineStr">
        <is>
          <t>seq 3105 rename LOAD</t>
        </is>
      </c>
      <c r="AL228" s="22" t="n"/>
    </row>
    <row r="229">
      <c r="A229" s="2" t="inlineStr">
        <is>
          <t>75408826216844</t>
        </is>
      </c>
      <c r="B229" s="2" t="inlineStr">
        <is>
          <t>SSS4-PHRASE-(satin fitted sheet)-Browse Kws Migr.</t>
        </is>
      </c>
      <c r="C229" s="2" t="inlineStr">
        <is>
          <t>satin fitted sheet [phrase, $0.79]; satin fitted sheet [phrase, $0.93]</t>
        </is>
      </c>
      <c r="D229" s="2" t="inlineStr">
        <is>
          <t>whole campaign</t>
        </is>
      </c>
      <c r="E229" s="2" t="inlineStr">
        <is>
          <t>ENABLED</t>
        </is>
      </c>
      <c r="F229" s="2" t="inlineStr">
        <is>
          <t>Discovery</t>
        </is>
      </c>
      <c r="G229" s="2" t="inlineStr">
        <is>
          <t>Discovery</t>
        </is>
      </c>
      <c r="H229" s="2" t="n"/>
      <c r="I229" s="2" t="inlineStr">
        <is>
          <t>Phrase</t>
        </is>
      </c>
      <c r="J229" s="2" t="inlineStr">
        <is>
          <t>SATIN-QUEEN-BLACK</t>
        </is>
      </c>
      <c r="K229" s="2" t="inlineStr">
        <is>
          <t>SATIN-QUEEN-BLACK</t>
        </is>
      </c>
      <c r="L229" s="2" t="inlineStr">
        <is>
          <t>$0.79</t>
        </is>
      </c>
      <c r="M229" s="2" t="inlineStr">
        <is>
          <t>$0.79</t>
        </is>
      </c>
      <c r="N229" s="2" t="n">
        <v>0</v>
      </c>
      <c r="O229" s="2" t="n">
        <v>0</v>
      </c>
      <c r="P229" s="21" t="n">
        <v>0.79</v>
      </c>
      <c r="Q229" s="21" t="n">
        <v>0.79</v>
      </c>
      <c r="R229" s="2" t="n"/>
      <c r="S229" s="2" t="n"/>
      <c r="T229" s="2" t="n"/>
      <c r="U229" s="2" t="n"/>
      <c r="V229" s="21" t="n">
        <v>5</v>
      </c>
      <c r="W229" s="21" t="n">
        <v>5</v>
      </c>
      <c r="X229" s="2" t="inlineStr">
        <is>
          <t>PAUSED</t>
        </is>
      </c>
      <c r="Y229" s="2" t="inlineStr">
        <is>
          <t>none</t>
        </is>
      </c>
      <c r="Z229" s="2" t="inlineStr">
        <is>
          <t>none</t>
        </is>
      </c>
      <c r="AA229" s="21" t="n">
        <v>0.79</v>
      </c>
      <c r="AB229" s="2" t="n">
        <v>1</v>
      </c>
      <c r="AC229" s="2" t="n">
        <v>0</v>
      </c>
      <c r="AD229" s="2" t="n"/>
      <c r="AE229" s="2" t="n">
        <v>0</v>
      </c>
      <c r="AF229" s="2" t="n">
        <v>0</v>
      </c>
      <c r="AG229" s="2" t="n">
        <v>3</v>
      </c>
      <c r="AH229" s="2" t="inlineStr">
        <is>
          <t>Pause</t>
        </is>
      </c>
      <c r="AI229" s="22" t="inlineStr">
        <is>
          <t>Pause (seq 2855)</t>
        </is>
      </c>
      <c r="AJ229" s="22" t="inlineStr">
        <is>
          <t>no sales ACoS on 0 orders / 1 clicks (CC 31 Aug–29 Sep). Second discovery campaign in its family (fold = pause; only negatives move).</t>
        </is>
      </c>
      <c r="AK229" s="2" t="inlineStr">
        <is>
          <t>seq 2855 structure: agree with review 40; seq 1785 NOT SERVING hold(s) moot — campaign paused</t>
        </is>
      </c>
      <c r="AL229" s="22" t="n"/>
    </row>
    <row r="230">
      <c r="A230" s="2" t="inlineStr">
        <is>
          <t>41692734764492</t>
        </is>
      </c>
      <c r="B230" s="2" t="inlineStr">
        <is>
          <t>D-S4-B0CM5NXPHC - PAT - MS - DO - SATIN-QUEEN-BLACK</t>
        </is>
      </c>
      <c r="C230" s="2" t="inlineStr">
        <is>
          <t>Product targets: B0CM5NXPHC</t>
        </is>
      </c>
      <c r="D230" s="2" t="inlineStr">
        <is>
          <t>whole campaign</t>
        </is>
      </c>
      <c r="E230" s="2" t="inlineStr">
        <is>
          <t>ENABLED</t>
        </is>
      </c>
      <c r="F230" s="2" t="inlineStr">
        <is>
          <t>Conversions</t>
        </is>
      </c>
      <c r="G230" s="2" t="inlineStr">
        <is>
          <t>Conquesting</t>
        </is>
      </c>
      <c r="H230" s="2" t="n"/>
      <c r="I230" s="2" t="inlineStr">
        <is>
          <t>ASIN</t>
        </is>
      </c>
      <c r="J230" s="2" t="inlineStr">
        <is>
          <t>SATIN-QUEEN-BLACK</t>
        </is>
      </c>
      <c r="K230" s="2" t="inlineStr">
        <is>
          <t>SATIN-QUEEN-BLACK</t>
        </is>
      </c>
      <c r="L230" s="2" t="inlineStr">
        <is>
          <t>n/a (no target bid in audit)</t>
        </is>
      </c>
      <c r="M230" s="2" t="inlineStr">
        <is>
          <t>n/a</t>
        </is>
      </c>
      <c r="N230" s="2" t="n">
        <v>0</v>
      </c>
      <c r="O230" s="2" t="n">
        <v>0</v>
      </c>
      <c r="P230" s="21" t="n"/>
      <c r="Q230" s="21" t="n"/>
      <c r="R230" s="2" t="n"/>
      <c r="S230" s="2" t="n"/>
      <c r="T230" s="2" t="n"/>
      <c r="U230" s="2" t="n"/>
      <c r="V230" s="21" t="n">
        <v>10</v>
      </c>
      <c r="W230" s="21" t="n">
        <v>10</v>
      </c>
      <c r="X230" s="2" t="inlineStr">
        <is>
          <t>ENABLED</t>
        </is>
      </c>
      <c r="Y230" s="2" t="inlineStr">
        <is>
          <t>none</t>
        </is>
      </c>
      <c r="Z230" s="2" t="inlineStr">
        <is>
          <t>defer — engine name wrong ((Conquest)); load a corrected name after 28 Oct</t>
        </is>
      </c>
      <c r="AA230" s="21" t="n">
        <v>0.66</v>
      </c>
      <c r="AB230" s="2" t="n">
        <v>1</v>
      </c>
      <c r="AC230" s="2" t="n">
        <v>0</v>
      </c>
      <c r="AD230" s="2" t="n"/>
      <c r="AE230" s="2" t="n">
        <v>0</v>
      </c>
      <c r="AF230" s="2" t="n">
        <v>0</v>
      </c>
      <c r="AG230" s="2" t="n">
        <v>0</v>
      </c>
      <c r="AH230" s="2" t="inlineStr">
        <is>
          <t>Retag only</t>
        </is>
      </c>
      <c r="AI230" s="22" t="inlineStr">
        <is>
          <t>retag → Conquesting</t>
        </is>
      </c>
      <c r="AJ230" s="22" t="inlineStr">
        <is>
          <t>Objective Conversions → Conquesting by the standard (our retag verdict); no sales ACoS on 0 orders / 1 clicks (CC 31 Aug–29 Sep).</t>
        </is>
      </c>
      <c r="AK230" s="2" t="inlineStr">
        <is>
          <t>seq 2211 retag correct to Conquesting; seq 3245 rename CHANGE</t>
        </is>
      </c>
      <c r="AL230" s="22" t="n"/>
    </row>
    <row r="231">
      <c r="A231" s="2" t="inlineStr">
        <is>
          <t>281352404839019</t>
        </is>
      </c>
      <c r="B231" s="2" t="inlineStr">
        <is>
          <t>D-S4-red silk sheets queen - [Silk|Queen] - Phrase - Conv - DO - SATIN-4PC-RED-QUEEN</t>
        </is>
      </c>
      <c r="C231" s="2" t="inlineStr">
        <is>
          <t>red silk sheets queen [phrase]</t>
        </is>
      </c>
      <c r="D231" s="2" t="inlineStr">
        <is>
          <t>red silk sheets queen</t>
        </is>
      </c>
      <c r="E231" s="2" t="inlineStr">
        <is>
          <t>ENABLED</t>
        </is>
      </c>
      <c r="F231" s="2" t="inlineStr">
        <is>
          <t>Conversions</t>
        </is>
      </c>
      <c r="G231" s="2" t="inlineStr">
        <is>
          <t>Discovery</t>
        </is>
      </c>
      <c r="H231" s="2" t="inlineStr">
        <is>
          <t>Silk|Queen</t>
        </is>
      </c>
      <c r="I231" s="2" t="inlineStr">
        <is>
          <t>Phrase</t>
        </is>
      </c>
      <c r="J231" s="2" t="inlineStr">
        <is>
          <t>SATIN-4PC-RED-QUEEN</t>
        </is>
      </c>
      <c r="K231" s="2" t="inlineStr">
        <is>
          <t>SATIN-4PC-RED-QUEEN</t>
        </is>
      </c>
      <c r="L231" s="2" t="inlineStr">
        <is>
          <t>n/a (no target bid in audit)</t>
        </is>
      </c>
      <c r="M231" s="2" t="inlineStr">
        <is>
          <t>n/a</t>
        </is>
      </c>
      <c r="N231" s="2" t="n">
        <v>0</v>
      </c>
      <c r="O231" s="2" t="n">
        <v>0</v>
      </c>
      <c r="P231" s="21" t="n"/>
      <c r="Q231" s="21" t="n"/>
      <c r="R231" s="2" t="n"/>
      <c r="S231" s="2" t="n"/>
      <c r="T231" s="2" t="n"/>
      <c r="U231" s="2" t="n"/>
      <c r="V231" s="21" t="n">
        <v>10</v>
      </c>
      <c r="W231" s="21" t="n">
        <v>10</v>
      </c>
      <c r="X231" s="2" t="inlineStr">
        <is>
          <t>PAUSED</t>
        </is>
      </c>
      <c r="Y231" s="2" t="inlineStr">
        <is>
          <t>none</t>
        </is>
      </c>
      <c r="Z231" s="2" t="inlineStr">
        <is>
          <t>none</t>
        </is>
      </c>
      <c r="AA231" s="21" t="n">
        <v>0.6</v>
      </c>
      <c r="AB231" s="2" t="n">
        <v>1</v>
      </c>
      <c r="AC231" s="2" t="n">
        <v>0</v>
      </c>
      <c r="AD231" s="2" t="n"/>
      <c r="AE231" s="2" t="n">
        <v>0</v>
      </c>
      <c r="AF231" s="2" t="n">
        <v>0</v>
      </c>
      <c r="AG231" s="2" t="n">
        <v>0</v>
      </c>
      <c r="AH231" s="2" t="inlineStr">
        <is>
          <t>Pause</t>
        </is>
      </c>
      <c r="AI231" s="22" t="inlineStr">
        <is>
          <t>Pause target "red silk sheets queen" (its only target — campaign goes dark); retag → Discovery</t>
        </is>
      </c>
      <c r="AJ231" s="22" t="inlineStr">
        <is>
          <t>no sales ACoS on 0 orders / 1 clicks (CC 31 Aug–29 Sep). Engine target pause agreed with review 40: Conversions campaign on a Re-Launch product whose objective is re-ranking — this campaign supports the push and is graded on its own objective's metric, never on the ranking bar…</t>
        </is>
      </c>
      <c r="AK231" s="2" t="inlineStr">
        <is>
          <t>seq 2062 state: agree with review 40; seq 3340 structure 3340: agree with review 40; our addition: standard → Discovery (phrase)</t>
        </is>
      </c>
      <c r="AL231" s="22" t="n"/>
    </row>
    <row r="232">
      <c r="A232" s="2" t="inlineStr">
        <is>
          <t>200114938631149</t>
        </is>
      </c>
      <c r="B232" s="2" t="inlineStr">
        <is>
          <t>D-S4-sateen sheets king size - [Satin|King] - Broad - Disc - DO - SATIN-4PCS-KING-SEA-TEAL</t>
        </is>
      </c>
      <c r="C232" s="2" t="inlineStr">
        <is>
          <t>sateen sheets king size [broad]</t>
        </is>
      </c>
      <c r="D232" s="2" t="inlineStr">
        <is>
          <t>whole campaign</t>
        </is>
      </c>
      <c r="E232" s="2" t="inlineStr">
        <is>
          <t>ENABLED</t>
        </is>
      </c>
      <c r="F232" s="2" t="inlineStr">
        <is>
          <t>Discovery</t>
        </is>
      </c>
      <c r="G232" s="2" t="inlineStr">
        <is>
          <t>Discovery</t>
        </is>
      </c>
      <c r="H232" s="2" t="inlineStr">
        <is>
          <t>Satin|King</t>
        </is>
      </c>
      <c r="I232" s="2" t="inlineStr">
        <is>
          <t>Broad</t>
        </is>
      </c>
      <c r="J232" s="2" t="inlineStr">
        <is>
          <t>SATIN-4PC-KING-GREY</t>
        </is>
      </c>
      <c r="K232" s="2" t="inlineStr">
        <is>
          <t>SATIN-4PC-KING-GREY</t>
        </is>
      </c>
      <c r="L232" s="2" t="inlineStr">
        <is>
          <t>n/a (no target bid in audit)</t>
        </is>
      </c>
      <c r="M232" s="2" t="inlineStr">
        <is>
          <t>n/a</t>
        </is>
      </c>
      <c r="N232" s="2" t="n">
        <v>0</v>
      </c>
      <c r="O232" s="2" t="n">
        <v>0</v>
      </c>
      <c r="P232" s="21" t="n"/>
      <c r="Q232" s="21" t="n"/>
      <c r="R232" s="2" t="n"/>
      <c r="S232" s="2" t="n"/>
      <c r="T232" s="2" t="n"/>
      <c r="U232" s="2" t="n"/>
      <c r="V232" s="21" t="n">
        <v>10</v>
      </c>
      <c r="W232" s="21" t="n">
        <v>10</v>
      </c>
      <c r="X232" s="2" t="inlineStr">
        <is>
          <t>PAUSED</t>
        </is>
      </c>
      <c r="Y232" s="2" t="inlineStr">
        <is>
          <t>none</t>
        </is>
      </c>
      <c r="Z232" s="2" t="inlineStr">
        <is>
          <t>none</t>
        </is>
      </c>
      <c r="AA232" s="21" t="n">
        <v>0.6</v>
      </c>
      <c r="AB232" s="2" t="n">
        <v>1</v>
      </c>
      <c r="AC232" s="2" t="n">
        <v>1</v>
      </c>
      <c r="AD232" s="2" t="n">
        <v>1.8</v>
      </c>
      <c r="AE232" s="2" t="n">
        <v>0</v>
      </c>
      <c r="AF232" s="2" t="n">
        <v>100</v>
      </c>
      <c r="AG232" s="2" t="n">
        <v>3</v>
      </c>
      <c r="AH232" s="2" t="inlineStr">
        <is>
          <t>Pause</t>
        </is>
      </c>
      <c r="AI232" s="22" t="inlineStr">
        <is>
          <t>Pause (seq 2862)</t>
        </is>
      </c>
      <c r="AJ232" s="22" t="inlineStr">
        <is>
          <t>1.8% ACoS on 1 orders / 1 clicks (CC 31 Aug–29 Sep). Second discovery campaign in its family (fold = pause; only negatives move).</t>
        </is>
      </c>
      <c r="AK232" s="2" t="inlineStr">
        <is>
          <t>seq 2862 structure: agree with review 40</t>
        </is>
      </c>
      <c r="AL232" s="22" t="n"/>
    </row>
    <row r="233">
      <c r="A233" s="2" t="inlineStr">
        <is>
          <t>54253700354822</t>
        </is>
      </c>
      <c r="B233" s="2" t="inlineStr">
        <is>
          <t>D-S4-white silk sheets - [Silk] - Phrase - Conv - DO - SATIN-STRIPE-TWIN-WHITE</t>
        </is>
      </c>
      <c r="C233" s="2" t="inlineStr">
        <is>
          <t>white silk sheets [phrase]</t>
        </is>
      </c>
      <c r="D233" s="2" t="inlineStr">
        <is>
          <t>whole campaign</t>
        </is>
      </c>
      <c r="E233" s="2" t="inlineStr">
        <is>
          <t>ENABLED</t>
        </is>
      </c>
      <c r="F233" s="2" t="inlineStr">
        <is>
          <t>Conversions</t>
        </is>
      </c>
      <c r="G233" s="2" t="inlineStr">
        <is>
          <t>Discovery</t>
        </is>
      </c>
      <c r="H233" s="2" t="inlineStr">
        <is>
          <t>Silk</t>
        </is>
      </c>
      <c r="I233" s="2" t="inlineStr">
        <is>
          <t>Phrase</t>
        </is>
      </c>
      <c r="J233" s="2" t="inlineStr">
        <is>
          <t>SATIN-WHITE-QUEEN</t>
        </is>
      </c>
      <c r="K233" s="2" t="inlineStr">
        <is>
          <t>SATIN-WHITE-QUEEN</t>
        </is>
      </c>
      <c r="L233" s="2" t="inlineStr">
        <is>
          <t>n/a (no target bid in audit)</t>
        </is>
      </c>
      <c r="M233" s="2" t="inlineStr">
        <is>
          <t>n/a</t>
        </is>
      </c>
      <c r="N233" s="2" t="n">
        <v>0</v>
      </c>
      <c r="O233" s="2" t="n">
        <v>0</v>
      </c>
      <c r="P233" s="21" t="n"/>
      <c r="Q233" s="21" t="n"/>
      <c r="R233" s="2" t="n"/>
      <c r="S233" s="2" t="n"/>
      <c r="T233" s="2" t="n"/>
      <c r="U233" s="2" t="n"/>
      <c r="V233" s="21" t="n">
        <v>10</v>
      </c>
      <c r="W233" s="21" t="n">
        <v>10</v>
      </c>
      <c r="X233" s="2" t="inlineStr">
        <is>
          <t>PAUSED</t>
        </is>
      </c>
      <c r="Y233" s="2" t="inlineStr">
        <is>
          <t>none</t>
        </is>
      </c>
      <c r="Z233" s="2" t="inlineStr">
        <is>
          <t>none</t>
        </is>
      </c>
      <c r="AA233" s="21" t="n">
        <v>0.6</v>
      </c>
      <c r="AB233" s="2" t="n">
        <v>1</v>
      </c>
      <c r="AC233" s="2" t="n">
        <v>0</v>
      </c>
      <c r="AD233" s="2" t="n"/>
      <c r="AE233" s="2" t="n">
        <v>0</v>
      </c>
      <c r="AF233" s="2" t="n">
        <v>0</v>
      </c>
      <c r="AG233" s="2" t="n">
        <v>0</v>
      </c>
      <c r="AH233" s="2" t="inlineStr">
        <is>
          <t>Pause</t>
        </is>
      </c>
      <c r="AI233" s="22" t="inlineStr">
        <is>
          <t>Pause (seq 3340); retag → Discovery</t>
        </is>
      </c>
      <c r="AJ233" s="22" t="inlineStr">
        <is>
          <t>no sales ACoS on 0 orders / 1 clicks (CC 31 Aug–29 Sep). Duplicate discovery campaign with under 15 clicks and no order in 90 days (audit read to 29 Sep).</t>
        </is>
      </c>
      <c r="AK233" s="2" t="inlineStr">
        <is>
          <t>seq 3340 structure 3340: agree with review 40; our addition: standard → Discovery (phrase)</t>
        </is>
      </c>
      <c r="AL233" s="22" t="n"/>
    </row>
    <row r="234">
      <c r="A234" s="2" t="inlineStr">
        <is>
          <t>51164919127528</t>
        </is>
      </c>
      <c r="B234" s="2" t="inlineStr">
        <is>
          <t>D-S4-deep pocket satin sheets - [Satin] - Phrase - Conv - DO - SATIN-QUEEN-GREY</t>
        </is>
      </c>
      <c r="C234" s="2" t="inlineStr">
        <is>
          <t>deep pocket satin sheets [phrase]</t>
        </is>
      </c>
      <c r="D234" s="2" t="inlineStr">
        <is>
          <t>whole campaign</t>
        </is>
      </c>
      <c r="E234" s="2" t="inlineStr">
        <is>
          <t>ENABLED</t>
        </is>
      </c>
      <c r="F234" s="2" t="inlineStr">
        <is>
          <t>Conversions</t>
        </is>
      </c>
      <c r="G234" s="2" t="inlineStr">
        <is>
          <t>Discovery</t>
        </is>
      </c>
      <c r="H234" s="2" t="inlineStr">
        <is>
          <t>Satin</t>
        </is>
      </c>
      <c r="I234" s="2" t="inlineStr">
        <is>
          <t>Phrase</t>
        </is>
      </c>
      <c r="J234" s="2" t="inlineStr">
        <is>
          <t>SATIN-QUEEN-GREY</t>
        </is>
      </c>
      <c r="K234" s="2" t="inlineStr">
        <is>
          <t>SATIN-QUEEN-GREY</t>
        </is>
      </c>
      <c r="L234" s="2" t="inlineStr">
        <is>
          <t>n/a (no target bid in audit)</t>
        </is>
      </c>
      <c r="M234" s="2" t="inlineStr">
        <is>
          <t>n/a</t>
        </is>
      </c>
      <c r="N234" s="2" t="n">
        <v>0</v>
      </c>
      <c r="O234" s="2" t="n">
        <v>0</v>
      </c>
      <c r="P234" s="21" t="n"/>
      <c r="Q234" s="21" t="n"/>
      <c r="R234" s="2" t="n"/>
      <c r="S234" s="2" t="n"/>
      <c r="T234" s="2" t="n"/>
      <c r="U234" s="2" t="n"/>
      <c r="V234" s="21" t="n">
        <v>10</v>
      </c>
      <c r="W234" s="21" t="n">
        <v>10</v>
      </c>
      <c r="X234" s="2" t="inlineStr">
        <is>
          <t>PAUSED</t>
        </is>
      </c>
      <c r="Y234" s="2" t="inlineStr">
        <is>
          <t>none</t>
        </is>
      </c>
      <c r="Z234" s="2" t="inlineStr">
        <is>
          <t>none</t>
        </is>
      </c>
      <c r="AA234" s="21" t="n">
        <v>0.5</v>
      </c>
      <c r="AB234" s="2" t="n">
        <v>1</v>
      </c>
      <c r="AC234" s="2" t="n">
        <v>0</v>
      </c>
      <c r="AD234" s="2" t="n"/>
      <c r="AE234" s="2" t="n">
        <v>0</v>
      </c>
      <c r="AF234" s="2" t="n">
        <v>100</v>
      </c>
      <c r="AG234" s="2" t="n">
        <v>0</v>
      </c>
      <c r="AH234" s="2" t="inlineStr">
        <is>
          <t>Pause</t>
        </is>
      </c>
      <c r="AI234" s="22" t="inlineStr">
        <is>
          <t>Pause (seq 3340); retag → Discovery</t>
        </is>
      </c>
      <c r="AJ234" s="22" t="inlineStr">
        <is>
          <t>no sales ACoS on 0 orders / 1 clicks (CC 31 Aug–29 Sep). Duplicate discovery campaign with under 15 clicks and no order in 90 days (audit read to 29 Sep).</t>
        </is>
      </c>
      <c r="AK234" s="2" t="inlineStr">
        <is>
          <t>seq 3340 structure 3340: agree with review 40; our addition: standard → Discovery (phrase)</t>
        </is>
      </c>
      <c r="AL234" s="22" t="n"/>
    </row>
    <row r="235">
      <c r="A235" s="2" t="inlineStr">
        <is>
          <t>24847939204075</t>
        </is>
      </c>
      <c r="B235" s="2" t="inlineStr">
        <is>
          <t>D-S4-green silk sheets - [Silk] - Exact - Ran - DO - SATIN-4PC-QUEEN-DARK GREEN</t>
        </is>
      </c>
      <c r="C235" s="2" t="inlineStr">
        <is>
          <t>green silk sheets [exact]</t>
        </is>
      </c>
      <c r="D235" s="2" t="inlineStr">
        <is>
          <t>whole campaign</t>
        </is>
      </c>
      <c r="E235" s="2" t="inlineStr">
        <is>
          <t>ENABLED</t>
        </is>
      </c>
      <c r="F235" s="2" t="inlineStr">
        <is>
          <t>Ranking</t>
        </is>
      </c>
      <c r="G235" s="2" t="inlineStr">
        <is>
          <t>Conversions</t>
        </is>
      </c>
      <c r="H235" s="2" t="inlineStr">
        <is>
          <t>Silk</t>
        </is>
      </c>
      <c r="I235" s="2" t="inlineStr">
        <is>
          <t>Exact</t>
        </is>
      </c>
      <c r="J235" s="2" t="inlineStr">
        <is>
          <t>SATIN-4PC-QUEEN-DARK GREEN</t>
        </is>
      </c>
      <c r="K235" s="2" t="inlineStr">
        <is>
          <t>SATIN-4PC-KING-DARK GREEN</t>
        </is>
      </c>
      <c r="L235" s="2" t="inlineStr">
        <is>
          <t>n/a (no target bid in audit)</t>
        </is>
      </c>
      <c r="M235" s="2" t="inlineStr">
        <is>
          <t>n/a</t>
        </is>
      </c>
      <c r="N235" s="2" t="n">
        <v>0</v>
      </c>
      <c r="O235" s="2" t="n">
        <v>0</v>
      </c>
      <c r="P235" s="21" t="n"/>
      <c r="Q235" s="21" t="n"/>
      <c r="R235" s="2" t="n"/>
      <c r="S235" s="2" t="n"/>
      <c r="T235" s="2" t="n"/>
      <c r="U235" s="2" t="n"/>
      <c r="V235" s="21" t="n">
        <v>8.609999999999999</v>
      </c>
      <c r="W235" s="21" t="n">
        <v>8.609999999999999</v>
      </c>
      <c r="X235" s="2" t="inlineStr">
        <is>
          <t>ENABLED</t>
        </is>
      </c>
      <c r="Y235" s="2" t="inlineStr">
        <is>
          <t>none</t>
        </is>
      </c>
      <c r="Z235" s="2" t="inlineStr">
        <is>
          <t>defer — engine name wrong (SKU token SATIN-4PC-QUEEN-DARK GREEN; (Conversion)); load a corrected name after 28 Oct</t>
        </is>
      </c>
      <c r="AA235" s="21" t="n">
        <v>0.5</v>
      </c>
      <c r="AB235" s="2" t="n">
        <v>1</v>
      </c>
      <c r="AC235" s="2" t="n">
        <v>0</v>
      </c>
      <c r="AD235" s="2" t="n"/>
      <c r="AE235" s="2" t="n">
        <v>0</v>
      </c>
      <c r="AF235" s="2" t="n">
        <v>100</v>
      </c>
      <c r="AG235" s="2" t="n">
        <v>12</v>
      </c>
      <c r="AH235" s="2" t="inlineStr">
        <is>
          <t>Child swap</t>
        </is>
      </c>
      <c r="AI235" s="22" t="inlineStr">
        <is>
          <t>Swap child to SATIN-4PC-KING-DARK GREEN; retag → Conversions</t>
        </is>
      </c>
      <c r="AJ235" s="22" t="inlineStr">
        <is>
          <t>no sales ACoS on 0 orders / 1 clicks (CC 31 Aug–29 Sep). Correct to SATIN-4PC-KING-DARK GREEN (and/or SATIN-4PC-FULL-DARK GREEN) — NOW (seq 1921).</t>
        </is>
      </c>
      <c r="AK235" s="2" t="inlineStr">
        <is>
          <t>seq 1921 child: correct to SATIN-4PC-KING-DARK GREEN (and/or SATIN-4PC-FULL-…; seq 2200 retag correct to Conversions; seq 3194 rename CHANGE</t>
        </is>
      </c>
      <c r="AL235" s="22" t="n"/>
    </row>
    <row r="236">
      <c r="A236" s="2" t="inlineStr">
        <is>
          <t>182642324577815</t>
        </is>
      </c>
      <c r="B236" s="2" t="inlineStr">
        <is>
          <t>D-S4-satin queen sheets set - [Satin|Queen] - Phrase - Conv - DO - SATIN-QUEEN-GREY</t>
        </is>
      </c>
      <c r="C236" s="2" t="inlineStr">
        <is>
          <t>satin queen sheets set [phrase]</t>
        </is>
      </c>
      <c r="D236" s="2" t="inlineStr">
        <is>
          <t>whole campaign</t>
        </is>
      </c>
      <c r="E236" s="2" t="inlineStr">
        <is>
          <t>ENABLED</t>
        </is>
      </c>
      <c r="F236" s="2" t="inlineStr">
        <is>
          <t>Conversions</t>
        </is>
      </c>
      <c r="G236" s="2" t="inlineStr">
        <is>
          <t>Discovery</t>
        </is>
      </c>
      <c r="H236" s="2" t="inlineStr">
        <is>
          <t>Satin|Queen</t>
        </is>
      </c>
      <c r="I236" s="2" t="inlineStr">
        <is>
          <t>Phrase</t>
        </is>
      </c>
      <c r="J236" s="2" t="inlineStr">
        <is>
          <t>SATIN-QUEEN-GREY</t>
        </is>
      </c>
      <c r="K236" s="2" t="inlineStr">
        <is>
          <t>SATIN-QUEEN-GREY</t>
        </is>
      </c>
      <c r="L236" s="2" t="inlineStr">
        <is>
          <t>n/a (no target bid in audit)</t>
        </is>
      </c>
      <c r="M236" s="2" t="inlineStr">
        <is>
          <t>n/a</t>
        </is>
      </c>
      <c r="N236" s="2" t="n">
        <v>0</v>
      </c>
      <c r="O236" s="2" t="n">
        <v>0</v>
      </c>
      <c r="P236" s="21" t="n"/>
      <c r="Q236" s="21" t="n"/>
      <c r="R236" s="2" t="n"/>
      <c r="S236" s="2" t="n"/>
      <c r="T236" s="2" t="n"/>
      <c r="U236" s="2" t="n"/>
      <c r="V236" s="21" t="n">
        <v>10</v>
      </c>
      <c r="W236" s="21" t="n">
        <v>10</v>
      </c>
      <c r="X236" s="2" t="inlineStr">
        <is>
          <t>PAUSED</t>
        </is>
      </c>
      <c r="Y236" s="2" t="inlineStr">
        <is>
          <t>none</t>
        </is>
      </c>
      <c r="Z236" s="2" t="inlineStr">
        <is>
          <t>none</t>
        </is>
      </c>
      <c r="AA236" s="21" t="n">
        <v>0.5</v>
      </c>
      <c r="AB236" s="2" t="n">
        <v>1</v>
      </c>
      <c r="AC236" s="2" t="n">
        <v>0</v>
      </c>
      <c r="AD236" s="2" t="n"/>
      <c r="AE236" s="2" t="n">
        <v>0</v>
      </c>
      <c r="AF236" s="2" t="n">
        <v>0</v>
      </c>
      <c r="AG236" s="2" t="n">
        <v>0</v>
      </c>
      <c r="AH236" s="2" t="inlineStr">
        <is>
          <t>Pause</t>
        </is>
      </c>
      <c r="AI236" s="22" t="inlineStr">
        <is>
          <t>Pause (seq 3340); retag → Discovery</t>
        </is>
      </c>
      <c r="AJ236" s="22" t="inlineStr">
        <is>
          <t>no sales ACoS on 0 orders / 1 clicks (CC 31 Aug–29 Sep). Duplicate discovery campaign with under 15 clicks and no order in 90 days (audit read to 29 Sep).</t>
        </is>
      </c>
      <c r="AK236" s="2" t="inlineStr">
        <is>
          <t>seq 3340 structure 3340: agree with review 40; our addition: standard → Discovery (phrase)</t>
        </is>
      </c>
      <c r="AL236" s="22" t="n"/>
    </row>
    <row r="237">
      <c r="A237" s="2" t="inlineStr">
        <is>
          <t>147546517958991</t>
        </is>
      </c>
      <c r="B237" s="2" t="inlineStr">
        <is>
          <t>D-S4-silky bed sheets - [Silk] - Phrase - Conv - DO - SATIN-4PCS-QUEEN-STONE-GREY</t>
        </is>
      </c>
      <c r="C237" s="2" t="inlineStr">
        <is>
          <t>silky bed sheets [phrase]</t>
        </is>
      </c>
      <c r="D237" s="2" t="inlineStr">
        <is>
          <t>whole campaign</t>
        </is>
      </c>
      <c r="E237" s="2" t="inlineStr">
        <is>
          <t>ENABLED</t>
        </is>
      </c>
      <c r="F237" s="2" t="inlineStr">
        <is>
          <t>Conversions</t>
        </is>
      </c>
      <c r="G237" s="2" t="inlineStr">
        <is>
          <t>Discovery</t>
        </is>
      </c>
      <c r="H237" s="2" t="inlineStr">
        <is>
          <t>Silk</t>
        </is>
      </c>
      <c r="I237" s="2" t="inlineStr">
        <is>
          <t>Phrase</t>
        </is>
      </c>
      <c r="J237" s="2" t="inlineStr">
        <is>
          <t>SATIN-4PCS-QUEEN-STONE-GREY</t>
        </is>
      </c>
      <c r="K237" s="2" t="inlineStr">
        <is>
          <t>SATIN-4PCS-QUEEN-STONE-GREY</t>
        </is>
      </c>
      <c r="L237" s="2" t="inlineStr">
        <is>
          <t>n/a (no target bid in audit)</t>
        </is>
      </c>
      <c r="M237" s="2" t="inlineStr">
        <is>
          <t>n/a</t>
        </is>
      </c>
      <c r="N237" s="2" t="n">
        <v>0</v>
      </c>
      <c r="O237" s="2" t="n">
        <v>0</v>
      </c>
      <c r="P237" s="21" t="n"/>
      <c r="Q237" s="21" t="n"/>
      <c r="R237" s="2" t="n"/>
      <c r="S237" s="2" t="n"/>
      <c r="T237" s="2" t="n"/>
      <c r="U237" s="2" t="n"/>
      <c r="V237" s="21" t="n">
        <v>10</v>
      </c>
      <c r="W237" s="21" t="n">
        <v>10</v>
      </c>
      <c r="X237" s="2" t="inlineStr">
        <is>
          <t>ENABLED</t>
        </is>
      </c>
      <c r="Y237" s="2" t="inlineStr">
        <is>
          <t>none</t>
        </is>
      </c>
      <c r="Z237" s="2" t="inlineStr">
        <is>
          <t>defer — engine name wrong ((Discovery)); load a corrected name after 28 Oct</t>
        </is>
      </c>
      <c r="AA237" s="21" t="n">
        <v>0.5</v>
      </c>
      <c r="AB237" s="2" t="n">
        <v>1</v>
      </c>
      <c r="AC237" s="2" t="n">
        <v>0</v>
      </c>
      <c r="AD237" s="2" t="n"/>
      <c r="AE237" s="2" t="n">
        <v>0</v>
      </c>
      <c r="AF237" s="2" t="n">
        <v>100</v>
      </c>
      <c r="AG237" s="2" t="n">
        <v>0</v>
      </c>
      <c r="AH237" s="2" t="inlineStr">
        <is>
          <t>Retag only</t>
        </is>
      </c>
      <c r="AI237" s="22" t="inlineStr">
        <is>
          <t>retag → Discovery</t>
        </is>
      </c>
      <c r="AJ237" s="22" t="inlineStr">
        <is>
          <t>Objective Conversions → Discovery by the standard (phrase); no sales ACoS on 0 orders / 1 clicks (CC 31 Aug–29 Sep).</t>
        </is>
      </c>
      <c r="AK237" s="2" t="inlineStr">
        <is>
          <t>seq 3098 rename CHANGE; our addition: standard → Discovery (phrase)</t>
        </is>
      </c>
      <c r="AL237" s="22" t="n"/>
    </row>
    <row r="238">
      <c r="A238" s="2" t="inlineStr">
        <is>
          <t>103385939485441</t>
        </is>
      </c>
      <c r="B238" s="2" t="inlineStr">
        <is>
          <t>D-S4-twin satin sheets - [Satin|Twin] - Broad - Disc - DO - SATIN-TWIN-GREY</t>
        </is>
      </c>
      <c r="C238" s="2" t="inlineStr">
        <is>
          <t>twin satin sheets [broad]</t>
        </is>
      </c>
      <c r="D238" s="2" t="inlineStr">
        <is>
          <t>whole campaign</t>
        </is>
      </c>
      <c r="E238" s="2" t="inlineStr">
        <is>
          <t>ENABLED</t>
        </is>
      </c>
      <c r="F238" s="2" t="inlineStr">
        <is>
          <t>Discovery</t>
        </is>
      </c>
      <c r="G238" s="2" t="inlineStr">
        <is>
          <t>Discovery</t>
        </is>
      </c>
      <c r="H238" s="2" t="inlineStr">
        <is>
          <t>Satin|Twin</t>
        </is>
      </c>
      <c r="I238" s="2" t="inlineStr">
        <is>
          <t>Broad</t>
        </is>
      </c>
      <c r="J238" s="2" t="inlineStr">
        <is>
          <t>SATIN-TWIN-GREY</t>
        </is>
      </c>
      <c r="K238" s="2" t="inlineStr">
        <is>
          <t>SATIN-TWIN-GREY</t>
        </is>
      </c>
      <c r="L238" s="2" t="inlineStr">
        <is>
          <t>n/a (no target bid in audit)</t>
        </is>
      </c>
      <c r="M238" s="2" t="inlineStr">
        <is>
          <t>n/a</t>
        </is>
      </c>
      <c r="N238" s="2" t="n">
        <v>0</v>
      </c>
      <c r="O238" s="2" t="n">
        <v>0</v>
      </c>
      <c r="P238" s="21" t="n"/>
      <c r="Q238" s="21" t="n"/>
      <c r="R238" s="2" t="n"/>
      <c r="S238" s="2" t="n"/>
      <c r="T238" s="2" t="n"/>
      <c r="U238" s="2" t="n"/>
      <c r="V238" s="21" t="n">
        <v>10</v>
      </c>
      <c r="W238" s="21" t="n">
        <v>10</v>
      </c>
      <c r="X238" s="2" t="inlineStr">
        <is>
          <t>PAUSED</t>
        </is>
      </c>
      <c r="Y238" s="2" t="inlineStr">
        <is>
          <t>none</t>
        </is>
      </c>
      <c r="Z238" s="2" t="inlineStr">
        <is>
          <t>none</t>
        </is>
      </c>
      <c r="AA238" s="21" t="n">
        <v>0.5</v>
      </c>
      <c r="AB238" s="2" t="n">
        <v>1</v>
      </c>
      <c r="AC238" s="2" t="n">
        <v>0</v>
      </c>
      <c r="AD238" s="2" t="n"/>
      <c r="AE238" s="2" t="n">
        <v>0</v>
      </c>
      <c r="AF238" s="2" t="n">
        <v>100</v>
      </c>
      <c r="AG238" s="2" t="n">
        <v>0</v>
      </c>
      <c r="AH238" s="2" t="inlineStr">
        <is>
          <t>Pause</t>
        </is>
      </c>
      <c r="AI238" s="22" t="inlineStr">
        <is>
          <t>Pause (seq 3340)</t>
        </is>
      </c>
      <c r="AJ238" s="22" t="inlineStr">
        <is>
          <t>no sales ACoS on 0 orders / 1 clicks (CC 31 Aug–29 Sep). Duplicate discovery campaign with under 15 clicks and no order in 90 days (audit read to 29 Sep).</t>
        </is>
      </c>
      <c r="AK238" s="2" t="inlineStr">
        <is>
          <t>seq 3340 structure 3340: agree with review 40</t>
        </is>
      </c>
      <c r="AL238" s="22" t="n"/>
    </row>
    <row r="239">
      <c r="A239" s="2" t="inlineStr">
        <is>
          <t>219903502149695</t>
        </is>
      </c>
      <c r="B239" s="2" t="inlineStr">
        <is>
          <t>D-S4-pink silk bed sheets - [Silk] - Exact - Ran - DO - SATIN-QUEEN-PINK</t>
        </is>
      </c>
      <c r="C239" s="2" t="inlineStr">
        <is>
          <t>pink silk bed sheets [exact]</t>
        </is>
      </c>
      <c r="D239" s="2" t="inlineStr">
        <is>
          <t>pink silk bed sheets</t>
        </is>
      </c>
      <c r="E239" s="2" t="inlineStr">
        <is>
          <t>ENABLED</t>
        </is>
      </c>
      <c r="F239" s="2" t="inlineStr">
        <is>
          <t>Ranking</t>
        </is>
      </c>
      <c r="G239" s="2" t="inlineStr">
        <is>
          <t>Conversions</t>
        </is>
      </c>
      <c r="H239" s="2" t="inlineStr">
        <is>
          <t>Silk</t>
        </is>
      </c>
      <c r="I239" s="2" t="inlineStr">
        <is>
          <t>Exact</t>
        </is>
      </c>
      <c r="J239" s="2" t="inlineStr">
        <is>
          <t>SATIN-QUEEN-PINK</t>
        </is>
      </c>
      <c r="K239" s="2" t="inlineStr">
        <is>
          <t>SATIN-QUEEN-PINK</t>
        </is>
      </c>
      <c r="L239" s="2" t="inlineStr">
        <is>
          <t>$0.50</t>
        </is>
      </c>
      <c r="M239" s="2" t="inlineStr">
        <is>
          <t>$0.25</t>
        </is>
      </c>
      <c r="N239" s="2" t="n">
        <v>50</v>
      </c>
      <c r="O239" s="2" t="n">
        <v>50</v>
      </c>
      <c r="P239" s="21" t="n">
        <v>0.75</v>
      </c>
      <c r="Q239" s="21" t="n">
        <v>0.38</v>
      </c>
      <c r="R239" s="2" t="n"/>
      <c r="S239" s="2" t="n"/>
      <c r="T239" s="2" t="n"/>
      <c r="U239" s="2" t="n"/>
      <c r="V239" s="21" t="n">
        <v>4.3</v>
      </c>
      <c r="W239" s="21" t="n">
        <v>4.3</v>
      </c>
      <c r="X239" s="2" t="inlineStr">
        <is>
          <t>ENABLED</t>
        </is>
      </c>
      <c r="Y239" s="2" t="inlineStr">
        <is>
          <t>none</t>
        </is>
      </c>
      <c r="Z239" s="2" t="inlineStr">
        <is>
          <t>defer — engine name wrong ((Conversion)); load a corrected name after 28 Oct</t>
        </is>
      </c>
      <c r="AA239" s="21" t="n">
        <v>0.25</v>
      </c>
      <c r="AB239" s="2" t="n">
        <v>1</v>
      </c>
      <c r="AC239" s="2" t="n">
        <v>0</v>
      </c>
      <c r="AD239" s="2" t="n"/>
      <c r="AE239" s="2" t="n">
        <v>0</v>
      </c>
      <c r="AF239" s="2" t="n">
        <v>0</v>
      </c>
      <c r="AG239" s="2" t="n">
        <v>0</v>
      </c>
      <c r="AH239" s="2" t="inlineStr">
        <is>
          <t>Release hold + price to break-even</t>
        </is>
      </c>
      <c r="AI239" s="22" t="inlineStr">
        <is>
          <t>Release hold; cut base $0.50 → $0.25; retag → Conversions</t>
        </is>
      </c>
      <c r="AJ239" s="22" t="inlineStr">
        <is>
          <t>no-sale ACoS, 0 orders on 1 clicks (CC 31 Aug–29 Sep) vs blended (other colour) break-even 23.3%; BE base = $7.02 contribution (blended (other colour)) × 0.0% CVR = $0.00; cap 50% cut.</t>
        </is>
      </c>
      <c r="AK239" s="2" t="inlineStr">
        <is>
          <t>seq 2152 retag correct to Conversions; seq 3056 rename CHANGE; seq 2003 NOT SERVING hold(s) → release; price to break-even (our addition, reviewer D)</t>
        </is>
      </c>
      <c r="AL239" s="22" t="n"/>
    </row>
    <row r="240">
      <c r="A240" s="2" t="inlineStr">
        <is>
          <t>189894296261131</t>
        </is>
      </c>
      <c r="B240" s="2" t="inlineStr">
        <is>
          <t>D-S4-silk sheets pink - [Silk] - Exact - Ran - DO - SATIN-QUEEN-PINK</t>
        </is>
      </c>
      <c r="C240" s="2" t="inlineStr">
        <is>
          <t>silk sheets pink [exact]</t>
        </is>
      </c>
      <c r="D240" s="2" t="inlineStr">
        <is>
          <t>whole campaign</t>
        </is>
      </c>
      <c r="E240" s="2" t="inlineStr">
        <is>
          <t>ENABLED</t>
        </is>
      </c>
      <c r="F240" s="2" t="inlineStr">
        <is>
          <t>Ranking</t>
        </is>
      </c>
      <c r="G240" s="2" t="inlineStr">
        <is>
          <t>Conversions</t>
        </is>
      </c>
      <c r="H240" s="2" t="inlineStr">
        <is>
          <t>Silk</t>
        </is>
      </c>
      <c r="I240" s="2" t="inlineStr">
        <is>
          <t>Exact</t>
        </is>
      </c>
      <c r="J240" s="2" t="inlineStr">
        <is>
          <t>SATIN-QUEEN-PINK</t>
        </is>
      </c>
      <c r="K240" s="2" t="inlineStr">
        <is>
          <t>SATIN-QUEEN-PINK</t>
        </is>
      </c>
      <c r="L240" s="2" t="inlineStr">
        <is>
          <t>n/a (no target bid in audit)</t>
        </is>
      </c>
      <c r="M240" s="2" t="inlineStr">
        <is>
          <t>n/a</t>
        </is>
      </c>
      <c r="N240" s="2" t="n">
        <v>0</v>
      </c>
      <c r="O240" s="2" t="n">
        <v>0</v>
      </c>
      <c r="P240" s="21" t="n"/>
      <c r="Q240" s="21" t="n"/>
      <c r="R240" s="2" t="n"/>
      <c r="S240" s="2" t="n"/>
      <c r="T240" s="2" t="n"/>
      <c r="U240" s="2" t="n"/>
      <c r="V240" s="21" t="n">
        <v>8.43</v>
      </c>
      <c r="W240" s="21" t="n">
        <v>8.43</v>
      </c>
      <c r="X240" s="2" t="inlineStr">
        <is>
          <t>ENABLED</t>
        </is>
      </c>
      <c r="Y240" s="2" t="inlineStr">
        <is>
          <t>none</t>
        </is>
      </c>
      <c r="Z240" s="2" t="inlineStr">
        <is>
          <t>defer — engine name wrong ((Conversion)); load a corrected name after 28 Oct</t>
        </is>
      </c>
      <c r="AA240" s="21" t="n">
        <v>0.18</v>
      </c>
      <c r="AB240" s="2" t="n">
        <v>1</v>
      </c>
      <c r="AC240" s="2" t="n">
        <v>0</v>
      </c>
      <c r="AD240" s="2" t="n"/>
      <c r="AE240" s="2" t="n">
        <v>0</v>
      </c>
      <c r="AF240" s="2" t="n">
        <v>0</v>
      </c>
      <c r="AG240" s="2" t="n">
        <v>7</v>
      </c>
      <c r="AH240" s="2" t="inlineStr">
        <is>
          <t>Retag only</t>
        </is>
      </c>
      <c r="AI240" s="22" t="inlineStr">
        <is>
          <t>retag → Conversions</t>
        </is>
      </c>
      <c r="AJ240" s="22" t="inlineStr">
        <is>
          <t>Objective Ranking → Conversions by the standard (our retag verdict); no sales ACoS on 0 orders / 1 clicks (CC 31 Aug–29 Sep).</t>
        </is>
      </c>
      <c r="AK240" s="2" t="inlineStr">
        <is>
          <t>seq 2153 retag correct to Conversions; seq 3057 rename CHANGE</t>
        </is>
      </c>
      <c r="AL240" s="22" t="n"/>
    </row>
    <row r="241">
      <c r="A241" s="2" t="inlineStr">
        <is>
          <t>198617101344973</t>
        </is>
      </c>
      <c r="B241" s="2" t="inlineStr">
        <is>
          <t>D-S4-sage green silk sheets - [Silk] - Phrase - Conv - DO - SATIN-4PC-TWIN-SAGE GREEN</t>
        </is>
      </c>
      <c r="C241" s="2" t="inlineStr">
        <is>
          <t>sage green silk sheets [phrase]</t>
        </is>
      </c>
      <c r="D241" s="2" t="inlineStr">
        <is>
          <t>whole campaign</t>
        </is>
      </c>
      <c r="E241" s="2" t="inlineStr">
        <is>
          <t>ENABLED</t>
        </is>
      </c>
      <c r="F241" s="2" t="inlineStr">
        <is>
          <t>Conversions</t>
        </is>
      </c>
      <c r="G241" s="2" t="inlineStr">
        <is>
          <t>Discovery</t>
        </is>
      </c>
      <c r="H241" s="2" t="inlineStr">
        <is>
          <t>Silk</t>
        </is>
      </c>
      <c r="I241" s="2" t="inlineStr">
        <is>
          <t>Phrase</t>
        </is>
      </c>
      <c r="J241" s="2" t="inlineStr">
        <is>
          <t>SATIN-4PC-FULL-SAGE GREEN</t>
        </is>
      </c>
      <c r="K241" s="2" t="inlineStr">
        <is>
          <t>SATIN-4PC-FULL-SAGE GREEN</t>
        </is>
      </c>
      <c r="L241" s="2" t="inlineStr">
        <is>
          <t>n/a (no target bid in audit)</t>
        </is>
      </c>
      <c r="M241" s="2" t="inlineStr">
        <is>
          <t>n/a</t>
        </is>
      </c>
      <c r="N241" s="2" t="n">
        <v>0</v>
      </c>
      <c r="O241" s="2" t="n">
        <v>0</v>
      </c>
      <c r="P241" s="21" t="n"/>
      <c r="Q241" s="21" t="n"/>
      <c r="R241" s="2" t="n"/>
      <c r="S241" s="2" t="n"/>
      <c r="T241" s="2" t="n"/>
      <c r="U241" s="2" t="n"/>
      <c r="V241" s="21" t="n">
        <v>10</v>
      </c>
      <c r="W241" s="21" t="n">
        <v>10</v>
      </c>
      <c r="X241" s="2" t="inlineStr">
        <is>
          <t>PAUSED</t>
        </is>
      </c>
      <c r="Y241" s="2" t="inlineStr">
        <is>
          <t>none</t>
        </is>
      </c>
      <c r="Z241" s="2" t="inlineStr">
        <is>
          <t>none</t>
        </is>
      </c>
      <c r="AA241" s="21" t="n">
        <v>0.07000000000000001</v>
      </c>
      <c r="AB241" s="2" t="n">
        <v>1</v>
      </c>
      <c r="AC241" s="2" t="n">
        <v>0</v>
      </c>
      <c r="AD241" s="2" t="n"/>
      <c r="AE241" s="2" t="n">
        <v>0</v>
      </c>
      <c r="AF241" s="2" t="n">
        <v>0</v>
      </c>
      <c r="AG241" s="2" t="n">
        <v>0</v>
      </c>
      <c r="AH241" s="2" t="inlineStr">
        <is>
          <t>Pause</t>
        </is>
      </c>
      <c r="AI241" s="22" t="inlineStr">
        <is>
          <t>Pause (seq 3340); retag → Discovery</t>
        </is>
      </c>
      <c r="AJ241" s="22" t="inlineStr">
        <is>
          <t>no sales ACoS on 0 orders / 1 clicks (CC 31 Aug–29 Sep). Duplicate discovery campaign with under 15 clicks and no order in 90 days (audit read to 29 Sep).</t>
        </is>
      </c>
      <c r="AK241" s="2" t="inlineStr">
        <is>
          <t>seq 3340 structure 3340: agree with review 40; our addition: standard → Discovery (phrase)</t>
        </is>
      </c>
      <c r="AL241" s="22" t="n"/>
    </row>
    <row r="242">
      <c r="A242" s="2" t="inlineStr">
        <is>
          <t>397335823408955</t>
        </is>
      </c>
      <c r="B242" s="2" t="inlineStr">
        <is>
          <t>BAMBOO-KING-OLIVE SBV EX 220524 - bamboo sheets california king size - ZB</t>
        </is>
      </c>
      <c r="C242" s="2" t="inlineStr">
        <is>
          <t>bamboo sheets california king size (from the campaign name; no targets on file, no spend in 90 days)</t>
        </is>
      </c>
      <c r="D242" s="2" t="inlineStr">
        <is>
          <t>—</t>
        </is>
      </c>
      <c r="E242" s="2" t="inlineStr">
        <is>
          <t>ENABLED</t>
        </is>
      </c>
      <c r="F242" s="2" t="inlineStr">
        <is>
          <t>Sponsored Brands</t>
        </is>
      </c>
      <c r="G242" s="2" t="inlineStr">
        <is>
          <t>Sponsored Brands</t>
        </is>
      </c>
      <c r="H242" s="2" t="n"/>
      <c r="I242" s="2" t="inlineStr">
        <is>
          <t>?</t>
        </is>
      </c>
      <c r="J242" s="2" t="n"/>
      <c r="K242" s="2" t="n"/>
      <c r="L242" s="2" t="inlineStr">
        <is>
          <t>n/a (no target bid in audit)</t>
        </is>
      </c>
      <c r="M242" s="2" t="inlineStr">
        <is>
          <t>n/a</t>
        </is>
      </c>
      <c r="N242" s="2" t="n"/>
      <c r="O242" s="2" t="n"/>
      <c r="P242" s="21" t="n"/>
      <c r="Q242" s="21" t="n"/>
      <c r="R242" s="2" t="n"/>
      <c r="S242" s="2" t="n"/>
      <c r="T242" s="2" t="n"/>
      <c r="U242" s="2" t="n"/>
      <c r="V242" s="21" t="n"/>
      <c r="W242" s="21" t="n"/>
      <c r="X242" s="2" t="inlineStr">
        <is>
          <t>ENABLED</t>
        </is>
      </c>
      <c r="Y242" s="2" t="inlineStr">
        <is>
          <t>none</t>
        </is>
      </c>
      <c r="Z242" s="2" t="inlineStr">
        <is>
          <t>none</t>
        </is>
      </c>
      <c r="AA242" s="21" t="n">
        <v>0</v>
      </c>
      <c r="AB242" s="2" t="n">
        <v>0</v>
      </c>
      <c r="AC242" s="2" t="n">
        <v>0</v>
      </c>
      <c r="AD242" s="2" t="n"/>
      <c r="AE242" s="2" t="n"/>
      <c r="AF242" s="2" t="n"/>
      <c r="AG242" s="2" t="n">
        <v>0</v>
      </c>
      <c r="AH242" s="2" t="inlineStr">
        <is>
          <t>No change</t>
        </is>
      </c>
      <c r="AI242" s="22" t="inlineStr">
        <is>
          <t>No change</t>
        </is>
      </c>
      <c r="AJ242" s="22" t="inlineStr">
        <is>
          <t>No run decision and no issue found; no clicks in CC 31 Aug–29 Sep.</t>
        </is>
      </c>
      <c r="AK242" s="2" t="inlineStr">
        <is>
          <t>no run decision</t>
        </is>
      </c>
      <c r="AL242" s="22" t="n"/>
    </row>
    <row r="243">
      <c r="A243" s="2" t="inlineStr">
        <is>
          <t>341185970455834</t>
        </is>
      </c>
      <c r="B243" s="2" t="inlineStr">
        <is>
          <t>BAMBOO-KING-OLIVE SBV EX 220524 - decolure bamboo sheets king size - ZB</t>
        </is>
      </c>
      <c r="C243" s="2" t="inlineStr">
        <is>
          <t>decolure bamboo sheets king size (from the campaign name; no targets on file, no spend in 90 days)</t>
        </is>
      </c>
      <c r="D243" s="2" t="inlineStr">
        <is>
          <t>—</t>
        </is>
      </c>
      <c r="E243" s="2" t="inlineStr">
        <is>
          <t>ENABLED</t>
        </is>
      </c>
      <c r="F243" s="2" t="inlineStr">
        <is>
          <t>Sponsored Brands</t>
        </is>
      </c>
      <c r="G243" s="2" t="inlineStr">
        <is>
          <t>Sponsored Brands</t>
        </is>
      </c>
      <c r="H243" s="2" t="n"/>
      <c r="I243" s="2" t="inlineStr">
        <is>
          <t>?</t>
        </is>
      </c>
      <c r="J243" s="2" t="n"/>
      <c r="K243" s="2" t="n"/>
      <c r="L243" s="2" t="inlineStr">
        <is>
          <t>n/a (no target bid in audit)</t>
        </is>
      </c>
      <c r="M243" s="2" t="inlineStr">
        <is>
          <t>n/a</t>
        </is>
      </c>
      <c r="N243" s="2" t="n"/>
      <c r="O243" s="2" t="n"/>
      <c r="P243" s="21" t="n"/>
      <c r="Q243" s="21" t="n"/>
      <c r="R243" s="2" t="n"/>
      <c r="S243" s="2" t="n"/>
      <c r="T243" s="2" t="n"/>
      <c r="U243" s="2" t="n"/>
      <c r="V243" s="21" t="n"/>
      <c r="W243" s="21" t="n"/>
      <c r="X243" s="2" t="inlineStr">
        <is>
          <t>ENABLED</t>
        </is>
      </c>
      <c r="Y243" s="2" t="inlineStr">
        <is>
          <t>none</t>
        </is>
      </c>
      <c r="Z243" s="2" t="inlineStr">
        <is>
          <t>none</t>
        </is>
      </c>
      <c r="AA243" s="21" t="n">
        <v>0</v>
      </c>
      <c r="AB243" s="2" t="n">
        <v>0</v>
      </c>
      <c r="AC243" s="2" t="n">
        <v>0</v>
      </c>
      <c r="AD243" s="2" t="n"/>
      <c r="AE243" s="2" t="n"/>
      <c r="AF243" s="2" t="n"/>
      <c r="AG243" s="2" t="n">
        <v>2</v>
      </c>
      <c r="AH243" s="2" t="inlineStr">
        <is>
          <t>No change</t>
        </is>
      </c>
      <c r="AI243" s="22" t="inlineStr">
        <is>
          <t>No change</t>
        </is>
      </c>
      <c r="AJ243" s="22" t="inlineStr">
        <is>
          <t>No run decision and no issue found; no clicks in CC 31 Aug–29 Sep.</t>
        </is>
      </c>
      <c r="AK243" s="2" t="inlineStr">
        <is>
          <t>no run decision</t>
        </is>
      </c>
      <c r="AL243" s="22" t="n"/>
    </row>
    <row r="244">
      <c r="A244" s="2" t="inlineStr">
        <is>
          <t>483300146321184</t>
        </is>
      </c>
      <c r="B244" s="2" t="inlineStr">
        <is>
          <t>BAMBOO-KING-TAUPE SBV EX 220524 - bamboo sheets king size - ZB</t>
        </is>
      </c>
      <c r="C244" s="2" t="inlineStr">
        <is>
          <t>bamboo sheets king size (from the campaign name; no targets on file, no spend in 90 days)</t>
        </is>
      </c>
      <c r="D244" s="2" t="inlineStr">
        <is>
          <t>—</t>
        </is>
      </c>
      <c r="E244" s="2" t="inlineStr">
        <is>
          <t>ENABLED</t>
        </is>
      </c>
      <c r="F244" s="2" t="inlineStr">
        <is>
          <t>Sponsored Brands</t>
        </is>
      </c>
      <c r="G244" s="2" t="inlineStr">
        <is>
          <t>Sponsored Brands</t>
        </is>
      </c>
      <c r="H244" s="2" t="n"/>
      <c r="I244" s="2" t="inlineStr">
        <is>
          <t>?</t>
        </is>
      </c>
      <c r="J244" s="2" t="n"/>
      <c r="K244" s="2" t="n"/>
      <c r="L244" s="2" t="inlineStr">
        <is>
          <t>n/a (no target bid in audit)</t>
        </is>
      </c>
      <c r="M244" s="2" t="inlineStr">
        <is>
          <t>n/a</t>
        </is>
      </c>
      <c r="N244" s="2" t="n"/>
      <c r="O244" s="2" t="n"/>
      <c r="P244" s="21" t="n"/>
      <c r="Q244" s="21" t="n"/>
      <c r="R244" s="2" t="n"/>
      <c r="S244" s="2" t="n"/>
      <c r="T244" s="2" t="n"/>
      <c r="U244" s="2" t="n"/>
      <c r="V244" s="21" t="n"/>
      <c r="W244" s="21" t="n"/>
      <c r="X244" s="2" t="inlineStr">
        <is>
          <t>ENABLED</t>
        </is>
      </c>
      <c r="Y244" s="2" t="inlineStr">
        <is>
          <t>none</t>
        </is>
      </c>
      <c r="Z244" s="2" t="inlineStr">
        <is>
          <t>none</t>
        </is>
      </c>
      <c r="AA244" s="21" t="n">
        <v>0</v>
      </c>
      <c r="AB244" s="2" t="n">
        <v>0</v>
      </c>
      <c r="AC244" s="2" t="n">
        <v>0</v>
      </c>
      <c r="AD244" s="2" t="n"/>
      <c r="AE244" s="2" t="n"/>
      <c r="AF244" s="2" t="n"/>
      <c r="AG244" s="2" t="n">
        <v>0</v>
      </c>
      <c r="AH244" s="2" t="inlineStr">
        <is>
          <t>No change</t>
        </is>
      </c>
      <c r="AI244" s="22" t="inlineStr">
        <is>
          <t>No change</t>
        </is>
      </c>
      <c r="AJ244" s="22" t="inlineStr">
        <is>
          <t>No run decision and no issue found; no clicks in CC 31 Aug–29 Sep.</t>
        </is>
      </c>
      <c r="AK244" s="2" t="inlineStr">
        <is>
          <t>no run decision</t>
        </is>
      </c>
      <c r="AL244" s="22" t="n"/>
    </row>
    <row r="245">
      <c r="A245" s="2" t="inlineStr">
        <is>
          <t>499478433075931</t>
        </is>
      </c>
      <c r="B245" s="2" t="inlineStr">
        <is>
          <t>BAMBOO-KING-WHITE SBV EX 100 percent bamboo sheets king size 092324 ZB</t>
        </is>
      </c>
      <c r="C245" s="2" t="inlineStr">
        <is>
          <t>not on file (no spend in 90 days)</t>
        </is>
      </c>
      <c r="D245" s="2" t="inlineStr">
        <is>
          <t>—</t>
        </is>
      </c>
      <c r="E245" s="2" t="inlineStr">
        <is>
          <t>PAUSED</t>
        </is>
      </c>
      <c r="F245" s="2" t="inlineStr">
        <is>
          <t>Sponsored Brands</t>
        </is>
      </c>
      <c r="G245" s="2" t="inlineStr">
        <is>
          <t>Sponsored Brands</t>
        </is>
      </c>
      <c r="H245" s="2" t="n"/>
      <c r="I245" s="2" t="inlineStr">
        <is>
          <t>?</t>
        </is>
      </c>
      <c r="J245" s="2" t="n"/>
      <c r="K245" s="2" t="n"/>
      <c r="L245" s="2" t="inlineStr">
        <is>
          <t>n/a (no target bid in audit)</t>
        </is>
      </c>
      <c r="M245" s="2" t="inlineStr">
        <is>
          <t>n/a</t>
        </is>
      </c>
      <c r="N245" s="2" t="n"/>
      <c r="O245" s="2" t="n"/>
      <c r="P245" s="21" t="n"/>
      <c r="Q245" s="21" t="n"/>
      <c r="R245" s="2" t="n"/>
      <c r="S245" s="2" t="n"/>
      <c r="T245" s="2" t="n"/>
      <c r="U245" s="2" t="n"/>
      <c r="V245" s="21" t="n"/>
      <c r="W245" s="21" t="n"/>
      <c r="X245" s="2" t="inlineStr">
        <is>
          <t>PAUSED</t>
        </is>
      </c>
      <c r="Y245" s="2" t="inlineStr">
        <is>
          <t>none</t>
        </is>
      </c>
      <c r="Z245" s="2" t="inlineStr">
        <is>
          <t>none</t>
        </is>
      </c>
      <c r="AA245" s="21" t="n">
        <v>0</v>
      </c>
      <c r="AB245" s="2" t="n">
        <v>0</v>
      </c>
      <c r="AC245" s="2" t="n">
        <v>0</v>
      </c>
      <c r="AD245" s="2" t="n"/>
      <c r="AE245" s="2" t="n"/>
      <c r="AF245" s="2" t="n"/>
      <c r="AG245" s="2" t="n">
        <v>0</v>
      </c>
      <c r="AH245" s="2" t="inlineStr">
        <is>
          <t>No change</t>
        </is>
      </c>
      <c r="AI245" s="22" t="inlineStr">
        <is>
          <t>Keep paused</t>
        </is>
      </c>
      <c r="AJ245" s="22" t="inlineStr">
        <is>
          <t>No run decision and no issue found; no clicks in CC 31 Aug–29 Sep.</t>
        </is>
      </c>
      <c r="AK245" s="2" t="inlineStr">
        <is>
          <t>no run decision</t>
        </is>
      </c>
      <c r="AL245" s="22" t="n"/>
    </row>
    <row r="246">
      <c r="A246" s="2" t="inlineStr">
        <is>
          <t>514671415981004</t>
        </is>
      </c>
      <c r="B246" s="2" t="inlineStr">
        <is>
          <t>BAMBOO-QUEEN-OLIVE SBV EX 220524 - bamboo sheets queen size - ZB</t>
        </is>
      </c>
      <c r="C246" s="2" t="inlineStr">
        <is>
          <t>bamboo sheets queen size (from the campaign name; no targets on file, no spend in 90 days)</t>
        </is>
      </c>
      <c r="D246" s="2" t="inlineStr">
        <is>
          <t>—</t>
        </is>
      </c>
      <c r="E246" s="2" t="inlineStr">
        <is>
          <t>ENABLED</t>
        </is>
      </c>
      <c r="F246" s="2" t="inlineStr">
        <is>
          <t>Sponsored Brands</t>
        </is>
      </c>
      <c r="G246" s="2" t="inlineStr">
        <is>
          <t>Sponsored Brands</t>
        </is>
      </c>
      <c r="H246" s="2" t="n"/>
      <c r="I246" s="2" t="inlineStr">
        <is>
          <t>?</t>
        </is>
      </c>
      <c r="J246" s="2" t="n"/>
      <c r="K246" s="2" t="n"/>
      <c r="L246" s="2" t="inlineStr">
        <is>
          <t>n/a (no target bid in audit)</t>
        </is>
      </c>
      <c r="M246" s="2" t="inlineStr">
        <is>
          <t>n/a</t>
        </is>
      </c>
      <c r="N246" s="2" t="n"/>
      <c r="O246" s="2" t="n"/>
      <c r="P246" s="21" t="n"/>
      <c r="Q246" s="21" t="n"/>
      <c r="R246" s="2" t="n"/>
      <c r="S246" s="2" t="n"/>
      <c r="T246" s="2" t="n"/>
      <c r="U246" s="2" t="n"/>
      <c r="V246" s="21" t="n"/>
      <c r="W246" s="21" t="n"/>
      <c r="X246" s="2" t="inlineStr">
        <is>
          <t>ENABLED</t>
        </is>
      </c>
      <c r="Y246" s="2" t="inlineStr">
        <is>
          <t>none</t>
        </is>
      </c>
      <c r="Z246" s="2" t="inlineStr">
        <is>
          <t>none</t>
        </is>
      </c>
      <c r="AA246" s="21" t="n">
        <v>0</v>
      </c>
      <c r="AB246" s="2" t="n">
        <v>0</v>
      </c>
      <c r="AC246" s="2" t="n">
        <v>0</v>
      </c>
      <c r="AD246" s="2" t="n"/>
      <c r="AE246" s="2" t="n"/>
      <c r="AF246" s="2" t="n"/>
      <c r="AG246" s="2" t="n">
        <v>21</v>
      </c>
      <c r="AH246" s="2" t="inlineStr">
        <is>
          <t>No change</t>
        </is>
      </c>
      <c r="AI246" s="22" t="inlineStr">
        <is>
          <t>No change</t>
        </is>
      </c>
      <c r="AJ246" s="22" t="inlineStr">
        <is>
          <t>No run decision and no issue found; no clicks in CC 31 Aug–29 Sep.</t>
        </is>
      </c>
      <c r="AK246" s="2" t="inlineStr">
        <is>
          <t>no run decision</t>
        </is>
      </c>
      <c r="AL246" s="22" t="n"/>
    </row>
    <row r="247">
      <c r="A247" s="2" t="inlineStr">
        <is>
          <t>541092897268891</t>
        </is>
      </c>
      <c r="B247" s="2" t="inlineStr">
        <is>
          <t>BAMBOO-QUEEN-OLIVE SBV EX 220524 - bamboo sheets queen size deep pocket - ZB</t>
        </is>
      </c>
      <c r="C247" s="2" t="inlineStr">
        <is>
          <t>bamboo sheets queen size deep pocket (from the campaign name; no targets on file, no spend in 90 days)</t>
        </is>
      </c>
      <c r="D247" s="2" t="inlineStr">
        <is>
          <t>—</t>
        </is>
      </c>
      <c r="E247" s="2" t="inlineStr">
        <is>
          <t>ENABLED</t>
        </is>
      </c>
      <c r="F247" s="2" t="inlineStr">
        <is>
          <t>Sponsored Brands</t>
        </is>
      </c>
      <c r="G247" s="2" t="inlineStr">
        <is>
          <t>Sponsored Brands</t>
        </is>
      </c>
      <c r="H247" s="2" t="n"/>
      <c r="I247" s="2" t="inlineStr">
        <is>
          <t>?</t>
        </is>
      </c>
      <c r="J247" s="2" t="n"/>
      <c r="K247" s="2" t="n"/>
      <c r="L247" s="2" t="inlineStr">
        <is>
          <t>n/a (no target bid in audit)</t>
        </is>
      </c>
      <c r="M247" s="2" t="inlineStr">
        <is>
          <t>n/a</t>
        </is>
      </c>
      <c r="N247" s="2" t="n"/>
      <c r="O247" s="2" t="n"/>
      <c r="P247" s="21" t="n"/>
      <c r="Q247" s="21" t="n"/>
      <c r="R247" s="2" t="n"/>
      <c r="S247" s="2" t="n"/>
      <c r="T247" s="2" t="n"/>
      <c r="U247" s="2" t="n"/>
      <c r="V247" s="21" t="n"/>
      <c r="W247" s="21" t="n"/>
      <c r="X247" s="2" t="inlineStr">
        <is>
          <t>ENABLED</t>
        </is>
      </c>
      <c r="Y247" s="2" t="inlineStr">
        <is>
          <t>none</t>
        </is>
      </c>
      <c r="Z247" s="2" t="inlineStr">
        <is>
          <t>none</t>
        </is>
      </c>
      <c r="AA247" s="21" t="n">
        <v>0</v>
      </c>
      <c r="AB247" s="2" t="n">
        <v>0</v>
      </c>
      <c r="AC247" s="2" t="n">
        <v>0</v>
      </c>
      <c r="AD247" s="2" t="n"/>
      <c r="AE247" s="2" t="n"/>
      <c r="AF247" s="2" t="n"/>
      <c r="AG247" s="2" t="n">
        <v>0</v>
      </c>
      <c r="AH247" s="2" t="inlineStr">
        <is>
          <t>No change</t>
        </is>
      </c>
      <c r="AI247" s="22" t="inlineStr">
        <is>
          <t>No change</t>
        </is>
      </c>
      <c r="AJ247" s="22" t="inlineStr">
        <is>
          <t>No run decision and no issue found; no clicks in CC 31 Aug–29 Sep.</t>
        </is>
      </c>
      <c r="AK247" s="2" t="inlineStr">
        <is>
          <t>no run decision</t>
        </is>
      </c>
      <c r="AL247" s="22" t="n"/>
    </row>
    <row r="248">
      <c r="A248" s="2" t="inlineStr">
        <is>
          <t>523600810662979</t>
        </is>
      </c>
      <c r="B248" s="2" t="inlineStr">
        <is>
          <t>Bamboo - SB - Headline - queen size bamboo sheets 112224 ZB</t>
        </is>
      </c>
      <c r="C248" s="2" t="inlineStr">
        <is>
          <t>queen size bamboo sheets (from the campaign name; no targets on file, no spend in 90 days)</t>
        </is>
      </c>
      <c r="D248" s="2" t="inlineStr">
        <is>
          <t>—</t>
        </is>
      </c>
      <c r="E248" s="2" t="inlineStr">
        <is>
          <t>ENABLED</t>
        </is>
      </c>
      <c r="F248" s="2" t="inlineStr">
        <is>
          <t>Sponsored Brands</t>
        </is>
      </c>
      <c r="G248" s="2" t="inlineStr">
        <is>
          <t>Sponsored Brands</t>
        </is>
      </c>
      <c r="H248" s="2" t="n"/>
      <c r="I248" s="2" t="inlineStr">
        <is>
          <t>?</t>
        </is>
      </c>
      <c r="J248" s="2" t="n"/>
      <c r="K248" s="2" t="n"/>
      <c r="L248" s="2" t="inlineStr">
        <is>
          <t>n/a (no target bid in audit)</t>
        </is>
      </c>
      <c r="M248" s="2" t="inlineStr">
        <is>
          <t>n/a</t>
        </is>
      </c>
      <c r="N248" s="2" t="n"/>
      <c r="O248" s="2" t="n"/>
      <c r="P248" s="21" t="n"/>
      <c r="Q248" s="21" t="n"/>
      <c r="R248" s="2" t="n"/>
      <c r="S248" s="2" t="n"/>
      <c r="T248" s="2" t="n"/>
      <c r="U248" s="2" t="n"/>
      <c r="V248" s="21" t="n"/>
      <c r="W248" s="21" t="n"/>
      <c r="X248" s="2" t="inlineStr">
        <is>
          <t>ENABLED</t>
        </is>
      </c>
      <c r="Y248" s="2" t="inlineStr">
        <is>
          <t>none</t>
        </is>
      </c>
      <c r="Z248" s="2" t="inlineStr">
        <is>
          <t>none</t>
        </is>
      </c>
      <c r="AA248" s="21" t="n">
        <v>0</v>
      </c>
      <c r="AB248" s="2" t="n">
        <v>0</v>
      </c>
      <c r="AC248" s="2" t="n">
        <v>0</v>
      </c>
      <c r="AD248" s="2" t="n"/>
      <c r="AE248" s="2" t="n"/>
      <c r="AF248" s="2" t="n"/>
      <c r="AG248" s="2" t="n">
        <v>6</v>
      </c>
      <c r="AH248" s="2" t="inlineStr">
        <is>
          <t>No change</t>
        </is>
      </c>
      <c r="AI248" s="22" t="inlineStr">
        <is>
          <t>No change</t>
        </is>
      </c>
      <c r="AJ248" s="22" t="inlineStr">
        <is>
          <t>No run decision and no issue found; no clicks in CC 31 Aug–29 Sep.</t>
        </is>
      </c>
      <c r="AK248" s="2" t="inlineStr">
        <is>
          <t>no run decision</t>
        </is>
      </c>
      <c r="AL248" s="22" t="n"/>
    </row>
    <row r="249">
      <c r="A249" s="2" t="inlineStr">
        <is>
          <t>380482716613883</t>
        </is>
      </c>
      <c r="B249" s="2" t="inlineStr">
        <is>
          <t>Bamboo - SB - Headline - viscose bamboo sheets queen size 112224 ZB</t>
        </is>
      </c>
      <c r="C249" s="2" t="inlineStr">
        <is>
          <t>viscose bamboo sheets queen size (from the campaign name; no targets on file, no spend in 90 days)</t>
        </is>
      </c>
      <c r="D249" s="2" t="inlineStr">
        <is>
          <t>—</t>
        </is>
      </c>
      <c r="E249" s="2" t="inlineStr">
        <is>
          <t>ENABLED</t>
        </is>
      </c>
      <c r="F249" s="2" t="inlineStr">
        <is>
          <t>Sponsored Brands</t>
        </is>
      </c>
      <c r="G249" s="2" t="inlineStr">
        <is>
          <t>Sponsored Brands</t>
        </is>
      </c>
      <c r="H249" s="2" t="n"/>
      <c r="I249" s="2" t="inlineStr">
        <is>
          <t>?</t>
        </is>
      </c>
      <c r="J249" s="2" t="n"/>
      <c r="K249" s="2" t="n"/>
      <c r="L249" s="2" t="inlineStr">
        <is>
          <t>n/a (no target bid in audit)</t>
        </is>
      </c>
      <c r="M249" s="2" t="inlineStr">
        <is>
          <t>n/a</t>
        </is>
      </c>
      <c r="N249" s="2" t="n"/>
      <c r="O249" s="2" t="n"/>
      <c r="P249" s="21" t="n"/>
      <c r="Q249" s="21" t="n"/>
      <c r="R249" s="2" t="n"/>
      <c r="S249" s="2" t="n"/>
      <c r="T249" s="2" t="n"/>
      <c r="U249" s="2" t="n"/>
      <c r="V249" s="21" t="n"/>
      <c r="W249" s="21" t="n"/>
      <c r="X249" s="2" t="inlineStr">
        <is>
          <t>ENABLED</t>
        </is>
      </c>
      <c r="Y249" s="2" t="inlineStr">
        <is>
          <t>none</t>
        </is>
      </c>
      <c r="Z249" s="2" t="inlineStr">
        <is>
          <t>none</t>
        </is>
      </c>
      <c r="AA249" s="21" t="n">
        <v>0</v>
      </c>
      <c r="AB249" s="2" t="n">
        <v>0</v>
      </c>
      <c r="AC249" s="2" t="n">
        <v>0</v>
      </c>
      <c r="AD249" s="2" t="n"/>
      <c r="AE249" s="2" t="n"/>
      <c r="AF249" s="2" t="n"/>
      <c r="AG249" s="2" t="n">
        <v>0</v>
      </c>
      <c r="AH249" s="2" t="inlineStr">
        <is>
          <t>No change</t>
        </is>
      </c>
      <c r="AI249" s="22" t="inlineStr">
        <is>
          <t>No change</t>
        </is>
      </c>
      <c r="AJ249" s="22" t="inlineStr">
        <is>
          <t>No run decision and no issue found; no clicks in CC 31 Aug–29 Sep.</t>
        </is>
      </c>
      <c r="AK249" s="2" t="inlineStr">
        <is>
          <t>no run decision</t>
        </is>
      </c>
      <c r="AL249" s="22" t="n"/>
    </row>
    <row r="250">
      <c r="A250" s="2" t="inlineStr">
        <is>
          <t>118010887746403</t>
        </is>
      </c>
      <c r="B250" s="2" t="inlineStr">
        <is>
          <t>D-S4-B07X26MTP9 - PAT - MS - DO - SATIN-QUEEN-BLACK</t>
        </is>
      </c>
      <c r="C250" s="2" t="inlineStr">
        <is>
          <t>Product targets: B07X26MTP9</t>
        </is>
      </c>
      <c r="D250" s="2" t="inlineStr">
        <is>
          <t>whole campaign</t>
        </is>
      </c>
      <c r="E250" s="2" t="inlineStr">
        <is>
          <t>ENABLED</t>
        </is>
      </c>
      <c r="F250" s="2" t="inlineStr">
        <is>
          <t>Conversions</t>
        </is>
      </c>
      <c r="G250" s="2" t="inlineStr">
        <is>
          <t>Conquesting</t>
        </is>
      </c>
      <c r="H250" s="2" t="n"/>
      <c r="I250" s="2" t="inlineStr">
        <is>
          <t>ASIN</t>
        </is>
      </c>
      <c r="J250" s="2" t="inlineStr">
        <is>
          <t>SATIN-QUEEN-BLACK</t>
        </is>
      </c>
      <c r="K250" s="2" t="inlineStr">
        <is>
          <t>SATIN-QUEEN-BLACK</t>
        </is>
      </c>
      <c r="L250" s="2" t="inlineStr">
        <is>
          <t>n/a (no target bid in audit)</t>
        </is>
      </c>
      <c r="M250" s="2" t="inlineStr">
        <is>
          <t>n/a</t>
        </is>
      </c>
      <c r="N250" s="2" t="n">
        <v>0</v>
      </c>
      <c r="O250" s="2" t="n">
        <v>0</v>
      </c>
      <c r="P250" s="21" t="n"/>
      <c r="Q250" s="21" t="n"/>
      <c r="R250" s="2" t="n"/>
      <c r="S250" s="2" t="n"/>
      <c r="T250" s="2" t="n"/>
      <c r="U250" s="2" t="n"/>
      <c r="V250" s="21" t="n">
        <v>10</v>
      </c>
      <c r="W250" s="21" t="n">
        <v>10</v>
      </c>
      <c r="X250" s="2" t="inlineStr">
        <is>
          <t>ENABLED</t>
        </is>
      </c>
      <c r="Y250" s="2" t="inlineStr">
        <is>
          <t>none</t>
        </is>
      </c>
      <c r="Z250" s="2" t="inlineStr">
        <is>
          <t>defer — engine name wrong ((Conquest)); load a corrected name after 28 Oct</t>
        </is>
      </c>
      <c r="AA250" s="21" t="n">
        <v>0</v>
      </c>
      <c r="AB250" s="2" t="n">
        <v>0</v>
      </c>
      <c r="AC250" s="2" t="n">
        <v>0</v>
      </c>
      <c r="AD250" s="2" t="n"/>
      <c r="AE250" s="2" t="n"/>
      <c r="AF250" s="2" t="n"/>
      <c r="AG250" s="2" t="n">
        <v>0</v>
      </c>
      <c r="AH250" s="2" t="inlineStr">
        <is>
          <t>Retag only</t>
        </is>
      </c>
      <c r="AI250" s="22" t="inlineStr">
        <is>
          <t>retag → Conquesting</t>
        </is>
      </c>
      <c r="AJ250" s="22" t="inlineStr">
        <is>
          <t>Objective Conversions → Conquesting by the standard (our retag verdict); no clicks in CC 31 Aug–29 Sep.</t>
        </is>
      </c>
      <c r="AK250" s="2" t="inlineStr">
        <is>
          <t>seq 2159 retag correct to Conquesting; seq 3072 rename CHANGE</t>
        </is>
      </c>
      <c r="AL250" s="22" t="n"/>
    </row>
    <row r="251">
      <c r="A251" s="2" t="inlineStr">
        <is>
          <t>93449754898175</t>
        </is>
      </c>
      <c r="B251" s="2" t="inlineStr">
        <is>
          <t>D-S4-B08C7SX3QD - PAT - MS - DO - SATIN-QUEEN-BLACK</t>
        </is>
      </c>
      <c r="C251" s="2" t="inlineStr">
        <is>
          <t>Product targets: B08C7SX3QD</t>
        </is>
      </c>
      <c r="D251" s="2" t="inlineStr">
        <is>
          <t>whole campaign</t>
        </is>
      </c>
      <c r="E251" s="2" t="inlineStr">
        <is>
          <t>ENABLED</t>
        </is>
      </c>
      <c r="F251" s="2" t="inlineStr">
        <is>
          <t>Conversions</t>
        </is>
      </c>
      <c r="G251" s="2" t="inlineStr">
        <is>
          <t>Conquesting</t>
        </is>
      </c>
      <c r="H251" s="2" t="n"/>
      <c r="I251" s="2" t="inlineStr">
        <is>
          <t>ASIN</t>
        </is>
      </c>
      <c r="J251" s="2" t="inlineStr">
        <is>
          <t>SATIN-QUEEN-BLACK</t>
        </is>
      </c>
      <c r="K251" s="2" t="inlineStr">
        <is>
          <t>SATIN-QUEEN-BLACK</t>
        </is>
      </c>
      <c r="L251" s="2" t="inlineStr">
        <is>
          <t>n/a (no target bid in audit)</t>
        </is>
      </c>
      <c r="M251" s="2" t="inlineStr">
        <is>
          <t>n/a</t>
        </is>
      </c>
      <c r="N251" s="2" t="n">
        <v>0</v>
      </c>
      <c r="O251" s="2" t="n">
        <v>0</v>
      </c>
      <c r="P251" s="21" t="n"/>
      <c r="Q251" s="21" t="n"/>
      <c r="R251" s="2" t="n"/>
      <c r="S251" s="2" t="n"/>
      <c r="T251" s="2" t="n"/>
      <c r="U251" s="2" t="n"/>
      <c r="V251" s="21" t="n">
        <v>10</v>
      </c>
      <c r="W251" s="21" t="n">
        <v>10</v>
      </c>
      <c r="X251" s="2" t="inlineStr">
        <is>
          <t>ENABLED</t>
        </is>
      </c>
      <c r="Y251" s="2" t="inlineStr">
        <is>
          <t>none</t>
        </is>
      </c>
      <c r="Z251" s="2" t="inlineStr">
        <is>
          <t>defer — engine name wrong ((Conquest)); load a corrected name after 28 Oct</t>
        </is>
      </c>
      <c r="AA251" s="21" t="n">
        <v>0</v>
      </c>
      <c r="AB251" s="2" t="n">
        <v>0</v>
      </c>
      <c r="AC251" s="2" t="n">
        <v>0</v>
      </c>
      <c r="AD251" s="2" t="n"/>
      <c r="AE251" s="2" t="n"/>
      <c r="AF251" s="2" t="n"/>
      <c r="AG251" s="2" t="n">
        <v>0</v>
      </c>
      <c r="AH251" s="2" t="inlineStr">
        <is>
          <t>Retag only</t>
        </is>
      </c>
      <c r="AI251" s="22" t="inlineStr">
        <is>
          <t>retag → Conquesting</t>
        </is>
      </c>
      <c r="AJ251" s="22" t="inlineStr">
        <is>
          <t>Objective Conversions → Conquesting by the standard (our retag verdict); no clicks in CC 31 Aug–29 Sep.</t>
        </is>
      </c>
      <c r="AK251" s="2" t="inlineStr">
        <is>
          <t>seq 2230 retag correct to Conquesting; seq 3313 rename CHANGE</t>
        </is>
      </c>
      <c r="AL251" s="22" t="n"/>
    </row>
    <row r="252">
      <c r="A252" s="2" t="inlineStr">
        <is>
          <t>130036795139137</t>
        </is>
      </c>
      <c r="B252" s="2" t="inlineStr">
        <is>
          <t>D-S4-B0BDDGFQRN - PAT - MS - DO - SATIN-QUEEN-BLACK</t>
        </is>
      </c>
      <c r="C252" s="2" t="inlineStr">
        <is>
          <t>Product targets: B0BDDGFQRN</t>
        </is>
      </c>
      <c r="D252" s="2" t="inlineStr">
        <is>
          <t>whole campaign</t>
        </is>
      </c>
      <c r="E252" s="2" t="inlineStr">
        <is>
          <t>ENABLED</t>
        </is>
      </c>
      <c r="F252" s="2" t="inlineStr">
        <is>
          <t>Conversions</t>
        </is>
      </c>
      <c r="G252" s="2" t="inlineStr">
        <is>
          <t>Conquesting</t>
        </is>
      </c>
      <c r="H252" s="2" t="n"/>
      <c r="I252" s="2" t="inlineStr">
        <is>
          <t>ASIN</t>
        </is>
      </c>
      <c r="J252" s="2" t="inlineStr">
        <is>
          <t>SATIN-QUEEN-BLACK</t>
        </is>
      </c>
      <c r="K252" s="2" t="inlineStr">
        <is>
          <t>SATIN-QUEEN-BLACK</t>
        </is>
      </c>
      <c r="L252" s="2" t="inlineStr">
        <is>
          <t>n/a (no target bid in audit)</t>
        </is>
      </c>
      <c r="M252" s="2" t="inlineStr">
        <is>
          <t>n/a</t>
        </is>
      </c>
      <c r="N252" s="2" t="n">
        <v>0</v>
      </c>
      <c r="O252" s="2" t="n">
        <v>0</v>
      </c>
      <c r="P252" s="21" t="n"/>
      <c r="Q252" s="21" t="n"/>
      <c r="R252" s="2" t="n"/>
      <c r="S252" s="2" t="n"/>
      <c r="T252" s="2" t="n"/>
      <c r="U252" s="2" t="n"/>
      <c r="V252" s="21" t="n">
        <v>10</v>
      </c>
      <c r="W252" s="21" t="n">
        <v>10</v>
      </c>
      <c r="X252" s="2" t="inlineStr">
        <is>
          <t>ENABLED</t>
        </is>
      </c>
      <c r="Y252" s="2" t="inlineStr">
        <is>
          <t>none</t>
        </is>
      </c>
      <c r="Z252" s="2" t="inlineStr">
        <is>
          <t>defer — engine name wrong ((Conquest)); load a corrected name after 28 Oct</t>
        </is>
      </c>
      <c r="AA252" s="21" t="n">
        <v>0</v>
      </c>
      <c r="AB252" s="2" t="n">
        <v>0</v>
      </c>
      <c r="AC252" s="2" t="n">
        <v>0</v>
      </c>
      <c r="AD252" s="2" t="n"/>
      <c r="AE252" s="2" t="n"/>
      <c r="AF252" s="2" t="n"/>
      <c r="AG252" s="2" t="n">
        <v>0</v>
      </c>
      <c r="AH252" s="2" t="inlineStr">
        <is>
          <t>Retag only</t>
        </is>
      </c>
      <c r="AI252" s="22" t="inlineStr">
        <is>
          <t>retag → Conquesting</t>
        </is>
      </c>
      <c r="AJ252" s="22" t="inlineStr">
        <is>
          <t>Objective Conversions → Conquesting by the standard (our retag verdict); no clicks in CC 31 Aug–29 Sep.</t>
        </is>
      </c>
      <c r="AK252" s="2" t="inlineStr">
        <is>
          <t>seq 2165 retag correct to Conquesting; seq 3085 rename CHANGE</t>
        </is>
      </c>
      <c r="AL252" s="22" t="n"/>
    </row>
    <row r="253">
      <c r="A253" s="2" t="inlineStr">
        <is>
          <t>221754557797648</t>
        </is>
      </c>
      <c r="B253" s="2" t="inlineStr">
        <is>
          <t>D-S4-B0BDDGJ38X - PAT - MS - DO - SATIN-QUEEN-BLACK</t>
        </is>
      </c>
      <c r="C253" s="2" t="inlineStr">
        <is>
          <t>Product targets: B0BDDGJ38X</t>
        </is>
      </c>
      <c r="D253" s="2" t="inlineStr">
        <is>
          <t>whole campaign</t>
        </is>
      </c>
      <c r="E253" s="2" t="inlineStr">
        <is>
          <t>ENABLED</t>
        </is>
      </c>
      <c r="F253" s="2" t="inlineStr">
        <is>
          <t>Conversions</t>
        </is>
      </c>
      <c r="G253" s="2" t="inlineStr">
        <is>
          <t>Conquesting</t>
        </is>
      </c>
      <c r="H253" s="2" t="n"/>
      <c r="I253" s="2" t="inlineStr">
        <is>
          <t>ASIN</t>
        </is>
      </c>
      <c r="J253" s="2" t="inlineStr">
        <is>
          <t>SATIN-QUEEN-BLACK</t>
        </is>
      </c>
      <c r="K253" s="2" t="inlineStr">
        <is>
          <t>SATIN-QUEEN-BLACK</t>
        </is>
      </c>
      <c r="L253" s="2" t="inlineStr">
        <is>
          <t>n/a (no target bid in audit)</t>
        </is>
      </c>
      <c r="M253" s="2" t="inlineStr">
        <is>
          <t>n/a</t>
        </is>
      </c>
      <c r="N253" s="2" t="n">
        <v>0</v>
      </c>
      <c r="O253" s="2" t="n">
        <v>0</v>
      </c>
      <c r="P253" s="21" t="n"/>
      <c r="Q253" s="21" t="n"/>
      <c r="R253" s="2" t="n"/>
      <c r="S253" s="2" t="n"/>
      <c r="T253" s="2" t="n"/>
      <c r="U253" s="2" t="n"/>
      <c r="V253" s="21" t="n">
        <v>10</v>
      </c>
      <c r="W253" s="21" t="n">
        <v>10</v>
      </c>
      <c r="X253" s="2" t="inlineStr">
        <is>
          <t>ENABLED</t>
        </is>
      </c>
      <c r="Y253" s="2" t="inlineStr">
        <is>
          <t>none</t>
        </is>
      </c>
      <c r="Z253" s="2" t="inlineStr">
        <is>
          <t>defer — engine name wrong ((Conquest)); load a corrected name after 28 Oct</t>
        </is>
      </c>
      <c r="AA253" s="21" t="n">
        <v>0</v>
      </c>
      <c r="AB253" s="2" t="n">
        <v>0</v>
      </c>
      <c r="AC253" s="2" t="n">
        <v>0</v>
      </c>
      <c r="AD253" s="2" t="n"/>
      <c r="AE253" s="2" t="n"/>
      <c r="AF253" s="2" t="n"/>
      <c r="AG253" s="2" t="n">
        <v>0</v>
      </c>
      <c r="AH253" s="2" t="inlineStr">
        <is>
          <t>Retag only</t>
        </is>
      </c>
      <c r="AI253" s="22" t="inlineStr">
        <is>
          <t>retag → Conquesting</t>
        </is>
      </c>
      <c r="AJ253" s="22" t="inlineStr">
        <is>
          <t>Objective Conversions → Conquesting by the standard (our retag verdict); no clicks in CC 31 Aug–29 Sep.</t>
        </is>
      </c>
      <c r="AK253" s="2" t="inlineStr">
        <is>
          <t>seq 2188 retag correct to Conquesting; seq 3163 rename CHANGE</t>
        </is>
      </c>
      <c r="AL253" s="22" t="n"/>
    </row>
    <row r="254">
      <c r="A254" s="2" t="inlineStr">
        <is>
          <t>125215176264035</t>
        </is>
      </c>
      <c r="B254" s="2" t="inlineStr">
        <is>
          <t>D-S4-B0C5CG12M2 - PAT - MS - DO - SATIN-QUEEN-BLACK</t>
        </is>
      </c>
      <c r="C254" s="2" t="inlineStr">
        <is>
          <t>Product targets: B0C5CG12M2</t>
        </is>
      </c>
      <c r="D254" s="2" t="inlineStr">
        <is>
          <t>whole campaign</t>
        </is>
      </c>
      <c r="E254" s="2" t="inlineStr">
        <is>
          <t>ENABLED</t>
        </is>
      </c>
      <c r="F254" s="2" t="inlineStr">
        <is>
          <t>Conversions</t>
        </is>
      </c>
      <c r="G254" s="2" t="inlineStr">
        <is>
          <t>Conquesting</t>
        </is>
      </c>
      <c r="H254" s="2" t="n"/>
      <c r="I254" s="2" t="inlineStr">
        <is>
          <t>ASIN</t>
        </is>
      </c>
      <c r="J254" s="2" t="inlineStr">
        <is>
          <t>SATIN-QUEEN-BLACK</t>
        </is>
      </c>
      <c r="K254" s="2" t="inlineStr">
        <is>
          <t>SATIN-QUEEN-BLACK</t>
        </is>
      </c>
      <c r="L254" s="2" t="inlineStr">
        <is>
          <t>n/a (no target bid in audit)</t>
        </is>
      </c>
      <c r="M254" s="2" t="inlineStr">
        <is>
          <t>n/a</t>
        </is>
      </c>
      <c r="N254" s="2" t="n">
        <v>0</v>
      </c>
      <c r="O254" s="2" t="n">
        <v>0</v>
      </c>
      <c r="P254" s="21" t="n"/>
      <c r="Q254" s="21" t="n"/>
      <c r="R254" s="2" t="n"/>
      <c r="S254" s="2" t="n"/>
      <c r="T254" s="2" t="n"/>
      <c r="U254" s="2" t="n"/>
      <c r="V254" s="21" t="n">
        <v>10</v>
      </c>
      <c r="W254" s="21" t="n">
        <v>10</v>
      </c>
      <c r="X254" s="2" t="inlineStr">
        <is>
          <t>ENABLED</t>
        </is>
      </c>
      <c r="Y254" s="2" t="inlineStr">
        <is>
          <t>none</t>
        </is>
      </c>
      <c r="Z254" s="2" t="inlineStr">
        <is>
          <t>defer — engine name wrong ((Conquest)); load a corrected name after 28 Oct</t>
        </is>
      </c>
      <c r="AA254" s="21" t="n">
        <v>0</v>
      </c>
      <c r="AB254" s="2" t="n">
        <v>0</v>
      </c>
      <c r="AC254" s="2" t="n">
        <v>0</v>
      </c>
      <c r="AD254" s="2" t="n"/>
      <c r="AE254" s="2" t="n"/>
      <c r="AF254" s="2" t="n"/>
      <c r="AG254" s="2" t="n">
        <v>0</v>
      </c>
      <c r="AH254" s="2" t="inlineStr">
        <is>
          <t>Retag only</t>
        </is>
      </c>
      <c r="AI254" s="22" t="inlineStr">
        <is>
          <t>retag → Conquesting</t>
        </is>
      </c>
      <c r="AJ254" s="22" t="inlineStr">
        <is>
          <t>Objective Conversions → Conquesting by the standard (our retag verdict); no clicks in CC 31 Aug–29 Sep.</t>
        </is>
      </c>
      <c r="AK254" s="2" t="inlineStr">
        <is>
          <t>seq 2164 retag correct to Conquesting; seq 3079 rename CHANGE</t>
        </is>
      </c>
      <c r="AL254" s="22" t="n"/>
    </row>
    <row r="255">
      <c r="A255" s="2" t="inlineStr">
        <is>
          <t>257618819216618</t>
        </is>
      </c>
      <c r="B255" s="2" t="inlineStr">
        <is>
          <t>D-S4-B0CSFV92TH - PAT - MS - DO - SATIN-QUEEN-BLACK</t>
        </is>
      </c>
      <c r="C255" s="2" t="inlineStr">
        <is>
          <t>Product targets: B0CSFV92TH</t>
        </is>
      </c>
      <c r="D255" s="2" t="inlineStr">
        <is>
          <t>whole campaign</t>
        </is>
      </c>
      <c r="E255" s="2" t="inlineStr">
        <is>
          <t>ENABLED</t>
        </is>
      </c>
      <c r="F255" s="2" t="inlineStr">
        <is>
          <t>Conversions</t>
        </is>
      </c>
      <c r="G255" s="2" t="inlineStr">
        <is>
          <t>Conquesting</t>
        </is>
      </c>
      <c r="H255" s="2" t="n"/>
      <c r="I255" s="2" t="inlineStr">
        <is>
          <t>ASIN</t>
        </is>
      </c>
      <c r="J255" s="2" t="inlineStr">
        <is>
          <t>SATIN-QUEEN-BLACK</t>
        </is>
      </c>
      <c r="K255" s="2" t="inlineStr">
        <is>
          <t>SATIN-QUEEN-BLACK</t>
        </is>
      </c>
      <c r="L255" s="2" t="inlineStr">
        <is>
          <t>n/a (no target bid in audit)</t>
        </is>
      </c>
      <c r="M255" s="2" t="inlineStr">
        <is>
          <t>n/a</t>
        </is>
      </c>
      <c r="N255" s="2" t="n">
        <v>0</v>
      </c>
      <c r="O255" s="2" t="n">
        <v>0</v>
      </c>
      <c r="P255" s="21" t="n"/>
      <c r="Q255" s="21" t="n"/>
      <c r="R255" s="2" t="n"/>
      <c r="S255" s="2" t="n"/>
      <c r="T255" s="2" t="n"/>
      <c r="U255" s="2" t="n"/>
      <c r="V255" s="21" t="n">
        <v>10</v>
      </c>
      <c r="W255" s="21" t="n">
        <v>10</v>
      </c>
      <c r="X255" s="2" t="inlineStr">
        <is>
          <t>ENABLED</t>
        </is>
      </c>
      <c r="Y255" s="2" t="inlineStr">
        <is>
          <t>none</t>
        </is>
      </c>
      <c r="Z255" s="2" t="inlineStr">
        <is>
          <t>defer — engine name wrong ((Conquest)); load a corrected name after 28 Oct</t>
        </is>
      </c>
      <c r="AA255" s="21" t="n">
        <v>0</v>
      </c>
      <c r="AB255" s="2" t="n">
        <v>0</v>
      </c>
      <c r="AC255" s="2" t="n">
        <v>0</v>
      </c>
      <c r="AD255" s="2" t="n"/>
      <c r="AE255" s="2" t="n"/>
      <c r="AF255" s="2" t="n"/>
      <c r="AG255" s="2" t="n">
        <v>0</v>
      </c>
      <c r="AH255" s="2" t="inlineStr">
        <is>
          <t>Retag only</t>
        </is>
      </c>
      <c r="AI255" s="22" t="inlineStr">
        <is>
          <t>retag → Conquesting</t>
        </is>
      </c>
      <c r="AJ255" s="22" t="inlineStr">
        <is>
          <t>Objective Conversions → Conquesting by the standard (our retag verdict); no clicks in CC 31 Aug–29 Sep.</t>
        </is>
      </c>
      <c r="AK255" s="2" t="inlineStr">
        <is>
          <t>seq 2204 retag correct to Conquesting; seq 3198 rename CHANGE</t>
        </is>
      </c>
      <c r="AL255" s="22" t="n"/>
    </row>
    <row r="256">
      <c r="A256" s="2" t="inlineStr">
        <is>
          <t>82600103613739</t>
        </is>
      </c>
      <c r="B256" s="2" t="inlineStr">
        <is>
          <t>D-S4-B0D9BCKF76 - PAT - MS - DO - SATIN-QUEEN-BLACK</t>
        </is>
      </c>
      <c r="C256" s="2" t="inlineStr">
        <is>
          <t>Product targets: B0D9BCKF76</t>
        </is>
      </c>
      <c r="D256" s="2" t="inlineStr">
        <is>
          <t>whole campaign</t>
        </is>
      </c>
      <c r="E256" s="2" t="inlineStr">
        <is>
          <t>ENABLED</t>
        </is>
      </c>
      <c r="F256" s="2" t="inlineStr">
        <is>
          <t>Conversions</t>
        </is>
      </c>
      <c r="G256" s="2" t="inlineStr">
        <is>
          <t>Conquesting</t>
        </is>
      </c>
      <c r="H256" s="2" t="n"/>
      <c r="I256" s="2" t="inlineStr">
        <is>
          <t>ASIN</t>
        </is>
      </c>
      <c r="J256" s="2" t="inlineStr">
        <is>
          <t>SATIN-QUEEN-BLACK</t>
        </is>
      </c>
      <c r="K256" s="2" t="inlineStr">
        <is>
          <t>SATIN-QUEEN-BLACK</t>
        </is>
      </c>
      <c r="L256" s="2" t="inlineStr">
        <is>
          <t>n/a (no target bid in audit)</t>
        </is>
      </c>
      <c r="M256" s="2" t="inlineStr">
        <is>
          <t>n/a</t>
        </is>
      </c>
      <c r="N256" s="2" t="n">
        <v>0</v>
      </c>
      <c r="O256" s="2" t="n">
        <v>0</v>
      </c>
      <c r="P256" s="21" t="n"/>
      <c r="Q256" s="21" t="n"/>
      <c r="R256" s="2" t="n"/>
      <c r="S256" s="2" t="n"/>
      <c r="T256" s="2" t="n"/>
      <c r="U256" s="2" t="n"/>
      <c r="V256" s="21" t="n">
        <v>10</v>
      </c>
      <c r="W256" s="21" t="n">
        <v>10</v>
      </c>
      <c r="X256" s="2" t="inlineStr">
        <is>
          <t>ENABLED</t>
        </is>
      </c>
      <c r="Y256" s="2" t="inlineStr">
        <is>
          <t>none</t>
        </is>
      </c>
      <c r="Z256" s="2" t="inlineStr">
        <is>
          <t>defer — engine name wrong ((Conquest)); load a corrected name after 28 Oct</t>
        </is>
      </c>
      <c r="AA256" s="21" t="n">
        <v>0</v>
      </c>
      <c r="AB256" s="2" t="n">
        <v>0</v>
      </c>
      <c r="AC256" s="2" t="n">
        <v>0</v>
      </c>
      <c r="AD256" s="2" t="n"/>
      <c r="AE256" s="2" t="n"/>
      <c r="AF256" s="2" t="n"/>
      <c r="AG256" s="2" t="n">
        <v>0</v>
      </c>
      <c r="AH256" s="2" t="inlineStr">
        <is>
          <t>Retag only</t>
        </is>
      </c>
      <c r="AI256" s="22" t="inlineStr">
        <is>
          <t>retag → Conquesting</t>
        </is>
      </c>
      <c r="AJ256" s="22" t="inlineStr">
        <is>
          <t>Objective Conversions → Conquesting by the standard (our retag verdict); no clicks in CC 31 Aug–29 Sep.</t>
        </is>
      </c>
      <c r="AK256" s="2" t="inlineStr">
        <is>
          <t>seq 2227 retag correct to Conquesting; seq 3299 rename CHANGE</t>
        </is>
      </c>
      <c r="AL256" s="22" t="n"/>
    </row>
    <row r="257">
      <c r="A257" s="2" t="inlineStr">
        <is>
          <t>42206484269620</t>
        </is>
      </c>
      <c r="B257" s="2" t="inlineStr">
        <is>
          <t>D-S4-B0DC5L25TX - PAT - MS - DO - SATIN-QUEEN-BLACK</t>
        </is>
      </c>
      <c r="C257" s="2" t="inlineStr">
        <is>
          <t>Product targets: B0DC5L25TX</t>
        </is>
      </c>
      <c r="D257" s="2" t="inlineStr">
        <is>
          <t>whole campaign</t>
        </is>
      </c>
      <c r="E257" s="2" t="inlineStr">
        <is>
          <t>ENABLED</t>
        </is>
      </c>
      <c r="F257" s="2" t="inlineStr">
        <is>
          <t>Conversions</t>
        </is>
      </c>
      <c r="G257" s="2" t="inlineStr">
        <is>
          <t>Conquesting</t>
        </is>
      </c>
      <c r="H257" s="2" t="n"/>
      <c r="I257" s="2" t="inlineStr">
        <is>
          <t>ASIN</t>
        </is>
      </c>
      <c r="J257" s="2" t="inlineStr">
        <is>
          <t>SATIN-QUEEN-BLACK</t>
        </is>
      </c>
      <c r="K257" s="2" t="inlineStr">
        <is>
          <t>SATIN-QUEEN-BLACK</t>
        </is>
      </c>
      <c r="L257" s="2" t="inlineStr">
        <is>
          <t>n/a (no target bid in audit)</t>
        </is>
      </c>
      <c r="M257" s="2" t="inlineStr">
        <is>
          <t>n/a</t>
        </is>
      </c>
      <c r="N257" s="2" t="n">
        <v>0</v>
      </c>
      <c r="O257" s="2" t="n">
        <v>0</v>
      </c>
      <c r="P257" s="21" t="n"/>
      <c r="Q257" s="21" t="n"/>
      <c r="R257" s="2" t="n"/>
      <c r="S257" s="2" t="n"/>
      <c r="T257" s="2" t="n"/>
      <c r="U257" s="2" t="n"/>
      <c r="V257" s="21" t="n">
        <v>10</v>
      </c>
      <c r="W257" s="21" t="n">
        <v>10</v>
      </c>
      <c r="X257" s="2" t="inlineStr">
        <is>
          <t>ENABLED</t>
        </is>
      </c>
      <c r="Y257" s="2" t="inlineStr">
        <is>
          <t>none</t>
        </is>
      </c>
      <c r="Z257" s="2" t="inlineStr">
        <is>
          <t>defer — engine name wrong ((Conquest)); load a corrected name after 28 Oct</t>
        </is>
      </c>
      <c r="AA257" s="21" t="n">
        <v>0</v>
      </c>
      <c r="AB257" s="2" t="n">
        <v>0</v>
      </c>
      <c r="AC257" s="2" t="n">
        <v>0</v>
      </c>
      <c r="AD257" s="2" t="n"/>
      <c r="AE257" s="2" t="n"/>
      <c r="AF257" s="2" t="n"/>
      <c r="AG257" s="2" t="n">
        <v>0</v>
      </c>
      <c r="AH257" s="2" t="inlineStr">
        <is>
          <t>Retag only</t>
        </is>
      </c>
      <c r="AI257" s="22" t="inlineStr">
        <is>
          <t>retag → Conquesting</t>
        </is>
      </c>
      <c r="AJ257" s="22" t="inlineStr">
        <is>
          <t>Objective Conversions → Conquesting by the standard (our retag verdict); no clicks in CC 31 Aug–29 Sep.</t>
        </is>
      </c>
      <c r="AK257" s="2" t="inlineStr">
        <is>
          <t>seq 2212 retag correct to Conquesting; seq 3247 rename CHANGE</t>
        </is>
      </c>
      <c r="AL257" s="22" t="n"/>
    </row>
    <row r="258">
      <c r="A258" s="2" t="inlineStr">
        <is>
          <t>8183945446890</t>
        </is>
      </c>
      <c r="B258" s="2" t="inlineStr">
        <is>
          <t>D-S4-B0DCC66JZB - PAT - MS - DO - SATIN-QUEEN-BLACK</t>
        </is>
      </c>
      <c r="C258" s="2" t="inlineStr">
        <is>
          <t>Product targets: B0DCC66JZB</t>
        </is>
      </c>
      <c r="D258" s="2" t="inlineStr">
        <is>
          <t>whole campaign</t>
        </is>
      </c>
      <c r="E258" s="2" t="inlineStr">
        <is>
          <t>ENABLED</t>
        </is>
      </c>
      <c r="F258" s="2" t="inlineStr">
        <is>
          <t>Conversions</t>
        </is>
      </c>
      <c r="G258" s="2" t="inlineStr">
        <is>
          <t>Conquesting</t>
        </is>
      </c>
      <c r="H258" s="2" t="n"/>
      <c r="I258" s="2" t="inlineStr">
        <is>
          <t>ASIN</t>
        </is>
      </c>
      <c r="J258" s="2" t="inlineStr">
        <is>
          <t>SATIN-QUEEN-BLACK</t>
        </is>
      </c>
      <c r="K258" s="2" t="inlineStr">
        <is>
          <t>SATIN-QUEEN-BLACK</t>
        </is>
      </c>
      <c r="L258" s="2" t="inlineStr">
        <is>
          <t>n/a (no target bid in audit)</t>
        </is>
      </c>
      <c r="M258" s="2" t="inlineStr">
        <is>
          <t>n/a</t>
        </is>
      </c>
      <c r="N258" s="2" t="n">
        <v>0</v>
      </c>
      <c r="O258" s="2" t="n">
        <v>0</v>
      </c>
      <c r="P258" s="21" t="n"/>
      <c r="Q258" s="21" t="n"/>
      <c r="R258" s="2" t="n"/>
      <c r="S258" s="2" t="n"/>
      <c r="T258" s="2" t="n"/>
      <c r="U258" s="2" t="n"/>
      <c r="V258" s="21" t="n">
        <v>10</v>
      </c>
      <c r="W258" s="21" t="n">
        <v>10</v>
      </c>
      <c r="X258" s="2" t="inlineStr">
        <is>
          <t>ENABLED</t>
        </is>
      </c>
      <c r="Y258" s="2" t="inlineStr">
        <is>
          <t>none</t>
        </is>
      </c>
      <c r="Z258" s="2" t="inlineStr">
        <is>
          <t>defer — engine name wrong ((Conquest)); load a corrected name after 28 Oct</t>
        </is>
      </c>
      <c r="AA258" s="21" t="n">
        <v>0</v>
      </c>
      <c r="AB258" s="2" t="n">
        <v>0</v>
      </c>
      <c r="AC258" s="2" t="n">
        <v>0</v>
      </c>
      <c r="AD258" s="2" t="n"/>
      <c r="AE258" s="2" t="n"/>
      <c r="AF258" s="2" t="n"/>
      <c r="AG258" s="2" t="n">
        <v>0</v>
      </c>
      <c r="AH258" s="2" t="inlineStr">
        <is>
          <t>Retag only</t>
        </is>
      </c>
      <c r="AI258" s="22" t="inlineStr">
        <is>
          <t>retag → Conquesting</t>
        </is>
      </c>
      <c r="AJ258" s="22" t="inlineStr">
        <is>
          <t>Objective Conversions → Conquesting by the standard (our retag verdict); no clicks in CC 31 Aug–29 Sep.</t>
        </is>
      </c>
      <c r="AK258" s="2" t="inlineStr">
        <is>
          <t>seq 2226 retag correct to Conquesting; seq 3298 rename CHANGE</t>
        </is>
      </c>
      <c r="AL258" s="22" t="n"/>
    </row>
    <row r="259">
      <c r="A259" s="2" t="inlineStr">
        <is>
          <t>252866202790990</t>
        </is>
      </c>
      <c r="B259" s="2" t="inlineStr">
        <is>
          <t>D-S4-B0G5PGWT5F - PAT - MS - DO - SATIN-QUEEN-BLACK</t>
        </is>
      </c>
      <c r="C259" s="2" t="inlineStr">
        <is>
          <t>Product targets: B0G5PGWT5F</t>
        </is>
      </c>
      <c r="D259" s="2" t="inlineStr">
        <is>
          <t>whole campaign</t>
        </is>
      </c>
      <c r="E259" s="2" t="inlineStr">
        <is>
          <t>ENABLED</t>
        </is>
      </c>
      <c r="F259" s="2" t="inlineStr">
        <is>
          <t>Conversions</t>
        </is>
      </c>
      <c r="G259" s="2" t="inlineStr">
        <is>
          <t>Conquesting</t>
        </is>
      </c>
      <c r="H259" s="2" t="n"/>
      <c r="I259" s="2" t="inlineStr">
        <is>
          <t>ASIN</t>
        </is>
      </c>
      <c r="J259" s="2" t="inlineStr">
        <is>
          <t>SATIN-QUEEN-BLACK</t>
        </is>
      </c>
      <c r="K259" s="2" t="inlineStr">
        <is>
          <t>SATIN-QUEEN-BLACK</t>
        </is>
      </c>
      <c r="L259" s="2" t="inlineStr">
        <is>
          <t>n/a (no target bid in audit)</t>
        </is>
      </c>
      <c r="M259" s="2" t="inlineStr">
        <is>
          <t>n/a</t>
        </is>
      </c>
      <c r="N259" s="2" t="n">
        <v>0</v>
      </c>
      <c r="O259" s="2" t="n">
        <v>0</v>
      </c>
      <c r="P259" s="21" t="n"/>
      <c r="Q259" s="21" t="n"/>
      <c r="R259" s="2" t="n"/>
      <c r="S259" s="2" t="n"/>
      <c r="T259" s="2" t="n"/>
      <c r="U259" s="2" t="n"/>
      <c r="V259" s="21" t="n">
        <v>10</v>
      </c>
      <c r="W259" s="21" t="n">
        <v>10</v>
      </c>
      <c r="X259" s="2" t="inlineStr">
        <is>
          <t>ENABLED</t>
        </is>
      </c>
      <c r="Y259" s="2" t="inlineStr">
        <is>
          <t>none</t>
        </is>
      </c>
      <c r="Z259" s="2" t="inlineStr">
        <is>
          <t>defer — engine name wrong ((Conquest)); load a corrected name after 28 Oct</t>
        </is>
      </c>
      <c r="AA259" s="21" t="n">
        <v>0</v>
      </c>
      <c r="AB259" s="2" t="n">
        <v>0</v>
      </c>
      <c r="AC259" s="2" t="n">
        <v>0</v>
      </c>
      <c r="AD259" s="2" t="n"/>
      <c r="AE259" s="2" t="n"/>
      <c r="AF259" s="2" t="n"/>
      <c r="AG259" s="2" t="n">
        <v>0</v>
      </c>
      <c r="AH259" s="2" t="inlineStr">
        <is>
          <t>Retag only</t>
        </is>
      </c>
      <c r="AI259" s="22" t="inlineStr">
        <is>
          <t>retag → Conquesting</t>
        </is>
      </c>
      <c r="AJ259" s="22" t="inlineStr">
        <is>
          <t>Objective Conversions → Conquesting by the standard (our retag verdict); no clicks in CC 31 Aug–29 Sep.</t>
        </is>
      </c>
      <c r="AK259" s="2" t="inlineStr">
        <is>
          <t>seq 2203 retag correct to Conquesting; seq 3197 rename CHANGE</t>
        </is>
      </c>
      <c r="AL259" s="22" t="n"/>
    </row>
    <row r="260">
      <c r="A260" s="2" t="inlineStr">
        <is>
          <t>197946725902791</t>
        </is>
      </c>
      <c r="B260" s="2" t="inlineStr">
        <is>
          <t>D-S4-B0G64G9HLJ - PAT - MS - DO - SATIN-QUEEN-BLACK</t>
        </is>
      </c>
      <c r="C260" s="2" t="inlineStr">
        <is>
          <t>Product targets: B0G64G9HLJ</t>
        </is>
      </c>
      <c r="D260" s="2" t="inlineStr">
        <is>
          <t>whole campaign</t>
        </is>
      </c>
      <c r="E260" s="2" t="inlineStr">
        <is>
          <t>ENABLED</t>
        </is>
      </c>
      <c r="F260" s="2" t="inlineStr">
        <is>
          <t>Conversions</t>
        </is>
      </c>
      <c r="G260" s="2" t="inlineStr">
        <is>
          <t>Conquesting</t>
        </is>
      </c>
      <c r="H260" s="2" t="n"/>
      <c r="I260" s="2" t="inlineStr">
        <is>
          <t>ASIN</t>
        </is>
      </c>
      <c r="J260" s="2" t="inlineStr">
        <is>
          <t>SATIN-QUEEN-BLACK</t>
        </is>
      </c>
      <c r="K260" s="2" t="inlineStr">
        <is>
          <t>SATIN-QUEEN-BLACK</t>
        </is>
      </c>
      <c r="L260" s="2" t="inlineStr">
        <is>
          <t>n/a (no target bid in audit)</t>
        </is>
      </c>
      <c r="M260" s="2" t="inlineStr">
        <is>
          <t>n/a</t>
        </is>
      </c>
      <c r="N260" s="2" t="n">
        <v>0</v>
      </c>
      <c r="O260" s="2" t="n">
        <v>0</v>
      </c>
      <c r="P260" s="21" t="n"/>
      <c r="Q260" s="21" t="n"/>
      <c r="R260" s="2" t="n"/>
      <c r="S260" s="2" t="n"/>
      <c r="T260" s="2" t="n"/>
      <c r="U260" s="2" t="n"/>
      <c r="V260" s="21" t="n">
        <v>10</v>
      </c>
      <c r="W260" s="21" t="n">
        <v>10</v>
      </c>
      <c r="X260" s="2" t="inlineStr">
        <is>
          <t>ENABLED</t>
        </is>
      </c>
      <c r="Y260" s="2" t="inlineStr">
        <is>
          <t>none</t>
        </is>
      </c>
      <c r="Z260" s="2" t="inlineStr">
        <is>
          <t>defer — engine name wrong ((Conquest)); load a corrected name after 28 Oct</t>
        </is>
      </c>
      <c r="AA260" s="21" t="n">
        <v>0</v>
      </c>
      <c r="AB260" s="2" t="n">
        <v>0</v>
      </c>
      <c r="AC260" s="2" t="n">
        <v>0</v>
      </c>
      <c r="AD260" s="2" t="n"/>
      <c r="AE260" s="2" t="n"/>
      <c r="AF260" s="2" t="n"/>
      <c r="AG260" s="2" t="n">
        <v>0</v>
      </c>
      <c r="AH260" s="2" t="inlineStr">
        <is>
          <t>Retag only</t>
        </is>
      </c>
      <c r="AI260" s="22" t="inlineStr">
        <is>
          <t>retag → Conquesting</t>
        </is>
      </c>
      <c r="AJ260" s="22" t="inlineStr">
        <is>
          <t>Objective Conversions → Conquesting by the standard (our retag verdict); no clicks in CC 31 Aug–29 Sep.</t>
        </is>
      </c>
      <c r="AK260" s="2" t="inlineStr">
        <is>
          <t>seq 2180 retag correct to Conquesting; seq 3142 rename CHANGE</t>
        </is>
      </c>
      <c r="AL260" s="22" t="n"/>
    </row>
    <row r="261">
      <c r="A261" s="2" t="inlineStr">
        <is>
          <t>21320792887364</t>
        </is>
      </c>
      <c r="B261" s="2" t="inlineStr">
        <is>
          <t>D-S4-B0GKLCS2FF - PAT - MS - DO - SATIN-QUEEN-BLACK</t>
        </is>
      </c>
      <c r="C261" s="2" t="inlineStr">
        <is>
          <t>Product targets: B0GKLCS2FF</t>
        </is>
      </c>
      <c r="D261" s="2" t="inlineStr">
        <is>
          <t>whole campaign</t>
        </is>
      </c>
      <c r="E261" s="2" t="inlineStr">
        <is>
          <t>ENABLED</t>
        </is>
      </c>
      <c r="F261" s="2" t="inlineStr">
        <is>
          <t>Conversions</t>
        </is>
      </c>
      <c r="G261" s="2" t="inlineStr">
        <is>
          <t>Conquesting</t>
        </is>
      </c>
      <c r="H261" s="2" t="n"/>
      <c r="I261" s="2" t="inlineStr">
        <is>
          <t>ASIN</t>
        </is>
      </c>
      <c r="J261" s="2" t="inlineStr">
        <is>
          <t>SATIN-QUEEN-BLACK</t>
        </is>
      </c>
      <c r="K261" s="2" t="inlineStr">
        <is>
          <t>SATIN-QUEEN-BLACK</t>
        </is>
      </c>
      <c r="L261" s="2" t="inlineStr">
        <is>
          <t>n/a (no target bid in audit)</t>
        </is>
      </c>
      <c r="M261" s="2" t="inlineStr">
        <is>
          <t>n/a</t>
        </is>
      </c>
      <c r="N261" s="2" t="n">
        <v>0</v>
      </c>
      <c r="O261" s="2" t="n">
        <v>0</v>
      </c>
      <c r="P261" s="21" t="n"/>
      <c r="Q261" s="21" t="n"/>
      <c r="R261" s="2" t="n"/>
      <c r="S261" s="2" t="n"/>
      <c r="T261" s="2" t="n"/>
      <c r="U261" s="2" t="n"/>
      <c r="V261" s="21" t="n">
        <v>10</v>
      </c>
      <c r="W261" s="21" t="n">
        <v>10</v>
      </c>
      <c r="X261" s="2" t="inlineStr">
        <is>
          <t>ENABLED</t>
        </is>
      </c>
      <c r="Y261" s="2" t="inlineStr">
        <is>
          <t>none</t>
        </is>
      </c>
      <c r="Z261" s="2" t="inlineStr">
        <is>
          <t>defer — engine name wrong ((Conquest)); load a corrected name after 28 Oct</t>
        </is>
      </c>
      <c r="AA261" s="21" t="n">
        <v>0</v>
      </c>
      <c r="AB261" s="2" t="n">
        <v>0</v>
      </c>
      <c r="AC261" s="2" t="n">
        <v>0</v>
      </c>
      <c r="AD261" s="2" t="n"/>
      <c r="AE261" s="2" t="n"/>
      <c r="AF261" s="2" t="n"/>
      <c r="AG261" s="2" t="n">
        <v>0</v>
      </c>
      <c r="AH261" s="2" t="inlineStr">
        <is>
          <t>Retag only</t>
        </is>
      </c>
      <c r="AI261" s="22" t="inlineStr">
        <is>
          <t>retag → Conquesting</t>
        </is>
      </c>
      <c r="AJ261" s="22" t="inlineStr">
        <is>
          <t>Objective Conversions → Conquesting by the standard (our retag verdict); no clicks in CC 31 Aug–29 Sep.</t>
        </is>
      </c>
      <c r="AK261" s="2" t="inlineStr">
        <is>
          <t>seq 2186 retag correct to Conquesting; seq 3157 rename CHANGE</t>
        </is>
      </c>
      <c r="AL261" s="22" t="n"/>
    </row>
    <row r="262">
      <c r="A262" s="2" t="inlineStr">
        <is>
          <t>400796336794858</t>
        </is>
      </c>
      <c r="B262" s="2" t="inlineStr">
        <is>
          <t>D-S4-SD-ProdTgt-CPC-Conq-DO-SATIN-KING-BLACK-G1</t>
        </is>
      </c>
      <c r="C262" s="2" t="inlineStr">
        <is>
          <t>not on file (no spend in 90 days)</t>
        </is>
      </c>
      <c r="D262" s="2" t="inlineStr">
        <is>
          <t>—</t>
        </is>
      </c>
      <c r="E262" s="2" t="inlineStr">
        <is>
          <t>(not in audit)</t>
        </is>
      </c>
      <c r="F262" s="2" t="inlineStr">
        <is>
          <t>Sponsored Display</t>
        </is>
      </c>
      <c r="G262" s="2" t="inlineStr">
        <is>
          <t>Sponsored Display</t>
        </is>
      </c>
      <c r="H262" s="2" t="n"/>
      <c r="I262" s="2" t="inlineStr">
        <is>
          <t>?</t>
        </is>
      </c>
      <c r="J262" s="2" t="n"/>
      <c r="K262" s="2" t="n"/>
      <c r="L262" s="2" t="inlineStr">
        <is>
          <t>n/a (no target bid in audit)</t>
        </is>
      </c>
      <c r="M262" s="2" t="inlineStr">
        <is>
          <t>n/a</t>
        </is>
      </c>
      <c r="N262" s="2" t="n"/>
      <c r="O262" s="2" t="n"/>
      <c r="P262" s="21" t="n"/>
      <c r="Q262" s="21" t="n"/>
      <c r="R262" s="2" t="n"/>
      <c r="S262" s="2" t="n"/>
      <c r="T262" s="2" t="n"/>
      <c r="U262" s="2" t="n"/>
      <c r="V262" s="21" t="n"/>
      <c r="W262" s="21" t="n"/>
      <c r="X262" s="2" t="inlineStr">
        <is>
          <t>(not in audit)</t>
        </is>
      </c>
      <c r="Y262" s="2" t="inlineStr">
        <is>
          <t>none</t>
        </is>
      </c>
      <c r="Z262" s="2" t="inlineStr">
        <is>
          <t>none</t>
        </is>
      </c>
      <c r="AA262" s="21" t="n">
        <v>0</v>
      </c>
      <c r="AB262" s="2" t="n">
        <v>0</v>
      </c>
      <c r="AC262" s="2" t="n">
        <v>0</v>
      </c>
      <c r="AD262" s="2" t="n"/>
      <c r="AE262" s="2" t="n"/>
      <c r="AF262" s="2" t="n"/>
      <c r="AG262" s="2" t="n">
        <v>0</v>
      </c>
      <c r="AH262" s="2" t="inlineStr">
        <is>
          <t>No change</t>
        </is>
      </c>
      <c r="AI262" s="22" t="inlineStr">
        <is>
          <t>No change</t>
        </is>
      </c>
      <c r="AJ262" s="22" t="inlineStr">
        <is>
          <t>No run decision and no issue found; no clicks in CC 31 Aug–29 Sep.</t>
        </is>
      </c>
      <c r="AK262" s="2" t="inlineStr">
        <is>
          <t>no run decision</t>
        </is>
      </c>
      <c r="AL262" s="22" t="n"/>
    </row>
    <row r="263">
      <c r="A263" s="2" t="inlineStr">
        <is>
          <t>416093541928779</t>
        </is>
      </c>
      <c r="B263" s="2" t="inlineStr">
        <is>
          <t>D-S4-SD-ProdTgt-CPC-Conq-DO-SATIN-KING-BLACK-G2</t>
        </is>
      </c>
      <c r="C263" s="2" t="inlineStr">
        <is>
          <t>not on file (no spend in 90 days)</t>
        </is>
      </c>
      <c r="D263" s="2" t="inlineStr">
        <is>
          <t>—</t>
        </is>
      </c>
      <c r="E263" s="2" t="inlineStr">
        <is>
          <t>(not in audit)</t>
        </is>
      </c>
      <c r="F263" s="2" t="inlineStr">
        <is>
          <t>Sponsored Display</t>
        </is>
      </c>
      <c r="G263" s="2" t="inlineStr">
        <is>
          <t>Sponsored Display</t>
        </is>
      </c>
      <c r="H263" s="2" t="n"/>
      <c r="I263" s="2" t="inlineStr">
        <is>
          <t>?</t>
        </is>
      </c>
      <c r="J263" s="2" t="n"/>
      <c r="K263" s="2" t="n"/>
      <c r="L263" s="2" t="inlineStr">
        <is>
          <t>n/a (no target bid in audit)</t>
        </is>
      </c>
      <c r="M263" s="2" t="inlineStr">
        <is>
          <t>n/a</t>
        </is>
      </c>
      <c r="N263" s="2" t="n"/>
      <c r="O263" s="2" t="n"/>
      <c r="P263" s="21" t="n"/>
      <c r="Q263" s="21" t="n"/>
      <c r="R263" s="2" t="n"/>
      <c r="S263" s="2" t="n"/>
      <c r="T263" s="2" t="n"/>
      <c r="U263" s="2" t="n"/>
      <c r="V263" s="21" t="n"/>
      <c r="W263" s="21" t="n"/>
      <c r="X263" s="2" t="inlineStr">
        <is>
          <t>(not in audit)</t>
        </is>
      </c>
      <c r="Y263" s="2" t="inlineStr">
        <is>
          <t>none</t>
        </is>
      </c>
      <c r="Z263" s="2" t="inlineStr">
        <is>
          <t>none</t>
        </is>
      </c>
      <c r="AA263" s="21" t="n">
        <v>0</v>
      </c>
      <c r="AB263" s="2" t="n">
        <v>0</v>
      </c>
      <c r="AC263" s="2" t="n">
        <v>0</v>
      </c>
      <c r="AD263" s="2" t="n"/>
      <c r="AE263" s="2" t="n"/>
      <c r="AF263" s="2" t="n"/>
      <c r="AG263" s="2" t="n">
        <v>0</v>
      </c>
      <c r="AH263" s="2" t="inlineStr">
        <is>
          <t>No change</t>
        </is>
      </c>
      <c r="AI263" s="22" t="inlineStr">
        <is>
          <t>No change</t>
        </is>
      </c>
      <c r="AJ263" s="22" t="inlineStr">
        <is>
          <t>No run decision and no issue found; no clicks in CC 31 Aug–29 Sep.</t>
        </is>
      </c>
      <c r="AK263" s="2" t="inlineStr">
        <is>
          <t>no run decision</t>
        </is>
      </c>
      <c r="AL263" s="22" t="n"/>
    </row>
    <row r="264">
      <c r="A264" s="2" t="inlineStr">
        <is>
          <t>423975496788876</t>
        </is>
      </c>
      <c r="B264" s="2" t="inlineStr">
        <is>
          <t>D-S4-SD-ProdTgt-CPC-Conq-DO-SATIN-QUEEN-GREY-G1</t>
        </is>
      </c>
      <c r="C264" s="2" t="inlineStr">
        <is>
          <t>not on file (no spend in 90 days)</t>
        </is>
      </c>
      <c r="D264" s="2" t="inlineStr">
        <is>
          <t>—</t>
        </is>
      </c>
      <c r="E264" s="2" t="inlineStr">
        <is>
          <t>(not in audit)</t>
        </is>
      </c>
      <c r="F264" s="2" t="inlineStr">
        <is>
          <t>Sponsored Display</t>
        </is>
      </c>
      <c r="G264" s="2" t="inlineStr">
        <is>
          <t>Sponsored Display</t>
        </is>
      </c>
      <c r="H264" s="2" t="n"/>
      <c r="I264" s="2" t="inlineStr">
        <is>
          <t>?</t>
        </is>
      </c>
      <c r="J264" s="2" t="n"/>
      <c r="K264" s="2" t="n"/>
      <c r="L264" s="2" t="inlineStr">
        <is>
          <t>n/a (no target bid in audit)</t>
        </is>
      </c>
      <c r="M264" s="2" t="inlineStr">
        <is>
          <t>n/a</t>
        </is>
      </c>
      <c r="N264" s="2" t="n"/>
      <c r="O264" s="2" t="n"/>
      <c r="P264" s="21" t="n"/>
      <c r="Q264" s="21" t="n"/>
      <c r="R264" s="2" t="n"/>
      <c r="S264" s="2" t="n"/>
      <c r="T264" s="2" t="n"/>
      <c r="U264" s="2" t="n"/>
      <c r="V264" s="21" t="n"/>
      <c r="W264" s="21" t="n"/>
      <c r="X264" s="2" t="inlineStr">
        <is>
          <t>(not in audit)</t>
        </is>
      </c>
      <c r="Y264" s="2" t="inlineStr">
        <is>
          <t>none</t>
        </is>
      </c>
      <c r="Z264" s="2" t="inlineStr">
        <is>
          <t>none</t>
        </is>
      </c>
      <c r="AA264" s="21" t="n">
        <v>0</v>
      </c>
      <c r="AB264" s="2" t="n">
        <v>0</v>
      </c>
      <c r="AC264" s="2" t="n">
        <v>0</v>
      </c>
      <c r="AD264" s="2" t="n"/>
      <c r="AE264" s="2" t="n"/>
      <c r="AF264" s="2" t="n"/>
      <c r="AG264" s="2" t="n">
        <v>0</v>
      </c>
      <c r="AH264" s="2" t="inlineStr">
        <is>
          <t>No change</t>
        </is>
      </c>
      <c r="AI264" s="22" t="inlineStr">
        <is>
          <t>No change</t>
        </is>
      </c>
      <c r="AJ264" s="22" t="inlineStr">
        <is>
          <t>No run decision and no issue found; no clicks in CC 31 Aug–29 Sep.</t>
        </is>
      </c>
      <c r="AK264" s="2" t="inlineStr">
        <is>
          <t>no run decision</t>
        </is>
      </c>
      <c r="AL264" s="22" t="n"/>
    </row>
    <row r="265">
      <c r="A265" s="2" t="inlineStr">
        <is>
          <t>484794981468048</t>
        </is>
      </c>
      <c r="B265" s="2" t="inlineStr">
        <is>
          <t>D-S4-SD-ProdTgt-CPC-Conq-DO-SATIN-QUEEN-GREY-G2</t>
        </is>
      </c>
      <c r="C265" s="2" t="inlineStr">
        <is>
          <t>not on file (no spend in 90 days)</t>
        </is>
      </c>
      <c r="D265" s="2" t="inlineStr">
        <is>
          <t>—</t>
        </is>
      </c>
      <c r="E265" s="2" t="inlineStr">
        <is>
          <t>(not in audit)</t>
        </is>
      </c>
      <c r="F265" s="2" t="inlineStr">
        <is>
          <t>Sponsored Display</t>
        </is>
      </c>
      <c r="G265" s="2" t="inlineStr">
        <is>
          <t>Sponsored Display</t>
        </is>
      </c>
      <c r="H265" s="2" t="n"/>
      <c r="I265" s="2" t="inlineStr">
        <is>
          <t>?</t>
        </is>
      </c>
      <c r="J265" s="2" t="n"/>
      <c r="K265" s="2" t="n"/>
      <c r="L265" s="2" t="inlineStr">
        <is>
          <t>n/a (no target bid in audit)</t>
        </is>
      </c>
      <c r="M265" s="2" t="inlineStr">
        <is>
          <t>n/a</t>
        </is>
      </c>
      <c r="N265" s="2" t="n"/>
      <c r="O265" s="2" t="n"/>
      <c r="P265" s="21" t="n"/>
      <c r="Q265" s="21" t="n"/>
      <c r="R265" s="2" t="n"/>
      <c r="S265" s="2" t="n"/>
      <c r="T265" s="2" t="n"/>
      <c r="U265" s="2" t="n"/>
      <c r="V265" s="21" t="n"/>
      <c r="W265" s="21" t="n"/>
      <c r="X265" s="2" t="inlineStr">
        <is>
          <t>(not in audit)</t>
        </is>
      </c>
      <c r="Y265" s="2" t="inlineStr">
        <is>
          <t>none</t>
        </is>
      </c>
      <c r="Z265" s="2" t="inlineStr">
        <is>
          <t>none</t>
        </is>
      </c>
      <c r="AA265" s="21" t="n">
        <v>0</v>
      </c>
      <c r="AB265" s="2" t="n">
        <v>0</v>
      </c>
      <c r="AC265" s="2" t="n">
        <v>0</v>
      </c>
      <c r="AD265" s="2" t="n"/>
      <c r="AE265" s="2" t="n"/>
      <c r="AF265" s="2" t="n"/>
      <c r="AG265" s="2" t="n">
        <v>0</v>
      </c>
      <c r="AH265" s="2" t="inlineStr">
        <is>
          <t>No change</t>
        </is>
      </c>
      <c r="AI265" s="22" t="inlineStr">
        <is>
          <t>No change</t>
        </is>
      </c>
      <c r="AJ265" s="22" t="inlineStr">
        <is>
          <t>No run decision and no issue found; no clicks in CC 31 Aug–29 Sep.</t>
        </is>
      </c>
      <c r="AK265" s="2" t="inlineStr">
        <is>
          <t>no run decision</t>
        </is>
      </c>
      <c r="AL265" s="22" t="n"/>
    </row>
    <row r="266">
      <c r="A266" s="2" t="inlineStr">
        <is>
          <t>511985465307746</t>
        </is>
      </c>
      <c r="B266" s="2" t="inlineStr">
        <is>
          <t>D-S4-SD-ProdTgt-CPC-Conq-DO-SATIN-QUEEN-GREY-G3</t>
        </is>
      </c>
      <c r="C266" s="2" t="inlineStr">
        <is>
          <t>not on file (no spend in 90 days)</t>
        </is>
      </c>
      <c r="D266" s="2" t="inlineStr">
        <is>
          <t>—</t>
        </is>
      </c>
      <c r="E266" s="2" t="inlineStr">
        <is>
          <t>(not in audit)</t>
        </is>
      </c>
      <c r="F266" s="2" t="inlineStr">
        <is>
          <t>Sponsored Display</t>
        </is>
      </c>
      <c r="G266" s="2" t="inlineStr">
        <is>
          <t>Sponsored Display</t>
        </is>
      </c>
      <c r="H266" s="2" t="n"/>
      <c r="I266" s="2" t="inlineStr">
        <is>
          <t>?</t>
        </is>
      </c>
      <c r="J266" s="2" t="n"/>
      <c r="K266" s="2" t="n"/>
      <c r="L266" s="2" t="inlineStr">
        <is>
          <t>n/a (no target bid in audit)</t>
        </is>
      </c>
      <c r="M266" s="2" t="inlineStr">
        <is>
          <t>n/a</t>
        </is>
      </c>
      <c r="N266" s="2" t="n"/>
      <c r="O266" s="2" t="n"/>
      <c r="P266" s="21" t="n"/>
      <c r="Q266" s="21" t="n"/>
      <c r="R266" s="2" t="n"/>
      <c r="S266" s="2" t="n"/>
      <c r="T266" s="2" t="n"/>
      <c r="U266" s="2" t="n"/>
      <c r="V266" s="21" t="n"/>
      <c r="W266" s="21" t="n"/>
      <c r="X266" s="2" t="inlineStr">
        <is>
          <t>(not in audit)</t>
        </is>
      </c>
      <c r="Y266" s="2" t="inlineStr">
        <is>
          <t>none</t>
        </is>
      </c>
      <c r="Z266" s="2" t="inlineStr">
        <is>
          <t>none</t>
        </is>
      </c>
      <c r="AA266" s="21" t="n">
        <v>0</v>
      </c>
      <c r="AB266" s="2" t="n">
        <v>0</v>
      </c>
      <c r="AC266" s="2" t="n">
        <v>0</v>
      </c>
      <c r="AD266" s="2" t="n"/>
      <c r="AE266" s="2" t="n"/>
      <c r="AF266" s="2" t="n"/>
      <c r="AG266" s="2" t="n">
        <v>1</v>
      </c>
      <c r="AH266" s="2" t="inlineStr">
        <is>
          <t>No change</t>
        </is>
      </c>
      <c r="AI266" s="22" t="inlineStr">
        <is>
          <t>No change</t>
        </is>
      </c>
      <c r="AJ266" s="22" t="inlineStr">
        <is>
          <t>No run decision and no issue found; no clicks in CC 31 Aug–29 Sep.</t>
        </is>
      </c>
      <c r="AK266" s="2" t="inlineStr">
        <is>
          <t>no run decision</t>
        </is>
      </c>
      <c r="AL266" s="22" t="n"/>
    </row>
    <row r="267">
      <c r="A267" s="2" t="inlineStr">
        <is>
          <t>213433779764566</t>
        </is>
      </c>
      <c r="B267" s="2" t="inlineStr">
        <is>
          <t>D-S4-SD-Remarket-CPC-RT-DO-SATIN-KING-BLACK-G1</t>
        </is>
      </c>
      <c r="C267" s="2" t="inlineStr">
        <is>
          <t>not on file (no spend in 90 days)</t>
        </is>
      </c>
      <c r="D267" s="2" t="inlineStr">
        <is>
          <t>—</t>
        </is>
      </c>
      <c r="E267" s="2" t="inlineStr">
        <is>
          <t>(not in audit)</t>
        </is>
      </c>
      <c r="F267" s="2" t="inlineStr">
        <is>
          <t>Sponsored Display</t>
        </is>
      </c>
      <c r="G267" s="2" t="inlineStr">
        <is>
          <t>Sponsored Display</t>
        </is>
      </c>
      <c r="H267" s="2" t="n"/>
      <c r="I267" s="2" t="inlineStr">
        <is>
          <t>?</t>
        </is>
      </c>
      <c r="J267" s="2" t="n"/>
      <c r="K267" s="2" t="n"/>
      <c r="L267" s="2" t="inlineStr">
        <is>
          <t>n/a (no target bid in audit)</t>
        </is>
      </c>
      <c r="M267" s="2" t="inlineStr">
        <is>
          <t>n/a</t>
        </is>
      </c>
      <c r="N267" s="2" t="n"/>
      <c r="O267" s="2" t="n"/>
      <c r="P267" s="21" t="n"/>
      <c r="Q267" s="21" t="n"/>
      <c r="R267" s="2" t="n"/>
      <c r="S267" s="2" t="n"/>
      <c r="T267" s="2" t="n"/>
      <c r="U267" s="2" t="n"/>
      <c r="V267" s="21" t="n"/>
      <c r="W267" s="21" t="n"/>
      <c r="X267" s="2" t="inlineStr">
        <is>
          <t>(not in audit)</t>
        </is>
      </c>
      <c r="Y267" s="2" t="inlineStr">
        <is>
          <t>none</t>
        </is>
      </c>
      <c r="Z267" s="2" t="inlineStr">
        <is>
          <t>none</t>
        </is>
      </c>
      <c r="AA267" s="21" t="n">
        <v>0</v>
      </c>
      <c r="AB267" s="2" t="n">
        <v>0</v>
      </c>
      <c r="AC267" s="2" t="n">
        <v>0</v>
      </c>
      <c r="AD267" s="2" t="n"/>
      <c r="AE267" s="2" t="n"/>
      <c r="AF267" s="2" t="n"/>
      <c r="AG267" s="2" t="n">
        <v>0</v>
      </c>
      <c r="AH267" s="2" t="inlineStr">
        <is>
          <t>No change</t>
        </is>
      </c>
      <c r="AI267" s="22" t="inlineStr">
        <is>
          <t>No change</t>
        </is>
      </c>
      <c r="AJ267" s="22" t="inlineStr">
        <is>
          <t>No run decision and no issue found; no clicks in CC 31 Aug–29 Sep.</t>
        </is>
      </c>
      <c r="AK267" s="2" t="inlineStr">
        <is>
          <t>no run decision</t>
        </is>
      </c>
      <c r="AL267" s="22" t="n"/>
    </row>
    <row r="268">
      <c r="A268" s="2" t="inlineStr">
        <is>
          <t>69470405492714</t>
        </is>
      </c>
      <c r="B268" s="2" t="inlineStr">
        <is>
          <t>D-S4-SD-Remarket-CPC-RT-DO-SATIN-KING-BLACK-G2</t>
        </is>
      </c>
      <c r="C268" s="2" t="inlineStr">
        <is>
          <t>not on file (no spend in 90 days)</t>
        </is>
      </c>
      <c r="D268" s="2" t="inlineStr">
        <is>
          <t>—</t>
        </is>
      </c>
      <c r="E268" s="2" t="inlineStr">
        <is>
          <t>(not in audit)</t>
        </is>
      </c>
      <c r="F268" s="2" t="inlineStr">
        <is>
          <t>Sponsored Display</t>
        </is>
      </c>
      <c r="G268" s="2" t="inlineStr">
        <is>
          <t>Sponsored Display</t>
        </is>
      </c>
      <c r="H268" s="2" t="n"/>
      <c r="I268" s="2" t="inlineStr">
        <is>
          <t>?</t>
        </is>
      </c>
      <c r="J268" s="2" t="n"/>
      <c r="K268" s="2" t="n"/>
      <c r="L268" s="2" t="inlineStr">
        <is>
          <t>n/a (no target bid in audit)</t>
        </is>
      </c>
      <c r="M268" s="2" t="inlineStr">
        <is>
          <t>n/a</t>
        </is>
      </c>
      <c r="N268" s="2" t="n"/>
      <c r="O268" s="2" t="n"/>
      <c r="P268" s="21" t="n"/>
      <c r="Q268" s="21" t="n"/>
      <c r="R268" s="2" t="n"/>
      <c r="S268" s="2" t="n"/>
      <c r="T268" s="2" t="n"/>
      <c r="U268" s="2" t="n"/>
      <c r="V268" s="21" t="n"/>
      <c r="W268" s="21" t="n"/>
      <c r="X268" s="2" t="inlineStr">
        <is>
          <t>(not in audit)</t>
        </is>
      </c>
      <c r="Y268" s="2" t="inlineStr">
        <is>
          <t>none</t>
        </is>
      </c>
      <c r="Z268" s="2" t="inlineStr">
        <is>
          <t>none</t>
        </is>
      </c>
      <c r="AA268" s="21" t="n">
        <v>0</v>
      </c>
      <c r="AB268" s="2" t="n">
        <v>0</v>
      </c>
      <c r="AC268" s="2" t="n">
        <v>0</v>
      </c>
      <c r="AD268" s="2" t="n"/>
      <c r="AE268" s="2" t="n"/>
      <c r="AF268" s="2" t="n"/>
      <c r="AG268" s="2" t="n">
        <v>0</v>
      </c>
      <c r="AH268" s="2" t="inlineStr">
        <is>
          <t>No change</t>
        </is>
      </c>
      <c r="AI268" s="22" t="inlineStr">
        <is>
          <t>No change</t>
        </is>
      </c>
      <c r="AJ268" s="22" t="inlineStr">
        <is>
          <t>No run decision and no issue found; no clicks in CC 31 Aug–29 Sep.</t>
        </is>
      </c>
      <c r="AK268" s="2" t="inlineStr">
        <is>
          <t>no run decision</t>
        </is>
      </c>
      <c r="AL268" s="22" t="n"/>
    </row>
    <row r="269">
      <c r="A269" s="2" t="inlineStr">
        <is>
          <t>119902484062710</t>
        </is>
      </c>
      <c r="B269" s="2" t="inlineStr">
        <is>
          <t>D-S4-SP-BROAD-silk bed sheets king-Silk|King-SATIN-4PC-KING-GREY</t>
        </is>
      </c>
      <c r="C269" s="2" t="inlineStr">
        <is>
          <t>silk bed sheets king [broad]</t>
        </is>
      </c>
      <c r="D269" s="2" t="inlineStr">
        <is>
          <t>whole campaign</t>
        </is>
      </c>
      <c r="E269" s="2" t="inlineStr">
        <is>
          <t>ENABLED</t>
        </is>
      </c>
      <c r="F269" s="2" t="inlineStr">
        <is>
          <t>Discovery</t>
        </is>
      </c>
      <c r="G269" s="2" t="inlineStr">
        <is>
          <t>Discovery</t>
        </is>
      </c>
      <c r="H269" s="2" t="n"/>
      <c r="I269" s="2" t="inlineStr">
        <is>
          <t>Broad</t>
        </is>
      </c>
      <c r="J269" s="2" t="inlineStr">
        <is>
          <t>SATIN-4PC-KING-GREY</t>
        </is>
      </c>
      <c r="K269" s="2" t="inlineStr">
        <is>
          <t>SATIN-4PC-KING-GREY</t>
        </is>
      </c>
      <c r="L269" s="2" t="inlineStr">
        <is>
          <t>n/a (no target bid in audit)</t>
        </is>
      </c>
      <c r="M269" s="2" t="inlineStr">
        <is>
          <t>n/a</t>
        </is>
      </c>
      <c r="N269" s="2" t="n">
        <v>0</v>
      </c>
      <c r="O269" s="2" t="n">
        <v>0</v>
      </c>
      <c r="P269" s="21" t="n"/>
      <c r="Q269" s="21" t="n"/>
      <c r="R269" s="2" t="n"/>
      <c r="S269" s="2" t="n"/>
      <c r="T269" s="2" t="n"/>
      <c r="U269" s="2" t="n"/>
      <c r="V269" s="21" t="n">
        <v>5</v>
      </c>
      <c r="W269" s="21" t="n">
        <v>5</v>
      </c>
      <c r="X269" s="2" t="inlineStr">
        <is>
          <t>PAUSED</t>
        </is>
      </c>
      <c r="Y269" s="2" t="inlineStr">
        <is>
          <t>none</t>
        </is>
      </c>
      <c r="Z269" s="2" t="inlineStr">
        <is>
          <t>none</t>
        </is>
      </c>
      <c r="AA269" s="21" t="n">
        <v>0</v>
      </c>
      <c r="AB269" s="2" t="n">
        <v>0</v>
      </c>
      <c r="AC269" s="2" t="n">
        <v>0</v>
      </c>
      <c r="AD269" s="2" t="n"/>
      <c r="AE269" s="2" t="n"/>
      <c r="AF269" s="2" t="n"/>
      <c r="AG269" s="2" t="n">
        <v>0</v>
      </c>
      <c r="AH269" s="2" t="inlineStr">
        <is>
          <t>Pause</t>
        </is>
      </c>
      <c r="AI269" s="22" t="inlineStr">
        <is>
          <t>Pause (seq 3340)</t>
        </is>
      </c>
      <c r="AJ269" s="22" t="inlineStr">
        <is>
          <t>Duplicate discovery campaign with under 15 clicks and no order in 90 days (audit read to 29 Sep).</t>
        </is>
      </c>
      <c r="AK269" s="2" t="inlineStr">
        <is>
          <t>seq 3340 structure 3340: agree with review 40</t>
        </is>
      </c>
      <c r="AL269" s="22" t="n"/>
    </row>
    <row r="270">
      <c r="A270" s="2" t="inlineStr">
        <is>
          <t>232930710691419</t>
        </is>
      </c>
      <c r="B270" s="2" t="inlineStr">
        <is>
          <t>D-S4-SP-EXACT-bed sheet set silk-Silk-SATIN-QUEEN-BLACK</t>
        </is>
      </c>
      <c r="C270" s="2" t="inlineStr">
        <is>
          <t>bed sheet set silk [exact]</t>
        </is>
      </c>
      <c r="D270" s="2" t="inlineStr">
        <is>
          <t>whole campaign</t>
        </is>
      </c>
      <c r="E270" s="2" t="inlineStr">
        <is>
          <t>ENABLED</t>
        </is>
      </c>
      <c r="F270" s="2" t="inlineStr">
        <is>
          <t>Conversions</t>
        </is>
      </c>
      <c r="G270" s="2" t="inlineStr">
        <is>
          <t>Ranking</t>
        </is>
      </c>
      <c r="H270" s="2" t="n"/>
      <c r="I270" s="2" t="inlineStr">
        <is>
          <t>Exact</t>
        </is>
      </c>
      <c r="J270" s="2" t="inlineStr">
        <is>
          <t>SATIN-QUEEN-BLACK</t>
        </is>
      </c>
      <c r="K270" s="2" t="inlineStr">
        <is>
          <t>SATIN-QUEEN-BLACK</t>
        </is>
      </c>
      <c r="L270" s="2" t="inlineStr">
        <is>
          <t>n/a (no target bid in audit)</t>
        </is>
      </c>
      <c r="M270" s="2" t="inlineStr">
        <is>
          <t>n/a</t>
        </is>
      </c>
      <c r="N270" s="2" t="n">
        <v>0</v>
      </c>
      <c r="O270" s="2" t="n">
        <v>0</v>
      </c>
      <c r="P270" s="21" t="n"/>
      <c r="Q270" s="21" t="n"/>
      <c r="R270" s="2" t="n"/>
      <c r="S270" s="2" t="n"/>
      <c r="T270" s="2" t="n"/>
      <c r="U270" s="2" t="n"/>
      <c r="V270" s="21" t="n">
        <v>8.06</v>
      </c>
      <c r="W270" s="21" t="n">
        <v>8.06</v>
      </c>
      <c r="X270" s="2" t="inlineStr">
        <is>
          <t>ENABLED</t>
        </is>
      </c>
      <c r="Y270" s="2" t="inlineStr">
        <is>
          <t>none</t>
        </is>
      </c>
      <c r="Z270" s="2" t="inlineStr">
        <is>
          <t>defer — engine name wrong ((Ranking)); load a corrected name after 28 Oct</t>
        </is>
      </c>
      <c r="AA270" s="21" t="n">
        <v>0</v>
      </c>
      <c r="AB270" s="2" t="n">
        <v>0</v>
      </c>
      <c r="AC270" s="2" t="n">
        <v>0</v>
      </c>
      <c r="AD270" s="2" t="n"/>
      <c r="AE270" s="2" t="n"/>
      <c r="AF270" s="2" t="n"/>
      <c r="AG270" s="2" t="n">
        <v>0</v>
      </c>
      <c r="AH270" s="2" t="inlineStr">
        <is>
          <t>Retag only</t>
        </is>
      </c>
      <c r="AI270" s="22" t="inlineStr">
        <is>
          <t>retag → Ranking</t>
        </is>
      </c>
      <c r="AJ270" s="22" t="inlineStr">
        <is>
          <t>Objective Conversions → Ranking by the standard (our retag verdict); no clicks in CC 31 Aug–29 Sep.</t>
        </is>
      </c>
      <c r="AK270" s="2" t="inlineStr">
        <is>
          <t>seq 2191 retag correct to Ranking; seq 3175 rename CHANGE</t>
        </is>
      </c>
      <c r="AL270" s="22" t="n"/>
    </row>
    <row r="271">
      <c r="A271" s="2" t="inlineStr">
        <is>
          <t>31582826471047</t>
        </is>
      </c>
      <c r="B271" s="2" t="inlineStr">
        <is>
          <t>D-S4-SP-EXACT-ropa de cama queen satin-Satin|Queen-SATIN-QUEEN-BLACK</t>
        </is>
      </c>
      <c r="C271" s="2" t="inlineStr">
        <is>
          <t>ropa de cama queen satin [exact]</t>
        </is>
      </c>
      <c r="D271" s="2" t="inlineStr">
        <is>
          <t>—</t>
        </is>
      </c>
      <c r="E271" s="2" t="inlineStr">
        <is>
          <t>ENABLED</t>
        </is>
      </c>
      <c r="F271" s="2" t="inlineStr">
        <is>
          <t>Conversions</t>
        </is>
      </c>
      <c r="G271" s="2" t="inlineStr">
        <is>
          <t>Conversions</t>
        </is>
      </c>
      <c r="H271" s="2" t="n"/>
      <c r="I271" s="2" t="inlineStr">
        <is>
          <t>Exact</t>
        </is>
      </c>
      <c r="J271" s="2" t="inlineStr">
        <is>
          <t>SATIN-QUEEN-BLACK</t>
        </is>
      </c>
      <c r="K271" s="2" t="inlineStr">
        <is>
          <t>SATIN-QUEEN-BLACK</t>
        </is>
      </c>
      <c r="L271" s="2" t="inlineStr">
        <is>
          <t>n/a (no target bid in audit)</t>
        </is>
      </c>
      <c r="M271" s="2" t="inlineStr">
        <is>
          <t>n/a</t>
        </is>
      </c>
      <c r="N271" s="2" t="n">
        <v>0</v>
      </c>
      <c r="O271" s="2" t="n">
        <v>0</v>
      </c>
      <c r="P271" s="21" t="n"/>
      <c r="Q271" s="21" t="n"/>
      <c r="R271" s="2" t="n"/>
      <c r="S271" s="2" t="n"/>
      <c r="T271" s="2" t="n"/>
      <c r="U271" s="2" t="n"/>
      <c r="V271" s="21" t="n">
        <v>8.06</v>
      </c>
      <c r="W271" s="21" t="n">
        <v>8.06</v>
      </c>
      <c r="X271" s="2" t="inlineStr">
        <is>
          <t>ENABLED</t>
        </is>
      </c>
      <c r="Y271" s="2" t="inlineStr">
        <is>
          <t>none</t>
        </is>
      </c>
      <c r="Z271" s="2" t="inlineStr">
        <is>
          <t>defer — engine name wrong (SKU token SATIN-QUEEN-BLACK); load a corrected name after 28 Oct</t>
        </is>
      </c>
      <c r="AA271" s="21" t="n">
        <v>0</v>
      </c>
      <c r="AB271" s="2" t="n">
        <v>0</v>
      </c>
      <c r="AC271" s="2" t="n">
        <v>0</v>
      </c>
      <c r="AD271" s="2" t="n"/>
      <c r="AE271" s="2" t="n"/>
      <c r="AF271" s="2" t="n"/>
      <c r="AG271" s="2" t="n">
        <v>0</v>
      </c>
      <c r="AH271" s="2" t="inlineStr">
        <is>
          <t>No change (engine move rejected/held)</t>
        </is>
      </c>
      <c r="AI271" s="22" t="inlineStr">
        <is>
          <t>No change (reject engine child swap seq 1932; defer engine rename)</t>
        </is>
      </c>
      <c r="AJ271" s="22" t="inlineStr">
        <is>
          <t>Engine swap SATIN-QUEEN-BLACK → SATIN-4PCS-QUEEN-STONE-GREY rejected: the pick comes from the broken size map, and SATIN-QUEEN-BLACK is the size's best seller with cover (SB 30 Aug–29 Sep); the engine rename writes a wrong token and is deferred; no clicks in CC 31 Aug–29 Sep.</t>
        </is>
      </c>
      <c r="AK271" s="2" t="inlineStr">
        <is>
          <t>seq 1932 child: reject — keep SATIN-QUEEN-BLACK; seq 2209 retag LOAD; seq 3222 rename CHANGE</t>
        </is>
      </c>
      <c r="AL271" s="22" t="n"/>
    </row>
    <row r="272">
      <c r="A272" s="2" t="inlineStr">
        <is>
          <t>25062269721036</t>
        </is>
      </c>
      <c r="B272" s="2" t="inlineStr">
        <is>
          <t>D-S4-SP-EXACT-sheets queen size satin-Satin|Queen-SATIN-QUEEN-BLACK</t>
        </is>
      </c>
      <c r="C272" s="2" t="inlineStr">
        <is>
          <t>sheets queen size satin [exact]</t>
        </is>
      </c>
      <c r="D272" s="2" t="inlineStr">
        <is>
          <t>whole campaign</t>
        </is>
      </c>
      <c r="E272" s="2" t="inlineStr">
        <is>
          <t>ENABLED</t>
        </is>
      </c>
      <c r="F272" s="2" t="inlineStr">
        <is>
          <t>Conversions</t>
        </is>
      </c>
      <c r="G272" s="2" t="inlineStr">
        <is>
          <t>Ranking</t>
        </is>
      </c>
      <c r="H272" s="2" t="n"/>
      <c r="I272" s="2" t="inlineStr">
        <is>
          <t>Exact</t>
        </is>
      </c>
      <c r="J272" s="2" t="inlineStr">
        <is>
          <t>SATIN-QUEEN-BLACK</t>
        </is>
      </c>
      <c r="K272" s="2" t="inlineStr">
        <is>
          <t>SATIN-QUEEN-BLACK</t>
        </is>
      </c>
      <c r="L272" s="2" t="inlineStr">
        <is>
          <t>n/a (no target bid in audit)</t>
        </is>
      </c>
      <c r="M272" s="2" t="inlineStr">
        <is>
          <t>n/a</t>
        </is>
      </c>
      <c r="N272" s="2" t="n">
        <v>0</v>
      </c>
      <c r="O272" s="2" t="n">
        <v>0</v>
      </c>
      <c r="P272" s="21" t="n"/>
      <c r="Q272" s="21" t="n"/>
      <c r="R272" s="2" t="n"/>
      <c r="S272" s="2" t="n"/>
      <c r="T272" s="2" t="n"/>
      <c r="U272" s="2" t="n"/>
      <c r="V272" s="21" t="n">
        <v>8.06</v>
      </c>
      <c r="W272" s="21" t="n">
        <v>8.06</v>
      </c>
      <c r="X272" s="2" t="inlineStr">
        <is>
          <t>ENABLED</t>
        </is>
      </c>
      <c r="Y272" s="2" t="inlineStr">
        <is>
          <t>none</t>
        </is>
      </c>
      <c r="Z272" s="2" t="inlineStr">
        <is>
          <t>defer — engine name wrong (SKU token SATIN-QUEEN-BLACK; (Ranking)); load a corrected name after 28 Oct</t>
        </is>
      </c>
      <c r="AA272" s="21" t="n">
        <v>0</v>
      </c>
      <c r="AB272" s="2" t="n">
        <v>0</v>
      </c>
      <c r="AC272" s="2" t="n">
        <v>0</v>
      </c>
      <c r="AD272" s="2" t="n"/>
      <c r="AE272" s="2" t="n"/>
      <c r="AF272" s="2" t="n"/>
      <c r="AG272" s="2" t="n">
        <v>0</v>
      </c>
      <c r="AH272" s="2" t="inlineStr">
        <is>
          <t>Retag only</t>
        </is>
      </c>
      <c r="AI272" s="22" t="inlineStr">
        <is>
          <t>retag → Ranking</t>
        </is>
      </c>
      <c r="AJ272" s="22" t="inlineStr">
        <is>
          <t>Objective Conversions → Ranking by the standard (our retag verdict); no clicks in CC 31 Aug–29 Sep.</t>
        </is>
      </c>
      <c r="AK272" s="2" t="inlineStr">
        <is>
          <t>seq 1923 child: reject — keep SATIN-QUEEN-BLACK; seq 2202 retag correct to Ranking; seq 3196 rename CHANGE</t>
        </is>
      </c>
      <c r="AL272" s="22" t="n"/>
    </row>
    <row r="273">
      <c r="A273" s="2" t="inlineStr">
        <is>
          <t>101758819199218</t>
        </is>
      </c>
      <c r="B273" s="2" t="inlineStr">
        <is>
          <t>D-S4-SP-EXACT-silk bed sheets king-Silk|King-SATIN-4PC-KING-GREY</t>
        </is>
      </c>
      <c r="C273" s="2" t="inlineStr">
        <is>
          <t>silk bed sheets king [exact]</t>
        </is>
      </c>
      <c r="D273" s="2" t="inlineStr">
        <is>
          <t>whole campaign</t>
        </is>
      </c>
      <c r="E273" s="2" t="inlineStr">
        <is>
          <t>ENABLED</t>
        </is>
      </c>
      <c r="F273" s="2" t="inlineStr">
        <is>
          <t>Ranking</t>
        </is>
      </c>
      <c r="G273" s="2" t="inlineStr">
        <is>
          <t>Ranking</t>
        </is>
      </c>
      <c r="H273" s="2" t="n"/>
      <c r="I273" s="2" t="inlineStr">
        <is>
          <t>Exact</t>
        </is>
      </c>
      <c r="J273" s="2" t="inlineStr">
        <is>
          <t>SATIN-4PC-KING-GREY</t>
        </is>
      </c>
      <c r="K273" s="2" t="inlineStr">
        <is>
          <t>SATIN-4PC-KING-GREY</t>
        </is>
      </c>
      <c r="L273" s="2" t="inlineStr">
        <is>
          <t>n/a (no target bid in audit)</t>
        </is>
      </c>
      <c r="M273" s="2" t="inlineStr">
        <is>
          <t>n/a</t>
        </is>
      </c>
      <c r="N273" s="2" t="n">
        <v>0</v>
      </c>
      <c r="O273" s="2" t="n">
        <v>0</v>
      </c>
      <c r="P273" s="21" t="n"/>
      <c r="Q273" s="21" t="n"/>
      <c r="R273" s="2" t="n"/>
      <c r="S273" s="2" t="n"/>
      <c r="T273" s="2" t="n"/>
      <c r="U273" s="2" t="n"/>
      <c r="V273" s="21" t="n">
        <v>7.32</v>
      </c>
      <c r="W273" s="21" t="n">
        <v>7.32</v>
      </c>
      <c r="X273" s="2" t="inlineStr">
        <is>
          <t>ENABLED</t>
        </is>
      </c>
      <c r="Y273" s="2" t="inlineStr">
        <is>
          <t>none</t>
        </is>
      </c>
      <c r="Z273" s="2" t="inlineStr">
        <is>
          <t>load (clean): DSS4-SP-Silk Bed Sheets King-[Silk|King]-(LSV)-Exact-(Ranking)-DO-SATIN-4PC-KING-GREY</t>
        </is>
      </c>
      <c r="AA273" s="21" t="n">
        <v>0</v>
      </c>
      <c r="AB273" s="2" t="n">
        <v>0</v>
      </c>
      <c r="AC273" s="2" t="n">
        <v>0</v>
      </c>
      <c r="AD273" s="2" t="n"/>
      <c r="AE273" s="2" t="n"/>
      <c r="AF273" s="2" t="n"/>
      <c r="AG273" s="2" t="n">
        <v>0</v>
      </c>
      <c r="AH273" s="2" t="inlineStr">
        <is>
          <t>Rename only</t>
        </is>
      </c>
      <c r="AI273" s="22" t="inlineStr">
        <is>
          <t>Load rename only</t>
        </is>
      </c>
      <c r="AJ273" s="22" t="inlineStr">
        <is>
          <t>Clean rename (SKU token and objective match what the campaign advertises); no clicks in CC 31 Aug–29 Sep.</t>
        </is>
      </c>
      <c r="AK273" s="2" t="inlineStr">
        <is>
          <t>seq 2154 retag LOAD; seq 3061 rename LOAD</t>
        </is>
      </c>
      <c r="AL273" s="22" t="n"/>
    </row>
    <row r="274">
      <c r="A274" s="2" t="inlineStr">
        <is>
          <t>117521373908285</t>
        </is>
      </c>
      <c r="B274" s="2" t="inlineStr">
        <is>
          <t>D-S4-SP-EXACT-silk bed sheets-Silk-SATIN-QUEEN-BLACK</t>
        </is>
      </c>
      <c r="C274" s="2" t="inlineStr">
        <is>
          <t>silk bed sheets [exact]</t>
        </is>
      </c>
      <c r="D274" s="2" t="inlineStr">
        <is>
          <t>whole campaign</t>
        </is>
      </c>
      <c r="E274" s="2" t="inlineStr">
        <is>
          <t>ENABLED</t>
        </is>
      </c>
      <c r="F274" s="2" t="inlineStr">
        <is>
          <t>Ranking</t>
        </is>
      </c>
      <c r="G274" s="2" t="inlineStr">
        <is>
          <t>Ranking</t>
        </is>
      </c>
      <c r="H274" s="2" t="n"/>
      <c r="I274" s="2" t="inlineStr">
        <is>
          <t>Exact</t>
        </is>
      </c>
      <c r="J274" s="2" t="inlineStr">
        <is>
          <t>SATIN-QUEEN-BLACK</t>
        </is>
      </c>
      <c r="K274" s="2" t="inlineStr">
        <is>
          <t>SATIN-QUEEN-BLACK</t>
        </is>
      </c>
      <c r="L274" s="2" t="inlineStr">
        <is>
          <t>n/a (no target bid in audit)</t>
        </is>
      </c>
      <c r="M274" s="2" t="inlineStr">
        <is>
          <t>n/a</t>
        </is>
      </c>
      <c r="N274" s="2" t="n">
        <v>50</v>
      </c>
      <c r="O274" s="2" t="n">
        <v>50</v>
      </c>
      <c r="P274" s="21" t="n"/>
      <c r="Q274" s="21" t="n"/>
      <c r="R274" s="2" t="n"/>
      <c r="S274" s="2" t="n"/>
      <c r="T274" s="2" t="n"/>
      <c r="U274" s="2" t="n"/>
      <c r="V274" s="21" t="n">
        <v>8.119999999999999</v>
      </c>
      <c r="W274" s="21" t="n">
        <v>8.119999999999999</v>
      </c>
      <c r="X274" s="2" t="inlineStr">
        <is>
          <t>ENABLED</t>
        </is>
      </c>
      <c r="Y274" s="2" t="inlineStr">
        <is>
          <t>none</t>
        </is>
      </c>
      <c r="Z274" s="2" t="inlineStr">
        <is>
          <t>load (clean): DSS4-SP-Silk Bed Sheets-[Silk]-(HSV)-Exact-(Ranking)-DO-SATIN-QUEEN-BLACK</t>
        </is>
      </c>
      <c r="AA274" s="21" t="n">
        <v>0</v>
      </c>
      <c r="AB274" s="2" t="n">
        <v>0</v>
      </c>
      <c r="AC274" s="2" t="n">
        <v>0</v>
      </c>
      <c r="AD274" s="2" t="n"/>
      <c r="AE274" s="2" t="n"/>
      <c r="AF274" s="2" t="n"/>
      <c r="AG274" s="2" t="n">
        <v>0</v>
      </c>
      <c r="AH274" s="2" t="inlineStr">
        <is>
          <t>Rename only</t>
        </is>
      </c>
      <c r="AI274" s="22" t="inlineStr">
        <is>
          <t>Load rename only</t>
        </is>
      </c>
      <c r="AJ274" s="22" t="inlineStr">
        <is>
          <t>Clean rename (SKU token and objective match what the campaign advertises); no clicks in CC 31 Aug–29 Sep.</t>
        </is>
      </c>
      <c r="AK274" s="2" t="inlineStr">
        <is>
          <t>seq 2158 retag LOAD; seq 3071 rename LOAD</t>
        </is>
      </c>
      <c r="AL274" s="22" t="n"/>
    </row>
    <row r="275">
      <c r="A275" s="2" t="inlineStr">
        <is>
          <t>12176677927869</t>
        </is>
      </c>
      <c r="B275" s="2" t="inlineStr">
        <is>
          <t>D-S4-SP-PHRASE-silk bed sheets king-Silk|King-SATIN-4PC-KING-GREY</t>
        </is>
      </c>
      <c r="C275" s="2" t="inlineStr">
        <is>
          <t>silk bed sheets king [phrase]</t>
        </is>
      </c>
      <c r="D275" s="2" t="inlineStr">
        <is>
          <t>whole campaign</t>
        </is>
      </c>
      <c r="E275" s="2" t="inlineStr">
        <is>
          <t>ENABLED</t>
        </is>
      </c>
      <c r="F275" s="2" t="inlineStr">
        <is>
          <t>Discovery</t>
        </is>
      </c>
      <c r="G275" s="2" t="inlineStr">
        <is>
          <t>Discovery</t>
        </is>
      </c>
      <c r="H275" s="2" t="n"/>
      <c r="I275" s="2" t="inlineStr">
        <is>
          <t>Phrase</t>
        </is>
      </c>
      <c r="J275" s="2" t="inlineStr">
        <is>
          <t>SATIN-4PC-KING-GREY</t>
        </is>
      </c>
      <c r="K275" s="2" t="inlineStr">
        <is>
          <t>SATIN-4PC-KING-GREY</t>
        </is>
      </c>
      <c r="L275" s="2" t="inlineStr">
        <is>
          <t>n/a (no target bid in audit)</t>
        </is>
      </c>
      <c r="M275" s="2" t="inlineStr">
        <is>
          <t>n/a</t>
        </is>
      </c>
      <c r="N275" s="2" t="n">
        <v>0</v>
      </c>
      <c r="O275" s="2" t="n">
        <v>0</v>
      </c>
      <c r="P275" s="21" t="n"/>
      <c r="Q275" s="21" t="n"/>
      <c r="R275" s="2" t="n"/>
      <c r="S275" s="2" t="n"/>
      <c r="T275" s="2" t="n"/>
      <c r="U275" s="2" t="n"/>
      <c r="V275" s="21" t="n">
        <v>5</v>
      </c>
      <c r="W275" s="21" t="n">
        <v>5</v>
      </c>
      <c r="X275" s="2" t="inlineStr">
        <is>
          <t>PAUSED</t>
        </is>
      </c>
      <c r="Y275" s="2" t="inlineStr">
        <is>
          <t>none</t>
        </is>
      </c>
      <c r="Z275" s="2" t="inlineStr">
        <is>
          <t>none</t>
        </is>
      </c>
      <c r="AA275" s="21" t="n">
        <v>0</v>
      </c>
      <c r="AB275" s="2" t="n">
        <v>0</v>
      </c>
      <c r="AC275" s="2" t="n">
        <v>0</v>
      </c>
      <c r="AD275" s="2" t="n"/>
      <c r="AE275" s="2" t="n"/>
      <c r="AF275" s="2" t="n"/>
      <c r="AG275" s="2" t="n">
        <v>0</v>
      </c>
      <c r="AH275" s="2" t="inlineStr">
        <is>
          <t>Pause</t>
        </is>
      </c>
      <c r="AI275" s="22" t="inlineStr">
        <is>
          <t>Pause (seq 3340)</t>
        </is>
      </c>
      <c r="AJ275" s="22" t="inlineStr">
        <is>
          <t>Duplicate discovery campaign with under 15 clicks and no order in 90 days (audit read to 29 Sep).</t>
        </is>
      </c>
      <c r="AK275" s="2" t="inlineStr">
        <is>
          <t>seq 3340 structure 3340: agree with review 40</t>
        </is>
      </c>
      <c r="AL275" s="22" t="n"/>
    </row>
    <row r="276">
      <c r="A276" s="2" t="inlineStr">
        <is>
          <t>16779959992138</t>
        </is>
      </c>
      <c r="B276" s="2" t="inlineStr">
        <is>
          <t>D-S4-SP-PHRASE-silk bed sheets-Silk-SATIN-QUEEN-GREY</t>
        </is>
      </c>
      <c r="C276" s="2" t="inlineStr">
        <is>
          <t>silk bed sheets [phrase]</t>
        </is>
      </c>
      <c r="D276" s="2" t="inlineStr">
        <is>
          <t>whole campaign</t>
        </is>
      </c>
      <c r="E276" s="2" t="inlineStr">
        <is>
          <t>ENABLED</t>
        </is>
      </c>
      <c r="F276" s="2" t="inlineStr">
        <is>
          <t>Discovery</t>
        </is>
      </c>
      <c r="G276" s="2" t="inlineStr">
        <is>
          <t>Discovery</t>
        </is>
      </c>
      <c r="H276" s="2" t="n"/>
      <c r="I276" s="2" t="inlineStr">
        <is>
          <t>Phrase</t>
        </is>
      </c>
      <c r="J276" s="2" t="inlineStr">
        <is>
          <t>SATIN-QUEEN-GREY</t>
        </is>
      </c>
      <c r="K276" s="2" t="inlineStr">
        <is>
          <t>SATIN-QUEEN-GREY</t>
        </is>
      </c>
      <c r="L276" s="2" t="inlineStr">
        <is>
          <t>n/a (no target bid in audit)</t>
        </is>
      </c>
      <c r="M276" s="2" t="inlineStr">
        <is>
          <t>n/a</t>
        </is>
      </c>
      <c r="N276" s="2" t="n">
        <v>0</v>
      </c>
      <c r="O276" s="2" t="n">
        <v>0</v>
      </c>
      <c r="P276" s="21" t="n"/>
      <c r="Q276" s="21" t="n"/>
      <c r="R276" s="2" t="n"/>
      <c r="S276" s="2" t="n"/>
      <c r="T276" s="2" t="n"/>
      <c r="U276" s="2" t="n"/>
      <c r="V276" s="21" t="n">
        <v>5</v>
      </c>
      <c r="W276" s="21" t="n">
        <v>5</v>
      </c>
      <c r="X276" s="2" t="inlineStr">
        <is>
          <t>PAUSED</t>
        </is>
      </c>
      <c r="Y276" s="2" t="inlineStr">
        <is>
          <t>none</t>
        </is>
      </c>
      <c r="Z276" s="2" t="inlineStr">
        <is>
          <t>none</t>
        </is>
      </c>
      <c r="AA276" s="21" t="n">
        <v>0</v>
      </c>
      <c r="AB276" s="2" t="n">
        <v>0</v>
      </c>
      <c r="AC276" s="2" t="n">
        <v>0</v>
      </c>
      <c r="AD276" s="2" t="n"/>
      <c r="AE276" s="2" t="n"/>
      <c r="AF276" s="2" t="n"/>
      <c r="AG276" s="2" t="n">
        <v>0</v>
      </c>
      <c r="AH276" s="2" t="inlineStr">
        <is>
          <t>Pause</t>
        </is>
      </c>
      <c r="AI276" s="22" t="inlineStr">
        <is>
          <t>Pause (seq 3340)</t>
        </is>
      </c>
      <c r="AJ276" s="22" t="inlineStr">
        <is>
          <t>Duplicate discovery campaign with under 15 clicks and no order in 90 days (audit read to 29 Sep).</t>
        </is>
      </c>
      <c r="AK276" s="2" t="inlineStr">
        <is>
          <t>seq 3340 structure 3340: agree with review 40</t>
        </is>
      </c>
      <c r="AL276" s="22" t="n"/>
    </row>
    <row r="277">
      <c r="A277" s="2" t="inlineStr">
        <is>
          <t>205502557228684</t>
        </is>
      </c>
      <c r="B277" s="2" t="inlineStr">
        <is>
          <t>D-S4-SP-bed satin sheets king size-(Satin)-VLSV-Exact-Rank-DO-SATIN-KING-BLACK</t>
        </is>
      </c>
      <c r="C277" s="2" t="inlineStr">
        <is>
          <t>black satin king [exact]</t>
        </is>
      </c>
      <c r="D277" s="2" t="inlineStr">
        <is>
          <t>whole campaign</t>
        </is>
      </c>
      <c r="E277" s="2" t="inlineStr">
        <is>
          <t>ENABLED</t>
        </is>
      </c>
      <c r="F277" s="2" t="inlineStr">
        <is>
          <t>Ranking</t>
        </is>
      </c>
      <c r="G277" s="2" t="inlineStr">
        <is>
          <t>Ranking</t>
        </is>
      </c>
      <c r="H277" s="2" t="n"/>
      <c r="I277" s="2" t="inlineStr">
        <is>
          <t>Exact</t>
        </is>
      </c>
      <c r="J277" s="2" t="inlineStr">
        <is>
          <t>SATIN-4PC-KING-GREY</t>
        </is>
      </c>
      <c r="K277" s="2" t="inlineStr">
        <is>
          <t>SATIN-KING-BLACK</t>
        </is>
      </c>
      <c r="L277" s="2" t="inlineStr">
        <is>
          <t>n/a (no target bid in audit)</t>
        </is>
      </c>
      <c r="M277" s="2" t="inlineStr">
        <is>
          <t>n/a</t>
        </is>
      </c>
      <c r="N277" s="2" t="n">
        <v>50</v>
      </c>
      <c r="O277" s="2" t="n">
        <v>50</v>
      </c>
      <c r="P277" s="21" t="n"/>
      <c r="Q277" s="21" t="n"/>
      <c r="R277" s="2" t="n"/>
      <c r="S277" s="2" t="n"/>
      <c r="T277" s="2" t="n"/>
      <c r="U277" s="2" t="n"/>
      <c r="V277" s="21" t="n">
        <v>10</v>
      </c>
      <c r="W277" s="21" t="n">
        <v>10</v>
      </c>
      <c r="X277" s="2" t="inlineStr">
        <is>
          <t>ENABLED</t>
        </is>
      </c>
      <c r="Y277" s="2" t="inlineStr">
        <is>
          <t>none</t>
        </is>
      </c>
      <c r="Z277" s="2" t="inlineStr">
        <is>
          <t>defer — engine name wrong ((Conversion); flag); load a corrected name after 28 Oct</t>
        </is>
      </c>
      <c r="AA277" s="21" t="n">
        <v>0</v>
      </c>
      <c r="AB277" s="2" t="n">
        <v>0</v>
      </c>
      <c r="AC277" s="2" t="n">
        <v>0</v>
      </c>
      <c r="AD277" s="2" t="n"/>
      <c r="AE277" s="2" t="n"/>
      <c r="AF277" s="2" t="n"/>
      <c r="AG277" s="2" t="n">
        <v>0</v>
      </c>
      <c r="AH277" s="2" t="inlineStr">
        <is>
          <t>Child swap</t>
        </is>
      </c>
      <c r="AI277" s="22" t="inlineStr">
        <is>
          <t>Swap child to SATIN-KING-BLACK</t>
        </is>
      </c>
      <c r="AJ277" s="22" t="inlineStr">
        <is>
          <t>Black-colour King term advertises King Grey; King Black has 1,385 units (SB 29 Sep).</t>
        </is>
      </c>
      <c r="AK277" s="2" t="inlineStr">
        <is>
          <t>seq 3147 rename CHANGE; our addition (corrections §5 / reviewer C A4)</t>
        </is>
      </c>
      <c r="AL277" s="22" t="n"/>
    </row>
    <row r="278">
      <c r="A278" s="2" t="inlineStr">
        <is>
          <t>142123431514590</t>
        </is>
      </c>
      <c r="B278" s="2" t="inlineStr">
        <is>
          <t>D-S4-SP-bed set silky-(Bed)-LSV-Exact-Rank-DO-SATIN-QUEEN-GREY</t>
        </is>
      </c>
      <c r="C278" s="2" t="inlineStr">
        <is>
          <t>bed set silky [exact, $1.90]; bedsheets silk [exact, paused, $1.51]; bed set silk [exact, $0.71]</t>
        </is>
      </c>
      <c r="D278" s="2" t="inlineStr">
        <is>
          <t>whole campaign</t>
        </is>
      </c>
      <c r="E278" s="2" t="inlineStr">
        <is>
          <t>ENABLED</t>
        </is>
      </c>
      <c r="F278" s="2" t="inlineStr">
        <is>
          <t>Ranking</t>
        </is>
      </c>
      <c r="G278" s="2" t="inlineStr">
        <is>
          <t>Ranking</t>
        </is>
      </c>
      <c r="H278" s="2" t="inlineStr">
        <is>
          <t>OUT</t>
        </is>
      </c>
      <c r="I278" s="2" t="inlineStr">
        <is>
          <t>Exact</t>
        </is>
      </c>
      <c r="J278" s="2" t="inlineStr">
        <is>
          <t>SATIN-QUEEN-BLACK</t>
        </is>
      </c>
      <c r="K278" s="2" t="inlineStr">
        <is>
          <t>SATIN-QUEEN-BLACK</t>
        </is>
      </c>
      <c r="L278" s="2" t="inlineStr">
        <is>
          <t>$1.90 / $0.71</t>
        </is>
      </c>
      <c r="M278" s="2" t="inlineStr">
        <is>
          <t>$1.90 / $0.71</t>
        </is>
      </c>
      <c r="N278" s="2" t="n">
        <v>60</v>
      </c>
      <c r="O278" s="2" t="n">
        <v>60</v>
      </c>
      <c r="P278" s="21" t="n">
        <v>3.04</v>
      </c>
      <c r="Q278" s="21" t="n">
        <v>3.04</v>
      </c>
      <c r="R278" s="2" t="n">
        <v>0</v>
      </c>
      <c r="S278" s="2" t="n">
        <v>0</v>
      </c>
      <c r="T278" s="2" t="n">
        <v>0</v>
      </c>
      <c r="U278" s="2" t="n">
        <v>0</v>
      </c>
      <c r="V278" s="21" t="n">
        <v>30</v>
      </c>
      <c r="W278" s="21" t="n">
        <v>30</v>
      </c>
      <c r="X278" s="2" t="inlineStr">
        <is>
          <t>ENABLED</t>
        </is>
      </c>
      <c r="Y278" s="2" t="inlineStr">
        <is>
          <t>none</t>
        </is>
      </c>
      <c r="Z278" s="2" t="inlineStr">
        <is>
          <t>load (clean): DSS4-SP-Bed Set Silky-(VLSV)-Exact-(Ranking)-DO-SATIN-QUEEN-BLACK</t>
        </is>
      </c>
      <c r="AA278" s="21" t="n">
        <v>0</v>
      </c>
      <c r="AB278" s="2" t="n">
        <v>0</v>
      </c>
      <c r="AC278" s="2" t="n">
        <v>0</v>
      </c>
      <c r="AD278" s="2" t="n"/>
      <c r="AE278" s="2" t="n"/>
      <c r="AF278" s="2" t="n"/>
      <c r="AG278" s="2" t="n">
        <v>2</v>
      </c>
      <c r="AH278" s="2" t="inlineStr">
        <is>
          <t>Rename only</t>
        </is>
      </c>
      <c r="AI278" s="22" t="inlineStr">
        <is>
          <t>Load rename only</t>
        </is>
      </c>
      <c r="AJ278" s="22" t="inlineStr">
        <is>
          <t>Clean rename (SKU token and objective match what the campaign advertises); no clicks in CC 31 Aug–29 Sep.</t>
        </is>
      </c>
      <c r="AK278" s="2" t="inlineStr">
        <is>
          <t>seq 3093 rename LOAD</t>
        </is>
      </c>
      <c r="AL278" s="22" t="n"/>
    </row>
    <row r="279">
      <c r="A279" s="2" t="inlineStr">
        <is>
          <t>21209804713914</t>
        </is>
      </c>
      <c r="B279" s="2" t="inlineStr">
        <is>
          <t>D-S4-SP-bed sheet set queen satin-(Satin)-VLSV-Exact-Rank-DO-SATIN-QUEEN-GREY</t>
        </is>
      </c>
      <c r="C279" s="2" t="inlineStr">
        <is>
          <t>bed sheet set queen satin [exact, $1.90]; bedding queen size [exact, paused, $1.92]</t>
        </is>
      </c>
      <c r="D279" s="2" t="inlineStr">
        <is>
          <t>—</t>
        </is>
      </c>
      <c r="E279" s="2" t="inlineStr">
        <is>
          <t>ENABLED</t>
        </is>
      </c>
      <c r="F279" s="2" t="inlineStr">
        <is>
          <t>Ranking</t>
        </is>
      </c>
      <c r="G279" s="2" t="inlineStr">
        <is>
          <t>Ranking</t>
        </is>
      </c>
      <c r="H279" s="2" t="inlineStr">
        <is>
          <t>OUT</t>
        </is>
      </c>
      <c r="I279" s="2" t="inlineStr">
        <is>
          <t>Exact</t>
        </is>
      </c>
      <c r="J279" s="2" t="inlineStr">
        <is>
          <t>SATIN-QUEEN-BLACK</t>
        </is>
      </c>
      <c r="K279" s="2" t="inlineStr">
        <is>
          <t>SATIN-QUEEN-BLACK</t>
        </is>
      </c>
      <c r="L279" s="2" t="inlineStr">
        <is>
          <t>$1.90</t>
        </is>
      </c>
      <c r="M279" s="2" t="inlineStr">
        <is>
          <t>$1.90</t>
        </is>
      </c>
      <c r="N279" s="2" t="n">
        <v>20</v>
      </c>
      <c r="O279" s="2" t="n">
        <v>20</v>
      </c>
      <c r="P279" s="21" t="n">
        <v>2.28</v>
      </c>
      <c r="Q279" s="21" t="n">
        <v>2.28</v>
      </c>
      <c r="R279" s="2" t="n">
        <v>0</v>
      </c>
      <c r="S279" s="2" t="n">
        <v>0</v>
      </c>
      <c r="T279" s="2" t="n">
        <v>0</v>
      </c>
      <c r="U279" s="2" t="n">
        <v>0</v>
      </c>
      <c r="V279" s="21" t="n">
        <v>17.58</v>
      </c>
      <c r="W279" s="21" t="n">
        <v>17.58</v>
      </c>
      <c r="X279" s="2" t="inlineStr">
        <is>
          <t>ENABLED</t>
        </is>
      </c>
      <c r="Y279" s="2" t="inlineStr">
        <is>
          <t>none</t>
        </is>
      </c>
      <c r="Z279" s="2" t="inlineStr">
        <is>
          <t>defer — engine name wrong (SKU token SATIN-QUEEN-BLACK); load a corrected name after 28 Oct</t>
        </is>
      </c>
      <c r="AA279" s="21" t="n">
        <v>0</v>
      </c>
      <c r="AB279" s="2" t="n">
        <v>0</v>
      </c>
      <c r="AC279" s="2" t="n">
        <v>0</v>
      </c>
      <c r="AD279" s="2" t="n"/>
      <c r="AE279" s="2" t="n"/>
      <c r="AF279" s="2" t="n"/>
      <c r="AG279" s="2" t="n">
        <v>0</v>
      </c>
      <c r="AH279" s="2" t="inlineStr">
        <is>
          <t>No change (engine move rejected/held)</t>
        </is>
      </c>
      <c r="AI279" s="22" t="inlineStr">
        <is>
          <t>No change (reject engine child swap seq 1912; defer engine rename)</t>
        </is>
      </c>
      <c r="AJ279" s="22" t="inlineStr">
        <is>
          <t>Engine swap SATIN-QUEEN-BLACK → SATIN-4PCS-QUEEN-STONE-GREY rejected: the pick comes from the broken size map, and SATIN-QUEEN-BLACK is the size's best seller with cover (SB 30 Aug–29 Sep); the engine rename writes a wrong token and is deferred; no clicks in CC 31 Aug–29 Sep.</t>
        </is>
      </c>
      <c r="AK279" s="2" t="inlineStr">
        <is>
          <t>seq 1912 child: reject — keep SATIN-QUEEN-BLACK; seq 3156 rename CHANGE</t>
        </is>
      </c>
      <c r="AL279" s="22" t="n"/>
    </row>
    <row r="280">
      <c r="A280" s="2" t="inlineStr">
        <is>
          <t>189201037389836</t>
        </is>
      </c>
      <c r="B280" s="2" t="inlineStr">
        <is>
          <t>D-S4-SP-bengals satin queen bed sheets-(Satin)-HSV-Exact-Rank-DO-SATIN-QUEEN-BLACK</t>
        </is>
      </c>
      <c r="C280" s="2" t="inlineStr">
        <is>
          <t>bedsure queen size satin [exact]</t>
        </is>
      </c>
      <c r="D280" s="2" t="inlineStr">
        <is>
          <t>whole campaign</t>
        </is>
      </c>
      <c r="E280" s="2" t="inlineStr">
        <is>
          <t>ENABLED</t>
        </is>
      </c>
      <c r="F280" s="2" t="inlineStr">
        <is>
          <t>Ranking</t>
        </is>
      </c>
      <c r="G280" s="2" t="inlineStr">
        <is>
          <t>Conversions</t>
        </is>
      </c>
      <c r="H280" s="2" t="n"/>
      <c r="I280" s="2" t="inlineStr">
        <is>
          <t>Exact</t>
        </is>
      </c>
      <c r="J280" s="2" t="inlineStr">
        <is>
          <t>SATIN-QUEEN-BLACK</t>
        </is>
      </c>
      <c r="K280" s="2" t="inlineStr">
        <is>
          <t>SATIN-QUEEN-BLACK</t>
        </is>
      </c>
      <c r="L280" s="2" t="inlineStr">
        <is>
          <t>n/a (no target bid in audit)</t>
        </is>
      </c>
      <c r="M280" s="2" t="inlineStr">
        <is>
          <t>n/a</t>
        </is>
      </c>
      <c r="N280" s="2" t="n">
        <v>0</v>
      </c>
      <c r="O280" s="2" t="n">
        <v>0</v>
      </c>
      <c r="P280" s="21" t="n"/>
      <c r="Q280" s="21" t="n"/>
      <c r="R280" s="2" t="n"/>
      <c r="S280" s="2" t="n"/>
      <c r="T280" s="2" t="n"/>
      <c r="U280" s="2" t="n"/>
      <c r="V280" s="21" t="n">
        <v>5</v>
      </c>
      <c r="W280" s="21" t="n">
        <v>5</v>
      </c>
      <c r="X280" s="2" t="inlineStr">
        <is>
          <t>ENABLED</t>
        </is>
      </c>
      <c r="Y280" s="2" t="inlineStr">
        <is>
          <t>none</t>
        </is>
      </c>
      <c r="Z280" s="2" t="inlineStr">
        <is>
          <t>defer — engine name wrong (SKU token SATIN-QUEEN-BLACK; (Conversion); flag); load a corrected name after 28 Oct</t>
        </is>
      </c>
      <c r="AA280" s="21" t="n">
        <v>0</v>
      </c>
      <c r="AB280" s="2" t="n">
        <v>0</v>
      </c>
      <c r="AC280" s="2" t="n">
        <v>0</v>
      </c>
      <c r="AD280" s="2" t="n"/>
      <c r="AE280" s="2" t="n"/>
      <c r="AF280" s="2" t="n"/>
      <c r="AG280" s="2" t="n">
        <v>0</v>
      </c>
      <c r="AH280" s="2" t="inlineStr">
        <is>
          <t>Retag only</t>
        </is>
      </c>
      <c r="AI280" s="22" t="inlineStr">
        <is>
          <t>retag → Conversions</t>
        </is>
      </c>
      <c r="AJ280" s="22" t="inlineStr">
        <is>
          <t>Objective Ranking → Conversions by the standard (competitor-brand term "bengals satin queen bed sheets"); no clicks in CC 31 Aug–29 Sep.</t>
        </is>
      </c>
      <c r="AK280" s="2" t="inlineStr">
        <is>
          <t>seq 1907 child: reject — keep SATIN-QUEEN-BLACK; seq 3136 rename CHANGE; our addition: standard → Conversions (competitor-brand term "bengals satin queen bed sheets")</t>
        </is>
      </c>
      <c r="AL280" s="22" t="n"/>
    </row>
    <row r="281">
      <c r="A281" s="2" t="inlineStr">
        <is>
          <t>190209411943239</t>
        </is>
      </c>
      <c r="B281" s="2" t="inlineStr">
        <is>
          <t>D-S4-SP-black and red striped sheet-(Sheet)-HSV-Exact-Rank-DO-SATIN-4PC-KING-GREY</t>
        </is>
      </c>
      <c r="C281" s="2" t="inlineStr">
        <is>
          <t>black and red striped sheet [exact, $1.90]</t>
        </is>
      </c>
      <c r="D281" s="2" t="inlineStr">
        <is>
          <t>whole campaign</t>
        </is>
      </c>
      <c r="E281" s="2" t="inlineStr">
        <is>
          <t>ENABLED</t>
        </is>
      </c>
      <c r="F281" s="2" t="inlineStr">
        <is>
          <t>Ranking</t>
        </is>
      </c>
      <c r="G281" s="2" t="inlineStr">
        <is>
          <t>Conversions</t>
        </is>
      </c>
      <c r="H281" s="2" t="inlineStr">
        <is>
          <t>OUT</t>
        </is>
      </c>
      <c r="I281" s="2" t="inlineStr">
        <is>
          <t>Exact</t>
        </is>
      </c>
      <c r="J281" s="2" t="inlineStr">
        <is>
          <t>SATIN-QUEEN-BLACK</t>
        </is>
      </c>
      <c r="K281" s="2" t="inlineStr">
        <is>
          <t>SATIN-QUEEN-BLACK</t>
        </is>
      </c>
      <c r="L281" s="2" t="inlineStr">
        <is>
          <t>$1.90</t>
        </is>
      </c>
      <c r="M281" s="2" t="inlineStr">
        <is>
          <t>$1.90</t>
        </is>
      </c>
      <c r="N281" s="2" t="n">
        <v>80</v>
      </c>
      <c r="O281" s="2" t="n">
        <v>80</v>
      </c>
      <c r="P281" s="21" t="n">
        <v>3.42</v>
      </c>
      <c r="Q281" s="21" t="n">
        <v>3.42</v>
      </c>
      <c r="R281" s="2" t="n">
        <v>0</v>
      </c>
      <c r="S281" s="2" t="n">
        <v>0</v>
      </c>
      <c r="T281" s="2" t="n">
        <v>0</v>
      </c>
      <c r="U281" s="2" t="n">
        <v>0</v>
      </c>
      <c r="V281" s="21" t="n">
        <v>10</v>
      </c>
      <c r="W281" s="21" t="n">
        <v>10</v>
      </c>
      <c r="X281" s="2" t="inlineStr">
        <is>
          <t>ENABLED</t>
        </is>
      </c>
      <c r="Y281" s="2" t="inlineStr">
        <is>
          <t>none</t>
        </is>
      </c>
      <c r="Z281" s="2" t="inlineStr">
        <is>
          <t>defer — engine name wrong ((Conversion)); load a corrected name after 28 Oct</t>
        </is>
      </c>
      <c r="AA281" s="21" t="n">
        <v>0</v>
      </c>
      <c r="AB281" s="2" t="n">
        <v>0</v>
      </c>
      <c r="AC281" s="2" t="n">
        <v>0</v>
      </c>
      <c r="AD281" s="2" t="n"/>
      <c r="AE281" s="2" t="n"/>
      <c r="AF281" s="2" t="n"/>
      <c r="AG281" s="2" t="n">
        <v>0</v>
      </c>
      <c r="AH281" s="2" t="inlineStr">
        <is>
          <t>Retag only</t>
        </is>
      </c>
      <c r="AI281" s="22" t="inlineStr">
        <is>
          <t>retag → Conversions</t>
        </is>
      </c>
      <c r="AJ281" s="22" t="inlineStr">
        <is>
          <t>Objective Ranking → Conversions by the standard (colour term "black and red striped sheet"); no clicks in CC 31 Aug–29 Sep.</t>
        </is>
      </c>
      <c r="AK281" s="2" t="inlineStr">
        <is>
          <t>seq 3137 rename CHANGE; our addition: standard → Conversions (colour term "black and red striped sheet")</t>
        </is>
      </c>
      <c r="AL281" s="22" t="n"/>
    </row>
    <row r="282">
      <c r="A282" s="2" t="inlineStr">
        <is>
          <t>244628773976528</t>
        </is>
      </c>
      <c r="B282" s="2" t="inlineStr">
        <is>
          <t>D-S4-SP-black satin bed sheets full size set-(Satin)-LSV-Exact-Rank-DO-SATIN-FULL-BLACK</t>
        </is>
      </c>
      <c r="C282" s="2" t="inlineStr">
        <is>
          <t>black satin bed sheets full size set [exact]</t>
        </is>
      </c>
      <c r="D282" s="2" t="inlineStr">
        <is>
          <t>whole campaign</t>
        </is>
      </c>
      <c r="E282" s="2" t="inlineStr">
        <is>
          <t>ENABLED</t>
        </is>
      </c>
      <c r="F282" s="2" t="inlineStr">
        <is>
          <t>Ranking</t>
        </is>
      </c>
      <c r="G282" s="2" t="inlineStr">
        <is>
          <t>Conversions</t>
        </is>
      </c>
      <c r="H282" s="2" t="n"/>
      <c r="I282" s="2" t="inlineStr">
        <is>
          <t>Exact</t>
        </is>
      </c>
      <c r="J282" s="2" t="inlineStr">
        <is>
          <t>SATIN-FULL-BLACK</t>
        </is>
      </c>
      <c r="K282" s="2" t="inlineStr">
        <is>
          <t>SATIN-FULL-BLACK</t>
        </is>
      </c>
      <c r="L282" s="2" t="inlineStr">
        <is>
          <t>n/a (no target bid in audit)</t>
        </is>
      </c>
      <c r="M282" s="2" t="inlineStr">
        <is>
          <t>n/a</t>
        </is>
      </c>
      <c r="N282" s="2" t="n">
        <v>0</v>
      </c>
      <c r="O282" s="2" t="n">
        <v>0</v>
      </c>
      <c r="P282" s="21" t="n"/>
      <c r="Q282" s="21" t="n"/>
      <c r="R282" s="2" t="n"/>
      <c r="S282" s="2" t="n"/>
      <c r="T282" s="2" t="n"/>
      <c r="U282" s="2" t="n"/>
      <c r="V282" s="21" t="n">
        <v>5</v>
      </c>
      <c r="W282" s="21" t="n">
        <v>5</v>
      </c>
      <c r="X282" s="2" t="inlineStr">
        <is>
          <t>ENABLED</t>
        </is>
      </c>
      <c r="Y282" s="2" t="inlineStr">
        <is>
          <t>none</t>
        </is>
      </c>
      <c r="Z282" s="2" t="inlineStr">
        <is>
          <t>defer — engine name wrong ((Conversion)); load a corrected name after 28 Oct</t>
        </is>
      </c>
      <c r="AA282" s="21" t="n">
        <v>0</v>
      </c>
      <c r="AB282" s="2" t="n">
        <v>0</v>
      </c>
      <c r="AC282" s="2" t="n">
        <v>0</v>
      </c>
      <c r="AD282" s="2" t="n"/>
      <c r="AE282" s="2" t="n"/>
      <c r="AF282" s="2" t="n"/>
      <c r="AG282" s="2" t="n">
        <v>0</v>
      </c>
      <c r="AH282" s="2" t="inlineStr">
        <is>
          <t>Retag only</t>
        </is>
      </c>
      <c r="AI282" s="22" t="inlineStr">
        <is>
          <t>retag → Conversions</t>
        </is>
      </c>
      <c r="AJ282" s="22" t="inlineStr">
        <is>
          <t>Objective Ranking → Conversions by the standard (colour term "black satin bed sheets full size set"); no clicks in CC 31 Aug–29 Sep.</t>
        </is>
      </c>
      <c r="AK282" s="2" t="inlineStr">
        <is>
          <t>seq 3190 rename CHANGE; our addition: standard → Conversions (colour term "black satin bed sheets full size set")</t>
        </is>
      </c>
      <c r="AL282" s="22" t="n"/>
    </row>
    <row r="283">
      <c r="A283" s="2" t="inlineStr">
        <is>
          <t>541158880050314</t>
        </is>
      </c>
      <c r="B283" s="2" t="inlineStr">
        <is>
          <t>D-S4-SP-black silk king size fitted sheet-(Silk)-LSV-Exact-Rank-DO-SATIN-4PC-KING-GREY</t>
        </is>
      </c>
      <c r="C283" s="2" t="inlineStr">
        <is>
          <t>black silk king size fitted sheet [exact]</t>
        </is>
      </c>
      <c r="D283" s="2" t="inlineStr">
        <is>
          <t>whole campaign</t>
        </is>
      </c>
      <c r="E283" s="2" t="inlineStr">
        <is>
          <t>ENABLED</t>
        </is>
      </c>
      <c r="F283" s="2" t="inlineStr">
        <is>
          <t>Ranking</t>
        </is>
      </c>
      <c r="G283" s="2" t="inlineStr">
        <is>
          <t>Conversions</t>
        </is>
      </c>
      <c r="H283" s="2" t="n"/>
      <c r="I283" s="2" t="inlineStr">
        <is>
          <t>Exact</t>
        </is>
      </c>
      <c r="J283" s="2" t="inlineStr">
        <is>
          <t>SATIN-4PC-KING-GREY</t>
        </is>
      </c>
      <c r="K283" s="2" t="inlineStr">
        <is>
          <t>SATIN-KING-BLACK</t>
        </is>
      </c>
      <c r="L283" s="2" t="inlineStr">
        <is>
          <t>n/a (no target bid in audit)</t>
        </is>
      </c>
      <c r="M283" s="2" t="inlineStr">
        <is>
          <t>n/a</t>
        </is>
      </c>
      <c r="N283" s="2" t="n">
        <v>50</v>
      </c>
      <c r="O283" s="2" t="n">
        <v>50</v>
      </c>
      <c r="P283" s="21" t="n"/>
      <c r="Q283" s="21" t="n"/>
      <c r="R283" s="2" t="n"/>
      <c r="S283" s="2" t="n"/>
      <c r="T283" s="2" t="n"/>
      <c r="U283" s="2" t="n"/>
      <c r="V283" s="21" t="n">
        <v>10</v>
      </c>
      <c r="W283" s="21" t="n">
        <v>10</v>
      </c>
      <c r="X283" s="2" t="inlineStr">
        <is>
          <t>ENABLED</t>
        </is>
      </c>
      <c r="Y283" s="2" t="inlineStr">
        <is>
          <t>none</t>
        </is>
      </c>
      <c r="Z283" s="2" t="inlineStr">
        <is>
          <t>defer — engine name wrong ((Conversion); flag); load a corrected name after 28 Oct</t>
        </is>
      </c>
      <c r="AA283" s="21" t="n">
        <v>0</v>
      </c>
      <c r="AB283" s="2" t="n">
        <v>0</v>
      </c>
      <c r="AC283" s="2" t="n">
        <v>0</v>
      </c>
      <c r="AD283" s="2" t="n"/>
      <c r="AE283" s="2" t="n"/>
      <c r="AF283" s="2" t="n"/>
      <c r="AG283" s="2" t="n">
        <v>0</v>
      </c>
      <c r="AH283" s="2" t="inlineStr">
        <is>
          <t>Child swap</t>
        </is>
      </c>
      <c r="AI283" s="22" t="inlineStr">
        <is>
          <t>Swap child to SATIN-KING-BLACK; retag → Conversions</t>
        </is>
      </c>
      <c r="AJ283" s="22" t="inlineStr">
        <is>
          <t>Black-colour King term advertises King Grey; King Black has 1,385 units (SB 29 Sep).</t>
        </is>
      </c>
      <c r="AK283" s="2" t="inlineStr">
        <is>
          <t>seq 3273 rename CHANGE; our addition (corrections §5 / reviewer C A4); our addition: standard → Conversions (colour term "black silk king size fitted sheet")</t>
        </is>
      </c>
      <c r="AL283" s="22" t="n"/>
    </row>
    <row r="284">
      <c r="A284" s="2" t="inlineStr">
        <is>
          <t>10639100852670</t>
        </is>
      </c>
      <c r="B284" s="2" t="inlineStr">
        <is>
          <t>D-S4-SP-black silk sheets full-(Silk)-MSV-Exact-Rank-DO-SATIN-QUEEN-BLACK</t>
        </is>
      </c>
      <c r="C284" s="2" t="inlineStr">
        <is>
          <t>black silk sheets full (from the campaign name; no targets on file, no spend in 90 days)</t>
        </is>
      </c>
      <c r="D284" s="2" t="inlineStr">
        <is>
          <t>whole campaign</t>
        </is>
      </c>
      <c r="E284" s="2" t="inlineStr">
        <is>
          <t>PAUSED</t>
        </is>
      </c>
      <c r="F284" s="2" t="inlineStr">
        <is>
          <t>Ranking</t>
        </is>
      </c>
      <c r="G284" s="2" t="inlineStr">
        <is>
          <t>Conversions</t>
        </is>
      </c>
      <c r="H284" s="2" t="n"/>
      <c r="I284" s="2" t="inlineStr">
        <is>
          <t>Exact</t>
        </is>
      </c>
      <c r="J284" s="2" t="inlineStr">
        <is>
          <t>SATIN-FULL-BLACK</t>
        </is>
      </c>
      <c r="K284" s="2" t="inlineStr">
        <is>
          <t>SATIN-FULL-BLACK</t>
        </is>
      </c>
      <c r="L284" s="2" t="inlineStr">
        <is>
          <t>n/a (no target bid in audit)</t>
        </is>
      </c>
      <c r="M284" s="2" t="inlineStr">
        <is>
          <t>n/a</t>
        </is>
      </c>
      <c r="N284" s="2" t="n">
        <v>65</v>
      </c>
      <c r="O284" s="2" t="n">
        <v>65</v>
      </c>
      <c r="P284" s="21" t="n"/>
      <c r="Q284" s="21" t="n"/>
      <c r="R284" s="2" t="n"/>
      <c r="S284" s="2" t="n"/>
      <c r="T284" s="2" t="n"/>
      <c r="U284" s="2" t="n"/>
      <c r="V284" s="21" t="n">
        <v>1</v>
      </c>
      <c r="W284" s="21" t="n">
        <v>1</v>
      </c>
      <c r="X284" s="2" t="inlineStr">
        <is>
          <t>PAUSED</t>
        </is>
      </c>
      <c r="Y284" s="2" t="inlineStr">
        <is>
          <t>none</t>
        </is>
      </c>
      <c r="Z284" s="2" t="inlineStr">
        <is>
          <t>defer — engine name wrong (SKU token SATIN-FULL-BLACK + suffix elsewhere; (Conversion)); load a corrected name after 28 Oct</t>
        </is>
      </c>
      <c r="AA284" s="21" t="n">
        <v>0</v>
      </c>
      <c r="AB284" s="2" t="n">
        <v>0</v>
      </c>
      <c r="AC284" s="2" t="n">
        <v>0</v>
      </c>
      <c r="AD284" s="2" t="n"/>
      <c r="AE284" s="2" t="n"/>
      <c r="AF284" s="2" t="n"/>
      <c r="AG284" s="2" t="n">
        <v>0</v>
      </c>
      <c r="AH284" s="2" t="inlineStr">
        <is>
          <t>Retag only</t>
        </is>
      </c>
      <c r="AI284" s="22" t="inlineStr">
        <is>
          <t>retag → Conversions</t>
        </is>
      </c>
      <c r="AJ284" s="22" t="inlineStr">
        <is>
          <t>Objective Ranking → Conversions by the standard (colour term "black silk sheets full"); no clicks in CC 31 Aug–29 Sep.</t>
        </is>
      </c>
      <c r="AK284" s="2" t="inlineStr">
        <is>
          <t>seq 3325 rename CHANGE; our addition: standard → Conversions (colour term "black silk sheets full")</t>
        </is>
      </c>
      <c r="AL284" s="22" t="n"/>
    </row>
    <row r="285">
      <c r="A285" s="2" t="inlineStr">
        <is>
          <t>139699829640851</t>
        </is>
      </c>
      <c r="B285" s="2" t="inlineStr">
        <is>
          <t>D-S4-SP-black silk sheets king size set-(Silk)-VLSV-Exact-Rank-DO-SATIN-KING-BLACK</t>
        </is>
      </c>
      <c r="C285" s="2" t="inlineStr">
        <is>
          <t>black silk sheets king size set [exact]</t>
        </is>
      </c>
      <c r="D285" s="2" t="inlineStr">
        <is>
          <t>whole campaign</t>
        </is>
      </c>
      <c r="E285" s="2" t="inlineStr">
        <is>
          <t>ENABLED</t>
        </is>
      </c>
      <c r="F285" s="2" t="inlineStr">
        <is>
          <t>Ranking</t>
        </is>
      </c>
      <c r="G285" s="2" t="inlineStr">
        <is>
          <t>Conversions</t>
        </is>
      </c>
      <c r="H285" s="2" t="n"/>
      <c r="I285" s="2" t="inlineStr">
        <is>
          <t>Exact</t>
        </is>
      </c>
      <c r="J285" s="2" t="inlineStr">
        <is>
          <t>SATIN-4PC-KING-GREY</t>
        </is>
      </c>
      <c r="K285" s="2" t="inlineStr">
        <is>
          <t>SATIN-KING-BLACK</t>
        </is>
      </c>
      <c r="L285" s="2" t="inlineStr">
        <is>
          <t>n/a (no target bid in audit)</t>
        </is>
      </c>
      <c r="M285" s="2" t="inlineStr">
        <is>
          <t>n/a</t>
        </is>
      </c>
      <c r="N285" s="2" t="n">
        <v>51</v>
      </c>
      <c r="O285" s="2" t="n">
        <v>51</v>
      </c>
      <c r="P285" s="21" t="n"/>
      <c r="Q285" s="21" t="n"/>
      <c r="R285" s="2" t="n"/>
      <c r="S285" s="2" t="n"/>
      <c r="T285" s="2" t="n"/>
      <c r="U285" s="2" t="n"/>
      <c r="V285" s="21" t="n">
        <v>10</v>
      </c>
      <c r="W285" s="21" t="n">
        <v>10</v>
      </c>
      <c r="X285" s="2" t="inlineStr">
        <is>
          <t>ENABLED</t>
        </is>
      </c>
      <c r="Y285" s="2" t="inlineStr">
        <is>
          <t>none</t>
        </is>
      </c>
      <c r="Z285" s="2" t="inlineStr">
        <is>
          <t>defer — engine name wrong ((Conversion); flag); load a corrected name after 28 Oct</t>
        </is>
      </c>
      <c r="AA285" s="21" t="n">
        <v>0</v>
      </c>
      <c r="AB285" s="2" t="n">
        <v>0</v>
      </c>
      <c r="AC285" s="2" t="n">
        <v>0</v>
      </c>
      <c r="AD285" s="2" t="n"/>
      <c r="AE285" s="2" t="n"/>
      <c r="AF285" s="2" t="n"/>
      <c r="AG285" s="2" t="n">
        <v>0</v>
      </c>
      <c r="AH285" s="2" t="inlineStr">
        <is>
          <t>Child swap</t>
        </is>
      </c>
      <c r="AI285" s="22" t="inlineStr">
        <is>
          <t>Swap child to SATIN-KING-BLACK; retag → Conversions</t>
        </is>
      </c>
      <c r="AJ285" s="22" t="inlineStr">
        <is>
          <t>Black-colour King term advertises King Grey; King Black has 1,385 units (SB 29 Sep).</t>
        </is>
      </c>
      <c r="AK285" s="2" t="inlineStr">
        <is>
          <t>seq 3091 rename CHANGE; our addition (corrections §5 / reviewer C A4); our addition: standard → Conversions (colour term "black silk sheets king size set")</t>
        </is>
      </c>
      <c r="AL285" s="22" t="n"/>
    </row>
    <row r="286">
      <c r="A286" s="2" t="inlineStr">
        <is>
          <t>442077551467168</t>
        </is>
      </c>
      <c r="B286" s="2" t="inlineStr">
        <is>
          <t>D-S4-SP-cooling black satin sheets-(Satin)-MSV-Exact-Rank-DO-SATIN-KING-BLACK</t>
        </is>
      </c>
      <c r="C286" s="2" t="inlineStr">
        <is>
          <t>cool silk twin sheets [exact, $1.90]; cooling black satin sheets [exact, paused]</t>
        </is>
      </c>
      <c r="D286" s="2" t="inlineStr">
        <is>
          <t>whole campaign</t>
        </is>
      </c>
      <c r="E286" s="2" t="inlineStr">
        <is>
          <t>ENABLED</t>
        </is>
      </c>
      <c r="F286" s="2" t="inlineStr">
        <is>
          <t>Ranking</t>
        </is>
      </c>
      <c r="G286" s="2" t="inlineStr">
        <is>
          <t>Conversions</t>
        </is>
      </c>
      <c r="H286" s="2" t="inlineStr">
        <is>
          <t>OUT</t>
        </is>
      </c>
      <c r="I286" s="2" t="inlineStr">
        <is>
          <t>Exact</t>
        </is>
      </c>
      <c r="J286" s="2" t="inlineStr">
        <is>
          <t>SATIN-TWIN-BLACK-NEW</t>
        </is>
      </c>
      <c r="K286" s="2" t="inlineStr">
        <is>
          <t>SATIN-TWIN-BLACK-NEW</t>
        </is>
      </c>
      <c r="L286" s="2" t="inlineStr">
        <is>
          <t>$1.90</t>
        </is>
      </c>
      <c r="M286" s="2" t="inlineStr">
        <is>
          <t>$1.90</t>
        </is>
      </c>
      <c r="N286" s="2" t="n">
        <v>0</v>
      </c>
      <c r="O286" s="2" t="n">
        <v>0</v>
      </c>
      <c r="P286" s="21" t="n">
        <v>1.9</v>
      </c>
      <c r="Q286" s="21" t="n">
        <v>1.9</v>
      </c>
      <c r="R286" s="2" t="n">
        <v>0</v>
      </c>
      <c r="S286" s="2" t="n">
        <v>0</v>
      </c>
      <c r="T286" s="2" t="n">
        <v>0</v>
      </c>
      <c r="U286" s="2" t="n">
        <v>0</v>
      </c>
      <c r="V286" s="21" t="n">
        <v>10</v>
      </c>
      <c r="W286" s="21" t="n">
        <v>10</v>
      </c>
      <c r="X286" s="2" t="inlineStr">
        <is>
          <t>ENABLED</t>
        </is>
      </c>
      <c r="Y286" s="2" t="inlineStr">
        <is>
          <t>none</t>
        </is>
      </c>
      <c r="Z286" s="2" t="inlineStr">
        <is>
          <t>defer — engine name wrong (SKU token SATIN-TWIN-BLACK-NEW); load a corrected name after 28 Oct</t>
        </is>
      </c>
      <c r="AA286" s="21" t="n">
        <v>0</v>
      </c>
      <c r="AB286" s="2" t="n">
        <v>0</v>
      </c>
      <c r="AC286" s="2" t="n">
        <v>0</v>
      </c>
      <c r="AD286" s="2" t="n"/>
      <c r="AE286" s="2" t="n"/>
      <c r="AF286" s="2" t="n"/>
      <c r="AG286" s="2" t="n">
        <v>0</v>
      </c>
      <c r="AH286" s="2" t="inlineStr">
        <is>
          <t>Retag only</t>
        </is>
      </c>
      <c r="AI286" s="22" t="inlineStr">
        <is>
          <t>retag → Conversions</t>
        </is>
      </c>
      <c r="AJ286" s="22" t="inlineStr">
        <is>
          <t>Objective Ranking → Conversions by the standard (colour term "cooling black satin sheets"); no clicks in CC 31 Aug–29 Sep. Note: plan move to SATIN-TWIN-GREY before 16 Oct (Twin Black 66 units, ~34 days).</t>
        </is>
      </c>
      <c r="AK286" s="2" t="inlineStr">
        <is>
          <t>seq 1943 child: reject — keep SATIN-TWIN-BLACK-NEW; seq 3250 rename CHANGE; our addition: standard → Conversions (colour term "cooling black satin sheets")</t>
        </is>
      </c>
      <c r="AL286" s="22" t="n"/>
    </row>
    <row r="287">
      <c r="A287" s="2" t="inlineStr">
        <is>
          <t>312924902687555</t>
        </is>
      </c>
      <c r="B287" s="2" t="inlineStr">
        <is>
          <t>D-S4-SP-cream sheets queen satin-(Satin)-HSV-Exact-Rank-DO-SATIN-CHAMPAGNE-KING</t>
        </is>
      </c>
      <c r="C287" s="2" t="inlineStr">
        <is>
          <t>cream sheets queen satin [exact]</t>
        </is>
      </c>
      <c r="D287" s="2" t="inlineStr">
        <is>
          <t>whole campaign</t>
        </is>
      </c>
      <c r="E287" s="2" t="inlineStr">
        <is>
          <t>ENABLED</t>
        </is>
      </c>
      <c r="F287" s="2" t="inlineStr">
        <is>
          <t>Ranking</t>
        </is>
      </c>
      <c r="G287" s="2" t="inlineStr">
        <is>
          <t>Conversions</t>
        </is>
      </c>
      <c r="H287" s="2" t="n"/>
      <c r="I287" s="2" t="inlineStr">
        <is>
          <t>Exact</t>
        </is>
      </c>
      <c r="J287" s="2" t="inlineStr">
        <is>
          <t>SATIN-CHAMPAGNE-KING</t>
        </is>
      </c>
      <c r="K287" s="2" t="inlineStr">
        <is>
          <t>SATIN-CHAMPAGNE-KING</t>
        </is>
      </c>
      <c r="L287" s="2" t="inlineStr">
        <is>
          <t>n/a (no target bid in audit)</t>
        </is>
      </c>
      <c r="M287" s="2" t="inlineStr">
        <is>
          <t>n/a</t>
        </is>
      </c>
      <c r="N287" s="2" t="n">
        <v>120</v>
      </c>
      <c r="O287" s="2" t="n">
        <v>120</v>
      </c>
      <c r="P287" s="21" t="n"/>
      <c r="Q287" s="21" t="n"/>
      <c r="R287" s="2" t="n"/>
      <c r="S287" s="2" t="n"/>
      <c r="T287" s="2" t="n"/>
      <c r="U287" s="2" t="n"/>
      <c r="V287" s="21" t="n">
        <v>10</v>
      </c>
      <c r="W287" s="21" t="n">
        <v>10</v>
      </c>
      <c r="X287" s="2" t="inlineStr">
        <is>
          <t>ENABLED</t>
        </is>
      </c>
      <c r="Y287" s="2" t="inlineStr">
        <is>
          <t>none</t>
        </is>
      </c>
      <c r="Z287" s="2" t="inlineStr">
        <is>
          <t>defer — engine name wrong ((Conversion); flag); load a corrected name after 28 Oct</t>
        </is>
      </c>
      <c r="AA287" s="21" t="n">
        <v>0</v>
      </c>
      <c r="AB287" s="2" t="n">
        <v>0</v>
      </c>
      <c r="AC287" s="2" t="n">
        <v>0</v>
      </c>
      <c r="AD287" s="2" t="n"/>
      <c r="AE287" s="2" t="n"/>
      <c r="AF287" s="2" t="n"/>
      <c r="AG287" s="2" t="n">
        <v>0</v>
      </c>
      <c r="AH287" s="2" t="inlineStr">
        <is>
          <t>Retag only</t>
        </is>
      </c>
      <c r="AI287" s="22" t="inlineStr">
        <is>
          <t>retag → Conversions</t>
        </is>
      </c>
      <c r="AJ287" s="22" t="inlineStr">
        <is>
          <t>Objective Ranking → Conversions by the standard (colour term "cream sheets queen satin"); no clicks in CC 31 Aug–29 Sep.</t>
        </is>
      </c>
      <c r="AK287" s="2" t="inlineStr">
        <is>
          <t>seq 3221 rename CHANGE; our addition: standard → Conversions (colour term "cream sheets queen satin")</t>
        </is>
      </c>
      <c r="AL287" s="22" t="n"/>
    </row>
    <row r="288">
      <c r="A288" s="2" t="inlineStr">
        <is>
          <t>125748098539857</t>
        </is>
      </c>
      <c r="B288" s="2" t="inlineStr">
        <is>
          <t>D-S4-SP-cream silk king size sheets-(Silk)-MSV-Exact-Rank-DO-SATIN-WHITE-QUEEN</t>
        </is>
      </c>
      <c r="C288" s="2" t="inlineStr">
        <is>
          <t>cream king silk sheets [exact, $1.40]; cream silk king size sheets [exact, $1.90]</t>
        </is>
      </c>
      <c r="D288" s="2" t="inlineStr">
        <is>
          <t>whole campaign</t>
        </is>
      </c>
      <c r="E288" s="2" t="inlineStr">
        <is>
          <t>ENABLED</t>
        </is>
      </c>
      <c r="F288" s="2" t="inlineStr">
        <is>
          <t>Ranking</t>
        </is>
      </c>
      <c r="G288" s="2" t="inlineStr">
        <is>
          <t>Conversions</t>
        </is>
      </c>
      <c r="H288" s="2" t="inlineStr">
        <is>
          <t>OUT</t>
        </is>
      </c>
      <c r="I288" s="2" t="inlineStr">
        <is>
          <t>Exact</t>
        </is>
      </c>
      <c r="J288" s="2" t="inlineStr">
        <is>
          <t>SATIN-IVORY-KING</t>
        </is>
      </c>
      <c r="K288" s="2" t="inlineStr">
        <is>
          <t>SATIN-IVORY-KING</t>
        </is>
      </c>
      <c r="L288" s="2" t="inlineStr">
        <is>
          <t>$1.40 / $1.90</t>
        </is>
      </c>
      <c r="M288" s="2" t="inlineStr">
        <is>
          <t>$1.40 / $1.90</t>
        </is>
      </c>
      <c r="N288" s="2" t="n">
        <v>65</v>
      </c>
      <c r="O288" s="2" t="n">
        <v>65</v>
      </c>
      <c r="P288" s="21" t="n">
        <v>2.31</v>
      </c>
      <c r="Q288" s="21" t="n">
        <v>2.31</v>
      </c>
      <c r="R288" s="2" t="n">
        <v>0</v>
      </c>
      <c r="S288" s="2" t="n">
        <v>0</v>
      </c>
      <c r="T288" s="2" t="n">
        <v>0</v>
      </c>
      <c r="U288" s="2" t="n">
        <v>0</v>
      </c>
      <c r="V288" s="21" t="n">
        <v>10</v>
      </c>
      <c r="W288" s="21" t="n">
        <v>10</v>
      </c>
      <c r="X288" s="2" t="inlineStr">
        <is>
          <t>ENABLED</t>
        </is>
      </c>
      <c r="Y288" s="2" t="inlineStr">
        <is>
          <t>none</t>
        </is>
      </c>
      <c r="Z288" s="2" t="inlineStr">
        <is>
          <t>defer — engine name wrong ((Conversion)); load a corrected name after 28 Oct</t>
        </is>
      </c>
      <c r="AA288" s="21" t="n">
        <v>0</v>
      </c>
      <c r="AB288" s="2" t="n">
        <v>0</v>
      </c>
      <c r="AC288" s="2" t="n">
        <v>0</v>
      </c>
      <c r="AD288" s="2" t="n"/>
      <c r="AE288" s="2" t="n"/>
      <c r="AF288" s="2" t="n"/>
      <c r="AG288" s="2" t="n">
        <v>0</v>
      </c>
      <c r="AH288" s="2" t="inlineStr">
        <is>
          <t>Retag only</t>
        </is>
      </c>
      <c r="AI288" s="22" t="inlineStr">
        <is>
          <t>retag → Conversions</t>
        </is>
      </c>
      <c r="AJ288" s="22" t="inlineStr">
        <is>
          <t>Objective Ranking → Conversions by the standard (colour term "cream silk king size sheets"); no clicks in CC 31 Aug–29 Sep.</t>
        </is>
      </c>
      <c r="AK288" s="2" t="inlineStr">
        <is>
          <t>seq 3081 rename CHANGE; our addition: standard → Conversions (colour term "cream silk king size sheets")</t>
        </is>
      </c>
      <c r="AL288" s="22" t="n"/>
    </row>
    <row r="289">
      <c r="A289" s="2" t="inlineStr">
        <is>
          <t>191365119943003</t>
        </is>
      </c>
      <c r="B289" s="2" t="inlineStr">
        <is>
          <t>D-S4-SP-decolure satin pillow-Brand-Agr-Exact-Def-DO-SATIN-QUEEN-GREY</t>
        </is>
      </c>
      <c r="C289" s="2" t="inlineStr">
        <is>
          <t>decolure satin pillow; mulberry silk queen bed sheet set [exact]</t>
        </is>
      </c>
      <c r="D289" s="2" t="inlineStr">
        <is>
          <t>—</t>
        </is>
      </c>
      <c r="E289" s="2" t="inlineStr">
        <is>
          <t>ENABLED</t>
        </is>
      </c>
      <c r="F289" s="2" t="inlineStr">
        <is>
          <t>Defensive</t>
        </is>
      </c>
      <c r="G289" s="2" t="inlineStr">
        <is>
          <t>Defensive</t>
        </is>
      </c>
      <c r="H289" s="2" t="n"/>
      <c r="I289" s="2" t="inlineStr">
        <is>
          <t>Exact</t>
        </is>
      </c>
      <c r="J289" s="2" t="inlineStr">
        <is>
          <t>SATIN-QUEEN-BLACK</t>
        </is>
      </c>
      <c r="K289" s="2" t="inlineStr">
        <is>
          <t>SATIN-QUEEN-BLACK</t>
        </is>
      </c>
      <c r="L289" s="2" t="inlineStr">
        <is>
          <t>n/a (no target bid in audit)</t>
        </is>
      </c>
      <c r="M289" s="2" t="inlineStr">
        <is>
          <t>n/a</t>
        </is>
      </c>
      <c r="N289" s="2" t="n">
        <v>80</v>
      </c>
      <c r="O289" s="2" t="n">
        <v>80</v>
      </c>
      <c r="P289" s="21" t="n"/>
      <c r="Q289" s="21" t="n"/>
      <c r="R289" s="2" t="n"/>
      <c r="S289" s="2" t="n"/>
      <c r="T289" s="2" t="n"/>
      <c r="U289" s="2" t="n"/>
      <c r="V289" s="21" t="n">
        <v>1</v>
      </c>
      <c r="W289" s="21" t="n">
        <v>1</v>
      </c>
      <c r="X289" s="2" t="inlineStr">
        <is>
          <t>ENABLED</t>
        </is>
      </c>
      <c r="Y289" s="2" t="inlineStr">
        <is>
          <t>none</t>
        </is>
      </c>
      <c r="Z289" s="2" t="inlineStr">
        <is>
          <t>defer — engine name wrong (flag); load a corrected name after 28 Oct</t>
        </is>
      </c>
      <c r="AA289" s="21" t="n">
        <v>0</v>
      </c>
      <c r="AB289" s="2" t="n">
        <v>0</v>
      </c>
      <c r="AC289" s="2" t="n">
        <v>0</v>
      </c>
      <c r="AD289" s="2" t="n"/>
      <c r="AE289" s="2" t="n"/>
      <c r="AF289" s="2" t="n"/>
      <c r="AG289" s="2" t="n">
        <v>0</v>
      </c>
      <c r="AH289" s="2" t="inlineStr">
        <is>
          <t>No change (engine move rejected/held)</t>
        </is>
      </c>
      <c r="AI289" s="22" t="inlineStr">
        <is>
          <t>No change (defer engine rename)</t>
        </is>
      </c>
      <c r="AJ289" s="22" t="inlineStr">
        <is>
          <t>the engine rename writes a wrong token and is deferred; no clicks in CC 31 Aug–29 Sep.</t>
        </is>
      </c>
      <c r="AK289" s="2" t="inlineStr">
        <is>
          <t>seq 3139 rename CHANGE</t>
        </is>
      </c>
      <c r="AL289" s="22" t="n"/>
    </row>
    <row r="290">
      <c r="A290" s="2" t="inlineStr">
        <is>
          <t>451609723752775</t>
        </is>
      </c>
      <c r="B290" s="2" t="inlineStr">
        <is>
          <t>D-S4-SP-decolure satin sheet set king-Brand-Agr-Exact-Def-DO-SATIN-KING-BLACK</t>
        </is>
      </c>
      <c r="C290" s="2" t="inlineStr">
        <is>
          <t>decolure satin sheet set king [exact]</t>
        </is>
      </c>
      <c r="D290" s="2" t="inlineStr">
        <is>
          <t>whole campaign</t>
        </is>
      </c>
      <c r="E290" s="2" t="inlineStr">
        <is>
          <t>ENABLED</t>
        </is>
      </c>
      <c r="F290" s="2" t="inlineStr">
        <is>
          <t>Defensive</t>
        </is>
      </c>
      <c r="G290" s="2" t="inlineStr">
        <is>
          <t>Defensive</t>
        </is>
      </c>
      <c r="H290" s="2" t="n"/>
      <c r="I290" s="2" t="inlineStr">
        <is>
          <t>Exact</t>
        </is>
      </c>
      <c r="J290" s="2" t="inlineStr">
        <is>
          <t>SATIN-KING-BLACK</t>
        </is>
      </c>
      <c r="K290" s="2" t="inlineStr">
        <is>
          <t>SATIN-KING-BLACK</t>
        </is>
      </c>
      <c r="L290" s="2" t="inlineStr">
        <is>
          <t>n/a (no target bid in audit)</t>
        </is>
      </c>
      <c r="M290" s="2" t="inlineStr">
        <is>
          <t>n/a</t>
        </is>
      </c>
      <c r="N290" s="2" t="n">
        <v>25</v>
      </c>
      <c r="O290" s="2" t="n">
        <v>25</v>
      </c>
      <c r="P290" s="21" t="n"/>
      <c r="Q290" s="21" t="n"/>
      <c r="R290" s="2" t="n"/>
      <c r="S290" s="2" t="n"/>
      <c r="T290" s="2" t="n"/>
      <c r="U290" s="2" t="n"/>
      <c r="V290" s="21" t="n">
        <v>10</v>
      </c>
      <c r="W290" s="21" t="n">
        <v>10</v>
      </c>
      <c r="X290" s="2" t="inlineStr">
        <is>
          <t>ENABLED</t>
        </is>
      </c>
      <c r="Y290" s="2" t="inlineStr">
        <is>
          <t>none</t>
        </is>
      </c>
      <c r="Z290" s="2" t="inlineStr">
        <is>
          <t>load (clean): DSS4-SP-Decolure Satin Sheet Set King-(VLSV)-Exact-(Defensive)-DO-SATIN-KING-BLACK</t>
        </is>
      </c>
      <c r="AA290" s="21" t="n">
        <v>0</v>
      </c>
      <c r="AB290" s="2" t="n">
        <v>0</v>
      </c>
      <c r="AC290" s="2" t="n">
        <v>0</v>
      </c>
      <c r="AD290" s="2" t="n"/>
      <c r="AE290" s="2" t="n"/>
      <c r="AF290" s="2" t="n"/>
      <c r="AG290" s="2" t="n">
        <v>1</v>
      </c>
      <c r="AH290" s="2" t="inlineStr">
        <is>
          <t>Rename only</t>
        </is>
      </c>
      <c r="AI290" s="22" t="inlineStr">
        <is>
          <t>Load rename only</t>
        </is>
      </c>
      <c r="AJ290" s="22" t="inlineStr">
        <is>
          <t>Clean rename (SKU token and objective match what the campaign advertises); no clicks in CC 31 Aug–29 Sep.</t>
        </is>
      </c>
      <c r="AK290" s="2" t="inlineStr">
        <is>
          <t>seq 3251 rename LOAD</t>
        </is>
      </c>
      <c r="AL290" s="22" t="n"/>
    </row>
    <row r="291">
      <c r="A291" s="2" t="inlineStr">
        <is>
          <t>49877770205403</t>
        </is>
      </c>
      <c r="B291" s="2" t="inlineStr">
        <is>
          <t>D-S4-SP-decolure striped satin sheet queen set pc-Brand-Agr-Exact-Def-DO-SATIN-QUEEN-BLACK</t>
        </is>
      </c>
      <c r="C291" s="2" t="inlineStr">
        <is>
          <t>decolure luxury satin sheet set [exact]</t>
        </is>
      </c>
      <c r="D291" s="2" t="inlineStr">
        <is>
          <t>whole campaign</t>
        </is>
      </c>
      <c r="E291" s="2" t="inlineStr">
        <is>
          <t>ENABLED</t>
        </is>
      </c>
      <c r="F291" s="2" t="inlineStr">
        <is>
          <t>Defensive</t>
        </is>
      </c>
      <c r="G291" s="2" t="inlineStr">
        <is>
          <t>Defensive</t>
        </is>
      </c>
      <c r="H291" s="2" t="n"/>
      <c r="I291" s="2" t="inlineStr">
        <is>
          <t>Exact</t>
        </is>
      </c>
      <c r="J291" s="2" t="inlineStr">
        <is>
          <t>SATIN-QUEEN-BLACK</t>
        </is>
      </c>
      <c r="K291" s="2" t="inlineStr">
        <is>
          <t>SATIN-QUEEN-BLACK</t>
        </is>
      </c>
      <c r="L291" s="2" t="inlineStr">
        <is>
          <t>n/a (no target bid in audit)</t>
        </is>
      </c>
      <c r="M291" s="2" t="inlineStr">
        <is>
          <t>n/a</t>
        </is>
      </c>
      <c r="N291" s="2" t="n">
        <v>25</v>
      </c>
      <c r="O291" s="2" t="n">
        <v>25</v>
      </c>
      <c r="P291" s="21" t="n"/>
      <c r="Q291" s="21" t="n"/>
      <c r="R291" s="2" t="n"/>
      <c r="S291" s="2" t="n"/>
      <c r="T291" s="2" t="n"/>
      <c r="U291" s="2" t="n"/>
      <c r="V291" s="21" t="n">
        <v>30</v>
      </c>
      <c r="W291" s="21" t="n">
        <v>30</v>
      </c>
      <c r="X291" s="2" t="inlineStr">
        <is>
          <t>ENABLED</t>
        </is>
      </c>
      <c r="Y291" s="2" t="inlineStr">
        <is>
          <t>none</t>
        </is>
      </c>
      <c r="Z291" s="2" t="inlineStr">
        <is>
          <t>load (clean): DSS4-SP-Decolure Luxury Satin Sheet Set-(VLSV)-Exact-(Defensive)-DO-SATIN-QUEEN-BLACK</t>
        </is>
      </c>
      <c r="AA291" s="21" t="n">
        <v>0</v>
      </c>
      <c r="AB291" s="2" t="n">
        <v>0</v>
      </c>
      <c r="AC291" s="2" t="n">
        <v>0</v>
      </c>
      <c r="AD291" s="2" t="n"/>
      <c r="AE291" s="2" t="n"/>
      <c r="AF291" s="2" t="n"/>
      <c r="AG291" s="2" t="n">
        <v>0</v>
      </c>
      <c r="AH291" s="2" t="inlineStr">
        <is>
          <t>Rename only</t>
        </is>
      </c>
      <c r="AI291" s="22" t="inlineStr">
        <is>
          <t>Load rename only</t>
        </is>
      </c>
      <c r="AJ291" s="22" t="inlineStr">
        <is>
          <t>Clean rename (SKU token and objective match what the campaign advertises); no clicks in CC 31 Aug–29 Sep.</t>
        </is>
      </c>
      <c r="AK291" s="2" t="inlineStr">
        <is>
          <t>seq 3265 rename LOAD</t>
        </is>
      </c>
      <c r="AL291" s="22" t="n"/>
    </row>
    <row r="292">
      <c r="A292" s="2" t="inlineStr">
        <is>
          <t>131238614054950</t>
        </is>
      </c>
      <c r="B292" s="2" t="inlineStr">
        <is>
          <t>D-S4-SP-deep pocket satin sheet set twin-(Satin)-LSV-Exact-Rank-DO-SATIN-TWIN-GREY</t>
        </is>
      </c>
      <c r="C292" s="2" t="inlineStr">
        <is>
          <t>deep pocket satin sheet set twin [exact]</t>
        </is>
      </c>
      <c r="D292" s="2" t="inlineStr">
        <is>
          <t>—</t>
        </is>
      </c>
      <c r="E292" s="2" t="inlineStr">
        <is>
          <t>ENABLED</t>
        </is>
      </c>
      <c r="F292" s="2" t="inlineStr">
        <is>
          <t>Ranking</t>
        </is>
      </c>
      <c r="G292" s="2" t="inlineStr">
        <is>
          <t>Ranking</t>
        </is>
      </c>
      <c r="H292" s="2" t="n"/>
      <c r="I292" s="2" t="inlineStr">
        <is>
          <t>Exact</t>
        </is>
      </c>
      <c r="J292" s="2" t="inlineStr">
        <is>
          <t>SATIN-TWIN-GREY</t>
        </is>
      </c>
      <c r="K292" s="2" t="inlineStr">
        <is>
          <t>SATIN-TWIN-GREY</t>
        </is>
      </c>
      <c r="L292" s="2" t="inlineStr">
        <is>
          <t>n/a (no target bid in audit)</t>
        </is>
      </c>
      <c r="M292" s="2" t="inlineStr">
        <is>
          <t>n/a</t>
        </is>
      </c>
      <c r="N292" s="2" t="n">
        <v>0</v>
      </c>
      <c r="O292" s="2" t="n">
        <v>0</v>
      </c>
      <c r="P292" s="21" t="n"/>
      <c r="Q292" s="21" t="n"/>
      <c r="R292" s="2" t="n"/>
      <c r="S292" s="2" t="n"/>
      <c r="T292" s="2" t="n"/>
      <c r="U292" s="2" t="n"/>
      <c r="V292" s="21" t="n">
        <v>30</v>
      </c>
      <c r="W292" s="21" t="n">
        <v>30</v>
      </c>
      <c r="X292" s="2" t="inlineStr">
        <is>
          <t>ENABLED</t>
        </is>
      </c>
      <c r="Y292" s="2" t="inlineStr">
        <is>
          <t>none</t>
        </is>
      </c>
      <c r="Z292" s="2" t="inlineStr">
        <is>
          <t>defer — engine name wrong (SKU token SATIN-TWIN-GREY); load a corrected name after 28 Oct</t>
        </is>
      </c>
      <c r="AA292" s="21" t="n">
        <v>0</v>
      </c>
      <c r="AB292" s="2" t="n">
        <v>0</v>
      </c>
      <c r="AC292" s="2" t="n">
        <v>0</v>
      </c>
      <c r="AD292" s="2" t="n"/>
      <c r="AE292" s="2" t="n"/>
      <c r="AF292" s="2" t="n"/>
      <c r="AG292" s="2" t="n">
        <v>0</v>
      </c>
      <c r="AH292" s="2" t="inlineStr">
        <is>
          <t>No change (engine move rejected/held)</t>
        </is>
      </c>
      <c r="AI292" s="22" t="inlineStr">
        <is>
          <t>No change (reject engine child swap seq 1887; defer engine rename)</t>
        </is>
      </c>
      <c r="AJ292" s="22" t="inlineStr">
        <is>
          <t>Engine swap SATIN-TWIN-GREY → SATIN-4PC-TWIN-BLUSH PINK rejected: the pick comes from the broken size map, and SATIN-TWIN-GREY is the size's best seller with cover (SB 30 Aug–29 Sep); the engine rename writes a wrong token and is deferred; no clicks in CC 31 Aug–29 Sep.</t>
        </is>
      </c>
      <c r="AK292" s="2" t="inlineStr">
        <is>
          <t>seq 1887 child: reject — keep SATIN-TWIN-GREY; seq 3086 rename CHANGE</t>
        </is>
      </c>
      <c r="AL292" s="22" t="n"/>
    </row>
    <row r="293">
      <c r="A293" s="2" t="inlineStr">
        <is>
          <t>266181880654070</t>
        </is>
      </c>
      <c r="B293" s="2" t="inlineStr">
        <is>
          <t>D-S4-SP-double bed sheets sets satin-(Satin)-HSV-Exact-Rank-DO-SATIN-QUEEN-GREY</t>
        </is>
      </c>
      <c r="C293" s="2" t="inlineStr">
        <is>
          <t>double bed sheets sets satin [exact, $1.90]</t>
        </is>
      </c>
      <c r="D293" s="2" t="inlineStr">
        <is>
          <t>—</t>
        </is>
      </c>
      <c r="E293" s="2" t="inlineStr">
        <is>
          <t>ENABLED</t>
        </is>
      </c>
      <c r="F293" s="2" t="inlineStr">
        <is>
          <t>Ranking</t>
        </is>
      </c>
      <c r="G293" s="2" t="inlineStr">
        <is>
          <t>Ranking</t>
        </is>
      </c>
      <c r="H293" s="2" t="inlineStr">
        <is>
          <t>OUT</t>
        </is>
      </c>
      <c r="I293" s="2" t="inlineStr">
        <is>
          <t>Exact</t>
        </is>
      </c>
      <c r="J293" s="2" t="inlineStr">
        <is>
          <t>SATIN-FULL-BLACK</t>
        </is>
      </c>
      <c r="K293" s="2" t="inlineStr">
        <is>
          <t>SATIN-FULL-BLACK</t>
        </is>
      </c>
      <c r="L293" s="2" t="inlineStr">
        <is>
          <t>$1.90</t>
        </is>
      </c>
      <c r="M293" s="2" t="inlineStr">
        <is>
          <t>$1.90</t>
        </is>
      </c>
      <c r="N293" s="2" t="n">
        <v>20</v>
      </c>
      <c r="O293" s="2" t="n">
        <v>20</v>
      </c>
      <c r="P293" s="21" t="n">
        <v>2.28</v>
      </c>
      <c r="Q293" s="21" t="n">
        <v>2.28</v>
      </c>
      <c r="R293" s="2" t="n">
        <v>0</v>
      </c>
      <c r="S293" s="2" t="n">
        <v>0</v>
      </c>
      <c r="T293" s="2" t="n">
        <v>0</v>
      </c>
      <c r="U293" s="2" t="n">
        <v>0</v>
      </c>
      <c r="V293" s="21" t="n">
        <v>30</v>
      </c>
      <c r="W293" s="21" t="n">
        <v>30</v>
      </c>
      <c r="X293" s="2" t="inlineStr">
        <is>
          <t>ENABLED</t>
        </is>
      </c>
      <c r="Y293" s="2" t="inlineStr">
        <is>
          <t>none</t>
        </is>
      </c>
      <c r="Z293" s="2" t="inlineStr">
        <is>
          <t>defer — engine name wrong (SKU token SATIN-FULL-BLACK); load a corrected name after 28 Oct</t>
        </is>
      </c>
      <c r="AA293" s="21" t="n">
        <v>0</v>
      </c>
      <c r="AB293" s="2" t="n">
        <v>0</v>
      </c>
      <c r="AC293" s="2" t="n">
        <v>0</v>
      </c>
      <c r="AD293" s="2" t="n"/>
      <c r="AE293" s="2" t="n"/>
      <c r="AF293" s="2" t="n"/>
      <c r="AG293" s="2" t="n">
        <v>0</v>
      </c>
      <c r="AH293" s="2" t="inlineStr">
        <is>
          <t>No change (engine move rejected/held)</t>
        </is>
      </c>
      <c r="AI293" s="22" t="inlineStr">
        <is>
          <t>No change (defer engine rename)</t>
        </is>
      </c>
      <c r="AJ293" s="22" t="inlineStr">
        <is>
          <t>the engine rename writes a wrong token and is deferred; no clicks in CC 31 Aug–29 Sep.</t>
        </is>
      </c>
      <c r="AK293" s="2" t="inlineStr">
        <is>
          <t>seq 1924 child: correct to SATIN-FULL-BLACK; seq 3200 rename CHANGE</t>
        </is>
      </c>
      <c r="AL293" s="22" t="n"/>
    </row>
    <row r="294">
      <c r="A294" s="2" t="inlineStr">
        <is>
          <t>228349745200207</t>
        </is>
      </c>
      <c r="B294" s="2" t="inlineStr">
        <is>
          <t>D-S4-SP-fitted sheets for queen size bed satin-(Satin)-LSV-Exact-Rank-DO-SATIN-QUEEN-GREY</t>
        </is>
      </c>
      <c r="C294" s="2" t="inlineStr">
        <is>
          <t>fitted sheets for queen size bed satin; gray satin fitted sheet queen [exact]</t>
        </is>
      </c>
      <c r="D294" s="2" t="inlineStr">
        <is>
          <t>—</t>
        </is>
      </c>
      <c r="E294" s="2" t="inlineStr">
        <is>
          <t>ENABLED</t>
        </is>
      </c>
      <c r="F294" s="2" t="inlineStr">
        <is>
          <t>Ranking</t>
        </is>
      </c>
      <c r="G294" s="2" t="inlineStr">
        <is>
          <t>Ranking</t>
        </is>
      </c>
      <c r="H294" s="2" t="n"/>
      <c r="I294" s="2" t="inlineStr">
        <is>
          <t>Exact</t>
        </is>
      </c>
      <c r="J294" s="2" t="inlineStr">
        <is>
          <t>SATIN-QUEEN-GREY</t>
        </is>
      </c>
      <c r="K294" s="2" t="inlineStr">
        <is>
          <t>SATIN-QUEEN-GREY</t>
        </is>
      </c>
      <c r="L294" s="2" t="inlineStr">
        <is>
          <t>n/a (no target bid in audit)</t>
        </is>
      </c>
      <c r="M294" s="2" t="inlineStr">
        <is>
          <t>n/a</t>
        </is>
      </c>
      <c r="N294" s="2" t="n">
        <v>50</v>
      </c>
      <c r="O294" s="2" t="n">
        <v>50</v>
      </c>
      <c r="P294" s="21" t="n"/>
      <c r="Q294" s="21" t="n"/>
      <c r="R294" s="2" t="n"/>
      <c r="S294" s="2" t="n"/>
      <c r="T294" s="2" t="n"/>
      <c r="U294" s="2" t="n"/>
      <c r="V294" s="21" t="n">
        <v>1</v>
      </c>
      <c r="W294" s="21" t="n">
        <v>1</v>
      </c>
      <c r="X294" s="2" t="inlineStr">
        <is>
          <t>ENABLED</t>
        </is>
      </c>
      <c r="Y294" s="2" t="inlineStr">
        <is>
          <t>none</t>
        </is>
      </c>
      <c r="Z294" s="2" t="inlineStr">
        <is>
          <t>defer — engine name wrong ((Conversion)); load a corrected name after 28 Oct</t>
        </is>
      </c>
      <c r="AA294" s="21" t="n">
        <v>0</v>
      </c>
      <c r="AB294" s="2" t="n">
        <v>0</v>
      </c>
      <c r="AC294" s="2" t="n">
        <v>0</v>
      </c>
      <c r="AD294" s="2" t="n"/>
      <c r="AE294" s="2" t="n"/>
      <c r="AF294" s="2" t="n"/>
      <c r="AG294" s="2" t="n">
        <v>0</v>
      </c>
      <c r="AH294" s="2" t="inlineStr">
        <is>
          <t>No change (engine move rejected/held)</t>
        </is>
      </c>
      <c r="AI294" s="22" t="inlineStr">
        <is>
          <t>No change (defer engine rename)</t>
        </is>
      </c>
      <c r="AJ294" s="22" t="inlineStr">
        <is>
          <t>the engine rename writes a wrong token and is deferred; no clicks in CC 31 Aug–29 Sep.</t>
        </is>
      </c>
      <c r="AK294" s="2" t="inlineStr">
        <is>
          <t>seq 3171 rename CHANGE</t>
        </is>
      </c>
      <c r="AL294" s="22" t="n"/>
    </row>
    <row r="295">
      <c r="A295" s="2" t="inlineStr">
        <is>
          <t>244541139279266</t>
        </is>
      </c>
      <c r="B295" s="2" t="inlineStr">
        <is>
          <t>D-S4-SP-fitted silk sheet king size-(Silk)-LSV-Exact-Rank-DO-SATIN-4PC-KING-GREY</t>
        </is>
      </c>
      <c r="C295" s="2" t="inlineStr">
        <is>
          <t>fitted silk sheet king size [exact]</t>
        </is>
      </c>
      <c r="D295" s="2" t="inlineStr">
        <is>
          <t>whole campaign</t>
        </is>
      </c>
      <c r="E295" s="2" t="inlineStr">
        <is>
          <t>ENABLED</t>
        </is>
      </c>
      <c r="F295" s="2" t="inlineStr">
        <is>
          <t>Ranking</t>
        </is>
      </c>
      <c r="G295" s="2" t="inlineStr">
        <is>
          <t>Ranking</t>
        </is>
      </c>
      <c r="H295" s="2" t="n"/>
      <c r="I295" s="2" t="inlineStr">
        <is>
          <t>Exact</t>
        </is>
      </c>
      <c r="J295" s="2" t="inlineStr">
        <is>
          <t>SATIN-4PC-KING-GREY</t>
        </is>
      </c>
      <c r="K295" s="2" t="inlineStr">
        <is>
          <t>SATIN-4PC-KING-GREY</t>
        </is>
      </c>
      <c r="L295" s="2" t="inlineStr">
        <is>
          <t>n/a (no target bid in audit)</t>
        </is>
      </c>
      <c r="M295" s="2" t="inlineStr">
        <is>
          <t>n/a</t>
        </is>
      </c>
      <c r="N295" s="2" t="n">
        <v>50</v>
      </c>
      <c r="O295" s="2" t="n">
        <v>50</v>
      </c>
      <c r="P295" s="21" t="n"/>
      <c r="Q295" s="21" t="n"/>
      <c r="R295" s="2" t="n"/>
      <c r="S295" s="2" t="n"/>
      <c r="T295" s="2" t="n"/>
      <c r="U295" s="2" t="n"/>
      <c r="V295" s="21" t="n">
        <v>10</v>
      </c>
      <c r="W295" s="21" t="n">
        <v>10</v>
      </c>
      <c r="X295" s="2" t="inlineStr">
        <is>
          <t>ENABLED</t>
        </is>
      </c>
      <c r="Y295" s="2" t="inlineStr">
        <is>
          <t>none</t>
        </is>
      </c>
      <c r="Z295" s="2" t="inlineStr">
        <is>
          <t>load (clean): DSS4-SP-Fitted Silk Sheet King Size-(VLSV)-Exact-(Ranking)-DO-SATIN-4PC-KING-GREY</t>
        </is>
      </c>
      <c r="AA295" s="21" t="n">
        <v>0</v>
      </c>
      <c r="AB295" s="2" t="n">
        <v>0</v>
      </c>
      <c r="AC295" s="2" t="n">
        <v>0</v>
      </c>
      <c r="AD295" s="2" t="n"/>
      <c r="AE295" s="2" t="n"/>
      <c r="AF295" s="2" t="n"/>
      <c r="AG295" s="2" t="n">
        <v>0</v>
      </c>
      <c r="AH295" s="2" t="inlineStr">
        <is>
          <t>Rename only</t>
        </is>
      </c>
      <c r="AI295" s="22" t="inlineStr">
        <is>
          <t>Load rename only</t>
        </is>
      </c>
      <c r="AJ295" s="22" t="inlineStr">
        <is>
          <t>Clean rename (SKU token and objective match what the campaign advertises); no clicks in CC 31 Aug–29 Sep.</t>
        </is>
      </c>
      <c r="AK295" s="2" t="inlineStr">
        <is>
          <t>seq 3188 rename LOAD</t>
        </is>
      </c>
      <c r="AL295" s="22" t="n"/>
    </row>
    <row r="296">
      <c r="A296" s="2" t="inlineStr">
        <is>
          <t>90203111851202</t>
        </is>
      </c>
      <c r="B296" s="2" t="inlineStr">
        <is>
          <t>D-S4-SP-full silk satin sheet set-(Silk)-LSV-Exact-Rank-DO-SATIN-FULL-BLACK</t>
        </is>
      </c>
      <c r="C296" s="2" t="inlineStr">
        <is>
          <t>full silk satin sheet set [exact]</t>
        </is>
      </c>
      <c r="D296" s="2" t="inlineStr">
        <is>
          <t>—</t>
        </is>
      </c>
      <c r="E296" s="2" t="inlineStr">
        <is>
          <t>ENABLED</t>
        </is>
      </c>
      <c r="F296" s="2" t="inlineStr">
        <is>
          <t>Ranking</t>
        </is>
      </c>
      <c r="G296" s="2" t="inlineStr">
        <is>
          <t>Ranking</t>
        </is>
      </c>
      <c r="H296" s="2" t="n"/>
      <c r="I296" s="2" t="inlineStr">
        <is>
          <t>Exact</t>
        </is>
      </c>
      <c r="J296" s="2" t="inlineStr">
        <is>
          <t>SATIN-FULL-BLACK</t>
        </is>
      </c>
      <c r="K296" s="2" t="inlineStr">
        <is>
          <t>SATIN-FULL-BLACK</t>
        </is>
      </c>
      <c r="L296" s="2" t="inlineStr">
        <is>
          <t>n/a (no target bid in audit)</t>
        </is>
      </c>
      <c r="M296" s="2" t="inlineStr">
        <is>
          <t>n/a</t>
        </is>
      </c>
      <c r="N296" s="2" t="n">
        <v>0</v>
      </c>
      <c r="O296" s="2" t="n">
        <v>0</v>
      </c>
      <c r="P296" s="21" t="n"/>
      <c r="Q296" s="21" t="n"/>
      <c r="R296" s="2" t="n"/>
      <c r="S296" s="2" t="n"/>
      <c r="T296" s="2" t="n"/>
      <c r="U296" s="2" t="n"/>
      <c r="V296" s="21" t="n">
        <v>5</v>
      </c>
      <c r="W296" s="21" t="n">
        <v>5</v>
      </c>
      <c r="X296" s="2" t="inlineStr">
        <is>
          <t>ENABLED</t>
        </is>
      </c>
      <c r="Y296" s="2" t="inlineStr">
        <is>
          <t>none</t>
        </is>
      </c>
      <c r="Z296" s="2" t="inlineStr">
        <is>
          <t>defer — engine name wrong (SKU token SATIN-FULL-BLACK); load a corrected name after 28 Oct</t>
        </is>
      </c>
      <c r="AA296" s="21" t="n">
        <v>0</v>
      </c>
      <c r="AB296" s="2" t="n">
        <v>0</v>
      </c>
      <c r="AC296" s="2" t="n">
        <v>0</v>
      </c>
      <c r="AD296" s="2" t="n"/>
      <c r="AE296" s="2" t="n"/>
      <c r="AF296" s="2" t="n"/>
      <c r="AG296" s="2" t="n">
        <v>0</v>
      </c>
      <c r="AH296" s="2" t="inlineStr">
        <is>
          <t>No change (engine move rejected/held)</t>
        </is>
      </c>
      <c r="AI296" s="22" t="inlineStr">
        <is>
          <t>No change (reject engine child swap seq 1966; defer engine rename)</t>
        </is>
      </c>
      <c r="AJ296" s="22" t="inlineStr">
        <is>
          <t>Engine swap SATIN-FULL-BLACK → SATIN-4PCS-FULL-ROSEWOOD rejected: the pick comes from the broken size map, and SATIN-FULL-BLACK is the size's best seller with cover (SB 30 Aug–29 Sep); the engine rename writes a wrong token and is deferred; no clicks in CC 31 Aug–29 Sep.</t>
        </is>
      </c>
      <c r="AK296" s="2" t="inlineStr">
        <is>
          <t>seq 1966 child: reject — keep SATIN-FULL-BLACK; seq 3310 rename CHANGE</t>
        </is>
      </c>
      <c r="AL296" s="22" t="n"/>
    </row>
    <row r="297">
      <c r="A297" s="2" t="inlineStr">
        <is>
          <t>230178693415406</t>
        </is>
      </c>
      <c r="B297" s="2" t="inlineStr">
        <is>
          <t>D-S4-SP-gold king satin sheets-(Satin)-VLSV-Exact-Rank-DO-SATIN-GOLD-QUEEN</t>
        </is>
      </c>
      <c r="C297" s="2" t="inlineStr">
        <is>
          <t>gold king satin sheets (from the campaign name; no targets on file, no spend in 90 days)</t>
        </is>
      </c>
      <c r="D297" s="2" t="inlineStr">
        <is>
          <t>whole campaign</t>
        </is>
      </c>
      <c r="E297" s="2" t="inlineStr">
        <is>
          <t>PAUSED</t>
        </is>
      </c>
      <c r="F297" s="2" t="inlineStr">
        <is>
          <t>Ranking</t>
        </is>
      </c>
      <c r="G297" s="2" t="inlineStr">
        <is>
          <t>Conversions</t>
        </is>
      </c>
      <c r="H297" s="2" t="n"/>
      <c r="I297" s="2" t="inlineStr">
        <is>
          <t>Exact</t>
        </is>
      </c>
      <c r="J297" s="2" t="inlineStr">
        <is>
          <t>SATIN-GOLD-QUEEN</t>
        </is>
      </c>
      <c r="K297" s="2" t="inlineStr">
        <is>
          <t>SATIN-GOLD-QUEEN</t>
        </is>
      </c>
      <c r="L297" s="2" t="inlineStr">
        <is>
          <t>n/a (no target bid in audit)</t>
        </is>
      </c>
      <c r="M297" s="2" t="inlineStr">
        <is>
          <t>n/a</t>
        </is>
      </c>
      <c r="N297" s="2" t="n">
        <v>50</v>
      </c>
      <c r="O297" s="2" t="n">
        <v>50</v>
      </c>
      <c r="P297" s="21" t="n"/>
      <c r="Q297" s="21" t="n"/>
      <c r="R297" s="2" t="n"/>
      <c r="S297" s="2" t="n"/>
      <c r="T297" s="2" t="n"/>
      <c r="U297" s="2" t="n"/>
      <c r="V297" s="21" t="n">
        <v>10</v>
      </c>
      <c r="W297" s="21" t="n">
        <v>10</v>
      </c>
      <c r="X297" s="2" t="inlineStr">
        <is>
          <t>PAUSED</t>
        </is>
      </c>
      <c r="Y297" s="2" t="inlineStr">
        <is>
          <t>none</t>
        </is>
      </c>
      <c r="Z297" s="2" t="inlineStr">
        <is>
          <t>defer — engine name wrong ((Conversion)); load a corrected name after 28 Oct</t>
        </is>
      </c>
      <c r="AA297" s="21" t="n">
        <v>0</v>
      </c>
      <c r="AB297" s="2" t="n">
        <v>0</v>
      </c>
      <c r="AC297" s="2" t="n">
        <v>0</v>
      </c>
      <c r="AD297" s="2" t="n"/>
      <c r="AE297" s="2" t="n"/>
      <c r="AF297" s="2" t="n"/>
      <c r="AG297" s="2" t="n">
        <v>0</v>
      </c>
      <c r="AH297" s="2" t="inlineStr">
        <is>
          <t>Retag only</t>
        </is>
      </c>
      <c r="AI297" s="22" t="inlineStr">
        <is>
          <t>retag → Conversions</t>
        </is>
      </c>
      <c r="AJ297" s="22" t="inlineStr">
        <is>
          <t>Objective Ranking → Conversions by the standard (colour term "gold king satin sheets"); no clicks in CC 31 Aug–29 Sep.</t>
        </is>
      </c>
      <c r="AK297" s="2" t="inlineStr">
        <is>
          <t>seq 3329 rename CHANGE; our addition: standard → Conversions (colour term "gold king satin sheets")</t>
        </is>
      </c>
      <c r="AL297" s="22" t="n"/>
    </row>
    <row r="298">
      <c r="A298" s="2" t="inlineStr">
        <is>
          <t>404093118423597</t>
        </is>
      </c>
      <c r="B298" s="2" t="inlineStr">
        <is>
          <t>D-S4-SP-gold satin king size sheet set-(Satin)-MSV-Exact-Rank-DO-SATIN-GOLD-QUEEN</t>
        </is>
      </c>
      <c r="C298" s="2" t="inlineStr">
        <is>
          <t>gold satin king size sheet set [exact, $0.50]</t>
        </is>
      </c>
      <c r="D298" s="2" t="inlineStr">
        <is>
          <t>whole campaign</t>
        </is>
      </c>
      <c r="E298" s="2" t="inlineStr">
        <is>
          <t>ENABLED</t>
        </is>
      </c>
      <c r="F298" s="2" t="inlineStr">
        <is>
          <t>Ranking</t>
        </is>
      </c>
      <c r="G298" s="2" t="inlineStr">
        <is>
          <t>Conversions</t>
        </is>
      </c>
      <c r="H298" s="2" t="inlineStr">
        <is>
          <t>OUT</t>
        </is>
      </c>
      <c r="I298" s="2" t="inlineStr">
        <is>
          <t>Exact</t>
        </is>
      </c>
      <c r="J298" s="2" t="inlineStr">
        <is>
          <t>SATIN-GOLD-QUEEN</t>
        </is>
      </c>
      <c r="K298" s="2" t="inlineStr">
        <is>
          <t>SATIN-GOLD-QUEEN</t>
        </is>
      </c>
      <c r="L298" s="2" t="inlineStr">
        <is>
          <t>$0.50</t>
        </is>
      </c>
      <c r="M298" s="2" t="inlineStr">
        <is>
          <t>$0.50</t>
        </is>
      </c>
      <c r="N298" s="2" t="n">
        <v>65</v>
      </c>
      <c r="O298" s="2" t="n">
        <v>65</v>
      </c>
      <c r="P298" s="21" t="n">
        <v>0.82</v>
      </c>
      <c r="Q298" s="21" t="n">
        <v>0.82</v>
      </c>
      <c r="R298" s="2" t="n">
        <v>0</v>
      </c>
      <c r="S298" s="2" t="n">
        <v>0</v>
      </c>
      <c r="T298" s="2" t="n">
        <v>0</v>
      </c>
      <c r="U298" s="2" t="n">
        <v>0</v>
      </c>
      <c r="V298" s="21" t="n">
        <v>10</v>
      </c>
      <c r="W298" s="21" t="n">
        <v>10</v>
      </c>
      <c r="X298" s="2" t="inlineStr">
        <is>
          <t>ENABLED</t>
        </is>
      </c>
      <c r="Y298" s="2" t="inlineStr">
        <is>
          <t>none</t>
        </is>
      </c>
      <c r="Z298" s="2" t="inlineStr">
        <is>
          <t>defer — engine name wrong ((Conversion)); load a corrected name after 28 Oct</t>
        </is>
      </c>
      <c r="AA298" s="21" t="n">
        <v>0</v>
      </c>
      <c r="AB298" s="2" t="n">
        <v>0</v>
      </c>
      <c r="AC298" s="2" t="n">
        <v>0</v>
      </c>
      <c r="AD298" s="2" t="n"/>
      <c r="AE298" s="2" t="n"/>
      <c r="AF298" s="2" t="n"/>
      <c r="AG298" s="2" t="n">
        <v>0</v>
      </c>
      <c r="AH298" s="2" t="inlineStr">
        <is>
          <t>Retag only</t>
        </is>
      </c>
      <c r="AI298" s="22" t="inlineStr">
        <is>
          <t>retag → Conversions</t>
        </is>
      </c>
      <c r="AJ298" s="22" t="inlineStr">
        <is>
          <t>Objective Ranking → Conversions by the standard (colour term "gold satin king size sheet set"); no clicks in CC 31 Aug–29 Sep.</t>
        </is>
      </c>
      <c r="AK298" s="2" t="inlineStr">
        <is>
          <t>seq 3241 rename CHANGE; our addition: standard → Conversions (colour term "gold satin king size sheet set")</t>
        </is>
      </c>
      <c r="AL298" s="22" t="n"/>
    </row>
    <row r="299">
      <c r="A299" s="2" t="inlineStr">
        <is>
          <t>89161905215349</t>
        </is>
      </c>
      <c r="B299" s="2" t="inlineStr">
        <is>
          <t>D-S4-SP-gray satin sheets king size-(Satin)-HSV-Exact-Rank-DO-SATIN-4PC-KING-GREY</t>
        </is>
      </c>
      <c r="C299" s="2" t="inlineStr">
        <is>
          <t>gray satin sheets king size [exact]</t>
        </is>
      </c>
      <c r="D299" s="2" t="inlineStr">
        <is>
          <t>gray satin sheets king size</t>
        </is>
      </c>
      <c r="E299" s="2" t="inlineStr">
        <is>
          <t>ENABLED</t>
        </is>
      </c>
      <c r="F299" s="2" t="inlineStr">
        <is>
          <t>Ranking</t>
        </is>
      </c>
      <c r="G299" s="2" t="inlineStr">
        <is>
          <t>Conversions</t>
        </is>
      </c>
      <c r="H299" s="2" t="n"/>
      <c r="I299" s="2" t="inlineStr">
        <is>
          <t>Exact</t>
        </is>
      </c>
      <c r="J299" s="2" t="inlineStr">
        <is>
          <t>SATIN-4PC-KING-GREY</t>
        </is>
      </c>
      <c r="K299" s="2" t="inlineStr">
        <is>
          <t>SATIN-4PC-KING-GREY</t>
        </is>
      </c>
      <c r="L299" s="2" t="inlineStr">
        <is>
          <t>n/a (no target bid in audit)</t>
        </is>
      </c>
      <c r="M299" s="2" t="inlineStr">
        <is>
          <t>n/a</t>
        </is>
      </c>
      <c r="N299" s="2" t="n">
        <v>0</v>
      </c>
      <c r="O299" s="2" t="n">
        <v>0</v>
      </c>
      <c r="P299" s="21" t="n"/>
      <c r="Q299" s="21" t="n"/>
      <c r="R299" s="2" t="n"/>
      <c r="S299" s="2" t="n"/>
      <c r="T299" s="2" t="n"/>
      <c r="U299" s="2" t="n"/>
      <c r="V299" s="21" t="n">
        <v>10</v>
      </c>
      <c r="W299" s="21" t="n">
        <v>10</v>
      </c>
      <c r="X299" s="2" t="inlineStr">
        <is>
          <t>ENABLED</t>
        </is>
      </c>
      <c r="Y299" s="2" t="inlineStr">
        <is>
          <t>none</t>
        </is>
      </c>
      <c r="Z299" s="2" t="inlineStr">
        <is>
          <t>defer — engine name wrong ((Conversion)); load a corrected name after 28 Oct</t>
        </is>
      </c>
      <c r="AA299" s="21" t="n">
        <v>0</v>
      </c>
      <c r="AB299" s="2" t="n">
        <v>0</v>
      </c>
      <c r="AC299" s="2" t="n">
        <v>0</v>
      </c>
      <c r="AD299" s="2" t="n"/>
      <c r="AE299" s="2" t="n"/>
      <c r="AF299" s="2" t="n"/>
      <c r="AG299" s="2" t="n">
        <v>0</v>
      </c>
      <c r="AH299" s="2" t="inlineStr">
        <is>
          <t>Reject pause</t>
        </is>
      </c>
      <c r="AI299" s="22" t="inlineStr">
        <is>
          <t>Keep target "gray satin sheets king size" enabled; child SATIN-4PC-KING-GREY is already the live colour child (reject pause seq 2069); retag → Conversions</t>
        </is>
      </c>
      <c r="AJ299" s="22" t="inlineStr">
        <is>
          <t>The rule says "SATIN-KING-GREY out of stock". The campaign advertises SATIN-4PC-KING-GREY: 1,057 available, ~210 days.</t>
        </is>
      </c>
      <c r="AK299" s="2" t="inlineStr">
        <is>
          <t>seq 2069 state: hold (no money at stake); seq 3309 rename CHANGE; our addition: standard → Conversions (colour term "gray satin sheets king size")</t>
        </is>
      </c>
      <c r="AL299" s="22" t="n"/>
    </row>
    <row r="300">
      <c r="A300" s="2" t="inlineStr">
        <is>
          <t>39491145052240</t>
        </is>
      </c>
      <c r="B300" s="2" t="inlineStr">
        <is>
          <t>D-S4-SP-grey satin king sheet set-(Satin)-LSV-Exact-Rank-DO-SATIN-QUEEN-BLACK</t>
        </is>
      </c>
      <c r="C300" s="2" t="inlineStr">
        <is>
          <t>dark grey silk bed sheets [exact, $1.90]; beige gray silk sheets [exact, $1.90]; grey satin king sheet set [exact, $1.90]</t>
        </is>
      </c>
      <c r="D300" s="2" t="inlineStr">
        <is>
          <t>whole campaign</t>
        </is>
      </c>
      <c r="E300" s="2" t="inlineStr">
        <is>
          <t>ENABLED</t>
        </is>
      </c>
      <c r="F300" s="2" t="inlineStr">
        <is>
          <t>Ranking</t>
        </is>
      </c>
      <c r="G300" s="2" t="inlineStr">
        <is>
          <t>Conversions</t>
        </is>
      </c>
      <c r="H300" s="2" t="inlineStr">
        <is>
          <t>OUT</t>
        </is>
      </c>
      <c r="I300" s="2" t="inlineStr">
        <is>
          <t>Exact</t>
        </is>
      </c>
      <c r="J300" s="2" t="inlineStr">
        <is>
          <t>SATIN-QUEEN-BLACK</t>
        </is>
      </c>
      <c r="K300" s="2" t="inlineStr">
        <is>
          <t>SATIN-QUEEN-BLACK</t>
        </is>
      </c>
      <c r="L300" s="2" t="inlineStr">
        <is>
          <t>$1.90 / $1.90 / $1.90</t>
        </is>
      </c>
      <c r="M300" s="2" t="inlineStr">
        <is>
          <t>$1.90 / $1.90 / $1.90</t>
        </is>
      </c>
      <c r="N300" s="2" t="n">
        <v>60</v>
      </c>
      <c r="O300" s="2" t="n">
        <v>60</v>
      </c>
      <c r="P300" s="21" t="n">
        <v>3.04</v>
      </c>
      <c r="Q300" s="21" t="n">
        <v>3.04</v>
      </c>
      <c r="R300" s="2" t="n">
        <v>0</v>
      </c>
      <c r="S300" s="2" t="n">
        <v>0</v>
      </c>
      <c r="T300" s="2" t="n">
        <v>0</v>
      </c>
      <c r="U300" s="2" t="n">
        <v>0</v>
      </c>
      <c r="V300" s="21" t="n">
        <v>10</v>
      </c>
      <c r="W300" s="21" t="n">
        <v>10</v>
      </c>
      <c r="X300" s="2" t="inlineStr">
        <is>
          <t>ENABLED</t>
        </is>
      </c>
      <c r="Y300" s="2" t="inlineStr">
        <is>
          <t>none</t>
        </is>
      </c>
      <c r="Z300" s="2" t="inlineStr">
        <is>
          <t>defer — engine name wrong (SKU token SATIN-QUEEN-BLACK; (Conversion)); load a corrected name after 28 Oct</t>
        </is>
      </c>
      <c r="AA300" s="21" t="n">
        <v>0</v>
      </c>
      <c r="AB300" s="2" t="n">
        <v>0</v>
      </c>
      <c r="AC300" s="2" t="n">
        <v>0</v>
      </c>
      <c r="AD300" s="2" t="n"/>
      <c r="AE300" s="2" t="n"/>
      <c r="AF300" s="2" t="n"/>
      <c r="AG300" s="2" t="n">
        <v>0</v>
      </c>
      <c r="AH300" s="2" t="inlineStr">
        <is>
          <t>Retag only</t>
        </is>
      </c>
      <c r="AI300" s="22" t="inlineStr">
        <is>
          <t>retag → Conversions</t>
        </is>
      </c>
      <c r="AJ300" s="22" t="inlineStr">
        <is>
          <t>Objective Ranking → Conversions by the standard (colour term "grey satin king sheet set"); no clicks in CC 31 Aug–29 Sep.</t>
        </is>
      </c>
      <c r="AK300" s="2" t="inlineStr">
        <is>
          <t>seq 1938 child: reject; seq 3238 rename CHANGE; our addition: standard → Conversions (colour term "grey satin king sheet set")</t>
        </is>
      </c>
      <c r="AL300" s="22" t="n"/>
    </row>
    <row r="301">
      <c r="A301" s="2" t="inlineStr">
        <is>
          <t>74071821117493</t>
        </is>
      </c>
      <c r="B301" s="2" t="inlineStr">
        <is>
          <t>D-S4-SP-grey satin king size sheets-(Satin)-HSV-Exact-Rank-DO-SATIN-4PC-KING-GREY</t>
        </is>
      </c>
      <c r="C301" s="2" t="inlineStr">
        <is>
          <t>grey satin king size sheets [exact]</t>
        </is>
      </c>
      <c r="D301" s="2" t="inlineStr">
        <is>
          <t>whole campaign</t>
        </is>
      </c>
      <c r="E301" s="2" t="inlineStr">
        <is>
          <t>ENABLED</t>
        </is>
      </c>
      <c r="F301" s="2" t="inlineStr">
        <is>
          <t>Ranking</t>
        </is>
      </c>
      <c r="G301" s="2" t="inlineStr">
        <is>
          <t>Conversions</t>
        </is>
      </c>
      <c r="H301" s="2" t="n"/>
      <c r="I301" s="2" t="inlineStr">
        <is>
          <t>Exact</t>
        </is>
      </c>
      <c r="J301" s="2" t="inlineStr">
        <is>
          <t>SATIN-4PC-KING-GREY</t>
        </is>
      </c>
      <c r="K301" s="2" t="inlineStr">
        <is>
          <t>SATIN-4PC-KING-GREY</t>
        </is>
      </c>
      <c r="L301" s="2" t="inlineStr">
        <is>
          <t>n/a (no target bid in audit)</t>
        </is>
      </c>
      <c r="M301" s="2" t="inlineStr">
        <is>
          <t>n/a</t>
        </is>
      </c>
      <c r="N301" s="2" t="n">
        <v>0</v>
      </c>
      <c r="O301" s="2" t="n">
        <v>0</v>
      </c>
      <c r="P301" s="21" t="n"/>
      <c r="Q301" s="21" t="n"/>
      <c r="R301" s="2" t="n"/>
      <c r="S301" s="2" t="n"/>
      <c r="T301" s="2" t="n"/>
      <c r="U301" s="2" t="n"/>
      <c r="V301" s="21" t="n">
        <v>10</v>
      </c>
      <c r="W301" s="21" t="n">
        <v>10</v>
      </c>
      <c r="X301" s="2" t="inlineStr">
        <is>
          <t>ENABLED</t>
        </is>
      </c>
      <c r="Y301" s="2" t="inlineStr">
        <is>
          <t>none</t>
        </is>
      </c>
      <c r="Z301" s="2" t="inlineStr">
        <is>
          <t>defer — engine name wrong ((Conversion)); load a corrected name after 28 Oct</t>
        </is>
      </c>
      <c r="AA301" s="21" t="n">
        <v>0</v>
      </c>
      <c r="AB301" s="2" t="n">
        <v>0</v>
      </c>
      <c r="AC301" s="2" t="n">
        <v>0</v>
      </c>
      <c r="AD301" s="2" t="n"/>
      <c r="AE301" s="2" t="n"/>
      <c r="AF301" s="2" t="n"/>
      <c r="AG301" s="2" t="n">
        <v>0</v>
      </c>
      <c r="AH301" s="2" t="inlineStr">
        <is>
          <t>Retag only</t>
        </is>
      </c>
      <c r="AI301" s="22" t="inlineStr">
        <is>
          <t>retag → Conversions</t>
        </is>
      </c>
      <c r="AJ301" s="22" t="inlineStr">
        <is>
          <t>Objective Ranking → Conversions by the standard (colour term "grey satin king size sheets"); no clicks in CC 31 Aug–29 Sep.</t>
        </is>
      </c>
      <c r="AK301" s="2" t="inlineStr">
        <is>
          <t>seq 3291 rename CHANGE; our addition: standard → Conversions (colour term "grey satin king size sheets")</t>
        </is>
      </c>
      <c r="AL301" s="22" t="n"/>
    </row>
    <row r="302">
      <c r="A302" s="2" t="inlineStr">
        <is>
          <t>36399258039083</t>
        </is>
      </c>
      <c r="B302" s="2" t="inlineStr">
        <is>
          <t>D-S4-SP-grey silk king size sheets-(Silk)-MSV-Exact-Rank-DO-SATIN-4PC-KING-GREY</t>
        </is>
      </c>
      <c r="C302" s="2" t="inlineStr">
        <is>
          <t>grey silk king size sheets [exact]</t>
        </is>
      </c>
      <c r="D302" s="2" t="inlineStr">
        <is>
          <t>whole campaign</t>
        </is>
      </c>
      <c r="E302" s="2" t="inlineStr">
        <is>
          <t>ENABLED</t>
        </is>
      </c>
      <c r="F302" s="2" t="inlineStr">
        <is>
          <t>Ranking</t>
        </is>
      </c>
      <c r="G302" s="2" t="inlineStr">
        <is>
          <t>Conversions</t>
        </is>
      </c>
      <c r="H302" s="2" t="n"/>
      <c r="I302" s="2" t="inlineStr">
        <is>
          <t>Exact</t>
        </is>
      </c>
      <c r="J302" s="2" t="inlineStr">
        <is>
          <t>SATIN-4PC-KING-GREY</t>
        </is>
      </c>
      <c r="K302" s="2" t="inlineStr">
        <is>
          <t>SATIN-4PC-KING-GREY</t>
        </is>
      </c>
      <c r="L302" s="2" t="inlineStr">
        <is>
          <t>n/a (no target bid in audit)</t>
        </is>
      </c>
      <c r="M302" s="2" t="inlineStr">
        <is>
          <t>n/a</t>
        </is>
      </c>
      <c r="N302" s="2" t="n">
        <v>0</v>
      </c>
      <c r="O302" s="2" t="n">
        <v>0</v>
      </c>
      <c r="P302" s="21" t="n"/>
      <c r="Q302" s="21" t="n"/>
      <c r="R302" s="2" t="n"/>
      <c r="S302" s="2" t="n"/>
      <c r="T302" s="2" t="n"/>
      <c r="U302" s="2" t="n"/>
      <c r="V302" s="21" t="n">
        <v>10</v>
      </c>
      <c r="W302" s="21" t="n">
        <v>10</v>
      </c>
      <c r="X302" s="2" t="inlineStr">
        <is>
          <t>ENABLED</t>
        </is>
      </c>
      <c r="Y302" s="2" t="inlineStr">
        <is>
          <t>none</t>
        </is>
      </c>
      <c r="Z302" s="2" t="inlineStr">
        <is>
          <t>defer — engine name wrong ((Conversion)); load a corrected name after 28 Oct</t>
        </is>
      </c>
      <c r="AA302" s="21" t="n">
        <v>0</v>
      </c>
      <c r="AB302" s="2" t="n">
        <v>0</v>
      </c>
      <c r="AC302" s="2" t="n">
        <v>0</v>
      </c>
      <c r="AD302" s="2" t="n"/>
      <c r="AE302" s="2" t="n"/>
      <c r="AF302" s="2" t="n"/>
      <c r="AG302" s="2" t="n">
        <v>0</v>
      </c>
      <c r="AH302" s="2" t="inlineStr">
        <is>
          <t>Retag only</t>
        </is>
      </c>
      <c r="AI302" s="22" t="inlineStr">
        <is>
          <t>retag → Conversions</t>
        </is>
      </c>
      <c r="AJ302" s="22" t="inlineStr">
        <is>
          <t>Objective Ranking → Conversions by the standard (colour term "grey silk king size sheets"); no clicks in CC 31 Aug–29 Sep.</t>
        </is>
      </c>
      <c r="AK302" s="2" t="inlineStr">
        <is>
          <t>seq 3232 rename CHANGE; our addition: standard → Conversions (colour term "grey silk king size sheets")</t>
        </is>
      </c>
      <c r="AL302" s="22" t="n"/>
    </row>
    <row r="303">
      <c r="A303" s="2" t="inlineStr">
        <is>
          <t>247967991857066</t>
        </is>
      </c>
      <c r="B303" s="2" t="inlineStr">
        <is>
          <t>D-S4-SP-ivory satin sheet set queen-(Satin)-HSV-Exact-Rank-DO-SATIN-QUEEN-GREY</t>
        </is>
      </c>
      <c r="C303" s="2" t="inlineStr">
        <is>
          <t>ivory satin sheet set queen [exact]</t>
        </is>
      </c>
      <c r="D303" s="2" t="inlineStr">
        <is>
          <t>whole campaign</t>
        </is>
      </c>
      <c r="E303" s="2" t="inlineStr">
        <is>
          <t>ENABLED</t>
        </is>
      </c>
      <c r="F303" s="2" t="inlineStr">
        <is>
          <t>Ranking</t>
        </is>
      </c>
      <c r="G303" s="2" t="inlineStr">
        <is>
          <t>Conversions</t>
        </is>
      </c>
      <c r="H303" s="2" t="n"/>
      <c r="I303" s="2" t="inlineStr">
        <is>
          <t>Exact</t>
        </is>
      </c>
      <c r="J303" s="2" t="inlineStr">
        <is>
          <t>SATIN-IVORY-QUEEN</t>
        </is>
      </c>
      <c r="K303" s="2" t="inlineStr">
        <is>
          <t>SATIN-IVORY-QUEEN</t>
        </is>
      </c>
      <c r="L303" s="2" t="inlineStr">
        <is>
          <t>n/a (no target bid in audit)</t>
        </is>
      </c>
      <c r="M303" s="2" t="inlineStr">
        <is>
          <t>n/a</t>
        </is>
      </c>
      <c r="N303" s="2" t="n">
        <v>50</v>
      </c>
      <c r="O303" s="2" t="n">
        <v>50</v>
      </c>
      <c r="P303" s="21" t="n"/>
      <c r="Q303" s="21" t="n"/>
      <c r="R303" s="2" t="n"/>
      <c r="S303" s="2" t="n"/>
      <c r="T303" s="2" t="n"/>
      <c r="U303" s="2" t="n"/>
      <c r="V303" s="21" t="n">
        <v>5</v>
      </c>
      <c r="W303" s="21" t="n">
        <v>5</v>
      </c>
      <c r="X303" s="2" t="inlineStr">
        <is>
          <t>ENABLED</t>
        </is>
      </c>
      <c r="Y303" s="2" t="inlineStr">
        <is>
          <t>none</t>
        </is>
      </c>
      <c r="Z303" s="2" t="inlineStr">
        <is>
          <t>defer — engine name wrong ((Conversion)); load a corrected name after 28 Oct</t>
        </is>
      </c>
      <c r="AA303" s="21" t="n">
        <v>0</v>
      </c>
      <c r="AB303" s="2" t="n">
        <v>0</v>
      </c>
      <c r="AC303" s="2" t="n">
        <v>0</v>
      </c>
      <c r="AD303" s="2" t="n"/>
      <c r="AE303" s="2" t="n"/>
      <c r="AF303" s="2" t="n"/>
      <c r="AG303" s="2" t="n">
        <v>0</v>
      </c>
      <c r="AH303" s="2" t="inlineStr">
        <is>
          <t>Retag only</t>
        </is>
      </c>
      <c r="AI303" s="22" t="inlineStr">
        <is>
          <t>retag → Conversions</t>
        </is>
      </c>
      <c r="AJ303" s="22" t="inlineStr">
        <is>
          <t>Objective Ranking → Conversions by the standard (colour term "ivory satin sheet set queen"); no clicks in CC 31 Aug–29 Sep.</t>
        </is>
      </c>
      <c r="AK303" s="2" t="inlineStr">
        <is>
          <t>seq 3193 rename CHANGE; our addition: standard → Conversions (colour term "ivory satin sheet set queen")</t>
        </is>
      </c>
      <c r="AL303" s="22" t="n"/>
    </row>
    <row r="304">
      <c r="A304" s="2" t="inlineStr">
        <is>
          <t>367588417451911</t>
        </is>
      </c>
      <c r="B304" s="2" t="inlineStr">
        <is>
          <t>D-S4-SP-ivory satin sheet sets-(Satin)-LSV-Exact-Rank-DO-SATIN-IVORY-KING</t>
        </is>
      </c>
      <c r="C304" s="2" t="inlineStr">
        <is>
          <t>ivory satin sheet sets [exact]</t>
        </is>
      </c>
      <c r="D304" s="2" t="inlineStr">
        <is>
          <t>whole campaign</t>
        </is>
      </c>
      <c r="E304" s="2" t="inlineStr">
        <is>
          <t>ENABLED</t>
        </is>
      </c>
      <c r="F304" s="2" t="inlineStr">
        <is>
          <t>Ranking</t>
        </is>
      </c>
      <c r="G304" s="2" t="inlineStr">
        <is>
          <t>Conversions</t>
        </is>
      </c>
      <c r="H304" s="2" t="n"/>
      <c r="I304" s="2" t="inlineStr">
        <is>
          <t>Exact</t>
        </is>
      </c>
      <c r="J304" s="2" t="inlineStr">
        <is>
          <t>SATIN-IVORY-KING</t>
        </is>
      </c>
      <c r="K304" s="2" t="inlineStr">
        <is>
          <t>SATIN-IVORY-KING</t>
        </is>
      </c>
      <c r="L304" s="2" t="inlineStr">
        <is>
          <t>n/a (no target bid in audit)</t>
        </is>
      </c>
      <c r="M304" s="2" t="inlineStr">
        <is>
          <t>n/a</t>
        </is>
      </c>
      <c r="N304" s="2" t="n">
        <v>50</v>
      </c>
      <c r="O304" s="2" t="n">
        <v>50</v>
      </c>
      <c r="P304" s="21" t="n"/>
      <c r="Q304" s="21" t="n"/>
      <c r="R304" s="2" t="n"/>
      <c r="S304" s="2" t="n"/>
      <c r="T304" s="2" t="n"/>
      <c r="U304" s="2" t="n"/>
      <c r="V304" s="21" t="n">
        <v>5</v>
      </c>
      <c r="W304" s="21" t="n">
        <v>5</v>
      </c>
      <c r="X304" s="2" t="inlineStr">
        <is>
          <t>ENABLED</t>
        </is>
      </c>
      <c r="Y304" s="2" t="inlineStr">
        <is>
          <t>none</t>
        </is>
      </c>
      <c r="Z304" s="2" t="inlineStr">
        <is>
          <t>defer — engine name wrong ((Conversion)); load a corrected name after 28 Oct</t>
        </is>
      </c>
      <c r="AA304" s="21" t="n">
        <v>0</v>
      </c>
      <c r="AB304" s="2" t="n">
        <v>0</v>
      </c>
      <c r="AC304" s="2" t="n">
        <v>0</v>
      </c>
      <c r="AD304" s="2" t="n"/>
      <c r="AE304" s="2" t="n"/>
      <c r="AF304" s="2" t="n"/>
      <c r="AG304" s="2" t="n">
        <v>0</v>
      </c>
      <c r="AH304" s="2" t="inlineStr">
        <is>
          <t>Retag only</t>
        </is>
      </c>
      <c r="AI304" s="22" t="inlineStr">
        <is>
          <t>retag → Conversions</t>
        </is>
      </c>
      <c r="AJ304" s="22" t="inlineStr">
        <is>
          <t>Objective Ranking → Conversions by the standard (colour term "ivory satin sheet sets"); no clicks in CC 31 Aug–29 Sep.</t>
        </is>
      </c>
      <c r="AK304" s="2" t="inlineStr">
        <is>
          <t>seq 3233 rename CHANGE; our addition: standard → Conversions (colour term "ivory satin sheet sets")</t>
        </is>
      </c>
      <c r="AL304" s="22" t="n"/>
    </row>
    <row r="305">
      <c r="A305" s="2" t="inlineStr">
        <is>
          <t>137783519664714</t>
        </is>
      </c>
      <c r="B305" s="2" t="inlineStr">
        <is>
          <t>D-S4-SP-juego de sabana queen de satin-(Satin)-LSV-Exact-Rank-DO-SATIN-QUEEN-GREY</t>
        </is>
      </c>
      <c r="C305" s="2" t="inlineStr">
        <is>
          <t>juego de sabana queen de satin [exact, $1.90]; sabanas queen satin [exact, $1.90]; set de cama satin [exact, $1.90]</t>
        </is>
      </c>
      <c r="D305" s="2" t="inlineStr">
        <is>
          <t>whole campaign</t>
        </is>
      </c>
      <c r="E305" s="2" t="inlineStr">
        <is>
          <t>ENABLED</t>
        </is>
      </c>
      <c r="F305" s="2" t="inlineStr">
        <is>
          <t>Ranking</t>
        </is>
      </c>
      <c r="G305" s="2" t="inlineStr">
        <is>
          <t>Conversions</t>
        </is>
      </c>
      <c r="H305" s="2" t="inlineStr">
        <is>
          <t>OUT</t>
        </is>
      </c>
      <c r="I305" s="2" t="inlineStr">
        <is>
          <t>Exact</t>
        </is>
      </c>
      <c r="J305" s="2" t="inlineStr">
        <is>
          <t>SATIN-QUEEN-BLACK</t>
        </is>
      </c>
      <c r="K305" s="2" t="inlineStr">
        <is>
          <t>SATIN-QUEEN-BLACK</t>
        </is>
      </c>
      <c r="L305" s="2" t="inlineStr">
        <is>
          <t>$1.90 / $1.90 / $1.90</t>
        </is>
      </c>
      <c r="M305" s="2" t="inlineStr">
        <is>
          <t>$1.90 / $1.90 / $1.90</t>
        </is>
      </c>
      <c r="N305" s="2" t="n">
        <v>25</v>
      </c>
      <c r="O305" s="2" t="n">
        <v>25</v>
      </c>
      <c r="P305" s="21" t="n">
        <v>2.38</v>
      </c>
      <c r="Q305" s="21" t="n">
        <v>2.38</v>
      </c>
      <c r="R305" s="2" t="n">
        <v>0</v>
      </c>
      <c r="S305" s="2" t="n">
        <v>0</v>
      </c>
      <c r="T305" s="2" t="n">
        <v>0</v>
      </c>
      <c r="U305" s="2" t="n">
        <v>0</v>
      </c>
      <c r="V305" s="21" t="n">
        <v>1</v>
      </c>
      <c r="W305" s="21" t="n">
        <v>1</v>
      </c>
      <c r="X305" s="2" t="inlineStr">
        <is>
          <t>ENABLED</t>
        </is>
      </c>
      <c r="Y305" s="2" t="inlineStr">
        <is>
          <t>none</t>
        </is>
      </c>
      <c r="Z305" s="2" t="inlineStr">
        <is>
          <t>defer — engine name wrong (SKU token SATIN-QUEEN-BLACK; (Conversion)); load a corrected name after 28 Oct</t>
        </is>
      </c>
      <c r="AA305" s="21" t="n">
        <v>0</v>
      </c>
      <c r="AB305" s="2" t="n">
        <v>0</v>
      </c>
      <c r="AC305" s="2" t="n">
        <v>0</v>
      </c>
      <c r="AD305" s="2" t="n"/>
      <c r="AE305" s="2" t="n"/>
      <c r="AF305" s="2" t="n"/>
      <c r="AG305" s="2" t="n">
        <v>1</v>
      </c>
      <c r="AH305" s="2" t="inlineStr">
        <is>
          <t>Retag only</t>
        </is>
      </c>
      <c r="AI305" s="22" t="inlineStr">
        <is>
          <t>retag → Conversions</t>
        </is>
      </c>
      <c r="AJ305" s="22" t="inlineStr">
        <is>
          <t>Objective Ranking → Conversions by the standard (Spanish term "juego de sabana queen de satin"); no clicks in CC 31 Aug–29 Sep.</t>
        </is>
      </c>
      <c r="AK305" s="2" t="inlineStr">
        <is>
          <t>seq 1888 child: reject — keep SATIN-QUEEN-BLACK; seq 3088 rename CHANGE; our addition: standard → Conversions (Spanish term "juego de sabana queen de satin")</t>
        </is>
      </c>
      <c r="AL305" s="22" t="n"/>
    </row>
    <row r="306">
      <c r="A306" s="2" t="inlineStr">
        <is>
          <t>83275557470517</t>
        </is>
      </c>
      <c r="B306" s="2" t="inlineStr">
        <is>
          <t>D-S4-SP-juego de sabanas en satin queen-(Satin)-MSV-Exact-Rank-DO-SATIN-QUEEN-BLACK</t>
        </is>
      </c>
      <c r="C306" s="2" t="inlineStr">
        <is>
          <t>juego de sabanas en satin queen [exact]</t>
        </is>
      </c>
      <c r="D306" s="2" t="inlineStr">
        <is>
          <t>whole campaign</t>
        </is>
      </c>
      <c r="E306" s="2" t="inlineStr">
        <is>
          <t>ENABLED</t>
        </is>
      </c>
      <c r="F306" s="2" t="inlineStr">
        <is>
          <t>Ranking</t>
        </is>
      </c>
      <c r="G306" s="2" t="inlineStr">
        <is>
          <t>Conversions</t>
        </is>
      </c>
      <c r="H306" s="2" t="n"/>
      <c r="I306" s="2" t="inlineStr">
        <is>
          <t>Exact</t>
        </is>
      </c>
      <c r="J306" s="2" t="inlineStr">
        <is>
          <t>SATIN-QUEEN-BLACK</t>
        </is>
      </c>
      <c r="K306" s="2" t="inlineStr">
        <is>
          <t>SATIN-QUEEN-BLACK</t>
        </is>
      </c>
      <c r="L306" s="2" t="inlineStr">
        <is>
          <t>n/a (no target bid in audit)</t>
        </is>
      </c>
      <c r="M306" s="2" t="inlineStr">
        <is>
          <t>n/a</t>
        </is>
      </c>
      <c r="N306" s="2" t="n">
        <v>50</v>
      </c>
      <c r="O306" s="2" t="n">
        <v>50</v>
      </c>
      <c r="P306" s="21" t="n"/>
      <c r="Q306" s="21" t="n"/>
      <c r="R306" s="2" t="n"/>
      <c r="S306" s="2" t="n"/>
      <c r="T306" s="2" t="n"/>
      <c r="U306" s="2" t="n"/>
      <c r="V306" s="21" t="n">
        <v>10</v>
      </c>
      <c r="W306" s="21" t="n">
        <v>10</v>
      </c>
      <c r="X306" s="2" t="inlineStr">
        <is>
          <t>ENABLED</t>
        </is>
      </c>
      <c r="Y306" s="2" t="inlineStr">
        <is>
          <t>none</t>
        </is>
      </c>
      <c r="Z306" s="2" t="inlineStr">
        <is>
          <t>defer — engine name wrong (SKU token SATIN-QUEEN-BLACK; (Conversion)); load a corrected name after 28 Oct</t>
        </is>
      </c>
      <c r="AA306" s="21" t="n">
        <v>0</v>
      </c>
      <c r="AB306" s="2" t="n">
        <v>0</v>
      </c>
      <c r="AC306" s="2" t="n">
        <v>0</v>
      </c>
      <c r="AD306" s="2" t="n"/>
      <c r="AE306" s="2" t="n"/>
      <c r="AF306" s="2" t="n"/>
      <c r="AG306" s="2" t="n">
        <v>0</v>
      </c>
      <c r="AH306" s="2" t="inlineStr">
        <is>
          <t>Retag only</t>
        </is>
      </c>
      <c r="AI306" s="22" t="inlineStr">
        <is>
          <t>retag → Conversions</t>
        </is>
      </c>
      <c r="AJ306" s="22" t="inlineStr">
        <is>
          <t>Objective Ranking → Conversions by the standard (Spanish term "juego de sabanas en satin queen"); no clicks in CC 31 Aug–29 Sep.</t>
        </is>
      </c>
      <c r="AK306" s="2" t="inlineStr">
        <is>
          <t>seq 1962 child: reject — keep SATIN-QUEEN-BLACK; seq 3300 rename CHANGE; our addition: standard → Conversions (Spanish term "juego de sabanas en satin queen")</t>
        </is>
      </c>
      <c r="AL306" s="22" t="n"/>
    </row>
    <row r="307">
      <c r="A307" s="2" t="inlineStr">
        <is>
          <t>162830140596082</t>
        </is>
      </c>
      <c r="B307" s="2" t="inlineStr">
        <is>
          <t>D-S4-SP-king black satin sheets-(Satin)-MSV-Exact-Rank-DO-SATIN-4PC-KING-GREY</t>
        </is>
      </c>
      <c r="C307" s="2" t="inlineStr">
        <is>
          <t>king black satin sheets; king black silk sheets [exact]</t>
        </is>
      </c>
      <c r="D307" s="2" t="inlineStr">
        <is>
          <t>whole campaign</t>
        </is>
      </c>
      <c r="E307" s="2" t="inlineStr">
        <is>
          <t>ENABLED</t>
        </is>
      </c>
      <c r="F307" s="2" t="inlineStr">
        <is>
          <t>Ranking</t>
        </is>
      </c>
      <c r="G307" s="2" t="inlineStr">
        <is>
          <t>Conversions</t>
        </is>
      </c>
      <c r="H307" s="2" t="n"/>
      <c r="I307" s="2" t="inlineStr">
        <is>
          <t>Exact</t>
        </is>
      </c>
      <c r="J307" s="2" t="inlineStr">
        <is>
          <t>SATIN-4PC-KING-GREY</t>
        </is>
      </c>
      <c r="K307" s="2" t="inlineStr">
        <is>
          <t>SATIN-KING-BLACK</t>
        </is>
      </c>
      <c r="L307" s="2" t="inlineStr">
        <is>
          <t>n/a (no target bid in audit)</t>
        </is>
      </c>
      <c r="M307" s="2" t="inlineStr">
        <is>
          <t>n/a</t>
        </is>
      </c>
      <c r="N307" s="2" t="n">
        <v>100</v>
      </c>
      <c r="O307" s="2" t="n">
        <v>100</v>
      </c>
      <c r="P307" s="21" t="n"/>
      <c r="Q307" s="21" t="n"/>
      <c r="R307" s="2" t="n"/>
      <c r="S307" s="2" t="n"/>
      <c r="T307" s="2" t="n"/>
      <c r="U307" s="2" t="n"/>
      <c r="V307" s="21" t="n">
        <v>10</v>
      </c>
      <c r="W307" s="21" t="n">
        <v>10</v>
      </c>
      <c r="X307" s="2" t="inlineStr">
        <is>
          <t>ENABLED</t>
        </is>
      </c>
      <c r="Y307" s="2" t="inlineStr">
        <is>
          <t>none</t>
        </is>
      </c>
      <c r="Z307" s="2" t="inlineStr">
        <is>
          <t>defer — engine name wrong ((Conversion); flag); load a corrected name after 28 Oct</t>
        </is>
      </c>
      <c r="AA307" s="21" t="n">
        <v>0</v>
      </c>
      <c r="AB307" s="2" t="n">
        <v>0</v>
      </c>
      <c r="AC307" s="2" t="n">
        <v>0</v>
      </c>
      <c r="AD307" s="2" t="n"/>
      <c r="AE307" s="2" t="n"/>
      <c r="AF307" s="2" t="n"/>
      <c r="AG307" s="2" t="n">
        <v>0</v>
      </c>
      <c r="AH307" s="2" t="inlineStr">
        <is>
          <t>Child swap</t>
        </is>
      </c>
      <c r="AI307" s="22" t="inlineStr">
        <is>
          <t>Swap child to SATIN-KING-BLACK; retag → Conversions</t>
        </is>
      </c>
      <c r="AJ307" s="22" t="inlineStr">
        <is>
          <t>Black-colour King term advertises King Grey; King Black has 1,385 units (SB 29 Sep).</t>
        </is>
      </c>
      <c r="AK307" s="2" t="inlineStr">
        <is>
          <t>seq 3107 rename CHANGE; our addition (corrections §5 / reviewer C A4); our addition: standard → Conversions (colour term "king black satin sheets")</t>
        </is>
      </c>
      <c r="AL307" s="22" t="n"/>
    </row>
    <row r="308">
      <c r="A308" s="2" t="inlineStr">
        <is>
          <t>224506672047031</t>
        </is>
      </c>
      <c r="B308" s="2" t="inlineStr">
        <is>
          <t>D-S4-SP-king grey silk sheets-(Silk)-HSV-Exact-Rank-DO-SATIN-4PC-KING-GREY</t>
        </is>
      </c>
      <c r="C308" s="2" t="inlineStr">
        <is>
          <t>king gray silk sheets; king grey silk sheets [exact]</t>
        </is>
      </c>
      <c r="D308" s="2" t="inlineStr">
        <is>
          <t>whole campaign</t>
        </is>
      </c>
      <c r="E308" s="2" t="inlineStr">
        <is>
          <t>ENABLED</t>
        </is>
      </c>
      <c r="F308" s="2" t="inlineStr">
        <is>
          <t>Ranking</t>
        </is>
      </c>
      <c r="G308" s="2" t="inlineStr">
        <is>
          <t>Conversions</t>
        </is>
      </c>
      <c r="H308" s="2" t="n"/>
      <c r="I308" s="2" t="inlineStr">
        <is>
          <t>Exact</t>
        </is>
      </c>
      <c r="J308" s="2" t="inlineStr">
        <is>
          <t>SATIN-4PC-KING-GREY</t>
        </is>
      </c>
      <c r="K308" s="2" t="inlineStr">
        <is>
          <t>SATIN-4PC-KING-GREY</t>
        </is>
      </c>
      <c r="L308" s="2" t="inlineStr">
        <is>
          <t>n/a (no target bid in audit)</t>
        </is>
      </c>
      <c r="M308" s="2" t="inlineStr">
        <is>
          <t>n/a</t>
        </is>
      </c>
      <c r="N308" s="2" t="n">
        <v>0</v>
      </c>
      <c r="O308" s="2" t="n">
        <v>0</v>
      </c>
      <c r="P308" s="21" t="n"/>
      <c r="Q308" s="21" t="n"/>
      <c r="R308" s="2" t="n"/>
      <c r="S308" s="2" t="n"/>
      <c r="T308" s="2" t="n"/>
      <c r="U308" s="2" t="n"/>
      <c r="V308" s="21" t="n">
        <v>89.52</v>
      </c>
      <c r="W308" s="21" t="n">
        <v>89.52</v>
      </c>
      <c r="X308" s="2" t="inlineStr">
        <is>
          <t>ENABLED</t>
        </is>
      </c>
      <c r="Y308" s="2" t="inlineStr">
        <is>
          <t>none</t>
        </is>
      </c>
      <c r="Z308" s="2" t="inlineStr">
        <is>
          <t>defer — engine name wrong ((Conversion)); load a corrected name after 28 Oct</t>
        </is>
      </c>
      <c r="AA308" s="21" t="n">
        <v>0</v>
      </c>
      <c r="AB308" s="2" t="n">
        <v>0</v>
      </c>
      <c r="AC308" s="2" t="n">
        <v>0</v>
      </c>
      <c r="AD308" s="2" t="n"/>
      <c r="AE308" s="2" t="n"/>
      <c r="AF308" s="2" t="n"/>
      <c r="AG308" s="2" t="n">
        <v>0</v>
      </c>
      <c r="AH308" s="2" t="inlineStr">
        <is>
          <t>Retag only</t>
        </is>
      </c>
      <c r="AI308" s="22" t="inlineStr">
        <is>
          <t>retag → Conversions</t>
        </is>
      </c>
      <c r="AJ308" s="22" t="inlineStr">
        <is>
          <t>Objective Ranking → Conversions by the standard (colour term "king grey silk sheets"); no clicks in CC 31 Aug–29 Sep.</t>
        </is>
      </c>
      <c r="AK308" s="2" t="inlineStr">
        <is>
          <t>seq 3166 rename CHANGE; our addition: standard → Conversions (colour term "king grey silk sheets")</t>
        </is>
      </c>
      <c r="AL308" s="22" t="n"/>
    </row>
    <row r="309">
      <c r="A309" s="2" t="inlineStr">
        <is>
          <t>390038141407491</t>
        </is>
      </c>
      <c r="B309" s="2" t="inlineStr">
        <is>
          <t>D-S4-SP-king satin sheets deep pocket fitted-(Satin)-MSV-Exact-Rank-DO-SATIN-KING-BLACK</t>
        </is>
      </c>
      <c r="C309" s="2" t="inlineStr">
        <is>
          <t>king satin sheets deep pocket fitted [exact, $1.90]</t>
        </is>
      </c>
      <c r="D309" s="2" t="inlineStr">
        <is>
          <t>whole campaign</t>
        </is>
      </c>
      <c r="E309" s="2" t="inlineStr">
        <is>
          <t>ENABLED</t>
        </is>
      </c>
      <c r="F309" s="2" t="inlineStr">
        <is>
          <t>Ranking</t>
        </is>
      </c>
      <c r="G309" s="2" t="inlineStr">
        <is>
          <t>Ranking</t>
        </is>
      </c>
      <c r="H309" s="2" t="inlineStr">
        <is>
          <t>OUT</t>
        </is>
      </c>
      <c r="I309" s="2" t="inlineStr">
        <is>
          <t>Exact</t>
        </is>
      </c>
      <c r="J309" s="2" t="inlineStr">
        <is>
          <t>SATIN-4PC-KING-GREY</t>
        </is>
      </c>
      <c r="K309" s="2" t="inlineStr">
        <is>
          <t>SATIN-4PC-KING-GREY</t>
        </is>
      </c>
      <c r="L309" s="2" t="inlineStr">
        <is>
          <t>$1.90</t>
        </is>
      </c>
      <c r="M309" s="2" t="inlineStr">
        <is>
          <t>$1.90</t>
        </is>
      </c>
      <c r="N309" s="2" t="n">
        <v>75</v>
      </c>
      <c r="O309" s="2" t="n">
        <v>75</v>
      </c>
      <c r="P309" s="21" t="n">
        <v>3.32</v>
      </c>
      <c r="Q309" s="21" t="n">
        <v>3.32</v>
      </c>
      <c r="R309" s="2" t="n">
        <v>0</v>
      </c>
      <c r="S309" s="2" t="n">
        <v>0</v>
      </c>
      <c r="T309" s="2" t="n">
        <v>0</v>
      </c>
      <c r="U309" s="2" t="n">
        <v>0</v>
      </c>
      <c r="V309" s="21" t="n">
        <v>10</v>
      </c>
      <c r="W309" s="21" t="n">
        <v>10</v>
      </c>
      <c r="X309" s="2" t="inlineStr">
        <is>
          <t>ENABLED</t>
        </is>
      </c>
      <c r="Y309" s="2" t="inlineStr">
        <is>
          <t>none</t>
        </is>
      </c>
      <c r="Z309" s="2" t="inlineStr">
        <is>
          <t>load (clean): DSS4-SP-King Satin Sheets Deep Pocket Fitted-(VLSV)-Exact-(Ranking)-DO-SATIN-4PC-KING-GREY</t>
        </is>
      </c>
      <c r="AA309" s="21" t="n">
        <v>0</v>
      </c>
      <c r="AB309" s="2" t="n">
        <v>0</v>
      </c>
      <c r="AC309" s="2" t="n">
        <v>0</v>
      </c>
      <c r="AD309" s="2" t="n"/>
      <c r="AE309" s="2" t="n"/>
      <c r="AF309" s="2" t="n"/>
      <c r="AG309" s="2" t="n">
        <v>0</v>
      </c>
      <c r="AH309" s="2" t="inlineStr">
        <is>
          <t>Rename only</t>
        </is>
      </c>
      <c r="AI309" s="22" t="inlineStr">
        <is>
          <t>Load rename only</t>
        </is>
      </c>
      <c r="AJ309" s="22" t="inlineStr">
        <is>
          <t>Clean rename (SKU token and objective match what the campaign advertises); no clicks in CC 31 Aug–29 Sep.</t>
        </is>
      </c>
      <c r="AK309" s="2" t="inlineStr">
        <is>
          <t>seq 3237 rename LOAD</t>
        </is>
      </c>
      <c r="AL309" s="22" t="n"/>
    </row>
    <row r="310">
      <c r="A310" s="2" t="inlineStr">
        <is>
          <t>125448794552367</t>
        </is>
      </c>
      <c r="B310" s="2" t="inlineStr">
        <is>
          <t>D-S4-SP-king size blue silk sheets-(Silk)-VLSV-Exact-Rank-DO-SATIN-KING-BLACK</t>
        </is>
      </c>
      <c r="C310" s="2" t="inlineStr">
        <is>
          <t>king size blue silk sheets [exact]</t>
        </is>
      </c>
      <c r="D310" s="2" t="inlineStr">
        <is>
          <t>whole campaign</t>
        </is>
      </c>
      <c r="E310" s="2" t="inlineStr">
        <is>
          <t>ENABLED</t>
        </is>
      </c>
      <c r="F310" s="2" t="inlineStr">
        <is>
          <t>Ranking</t>
        </is>
      </c>
      <c r="G310" s="2" t="inlineStr">
        <is>
          <t>Conversions</t>
        </is>
      </c>
      <c r="H310" s="2" t="n"/>
      <c r="I310" s="2" t="inlineStr">
        <is>
          <t>Exact</t>
        </is>
      </c>
      <c r="J310" s="2" t="inlineStr">
        <is>
          <t>SATIN-4PC-KING-GREY</t>
        </is>
      </c>
      <c r="K310" s="2" t="inlineStr">
        <is>
          <t>SATIN-4PC-KING-GREY</t>
        </is>
      </c>
      <c r="L310" s="2" t="inlineStr">
        <is>
          <t>n/a (no target bid in audit)</t>
        </is>
      </c>
      <c r="M310" s="2" t="inlineStr">
        <is>
          <t>n/a</t>
        </is>
      </c>
      <c r="N310" s="2" t="n">
        <v>50</v>
      </c>
      <c r="O310" s="2" t="n">
        <v>50</v>
      </c>
      <c r="P310" s="21" t="n"/>
      <c r="Q310" s="21" t="n"/>
      <c r="R310" s="2" t="n"/>
      <c r="S310" s="2" t="n"/>
      <c r="T310" s="2" t="n"/>
      <c r="U310" s="2" t="n"/>
      <c r="V310" s="21" t="n">
        <v>10</v>
      </c>
      <c r="W310" s="21" t="n">
        <v>10</v>
      </c>
      <c r="X310" s="2" t="inlineStr">
        <is>
          <t>ENABLED</t>
        </is>
      </c>
      <c r="Y310" s="2" t="inlineStr">
        <is>
          <t>none</t>
        </is>
      </c>
      <c r="Z310" s="2" t="inlineStr">
        <is>
          <t>defer — engine name wrong ((Conversion); flag); load a corrected name after 28 Oct</t>
        </is>
      </c>
      <c r="AA310" s="21" t="n">
        <v>0</v>
      </c>
      <c r="AB310" s="2" t="n">
        <v>0</v>
      </c>
      <c r="AC310" s="2" t="n">
        <v>0</v>
      </c>
      <c r="AD310" s="2" t="n"/>
      <c r="AE310" s="2" t="n"/>
      <c r="AF310" s="2" t="n"/>
      <c r="AG310" s="2" t="n">
        <v>0</v>
      </c>
      <c r="AH310" s="2" t="inlineStr">
        <is>
          <t>Retag only</t>
        </is>
      </c>
      <c r="AI310" s="22" t="inlineStr">
        <is>
          <t>retag → Conversions</t>
        </is>
      </c>
      <c r="AJ310" s="22" t="inlineStr">
        <is>
          <t>Objective Ranking → Conversions by the standard (colour term "king size blue silk sheets"); no clicks in CC 31 Aug–29 Sep.</t>
        </is>
      </c>
      <c r="AK310" s="2" t="inlineStr">
        <is>
          <t>seq 3080 rename CHANGE; our addition: standard → Conversions (colour term "king size blue silk sheets")</t>
        </is>
      </c>
      <c r="AL310" s="22" t="n"/>
    </row>
    <row r="311">
      <c r="A311" s="2" t="inlineStr">
        <is>
          <t>217177906292806</t>
        </is>
      </c>
      <c r="B311" s="2" t="inlineStr">
        <is>
          <t>D-S4-SP-king size satin sheets with elastic-(Satin)-HSV-Exact-Rank-DO-SATIN-RED-QUEEN</t>
        </is>
      </c>
      <c r="C311" s="2" t="inlineStr">
        <is>
          <t>king size red silk sheets set [exact, $1.90]; king size satin sheets with elastic [exact, $1.90]; king size sheets set silk [exact, paused, $1.32]; satin king size sheets [exact, paused, $1.29]; satin non sweaty king sheets [exact, $1.90]; king satin sheet set made in usa [exact, $1.90]</t>
        </is>
      </c>
      <c r="D311" s="2" t="inlineStr">
        <is>
          <t>king size red silk sheets set</t>
        </is>
      </c>
      <c r="E311" s="2" t="inlineStr">
        <is>
          <t>ENABLED</t>
        </is>
      </c>
      <c r="F311" s="2" t="inlineStr">
        <is>
          <t>Ranking</t>
        </is>
      </c>
      <c r="G311" s="2" t="inlineStr">
        <is>
          <t>Ranking</t>
        </is>
      </c>
      <c r="H311" s="2" t="inlineStr">
        <is>
          <t>Satin|King</t>
        </is>
      </c>
      <c r="I311" s="2" t="inlineStr">
        <is>
          <t>Exact</t>
        </is>
      </c>
      <c r="J311" s="2" t="inlineStr">
        <is>
          <t>SATIN-4PC-KING-GREY</t>
        </is>
      </c>
      <c r="K311" s="2" t="inlineStr">
        <is>
          <t>SATIN-4PC-KING-GREY</t>
        </is>
      </c>
      <c r="L311" s="2" t="inlineStr">
        <is>
          <t>$1.90 / $1.90 / $1.90 / $1.90</t>
        </is>
      </c>
      <c r="M311" s="2" t="inlineStr">
        <is>
          <t>$1.90 / $1.90 / $1.90 / $1.90</t>
        </is>
      </c>
      <c r="N311" s="2" t="n">
        <v>50</v>
      </c>
      <c r="O311" s="2" t="n">
        <v>50</v>
      </c>
      <c r="P311" s="21" t="n">
        <v>2.85</v>
      </c>
      <c r="Q311" s="21" t="n">
        <v>2.85</v>
      </c>
      <c r="R311" s="2" t="n">
        <v>0</v>
      </c>
      <c r="S311" s="2" t="n">
        <v>0</v>
      </c>
      <c r="T311" s="2" t="n">
        <v>0</v>
      </c>
      <c r="U311" s="2" t="n">
        <v>0</v>
      </c>
      <c r="V311" s="21" t="n">
        <v>10</v>
      </c>
      <c r="W311" s="21" t="n">
        <v>10</v>
      </c>
      <c r="X311" s="2" t="inlineStr">
        <is>
          <t>ENABLED</t>
        </is>
      </c>
      <c r="Y311" s="2" t="inlineStr">
        <is>
          <t>none</t>
        </is>
      </c>
      <c r="Z311" s="2" t="inlineStr">
        <is>
          <t>defer — engine name wrong ((Conversion); flag); load a corrected name after 28 Oct</t>
        </is>
      </c>
      <c r="AA311" s="21" t="n">
        <v>0</v>
      </c>
      <c r="AB311" s="2" t="n">
        <v>0</v>
      </c>
      <c r="AC311" s="2" t="n">
        <v>0</v>
      </c>
      <c r="AD311" s="2" t="n"/>
      <c r="AE311" s="2" t="n"/>
      <c r="AF311" s="2" t="n"/>
      <c r="AG311" s="2" t="n">
        <v>0</v>
      </c>
      <c r="AH311" s="2" t="inlineStr">
        <is>
          <t>Reject pause</t>
        </is>
      </c>
      <c r="AI311" s="22" t="inlineStr">
        <is>
          <t>Keep target "king size red silk sheets set" enabled; serve it with SATIN-4PCS-KING-RED in its own ad group (the campaign's other 3 target(s) stay on SATIN-4PC-KING-GREY) (reject pause seq 2055)</t>
        </is>
      </c>
      <c r="AJ311" s="22" t="inlineStr">
        <is>
          <t>The engine reads legacy SKUs SATIN-RED-KING, SATIN-WHITE-KING and SATIN-KING-GREY as out of stock.</t>
        </is>
      </c>
      <c r="AK311" s="2" t="inlineStr">
        <is>
          <t>seq 2055 state: correct: re-point to the live colour child instead of pausin…; seq 3160 rename CHANGE</t>
        </is>
      </c>
      <c r="AL311" s="22" t="n"/>
    </row>
    <row r="312">
      <c r="A312" s="2" t="inlineStr">
        <is>
          <t>238090429367280</t>
        </is>
      </c>
      <c r="B312" s="2" t="inlineStr">
        <is>
          <t>D-S4-SP-king size silk sheets set white-(Silk)-VLSV-Exact-Rank-DO-SATIN-WHITE-QUEEN</t>
        </is>
      </c>
      <c r="C312" s="2" t="inlineStr">
        <is>
          <t>king size silk sheets set white [exact]</t>
        </is>
      </c>
      <c r="D312" s="2" t="inlineStr">
        <is>
          <t>whole campaign</t>
        </is>
      </c>
      <c r="E312" s="2" t="inlineStr">
        <is>
          <t>ENABLED</t>
        </is>
      </c>
      <c r="F312" s="2" t="inlineStr">
        <is>
          <t>Ranking</t>
        </is>
      </c>
      <c r="G312" s="2" t="inlineStr">
        <is>
          <t>Conversions</t>
        </is>
      </c>
      <c r="H312" s="2" t="n"/>
      <c r="I312" s="2" t="inlineStr">
        <is>
          <t>Exact</t>
        </is>
      </c>
      <c r="J312" s="2" t="inlineStr">
        <is>
          <t>SATIN-4PC-KING-GREY</t>
        </is>
      </c>
      <c r="K312" s="2" t="inlineStr">
        <is>
          <t>SATIN-4PC-KING-GREY</t>
        </is>
      </c>
      <c r="L312" s="2" t="inlineStr">
        <is>
          <t>n/a (no target bid in audit)</t>
        </is>
      </c>
      <c r="M312" s="2" t="inlineStr">
        <is>
          <t>n/a</t>
        </is>
      </c>
      <c r="N312" s="2" t="n">
        <v>50</v>
      </c>
      <c r="O312" s="2" t="n">
        <v>50</v>
      </c>
      <c r="P312" s="21" t="n"/>
      <c r="Q312" s="21" t="n"/>
      <c r="R312" s="2" t="n"/>
      <c r="S312" s="2" t="n"/>
      <c r="T312" s="2" t="n"/>
      <c r="U312" s="2" t="n"/>
      <c r="V312" s="21" t="n">
        <v>10</v>
      </c>
      <c r="W312" s="21" t="n">
        <v>10</v>
      </c>
      <c r="X312" s="2" t="inlineStr">
        <is>
          <t>ENABLED</t>
        </is>
      </c>
      <c r="Y312" s="2" t="inlineStr">
        <is>
          <t>none</t>
        </is>
      </c>
      <c r="Z312" s="2" t="inlineStr">
        <is>
          <t>defer — engine name wrong ((Conversion); flag); load a corrected name after 28 Oct</t>
        </is>
      </c>
      <c r="AA312" s="21" t="n">
        <v>0</v>
      </c>
      <c r="AB312" s="2" t="n">
        <v>0</v>
      </c>
      <c r="AC312" s="2" t="n">
        <v>0</v>
      </c>
      <c r="AD312" s="2" t="n"/>
      <c r="AE312" s="2" t="n"/>
      <c r="AF312" s="2" t="n"/>
      <c r="AG312" s="2" t="n">
        <v>0</v>
      </c>
      <c r="AH312" s="2" t="inlineStr">
        <is>
          <t>Retag only</t>
        </is>
      </c>
      <c r="AI312" s="22" t="inlineStr">
        <is>
          <t>retag → Conversions</t>
        </is>
      </c>
      <c r="AJ312" s="22" t="inlineStr">
        <is>
          <t>Objective Ranking → Conversions by the standard (colour term "king size silk sheets set white"); no clicks in CC 31 Aug–29 Sep.</t>
        </is>
      </c>
      <c r="AK312" s="2" t="inlineStr">
        <is>
          <t>seq 3181 rename CHANGE; our addition: standard → Conversions (colour term "king size silk sheets set white")</t>
        </is>
      </c>
      <c r="AL312" s="22" t="n"/>
    </row>
    <row r="313">
      <c r="A313" s="2" t="inlineStr">
        <is>
          <t>73455171382506</t>
        </is>
      </c>
      <c r="B313" s="2" t="inlineStr">
        <is>
          <t>D-S4-SP-king size silk white sheets-(Silk)-MSV-Exact-Rank-DO-SATIN-KING-BLACK</t>
        </is>
      </c>
      <c r="C313" s="2" t="inlineStr">
        <is>
          <t>king size silk white sheets; king size white sheets silk [exact]</t>
        </is>
      </c>
      <c r="D313" s="2" t="inlineStr">
        <is>
          <t>king size white sheets silk</t>
        </is>
      </c>
      <c r="E313" s="2" t="inlineStr">
        <is>
          <t>ENABLED</t>
        </is>
      </c>
      <c r="F313" s="2" t="inlineStr">
        <is>
          <t>Ranking</t>
        </is>
      </c>
      <c r="G313" s="2" t="inlineStr">
        <is>
          <t>Conversions</t>
        </is>
      </c>
      <c r="H313" s="2" t="n"/>
      <c r="I313" s="2" t="inlineStr">
        <is>
          <t>Exact</t>
        </is>
      </c>
      <c r="J313" s="2" t="inlineStr">
        <is>
          <t>SATIN-4PC-KING-GREY</t>
        </is>
      </c>
      <c r="K313" s="2" t="inlineStr">
        <is>
          <t>SATIN-4PC-KING-GREY</t>
        </is>
      </c>
      <c r="L313" s="2" t="inlineStr">
        <is>
          <t>n/a (no target bid in audit)</t>
        </is>
      </c>
      <c r="M313" s="2" t="inlineStr">
        <is>
          <t>n/a</t>
        </is>
      </c>
      <c r="N313" s="2" t="n">
        <v>20</v>
      </c>
      <c r="O313" s="2" t="n">
        <v>20</v>
      </c>
      <c r="P313" s="21" t="n"/>
      <c r="Q313" s="21" t="n"/>
      <c r="R313" s="2" t="n"/>
      <c r="S313" s="2" t="n"/>
      <c r="T313" s="2" t="n"/>
      <c r="U313" s="2" t="n"/>
      <c r="V313" s="21" t="n">
        <v>10</v>
      </c>
      <c r="W313" s="21" t="n">
        <v>10</v>
      </c>
      <c r="X313" s="2" t="inlineStr">
        <is>
          <t>ENABLED</t>
        </is>
      </c>
      <c r="Y313" s="2" t="inlineStr">
        <is>
          <t>none</t>
        </is>
      </c>
      <c r="Z313" s="2" t="inlineStr">
        <is>
          <t>defer — engine name wrong ((Conversion); flag); load a corrected name after 28 Oct</t>
        </is>
      </c>
      <c r="AA313" s="21" t="n">
        <v>0</v>
      </c>
      <c r="AB313" s="2" t="n">
        <v>0</v>
      </c>
      <c r="AC313" s="2" t="n">
        <v>0</v>
      </c>
      <c r="AD313" s="2" t="n"/>
      <c r="AE313" s="2" t="n"/>
      <c r="AF313" s="2" t="n"/>
      <c r="AG313" s="2" t="n">
        <v>0</v>
      </c>
      <c r="AH313" s="2" t="inlineStr">
        <is>
          <t>Reject pause</t>
        </is>
      </c>
      <c r="AI313" s="22" t="inlineStr">
        <is>
          <t>Keep target "king size white sheets silk" enabled; serve it with SATIN-4PC-WHITE-KING in its own ad group (the campaign's other 1 target(s) stay on SATIN-4PC-KING-GREY) (reject pause seq 2067); retag → Conversions</t>
        </is>
      </c>
      <c r="AJ313" s="22" t="inlineStr">
        <is>
          <t>The engine reads legacy SKUs SATIN-RED-KING, SATIN-WHITE-KING and SATIN-KING-GREY as out of stock.</t>
        </is>
      </c>
      <c r="AK313" s="2" t="inlineStr">
        <is>
          <t>seq 2067 state: correct: re-point to the live colour child instead of pausin…; seq 3290 rename CHANGE; our addition: standard → Conversions (colour term "king size silk white sheets")</t>
        </is>
      </c>
      <c r="AL313" s="22" t="n"/>
    </row>
    <row r="314">
      <c r="A314" s="2" t="inlineStr">
        <is>
          <t>86565463115208</t>
        </is>
      </c>
      <c r="B314" s="2" t="inlineStr">
        <is>
          <t>D-S4-SP-light purple satin sheets queen-(Satin)-LSV-Exact-Rank-DO-SATIN-QUEEN-PURPLE</t>
        </is>
      </c>
      <c r="C314" s="2" t="inlineStr">
        <is>
          <t>light purple satin sheets queen [exact, $0.50]; purple satin sheets queen [exact, paused, $2.55]</t>
        </is>
      </c>
      <c r="D314" s="2" t="inlineStr">
        <is>
          <t>whole campaign</t>
        </is>
      </c>
      <c r="E314" s="2" t="inlineStr">
        <is>
          <t>ENABLED</t>
        </is>
      </c>
      <c r="F314" s="2" t="inlineStr">
        <is>
          <t>Ranking</t>
        </is>
      </c>
      <c r="G314" s="2" t="inlineStr">
        <is>
          <t>Conversions</t>
        </is>
      </c>
      <c r="H314" s="2" t="inlineStr">
        <is>
          <t>OUT</t>
        </is>
      </c>
      <c r="I314" s="2" t="inlineStr">
        <is>
          <t>Exact</t>
        </is>
      </c>
      <c r="J314" s="2" t="inlineStr">
        <is>
          <t>SATIN-QUEEN-PURPLE</t>
        </is>
      </c>
      <c r="K314" s="2" t="inlineStr">
        <is>
          <t>SATIN-QUEEN-PURPLE</t>
        </is>
      </c>
      <c r="L314" s="2" t="inlineStr">
        <is>
          <t>$0.50</t>
        </is>
      </c>
      <c r="M314" s="2" t="inlineStr">
        <is>
          <t>$0.50</t>
        </is>
      </c>
      <c r="N314" s="2" t="n">
        <v>50</v>
      </c>
      <c r="O314" s="2" t="n">
        <v>50</v>
      </c>
      <c r="P314" s="21" t="n">
        <v>0.75</v>
      </c>
      <c r="Q314" s="21" t="n">
        <v>0.75</v>
      </c>
      <c r="R314" s="2" t="n">
        <v>0</v>
      </c>
      <c r="S314" s="2" t="n">
        <v>0</v>
      </c>
      <c r="T314" s="2" t="n">
        <v>0</v>
      </c>
      <c r="U314" s="2" t="n">
        <v>0</v>
      </c>
      <c r="V314" s="21" t="n">
        <v>30</v>
      </c>
      <c r="W314" s="21" t="n">
        <v>30</v>
      </c>
      <c r="X314" s="2" t="inlineStr">
        <is>
          <t>ENABLED</t>
        </is>
      </c>
      <c r="Y314" s="2" t="inlineStr">
        <is>
          <t>none</t>
        </is>
      </c>
      <c r="Z314" s="2" t="inlineStr">
        <is>
          <t>defer — engine name wrong ((Conversion)); load a corrected name after 28 Oct</t>
        </is>
      </c>
      <c r="AA314" s="21" t="n">
        <v>0</v>
      </c>
      <c r="AB314" s="2" t="n">
        <v>0</v>
      </c>
      <c r="AC314" s="2" t="n">
        <v>0</v>
      </c>
      <c r="AD314" s="2" t="n"/>
      <c r="AE314" s="2" t="n"/>
      <c r="AF314" s="2" t="n"/>
      <c r="AG314" s="2" t="n">
        <v>0</v>
      </c>
      <c r="AH314" s="2" t="inlineStr">
        <is>
          <t>Retag only</t>
        </is>
      </c>
      <c r="AI314" s="22" t="inlineStr">
        <is>
          <t>retag → Conversions</t>
        </is>
      </c>
      <c r="AJ314" s="22" t="inlineStr">
        <is>
          <t>Objective Ranking → Conversions by the standard (colour term "light purple satin sheets queen"); no clicks in CC 31 Aug–29 Sep.</t>
        </is>
      </c>
      <c r="AK314" s="2" t="inlineStr">
        <is>
          <t>seq 3307 rename CHANGE; our addition: standard → Conversions (colour term "light purple satin sheets queen")</t>
        </is>
      </c>
      <c r="AL314" s="22" t="n"/>
    </row>
    <row r="315">
      <c r="A315" s="2" t="inlineStr">
        <is>
          <t>461394730824545</t>
        </is>
      </c>
      <c r="B315" s="2" t="inlineStr">
        <is>
          <t>D-S4-SP-pink silk sheets full size bed set-(Silk)-LSV-Exact-Rank-DO-TF-XHNL-B3YJ</t>
        </is>
      </c>
      <c r="C315" s="2" t="inlineStr">
        <is>
          <t>pink silk sheets full size bed set [exact, $1.90]</t>
        </is>
      </c>
      <c r="D315" s="2" t="inlineStr">
        <is>
          <t>whole campaign</t>
        </is>
      </c>
      <c r="E315" s="2" t="inlineStr">
        <is>
          <t>ENABLED</t>
        </is>
      </c>
      <c r="F315" s="2" t="inlineStr">
        <is>
          <t>Ranking</t>
        </is>
      </c>
      <c r="G315" s="2" t="inlineStr">
        <is>
          <t>Conversions</t>
        </is>
      </c>
      <c r="H315" s="2" t="inlineStr">
        <is>
          <t>OUT</t>
        </is>
      </c>
      <c r="I315" s="2" t="inlineStr">
        <is>
          <t>Exact</t>
        </is>
      </c>
      <c r="J315" s="2" t="inlineStr">
        <is>
          <t>SATIN-FULL-PINK</t>
        </is>
      </c>
      <c r="K315" s="2" t="inlineStr">
        <is>
          <t>SATIN-FULL-PINK</t>
        </is>
      </c>
      <c r="L315" s="2" t="inlineStr">
        <is>
          <t>$1.90</t>
        </is>
      </c>
      <c r="M315" s="2" t="inlineStr">
        <is>
          <t>$1.90</t>
        </is>
      </c>
      <c r="N315" s="2" t="n">
        <v>0</v>
      </c>
      <c r="O315" s="2" t="n">
        <v>0</v>
      </c>
      <c r="P315" s="21" t="n">
        <v>1.9</v>
      </c>
      <c r="Q315" s="21" t="n">
        <v>1.9</v>
      </c>
      <c r="R315" s="2" t="n">
        <v>0</v>
      </c>
      <c r="S315" s="2" t="n">
        <v>0</v>
      </c>
      <c r="T315" s="2" t="n">
        <v>0</v>
      </c>
      <c r="U315" s="2" t="n">
        <v>0</v>
      </c>
      <c r="V315" s="21" t="n">
        <v>5</v>
      </c>
      <c r="W315" s="21" t="n">
        <v>5</v>
      </c>
      <c r="X315" s="2" t="inlineStr">
        <is>
          <t>ENABLED</t>
        </is>
      </c>
      <c r="Y315" s="2" t="inlineStr">
        <is>
          <t>none</t>
        </is>
      </c>
      <c r="Z315" s="2" t="inlineStr">
        <is>
          <t>defer — engine name wrong ((Conversion)); load a corrected name after 28 Oct</t>
        </is>
      </c>
      <c r="AA315" s="21" t="n">
        <v>0</v>
      </c>
      <c r="AB315" s="2" t="n">
        <v>0</v>
      </c>
      <c r="AC315" s="2" t="n">
        <v>0</v>
      </c>
      <c r="AD315" s="2" t="n"/>
      <c r="AE315" s="2" t="n"/>
      <c r="AF315" s="2" t="n"/>
      <c r="AG315" s="2" t="n">
        <v>0</v>
      </c>
      <c r="AH315" s="2" t="inlineStr">
        <is>
          <t>Retag only</t>
        </is>
      </c>
      <c r="AI315" s="22" t="inlineStr">
        <is>
          <t>retag → Conversions</t>
        </is>
      </c>
      <c r="AJ315" s="22" t="inlineStr">
        <is>
          <t>Objective Ranking → Conversions by the standard (colour term "pink silk sheets full size bed set"); no clicks in CC 31 Aug–29 Sep.</t>
        </is>
      </c>
      <c r="AK315" s="2" t="inlineStr">
        <is>
          <t>seq 3254 rename CHANGE; our addition: standard → Conversions (colour term "pink silk sheets full size bed set")</t>
        </is>
      </c>
      <c r="AL315" s="22" t="n"/>
    </row>
    <row r="316">
      <c r="A316" s="2" t="inlineStr">
        <is>
          <t>385950714021158</t>
        </is>
      </c>
      <c r="B316" s="2" t="inlineStr">
        <is>
          <t>D-S4-SP-purple sheet set queen satin-(Satin)-LSV-Exact-Rank-DO-SATIN-ROSEWOOD-KING</t>
        </is>
      </c>
      <c r="C316" s="2" t="inlineStr">
        <is>
          <t>purple sheet set queen satin [exact, $1.91]</t>
        </is>
      </c>
      <c r="D316" s="2" t="inlineStr">
        <is>
          <t>whole campaign</t>
        </is>
      </c>
      <c r="E316" s="2" t="inlineStr">
        <is>
          <t>ENABLED</t>
        </is>
      </c>
      <c r="F316" s="2" t="inlineStr">
        <is>
          <t>Ranking</t>
        </is>
      </c>
      <c r="G316" s="2" t="inlineStr">
        <is>
          <t>Conversions</t>
        </is>
      </c>
      <c r="H316" s="2" t="inlineStr">
        <is>
          <t>OUT</t>
        </is>
      </c>
      <c r="I316" s="2" t="inlineStr">
        <is>
          <t>Exact</t>
        </is>
      </c>
      <c r="J316" s="2" t="inlineStr">
        <is>
          <t>SATIN-QUEEN-PURPLE</t>
        </is>
      </c>
      <c r="K316" s="2" t="inlineStr">
        <is>
          <t>SATIN-QUEEN-PURPLE</t>
        </is>
      </c>
      <c r="L316" s="2" t="inlineStr">
        <is>
          <t>$1.91</t>
        </is>
      </c>
      <c r="M316" s="2" t="inlineStr">
        <is>
          <t>$1.91</t>
        </is>
      </c>
      <c r="N316" s="2" t="n">
        <v>0</v>
      </c>
      <c r="O316" s="2" t="n">
        <v>0</v>
      </c>
      <c r="P316" s="21" t="n">
        <v>1.91</v>
      </c>
      <c r="Q316" s="21" t="n">
        <v>1.91</v>
      </c>
      <c r="R316" s="2" t="n">
        <v>0</v>
      </c>
      <c r="S316" s="2" t="n">
        <v>0</v>
      </c>
      <c r="T316" s="2" t="n">
        <v>0</v>
      </c>
      <c r="U316" s="2" t="n">
        <v>0</v>
      </c>
      <c r="V316" s="21" t="n">
        <v>10</v>
      </c>
      <c r="W316" s="21" t="n">
        <v>10</v>
      </c>
      <c r="X316" s="2" t="inlineStr">
        <is>
          <t>ENABLED</t>
        </is>
      </c>
      <c r="Y316" s="2" t="inlineStr">
        <is>
          <t>none</t>
        </is>
      </c>
      <c r="Z316" s="2" t="inlineStr">
        <is>
          <t>defer — engine name wrong ((Conversion)); load a corrected name after 28 Oct</t>
        </is>
      </c>
      <c r="AA316" s="21" t="n">
        <v>0</v>
      </c>
      <c r="AB316" s="2" t="n">
        <v>0</v>
      </c>
      <c r="AC316" s="2" t="n">
        <v>0</v>
      </c>
      <c r="AD316" s="2" t="n"/>
      <c r="AE316" s="2" t="n"/>
      <c r="AF316" s="2" t="n"/>
      <c r="AG316" s="2" t="n">
        <v>0</v>
      </c>
      <c r="AH316" s="2" t="inlineStr">
        <is>
          <t>Retag only</t>
        </is>
      </c>
      <c r="AI316" s="22" t="inlineStr">
        <is>
          <t>retag → Conversions</t>
        </is>
      </c>
      <c r="AJ316" s="22" t="inlineStr">
        <is>
          <t>Objective Ranking → Conversions by the standard (colour term "purple sheet set queen satin"); no clicks in CC 31 Aug–29 Sep.</t>
        </is>
      </c>
      <c r="AK316" s="2" t="inlineStr">
        <is>
          <t>seq 3236 rename CHANGE; our addition: standard → Conversions (colour term "purple sheet set queen satin")</t>
        </is>
      </c>
      <c r="AL316" s="22" t="n"/>
    </row>
    <row r="317">
      <c r="A317" s="2" t="inlineStr">
        <is>
          <t>326155392448305</t>
        </is>
      </c>
      <c r="B317" s="2" t="inlineStr">
        <is>
          <t>D-S4-SP-queen bed satin sheets-(Satin)-VLSV-Exact-Rank-DO-SATIN-QUEEN-GREY</t>
        </is>
      </c>
      <c r="C317" s="2" t="inlineStr">
        <is>
          <t>queen bed satin sheets; queen size bed satin sheets [exact]</t>
        </is>
      </c>
      <c r="D317" s="2" t="inlineStr">
        <is>
          <t>whole campaign</t>
        </is>
      </c>
      <c r="E317" s="2" t="inlineStr">
        <is>
          <t>PAUSED</t>
        </is>
      </c>
      <c r="F317" s="2" t="inlineStr">
        <is>
          <t>Ranking</t>
        </is>
      </c>
      <c r="G317" s="2" t="inlineStr">
        <is>
          <t>Ranking</t>
        </is>
      </c>
      <c r="H317" s="2" t="n"/>
      <c r="I317" s="2" t="inlineStr">
        <is>
          <t>Exact</t>
        </is>
      </c>
      <c r="J317" s="2" t="inlineStr">
        <is>
          <t>SATIN-QUEEN-BLACK</t>
        </is>
      </c>
      <c r="K317" s="2" t="inlineStr">
        <is>
          <t>SATIN-QUEEN-BLACK</t>
        </is>
      </c>
      <c r="L317" s="2" t="inlineStr">
        <is>
          <t>n/a (no target bid in audit)</t>
        </is>
      </c>
      <c r="M317" s="2" t="inlineStr">
        <is>
          <t>n/a</t>
        </is>
      </c>
      <c r="N317" s="2" t="n">
        <v>60</v>
      </c>
      <c r="O317" s="2" t="n">
        <v>60</v>
      </c>
      <c r="P317" s="21" t="n"/>
      <c r="Q317" s="21" t="n"/>
      <c r="R317" s="2" t="n"/>
      <c r="S317" s="2" t="n"/>
      <c r="T317" s="2" t="n"/>
      <c r="U317" s="2" t="n"/>
      <c r="V317" s="21" t="n">
        <v>10</v>
      </c>
      <c r="W317" s="21" t="n">
        <v>10</v>
      </c>
      <c r="X317" s="2" t="inlineStr">
        <is>
          <t>PAUSED</t>
        </is>
      </c>
      <c r="Y317" s="2" t="inlineStr">
        <is>
          <t>none</t>
        </is>
      </c>
      <c r="Z317" s="2" t="inlineStr">
        <is>
          <t>load (clean): DSS4-SP-Queen Bed Satin Sheets-(VLSV)-Exact-(Ranking)-DO-SATIN-QUEEN-BLACK</t>
        </is>
      </c>
      <c r="AA317" s="21" t="n">
        <v>0</v>
      </c>
      <c r="AB317" s="2" t="n">
        <v>0</v>
      </c>
      <c r="AC317" s="2" t="n">
        <v>0</v>
      </c>
      <c r="AD317" s="2" t="n"/>
      <c r="AE317" s="2" t="n"/>
      <c r="AF317" s="2" t="n"/>
      <c r="AG317" s="2" t="n">
        <v>5</v>
      </c>
      <c r="AH317" s="2" t="inlineStr">
        <is>
          <t>Rename only</t>
        </is>
      </c>
      <c r="AI317" s="22" t="inlineStr">
        <is>
          <t>Load rename only</t>
        </is>
      </c>
      <c r="AJ317" s="22" t="inlineStr">
        <is>
          <t>Clean rename (SKU token and objective match what the campaign advertises); no clicks in CC 31 Aug–29 Sep.</t>
        </is>
      </c>
      <c r="AK317" s="2" t="inlineStr">
        <is>
          <t>seq 3322 rename LOAD</t>
        </is>
      </c>
      <c r="AL317" s="22" t="n"/>
    </row>
    <row r="318">
      <c r="A318" s="2" t="inlineStr">
        <is>
          <t>558806652761820</t>
        </is>
      </c>
      <c r="B318" s="2" t="inlineStr">
        <is>
          <t>D-S4-SP-queen bed sheets black satin-(Satin)-MSV-Exact-Rank-DO-FH-CXP0-5741</t>
        </is>
      </c>
      <c r="C318" s="2" t="inlineStr">
        <is>
          <t>queen bed sheets black satin [exact, $1.90]</t>
        </is>
      </c>
      <c r="D318" s="2" t="inlineStr">
        <is>
          <t>whole campaign</t>
        </is>
      </c>
      <c r="E318" s="2" t="inlineStr">
        <is>
          <t>ENABLED</t>
        </is>
      </c>
      <c r="F318" s="2" t="inlineStr">
        <is>
          <t>Ranking</t>
        </is>
      </c>
      <c r="G318" s="2" t="inlineStr">
        <is>
          <t>Conversions</t>
        </is>
      </c>
      <c r="H318" s="2" t="inlineStr">
        <is>
          <t>OUT</t>
        </is>
      </c>
      <c r="I318" s="2" t="inlineStr">
        <is>
          <t>Exact</t>
        </is>
      </c>
      <c r="J318" s="2" t="inlineStr">
        <is>
          <t>SATIN-QUEEN-BLACK</t>
        </is>
      </c>
      <c r="K318" s="2" t="inlineStr">
        <is>
          <t>SATIN-QUEEN-BLACK</t>
        </is>
      </c>
      <c r="L318" s="2" t="inlineStr">
        <is>
          <t>$1.90</t>
        </is>
      </c>
      <c r="M318" s="2" t="inlineStr">
        <is>
          <t>$1.90</t>
        </is>
      </c>
      <c r="N318" s="2" t="n">
        <v>0</v>
      </c>
      <c r="O318" s="2" t="n">
        <v>0</v>
      </c>
      <c r="P318" s="21" t="n">
        <v>1.9</v>
      </c>
      <c r="Q318" s="21" t="n">
        <v>1.9</v>
      </c>
      <c r="R318" s="2" t="n">
        <v>0</v>
      </c>
      <c r="S318" s="2" t="n">
        <v>0</v>
      </c>
      <c r="T318" s="2" t="n">
        <v>0</v>
      </c>
      <c r="U318" s="2" t="n">
        <v>0</v>
      </c>
      <c r="V318" s="21" t="n">
        <v>5</v>
      </c>
      <c r="W318" s="21" t="n">
        <v>5</v>
      </c>
      <c r="X318" s="2" t="inlineStr">
        <is>
          <t>ENABLED</t>
        </is>
      </c>
      <c r="Y318" s="2" t="inlineStr">
        <is>
          <t>none</t>
        </is>
      </c>
      <c r="Z318" s="2" t="inlineStr">
        <is>
          <t>defer — engine name wrong ((Conversion)); load a corrected name after 28 Oct</t>
        </is>
      </c>
      <c r="AA318" s="21" t="n">
        <v>0</v>
      </c>
      <c r="AB318" s="2" t="n">
        <v>0</v>
      </c>
      <c r="AC318" s="2" t="n">
        <v>0</v>
      </c>
      <c r="AD318" s="2" t="n"/>
      <c r="AE318" s="2" t="n"/>
      <c r="AF318" s="2" t="n"/>
      <c r="AG318" s="2" t="n">
        <v>0</v>
      </c>
      <c r="AH318" s="2" t="inlineStr">
        <is>
          <t>Retag only</t>
        </is>
      </c>
      <c r="AI318" s="22" t="inlineStr">
        <is>
          <t>retag → Conversions</t>
        </is>
      </c>
      <c r="AJ318" s="22" t="inlineStr">
        <is>
          <t>Objective Ranking → Conversions by the standard (colour term "queen bed sheets black satin"); no clicks in CC 31 Aug–29 Sep.</t>
        </is>
      </c>
      <c r="AK318" s="2" t="inlineStr">
        <is>
          <t>seq 3277 rename CHANGE; our addition: standard → Conversions (colour term "queen bed sheets black satin")</t>
        </is>
      </c>
      <c r="AL318" s="22" t="n"/>
    </row>
    <row r="319">
      <c r="A319" s="2" t="inlineStr">
        <is>
          <t>225298135402639</t>
        </is>
      </c>
      <c r="B319" s="2" t="inlineStr">
        <is>
          <t>D-S4-SP-queen black satin fitted sheet-(Satin)-LSV-Exact-Rank-DO-SATIN-QUEEN-BLACK</t>
        </is>
      </c>
      <c r="C319" s="2" t="inlineStr">
        <is>
          <t>queen black satin fitted sheet [exact]</t>
        </is>
      </c>
      <c r="D319" s="2" t="inlineStr">
        <is>
          <t>whole campaign</t>
        </is>
      </c>
      <c r="E319" s="2" t="inlineStr">
        <is>
          <t>ENABLED</t>
        </is>
      </c>
      <c r="F319" s="2" t="inlineStr">
        <is>
          <t>Ranking</t>
        </is>
      </c>
      <c r="G319" s="2" t="inlineStr">
        <is>
          <t>Conversions</t>
        </is>
      </c>
      <c r="H319" s="2" t="n"/>
      <c r="I319" s="2" t="inlineStr">
        <is>
          <t>Exact</t>
        </is>
      </c>
      <c r="J319" s="2" t="inlineStr">
        <is>
          <t>SATIN-QUEEN-BLACK</t>
        </is>
      </c>
      <c r="K319" s="2" t="inlineStr">
        <is>
          <t>SATIN-QUEEN-BLACK</t>
        </is>
      </c>
      <c r="L319" s="2" t="inlineStr">
        <is>
          <t>n/a (no target bid in audit)</t>
        </is>
      </c>
      <c r="M319" s="2" t="inlineStr">
        <is>
          <t>n/a</t>
        </is>
      </c>
      <c r="N319" s="2" t="n">
        <v>100</v>
      </c>
      <c r="O319" s="2" t="n">
        <v>100</v>
      </c>
      <c r="P319" s="21" t="n"/>
      <c r="Q319" s="21" t="n"/>
      <c r="R319" s="2" t="n"/>
      <c r="S319" s="2" t="n"/>
      <c r="T319" s="2" t="n"/>
      <c r="U319" s="2" t="n"/>
      <c r="V319" s="21" t="n">
        <v>5</v>
      </c>
      <c r="W319" s="21" t="n">
        <v>5</v>
      </c>
      <c r="X319" s="2" t="inlineStr">
        <is>
          <t>ENABLED</t>
        </is>
      </c>
      <c r="Y319" s="2" t="inlineStr">
        <is>
          <t>none</t>
        </is>
      </c>
      <c r="Z319" s="2" t="inlineStr">
        <is>
          <t>defer — engine name wrong ((Conversion)); load a corrected name after 28 Oct</t>
        </is>
      </c>
      <c r="AA319" s="21" t="n">
        <v>0</v>
      </c>
      <c r="AB319" s="2" t="n">
        <v>0</v>
      </c>
      <c r="AC319" s="2" t="n">
        <v>0</v>
      </c>
      <c r="AD319" s="2" t="n"/>
      <c r="AE319" s="2" t="n"/>
      <c r="AF319" s="2" t="n"/>
      <c r="AG319" s="2" t="n">
        <v>0</v>
      </c>
      <c r="AH319" s="2" t="inlineStr">
        <is>
          <t>Retag only</t>
        </is>
      </c>
      <c r="AI319" s="22" t="inlineStr">
        <is>
          <t>retag → Conversions</t>
        </is>
      </c>
      <c r="AJ319" s="22" t="inlineStr">
        <is>
          <t>Objective Ranking → Conversions by the standard (colour term "queen black satin fitted sheet"); no clicks in CC 31 Aug–29 Sep.</t>
        </is>
      </c>
      <c r="AK319" s="2" t="inlineStr">
        <is>
          <t>seq 3167 rename CHANGE; our addition: standard → Conversions (colour term "queen black satin fitted sheet")</t>
        </is>
      </c>
      <c r="AL319" s="22" t="n"/>
    </row>
    <row r="320">
      <c r="A320" s="2" t="inlineStr">
        <is>
          <t>142619408439186</t>
        </is>
      </c>
      <c r="B320" s="2" t="inlineStr">
        <is>
          <t>D-S4-SP-queen fitted bed sheets satin-(Satin)-MSV-Exact-Rank-DO-SATIN-QUEEN-GREY</t>
        </is>
      </c>
      <c r="C320" s="2" t="inlineStr">
        <is>
          <t>queen fitted bed sheets satin; queen fitted satin sheets [exact]</t>
        </is>
      </c>
      <c r="D320" s="2" t="inlineStr">
        <is>
          <t>—</t>
        </is>
      </c>
      <c r="E320" s="2" t="inlineStr">
        <is>
          <t>ENABLED</t>
        </is>
      </c>
      <c r="F320" s="2" t="inlineStr">
        <is>
          <t>Ranking</t>
        </is>
      </c>
      <c r="G320" s="2" t="inlineStr">
        <is>
          <t>Ranking</t>
        </is>
      </c>
      <c r="H320" s="2" t="n"/>
      <c r="I320" s="2" t="inlineStr">
        <is>
          <t>Exact</t>
        </is>
      </c>
      <c r="J320" s="2" t="inlineStr">
        <is>
          <t>SATIN-QUEEN-BLACK</t>
        </is>
      </c>
      <c r="K320" s="2" t="inlineStr">
        <is>
          <t>SATIN-QUEEN-BLACK</t>
        </is>
      </c>
      <c r="L320" s="2" t="inlineStr">
        <is>
          <t>n/a (no target bid in audit)</t>
        </is>
      </c>
      <c r="M320" s="2" t="inlineStr">
        <is>
          <t>n/a</t>
        </is>
      </c>
      <c r="N320" s="2" t="n">
        <v>60</v>
      </c>
      <c r="O320" s="2" t="n">
        <v>60</v>
      </c>
      <c r="P320" s="21" t="n"/>
      <c r="Q320" s="21" t="n"/>
      <c r="R320" s="2" t="n"/>
      <c r="S320" s="2" t="n"/>
      <c r="T320" s="2" t="n"/>
      <c r="U320" s="2" t="n"/>
      <c r="V320" s="21" t="n">
        <v>1.95</v>
      </c>
      <c r="W320" s="21" t="n">
        <v>1.95</v>
      </c>
      <c r="X320" s="2" t="inlineStr">
        <is>
          <t>ENABLED</t>
        </is>
      </c>
      <c r="Y320" s="2" t="inlineStr">
        <is>
          <t>none</t>
        </is>
      </c>
      <c r="Z320" s="2" t="inlineStr">
        <is>
          <t>defer — engine name wrong (SKU token SATIN-QUEEN-BLACK); load a corrected name after 28 Oct</t>
        </is>
      </c>
      <c r="AA320" s="21" t="n">
        <v>0</v>
      </c>
      <c r="AB320" s="2" t="n">
        <v>0</v>
      </c>
      <c r="AC320" s="2" t="n">
        <v>0</v>
      </c>
      <c r="AD320" s="2" t="n"/>
      <c r="AE320" s="2" t="n"/>
      <c r="AF320" s="2" t="n"/>
      <c r="AG320" s="2" t="n">
        <v>1</v>
      </c>
      <c r="AH320" s="2" t="inlineStr">
        <is>
          <t>No change (engine move rejected/held)</t>
        </is>
      </c>
      <c r="AI320" s="22" t="inlineStr">
        <is>
          <t>No change (reject engine child swap seq 1891; defer engine rename)</t>
        </is>
      </c>
      <c r="AJ320" s="22" t="inlineStr">
        <is>
          <t>Engine swap SATIN-QUEEN-BLACK → SATIN-4PCS-QUEEN-STONE-GREY rejected: the pick comes from the broken size map, and SATIN-QUEEN-BLACK is the size's best seller with cover (SB 30 Aug–29 Sep); the engine rename writes a wrong token and is deferred; no clicks in CC 31 Aug–29 Sep.</t>
        </is>
      </c>
      <c r="AK320" s="2" t="inlineStr">
        <is>
          <t>seq 1891 child: reject — keep SATIN-QUEEN-BLACK; seq 3096 rename CHANGE</t>
        </is>
      </c>
      <c r="AL320" s="22" t="n"/>
    </row>
    <row r="321">
      <c r="A321" s="2" t="inlineStr">
        <is>
          <t>419664976431317</t>
        </is>
      </c>
      <c r="B321" s="2" t="inlineStr">
        <is>
          <t>D-S4-SP-queen fitted sheet pack deep pocket-(Sheet)-HSV-Exact-Rank-DO-SATIN-QUEEN-GREY</t>
        </is>
      </c>
      <c r="C321" s="2" t="inlineStr">
        <is>
          <t>queen fitted sheet pack deep pocket [exact]</t>
        </is>
      </c>
      <c r="D321" s="2" t="inlineStr">
        <is>
          <t>—</t>
        </is>
      </c>
      <c r="E321" s="2" t="inlineStr">
        <is>
          <t>ENABLED</t>
        </is>
      </c>
      <c r="F321" s="2" t="inlineStr">
        <is>
          <t>Ranking</t>
        </is>
      </c>
      <c r="G321" s="2" t="inlineStr">
        <is>
          <t>Ranking</t>
        </is>
      </c>
      <c r="H321" s="2" t="n"/>
      <c r="I321" s="2" t="inlineStr">
        <is>
          <t>Exact</t>
        </is>
      </c>
      <c r="J321" s="2" t="inlineStr">
        <is>
          <t>SATIN-QUEEN-GREY</t>
        </is>
      </c>
      <c r="K321" s="2" t="inlineStr">
        <is>
          <t>SATIN-QUEEN-GREY</t>
        </is>
      </c>
      <c r="L321" s="2" t="inlineStr">
        <is>
          <t>n/a (no target bid in audit)</t>
        </is>
      </c>
      <c r="M321" s="2" t="inlineStr">
        <is>
          <t>n/a</t>
        </is>
      </c>
      <c r="N321" s="2" t="n">
        <v>0</v>
      </c>
      <c r="O321" s="2" t="n">
        <v>0</v>
      </c>
      <c r="P321" s="21" t="n"/>
      <c r="Q321" s="21" t="n"/>
      <c r="R321" s="2" t="n"/>
      <c r="S321" s="2" t="n"/>
      <c r="T321" s="2" t="n"/>
      <c r="U321" s="2" t="n"/>
      <c r="V321" s="21" t="n">
        <v>5</v>
      </c>
      <c r="W321" s="21" t="n">
        <v>5</v>
      </c>
      <c r="X321" s="2" t="inlineStr">
        <is>
          <t>ENABLED</t>
        </is>
      </c>
      <c r="Y321" s="2" t="inlineStr">
        <is>
          <t>none</t>
        </is>
      </c>
      <c r="Z321" s="2" t="inlineStr">
        <is>
          <t>defer — engine name wrong (SKU token SATIN-QUEEN-GREY); load a corrected name after 28 Oct</t>
        </is>
      </c>
      <c r="AA321" s="21" t="n">
        <v>0</v>
      </c>
      <c r="AB321" s="2" t="n">
        <v>0</v>
      </c>
      <c r="AC321" s="2" t="n">
        <v>0</v>
      </c>
      <c r="AD321" s="2" t="n"/>
      <c r="AE321" s="2" t="n"/>
      <c r="AF321" s="2" t="n"/>
      <c r="AG321" s="2" t="n">
        <v>0</v>
      </c>
      <c r="AH321" s="2" t="inlineStr">
        <is>
          <t>No change (engine move rejected/held)</t>
        </is>
      </c>
      <c r="AI321" s="22" t="inlineStr">
        <is>
          <t>No change (reject engine child swap seq 1942; defer engine rename)</t>
        </is>
      </c>
      <c r="AJ321" s="22" t="inlineStr">
        <is>
          <t>Engine swap SATIN-QUEEN-GREY → SATIN-4PCS-QUEEN-STONE-GREY rejected: the pick comes from the broken size map, and SATIN-QUEEN-GREY is the size's best seller with cover (SB 30 Aug–29 Sep); the engine rename writes a wrong token and is deferred; no clicks in CC 31 Aug–29 Sep.</t>
        </is>
      </c>
      <c r="AK321" s="2" t="inlineStr">
        <is>
          <t>seq 1942 child: reject — keep SATIN-QUEEN-GREY; seq 3246 rename CHANGE</t>
        </is>
      </c>
      <c r="AL321" s="22" t="n"/>
    </row>
    <row r="322">
      <c r="A322" s="2" t="inlineStr">
        <is>
          <t>306154259675167</t>
        </is>
      </c>
      <c r="B322" s="2" t="inlineStr">
        <is>
          <t>D-S4-SP-queen gold satin sheets-(Satin)-LSV-Exact-Rank-DO-SATIN-QUEEN-GREY-FBM</t>
        </is>
      </c>
      <c r="C322" s="2" t="inlineStr">
        <is>
          <t>queen gold satin sheets [exact, $1.90]</t>
        </is>
      </c>
      <c r="D322" s="2" t="inlineStr">
        <is>
          <t>whole campaign</t>
        </is>
      </c>
      <c r="E322" s="2" t="inlineStr">
        <is>
          <t>ENABLED</t>
        </is>
      </c>
      <c r="F322" s="2" t="inlineStr">
        <is>
          <t>Ranking</t>
        </is>
      </c>
      <c r="G322" s="2" t="inlineStr">
        <is>
          <t>Conversions</t>
        </is>
      </c>
      <c r="H322" s="2" t="inlineStr">
        <is>
          <t>OUT</t>
        </is>
      </c>
      <c r="I322" s="2" t="inlineStr">
        <is>
          <t>Exact</t>
        </is>
      </c>
      <c r="J322" s="2" t="inlineStr">
        <is>
          <t>SATIN-GOLD-QUEEN</t>
        </is>
      </c>
      <c r="K322" s="2" t="inlineStr">
        <is>
          <t>SATIN-GOLD-QUEEN</t>
        </is>
      </c>
      <c r="L322" s="2" t="inlineStr">
        <is>
          <t>$1.90</t>
        </is>
      </c>
      <c r="M322" s="2" t="inlineStr">
        <is>
          <t>$1.90</t>
        </is>
      </c>
      <c r="N322" s="2" t="n">
        <v>0</v>
      </c>
      <c r="O322" s="2" t="n">
        <v>0</v>
      </c>
      <c r="P322" s="21" t="n">
        <v>1.9</v>
      </c>
      <c r="Q322" s="21" t="n">
        <v>1.9</v>
      </c>
      <c r="R322" s="2" t="n">
        <v>0</v>
      </c>
      <c r="S322" s="2" t="n">
        <v>0</v>
      </c>
      <c r="T322" s="2" t="n">
        <v>0</v>
      </c>
      <c r="U322" s="2" t="n">
        <v>0</v>
      </c>
      <c r="V322" s="21" t="n">
        <v>5</v>
      </c>
      <c r="W322" s="21" t="n">
        <v>5</v>
      </c>
      <c r="X322" s="2" t="inlineStr">
        <is>
          <t>ENABLED</t>
        </is>
      </c>
      <c r="Y322" s="2" t="inlineStr">
        <is>
          <t>none</t>
        </is>
      </c>
      <c r="Z322" s="2" t="inlineStr">
        <is>
          <t>defer — engine name wrong ((Conversion)); load a corrected name after 28 Oct</t>
        </is>
      </c>
      <c r="AA322" s="21" t="n">
        <v>0</v>
      </c>
      <c r="AB322" s="2" t="n">
        <v>0</v>
      </c>
      <c r="AC322" s="2" t="n">
        <v>0</v>
      </c>
      <c r="AD322" s="2" t="n"/>
      <c r="AE322" s="2" t="n"/>
      <c r="AF322" s="2" t="n"/>
      <c r="AG322" s="2" t="n">
        <v>0</v>
      </c>
      <c r="AH322" s="2" t="inlineStr">
        <is>
          <t>Retag only</t>
        </is>
      </c>
      <c r="AI322" s="22" t="inlineStr">
        <is>
          <t>retag → Conversions</t>
        </is>
      </c>
      <c r="AJ322" s="22" t="inlineStr">
        <is>
          <t>Objective Ranking → Conversions by the standard (colour term "queen gold satin sheets"); no clicks in CC 31 Aug–29 Sep.</t>
        </is>
      </c>
      <c r="AK322" s="2" t="inlineStr">
        <is>
          <t>seq 3219 rename CHANGE; our addition: standard → Conversions (colour term "queen gold satin sheets")</t>
        </is>
      </c>
      <c r="AL322" s="22" t="n"/>
    </row>
    <row r="323">
      <c r="A323" s="2" t="inlineStr">
        <is>
          <t>289460981348158</t>
        </is>
      </c>
      <c r="B323" s="2" t="inlineStr">
        <is>
          <t>D-S4-SP-queen luxury satin sheets-(Satin)-MSV-Exact-Rank-DO-SATIN-QUEEN-GREY-FBM</t>
        </is>
      </c>
      <c r="C323" s="2" t="inlineStr">
        <is>
          <t>queen luxury satin sheets [exact]</t>
        </is>
      </c>
      <c r="D323" s="2" t="inlineStr">
        <is>
          <t>—</t>
        </is>
      </c>
      <c r="E323" s="2" t="inlineStr">
        <is>
          <t>ENABLED</t>
        </is>
      </c>
      <c r="F323" s="2" t="inlineStr">
        <is>
          <t>Ranking</t>
        </is>
      </c>
      <c r="G323" s="2" t="inlineStr">
        <is>
          <t>Ranking</t>
        </is>
      </c>
      <c r="H323" s="2" t="n"/>
      <c r="I323" s="2" t="inlineStr">
        <is>
          <t>Exact</t>
        </is>
      </c>
      <c r="J323" s="2" t="inlineStr">
        <is>
          <t>SATIN-QUEEN-BLACK</t>
        </is>
      </c>
      <c r="K323" s="2" t="inlineStr">
        <is>
          <t>SATIN-QUEEN-BLACK</t>
        </is>
      </c>
      <c r="L323" s="2" t="inlineStr">
        <is>
          <t>n/a (no target bid in audit)</t>
        </is>
      </c>
      <c r="M323" s="2" t="inlineStr">
        <is>
          <t>n/a</t>
        </is>
      </c>
      <c r="N323" s="2" t="n">
        <v>0</v>
      </c>
      <c r="O323" s="2" t="n">
        <v>0</v>
      </c>
      <c r="P323" s="21" t="n"/>
      <c r="Q323" s="21" t="n"/>
      <c r="R323" s="2" t="n"/>
      <c r="S323" s="2" t="n"/>
      <c r="T323" s="2" t="n"/>
      <c r="U323" s="2" t="n"/>
      <c r="V323" s="21" t="n">
        <v>5</v>
      </c>
      <c r="W323" s="21" t="n">
        <v>5</v>
      </c>
      <c r="X323" s="2" t="inlineStr">
        <is>
          <t>ENABLED</t>
        </is>
      </c>
      <c r="Y323" s="2" t="inlineStr">
        <is>
          <t>none</t>
        </is>
      </c>
      <c r="Z323" s="2" t="inlineStr">
        <is>
          <t>defer — engine name wrong (SKU token SATIN-QUEEN-BLACK); load a corrected name after 28 Oct</t>
        </is>
      </c>
      <c r="AA323" s="21" t="n">
        <v>0</v>
      </c>
      <c r="AB323" s="2" t="n">
        <v>0</v>
      </c>
      <c r="AC323" s="2" t="n">
        <v>0</v>
      </c>
      <c r="AD323" s="2" t="n"/>
      <c r="AE323" s="2" t="n"/>
      <c r="AF323" s="2" t="n"/>
      <c r="AG323" s="2" t="n">
        <v>0</v>
      </c>
      <c r="AH323" s="2" t="inlineStr">
        <is>
          <t>No change (engine move rejected/held)</t>
        </is>
      </c>
      <c r="AI323" s="22" t="inlineStr">
        <is>
          <t>No change (reject engine child swap seq 1928; defer engine rename)</t>
        </is>
      </c>
      <c r="AJ323" s="22" t="inlineStr">
        <is>
          <t>Engine swap SATIN-QUEEN-BLACK → SATIN-4PCS-QUEEN-STONE-GREY rejected: the pick comes from the broken size map, and SATIN-QUEEN-BLACK is the size's best seller with cover (SB 30 Aug–29 Sep); the engine rename writes a wrong token and is deferred; no clicks in CC 31 Aug–29 Sep.</t>
        </is>
      </c>
      <c r="AK323" s="2" t="inlineStr">
        <is>
          <t>seq 1928 child: reject — keep SATIN-QUEEN-BLACK; seq 3214 rename CHANGE</t>
        </is>
      </c>
      <c r="AL323" s="22" t="n"/>
    </row>
    <row r="324">
      <c r="A324" s="2" t="inlineStr">
        <is>
          <t>84025913230591</t>
        </is>
      </c>
      <c r="B324" s="2" t="inlineStr">
        <is>
          <t>D-S4-SP-queen satin sheet set rose gold-(Satin)-HSV-Exact-Rank-DO-SATIN-QUEEN-PINK</t>
        </is>
      </c>
      <c r="C324" s="2" t="inlineStr">
        <is>
          <t>king satin sheets set pink; queen satin sheet set rose gold [exact]</t>
        </is>
      </c>
      <c r="D324" s="2" t="inlineStr">
        <is>
          <t>whole campaign</t>
        </is>
      </c>
      <c r="E324" s="2" t="inlineStr">
        <is>
          <t>ENABLED</t>
        </is>
      </c>
      <c r="F324" s="2" t="inlineStr">
        <is>
          <t>Ranking</t>
        </is>
      </c>
      <c r="G324" s="2" t="inlineStr">
        <is>
          <t>Conversions</t>
        </is>
      </c>
      <c r="H324" s="2" t="n"/>
      <c r="I324" s="2" t="inlineStr">
        <is>
          <t>Exact</t>
        </is>
      </c>
      <c r="J324" s="2" t="inlineStr">
        <is>
          <t>SATIN-QUEEN-PINK</t>
        </is>
      </c>
      <c r="K324" s="2" t="inlineStr">
        <is>
          <t>SATIN-QUEEN-PINK</t>
        </is>
      </c>
      <c r="L324" s="2" t="inlineStr">
        <is>
          <t>n/a (no target bid in audit)</t>
        </is>
      </c>
      <c r="M324" s="2" t="inlineStr">
        <is>
          <t>n/a</t>
        </is>
      </c>
      <c r="N324" s="2" t="n">
        <v>20</v>
      </c>
      <c r="O324" s="2" t="n">
        <v>20</v>
      </c>
      <c r="P324" s="21" t="n"/>
      <c r="Q324" s="21" t="n"/>
      <c r="R324" s="2" t="n"/>
      <c r="S324" s="2" t="n"/>
      <c r="T324" s="2" t="n"/>
      <c r="U324" s="2" t="n"/>
      <c r="V324" s="21" t="n">
        <v>5</v>
      </c>
      <c r="W324" s="21" t="n">
        <v>5</v>
      </c>
      <c r="X324" s="2" t="inlineStr">
        <is>
          <t>ENABLED</t>
        </is>
      </c>
      <c r="Y324" s="2" t="inlineStr">
        <is>
          <t>none</t>
        </is>
      </c>
      <c r="Z324" s="2" t="inlineStr">
        <is>
          <t>defer — engine name wrong ((Conversion); flag); load a corrected name after 28 Oct</t>
        </is>
      </c>
      <c r="AA324" s="21" t="n">
        <v>0</v>
      </c>
      <c r="AB324" s="2" t="n">
        <v>0</v>
      </c>
      <c r="AC324" s="2" t="n">
        <v>0</v>
      </c>
      <c r="AD324" s="2" t="n"/>
      <c r="AE324" s="2" t="n"/>
      <c r="AF324" s="2" t="n"/>
      <c r="AG324" s="2" t="n">
        <v>0</v>
      </c>
      <c r="AH324" s="2" t="inlineStr">
        <is>
          <t>Retag only</t>
        </is>
      </c>
      <c r="AI324" s="22" t="inlineStr">
        <is>
          <t>retag → Conversions</t>
        </is>
      </c>
      <c r="AJ324" s="22" t="inlineStr">
        <is>
          <t>Objective Ranking → Conversions by the standard (colour term "queen satin sheet set rose gold"); no clicks in CC 31 Aug–29 Sep.</t>
        </is>
      </c>
      <c r="AK324" s="2" t="inlineStr">
        <is>
          <t>seq 3301 rename CHANGE; our addition: standard → Conversions (colour term "queen satin sheet set rose gold")</t>
        </is>
      </c>
      <c r="AL324" s="22" t="n"/>
    </row>
    <row r="325">
      <c r="A325" s="2" t="inlineStr">
        <is>
          <t>21500127140785</t>
        </is>
      </c>
      <c r="B325" s="2" t="inlineStr">
        <is>
          <t>D-S4-SP-queen satin sheets sets clearance-(Satin)-HSV-Exact-Rank-DO-SATIN-QUEEN-GREY</t>
        </is>
      </c>
      <c r="C325" s="2" t="inlineStr">
        <is>
          <t>queen satin sheets sets clearance [exact]</t>
        </is>
      </c>
      <c r="D325" s="2" t="inlineStr">
        <is>
          <t>—</t>
        </is>
      </c>
      <c r="E325" s="2" t="inlineStr">
        <is>
          <t>ENABLED</t>
        </is>
      </c>
      <c r="F325" s="2" t="inlineStr">
        <is>
          <t>Liquidation</t>
        </is>
      </c>
      <c r="G325" s="2" t="inlineStr">
        <is>
          <t>Liquidation</t>
        </is>
      </c>
      <c r="H325" s="2" t="n"/>
      <c r="I325" s="2" t="inlineStr">
        <is>
          <t>Exact</t>
        </is>
      </c>
      <c r="J325" s="2" t="inlineStr">
        <is>
          <t>SATIN-QUEEN-GREY</t>
        </is>
      </c>
      <c r="K325" s="2" t="inlineStr">
        <is>
          <t>SATIN-QUEEN-GREY</t>
        </is>
      </c>
      <c r="L325" s="2" t="inlineStr">
        <is>
          <t>n/a (no target bid in audit)</t>
        </is>
      </c>
      <c r="M325" s="2" t="inlineStr">
        <is>
          <t>n/a</t>
        </is>
      </c>
      <c r="N325" s="2" t="n">
        <v>70</v>
      </c>
      <c r="O325" s="2" t="n">
        <v>70</v>
      </c>
      <c r="P325" s="21" t="n"/>
      <c r="Q325" s="21" t="n"/>
      <c r="R325" s="2" t="n"/>
      <c r="S325" s="2" t="n"/>
      <c r="T325" s="2" t="n"/>
      <c r="U325" s="2" t="n"/>
      <c r="V325" s="21" t="n">
        <v>5</v>
      </c>
      <c r="W325" s="21" t="n">
        <v>5</v>
      </c>
      <c r="X325" s="2" t="inlineStr">
        <is>
          <t>ENABLED</t>
        </is>
      </c>
      <c r="Y325" s="2" t="inlineStr">
        <is>
          <t>none</t>
        </is>
      </c>
      <c r="Z325" s="2" t="inlineStr">
        <is>
          <t>none</t>
        </is>
      </c>
      <c r="AA325" s="21" t="n">
        <v>0</v>
      </c>
      <c r="AB325" s="2" t="n">
        <v>0</v>
      </c>
      <c r="AC325" s="2" t="n">
        <v>0</v>
      </c>
      <c r="AD325" s="2" t="n"/>
      <c r="AE325" s="2" t="n"/>
      <c r="AF325" s="2" t="n"/>
      <c r="AG325" s="2" t="n">
        <v>0</v>
      </c>
      <c r="AH325" s="2" t="inlineStr">
        <is>
          <t>No change</t>
        </is>
      </c>
      <c r="AI325" s="22" t="inlineStr">
        <is>
          <t>No change</t>
        </is>
      </c>
      <c r="AJ325" s="22" t="inlineStr">
        <is>
          <t>No run decision and no issue found; no clicks in CC 31 Aug–29 Sep.</t>
        </is>
      </c>
      <c r="AK325" s="2" t="inlineStr">
        <is>
          <t>no run decision</t>
        </is>
      </c>
      <c r="AL325" s="22" t="n"/>
    </row>
    <row r="326">
      <c r="A326" s="2" t="inlineStr">
        <is>
          <t>139429035008433</t>
        </is>
      </c>
      <c r="B326" s="2" t="inlineStr">
        <is>
          <t>D-S4-SP-queen satin white sheets-(Satin)-LSV-Exact-Rank-DO-SATIN-WHITE-QUEEN</t>
        </is>
      </c>
      <c r="C326" s="2" t="inlineStr">
        <is>
          <t>queen satin white sheets; satin white fitted sheets queen [exact]</t>
        </is>
      </c>
      <c r="D326" s="2" t="inlineStr">
        <is>
          <t>whole campaign</t>
        </is>
      </c>
      <c r="E326" s="2" t="inlineStr">
        <is>
          <t>ENABLED</t>
        </is>
      </c>
      <c r="F326" s="2" t="inlineStr">
        <is>
          <t>Ranking</t>
        </is>
      </c>
      <c r="G326" s="2" t="inlineStr">
        <is>
          <t>Conversions</t>
        </is>
      </c>
      <c r="H326" s="2" t="n"/>
      <c r="I326" s="2" t="inlineStr">
        <is>
          <t>Exact</t>
        </is>
      </c>
      <c r="J326" s="2" t="inlineStr">
        <is>
          <t>SATIN-WHITE-QUEEN</t>
        </is>
      </c>
      <c r="K326" s="2" t="inlineStr">
        <is>
          <t>SATIN-WHITE-QUEEN</t>
        </is>
      </c>
      <c r="L326" s="2" t="inlineStr">
        <is>
          <t>n/a (no target bid in audit)</t>
        </is>
      </c>
      <c r="M326" s="2" t="inlineStr">
        <is>
          <t>n/a</t>
        </is>
      </c>
      <c r="N326" s="2" t="n">
        <v>20</v>
      </c>
      <c r="O326" s="2" t="n">
        <v>20</v>
      </c>
      <c r="P326" s="21" t="n"/>
      <c r="Q326" s="21" t="n"/>
      <c r="R326" s="2" t="n"/>
      <c r="S326" s="2" t="n"/>
      <c r="T326" s="2" t="n"/>
      <c r="U326" s="2" t="n"/>
      <c r="V326" s="21" t="n">
        <v>5.6</v>
      </c>
      <c r="W326" s="21" t="n">
        <v>5.6</v>
      </c>
      <c r="X326" s="2" t="inlineStr">
        <is>
          <t>ENABLED</t>
        </is>
      </c>
      <c r="Y326" s="2" t="inlineStr">
        <is>
          <t>none</t>
        </is>
      </c>
      <c r="Z326" s="2" t="inlineStr">
        <is>
          <t>defer — engine name wrong ((Conversion)); load a corrected name after 28 Oct</t>
        </is>
      </c>
      <c r="AA326" s="21" t="n">
        <v>0</v>
      </c>
      <c r="AB326" s="2" t="n">
        <v>0</v>
      </c>
      <c r="AC326" s="2" t="n">
        <v>0</v>
      </c>
      <c r="AD326" s="2" t="n"/>
      <c r="AE326" s="2" t="n"/>
      <c r="AF326" s="2" t="n"/>
      <c r="AG326" s="2" t="n">
        <v>0</v>
      </c>
      <c r="AH326" s="2" t="inlineStr">
        <is>
          <t>Retag only</t>
        </is>
      </c>
      <c r="AI326" s="22" t="inlineStr">
        <is>
          <t>retag → Conversions</t>
        </is>
      </c>
      <c r="AJ326" s="22" t="inlineStr">
        <is>
          <t>Objective Ranking → Conversions by the standard (colour term "queen satin white sheets"); no clicks in CC 31 Aug–29 Sep.</t>
        </is>
      </c>
      <c r="AK326" s="2" t="inlineStr">
        <is>
          <t>seq 3090 rename CHANGE; our addition: standard → Conversions (colour term "queen satin white sheets")</t>
        </is>
      </c>
      <c r="AL326" s="22" t="n"/>
    </row>
    <row r="327">
      <c r="A327" s="2" t="inlineStr">
        <is>
          <t>348860637635403</t>
        </is>
      </c>
      <c r="B327" s="2" t="inlineStr">
        <is>
          <t>D-S4-SP-queen sheet set deep pockets satin-(Satin)-MSV-Exact-Rank-DO-SATIN-QUEEN-GREY-FBM</t>
        </is>
      </c>
      <c r="C327" s="2" t="inlineStr">
        <is>
          <t>queen sheet set deep pockets satin [exact, $1.90]</t>
        </is>
      </c>
      <c r="D327" s="2" t="inlineStr">
        <is>
          <t>—</t>
        </is>
      </c>
      <c r="E327" s="2" t="inlineStr">
        <is>
          <t>ENABLED</t>
        </is>
      </c>
      <c r="F327" s="2" t="inlineStr">
        <is>
          <t>Ranking</t>
        </is>
      </c>
      <c r="G327" s="2" t="inlineStr">
        <is>
          <t>Ranking</t>
        </is>
      </c>
      <c r="H327" s="2" t="inlineStr">
        <is>
          <t>OUT</t>
        </is>
      </c>
      <c r="I327" s="2" t="inlineStr">
        <is>
          <t>Exact</t>
        </is>
      </c>
      <c r="J327" s="2" t="inlineStr">
        <is>
          <t>SATIN-QUEEN-BLACK</t>
        </is>
      </c>
      <c r="K327" s="2" t="inlineStr">
        <is>
          <t>SATIN-QUEEN-BLACK</t>
        </is>
      </c>
      <c r="L327" s="2" t="inlineStr">
        <is>
          <t>$1.90</t>
        </is>
      </c>
      <c r="M327" s="2" t="inlineStr">
        <is>
          <t>$1.90</t>
        </is>
      </c>
      <c r="N327" s="2" t="n">
        <v>0</v>
      </c>
      <c r="O327" s="2" t="n">
        <v>0</v>
      </c>
      <c r="P327" s="21" t="n">
        <v>1.9</v>
      </c>
      <c r="Q327" s="21" t="n">
        <v>1.9</v>
      </c>
      <c r="R327" s="2" t="n">
        <v>0</v>
      </c>
      <c r="S327" s="2" t="n">
        <v>0</v>
      </c>
      <c r="T327" s="2" t="n">
        <v>0</v>
      </c>
      <c r="U327" s="2" t="n">
        <v>0</v>
      </c>
      <c r="V327" s="21" t="n">
        <v>5</v>
      </c>
      <c r="W327" s="21" t="n">
        <v>5</v>
      </c>
      <c r="X327" s="2" t="inlineStr">
        <is>
          <t>ENABLED</t>
        </is>
      </c>
      <c r="Y327" s="2" t="inlineStr">
        <is>
          <t>none</t>
        </is>
      </c>
      <c r="Z327" s="2" t="inlineStr">
        <is>
          <t>defer — engine name wrong (SKU token SATIN-QUEEN-BLACK); load a corrected name after 28 Oct</t>
        </is>
      </c>
      <c r="AA327" s="21" t="n">
        <v>0</v>
      </c>
      <c r="AB327" s="2" t="n">
        <v>0</v>
      </c>
      <c r="AC327" s="2" t="n">
        <v>0</v>
      </c>
      <c r="AD327" s="2" t="n"/>
      <c r="AE327" s="2" t="n"/>
      <c r="AF327" s="2" t="n"/>
      <c r="AG327" s="2" t="n">
        <v>0</v>
      </c>
      <c r="AH327" s="2" t="inlineStr">
        <is>
          <t>No change (engine move rejected/held)</t>
        </is>
      </c>
      <c r="AI327" s="22" t="inlineStr">
        <is>
          <t>No change (reject engine child swap seq 1935; defer engine rename)</t>
        </is>
      </c>
      <c r="AJ327" s="22" t="inlineStr">
        <is>
          <t>Engine swap SATIN-QUEEN-BLACK → SATIN-4PCS-QUEEN-STONE-GREY rejected: the pick comes from the broken size map, and SATIN-QUEEN-BLACK is the size's best seller with cover (SB 30 Aug–29 Sep); the engine rename writes a wrong token and is deferred; no clicks in CC 31 Aug–29 Sep.</t>
        </is>
      </c>
      <c r="AK327" s="2" t="inlineStr">
        <is>
          <t>seq 1935 child: reject — keep SATIN-QUEEN-BLACK; seq 3228 rename CHANGE</t>
        </is>
      </c>
      <c r="AL327" s="22" t="n"/>
    </row>
    <row r="328">
      <c r="A328" s="2" t="inlineStr">
        <is>
          <t>244348078552242</t>
        </is>
      </c>
      <c r="B328" s="2" t="inlineStr">
        <is>
          <t>D-S4-SP-queen sheet set satin grey-(Satin)-HSV-Exact-Rank-DO-SATIN-QUEEN-GREY</t>
        </is>
      </c>
      <c r="C328" s="2" t="inlineStr">
        <is>
          <t>grey queen silk sheet set; queen sheet set satin grey [exact]</t>
        </is>
      </c>
      <c r="D328" s="2" t="inlineStr">
        <is>
          <t>whole campaign</t>
        </is>
      </c>
      <c r="E328" s="2" t="inlineStr">
        <is>
          <t>ENABLED</t>
        </is>
      </c>
      <c r="F328" s="2" t="inlineStr">
        <is>
          <t>Ranking</t>
        </is>
      </c>
      <c r="G328" s="2" t="inlineStr">
        <is>
          <t>Conversions</t>
        </is>
      </c>
      <c r="H328" s="2" t="n"/>
      <c r="I328" s="2" t="inlineStr">
        <is>
          <t>Exact</t>
        </is>
      </c>
      <c r="J328" s="2" t="inlineStr">
        <is>
          <t>SATIN-QUEEN-GREY</t>
        </is>
      </c>
      <c r="K328" s="2" t="inlineStr">
        <is>
          <t>SATIN-QUEEN-GREY</t>
        </is>
      </c>
      <c r="L328" s="2" t="inlineStr">
        <is>
          <t>n/a (no target bid in audit)</t>
        </is>
      </c>
      <c r="M328" s="2" t="inlineStr">
        <is>
          <t>n/a</t>
        </is>
      </c>
      <c r="N328" s="2" t="n">
        <v>50</v>
      </c>
      <c r="O328" s="2" t="n">
        <v>50</v>
      </c>
      <c r="P328" s="21" t="n"/>
      <c r="Q328" s="21" t="n"/>
      <c r="R328" s="2" t="n"/>
      <c r="S328" s="2" t="n"/>
      <c r="T328" s="2" t="n"/>
      <c r="U328" s="2" t="n"/>
      <c r="V328" s="21" t="n">
        <v>5</v>
      </c>
      <c r="W328" s="21" t="n">
        <v>5</v>
      </c>
      <c r="X328" s="2" t="inlineStr">
        <is>
          <t>ENABLED</t>
        </is>
      </c>
      <c r="Y328" s="2" t="inlineStr">
        <is>
          <t>none</t>
        </is>
      </c>
      <c r="Z328" s="2" t="inlineStr">
        <is>
          <t>defer — engine name wrong ((Conversion)); load a corrected name after 28 Oct</t>
        </is>
      </c>
      <c r="AA328" s="21" t="n">
        <v>0</v>
      </c>
      <c r="AB328" s="2" t="n">
        <v>0</v>
      </c>
      <c r="AC328" s="2" t="n">
        <v>0</v>
      </c>
      <c r="AD328" s="2" t="n"/>
      <c r="AE328" s="2" t="n"/>
      <c r="AF328" s="2" t="n"/>
      <c r="AG328" s="2" t="n">
        <v>0</v>
      </c>
      <c r="AH328" s="2" t="inlineStr">
        <is>
          <t>Retag only</t>
        </is>
      </c>
      <c r="AI328" s="22" t="inlineStr">
        <is>
          <t>retag → Conversions</t>
        </is>
      </c>
      <c r="AJ328" s="22" t="inlineStr">
        <is>
          <t>Objective Ranking → Conversions by the standard (colour term "queen sheet set satin grey"); no clicks in CC 31 Aug–29 Sep.</t>
        </is>
      </c>
      <c r="AK328" s="2" t="inlineStr">
        <is>
          <t>seq 3185 rename CHANGE; our addition: standard → Conversions (colour term "queen sheet set satin grey")</t>
        </is>
      </c>
      <c r="AL328" s="22" t="n"/>
    </row>
    <row r="329">
      <c r="A329" s="2" t="inlineStr">
        <is>
          <t>501527951504733</t>
        </is>
      </c>
      <c r="B329" s="2" t="inlineStr">
        <is>
          <t>D-S4-SP-queen sheet set white satin-(Satin)-HSV-Exact-Rank-DO-SATIN-WHITE-QUEEN</t>
        </is>
      </c>
      <c r="C329" s="2" t="inlineStr">
        <is>
          <t>queen sheet set white satin [exact]</t>
        </is>
      </c>
      <c r="D329" s="2" t="inlineStr">
        <is>
          <t>whole campaign</t>
        </is>
      </c>
      <c r="E329" s="2" t="inlineStr">
        <is>
          <t>ENABLED</t>
        </is>
      </c>
      <c r="F329" s="2" t="inlineStr">
        <is>
          <t>Ranking</t>
        </is>
      </c>
      <c r="G329" s="2" t="inlineStr">
        <is>
          <t>Conversions</t>
        </is>
      </c>
      <c r="H329" s="2" t="n"/>
      <c r="I329" s="2" t="inlineStr">
        <is>
          <t>Exact</t>
        </is>
      </c>
      <c r="J329" s="2" t="inlineStr">
        <is>
          <t>SATIN-WHITE-QUEEN</t>
        </is>
      </c>
      <c r="K329" s="2" t="inlineStr">
        <is>
          <t>SATIN-WHITE-QUEEN</t>
        </is>
      </c>
      <c r="L329" s="2" t="inlineStr">
        <is>
          <t>n/a (no target bid in audit)</t>
        </is>
      </c>
      <c r="M329" s="2" t="inlineStr">
        <is>
          <t>n/a</t>
        </is>
      </c>
      <c r="N329" s="2" t="n">
        <v>50</v>
      </c>
      <c r="O329" s="2" t="n">
        <v>50</v>
      </c>
      <c r="P329" s="21" t="n"/>
      <c r="Q329" s="21" t="n"/>
      <c r="R329" s="2" t="n"/>
      <c r="S329" s="2" t="n"/>
      <c r="T329" s="2" t="n"/>
      <c r="U329" s="2" t="n"/>
      <c r="V329" s="21" t="n">
        <v>30</v>
      </c>
      <c r="W329" s="21" t="n">
        <v>30</v>
      </c>
      <c r="X329" s="2" t="inlineStr">
        <is>
          <t>ENABLED</t>
        </is>
      </c>
      <c r="Y329" s="2" t="inlineStr">
        <is>
          <t>none</t>
        </is>
      </c>
      <c r="Z329" s="2" t="inlineStr">
        <is>
          <t>defer — engine name wrong ((Conversion)); load a corrected name after 28 Oct</t>
        </is>
      </c>
      <c r="AA329" s="21" t="n">
        <v>0</v>
      </c>
      <c r="AB329" s="2" t="n">
        <v>0</v>
      </c>
      <c r="AC329" s="2" t="n">
        <v>0</v>
      </c>
      <c r="AD329" s="2" t="n"/>
      <c r="AE329" s="2" t="n"/>
      <c r="AF329" s="2" t="n"/>
      <c r="AG329" s="2" t="n">
        <v>0</v>
      </c>
      <c r="AH329" s="2" t="inlineStr">
        <is>
          <t>Retag only</t>
        </is>
      </c>
      <c r="AI329" s="22" t="inlineStr">
        <is>
          <t>retag → Conversions</t>
        </is>
      </c>
      <c r="AJ329" s="22" t="inlineStr">
        <is>
          <t>Objective Ranking → Conversions by the standard (colour term "queen sheet set white satin"); no clicks in CC 31 Aug–29 Sep.</t>
        </is>
      </c>
      <c r="AK329" s="2" t="inlineStr">
        <is>
          <t>seq 3266 rename CHANGE; our addition: standard → Conversions (colour term "queen sheet set white satin")</t>
        </is>
      </c>
      <c r="AL329" s="22" t="n"/>
    </row>
    <row r="330">
      <c r="A330" s="2" t="inlineStr">
        <is>
          <t>123478651326104</t>
        </is>
      </c>
      <c r="B330" s="2" t="inlineStr">
        <is>
          <t>D-S4-SP-queen sheets 12 inch mattress satin-(Satin)-LSV-Exact-Rank-DO-SATIN-QUEEN-GREY</t>
        </is>
      </c>
      <c r="C330" s="2" t="inlineStr">
        <is>
          <t>queen sheet satin set [exact, paused, $2.34]; queen sheets 12 inch mattress satin [exact, $1.90]; queen sheets set [exact, paused, $2.40]</t>
        </is>
      </c>
      <c r="D330" s="2" t="inlineStr">
        <is>
          <t>—</t>
        </is>
      </c>
      <c r="E330" s="2" t="inlineStr">
        <is>
          <t>ENABLED</t>
        </is>
      </c>
      <c r="F330" s="2" t="inlineStr">
        <is>
          <t>Ranking</t>
        </is>
      </c>
      <c r="G330" s="2" t="inlineStr">
        <is>
          <t>Ranking</t>
        </is>
      </c>
      <c r="H330" s="2" t="inlineStr">
        <is>
          <t>OUT</t>
        </is>
      </c>
      <c r="I330" s="2" t="inlineStr">
        <is>
          <t>Exact</t>
        </is>
      </c>
      <c r="J330" s="2" t="inlineStr">
        <is>
          <t>SATIN-QUEEN-BLACK</t>
        </is>
      </c>
      <c r="K330" s="2" t="inlineStr">
        <is>
          <t>SATIN-QUEEN-BLACK</t>
        </is>
      </c>
      <c r="L330" s="2" t="inlineStr">
        <is>
          <t>$1.90</t>
        </is>
      </c>
      <c r="M330" s="2" t="inlineStr">
        <is>
          <t>$1.90</t>
        </is>
      </c>
      <c r="N330" s="2" t="n">
        <v>0</v>
      </c>
      <c r="O330" s="2" t="n">
        <v>0</v>
      </c>
      <c r="P330" s="21" t="n">
        <v>1.9</v>
      </c>
      <c r="Q330" s="21" t="n">
        <v>1.9</v>
      </c>
      <c r="R330" s="2" t="n">
        <v>0</v>
      </c>
      <c r="S330" s="2" t="n">
        <v>0</v>
      </c>
      <c r="T330" s="2" t="n">
        <v>0</v>
      </c>
      <c r="U330" s="2" t="n">
        <v>0</v>
      </c>
      <c r="V330" s="21" t="n">
        <v>5</v>
      </c>
      <c r="W330" s="21" t="n">
        <v>5</v>
      </c>
      <c r="X330" s="2" t="inlineStr">
        <is>
          <t>ENABLED</t>
        </is>
      </c>
      <c r="Y330" s="2" t="inlineStr">
        <is>
          <t>none</t>
        </is>
      </c>
      <c r="Z330" s="2" t="inlineStr">
        <is>
          <t>defer — engine name wrong (SKU token SATIN-QUEEN-BLACK); load a corrected name after 28 Oct</t>
        </is>
      </c>
      <c r="AA330" s="21" t="n">
        <v>0</v>
      </c>
      <c r="AB330" s="2" t="n">
        <v>0</v>
      </c>
      <c r="AC330" s="2" t="n">
        <v>0</v>
      </c>
      <c r="AD330" s="2" t="n"/>
      <c r="AE330" s="2" t="n"/>
      <c r="AF330" s="2" t="n"/>
      <c r="AG330" s="2" t="n">
        <v>0</v>
      </c>
      <c r="AH330" s="2" t="inlineStr">
        <is>
          <t>No change (engine move rejected/held)</t>
        </is>
      </c>
      <c r="AI330" s="22" t="inlineStr">
        <is>
          <t>No change (reject engine child swap seq 1886; defer engine rename)</t>
        </is>
      </c>
      <c r="AJ330" s="22" t="inlineStr">
        <is>
          <t>Engine swap SATIN-QUEEN-BLACK → SATIN-4PCS-QUEEN-STONE-GREY rejected: the pick comes from the broken size map, and SATIN-QUEEN-BLACK is the size's best seller with cover (SB 30 Aug–29 Sep); the engine rename writes a wrong token and is deferred; no clicks in CC 31 Aug–29 Sep.</t>
        </is>
      </c>
      <c r="AK330" s="2" t="inlineStr">
        <is>
          <t>seq 1886 child: reject — keep SATIN-QUEEN-BLACK; seq 3078 rename CHANGE</t>
        </is>
      </c>
      <c r="AL330" s="22" t="n"/>
    </row>
    <row r="331">
      <c r="A331" s="2" t="inlineStr">
        <is>
          <t>48606960339600</t>
        </is>
      </c>
      <c r="B331" s="2" t="inlineStr">
        <is>
          <t>D-S4-SP-queen silky bed sheets-(Bed)-MSV-Exact-Rank-DO-SATIN-QUEEN-BLACK</t>
        </is>
      </c>
      <c r="C331" s="2" t="inlineStr">
        <is>
          <t>queen silky bed sheets [exact, $1.90]; queen silky sheets [exact, paused, $0.99]</t>
        </is>
      </c>
      <c r="D331" s="2" t="inlineStr">
        <is>
          <t>—</t>
        </is>
      </c>
      <c r="E331" s="2" t="inlineStr">
        <is>
          <t>ENABLED</t>
        </is>
      </c>
      <c r="F331" s="2" t="inlineStr">
        <is>
          <t>Ranking</t>
        </is>
      </c>
      <c r="G331" s="2" t="inlineStr">
        <is>
          <t>Ranking</t>
        </is>
      </c>
      <c r="H331" s="2" t="inlineStr">
        <is>
          <t>OUT</t>
        </is>
      </c>
      <c r="I331" s="2" t="inlineStr">
        <is>
          <t>Exact</t>
        </is>
      </c>
      <c r="J331" s="2" t="inlineStr">
        <is>
          <t>SATIN-QUEEN-BLACK</t>
        </is>
      </c>
      <c r="K331" s="2" t="inlineStr">
        <is>
          <t>SATIN-QUEEN-BLACK</t>
        </is>
      </c>
      <c r="L331" s="2" t="inlineStr">
        <is>
          <t>$1.90</t>
        </is>
      </c>
      <c r="M331" s="2" t="inlineStr">
        <is>
          <t>$1.90</t>
        </is>
      </c>
      <c r="N331" s="2" t="n">
        <v>50</v>
      </c>
      <c r="O331" s="2" t="n">
        <v>50</v>
      </c>
      <c r="P331" s="21" t="n">
        <v>2.85</v>
      </c>
      <c r="Q331" s="21" t="n">
        <v>2.85</v>
      </c>
      <c r="R331" s="2" t="n">
        <v>0</v>
      </c>
      <c r="S331" s="2" t="n">
        <v>0</v>
      </c>
      <c r="T331" s="2" t="n">
        <v>0</v>
      </c>
      <c r="U331" s="2" t="n">
        <v>0</v>
      </c>
      <c r="V331" s="21" t="n">
        <v>1</v>
      </c>
      <c r="W331" s="21" t="n">
        <v>1</v>
      </c>
      <c r="X331" s="2" t="inlineStr">
        <is>
          <t>ENABLED</t>
        </is>
      </c>
      <c r="Y331" s="2" t="inlineStr">
        <is>
          <t>none</t>
        </is>
      </c>
      <c r="Z331" s="2" t="inlineStr">
        <is>
          <t>defer — engine name wrong (SKU token SATIN-QUEEN-BLACK); load a corrected name after 28 Oct</t>
        </is>
      </c>
      <c r="AA331" s="21" t="n">
        <v>0</v>
      </c>
      <c r="AB331" s="2" t="n">
        <v>0</v>
      </c>
      <c r="AC331" s="2" t="n">
        <v>0</v>
      </c>
      <c r="AD331" s="2" t="n"/>
      <c r="AE331" s="2" t="n"/>
      <c r="AF331" s="2" t="n"/>
      <c r="AG331" s="2" t="n">
        <v>0</v>
      </c>
      <c r="AH331" s="2" t="inlineStr">
        <is>
          <t>No change (engine move rejected/held)</t>
        </is>
      </c>
      <c r="AI331" s="22" t="inlineStr">
        <is>
          <t>No change (reject engine child swap seq 1948; defer engine rename)</t>
        </is>
      </c>
      <c r="AJ331" s="22" t="inlineStr">
        <is>
          <t>Engine swap SATIN-QUEEN-BLACK → SATIN-4PCS-QUEEN-STONE-GREY rejected: the pick comes from the broken size map, and SATIN-QUEEN-BLACK is the size's best seller with cover (SB 30 Aug–29 Sep); the engine rename writes a wrong token and is deferred; no clicks in CC 31 Aug–29 Sep.</t>
        </is>
      </c>
      <c r="AK331" s="2" t="inlineStr">
        <is>
          <t>seq 1948 child: reject — keep SATIN-QUEEN-BLACK; seq 3259 rename CHANGE</t>
        </is>
      </c>
      <c r="AL331" s="22" t="n"/>
    </row>
    <row r="332">
      <c r="A332" s="2" t="inlineStr">
        <is>
          <t>276150784060346</t>
        </is>
      </c>
      <c r="B332" s="2" t="inlineStr">
        <is>
          <t>D-S4-SP-queen size sheets and pillow case set satin-(Satin)-MSV-Exact-Rank-DO-SATIN-QUEEN-BLACK</t>
        </is>
      </c>
      <c r="C332" s="2" t="inlineStr">
        <is>
          <t>queen size satin or silk sheets [exact]</t>
        </is>
      </c>
      <c r="D332" s="2" t="inlineStr">
        <is>
          <t>—</t>
        </is>
      </c>
      <c r="E332" s="2" t="inlineStr">
        <is>
          <t>ENABLED</t>
        </is>
      </c>
      <c r="F332" s="2" t="inlineStr">
        <is>
          <t>Ranking</t>
        </is>
      </c>
      <c r="G332" s="2" t="inlineStr">
        <is>
          <t>Ranking</t>
        </is>
      </c>
      <c r="H332" s="2" t="n"/>
      <c r="I332" s="2" t="inlineStr">
        <is>
          <t>Exact</t>
        </is>
      </c>
      <c r="J332" s="2" t="inlineStr">
        <is>
          <t>SATIN-QUEEN-BLACK</t>
        </is>
      </c>
      <c r="K332" s="2" t="inlineStr">
        <is>
          <t>SATIN-QUEEN-BLACK</t>
        </is>
      </c>
      <c r="L332" s="2" t="inlineStr">
        <is>
          <t>n/a (no target bid in audit)</t>
        </is>
      </c>
      <c r="M332" s="2" t="inlineStr">
        <is>
          <t>n/a</t>
        </is>
      </c>
      <c r="N332" s="2" t="n">
        <v>50</v>
      </c>
      <c r="O332" s="2" t="n">
        <v>50</v>
      </c>
      <c r="P332" s="21" t="n"/>
      <c r="Q332" s="21" t="n"/>
      <c r="R332" s="2" t="n"/>
      <c r="S332" s="2" t="n"/>
      <c r="T332" s="2" t="n"/>
      <c r="U332" s="2" t="n"/>
      <c r="V332" s="21" t="n">
        <v>5</v>
      </c>
      <c r="W332" s="21" t="n">
        <v>5</v>
      </c>
      <c r="X332" s="2" t="inlineStr">
        <is>
          <t>ENABLED</t>
        </is>
      </c>
      <c r="Y332" s="2" t="inlineStr">
        <is>
          <t>none</t>
        </is>
      </c>
      <c r="Z332" s="2" t="inlineStr">
        <is>
          <t>defer — engine name wrong (SKU token SATIN-QUEEN-BLACK); load a corrected name after 28 Oct</t>
        </is>
      </c>
      <c r="AA332" s="21" t="n">
        <v>0</v>
      </c>
      <c r="AB332" s="2" t="n">
        <v>0</v>
      </c>
      <c r="AC332" s="2" t="n">
        <v>0</v>
      </c>
      <c r="AD332" s="2" t="n"/>
      <c r="AE332" s="2" t="n"/>
      <c r="AF332" s="2" t="n"/>
      <c r="AG332" s="2" t="n">
        <v>0</v>
      </c>
      <c r="AH332" s="2" t="inlineStr">
        <is>
          <t>No change (engine move rejected/held)</t>
        </is>
      </c>
      <c r="AI332" s="22" t="inlineStr">
        <is>
          <t>No change (reject engine child swap seq 1926; defer engine rename)</t>
        </is>
      </c>
      <c r="AJ332" s="22" t="inlineStr">
        <is>
          <t>Engine swap SATIN-QUEEN-BLACK → SATIN-4PCS-QUEEN-STONE-GREY rejected: the pick comes from the broken size map, and SATIN-QUEEN-BLACK is the size's best seller with cover (SB 30 Aug–29 Sep); the engine rename writes a wrong token and is deferred; no clicks in CC 31 Aug–29 Sep.</t>
        </is>
      </c>
      <c r="AK332" s="2" t="inlineStr">
        <is>
          <t>seq 1926 child: reject — keep SATIN-QUEEN-BLACK; seq 3207 rename CHANGE</t>
        </is>
      </c>
      <c r="AL332" s="22" t="n"/>
    </row>
    <row r="333">
      <c r="A333" s="2" t="inlineStr">
        <is>
          <t>210646416509812</t>
        </is>
      </c>
      <c r="B333" s="2" t="inlineStr">
        <is>
          <t>D-S4-SP-queen sized silk sheets set-(Silk)-HSV-Exact-Rank-DO-SATIN-QUEEN-GREY</t>
        </is>
      </c>
      <c r="C333" s="2" t="inlineStr">
        <is>
          <t>queen sized silk sheets set [exact, $0.50]</t>
        </is>
      </c>
      <c r="D333" s="2" t="inlineStr">
        <is>
          <t>queen sized silk sheets set</t>
        </is>
      </c>
      <c r="E333" s="2" t="inlineStr">
        <is>
          <t>ENABLED</t>
        </is>
      </c>
      <c r="F333" s="2" t="inlineStr">
        <is>
          <t>Ranking</t>
        </is>
      </c>
      <c r="G333" s="2" t="inlineStr">
        <is>
          <t>Ranking</t>
        </is>
      </c>
      <c r="H333" s="2" t="inlineStr">
        <is>
          <t>OUT</t>
        </is>
      </c>
      <c r="I333" s="2" t="inlineStr">
        <is>
          <t>Exact</t>
        </is>
      </c>
      <c r="J333" s="2" t="inlineStr">
        <is>
          <t>SATIN-QUEEN-BLACK</t>
        </is>
      </c>
      <c r="K333" s="2" t="inlineStr">
        <is>
          <t>SATIN-QUEEN-BLACK</t>
        </is>
      </c>
      <c r="L333" s="2" t="inlineStr">
        <is>
          <t>$0.50</t>
        </is>
      </c>
      <c r="M333" s="2" t="inlineStr">
        <is>
          <t>$0.50</t>
        </is>
      </c>
      <c r="N333" s="2" t="n">
        <v>85</v>
      </c>
      <c r="O333" s="2" t="n">
        <v>85</v>
      </c>
      <c r="P333" s="21" t="n">
        <v>0.93</v>
      </c>
      <c r="Q333" s="21" t="n">
        <v>0.93</v>
      </c>
      <c r="R333" s="2" t="n">
        <v>0</v>
      </c>
      <c r="S333" s="2" t="n">
        <v>0</v>
      </c>
      <c r="T333" s="2" t="n">
        <v>10</v>
      </c>
      <c r="U333" s="2" t="n">
        <v>10</v>
      </c>
      <c r="V333" s="21" t="n">
        <v>30</v>
      </c>
      <c r="W333" s="21" t="n">
        <v>30</v>
      </c>
      <c r="X333" s="2" t="inlineStr">
        <is>
          <t>ENABLED</t>
        </is>
      </c>
      <c r="Y333" s="2" t="inlineStr">
        <is>
          <t>none</t>
        </is>
      </c>
      <c r="Z333" s="2" t="inlineStr">
        <is>
          <t>defer — engine name wrong (SKU token SATIN-QUEEN-BLACK); load a corrected name after 28 Oct</t>
        </is>
      </c>
      <c r="AA333" s="21" t="n">
        <v>0</v>
      </c>
      <c r="AB333" s="2" t="n">
        <v>0</v>
      </c>
      <c r="AC333" s="2" t="n">
        <v>0</v>
      </c>
      <c r="AD333" s="2" t="n"/>
      <c r="AE333" s="2" t="n"/>
      <c r="AF333" s="2" t="n"/>
      <c r="AG333" s="2" t="n">
        <v>12</v>
      </c>
      <c r="AH333" s="2" t="inlineStr">
        <is>
          <t>Release hold, keep price</t>
        </is>
      </c>
      <c r="AI333" s="22" t="inlineStr">
        <is>
          <t>Release hold; keep base (no clicks 30d)</t>
        </is>
      </c>
      <c r="AJ333" s="22" t="inlineStr">
        <is>
          <t>The "0 impressions" hold is false, but the campaign had no clicks in CC 31 Aug–29 Sep, so a base cut would only lower delivery.</t>
        </is>
      </c>
      <c r="AK333" s="2" t="inlineStr">
        <is>
          <t>seq 1910 child: reject — keep SATIN-QUEEN-BLACK; seq 3153 rename CHANGE; seq 656 NOT SERVING hold(s) → release; price to break-even (our addition, reviewer D)</t>
        </is>
      </c>
      <c r="AL333" s="22" t="n"/>
    </row>
    <row r="334">
      <c r="A334" s="2" t="inlineStr">
        <is>
          <t>460070497613641</t>
        </is>
      </c>
      <c r="B334" s="2" t="inlineStr">
        <is>
          <t>D-S4-SP-real satin sheets queen size-(Satin)-HSV-Exact-Rank-DO-SATIN-QUEEN-GREY-FBM</t>
        </is>
      </c>
      <c r="C334" s="2" t="inlineStr">
        <is>
          <t>real satin sheets queen size [exact, $1.90]</t>
        </is>
      </c>
      <c r="D334" s="2" t="inlineStr">
        <is>
          <t>whole campaign</t>
        </is>
      </c>
      <c r="E334" s="2" t="inlineStr">
        <is>
          <t>ENABLED</t>
        </is>
      </c>
      <c r="F334" s="2" t="inlineStr">
        <is>
          <t>Ranking</t>
        </is>
      </c>
      <c r="G334" s="2" t="inlineStr">
        <is>
          <t>Conversions</t>
        </is>
      </c>
      <c r="H334" s="2" t="inlineStr">
        <is>
          <t>OUT</t>
        </is>
      </c>
      <c r="I334" s="2" t="inlineStr">
        <is>
          <t>Exact</t>
        </is>
      </c>
      <c r="J334" s="2" t="inlineStr">
        <is>
          <t>SATIN-QUEEN-BLACK</t>
        </is>
      </c>
      <c r="K334" s="2" t="inlineStr">
        <is>
          <t>SATIN-QUEEN-BLACK</t>
        </is>
      </c>
      <c r="L334" s="2" t="inlineStr">
        <is>
          <t>$1.90</t>
        </is>
      </c>
      <c r="M334" s="2" t="inlineStr">
        <is>
          <t>$1.90</t>
        </is>
      </c>
      <c r="N334" s="2" t="n">
        <v>0</v>
      </c>
      <c r="O334" s="2" t="n">
        <v>0</v>
      </c>
      <c r="P334" s="21" t="n">
        <v>1.9</v>
      </c>
      <c r="Q334" s="21" t="n">
        <v>1.9</v>
      </c>
      <c r="R334" s="2" t="n">
        <v>0</v>
      </c>
      <c r="S334" s="2" t="n">
        <v>0</v>
      </c>
      <c r="T334" s="2" t="n">
        <v>0</v>
      </c>
      <c r="U334" s="2" t="n">
        <v>0</v>
      </c>
      <c r="V334" s="21" t="n">
        <v>5</v>
      </c>
      <c r="W334" s="21" t="n">
        <v>5</v>
      </c>
      <c r="X334" s="2" t="inlineStr">
        <is>
          <t>ENABLED</t>
        </is>
      </c>
      <c r="Y334" s="2" t="inlineStr">
        <is>
          <t>none</t>
        </is>
      </c>
      <c r="Z334" s="2" t="inlineStr">
        <is>
          <t>defer — engine name wrong (SKU token SATIN-QUEEN-BLACK; (Conversion)); load a corrected name after 28 Oct</t>
        </is>
      </c>
      <c r="AA334" s="21" t="n">
        <v>0</v>
      </c>
      <c r="AB334" s="2" t="n">
        <v>0</v>
      </c>
      <c r="AC334" s="2" t="n">
        <v>0</v>
      </c>
      <c r="AD334" s="2" t="n"/>
      <c r="AE334" s="2" t="n"/>
      <c r="AF334" s="2" t="n"/>
      <c r="AG334" s="2" t="n">
        <v>0</v>
      </c>
      <c r="AH334" s="2" t="inlineStr">
        <is>
          <t>Retag only</t>
        </is>
      </c>
      <c r="AI334" s="22" t="inlineStr">
        <is>
          <t>retag → Conversions</t>
        </is>
      </c>
      <c r="AJ334" s="22" t="inlineStr">
        <is>
          <t>Objective Ranking → Conversions by the standard (misspelled/irrelevant term "real satin sheets queen size"); no clicks in CC 31 Aug–29 Sep.</t>
        </is>
      </c>
      <c r="AK334" s="2" t="inlineStr">
        <is>
          <t>seq 1945 child: reject — keep SATIN-QUEEN-BLACK; seq 3253 rename CHANGE; our addition: standard → Conversions (misspelled/irrelevant term "real satin sheets queen size")</t>
        </is>
      </c>
      <c r="AL334" s="22" t="n"/>
    </row>
    <row r="335">
      <c r="A335" s="2" t="inlineStr">
        <is>
          <t>51241896755542</t>
        </is>
      </c>
      <c r="B335" s="2" t="inlineStr">
        <is>
          <t>D-S4-SP-red satin fitted sheet queen-(Satin)-HSV-Exact-Rank-DO-SATIN-RED-QUEEN</t>
        </is>
      </c>
      <c r="C335" s="2" t="inlineStr">
        <is>
          <t>red satin fitted sheet queen [exact, $1.90]</t>
        </is>
      </c>
      <c r="D335" s="2" t="inlineStr">
        <is>
          <t>red satin fitted sheet queen</t>
        </is>
      </c>
      <c r="E335" s="2" t="inlineStr">
        <is>
          <t>ENABLED</t>
        </is>
      </c>
      <c r="F335" s="2" t="inlineStr">
        <is>
          <t>Ranking</t>
        </is>
      </c>
      <c r="G335" s="2" t="inlineStr">
        <is>
          <t>Conversions</t>
        </is>
      </c>
      <c r="H335" s="2" t="inlineStr">
        <is>
          <t>OUT</t>
        </is>
      </c>
      <c r="I335" s="2" t="inlineStr">
        <is>
          <t>Exact</t>
        </is>
      </c>
      <c r="J335" s="2" t="inlineStr">
        <is>
          <t>SATIN-4PC-RED-QUEEN</t>
        </is>
      </c>
      <c r="K335" s="2" t="inlineStr">
        <is>
          <t>SATIN-4PC-RED-QUEEN</t>
        </is>
      </c>
      <c r="L335" s="2" t="inlineStr">
        <is>
          <t>$1.90</t>
        </is>
      </c>
      <c r="M335" s="2" t="inlineStr">
        <is>
          <t>$1.90</t>
        </is>
      </c>
      <c r="N335" s="2" t="n">
        <v>0</v>
      </c>
      <c r="O335" s="2" t="n">
        <v>0</v>
      </c>
      <c r="P335" s="21" t="n">
        <v>1.9</v>
      </c>
      <c r="Q335" s="21" t="n">
        <v>1.9</v>
      </c>
      <c r="R335" s="2" t="n">
        <v>0</v>
      </c>
      <c r="S335" s="2" t="n">
        <v>0</v>
      </c>
      <c r="T335" s="2" t="n">
        <v>0</v>
      </c>
      <c r="U335" s="2" t="n">
        <v>0</v>
      </c>
      <c r="V335" s="21" t="n">
        <v>5</v>
      </c>
      <c r="W335" s="21" t="n">
        <v>5</v>
      </c>
      <c r="X335" s="2" t="inlineStr">
        <is>
          <t>PAUSED</t>
        </is>
      </c>
      <c r="Y335" s="2" t="inlineStr">
        <is>
          <t>none</t>
        </is>
      </c>
      <c r="Z335" s="2" t="inlineStr">
        <is>
          <t>defer — engine name wrong ((Conversion)); load a corrected name after 28 Oct</t>
        </is>
      </c>
      <c r="AA335" s="21" t="n">
        <v>0</v>
      </c>
      <c r="AB335" s="2" t="n">
        <v>0</v>
      </c>
      <c r="AC335" s="2" t="n">
        <v>0</v>
      </c>
      <c r="AD335" s="2" t="n"/>
      <c r="AE335" s="2" t="n"/>
      <c r="AF335" s="2" t="n"/>
      <c r="AG335" s="2" t="n">
        <v>0</v>
      </c>
      <c r="AH335" s="2" t="inlineStr">
        <is>
          <t>Pause</t>
        </is>
      </c>
      <c r="AI335" s="22" t="inlineStr">
        <is>
          <t>Pause target "red satin fitted sheet queen" (its only target — campaign goes dark); retag → Conversions</t>
        </is>
      </c>
      <c r="AJ335" s="22" t="inlineStr">
        <is>
          <t>Engine target pause agreed with review 40: Ranking campaign on a Re-Launch product whose objective is re-ranking — this campaign supports the push and is graded on its own objective's metric, never on the ranking bar (do…</t>
        </is>
      </c>
      <c r="AK335" s="2" t="inlineStr">
        <is>
          <t>seq 2065 state: agree with review 40; seq 3270 rename CHANGE; our addition: standard → Conversions (colour term "red satin fitted sheet queen")</t>
        </is>
      </c>
      <c r="AL335" s="22" t="n"/>
    </row>
    <row r="336">
      <c r="A336" s="2" t="inlineStr">
        <is>
          <t>534938994460407</t>
        </is>
      </c>
      <c r="B336" s="2" t="inlineStr">
        <is>
          <t>D-S4-SP-red silk sheets-(Silk)-HSV-Exact-Rank-DO-SATIN-4PCS-KING-RED</t>
        </is>
      </c>
      <c r="C336" s="2" t="inlineStr">
        <is>
          <t>red silk sheets [exact]</t>
        </is>
      </c>
      <c r="D336" s="2" t="inlineStr">
        <is>
          <t>whole campaign</t>
        </is>
      </c>
      <c r="E336" s="2" t="inlineStr">
        <is>
          <t>PAUSED</t>
        </is>
      </c>
      <c r="F336" s="2" t="inlineStr">
        <is>
          <t>Ranking</t>
        </is>
      </c>
      <c r="G336" s="2" t="inlineStr">
        <is>
          <t>Conversions</t>
        </is>
      </c>
      <c r="H336" s="2" t="n"/>
      <c r="I336" s="2" t="inlineStr">
        <is>
          <t>Exact</t>
        </is>
      </c>
      <c r="J336" s="2" t="inlineStr">
        <is>
          <t>SATIN-4PCS-KING-RED</t>
        </is>
      </c>
      <c r="K336" s="2" t="inlineStr">
        <is>
          <t>SATIN-4PCS-KING-RED</t>
        </is>
      </c>
      <c r="L336" s="2" t="inlineStr">
        <is>
          <t>n/a (no target bid in audit)</t>
        </is>
      </c>
      <c r="M336" s="2" t="inlineStr">
        <is>
          <t>n/a</t>
        </is>
      </c>
      <c r="N336" s="2" t="n">
        <v>87</v>
      </c>
      <c r="O336" s="2" t="n">
        <v>87</v>
      </c>
      <c r="P336" s="21" t="n"/>
      <c r="Q336" s="21" t="n"/>
      <c r="R336" s="2" t="n"/>
      <c r="S336" s="2" t="n"/>
      <c r="T336" s="2" t="n"/>
      <c r="U336" s="2" t="n"/>
      <c r="V336" s="21" t="n">
        <v>10</v>
      </c>
      <c r="W336" s="21" t="n">
        <v>10</v>
      </c>
      <c r="X336" s="2" t="inlineStr">
        <is>
          <t>ENABLED</t>
        </is>
      </c>
      <c r="Y336" s="2" t="inlineStr">
        <is>
          <t>none</t>
        </is>
      </c>
      <c r="Z336" s="2" t="inlineStr">
        <is>
          <t>defer — engine name wrong ((Conversion)); load a corrected name after 28 Oct</t>
        </is>
      </c>
      <c r="AA336" s="21" t="n">
        <v>0</v>
      </c>
      <c r="AB336" s="2" t="n">
        <v>0</v>
      </c>
      <c r="AC336" s="2" t="n">
        <v>0</v>
      </c>
      <c r="AD336" s="2" t="n"/>
      <c r="AE336" s="2" t="n"/>
      <c r="AF336" s="2" t="n"/>
      <c r="AG336" s="2" t="n">
        <v>34</v>
      </c>
      <c r="AH336" s="2" t="inlineStr">
        <is>
          <t>Revive at break-even</t>
        </is>
      </c>
      <c r="AI336" s="22" t="inlineStr">
        <is>
          <t>Revive at break-even base ($1.06 max); retag → Conversions</t>
        </is>
      </c>
      <c r="AJ336" s="22" t="inlineStr">
        <is>
          <t>King Red is in stock: 262 available plus 402 inbound (SB 9/29). The review's stock reason is wrong.</t>
        </is>
      </c>
      <c r="AK336" s="2" t="inlineStr">
        <is>
          <t>seq 2831 structure: correct: revive at ruling-D price; seq 3332 rename CHANGE; our addition: standard → Conversions (colour term "red silk sheets")</t>
        </is>
      </c>
      <c r="AL336" s="22" t="n"/>
    </row>
    <row r="337">
      <c r="A337" s="2" t="inlineStr">
        <is>
          <t>364334928191711</t>
        </is>
      </c>
      <c r="B337" s="2" t="inlineStr">
        <is>
          <t>D-S4-SP-red silk sheets-(Silk)-HSV-Exact-Rank-DO-SATIN-RED-QUEEN</t>
        </is>
      </c>
      <c r="C337" s="2" t="inlineStr">
        <is>
          <t>red silk sheets [exact, $2.31]</t>
        </is>
      </c>
      <c r="D337" s="2" t="inlineStr">
        <is>
          <t>whole campaign</t>
        </is>
      </c>
      <c r="E337" s="2" t="inlineStr">
        <is>
          <t>PAUSED</t>
        </is>
      </c>
      <c r="F337" s="2" t="inlineStr">
        <is>
          <t>Ranking</t>
        </is>
      </c>
      <c r="G337" s="2" t="inlineStr">
        <is>
          <t>Conversions</t>
        </is>
      </c>
      <c r="H337" s="2" t="inlineStr">
        <is>
          <t>OUT</t>
        </is>
      </c>
      <c r="I337" s="2" t="inlineStr">
        <is>
          <t>Exact</t>
        </is>
      </c>
      <c r="J337" s="2" t="inlineStr">
        <is>
          <t>SATIN-4PC-RED-QUEEN</t>
        </is>
      </c>
      <c r="K337" s="2" t="inlineStr">
        <is>
          <t>SATIN-4PC-RED-QUEEN</t>
        </is>
      </c>
      <c r="L337" s="2" t="inlineStr">
        <is>
          <t>$2.31</t>
        </is>
      </c>
      <c r="M337" s="2" t="inlineStr">
        <is>
          <t>$2.31</t>
        </is>
      </c>
      <c r="N337" s="2" t="n">
        <v>45</v>
      </c>
      <c r="O337" s="2" t="n">
        <v>45</v>
      </c>
      <c r="P337" s="21" t="n">
        <v>3.35</v>
      </c>
      <c r="Q337" s="21" t="n">
        <v>3.35</v>
      </c>
      <c r="R337" s="2" t="n">
        <v>0</v>
      </c>
      <c r="S337" s="2" t="n">
        <v>0</v>
      </c>
      <c r="T337" s="2" t="n">
        <v>0</v>
      </c>
      <c r="U337" s="2" t="n">
        <v>0</v>
      </c>
      <c r="V337" s="21" t="n">
        <v>10</v>
      </c>
      <c r="W337" s="21" t="n">
        <v>10</v>
      </c>
      <c r="X337" s="2" t="inlineStr">
        <is>
          <t>PAUSED</t>
        </is>
      </c>
      <c r="Y337" s="2" t="inlineStr">
        <is>
          <t>none</t>
        </is>
      </c>
      <c r="Z337" s="2" t="inlineStr">
        <is>
          <t>defer — engine name wrong ((Conversion)); load a corrected name after 28 Oct</t>
        </is>
      </c>
      <c r="AA337" s="21" t="n">
        <v>0</v>
      </c>
      <c r="AB337" s="2" t="n">
        <v>0</v>
      </c>
      <c r="AC337" s="2" t="n">
        <v>0</v>
      </c>
      <c r="AD337" s="2" t="n"/>
      <c r="AE337" s="2" t="n"/>
      <c r="AF337" s="2" t="n"/>
      <c r="AG337" s="2" t="n">
        <v>1</v>
      </c>
      <c r="AH337" s="2" t="inlineStr">
        <is>
          <t>Retag only</t>
        </is>
      </c>
      <c r="AI337" s="22" t="inlineStr">
        <is>
          <t>retag → Conversions</t>
        </is>
      </c>
      <c r="AJ337" s="22" t="inlineStr">
        <is>
          <t>Objective Ranking → Conversions by the standard (colour term "red silk sheets"); no clicks in CC 31 Aug–29 Sep.</t>
        </is>
      </c>
      <c r="AK337" s="2" t="inlineStr">
        <is>
          <t>seq 3321 rename CHANGE; our addition: standard → Conversions (colour term "red silk sheets")</t>
        </is>
      </c>
      <c r="AL337" s="22" t="n"/>
    </row>
    <row r="338">
      <c r="A338" s="2" t="inlineStr">
        <is>
          <t>270072732682449</t>
        </is>
      </c>
      <c r="B338" s="2" t="inlineStr">
        <is>
          <t>D-S4-SP-red silky sheet set queen-(Sheet)-VLSV-Exact-Rank-DO-SATIN-4PC-RED-QUEEN</t>
        </is>
      </c>
      <c r="C338" s="2" t="inlineStr">
        <is>
          <t>red silky sheet set queen [exact]</t>
        </is>
      </c>
      <c r="D338" s="2" t="inlineStr">
        <is>
          <t>whole campaign</t>
        </is>
      </c>
      <c r="E338" s="2" t="inlineStr">
        <is>
          <t>ENABLED</t>
        </is>
      </c>
      <c r="F338" s="2" t="inlineStr">
        <is>
          <t>Ranking</t>
        </is>
      </c>
      <c r="G338" s="2" t="inlineStr">
        <is>
          <t>Conversions</t>
        </is>
      </c>
      <c r="H338" s="2" t="n"/>
      <c r="I338" s="2" t="inlineStr">
        <is>
          <t>Exact</t>
        </is>
      </c>
      <c r="J338" s="2" t="inlineStr">
        <is>
          <t>SATIN-4PC-RED-QUEEN</t>
        </is>
      </c>
      <c r="K338" s="2" t="inlineStr">
        <is>
          <t>SATIN-4PCS-KING-RED</t>
        </is>
      </c>
      <c r="L338" s="2" t="inlineStr">
        <is>
          <t>n/a (no target bid in audit)</t>
        </is>
      </c>
      <c r="M338" s="2" t="inlineStr">
        <is>
          <t>n/a</t>
        </is>
      </c>
      <c r="N338" s="2" t="n">
        <v>20</v>
      </c>
      <c r="O338" s="2" t="n">
        <v>20</v>
      </c>
      <c r="P338" s="21" t="n"/>
      <c r="Q338" s="21" t="n"/>
      <c r="R338" s="2" t="n"/>
      <c r="S338" s="2" t="n"/>
      <c r="T338" s="2" t="n"/>
      <c r="U338" s="2" t="n"/>
      <c r="V338" s="21" t="n">
        <v>1</v>
      </c>
      <c r="W338" s="21" t="n">
        <v>1</v>
      </c>
      <c r="X338" s="2" t="inlineStr">
        <is>
          <t>ENABLED</t>
        </is>
      </c>
      <c r="Y338" s="2" t="inlineStr">
        <is>
          <t>none</t>
        </is>
      </c>
      <c r="Z338" s="2" t="inlineStr">
        <is>
          <t>defer — engine name wrong ((Conversion)); load a corrected name after 28 Oct</t>
        </is>
      </c>
      <c r="AA338" s="21" t="n">
        <v>0</v>
      </c>
      <c r="AB338" s="2" t="n">
        <v>0</v>
      </c>
      <c r="AC338" s="2" t="n">
        <v>0</v>
      </c>
      <c r="AD338" s="2" t="n"/>
      <c r="AE338" s="2" t="n"/>
      <c r="AF338" s="2" t="n"/>
      <c r="AG338" s="2" t="n">
        <v>0</v>
      </c>
      <c r="AH338" s="2" t="inlineStr">
        <is>
          <t>Child swap</t>
        </is>
      </c>
      <c r="AI338" s="22" t="inlineStr">
        <is>
          <t>Swap child to SATIN-4PCS-KING-RED; retag → Conversions</t>
        </is>
      </c>
      <c r="AJ338" s="22" t="inlineStr">
        <is>
          <t>Queen Red has 34 units, out ~10 Oct (SB 29 Sep); King Red 262 + 402 inbound.</t>
        </is>
      </c>
      <c r="AK338" s="2" t="inlineStr">
        <is>
          <t>seq 3204 rename CHANGE; our addition (corrections §5 / reviewer C A4); our addition: standard → Conversions (colour term "red silky sheet set queen")</t>
        </is>
      </c>
      <c r="AL338" s="22" t="n"/>
    </row>
    <row r="339">
      <c r="A339" s="2" t="inlineStr">
        <is>
          <t>209852698610851</t>
        </is>
      </c>
      <c r="B339" s="2" t="inlineStr">
        <is>
          <t>D-S4-SP-royal opulence divatex home fashions satin king sheet set go-Brand-Agr-Exact-Def-DO-SATIN-KING-BLACK</t>
        </is>
      </c>
      <c r="C339" s="2" t="inlineStr">
        <is>
          <t>decolure satin sheets king size [exact]</t>
        </is>
      </c>
      <c r="D339" s="2" t="inlineStr">
        <is>
          <t>whole campaign</t>
        </is>
      </c>
      <c r="E339" s="2" t="inlineStr">
        <is>
          <t>ENABLED</t>
        </is>
      </c>
      <c r="F339" s="2" t="inlineStr">
        <is>
          <t>Defensive</t>
        </is>
      </c>
      <c r="G339" s="2" t="inlineStr">
        <is>
          <t>Defensive</t>
        </is>
      </c>
      <c r="H339" s="2" t="n"/>
      <c r="I339" s="2" t="inlineStr">
        <is>
          <t>Exact</t>
        </is>
      </c>
      <c r="J339" s="2" t="inlineStr">
        <is>
          <t>SATIN-KING-BLACK</t>
        </is>
      </c>
      <c r="K339" s="2" t="inlineStr">
        <is>
          <t>SATIN-KING-BLACK</t>
        </is>
      </c>
      <c r="L339" s="2" t="inlineStr">
        <is>
          <t>n/a (no target bid in audit)</t>
        </is>
      </c>
      <c r="M339" s="2" t="inlineStr">
        <is>
          <t>n/a</t>
        </is>
      </c>
      <c r="N339" s="2" t="n">
        <v>50</v>
      </c>
      <c r="O339" s="2" t="n">
        <v>50</v>
      </c>
      <c r="P339" s="21" t="n"/>
      <c r="Q339" s="21" t="n"/>
      <c r="R339" s="2" t="n"/>
      <c r="S339" s="2" t="n"/>
      <c r="T339" s="2" t="n"/>
      <c r="U339" s="2" t="n"/>
      <c r="V339" s="21" t="n">
        <v>10</v>
      </c>
      <c r="W339" s="21" t="n">
        <v>10</v>
      </c>
      <c r="X339" s="2" t="inlineStr">
        <is>
          <t>ENABLED</t>
        </is>
      </c>
      <c r="Y339" s="2" t="inlineStr">
        <is>
          <t>none</t>
        </is>
      </c>
      <c r="Z339" s="2" t="inlineStr">
        <is>
          <t>load (clean): DSS4-SP-Decolure Satin Sheets King Size-(VLSV)-Exact-(Defensive)-DO-SATIN-KING-BLACK</t>
        </is>
      </c>
      <c r="AA339" s="21" t="n">
        <v>0</v>
      </c>
      <c r="AB339" s="2" t="n">
        <v>0</v>
      </c>
      <c r="AC339" s="2" t="n">
        <v>0</v>
      </c>
      <c r="AD339" s="2" t="n"/>
      <c r="AE339" s="2" t="n"/>
      <c r="AF339" s="2" t="n"/>
      <c r="AG339" s="2" t="n">
        <v>0</v>
      </c>
      <c r="AH339" s="2" t="inlineStr">
        <is>
          <t>Rename only</t>
        </is>
      </c>
      <c r="AI339" s="22" t="inlineStr">
        <is>
          <t>Load rename only</t>
        </is>
      </c>
      <c r="AJ339" s="22" t="inlineStr">
        <is>
          <t>Clean rename (SKU token and objective match what the campaign advertises); no clicks in CC 31 Aug–29 Sep.</t>
        </is>
      </c>
      <c r="AK339" s="2" t="inlineStr">
        <is>
          <t>seq 3152 rename LOAD</t>
        </is>
      </c>
      <c r="AL339" s="22" t="n"/>
    </row>
    <row r="340">
      <c r="A340" s="2" t="inlineStr">
        <is>
          <t>155974482350506</t>
        </is>
      </c>
      <c r="B340" s="2" t="inlineStr">
        <is>
          <t>D-S4-SP-royal satin sheets-(Satin)-HSV-Exact-Rank-DO-SATIN-QUEEN-BLUE</t>
        </is>
      </c>
      <c r="C340" s="2" t="inlineStr">
        <is>
          <t>royal satin sheets [exact, $1.90]</t>
        </is>
      </c>
      <c r="D340" s="2" t="inlineStr">
        <is>
          <t>—</t>
        </is>
      </c>
      <c r="E340" s="2" t="inlineStr">
        <is>
          <t>ENABLED</t>
        </is>
      </c>
      <c r="F340" s="2" t="inlineStr">
        <is>
          <t>Ranking</t>
        </is>
      </c>
      <c r="G340" s="2" t="inlineStr">
        <is>
          <t>Ranking</t>
        </is>
      </c>
      <c r="H340" s="2" t="inlineStr">
        <is>
          <t>OUT</t>
        </is>
      </c>
      <c r="I340" s="2" t="inlineStr">
        <is>
          <t>Exact</t>
        </is>
      </c>
      <c r="J340" s="2" t="inlineStr">
        <is>
          <t>SATIN-KING-BLACK</t>
        </is>
      </c>
      <c r="K340" s="2" t="inlineStr">
        <is>
          <t>SATIN-KING-BLACK</t>
        </is>
      </c>
      <c r="L340" s="2" t="inlineStr">
        <is>
          <t>$1.90</t>
        </is>
      </c>
      <c r="M340" s="2" t="inlineStr">
        <is>
          <t>$1.90</t>
        </is>
      </c>
      <c r="N340" s="2" t="n">
        <v>50</v>
      </c>
      <c r="O340" s="2" t="n">
        <v>50</v>
      </c>
      <c r="P340" s="21" t="n">
        <v>2.85</v>
      </c>
      <c r="Q340" s="21" t="n">
        <v>2.85</v>
      </c>
      <c r="R340" s="2" t="n">
        <v>0</v>
      </c>
      <c r="S340" s="2" t="n">
        <v>0</v>
      </c>
      <c r="T340" s="2" t="n">
        <v>0</v>
      </c>
      <c r="U340" s="2" t="n">
        <v>0</v>
      </c>
      <c r="V340" s="21" t="n">
        <v>5</v>
      </c>
      <c r="W340" s="21" t="n">
        <v>5</v>
      </c>
      <c r="X340" s="2" t="inlineStr">
        <is>
          <t>ENABLED</t>
        </is>
      </c>
      <c r="Y340" s="2" t="inlineStr">
        <is>
          <t>none</t>
        </is>
      </c>
      <c r="Z340" s="2" t="inlineStr">
        <is>
          <t>defer — engine name wrong (flag); load a corrected name after 28 Oct</t>
        </is>
      </c>
      <c r="AA340" s="21" t="n">
        <v>0</v>
      </c>
      <c r="AB340" s="2" t="n">
        <v>0</v>
      </c>
      <c r="AC340" s="2" t="n">
        <v>0</v>
      </c>
      <c r="AD340" s="2" t="n"/>
      <c r="AE340" s="2" t="n"/>
      <c r="AF340" s="2" t="n"/>
      <c r="AG340" s="2" t="n">
        <v>0</v>
      </c>
      <c r="AH340" s="2" t="inlineStr">
        <is>
          <t>No change (engine move rejected/held)</t>
        </is>
      </c>
      <c r="AI340" s="22" t="inlineStr">
        <is>
          <t>No change (defer engine rename)</t>
        </is>
      </c>
      <c r="AJ340" s="22" t="inlineStr">
        <is>
          <t>the engine rename writes a wrong token and is deferred; no clicks in CC 31 Aug–29 Sep.</t>
        </is>
      </c>
      <c r="AK340" s="2" t="inlineStr">
        <is>
          <t>seq 3103 rename CHANGE</t>
        </is>
      </c>
      <c r="AL340" s="22" t="n"/>
    </row>
    <row r="341">
      <c r="A341" s="2" t="inlineStr">
        <is>
          <t>356334206418966</t>
        </is>
      </c>
      <c r="B341" s="2" t="inlineStr">
        <is>
          <t>D-S4-SP-sabanas full size de satin-(Satin)-LSV-Exact-Rank-DO-SATIN-FULL-BLACK</t>
        </is>
      </c>
      <c r="C341" s="2" t="inlineStr">
        <is>
          <t>full bed cover silk [exact]</t>
        </is>
      </c>
      <c r="D341" s="2" t="inlineStr">
        <is>
          <t>whole campaign</t>
        </is>
      </c>
      <c r="E341" s="2" t="inlineStr">
        <is>
          <t>ENABLED</t>
        </is>
      </c>
      <c r="F341" s="2" t="inlineStr">
        <is>
          <t>Ranking</t>
        </is>
      </c>
      <c r="G341" s="2" t="inlineStr">
        <is>
          <t>Conversions</t>
        </is>
      </c>
      <c r="H341" s="2" t="n"/>
      <c r="I341" s="2" t="inlineStr">
        <is>
          <t>Exact</t>
        </is>
      </c>
      <c r="J341" s="2" t="inlineStr">
        <is>
          <t>SATIN-FULL-BLACK</t>
        </is>
      </c>
      <c r="K341" s="2" t="inlineStr">
        <is>
          <t>SATIN-FULL-BLACK</t>
        </is>
      </c>
      <c r="L341" s="2" t="inlineStr">
        <is>
          <t>n/a (no target bid in audit)</t>
        </is>
      </c>
      <c r="M341" s="2" t="inlineStr">
        <is>
          <t>n/a</t>
        </is>
      </c>
      <c r="N341" s="2" t="n">
        <v>50</v>
      </c>
      <c r="O341" s="2" t="n">
        <v>50</v>
      </c>
      <c r="P341" s="21" t="n"/>
      <c r="Q341" s="21" t="n"/>
      <c r="R341" s="2" t="n"/>
      <c r="S341" s="2" t="n"/>
      <c r="T341" s="2" t="n"/>
      <c r="U341" s="2" t="n"/>
      <c r="V341" s="21" t="n">
        <v>5</v>
      </c>
      <c r="W341" s="21" t="n">
        <v>5</v>
      </c>
      <c r="X341" s="2" t="inlineStr">
        <is>
          <t>ENABLED</t>
        </is>
      </c>
      <c r="Y341" s="2" t="inlineStr">
        <is>
          <t>none</t>
        </is>
      </c>
      <c r="Z341" s="2" t="inlineStr">
        <is>
          <t>defer — engine name wrong (SKU token SATIN-FULL-BLACK); load a corrected name after 28 Oct</t>
        </is>
      </c>
      <c r="AA341" s="21" t="n">
        <v>0</v>
      </c>
      <c r="AB341" s="2" t="n">
        <v>0</v>
      </c>
      <c r="AC341" s="2" t="n">
        <v>0</v>
      </c>
      <c r="AD341" s="2" t="n"/>
      <c r="AE341" s="2" t="n"/>
      <c r="AF341" s="2" t="n"/>
      <c r="AG341" s="2" t="n">
        <v>0</v>
      </c>
      <c r="AH341" s="2" t="inlineStr">
        <is>
          <t>Retag only</t>
        </is>
      </c>
      <c r="AI341" s="22" t="inlineStr">
        <is>
          <t>retag → Conversions</t>
        </is>
      </c>
      <c r="AJ341" s="22" t="inlineStr">
        <is>
          <t>Objective Ranking → Conversions by the standard (Spanish term "sabanas full size de satin"); no clicks in CC 31 Aug–29 Sep.</t>
        </is>
      </c>
      <c r="AK341" s="2" t="inlineStr">
        <is>
          <t>seq 1936 child: reject — keep SATIN-FULL-BLACK; seq 3230 rename CHANGE; our addition: standard → Conversions (Spanish term "sabanas full size de satin")</t>
        </is>
      </c>
      <c r="AL341" s="22" t="n"/>
    </row>
    <row r="342">
      <c r="A342" s="2" t="inlineStr">
        <is>
          <t>298191185204396</t>
        </is>
      </c>
      <c r="B342" s="2" t="inlineStr">
        <is>
          <t>D-S4-SP-sabanas para camas queen de seda-(Queen)-VLSV-Exact-Rank-DO-SATIN-QUEEN-GREY</t>
        </is>
      </c>
      <c r="C342" s="2" t="inlineStr">
        <is>
          <t>sabanas para camas queen de seda [exact, $1.90]; colchas para camas queen [exact, paused, $0.69]</t>
        </is>
      </c>
      <c r="D342" s="2" t="inlineStr">
        <is>
          <t>whole campaign</t>
        </is>
      </c>
      <c r="E342" s="2" t="inlineStr">
        <is>
          <t>ENABLED</t>
        </is>
      </c>
      <c r="F342" s="2" t="inlineStr">
        <is>
          <t>Ranking</t>
        </is>
      </c>
      <c r="G342" s="2" t="inlineStr">
        <is>
          <t>Conversions</t>
        </is>
      </c>
      <c r="H342" s="2" t="inlineStr">
        <is>
          <t>OUT</t>
        </is>
      </c>
      <c r="I342" s="2" t="inlineStr">
        <is>
          <t>Exact</t>
        </is>
      </c>
      <c r="J342" s="2" t="inlineStr">
        <is>
          <t>SATIN-QUEEN-GREY</t>
        </is>
      </c>
      <c r="K342" s="2" t="inlineStr">
        <is>
          <t>SATIN-QUEEN-GREY</t>
        </is>
      </c>
      <c r="L342" s="2" t="inlineStr">
        <is>
          <t>$1.90</t>
        </is>
      </c>
      <c r="M342" s="2" t="inlineStr">
        <is>
          <t>$1.90</t>
        </is>
      </c>
      <c r="N342" s="2" t="n">
        <v>0</v>
      </c>
      <c r="O342" s="2" t="n">
        <v>0</v>
      </c>
      <c r="P342" s="21" t="n">
        <v>1.9</v>
      </c>
      <c r="Q342" s="21" t="n">
        <v>1.9</v>
      </c>
      <c r="R342" s="2" t="n">
        <v>0</v>
      </c>
      <c r="S342" s="2" t="n">
        <v>0</v>
      </c>
      <c r="T342" s="2" t="n">
        <v>0</v>
      </c>
      <c r="U342" s="2" t="n">
        <v>0</v>
      </c>
      <c r="V342" s="21" t="n">
        <v>5</v>
      </c>
      <c r="W342" s="21" t="n">
        <v>5</v>
      </c>
      <c r="X342" s="2" t="inlineStr">
        <is>
          <t>ENABLED</t>
        </is>
      </c>
      <c r="Y342" s="2" t="inlineStr">
        <is>
          <t>none</t>
        </is>
      </c>
      <c r="Z342" s="2" t="inlineStr">
        <is>
          <t>defer — engine name wrong (SKU token SATIN-QUEEN-GREY; (Conversion)); load a corrected name after 28 Oct</t>
        </is>
      </c>
      <c r="AA342" s="21" t="n">
        <v>0</v>
      </c>
      <c r="AB342" s="2" t="n">
        <v>0</v>
      </c>
      <c r="AC342" s="2" t="n">
        <v>0</v>
      </c>
      <c r="AD342" s="2" t="n"/>
      <c r="AE342" s="2" t="n"/>
      <c r="AF342" s="2" t="n"/>
      <c r="AG342" s="2" t="n">
        <v>0</v>
      </c>
      <c r="AH342" s="2" t="inlineStr">
        <is>
          <t>Retag only</t>
        </is>
      </c>
      <c r="AI342" s="22" t="inlineStr">
        <is>
          <t>retag → Conversions</t>
        </is>
      </c>
      <c r="AJ342" s="22" t="inlineStr">
        <is>
          <t>Objective Ranking → Conversions by the standard (Spanish term "sabanas para camas queen de seda"); no clicks in CC 31 Aug–29 Sep.</t>
        </is>
      </c>
      <c r="AK342" s="2" t="inlineStr">
        <is>
          <t>seq 1930 child: reject — keep SATIN-QUEEN-BLACK; seq 3217 rename CHANGE; our addition: standard → Conversions (Spanish term "sabanas para camas queen de seda")</t>
        </is>
      </c>
      <c r="AL342" s="22" t="n"/>
    </row>
    <row r="343">
      <c r="A343" s="2" t="inlineStr">
        <is>
          <t>101661708944200</t>
        </is>
      </c>
      <c r="B343" s="2" t="inlineStr">
        <is>
          <t>D-S4-SP-sapphire silk sheets-(Silk)-HSV-Exact-Rank-DO-SATIN-QUEEN-BLACK</t>
        </is>
      </c>
      <c r="C343" s="2" t="inlineStr">
        <is>
          <t>sapphire silk sheets [exact]</t>
        </is>
      </c>
      <c r="D343" s="2" t="inlineStr">
        <is>
          <t>whole campaign</t>
        </is>
      </c>
      <c r="E343" s="2" t="inlineStr">
        <is>
          <t>ENABLED</t>
        </is>
      </c>
      <c r="F343" s="2" t="inlineStr">
        <is>
          <t>Ranking</t>
        </is>
      </c>
      <c r="G343" s="2" t="inlineStr">
        <is>
          <t>Ranking</t>
        </is>
      </c>
      <c r="H343" s="2" t="n"/>
      <c r="I343" s="2" t="inlineStr">
        <is>
          <t>Exact</t>
        </is>
      </c>
      <c r="J343" s="2" t="inlineStr">
        <is>
          <t>SATIN-QUEEN-BLACK</t>
        </is>
      </c>
      <c r="K343" s="2" t="inlineStr">
        <is>
          <t>SATIN-QUEEN-BLACK</t>
        </is>
      </c>
      <c r="L343" s="2" t="inlineStr">
        <is>
          <t>n/a (no target bid in audit)</t>
        </is>
      </c>
      <c r="M343" s="2" t="inlineStr">
        <is>
          <t>n/a</t>
        </is>
      </c>
      <c r="N343" s="2" t="n">
        <v>50</v>
      </c>
      <c r="O343" s="2" t="n">
        <v>50</v>
      </c>
      <c r="P343" s="21" t="n"/>
      <c r="Q343" s="21" t="n"/>
      <c r="R343" s="2" t="n"/>
      <c r="S343" s="2" t="n"/>
      <c r="T343" s="2" t="n"/>
      <c r="U343" s="2" t="n"/>
      <c r="V343" s="21" t="n">
        <v>5</v>
      </c>
      <c r="W343" s="21" t="n">
        <v>5</v>
      </c>
      <c r="X343" s="2" t="inlineStr">
        <is>
          <t>ENABLED</t>
        </is>
      </c>
      <c r="Y343" s="2" t="inlineStr">
        <is>
          <t>none</t>
        </is>
      </c>
      <c r="Z343" s="2" t="inlineStr">
        <is>
          <t>load (clean): DSS4-SP-Sapphire Silk Sheets-(VLSV)-Exact-(Ranking)-DO-SATIN-QUEEN-BLACK</t>
        </is>
      </c>
      <c r="AA343" s="21" t="n">
        <v>0</v>
      </c>
      <c r="AB343" s="2" t="n">
        <v>0</v>
      </c>
      <c r="AC343" s="2" t="n">
        <v>0</v>
      </c>
      <c r="AD343" s="2" t="n"/>
      <c r="AE343" s="2" t="n"/>
      <c r="AF343" s="2" t="n"/>
      <c r="AG343" s="2" t="n">
        <v>0</v>
      </c>
      <c r="AH343" s="2" t="inlineStr">
        <is>
          <t>Rename only</t>
        </is>
      </c>
      <c r="AI343" s="22" t="inlineStr">
        <is>
          <t>Load rename only</t>
        </is>
      </c>
      <c r="AJ343" s="22" t="inlineStr">
        <is>
          <t>Clean rename (SKU token and objective match what the campaign advertises); no clicks in CC 31 Aug–29 Sep.</t>
        </is>
      </c>
      <c r="AK343" s="2" t="inlineStr">
        <is>
          <t>seq 3060 rename LOAD</t>
        </is>
      </c>
      <c r="AL343" s="22" t="n"/>
    </row>
    <row r="344">
      <c r="A344" s="2" t="inlineStr">
        <is>
          <t>306636737947587</t>
        </is>
      </c>
      <c r="B344" s="2" t="inlineStr">
        <is>
          <t>D-S4-SP-satin bed sheet set queen size-(Satin)-MSV-Exact-Rank-DO-SATIN-QUEEN-GREY-FBM</t>
        </is>
      </c>
      <c r="C344" s="2" t="inlineStr">
        <is>
          <t>satin bed sheet set queen size [exact, $1.90]</t>
        </is>
      </c>
      <c r="D344" s="2" t="inlineStr">
        <is>
          <t>—</t>
        </is>
      </c>
      <c r="E344" s="2" t="inlineStr">
        <is>
          <t>ENABLED</t>
        </is>
      </c>
      <c r="F344" s="2" t="inlineStr">
        <is>
          <t>Ranking</t>
        </is>
      </c>
      <c r="G344" s="2" t="inlineStr">
        <is>
          <t>Ranking</t>
        </is>
      </c>
      <c r="H344" s="2" t="inlineStr">
        <is>
          <t>OUT</t>
        </is>
      </c>
      <c r="I344" s="2" t="inlineStr">
        <is>
          <t>Exact</t>
        </is>
      </c>
      <c r="J344" s="2" t="inlineStr">
        <is>
          <t>SATIN-QUEEN-BLACK</t>
        </is>
      </c>
      <c r="K344" s="2" t="inlineStr">
        <is>
          <t>SATIN-QUEEN-BLACK</t>
        </is>
      </c>
      <c r="L344" s="2" t="inlineStr">
        <is>
          <t>$1.90</t>
        </is>
      </c>
      <c r="M344" s="2" t="inlineStr">
        <is>
          <t>$1.90</t>
        </is>
      </c>
      <c r="N344" s="2" t="n">
        <v>0</v>
      </c>
      <c r="O344" s="2" t="n">
        <v>0</v>
      </c>
      <c r="P344" s="21" t="n">
        <v>1.9</v>
      </c>
      <c r="Q344" s="21" t="n">
        <v>1.9</v>
      </c>
      <c r="R344" s="2" t="n">
        <v>0</v>
      </c>
      <c r="S344" s="2" t="n">
        <v>0</v>
      </c>
      <c r="T344" s="2" t="n">
        <v>0</v>
      </c>
      <c r="U344" s="2" t="n">
        <v>0</v>
      </c>
      <c r="V344" s="21" t="n">
        <v>5</v>
      </c>
      <c r="W344" s="21" t="n">
        <v>5</v>
      </c>
      <c r="X344" s="2" t="inlineStr">
        <is>
          <t>ENABLED</t>
        </is>
      </c>
      <c r="Y344" s="2" t="inlineStr">
        <is>
          <t>none</t>
        </is>
      </c>
      <c r="Z344" s="2" t="inlineStr">
        <is>
          <t>defer — engine name wrong (SKU token SATIN-QUEEN-BLACK); load a corrected name after 28 Oct</t>
        </is>
      </c>
      <c r="AA344" s="21" t="n">
        <v>0</v>
      </c>
      <c r="AB344" s="2" t="n">
        <v>0</v>
      </c>
      <c r="AC344" s="2" t="n">
        <v>0</v>
      </c>
      <c r="AD344" s="2" t="n"/>
      <c r="AE344" s="2" t="n"/>
      <c r="AF344" s="2" t="n"/>
      <c r="AG344" s="2" t="n">
        <v>0</v>
      </c>
      <c r="AH344" s="2" t="inlineStr">
        <is>
          <t>No change (engine move rejected/held)</t>
        </is>
      </c>
      <c r="AI344" s="22" t="inlineStr">
        <is>
          <t>No change (reject engine child swap seq 1931; defer engine rename)</t>
        </is>
      </c>
      <c r="AJ344" s="22" t="inlineStr">
        <is>
          <t>Engine swap SATIN-QUEEN-BLACK → SATIN-4PCS-QUEEN-STONE-GREY rejected: the pick comes from the broken size map, and SATIN-QUEEN-BLACK is the size's best seller with cover (SB 30 Aug–29 Sep); the engine rename writes a wrong token and is deferred; no clicks in CC 31 Aug–29 Sep.</t>
        </is>
      </c>
      <c r="AK344" s="2" t="inlineStr">
        <is>
          <t>seq 1931 child: reject — keep SATIN-QUEEN-BLACK; seq 3220 rename CHANGE</t>
        </is>
      </c>
      <c r="AL344" s="22" t="n"/>
    </row>
    <row r="345">
      <c r="A345" s="2" t="inlineStr">
        <is>
          <t>165480538204152</t>
        </is>
      </c>
      <c r="B345" s="2" t="inlineStr">
        <is>
          <t>D-S4-SP-satin bed sheets gray-(Satin)-LSV-Exact-Rank-DO-SATIN-QUEEN-BLACK</t>
        </is>
      </c>
      <c r="C345" s="2" t="inlineStr">
        <is>
          <t>satin bed sheets gray [exact]</t>
        </is>
      </c>
      <c r="D345" s="2" t="inlineStr">
        <is>
          <t>whole campaign</t>
        </is>
      </c>
      <c r="E345" s="2" t="inlineStr">
        <is>
          <t>ENABLED</t>
        </is>
      </c>
      <c r="F345" s="2" t="inlineStr">
        <is>
          <t>Ranking</t>
        </is>
      </c>
      <c r="G345" s="2" t="inlineStr">
        <is>
          <t>Conversions</t>
        </is>
      </c>
      <c r="H345" s="2" t="n"/>
      <c r="I345" s="2" t="inlineStr">
        <is>
          <t>Exact</t>
        </is>
      </c>
      <c r="J345" s="2" t="inlineStr">
        <is>
          <t>SATIN-QUEEN-GREY</t>
        </is>
      </c>
      <c r="K345" s="2" t="inlineStr">
        <is>
          <t>SATIN-QUEEN-GREY</t>
        </is>
      </c>
      <c r="L345" s="2" t="inlineStr">
        <is>
          <t>n/a (no target bid in audit)</t>
        </is>
      </c>
      <c r="M345" s="2" t="inlineStr">
        <is>
          <t>n/a</t>
        </is>
      </c>
      <c r="N345" s="2" t="n">
        <v>50</v>
      </c>
      <c r="O345" s="2" t="n">
        <v>50</v>
      </c>
      <c r="P345" s="21" t="n"/>
      <c r="Q345" s="21" t="n"/>
      <c r="R345" s="2" t="n"/>
      <c r="S345" s="2" t="n"/>
      <c r="T345" s="2" t="n"/>
      <c r="U345" s="2" t="n"/>
      <c r="V345" s="21" t="n">
        <v>10</v>
      </c>
      <c r="W345" s="21" t="n">
        <v>10</v>
      </c>
      <c r="X345" s="2" t="inlineStr">
        <is>
          <t>ENABLED</t>
        </is>
      </c>
      <c r="Y345" s="2" t="inlineStr">
        <is>
          <t>none</t>
        </is>
      </c>
      <c r="Z345" s="2" t="inlineStr">
        <is>
          <t>defer — engine name wrong ((Conversion)); load a corrected name after 28 Oct</t>
        </is>
      </c>
      <c r="AA345" s="21" t="n">
        <v>0</v>
      </c>
      <c r="AB345" s="2" t="n">
        <v>0</v>
      </c>
      <c r="AC345" s="2" t="n">
        <v>0</v>
      </c>
      <c r="AD345" s="2" t="n"/>
      <c r="AE345" s="2" t="n"/>
      <c r="AF345" s="2" t="n"/>
      <c r="AG345" s="2" t="n">
        <v>0</v>
      </c>
      <c r="AH345" s="2" t="inlineStr">
        <is>
          <t>Retag only</t>
        </is>
      </c>
      <c r="AI345" s="22" t="inlineStr">
        <is>
          <t>retag → Conversions</t>
        </is>
      </c>
      <c r="AJ345" s="22" t="inlineStr">
        <is>
          <t>Objective Ranking → Conversions by the standard (colour term "satin bed sheets gray"); no clicks in CC 31 Aug–29 Sep.</t>
        </is>
      </c>
      <c r="AK345" s="2" t="inlineStr">
        <is>
          <t>seq 3110 rename CHANGE; our addition: standard → Conversions (colour term "satin bed sheets gray")</t>
        </is>
      </c>
      <c r="AL345" s="22" t="n"/>
    </row>
    <row r="346">
      <c r="A346" s="2" t="inlineStr">
        <is>
          <t>167540270662936</t>
        </is>
      </c>
      <c r="B346" s="2" t="inlineStr">
        <is>
          <t>D-S4-SP-satin bed sheets queen set blush-(Satin)-VLSV-Exact-Rank-DO-SATIN-QUEEN-GREY</t>
        </is>
      </c>
      <c r="C346" s="2" t="inlineStr">
        <is>
          <t>satin bed sheets striped [exact]</t>
        </is>
      </c>
      <c r="D346" s="2" t="inlineStr">
        <is>
          <t>whole campaign</t>
        </is>
      </c>
      <c r="E346" s="2" t="inlineStr">
        <is>
          <t>ENABLED</t>
        </is>
      </c>
      <c r="F346" s="2" t="inlineStr">
        <is>
          <t>Ranking</t>
        </is>
      </c>
      <c r="G346" s="2" t="inlineStr">
        <is>
          <t>Conversions</t>
        </is>
      </c>
      <c r="H346" s="2" t="n"/>
      <c r="I346" s="2" t="inlineStr">
        <is>
          <t>Exact</t>
        </is>
      </c>
      <c r="J346" s="2" t="inlineStr">
        <is>
          <t>SATIN-QUEEN-BLACK</t>
        </is>
      </c>
      <c r="K346" s="2" t="inlineStr">
        <is>
          <t>SATIN-QUEEN-BLACK</t>
        </is>
      </c>
      <c r="L346" s="2" t="inlineStr">
        <is>
          <t>n/a (no target bid in audit)</t>
        </is>
      </c>
      <c r="M346" s="2" t="inlineStr">
        <is>
          <t>n/a</t>
        </is>
      </c>
      <c r="N346" s="2" t="n">
        <v>50</v>
      </c>
      <c r="O346" s="2" t="n">
        <v>50</v>
      </c>
      <c r="P346" s="21" t="n"/>
      <c r="Q346" s="21" t="n"/>
      <c r="R346" s="2" t="n"/>
      <c r="S346" s="2" t="n"/>
      <c r="T346" s="2" t="n"/>
      <c r="U346" s="2" t="n"/>
      <c r="V346" s="21" t="n">
        <v>10</v>
      </c>
      <c r="W346" s="21" t="n">
        <v>10</v>
      </c>
      <c r="X346" s="2" t="inlineStr">
        <is>
          <t>ENABLED</t>
        </is>
      </c>
      <c r="Y346" s="2" t="inlineStr">
        <is>
          <t>none</t>
        </is>
      </c>
      <c r="Z346" s="2" t="inlineStr">
        <is>
          <t>load (clean): DSS4-SP-Satin Bed Sheets Striped-(VLSV)-Exact-(Ranking)-DO-SATIN-QUEEN-BLACK</t>
        </is>
      </c>
      <c r="AA346" s="21" t="n">
        <v>0</v>
      </c>
      <c r="AB346" s="2" t="n">
        <v>0</v>
      </c>
      <c r="AC346" s="2" t="n">
        <v>0</v>
      </c>
      <c r="AD346" s="2" t="n"/>
      <c r="AE346" s="2" t="n"/>
      <c r="AF346" s="2" t="n"/>
      <c r="AG346" s="2" t="n">
        <v>0</v>
      </c>
      <c r="AH346" s="2" t="inlineStr">
        <is>
          <t>Retag only</t>
        </is>
      </c>
      <c r="AI346" s="22" t="inlineStr">
        <is>
          <t>retag → Conversions</t>
        </is>
      </c>
      <c r="AJ346" s="22" t="inlineStr">
        <is>
          <t>Objective Ranking → Conversions by the standard (colour term "satin bed sheets queen set blush"); no clicks in CC 31 Aug–29 Sep.</t>
        </is>
      </c>
      <c r="AK346" s="2" t="inlineStr">
        <is>
          <t>seq 3111 rename LOAD; our addition: standard → Conversions (colour term "satin bed sheets queen set blush")</t>
        </is>
      </c>
      <c r="AL346" s="22" t="n"/>
    </row>
    <row r="347">
      <c r="A347" s="2" t="inlineStr">
        <is>
          <t>213928456179323</t>
        </is>
      </c>
      <c r="B347" s="2" t="inlineStr">
        <is>
          <t>D-S4-SP-satin bed sheets queen set pillows-(Satin)-LSV-Exact-Rank-DO-SATIN-QUEEN-BLACK</t>
        </is>
      </c>
      <c r="C347" s="2" t="inlineStr">
        <is>
          <t>satin silk bed sheets queen set [exact]</t>
        </is>
      </c>
      <c r="D347" s="2" t="inlineStr">
        <is>
          <t>—</t>
        </is>
      </c>
      <c r="E347" s="2" t="inlineStr">
        <is>
          <t>ENABLED</t>
        </is>
      </c>
      <c r="F347" s="2" t="inlineStr">
        <is>
          <t>Ranking</t>
        </is>
      </c>
      <c r="G347" s="2" t="inlineStr">
        <is>
          <t>Ranking</t>
        </is>
      </c>
      <c r="H347" s="2" t="n"/>
      <c r="I347" s="2" t="inlineStr">
        <is>
          <t>Exact</t>
        </is>
      </c>
      <c r="J347" s="2" t="inlineStr">
        <is>
          <t>SATIN-QUEEN-BLACK</t>
        </is>
      </c>
      <c r="K347" s="2" t="inlineStr">
        <is>
          <t>SATIN-QUEEN-BLACK</t>
        </is>
      </c>
      <c r="L347" s="2" t="inlineStr">
        <is>
          <t>n/a (no target bid in audit)</t>
        </is>
      </c>
      <c r="M347" s="2" t="inlineStr">
        <is>
          <t>n/a</t>
        </is>
      </c>
      <c r="N347" s="2" t="n">
        <v>50</v>
      </c>
      <c r="O347" s="2" t="n">
        <v>50</v>
      </c>
      <c r="P347" s="21" t="n"/>
      <c r="Q347" s="21" t="n"/>
      <c r="R347" s="2" t="n"/>
      <c r="S347" s="2" t="n"/>
      <c r="T347" s="2" t="n"/>
      <c r="U347" s="2" t="n"/>
      <c r="V347" s="21" t="n">
        <v>5</v>
      </c>
      <c r="W347" s="21" t="n">
        <v>5</v>
      </c>
      <c r="X347" s="2" t="inlineStr">
        <is>
          <t>ENABLED</t>
        </is>
      </c>
      <c r="Y347" s="2" t="inlineStr">
        <is>
          <t>none</t>
        </is>
      </c>
      <c r="Z347" s="2" t="inlineStr">
        <is>
          <t>defer — engine name wrong (SKU token SATIN-QUEEN-BLACK); load a corrected name after 28 Oct</t>
        </is>
      </c>
      <c r="AA347" s="21" t="n">
        <v>0</v>
      </c>
      <c r="AB347" s="2" t="n">
        <v>0</v>
      </c>
      <c r="AC347" s="2" t="n">
        <v>0</v>
      </c>
      <c r="AD347" s="2" t="n"/>
      <c r="AE347" s="2" t="n"/>
      <c r="AF347" s="2" t="n"/>
      <c r="AG347" s="2" t="n">
        <v>0</v>
      </c>
      <c r="AH347" s="2" t="inlineStr">
        <is>
          <t>No change (engine move rejected/held)</t>
        </is>
      </c>
      <c r="AI347" s="22" t="inlineStr">
        <is>
          <t>No change (reject engine child swap seq 1913; defer engine rename)</t>
        </is>
      </c>
      <c r="AJ347" s="22" t="inlineStr">
        <is>
          <t>Engine swap SATIN-QUEEN-BLACK → SATIN-4PCS-QUEEN-STONE-GREY rejected: the pick comes from the broken size map, and SATIN-QUEEN-BLACK is the size's best seller with cover (SB 30 Aug–29 Sep); the engine rename writes a wrong token and is deferred; no clicks in CC 31 Aug–29 Sep.</t>
        </is>
      </c>
      <c r="AK347" s="2" t="inlineStr">
        <is>
          <t>seq 1913 child: reject — keep SATIN-QUEEN-BLACK; seq 3158 rename CHANGE</t>
        </is>
      </c>
      <c r="AL347" s="22" t="n"/>
    </row>
    <row r="348">
      <c r="A348" s="2" t="inlineStr">
        <is>
          <t>327153643662815</t>
        </is>
      </c>
      <c r="B348" s="2" t="inlineStr">
        <is>
          <t>D-S4-SP-satin bedsheet set queen-(Satin)-MSV-Exact-Rank-DO-SATIN-QUEEN-GREY-FBM</t>
        </is>
      </c>
      <c r="C348" s="2" t="inlineStr">
        <is>
          <t>satin bedsheet set queen [exact, $1.90]</t>
        </is>
      </c>
      <c r="D348" s="2" t="inlineStr">
        <is>
          <t>—</t>
        </is>
      </c>
      <c r="E348" s="2" t="inlineStr">
        <is>
          <t>ENABLED</t>
        </is>
      </c>
      <c r="F348" s="2" t="inlineStr">
        <is>
          <t>Ranking</t>
        </is>
      </c>
      <c r="G348" s="2" t="inlineStr">
        <is>
          <t>Ranking</t>
        </is>
      </c>
      <c r="H348" s="2" t="inlineStr">
        <is>
          <t>OUT</t>
        </is>
      </c>
      <c r="I348" s="2" t="inlineStr">
        <is>
          <t>Exact</t>
        </is>
      </c>
      <c r="J348" s="2" t="inlineStr">
        <is>
          <t>SATIN-QUEEN-BLACK</t>
        </is>
      </c>
      <c r="K348" s="2" t="inlineStr">
        <is>
          <t>SATIN-QUEEN-BLACK</t>
        </is>
      </c>
      <c r="L348" s="2" t="inlineStr">
        <is>
          <t>$1.90</t>
        </is>
      </c>
      <c r="M348" s="2" t="inlineStr">
        <is>
          <t>$1.90</t>
        </is>
      </c>
      <c r="N348" s="2" t="n">
        <v>0</v>
      </c>
      <c r="O348" s="2" t="n">
        <v>0</v>
      </c>
      <c r="P348" s="21" t="n">
        <v>1.9</v>
      </c>
      <c r="Q348" s="21" t="n">
        <v>1.9</v>
      </c>
      <c r="R348" s="2" t="n">
        <v>0</v>
      </c>
      <c r="S348" s="2" t="n">
        <v>0</v>
      </c>
      <c r="T348" s="2" t="n">
        <v>0</v>
      </c>
      <c r="U348" s="2" t="n">
        <v>0</v>
      </c>
      <c r="V348" s="21" t="n">
        <v>5</v>
      </c>
      <c r="W348" s="21" t="n">
        <v>5</v>
      </c>
      <c r="X348" s="2" t="inlineStr">
        <is>
          <t>ENABLED</t>
        </is>
      </c>
      <c r="Y348" s="2" t="inlineStr">
        <is>
          <t>none</t>
        </is>
      </c>
      <c r="Z348" s="2" t="inlineStr">
        <is>
          <t>defer — engine name wrong (SKU token SATIN-QUEEN-BLACK); load a corrected name after 28 Oct</t>
        </is>
      </c>
      <c r="AA348" s="21" t="n">
        <v>0</v>
      </c>
      <c r="AB348" s="2" t="n">
        <v>0</v>
      </c>
      <c r="AC348" s="2" t="n">
        <v>0</v>
      </c>
      <c r="AD348" s="2" t="n"/>
      <c r="AE348" s="2" t="n"/>
      <c r="AF348" s="2" t="n"/>
      <c r="AG348" s="2" t="n">
        <v>0</v>
      </c>
      <c r="AH348" s="2" t="inlineStr">
        <is>
          <t>No change (engine move rejected/held)</t>
        </is>
      </c>
      <c r="AI348" s="22" t="inlineStr">
        <is>
          <t>No change (reject engine child swap seq 1934; defer engine rename)</t>
        </is>
      </c>
      <c r="AJ348" s="22" t="inlineStr">
        <is>
          <t>Engine swap SATIN-QUEEN-BLACK → SATIN-4PCS-QUEEN-STONE-GREY rejected: the pick comes from the broken size map, and SATIN-QUEEN-BLACK is the size's best seller with cover (SB 30 Aug–29 Sep); the engine rename writes a wrong token and is deferred; no clicks in CC 31 Aug–29 Sep.</t>
        </is>
      </c>
      <c r="AK348" s="2" t="inlineStr">
        <is>
          <t>seq 1934 child: reject — keep SATIN-QUEEN-BLACK; seq 3225 rename CHANGE</t>
        </is>
      </c>
      <c r="AL348" s="22" t="n"/>
    </row>
    <row r="349">
      <c r="A349" s="2" t="inlineStr">
        <is>
          <t>467181018963244</t>
        </is>
      </c>
      <c r="B349" s="2" t="inlineStr">
        <is>
          <t>D-S4-SP-satin bedsheets queen size bed-(Satin)-LSV-Exact-Rank-DO-SATIN-QUEEN-GREY-FBM</t>
        </is>
      </c>
      <c r="C349" s="2" t="inlineStr">
        <is>
          <t>satin bedsheets queen size bed [exact, $1.90]</t>
        </is>
      </c>
      <c r="D349" s="2" t="inlineStr">
        <is>
          <t>whole campaign</t>
        </is>
      </c>
      <c r="E349" s="2" t="inlineStr">
        <is>
          <t>ENABLED</t>
        </is>
      </c>
      <c r="F349" s="2" t="inlineStr">
        <is>
          <t>Ranking</t>
        </is>
      </c>
      <c r="G349" s="2" t="inlineStr">
        <is>
          <t>Conversions</t>
        </is>
      </c>
      <c r="H349" s="2" t="inlineStr">
        <is>
          <t>OUT</t>
        </is>
      </c>
      <c r="I349" s="2" t="inlineStr">
        <is>
          <t>Exact</t>
        </is>
      </c>
      <c r="J349" s="2" t="inlineStr">
        <is>
          <t>SATIN-QUEEN-BLACK</t>
        </is>
      </c>
      <c r="K349" s="2" t="inlineStr">
        <is>
          <t>SATIN-QUEEN-BLACK</t>
        </is>
      </c>
      <c r="L349" s="2" t="inlineStr">
        <is>
          <t>$1.90</t>
        </is>
      </c>
      <c r="M349" s="2" t="inlineStr">
        <is>
          <t>$1.90</t>
        </is>
      </c>
      <c r="N349" s="2" t="n">
        <v>0</v>
      </c>
      <c r="O349" s="2" t="n">
        <v>0</v>
      </c>
      <c r="P349" s="21" t="n">
        <v>1.9</v>
      </c>
      <c r="Q349" s="21" t="n">
        <v>1.9</v>
      </c>
      <c r="R349" s="2" t="n">
        <v>0</v>
      </c>
      <c r="S349" s="2" t="n">
        <v>0</v>
      </c>
      <c r="T349" s="2" t="n">
        <v>0</v>
      </c>
      <c r="U349" s="2" t="n">
        <v>0</v>
      </c>
      <c r="V349" s="21" t="n">
        <v>5</v>
      </c>
      <c r="W349" s="21" t="n">
        <v>5</v>
      </c>
      <c r="X349" s="2" t="inlineStr">
        <is>
          <t>ENABLED</t>
        </is>
      </c>
      <c r="Y349" s="2" t="inlineStr">
        <is>
          <t>none</t>
        </is>
      </c>
      <c r="Z349" s="2" t="inlineStr">
        <is>
          <t>defer — engine name wrong (SKU token SATIN-QUEEN-BLACK; (Conversion)); load a corrected name after 28 Oct</t>
        </is>
      </c>
      <c r="AA349" s="21" t="n">
        <v>0</v>
      </c>
      <c r="AB349" s="2" t="n">
        <v>0</v>
      </c>
      <c r="AC349" s="2" t="n">
        <v>0</v>
      </c>
      <c r="AD349" s="2" t="n"/>
      <c r="AE349" s="2" t="n"/>
      <c r="AF349" s="2" t="n"/>
      <c r="AG349" s="2" t="n">
        <v>0</v>
      </c>
      <c r="AH349" s="2" t="inlineStr">
        <is>
          <t>Retag only</t>
        </is>
      </c>
      <c r="AI349" s="22" t="inlineStr">
        <is>
          <t>retag → Conversions</t>
        </is>
      </c>
      <c r="AJ349" s="22" t="inlineStr">
        <is>
          <t>Objective Ranking → Conversions by the standard (misspelled/irrelevant term "satin bedsheets queen size bed"); no clicks in CC 31 Aug–29 Sep.</t>
        </is>
      </c>
      <c r="AK349" s="2" t="inlineStr">
        <is>
          <t>seq 1947 child: reject — keep SATIN-QUEEN-BLACK; seq 3257 rename CHANGE; our addition: standard → Conversions (misspelled/irrelevant term "satin bedsheets queen size bed")</t>
        </is>
      </c>
      <c r="AL349" s="22" t="n"/>
    </row>
    <row r="350">
      <c r="A350" s="2" t="inlineStr">
        <is>
          <t>507268763273575</t>
        </is>
      </c>
      <c r="B350" s="2" t="inlineStr">
        <is>
          <t>D-S4-SP-satin deep pocket queen sheet set-(Satin)-HSV-Exact-Rank-DO-SATIN-QUEEN-GREY-FBM</t>
        </is>
      </c>
      <c r="C350" s="2" t="inlineStr">
        <is>
          <t>satin deep pocket queen sheet set [exact, $1.90]</t>
        </is>
      </c>
      <c r="D350" s="2" t="inlineStr">
        <is>
          <t>—</t>
        </is>
      </c>
      <c r="E350" s="2" t="inlineStr">
        <is>
          <t>ENABLED</t>
        </is>
      </c>
      <c r="F350" s="2" t="inlineStr">
        <is>
          <t>Ranking</t>
        </is>
      </c>
      <c r="G350" s="2" t="inlineStr">
        <is>
          <t>Ranking</t>
        </is>
      </c>
      <c r="H350" s="2" t="inlineStr">
        <is>
          <t>OUT</t>
        </is>
      </c>
      <c r="I350" s="2" t="inlineStr">
        <is>
          <t>Exact</t>
        </is>
      </c>
      <c r="J350" s="2" t="inlineStr">
        <is>
          <t>SATIN-QUEEN-BLACK</t>
        </is>
      </c>
      <c r="K350" s="2" t="inlineStr">
        <is>
          <t>SATIN-QUEEN-BLACK</t>
        </is>
      </c>
      <c r="L350" s="2" t="inlineStr">
        <is>
          <t>$1.90</t>
        </is>
      </c>
      <c r="M350" s="2" t="inlineStr">
        <is>
          <t>$1.90</t>
        </is>
      </c>
      <c r="N350" s="2" t="n">
        <v>0</v>
      </c>
      <c r="O350" s="2" t="n">
        <v>0</v>
      </c>
      <c r="P350" s="21" t="n">
        <v>1.9</v>
      </c>
      <c r="Q350" s="21" t="n">
        <v>1.9</v>
      </c>
      <c r="R350" s="2" t="n">
        <v>0</v>
      </c>
      <c r="S350" s="2" t="n">
        <v>0</v>
      </c>
      <c r="T350" s="2" t="n">
        <v>0</v>
      </c>
      <c r="U350" s="2" t="n">
        <v>0</v>
      </c>
      <c r="V350" s="21" t="n">
        <v>5</v>
      </c>
      <c r="W350" s="21" t="n">
        <v>5</v>
      </c>
      <c r="X350" s="2" t="inlineStr">
        <is>
          <t>ENABLED</t>
        </is>
      </c>
      <c r="Y350" s="2" t="inlineStr">
        <is>
          <t>none</t>
        </is>
      </c>
      <c r="Z350" s="2" t="inlineStr">
        <is>
          <t>defer — engine name wrong (SKU token SATIN-QUEEN-BLACK); load a corrected name after 28 Oct</t>
        </is>
      </c>
      <c r="AA350" s="21" t="n">
        <v>0</v>
      </c>
      <c r="AB350" s="2" t="n">
        <v>0</v>
      </c>
      <c r="AC350" s="2" t="n">
        <v>0</v>
      </c>
      <c r="AD350" s="2" t="n"/>
      <c r="AE350" s="2" t="n"/>
      <c r="AF350" s="2" t="n"/>
      <c r="AG350" s="2" t="n">
        <v>0</v>
      </c>
      <c r="AH350" s="2" t="inlineStr">
        <is>
          <t>No change (engine move rejected/held)</t>
        </is>
      </c>
      <c r="AI350" s="22" t="inlineStr">
        <is>
          <t>No change (reject engine child swap seq 1951; defer engine rename)</t>
        </is>
      </c>
      <c r="AJ350" s="22" t="inlineStr">
        <is>
          <t>Engine swap SATIN-QUEEN-BLACK → SATIN-4PCS-QUEEN-STONE-GREY rejected: the pick comes from the broken size map, and SATIN-QUEEN-BLACK is the size's best seller with cover (SB 30 Aug–29 Sep); the engine rename writes a wrong token and is deferred; no clicks in CC 31 Aug–29 Sep.</t>
        </is>
      </c>
      <c r="AK350" s="2" t="inlineStr">
        <is>
          <t>seq 1951 child: reject — keep SATIN-QUEEN-BLACK; seq 3267 rename CHANGE</t>
        </is>
      </c>
      <c r="AL350" s="22" t="n"/>
    </row>
    <row r="351">
      <c r="A351" s="2" t="inlineStr">
        <is>
          <t>399512904618548</t>
        </is>
      </c>
      <c r="B351" s="2" t="inlineStr">
        <is>
          <t>D-S4-SP-satin fitted queen sheet-(Satin)-HSV-Exact-Rank-DO-SATIN-QUEEN-GREY-FBM</t>
        </is>
      </c>
      <c r="C351" s="2" t="inlineStr">
        <is>
          <t>satin fitted queen sheet [exact, $1.90]</t>
        </is>
      </c>
      <c r="D351" s="2" t="inlineStr">
        <is>
          <t>—</t>
        </is>
      </c>
      <c r="E351" s="2" t="inlineStr">
        <is>
          <t>ENABLED</t>
        </is>
      </c>
      <c r="F351" s="2" t="inlineStr">
        <is>
          <t>Ranking</t>
        </is>
      </c>
      <c r="G351" s="2" t="inlineStr">
        <is>
          <t>Ranking</t>
        </is>
      </c>
      <c r="H351" s="2" t="inlineStr">
        <is>
          <t>OUT</t>
        </is>
      </c>
      <c r="I351" s="2" t="inlineStr">
        <is>
          <t>Exact</t>
        </is>
      </c>
      <c r="J351" s="2" t="inlineStr">
        <is>
          <t>SATIN-QUEEN-BLACK</t>
        </is>
      </c>
      <c r="K351" s="2" t="inlineStr">
        <is>
          <t>SATIN-QUEEN-BLACK</t>
        </is>
      </c>
      <c r="L351" s="2" t="inlineStr">
        <is>
          <t>$1.90</t>
        </is>
      </c>
      <c r="M351" s="2" t="inlineStr">
        <is>
          <t>$1.90</t>
        </is>
      </c>
      <c r="N351" s="2" t="n">
        <v>0</v>
      </c>
      <c r="O351" s="2" t="n">
        <v>0</v>
      </c>
      <c r="P351" s="21" t="n">
        <v>1.9</v>
      </c>
      <c r="Q351" s="21" t="n">
        <v>1.9</v>
      </c>
      <c r="R351" s="2" t="n">
        <v>0</v>
      </c>
      <c r="S351" s="2" t="n">
        <v>0</v>
      </c>
      <c r="T351" s="2" t="n">
        <v>0</v>
      </c>
      <c r="U351" s="2" t="n">
        <v>0</v>
      </c>
      <c r="V351" s="21" t="n">
        <v>5</v>
      </c>
      <c r="W351" s="21" t="n">
        <v>5</v>
      </c>
      <c r="X351" s="2" t="inlineStr">
        <is>
          <t>ENABLED</t>
        </is>
      </c>
      <c r="Y351" s="2" t="inlineStr">
        <is>
          <t>none</t>
        </is>
      </c>
      <c r="Z351" s="2" t="inlineStr">
        <is>
          <t>defer — engine name wrong (SKU token SATIN-QUEEN-BLACK); load a corrected name after 28 Oct</t>
        </is>
      </c>
      <c r="AA351" s="21" t="n">
        <v>0</v>
      </c>
      <c r="AB351" s="2" t="n">
        <v>0</v>
      </c>
      <c r="AC351" s="2" t="n">
        <v>0</v>
      </c>
      <c r="AD351" s="2" t="n"/>
      <c r="AE351" s="2" t="n"/>
      <c r="AF351" s="2" t="n"/>
      <c r="AG351" s="2" t="n">
        <v>0</v>
      </c>
      <c r="AH351" s="2" t="inlineStr">
        <is>
          <t>No change (engine move rejected/held)</t>
        </is>
      </c>
      <c r="AI351" s="22" t="inlineStr">
        <is>
          <t>No change (reject engine child swap seq 1939; defer engine rename)</t>
        </is>
      </c>
      <c r="AJ351" s="22" t="inlineStr">
        <is>
          <t>Engine swap SATIN-QUEEN-BLACK → SATIN-4PCS-QUEEN-STONE-GREY rejected: the pick comes from the broken size map, and SATIN-QUEEN-BLACK is the size's best seller with cover (SB 30 Aug–29 Sep); the engine rename writes a wrong token and is deferred; no clicks in CC 31 Aug–29 Sep.</t>
        </is>
      </c>
      <c r="AK351" s="2" t="inlineStr">
        <is>
          <t>seq 1939 child: reject — keep SATIN-QUEEN-BLACK; seq 3239 rename CHANGE</t>
        </is>
      </c>
      <c r="AL351" s="22" t="n"/>
    </row>
    <row r="352">
      <c r="A352" s="2" t="inlineStr">
        <is>
          <t>489515667224622</t>
        </is>
      </c>
      <c r="B352" s="2" t="inlineStr">
        <is>
          <t>D-S4-SP-satin fitted sheet queen white-(Satin)-HSV-Exact-Rank-DO-SATIN-QUEEN-GREY-FBM</t>
        </is>
      </c>
      <c r="C352" s="2" t="inlineStr">
        <is>
          <t>satin fitted sheet queen white [exact, $1.90]</t>
        </is>
      </c>
      <c r="D352" s="2" t="inlineStr">
        <is>
          <t>whole campaign</t>
        </is>
      </c>
      <c r="E352" s="2" t="inlineStr">
        <is>
          <t>ENABLED</t>
        </is>
      </c>
      <c r="F352" s="2" t="inlineStr">
        <is>
          <t>Ranking</t>
        </is>
      </c>
      <c r="G352" s="2" t="inlineStr">
        <is>
          <t>Conversions</t>
        </is>
      </c>
      <c r="H352" s="2" t="inlineStr">
        <is>
          <t>OUT</t>
        </is>
      </c>
      <c r="I352" s="2" t="inlineStr">
        <is>
          <t>Exact</t>
        </is>
      </c>
      <c r="J352" s="2" t="inlineStr">
        <is>
          <t>SATIN-WHITE-QUEEN</t>
        </is>
      </c>
      <c r="K352" s="2" t="inlineStr">
        <is>
          <t>SATIN-WHITE-QUEEN</t>
        </is>
      </c>
      <c r="L352" s="2" t="inlineStr">
        <is>
          <t>$1.90</t>
        </is>
      </c>
      <c r="M352" s="2" t="inlineStr">
        <is>
          <t>$1.90</t>
        </is>
      </c>
      <c r="N352" s="2" t="n">
        <v>0</v>
      </c>
      <c r="O352" s="2" t="n">
        <v>0</v>
      </c>
      <c r="P352" s="21" t="n">
        <v>1.9</v>
      </c>
      <c r="Q352" s="21" t="n">
        <v>1.9</v>
      </c>
      <c r="R352" s="2" t="n">
        <v>0</v>
      </c>
      <c r="S352" s="2" t="n">
        <v>0</v>
      </c>
      <c r="T352" s="2" t="n">
        <v>0</v>
      </c>
      <c r="U352" s="2" t="n">
        <v>0</v>
      </c>
      <c r="V352" s="21" t="n">
        <v>5</v>
      </c>
      <c r="W352" s="21" t="n">
        <v>5</v>
      </c>
      <c r="X352" s="2" t="inlineStr">
        <is>
          <t>ENABLED</t>
        </is>
      </c>
      <c r="Y352" s="2" t="inlineStr">
        <is>
          <t>none</t>
        </is>
      </c>
      <c r="Z352" s="2" t="inlineStr">
        <is>
          <t>defer — engine name wrong ((Conversion)); load a corrected name after 28 Oct</t>
        </is>
      </c>
      <c r="AA352" s="21" t="n">
        <v>0</v>
      </c>
      <c r="AB352" s="2" t="n">
        <v>0</v>
      </c>
      <c r="AC352" s="2" t="n">
        <v>0</v>
      </c>
      <c r="AD352" s="2" t="n"/>
      <c r="AE352" s="2" t="n"/>
      <c r="AF352" s="2" t="n"/>
      <c r="AG352" s="2" t="n">
        <v>0</v>
      </c>
      <c r="AH352" s="2" t="inlineStr">
        <is>
          <t>Retag only</t>
        </is>
      </c>
      <c r="AI352" s="22" t="inlineStr">
        <is>
          <t>retag → Conversions</t>
        </is>
      </c>
      <c r="AJ352" s="22" t="inlineStr">
        <is>
          <t>Objective Ranking → Conversions by the standard (colour term "satin fitted sheet queen white"); no clicks in CC 31 Aug–29 Sep.</t>
        </is>
      </c>
      <c r="AK352" s="2" t="inlineStr">
        <is>
          <t>seq 3261 rename CHANGE; our addition: standard → Conversions (colour term "satin fitted sheet queen white")</t>
        </is>
      </c>
      <c r="AL352" s="22" t="n"/>
    </row>
    <row r="353">
      <c r="A353" s="2" t="inlineStr">
        <is>
          <t>56309128881956</t>
        </is>
      </c>
      <c r="B353" s="2" t="inlineStr">
        <is>
          <t>D-S4-SP-satin ivory sheets queen-(Satin)-HSV-Exact-Rank-DO-SATIN-IVORY-QUEEN</t>
        </is>
      </c>
      <c r="C353" s="2" t="inlineStr">
        <is>
          <t>satin ivory sheets queen [exact]</t>
        </is>
      </c>
      <c r="D353" s="2" t="inlineStr">
        <is>
          <t>whole campaign</t>
        </is>
      </c>
      <c r="E353" s="2" t="inlineStr">
        <is>
          <t>ENABLED</t>
        </is>
      </c>
      <c r="F353" s="2" t="inlineStr">
        <is>
          <t>Ranking</t>
        </is>
      </c>
      <c r="G353" s="2" t="inlineStr">
        <is>
          <t>Conversions</t>
        </is>
      </c>
      <c r="H353" s="2" t="n"/>
      <c r="I353" s="2" t="inlineStr">
        <is>
          <t>Exact</t>
        </is>
      </c>
      <c r="J353" s="2" t="inlineStr">
        <is>
          <t>SATIN-IVORY-QUEEN</t>
        </is>
      </c>
      <c r="K353" s="2" t="inlineStr">
        <is>
          <t>SATIN-IVORY-QUEEN</t>
        </is>
      </c>
      <c r="L353" s="2" t="inlineStr">
        <is>
          <t>n/a (no target bid in audit)</t>
        </is>
      </c>
      <c r="M353" s="2" t="inlineStr">
        <is>
          <t>n/a</t>
        </is>
      </c>
      <c r="N353" s="2" t="n">
        <v>60</v>
      </c>
      <c r="O353" s="2" t="n">
        <v>60</v>
      </c>
      <c r="P353" s="21" t="n"/>
      <c r="Q353" s="21" t="n"/>
      <c r="R353" s="2" t="n"/>
      <c r="S353" s="2" t="n"/>
      <c r="T353" s="2" t="n"/>
      <c r="U353" s="2" t="n"/>
      <c r="V353" s="21" t="n">
        <v>10</v>
      </c>
      <c r="W353" s="21" t="n">
        <v>10</v>
      </c>
      <c r="X353" s="2" t="inlineStr">
        <is>
          <t>ENABLED</t>
        </is>
      </c>
      <c r="Y353" s="2" t="inlineStr">
        <is>
          <t>none</t>
        </is>
      </c>
      <c r="Z353" s="2" t="inlineStr">
        <is>
          <t>defer — engine name wrong ((Conversion)); load a corrected name after 28 Oct</t>
        </is>
      </c>
      <c r="AA353" s="21" t="n">
        <v>0</v>
      </c>
      <c r="AB353" s="2" t="n">
        <v>0</v>
      </c>
      <c r="AC353" s="2" t="n">
        <v>0</v>
      </c>
      <c r="AD353" s="2" t="n"/>
      <c r="AE353" s="2" t="n"/>
      <c r="AF353" s="2" t="n"/>
      <c r="AG353" s="2" t="n">
        <v>0</v>
      </c>
      <c r="AH353" s="2" t="inlineStr">
        <is>
          <t>Retag only</t>
        </is>
      </c>
      <c r="AI353" s="22" t="inlineStr">
        <is>
          <t>retag → Conversions</t>
        </is>
      </c>
      <c r="AJ353" s="22" t="inlineStr">
        <is>
          <t>Objective Ranking → Conversions by the standard (colour term "satin ivory sheets queen"); no clicks in CC 31 Aug–29 Sep.</t>
        </is>
      </c>
      <c r="AK353" s="2" t="inlineStr">
        <is>
          <t>seq 3278 rename CHANGE; our addition: standard → Conversions (colour term "satin ivory sheets queen")</t>
        </is>
      </c>
      <c r="AL353" s="22" t="n"/>
    </row>
    <row r="354">
      <c r="A354" s="2" t="inlineStr">
        <is>
          <t>508666206442625</t>
        </is>
      </c>
      <c r="B354" s="2" t="inlineStr">
        <is>
          <t>D-S4-SP-satin pillowcase and queen sheets-(Satin)-LSV-Exact-Rank-DO-SATIN-QUEEN-GREY-FBM</t>
        </is>
      </c>
      <c r="C354" s="2" t="inlineStr">
        <is>
          <t>satin pillowcase and queen sheets [exact, $1.90]</t>
        </is>
      </c>
      <c r="D354" s="2" t="inlineStr">
        <is>
          <t>—</t>
        </is>
      </c>
      <c r="E354" s="2" t="inlineStr">
        <is>
          <t>ENABLED</t>
        </is>
      </c>
      <c r="F354" s="2" t="inlineStr">
        <is>
          <t>Ranking</t>
        </is>
      </c>
      <c r="G354" s="2" t="inlineStr">
        <is>
          <t>Ranking</t>
        </is>
      </c>
      <c r="H354" s="2" t="inlineStr">
        <is>
          <t>OUT</t>
        </is>
      </c>
      <c r="I354" s="2" t="inlineStr">
        <is>
          <t>Exact</t>
        </is>
      </c>
      <c r="J354" s="2" t="inlineStr">
        <is>
          <t>SATIN-QUEEN-BLACK</t>
        </is>
      </c>
      <c r="K354" s="2" t="inlineStr">
        <is>
          <t>SATIN-QUEEN-BLACK</t>
        </is>
      </c>
      <c r="L354" s="2" t="inlineStr">
        <is>
          <t>$1.90</t>
        </is>
      </c>
      <c r="M354" s="2" t="inlineStr">
        <is>
          <t>$1.90</t>
        </is>
      </c>
      <c r="N354" s="2" t="n">
        <v>0</v>
      </c>
      <c r="O354" s="2" t="n">
        <v>0</v>
      </c>
      <c r="P354" s="21" t="n">
        <v>1.9</v>
      </c>
      <c r="Q354" s="21" t="n">
        <v>1.9</v>
      </c>
      <c r="R354" s="2" t="n">
        <v>0</v>
      </c>
      <c r="S354" s="2" t="n">
        <v>0</v>
      </c>
      <c r="T354" s="2" t="n">
        <v>0</v>
      </c>
      <c r="U354" s="2" t="n">
        <v>0</v>
      </c>
      <c r="V354" s="21" t="n">
        <v>5</v>
      </c>
      <c r="W354" s="21" t="n">
        <v>5</v>
      </c>
      <c r="X354" s="2" t="inlineStr">
        <is>
          <t>ENABLED</t>
        </is>
      </c>
      <c r="Y354" s="2" t="inlineStr">
        <is>
          <t>none</t>
        </is>
      </c>
      <c r="Z354" s="2" t="inlineStr">
        <is>
          <t>defer — engine name wrong (SKU token SATIN-QUEEN-BLACK); load a corrected name after 28 Oct</t>
        </is>
      </c>
      <c r="AA354" s="21" t="n">
        <v>0</v>
      </c>
      <c r="AB354" s="2" t="n">
        <v>0</v>
      </c>
      <c r="AC354" s="2" t="n">
        <v>0</v>
      </c>
      <c r="AD354" s="2" t="n"/>
      <c r="AE354" s="2" t="n"/>
      <c r="AF354" s="2" t="n"/>
      <c r="AG354" s="2" t="n">
        <v>0</v>
      </c>
      <c r="AH354" s="2" t="inlineStr">
        <is>
          <t>No change (engine move rejected/held)</t>
        </is>
      </c>
      <c r="AI354" s="22" t="inlineStr">
        <is>
          <t>No change (reject engine child swap seq 1952; defer engine rename)</t>
        </is>
      </c>
      <c r="AJ354" s="22" t="inlineStr">
        <is>
          <t>Engine swap SATIN-QUEEN-BLACK → SATIN-4PCS-QUEEN-STONE-GREY rejected: the pick comes from the broken size map, and SATIN-QUEEN-BLACK is the size's best seller with cover (SB 30 Aug–29 Sep); the engine rename writes a wrong token and is deferred; no clicks in CC 31 Aug–29 Sep.</t>
        </is>
      </c>
      <c r="AK354" s="2" t="inlineStr">
        <is>
          <t>seq 1952 child: reject — keep SATIN-QUEEN-BLACK; seq 3268 rename CHANGE</t>
        </is>
      </c>
      <c r="AL354" s="22" t="n"/>
    </row>
    <row r="355">
      <c r="A355" s="2" t="inlineStr">
        <is>
          <t>63931750431123</t>
        </is>
      </c>
      <c r="B355" s="2" t="inlineStr">
        <is>
          <t>D-S4-SP-satin purple sheet set-(Satin)-MSV-Exact-Rank-DO-SATIN-QUEEN-PURPLE</t>
        </is>
      </c>
      <c r="C355" s="2" t="inlineStr">
        <is>
          <t>satin purple sheet set [exact]</t>
        </is>
      </c>
      <c r="D355" s="2" t="inlineStr">
        <is>
          <t>whole campaign</t>
        </is>
      </c>
      <c r="E355" s="2" t="inlineStr">
        <is>
          <t>ENABLED</t>
        </is>
      </c>
      <c r="F355" s="2" t="inlineStr">
        <is>
          <t>Ranking</t>
        </is>
      </c>
      <c r="G355" s="2" t="inlineStr">
        <is>
          <t>Conversions</t>
        </is>
      </c>
      <c r="H355" s="2" t="n"/>
      <c r="I355" s="2" t="inlineStr">
        <is>
          <t>Exact</t>
        </is>
      </c>
      <c r="J355" s="2" t="inlineStr">
        <is>
          <t>SATIN-QUEEN-PURPLE</t>
        </is>
      </c>
      <c r="K355" s="2" t="inlineStr">
        <is>
          <t>SATIN-QUEEN-PURPLE</t>
        </is>
      </c>
      <c r="L355" s="2" t="inlineStr">
        <is>
          <t>n/a (no target bid in audit)</t>
        </is>
      </c>
      <c r="M355" s="2" t="inlineStr">
        <is>
          <t>n/a</t>
        </is>
      </c>
      <c r="N355" s="2" t="n">
        <v>60</v>
      </c>
      <c r="O355" s="2" t="n">
        <v>60</v>
      </c>
      <c r="P355" s="21" t="n"/>
      <c r="Q355" s="21" t="n"/>
      <c r="R355" s="2" t="n"/>
      <c r="S355" s="2" t="n"/>
      <c r="T355" s="2" t="n"/>
      <c r="U355" s="2" t="n"/>
      <c r="V355" s="21" t="n">
        <v>30</v>
      </c>
      <c r="W355" s="21" t="n">
        <v>30</v>
      </c>
      <c r="X355" s="2" t="inlineStr">
        <is>
          <t>ENABLED</t>
        </is>
      </c>
      <c r="Y355" s="2" t="inlineStr">
        <is>
          <t>none</t>
        </is>
      </c>
      <c r="Z355" s="2" t="inlineStr">
        <is>
          <t>defer — engine name wrong ((Conversion)); load a corrected name after 28 Oct</t>
        </is>
      </c>
      <c r="AA355" s="21" t="n">
        <v>0</v>
      </c>
      <c r="AB355" s="2" t="n">
        <v>0</v>
      </c>
      <c r="AC355" s="2" t="n">
        <v>0</v>
      </c>
      <c r="AD355" s="2" t="n"/>
      <c r="AE355" s="2" t="n"/>
      <c r="AF355" s="2" t="n"/>
      <c r="AG355" s="2" t="n">
        <v>0</v>
      </c>
      <c r="AH355" s="2" t="inlineStr">
        <is>
          <t>Retag only</t>
        </is>
      </c>
      <c r="AI355" s="22" t="inlineStr">
        <is>
          <t>retag → Conversions</t>
        </is>
      </c>
      <c r="AJ355" s="22" t="inlineStr">
        <is>
          <t>Objective Ranking → Conversions by the standard (colour term "satin purple sheet set"); no clicks in CC 31 Aug–29 Sep.</t>
        </is>
      </c>
      <c r="AK355" s="2" t="inlineStr">
        <is>
          <t>seq 3059 rename CHANGE; our addition: standard → Conversions (colour term "satin purple sheet set")</t>
        </is>
      </c>
      <c r="AL355" s="22" t="n"/>
    </row>
    <row r="356">
      <c r="A356" s="2" t="inlineStr">
        <is>
          <t>180016286844669</t>
        </is>
      </c>
      <c r="B356" s="2" t="inlineStr">
        <is>
          <t>D-S4-SP-satin sheet king-(Satin)-VLSV-Exact-Rank-DO-SATIN-4PC-KING-GREY</t>
        </is>
      </c>
      <c r="C356" s="2" t="inlineStr">
        <is>
          <t>satin sheet king [exact]</t>
        </is>
      </c>
      <c r="D356" s="2" t="inlineStr">
        <is>
          <t>whole campaign</t>
        </is>
      </c>
      <c r="E356" s="2" t="inlineStr">
        <is>
          <t>PAUSED</t>
        </is>
      </c>
      <c r="F356" s="2" t="inlineStr">
        <is>
          <t>Ranking</t>
        </is>
      </c>
      <c r="G356" s="2" t="inlineStr">
        <is>
          <t>Ranking</t>
        </is>
      </c>
      <c r="H356" s="2" t="n"/>
      <c r="I356" s="2" t="inlineStr">
        <is>
          <t>Exact</t>
        </is>
      </c>
      <c r="J356" s="2" t="inlineStr">
        <is>
          <t>SATIN-4PC-KING-GREY</t>
        </is>
      </c>
      <c r="K356" s="2" t="inlineStr">
        <is>
          <t>SATIN-4PC-KING-GREY</t>
        </is>
      </c>
      <c r="L356" s="2" t="inlineStr">
        <is>
          <t>n/a (no target bid in audit)</t>
        </is>
      </c>
      <c r="M356" s="2" t="inlineStr">
        <is>
          <t>n/a</t>
        </is>
      </c>
      <c r="N356" s="2" t="n">
        <v>100</v>
      </c>
      <c r="O356" s="2" t="n">
        <v>100</v>
      </c>
      <c r="P356" s="21" t="n"/>
      <c r="Q356" s="21" t="n"/>
      <c r="R356" s="2" t="n"/>
      <c r="S356" s="2" t="n"/>
      <c r="T356" s="2" t="n"/>
      <c r="U356" s="2" t="n"/>
      <c r="V356" s="21" t="n">
        <v>2.4</v>
      </c>
      <c r="W356" s="21" t="n">
        <v>2.4</v>
      </c>
      <c r="X356" s="2" t="inlineStr">
        <is>
          <t>PAUSED</t>
        </is>
      </c>
      <c r="Y356" s="2" t="inlineStr">
        <is>
          <t>none</t>
        </is>
      </c>
      <c r="Z356" s="2" t="inlineStr">
        <is>
          <t>load (clean): DSS4-SP-Satin Sheet King-(VLSV)-Exact-(Ranking)-DO-SATIN-4PC-KING-GREY</t>
        </is>
      </c>
      <c r="AA356" s="21" t="n">
        <v>0</v>
      </c>
      <c r="AB356" s="2" t="n">
        <v>0</v>
      </c>
      <c r="AC356" s="2" t="n">
        <v>0</v>
      </c>
      <c r="AD356" s="2" t="n"/>
      <c r="AE356" s="2" t="n"/>
      <c r="AF356" s="2" t="n"/>
      <c r="AG356" s="2" t="n">
        <v>11</v>
      </c>
      <c r="AH356" s="2" t="inlineStr">
        <is>
          <t>Rename only</t>
        </is>
      </c>
      <c r="AI356" s="22" t="inlineStr">
        <is>
          <t>Load rename only</t>
        </is>
      </c>
      <c r="AJ356" s="22" t="inlineStr">
        <is>
          <t>Clean rename (SKU token and objective match what the campaign advertises); no clicks in CC 31 Aug–29 Sep.</t>
        </is>
      </c>
      <c r="AK356" s="2" t="inlineStr">
        <is>
          <t>seq 3319 rename LOAD</t>
        </is>
      </c>
      <c r="AL356" s="22" t="n"/>
    </row>
    <row r="357">
      <c r="A357" s="2" t="inlineStr">
        <is>
          <t>181798010676940</t>
        </is>
      </c>
      <c r="B357" s="2" t="inlineStr">
        <is>
          <t>D-S4-SP-satin sheet set-(Satin)-MSV-Broad-Disc-DO-TF-XHNL-B3YJ</t>
        </is>
      </c>
      <c r="C357" s="2" t="inlineStr">
        <is>
          <t>satin sheet set [broad]</t>
        </is>
      </c>
      <c r="D357" s="2" t="inlineStr">
        <is>
          <t>—</t>
        </is>
      </c>
      <c r="E357" s="2" t="inlineStr">
        <is>
          <t>PAUSED</t>
        </is>
      </c>
      <c r="F357" s="2" t="inlineStr">
        <is>
          <t>Discovery</t>
        </is>
      </c>
      <c r="G357" s="2" t="inlineStr">
        <is>
          <t>Discovery</t>
        </is>
      </c>
      <c r="H357" s="2" t="n"/>
      <c r="I357" s="2" t="inlineStr">
        <is>
          <t>Broad</t>
        </is>
      </c>
      <c r="J357" s="2" t="inlineStr">
        <is>
          <t>SATIN-QUEEN-BLACK</t>
        </is>
      </c>
      <c r="K357" s="2" t="inlineStr">
        <is>
          <t>SATIN-QUEEN-BLACK</t>
        </is>
      </c>
      <c r="L357" s="2" t="inlineStr">
        <is>
          <t>n/a (no target bid in audit)</t>
        </is>
      </c>
      <c r="M357" s="2" t="inlineStr">
        <is>
          <t>n/a</t>
        </is>
      </c>
      <c r="N357" s="2" t="n">
        <v>20</v>
      </c>
      <c r="O357" s="2" t="n">
        <v>20</v>
      </c>
      <c r="P357" s="21" t="n"/>
      <c r="Q357" s="21" t="n"/>
      <c r="R357" s="2" t="n"/>
      <c r="S357" s="2" t="n"/>
      <c r="T357" s="2" t="n"/>
      <c r="U357" s="2" t="n"/>
      <c r="V357" s="21" t="n">
        <v>1</v>
      </c>
      <c r="W357" s="21" t="n">
        <v>1</v>
      </c>
      <c r="X357" s="2" t="inlineStr">
        <is>
          <t>PAUSED</t>
        </is>
      </c>
      <c r="Y357" s="2" t="inlineStr">
        <is>
          <t>none</t>
        </is>
      </c>
      <c r="Z357" s="2" t="inlineStr">
        <is>
          <t>none</t>
        </is>
      </c>
      <c r="AA357" s="21" t="n">
        <v>0</v>
      </c>
      <c r="AB357" s="2" t="n">
        <v>0</v>
      </c>
      <c r="AC357" s="2" t="n">
        <v>0</v>
      </c>
      <c r="AD357" s="2" t="n"/>
      <c r="AE357" s="2" t="n"/>
      <c r="AF357" s="2" t="n"/>
      <c r="AG357" s="2" t="n">
        <v>48</v>
      </c>
      <c r="AH357" s="2" t="inlineStr">
        <is>
          <t>No change</t>
        </is>
      </c>
      <c r="AI357" s="22" t="inlineStr">
        <is>
          <t>Keep paused</t>
        </is>
      </c>
      <c r="AJ357" s="22" t="inlineStr">
        <is>
          <t>No run decision and no issue found; no clicks in CC 31 Aug–29 Sep.</t>
        </is>
      </c>
      <c r="AK357" s="2" t="inlineStr">
        <is>
          <t>no run decision</t>
        </is>
      </c>
      <c r="AL357" s="22" t="n"/>
    </row>
    <row r="358">
      <c r="A358" s="2" t="inlineStr">
        <is>
          <t>223356353525803</t>
        </is>
      </c>
      <c r="B358" s="2" t="inlineStr">
        <is>
          <t>D-S4-SP-satin sheets 4 piece-(Satin)-HSV-Exact-Rank-DO-SATIN-QUEEN-GREY</t>
        </is>
      </c>
      <c r="C358" s="2" t="inlineStr">
        <is>
          <t>satin sheets 4 piece [exact, $1.90]; satin sheets and pillow cases [exact, paused, $1.07]; satin sheets and pillowcase [exact, paused, $1.96]; silky satin sheets [exact, paused, $0.97]</t>
        </is>
      </c>
      <c r="D358" s="2" t="inlineStr">
        <is>
          <t>—</t>
        </is>
      </c>
      <c r="E358" s="2" t="inlineStr">
        <is>
          <t>ENABLED</t>
        </is>
      </c>
      <c r="F358" s="2" t="inlineStr">
        <is>
          <t>Ranking</t>
        </is>
      </c>
      <c r="G358" s="2" t="inlineStr">
        <is>
          <t>Ranking</t>
        </is>
      </c>
      <c r="H358" s="2" t="inlineStr">
        <is>
          <t>OUT</t>
        </is>
      </c>
      <c r="I358" s="2" t="inlineStr">
        <is>
          <t>Exact</t>
        </is>
      </c>
      <c r="J358" s="2" t="inlineStr">
        <is>
          <t>SATIN-QUEEN-GREY</t>
        </is>
      </c>
      <c r="K358" s="2" t="inlineStr">
        <is>
          <t>SATIN-QUEEN-GREY</t>
        </is>
      </c>
      <c r="L358" s="2" t="inlineStr">
        <is>
          <t>$1.90</t>
        </is>
      </c>
      <c r="M358" s="2" t="inlineStr">
        <is>
          <t>$1.90</t>
        </is>
      </c>
      <c r="N358" s="2" t="n">
        <v>50</v>
      </c>
      <c r="O358" s="2" t="n">
        <v>50</v>
      </c>
      <c r="P358" s="21" t="n">
        <v>2.85</v>
      </c>
      <c r="Q358" s="21" t="n">
        <v>2.85</v>
      </c>
      <c r="R358" s="2" t="n">
        <v>0</v>
      </c>
      <c r="S358" s="2" t="n">
        <v>0</v>
      </c>
      <c r="T358" s="2" t="n">
        <v>0</v>
      </c>
      <c r="U358" s="2" t="n">
        <v>0</v>
      </c>
      <c r="V358" s="21" t="n">
        <v>5</v>
      </c>
      <c r="W358" s="21" t="n">
        <v>5</v>
      </c>
      <c r="X358" s="2" t="inlineStr">
        <is>
          <t>ENABLED</t>
        </is>
      </c>
      <c r="Y358" s="2" t="inlineStr">
        <is>
          <t>none</t>
        </is>
      </c>
      <c r="Z358" s="2" t="inlineStr">
        <is>
          <t>defer — engine name wrong (flag); load a corrected name after 28 Oct</t>
        </is>
      </c>
      <c r="AA358" s="21" t="n">
        <v>0</v>
      </c>
      <c r="AB358" s="2" t="n">
        <v>0</v>
      </c>
      <c r="AC358" s="2" t="n">
        <v>0</v>
      </c>
      <c r="AD358" s="2" t="n"/>
      <c r="AE358" s="2" t="n"/>
      <c r="AF358" s="2" t="n"/>
      <c r="AG358" s="2" t="n">
        <v>0</v>
      </c>
      <c r="AH358" s="2" t="inlineStr">
        <is>
          <t>No change (engine move rejected/held)</t>
        </is>
      </c>
      <c r="AI358" s="22" t="inlineStr">
        <is>
          <t>No change (defer engine rename)</t>
        </is>
      </c>
      <c r="AJ358" s="22" t="inlineStr">
        <is>
          <t>the engine rename writes a wrong token and is deferred; no clicks in CC 31 Aug–29 Sep.</t>
        </is>
      </c>
      <c r="AK358" s="2" t="inlineStr">
        <is>
          <t>seq 3165 rename CHANGE</t>
        </is>
      </c>
      <c r="AL358" s="22" t="n"/>
    </row>
    <row r="359">
      <c r="A359" s="2" t="inlineStr">
        <is>
          <t>208615360597767</t>
        </is>
      </c>
      <c r="B359" s="2" t="inlineStr">
        <is>
          <t>D-S4-SP-satin sheets for queen size bed-(Satin)-MSV-Exact-Rank-DO-SATIN-QUEEN-BLACK</t>
        </is>
      </c>
      <c r="C359" s="2" t="inlineStr">
        <is>
          <t>satin sheets for queen size bed; satin sheets only queen [exact]</t>
        </is>
      </c>
      <c r="D359" s="2" t="inlineStr">
        <is>
          <t>whole campaign</t>
        </is>
      </c>
      <c r="E359" s="2" t="inlineStr">
        <is>
          <t>ENABLED</t>
        </is>
      </c>
      <c r="F359" s="2" t="inlineStr">
        <is>
          <t>Ranking</t>
        </is>
      </c>
      <c r="G359" s="2" t="inlineStr">
        <is>
          <t>Ranking</t>
        </is>
      </c>
      <c r="H359" s="2" t="n"/>
      <c r="I359" s="2" t="inlineStr">
        <is>
          <t>Exact</t>
        </is>
      </c>
      <c r="J359" s="2" t="inlineStr">
        <is>
          <t>SATIN-QUEEN-BLACK</t>
        </is>
      </c>
      <c r="K359" s="2" t="inlineStr">
        <is>
          <t>SATIN-QUEEN-BLACK</t>
        </is>
      </c>
      <c r="L359" s="2" t="inlineStr">
        <is>
          <t>n/a (no target bid in audit)</t>
        </is>
      </c>
      <c r="M359" s="2" t="inlineStr">
        <is>
          <t>n/a</t>
        </is>
      </c>
      <c r="N359" s="2" t="n">
        <v>110</v>
      </c>
      <c r="O359" s="2" t="n">
        <v>110</v>
      </c>
      <c r="P359" s="21" t="n"/>
      <c r="Q359" s="21" t="n"/>
      <c r="R359" s="2" t="n"/>
      <c r="S359" s="2" t="n"/>
      <c r="T359" s="2" t="n"/>
      <c r="U359" s="2" t="n"/>
      <c r="V359" s="21" t="n">
        <v>3.16</v>
      </c>
      <c r="W359" s="21" t="n">
        <v>3.16</v>
      </c>
      <c r="X359" s="2" t="inlineStr">
        <is>
          <t>ENABLED</t>
        </is>
      </c>
      <c r="Y359" s="2" t="inlineStr">
        <is>
          <t>none</t>
        </is>
      </c>
      <c r="Z359" s="2" t="inlineStr">
        <is>
          <t>load (clean): DSS4-SP-SATIN SHEETS FOR QUEEN SIZE BED-(PAT)-Targeting-(Ranking)-DO-SATIN-QUEEN-BLACK</t>
        </is>
      </c>
      <c r="AA359" s="21" t="n">
        <v>0</v>
      </c>
      <c r="AB359" s="2" t="n">
        <v>0</v>
      </c>
      <c r="AC359" s="2" t="n">
        <v>0</v>
      </c>
      <c r="AD359" s="2" t="n"/>
      <c r="AE359" s="2" t="n"/>
      <c r="AF359" s="2" t="n"/>
      <c r="AG359" s="2" t="n">
        <v>3</v>
      </c>
      <c r="AH359" s="2" t="inlineStr">
        <is>
          <t>Rename only</t>
        </is>
      </c>
      <c r="AI359" s="22" t="inlineStr">
        <is>
          <t>Load rename only</t>
        </is>
      </c>
      <c r="AJ359" s="22" t="inlineStr">
        <is>
          <t>Clean rename (SKU token and objective match what the campaign advertises); no clicks in CC 31 Aug–29 Sep.</t>
        </is>
      </c>
      <c r="AK359" s="2" t="inlineStr">
        <is>
          <t>seq 3150 rename LOAD</t>
        </is>
      </c>
      <c r="AL359" s="22" t="n"/>
    </row>
    <row r="360">
      <c r="A360" s="2" t="inlineStr">
        <is>
          <t>227666184138488</t>
        </is>
      </c>
      <c r="B360" s="2" t="inlineStr">
        <is>
          <t>D-S4-SP-satin sheets queen deep-(Satin)-HSV-Exact-Rank-DO-SATIN-QUEEN-GREY</t>
        </is>
      </c>
      <c r="C360" s="2" t="inlineStr">
        <is>
          <t>satin bottom sheet queen [exact, $2.00]; satin sheet sets queen size [exact, paused, $1.27]; satin sheets queen deep [exact, $1.90]; satin sheets queen size sweat [exact, $1.90]; satin silk hypoallergenic sheet set [exact, $1.90]</t>
        </is>
      </c>
      <c r="D360" s="2" t="inlineStr">
        <is>
          <t>—</t>
        </is>
      </c>
      <c r="E360" s="2" t="inlineStr">
        <is>
          <t>ENABLED</t>
        </is>
      </c>
      <c r="F360" s="2" t="inlineStr">
        <is>
          <t>Ranking</t>
        </is>
      </c>
      <c r="G360" s="2" t="inlineStr">
        <is>
          <t>Ranking</t>
        </is>
      </c>
      <c r="H360" s="2" t="inlineStr">
        <is>
          <t>Satin|Queen</t>
        </is>
      </c>
      <c r="I360" s="2" t="inlineStr">
        <is>
          <t>Exact</t>
        </is>
      </c>
      <c r="J360" s="2" t="inlineStr">
        <is>
          <t>SATIN-QUEEN-BLACK</t>
        </is>
      </c>
      <c r="K360" s="2" t="inlineStr">
        <is>
          <t>SATIN-QUEEN-BLACK</t>
        </is>
      </c>
      <c r="L360" s="2" t="inlineStr">
        <is>
          <t>$2.00 / $1.90 / $1.90 / $1.90</t>
        </is>
      </c>
      <c r="M360" s="2" t="inlineStr">
        <is>
          <t>$2.00 / $1.90 / $1.90 / $1.90</t>
        </is>
      </c>
      <c r="N360" s="2" t="n">
        <v>80</v>
      </c>
      <c r="O360" s="2" t="n">
        <v>80</v>
      </c>
      <c r="P360" s="21" t="n">
        <v>3.6</v>
      </c>
      <c r="Q360" s="21" t="n">
        <v>3.6</v>
      </c>
      <c r="R360" s="2" t="n">
        <v>0</v>
      </c>
      <c r="S360" s="2" t="n">
        <v>0</v>
      </c>
      <c r="T360" s="2" t="n">
        <v>0</v>
      </c>
      <c r="U360" s="2" t="n">
        <v>0</v>
      </c>
      <c r="V360" s="21" t="n">
        <v>19.48</v>
      </c>
      <c r="W360" s="21" t="n">
        <v>19.48</v>
      </c>
      <c r="X360" s="2" t="inlineStr">
        <is>
          <t>ENABLED</t>
        </is>
      </c>
      <c r="Y360" s="2" t="inlineStr">
        <is>
          <t>none</t>
        </is>
      </c>
      <c r="Z360" s="2" t="inlineStr">
        <is>
          <t>defer — engine name wrong (SKU token SATIN-QUEEN-BLACK); load a corrected name after 28 Oct</t>
        </is>
      </c>
      <c r="AA360" s="21" t="n">
        <v>0</v>
      </c>
      <c r="AB360" s="2" t="n">
        <v>0</v>
      </c>
      <c r="AC360" s="2" t="n">
        <v>0</v>
      </c>
      <c r="AD360" s="2" t="n"/>
      <c r="AE360" s="2" t="n"/>
      <c r="AF360" s="2" t="n"/>
      <c r="AG360" s="2" t="n">
        <v>0</v>
      </c>
      <c r="AH360" s="2" t="inlineStr">
        <is>
          <t>No change (engine move rejected/held)</t>
        </is>
      </c>
      <c r="AI360" s="22" t="inlineStr">
        <is>
          <t>No change (reject engine child swap seq 1917; defer engine rename)</t>
        </is>
      </c>
      <c r="AJ360" s="22" t="inlineStr">
        <is>
          <t>Engine swap SATIN-QUEEN-BLACK → SATIN-4PCS-QUEEN-STONE-GREY rejected: the pick comes from the broken size map, and SATIN-QUEEN-BLACK is the size's best seller with cover (SB 30 Aug–29 Sep); the engine rename writes a wrong token and is deferred; no clicks in CC 31 Aug–29 Sep.</t>
        </is>
      </c>
      <c r="AK360" s="2" t="inlineStr">
        <is>
          <t>seq 1917 child: reject — keep SATIN-QUEEN-BLACK; seq 3170 rename CHANGE</t>
        </is>
      </c>
      <c r="AL360" s="22" t="n"/>
    </row>
    <row r="361">
      <c r="A361" s="2" t="inlineStr">
        <is>
          <t>193374095826891</t>
        </is>
      </c>
      <c r="B361" s="2" t="inlineStr">
        <is>
          <t>D-S4-SP-satin sheets queen hotel luxury-(Satin)-MSV-Exact-Rank-DO-SATIN-QUEEN-BLACK</t>
        </is>
      </c>
      <c r="C361" s="2" t="inlineStr">
        <is>
          <t>satin sheet and top cover queen [exact, $1.90]; satin sheet set queen [exact, paused, $0.50]; satin sheet set queen zip pillow [exact, $1.90]; satin sheet sets for queen size bed [exact, $1.90]; satin sheets queen hotel luxury [exact, $1.90]; egyptian satin sheets queen size [exact, paused, $3.00]</t>
        </is>
      </c>
      <c r="D361" s="2" t="inlineStr">
        <is>
          <t>—</t>
        </is>
      </c>
      <c r="E361" s="2" t="inlineStr">
        <is>
          <t>ENABLED</t>
        </is>
      </c>
      <c r="F361" s="2" t="inlineStr">
        <is>
          <t>Ranking</t>
        </is>
      </c>
      <c r="G361" s="2" t="inlineStr">
        <is>
          <t>Ranking</t>
        </is>
      </c>
      <c r="H361" s="2" t="inlineStr">
        <is>
          <t>Satin|Queen</t>
        </is>
      </c>
      <c r="I361" s="2" t="inlineStr">
        <is>
          <t>Exact</t>
        </is>
      </c>
      <c r="J361" s="2" t="inlineStr">
        <is>
          <t>SATIN-QUEEN-BLACK</t>
        </is>
      </c>
      <c r="K361" s="2" t="inlineStr">
        <is>
          <t>SATIN-QUEEN-BLACK</t>
        </is>
      </c>
      <c r="L361" s="2" t="inlineStr">
        <is>
          <t>$1.90 / $1.90 / $1.90 / $1.90</t>
        </is>
      </c>
      <c r="M361" s="2" t="inlineStr">
        <is>
          <t>$1.90 / $1.90 / $1.90 / $1.90</t>
        </is>
      </c>
      <c r="N361" s="2" t="n">
        <v>50</v>
      </c>
      <c r="O361" s="2" t="n">
        <v>50</v>
      </c>
      <c r="P361" s="21" t="n">
        <v>2.85</v>
      </c>
      <c r="Q361" s="21" t="n">
        <v>2.85</v>
      </c>
      <c r="R361" s="2" t="n">
        <v>0</v>
      </c>
      <c r="S361" s="2" t="n">
        <v>0</v>
      </c>
      <c r="T361" s="2" t="n">
        <v>0</v>
      </c>
      <c r="U361" s="2" t="n">
        <v>0</v>
      </c>
      <c r="V361" s="21" t="n">
        <v>30</v>
      </c>
      <c r="W361" s="21" t="n">
        <v>30</v>
      </c>
      <c r="X361" s="2" t="inlineStr">
        <is>
          <t>ENABLED</t>
        </is>
      </c>
      <c r="Y361" s="2" t="inlineStr">
        <is>
          <t>none</t>
        </is>
      </c>
      <c r="Z361" s="2" t="inlineStr">
        <is>
          <t>defer — engine name wrong (SKU token SATIN-QUEEN-BLACK); load a corrected name after 28 Oct</t>
        </is>
      </c>
      <c r="AA361" s="21" t="n">
        <v>0</v>
      </c>
      <c r="AB361" s="2" t="n">
        <v>0</v>
      </c>
      <c r="AC361" s="2" t="n">
        <v>0</v>
      </c>
      <c r="AD361" s="2" t="n"/>
      <c r="AE361" s="2" t="n"/>
      <c r="AF361" s="2" t="n"/>
      <c r="AG361" s="2" t="n">
        <v>2</v>
      </c>
      <c r="AH361" s="2" t="inlineStr">
        <is>
          <t>No change (engine move rejected/held)</t>
        </is>
      </c>
      <c r="AI361" s="22" t="inlineStr">
        <is>
          <t>No change (reject engine child swap seq 1908; defer engine rename)</t>
        </is>
      </c>
      <c r="AJ361" s="22" t="inlineStr">
        <is>
          <t>Engine swap SATIN-QUEEN-BLACK → SATIN-4PCS-QUEEN-STONE-GREY rejected: the pick comes from the broken size map, and SATIN-QUEEN-BLACK is the size's best seller with cover (SB 30 Aug–29 Sep); the engine rename writes a wrong token and is deferred; no clicks in CC 31 Aug–29 Sep.</t>
        </is>
      </c>
      <c r="AK361" s="2" t="inlineStr">
        <is>
          <t>seq 1908 child: reject — keep SATIN-QUEEN-BLACK; seq 3140 rename CHANGE</t>
        </is>
      </c>
      <c r="AL361" s="22" t="n"/>
    </row>
    <row r="362">
      <c r="A362" s="2" t="inlineStr">
        <is>
          <t>353987105903824</t>
        </is>
      </c>
      <c r="B362" s="2" t="inlineStr">
        <is>
          <t>D-S4-SP-satin sheets queen light gray-(Satin)-LSV-Exact-Rank-DO-SATIN-QUEEN-GREY</t>
        </is>
      </c>
      <c r="C362" s="2" t="inlineStr">
        <is>
          <t>satin sheets queen light gray [exact]</t>
        </is>
      </c>
      <c r="D362" s="2" t="inlineStr">
        <is>
          <t>whole campaign</t>
        </is>
      </c>
      <c r="E362" s="2" t="inlineStr">
        <is>
          <t>ENABLED</t>
        </is>
      </c>
      <c r="F362" s="2" t="inlineStr">
        <is>
          <t>Ranking</t>
        </is>
      </c>
      <c r="G362" s="2" t="inlineStr">
        <is>
          <t>Conversions</t>
        </is>
      </c>
      <c r="H362" s="2" t="n"/>
      <c r="I362" s="2" t="inlineStr">
        <is>
          <t>Exact</t>
        </is>
      </c>
      <c r="J362" s="2" t="inlineStr">
        <is>
          <t>SATIN-QUEEN-GREY</t>
        </is>
      </c>
      <c r="K362" s="2" t="inlineStr">
        <is>
          <t>SATIN-QUEEN-GREY</t>
        </is>
      </c>
      <c r="L362" s="2" t="inlineStr">
        <is>
          <t>n/a (no target bid in audit)</t>
        </is>
      </c>
      <c r="M362" s="2" t="inlineStr">
        <is>
          <t>n/a</t>
        </is>
      </c>
      <c r="N362" s="2" t="n">
        <v>0</v>
      </c>
      <c r="O362" s="2" t="n">
        <v>0</v>
      </c>
      <c r="P362" s="21" t="n"/>
      <c r="Q362" s="21" t="n"/>
      <c r="R362" s="2" t="n"/>
      <c r="S362" s="2" t="n"/>
      <c r="T362" s="2" t="n"/>
      <c r="U362" s="2" t="n"/>
      <c r="V362" s="21" t="n">
        <v>5</v>
      </c>
      <c r="W362" s="21" t="n">
        <v>5</v>
      </c>
      <c r="X362" s="2" t="inlineStr">
        <is>
          <t>ENABLED</t>
        </is>
      </c>
      <c r="Y362" s="2" t="inlineStr">
        <is>
          <t>none</t>
        </is>
      </c>
      <c r="Z362" s="2" t="inlineStr">
        <is>
          <t>defer — engine name wrong ((Conversion)); load a corrected name after 28 Oct</t>
        </is>
      </c>
      <c r="AA362" s="21" t="n">
        <v>0</v>
      </c>
      <c r="AB362" s="2" t="n">
        <v>0</v>
      </c>
      <c r="AC362" s="2" t="n">
        <v>0</v>
      </c>
      <c r="AD362" s="2" t="n"/>
      <c r="AE362" s="2" t="n"/>
      <c r="AF362" s="2" t="n"/>
      <c r="AG362" s="2" t="n">
        <v>0</v>
      </c>
      <c r="AH362" s="2" t="inlineStr">
        <is>
          <t>Retag only</t>
        </is>
      </c>
      <c r="AI362" s="22" t="inlineStr">
        <is>
          <t>retag → Conversions</t>
        </is>
      </c>
      <c r="AJ362" s="22" t="inlineStr">
        <is>
          <t>Objective Ranking → Conversions by the standard (colour term "satin sheets queen light gray"); no clicks in CC 31 Aug–29 Sep.</t>
        </is>
      </c>
      <c r="AK362" s="2" t="inlineStr">
        <is>
          <t>seq 3229 rename CHANGE; our addition: standard → Conversions (colour term "satin sheets queen light gray")</t>
        </is>
      </c>
      <c r="AL362" s="22" t="n"/>
    </row>
    <row r="363">
      <c r="A363" s="2" t="inlineStr">
        <is>
          <t>199915800894647</t>
        </is>
      </c>
      <c r="B363" s="2" t="inlineStr">
        <is>
          <t>D-S4-SP-satin sheets queen size bed set-(Satin)-LSV-Exact-Rank-DO-SATIN-QUEEN-GREY</t>
        </is>
      </c>
      <c r="C363" s="2" t="inlineStr">
        <is>
          <t>satin sheets queen size bed set (from the campaign name; no targets on file, no spend in 90 days)</t>
        </is>
      </c>
      <c r="D363" s="2" t="inlineStr">
        <is>
          <t>whole campaign</t>
        </is>
      </c>
      <c r="E363" s="2" t="inlineStr">
        <is>
          <t>PAUSED</t>
        </is>
      </c>
      <c r="F363" s="2" t="inlineStr">
        <is>
          <t>Ranking</t>
        </is>
      </c>
      <c r="G363" s="2" t="inlineStr">
        <is>
          <t>Ranking</t>
        </is>
      </c>
      <c r="H363" s="2" t="n"/>
      <c r="I363" s="2" t="inlineStr">
        <is>
          <t>Exact</t>
        </is>
      </c>
      <c r="J363" s="2" t="inlineStr">
        <is>
          <t>SATIN-QUEEN-BLACK</t>
        </is>
      </c>
      <c r="K363" s="2" t="inlineStr">
        <is>
          <t>SATIN-QUEEN-BLACK</t>
        </is>
      </c>
      <c r="L363" s="2" t="inlineStr">
        <is>
          <t>n/a (no target bid in audit)</t>
        </is>
      </c>
      <c r="M363" s="2" t="inlineStr">
        <is>
          <t>n/a</t>
        </is>
      </c>
      <c r="N363" s="2" t="n">
        <v>95</v>
      </c>
      <c r="O363" s="2" t="n">
        <v>95</v>
      </c>
      <c r="P363" s="21" t="n"/>
      <c r="Q363" s="21" t="n"/>
      <c r="R363" s="2" t="n"/>
      <c r="S363" s="2" t="n"/>
      <c r="T363" s="2" t="n"/>
      <c r="U363" s="2" t="n"/>
      <c r="V363" s="21" t="n">
        <v>1</v>
      </c>
      <c r="W363" s="21" t="n">
        <v>1</v>
      </c>
      <c r="X363" s="2" t="inlineStr">
        <is>
          <t>PAUSED</t>
        </is>
      </c>
      <c r="Y363" s="2" t="inlineStr">
        <is>
          <t>none</t>
        </is>
      </c>
      <c r="Z363" s="2" t="inlineStr">
        <is>
          <t>load (clean): DSS4-SP-Satin Sheets Queen Size Bed Set-[Satin|Queen]-(VLSV)-Exact-(Ranking)-DO-SATIN-QUEEN-BLACK</t>
        </is>
      </c>
      <c r="AA363" s="21" t="n">
        <v>0</v>
      </c>
      <c r="AB363" s="2" t="n">
        <v>0</v>
      </c>
      <c r="AC363" s="2" t="n">
        <v>0</v>
      </c>
      <c r="AD363" s="2" t="n"/>
      <c r="AE363" s="2" t="n"/>
      <c r="AF363" s="2" t="n"/>
      <c r="AG363" s="2" t="n">
        <v>0</v>
      </c>
      <c r="AH363" s="2" t="inlineStr">
        <is>
          <t>Rename only</t>
        </is>
      </c>
      <c r="AI363" s="22" t="inlineStr">
        <is>
          <t>Load rename only</t>
        </is>
      </c>
      <c r="AJ363" s="22" t="inlineStr">
        <is>
          <t>Clean rename (SKU token and objective match what the campaign advertises); no clicks in CC 31 Aug–29 Sep.</t>
        </is>
      </c>
      <c r="AK363" s="2" t="inlineStr">
        <is>
          <t>seq 3331 rename LOAD</t>
        </is>
      </c>
      <c r="AL363" s="22" t="n"/>
    </row>
    <row r="364">
      <c r="A364" s="2" t="inlineStr">
        <is>
          <t>422615014537224</t>
        </is>
      </c>
      <c r="B364" s="2" t="inlineStr">
        <is>
          <t>D-S4-SP-satin sheets queen size ivory-(Satin)-HSV-Exact-Rank-DO-SATIN-IVORY-QUEEN</t>
        </is>
      </c>
      <c r="C364" s="2" t="inlineStr">
        <is>
          <t>satin sheets queen size ivory [exact]</t>
        </is>
      </c>
      <c r="D364" s="2" t="inlineStr">
        <is>
          <t>whole campaign</t>
        </is>
      </c>
      <c r="E364" s="2" t="inlineStr">
        <is>
          <t>ENABLED</t>
        </is>
      </c>
      <c r="F364" s="2" t="inlineStr">
        <is>
          <t>Ranking</t>
        </is>
      </c>
      <c r="G364" s="2" t="inlineStr">
        <is>
          <t>Conversions</t>
        </is>
      </c>
      <c r="H364" s="2" t="n"/>
      <c r="I364" s="2" t="inlineStr">
        <is>
          <t>Exact</t>
        </is>
      </c>
      <c r="J364" s="2" t="inlineStr">
        <is>
          <t>SATIN-IVORY-QUEEN</t>
        </is>
      </c>
      <c r="K364" s="2" t="inlineStr">
        <is>
          <t>SATIN-IVORY-QUEEN</t>
        </is>
      </c>
      <c r="L364" s="2" t="inlineStr">
        <is>
          <t>n/a (no target bid in audit)</t>
        </is>
      </c>
      <c r="M364" s="2" t="inlineStr">
        <is>
          <t>n/a</t>
        </is>
      </c>
      <c r="N364" s="2" t="n">
        <v>50</v>
      </c>
      <c r="O364" s="2" t="n">
        <v>50</v>
      </c>
      <c r="P364" s="21" t="n"/>
      <c r="Q364" s="21" t="n"/>
      <c r="R364" s="2" t="n"/>
      <c r="S364" s="2" t="n"/>
      <c r="T364" s="2" t="n"/>
      <c r="U364" s="2" t="n"/>
      <c r="V364" s="21" t="n">
        <v>10</v>
      </c>
      <c r="W364" s="21" t="n">
        <v>10</v>
      </c>
      <c r="X364" s="2" t="inlineStr">
        <is>
          <t>ENABLED</t>
        </is>
      </c>
      <c r="Y364" s="2" t="inlineStr">
        <is>
          <t>none</t>
        </is>
      </c>
      <c r="Z364" s="2" t="inlineStr">
        <is>
          <t>defer — engine name wrong ((Conversion)); load a corrected name after 28 Oct</t>
        </is>
      </c>
      <c r="AA364" s="21" t="n">
        <v>0</v>
      </c>
      <c r="AB364" s="2" t="n">
        <v>0</v>
      </c>
      <c r="AC364" s="2" t="n">
        <v>0</v>
      </c>
      <c r="AD364" s="2" t="n"/>
      <c r="AE364" s="2" t="n"/>
      <c r="AF364" s="2" t="n"/>
      <c r="AG364" s="2" t="n">
        <v>0</v>
      </c>
      <c r="AH364" s="2" t="inlineStr">
        <is>
          <t>Retag only</t>
        </is>
      </c>
      <c r="AI364" s="22" t="inlineStr">
        <is>
          <t>retag → Conversions</t>
        </is>
      </c>
      <c r="AJ364" s="22" t="inlineStr">
        <is>
          <t>Objective Ranking → Conversions by the standard (colour term "satin sheets queen size ivory"); no clicks in CC 31 Aug–29 Sep.</t>
        </is>
      </c>
      <c r="AK364" s="2" t="inlineStr">
        <is>
          <t>seq 3248 rename CHANGE; our addition: standard → Conversions (colour term "satin sheets queen size ivory")</t>
        </is>
      </c>
      <c r="AL364" s="22" t="n"/>
    </row>
    <row r="365">
      <c r="A365" s="2" t="inlineStr">
        <is>
          <t>157677674215319</t>
        </is>
      </c>
      <c r="B365" s="2" t="inlineStr">
        <is>
          <t>D-S4-SP-satin sheets queen size-(Satin)-HSV-Exact-Rank-DO-SATIN-QUEEN-GREY</t>
        </is>
      </c>
      <c r="C365" s="2" t="inlineStr">
        <is>
          <t>satin sheets queen size [exact]</t>
        </is>
      </c>
      <c r="D365" s="2" t="inlineStr">
        <is>
          <t>whole campaign</t>
        </is>
      </c>
      <c r="E365" s="2" t="inlineStr">
        <is>
          <t>ENABLED</t>
        </is>
      </c>
      <c r="F365" s="2" t="inlineStr">
        <is>
          <t>Ranking</t>
        </is>
      </c>
      <c r="G365" s="2" t="inlineStr">
        <is>
          <t>Ranking</t>
        </is>
      </c>
      <c r="H365" s="2" t="n"/>
      <c r="I365" s="2" t="inlineStr">
        <is>
          <t>Exact</t>
        </is>
      </c>
      <c r="J365" s="2" t="inlineStr">
        <is>
          <t>SATIN-QUEEN-BLACK</t>
        </is>
      </c>
      <c r="K365" s="2" t="inlineStr">
        <is>
          <t>SATIN-QUEEN-BLACK</t>
        </is>
      </c>
      <c r="L365" s="2" t="inlineStr">
        <is>
          <t>n/a (no target bid in audit)</t>
        </is>
      </c>
      <c r="M365" s="2" t="inlineStr">
        <is>
          <t>n/a</t>
        </is>
      </c>
      <c r="N365" s="2" t="n">
        <v>120</v>
      </c>
      <c r="O365" s="2" t="n">
        <v>120</v>
      </c>
      <c r="P365" s="21" t="n"/>
      <c r="Q365" s="21" t="n"/>
      <c r="R365" s="2" t="n"/>
      <c r="S365" s="2" t="n"/>
      <c r="T365" s="2" t="n"/>
      <c r="U365" s="2" t="n"/>
      <c r="V365" s="21" t="n">
        <v>1.25</v>
      </c>
      <c r="W365" s="21" t="n">
        <v>1.25</v>
      </c>
      <c r="X365" s="2" t="inlineStr">
        <is>
          <t>ENABLED</t>
        </is>
      </c>
      <c r="Y365" s="2" t="inlineStr">
        <is>
          <t>none</t>
        </is>
      </c>
      <c r="Z365" s="2" t="inlineStr">
        <is>
          <t>load (clean): DSS4-SP-SATIN SHEETS QUEEN SIZE-(PAT)-Targeting-(Ranking)-DO-SATIN-QUEEN-BLACK</t>
        </is>
      </c>
      <c r="AA365" s="21" t="n">
        <v>0</v>
      </c>
      <c r="AB365" s="2" t="n">
        <v>0</v>
      </c>
      <c r="AC365" s="2" t="n">
        <v>0</v>
      </c>
      <c r="AD365" s="2" t="n"/>
      <c r="AE365" s="2" t="n"/>
      <c r="AF365" s="2" t="n"/>
      <c r="AG365" s="2" t="n">
        <v>22</v>
      </c>
      <c r="AH365" s="2" t="inlineStr">
        <is>
          <t>Rename only</t>
        </is>
      </c>
      <c r="AI365" s="22" t="inlineStr">
        <is>
          <t>Load rename only</t>
        </is>
      </c>
      <c r="AJ365" s="22" t="inlineStr">
        <is>
          <t>Clean rename (SKU token and objective match what the campaign advertises); no clicks in CC 31 Aug–29 Sep.</t>
        </is>
      </c>
      <c r="AK365" s="2" t="inlineStr">
        <is>
          <t>seq 3334 rename LOAD</t>
        </is>
      </c>
      <c r="AL365" s="22" t="n"/>
    </row>
    <row r="366">
      <c r="A366" s="2" t="inlineStr">
        <is>
          <t>369751164687406</t>
        </is>
      </c>
      <c r="B366" s="2" t="inlineStr">
        <is>
          <t>D-S4-SP-satin sheets set full xl-(Satin)-MSV-Exact-Rank-DO-TF-XHNL-B3YJ</t>
        </is>
      </c>
      <c r="C366" s="2" t="inlineStr">
        <is>
          <t>satin sheets set full xl [exact]</t>
        </is>
      </c>
      <c r="D366" s="2" t="inlineStr">
        <is>
          <t>—</t>
        </is>
      </c>
      <c r="E366" s="2" t="inlineStr">
        <is>
          <t>ENABLED</t>
        </is>
      </c>
      <c r="F366" s="2" t="inlineStr">
        <is>
          <t>Ranking</t>
        </is>
      </c>
      <c r="G366" s="2" t="inlineStr">
        <is>
          <t>Ranking</t>
        </is>
      </c>
      <c r="H366" s="2" t="n"/>
      <c r="I366" s="2" t="inlineStr">
        <is>
          <t>Exact</t>
        </is>
      </c>
      <c r="J366" s="2" t="inlineStr">
        <is>
          <t>SATIN-FULL-BLACK</t>
        </is>
      </c>
      <c r="K366" s="2" t="inlineStr">
        <is>
          <t>SATIN-FULL-BLACK</t>
        </is>
      </c>
      <c r="L366" s="2" t="inlineStr">
        <is>
          <t>n/a (no target bid in audit)</t>
        </is>
      </c>
      <c r="M366" s="2" t="inlineStr">
        <is>
          <t>n/a</t>
        </is>
      </c>
      <c r="N366" s="2" t="n">
        <v>0</v>
      </c>
      <c r="O366" s="2" t="n">
        <v>0</v>
      </c>
      <c r="P366" s="21" t="n"/>
      <c r="Q366" s="21" t="n"/>
      <c r="R366" s="2" t="n"/>
      <c r="S366" s="2" t="n"/>
      <c r="T366" s="2" t="n"/>
      <c r="U366" s="2" t="n"/>
      <c r="V366" s="21" t="n">
        <v>5</v>
      </c>
      <c r="W366" s="21" t="n">
        <v>5</v>
      </c>
      <c r="X366" s="2" t="inlineStr">
        <is>
          <t>ENABLED</t>
        </is>
      </c>
      <c r="Y366" s="2" t="inlineStr">
        <is>
          <t>none</t>
        </is>
      </c>
      <c r="Z366" s="2" t="inlineStr">
        <is>
          <t>defer — engine name wrong (SKU token SATIN-FULL-BLACK); load a corrected name after 28 Oct</t>
        </is>
      </c>
      <c r="AA366" s="21" t="n">
        <v>0</v>
      </c>
      <c r="AB366" s="2" t="n">
        <v>0</v>
      </c>
      <c r="AC366" s="2" t="n">
        <v>0</v>
      </c>
      <c r="AD366" s="2" t="n"/>
      <c r="AE366" s="2" t="n"/>
      <c r="AF366" s="2" t="n"/>
      <c r="AG366" s="2" t="n">
        <v>0</v>
      </c>
      <c r="AH366" s="2" t="inlineStr">
        <is>
          <t>No change (engine move rejected/held)</t>
        </is>
      </c>
      <c r="AI366" s="22" t="inlineStr">
        <is>
          <t>No change (reject engine child swap seq 1937; defer engine rename)</t>
        </is>
      </c>
      <c r="AJ366" s="22" t="inlineStr">
        <is>
          <t>Engine swap SATIN-FULL-BLACK → SATIN-4PCS-FULL-ROSEWOOD rejected: the pick comes from the broken size map, and SATIN-FULL-BLACK is the size's best seller with cover (SB 30 Aug–29 Sep); the engine rename writes a wrong token and is deferred; no clicks in CC 31 Aug–29 Sep.</t>
        </is>
      </c>
      <c r="AK366" s="2" t="inlineStr">
        <is>
          <t>seq 1937 child: reject — keep SATIN-FULL-BLACK; seq 3234 rename CHANGE</t>
        </is>
      </c>
      <c r="AL366" s="22" t="n"/>
    </row>
    <row r="367">
      <c r="A367" s="2" t="inlineStr">
        <is>
          <t>244362859839549</t>
        </is>
      </c>
      <c r="B367" s="2" t="inlineStr">
        <is>
          <t>D-S4-SP-satin silk queen sheet set-(Silk)-VLSV-Exact-Rank-DO-SATIN-QUEEN-GREY</t>
        </is>
      </c>
      <c r="C367" s="2" t="inlineStr">
        <is>
          <t>satin silk queen sheet set; satin wrinkle free sheets queen [exact]</t>
        </is>
      </c>
      <c r="D367" s="2" t="inlineStr">
        <is>
          <t>whole campaign</t>
        </is>
      </c>
      <c r="E367" s="2" t="inlineStr">
        <is>
          <t>ENABLED</t>
        </is>
      </c>
      <c r="F367" s="2" t="inlineStr">
        <is>
          <t>Ranking</t>
        </is>
      </c>
      <c r="G367" s="2" t="inlineStr">
        <is>
          <t>Ranking</t>
        </is>
      </c>
      <c r="H367" s="2" t="n"/>
      <c r="I367" s="2" t="inlineStr">
        <is>
          <t>Exact</t>
        </is>
      </c>
      <c r="J367" s="2" t="inlineStr">
        <is>
          <t>SATIN-QUEEN-BLACK</t>
        </is>
      </c>
      <c r="K367" s="2" t="inlineStr">
        <is>
          <t>SATIN-QUEEN-BLACK</t>
        </is>
      </c>
      <c r="L367" s="2" t="inlineStr">
        <is>
          <t>n/a (no target bid in audit)</t>
        </is>
      </c>
      <c r="M367" s="2" t="inlineStr">
        <is>
          <t>n/a</t>
        </is>
      </c>
      <c r="N367" s="2" t="n">
        <v>70</v>
      </c>
      <c r="O367" s="2" t="n">
        <v>70</v>
      </c>
      <c r="P367" s="21" t="n"/>
      <c r="Q367" s="21" t="n"/>
      <c r="R367" s="2" t="n"/>
      <c r="S367" s="2" t="n"/>
      <c r="T367" s="2" t="n"/>
      <c r="U367" s="2" t="n"/>
      <c r="V367" s="21" t="n">
        <v>10</v>
      </c>
      <c r="W367" s="21" t="n">
        <v>10</v>
      </c>
      <c r="X367" s="2" t="inlineStr">
        <is>
          <t>ENABLED</t>
        </is>
      </c>
      <c r="Y367" s="2" t="inlineStr">
        <is>
          <t>none</t>
        </is>
      </c>
      <c r="Z367" s="2" t="inlineStr">
        <is>
          <t>load (clean): DSS4-SP-SATIN SILK QUEEN SHEET SET-(PAT)-Targeting-(Ranking)-DO-SATIN-QUEEN-BLACK</t>
        </is>
      </c>
      <c r="AA367" s="21" t="n">
        <v>0</v>
      </c>
      <c r="AB367" s="2" t="n">
        <v>0</v>
      </c>
      <c r="AC367" s="2" t="n">
        <v>0</v>
      </c>
      <c r="AD367" s="2" t="n"/>
      <c r="AE367" s="2" t="n"/>
      <c r="AF367" s="2" t="n"/>
      <c r="AG367" s="2" t="n">
        <v>0</v>
      </c>
      <c r="AH367" s="2" t="inlineStr">
        <is>
          <t>Rename only</t>
        </is>
      </c>
      <c r="AI367" s="22" t="inlineStr">
        <is>
          <t>Load rename only</t>
        </is>
      </c>
      <c r="AJ367" s="22" t="inlineStr">
        <is>
          <t>Clean rename (SKU token and objective match what the campaign advertises); no clicks in CC 31 Aug–29 Sep.</t>
        </is>
      </c>
      <c r="AK367" s="2" t="inlineStr">
        <is>
          <t>seq 3186 rename LOAD</t>
        </is>
      </c>
      <c r="AL367" s="22" t="n"/>
    </row>
    <row r="368">
      <c r="A368" s="2" t="inlineStr">
        <is>
          <t>316631044705272</t>
        </is>
      </c>
      <c r="B368" s="2" t="inlineStr">
        <is>
          <t>D-S4-SP-sheet set king satin-(Satin)-LSV-Exact-Rank-DO-SATIN-QUEEN-GREY-FBM</t>
        </is>
      </c>
      <c r="C368" s="2" t="inlineStr">
        <is>
          <t>sheet set king satin [exact, $1.90]</t>
        </is>
      </c>
      <c r="D368" s="2" t="inlineStr">
        <is>
          <t>whole campaign</t>
        </is>
      </c>
      <c r="E368" s="2" t="inlineStr">
        <is>
          <t>ENABLED</t>
        </is>
      </c>
      <c r="F368" s="2" t="inlineStr">
        <is>
          <t>Ranking</t>
        </is>
      </c>
      <c r="G368" s="2" t="inlineStr">
        <is>
          <t>Ranking</t>
        </is>
      </c>
      <c r="H368" s="2" t="inlineStr">
        <is>
          <t>OUT</t>
        </is>
      </c>
      <c r="I368" s="2" t="inlineStr">
        <is>
          <t>Exact</t>
        </is>
      </c>
      <c r="J368" s="2" t="inlineStr">
        <is>
          <t>SATIN-4PC-KING-GREY</t>
        </is>
      </c>
      <c r="K368" s="2" t="inlineStr">
        <is>
          <t>SATIN-4PC-KING-GREY</t>
        </is>
      </c>
      <c r="L368" s="2" t="inlineStr">
        <is>
          <t>$1.90</t>
        </is>
      </c>
      <c r="M368" s="2" t="inlineStr">
        <is>
          <t>$1.90</t>
        </is>
      </c>
      <c r="N368" s="2" t="n">
        <v>0</v>
      </c>
      <c r="O368" s="2" t="n">
        <v>0</v>
      </c>
      <c r="P368" s="21" t="n">
        <v>1.9</v>
      </c>
      <c r="Q368" s="21" t="n">
        <v>1.9</v>
      </c>
      <c r="R368" s="2" t="n">
        <v>0</v>
      </c>
      <c r="S368" s="2" t="n">
        <v>0</v>
      </c>
      <c r="T368" s="2" t="n">
        <v>0</v>
      </c>
      <c r="U368" s="2" t="n">
        <v>0</v>
      </c>
      <c r="V368" s="21" t="n">
        <v>10</v>
      </c>
      <c r="W368" s="21" t="n">
        <v>10</v>
      </c>
      <c r="X368" s="2" t="inlineStr">
        <is>
          <t>ENABLED</t>
        </is>
      </c>
      <c r="Y368" s="2" t="inlineStr">
        <is>
          <t>none</t>
        </is>
      </c>
      <c r="Z368" s="2" t="inlineStr">
        <is>
          <t>load (clean): DSS4-SP-Sheet Set King Satin-(VLSV)-Exact-(Ranking)-DO-SATIN-4PC-KING-GREY</t>
        </is>
      </c>
      <c r="AA368" s="21" t="n">
        <v>0</v>
      </c>
      <c r="AB368" s="2" t="n">
        <v>0</v>
      </c>
      <c r="AC368" s="2" t="n">
        <v>0</v>
      </c>
      <c r="AD368" s="2" t="n"/>
      <c r="AE368" s="2" t="n"/>
      <c r="AF368" s="2" t="n"/>
      <c r="AG368" s="2" t="n">
        <v>0</v>
      </c>
      <c r="AH368" s="2" t="inlineStr">
        <is>
          <t>Rename only</t>
        </is>
      </c>
      <c r="AI368" s="22" t="inlineStr">
        <is>
          <t>Load rename only</t>
        </is>
      </c>
      <c r="AJ368" s="22" t="inlineStr">
        <is>
          <t>Clean rename (SKU token and objective match what the campaign advertises); no clicks in CC 31 Aug–29 Sep.</t>
        </is>
      </c>
      <c r="AK368" s="2" t="inlineStr">
        <is>
          <t>seq 3223 rename LOAD</t>
        </is>
      </c>
      <c r="AL368" s="22" t="n"/>
    </row>
    <row r="369">
      <c r="A369" s="2" t="inlineStr">
        <is>
          <t>238833719802184</t>
        </is>
      </c>
      <c r="B369" s="2" t="inlineStr">
        <is>
          <t>D-S4-SP-sheets satin queen size-(Satin)-HSV-Exact-Rank-DO-SATIN-QUEEN-BLACK</t>
        </is>
      </c>
      <c r="C369" s="2" t="inlineStr">
        <is>
          <t>sheets satin queen size [exact]</t>
        </is>
      </c>
      <c r="D369" s="2" t="inlineStr">
        <is>
          <t>—</t>
        </is>
      </c>
      <c r="E369" s="2" t="inlineStr">
        <is>
          <t>ENABLED</t>
        </is>
      </c>
      <c r="F369" s="2" t="inlineStr">
        <is>
          <t>Ranking</t>
        </is>
      </c>
      <c r="G369" s="2" t="inlineStr">
        <is>
          <t>Ranking</t>
        </is>
      </c>
      <c r="H369" s="2" t="n"/>
      <c r="I369" s="2" t="inlineStr">
        <is>
          <t>Exact</t>
        </is>
      </c>
      <c r="J369" s="2" t="inlineStr">
        <is>
          <t>SATIN-QUEEN-BLACK</t>
        </is>
      </c>
      <c r="K369" s="2" t="inlineStr">
        <is>
          <t>SATIN-QUEEN-BLACK</t>
        </is>
      </c>
      <c r="L369" s="2" t="inlineStr">
        <is>
          <t>n/a (no target bid in audit)</t>
        </is>
      </c>
      <c r="M369" s="2" t="inlineStr">
        <is>
          <t>n/a</t>
        </is>
      </c>
      <c r="N369" s="2" t="n">
        <v>30</v>
      </c>
      <c r="O369" s="2" t="n">
        <v>30</v>
      </c>
      <c r="P369" s="21" t="n"/>
      <c r="Q369" s="21" t="n"/>
      <c r="R369" s="2" t="n"/>
      <c r="S369" s="2" t="n"/>
      <c r="T369" s="2" t="n"/>
      <c r="U369" s="2" t="n"/>
      <c r="V369" s="21" t="n">
        <v>1</v>
      </c>
      <c r="W369" s="21" t="n">
        <v>1</v>
      </c>
      <c r="X369" s="2" t="inlineStr">
        <is>
          <t>ENABLED</t>
        </is>
      </c>
      <c r="Y369" s="2" t="inlineStr">
        <is>
          <t>none</t>
        </is>
      </c>
      <c r="Z369" s="2" t="inlineStr">
        <is>
          <t>defer — engine name wrong (SKU token SATIN-QUEEN-BLACK); load a corrected name after 28 Oct</t>
        </is>
      </c>
      <c r="AA369" s="21" t="n">
        <v>0</v>
      </c>
      <c r="AB369" s="2" t="n">
        <v>0</v>
      </c>
      <c r="AC369" s="2" t="n">
        <v>0</v>
      </c>
      <c r="AD369" s="2" t="n"/>
      <c r="AE369" s="2" t="n"/>
      <c r="AF369" s="2" t="n"/>
      <c r="AG369" s="2" t="n">
        <v>0</v>
      </c>
      <c r="AH369" s="2" t="inlineStr">
        <is>
          <t>No change (engine move rejected/held)</t>
        </is>
      </c>
      <c r="AI369" s="22" t="inlineStr">
        <is>
          <t>No change (reject engine child swap seq 1919; defer engine rename)</t>
        </is>
      </c>
      <c r="AJ369" s="22" t="inlineStr">
        <is>
          <t>Engine swap SATIN-QUEEN-BLACK → SATIN-4PCS-QUEEN-STONE-GREY rejected: the pick comes from the broken size map, and SATIN-QUEEN-BLACK is the size's best seller with cover (SB 30 Aug–29 Sep); the engine rename writes a wrong token and is deferred; no clicks in CC 31 Aug–29 Sep.</t>
        </is>
      </c>
      <c r="AK369" s="2" t="inlineStr">
        <is>
          <t>seq 1919 child: reject — keep SATIN-QUEEN-BLACK; seq 3182 rename CHANGE</t>
        </is>
      </c>
      <c r="AL369" s="22" t="n"/>
    </row>
    <row r="370">
      <c r="A370" s="2" t="inlineStr">
        <is>
          <t>191166593541642</t>
        </is>
      </c>
      <c r="B370" s="2" t="inlineStr">
        <is>
          <t>D-S4-SP-silk bed set-(Silk)-HSV-Exact-Rank-DO-SATIN-QUEEN-BLACK</t>
        </is>
      </c>
      <c r="C370" s="2" t="inlineStr">
        <is>
          <t>silk bed set [exact]</t>
        </is>
      </c>
      <c r="D370" s="2" t="inlineStr">
        <is>
          <t>whole campaign</t>
        </is>
      </c>
      <c r="E370" s="2" t="inlineStr">
        <is>
          <t>ENABLED</t>
        </is>
      </c>
      <c r="F370" s="2" t="inlineStr">
        <is>
          <t>Ranking</t>
        </is>
      </c>
      <c r="G370" s="2" t="inlineStr">
        <is>
          <t>Ranking</t>
        </is>
      </c>
      <c r="H370" s="2" t="n"/>
      <c r="I370" s="2" t="inlineStr">
        <is>
          <t>Exact</t>
        </is>
      </c>
      <c r="J370" s="2" t="inlineStr">
        <is>
          <t>SATIN-QUEEN-BLACK</t>
        </is>
      </c>
      <c r="K370" s="2" t="inlineStr">
        <is>
          <t>SATIN-QUEEN-BLACK</t>
        </is>
      </c>
      <c r="L370" s="2" t="inlineStr">
        <is>
          <t>n/a (no target bid in audit)</t>
        </is>
      </c>
      <c r="M370" s="2" t="inlineStr">
        <is>
          <t>n/a</t>
        </is>
      </c>
      <c r="N370" s="2" t="n">
        <v>0</v>
      </c>
      <c r="O370" s="2" t="n">
        <v>0</v>
      </c>
      <c r="P370" s="21" t="n"/>
      <c r="Q370" s="21" t="n"/>
      <c r="R370" s="2" t="n"/>
      <c r="S370" s="2" t="n"/>
      <c r="T370" s="2" t="n"/>
      <c r="U370" s="2" t="n"/>
      <c r="V370" s="21" t="n">
        <v>5</v>
      </c>
      <c r="W370" s="21" t="n">
        <v>5</v>
      </c>
      <c r="X370" s="2" t="inlineStr">
        <is>
          <t>ENABLED</t>
        </is>
      </c>
      <c r="Y370" s="2" t="inlineStr">
        <is>
          <t>none</t>
        </is>
      </c>
      <c r="Z370" s="2" t="inlineStr">
        <is>
          <t>load (clean): DSS4-SP-Silk Bed Set-(MSV)-Exact-(Ranking)-DO-SATIN-QUEEN-BLACK</t>
        </is>
      </c>
      <c r="AA370" s="21" t="n">
        <v>0</v>
      </c>
      <c r="AB370" s="2" t="n">
        <v>0</v>
      </c>
      <c r="AC370" s="2" t="n">
        <v>0</v>
      </c>
      <c r="AD370" s="2" t="n"/>
      <c r="AE370" s="2" t="n"/>
      <c r="AF370" s="2" t="n"/>
      <c r="AG370" s="2" t="n">
        <v>0</v>
      </c>
      <c r="AH370" s="2" t="inlineStr">
        <is>
          <t>Rename only</t>
        </is>
      </c>
      <c r="AI370" s="22" t="inlineStr">
        <is>
          <t>Load rename only</t>
        </is>
      </c>
      <c r="AJ370" s="22" t="inlineStr">
        <is>
          <t>Clean rename (SKU token and objective match what the campaign advertises); no clicks in CC 31 Aug–29 Sep.</t>
        </is>
      </c>
      <c r="AK370" s="2" t="inlineStr">
        <is>
          <t>seq 3138 rename LOAD</t>
        </is>
      </c>
      <c r="AL370" s="22" t="n"/>
    </row>
    <row r="371">
      <c r="A371" s="2" t="inlineStr">
        <is>
          <t>56642148250184</t>
        </is>
      </c>
      <c r="B371" s="2" t="inlineStr">
        <is>
          <t>D-S4-SP-silk bed sheets full size-(Silk)-MSV-Phrase-Disc-DO-SATIN-FULL-BLUE</t>
        </is>
      </c>
      <c r="C371" s="2" t="inlineStr">
        <is>
          <t>silk bed sheets full size [phrase]</t>
        </is>
      </c>
      <c r="D371" s="2" t="inlineStr">
        <is>
          <t>—</t>
        </is>
      </c>
      <c r="E371" s="2" t="inlineStr">
        <is>
          <t>ENABLED</t>
        </is>
      </c>
      <c r="F371" s="2" t="inlineStr">
        <is>
          <t>Discovery</t>
        </is>
      </c>
      <c r="G371" s="2" t="inlineStr">
        <is>
          <t>Discovery</t>
        </is>
      </c>
      <c r="H371" s="2" t="n"/>
      <c r="I371" s="2" t="inlineStr">
        <is>
          <t>Phrase</t>
        </is>
      </c>
      <c r="J371" s="2" t="inlineStr">
        <is>
          <t>SATIN-FULL-BLACK</t>
        </is>
      </c>
      <c r="K371" s="2" t="inlineStr">
        <is>
          <t>SATIN-FULL-BLACK</t>
        </is>
      </c>
      <c r="L371" s="2" t="inlineStr">
        <is>
          <t>n/a (no target bid in audit)</t>
        </is>
      </c>
      <c r="M371" s="2" t="inlineStr">
        <is>
          <t>n/a</t>
        </is>
      </c>
      <c r="N371" s="2" t="n">
        <v>12</v>
      </c>
      <c r="O371" s="2" t="n">
        <v>12</v>
      </c>
      <c r="P371" s="21" t="n"/>
      <c r="Q371" s="21" t="n"/>
      <c r="R371" s="2" t="n"/>
      <c r="S371" s="2" t="n"/>
      <c r="T371" s="2" t="n"/>
      <c r="U371" s="2" t="n"/>
      <c r="V371" s="21" t="n">
        <v>30</v>
      </c>
      <c r="W371" s="21" t="n">
        <v>30</v>
      </c>
      <c r="X371" s="2" t="inlineStr">
        <is>
          <t>ENABLED</t>
        </is>
      </c>
      <c r="Y371" s="2" t="inlineStr">
        <is>
          <t>none</t>
        </is>
      </c>
      <c r="Z371" s="2" t="inlineStr">
        <is>
          <t>defer — engine name wrong (SKU token SATIN-FULL-BLACK); load a corrected name after 28 Oct</t>
        </is>
      </c>
      <c r="AA371" s="21" t="n">
        <v>0</v>
      </c>
      <c r="AB371" s="2" t="n">
        <v>0</v>
      </c>
      <c r="AC371" s="2" t="n">
        <v>0</v>
      </c>
      <c r="AD371" s="2" t="n"/>
      <c r="AE371" s="2" t="n"/>
      <c r="AF371" s="2" t="n"/>
      <c r="AG371" s="2" t="n">
        <v>3</v>
      </c>
      <c r="AH371" s="2" t="inlineStr">
        <is>
          <t>No change (engine move rejected/held)</t>
        </is>
      </c>
      <c r="AI371" s="22" t="inlineStr">
        <is>
          <t>No change (reject engine child swap seq 1954; defer engine rename)</t>
        </is>
      </c>
      <c r="AJ371" s="22" t="inlineStr">
        <is>
          <t>Engine swap SATIN-FULL-BLACK → SATIN-4PCS-FULL-ROSEWOOD rejected: the pick comes from the broken size map, and SATIN-FULL-BLACK is the size's best seller with cover (SB 30 Aug–29 Sep); the engine rename writes a wrong token and is deferred; no clicks in CC 31 Aug–29 Sep.</t>
        </is>
      </c>
      <c r="AK371" s="2" t="inlineStr">
        <is>
          <t>seq 1954 child: reject — keep SATIN-FULL-BLACK; seq 3279 rename CHANGE</t>
        </is>
      </c>
      <c r="AL371" s="22" t="n"/>
    </row>
    <row r="372">
      <c r="A372" s="2" t="inlineStr">
        <is>
          <t>93842683226933</t>
        </is>
      </c>
      <c r="B372" s="2" t="inlineStr">
        <is>
          <t>D-S4-SP-silk bed sheets king-(Silk)-HSV-Exact-Rank-DO-SATIN-KING-BLUE</t>
        </is>
      </c>
      <c r="C372" s="2" t="inlineStr">
        <is>
          <t>silk bed sheets king [exact]</t>
        </is>
      </c>
      <c r="D372" s="2" t="inlineStr">
        <is>
          <t>—</t>
        </is>
      </c>
      <c r="E372" s="2" t="inlineStr">
        <is>
          <t>PAUSED</t>
        </is>
      </c>
      <c r="F372" s="2" t="inlineStr">
        <is>
          <t>Ranking</t>
        </is>
      </c>
      <c r="G372" s="2" t="inlineStr">
        <is>
          <t>Ranking</t>
        </is>
      </c>
      <c r="H372" s="2" t="n"/>
      <c r="I372" s="2" t="inlineStr">
        <is>
          <t>Exact</t>
        </is>
      </c>
      <c r="J372" s="2" t="inlineStr">
        <is>
          <t>SATIN-4PC-KING-GREY</t>
        </is>
      </c>
      <c r="K372" s="2" t="inlineStr">
        <is>
          <t>SATIN-4PC-KING-GREY</t>
        </is>
      </c>
      <c r="L372" s="2" t="inlineStr">
        <is>
          <t>n/a (no target bid in audit)</t>
        </is>
      </c>
      <c r="M372" s="2" t="inlineStr">
        <is>
          <t>n/a</t>
        </is>
      </c>
      <c r="N372" s="2" t="n">
        <v>104</v>
      </c>
      <c r="O372" s="2" t="n">
        <v>104</v>
      </c>
      <c r="P372" s="21" t="n"/>
      <c r="Q372" s="21" t="n"/>
      <c r="R372" s="2" t="n"/>
      <c r="S372" s="2" t="n"/>
      <c r="T372" s="2" t="n"/>
      <c r="U372" s="2" t="n"/>
      <c r="V372" s="21" t="n">
        <v>1</v>
      </c>
      <c r="W372" s="21" t="n">
        <v>1</v>
      </c>
      <c r="X372" s="2" t="inlineStr">
        <is>
          <t>PAUSED</t>
        </is>
      </c>
      <c r="Y372" s="2" t="inlineStr">
        <is>
          <t>none</t>
        </is>
      </c>
      <c r="Z372" s="2" t="inlineStr">
        <is>
          <t>defer — engine name wrong (SKU token SATIN-4PC-KING-GREY + suffix elsewhere); load a corrected name after 28 Oct</t>
        </is>
      </c>
      <c r="AA372" s="21" t="n">
        <v>0</v>
      </c>
      <c r="AB372" s="2" t="n">
        <v>0</v>
      </c>
      <c r="AC372" s="2" t="n">
        <v>0</v>
      </c>
      <c r="AD372" s="2" t="n"/>
      <c r="AE372" s="2" t="n"/>
      <c r="AF372" s="2" t="n"/>
      <c r="AG372" s="2" t="n">
        <v>2</v>
      </c>
      <c r="AH372" s="2" t="inlineStr">
        <is>
          <t>No change (engine move rejected/held)</t>
        </is>
      </c>
      <c r="AI372" s="22" t="inlineStr">
        <is>
          <t>No change (defer engine rename)</t>
        </is>
      </c>
      <c r="AJ372" s="22" t="inlineStr">
        <is>
          <t>the engine rename writes a wrong token and is deferred; no clicks in CC 31 Aug–29 Sep.</t>
        </is>
      </c>
      <c r="AK372" s="2" t="inlineStr">
        <is>
          <t>seq 3327 rename CHANGE</t>
        </is>
      </c>
      <c r="AL372" s="22" t="n"/>
    </row>
    <row r="373">
      <c r="A373" s="2" t="inlineStr">
        <is>
          <t>13725263000354</t>
        </is>
      </c>
      <c r="B373" s="2" t="inlineStr">
        <is>
          <t>D-S4-SP-silk bed sheets-(Silk)-HSV-Exact-Rank-DO-SATIN-QUEEN-BLACK</t>
        </is>
      </c>
      <c r="C373" s="2" t="inlineStr">
        <is>
          <t>silk bed sheets [exact]</t>
        </is>
      </c>
      <c r="D373" s="2" t="inlineStr">
        <is>
          <t>—</t>
        </is>
      </c>
      <c r="E373" s="2" t="inlineStr">
        <is>
          <t>PAUSED</t>
        </is>
      </c>
      <c r="F373" s="2" t="inlineStr">
        <is>
          <t>Ranking</t>
        </is>
      </c>
      <c r="G373" s="2" t="inlineStr">
        <is>
          <t>Ranking</t>
        </is>
      </c>
      <c r="H373" s="2" t="n"/>
      <c r="I373" s="2" t="inlineStr">
        <is>
          <t>Exact</t>
        </is>
      </c>
      <c r="J373" s="2" t="inlineStr">
        <is>
          <t>SATIN-QUEEN-BLACK</t>
        </is>
      </c>
      <c r="K373" s="2" t="inlineStr">
        <is>
          <t>SATIN-QUEEN-BLACK</t>
        </is>
      </c>
      <c r="L373" s="2" t="inlineStr">
        <is>
          <t>n/a (no target bid in audit)</t>
        </is>
      </c>
      <c r="M373" s="2" t="inlineStr">
        <is>
          <t>n/a</t>
        </is>
      </c>
      <c r="N373" s="2" t="n">
        <v>100</v>
      </c>
      <c r="O373" s="2" t="n">
        <v>100</v>
      </c>
      <c r="P373" s="21" t="n"/>
      <c r="Q373" s="21" t="n"/>
      <c r="R373" s="2" t="n"/>
      <c r="S373" s="2" t="n"/>
      <c r="T373" s="2" t="n"/>
      <c r="U373" s="2" t="n"/>
      <c r="V373" s="21" t="n">
        <v>1</v>
      </c>
      <c r="W373" s="21" t="n">
        <v>1</v>
      </c>
      <c r="X373" s="2" t="inlineStr">
        <is>
          <t>PAUSED</t>
        </is>
      </c>
      <c r="Y373" s="2" t="inlineStr">
        <is>
          <t>none</t>
        </is>
      </c>
      <c r="Z373" s="2" t="inlineStr">
        <is>
          <t>defer — engine name wrong (SKU token SATIN-QUEEN-BLACK + suffix elsewhere); load a corrected name after 28 Oct</t>
        </is>
      </c>
      <c r="AA373" s="21" t="n">
        <v>0</v>
      </c>
      <c r="AB373" s="2" t="n">
        <v>0</v>
      </c>
      <c r="AC373" s="2" t="n">
        <v>0</v>
      </c>
      <c r="AD373" s="2" t="n"/>
      <c r="AE373" s="2" t="n"/>
      <c r="AF373" s="2" t="n"/>
      <c r="AG373" s="2" t="n">
        <v>6</v>
      </c>
      <c r="AH373" s="2" t="inlineStr">
        <is>
          <t>No change (engine move rejected/held)</t>
        </is>
      </c>
      <c r="AI373" s="22" t="inlineStr">
        <is>
          <t>No change (defer engine rename)</t>
        </is>
      </c>
      <c r="AJ373" s="22" t="inlineStr">
        <is>
          <t>the engine rename writes a wrong token and is deferred; no clicks in CC 31 Aug–29 Sep.</t>
        </is>
      </c>
      <c r="AK373" s="2" t="inlineStr">
        <is>
          <t>seq 3326 rename CHANGE</t>
        </is>
      </c>
      <c r="AL373" s="22" t="n"/>
    </row>
    <row r="374">
      <c r="A374" s="2" t="inlineStr">
        <is>
          <t>466655261824746</t>
        </is>
      </c>
      <c r="B374" s="2" t="inlineStr">
        <is>
          <t>D-S4-SP-silk bedding for full 8 inch bed-(Silk)-LSV-Exact-Rank-DO-SATIN-FULL-GREY</t>
        </is>
      </c>
      <c r="C374" s="2" t="inlineStr">
        <is>
          <t>baltic linen satin luxury sheet set [exact, paused]; bedsure satin sheet set full [exact, $1.90]; silk bedding for full 8 inch bed [exact, $1.90]; bedsure silk sheets [exact, paused, $1.63]</t>
        </is>
      </c>
      <c r="D374" s="2" t="inlineStr">
        <is>
          <t>whole campaign</t>
        </is>
      </c>
      <c r="E374" s="2" t="inlineStr">
        <is>
          <t>ENABLED</t>
        </is>
      </c>
      <c r="F374" s="2" t="inlineStr">
        <is>
          <t>Ranking</t>
        </is>
      </c>
      <c r="G374" s="2" t="inlineStr">
        <is>
          <t>Conversions</t>
        </is>
      </c>
      <c r="H374" s="2" t="inlineStr">
        <is>
          <t>OUT</t>
        </is>
      </c>
      <c r="I374" s="2" t="inlineStr">
        <is>
          <t>Exact</t>
        </is>
      </c>
      <c r="J374" s="2" t="inlineStr">
        <is>
          <t>SATIN-FULL-BLACK</t>
        </is>
      </c>
      <c r="K374" s="2" t="inlineStr">
        <is>
          <t>SATIN-FULL-BLACK</t>
        </is>
      </c>
      <c r="L374" s="2" t="inlineStr">
        <is>
          <t>$1.90 / $1.90</t>
        </is>
      </c>
      <c r="M374" s="2" t="inlineStr">
        <is>
          <t>$1.90 / $1.90</t>
        </is>
      </c>
      <c r="N374" s="2" t="n">
        <v>50</v>
      </c>
      <c r="O374" s="2" t="n">
        <v>50</v>
      </c>
      <c r="P374" s="21" t="n">
        <v>2.85</v>
      </c>
      <c r="Q374" s="21" t="n">
        <v>2.85</v>
      </c>
      <c r="R374" s="2" t="n">
        <v>0</v>
      </c>
      <c r="S374" s="2" t="n">
        <v>0</v>
      </c>
      <c r="T374" s="2" t="n">
        <v>0</v>
      </c>
      <c r="U374" s="2" t="n">
        <v>0</v>
      </c>
      <c r="V374" s="21" t="n">
        <v>5</v>
      </c>
      <c r="W374" s="21" t="n">
        <v>5</v>
      </c>
      <c r="X374" s="2" t="inlineStr">
        <is>
          <t>ENABLED</t>
        </is>
      </c>
      <c r="Y374" s="2" t="inlineStr">
        <is>
          <t>none</t>
        </is>
      </c>
      <c r="Z374" s="2" t="inlineStr">
        <is>
          <t>defer — engine name wrong (SKU token SATIN-FULL-BLACK; (Conversion); flag); load a corrected name after 28 Oct</t>
        </is>
      </c>
      <c r="AA374" s="21" t="n">
        <v>0</v>
      </c>
      <c r="AB374" s="2" t="n">
        <v>0</v>
      </c>
      <c r="AC374" s="2" t="n">
        <v>0</v>
      </c>
      <c r="AD374" s="2" t="n"/>
      <c r="AE374" s="2" t="n"/>
      <c r="AF374" s="2" t="n"/>
      <c r="AG374" s="2" t="n">
        <v>0</v>
      </c>
      <c r="AH374" s="2" t="inlineStr">
        <is>
          <t>Retag only</t>
        </is>
      </c>
      <c r="AI374" s="22" t="inlineStr">
        <is>
          <t>retag → Conversions</t>
        </is>
      </c>
      <c r="AJ374" s="22" t="inlineStr">
        <is>
          <t>Objective Ranking → Conversions by the standard (competitor-brand target "bedsure satin sheet set full"); no clicks in CC 31 Aug–29 Sep.</t>
        </is>
      </c>
      <c r="AK374" s="2" t="inlineStr">
        <is>
          <t>seq 1946 child: reject — keep SATIN-FULL-BLACK; seq 3256 rename CHANGE; our addition: standard → Conversions (competitor-brand target "bedsure satin sheet set full")</t>
        </is>
      </c>
      <c r="AL374" s="22" t="n"/>
    </row>
    <row r="375">
      <c r="A375" s="2" t="inlineStr">
        <is>
          <t>146923853125967</t>
        </is>
      </c>
      <c r="B375" s="2" t="inlineStr">
        <is>
          <t>D-S4-SP-silk king size sheets set-(Silk)-MSV-Exact-Rank-DO-FH-CXP0-5741</t>
        </is>
      </c>
      <c r="C375" s="2" t="inlineStr">
        <is>
          <t>silk king size sheets set [exact]</t>
        </is>
      </c>
      <c r="D375" s="2" t="inlineStr">
        <is>
          <t>whole campaign</t>
        </is>
      </c>
      <c r="E375" s="2" t="inlineStr">
        <is>
          <t>PAUSED</t>
        </is>
      </c>
      <c r="F375" s="2" t="inlineStr">
        <is>
          <t>Ranking</t>
        </is>
      </c>
      <c r="G375" s="2" t="inlineStr">
        <is>
          <t>Ranking</t>
        </is>
      </c>
      <c r="H375" s="2" t="n"/>
      <c r="I375" s="2" t="inlineStr">
        <is>
          <t>Exact</t>
        </is>
      </c>
      <c r="J375" s="2" t="inlineStr">
        <is>
          <t>SATIN-4PC-KING-GREY</t>
        </is>
      </c>
      <c r="K375" s="2" t="inlineStr">
        <is>
          <t>SATIN-4PC-KING-GREY</t>
        </is>
      </c>
      <c r="L375" s="2" t="inlineStr">
        <is>
          <t>n/a (no target bid in audit)</t>
        </is>
      </c>
      <c r="M375" s="2" t="inlineStr">
        <is>
          <t>n/a</t>
        </is>
      </c>
      <c r="N375" s="2" t="n">
        <v>90</v>
      </c>
      <c r="O375" s="2" t="n">
        <v>90</v>
      </c>
      <c r="P375" s="21" t="n"/>
      <c r="Q375" s="21" t="n"/>
      <c r="R375" s="2" t="n"/>
      <c r="S375" s="2" t="n"/>
      <c r="T375" s="2" t="n"/>
      <c r="U375" s="2" t="n"/>
      <c r="V375" s="21" t="n">
        <v>1</v>
      </c>
      <c r="W375" s="21" t="n">
        <v>1</v>
      </c>
      <c r="X375" s="2" t="inlineStr">
        <is>
          <t>PAUSED</t>
        </is>
      </c>
      <c r="Y375" s="2" t="inlineStr">
        <is>
          <t>none</t>
        </is>
      </c>
      <c r="Z375" s="2" t="inlineStr">
        <is>
          <t>load (clean): DSS4-SP-Silk King Size Sheets Set-[Silk|King]-(LSV)-Exact-(Ranking)-DO-SATIN-4PC-KING-GREY</t>
        </is>
      </c>
      <c r="AA375" s="21" t="n">
        <v>0</v>
      </c>
      <c r="AB375" s="2" t="n">
        <v>0</v>
      </c>
      <c r="AC375" s="2" t="n">
        <v>0</v>
      </c>
      <c r="AD375" s="2" t="n"/>
      <c r="AE375" s="2" t="n"/>
      <c r="AF375" s="2" t="n"/>
      <c r="AG375" s="2" t="n">
        <v>0</v>
      </c>
      <c r="AH375" s="2" t="inlineStr">
        <is>
          <t>Rename only</t>
        </is>
      </c>
      <c r="AI375" s="22" t="inlineStr">
        <is>
          <t>Load rename only</t>
        </is>
      </c>
      <c r="AJ375" s="22" t="inlineStr">
        <is>
          <t>Clean rename (SKU token and objective match what the campaign advertises); no clicks in CC 31 Aug–29 Sep.</t>
        </is>
      </c>
      <c r="AK375" s="2" t="inlineStr">
        <is>
          <t>seq 3338 rename LOAD</t>
        </is>
      </c>
      <c r="AL375" s="22" t="n"/>
    </row>
    <row r="376">
      <c r="A376" s="2" t="inlineStr">
        <is>
          <t>227222985721086</t>
        </is>
      </c>
      <c r="B376" s="2" t="inlineStr">
        <is>
          <t>D-S4-SP-silk satin king size sheets-(Silk)-LSV-Exact-Rank-DO-SATIN-KING-BLACK</t>
        </is>
      </c>
      <c r="C376" s="2" t="inlineStr">
        <is>
          <t>silk king size bed sheets 16 inches deep [exact, $1.90]; silk satin king size sheets [exact, $1.90]</t>
        </is>
      </c>
      <c r="D376" s="2" t="inlineStr">
        <is>
          <t>whole campaign</t>
        </is>
      </c>
      <c r="E376" s="2" t="inlineStr">
        <is>
          <t>ENABLED</t>
        </is>
      </c>
      <c r="F376" s="2" t="inlineStr">
        <is>
          <t>Ranking</t>
        </is>
      </c>
      <c r="G376" s="2" t="inlineStr">
        <is>
          <t>Ranking</t>
        </is>
      </c>
      <c r="H376" s="2" t="inlineStr">
        <is>
          <t>OUT</t>
        </is>
      </c>
      <c r="I376" s="2" t="inlineStr">
        <is>
          <t>Exact</t>
        </is>
      </c>
      <c r="J376" s="2" t="inlineStr">
        <is>
          <t>SATIN-4PC-KING-GREY</t>
        </is>
      </c>
      <c r="K376" s="2" t="inlineStr">
        <is>
          <t>SATIN-4PC-KING-GREY</t>
        </is>
      </c>
      <c r="L376" s="2" t="inlineStr">
        <is>
          <t>$1.90 / $1.90</t>
        </is>
      </c>
      <c r="M376" s="2" t="inlineStr">
        <is>
          <t>$1.90 / $1.90</t>
        </is>
      </c>
      <c r="N376" s="2" t="n">
        <v>20</v>
      </c>
      <c r="O376" s="2" t="n">
        <v>20</v>
      </c>
      <c r="P376" s="21" t="n">
        <v>2.28</v>
      </c>
      <c r="Q376" s="21" t="n">
        <v>2.28</v>
      </c>
      <c r="R376" s="2" t="n">
        <v>0</v>
      </c>
      <c r="S376" s="2" t="n">
        <v>0</v>
      </c>
      <c r="T376" s="2" t="n">
        <v>0</v>
      </c>
      <c r="U376" s="2" t="n">
        <v>0</v>
      </c>
      <c r="V376" s="21" t="n">
        <v>10</v>
      </c>
      <c r="W376" s="21" t="n">
        <v>10</v>
      </c>
      <c r="X376" s="2" t="inlineStr">
        <is>
          <t>ENABLED</t>
        </is>
      </c>
      <c r="Y376" s="2" t="inlineStr">
        <is>
          <t>none</t>
        </is>
      </c>
      <c r="Z376" s="2" t="inlineStr">
        <is>
          <t>load (clean): DSS4-SP-Silk King Size Bed Sheets 16 Inches Deep-(NOSV)-Exact-(Ranking)-DO-SATIN-4PC-KING-GREY</t>
        </is>
      </c>
      <c r="AA376" s="21" t="n">
        <v>0</v>
      </c>
      <c r="AB376" s="2" t="n">
        <v>0</v>
      </c>
      <c r="AC376" s="2" t="n">
        <v>0</v>
      </c>
      <c r="AD376" s="2" t="n"/>
      <c r="AE376" s="2" t="n"/>
      <c r="AF376" s="2" t="n"/>
      <c r="AG376" s="2" t="n">
        <v>0</v>
      </c>
      <c r="AH376" s="2" t="inlineStr">
        <is>
          <t>Rename only</t>
        </is>
      </c>
      <c r="AI376" s="22" t="inlineStr">
        <is>
          <t>Load rename only</t>
        </is>
      </c>
      <c r="AJ376" s="22" t="inlineStr">
        <is>
          <t>Clean rename (SKU token and objective match what the campaign advertises); no clicks in CC 31 Aug–29 Sep.</t>
        </is>
      </c>
      <c r="AK376" s="2" t="inlineStr">
        <is>
          <t>seq 3169 rename LOAD</t>
        </is>
      </c>
      <c r="AL376" s="22" t="n"/>
    </row>
    <row r="377">
      <c r="A377" s="2" t="inlineStr">
        <is>
          <t>297788581778235</t>
        </is>
      </c>
      <c r="B377" s="2" t="inlineStr">
        <is>
          <t>D-S4-SP-silk satin queen sheet set-(Silk)-VLSV-Exact-Rank-DO-TF-XHNL-B3YJ</t>
        </is>
      </c>
      <c r="C377" s="2" t="inlineStr">
        <is>
          <t>silk satin queen sheet set [exact, $1.90]</t>
        </is>
      </c>
      <c r="D377" s="2" t="inlineStr">
        <is>
          <t>—</t>
        </is>
      </c>
      <c r="E377" s="2" t="inlineStr">
        <is>
          <t>ENABLED</t>
        </is>
      </c>
      <c r="F377" s="2" t="inlineStr">
        <is>
          <t>Ranking</t>
        </is>
      </c>
      <c r="G377" s="2" t="inlineStr">
        <is>
          <t>Ranking</t>
        </is>
      </c>
      <c r="H377" s="2" t="inlineStr">
        <is>
          <t>OUT</t>
        </is>
      </c>
      <c r="I377" s="2" t="inlineStr">
        <is>
          <t>Exact</t>
        </is>
      </c>
      <c r="J377" s="2" t="inlineStr">
        <is>
          <t>SATIN-QUEEN-BLACK</t>
        </is>
      </c>
      <c r="K377" s="2" t="inlineStr">
        <is>
          <t>SATIN-QUEEN-BLACK</t>
        </is>
      </c>
      <c r="L377" s="2" t="inlineStr">
        <is>
          <t>$1.90</t>
        </is>
      </c>
      <c r="M377" s="2" t="inlineStr">
        <is>
          <t>$1.90</t>
        </is>
      </c>
      <c r="N377" s="2" t="n">
        <v>0</v>
      </c>
      <c r="O377" s="2" t="n">
        <v>0</v>
      </c>
      <c r="P377" s="21" t="n">
        <v>1.9</v>
      </c>
      <c r="Q377" s="21" t="n">
        <v>1.9</v>
      </c>
      <c r="R377" s="2" t="n">
        <v>0</v>
      </c>
      <c r="S377" s="2" t="n">
        <v>0</v>
      </c>
      <c r="T377" s="2" t="n">
        <v>0</v>
      </c>
      <c r="U377" s="2" t="n">
        <v>0</v>
      </c>
      <c r="V377" s="21" t="n">
        <v>5</v>
      </c>
      <c r="W377" s="21" t="n">
        <v>5</v>
      </c>
      <c r="X377" s="2" t="inlineStr">
        <is>
          <t>ENABLED</t>
        </is>
      </c>
      <c r="Y377" s="2" t="inlineStr">
        <is>
          <t>none</t>
        </is>
      </c>
      <c r="Z377" s="2" t="inlineStr">
        <is>
          <t>defer — engine name wrong (SKU token SATIN-QUEEN-BLACK); load a corrected name after 28 Oct</t>
        </is>
      </c>
      <c r="AA377" s="21" t="n">
        <v>0</v>
      </c>
      <c r="AB377" s="2" t="n">
        <v>0</v>
      </c>
      <c r="AC377" s="2" t="n">
        <v>0</v>
      </c>
      <c r="AD377" s="2" t="n"/>
      <c r="AE377" s="2" t="n"/>
      <c r="AF377" s="2" t="n"/>
      <c r="AG377" s="2" t="n">
        <v>0</v>
      </c>
      <c r="AH377" s="2" t="inlineStr">
        <is>
          <t>No change (engine move rejected/held)</t>
        </is>
      </c>
      <c r="AI377" s="22" t="inlineStr">
        <is>
          <t>No change (reject engine child swap seq 1929; defer engine rename)</t>
        </is>
      </c>
      <c r="AJ377" s="22" t="inlineStr">
        <is>
          <t>Engine swap SATIN-QUEEN-BLACK → SATIN-4PCS-QUEEN-STONE-GREY rejected: the pick comes from the broken size map, and SATIN-QUEEN-BLACK is the size's best seller with cover (SB 30 Aug–29 Sep); the engine rename writes a wrong token and is deferred; no clicks in CC 31 Aug–29 Sep.</t>
        </is>
      </c>
      <c r="AK377" s="2" t="inlineStr">
        <is>
          <t>seq 1929 child: reject — keep SATIN-QUEEN-BLACK; seq 3216 rename CHANGE</t>
        </is>
      </c>
      <c r="AL377" s="22" t="n"/>
    </row>
    <row r="378">
      <c r="A378" s="2" t="inlineStr">
        <is>
          <t>401805265393546</t>
        </is>
      </c>
      <c r="B378" s="2" t="inlineStr">
        <is>
          <t>D-S4-SP-silk satin sheets king size bed set-(Silk)-VLSV-Exact-Rank-DO-SATIN-4PC-KING-GREY</t>
        </is>
      </c>
      <c r="C378" s="2" t="inlineStr">
        <is>
          <t>satin sheet set king size deep pocket; silk satin sheets king size bed set [exact]</t>
        </is>
      </c>
      <c r="D378" s="2" t="inlineStr">
        <is>
          <t>whole campaign</t>
        </is>
      </c>
      <c r="E378" s="2" t="inlineStr">
        <is>
          <t>ENABLED</t>
        </is>
      </c>
      <c r="F378" s="2" t="inlineStr">
        <is>
          <t>Ranking</t>
        </is>
      </c>
      <c r="G378" s="2" t="inlineStr">
        <is>
          <t>Ranking</t>
        </is>
      </c>
      <c r="H378" s="2" t="n"/>
      <c r="I378" s="2" t="inlineStr">
        <is>
          <t>Exact</t>
        </is>
      </c>
      <c r="J378" s="2" t="inlineStr">
        <is>
          <t>SATIN-4PC-KING-GREY</t>
        </is>
      </c>
      <c r="K378" s="2" t="inlineStr">
        <is>
          <t>SATIN-4PC-KING-GREY</t>
        </is>
      </c>
      <c r="L378" s="2" t="inlineStr">
        <is>
          <t>n/a (no target bid in audit)</t>
        </is>
      </c>
      <c r="M378" s="2" t="inlineStr">
        <is>
          <t>n/a</t>
        </is>
      </c>
      <c r="N378" s="2" t="n">
        <v>0</v>
      </c>
      <c r="O378" s="2" t="n">
        <v>0</v>
      </c>
      <c r="P378" s="21" t="n"/>
      <c r="Q378" s="21" t="n"/>
      <c r="R378" s="2" t="n"/>
      <c r="S378" s="2" t="n"/>
      <c r="T378" s="2" t="n"/>
      <c r="U378" s="2" t="n"/>
      <c r="V378" s="21" t="n">
        <v>10</v>
      </c>
      <c r="W378" s="21" t="n">
        <v>10</v>
      </c>
      <c r="X378" s="2" t="inlineStr">
        <is>
          <t>ENABLED</t>
        </is>
      </c>
      <c r="Y378" s="2" t="inlineStr">
        <is>
          <t>none</t>
        </is>
      </c>
      <c r="Z378" s="2" t="inlineStr">
        <is>
          <t>load (clean): DSS4-SP-Satin Sheet Set King Size Deep Pocket-(VLSV)-Exact-(Ranking)-DO-SATIN-4PC-KING-GREY</t>
        </is>
      </c>
      <c r="AA378" s="21" t="n">
        <v>0</v>
      </c>
      <c r="AB378" s="2" t="n">
        <v>0</v>
      </c>
      <c r="AC378" s="2" t="n">
        <v>0</v>
      </c>
      <c r="AD378" s="2" t="n"/>
      <c r="AE378" s="2" t="n"/>
      <c r="AF378" s="2" t="n"/>
      <c r="AG378" s="2" t="n">
        <v>0</v>
      </c>
      <c r="AH378" s="2" t="inlineStr">
        <is>
          <t>Rename only</t>
        </is>
      </c>
      <c r="AI378" s="22" t="inlineStr">
        <is>
          <t>Load rename only</t>
        </is>
      </c>
      <c r="AJ378" s="22" t="inlineStr">
        <is>
          <t>Clean rename (SKU token and objective match what the campaign advertises); no clicks in CC 31 Aug–29 Sep.</t>
        </is>
      </c>
      <c r="AK378" s="2" t="inlineStr">
        <is>
          <t>seq 3240 rename LOAD</t>
        </is>
      </c>
      <c r="AL378" s="22" t="n"/>
    </row>
    <row r="379">
      <c r="A379" s="2" t="inlineStr">
        <is>
          <t>78874927649715</t>
        </is>
      </c>
      <c r="B379" s="2" t="inlineStr">
        <is>
          <t>D-S4-SP-silk sheets full size bed set-(Silk)-LSV-Phrase-Disc-DO-SATIN-FULL-BLACK</t>
        </is>
      </c>
      <c r="C379" s="2" t="inlineStr">
        <is>
          <t>silk sheets full size bed set (from the campaign name; no targets on file, no spend in 90 days)</t>
        </is>
      </c>
      <c r="D379" s="2" t="inlineStr">
        <is>
          <t>—</t>
        </is>
      </c>
      <c r="E379" s="2" t="inlineStr">
        <is>
          <t>PAUSED</t>
        </is>
      </c>
      <c r="F379" s="2" t="inlineStr">
        <is>
          <t>Discovery</t>
        </is>
      </c>
      <c r="G379" s="2" t="inlineStr">
        <is>
          <t>Discovery</t>
        </is>
      </c>
      <c r="H379" s="2" t="n"/>
      <c r="I379" s="2" t="inlineStr">
        <is>
          <t>Phrase</t>
        </is>
      </c>
      <c r="J379" s="2" t="inlineStr">
        <is>
          <t>SATIN-FULL-BLACK</t>
        </is>
      </c>
      <c r="K379" s="2" t="inlineStr">
        <is>
          <t>SATIN-FULL-BLACK</t>
        </is>
      </c>
      <c r="L379" s="2" t="inlineStr">
        <is>
          <t>n/a (no target bid in audit)</t>
        </is>
      </c>
      <c r="M379" s="2" t="inlineStr">
        <is>
          <t>n/a</t>
        </is>
      </c>
      <c r="N379" s="2" t="n">
        <v>10</v>
      </c>
      <c r="O379" s="2" t="n">
        <v>10</v>
      </c>
      <c r="P379" s="21" t="n"/>
      <c r="Q379" s="21" t="n"/>
      <c r="R379" s="2" t="n"/>
      <c r="S379" s="2" t="n"/>
      <c r="T379" s="2" t="n"/>
      <c r="U379" s="2" t="n"/>
      <c r="V379" s="21" t="n">
        <v>10</v>
      </c>
      <c r="W379" s="21" t="n">
        <v>10</v>
      </c>
      <c r="X379" s="2" t="inlineStr">
        <is>
          <t>PAUSED</t>
        </is>
      </c>
      <c r="Y379" s="2" t="inlineStr">
        <is>
          <t>none</t>
        </is>
      </c>
      <c r="Z379" s="2" t="inlineStr">
        <is>
          <t>none</t>
        </is>
      </c>
      <c r="AA379" s="21" t="n">
        <v>0</v>
      </c>
      <c r="AB379" s="2" t="n">
        <v>0</v>
      </c>
      <c r="AC379" s="2" t="n">
        <v>0</v>
      </c>
      <c r="AD379" s="2" t="n"/>
      <c r="AE379" s="2" t="n"/>
      <c r="AF379" s="2" t="n"/>
      <c r="AG379" s="2" t="n">
        <v>0</v>
      </c>
      <c r="AH379" s="2" t="inlineStr">
        <is>
          <t>No change</t>
        </is>
      </c>
      <c r="AI379" s="22" t="inlineStr">
        <is>
          <t>Keep paused</t>
        </is>
      </c>
      <c r="AJ379" s="22" t="inlineStr">
        <is>
          <t>No run decision and no issue found; no clicks in CC 31 Aug–29 Sep.</t>
        </is>
      </c>
      <c r="AK379" s="2" t="inlineStr">
        <is>
          <t>no run decision</t>
        </is>
      </c>
      <c r="AL379" s="22" t="n"/>
    </row>
    <row r="380">
      <c r="A380" s="2" t="inlineStr">
        <is>
          <t>113668823711741</t>
        </is>
      </c>
      <c r="B380" s="2" t="inlineStr">
        <is>
          <t>D-S4-SP-silver queen satin sheets-(Satin)-VLSV-Exact-Rank-DO-SATIN-QUEEN-GREY</t>
        </is>
      </c>
      <c r="C380" s="2" t="inlineStr">
        <is>
          <t>silver queen satin sheets [exact, $1.90]; silver satin sheets queen [exact, paused, $1.61]</t>
        </is>
      </c>
      <c r="D380" s="2" t="inlineStr">
        <is>
          <t>whole campaign</t>
        </is>
      </c>
      <c r="E380" s="2" t="inlineStr">
        <is>
          <t>ENABLED</t>
        </is>
      </c>
      <c r="F380" s="2" t="inlineStr">
        <is>
          <t>Ranking</t>
        </is>
      </c>
      <c r="G380" s="2" t="inlineStr">
        <is>
          <t>Conversions</t>
        </is>
      </c>
      <c r="H380" s="2" t="inlineStr">
        <is>
          <t>OUT</t>
        </is>
      </c>
      <c r="I380" s="2" t="inlineStr">
        <is>
          <t>Exact</t>
        </is>
      </c>
      <c r="J380" s="2" t="inlineStr">
        <is>
          <t>SATIN-QUEEN-BLACK</t>
        </is>
      </c>
      <c r="K380" s="2" t="inlineStr">
        <is>
          <t>SATIN-QUEEN-GREY</t>
        </is>
      </c>
      <c r="L380" s="2" t="inlineStr">
        <is>
          <t>$1.90</t>
        </is>
      </c>
      <c r="M380" s="2" t="inlineStr">
        <is>
          <t>$1.90</t>
        </is>
      </c>
      <c r="N380" s="2" t="n">
        <v>100</v>
      </c>
      <c r="O380" s="2" t="n">
        <v>100</v>
      </c>
      <c r="P380" s="21" t="n">
        <v>3.8</v>
      </c>
      <c r="Q380" s="21" t="n">
        <v>3.8</v>
      </c>
      <c r="R380" s="2" t="n">
        <v>0</v>
      </c>
      <c r="S380" s="2" t="n">
        <v>0</v>
      </c>
      <c r="T380" s="2" t="n">
        <v>0</v>
      </c>
      <c r="U380" s="2" t="n">
        <v>0</v>
      </c>
      <c r="V380" s="21" t="n">
        <v>5</v>
      </c>
      <c r="W380" s="21" t="n">
        <v>5</v>
      </c>
      <c r="X380" s="2" t="inlineStr">
        <is>
          <t>ENABLED</t>
        </is>
      </c>
      <c r="Y380" s="2" t="inlineStr">
        <is>
          <t>none</t>
        </is>
      </c>
      <c r="Z380" s="2" t="inlineStr">
        <is>
          <t>defer — engine name wrong ((Conversion); flag); load a corrected name after 28 Oct</t>
        </is>
      </c>
      <c r="AA380" s="21" t="n">
        <v>0</v>
      </c>
      <c r="AB380" s="2" t="n">
        <v>0</v>
      </c>
      <c r="AC380" s="2" t="n">
        <v>0</v>
      </c>
      <c r="AD380" s="2" t="n"/>
      <c r="AE380" s="2" t="n"/>
      <c r="AF380" s="2" t="n"/>
      <c r="AG380" s="2" t="n">
        <v>0</v>
      </c>
      <c r="AH380" s="2" t="inlineStr">
        <is>
          <t>Child swap</t>
        </is>
      </c>
      <c r="AI380" s="22" t="inlineStr">
        <is>
          <t>Swap child to SATIN-QUEEN-GREY; retag → Conversions</t>
        </is>
      </c>
      <c r="AJ380" s="22" t="inlineStr">
        <is>
          <t>Silver term on Queen Black; Queen Grey has 1,145 units (SB 29 Sep).</t>
        </is>
      </c>
      <c r="AK380" s="2" t="inlineStr">
        <is>
          <t>seq 3066 rename CHANGE; our addition (corrections §5 / reviewer C A4); our addition: standard → Conversions (colour term "silver queen satin sheets")</t>
        </is>
      </c>
      <c r="AL380" s="22" t="n"/>
    </row>
    <row r="381">
      <c r="A381" s="2" t="inlineStr">
        <is>
          <t>63542169028706</t>
        </is>
      </c>
      <c r="B381" s="2" t="inlineStr">
        <is>
          <t>D-S4-SP-sky blue satin sheets queen-(Satin)-VLSV-Exact-Rank-DO-SATIN-QUEEN-BLUE</t>
        </is>
      </c>
      <c r="C381" s="2" t="inlineStr">
        <is>
          <t>sky blue satin sheets queen [exact]</t>
        </is>
      </c>
      <c r="D381" s="2" t="inlineStr">
        <is>
          <t>whole campaign</t>
        </is>
      </c>
      <c r="E381" s="2" t="inlineStr">
        <is>
          <t>ENABLED</t>
        </is>
      </c>
      <c r="F381" s="2" t="inlineStr">
        <is>
          <t>Ranking</t>
        </is>
      </c>
      <c r="G381" s="2" t="inlineStr">
        <is>
          <t>Conversions</t>
        </is>
      </c>
      <c r="H381" s="2" t="n"/>
      <c r="I381" s="2" t="inlineStr">
        <is>
          <t>Exact</t>
        </is>
      </c>
      <c r="J381" s="2" t="inlineStr">
        <is>
          <t>SATIN-QUEEN-BLUE</t>
        </is>
      </c>
      <c r="K381" s="2" t="inlineStr">
        <is>
          <t>SATIN-QUEEN-BLUE</t>
        </is>
      </c>
      <c r="L381" s="2" t="inlineStr">
        <is>
          <t>n/a (no target bid in audit)</t>
        </is>
      </c>
      <c r="M381" s="2" t="inlineStr">
        <is>
          <t>n/a</t>
        </is>
      </c>
      <c r="N381" s="2" t="n">
        <v>50</v>
      </c>
      <c r="O381" s="2" t="n">
        <v>50</v>
      </c>
      <c r="P381" s="21" t="n"/>
      <c r="Q381" s="21" t="n"/>
      <c r="R381" s="2" t="n"/>
      <c r="S381" s="2" t="n"/>
      <c r="T381" s="2" t="n"/>
      <c r="U381" s="2" t="n"/>
      <c r="V381" s="21" t="n">
        <v>5</v>
      </c>
      <c r="W381" s="21" t="n">
        <v>5</v>
      </c>
      <c r="X381" s="2" t="inlineStr">
        <is>
          <t>ENABLED</t>
        </is>
      </c>
      <c r="Y381" s="2" t="inlineStr">
        <is>
          <t>none</t>
        </is>
      </c>
      <c r="Z381" s="2" t="inlineStr">
        <is>
          <t>defer — engine name wrong ((Conversion)); load a corrected name after 28 Oct</t>
        </is>
      </c>
      <c r="AA381" s="21" t="n">
        <v>0</v>
      </c>
      <c r="AB381" s="2" t="n">
        <v>0</v>
      </c>
      <c r="AC381" s="2" t="n">
        <v>0</v>
      </c>
      <c r="AD381" s="2" t="n"/>
      <c r="AE381" s="2" t="n"/>
      <c r="AF381" s="2" t="n"/>
      <c r="AG381" s="2" t="n">
        <v>0</v>
      </c>
      <c r="AH381" s="2" t="inlineStr">
        <is>
          <t>Retag only</t>
        </is>
      </c>
      <c r="AI381" s="22" t="inlineStr">
        <is>
          <t>retag → Conversions</t>
        </is>
      </c>
      <c r="AJ381" s="22" t="inlineStr">
        <is>
          <t>Objective Ranking → Conversions by the standard (colour term "sky blue satin sheets queen"); no clicks in CC 31 Aug–29 Sep.</t>
        </is>
      </c>
      <c r="AK381" s="2" t="inlineStr">
        <is>
          <t>seq 3285 rename CHANGE; our addition: standard → Conversions (colour term "sky blue satin sheets queen")</t>
        </is>
      </c>
      <c r="AL381" s="22" t="n"/>
    </row>
    <row r="382">
      <c r="A382" s="2" t="inlineStr">
        <is>
          <t>172660587770849</t>
        </is>
      </c>
      <c r="B382" s="2" t="inlineStr">
        <is>
          <t>D-S4-SP-wavveuziz satin sheets queen-(Satin)-HSV-Exact-Rank-DO-SATIN-QUEEN-GREY</t>
        </is>
      </c>
      <c r="C382" s="2" t="inlineStr">
        <is>
          <t>sabana queen seda [exact]</t>
        </is>
      </c>
      <c r="D382" s="2" t="inlineStr">
        <is>
          <t>whole campaign</t>
        </is>
      </c>
      <c r="E382" s="2" t="inlineStr">
        <is>
          <t>ENABLED</t>
        </is>
      </c>
      <c r="F382" s="2" t="inlineStr">
        <is>
          <t>Ranking</t>
        </is>
      </c>
      <c r="G382" s="2" t="inlineStr">
        <is>
          <t>Conversions</t>
        </is>
      </c>
      <c r="H382" s="2" t="n"/>
      <c r="I382" s="2" t="inlineStr">
        <is>
          <t>Exact</t>
        </is>
      </c>
      <c r="J382" s="2" t="inlineStr">
        <is>
          <t>SATIN-QUEEN-BLACK</t>
        </is>
      </c>
      <c r="K382" s="2" t="inlineStr">
        <is>
          <t>SATIN-QUEEN-BLACK</t>
        </is>
      </c>
      <c r="L382" s="2" t="inlineStr">
        <is>
          <t>n/a (no target bid in audit)</t>
        </is>
      </c>
      <c r="M382" s="2" t="inlineStr">
        <is>
          <t>n/a</t>
        </is>
      </c>
      <c r="N382" s="2" t="n">
        <v>50</v>
      </c>
      <c r="O382" s="2" t="n">
        <v>50</v>
      </c>
      <c r="P382" s="21" t="n"/>
      <c r="Q382" s="21" t="n"/>
      <c r="R382" s="2" t="n"/>
      <c r="S382" s="2" t="n"/>
      <c r="T382" s="2" t="n"/>
      <c r="U382" s="2" t="n"/>
      <c r="V382" s="21" t="n">
        <v>5</v>
      </c>
      <c r="W382" s="21" t="n">
        <v>5</v>
      </c>
      <c r="X382" s="2" t="inlineStr">
        <is>
          <t>ENABLED</t>
        </is>
      </c>
      <c r="Y382" s="2" t="inlineStr">
        <is>
          <t>none</t>
        </is>
      </c>
      <c r="Z382" s="2" t="inlineStr">
        <is>
          <t>defer — engine name wrong (SKU token SATIN-QUEEN-BLACK; (Conversion); flag); load a corrected name after 28 Oct</t>
        </is>
      </c>
      <c r="AA382" s="21" t="n">
        <v>0</v>
      </c>
      <c r="AB382" s="2" t="n">
        <v>0</v>
      </c>
      <c r="AC382" s="2" t="n">
        <v>0</v>
      </c>
      <c r="AD382" s="2" t="n"/>
      <c r="AE382" s="2" t="n"/>
      <c r="AF382" s="2" t="n"/>
      <c r="AG382" s="2" t="n">
        <v>0</v>
      </c>
      <c r="AH382" s="2" t="inlineStr">
        <is>
          <t>Retag only</t>
        </is>
      </c>
      <c r="AI382" s="22" t="inlineStr">
        <is>
          <t>retag → Conversions</t>
        </is>
      </c>
      <c r="AJ382" s="22" t="inlineStr">
        <is>
          <t>Objective Ranking → Conversions by the standard (competitor-brand term "wavveuziz satin sheets queen"); no clicks in CC 31 Aug–29 Sep.</t>
        </is>
      </c>
      <c r="AK382" s="2" t="inlineStr">
        <is>
          <t>seq 1901 child: reject — keep SATIN-QUEEN-BLACK; seq 3123 rename CHANGE; our addition: standard → Conversions (competitor-brand term "wavveuziz satin sheets queen")</t>
        </is>
      </c>
      <c r="AL382" s="22" t="n"/>
    </row>
    <row r="383">
      <c r="A383" s="2" t="inlineStr">
        <is>
          <t>57643370547991</t>
        </is>
      </c>
      <c r="B383" s="2" t="inlineStr">
        <is>
          <t>D-S4-SP-white satin bed sheets queen set-(Satin)-VLSV-Exact-Rank-DO-SATIN-WHITE-KING</t>
        </is>
      </c>
      <c r="C383" s="2" t="inlineStr">
        <is>
          <t>white satin sheets king size bed set [exact]</t>
        </is>
      </c>
      <c r="D383" s="2" t="inlineStr">
        <is>
          <t>white satin sheets king size bed set</t>
        </is>
      </c>
      <c r="E383" s="2" t="inlineStr">
        <is>
          <t>ENABLED</t>
        </is>
      </c>
      <c r="F383" s="2" t="inlineStr">
        <is>
          <t>Ranking</t>
        </is>
      </c>
      <c r="G383" s="2" t="inlineStr">
        <is>
          <t>Conversions</t>
        </is>
      </c>
      <c r="H383" s="2" t="n"/>
      <c r="I383" s="2" t="inlineStr">
        <is>
          <t>Exact</t>
        </is>
      </c>
      <c r="J383" s="2" t="inlineStr">
        <is>
          <t>SATIN-WHITE-QUEEN</t>
        </is>
      </c>
      <c r="K383" s="2" t="inlineStr">
        <is>
          <t>SATIN-4PC-WHITE-KING</t>
        </is>
      </c>
      <c r="L383" s="2" t="inlineStr">
        <is>
          <t>n/a (no target bid in audit)</t>
        </is>
      </c>
      <c r="M383" s="2" t="inlineStr">
        <is>
          <t>n/a</t>
        </is>
      </c>
      <c r="N383" s="2" t="n">
        <v>50</v>
      </c>
      <c r="O383" s="2" t="n">
        <v>50</v>
      </c>
      <c r="P383" s="21" t="n"/>
      <c r="Q383" s="21" t="n"/>
      <c r="R383" s="2" t="n"/>
      <c r="S383" s="2" t="n"/>
      <c r="T383" s="2" t="n"/>
      <c r="U383" s="2" t="n"/>
      <c r="V383" s="21" t="n">
        <v>10</v>
      </c>
      <c r="W383" s="21" t="n">
        <v>10</v>
      </c>
      <c r="X383" s="2" t="inlineStr">
        <is>
          <t>ENABLED</t>
        </is>
      </c>
      <c r="Y383" s="2" t="inlineStr">
        <is>
          <t>none</t>
        </is>
      </c>
      <c r="Z383" s="2" t="inlineStr">
        <is>
          <t>defer — engine name wrong ((Conversion); flag); load a corrected name after 28 Oct</t>
        </is>
      </c>
      <c r="AA383" s="21" t="n">
        <v>0</v>
      </c>
      <c r="AB383" s="2" t="n">
        <v>0</v>
      </c>
      <c r="AC383" s="2" t="n">
        <v>0</v>
      </c>
      <c r="AD383" s="2" t="n"/>
      <c r="AE383" s="2" t="n"/>
      <c r="AF383" s="2" t="n"/>
      <c r="AG383" s="2" t="n">
        <v>0</v>
      </c>
      <c r="AH383" s="2" t="inlineStr">
        <is>
          <t>Reject pause</t>
        </is>
      </c>
      <c r="AI383" s="22" t="inlineStr">
        <is>
          <t>Keep target "white satin sheets king size bed set" enabled; re-point child to SATIN-4PC-WHITE-KING (reject pause seq 2066); retag → Conversions</t>
        </is>
      </c>
      <c r="AJ383" s="22" t="inlineStr">
        <is>
          <t>The engine reads legacy SKUs SATIN-RED-KING, SATIN-WHITE-KING and SATIN-KING-GREY as out of stock.</t>
        </is>
      </c>
      <c r="AK383" s="2" t="inlineStr">
        <is>
          <t>seq 2066 state: correct: re-point to the live colour child instead of pausin…; seq 3280 rename CHANGE; our addition: standard → Conversions (colour term "white satin bed sheets queen set")</t>
        </is>
      </c>
      <c r="AL383" s="22" t="n"/>
    </row>
    <row r="384">
      <c r="A384" s="2" t="inlineStr">
        <is>
          <t>52898204342184</t>
        </is>
      </c>
      <c r="B384" s="2" t="inlineStr">
        <is>
          <t>D-S4-SP-white silk bed sheets queen set-(Silk)-VLSV-Exact-Rank-DO-SATIN-WHITE-QUEEN</t>
        </is>
      </c>
      <c r="C384" s="2" t="inlineStr">
        <is>
          <t>white sheets queen silk [exact, paused, $1.43]; white silk bed sheets queen set [exact, $0.50]</t>
        </is>
      </c>
      <c r="D384" s="2" t="inlineStr">
        <is>
          <t>whole campaign</t>
        </is>
      </c>
      <c r="E384" s="2" t="inlineStr">
        <is>
          <t>ENABLED</t>
        </is>
      </c>
      <c r="F384" s="2" t="inlineStr">
        <is>
          <t>Ranking</t>
        </is>
      </c>
      <c r="G384" s="2" t="inlineStr">
        <is>
          <t>Conversions</t>
        </is>
      </c>
      <c r="H384" s="2" t="inlineStr">
        <is>
          <t>OUT</t>
        </is>
      </c>
      <c r="I384" s="2" t="inlineStr">
        <is>
          <t>Exact</t>
        </is>
      </c>
      <c r="J384" s="2" t="inlineStr">
        <is>
          <t>SATIN-WHITE-QUEEN</t>
        </is>
      </c>
      <c r="K384" s="2" t="inlineStr">
        <is>
          <t>SATIN-WHITE-QUEEN</t>
        </is>
      </c>
      <c r="L384" s="2" t="inlineStr">
        <is>
          <t>$0.50</t>
        </is>
      </c>
      <c r="M384" s="2" t="inlineStr">
        <is>
          <t>$0.50</t>
        </is>
      </c>
      <c r="N384" s="2" t="n">
        <v>50</v>
      </c>
      <c r="O384" s="2" t="n">
        <v>50</v>
      </c>
      <c r="P384" s="21" t="n">
        <v>0.75</v>
      </c>
      <c r="Q384" s="21" t="n">
        <v>0.75</v>
      </c>
      <c r="R384" s="2" t="n">
        <v>0</v>
      </c>
      <c r="S384" s="2" t="n">
        <v>0</v>
      </c>
      <c r="T384" s="2" t="n">
        <v>0</v>
      </c>
      <c r="U384" s="2" t="n">
        <v>0</v>
      </c>
      <c r="V384" s="21" t="n">
        <v>5</v>
      </c>
      <c r="W384" s="21" t="n">
        <v>5</v>
      </c>
      <c r="X384" s="2" t="inlineStr">
        <is>
          <t>ENABLED</t>
        </is>
      </c>
      <c r="Y384" s="2" t="inlineStr">
        <is>
          <t>none</t>
        </is>
      </c>
      <c r="Z384" s="2" t="inlineStr">
        <is>
          <t>defer — engine name wrong ((Conversion)); load a corrected name after 28 Oct</t>
        </is>
      </c>
      <c r="AA384" s="21" t="n">
        <v>0</v>
      </c>
      <c r="AB384" s="2" t="n">
        <v>0</v>
      </c>
      <c r="AC384" s="2" t="n">
        <v>0</v>
      </c>
      <c r="AD384" s="2" t="n"/>
      <c r="AE384" s="2" t="n"/>
      <c r="AF384" s="2" t="n"/>
      <c r="AG384" s="2" t="n">
        <v>0</v>
      </c>
      <c r="AH384" s="2" t="inlineStr">
        <is>
          <t>Retag only</t>
        </is>
      </c>
      <c r="AI384" s="22" t="inlineStr">
        <is>
          <t>retag → Conversions</t>
        </is>
      </c>
      <c r="AJ384" s="22" t="inlineStr">
        <is>
          <t>Objective Ranking → Conversions by the standard (colour term "white silk bed sheets queen set"); no clicks in CC 31 Aug–29 Sep.</t>
        </is>
      </c>
      <c r="AK384" s="2" t="inlineStr">
        <is>
          <t>seq 3271 rename CHANGE; our addition: standard → Conversions (colour term "white silk bed sheets queen set")</t>
        </is>
      </c>
      <c r="AL384" s="22" t="n"/>
    </row>
    <row r="385">
      <c r="A385" s="2" t="inlineStr">
        <is>
          <t>48554895300489</t>
        </is>
      </c>
      <c r="B385" s="2" t="inlineStr">
        <is>
          <t>D-S4-bed sheets satin - [Satin] - Exact - Ran - DO - SATIN-QUEEN-BLACK</t>
        </is>
      </c>
      <c r="C385" s="2" t="inlineStr">
        <is>
          <t>bed sheets satin [exact, $1.27]</t>
        </is>
      </c>
      <c r="D385" s="2" t="inlineStr">
        <is>
          <t>whole campaign</t>
        </is>
      </c>
      <c r="E385" s="2" t="inlineStr">
        <is>
          <t>PAUSED</t>
        </is>
      </c>
      <c r="F385" s="2" t="inlineStr">
        <is>
          <t>UNSET</t>
        </is>
      </c>
      <c r="G385" s="2" t="inlineStr">
        <is>
          <t>Ranking</t>
        </is>
      </c>
      <c r="H385" s="2" t="inlineStr">
        <is>
          <t>Satin</t>
        </is>
      </c>
      <c r="I385" s="2" t="inlineStr">
        <is>
          <t>Exact</t>
        </is>
      </c>
      <c r="J385" s="2" t="inlineStr">
        <is>
          <t>SATIN-QUEEN-BLACK</t>
        </is>
      </c>
      <c r="K385" s="2" t="inlineStr">
        <is>
          <t>SATIN-QUEEN-BLACK</t>
        </is>
      </c>
      <c r="L385" s="2" t="inlineStr">
        <is>
          <t>$1.27</t>
        </is>
      </c>
      <c r="M385" s="2" t="inlineStr">
        <is>
          <t>$1.13</t>
        </is>
      </c>
      <c r="N385" s="2" t="n">
        <v>50</v>
      </c>
      <c r="O385" s="2" t="n">
        <v>0</v>
      </c>
      <c r="P385" s="21" t="n">
        <v>1.91</v>
      </c>
      <c r="Q385" s="21" t="n">
        <v>1.13</v>
      </c>
      <c r="R385" s="2" t="n"/>
      <c r="S385" s="2" t="n"/>
      <c r="T385" s="2" t="n"/>
      <c r="U385" s="2" t="n"/>
      <c r="V385" s="21" t="n">
        <v>8.279999999999999</v>
      </c>
      <c r="W385" s="21" t="n">
        <v>5</v>
      </c>
      <c r="X385" s="2" t="inlineStr">
        <is>
          <t>ENABLED</t>
        </is>
      </c>
      <c r="Y385" s="2" t="inlineStr">
        <is>
          <t>none</t>
        </is>
      </c>
      <c r="Z385" s="2" t="inlineStr">
        <is>
          <t>none</t>
        </is>
      </c>
      <c r="AA385" s="21" t="n">
        <v>0</v>
      </c>
      <c r="AB385" s="2" t="n">
        <v>0</v>
      </c>
      <c r="AC385" s="2" t="n">
        <v>0</v>
      </c>
      <c r="AD385" s="2" t="n"/>
      <c r="AE385" s="2" t="n"/>
      <c r="AF385" s="2" t="n"/>
      <c r="AG385" s="2" t="n">
        <v>1</v>
      </c>
      <c r="AH385" s="2" t="inlineStr">
        <is>
          <t>Revive (harvest)</t>
        </is>
      </c>
      <c r="AI385" s="22" t="inlineStr">
        <is>
          <t>Revive at harvest price; Cut base 11% ($1.27 → $1.13); TOS 50% → 0%; Budget $8.28 → $5; retag → Ranking</t>
        </is>
      </c>
      <c r="AJ385" s="22" t="inlineStr">
        <is>
          <t>Harvest revive (seq 2317) agreed with review 40; priced for profit with a $5 budget and TOS boost removed. Note: revive seq 2814 dropped as a duplicate; the harvest revive and its price win.</t>
        </is>
      </c>
      <c r="AK385" s="2" t="inlineStr">
        <is>
          <t>seq 2310 retag correct to Ranking; seq 2312 bid: agree with review 40; seq 2313 tos: agree with review 40; seq 2314 pp: agree with review 40; seq 2315 ros: agree with review 40; seq 2316 budget: agree with review 40; seq 2317 state: agree with review 40; seq 2814 structure: hold (duplicate of harvest 2317)</t>
        </is>
      </c>
      <c r="AL385" s="22" t="n"/>
    </row>
    <row r="386">
      <c r="A386" s="2" t="inlineStr">
        <is>
          <t>187798598461007</t>
        </is>
      </c>
      <c r="B386" s="2" t="inlineStr">
        <is>
          <t>D-S4-bed sheets silk - [Silk] - Exact - Ran - DO - SATIN-QUEEN-BLACK</t>
        </is>
      </c>
      <c r="C386" s="2" t="inlineStr">
        <is>
          <t>bed sheets silk [exact]</t>
        </is>
      </c>
      <c r="D386" s="2" t="inlineStr">
        <is>
          <t>whole campaign</t>
        </is>
      </c>
      <c r="E386" s="2" t="inlineStr">
        <is>
          <t>PAUSED</t>
        </is>
      </c>
      <c r="F386" s="2" t="inlineStr">
        <is>
          <t>UNSET</t>
        </is>
      </c>
      <c r="G386" s="2" t="inlineStr">
        <is>
          <t>Ranking</t>
        </is>
      </c>
      <c r="H386" s="2" t="inlineStr">
        <is>
          <t>Silk</t>
        </is>
      </c>
      <c r="I386" s="2" t="inlineStr">
        <is>
          <t>Exact</t>
        </is>
      </c>
      <c r="J386" s="2" t="inlineStr">
        <is>
          <t>SATIN-QUEEN-BLACK</t>
        </is>
      </c>
      <c r="K386" s="2" t="inlineStr">
        <is>
          <t>SATIN-QUEEN-BLACK</t>
        </is>
      </c>
      <c r="L386" s="2" t="inlineStr">
        <is>
          <t>n/a (no target bid in audit)</t>
        </is>
      </c>
      <c r="M386" s="2" t="inlineStr">
        <is>
          <t>n/a</t>
        </is>
      </c>
      <c r="N386" s="2" t="n">
        <v>50</v>
      </c>
      <c r="O386" s="2" t="n">
        <v>50</v>
      </c>
      <c r="P386" s="21" t="n"/>
      <c r="Q386" s="21" t="n"/>
      <c r="R386" s="2" t="n"/>
      <c r="S386" s="2" t="n"/>
      <c r="T386" s="2" t="n"/>
      <c r="U386" s="2" t="n"/>
      <c r="V386" s="21" t="n">
        <v>9.460000000000001</v>
      </c>
      <c r="W386" s="21" t="n">
        <v>9.460000000000001</v>
      </c>
      <c r="X386" s="2" t="inlineStr">
        <is>
          <t>PAUSED</t>
        </is>
      </c>
      <c r="Y386" s="2" t="inlineStr">
        <is>
          <t>none</t>
        </is>
      </c>
      <c r="Z386" s="2" t="inlineStr">
        <is>
          <t>none</t>
        </is>
      </c>
      <c r="AA386" s="21" t="n">
        <v>0</v>
      </c>
      <c r="AB386" s="2" t="n">
        <v>0</v>
      </c>
      <c r="AC386" s="2" t="n">
        <v>0</v>
      </c>
      <c r="AD386" s="2" t="n"/>
      <c r="AE386" s="2" t="n"/>
      <c r="AF386" s="2" t="n"/>
      <c r="AG386" s="2" t="n">
        <v>1</v>
      </c>
      <c r="AH386" s="2" t="inlineStr">
        <is>
          <t>Keep paused</t>
        </is>
      </c>
      <c r="AI386" s="22" t="inlineStr">
        <is>
          <t>Keep paused (reject revive); retag → Ranking</t>
        </is>
      </c>
      <c r="AJ386" s="22" t="inlineStr">
        <is>
          <t>Revive rejected: 301.5% ACoS (CC 2 Jul–29 Sep).</t>
        </is>
      </c>
      <c r="AK386" s="2" t="inlineStr">
        <is>
          <t>seq 2823 structure: hold; our addition: standard → Ranking (generic exact "bed sheets silk")</t>
        </is>
      </c>
      <c r="AL386" s="22" t="n"/>
    </row>
    <row r="387">
      <c r="A387" s="2" t="inlineStr">
        <is>
          <t>205538310686968</t>
        </is>
      </c>
      <c r="B387" s="2" t="inlineStr">
        <is>
          <t>D-S4-black satin bed sheets - [Satin] - Exact - Ran - DO - SATIN-QUEEN-BLACK</t>
        </is>
      </c>
      <c r="C387" s="2" t="inlineStr">
        <is>
          <t>black satin bed sheets [exact, $0.50]</t>
        </is>
      </c>
      <c r="D387" s="2" t="inlineStr">
        <is>
          <t>whole campaign</t>
        </is>
      </c>
      <c r="E387" s="2" t="inlineStr">
        <is>
          <t>ENABLED</t>
        </is>
      </c>
      <c r="F387" s="2" t="inlineStr">
        <is>
          <t>Ranking</t>
        </is>
      </c>
      <c r="G387" s="2" t="inlineStr">
        <is>
          <t>Conversions</t>
        </is>
      </c>
      <c r="H387" s="2" t="inlineStr">
        <is>
          <t>Satin</t>
        </is>
      </c>
      <c r="I387" s="2" t="inlineStr">
        <is>
          <t>Exact</t>
        </is>
      </c>
      <c r="J387" s="2" t="inlineStr">
        <is>
          <t>SATIN-QUEEN-BLACK</t>
        </is>
      </c>
      <c r="K387" s="2" t="inlineStr">
        <is>
          <t>SATIN-QUEEN-BLACK</t>
        </is>
      </c>
      <c r="L387" s="2" t="inlineStr">
        <is>
          <t>n/a (no target bid in audit)</t>
        </is>
      </c>
      <c r="M387" s="2" t="inlineStr">
        <is>
          <t>n/a</t>
        </is>
      </c>
      <c r="N387" s="2" t="n">
        <v>50</v>
      </c>
      <c r="O387" s="2" t="n">
        <v>50</v>
      </c>
      <c r="P387" s="21" t="n"/>
      <c r="Q387" s="21" t="n"/>
      <c r="R387" s="2" t="n"/>
      <c r="S387" s="2" t="n"/>
      <c r="T387" s="2" t="n"/>
      <c r="U387" s="2" t="n"/>
      <c r="V387" s="21" t="n">
        <v>7.83</v>
      </c>
      <c r="W387" s="21" t="n">
        <v>7.83</v>
      </c>
      <c r="X387" s="2" t="inlineStr">
        <is>
          <t>ENABLED</t>
        </is>
      </c>
      <c r="Y387" s="2" t="inlineStr">
        <is>
          <t>none</t>
        </is>
      </c>
      <c r="Z387" s="2" t="inlineStr">
        <is>
          <t>defer — engine name wrong ((Conversion)); load a corrected name after 28 Oct</t>
        </is>
      </c>
      <c r="AA387" s="21" t="n">
        <v>0</v>
      </c>
      <c r="AB387" s="2" t="n">
        <v>0</v>
      </c>
      <c r="AC387" s="2" t="n">
        <v>0</v>
      </c>
      <c r="AD387" s="2" t="n"/>
      <c r="AE387" s="2" t="n"/>
      <c r="AF387" s="2" t="n"/>
      <c r="AG387" s="2" t="n">
        <v>1</v>
      </c>
      <c r="AH387" s="2" t="inlineStr">
        <is>
          <t>Retag only</t>
        </is>
      </c>
      <c r="AI387" s="22" t="inlineStr">
        <is>
          <t>retag → Conversions</t>
        </is>
      </c>
      <c r="AJ387" s="22" t="inlineStr">
        <is>
          <t>Objective Ranking → Conversions by the standard (our retag verdict); no clicks in CC 31 Aug–29 Sep.</t>
        </is>
      </c>
      <c r="AK387" s="2" t="inlineStr">
        <is>
          <t>seq 2183 retag correct to Conversions; seq 3148 rename CHANGE</t>
        </is>
      </c>
      <c r="AL387" s="22" t="n"/>
    </row>
    <row r="388">
      <c r="A388" s="2" t="inlineStr">
        <is>
          <t>118457060107121</t>
        </is>
      </c>
      <c r="B388" s="2" t="inlineStr">
        <is>
          <t>D-S4-black satin queen sheet set - [Satin|Queen] - Exact - Ran - DO - SATIN-QUEEN-BLACK</t>
        </is>
      </c>
      <c r="C388" s="2" t="inlineStr">
        <is>
          <t>black satin queen sheet set [exact]</t>
        </is>
      </c>
      <c r="D388" s="2" t="inlineStr">
        <is>
          <t>whole campaign</t>
        </is>
      </c>
      <c r="E388" s="2" t="inlineStr">
        <is>
          <t>ENABLED</t>
        </is>
      </c>
      <c r="F388" s="2" t="inlineStr">
        <is>
          <t>Ranking</t>
        </is>
      </c>
      <c r="G388" s="2" t="inlineStr">
        <is>
          <t>Conversions</t>
        </is>
      </c>
      <c r="H388" s="2" t="inlineStr">
        <is>
          <t>Satin|Queen</t>
        </is>
      </c>
      <c r="I388" s="2" t="inlineStr">
        <is>
          <t>Exact</t>
        </is>
      </c>
      <c r="J388" s="2" t="inlineStr">
        <is>
          <t>SATIN-QUEEN-BLACK</t>
        </is>
      </c>
      <c r="K388" s="2" t="inlineStr">
        <is>
          <t>SATIN-QUEEN-BLACK</t>
        </is>
      </c>
      <c r="L388" s="2" t="inlineStr">
        <is>
          <t>n/a (no target bid in audit)</t>
        </is>
      </c>
      <c r="M388" s="2" t="inlineStr">
        <is>
          <t>n/a</t>
        </is>
      </c>
      <c r="N388" s="2" t="n">
        <v>50</v>
      </c>
      <c r="O388" s="2" t="n">
        <v>50</v>
      </c>
      <c r="P388" s="21" t="n"/>
      <c r="Q388" s="21" t="n"/>
      <c r="R388" s="2" t="n"/>
      <c r="S388" s="2" t="n"/>
      <c r="T388" s="2" t="n"/>
      <c r="U388" s="2" t="n"/>
      <c r="V388" s="21" t="n">
        <v>10.19</v>
      </c>
      <c r="W388" s="21" t="n">
        <v>10.19</v>
      </c>
      <c r="X388" s="2" t="inlineStr">
        <is>
          <t>ENABLED</t>
        </is>
      </c>
      <c r="Y388" s="2" t="inlineStr">
        <is>
          <t>none</t>
        </is>
      </c>
      <c r="Z388" s="2" t="inlineStr">
        <is>
          <t>defer — engine name wrong ((Conversion)); load a corrected name after 28 Oct</t>
        </is>
      </c>
      <c r="AA388" s="21" t="n">
        <v>0</v>
      </c>
      <c r="AB388" s="2" t="n">
        <v>0</v>
      </c>
      <c r="AC388" s="2" t="n">
        <v>0</v>
      </c>
      <c r="AD388" s="2" t="n"/>
      <c r="AE388" s="2" t="n"/>
      <c r="AF388" s="2" t="n"/>
      <c r="AG388" s="2" t="n">
        <v>2</v>
      </c>
      <c r="AH388" s="2" t="inlineStr">
        <is>
          <t>Retag only</t>
        </is>
      </c>
      <c r="AI388" s="22" t="inlineStr">
        <is>
          <t>retag → Conversions</t>
        </is>
      </c>
      <c r="AJ388" s="22" t="inlineStr">
        <is>
          <t>Objective Ranking → Conversions by the standard (our retag verdict); no clicks in CC 31 Aug–29 Sep.</t>
        </is>
      </c>
      <c r="AK388" s="2" t="inlineStr">
        <is>
          <t>seq 2161 retag correct to Conversions; seq 3074 rename CHANGE</t>
        </is>
      </c>
      <c r="AL388" s="22" t="n"/>
    </row>
    <row r="389">
      <c r="A389" s="2" t="inlineStr">
        <is>
          <t>99320622885595</t>
        </is>
      </c>
      <c r="B389" s="2" t="inlineStr">
        <is>
          <t>D-S4-black satin sheets - [Satin] - Broad - Disc - DO - SATIN-QUEEN-BLACK</t>
        </is>
      </c>
      <c r="C389" s="2" t="inlineStr">
        <is>
          <t>black satin sheets [broad]</t>
        </is>
      </c>
      <c r="D389" s="2" t="inlineStr">
        <is>
          <t>whole campaign</t>
        </is>
      </c>
      <c r="E389" s="2" t="inlineStr">
        <is>
          <t>ENABLED</t>
        </is>
      </c>
      <c r="F389" s="2" t="inlineStr">
        <is>
          <t>Discovery</t>
        </is>
      </c>
      <c r="G389" s="2" t="inlineStr">
        <is>
          <t>Discovery</t>
        </is>
      </c>
      <c r="H389" s="2" t="inlineStr">
        <is>
          <t>Satin</t>
        </is>
      </c>
      <c r="I389" s="2" t="inlineStr">
        <is>
          <t>Broad</t>
        </is>
      </c>
      <c r="J389" s="2" t="inlineStr">
        <is>
          <t>SATIN-QUEEN-BLACK</t>
        </is>
      </c>
      <c r="K389" s="2" t="inlineStr">
        <is>
          <t>SATIN-QUEEN-BLACK</t>
        </is>
      </c>
      <c r="L389" s="2" t="inlineStr">
        <is>
          <t>n/a (no target bid in audit)</t>
        </is>
      </c>
      <c r="M389" s="2" t="inlineStr">
        <is>
          <t>n/a</t>
        </is>
      </c>
      <c r="N389" s="2" t="n">
        <v>0</v>
      </c>
      <c r="O389" s="2" t="n">
        <v>0</v>
      </c>
      <c r="P389" s="21" t="n"/>
      <c r="Q389" s="21" t="n"/>
      <c r="R389" s="2" t="n"/>
      <c r="S389" s="2" t="n"/>
      <c r="T389" s="2" t="n"/>
      <c r="U389" s="2" t="n"/>
      <c r="V389" s="21" t="n">
        <v>10</v>
      </c>
      <c r="W389" s="21" t="n">
        <v>10</v>
      </c>
      <c r="X389" s="2" t="inlineStr">
        <is>
          <t>PAUSED</t>
        </is>
      </c>
      <c r="Y389" s="2" t="inlineStr">
        <is>
          <t>none</t>
        </is>
      </c>
      <c r="Z389" s="2" t="inlineStr">
        <is>
          <t>none</t>
        </is>
      </c>
      <c r="AA389" s="21" t="n">
        <v>0</v>
      </c>
      <c r="AB389" s="2" t="n">
        <v>0</v>
      </c>
      <c r="AC389" s="2" t="n">
        <v>0</v>
      </c>
      <c r="AD389" s="2" t="n"/>
      <c r="AE389" s="2" t="n"/>
      <c r="AF389" s="2" t="n"/>
      <c r="AG389" s="2" t="n">
        <v>0</v>
      </c>
      <c r="AH389" s="2" t="inlineStr">
        <is>
          <t>Pause</t>
        </is>
      </c>
      <c r="AI389" s="22" t="inlineStr">
        <is>
          <t>Pause (seq 3340)</t>
        </is>
      </c>
      <c r="AJ389" s="22" t="inlineStr">
        <is>
          <t>Duplicate discovery campaign with under 15 clicks and no order in 90 days (audit read to 29 Sep).</t>
        </is>
      </c>
      <c r="AK389" s="2" t="inlineStr">
        <is>
          <t>seq 3340 structure 3340: agree with review 40</t>
        </is>
      </c>
      <c r="AL389" s="22" t="n"/>
    </row>
    <row r="390">
      <c r="A390" s="2" t="inlineStr">
        <is>
          <t>17776649090891</t>
        </is>
      </c>
      <c r="B390" s="2" t="inlineStr">
        <is>
          <t>D-S4-black satin sheets king - [Satin|King] - Exact - Ran - DO - SATIN-KING-BLACK</t>
        </is>
      </c>
      <c r="C390" s="2" t="inlineStr">
        <is>
          <t>black satin sheets king [exact, $0.50]</t>
        </is>
      </c>
      <c r="D390" s="2" t="inlineStr">
        <is>
          <t>whole campaign</t>
        </is>
      </c>
      <c r="E390" s="2" t="inlineStr">
        <is>
          <t>ENABLED</t>
        </is>
      </c>
      <c r="F390" s="2" t="inlineStr">
        <is>
          <t>Ranking</t>
        </is>
      </c>
      <c r="G390" s="2" t="inlineStr">
        <is>
          <t>Conversions</t>
        </is>
      </c>
      <c r="H390" s="2" t="inlineStr">
        <is>
          <t>Satin|King</t>
        </is>
      </c>
      <c r="I390" s="2" t="inlineStr">
        <is>
          <t>Exact</t>
        </is>
      </c>
      <c r="J390" s="2" t="inlineStr">
        <is>
          <t>SATIN-4PC-KING-GREY</t>
        </is>
      </c>
      <c r="K390" s="2" t="inlineStr">
        <is>
          <t>SATIN-KING-BLACK</t>
        </is>
      </c>
      <c r="L390" s="2" t="inlineStr">
        <is>
          <t>n/a (no target bid in audit)</t>
        </is>
      </c>
      <c r="M390" s="2" t="inlineStr">
        <is>
          <t>n/a</t>
        </is>
      </c>
      <c r="N390" s="2" t="n">
        <v>50</v>
      </c>
      <c r="O390" s="2" t="n">
        <v>50</v>
      </c>
      <c r="P390" s="21" t="n"/>
      <c r="Q390" s="21" t="n"/>
      <c r="R390" s="2" t="n"/>
      <c r="S390" s="2" t="n"/>
      <c r="T390" s="2" t="n"/>
      <c r="U390" s="2" t="n"/>
      <c r="V390" s="21" t="n">
        <v>12.1</v>
      </c>
      <c r="W390" s="21" t="n">
        <v>12.1</v>
      </c>
      <c r="X390" s="2" t="inlineStr">
        <is>
          <t>ENABLED</t>
        </is>
      </c>
      <c r="Y390" s="2" t="inlineStr">
        <is>
          <t>none</t>
        </is>
      </c>
      <c r="Z390" s="2" t="inlineStr">
        <is>
          <t>defer — engine name wrong ((Conversion); flag); load a corrected name after 28 Oct</t>
        </is>
      </c>
      <c r="AA390" s="21" t="n">
        <v>0</v>
      </c>
      <c r="AB390" s="2" t="n">
        <v>0</v>
      </c>
      <c r="AC390" s="2" t="n">
        <v>0</v>
      </c>
      <c r="AD390" s="2" t="n"/>
      <c r="AE390" s="2" t="n"/>
      <c r="AF390" s="2" t="n"/>
      <c r="AG390" s="2" t="n">
        <v>0</v>
      </c>
      <c r="AH390" s="2" t="inlineStr">
        <is>
          <t>Child swap</t>
        </is>
      </c>
      <c r="AI390" s="22" t="inlineStr">
        <is>
          <t>Swap child to SATIN-KING-BLACK; retag → Conversions</t>
        </is>
      </c>
      <c r="AJ390" s="22" t="inlineStr">
        <is>
          <t>Black-colour King term advertises King Grey; King Black has 1,385 units (SB 29 Sep).</t>
        </is>
      </c>
      <c r="AK390" s="2" t="inlineStr">
        <is>
          <t>seq 2177 retag correct to Conversions; seq 3128 rename CHANGE; our addition (corrections §5 / reviewer C A4)</t>
        </is>
      </c>
      <c r="AL390" s="22" t="n"/>
    </row>
    <row r="391">
      <c r="A391" s="2" t="inlineStr">
        <is>
          <t>259161668032687</t>
        </is>
      </c>
      <c r="B391" s="2" t="inlineStr">
        <is>
          <t>D-S4-black satin sheets twin - [Satin|Twin] - Exact - Ran - DO - SATIN-TWIN-BLACK-NEW</t>
        </is>
      </c>
      <c r="C391" s="2" t="inlineStr">
        <is>
          <t>black satin sheets twin [exact]</t>
        </is>
      </c>
      <c r="D391" s="2" t="inlineStr">
        <is>
          <t>black satin sheets twin</t>
        </is>
      </c>
      <c r="E391" s="2" t="inlineStr">
        <is>
          <t>ENABLED</t>
        </is>
      </c>
      <c r="F391" s="2" t="inlineStr">
        <is>
          <t>Ranking</t>
        </is>
      </c>
      <c r="G391" s="2" t="inlineStr">
        <is>
          <t>Conversions</t>
        </is>
      </c>
      <c r="H391" s="2" t="inlineStr">
        <is>
          <t>Satin|Twin</t>
        </is>
      </c>
      <c r="I391" s="2" t="inlineStr">
        <is>
          <t>Exact</t>
        </is>
      </c>
      <c r="J391" s="2" t="inlineStr">
        <is>
          <t>SATIN-TWIN-BLACK-NEW</t>
        </is>
      </c>
      <c r="K391" s="2" t="inlineStr">
        <is>
          <t>SATIN-TWIN-BLACK-NEW</t>
        </is>
      </c>
      <c r="L391" s="2" t="inlineStr">
        <is>
          <t>n/a (no target bid in audit)</t>
        </is>
      </c>
      <c r="M391" s="2" t="inlineStr">
        <is>
          <t>n/a</t>
        </is>
      </c>
      <c r="N391" s="2" t="n">
        <v>50</v>
      </c>
      <c r="O391" s="2" t="n">
        <v>50</v>
      </c>
      <c r="P391" s="21" t="n"/>
      <c r="Q391" s="21" t="n"/>
      <c r="R391" s="2" t="n"/>
      <c r="S391" s="2" t="n"/>
      <c r="T391" s="2" t="n"/>
      <c r="U391" s="2" t="n"/>
      <c r="V391" s="21" t="n">
        <v>7.11</v>
      </c>
      <c r="W391" s="21" t="n">
        <v>7.11</v>
      </c>
      <c r="X391" s="2" t="inlineStr">
        <is>
          <t>ENABLED</t>
        </is>
      </c>
      <c r="Y391" s="2" t="inlineStr">
        <is>
          <t>none</t>
        </is>
      </c>
      <c r="Z391" s="2" t="inlineStr">
        <is>
          <t>defer — engine name wrong ((Conversion)); load a corrected name after 28 Oct</t>
        </is>
      </c>
      <c r="AA391" s="21" t="n">
        <v>0</v>
      </c>
      <c r="AB391" s="2" t="n">
        <v>0</v>
      </c>
      <c r="AC391" s="2" t="n">
        <v>0</v>
      </c>
      <c r="AD391" s="2" t="n"/>
      <c r="AE391" s="2" t="n"/>
      <c r="AF391" s="2" t="n"/>
      <c r="AG391" s="2" t="n">
        <v>0</v>
      </c>
      <c r="AH391" s="2" t="inlineStr">
        <is>
          <t>Release hold, keep price</t>
        </is>
      </c>
      <c r="AI391" s="22" t="inlineStr">
        <is>
          <t>Release hold; keep base (no clicks 30d); retag → Conversions</t>
        </is>
      </c>
      <c r="AJ391" s="22" t="inlineStr">
        <is>
          <t>The "0 impressions" hold is false, but the campaign had no clicks in CC 31 Aug–29 Sep, so a base cut would only lower delivery. Note: plan move to SATIN-TWIN-GREY before 16 Oct (Twin Black 66 units, ~34 days).</t>
        </is>
      </c>
      <c r="AK391" s="2" t="inlineStr">
        <is>
          <t>seq 2205 retag correct to Conversions; seq 3199 rename CHANGE; seq 2031 NOT SERVING hold(s) → release; price to break-even (our addition, reviewer D)</t>
        </is>
      </c>
      <c r="AL391" s="22" t="n"/>
    </row>
    <row r="392">
      <c r="A392" s="2" t="inlineStr">
        <is>
          <t>181166878851175</t>
        </is>
      </c>
      <c r="B392" s="2" t="inlineStr">
        <is>
          <t>D-S4-black satin sheets twin - [Satin|Twin] - Phrase - Conv - DO - SATIN-FULL-BLACK</t>
        </is>
      </c>
      <c r="C392" s="2" t="inlineStr">
        <is>
          <t>black satin sheets twin [phrase]</t>
        </is>
      </c>
      <c r="D392" s="2" t="inlineStr">
        <is>
          <t>whole campaign</t>
        </is>
      </c>
      <c r="E392" s="2" t="inlineStr">
        <is>
          <t>ENABLED</t>
        </is>
      </c>
      <c r="F392" s="2" t="inlineStr">
        <is>
          <t>Conversions</t>
        </is>
      </c>
      <c r="G392" s="2" t="inlineStr">
        <is>
          <t>Discovery</t>
        </is>
      </c>
      <c r="H392" s="2" t="inlineStr">
        <is>
          <t>Satin|Twin</t>
        </is>
      </c>
      <c r="I392" s="2" t="inlineStr">
        <is>
          <t>Phrase</t>
        </is>
      </c>
      <c r="J392" s="2" t="inlineStr">
        <is>
          <t>SATIN-TWIN-BLACK-NEW</t>
        </is>
      </c>
      <c r="K392" s="2" t="inlineStr">
        <is>
          <t>SATIN-TWIN-BLACK-NEW</t>
        </is>
      </c>
      <c r="L392" s="2" t="inlineStr">
        <is>
          <t>n/a (no target bid in audit)</t>
        </is>
      </c>
      <c r="M392" s="2" t="inlineStr">
        <is>
          <t>n/a</t>
        </is>
      </c>
      <c r="N392" s="2" t="n">
        <v>0</v>
      </c>
      <c r="O392" s="2" t="n">
        <v>0</v>
      </c>
      <c r="P392" s="21" t="n"/>
      <c r="Q392" s="21" t="n"/>
      <c r="R392" s="2" t="n"/>
      <c r="S392" s="2" t="n"/>
      <c r="T392" s="2" t="n"/>
      <c r="U392" s="2" t="n"/>
      <c r="V392" s="21" t="n">
        <v>10</v>
      </c>
      <c r="W392" s="21" t="n">
        <v>10</v>
      </c>
      <c r="X392" s="2" t="inlineStr">
        <is>
          <t>PAUSED</t>
        </is>
      </c>
      <c r="Y392" s="2" t="inlineStr">
        <is>
          <t>none</t>
        </is>
      </c>
      <c r="Z392" s="2" t="inlineStr">
        <is>
          <t>none</t>
        </is>
      </c>
      <c r="AA392" s="21" t="n">
        <v>0</v>
      </c>
      <c r="AB392" s="2" t="n">
        <v>0</v>
      </c>
      <c r="AC392" s="2" t="n">
        <v>0</v>
      </c>
      <c r="AD392" s="2" t="n"/>
      <c r="AE392" s="2" t="n"/>
      <c r="AF392" s="2" t="n"/>
      <c r="AG392" s="2" t="n">
        <v>0</v>
      </c>
      <c r="AH392" s="2" t="inlineStr">
        <is>
          <t>Pause</t>
        </is>
      </c>
      <c r="AI392" s="22" t="inlineStr">
        <is>
          <t>Pause (seq 3340); retag → Discovery</t>
        </is>
      </c>
      <c r="AJ392" s="22" t="inlineStr">
        <is>
          <t>Duplicate discovery campaign with under 15 clicks and no order in 90 days (audit read to 29 Sep).</t>
        </is>
      </c>
      <c r="AK392" s="2" t="inlineStr">
        <is>
          <t>seq 3340 structure 3340: agree with review 40; our addition: standard → Discovery (phrase)</t>
        </is>
      </c>
      <c r="AL392" s="22" t="n"/>
    </row>
    <row r="393">
      <c r="A393" s="2" t="inlineStr">
        <is>
          <t>232559757190513</t>
        </is>
      </c>
      <c r="B393" s="2" t="inlineStr">
        <is>
          <t>D-S4-black sheets silk - [Silk] - Exact - Ran - DO - SATIN-QUEEN-BLACK</t>
        </is>
      </c>
      <c r="C393" s="2" t="inlineStr">
        <is>
          <t>black sheets silk [exact]</t>
        </is>
      </c>
      <c r="D393" s="2" t="inlineStr">
        <is>
          <t>black sheets silk</t>
        </is>
      </c>
      <c r="E393" s="2" t="inlineStr">
        <is>
          <t>ENABLED</t>
        </is>
      </c>
      <c r="F393" s="2" t="inlineStr">
        <is>
          <t>Ranking</t>
        </is>
      </c>
      <c r="G393" s="2" t="inlineStr">
        <is>
          <t>Conversions</t>
        </is>
      </c>
      <c r="H393" s="2" t="inlineStr">
        <is>
          <t>Silk</t>
        </is>
      </c>
      <c r="I393" s="2" t="inlineStr">
        <is>
          <t>Exact</t>
        </is>
      </c>
      <c r="J393" s="2" t="inlineStr">
        <is>
          <t>SATIN-QUEEN-BLACK</t>
        </is>
      </c>
      <c r="K393" s="2" t="inlineStr">
        <is>
          <t>SATIN-QUEEN-BLACK</t>
        </is>
      </c>
      <c r="L393" s="2" t="inlineStr">
        <is>
          <t>n/a (no target bid in audit)</t>
        </is>
      </c>
      <c r="M393" s="2" t="inlineStr">
        <is>
          <t>n/a</t>
        </is>
      </c>
      <c r="N393" s="2" t="n">
        <v>50</v>
      </c>
      <c r="O393" s="2" t="n">
        <v>50</v>
      </c>
      <c r="P393" s="21" t="n"/>
      <c r="Q393" s="21" t="n"/>
      <c r="R393" s="2" t="n"/>
      <c r="S393" s="2" t="n"/>
      <c r="T393" s="2" t="n"/>
      <c r="U393" s="2" t="n"/>
      <c r="V393" s="21" t="n">
        <v>7.94</v>
      </c>
      <c r="W393" s="21" t="n">
        <v>7.94</v>
      </c>
      <c r="X393" s="2" t="inlineStr">
        <is>
          <t>ENABLED</t>
        </is>
      </c>
      <c r="Y393" s="2" t="inlineStr">
        <is>
          <t>none</t>
        </is>
      </c>
      <c r="Z393" s="2" t="inlineStr">
        <is>
          <t>defer — engine name wrong ((Conversion)); load a corrected name after 28 Oct</t>
        </is>
      </c>
      <c r="AA393" s="21" t="n">
        <v>0</v>
      </c>
      <c r="AB393" s="2" t="n">
        <v>0</v>
      </c>
      <c r="AC393" s="2" t="n">
        <v>0</v>
      </c>
      <c r="AD393" s="2" t="n"/>
      <c r="AE393" s="2" t="n"/>
      <c r="AF393" s="2" t="n"/>
      <c r="AG393" s="2" t="n">
        <v>1</v>
      </c>
      <c r="AH393" s="2" t="inlineStr">
        <is>
          <t>Release hold, keep price</t>
        </is>
      </c>
      <c r="AI393" s="22" t="inlineStr">
        <is>
          <t>Release hold; keep base (no clicks 30d); retag → Conversions</t>
        </is>
      </c>
      <c r="AJ393" s="22" t="inlineStr">
        <is>
          <t>The "0 impressions" hold is false, but the campaign had no clicks in CC 31 Aug–29 Sep, so a base cut would only lower delivery.</t>
        </is>
      </c>
      <c r="AK393" s="2" t="inlineStr">
        <is>
          <t>seq 2190 retag correct to Conversions; seq 3174 rename CHANGE; seq 2025 NOT SERVING hold(s) → release; price to break-even (our addition, reviewer D)</t>
        </is>
      </c>
      <c r="AL393" s="22" t="n"/>
    </row>
    <row r="394">
      <c r="A394" s="2" t="inlineStr">
        <is>
          <t>229063842517211</t>
        </is>
      </c>
      <c r="B394" s="2" t="inlineStr">
        <is>
          <t>D-S4-black silk bed sheets - [Silk] - Exact - Ran - DO - SATIN-QUEEN-BLACK</t>
        </is>
      </c>
      <c r="C394" s="2" t="inlineStr">
        <is>
          <t>black silk bed sheets [exact, $0.50]</t>
        </is>
      </c>
      <c r="D394" s="2" t="inlineStr">
        <is>
          <t>whole campaign</t>
        </is>
      </c>
      <c r="E394" s="2" t="inlineStr">
        <is>
          <t>ENABLED</t>
        </is>
      </c>
      <c r="F394" s="2" t="inlineStr">
        <is>
          <t>Ranking</t>
        </is>
      </c>
      <c r="G394" s="2" t="inlineStr">
        <is>
          <t>Conversions</t>
        </is>
      </c>
      <c r="H394" s="2" t="inlineStr">
        <is>
          <t>OUT</t>
        </is>
      </c>
      <c r="I394" s="2" t="inlineStr">
        <is>
          <t>Exact</t>
        </is>
      </c>
      <c r="J394" s="2" t="inlineStr">
        <is>
          <t>SATIN-QUEEN-BLACK</t>
        </is>
      </c>
      <c r="K394" s="2" t="inlineStr">
        <is>
          <t>SATIN-QUEEN-BLACK</t>
        </is>
      </c>
      <c r="L394" s="2" t="inlineStr">
        <is>
          <t>$0.50</t>
        </is>
      </c>
      <c r="M394" s="2" t="inlineStr">
        <is>
          <t>$0.50</t>
        </is>
      </c>
      <c r="N394" s="2" t="n">
        <v>150</v>
      </c>
      <c r="O394" s="2" t="n">
        <v>150</v>
      </c>
      <c r="P394" s="21" t="n">
        <v>1.25</v>
      </c>
      <c r="Q394" s="21" t="n">
        <v>1.25</v>
      </c>
      <c r="R394" s="2" t="n">
        <v>0</v>
      </c>
      <c r="S394" s="2" t="n">
        <v>0</v>
      </c>
      <c r="T394" s="2" t="n">
        <v>0</v>
      </c>
      <c r="U394" s="2" t="n">
        <v>0</v>
      </c>
      <c r="V394" s="21" t="n">
        <v>7.88</v>
      </c>
      <c r="W394" s="21" t="n">
        <v>7.88</v>
      </c>
      <c r="X394" s="2" t="inlineStr">
        <is>
          <t>ENABLED</t>
        </is>
      </c>
      <c r="Y394" s="2" t="inlineStr">
        <is>
          <t>none</t>
        </is>
      </c>
      <c r="Z394" s="2" t="inlineStr">
        <is>
          <t>defer — engine name wrong ((Conversion)); load a corrected name after 28 Oct</t>
        </is>
      </c>
      <c r="AA394" s="21" t="n">
        <v>0</v>
      </c>
      <c r="AB394" s="2" t="n">
        <v>0</v>
      </c>
      <c r="AC394" s="2" t="n">
        <v>0</v>
      </c>
      <c r="AD394" s="2" t="n"/>
      <c r="AE394" s="2" t="n"/>
      <c r="AF394" s="2" t="n"/>
      <c r="AG394" s="2" t="n">
        <v>3</v>
      </c>
      <c r="AH394" s="2" t="inlineStr">
        <is>
          <t>Retag only</t>
        </is>
      </c>
      <c r="AI394" s="22" t="inlineStr">
        <is>
          <t>retag → Conversions</t>
        </is>
      </c>
      <c r="AJ394" s="22" t="inlineStr">
        <is>
          <t>Objective Ranking → Conversions by the standard (colour term "black silk bed sheets"); no clicks in CC 31 Aug–29 Sep.</t>
        </is>
      </c>
      <c r="AK394" s="2" t="inlineStr">
        <is>
          <t>seq 3172 rename CHANGE; our addition: standard → Conversions (colour term "black silk bed sheets")</t>
        </is>
      </c>
      <c r="AL394" s="22" t="n"/>
    </row>
    <row r="395">
      <c r="A395" s="2" t="inlineStr">
        <is>
          <t>169603300359188</t>
        </is>
      </c>
      <c r="B395" s="2" t="inlineStr">
        <is>
          <t>D-S4-black silk sheets - [Silk] - Broad - Disc - DO - SATIN-QUEEN-BLACK</t>
        </is>
      </c>
      <c r="C395" s="2" t="inlineStr">
        <is>
          <t>black silk sheets [broad]</t>
        </is>
      </c>
      <c r="D395" s="2" t="inlineStr">
        <is>
          <t>whole campaign</t>
        </is>
      </c>
      <c r="E395" s="2" t="inlineStr">
        <is>
          <t>ENABLED</t>
        </is>
      </c>
      <c r="F395" s="2" t="inlineStr">
        <is>
          <t>Discovery</t>
        </is>
      </c>
      <c r="G395" s="2" t="inlineStr">
        <is>
          <t>Discovery</t>
        </is>
      </c>
      <c r="H395" s="2" t="inlineStr">
        <is>
          <t>Silk</t>
        </is>
      </c>
      <c r="I395" s="2" t="inlineStr">
        <is>
          <t>Broad</t>
        </is>
      </c>
      <c r="J395" s="2" t="inlineStr">
        <is>
          <t>SATIN-QUEEN-BLACK</t>
        </is>
      </c>
      <c r="K395" s="2" t="inlineStr">
        <is>
          <t>SATIN-QUEEN-BLACK</t>
        </is>
      </c>
      <c r="L395" s="2" t="inlineStr">
        <is>
          <t>n/a (no target bid in audit)</t>
        </is>
      </c>
      <c r="M395" s="2" t="inlineStr">
        <is>
          <t>n/a</t>
        </is>
      </c>
      <c r="N395" s="2" t="n">
        <v>0</v>
      </c>
      <c r="O395" s="2" t="n">
        <v>0</v>
      </c>
      <c r="P395" s="21" t="n"/>
      <c r="Q395" s="21" t="n"/>
      <c r="R395" s="2" t="n"/>
      <c r="S395" s="2" t="n"/>
      <c r="T395" s="2" t="n"/>
      <c r="U395" s="2" t="n"/>
      <c r="V395" s="21" t="n">
        <v>10</v>
      </c>
      <c r="W395" s="21" t="n">
        <v>10</v>
      </c>
      <c r="X395" s="2" t="inlineStr">
        <is>
          <t>PAUSED</t>
        </is>
      </c>
      <c r="Y395" s="2" t="inlineStr">
        <is>
          <t>none</t>
        </is>
      </c>
      <c r="Z395" s="2" t="inlineStr">
        <is>
          <t>none</t>
        </is>
      </c>
      <c r="AA395" s="21" t="n">
        <v>0</v>
      </c>
      <c r="AB395" s="2" t="n">
        <v>0</v>
      </c>
      <c r="AC395" s="2" t="n">
        <v>0</v>
      </c>
      <c r="AD395" s="2" t="n"/>
      <c r="AE395" s="2" t="n"/>
      <c r="AF395" s="2" t="n"/>
      <c r="AG395" s="2" t="n">
        <v>0</v>
      </c>
      <c r="AH395" s="2" t="inlineStr">
        <is>
          <t>Pause</t>
        </is>
      </c>
      <c r="AI395" s="22" t="inlineStr">
        <is>
          <t>Pause (seq 3340)</t>
        </is>
      </c>
      <c r="AJ395" s="22" t="inlineStr">
        <is>
          <t>Duplicate discovery campaign with under 15 clicks and no order in 90 days (audit read to 29 Sep).</t>
        </is>
      </c>
      <c r="AK395" s="2" t="inlineStr">
        <is>
          <t>seq 3340 structure 3340: agree with review 40</t>
        </is>
      </c>
      <c r="AL395" s="22" t="n"/>
    </row>
    <row r="396">
      <c r="A396" s="2" t="inlineStr">
        <is>
          <t>23680428002935</t>
        </is>
      </c>
      <c r="B396" s="2" t="inlineStr">
        <is>
          <t>D-S4-black silk sheets full size bed set - [Silk|Full] - Exact - Ran - DO - SATIN-FULL-BLACK</t>
        </is>
      </c>
      <c r="C396" s="2" t="inlineStr">
        <is>
          <t>black silk sheets full size bed set [exact]</t>
        </is>
      </c>
      <c r="D396" s="2" t="inlineStr">
        <is>
          <t>whole campaign</t>
        </is>
      </c>
      <c r="E396" s="2" t="inlineStr">
        <is>
          <t>ENABLED</t>
        </is>
      </c>
      <c r="F396" s="2" t="inlineStr">
        <is>
          <t>Conversions</t>
        </is>
      </c>
      <c r="G396" s="2" t="inlineStr">
        <is>
          <t>Conversions</t>
        </is>
      </c>
      <c r="H396" s="2" t="inlineStr">
        <is>
          <t>Silk|Full</t>
        </is>
      </c>
      <c r="I396" s="2" t="inlineStr">
        <is>
          <t>Exact</t>
        </is>
      </c>
      <c r="J396" s="2" t="inlineStr">
        <is>
          <t>SATIN-FULL-BLACK</t>
        </is>
      </c>
      <c r="K396" s="2" t="inlineStr">
        <is>
          <t>SATIN-FULL-BLACK</t>
        </is>
      </c>
      <c r="L396" s="2" t="inlineStr">
        <is>
          <t>n/a (no target bid in audit)</t>
        </is>
      </c>
      <c r="M396" s="2" t="inlineStr">
        <is>
          <t>n/a</t>
        </is>
      </c>
      <c r="N396" s="2" t="n">
        <v>50</v>
      </c>
      <c r="O396" s="2" t="n">
        <v>50</v>
      </c>
      <c r="P396" s="21" t="n"/>
      <c r="Q396" s="21" t="n"/>
      <c r="R396" s="2" t="n"/>
      <c r="S396" s="2" t="n"/>
      <c r="T396" s="2" t="n"/>
      <c r="U396" s="2" t="n"/>
      <c r="V396" s="21" t="n">
        <v>10.2</v>
      </c>
      <c r="W396" s="21" t="n">
        <v>10.2</v>
      </c>
      <c r="X396" s="2" t="inlineStr">
        <is>
          <t>ENABLED</t>
        </is>
      </c>
      <c r="Y396" s="2" t="inlineStr">
        <is>
          <t>none</t>
        </is>
      </c>
      <c r="Z396" s="2" t="inlineStr">
        <is>
          <t>load (clean): DSS4-SP-Black Silk Sheets Full Size Bed Set-(VLSV)-Exact-(Conversion)-DO-SATIN-FULL-BLACK</t>
        </is>
      </c>
      <c r="AA396" s="21" t="n">
        <v>0</v>
      </c>
      <c r="AB396" s="2" t="n">
        <v>0</v>
      </c>
      <c r="AC396" s="2" t="n">
        <v>0</v>
      </c>
      <c r="AD396" s="2" t="n"/>
      <c r="AE396" s="2" t="n"/>
      <c r="AF396" s="2" t="n"/>
      <c r="AG396" s="2" t="n">
        <v>3</v>
      </c>
      <c r="AH396" s="2" t="inlineStr">
        <is>
          <t>Rename only</t>
        </is>
      </c>
      <c r="AI396" s="22" t="inlineStr">
        <is>
          <t>Load rename only</t>
        </is>
      </c>
      <c r="AJ396" s="22" t="inlineStr">
        <is>
          <t>Clean rename (SKU token and objective match what the campaign advertises); no clicks in CC 31 Aug–29 Sep.</t>
        </is>
      </c>
      <c r="AK396" s="2" t="inlineStr">
        <is>
          <t>seq 2192 retag LOAD; seq 3178 rename LOAD</t>
        </is>
      </c>
      <c r="AL396" s="22" t="n"/>
    </row>
    <row r="397">
      <c r="A397" s="2" t="inlineStr">
        <is>
          <t>7941040167711</t>
        </is>
      </c>
      <c r="B397" s="2" t="inlineStr">
        <is>
          <t>D-S4-black silk sheets full size bed set - [Silk|Full] - Phrase - Conv - DO - SATIN-FULL-BLACK</t>
        </is>
      </c>
      <c r="C397" s="2" t="inlineStr">
        <is>
          <t>black silk sheets full size bed set [phrase]</t>
        </is>
      </c>
      <c r="D397" s="2" t="inlineStr">
        <is>
          <t>whole campaign</t>
        </is>
      </c>
      <c r="E397" s="2" t="inlineStr">
        <is>
          <t>ENABLED</t>
        </is>
      </c>
      <c r="F397" s="2" t="inlineStr">
        <is>
          <t>Conversions</t>
        </is>
      </c>
      <c r="G397" s="2" t="inlineStr">
        <is>
          <t>Discovery</t>
        </is>
      </c>
      <c r="H397" s="2" t="inlineStr">
        <is>
          <t>Silk|Full</t>
        </is>
      </c>
      <c r="I397" s="2" t="inlineStr">
        <is>
          <t>Phrase</t>
        </is>
      </c>
      <c r="J397" s="2" t="inlineStr">
        <is>
          <t>SATIN-FULL-BLACK</t>
        </is>
      </c>
      <c r="K397" s="2" t="inlineStr">
        <is>
          <t>SATIN-FULL-BLACK</t>
        </is>
      </c>
      <c r="L397" s="2" t="inlineStr">
        <is>
          <t>n/a (no target bid in audit)</t>
        </is>
      </c>
      <c r="M397" s="2" t="inlineStr">
        <is>
          <t>n/a</t>
        </is>
      </c>
      <c r="N397" s="2" t="n">
        <v>0</v>
      </c>
      <c r="O397" s="2" t="n">
        <v>0</v>
      </c>
      <c r="P397" s="21" t="n"/>
      <c r="Q397" s="21" t="n"/>
      <c r="R397" s="2" t="n"/>
      <c r="S397" s="2" t="n"/>
      <c r="T397" s="2" t="n"/>
      <c r="U397" s="2" t="n"/>
      <c r="V397" s="21" t="n">
        <v>10</v>
      </c>
      <c r="W397" s="21" t="n">
        <v>10</v>
      </c>
      <c r="X397" s="2" t="inlineStr">
        <is>
          <t>PAUSED</t>
        </is>
      </c>
      <c r="Y397" s="2" t="inlineStr">
        <is>
          <t>none</t>
        </is>
      </c>
      <c r="Z397" s="2" t="inlineStr">
        <is>
          <t>none</t>
        </is>
      </c>
      <c r="AA397" s="21" t="n">
        <v>0</v>
      </c>
      <c r="AB397" s="2" t="n">
        <v>0</v>
      </c>
      <c r="AC397" s="2" t="n">
        <v>0</v>
      </c>
      <c r="AD397" s="2" t="n"/>
      <c r="AE397" s="2" t="n"/>
      <c r="AF397" s="2" t="n"/>
      <c r="AG397" s="2" t="n">
        <v>0</v>
      </c>
      <c r="AH397" s="2" t="inlineStr">
        <is>
          <t>Pause</t>
        </is>
      </c>
      <c r="AI397" s="22" t="inlineStr">
        <is>
          <t>Pause (seq 3340); retag → Discovery</t>
        </is>
      </c>
      <c r="AJ397" s="22" t="inlineStr">
        <is>
          <t>Duplicate discovery campaign with under 15 clicks and no order in 90 days (audit read to 29 Sep).</t>
        </is>
      </c>
      <c r="AK397" s="2" t="inlineStr">
        <is>
          <t>seq 3340 structure 3340: agree with review 40; our addition: standard → Discovery (phrase)</t>
        </is>
      </c>
      <c r="AL397" s="22" t="n"/>
    </row>
    <row r="398">
      <c r="A398" s="2" t="inlineStr">
        <is>
          <t>181996156683927</t>
        </is>
      </c>
      <c r="B398" s="2" t="inlineStr">
        <is>
          <t>D-S4-black silk sheets twin - [Silk|Twin] - Exact - Ran - DO - SATIN-TWIN-BLACK-NEW</t>
        </is>
      </c>
      <c r="C398" s="2" t="inlineStr">
        <is>
          <t>black silk sheets twin [exact]</t>
        </is>
      </c>
      <c r="D398" s="2" t="inlineStr">
        <is>
          <t>whole campaign</t>
        </is>
      </c>
      <c r="E398" s="2" t="inlineStr">
        <is>
          <t>PAUSED</t>
        </is>
      </c>
      <c r="F398" s="2" t="inlineStr">
        <is>
          <t>UNSET</t>
        </is>
      </c>
      <c r="G398" s="2" t="inlineStr">
        <is>
          <t>Conversions</t>
        </is>
      </c>
      <c r="H398" s="2" t="inlineStr">
        <is>
          <t>Silk|Twin</t>
        </is>
      </c>
      <c r="I398" s="2" t="inlineStr">
        <is>
          <t>Exact</t>
        </is>
      </c>
      <c r="J398" s="2" t="inlineStr">
        <is>
          <t>SATIN-TWIN-BLACK-NEW</t>
        </is>
      </c>
      <c r="K398" s="2" t="inlineStr">
        <is>
          <t>SATIN-TWIN-BLACK-NEW</t>
        </is>
      </c>
      <c r="L398" s="2" t="inlineStr">
        <is>
          <t>n/a (no target bid in audit)</t>
        </is>
      </c>
      <c r="M398" s="2" t="inlineStr">
        <is>
          <t>n/a</t>
        </is>
      </c>
      <c r="N398" s="2" t="n">
        <v>50</v>
      </c>
      <c r="O398" s="2" t="n">
        <v>50</v>
      </c>
      <c r="P398" s="21" t="n"/>
      <c r="Q398" s="21" t="n"/>
      <c r="R398" s="2" t="n"/>
      <c r="S398" s="2" t="n"/>
      <c r="T398" s="2" t="n"/>
      <c r="U398" s="2" t="n"/>
      <c r="V398" s="21" t="n">
        <v>11.64</v>
      </c>
      <c r="W398" s="21" t="n">
        <v>11.64</v>
      </c>
      <c r="X398" s="2" t="inlineStr">
        <is>
          <t>PAUSED</t>
        </is>
      </c>
      <c r="Y398" s="2" t="inlineStr">
        <is>
          <t>none</t>
        </is>
      </c>
      <c r="Z398" s="2" t="inlineStr">
        <is>
          <t>none</t>
        </is>
      </c>
      <c r="AA398" s="21" t="n">
        <v>0</v>
      </c>
      <c r="AB398" s="2" t="n">
        <v>0</v>
      </c>
      <c r="AC398" s="2" t="n">
        <v>0</v>
      </c>
      <c r="AD398" s="2" t="n"/>
      <c r="AE398" s="2" t="n"/>
      <c r="AF398" s="2" t="n"/>
      <c r="AG398" s="2" t="n">
        <v>1</v>
      </c>
      <c r="AH398" s="2" t="inlineStr">
        <is>
          <t>Retag only</t>
        </is>
      </c>
      <c r="AI398" s="22" t="inlineStr">
        <is>
          <t>retag → Conversions</t>
        </is>
      </c>
      <c r="AJ398" s="22" t="inlineStr">
        <is>
          <t>Objective UNSET → Conversions by the standard (colour term "black silk sheets twin"); no clicks in CC 31 Aug–29 Sep.</t>
        </is>
      </c>
      <c r="AK398" s="2" t="inlineStr">
        <is>
          <t>our addition: standard → Conversions (colour term "black silk sheets twin")</t>
        </is>
      </c>
      <c r="AL398" s="22" t="n"/>
    </row>
    <row r="399">
      <c r="A399" s="2" t="inlineStr">
        <is>
          <t>277533055753195</t>
        </is>
      </c>
      <c r="B399" s="2" t="inlineStr">
        <is>
          <t>D-S4-blue silk sheets - [Silk] - Exact - Ran - DO - SATIN-QUEEN-BLUE</t>
        </is>
      </c>
      <c r="C399" s="2" t="inlineStr">
        <is>
          <t>blue silk sheets [exact]</t>
        </is>
      </c>
      <c r="D399" s="2" t="inlineStr">
        <is>
          <t>whole campaign</t>
        </is>
      </c>
      <c r="E399" s="2" t="inlineStr">
        <is>
          <t>PAUSED</t>
        </is>
      </c>
      <c r="F399" s="2" t="inlineStr">
        <is>
          <t>UNSET</t>
        </is>
      </c>
      <c r="G399" s="2" t="inlineStr">
        <is>
          <t>Conversions</t>
        </is>
      </c>
      <c r="H399" s="2" t="inlineStr">
        <is>
          <t>Silk</t>
        </is>
      </c>
      <c r="I399" s="2" t="inlineStr">
        <is>
          <t>Exact</t>
        </is>
      </c>
      <c r="J399" s="2" t="inlineStr">
        <is>
          <t>SATIN-QUEEN-BLUE</t>
        </is>
      </c>
      <c r="K399" s="2" t="inlineStr">
        <is>
          <t>SATIN-QUEEN-BLUE</t>
        </is>
      </c>
      <c r="L399" s="2" t="inlineStr">
        <is>
          <t>n/a (no target bid in audit)</t>
        </is>
      </c>
      <c r="M399" s="2" t="inlineStr">
        <is>
          <t>n/a</t>
        </is>
      </c>
      <c r="N399" s="2" t="n">
        <v>50</v>
      </c>
      <c r="O399" s="2" t="n">
        <v>50</v>
      </c>
      <c r="P399" s="21" t="n"/>
      <c r="Q399" s="21" t="n"/>
      <c r="R399" s="2" t="n"/>
      <c r="S399" s="2" t="n"/>
      <c r="T399" s="2" t="n"/>
      <c r="U399" s="2" t="n"/>
      <c r="V399" s="21" t="n">
        <v>9.16</v>
      </c>
      <c r="W399" s="21" t="n">
        <v>9.16</v>
      </c>
      <c r="X399" s="2" t="inlineStr">
        <is>
          <t>ENABLED</t>
        </is>
      </c>
      <c r="Y399" s="2" t="inlineStr">
        <is>
          <t>none</t>
        </is>
      </c>
      <c r="Z399" s="2" t="inlineStr">
        <is>
          <t>none</t>
        </is>
      </c>
      <c r="AA399" s="21" t="n">
        <v>0</v>
      </c>
      <c r="AB399" s="2" t="n">
        <v>0</v>
      </c>
      <c r="AC399" s="2" t="n">
        <v>0</v>
      </c>
      <c r="AD399" s="2" t="n"/>
      <c r="AE399" s="2" t="n"/>
      <c r="AF399" s="2" t="n"/>
      <c r="AG399" s="2" t="n">
        <v>5</v>
      </c>
      <c r="AH399" s="2" t="inlineStr">
        <is>
          <t>Revive at break-even</t>
        </is>
      </c>
      <c r="AI399" s="22" t="inlineStr">
        <is>
          <t>Revive at break-even base ($0.75 max); retag → Conversions</t>
        </is>
      </c>
      <c r="AJ399" s="22" t="inlineStr">
        <is>
          <t>40.7% ACoS. Stock is fine (296 units).</t>
        </is>
      </c>
      <c r="AK399" s="2" t="inlineStr">
        <is>
          <t>seq 2817 structure: correct to ruling-D price; our addition: standard → Conversions (colour term "blue silk sheets")</t>
        </is>
      </c>
      <c r="AL399" s="22" t="n"/>
    </row>
    <row r="400">
      <c r="A400" s="2" t="inlineStr">
        <is>
          <t>74483443772077</t>
        </is>
      </c>
      <c r="B400" s="2" t="inlineStr">
        <is>
          <t>D-S4-deep pocket satin queen sheets - [Satin|Queen] - Exact - Ran - DO - SATIN-QUEEN-BLACK</t>
        </is>
      </c>
      <c r="C400" s="2" t="inlineStr">
        <is>
          <t>deep pocket satin queen sheets [exact]</t>
        </is>
      </c>
      <c r="D400" s="2" t="inlineStr">
        <is>
          <t>whole campaign</t>
        </is>
      </c>
      <c r="E400" s="2" t="inlineStr">
        <is>
          <t>PAUSED</t>
        </is>
      </c>
      <c r="F400" s="2" t="inlineStr">
        <is>
          <t>UNSET</t>
        </is>
      </c>
      <c r="G400" s="2" t="inlineStr">
        <is>
          <t>Ranking</t>
        </is>
      </c>
      <c r="H400" s="2" t="inlineStr">
        <is>
          <t>Satin|Queen</t>
        </is>
      </c>
      <c r="I400" s="2" t="inlineStr">
        <is>
          <t>Exact</t>
        </is>
      </c>
      <c r="J400" s="2" t="inlineStr">
        <is>
          <t>SATIN-QUEEN-BLACK</t>
        </is>
      </c>
      <c r="K400" s="2" t="inlineStr">
        <is>
          <t>SATIN-QUEEN-BLACK</t>
        </is>
      </c>
      <c r="L400" s="2" t="inlineStr">
        <is>
          <t>n/a (no target bid in audit)</t>
        </is>
      </c>
      <c r="M400" s="2" t="inlineStr">
        <is>
          <t>n/a</t>
        </is>
      </c>
      <c r="N400" s="2" t="n">
        <v>0</v>
      </c>
      <c r="O400" s="2" t="n">
        <v>0</v>
      </c>
      <c r="P400" s="21" t="n"/>
      <c r="Q400" s="21" t="n"/>
      <c r="R400" s="2" t="n"/>
      <c r="S400" s="2" t="n"/>
      <c r="T400" s="2" t="n"/>
      <c r="U400" s="2" t="n"/>
      <c r="V400" s="21" t="n">
        <v>15.95</v>
      </c>
      <c r="W400" s="21" t="n">
        <v>15.95</v>
      </c>
      <c r="X400" s="2" t="inlineStr">
        <is>
          <t>PAUSED</t>
        </is>
      </c>
      <c r="Y400" s="2" t="inlineStr">
        <is>
          <t>none</t>
        </is>
      </c>
      <c r="Z400" s="2" t="inlineStr">
        <is>
          <t>none</t>
        </is>
      </c>
      <c r="AA400" s="21" t="n">
        <v>0</v>
      </c>
      <c r="AB400" s="2" t="n">
        <v>0</v>
      </c>
      <c r="AC400" s="2" t="n">
        <v>0</v>
      </c>
      <c r="AD400" s="2" t="n"/>
      <c r="AE400" s="2" t="n"/>
      <c r="AF400" s="2" t="n"/>
      <c r="AG400" s="2" t="n">
        <v>8</v>
      </c>
      <c r="AH400" s="2" t="inlineStr">
        <is>
          <t>Keep paused</t>
        </is>
      </c>
      <c r="AI400" s="22" t="inlineStr">
        <is>
          <t>Keep paused (reject revive); retag → Ranking</t>
        </is>
      </c>
      <c r="AJ400" s="22" t="inlineStr">
        <is>
          <t>Revive rejected: 73.4% ACoS (CC 2 Jul–29 Sep).</t>
        </is>
      </c>
      <c r="AK400" s="2" t="inlineStr">
        <is>
          <t>seq 2812 structure: hold; our addition: standard → Ranking (generic exact "deep pocket satin queen sheets")</t>
        </is>
      </c>
      <c r="AL400" s="22" t="n"/>
    </row>
    <row r="401">
      <c r="A401" s="2" t="inlineStr">
        <is>
          <t>159475926341444</t>
        </is>
      </c>
      <c r="B401" s="2" t="inlineStr">
        <is>
          <t>D-S4-deep pocket satin queen sheets - [Satin|Queen] - Phrase - Conv - DO - SATIN-QUEEN-GREY</t>
        </is>
      </c>
      <c r="C401" s="2" t="inlineStr">
        <is>
          <t>deep pocket satin queen sheets [phrase]</t>
        </is>
      </c>
      <c r="D401" s="2" t="inlineStr">
        <is>
          <t>whole campaign</t>
        </is>
      </c>
      <c r="E401" s="2" t="inlineStr">
        <is>
          <t>ENABLED</t>
        </is>
      </c>
      <c r="F401" s="2" t="inlineStr">
        <is>
          <t>Conversions</t>
        </is>
      </c>
      <c r="G401" s="2" t="inlineStr">
        <is>
          <t>Discovery</t>
        </is>
      </c>
      <c r="H401" s="2" t="inlineStr">
        <is>
          <t>Satin|Queen</t>
        </is>
      </c>
      <c r="I401" s="2" t="inlineStr">
        <is>
          <t>Phrase</t>
        </is>
      </c>
      <c r="J401" s="2" t="inlineStr">
        <is>
          <t>SATIN-QUEEN-GREY</t>
        </is>
      </c>
      <c r="K401" s="2" t="inlineStr">
        <is>
          <t>SATIN-QUEEN-GREY</t>
        </is>
      </c>
      <c r="L401" s="2" t="inlineStr">
        <is>
          <t>n/a (no target bid in audit)</t>
        </is>
      </c>
      <c r="M401" s="2" t="inlineStr">
        <is>
          <t>n/a</t>
        </is>
      </c>
      <c r="N401" s="2" t="n">
        <v>0</v>
      </c>
      <c r="O401" s="2" t="n">
        <v>0</v>
      </c>
      <c r="P401" s="21" t="n"/>
      <c r="Q401" s="21" t="n"/>
      <c r="R401" s="2" t="n"/>
      <c r="S401" s="2" t="n"/>
      <c r="T401" s="2" t="n"/>
      <c r="U401" s="2" t="n"/>
      <c r="V401" s="21" t="n">
        <v>10</v>
      </c>
      <c r="W401" s="21" t="n">
        <v>10</v>
      </c>
      <c r="X401" s="2" t="inlineStr">
        <is>
          <t>PAUSED</t>
        </is>
      </c>
      <c r="Y401" s="2" t="inlineStr">
        <is>
          <t>none</t>
        </is>
      </c>
      <c r="Z401" s="2" t="inlineStr">
        <is>
          <t>none</t>
        </is>
      </c>
      <c r="AA401" s="21" t="n">
        <v>0</v>
      </c>
      <c r="AB401" s="2" t="n">
        <v>0</v>
      </c>
      <c r="AC401" s="2" t="n">
        <v>0</v>
      </c>
      <c r="AD401" s="2" t="n"/>
      <c r="AE401" s="2" t="n"/>
      <c r="AF401" s="2" t="n"/>
      <c r="AG401" s="2" t="n">
        <v>0</v>
      </c>
      <c r="AH401" s="2" t="inlineStr">
        <is>
          <t>Pause</t>
        </is>
      </c>
      <c r="AI401" s="22" t="inlineStr">
        <is>
          <t>Pause (seq 3340); retag → Discovery</t>
        </is>
      </c>
      <c r="AJ401" s="22" t="inlineStr">
        <is>
          <t>Duplicate discovery campaign with under 15 clicks and no order in 90 days (audit read to 29 Sep).</t>
        </is>
      </c>
      <c r="AK401" s="2" t="inlineStr">
        <is>
          <t>seq 3340 structure 3340: agree with review 40; our addition: standard → Discovery (phrase)</t>
        </is>
      </c>
      <c r="AL401" s="22" t="n"/>
    </row>
    <row r="402">
      <c r="A402" s="2" t="inlineStr">
        <is>
          <t>250546154576956</t>
        </is>
      </c>
      <c r="B402" s="2" t="inlineStr">
        <is>
          <t>D-S4-full bed sheets silk - [Silk|Full] - Exact - Ran - DO - SATIN-FULL-BLACK</t>
        </is>
      </c>
      <c r="C402" s="2" t="inlineStr">
        <is>
          <t>full bed sheets silk [exact]</t>
        </is>
      </c>
      <c r="D402" s="2" t="inlineStr">
        <is>
          <t>full bed sheets silk</t>
        </is>
      </c>
      <c r="E402" s="2" t="inlineStr">
        <is>
          <t>ENABLED</t>
        </is>
      </c>
      <c r="F402" s="2" t="inlineStr">
        <is>
          <t>Ranking</t>
        </is>
      </c>
      <c r="G402" s="2" t="inlineStr">
        <is>
          <t>Ranking</t>
        </is>
      </c>
      <c r="H402" s="2" t="inlineStr">
        <is>
          <t>Silk|Full</t>
        </is>
      </c>
      <c r="I402" s="2" t="inlineStr">
        <is>
          <t>Exact</t>
        </is>
      </c>
      <c r="J402" s="2" t="inlineStr">
        <is>
          <t>SATIN-FULL-BLACK</t>
        </is>
      </c>
      <c r="K402" s="2" t="inlineStr">
        <is>
          <t>SATIN-FULL-BLACK</t>
        </is>
      </c>
      <c r="L402" s="2" t="inlineStr">
        <is>
          <t>n/a (no target bid in audit)</t>
        </is>
      </c>
      <c r="M402" s="2" t="inlineStr">
        <is>
          <t>n/a</t>
        </is>
      </c>
      <c r="N402" s="2" t="n">
        <v>50</v>
      </c>
      <c r="O402" s="2" t="n">
        <v>50</v>
      </c>
      <c r="P402" s="21" t="n"/>
      <c r="Q402" s="21" t="n"/>
      <c r="R402" s="2" t="n"/>
      <c r="S402" s="2" t="n"/>
      <c r="T402" s="2" t="n"/>
      <c r="U402" s="2" t="n"/>
      <c r="V402" s="21" t="n">
        <v>8.800000000000001</v>
      </c>
      <c r="W402" s="21" t="n">
        <v>8.800000000000001</v>
      </c>
      <c r="X402" s="2" t="inlineStr">
        <is>
          <t>ENABLED</t>
        </is>
      </c>
      <c r="Y402" s="2" t="inlineStr">
        <is>
          <t>none</t>
        </is>
      </c>
      <c r="Z402" s="2" t="inlineStr">
        <is>
          <t>defer — engine name wrong (SKU token SATIN-FULL-BLACK); load a corrected name after 28 Oct</t>
        </is>
      </c>
      <c r="AA402" s="21" t="n">
        <v>0</v>
      </c>
      <c r="AB402" s="2" t="n">
        <v>0</v>
      </c>
      <c r="AC402" s="2" t="n">
        <v>0</v>
      </c>
      <c r="AD402" s="2" t="n"/>
      <c r="AE402" s="2" t="n"/>
      <c r="AF402" s="2" t="n"/>
      <c r="AG402" s="2" t="n">
        <v>1</v>
      </c>
      <c r="AH402" s="2" t="inlineStr">
        <is>
          <t>Release hold, keep price</t>
        </is>
      </c>
      <c r="AI402" s="22" t="inlineStr">
        <is>
          <t>Release hold; keep base (no clicks 30d)</t>
        </is>
      </c>
      <c r="AJ402" s="22" t="inlineStr">
        <is>
          <t>The "0 impressions" hold is false, but the campaign had no clicks in CC 31 Aug–29 Sep, so a base cut would only lower delivery.</t>
        </is>
      </c>
      <c r="AK402" s="2" t="inlineStr">
        <is>
          <t>seq 1922 child: reject — keep SATIN-FULL-BLACK; seq 2201 retag LOAD; seq 3195 rename CHANGE; seq 2030 NOT SERVING hold(s) → release; price to break-even (our addition, reviewer D)</t>
        </is>
      </c>
      <c r="AL402" s="22" t="n"/>
    </row>
    <row r="403">
      <c r="A403" s="2" t="inlineStr">
        <is>
          <t>84320172417626</t>
        </is>
      </c>
      <c r="B403" s="2" t="inlineStr">
        <is>
          <t>D-S4-full satin sheets set - [Satin|Full] - Phrase - Conv - DO - SATIN-IVORY-FULL</t>
        </is>
      </c>
      <c r="C403" s="2" t="inlineStr">
        <is>
          <t>full satin sheets set [phrase]</t>
        </is>
      </c>
      <c r="D403" s="2" t="inlineStr">
        <is>
          <t>whole campaign</t>
        </is>
      </c>
      <c r="E403" s="2" t="inlineStr">
        <is>
          <t>ENABLED</t>
        </is>
      </c>
      <c r="F403" s="2" t="inlineStr">
        <is>
          <t>Conversions</t>
        </is>
      </c>
      <c r="G403" s="2" t="inlineStr">
        <is>
          <t>Discovery</t>
        </is>
      </c>
      <c r="H403" s="2" t="inlineStr">
        <is>
          <t>Satin|Full</t>
        </is>
      </c>
      <c r="I403" s="2" t="inlineStr">
        <is>
          <t>Phrase</t>
        </is>
      </c>
      <c r="J403" s="2" t="inlineStr">
        <is>
          <t>SATIN-IVORY-FULL</t>
        </is>
      </c>
      <c r="K403" s="2" t="inlineStr">
        <is>
          <t>SATIN-IVORY-FULL</t>
        </is>
      </c>
      <c r="L403" s="2" t="inlineStr">
        <is>
          <t>n/a (no target bid in audit)</t>
        </is>
      </c>
      <c r="M403" s="2" t="inlineStr">
        <is>
          <t>n/a</t>
        </is>
      </c>
      <c r="N403" s="2" t="n">
        <v>0</v>
      </c>
      <c r="O403" s="2" t="n">
        <v>0</v>
      </c>
      <c r="P403" s="21" t="n"/>
      <c r="Q403" s="21" t="n"/>
      <c r="R403" s="2" t="n"/>
      <c r="S403" s="2" t="n"/>
      <c r="T403" s="2" t="n"/>
      <c r="U403" s="2" t="n"/>
      <c r="V403" s="21" t="n">
        <v>10</v>
      </c>
      <c r="W403" s="21" t="n">
        <v>10</v>
      </c>
      <c r="X403" s="2" t="inlineStr">
        <is>
          <t>PAUSED</t>
        </is>
      </c>
      <c r="Y403" s="2" t="inlineStr">
        <is>
          <t>none</t>
        </is>
      </c>
      <c r="Z403" s="2" t="inlineStr">
        <is>
          <t>none</t>
        </is>
      </c>
      <c r="AA403" s="21" t="n">
        <v>0</v>
      </c>
      <c r="AB403" s="2" t="n">
        <v>0</v>
      </c>
      <c r="AC403" s="2" t="n">
        <v>0</v>
      </c>
      <c r="AD403" s="2" t="n"/>
      <c r="AE403" s="2" t="n"/>
      <c r="AF403" s="2" t="n"/>
      <c r="AG403" s="2" t="n">
        <v>0</v>
      </c>
      <c r="AH403" s="2" t="inlineStr">
        <is>
          <t>Pause</t>
        </is>
      </c>
      <c r="AI403" s="22" t="inlineStr">
        <is>
          <t>Pause (seq 3340); retag → Discovery</t>
        </is>
      </c>
      <c r="AJ403" s="22" t="inlineStr">
        <is>
          <t>Duplicate discovery campaign with under 15 clicks and no order in 90 days (audit read to 29 Sep).</t>
        </is>
      </c>
      <c r="AK403" s="2" t="inlineStr">
        <is>
          <t>seq 3340 structure 3340: agree with review 40; our addition: standard → Discovery (phrase)</t>
        </is>
      </c>
      <c r="AL403" s="22" t="n"/>
    </row>
    <row r="404">
      <c r="A404" s="2" t="inlineStr">
        <is>
          <t>70670746713424</t>
        </is>
      </c>
      <c r="B404" s="2" t="inlineStr">
        <is>
          <t>D-S4-full size sateen sheets - [Satin|Full] - Exact - Ran - DO - SATIN-FULL-BLACK</t>
        </is>
      </c>
      <c r="C404" s="2" t="inlineStr">
        <is>
          <t>full size sateen sheets [exact]</t>
        </is>
      </c>
      <c r="D404" s="2" t="inlineStr">
        <is>
          <t>full size sateen sheets</t>
        </is>
      </c>
      <c r="E404" s="2" t="inlineStr">
        <is>
          <t>ENABLED</t>
        </is>
      </c>
      <c r="F404" s="2" t="inlineStr">
        <is>
          <t>Ranking</t>
        </is>
      </c>
      <c r="G404" s="2" t="inlineStr">
        <is>
          <t>Ranking</t>
        </is>
      </c>
      <c r="H404" s="2" t="inlineStr">
        <is>
          <t>Satin|Full</t>
        </is>
      </c>
      <c r="I404" s="2" t="inlineStr">
        <is>
          <t>Exact</t>
        </is>
      </c>
      <c r="J404" s="2" t="inlineStr">
        <is>
          <t>SATIN-FULL-BLACK</t>
        </is>
      </c>
      <c r="K404" s="2" t="inlineStr">
        <is>
          <t>SATIN-FULL-BLACK</t>
        </is>
      </c>
      <c r="L404" s="2" t="inlineStr">
        <is>
          <t>n/a (no target bid in audit)</t>
        </is>
      </c>
      <c r="M404" s="2" t="inlineStr">
        <is>
          <t>n/a</t>
        </is>
      </c>
      <c r="N404" s="2" t="n">
        <v>50</v>
      </c>
      <c r="O404" s="2" t="n">
        <v>50</v>
      </c>
      <c r="P404" s="21" t="n"/>
      <c r="Q404" s="21" t="n"/>
      <c r="R404" s="2" t="n"/>
      <c r="S404" s="2" t="n"/>
      <c r="T404" s="2" t="n"/>
      <c r="U404" s="2" t="n"/>
      <c r="V404" s="21" t="n">
        <v>27.01</v>
      </c>
      <c r="W404" s="21" t="n">
        <v>27.01</v>
      </c>
      <c r="X404" s="2" t="inlineStr">
        <is>
          <t>ENABLED</t>
        </is>
      </c>
      <c r="Y404" s="2" t="inlineStr">
        <is>
          <t>none</t>
        </is>
      </c>
      <c r="Z404" s="2" t="inlineStr">
        <is>
          <t>defer — engine name wrong (SKU token SATIN-FULL-BLACK); load a corrected name after 28 Oct</t>
        </is>
      </c>
      <c r="AA404" s="21" t="n">
        <v>0</v>
      </c>
      <c r="AB404" s="2" t="n">
        <v>0</v>
      </c>
      <c r="AC404" s="2" t="n">
        <v>0</v>
      </c>
      <c r="AD404" s="2" t="n"/>
      <c r="AE404" s="2" t="n"/>
      <c r="AF404" s="2" t="n"/>
      <c r="AG404" s="2" t="n">
        <v>0</v>
      </c>
      <c r="AH404" s="2" t="inlineStr">
        <is>
          <t>Release hold, keep price</t>
        </is>
      </c>
      <c r="AI404" s="22" t="inlineStr">
        <is>
          <t>Release hold; keep base (no clicks 30d)</t>
        </is>
      </c>
      <c r="AJ404" s="22" t="inlineStr">
        <is>
          <t>The "0 impressions" hold is false, but the campaign had no clicks in CC 31 Aug–29 Sep, so a base cut would only lower delivery.</t>
        </is>
      </c>
      <c r="AK404" s="2" t="inlineStr">
        <is>
          <t>seq 1959 child: reject — keep SATIN-FULL-BLACK; seq 2222 retag LOAD; seq 3288 rename CHANGE; seq 2041 NOT SERVING hold(s) → release; price to break-even (our addition, reviewer D)</t>
        </is>
      </c>
      <c r="AL404" s="22" t="n"/>
    </row>
    <row r="405">
      <c r="A405" s="2" t="inlineStr">
        <is>
          <t>207997572515055</t>
        </is>
      </c>
      <c r="B405" s="2" t="inlineStr">
        <is>
          <t>D-S4-full size sateen weave sheets - [Satin|Full] - Exact - Ran - DO - SATIN-FULL-BLACK</t>
        </is>
      </c>
      <c r="C405" s="2" t="inlineStr">
        <is>
          <t>full size sateen weave sheets [exact]</t>
        </is>
      </c>
      <c r="D405" s="2" t="inlineStr">
        <is>
          <t>full size sateen weave sheets</t>
        </is>
      </c>
      <c r="E405" s="2" t="inlineStr">
        <is>
          <t>ENABLED</t>
        </is>
      </c>
      <c r="F405" s="2" t="inlineStr">
        <is>
          <t>Ranking</t>
        </is>
      </c>
      <c r="G405" s="2" t="inlineStr">
        <is>
          <t>Ranking</t>
        </is>
      </c>
      <c r="H405" s="2" t="inlineStr">
        <is>
          <t>Satin|Full</t>
        </is>
      </c>
      <c r="I405" s="2" t="inlineStr">
        <is>
          <t>Exact</t>
        </is>
      </c>
      <c r="J405" s="2" t="inlineStr">
        <is>
          <t>SATIN-FULL-BLACK</t>
        </is>
      </c>
      <c r="K405" s="2" t="inlineStr">
        <is>
          <t>SATIN-FULL-BLACK</t>
        </is>
      </c>
      <c r="L405" s="2" t="inlineStr">
        <is>
          <t>n/a (no target bid in audit)</t>
        </is>
      </c>
      <c r="M405" s="2" t="inlineStr">
        <is>
          <t>n/a</t>
        </is>
      </c>
      <c r="N405" s="2" t="n">
        <v>50</v>
      </c>
      <c r="O405" s="2" t="n">
        <v>50</v>
      </c>
      <c r="P405" s="21" t="n"/>
      <c r="Q405" s="21" t="n"/>
      <c r="R405" s="2" t="n"/>
      <c r="S405" s="2" t="n"/>
      <c r="T405" s="2" t="n"/>
      <c r="U405" s="2" t="n"/>
      <c r="V405" s="21" t="n">
        <v>24.33</v>
      </c>
      <c r="W405" s="21" t="n">
        <v>24.33</v>
      </c>
      <c r="X405" s="2" t="inlineStr">
        <is>
          <t>ENABLED</t>
        </is>
      </c>
      <c r="Y405" s="2" t="inlineStr">
        <is>
          <t>none</t>
        </is>
      </c>
      <c r="Z405" s="2" t="inlineStr">
        <is>
          <t>defer — engine name wrong (SKU token SATIN-FULL-BLACK); load a corrected name after 28 Oct</t>
        </is>
      </c>
      <c r="AA405" s="21" t="n">
        <v>0</v>
      </c>
      <c r="AB405" s="2" t="n">
        <v>0</v>
      </c>
      <c r="AC405" s="2" t="n">
        <v>0</v>
      </c>
      <c r="AD405" s="2" t="n"/>
      <c r="AE405" s="2" t="n"/>
      <c r="AF405" s="2" t="n"/>
      <c r="AG405" s="2" t="n">
        <v>3</v>
      </c>
      <c r="AH405" s="2" t="inlineStr">
        <is>
          <t>Release hold, keep price</t>
        </is>
      </c>
      <c r="AI405" s="22" t="inlineStr">
        <is>
          <t>Release hold; keep base (no clicks 30d)</t>
        </is>
      </c>
      <c r="AJ405" s="22" t="inlineStr">
        <is>
          <t>The "0 impressions" hold is false, but the campaign had no clicks in CC 31 Aug–29 Sep, so a base cut would only lower delivery.</t>
        </is>
      </c>
      <c r="AK405" s="2" t="inlineStr">
        <is>
          <t>seq 1909 child: reject — keep SATIN-FULL-BLACK; seq 2184 retag LOAD; seq 3149 rename CHANGE; seq 2022 NOT SERVING hold(s) → release; price to break-even (our addition, reviewer D)</t>
        </is>
      </c>
      <c r="AL405" s="22" t="n"/>
    </row>
    <row r="406">
      <c r="A406" s="2" t="inlineStr">
        <is>
          <t>168662492575465</t>
        </is>
      </c>
      <c r="B406" s="2" t="inlineStr">
        <is>
          <t>D-S4-full size satin sheet set - [Satin|Full] - Phrase - Conv - DO - SATIN-IVORY-FULL</t>
        </is>
      </c>
      <c r="C406" s="2" t="inlineStr">
        <is>
          <t>full size satin sheet set [phrase]</t>
        </is>
      </c>
      <c r="D406" s="2" t="inlineStr">
        <is>
          <t>whole campaign</t>
        </is>
      </c>
      <c r="E406" s="2" t="inlineStr">
        <is>
          <t>ENABLED</t>
        </is>
      </c>
      <c r="F406" s="2" t="inlineStr">
        <is>
          <t>Conversions</t>
        </is>
      </c>
      <c r="G406" s="2" t="inlineStr">
        <is>
          <t>Discovery</t>
        </is>
      </c>
      <c r="H406" s="2" t="inlineStr">
        <is>
          <t>Satin|Full</t>
        </is>
      </c>
      <c r="I406" s="2" t="inlineStr">
        <is>
          <t>Phrase</t>
        </is>
      </c>
      <c r="J406" s="2" t="inlineStr">
        <is>
          <t>SATIN-IVORY-FULL</t>
        </is>
      </c>
      <c r="K406" s="2" t="inlineStr">
        <is>
          <t>SATIN-IVORY-FULL</t>
        </is>
      </c>
      <c r="L406" s="2" t="inlineStr">
        <is>
          <t>n/a (no target bid in audit)</t>
        </is>
      </c>
      <c r="M406" s="2" t="inlineStr">
        <is>
          <t>n/a</t>
        </is>
      </c>
      <c r="N406" s="2" t="n">
        <v>0</v>
      </c>
      <c r="O406" s="2" t="n">
        <v>0</v>
      </c>
      <c r="P406" s="21" t="n"/>
      <c r="Q406" s="21" t="n"/>
      <c r="R406" s="2" t="n"/>
      <c r="S406" s="2" t="n"/>
      <c r="T406" s="2" t="n"/>
      <c r="U406" s="2" t="n"/>
      <c r="V406" s="21" t="n">
        <v>10</v>
      </c>
      <c r="W406" s="21" t="n">
        <v>10</v>
      </c>
      <c r="X406" s="2" t="inlineStr">
        <is>
          <t>PAUSED</t>
        </is>
      </c>
      <c r="Y406" s="2" t="inlineStr">
        <is>
          <t>none</t>
        </is>
      </c>
      <c r="Z406" s="2" t="inlineStr">
        <is>
          <t>none</t>
        </is>
      </c>
      <c r="AA406" s="21" t="n">
        <v>0</v>
      </c>
      <c r="AB406" s="2" t="n">
        <v>0</v>
      </c>
      <c r="AC406" s="2" t="n">
        <v>0</v>
      </c>
      <c r="AD406" s="2" t="n"/>
      <c r="AE406" s="2" t="n"/>
      <c r="AF406" s="2" t="n"/>
      <c r="AG406" s="2" t="n">
        <v>0</v>
      </c>
      <c r="AH406" s="2" t="inlineStr">
        <is>
          <t>Pause</t>
        </is>
      </c>
      <c r="AI406" s="22" t="inlineStr">
        <is>
          <t>Pause (seq 3340); retag → Discovery</t>
        </is>
      </c>
      <c r="AJ406" s="22" t="inlineStr">
        <is>
          <t>Duplicate discovery campaign with under 15 clicks and no order in 90 days (audit read to 29 Sep).</t>
        </is>
      </c>
      <c r="AK406" s="2" t="inlineStr">
        <is>
          <t>seq 3340 structure 3340: agree with review 40; our addition: standard → Discovery (phrase)</t>
        </is>
      </c>
      <c r="AL406" s="22" t="n"/>
    </row>
    <row r="407">
      <c r="A407" s="2" t="inlineStr">
        <is>
          <t>9389361860454</t>
        </is>
      </c>
      <c r="B407" s="2" t="inlineStr">
        <is>
          <t>D-S4-full size satin sheets - [Satin|Full] - Broad - Disc - DO - SATIN-4PCS-FULL-ROSEWOOD</t>
        </is>
      </c>
      <c r="C407" s="2" t="inlineStr">
        <is>
          <t>full size satin sheets [broad]</t>
        </is>
      </c>
      <c r="D407" s="2" t="inlineStr">
        <is>
          <t>—</t>
        </is>
      </c>
      <c r="E407" s="2" t="inlineStr">
        <is>
          <t>PAUSED</t>
        </is>
      </c>
      <c r="F407" s="2" t="inlineStr">
        <is>
          <t>Discovery</t>
        </is>
      </c>
      <c r="G407" s="2" t="inlineStr">
        <is>
          <t>Discovery</t>
        </is>
      </c>
      <c r="H407" s="2" t="inlineStr">
        <is>
          <t>Satin|Full</t>
        </is>
      </c>
      <c r="I407" s="2" t="inlineStr">
        <is>
          <t>Broad</t>
        </is>
      </c>
      <c r="J407" s="2" t="inlineStr">
        <is>
          <t>SATIN-4PCS-FULL-ROSEWOOD</t>
        </is>
      </c>
      <c r="K407" s="2" t="inlineStr">
        <is>
          <t>SATIN-4PCS-FULL-ROSEWOOD</t>
        </is>
      </c>
      <c r="L407" s="2" t="inlineStr">
        <is>
          <t>n/a (no target bid in audit)</t>
        </is>
      </c>
      <c r="M407" s="2" t="inlineStr">
        <is>
          <t>n/a</t>
        </is>
      </c>
      <c r="N407" s="2" t="n">
        <v>0</v>
      </c>
      <c r="O407" s="2" t="n">
        <v>0</v>
      </c>
      <c r="P407" s="21" t="n"/>
      <c r="Q407" s="21" t="n"/>
      <c r="R407" s="2" t="n"/>
      <c r="S407" s="2" t="n"/>
      <c r="T407" s="2" t="n"/>
      <c r="U407" s="2" t="n"/>
      <c r="V407" s="21" t="n">
        <v>10</v>
      </c>
      <c r="W407" s="21" t="n">
        <v>10</v>
      </c>
      <c r="X407" s="2" t="inlineStr">
        <is>
          <t>PAUSED</t>
        </is>
      </c>
      <c r="Y407" s="2" t="inlineStr">
        <is>
          <t>none</t>
        </is>
      </c>
      <c r="Z407" s="2" t="inlineStr">
        <is>
          <t>none</t>
        </is>
      </c>
      <c r="AA407" s="21" t="n">
        <v>0</v>
      </c>
      <c r="AB407" s="2" t="n">
        <v>0</v>
      </c>
      <c r="AC407" s="2" t="n">
        <v>0</v>
      </c>
      <c r="AD407" s="2" t="n"/>
      <c r="AE407" s="2" t="n"/>
      <c r="AF407" s="2" t="n"/>
      <c r="AG407" s="2" t="n">
        <v>4</v>
      </c>
      <c r="AH407" s="2" t="inlineStr">
        <is>
          <t>No change</t>
        </is>
      </c>
      <c r="AI407" s="22" t="inlineStr">
        <is>
          <t>Keep paused</t>
        </is>
      </c>
      <c r="AJ407" s="22" t="inlineStr">
        <is>
          <t>No run decision and no issue found; no clicks in CC 31 Aug–29 Sep.</t>
        </is>
      </c>
      <c r="AK407" s="2" t="inlineStr">
        <is>
          <t>no run decision</t>
        </is>
      </c>
      <c r="AL407" s="22" t="n"/>
    </row>
    <row r="408">
      <c r="A408" s="2" t="inlineStr">
        <is>
          <t>97546743395606</t>
        </is>
      </c>
      <c r="B408" s="2" t="inlineStr">
        <is>
          <t>D-S4-full size satin sheets - [Satin|Full] - Exact - Ran - DO - SATIN-FULL-BLACK</t>
        </is>
      </c>
      <c r="C408" s="2" t="inlineStr">
        <is>
          <t>full size satin sheets [exact]</t>
        </is>
      </c>
      <c r="D408" s="2" t="inlineStr">
        <is>
          <t>full size satin sheets</t>
        </is>
      </c>
      <c r="E408" s="2" t="inlineStr">
        <is>
          <t>ENABLED</t>
        </is>
      </c>
      <c r="F408" s="2" t="inlineStr">
        <is>
          <t>Ranking</t>
        </is>
      </c>
      <c r="G408" s="2" t="inlineStr">
        <is>
          <t>Ranking</t>
        </is>
      </c>
      <c r="H408" s="2" t="inlineStr">
        <is>
          <t>Satin|Full</t>
        </is>
      </c>
      <c r="I408" s="2" t="inlineStr">
        <is>
          <t>Exact</t>
        </is>
      </c>
      <c r="J408" s="2" t="inlineStr">
        <is>
          <t>SATIN-FULL-BLACK</t>
        </is>
      </c>
      <c r="K408" s="2" t="inlineStr">
        <is>
          <t>SATIN-FULL-BLACK</t>
        </is>
      </c>
      <c r="L408" s="2" t="inlineStr">
        <is>
          <t>n/a (no target bid in audit)</t>
        </is>
      </c>
      <c r="M408" s="2" t="inlineStr">
        <is>
          <t>n/a</t>
        </is>
      </c>
      <c r="N408" s="2" t="n">
        <v>50</v>
      </c>
      <c r="O408" s="2" t="n">
        <v>50</v>
      </c>
      <c r="P408" s="21" t="n"/>
      <c r="Q408" s="21" t="n"/>
      <c r="R408" s="2" t="n"/>
      <c r="S408" s="2" t="n"/>
      <c r="T408" s="2" t="n"/>
      <c r="U408" s="2" t="n"/>
      <c r="V408" s="21" t="n">
        <v>8.109999999999999</v>
      </c>
      <c r="W408" s="21" t="n">
        <v>8.109999999999999</v>
      </c>
      <c r="X408" s="2" t="inlineStr">
        <is>
          <t>ENABLED</t>
        </is>
      </c>
      <c r="Y408" s="2" t="inlineStr">
        <is>
          <t>none</t>
        </is>
      </c>
      <c r="Z408" s="2" t="inlineStr">
        <is>
          <t>defer — engine name wrong (SKU token SATIN-FULL-BLACK); load a corrected name after 28 Oct</t>
        </is>
      </c>
      <c r="AA408" s="21" t="n">
        <v>0</v>
      </c>
      <c r="AB408" s="2" t="n">
        <v>0</v>
      </c>
      <c r="AC408" s="2" t="n">
        <v>0</v>
      </c>
      <c r="AD408" s="2" t="n"/>
      <c r="AE408" s="2" t="n"/>
      <c r="AF408" s="2" t="n"/>
      <c r="AG408" s="2" t="n">
        <v>0</v>
      </c>
      <c r="AH408" s="2" t="inlineStr">
        <is>
          <t>Release hold, keep price</t>
        </is>
      </c>
      <c r="AI408" s="22" t="inlineStr">
        <is>
          <t>Release hold; keep base (no clicks 30d)</t>
        </is>
      </c>
      <c r="AJ408" s="22" t="inlineStr">
        <is>
          <t>The "0 impressions" hold is false, but the campaign had no clicks in CC 31 Aug–29 Sep, so a base cut would only lower delivery.</t>
        </is>
      </c>
      <c r="AK408" s="2" t="inlineStr">
        <is>
          <t>seq 1968 child: reject — keep SATIN-FULL-BLACK; seq 2231 retag LOAD; seq 3314 rename CHANGE; seq 2046 NOT SERVING hold(s) → release; price to break-even (our addition, reviewer D)</t>
        </is>
      </c>
      <c r="AL408" s="22" t="n"/>
    </row>
    <row r="409">
      <c r="A409" s="2" t="inlineStr">
        <is>
          <t>69641249396632</t>
        </is>
      </c>
      <c r="B409" s="2" t="inlineStr">
        <is>
          <t>D-S4-full size sheets satin - [Satin|Full] - Exact - Ran - DO - SATIN-FULL-BLACK</t>
        </is>
      </c>
      <c r="C409" s="2" t="inlineStr">
        <is>
          <t>full size sheets satin [exact]</t>
        </is>
      </c>
      <c r="D409" s="2" t="inlineStr">
        <is>
          <t>full size sheets satin</t>
        </is>
      </c>
      <c r="E409" s="2" t="inlineStr">
        <is>
          <t>ENABLED</t>
        </is>
      </c>
      <c r="F409" s="2" t="inlineStr">
        <is>
          <t>Ranking</t>
        </is>
      </c>
      <c r="G409" s="2" t="inlineStr">
        <is>
          <t>Ranking</t>
        </is>
      </c>
      <c r="H409" s="2" t="inlineStr">
        <is>
          <t>Satin|Full</t>
        </is>
      </c>
      <c r="I409" s="2" t="inlineStr">
        <is>
          <t>Exact</t>
        </is>
      </c>
      <c r="J409" s="2" t="inlineStr">
        <is>
          <t>SATIN-FULL-BLACK</t>
        </is>
      </c>
      <c r="K409" s="2" t="inlineStr">
        <is>
          <t>SATIN-FULL-BLACK</t>
        </is>
      </c>
      <c r="L409" s="2" t="inlineStr">
        <is>
          <t>n/a (no target bid in audit)</t>
        </is>
      </c>
      <c r="M409" s="2" t="inlineStr">
        <is>
          <t>n/a</t>
        </is>
      </c>
      <c r="N409" s="2" t="n">
        <v>50</v>
      </c>
      <c r="O409" s="2" t="n">
        <v>50</v>
      </c>
      <c r="P409" s="21" t="n"/>
      <c r="Q409" s="21" t="n"/>
      <c r="R409" s="2" t="n"/>
      <c r="S409" s="2" t="n"/>
      <c r="T409" s="2" t="n"/>
      <c r="U409" s="2" t="n"/>
      <c r="V409" s="21" t="n">
        <v>7.53</v>
      </c>
      <c r="W409" s="21" t="n">
        <v>7.53</v>
      </c>
      <c r="X409" s="2" t="inlineStr">
        <is>
          <t>ENABLED</t>
        </is>
      </c>
      <c r="Y409" s="2" t="inlineStr">
        <is>
          <t>none</t>
        </is>
      </c>
      <c r="Z409" s="2" t="inlineStr">
        <is>
          <t>defer — engine name wrong (SKU token SATIN-FULL-BLACK); load a corrected name after 28 Oct</t>
        </is>
      </c>
      <c r="AA409" s="21" t="n">
        <v>0</v>
      </c>
      <c r="AB409" s="2" t="n">
        <v>0</v>
      </c>
      <c r="AC409" s="2" t="n">
        <v>0</v>
      </c>
      <c r="AD409" s="2" t="n"/>
      <c r="AE409" s="2" t="n"/>
      <c r="AF409" s="2" t="n"/>
      <c r="AG409" s="2" t="n">
        <v>0</v>
      </c>
      <c r="AH409" s="2" t="inlineStr">
        <is>
          <t>Release hold, keep price</t>
        </is>
      </c>
      <c r="AI409" s="22" t="inlineStr">
        <is>
          <t>Release hold; keep base (no clicks 30d)</t>
        </is>
      </c>
      <c r="AJ409" s="22" t="inlineStr">
        <is>
          <t>The "0 impressions" hold is false, but the campaign had no clicks in CC 31 Aug–29 Sep, so a base cut would only lower delivery.</t>
        </is>
      </c>
      <c r="AK409" s="2" t="inlineStr">
        <is>
          <t>seq 1958 child: reject — keep SATIN-FULL-BLACK; seq 2221 retag LOAD; seq 3287 rename CHANGE; seq 2040 NOT SERVING hold(s) → release; price to break-even (our addition, reviewer D)</t>
        </is>
      </c>
      <c r="AL409" s="22" t="n"/>
    </row>
    <row r="410">
      <c r="A410" s="2" t="inlineStr">
        <is>
          <t>222200820708245</t>
        </is>
      </c>
      <c r="B410" s="2" t="inlineStr">
        <is>
          <t>D-S4-full size sheets silk - [Silk|Full] - Exact - Ran - DO - SATIN-FULL-BLACK</t>
        </is>
      </c>
      <c r="C410" s="2" t="inlineStr">
        <is>
          <t>full size sheets silk [exact, $1.44]</t>
        </is>
      </c>
      <c r="D410" s="2" t="inlineStr">
        <is>
          <t>whole campaign</t>
        </is>
      </c>
      <c r="E410" s="2" t="inlineStr">
        <is>
          <t>PAUSED</t>
        </is>
      </c>
      <c r="F410" s="2" t="inlineStr">
        <is>
          <t>Ranking</t>
        </is>
      </c>
      <c r="G410" s="2" t="inlineStr">
        <is>
          <t>Ranking</t>
        </is>
      </c>
      <c r="H410" s="2" t="inlineStr">
        <is>
          <t>OUT</t>
        </is>
      </c>
      <c r="I410" s="2" t="inlineStr">
        <is>
          <t>Exact</t>
        </is>
      </c>
      <c r="J410" s="2" t="inlineStr">
        <is>
          <t>SATIN-FULL-BLACK</t>
        </is>
      </c>
      <c r="K410" s="2" t="inlineStr">
        <is>
          <t>SATIN-FULL-BLACK</t>
        </is>
      </c>
      <c r="L410" s="2" t="inlineStr">
        <is>
          <t>$1.44</t>
        </is>
      </c>
      <c r="M410" s="2" t="inlineStr">
        <is>
          <t>$1.44</t>
        </is>
      </c>
      <c r="N410" s="2" t="n">
        <v>300</v>
      </c>
      <c r="O410" s="2" t="n">
        <v>300</v>
      </c>
      <c r="P410" s="21" t="n">
        <v>5.76</v>
      </c>
      <c r="Q410" s="21" t="n">
        <v>5.76</v>
      </c>
      <c r="R410" s="2" t="n">
        <v>0</v>
      </c>
      <c r="S410" s="2" t="n">
        <v>0</v>
      </c>
      <c r="T410" s="2" t="n">
        <v>0</v>
      </c>
      <c r="U410" s="2" t="n">
        <v>0</v>
      </c>
      <c r="V410" s="21" t="n">
        <v>11.21</v>
      </c>
      <c r="W410" s="21" t="n">
        <v>11.21</v>
      </c>
      <c r="X410" s="2" t="inlineStr">
        <is>
          <t>PAUSED</t>
        </is>
      </c>
      <c r="Y410" s="2" t="inlineStr">
        <is>
          <t>none</t>
        </is>
      </c>
      <c r="Z410" s="2" t="inlineStr">
        <is>
          <t>load (clean): DSS4-SP-Full Size Sheets Silk-[Silk|Full]-(LSV)-Exact-(Ranking)-DO-SATIN-FULL-BLACK</t>
        </is>
      </c>
      <c r="AA410" s="21" t="n">
        <v>0</v>
      </c>
      <c r="AB410" s="2" t="n">
        <v>0</v>
      </c>
      <c r="AC410" s="2" t="n">
        <v>0</v>
      </c>
      <c r="AD410" s="2" t="n"/>
      <c r="AE410" s="2" t="n"/>
      <c r="AF410" s="2" t="n"/>
      <c r="AG410" s="2" t="n">
        <v>4</v>
      </c>
      <c r="AH410" s="2" t="inlineStr">
        <is>
          <t>Keep paused</t>
        </is>
      </c>
      <c r="AI410" s="22" t="inlineStr">
        <is>
          <t>Keep paused (reject revive)</t>
        </is>
      </c>
      <c r="AJ410" s="22" t="inlineStr">
        <is>
          <t>Revive rejected: 48.1% ACoS (CC 2 Jul–29 Sep).</t>
        </is>
      </c>
      <c r="AK410" s="2" t="inlineStr">
        <is>
          <t>seq 2824 structure: hold; seq 3330 rename LOAD</t>
        </is>
      </c>
      <c r="AL410" s="22" t="n"/>
    </row>
    <row r="411">
      <c r="A411" s="2" t="inlineStr">
        <is>
          <t>225680334411402</t>
        </is>
      </c>
      <c r="B411" s="2" t="inlineStr">
        <is>
          <t>D-S4-full size silk bed sheets - [Silk|Full] - Exact - Ran - DO - SATIN-FULL-BLACK</t>
        </is>
      </c>
      <c r="C411" s="2" t="inlineStr">
        <is>
          <t>full size silk bed sheets [exact]</t>
        </is>
      </c>
      <c r="D411" s="2" t="inlineStr">
        <is>
          <t>full size silk bed sheets</t>
        </is>
      </c>
      <c r="E411" s="2" t="inlineStr">
        <is>
          <t>ENABLED</t>
        </is>
      </c>
      <c r="F411" s="2" t="inlineStr">
        <is>
          <t>Ranking</t>
        </is>
      </c>
      <c r="G411" s="2" t="inlineStr">
        <is>
          <t>Ranking</t>
        </is>
      </c>
      <c r="H411" s="2" t="inlineStr">
        <is>
          <t>Silk|Full</t>
        </is>
      </c>
      <c r="I411" s="2" t="inlineStr">
        <is>
          <t>Exact</t>
        </is>
      </c>
      <c r="J411" s="2" t="inlineStr">
        <is>
          <t>SATIN-FULL-BLACK</t>
        </is>
      </c>
      <c r="K411" s="2" t="inlineStr">
        <is>
          <t>SATIN-FULL-BLACK</t>
        </is>
      </c>
      <c r="L411" s="2" t="inlineStr">
        <is>
          <t>n/a (no target bid in audit)</t>
        </is>
      </c>
      <c r="M411" s="2" t="inlineStr">
        <is>
          <t>n/a</t>
        </is>
      </c>
      <c r="N411" s="2" t="n">
        <v>50</v>
      </c>
      <c r="O411" s="2" t="n">
        <v>50</v>
      </c>
      <c r="P411" s="21" t="n"/>
      <c r="Q411" s="21" t="n"/>
      <c r="R411" s="2" t="n"/>
      <c r="S411" s="2" t="n"/>
      <c r="T411" s="2" t="n"/>
      <c r="U411" s="2" t="n"/>
      <c r="V411" s="21" t="n">
        <v>11.21</v>
      </c>
      <c r="W411" s="21" t="n">
        <v>11.21</v>
      </c>
      <c r="X411" s="2" t="inlineStr">
        <is>
          <t>ENABLED</t>
        </is>
      </c>
      <c r="Y411" s="2" t="inlineStr">
        <is>
          <t>none</t>
        </is>
      </c>
      <c r="Z411" s="2" t="inlineStr">
        <is>
          <t>defer — engine name wrong (SKU token SATIN-FULL-BLACK); load a corrected name after 28 Oct</t>
        </is>
      </c>
      <c r="AA411" s="21" t="n">
        <v>0</v>
      </c>
      <c r="AB411" s="2" t="n">
        <v>0</v>
      </c>
      <c r="AC411" s="2" t="n">
        <v>0</v>
      </c>
      <c r="AD411" s="2" t="n"/>
      <c r="AE411" s="2" t="n"/>
      <c r="AF411" s="2" t="n"/>
      <c r="AG411" s="2" t="n">
        <v>2</v>
      </c>
      <c r="AH411" s="2" t="inlineStr">
        <is>
          <t>Release hold, keep price</t>
        </is>
      </c>
      <c r="AI411" s="22" t="inlineStr">
        <is>
          <t>Release hold; keep base (no clicks 30d)</t>
        </is>
      </c>
      <c r="AJ411" s="22" t="inlineStr">
        <is>
          <t>The "0 impressions" hold is false, but the campaign had no clicks in CC 31 Aug–29 Sep, so a base cut would only lower delivery.</t>
        </is>
      </c>
      <c r="AK411" s="2" t="inlineStr">
        <is>
          <t>seq 1916 child: reject — keep SATIN-FULL-BLACK; seq 2189 retag LOAD; seq 3168 rename CHANGE; seq 2024 NOT SERVING hold(s) → release; price to break-even (our addition, reviewer D)</t>
        </is>
      </c>
      <c r="AL411" s="22" t="n"/>
    </row>
    <row r="412">
      <c r="A412" s="2" t="inlineStr">
        <is>
          <t>85847621899141</t>
        </is>
      </c>
      <c r="B412" s="2" t="inlineStr">
        <is>
          <t>D-S4-full size silk sheet sets - [Silk|Full] - Exact - Ran - DO - SATIN-FULL-BLACK</t>
        </is>
      </c>
      <c r="C412" s="2" t="inlineStr">
        <is>
          <t>full size silk sheet sets [exact]</t>
        </is>
      </c>
      <c r="D412" s="2" t="inlineStr">
        <is>
          <t>full size silk sheet sets</t>
        </is>
      </c>
      <c r="E412" s="2" t="inlineStr">
        <is>
          <t>ENABLED</t>
        </is>
      </c>
      <c r="F412" s="2" t="inlineStr">
        <is>
          <t>Ranking</t>
        </is>
      </c>
      <c r="G412" s="2" t="inlineStr">
        <is>
          <t>Ranking</t>
        </is>
      </c>
      <c r="H412" s="2" t="inlineStr">
        <is>
          <t>Silk|Full</t>
        </is>
      </c>
      <c r="I412" s="2" t="inlineStr">
        <is>
          <t>Exact</t>
        </is>
      </c>
      <c r="J412" s="2" t="inlineStr">
        <is>
          <t>SATIN-FULL-BLACK</t>
        </is>
      </c>
      <c r="K412" s="2" t="inlineStr">
        <is>
          <t>SATIN-FULL-BLACK</t>
        </is>
      </c>
      <c r="L412" s="2" t="inlineStr">
        <is>
          <t>n/a (no target bid in audit)</t>
        </is>
      </c>
      <c r="M412" s="2" t="inlineStr">
        <is>
          <t>n/a</t>
        </is>
      </c>
      <c r="N412" s="2" t="n">
        <v>50</v>
      </c>
      <c r="O412" s="2" t="n">
        <v>50</v>
      </c>
      <c r="P412" s="21" t="n"/>
      <c r="Q412" s="21" t="n"/>
      <c r="R412" s="2" t="n"/>
      <c r="S412" s="2" t="n"/>
      <c r="T412" s="2" t="n"/>
      <c r="U412" s="2" t="n"/>
      <c r="V412" s="21" t="n">
        <v>11.45</v>
      </c>
      <c r="W412" s="21" t="n">
        <v>11.45</v>
      </c>
      <c r="X412" s="2" t="inlineStr">
        <is>
          <t>ENABLED</t>
        </is>
      </c>
      <c r="Y412" s="2" t="inlineStr">
        <is>
          <t>none</t>
        </is>
      </c>
      <c r="Z412" s="2" t="inlineStr">
        <is>
          <t>defer — engine name wrong (SKU token SATIN-FULL-BLACK); load a corrected name after 28 Oct</t>
        </is>
      </c>
      <c r="AA412" s="21" t="n">
        <v>0</v>
      </c>
      <c r="AB412" s="2" t="n">
        <v>0</v>
      </c>
      <c r="AC412" s="2" t="n">
        <v>0</v>
      </c>
      <c r="AD412" s="2" t="n"/>
      <c r="AE412" s="2" t="n"/>
      <c r="AF412" s="2" t="n"/>
      <c r="AG412" s="2" t="n">
        <v>0</v>
      </c>
      <c r="AH412" s="2" t="inlineStr">
        <is>
          <t>Release hold, keep price</t>
        </is>
      </c>
      <c r="AI412" s="22" t="inlineStr">
        <is>
          <t>Release hold; keep base (no clicks 30d)</t>
        </is>
      </c>
      <c r="AJ412" s="22" t="inlineStr">
        <is>
          <t>The "0 impressions" hold is false, but the campaign had no clicks in CC 31 Aug–29 Sep, so a base cut would only lower delivery.</t>
        </is>
      </c>
      <c r="AK412" s="2" t="inlineStr">
        <is>
          <t>seq 1964 child: reject — keep SATIN-FULL-BLACK; seq 2229 retag LOAD; seq 3305 rename CHANGE; seq 2045 NOT SERVING hold(s) → release; price to break-even (our addition, reviewer D)</t>
        </is>
      </c>
      <c r="AL412" s="22" t="n"/>
    </row>
    <row r="413">
      <c r="A413" s="2" t="inlineStr">
        <is>
          <t>87796567434212</t>
        </is>
      </c>
      <c r="B413" s="2" t="inlineStr">
        <is>
          <t>D-S4-full size silk sheet sets - [Silk|Full] - Phrase - Conv - DO - SATIN-FULL-BLACK</t>
        </is>
      </c>
      <c r="C413" s="2" t="inlineStr">
        <is>
          <t>full size silk sheet sets [phrase]</t>
        </is>
      </c>
      <c r="D413" s="2" t="inlineStr">
        <is>
          <t>whole campaign</t>
        </is>
      </c>
      <c r="E413" s="2" t="inlineStr">
        <is>
          <t>ENABLED</t>
        </is>
      </c>
      <c r="F413" s="2" t="inlineStr">
        <is>
          <t>Conversions</t>
        </is>
      </c>
      <c r="G413" s="2" t="inlineStr">
        <is>
          <t>Discovery</t>
        </is>
      </c>
      <c r="H413" s="2" t="inlineStr">
        <is>
          <t>Silk|Full</t>
        </is>
      </c>
      <c r="I413" s="2" t="inlineStr">
        <is>
          <t>Phrase</t>
        </is>
      </c>
      <c r="J413" s="2" t="inlineStr">
        <is>
          <t>SATIN-FULL-GREY</t>
        </is>
      </c>
      <c r="K413" s="2" t="inlineStr">
        <is>
          <t>SATIN-FULL-GREY</t>
        </is>
      </c>
      <c r="L413" s="2" t="inlineStr">
        <is>
          <t>n/a (no target bid in audit)</t>
        </is>
      </c>
      <c r="M413" s="2" t="inlineStr">
        <is>
          <t>n/a</t>
        </is>
      </c>
      <c r="N413" s="2" t="n">
        <v>0</v>
      </c>
      <c r="O413" s="2" t="n">
        <v>0</v>
      </c>
      <c r="P413" s="21" t="n"/>
      <c r="Q413" s="21" t="n"/>
      <c r="R413" s="2" t="n"/>
      <c r="S413" s="2" t="n"/>
      <c r="T413" s="2" t="n"/>
      <c r="U413" s="2" t="n"/>
      <c r="V413" s="21" t="n">
        <v>10</v>
      </c>
      <c r="W413" s="21" t="n">
        <v>10</v>
      </c>
      <c r="X413" s="2" t="inlineStr">
        <is>
          <t>PAUSED</t>
        </is>
      </c>
      <c r="Y413" s="2" t="inlineStr">
        <is>
          <t>none</t>
        </is>
      </c>
      <c r="Z413" s="2" t="inlineStr">
        <is>
          <t>none</t>
        </is>
      </c>
      <c r="AA413" s="21" t="n">
        <v>0</v>
      </c>
      <c r="AB413" s="2" t="n">
        <v>0</v>
      </c>
      <c r="AC413" s="2" t="n">
        <v>0</v>
      </c>
      <c r="AD413" s="2" t="n"/>
      <c r="AE413" s="2" t="n"/>
      <c r="AF413" s="2" t="n"/>
      <c r="AG413" s="2" t="n">
        <v>0</v>
      </c>
      <c r="AH413" s="2" t="inlineStr">
        <is>
          <t>Pause</t>
        </is>
      </c>
      <c r="AI413" s="22" t="inlineStr">
        <is>
          <t>Pause (seq 3340); retag → Discovery</t>
        </is>
      </c>
      <c r="AJ413" s="22" t="inlineStr">
        <is>
          <t>Duplicate discovery campaign with under 15 clicks and no order in 90 days (audit read to 29 Sep).</t>
        </is>
      </c>
      <c r="AK413" s="2" t="inlineStr">
        <is>
          <t>seq 3340 structure 3340: agree with review 40; our addition: standard → Discovery (phrase)</t>
        </is>
      </c>
      <c r="AL413" s="22" t="n"/>
    </row>
    <row r="414">
      <c r="A414" s="2" t="inlineStr">
        <is>
          <t>227109005652449</t>
        </is>
      </c>
      <c r="B414" s="2" t="inlineStr">
        <is>
          <t>D-S4-grey satin sheets - [Satin] - Exact - Ran - DO - SATIN-QUEEN-GREY</t>
        </is>
      </c>
      <c r="C414" s="2" t="inlineStr">
        <is>
          <t>grey satin sheets [exact]</t>
        </is>
      </c>
      <c r="D414" s="2" t="inlineStr">
        <is>
          <t>whole campaign</t>
        </is>
      </c>
      <c r="E414" s="2" t="inlineStr">
        <is>
          <t>PAUSED</t>
        </is>
      </c>
      <c r="F414" s="2" t="inlineStr">
        <is>
          <t>UNSET</t>
        </is>
      </c>
      <c r="G414" s="2" t="inlineStr">
        <is>
          <t>Conversions</t>
        </is>
      </c>
      <c r="H414" s="2" t="inlineStr">
        <is>
          <t>Satin</t>
        </is>
      </c>
      <c r="I414" s="2" t="inlineStr">
        <is>
          <t>Exact</t>
        </is>
      </c>
      <c r="J414" s="2" t="inlineStr">
        <is>
          <t>SATIN-QUEEN-GREY</t>
        </is>
      </c>
      <c r="K414" s="2" t="inlineStr">
        <is>
          <t>SATIN-QUEEN-GREY</t>
        </is>
      </c>
      <c r="L414" s="2" t="inlineStr">
        <is>
          <t>n/a (no target bid in audit)</t>
        </is>
      </c>
      <c r="M414" s="2" t="inlineStr">
        <is>
          <t>n/a</t>
        </is>
      </c>
      <c r="N414" s="2" t="n">
        <v>50</v>
      </c>
      <c r="O414" s="2" t="n">
        <v>50</v>
      </c>
      <c r="P414" s="21" t="n"/>
      <c r="Q414" s="21" t="n"/>
      <c r="R414" s="2" t="n"/>
      <c r="S414" s="2" t="n"/>
      <c r="T414" s="2" t="n"/>
      <c r="U414" s="2" t="n"/>
      <c r="V414" s="21" t="n">
        <v>10.7</v>
      </c>
      <c r="W414" s="21" t="n">
        <v>10.7</v>
      </c>
      <c r="X414" s="2" t="inlineStr">
        <is>
          <t>PAUSED</t>
        </is>
      </c>
      <c r="Y414" s="2" t="inlineStr">
        <is>
          <t>none</t>
        </is>
      </c>
      <c r="Z414" s="2" t="inlineStr">
        <is>
          <t>none</t>
        </is>
      </c>
      <c r="AA414" s="21" t="n">
        <v>0</v>
      </c>
      <c r="AB414" s="2" t="n">
        <v>0</v>
      </c>
      <c r="AC414" s="2" t="n">
        <v>0</v>
      </c>
      <c r="AD414" s="2" t="n"/>
      <c r="AE414" s="2" t="n"/>
      <c r="AF414" s="2" t="n"/>
      <c r="AG414" s="2" t="n">
        <v>4</v>
      </c>
      <c r="AH414" s="2" t="inlineStr">
        <is>
          <t>Keep paused</t>
        </is>
      </c>
      <c r="AI414" s="22" t="inlineStr">
        <is>
          <t>Keep paused (reject revive); retag → Conversions</t>
        </is>
      </c>
      <c r="AJ414" s="22" t="inlineStr">
        <is>
          <t>Revive rejected: The Queen Grey child break-even is 10.8% (SB 8/30–9/28: $3.15 on $29.29).</t>
        </is>
      </c>
      <c r="AK414" s="2" t="inlineStr">
        <is>
          <t>seq 2813 structure: hold; our addition: standard → Conversions (colour term "grey satin sheets")</t>
        </is>
      </c>
      <c r="AL414" s="22" t="n"/>
    </row>
    <row r="415">
      <c r="A415" s="2" t="inlineStr">
        <is>
          <t>203469688464645</t>
        </is>
      </c>
      <c r="B415" s="2" t="inlineStr">
        <is>
          <t>D-S4-grey satin sheets - [Satin] - Phrase - Conv - DO - SATIN-QUEEN-GREY</t>
        </is>
      </c>
      <c r="C415" s="2" t="inlineStr">
        <is>
          <t>grey satin sheets [phrase]</t>
        </is>
      </c>
      <c r="D415" s="2" t="inlineStr">
        <is>
          <t>whole campaign</t>
        </is>
      </c>
      <c r="E415" s="2" t="inlineStr">
        <is>
          <t>ENABLED</t>
        </is>
      </c>
      <c r="F415" s="2" t="inlineStr">
        <is>
          <t>Conversions</t>
        </is>
      </c>
      <c r="G415" s="2" t="inlineStr">
        <is>
          <t>Discovery</t>
        </is>
      </c>
      <c r="H415" s="2" t="inlineStr">
        <is>
          <t>Satin</t>
        </is>
      </c>
      <c r="I415" s="2" t="inlineStr">
        <is>
          <t>Phrase</t>
        </is>
      </c>
      <c r="J415" s="2" t="inlineStr">
        <is>
          <t>SATIN-QUEEN-GREY</t>
        </is>
      </c>
      <c r="K415" s="2" t="inlineStr">
        <is>
          <t>SATIN-QUEEN-GREY</t>
        </is>
      </c>
      <c r="L415" s="2" t="inlineStr">
        <is>
          <t>n/a (no target bid in audit)</t>
        </is>
      </c>
      <c r="M415" s="2" t="inlineStr">
        <is>
          <t>n/a</t>
        </is>
      </c>
      <c r="N415" s="2" t="n">
        <v>0</v>
      </c>
      <c r="O415" s="2" t="n">
        <v>0</v>
      </c>
      <c r="P415" s="21" t="n"/>
      <c r="Q415" s="21" t="n"/>
      <c r="R415" s="2" t="n"/>
      <c r="S415" s="2" t="n"/>
      <c r="T415" s="2" t="n"/>
      <c r="U415" s="2" t="n"/>
      <c r="V415" s="21" t="n">
        <v>10</v>
      </c>
      <c r="W415" s="21" t="n">
        <v>10</v>
      </c>
      <c r="X415" s="2" t="inlineStr">
        <is>
          <t>PAUSED</t>
        </is>
      </c>
      <c r="Y415" s="2" t="inlineStr">
        <is>
          <t>none</t>
        </is>
      </c>
      <c r="Z415" s="2" t="inlineStr">
        <is>
          <t>none</t>
        </is>
      </c>
      <c r="AA415" s="21" t="n">
        <v>0</v>
      </c>
      <c r="AB415" s="2" t="n">
        <v>0</v>
      </c>
      <c r="AC415" s="2" t="n">
        <v>0</v>
      </c>
      <c r="AD415" s="2" t="n"/>
      <c r="AE415" s="2" t="n"/>
      <c r="AF415" s="2" t="n"/>
      <c r="AG415" s="2" t="n">
        <v>0</v>
      </c>
      <c r="AH415" s="2" t="inlineStr">
        <is>
          <t>Pause</t>
        </is>
      </c>
      <c r="AI415" s="22" t="inlineStr">
        <is>
          <t>Pause (seq 3340); retag → Discovery</t>
        </is>
      </c>
      <c r="AJ415" s="22" t="inlineStr">
        <is>
          <t>Duplicate discovery campaign with under 15 clicks and no order in 90 days (audit read to 29 Sep).</t>
        </is>
      </c>
      <c r="AK415" s="2" t="inlineStr">
        <is>
          <t>seq 3340 structure 3340: agree with review 40; our addition: standard → Discovery (phrase)</t>
        </is>
      </c>
      <c r="AL415" s="22" t="n"/>
    </row>
    <row r="416">
      <c r="A416" s="2" t="inlineStr">
        <is>
          <t>85330356975940</t>
        </is>
      </c>
      <c r="B416" s="2" t="inlineStr">
        <is>
          <t>D-S4-grey silk sheets - [Silk] - Phrase - Conv - DO - SATIN-QUEEN-GREY</t>
        </is>
      </c>
      <c r="C416" s="2" t="inlineStr">
        <is>
          <t>grey silk sheets [phrase]</t>
        </is>
      </c>
      <c r="D416" s="2" t="inlineStr">
        <is>
          <t>whole campaign</t>
        </is>
      </c>
      <c r="E416" s="2" t="inlineStr">
        <is>
          <t>ENABLED</t>
        </is>
      </c>
      <c r="F416" s="2" t="inlineStr">
        <is>
          <t>Conversions</t>
        </is>
      </c>
      <c r="G416" s="2" t="inlineStr">
        <is>
          <t>Discovery</t>
        </is>
      </c>
      <c r="H416" s="2" t="inlineStr">
        <is>
          <t>Silk</t>
        </is>
      </c>
      <c r="I416" s="2" t="inlineStr">
        <is>
          <t>Phrase</t>
        </is>
      </c>
      <c r="J416" s="2" t="inlineStr">
        <is>
          <t>SATIN-QUEEN-GREY</t>
        </is>
      </c>
      <c r="K416" s="2" t="inlineStr">
        <is>
          <t>SATIN-QUEEN-GREY</t>
        </is>
      </c>
      <c r="L416" s="2" t="inlineStr">
        <is>
          <t>n/a (no target bid in audit)</t>
        </is>
      </c>
      <c r="M416" s="2" t="inlineStr">
        <is>
          <t>n/a</t>
        </is>
      </c>
      <c r="N416" s="2" t="n">
        <v>0</v>
      </c>
      <c r="O416" s="2" t="n">
        <v>0</v>
      </c>
      <c r="P416" s="21" t="n"/>
      <c r="Q416" s="21" t="n"/>
      <c r="R416" s="2" t="n"/>
      <c r="S416" s="2" t="n"/>
      <c r="T416" s="2" t="n"/>
      <c r="U416" s="2" t="n"/>
      <c r="V416" s="21" t="n">
        <v>10</v>
      </c>
      <c r="W416" s="21" t="n">
        <v>10</v>
      </c>
      <c r="X416" s="2" t="inlineStr">
        <is>
          <t>PAUSED</t>
        </is>
      </c>
      <c r="Y416" s="2" t="inlineStr">
        <is>
          <t>none</t>
        </is>
      </c>
      <c r="Z416" s="2" t="inlineStr">
        <is>
          <t>none</t>
        </is>
      </c>
      <c r="AA416" s="21" t="n">
        <v>0</v>
      </c>
      <c r="AB416" s="2" t="n">
        <v>0</v>
      </c>
      <c r="AC416" s="2" t="n">
        <v>0</v>
      </c>
      <c r="AD416" s="2" t="n"/>
      <c r="AE416" s="2" t="n"/>
      <c r="AF416" s="2" t="n"/>
      <c r="AG416" s="2" t="n">
        <v>0</v>
      </c>
      <c r="AH416" s="2" t="inlineStr">
        <is>
          <t>Pause</t>
        </is>
      </c>
      <c r="AI416" s="22" t="inlineStr">
        <is>
          <t>Pause (seq 3340); retag → Discovery</t>
        </is>
      </c>
      <c r="AJ416" s="22" t="inlineStr">
        <is>
          <t>Duplicate discovery campaign with under 15 clicks and no order in 90 days (audit read to 29 Sep).</t>
        </is>
      </c>
      <c r="AK416" s="2" t="inlineStr">
        <is>
          <t>seq 3340 structure 3340: agree with review 40; our addition: standard → Discovery (phrase)</t>
        </is>
      </c>
      <c r="AL416" s="22" t="n"/>
    </row>
    <row r="417">
      <c r="A417" s="2" t="inlineStr">
        <is>
          <t>239641538069270</t>
        </is>
      </c>
      <c r="B417" s="2" t="inlineStr">
        <is>
          <t>D-S4-hot pink satin sheets - [Satin] - Exact - Ran - DO - SATIN-QUEEN-PINK</t>
        </is>
      </c>
      <c r="C417" s="2" t="inlineStr">
        <is>
          <t>hot pink satin sheets [exact, $0.50]</t>
        </is>
      </c>
      <c r="D417" s="2" t="inlineStr">
        <is>
          <t>whole campaign</t>
        </is>
      </c>
      <c r="E417" s="2" t="inlineStr">
        <is>
          <t>ENABLED</t>
        </is>
      </c>
      <c r="F417" s="2" t="inlineStr">
        <is>
          <t>Ranking</t>
        </is>
      </c>
      <c r="G417" s="2" t="inlineStr">
        <is>
          <t>Conversions</t>
        </is>
      </c>
      <c r="H417" s="2" t="inlineStr">
        <is>
          <t>Satin</t>
        </is>
      </c>
      <c r="I417" s="2" t="inlineStr">
        <is>
          <t>Exact</t>
        </is>
      </c>
      <c r="J417" s="2" t="inlineStr">
        <is>
          <t>SATIN-QUEEN-PINK</t>
        </is>
      </c>
      <c r="K417" s="2" t="inlineStr">
        <is>
          <t>SATIN-QUEEN-PINK</t>
        </is>
      </c>
      <c r="L417" s="2" t="inlineStr">
        <is>
          <t>n/a (no target bid in audit)</t>
        </is>
      </c>
      <c r="M417" s="2" t="inlineStr">
        <is>
          <t>n/a</t>
        </is>
      </c>
      <c r="N417" s="2" t="n">
        <v>50</v>
      </c>
      <c r="O417" s="2" t="n">
        <v>50</v>
      </c>
      <c r="P417" s="21" t="n"/>
      <c r="Q417" s="21" t="n"/>
      <c r="R417" s="2" t="n"/>
      <c r="S417" s="2" t="n"/>
      <c r="T417" s="2" t="n"/>
      <c r="U417" s="2" t="n"/>
      <c r="V417" s="21" t="n">
        <v>6.33</v>
      </c>
      <c r="W417" s="21" t="n">
        <v>6.33</v>
      </c>
      <c r="X417" s="2" t="inlineStr">
        <is>
          <t>ENABLED</t>
        </is>
      </c>
      <c r="Y417" s="2" t="inlineStr">
        <is>
          <t>none</t>
        </is>
      </c>
      <c r="Z417" s="2" t="inlineStr">
        <is>
          <t>defer — engine name wrong ((Conversion)); load a corrected name after 28 Oct</t>
        </is>
      </c>
      <c r="AA417" s="21" t="n">
        <v>0</v>
      </c>
      <c r="AB417" s="2" t="n">
        <v>0</v>
      </c>
      <c r="AC417" s="2" t="n">
        <v>0</v>
      </c>
      <c r="AD417" s="2" t="n"/>
      <c r="AE417" s="2" t="n"/>
      <c r="AF417" s="2" t="n"/>
      <c r="AG417" s="2" t="n">
        <v>0</v>
      </c>
      <c r="AH417" s="2" t="inlineStr">
        <is>
          <t>Retag only</t>
        </is>
      </c>
      <c r="AI417" s="22" t="inlineStr">
        <is>
          <t>retag → Conversions</t>
        </is>
      </c>
      <c r="AJ417" s="22" t="inlineStr">
        <is>
          <t>Objective Ranking → Conversions by the standard (our retag verdict); no clicks in CC 31 Aug–29 Sep.</t>
        </is>
      </c>
      <c r="AK417" s="2" t="inlineStr">
        <is>
          <t>seq 2195 retag correct to Conversions; seq 3183 rename CHANGE</t>
        </is>
      </c>
      <c r="AL417" s="22" t="n"/>
    </row>
    <row r="418">
      <c r="A418" s="2" t="inlineStr">
        <is>
          <t>30066138068341</t>
        </is>
      </c>
      <c r="B418" s="2" t="inlineStr">
        <is>
          <t>D-S4-king bed sheets silk - [Silk|King] - Exact - Ran - DO - SATIN-4PC-KING-GREY</t>
        </is>
      </c>
      <c r="C418" s="2" t="inlineStr">
        <is>
          <t>king bed sheets silk [exact]</t>
        </is>
      </c>
      <c r="D418" s="2" t="inlineStr">
        <is>
          <t>king bed sheets silk</t>
        </is>
      </c>
      <c r="E418" s="2" t="inlineStr">
        <is>
          <t>ENABLED</t>
        </is>
      </c>
      <c r="F418" s="2" t="inlineStr">
        <is>
          <t>Ranking</t>
        </is>
      </c>
      <c r="G418" s="2" t="inlineStr">
        <is>
          <t>Ranking</t>
        </is>
      </c>
      <c r="H418" s="2" t="inlineStr">
        <is>
          <t>Silk|King</t>
        </is>
      </c>
      <c r="I418" s="2" t="inlineStr">
        <is>
          <t>Exact</t>
        </is>
      </c>
      <c r="J418" s="2" t="inlineStr">
        <is>
          <t>SATIN-4PC-KING-GREY</t>
        </is>
      </c>
      <c r="K418" s="2" t="inlineStr">
        <is>
          <t>SATIN-4PC-KING-GREY</t>
        </is>
      </c>
      <c r="L418" s="2" t="inlineStr">
        <is>
          <t>n/a (no target bid in audit)</t>
        </is>
      </c>
      <c r="M418" s="2" t="inlineStr">
        <is>
          <t>n/a</t>
        </is>
      </c>
      <c r="N418" s="2" t="n">
        <v>50</v>
      </c>
      <c r="O418" s="2" t="n">
        <v>50</v>
      </c>
      <c r="P418" s="21" t="n"/>
      <c r="Q418" s="21" t="n"/>
      <c r="R418" s="2" t="n"/>
      <c r="S418" s="2" t="n"/>
      <c r="T418" s="2" t="n"/>
      <c r="U418" s="2" t="n"/>
      <c r="V418" s="21" t="n">
        <v>12.18</v>
      </c>
      <c r="W418" s="21" t="n">
        <v>12.18</v>
      </c>
      <c r="X418" s="2" t="inlineStr">
        <is>
          <t>ENABLED</t>
        </is>
      </c>
      <c r="Y418" s="2" t="inlineStr">
        <is>
          <t>none</t>
        </is>
      </c>
      <c r="Z418" s="2" t="inlineStr">
        <is>
          <t>load (clean): DSS4-SP-King Bed Sheets Silk-[Silk|King]-(LSV)-Exact-(Ranking)-DO-SATIN-4PC-KING-GREY</t>
        </is>
      </c>
      <c r="AA418" s="21" t="n">
        <v>0</v>
      </c>
      <c r="AB418" s="2" t="n">
        <v>0</v>
      </c>
      <c r="AC418" s="2" t="n">
        <v>0</v>
      </c>
      <c r="AD418" s="2" t="n"/>
      <c r="AE418" s="2" t="n"/>
      <c r="AF418" s="2" t="n"/>
      <c r="AG418" s="2" t="n">
        <v>0</v>
      </c>
      <c r="AH418" s="2" t="inlineStr">
        <is>
          <t>Release hold, keep price</t>
        </is>
      </c>
      <c r="AI418" s="22" t="inlineStr">
        <is>
          <t>Release hold; keep base (no clicks 30d)</t>
        </is>
      </c>
      <c r="AJ418" s="22" t="inlineStr">
        <is>
          <t>The "0 impressions" hold is false, but the campaign had no clicks in CC 31 Aug–29 Sep, so a base cut would only lower delivery.</t>
        </is>
      </c>
      <c r="AK418" s="2" t="inlineStr">
        <is>
          <t>seq 2208 retag LOAD; seq 3218 rename LOAD; seq 2033 NOT SERVING hold(s) → release; price to break-even (our addition, reviewer D)</t>
        </is>
      </c>
      <c r="AL418" s="22" t="n"/>
    </row>
    <row r="419">
      <c r="A419" s="2" t="inlineStr">
        <is>
          <t>75786581773739</t>
        </is>
      </c>
      <c r="B419" s="2" t="inlineStr">
        <is>
          <t>D-S4-king silk sheet set - [Silk|King] - Phrase - Conv - DO - SATIN-TAUPE-KING</t>
        </is>
      </c>
      <c r="C419" s="2" t="inlineStr">
        <is>
          <t>king silk sheet set [phrase]</t>
        </is>
      </c>
      <c r="D419" s="2" t="inlineStr">
        <is>
          <t>whole campaign</t>
        </is>
      </c>
      <c r="E419" s="2" t="inlineStr">
        <is>
          <t>ENABLED</t>
        </is>
      </c>
      <c r="F419" s="2" t="inlineStr">
        <is>
          <t>Conversions</t>
        </is>
      </c>
      <c r="G419" s="2" t="inlineStr">
        <is>
          <t>Discovery</t>
        </is>
      </c>
      <c r="H419" s="2" t="inlineStr">
        <is>
          <t>Silk|King</t>
        </is>
      </c>
      <c r="I419" s="2" t="inlineStr">
        <is>
          <t>Phrase</t>
        </is>
      </c>
      <c r="J419" s="2" t="inlineStr">
        <is>
          <t>SATIN-TAUPE-KING</t>
        </is>
      </c>
      <c r="K419" s="2" t="inlineStr">
        <is>
          <t>SATIN-TAUPE-KING</t>
        </is>
      </c>
      <c r="L419" s="2" t="inlineStr">
        <is>
          <t>n/a (no target bid in audit)</t>
        </is>
      </c>
      <c r="M419" s="2" t="inlineStr">
        <is>
          <t>n/a</t>
        </is>
      </c>
      <c r="N419" s="2" t="n">
        <v>0</v>
      </c>
      <c r="O419" s="2" t="n">
        <v>0</v>
      </c>
      <c r="P419" s="21" t="n"/>
      <c r="Q419" s="21" t="n"/>
      <c r="R419" s="2" t="n"/>
      <c r="S419" s="2" t="n"/>
      <c r="T419" s="2" t="n"/>
      <c r="U419" s="2" t="n"/>
      <c r="V419" s="21" t="n">
        <v>10</v>
      </c>
      <c r="W419" s="21" t="n">
        <v>10</v>
      </c>
      <c r="X419" s="2" t="inlineStr">
        <is>
          <t>PAUSED</t>
        </is>
      </c>
      <c r="Y419" s="2" t="inlineStr">
        <is>
          <t>none</t>
        </is>
      </c>
      <c r="Z419" s="2" t="inlineStr">
        <is>
          <t>none</t>
        </is>
      </c>
      <c r="AA419" s="21" t="n">
        <v>0</v>
      </c>
      <c r="AB419" s="2" t="n">
        <v>0</v>
      </c>
      <c r="AC419" s="2" t="n">
        <v>0</v>
      </c>
      <c r="AD419" s="2" t="n"/>
      <c r="AE419" s="2" t="n"/>
      <c r="AF419" s="2" t="n"/>
      <c r="AG419" s="2" t="n">
        <v>0</v>
      </c>
      <c r="AH419" s="2" t="inlineStr">
        <is>
          <t>Pause</t>
        </is>
      </c>
      <c r="AI419" s="22" t="inlineStr">
        <is>
          <t>Pause (seq 3340); retag → Discovery</t>
        </is>
      </c>
      <c r="AJ419" s="22" t="inlineStr">
        <is>
          <t>Duplicate discovery campaign with under 15 clicks and no order in 90 days (audit read to 29 Sep).</t>
        </is>
      </c>
      <c r="AK419" s="2" t="inlineStr">
        <is>
          <t>seq 3340 structure 3340: agree with review 40; our addition: standard → Discovery (phrase)</t>
        </is>
      </c>
      <c r="AL419" s="22" t="n"/>
    </row>
    <row r="420">
      <c r="A420" s="2" t="inlineStr">
        <is>
          <t>54392823478007</t>
        </is>
      </c>
      <c r="B420" s="2" t="inlineStr">
        <is>
          <t>D-S4-king silk sheets - [Silk|King] - Exact - Ran - DO - SATIN-4PC-KING-GREY</t>
        </is>
      </c>
      <c r="C420" s="2" t="inlineStr">
        <is>
          <t>king silk sheets [exact]</t>
        </is>
      </c>
      <c r="D420" s="2" t="inlineStr">
        <is>
          <t>whole campaign</t>
        </is>
      </c>
      <c r="E420" s="2" t="inlineStr">
        <is>
          <t>ENABLED</t>
        </is>
      </c>
      <c r="F420" s="2" t="inlineStr">
        <is>
          <t>Ranking</t>
        </is>
      </c>
      <c r="G420" s="2" t="inlineStr">
        <is>
          <t>Ranking</t>
        </is>
      </c>
      <c r="H420" s="2" t="inlineStr">
        <is>
          <t>Silk|King</t>
        </is>
      </c>
      <c r="I420" s="2" t="inlineStr">
        <is>
          <t>Exact</t>
        </is>
      </c>
      <c r="J420" s="2" t="inlineStr">
        <is>
          <t>SATIN-4PC-KING-GREY</t>
        </is>
      </c>
      <c r="K420" s="2" t="inlineStr">
        <is>
          <t>SATIN-4PC-KING-GREY</t>
        </is>
      </c>
      <c r="L420" s="2" t="inlineStr">
        <is>
          <t>n/a (no target bid in audit)</t>
        </is>
      </c>
      <c r="M420" s="2" t="inlineStr">
        <is>
          <t>n/a</t>
        </is>
      </c>
      <c r="N420" s="2" t="n">
        <v>0</v>
      </c>
      <c r="O420" s="2" t="n">
        <v>0</v>
      </c>
      <c r="P420" s="21" t="n"/>
      <c r="Q420" s="21" t="n"/>
      <c r="R420" s="2" t="n"/>
      <c r="S420" s="2" t="n"/>
      <c r="T420" s="2" t="n"/>
      <c r="U420" s="2" t="n"/>
      <c r="V420" s="21" t="n">
        <v>20</v>
      </c>
      <c r="W420" s="21" t="n">
        <v>20</v>
      </c>
      <c r="X420" s="2" t="inlineStr">
        <is>
          <t>ENABLED</t>
        </is>
      </c>
      <c r="Y420" s="2" t="inlineStr">
        <is>
          <t>none</t>
        </is>
      </c>
      <c r="Z420" s="2" t="inlineStr">
        <is>
          <t>load (clean): DSS4-SP-King Silk Sheets-[Silk|King]-(LSV)-Exact-(Ranking)-DO-SATIN-4PC-KING-GREY</t>
        </is>
      </c>
      <c r="AA420" s="21" t="n">
        <v>0</v>
      </c>
      <c r="AB420" s="2" t="n">
        <v>0</v>
      </c>
      <c r="AC420" s="2" t="n">
        <v>0</v>
      </c>
      <c r="AD420" s="2" t="n"/>
      <c r="AE420" s="2" t="n"/>
      <c r="AF420" s="2" t="n"/>
      <c r="AG420" s="2" t="n">
        <v>13</v>
      </c>
      <c r="AH420" s="2" t="inlineStr">
        <is>
          <t>Rename only</t>
        </is>
      </c>
      <c r="AI420" s="22" t="inlineStr">
        <is>
          <t>Load rename only</t>
        </is>
      </c>
      <c r="AJ420" s="22" t="inlineStr">
        <is>
          <t>Clean rename (SKU token and objective match what the campaign advertises); no clicks in CC 31 Aug–29 Sep.</t>
        </is>
      </c>
      <c r="AK420" s="2" t="inlineStr">
        <is>
          <t>seq 2219 retag LOAD; seq 3275 rename LOAD</t>
        </is>
      </c>
      <c r="AL420" s="22" t="n"/>
    </row>
    <row r="421">
      <c r="A421" s="2" t="inlineStr">
        <is>
          <t>108384230130242</t>
        </is>
      </c>
      <c r="B421" s="2" t="inlineStr">
        <is>
          <t>D-S4-king size bed sheets silk - [Silk|King] - Exact - Ran - DO - SATIN-4PC-KING-GREY</t>
        </is>
      </c>
      <c r="C421" s="2" t="inlineStr">
        <is>
          <t>king size bed sheets silk [exact, $0.50]</t>
        </is>
      </c>
      <c r="D421" s="2" t="inlineStr">
        <is>
          <t>king size bed sheets silk</t>
        </is>
      </c>
      <c r="E421" s="2" t="inlineStr">
        <is>
          <t>ENABLED</t>
        </is>
      </c>
      <c r="F421" s="2" t="inlineStr">
        <is>
          <t>Ranking</t>
        </is>
      </c>
      <c r="G421" s="2" t="inlineStr">
        <is>
          <t>Ranking</t>
        </is>
      </c>
      <c r="H421" s="2" t="inlineStr">
        <is>
          <t>OUT</t>
        </is>
      </c>
      <c r="I421" s="2" t="inlineStr">
        <is>
          <t>Exact</t>
        </is>
      </c>
      <c r="J421" s="2" t="inlineStr">
        <is>
          <t>SATIN-4PC-KING-GREY</t>
        </is>
      </c>
      <c r="K421" s="2" t="inlineStr">
        <is>
          <t>SATIN-4PC-KING-GREY</t>
        </is>
      </c>
      <c r="L421" s="2" t="inlineStr">
        <is>
          <t>$0.50</t>
        </is>
      </c>
      <c r="M421" s="2" t="inlineStr">
        <is>
          <t>$0.50</t>
        </is>
      </c>
      <c r="N421" s="2" t="n">
        <v>270</v>
      </c>
      <c r="O421" s="2" t="n">
        <v>270</v>
      </c>
      <c r="P421" s="21" t="n">
        <v>1.85</v>
      </c>
      <c r="Q421" s="21" t="n">
        <v>1.85</v>
      </c>
      <c r="R421" s="2" t="n">
        <v>0</v>
      </c>
      <c r="S421" s="2" t="n">
        <v>0</v>
      </c>
      <c r="T421" s="2" t="n">
        <v>30</v>
      </c>
      <c r="U421" s="2" t="n">
        <v>30</v>
      </c>
      <c r="V421" s="21" t="n">
        <v>19.48</v>
      </c>
      <c r="W421" s="21" t="n">
        <v>19.48</v>
      </c>
      <c r="X421" s="2" t="inlineStr">
        <is>
          <t>PAUSED</t>
        </is>
      </c>
      <c r="Y421" s="2" t="inlineStr">
        <is>
          <t>none</t>
        </is>
      </c>
      <c r="Z421" s="2" t="inlineStr">
        <is>
          <t>defer — engine name wrong (SKU token SATIN-4PC-KING-GREY + suffix elsewhere); load a corrected name after 28 Oct</t>
        </is>
      </c>
      <c r="AA421" s="21" t="n">
        <v>0</v>
      </c>
      <c r="AB421" s="2" t="n">
        <v>0</v>
      </c>
      <c r="AC421" s="2" t="n">
        <v>0</v>
      </c>
      <c r="AD421" s="2" t="n"/>
      <c r="AE421" s="2" t="n"/>
      <c r="AF421" s="2" t="n"/>
      <c r="AG421" s="2" t="n">
        <v>5</v>
      </c>
      <c r="AH421" s="2" t="inlineStr">
        <is>
          <t>Pause</t>
        </is>
      </c>
      <c r="AI421" s="22" t="inlineStr">
        <is>
          <t>Pause target "king size bed sheets silk" (its only target — campaign goes dark)</t>
        </is>
      </c>
      <c r="AJ421" s="22" t="inlineStr">
        <is>
          <t>Engine target pause agreed with review 40: "king size bed sheets silk" is bought EXACT by 2 enabled campaigns — one exact owner per term (the ownership axiom);</t>
        </is>
      </c>
      <c r="AK421" s="2" t="inlineStr">
        <is>
          <t>seq 2773 state: agree with review 40; seq 3063 rename CHANGE; seq 513 NOT SERVING hold(s) moot — campaign paused</t>
        </is>
      </c>
      <c r="AL421" s="22" t="n"/>
    </row>
    <row r="422">
      <c r="A422" s="2" t="inlineStr">
        <is>
          <t>239421984660414</t>
        </is>
      </c>
      <c r="B422" s="2" t="inlineStr">
        <is>
          <t>D-S4-king size sateen sheets - [Satin|King] - Exact - Ran - DO - SATIN-4PC-KING-GREY</t>
        </is>
      </c>
      <c r="C422" s="2" t="inlineStr">
        <is>
          <t>king size sateen sheets [exact]</t>
        </is>
      </c>
      <c r="D422" s="2" t="inlineStr">
        <is>
          <t>whole campaign</t>
        </is>
      </c>
      <c r="E422" s="2" t="inlineStr">
        <is>
          <t>PAUSED</t>
        </is>
      </c>
      <c r="F422" s="2" t="inlineStr">
        <is>
          <t>UNSET</t>
        </is>
      </c>
      <c r="G422" s="2" t="inlineStr">
        <is>
          <t>Ranking</t>
        </is>
      </c>
      <c r="H422" s="2" t="inlineStr">
        <is>
          <t>Satin|King</t>
        </is>
      </c>
      <c r="I422" s="2" t="inlineStr">
        <is>
          <t>Exact</t>
        </is>
      </c>
      <c r="J422" s="2" t="inlineStr">
        <is>
          <t>SATIN-4PC-KING-GREY</t>
        </is>
      </c>
      <c r="K422" s="2" t="inlineStr">
        <is>
          <t>SATIN-4PC-KING-GREY</t>
        </is>
      </c>
      <c r="L422" s="2" t="inlineStr">
        <is>
          <t>n/a (no target bid in audit)</t>
        </is>
      </c>
      <c r="M422" s="2" t="inlineStr">
        <is>
          <t>n/a</t>
        </is>
      </c>
      <c r="N422" s="2" t="n">
        <v>50</v>
      </c>
      <c r="O422" s="2" t="n">
        <v>50</v>
      </c>
      <c r="P422" s="21" t="n"/>
      <c r="Q422" s="21" t="n"/>
      <c r="R422" s="2" t="n"/>
      <c r="S422" s="2" t="n"/>
      <c r="T422" s="2" t="n"/>
      <c r="U422" s="2" t="n"/>
      <c r="V422" s="21" t="n">
        <v>28.45</v>
      </c>
      <c r="W422" s="21" t="n">
        <v>28.45</v>
      </c>
      <c r="X422" s="2" t="inlineStr">
        <is>
          <t>PAUSED</t>
        </is>
      </c>
      <c r="Y422" s="2" t="inlineStr">
        <is>
          <t>none</t>
        </is>
      </c>
      <c r="Z422" s="2" t="inlineStr">
        <is>
          <t>none</t>
        </is>
      </c>
      <c r="AA422" s="21" t="n">
        <v>0</v>
      </c>
      <c r="AB422" s="2" t="n">
        <v>0</v>
      </c>
      <c r="AC422" s="2" t="n">
        <v>0</v>
      </c>
      <c r="AD422" s="2" t="n"/>
      <c r="AE422" s="2" t="n"/>
      <c r="AF422" s="2" t="n"/>
      <c r="AG422" s="2" t="n">
        <v>0</v>
      </c>
      <c r="AH422" s="2" t="inlineStr">
        <is>
          <t>Keep paused</t>
        </is>
      </c>
      <c r="AI422" s="22" t="inlineStr">
        <is>
          <t>Keep paused (reject revive); retag → Ranking</t>
        </is>
      </c>
      <c r="AJ422" s="22" t="inlineStr">
        <is>
          <t>Revive rejected: 0 orders. Not a stock issue (CC 2 Jul–29 Sep).</t>
        </is>
      </c>
      <c r="AK422" s="2" t="inlineStr">
        <is>
          <t>seq 2839 structure: hold, reason corrected; our addition: standard → Ranking (generic exact "king size sateen sheets")</t>
        </is>
      </c>
      <c r="AL422" s="22" t="n"/>
    </row>
    <row r="423">
      <c r="A423" s="2" t="inlineStr">
        <is>
          <t>238083744058367</t>
        </is>
      </c>
      <c r="B423" s="2" t="inlineStr">
        <is>
          <t>D-S4-king size satin sheets - [Satin|King] - Exact - Ran - DO - SATIN-4PC-KING-GREY</t>
        </is>
      </c>
      <c r="C423" s="2" t="inlineStr">
        <is>
          <t>king size satin sheets [exact]</t>
        </is>
      </c>
      <c r="D423" s="2" t="inlineStr">
        <is>
          <t>whole campaign</t>
        </is>
      </c>
      <c r="E423" s="2" t="inlineStr">
        <is>
          <t>ENABLED</t>
        </is>
      </c>
      <c r="F423" s="2" t="inlineStr">
        <is>
          <t>Ranking</t>
        </is>
      </c>
      <c r="G423" s="2" t="inlineStr">
        <is>
          <t>Ranking</t>
        </is>
      </c>
      <c r="H423" s="2" t="inlineStr">
        <is>
          <t>Satin|King</t>
        </is>
      </c>
      <c r="I423" s="2" t="inlineStr">
        <is>
          <t>Exact</t>
        </is>
      </c>
      <c r="J423" s="2" t="inlineStr">
        <is>
          <t>SATIN-4PC-KING-GREY</t>
        </is>
      </c>
      <c r="K423" s="2" t="inlineStr">
        <is>
          <t>SATIN-4PC-KING-GREY</t>
        </is>
      </c>
      <c r="L423" s="2" t="inlineStr">
        <is>
          <t>n/a (no target bid in audit)</t>
        </is>
      </c>
      <c r="M423" s="2" t="inlineStr">
        <is>
          <t>n/a</t>
        </is>
      </c>
      <c r="N423" s="2" t="n">
        <v>50</v>
      </c>
      <c r="O423" s="2" t="n">
        <v>50</v>
      </c>
      <c r="P423" s="21" t="n"/>
      <c r="Q423" s="21" t="n"/>
      <c r="R423" s="2" t="n"/>
      <c r="S423" s="2" t="n"/>
      <c r="T423" s="2" t="n"/>
      <c r="U423" s="2" t="n"/>
      <c r="V423" s="21" t="n">
        <v>14.32</v>
      </c>
      <c r="W423" s="21" t="n">
        <v>14.32</v>
      </c>
      <c r="X423" s="2" t="inlineStr">
        <is>
          <t>ENABLED</t>
        </is>
      </c>
      <c r="Y423" s="2" t="inlineStr">
        <is>
          <t>none</t>
        </is>
      </c>
      <c r="Z423" s="2" t="inlineStr">
        <is>
          <t>load (clean): DSS4-SP-King Size Satin Sheets-[Satin|King]-(LSV)-Exact-(Ranking)-DO-SATIN-4PC-KING-GREY</t>
        </is>
      </c>
      <c r="AA423" s="21" t="n">
        <v>0</v>
      </c>
      <c r="AB423" s="2" t="n">
        <v>0</v>
      </c>
      <c r="AC423" s="2" t="n">
        <v>0</v>
      </c>
      <c r="AD423" s="2" t="n"/>
      <c r="AE423" s="2" t="n"/>
      <c r="AF423" s="2" t="n"/>
      <c r="AG423" s="2" t="n">
        <v>4</v>
      </c>
      <c r="AH423" s="2" t="inlineStr">
        <is>
          <t>Rename only</t>
        </is>
      </c>
      <c r="AI423" s="22" t="inlineStr">
        <is>
          <t>Load rename only</t>
        </is>
      </c>
      <c r="AJ423" s="22" t="inlineStr">
        <is>
          <t>Clean rename (SKU token and objective match what the campaign advertises); no clicks in CC 31 Aug–29 Sep.</t>
        </is>
      </c>
      <c r="AK423" s="2" t="inlineStr">
        <is>
          <t>seq 2194 retag LOAD; seq 3180 rename LOAD</t>
        </is>
      </c>
      <c r="AL423" s="22" t="n"/>
    </row>
    <row r="424">
      <c r="A424" s="2" t="inlineStr">
        <is>
          <t>172975770177803</t>
        </is>
      </c>
      <c r="B424" s="2" t="inlineStr">
        <is>
          <t>D-S4-king size sheets set satin - [Satin|King] - Exact - Ran - DO - SATIN-4PC-KING-GREY</t>
        </is>
      </c>
      <c r="C424" s="2" t="inlineStr">
        <is>
          <t>king size sheets set satin [exact]</t>
        </is>
      </c>
      <c r="D424" s="2" t="inlineStr">
        <is>
          <t>whole campaign</t>
        </is>
      </c>
      <c r="E424" s="2" t="inlineStr">
        <is>
          <t>PAUSED</t>
        </is>
      </c>
      <c r="F424" s="2" t="inlineStr">
        <is>
          <t>UNSET</t>
        </is>
      </c>
      <c r="G424" s="2" t="inlineStr">
        <is>
          <t>Ranking</t>
        </is>
      </c>
      <c r="H424" s="2" t="inlineStr">
        <is>
          <t>Satin|King</t>
        </is>
      </c>
      <c r="I424" s="2" t="inlineStr">
        <is>
          <t>Exact</t>
        </is>
      </c>
      <c r="J424" s="2" t="inlineStr">
        <is>
          <t>SATIN-4PC-KING-GREY</t>
        </is>
      </c>
      <c r="K424" s="2" t="inlineStr">
        <is>
          <t>SATIN-4PC-KING-GREY</t>
        </is>
      </c>
      <c r="L424" s="2" t="inlineStr">
        <is>
          <t>n/a (no target bid in audit)</t>
        </is>
      </c>
      <c r="M424" s="2" t="inlineStr">
        <is>
          <t>n/a</t>
        </is>
      </c>
      <c r="N424" s="2" t="n">
        <v>50</v>
      </c>
      <c r="O424" s="2" t="n">
        <v>50</v>
      </c>
      <c r="P424" s="21" t="n"/>
      <c r="Q424" s="21" t="n"/>
      <c r="R424" s="2" t="n"/>
      <c r="S424" s="2" t="n"/>
      <c r="T424" s="2" t="n"/>
      <c r="U424" s="2" t="n"/>
      <c r="V424" s="21" t="n">
        <v>18.19</v>
      </c>
      <c r="W424" s="21" t="n">
        <v>18.19</v>
      </c>
      <c r="X424" s="2" t="inlineStr">
        <is>
          <t>PAUSED</t>
        </is>
      </c>
      <c r="Y424" s="2" t="inlineStr">
        <is>
          <t>none</t>
        </is>
      </c>
      <c r="Z424" s="2" t="inlineStr">
        <is>
          <t>none</t>
        </is>
      </c>
      <c r="AA424" s="21" t="n">
        <v>0</v>
      </c>
      <c r="AB424" s="2" t="n">
        <v>0</v>
      </c>
      <c r="AC424" s="2" t="n">
        <v>0</v>
      </c>
      <c r="AD424" s="2" t="n"/>
      <c r="AE424" s="2" t="n"/>
      <c r="AF424" s="2" t="n"/>
      <c r="AG424" s="2" t="n">
        <v>1</v>
      </c>
      <c r="AH424" s="2" t="inlineStr">
        <is>
          <t>Retag only</t>
        </is>
      </c>
      <c r="AI424" s="22" t="inlineStr">
        <is>
          <t>retag → Ranking</t>
        </is>
      </c>
      <c r="AJ424" s="22" t="inlineStr">
        <is>
          <t>Objective UNSET → Ranking by the standard (generic exact "king size sheets set satin"); no clicks in CC 31 Aug–29 Sep.</t>
        </is>
      </c>
      <c r="AK424" s="2" t="inlineStr">
        <is>
          <t>our addition: standard → Ranking (generic exact "king size sheets set satin")</t>
        </is>
      </c>
      <c r="AL424" s="22" t="n"/>
    </row>
    <row r="425">
      <c r="A425" s="2" t="inlineStr">
        <is>
          <t>142493908161629</t>
        </is>
      </c>
      <c r="B425" s="2" t="inlineStr">
        <is>
          <t>D-S4-king size sheets set satin - [Satin|King] - Phrase - Conv - DO - SATIN-4PCS-KING-SEA-TEAL</t>
        </is>
      </c>
      <c r="C425" s="2" t="inlineStr">
        <is>
          <t>king size sheets set satin [phrase]</t>
        </is>
      </c>
      <c r="D425" s="2" t="inlineStr">
        <is>
          <t>whole campaign</t>
        </is>
      </c>
      <c r="E425" s="2" t="inlineStr">
        <is>
          <t>ENABLED</t>
        </is>
      </c>
      <c r="F425" s="2" t="inlineStr">
        <is>
          <t>Conversions</t>
        </is>
      </c>
      <c r="G425" s="2" t="inlineStr">
        <is>
          <t>Discovery</t>
        </is>
      </c>
      <c r="H425" s="2" t="inlineStr">
        <is>
          <t>Satin|King</t>
        </is>
      </c>
      <c r="I425" s="2" t="inlineStr">
        <is>
          <t>Phrase</t>
        </is>
      </c>
      <c r="J425" s="2" t="inlineStr">
        <is>
          <t>SATIN-4PC-KING-GREY</t>
        </is>
      </c>
      <c r="K425" s="2" t="inlineStr">
        <is>
          <t>SATIN-4PC-KING-GREY</t>
        </is>
      </c>
      <c r="L425" s="2" t="inlineStr">
        <is>
          <t>n/a (no target bid in audit)</t>
        </is>
      </c>
      <c r="M425" s="2" t="inlineStr">
        <is>
          <t>n/a</t>
        </is>
      </c>
      <c r="N425" s="2" t="n">
        <v>0</v>
      </c>
      <c r="O425" s="2" t="n">
        <v>0</v>
      </c>
      <c r="P425" s="21" t="n"/>
      <c r="Q425" s="21" t="n"/>
      <c r="R425" s="2" t="n"/>
      <c r="S425" s="2" t="n"/>
      <c r="T425" s="2" t="n"/>
      <c r="U425" s="2" t="n"/>
      <c r="V425" s="21" t="n">
        <v>10</v>
      </c>
      <c r="W425" s="21" t="n">
        <v>10</v>
      </c>
      <c r="X425" s="2" t="inlineStr">
        <is>
          <t>PAUSED</t>
        </is>
      </c>
      <c r="Y425" s="2" t="inlineStr">
        <is>
          <t>none</t>
        </is>
      </c>
      <c r="Z425" s="2" t="inlineStr">
        <is>
          <t>none</t>
        </is>
      </c>
      <c r="AA425" s="21" t="n">
        <v>0</v>
      </c>
      <c r="AB425" s="2" t="n">
        <v>0</v>
      </c>
      <c r="AC425" s="2" t="n">
        <v>0</v>
      </c>
      <c r="AD425" s="2" t="n"/>
      <c r="AE425" s="2" t="n"/>
      <c r="AF425" s="2" t="n"/>
      <c r="AG425" s="2" t="n">
        <v>0</v>
      </c>
      <c r="AH425" s="2" t="inlineStr">
        <is>
          <t>Pause</t>
        </is>
      </c>
      <c r="AI425" s="22" t="inlineStr">
        <is>
          <t>Pause (seq 3340); retag → Discovery</t>
        </is>
      </c>
      <c r="AJ425" s="22" t="inlineStr">
        <is>
          <t>Duplicate discovery campaign with under 15 clicks and no order in 90 days (audit read to 29 Sep).</t>
        </is>
      </c>
      <c r="AK425" s="2" t="inlineStr">
        <is>
          <t>seq 3340 structure 3340: agree with review 40; our addition: standard → Discovery (phrase)</t>
        </is>
      </c>
      <c r="AL425" s="22" t="n"/>
    </row>
    <row r="426">
      <c r="A426" s="2" t="inlineStr">
        <is>
          <t>216219419187430</t>
        </is>
      </c>
      <c r="B426" s="2" t="inlineStr">
        <is>
          <t>D-S4-king size sheets set silk - [Silk|King] - Exact - Ran - DO - SATIN-4PC-KING-GREY</t>
        </is>
      </c>
      <c r="C426" s="2" t="inlineStr">
        <is>
          <t>king size sheets set silk [exact]</t>
        </is>
      </c>
      <c r="D426" s="2" t="inlineStr">
        <is>
          <t>whole campaign</t>
        </is>
      </c>
      <c r="E426" s="2" t="inlineStr">
        <is>
          <t>PAUSED</t>
        </is>
      </c>
      <c r="F426" s="2" t="inlineStr">
        <is>
          <t>UNSET</t>
        </is>
      </c>
      <c r="G426" s="2" t="inlineStr">
        <is>
          <t>Ranking</t>
        </is>
      </c>
      <c r="H426" s="2" t="inlineStr">
        <is>
          <t>Silk|King</t>
        </is>
      </c>
      <c r="I426" s="2" t="inlineStr">
        <is>
          <t>Exact</t>
        </is>
      </c>
      <c r="J426" s="2" t="inlineStr">
        <is>
          <t>SATIN-4PC-KING-GREY</t>
        </is>
      </c>
      <c r="K426" s="2" t="inlineStr">
        <is>
          <t>SATIN-4PC-KING-GREY</t>
        </is>
      </c>
      <c r="L426" s="2" t="inlineStr">
        <is>
          <t>n/a (no target bid in audit)</t>
        </is>
      </c>
      <c r="M426" s="2" t="inlineStr">
        <is>
          <t>n/a</t>
        </is>
      </c>
      <c r="N426" s="2" t="n">
        <v>50</v>
      </c>
      <c r="O426" s="2" t="n">
        <v>50</v>
      </c>
      <c r="P426" s="21" t="n"/>
      <c r="Q426" s="21" t="n"/>
      <c r="R426" s="2" t="n"/>
      <c r="S426" s="2" t="n"/>
      <c r="T426" s="2" t="n"/>
      <c r="U426" s="2" t="n"/>
      <c r="V426" s="21" t="n">
        <v>18.99</v>
      </c>
      <c r="W426" s="21" t="n">
        <v>18.99</v>
      </c>
      <c r="X426" s="2" t="inlineStr">
        <is>
          <t>PAUSED</t>
        </is>
      </c>
      <c r="Y426" s="2" t="inlineStr">
        <is>
          <t>none</t>
        </is>
      </c>
      <c r="Z426" s="2" t="inlineStr">
        <is>
          <t>none</t>
        </is>
      </c>
      <c r="AA426" s="21" t="n">
        <v>0</v>
      </c>
      <c r="AB426" s="2" t="n">
        <v>0</v>
      </c>
      <c r="AC426" s="2" t="n">
        <v>0</v>
      </c>
      <c r="AD426" s="2" t="n"/>
      <c r="AE426" s="2" t="n"/>
      <c r="AF426" s="2" t="n"/>
      <c r="AG426" s="2" t="n">
        <v>5</v>
      </c>
      <c r="AH426" s="2" t="inlineStr">
        <is>
          <t>Keep paused</t>
        </is>
      </c>
      <c r="AI426" s="22" t="inlineStr">
        <is>
          <t>Keep paused (reject revive); retag → Ranking</t>
        </is>
      </c>
      <c r="AJ426" s="22" t="inlineStr">
        <is>
          <t>Revive rejected: Margin, not stock (see 2827) (CC 2 Jul–29 Sep).</t>
        </is>
      </c>
      <c r="AK426" s="2" t="inlineStr">
        <is>
          <t>seq 2835 structure: hold, reason corrected; our addition: standard → Ranking (generic exact "king size sheets set silk")</t>
        </is>
      </c>
      <c r="AL426" s="22" t="n"/>
    </row>
    <row r="427">
      <c r="A427" s="2" t="inlineStr">
        <is>
          <t>35638399223779</t>
        </is>
      </c>
      <c r="B427" s="2" t="inlineStr">
        <is>
          <t>D-S4-king size sheets set silk - [Silk|King] - Phrase - Conv - DO - SATIN-TAUPE-KING</t>
        </is>
      </c>
      <c r="C427" s="2" t="inlineStr">
        <is>
          <t>king size sheets set silk [phrase]</t>
        </is>
      </c>
      <c r="D427" s="2" t="inlineStr">
        <is>
          <t>whole campaign</t>
        </is>
      </c>
      <c r="E427" s="2" t="inlineStr">
        <is>
          <t>ENABLED</t>
        </is>
      </c>
      <c r="F427" s="2" t="inlineStr">
        <is>
          <t>Conversions</t>
        </is>
      </c>
      <c r="G427" s="2" t="inlineStr">
        <is>
          <t>Discovery</t>
        </is>
      </c>
      <c r="H427" s="2" t="inlineStr">
        <is>
          <t>Silk|King</t>
        </is>
      </c>
      <c r="I427" s="2" t="inlineStr">
        <is>
          <t>Phrase</t>
        </is>
      </c>
      <c r="J427" s="2" t="inlineStr">
        <is>
          <t>SATIN-TAUPE-KING</t>
        </is>
      </c>
      <c r="K427" s="2" t="inlineStr">
        <is>
          <t>SATIN-TAUPE-KING</t>
        </is>
      </c>
      <c r="L427" s="2" t="inlineStr">
        <is>
          <t>n/a (no target bid in audit)</t>
        </is>
      </c>
      <c r="M427" s="2" t="inlineStr">
        <is>
          <t>n/a</t>
        </is>
      </c>
      <c r="N427" s="2" t="n">
        <v>0</v>
      </c>
      <c r="O427" s="2" t="n">
        <v>0</v>
      </c>
      <c r="P427" s="21" t="n"/>
      <c r="Q427" s="21" t="n"/>
      <c r="R427" s="2" t="n"/>
      <c r="S427" s="2" t="n"/>
      <c r="T427" s="2" t="n"/>
      <c r="U427" s="2" t="n"/>
      <c r="V427" s="21" t="n">
        <v>10</v>
      </c>
      <c r="W427" s="21" t="n">
        <v>10</v>
      </c>
      <c r="X427" s="2" t="inlineStr">
        <is>
          <t>PAUSED</t>
        </is>
      </c>
      <c r="Y427" s="2" t="inlineStr">
        <is>
          <t>none</t>
        </is>
      </c>
      <c r="Z427" s="2" t="inlineStr">
        <is>
          <t>none</t>
        </is>
      </c>
      <c r="AA427" s="21" t="n">
        <v>0</v>
      </c>
      <c r="AB427" s="2" t="n">
        <v>0</v>
      </c>
      <c r="AC427" s="2" t="n">
        <v>0</v>
      </c>
      <c r="AD427" s="2" t="n"/>
      <c r="AE427" s="2" t="n"/>
      <c r="AF427" s="2" t="n"/>
      <c r="AG427" s="2" t="n">
        <v>0</v>
      </c>
      <c r="AH427" s="2" t="inlineStr">
        <is>
          <t>Pause</t>
        </is>
      </c>
      <c r="AI427" s="22" t="inlineStr">
        <is>
          <t>Pause (seq 3340); retag → Discovery</t>
        </is>
      </c>
      <c r="AJ427" s="22" t="inlineStr">
        <is>
          <t>Duplicate discovery campaign with under 15 clicks and no order in 90 days (audit read to 29 Sep).</t>
        </is>
      </c>
      <c r="AK427" s="2" t="inlineStr">
        <is>
          <t>seq 3340 structure 3340: agree with review 40; our addition: standard → Discovery (phrase)</t>
        </is>
      </c>
      <c r="AL427" s="22" t="n"/>
    </row>
    <row r="428">
      <c r="A428" s="2" t="inlineStr">
        <is>
          <t>175290376507737</t>
        </is>
      </c>
      <c r="B428" s="2" t="inlineStr">
        <is>
          <t>D-S4-king size sheets silk - [Silk|King] - Exact - Ran - DO - SATIN-4PC-KING-GREY</t>
        </is>
      </c>
      <c r="C428" s="2" t="inlineStr">
        <is>
          <t>king size sheets silk [exact]</t>
        </is>
      </c>
      <c r="D428" s="2" t="inlineStr">
        <is>
          <t>king size sheets silk</t>
        </is>
      </c>
      <c r="E428" s="2" t="inlineStr">
        <is>
          <t>ENABLED</t>
        </is>
      </c>
      <c r="F428" s="2" t="inlineStr">
        <is>
          <t>Ranking</t>
        </is>
      </c>
      <c r="G428" s="2" t="inlineStr">
        <is>
          <t>Ranking</t>
        </is>
      </c>
      <c r="H428" s="2" t="inlineStr">
        <is>
          <t>Silk|King</t>
        </is>
      </c>
      <c r="I428" s="2" t="inlineStr">
        <is>
          <t>Exact</t>
        </is>
      </c>
      <c r="J428" s="2" t="inlineStr">
        <is>
          <t>SATIN-4PC-KING-GREY</t>
        </is>
      </c>
      <c r="K428" s="2" t="inlineStr">
        <is>
          <t>SATIN-4PC-KING-GREY</t>
        </is>
      </c>
      <c r="L428" s="2" t="inlineStr">
        <is>
          <t>n/a (no target bid in audit)</t>
        </is>
      </c>
      <c r="M428" s="2" t="inlineStr">
        <is>
          <t>n/a</t>
        </is>
      </c>
      <c r="N428" s="2" t="n">
        <v>50</v>
      </c>
      <c r="O428" s="2" t="n">
        <v>50</v>
      </c>
      <c r="P428" s="21" t="n"/>
      <c r="Q428" s="21" t="n"/>
      <c r="R428" s="2" t="n"/>
      <c r="S428" s="2" t="n"/>
      <c r="T428" s="2" t="n"/>
      <c r="U428" s="2" t="n"/>
      <c r="V428" s="21" t="n">
        <v>15.68</v>
      </c>
      <c r="W428" s="21" t="n">
        <v>15.68</v>
      </c>
      <c r="X428" s="2" t="inlineStr">
        <is>
          <t>ENABLED</t>
        </is>
      </c>
      <c r="Y428" s="2" t="inlineStr">
        <is>
          <t>none</t>
        </is>
      </c>
      <c r="Z428" s="2" t="inlineStr">
        <is>
          <t>load (clean): DSS4-SP-King Size Sheets Silk-[Silk|King]-(VLSV)-Exact-(Ranking)-DO-SATIN-4PC-KING-GREY</t>
        </is>
      </c>
      <c r="AA428" s="21" t="n">
        <v>0</v>
      </c>
      <c r="AB428" s="2" t="n">
        <v>0</v>
      </c>
      <c r="AC428" s="2" t="n">
        <v>0</v>
      </c>
      <c r="AD428" s="2" t="n"/>
      <c r="AE428" s="2" t="n"/>
      <c r="AF428" s="2" t="n"/>
      <c r="AG428" s="2" t="n">
        <v>2</v>
      </c>
      <c r="AH428" s="2" t="inlineStr">
        <is>
          <t>Release hold, keep price</t>
        </is>
      </c>
      <c r="AI428" s="22" t="inlineStr">
        <is>
          <t>Release hold; keep base (no clicks 30d)</t>
        </is>
      </c>
      <c r="AJ428" s="22" t="inlineStr">
        <is>
          <t>The "0 impressions" hold is false, but the campaign had no clicks in CC 31 Aug–29 Sep, so a base cut would only lower delivery.</t>
        </is>
      </c>
      <c r="AK428" s="2" t="inlineStr">
        <is>
          <t>seq 2175 retag LOAD; seq 3126 rename LOAD; seq 2015 NOT SERVING hold(s) → release; price to break-even (our addition, reviewer D)</t>
        </is>
      </c>
      <c r="AL428" s="22" t="n"/>
    </row>
    <row r="429">
      <c r="A429" s="2" t="inlineStr">
        <is>
          <t>20058631887202</t>
        </is>
      </c>
      <c r="B429" s="2" t="inlineStr">
        <is>
          <t>D-S4-king size silk sheets set - [Silk|King] - Broad - Disc - DO - SATIN-4PCS-KING-ROSEWOOD</t>
        </is>
      </c>
      <c r="C429" s="2" t="inlineStr">
        <is>
          <t>king size silk sheets set [broad]</t>
        </is>
      </c>
      <c r="D429" s="2" t="inlineStr">
        <is>
          <t>whole campaign</t>
        </is>
      </c>
      <c r="E429" s="2" t="inlineStr">
        <is>
          <t>ENABLED</t>
        </is>
      </c>
      <c r="F429" s="2" t="inlineStr">
        <is>
          <t>Discovery</t>
        </is>
      </c>
      <c r="G429" s="2" t="inlineStr">
        <is>
          <t>Discovery</t>
        </is>
      </c>
      <c r="H429" s="2" t="inlineStr">
        <is>
          <t>Silk|King</t>
        </is>
      </c>
      <c r="I429" s="2" t="inlineStr">
        <is>
          <t>Broad</t>
        </is>
      </c>
      <c r="J429" s="2" t="inlineStr">
        <is>
          <t>SATIN-4PC-KING-GREY</t>
        </is>
      </c>
      <c r="K429" s="2" t="inlineStr">
        <is>
          <t>SATIN-4PC-KING-GREY</t>
        </is>
      </c>
      <c r="L429" s="2" t="inlineStr">
        <is>
          <t>n/a (no target bid in audit)</t>
        </is>
      </c>
      <c r="M429" s="2" t="inlineStr">
        <is>
          <t>n/a</t>
        </is>
      </c>
      <c r="N429" s="2" t="n">
        <v>0</v>
      </c>
      <c r="O429" s="2" t="n">
        <v>0</v>
      </c>
      <c r="P429" s="21" t="n"/>
      <c r="Q429" s="21" t="n"/>
      <c r="R429" s="2" t="n"/>
      <c r="S429" s="2" t="n"/>
      <c r="T429" s="2" t="n"/>
      <c r="U429" s="2" t="n"/>
      <c r="V429" s="21" t="n">
        <v>10</v>
      </c>
      <c r="W429" s="21" t="n">
        <v>10</v>
      </c>
      <c r="X429" s="2" t="inlineStr">
        <is>
          <t>PAUSED</t>
        </is>
      </c>
      <c r="Y429" s="2" t="inlineStr">
        <is>
          <t>none</t>
        </is>
      </c>
      <c r="Z429" s="2" t="inlineStr">
        <is>
          <t>none</t>
        </is>
      </c>
      <c r="AA429" s="21" t="n">
        <v>0</v>
      </c>
      <c r="AB429" s="2" t="n">
        <v>0</v>
      </c>
      <c r="AC429" s="2" t="n">
        <v>0</v>
      </c>
      <c r="AD429" s="2" t="n"/>
      <c r="AE429" s="2" t="n"/>
      <c r="AF429" s="2" t="n"/>
      <c r="AG429" s="2" t="n">
        <v>2</v>
      </c>
      <c r="AH429" s="2" t="inlineStr">
        <is>
          <t>Pause</t>
        </is>
      </c>
      <c r="AI429" s="22" t="inlineStr">
        <is>
          <t>Pause (seq 2864)</t>
        </is>
      </c>
      <c r="AJ429" s="22" t="inlineStr">
        <is>
          <t>Second discovery campaign in its family (fold = pause; only negatives move).</t>
        </is>
      </c>
      <c r="AK429" s="2" t="inlineStr">
        <is>
          <t>seq 2864 structure: agree with review 40</t>
        </is>
      </c>
      <c r="AL429" s="22" t="n"/>
    </row>
    <row r="430">
      <c r="A430" s="2" t="inlineStr">
        <is>
          <t>8525393732824</t>
        </is>
      </c>
      <c r="B430" s="2" t="inlineStr">
        <is>
          <t>D-S4-king size silk sheets set - [Silk|King] - Exact - Ran - DO - SATIN-4PC-KING-GREY</t>
        </is>
      </c>
      <c r="C430" s="2" t="inlineStr">
        <is>
          <t>king size silk sheets set [exact]</t>
        </is>
      </c>
      <c r="D430" s="2" t="inlineStr">
        <is>
          <t>king size silk sheets set</t>
        </is>
      </c>
      <c r="E430" s="2" t="inlineStr">
        <is>
          <t>ENABLED</t>
        </is>
      </c>
      <c r="F430" s="2" t="inlineStr">
        <is>
          <t>Ranking</t>
        </is>
      </c>
      <c r="G430" s="2" t="inlineStr">
        <is>
          <t>Ranking</t>
        </is>
      </c>
      <c r="H430" s="2" t="inlineStr">
        <is>
          <t>Silk|King</t>
        </is>
      </c>
      <c r="I430" s="2" t="inlineStr">
        <is>
          <t>Exact</t>
        </is>
      </c>
      <c r="J430" s="2" t="inlineStr">
        <is>
          <t>SATIN-4PC-KING-GREY</t>
        </is>
      </c>
      <c r="K430" s="2" t="inlineStr">
        <is>
          <t>SATIN-4PC-KING-GREY</t>
        </is>
      </c>
      <c r="L430" s="2" t="inlineStr">
        <is>
          <t>n/a (no target bid in audit)</t>
        </is>
      </c>
      <c r="M430" s="2" t="inlineStr">
        <is>
          <t>n/a</t>
        </is>
      </c>
      <c r="N430" s="2" t="n">
        <v>50</v>
      </c>
      <c r="O430" s="2" t="n">
        <v>50</v>
      </c>
      <c r="P430" s="21" t="n"/>
      <c r="Q430" s="21" t="n"/>
      <c r="R430" s="2" t="n"/>
      <c r="S430" s="2" t="n"/>
      <c r="T430" s="2" t="n"/>
      <c r="U430" s="2" t="n"/>
      <c r="V430" s="21" t="n">
        <v>12.18</v>
      </c>
      <c r="W430" s="21" t="n">
        <v>12.18</v>
      </c>
      <c r="X430" s="2" t="inlineStr">
        <is>
          <t>ENABLED</t>
        </is>
      </c>
      <c r="Y430" s="2" t="inlineStr">
        <is>
          <t>none</t>
        </is>
      </c>
      <c r="Z430" s="2" t="inlineStr">
        <is>
          <t>load (clean): DSS4-SP-King Size Silk Sheets Set-[Silk|King]-(LSV)-Exact-(Ranking)-DO-SATIN-4PC-KING-GREY</t>
        </is>
      </c>
      <c r="AA430" s="21" t="n">
        <v>0</v>
      </c>
      <c r="AB430" s="2" t="n">
        <v>0</v>
      </c>
      <c r="AC430" s="2" t="n">
        <v>0</v>
      </c>
      <c r="AD430" s="2" t="n"/>
      <c r="AE430" s="2" t="n"/>
      <c r="AF430" s="2" t="n"/>
      <c r="AG430" s="2" t="n">
        <v>0</v>
      </c>
      <c r="AH430" s="2" t="inlineStr">
        <is>
          <t>Release hold, keep price</t>
        </is>
      </c>
      <c r="AI430" s="22" t="inlineStr">
        <is>
          <t>Release hold; keep base (no clicks 30d)</t>
        </is>
      </c>
      <c r="AJ430" s="22" t="inlineStr">
        <is>
          <t>The "0 impressions" hold is false, but the campaign had no clicks in CC 31 Aug–29 Sep, so a base cut would only lower delivery.</t>
        </is>
      </c>
      <c r="AK430" s="2" t="inlineStr">
        <is>
          <t>seq 2228 retag LOAD; seq 3303 rename LOAD; seq 2044 NOT SERVING hold(s) → release; price to break-even (our addition, reviewer D)</t>
        </is>
      </c>
      <c r="AL430" s="22" t="n"/>
    </row>
    <row r="431">
      <c r="A431" s="2" t="inlineStr">
        <is>
          <t>13667712206677</t>
        </is>
      </c>
      <c r="B431" s="2" t="inlineStr">
        <is>
          <t>D-S4-light blue silk sheets - [Silk] - Exact - Ran - DO - SATIN-4PC-QUEEN-BABY BLUE</t>
        </is>
      </c>
      <c r="C431" s="2" t="inlineStr">
        <is>
          <t>light blue silk sheets [exact]</t>
        </is>
      </c>
      <c r="D431" s="2" t="inlineStr">
        <is>
          <t>whole campaign</t>
        </is>
      </c>
      <c r="E431" s="2" t="inlineStr">
        <is>
          <t>PAUSED</t>
        </is>
      </c>
      <c r="F431" s="2" t="inlineStr">
        <is>
          <t>UNSET</t>
        </is>
      </c>
      <c r="G431" s="2" t="inlineStr">
        <is>
          <t>Conversions</t>
        </is>
      </c>
      <c r="H431" s="2" t="inlineStr">
        <is>
          <t>Silk</t>
        </is>
      </c>
      <c r="I431" s="2" t="inlineStr">
        <is>
          <t>Exact</t>
        </is>
      </c>
      <c r="J431" s="2" t="inlineStr">
        <is>
          <t>SATIN-4PC-FULL-BABY BLUE</t>
        </is>
      </c>
      <c r="K431" s="2" t="inlineStr">
        <is>
          <t>SATIN-4PC-FULL-BABY BLUE</t>
        </is>
      </c>
      <c r="L431" s="2" t="inlineStr">
        <is>
          <t>n/a (no target bid in audit)</t>
        </is>
      </c>
      <c r="M431" s="2" t="inlineStr">
        <is>
          <t>n/a</t>
        </is>
      </c>
      <c r="N431" s="2" t="n">
        <v>50</v>
      </c>
      <c r="O431" s="2" t="n">
        <v>50</v>
      </c>
      <c r="P431" s="21" t="n"/>
      <c r="Q431" s="21" t="n"/>
      <c r="R431" s="2" t="n"/>
      <c r="S431" s="2" t="n"/>
      <c r="T431" s="2" t="n"/>
      <c r="U431" s="2" t="n"/>
      <c r="V431" s="21" t="n">
        <v>10.25</v>
      </c>
      <c r="W431" s="21" t="n">
        <v>10.25</v>
      </c>
      <c r="X431" s="2" t="inlineStr">
        <is>
          <t>PAUSED</t>
        </is>
      </c>
      <c r="Y431" s="2" t="inlineStr">
        <is>
          <t>none</t>
        </is>
      </c>
      <c r="Z431" s="2" t="inlineStr">
        <is>
          <t>none</t>
        </is>
      </c>
      <c r="AA431" s="21" t="n">
        <v>0</v>
      </c>
      <c r="AB431" s="2" t="n">
        <v>0</v>
      </c>
      <c r="AC431" s="2" t="n">
        <v>0</v>
      </c>
      <c r="AD431" s="2" t="n"/>
      <c r="AE431" s="2" t="n"/>
      <c r="AF431" s="2" t="n"/>
      <c r="AG431" s="2" t="n">
        <v>3</v>
      </c>
      <c r="AH431" s="2" t="inlineStr">
        <is>
          <t>Keep paused</t>
        </is>
      </c>
      <c r="AI431" s="22" t="inlineStr">
        <is>
          <t>Keep paused (reject revive); retag → Conversions</t>
        </is>
      </c>
      <c r="AJ431" s="22" t="inlineStr">
        <is>
          <t>Revive rejected: 81.2% ACoS, and the child's size does not match the name (CC 2 Jul–29 Sep).</t>
        </is>
      </c>
      <c r="AK431" s="2" t="inlineStr">
        <is>
          <t>seq 2822 structure: hold; our addition: standard → Conversions (colour term "light blue silk sheets")</t>
        </is>
      </c>
      <c r="AL431" s="22" t="n"/>
    </row>
    <row r="432">
      <c r="A432" s="2" t="inlineStr">
        <is>
          <t>31523591882459</t>
        </is>
      </c>
      <c r="B432" s="2" t="inlineStr">
        <is>
          <t>D-S4-light pink satin sheets - [Satin] - Exact - Ran - DO - SATIN-QUEEN-PINK</t>
        </is>
      </c>
      <c r="C432" s="2" t="inlineStr">
        <is>
          <t>light pink satin sheets [exact]</t>
        </is>
      </c>
      <c r="D432" s="2" t="inlineStr">
        <is>
          <t>whole campaign</t>
        </is>
      </c>
      <c r="E432" s="2" t="inlineStr">
        <is>
          <t>PAUSED</t>
        </is>
      </c>
      <c r="F432" s="2" t="inlineStr">
        <is>
          <t>UNSET</t>
        </is>
      </c>
      <c r="G432" s="2" t="inlineStr">
        <is>
          <t>Conversions</t>
        </is>
      </c>
      <c r="H432" s="2" t="inlineStr">
        <is>
          <t>Satin</t>
        </is>
      </c>
      <c r="I432" s="2" t="inlineStr">
        <is>
          <t>Exact</t>
        </is>
      </c>
      <c r="J432" s="2" t="inlineStr">
        <is>
          <t>SATIN-QUEEN-PINK</t>
        </is>
      </c>
      <c r="K432" s="2" t="inlineStr">
        <is>
          <t>SATIN-QUEEN-PINK</t>
        </is>
      </c>
      <c r="L432" s="2" t="inlineStr">
        <is>
          <t>n/a (no target bid in audit)</t>
        </is>
      </c>
      <c r="M432" s="2" t="inlineStr">
        <is>
          <t>n/a</t>
        </is>
      </c>
      <c r="N432" s="2" t="n">
        <v>50</v>
      </c>
      <c r="O432" s="2" t="n">
        <v>50</v>
      </c>
      <c r="P432" s="21" t="n"/>
      <c r="Q432" s="21" t="n"/>
      <c r="R432" s="2" t="n"/>
      <c r="S432" s="2" t="n"/>
      <c r="T432" s="2" t="n"/>
      <c r="U432" s="2" t="n"/>
      <c r="V432" s="21" t="n">
        <v>7.96</v>
      </c>
      <c r="W432" s="21" t="n">
        <v>7.96</v>
      </c>
      <c r="X432" s="2" t="inlineStr">
        <is>
          <t>PAUSED</t>
        </is>
      </c>
      <c r="Y432" s="2" t="inlineStr">
        <is>
          <t>none</t>
        </is>
      </c>
      <c r="Z432" s="2" t="inlineStr">
        <is>
          <t>none</t>
        </is>
      </c>
      <c r="AA432" s="21" t="n">
        <v>0</v>
      </c>
      <c r="AB432" s="2" t="n">
        <v>0</v>
      </c>
      <c r="AC432" s="2" t="n">
        <v>0</v>
      </c>
      <c r="AD432" s="2" t="n"/>
      <c r="AE432" s="2" t="n"/>
      <c r="AF432" s="2" t="n"/>
      <c r="AG432" s="2" t="n">
        <v>1</v>
      </c>
      <c r="AH432" s="2" t="inlineStr">
        <is>
          <t>Keep paused</t>
        </is>
      </c>
      <c r="AI432" s="22" t="inlineStr">
        <is>
          <t>Keep paused (reject revive); retag → Conversions</t>
        </is>
      </c>
      <c r="AJ432" s="22" t="inlineStr">
        <is>
          <t>Revive rejected: 136.6% ACoS (CC 2 Jul–29 Sep).</t>
        </is>
      </c>
      <c r="AK432" s="2" t="inlineStr">
        <is>
          <t>seq 2840 structure: hold; our addition: standard → Conversions (colour term "light pink satin sheets")</t>
        </is>
      </c>
      <c r="AL432" s="22" t="n"/>
    </row>
    <row r="433">
      <c r="A433" s="2" t="inlineStr">
        <is>
          <t>244519804356687</t>
        </is>
      </c>
      <c r="B433" s="2" t="inlineStr">
        <is>
          <t>D-S4-light pink silk sheets - [Silk] - Exact - Ran - DO - SATIN-QUEEN-PINK</t>
        </is>
      </c>
      <c r="C433" s="2" t="inlineStr">
        <is>
          <t>light pink silk sheets [exact]</t>
        </is>
      </c>
      <c r="D433" s="2" t="inlineStr">
        <is>
          <t>light pink silk sheets</t>
        </is>
      </c>
      <c r="E433" s="2" t="inlineStr">
        <is>
          <t>ENABLED</t>
        </is>
      </c>
      <c r="F433" s="2" t="inlineStr">
        <is>
          <t>Ranking</t>
        </is>
      </c>
      <c r="G433" s="2" t="inlineStr">
        <is>
          <t>Conversions</t>
        </is>
      </c>
      <c r="H433" s="2" t="inlineStr">
        <is>
          <t>Silk</t>
        </is>
      </c>
      <c r="I433" s="2" t="inlineStr">
        <is>
          <t>Exact</t>
        </is>
      </c>
      <c r="J433" s="2" t="inlineStr">
        <is>
          <t>SATIN-QUEEN-PINK</t>
        </is>
      </c>
      <c r="K433" s="2" t="inlineStr">
        <is>
          <t>SATIN-QUEEN-PINK</t>
        </is>
      </c>
      <c r="L433" s="2" t="inlineStr">
        <is>
          <t>n/a (no target bid in audit)</t>
        </is>
      </c>
      <c r="M433" s="2" t="inlineStr">
        <is>
          <t>n/a</t>
        </is>
      </c>
      <c r="N433" s="2" t="n">
        <v>50</v>
      </c>
      <c r="O433" s="2" t="n">
        <v>50</v>
      </c>
      <c r="P433" s="21" t="n"/>
      <c r="Q433" s="21" t="n"/>
      <c r="R433" s="2" t="n"/>
      <c r="S433" s="2" t="n"/>
      <c r="T433" s="2" t="n"/>
      <c r="U433" s="2" t="n"/>
      <c r="V433" s="21" t="n">
        <v>8.85</v>
      </c>
      <c r="W433" s="21" t="n">
        <v>8.85</v>
      </c>
      <c r="X433" s="2" t="inlineStr">
        <is>
          <t>ENABLED</t>
        </is>
      </c>
      <c r="Y433" s="2" t="inlineStr">
        <is>
          <t>none</t>
        </is>
      </c>
      <c r="Z433" s="2" t="inlineStr">
        <is>
          <t>defer — engine name wrong ((Conversion)); load a corrected name after 28 Oct</t>
        </is>
      </c>
      <c r="AA433" s="21" t="n">
        <v>0</v>
      </c>
      <c r="AB433" s="2" t="n">
        <v>0</v>
      </c>
      <c r="AC433" s="2" t="n">
        <v>0</v>
      </c>
      <c r="AD433" s="2" t="n"/>
      <c r="AE433" s="2" t="n"/>
      <c r="AF433" s="2" t="n"/>
      <c r="AG433" s="2" t="n">
        <v>2</v>
      </c>
      <c r="AH433" s="2" t="inlineStr">
        <is>
          <t>Release hold, keep price</t>
        </is>
      </c>
      <c r="AI433" s="22" t="inlineStr">
        <is>
          <t>Release hold; keep base (no clicks 30d); retag → Conversions</t>
        </is>
      </c>
      <c r="AJ433" s="22" t="inlineStr">
        <is>
          <t>The "0 impressions" hold is false, but the campaign had no clicks in CC 31 Aug–29 Sep, so a base cut would only lower delivery.</t>
        </is>
      </c>
      <c r="AK433" s="2" t="inlineStr">
        <is>
          <t>seq 2197 retag correct to Conversions; seq 3187 rename CHANGE; seq 2028 NOT SERVING hold(s) → release; price to break-even (our addition, reviewer D)</t>
        </is>
      </c>
      <c r="AL433" s="22" t="n"/>
    </row>
    <row r="434">
      <c r="A434" s="2" t="inlineStr">
        <is>
          <t>210635289265767</t>
        </is>
      </c>
      <c r="B434" s="2" t="inlineStr">
        <is>
          <t>D-S4-mulberry silk bed sheets - [Silk] - Exact - Ran - DO - SATIN-QUEEN-BLACK</t>
        </is>
      </c>
      <c r="C434" s="2" t="inlineStr">
        <is>
          <t>mulberry silk bed sheets [exact]</t>
        </is>
      </c>
      <c r="D434" s="2" t="inlineStr">
        <is>
          <t>whole campaign</t>
        </is>
      </c>
      <c r="E434" s="2" t="inlineStr">
        <is>
          <t>PAUSED</t>
        </is>
      </c>
      <c r="F434" s="2" t="inlineStr">
        <is>
          <t>UNSET</t>
        </is>
      </c>
      <c r="G434" s="2" t="inlineStr">
        <is>
          <t>Conversions</t>
        </is>
      </c>
      <c r="H434" s="2" t="inlineStr">
        <is>
          <t>Silk</t>
        </is>
      </c>
      <c r="I434" s="2" t="inlineStr">
        <is>
          <t>Exact</t>
        </is>
      </c>
      <c r="J434" s="2" t="inlineStr">
        <is>
          <t>SATIN-QUEEN-BLACK</t>
        </is>
      </c>
      <c r="K434" s="2" t="inlineStr">
        <is>
          <t>SATIN-QUEEN-BLACK</t>
        </is>
      </c>
      <c r="L434" s="2" t="inlineStr">
        <is>
          <t>n/a (no target bid in audit)</t>
        </is>
      </c>
      <c r="M434" s="2" t="inlineStr">
        <is>
          <t>n/a</t>
        </is>
      </c>
      <c r="N434" s="2" t="n">
        <v>50</v>
      </c>
      <c r="O434" s="2" t="n">
        <v>50</v>
      </c>
      <c r="P434" s="21" t="n"/>
      <c r="Q434" s="21" t="n"/>
      <c r="R434" s="2" t="n"/>
      <c r="S434" s="2" t="n"/>
      <c r="T434" s="2" t="n"/>
      <c r="U434" s="2" t="n"/>
      <c r="V434" s="21" t="n">
        <v>8.369999999999999</v>
      </c>
      <c r="W434" s="21" t="n">
        <v>8.369999999999999</v>
      </c>
      <c r="X434" s="2" t="inlineStr">
        <is>
          <t>PAUSED</t>
        </is>
      </c>
      <c r="Y434" s="2" t="inlineStr">
        <is>
          <t>none</t>
        </is>
      </c>
      <c r="Z434" s="2" t="inlineStr">
        <is>
          <t>none</t>
        </is>
      </c>
      <c r="AA434" s="21" t="n">
        <v>0</v>
      </c>
      <c r="AB434" s="2" t="n">
        <v>0</v>
      </c>
      <c r="AC434" s="2" t="n">
        <v>0</v>
      </c>
      <c r="AD434" s="2" t="n"/>
      <c r="AE434" s="2" t="n"/>
      <c r="AF434" s="2" t="n"/>
      <c r="AG434" s="2" t="n">
        <v>0</v>
      </c>
      <c r="AH434" s="2" t="inlineStr">
        <is>
          <t>Retag only</t>
        </is>
      </c>
      <c r="AI434" s="22" t="inlineStr">
        <is>
          <t>retag → Conversions</t>
        </is>
      </c>
      <c r="AJ434" s="22" t="inlineStr">
        <is>
          <t>Objective UNSET → Conversions by the standard (misspelled/irrelevant term "mulberry silk bed sheets"); no clicks in CC 31 Aug–29 Sep.</t>
        </is>
      </c>
      <c r="AK434" s="2" t="inlineStr">
        <is>
          <t>our addition: standard → Conversions (misspelled/irrelevant term "mulberry silk bed sheets")</t>
        </is>
      </c>
      <c r="AL434" s="22" t="n"/>
    </row>
    <row r="435">
      <c r="A435" s="2" t="inlineStr">
        <is>
          <t>13506349238076</t>
        </is>
      </c>
      <c r="B435" s="2" t="inlineStr">
        <is>
          <t>D-S4-mulberry silk sheets - [Silk] - Broad - Disc - DO - SATIN-QUEEN-GREY</t>
        </is>
      </c>
      <c r="C435" s="2" t="inlineStr">
        <is>
          <t>mulberry silk sheets [broad]</t>
        </is>
      </c>
      <c r="D435" s="2" t="inlineStr">
        <is>
          <t>whole campaign</t>
        </is>
      </c>
      <c r="E435" s="2" t="inlineStr">
        <is>
          <t>ENABLED</t>
        </is>
      </c>
      <c r="F435" s="2" t="inlineStr">
        <is>
          <t>Discovery</t>
        </is>
      </c>
      <c r="G435" s="2" t="inlineStr">
        <is>
          <t>Discovery</t>
        </is>
      </c>
      <c r="H435" s="2" t="inlineStr">
        <is>
          <t>Silk</t>
        </is>
      </c>
      <c r="I435" s="2" t="inlineStr">
        <is>
          <t>Broad</t>
        </is>
      </c>
      <c r="J435" s="2" t="inlineStr">
        <is>
          <t>SATIN-QUEEN-GREY</t>
        </is>
      </c>
      <c r="K435" s="2" t="inlineStr">
        <is>
          <t>SATIN-QUEEN-GREY</t>
        </is>
      </c>
      <c r="L435" s="2" t="inlineStr">
        <is>
          <t>n/a (no target bid in audit)</t>
        </is>
      </c>
      <c r="M435" s="2" t="inlineStr">
        <is>
          <t>n/a</t>
        </is>
      </c>
      <c r="N435" s="2" t="n">
        <v>0</v>
      </c>
      <c r="O435" s="2" t="n">
        <v>0</v>
      </c>
      <c r="P435" s="21" t="n"/>
      <c r="Q435" s="21" t="n"/>
      <c r="R435" s="2" t="n"/>
      <c r="S435" s="2" t="n"/>
      <c r="T435" s="2" t="n"/>
      <c r="U435" s="2" t="n"/>
      <c r="V435" s="21" t="n">
        <v>10</v>
      </c>
      <c r="W435" s="21" t="n">
        <v>10</v>
      </c>
      <c r="X435" s="2" t="inlineStr">
        <is>
          <t>ENABLED</t>
        </is>
      </c>
      <c r="Y435" s="2" t="inlineStr">
        <is>
          <t>none</t>
        </is>
      </c>
      <c r="Z435" s="2" t="inlineStr">
        <is>
          <t>load (clean): DSS4-SP-MULBERRY SILK SHEETS-(PAT)-Targeting-(Discovery)-DO-SATIN-QUEEN-GREY</t>
        </is>
      </c>
      <c r="AA435" s="21" t="n">
        <v>0</v>
      </c>
      <c r="AB435" s="2" t="n">
        <v>0</v>
      </c>
      <c r="AC435" s="2" t="n">
        <v>0</v>
      </c>
      <c r="AD435" s="2" t="n"/>
      <c r="AE435" s="2" t="n"/>
      <c r="AF435" s="2" t="n"/>
      <c r="AG435" s="2" t="n">
        <v>0</v>
      </c>
      <c r="AH435" s="2" t="inlineStr">
        <is>
          <t>Rename only</t>
        </is>
      </c>
      <c r="AI435" s="22" t="inlineStr">
        <is>
          <t>Load rename only</t>
        </is>
      </c>
      <c r="AJ435" s="22" t="inlineStr">
        <is>
          <t>Clean rename (SKU token and objective match what the campaign advertises); no clicks in CC 31 Aug–29 Sep.</t>
        </is>
      </c>
      <c r="AK435" s="2" t="inlineStr">
        <is>
          <t>seq 3328 rename LOAD</t>
        </is>
      </c>
      <c r="AL435" s="22" t="n"/>
    </row>
    <row r="436">
      <c r="A436" s="2" t="inlineStr">
        <is>
          <t>170454028839531</t>
        </is>
      </c>
      <c r="B436" s="2" t="inlineStr">
        <is>
          <t>D-S4-mulberry silk sheets - [Silk] - Exact - Ran - DO - SATIN-QUEEN-BLACK</t>
        </is>
      </c>
      <c r="C436" s="2" t="inlineStr">
        <is>
          <t>mulberry silk sheets [exact]</t>
        </is>
      </c>
      <c r="D436" s="2" t="inlineStr">
        <is>
          <t>whole campaign</t>
        </is>
      </c>
      <c r="E436" s="2" t="inlineStr">
        <is>
          <t>PAUSED</t>
        </is>
      </c>
      <c r="F436" s="2" t="inlineStr">
        <is>
          <t>UNSET</t>
        </is>
      </c>
      <c r="G436" s="2" t="inlineStr">
        <is>
          <t>Conversions</t>
        </is>
      </c>
      <c r="H436" s="2" t="inlineStr">
        <is>
          <t>Silk</t>
        </is>
      </c>
      <c r="I436" s="2" t="inlineStr">
        <is>
          <t>Exact</t>
        </is>
      </c>
      <c r="J436" s="2" t="inlineStr">
        <is>
          <t>SATIN-QUEEN-BLACK</t>
        </is>
      </c>
      <c r="K436" s="2" t="inlineStr">
        <is>
          <t>SATIN-QUEEN-BLACK</t>
        </is>
      </c>
      <c r="L436" s="2" t="inlineStr">
        <is>
          <t>n/a (no target bid in audit)</t>
        </is>
      </c>
      <c r="M436" s="2" t="inlineStr">
        <is>
          <t>n/a</t>
        </is>
      </c>
      <c r="N436" s="2" t="n">
        <v>50</v>
      </c>
      <c r="O436" s="2" t="n">
        <v>50</v>
      </c>
      <c r="P436" s="21" t="n"/>
      <c r="Q436" s="21" t="n"/>
      <c r="R436" s="2" t="n"/>
      <c r="S436" s="2" t="n"/>
      <c r="T436" s="2" t="n"/>
      <c r="U436" s="2" t="n"/>
      <c r="V436" s="21" t="n">
        <v>7.7</v>
      </c>
      <c r="W436" s="21" t="n">
        <v>7.7</v>
      </c>
      <c r="X436" s="2" t="inlineStr">
        <is>
          <t>PAUSED</t>
        </is>
      </c>
      <c r="Y436" s="2" t="inlineStr">
        <is>
          <t>none</t>
        </is>
      </c>
      <c r="Z436" s="2" t="inlineStr">
        <is>
          <t>none</t>
        </is>
      </c>
      <c r="AA436" s="21" t="n">
        <v>0</v>
      </c>
      <c r="AB436" s="2" t="n">
        <v>0</v>
      </c>
      <c r="AC436" s="2" t="n">
        <v>0</v>
      </c>
      <c r="AD436" s="2" t="n"/>
      <c r="AE436" s="2" t="n"/>
      <c r="AF436" s="2" t="n"/>
      <c r="AG436" s="2" t="n">
        <v>2</v>
      </c>
      <c r="AH436" s="2" t="inlineStr">
        <is>
          <t>Retag only</t>
        </is>
      </c>
      <c r="AI436" s="22" t="inlineStr">
        <is>
          <t>retag → Conversions</t>
        </is>
      </c>
      <c r="AJ436" s="22" t="inlineStr">
        <is>
          <t>Objective UNSET → Conversions by the standard (misspelled/irrelevant term "mulberry silk sheets"); no clicks in CC 31 Aug–29 Sep.</t>
        </is>
      </c>
      <c r="AK436" s="2" t="inlineStr">
        <is>
          <t>our addition: standard → Conversions (misspelled/irrelevant term "mulberry silk sheets")</t>
        </is>
      </c>
      <c r="AL436" s="22" t="n"/>
    </row>
    <row r="437">
      <c r="A437" s="2" t="inlineStr">
        <is>
          <t>148813935626940</t>
        </is>
      </c>
      <c r="B437" s="2" t="inlineStr">
        <is>
          <t>D-S4-mulberry silk sheets king - [Silk|King] - Exact - Ran - DO - SATIN-4PC-KING-GREY</t>
        </is>
      </c>
      <c r="C437" s="2" t="inlineStr">
        <is>
          <t>mulberry silk sheets king [exact, $1.89]</t>
        </is>
      </c>
      <c r="D437" s="2" t="inlineStr">
        <is>
          <t>mulberry silk sheets king</t>
        </is>
      </c>
      <c r="E437" s="2" t="inlineStr">
        <is>
          <t>ENABLED</t>
        </is>
      </c>
      <c r="F437" s="2" t="inlineStr">
        <is>
          <t>Conversions</t>
        </is>
      </c>
      <c r="G437" s="2" t="inlineStr">
        <is>
          <t>Conversions</t>
        </is>
      </c>
      <c r="H437" s="2" t="inlineStr">
        <is>
          <t>Silk|King</t>
        </is>
      </c>
      <c r="I437" s="2" t="inlineStr">
        <is>
          <t>Exact</t>
        </is>
      </c>
      <c r="J437" s="2" t="inlineStr">
        <is>
          <t>SATIN-4PC-KING-GREY</t>
        </is>
      </c>
      <c r="K437" s="2" t="inlineStr">
        <is>
          <t>SATIN-4PC-KING-GREY</t>
        </is>
      </c>
      <c r="L437" s="2" t="inlineStr">
        <is>
          <t>$1.89</t>
        </is>
      </c>
      <c r="M437" s="2" t="inlineStr">
        <is>
          <t>$1.89</t>
        </is>
      </c>
      <c r="N437" s="2" t="n">
        <v>50</v>
      </c>
      <c r="O437" s="2" t="n">
        <v>50</v>
      </c>
      <c r="P437" s="21" t="n">
        <v>2.83</v>
      </c>
      <c r="Q437" s="21" t="n">
        <v>2.83</v>
      </c>
      <c r="R437" s="2" t="n"/>
      <c r="S437" s="2" t="n"/>
      <c r="T437" s="2" t="n"/>
      <c r="U437" s="2" t="n"/>
      <c r="V437" s="21" t="n">
        <v>18.41</v>
      </c>
      <c r="W437" s="21" t="n">
        <v>18.41</v>
      </c>
      <c r="X437" s="2" t="inlineStr">
        <is>
          <t>ENABLED</t>
        </is>
      </c>
      <c r="Y437" s="2" t="inlineStr">
        <is>
          <t>none</t>
        </is>
      </c>
      <c r="Z437" s="2" t="inlineStr">
        <is>
          <t>load (clean): DSS4-SP-MULBERRY SILK SHEETS KING-(PAT)-Targeting-(Conversion)-DO-SATIN-4PC-KING-GREY</t>
        </is>
      </c>
      <c r="AA437" s="21" t="n">
        <v>0</v>
      </c>
      <c r="AB437" s="2" t="n">
        <v>0</v>
      </c>
      <c r="AC437" s="2" t="n">
        <v>0</v>
      </c>
      <c r="AD437" s="2" t="n"/>
      <c r="AE437" s="2" t="n"/>
      <c r="AF437" s="2" t="n"/>
      <c r="AG437" s="2" t="n">
        <v>2</v>
      </c>
      <c r="AH437" s="2" t="inlineStr">
        <is>
          <t>Release hold, keep price</t>
        </is>
      </c>
      <c r="AI437" s="22" t="inlineStr">
        <is>
          <t>Release hold; keep base (no clicks 30d)</t>
        </is>
      </c>
      <c r="AJ437" s="22" t="inlineStr">
        <is>
          <t>The "0 impressions" hold is false, but the campaign had no clicks in CC 31 Aug–29 Sep, so a base cut would only lower delivery.</t>
        </is>
      </c>
      <c r="AK437" s="2" t="inlineStr">
        <is>
          <t>seq 2234 retag LOAD; seq 3337 rename LOAD; seq 1787,2048 NOT SERVING hold(s) → release; price to break-even (our addition, reviewer D)</t>
        </is>
      </c>
      <c r="AL437" s="22" t="n"/>
    </row>
    <row r="438">
      <c r="A438" s="2" t="inlineStr">
        <is>
          <t>263063367435441</t>
        </is>
      </c>
      <c r="B438" s="2" t="inlineStr">
        <is>
          <t>D-S4-mulberry silk sheets queen - [Silk|Queen] - Exact - Ran - DO - SATIN-QUEEN-BLACK</t>
        </is>
      </c>
      <c r="C438" s="2" t="inlineStr">
        <is>
          <t>mulberry silk sheets queen [exact]</t>
        </is>
      </c>
      <c r="D438" s="2" t="inlineStr">
        <is>
          <t>whole campaign</t>
        </is>
      </c>
      <c r="E438" s="2" t="inlineStr">
        <is>
          <t>PAUSED</t>
        </is>
      </c>
      <c r="F438" s="2" t="inlineStr">
        <is>
          <t>UNSET</t>
        </is>
      </c>
      <c r="G438" s="2" t="inlineStr">
        <is>
          <t>Conversions</t>
        </is>
      </c>
      <c r="H438" s="2" t="inlineStr">
        <is>
          <t>Silk|Queen</t>
        </is>
      </c>
      <c r="I438" s="2" t="inlineStr">
        <is>
          <t>Exact</t>
        </is>
      </c>
      <c r="J438" s="2" t="inlineStr">
        <is>
          <t>SATIN-QUEEN-BLACK</t>
        </is>
      </c>
      <c r="K438" s="2" t="inlineStr">
        <is>
          <t>SATIN-QUEEN-BLACK</t>
        </is>
      </c>
      <c r="L438" s="2" t="inlineStr">
        <is>
          <t>n/a (no target bid in audit)</t>
        </is>
      </c>
      <c r="M438" s="2" t="inlineStr">
        <is>
          <t>n/a</t>
        </is>
      </c>
      <c r="N438" s="2" t="n">
        <v>50</v>
      </c>
      <c r="O438" s="2" t="n">
        <v>50</v>
      </c>
      <c r="P438" s="21" t="n"/>
      <c r="Q438" s="21" t="n"/>
      <c r="R438" s="2" t="n"/>
      <c r="S438" s="2" t="n"/>
      <c r="T438" s="2" t="n"/>
      <c r="U438" s="2" t="n"/>
      <c r="V438" s="21" t="n">
        <v>13.74</v>
      </c>
      <c r="W438" s="21" t="n">
        <v>13.74</v>
      </c>
      <c r="X438" s="2" t="inlineStr">
        <is>
          <t>PAUSED</t>
        </is>
      </c>
      <c r="Y438" s="2" t="inlineStr">
        <is>
          <t>none</t>
        </is>
      </c>
      <c r="Z438" s="2" t="inlineStr">
        <is>
          <t>none</t>
        </is>
      </c>
      <c r="AA438" s="21" t="n">
        <v>0</v>
      </c>
      <c r="AB438" s="2" t="n">
        <v>0</v>
      </c>
      <c r="AC438" s="2" t="n">
        <v>0</v>
      </c>
      <c r="AD438" s="2" t="n"/>
      <c r="AE438" s="2" t="n"/>
      <c r="AF438" s="2" t="n"/>
      <c r="AG438" s="2" t="n">
        <v>1</v>
      </c>
      <c r="AH438" s="2" t="inlineStr">
        <is>
          <t>Retag only</t>
        </is>
      </c>
      <c r="AI438" s="22" t="inlineStr">
        <is>
          <t>retag → Conversions</t>
        </is>
      </c>
      <c r="AJ438" s="22" t="inlineStr">
        <is>
          <t>Objective UNSET → Conversions by the standard (misspelled/irrelevant term "mulberry silk sheets queen"); no clicks in CC 31 Aug–29 Sep.</t>
        </is>
      </c>
      <c r="AK438" s="2" t="inlineStr">
        <is>
          <t>our addition: standard → Conversions (misspelled/irrelevant term "mulberry silk sheets queen")</t>
        </is>
      </c>
      <c r="AL438" s="22" t="n"/>
    </row>
    <row r="439">
      <c r="A439" s="2" t="inlineStr">
        <is>
          <t>148912112931489</t>
        </is>
      </c>
      <c r="B439" s="2" t="inlineStr">
        <is>
          <t>D-S4-navy blue silk sheets - [Silk] - Phrase - Conv - DO - SATIN-4PC-TWIN-NAVY BLUE</t>
        </is>
      </c>
      <c r="C439" s="2" t="inlineStr">
        <is>
          <t>navy blue silk sheets [phrase]</t>
        </is>
      </c>
      <c r="D439" s="2" t="inlineStr">
        <is>
          <t>whole campaign</t>
        </is>
      </c>
      <c r="E439" s="2" t="inlineStr">
        <is>
          <t>ENABLED</t>
        </is>
      </c>
      <c r="F439" s="2" t="inlineStr">
        <is>
          <t>Conversions</t>
        </is>
      </c>
      <c r="G439" s="2" t="inlineStr">
        <is>
          <t>Discovery</t>
        </is>
      </c>
      <c r="H439" s="2" t="inlineStr">
        <is>
          <t>Silk</t>
        </is>
      </c>
      <c r="I439" s="2" t="inlineStr">
        <is>
          <t>Phrase</t>
        </is>
      </c>
      <c r="J439" s="2" t="inlineStr">
        <is>
          <t>SATIN-4PC-QUEEN-NAVY BLUE</t>
        </is>
      </c>
      <c r="K439" s="2" t="inlineStr">
        <is>
          <t>SATIN-4PC-QUEEN-NAVY BLUE</t>
        </is>
      </c>
      <c r="L439" s="2" t="inlineStr">
        <is>
          <t>n/a (no target bid in audit)</t>
        </is>
      </c>
      <c r="M439" s="2" t="inlineStr">
        <is>
          <t>n/a</t>
        </is>
      </c>
      <c r="N439" s="2" t="n">
        <v>0</v>
      </c>
      <c r="O439" s="2" t="n">
        <v>0</v>
      </c>
      <c r="P439" s="21" t="n"/>
      <c r="Q439" s="21" t="n"/>
      <c r="R439" s="2" t="n"/>
      <c r="S439" s="2" t="n"/>
      <c r="T439" s="2" t="n"/>
      <c r="U439" s="2" t="n"/>
      <c r="V439" s="21" t="n">
        <v>10</v>
      </c>
      <c r="W439" s="21" t="n">
        <v>10</v>
      </c>
      <c r="X439" s="2" t="inlineStr">
        <is>
          <t>PAUSED</t>
        </is>
      </c>
      <c r="Y439" s="2" t="inlineStr">
        <is>
          <t>none</t>
        </is>
      </c>
      <c r="Z439" s="2" t="inlineStr">
        <is>
          <t>none</t>
        </is>
      </c>
      <c r="AA439" s="21" t="n">
        <v>0</v>
      </c>
      <c r="AB439" s="2" t="n">
        <v>0</v>
      </c>
      <c r="AC439" s="2" t="n">
        <v>0</v>
      </c>
      <c r="AD439" s="2" t="n"/>
      <c r="AE439" s="2" t="n"/>
      <c r="AF439" s="2" t="n"/>
      <c r="AG439" s="2" t="n">
        <v>0</v>
      </c>
      <c r="AH439" s="2" t="inlineStr">
        <is>
          <t>Pause</t>
        </is>
      </c>
      <c r="AI439" s="22" t="inlineStr">
        <is>
          <t>Pause (seq 3340); retag → Discovery</t>
        </is>
      </c>
      <c r="AJ439" s="22" t="inlineStr">
        <is>
          <t>Duplicate discovery campaign with under 15 clicks and no order in 90 days (audit read to 29 Sep).</t>
        </is>
      </c>
      <c r="AK439" s="2" t="inlineStr">
        <is>
          <t>seq 3340 structure 3340: agree with review 40; our addition: standard → Discovery (phrase)</t>
        </is>
      </c>
      <c r="AL439" s="22" t="n"/>
    </row>
    <row r="440">
      <c r="A440" s="2" t="inlineStr">
        <is>
          <t>121999337868974</t>
        </is>
      </c>
      <c r="B440" s="2" t="inlineStr">
        <is>
          <t>D-S4-pink satin sheets - [Satin] - Exact - Ran - DO - SATIN-QUEEN-PINK</t>
        </is>
      </c>
      <c r="C440" s="2" t="inlineStr">
        <is>
          <t>pink satin sheets [exact]</t>
        </is>
      </c>
      <c r="D440" s="2" t="inlineStr">
        <is>
          <t>whole campaign</t>
        </is>
      </c>
      <c r="E440" s="2" t="inlineStr">
        <is>
          <t>PAUSED</t>
        </is>
      </c>
      <c r="F440" s="2" t="inlineStr">
        <is>
          <t>UNSET</t>
        </is>
      </c>
      <c r="G440" s="2" t="inlineStr">
        <is>
          <t>Conversions</t>
        </is>
      </c>
      <c r="H440" s="2" t="inlineStr">
        <is>
          <t>Satin</t>
        </is>
      </c>
      <c r="I440" s="2" t="inlineStr">
        <is>
          <t>Exact</t>
        </is>
      </c>
      <c r="J440" s="2" t="inlineStr">
        <is>
          <t>SATIN-QUEEN-PINK</t>
        </is>
      </c>
      <c r="K440" s="2" t="inlineStr">
        <is>
          <t>SATIN-QUEEN-PINK</t>
        </is>
      </c>
      <c r="L440" s="2" t="inlineStr">
        <is>
          <t>n/a (no target bid in audit)</t>
        </is>
      </c>
      <c r="M440" s="2" t="inlineStr">
        <is>
          <t>n/a</t>
        </is>
      </c>
      <c r="N440" s="2" t="n">
        <v>50</v>
      </c>
      <c r="O440" s="2" t="n">
        <v>50</v>
      </c>
      <c r="P440" s="21" t="n"/>
      <c r="Q440" s="21" t="n"/>
      <c r="R440" s="2" t="n"/>
      <c r="S440" s="2" t="n"/>
      <c r="T440" s="2" t="n"/>
      <c r="U440" s="2" t="n"/>
      <c r="V440" s="21" t="n">
        <v>5</v>
      </c>
      <c r="W440" s="21" t="n">
        <v>5</v>
      </c>
      <c r="X440" s="2" t="inlineStr">
        <is>
          <t>PAUSED</t>
        </is>
      </c>
      <c r="Y440" s="2" t="inlineStr">
        <is>
          <t>none</t>
        </is>
      </c>
      <c r="Z440" s="2" t="inlineStr">
        <is>
          <t>none</t>
        </is>
      </c>
      <c r="AA440" s="21" t="n">
        <v>0</v>
      </c>
      <c r="AB440" s="2" t="n">
        <v>0</v>
      </c>
      <c r="AC440" s="2" t="n">
        <v>0</v>
      </c>
      <c r="AD440" s="2" t="n"/>
      <c r="AE440" s="2" t="n"/>
      <c r="AF440" s="2" t="n"/>
      <c r="AG440" s="2" t="n">
        <v>4</v>
      </c>
      <c r="AH440" s="2" t="inlineStr">
        <is>
          <t>Keep paused</t>
        </is>
      </c>
      <c r="AI440" s="22" t="inlineStr">
        <is>
          <t>Keep paused (reject revive); retag → Conversions</t>
        </is>
      </c>
      <c r="AJ440" s="22" t="inlineStr">
        <is>
          <t>Revive rejected: 65.9% ACoS (CC 2 Jul–29 Sep).</t>
        </is>
      </c>
      <c r="AK440" s="2" t="inlineStr">
        <is>
          <t>seq 2830 structure: hold; our addition: standard → Conversions (colour term "pink satin sheets")</t>
        </is>
      </c>
      <c r="AL440" s="22" t="n"/>
    </row>
    <row r="441">
      <c r="A441" s="2" t="inlineStr">
        <is>
          <t>203521598136600</t>
        </is>
      </c>
      <c r="B441" s="2" t="inlineStr">
        <is>
          <t>D-S4-pink satin sheets queen - [Satin|Queen] - Exact - Ran - DO - SATIN-QUEEN-PINK</t>
        </is>
      </c>
      <c r="C441" s="2" t="inlineStr">
        <is>
          <t>pink satin sheets queen [exact]</t>
        </is>
      </c>
      <c r="D441" s="2" t="inlineStr">
        <is>
          <t>whole campaign</t>
        </is>
      </c>
      <c r="E441" s="2" t="inlineStr">
        <is>
          <t>ENABLED</t>
        </is>
      </c>
      <c r="F441" s="2" t="inlineStr">
        <is>
          <t>Ranking</t>
        </is>
      </c>
      <c r="G441" s="2" t="inlineStr">
        <is>
          <t>Conversions</t>
        </is>
      </c>
      <c r="H441" s="2" t="inlineStr">
        <is>
          <t>Satin|Queen</t>
        </is>
      </c>
      <c r="I441" s="2" t="inlineStr">
        <is>
          <t>Exact</t>
        </is>
      </c>
      <c r="J441" s="2" t="inlineStr">
        <is>
          <t>SATIN-QUEEN-PINK</t>
        </is>
      </c>
      <c r="K441" s="2" t="inlineStr">
        <is>
          <t>SATIN-QUEEN-PINK</t>
        </is>
      </c>
      <c r="L441" s="2" t="inlineStr">
        <is>
          <t>n/a (no target bid in audit)</t>
        </is>
      </c>
      <c r="M441" s="2" t="inlineStr">
        <is>
          <t>n/a</t>
        </is>
      </c>
      <c r="N441" s="2" t="n">
        <v>50</v>
      </c>
      <c r="O441" s="2" t="n">
        <v>50</v>
      </c>
      <c r="P441" s="21" t="n"/>
      <c r="Q441" s="21" t="n"/>
      <c r="R441" s="2" t="n"/>
      <c r="S441" s="2" t="n"/>
      <c r="T441" s="2" t="n"/>
      <c r="U441" s="2" t="n"/>
      <c r="V441" s="21" t="n">
        <v>8.880000000000001</v>
      </c>
      <c r="W441" s="21" t="n">
        <v>8.880000000000001</v>
      </c>
      <c r="X441" s="2" t="inlineStr">
        <is>
          <t>ENABLED</t>
        </is>
      </c>
      <c r="Y441" s="2" t="inlineStr">
        <is>
          <t>none</t>
        </is>
      </c>
      <c r="Z441" s="2" t="inlineStr">
        <is>
          <t>defer — engine name wrong ((Conversion)); load a corrected name after 28 Oct</t>
        </is>
      </c>
      <c r="AA441" s="21" t="n">
        <v>0</v>
      </c>
      <c r="AB441" s="2" t="n">
        <v>0</v>
      </c>
      <c r="AC441" s="2" t="n">
        <v>0</v>
      </c>
      <c r="AD441" s="2" t="n"/>
      <c r="AE441" s="2" t="n"/>
      <c r="AF441" s="2" t="n"/>
      <c r="AG441" s="2" t="n">
        <v>3</v>
      </c>
      <c r="AH441" s="2" t="inlineStr">
        <is>
          <t>Retag only</t>
        </is>
      </c>
      <c r="AI441" s="22" t="inlineStr">
        <is>
          <t>retag → Conversions</t>
        </is>
      </c>
      <c r="AJ441" s="22" t="inlineStr">
        <is>
          <t>Objective Ranking → Conversions by the standard (our retag verdict); no clicks in CC 31 Aug–29 Sep.</t>
        </is>
      </c>
      <c r="AK441" s="2" t="inlineStr">
        <is>
          <t>seq 2181 retag correct to Conversions; seq 3145 rename CHANGE</t>
        </is>
      </c>
      <c r="AL441" s="22" t="n"/>
    </row>
    <row r="442">
      <c r="A442" s="2" t="inlineStr">
        <is>
          <t>115938848716251</t>
        </is>
      </c>
      <c r="B442" s="2" t="inlineStr">
        <is>
          <t>D-S4-pink silk sheets full - [Silk|Full] - Exact - Ran - DO - SATIN-FULL-PINK</t>
        </is>
      </c>
      <c r="C442" s="2" t="inlineStr">
        <is>
          <t>pink silk sheets full [exact]</t>
        </is>
      </c>
      <c r="D442" s="2" t="inlineStr">
        <is>
          <t>whole campaign</t>
        </is>
      </c>
      <c r="E442" s="2" t="inlineStr">
        <is>
          <t>PAUSED</t>
        </is>
      </c>
      <c r="F442" s="2" t="inlineStr">
        <is>
          <t>UNSET</t>
        </is>
      </c>
      <c r="G442" s="2" t="inlineStr">
        <is>
          <t>Conversions</t>
        </is>
      </c>
      <c r="H442" s="2" t="inlineStr">
        <is>
          <t>Silk|Full</t>
        </is>
      </c>
      <c r="I442" s="2" t="inlineStr">
        <is>
          <t>Exact</t>
        </is>
      </c>
      <c r="J442" s="2" t="inlineStr">
        <is>
          <t>SATIN-FULL-PINK</t>
        </is>
      </c>
      <c r="K442" s="2" t="inlineStr">
        <is>
          <t>SATIN-FULL-PINK</t>
        </is>
      </c>
      <c r="L442" s="2" t="inlineStr">
        <is>
          <t>n/a (no target bid in audit)</t>
        </is>
      </c>
      <c r="M442" s="2" t="inlineStr">
        <is>
          <t>n/a</t>
        </is>
      </c>
      <c r="N442" s="2" t="n">
        <v>50</v>
      </c>
      <c r="O442" s="2" t="n">
        <v>50</v>
      </c>
      <c r="P442" s="21" t="n"/>
      <c r="Q442" s="21" t="n"/>
      <c r="R442" s="2" t="n"/>
      <c r="S442" s="2" t="n"/>
      <c r="T442" s="2" t="n"/>
      <c r="U442" s="2" t="n"/>
      <c r="V442" s="21" t="n">
        <v>11.14</v>
      </c>
      <c r="W442" s="21" t="n">
        <v>11.14</v>
      </c>
      <c r="X442" s="2" t="inlineStr">
        <is>
          <t>PAUSED</t>
        </is>
      </c>
      <c r="Y442" s="2" t="inlineStr">
        <is>
          <t>none</t>
        </is>
      </c>
      <c r="Z442" s="2" t="inlineStr">
        <is>
          <t>none</t>
        </is>
      </c>
      <c r="AA442" s="21" t="n">
        <v>0</v>
      </c>
      <c r="AB442" s="2" t="n">
        <v>0</v>
      </c>
      <c r="AC442" s="2" t="n">
        <v>0</v>
      </c>
      <c r="AD442" s="2" t="n"/>
      <c r="AE442" s="2" t="n"/>
      <c r="AF442" s="2" t="n"/>
      <c r="AG442" s="2" t="n">
        <v>1</v>
      </c>
      <c r="AH442" s="2" t="inlineStr">
        <is>
          <t>Retag only</t>
        </is>
      </c>
      <c r="AI442" s="22" t="inlineStr">
        <is>
          <t>retag → Conversions</t>
        </is>
      </c>
      <c r="AJ442" s="22" t="inlineStr">
        <is>
          <t>Objective UNSET → Conversions by the standard (colour term "pink silk sheets full"); no clicks in CC 31 Aug–29 Sep.</t>
        </is>
      </c>
      <c r="AK442" s="2" t="inlineStr">
        <is>
          <t>our addition: standard → Conversions (colour term "pink silk sheets full")</t>
        </is>
      </c>
      <c r="AL442" s="22" t="n"/>
    </row>
    <row r="443">
      <c r="A443" s="2" t="inlineStr">
        <is>
          <t>16896722852530</t>
        </is>
      </c>
      <c r="B443" s="2" t="inlineStr">
        <is>
          <t>D-S4-pink silk sheets queen - [Silk|Queen] - Exact - Ran - DO - SATIN-QUEEN-PINK</t>
        </is>
      </c>
      <c r="C443" s="2" t="inlineStr">
        <is>
          <t>pink silk sheets queen [exact]</t>
        </is>
      </c>
      <c r="D443" s="2" t="inlineStr">
        <is>
          <t>pink silk sheets queen</t>
        </is>
      </c>
      <c r="E443" s="2" t="inlineStr">
        <is>
          <t>ENABLED</t>
        </is>
      </c>
      <c r="F443" s="2" t="inlineStr">
        <is>
          <t>Ranking</t>
        </is>
      </c>
      <c r="G443" s="2" t="inlineStr">
        <is>
          <t>Conversions</t>
        </is>
      </c>
      <c r="H443" s="2" t="inlineStr">
        <is>
          <t>Silk|Queen</t>
        </is>
      </c>
      <c r="I443" s="2" t="inlineStr">
        <is>
          <t>Exact</t>
        </is>
      </c>
      <c r="J443" s="2" t="inlineStr">
        <is>
          <t>SATIN-QUEEN-PINK</t>
        </is>
      </c>
      <c r="K443" s="2" t="inlineStr">
        <is>
          <t>SATIN-QUEEN-PINK</t>
        </is>
      </c>
      <c r="L443" s="2" t="inlineStr">
        <is>
          <t>n/a (no target bid in audit)</t>
        </is>
      </c>
      <c r="M443" s="2" t="inlineStr">
        <is>
          <t>n/a</t>
        </is>
      </c>
      <c r="N443" s="2" t="n">
        <v>50</v>
      </c>
      <c r="O443" s="2" t="n">
        <v>50</v>
      </c>
      <c r="P443" s="21" t="n"/>
      <c r="Q443" s="21" t="n"/>
      <c r="R443" s="2" t="n"/>
      <c r="S443" s="2" t="n"/>
      <c r="T443" s="2" t="n"/>
      <c r="U443" s="2" t="n"/>
      <c r="V443" s="21" t="n">
        <v>5.64</v>
      </c>
      <c r="W443" s="21" t="n">
        <v>5.64</v>
      </c>
      <c r="X443" s="2" t="inlineStr">
        <is>
          <t>ENABLED</t>
        </is>
      </c>
      <c r="Y443" s="2" t="inlineStr">
        <is>
          <t>none</t>
        </is>
      </c>
      <c r="Z443" s="2" t="inlineStr">
        <is>
          <t>defer — engine name wrong ((Conversion)); load a corrected name after 28 Oct</t>
        </is>
      </c>
      <c r="AA443" s="21" t="n">
        <v>0</v>
      </c>
      <c r="AB443" s="2" t="n">
        <v>0</v>
      </c>
      <c r="AC443" s="2" t="n">
        <v>0</v>
      </c>
      <c r="AD443" s="2" t="n"/>
      <c r="AE443" s="2" t="n"/>
      <c r="AF443" s="2" t="n"/>
      <c r="AG443" s="2" t="n">
        <v>2</v>
      </c>
      <c r="AH443" s="2" t="inlineStr">
        <is>
          <t>Release hold, keep price</t>
        </is>
      </c>
      <c r="AI443" s="22" t="inlineStr">
        <is>
          <t>Release hold; keep base (no clicks 30d); retag → Conversions</t>
        </is>
      </c>
      <c r="AJ443" s="22" t="inlineStr">
        <is>
          <t>The "0 impressions" hold is false, but the campaign had no clicks in CC 31 Aug–29 Sep, so a base cut would only lower delivery.</t>
        </is>
      </c>
      <c r="AK443" s="2" t="inlineStr">
        <is>
          <t>seq 2171 retag correct to Conversions; seq 3115 rename CHANGE; seq 2011 NOT SERVING hold(s) → release; price to break-even (our addition, reviewer D)</t>
        </is>
      </c>
      <c r="AL443" s="22" t="n"/>
    </row>
    <row r="444">
      <c r="A444" s="2" t="inlineStr">
        <is>
          <t>55320486683422</t>
        </is>
      </c>
      <c r="B444" s="2" t="inlineStr">
        <is>
          <t>D-S4-pure silk sheet sets queen - [Silk|Queen] - Exact - Ran - DO - SATIN-QUEEN-BLACK</t>
        </is>
      </c>
      <c r="C444" s="2" t="inlineStr">
        <is>
          <t>pure silk sheet sets queen [exact]</t>
        </is>
      </c>
      <c r="D444" s="2" t="inlineStr">
        <is>
          <t>whole campaign</t>
        </is>
      </c>
      <c r="E444" s="2" t="inlineStr">
        <is>
          <t>ENABLED</t>
        </is>
      </c>
      <c r="F444" s="2" t="inlineStr">
        <is>
          <t>Conversions</t>
        </is>
      </c>
      <c r="G444" s="2" t="inlineStr">
        <is>
          <t>Conversions</t>
        </is>
      </c>
      <c r="H444" s="2" t="inlineStr">
        <is>
          <t>Silk|Queen</t>
        </is>
      </c>
      <c r="I444" s="2" t="inlineStr">
        <is>
          <t>Exact</t>
        </is>
      </c>
      <c r="J444" s="2" t="inlineStr">
        <is>
          <t>SATIN-QUEEN-BLACK</t>
        </is>
      </c>
      <c r="K444" s="2" t="inlineStr">
        <is>
          <t>SATIN-QUEEN-BLACK</t>
        </is>
      </c>
      <c r="L444" s="2" t="inlineStr">
        <is>
          <t>n/a (no target bid in audit)</t>
        </is>
      </c>
      <c r="M444" s="2" t="inlineStr">
        <is>
          <t>n/a</t>
        </is>
      </c>
      <c r="N444" s="2" t="n">
        <v>50</v>
      </c>
      <c r="O444" s="2" t="n">
        <v>50</v>
      </c>
      <c r="P444" s="21" t="n"/>
      <c r="Q444" s="21" t="n"/>
      <c r="R444" s="2" t="n"/>
      <c r="S444" s="2" t="n"/>
      <c r="T444" s="2" t="n"/>
      <c r="U444" s="2" t="n"/>
      <c r="V444" s="21" t="n">
        <v>10.99</v>
      </c>
      <c r="W444" s="21" t="n">
        <v>10.99</v>
      </c>
      <c r="X444" s="2" t="inlineStr">
        <is>
          <t>ENABLED</t>
        </is>
      </c>
      <c r="Y444" s="2" t="inlineStr">
        <is>
          <t>none</t>
        </is>
      </c>
      <c r="Z444" s="2" t="inlineStr">
        <is>
          <t>load (clean): DSS4-SP-PURE SILK SHEET SETS QUEEN-(PAT)-Targeting-(Conversion)-DO-SATIN-QUEEN-BLACK</t>
        </is>
      </c>
      <c r="AA444" s="21" t="n">
        <v>0</v>
      </c>
      <c r="AB444" s="2" t="n">
        <v>0</v>
      </c>
      <c r="AC444" s="2" t="n">
        <v>0</v>
      </c>
      <c r="AD444" s="2" t="n"/>
      <c r="AE444" s="2" t="n"/>
      <c r="AF444" s="2" t="n"/>
      <c r="AG444" s="2" t="n">
        <v>0</v>
      </c>
      <c r="AH444" s="2" t="inlineStr">
        <is>
          <t>Rename only</t>
        </is>
      </c>
      <c r="AI444" s="22" t="inlineStr">
        <is>
          <t>Load rename only</t>
        </is>
      </c>
      <c r="AJ444" s="22" t="inlineStr">
        <is>
          <t>Clean rename (SKU token and objective match what the campaign advertises); no clicks in CC 31 Aug–29 Sep.</t>
        </is>
      </c>
      <c r="AK444" s="2" t="inlineStr">
        <is>
          <t>seq 2233 retag LOAD; seq 3336 rename LOAD</t>
        </is>
      </c>
      <c r="AL444" s="22" t="n"/>
    </row>
    <row r="445">
      <c r="A445" s="2" t="inlineStr">
        <is>
          <t>277589172855252</t>
        </is>
      </c>
      <c r="B445" s="2" t="inlineStr">
        <is>
          <t>D-S4-pure silk sheet sets queen - [Silk|Queen] - Phrase - Conv - DO - SATIN-QUEEN-GREY</t>
        </is>
      </c>
      <c r="C445" s="2" t="inlineStr">
        <is>
          <t>pure silk sheet sets queen [phrase]</t>
        </is>
      </c>
      <c r="D445" s="2" t="inlineStr">
        <is>
          <t>whole campaign</t>
        </is>
      </c>
      <c r="E445" s="2" t="inlineStr">
        <is>
          <t>ENABLED</t>
        </is>
      </c>
      <c r="F445" s="2" t="inlineStr">
        <is>
          <t>Conversions</t>
        </is>
      </c>
      <c r="G445" s="2" t="inlineStr">
        <is>
          <t>Discovery</t>
        </is>
      </c>
      <c r="H445" s="2" t="inlineStr">
        <is>
          <t>Silk|Queen</t>
        </is>
      </c>
      <c r="I445" s="2" t="inlineStr">
        <is>
          <t>Phrase</t>
        </is>
      </c>
      <c r="J445" s="2" t="inlineStr">
        <is>
          <t>SATIN-QUEEN-GREY</t>
        </is>
      </c>
      <c r="K445" s="2" t="inlineStr">
        <is>
          <t>SATIN-QUEEN-GREY</t>
        </is>
      </c>
      <c r="L445" s="2" t="inlineStr">
        <is>
          <t>n/a (no target bid in audit)</t>
        </is>
      </c>
      <c r="M445" s="2" t="inlineStr">
        <is>
          <t>n/a</t>
        </is>
      </c>
      <c r="N445" s="2" t="n">
        <v>0</v>
      </c>
      <c r="O445" s="2" t="n">
        <v>0</v>
      </c>
      <c r="P445" s="21" t="n"/>
      <c r="Q445" s="21" t="n"/>
      <c r="R445" s="2" t="n"/>
      <c r="S445" s="2" t="n"/>
      <c r="T445" s="2" t="n"/>
      <c r="U445" s="2" t="n"/>
      <c r="V445" s="21" t="n">
        <v>10</v>
      </c>
      <c r="W445" s="21" t="n">
        <v>10</v>
      </c>
      <c r="X445" s="2" t="inlineStr">
        <is>
          <t>ENABLED</t>
        </is>
      </c>
      <c r="Y445" s="2" t="inlineStr">
        <is>
          <t>none</t>
        </is>
      </c>
      <c r="Z445" s="2" t="inlineStr">
        <is>
          <t>load (clean): DSS4-SP-PURE SILK SHEET SETS QUEEN-(PAT)-Targeting-(Conversion)-DO-SATIN-QUEEN-GREY</t>
        </is>
      </c>
      <c r="AA445" s="21" t="n">
        <v>0</v>
      </c>
      <c r="AB445" s="2" t="n">
        <v>0</v>
      </c>
      <c r="AC445" s="2" t="n">
        <v>0</v>
      </c>
      <c r="AD445" s="2" t="n"/>
      <c r="AE445" s="2" t="n"/>
      <c r="AF445" s="2" t="n"/>
      <c r="AG445" s="2" t="n">
        <v>0</v>
      </c>
      <c r="AH445" s="2" t="inlineStr">
        <is>
          <t>Retag only</t>
        </is>
      </c>
      <c r="AI445" s="22" t="inlineStr">
        <is>
          <t>retag → Discovery</t>
        </is>
      </c>
      <c r="AJ445" s="22" t="inlineStr">
        <is>
          <t>Objective Conversions → Discovery by the standard (phrase); no clicks in CC 31 Aug–29 Sep.</t>
        </is>
      </c>
      <c r="AK445" s="2" t="inlineStr">
        <is>
          <t>seq 3324 rename LOAD; our addition: standard → Discovery (phrase)</t>
        </is>
      </c>
      <c r="AL445" s="22" t="n"/>
    </row>
    <row r="446">
      <c r="A446" s="2" t="inlineStr">
        <is>
          <t>49007662839028</t>
        </is>
      </c>
      <c r="B446" s="2" t="inlineStr">
        <is>
          <t>D-S4-queen sateen sheet set - [Satin|Queen] - Exact - Ran - DO - SATIN-QUEEN-BLACK</t>
        </is>
      </c>
      <c r="C446" s="2" t="inlineStr">
        <is>
          <t>queen sateen sheet set [exact]</t>
        </is>
      </c>
      <c r="D446" s="2" t="inlineStr">
        <is>
          <t>—</t>
        </is>
      </c>
      <c r="E446" s="2" t="inlineStr">
        <is>
          <t>ENABLED</t>
        </is>
      </c>
      <c r="F446" s="2" t="inlineStr">
        <is>
          <t>Ranking</t>
        </is>
      </c>
      <c r="G446" s="2" t="inlineStr">
        <is>
          <t>Ranking</t>
        </is>
      </c>
      <c r="H446" s="2" t="inlineStr">
        <is>
          <t>Satin|Queen</t>
        </is>
      </c>
      <c r="I446" s="2" t="inlineStr">
        <is>
          <t>Exact</t>
        </is>
      </c>
      <c r="J446" s="2" t="inlineStr">
        <is>
          <t>SATIN-QUEEN-BLACK</t>
        </is>
      </c>
      <c r="K446" s="2" t="inlineStr">
        <is>
          <t>SATIN-QUEEN-BLACK</t>
        </is>
      </c>
      <c r="L446" s="2" t="inlineStr">
        <is>
          <t>n/a (no target bid in audit)</t>
        </is>
      </c>
      <c r="M446" s="2" t="inlineStr">
        <is>
          <t>n/a</t>
        </is>
      </c>
      <c r="N446" s="2" t="n">
        <v>50</v>
      </c>
      <c r="O446" s="2" t="n">
        <v>50</v>
      </c>
      <c r="P446" s="21" t="n"/>
      <c r="Q446" s="21" t="n"/>
      <c r="R446" s="2" t="n"/>
      <c r="S446" s="2" t="n"/>
      <c r="T446" s="2" t="n"/>
      <c r="U446" s="2" t="n"/>
      <c r="V446" s="21" t="n">
        <v>21.77</v>
      </c>
      <c r="W446" s="21" t="n">
        <v>21.77</v>
      </c>
      <c r="X446" s="2" t="inlineStr">
        <is>
          <t>ENABLED</t>
        </is>
      </c>
      <c r="Y446" s="2" t="inlineStr">
        <is>
          <t>none</t>
        </is>
      </c>
      <c r="Z446" s="2" t="inlineStr">
        <is>
          <t>defer — engine name wrong (SKU token SATIN-QUEEN-BLACK); load a corrected name after 28 Oct</t>
        </is>
      </c>
      <c r="AA446" s="21" t="n">
        <v>0</v>
      </c>
      <c r="AB446" s="2" t="n">
        <v>0</v>
      </c>
      <c r="AC446" s="2" t="n">
        <v>0</v>
      </c>
      <c r="AD446" s="2" t="n"/>
      <c r="AE446" s="2" t="n"/>
      <c r="AF446" s="2" t="n"/>
      <c r="AG446" s="2" t="n">
        <v>4</v>
      </c>
      <c r="AH446" s="2" t="inlineStr">
        <is>
          <t>No change (engine move rejected/held)</t>
        </is>
      </c>
      <c r="AI446" s="22" t="inlineStr">
        <is>
          <t>No change (reject engine child swap seq 1949; defer engine rename)</t>
        </is>
      </c>
      <c r="AJ446" s="22" t="inlineStr">
        <is>
          <t>Engine swap SATIN-QUEEN-BLACK → SATIN-4PCS-QUEEN-STONE-GREY rejected: the pick comes from the broken size map, and SATIN-QUEEN-BLACK is the size's best seller with cover (SB 30 Aug–29 Sep); the engine rename writes a wrong token and is deferred; no clicks in CC 31 Aug–29 Sep.</t>
        </is>
      </c>
      <c r="AK446" s="2" t="inlineStr">
        <is>
          <t>seq 1949 child: reject — keep SATIN-QUEEN-BLACK; seq 2216 retag LOAD; seq 3262 rename CHANGE</t>
        </is>
      </c>
      <c r="AL446" s="22" t="n"/>
    </row>
    <row r="447">
      <c r="A447" s="2" t="inlineStr">
        <is>
          <t>116060666404826</t>
        </is>
      </c>
      <c r="B447" s="2" t="inlineStr">
        <is>
          <t>D-S4-queen sateen sheet set - [Satin|Queen] - Phrase - Conv - DO - SATIN-QUEEN-GREY</t>
        </is>
      </c>
      <c r="C447" s="2" t="inlineStr">
        <is>
          <t>queen sateen sheet set [phrase]</t>
        </is>
      </c>
      <c r="D447" s="2" t="inlineStr">
        <is>
          <t>whole campaign</t>
        </is>
      </c>
      <c r="E447" s="2" t="inlineStr">
        <is>
          <t>ENABLED</t>
        </is>
      </c>
      <c r="F447" s="2" t="inlineStr">
        <is>
          <t>Conversions</t>
        </is>
      </c>
      <c r="G447" s="2" t="inlineStr">
        <is>
          <t>Discovery</t>
        </is>
      </c>
      <c r="H447" s="2" t="inlineStr">
        <is>
          <t>Satin|Queen</t>
        </is>
      </c>
      <c r="I447" s="2" t="inlineStr">
        <is>
          <t>Phrase</t>
        </is>
      </c>
      <c r="J447" s="2" t="inlineStr">
        <is>
          <t>SATIN-QUEEN-GREY</t>
        </is>
      </c>
      <c r="K447" s="2" t="inlineStr">
        <is>
          <t>SATIN-QUEEN-GREY</t>
        </is>
      </c>
      <c r="L447" s="2" t="inlineStr">
        <is>
          <t>n/a (no target bid in audit)</t>
        </is>
      </c>
      <c r="M447" s="2" t="inlineStr">
        <is>
          <t>n/a</t>
        </is>
      </c>
      <c r="N447" s="2" t="n">
        <v>0</v>
      </c>
      <c r="O447" s="2" t="n">
        <v>0</v>
      </c>
      <c r="P447" s="21" t="n"/>
      <c r="Q447" s="21" t="n"/>
      <c r="R447" s="2" t="n"/>
      <c r="S447" s="2" t="n"/>
      <c r="T447" s="2" t="n"/>
      <c r="U447" s="2" t="n"/>
      <c r="V447" s="21" t="n">
        <v>10</v>
      </c>
      <c r="W447" s="21" t="n">
        <v>10</v>
      </c>
      <c r="X447" s="2" t="inlineStr">
        <is>
          <t>PAUSED</t>
        </is>
      </c>
      <c r="Y447" s="2" t="inlineStr">
        <is>
          <t>none</t>
        </is>
      </c>
      <c r="Z447" s="2" t="inlineStr">
        <is>
          <t>none</t>
        </is>
      </c>
      <c r="AA447" s="21" t="n">
        <v>0</v>
      </c>
      <c r="AB447" s="2" t="n">
        <v>0</v>
      </c>
      <c r="AC447" s="2" t="n">
        <v>0</v>
      </c>
      <c r="AD447" s="2" t="n"/>
      <c r="AE447" s="2" t="n"/>
      <c r="AF447" s="2" t="n"/>
      <c r="AG447" s="2" t="n">
        <v>0</v>
      </c>
      <c r="AH447" s="2" t="inlineStr">
        <is>
          <t>Pause</t>
        </is>
      </c>
      <c r="AI447" s="22" t="inlineStr">
        <is>
          <t>Pause (seq 3340); retag → Discovery</t>
        </is>
      </c>
      <c r="AJ447" s="22" t="inlineStr">
        <is>
          <t>Duplicate discovery campaign with under 15 clicks and no order in 90 days (audit read to 29 Sep).</t>
        </is>
      </c>
      <c r="AK447" s="2" t="inlineStr">
        <is>
          <t>seq 3340 structure 3340: agree with review 40; our addition: standard → Discovery (phrase)</t>
        </is>
      </c>
      <c r="AL447" s="22" t="n"/>
    </row>
    <row r="448">
      <c r="A448" s="2" t="inlineStr">
        <is>
          <t>175196158559991</t>
        </is>
      </c>
      <c r="B448" s="2" t="inlineStr">
        <is>
          <t>D-S4-queen satin sheet set - [Satin|Queen] - Exact - Ran - DO - SATIN-QUEEN-BLACK</t>
        </is>
      </c>
      <c r="C448" s="2" t="inlineStr">
        <is>
          <t>queen satin sheet set [exact, $0.50]</t>
        </is>
      </c>
      <c r="D448" s="2" t="inlineStr">
        <is>
          <t>whole campaign</t>
        </is>
      </c>
      <c r="E448" s="2" t="inlineStr">
        <is>
          <t>PAUSED</t>
        </is>
      </c>
      <c r="F448" s="2" t="inlineStr">
        <is>
          <t>Ranking</t>
        </is>
      </c>
      <c r="G448" s="2" t="inlineStr">
        <is>
          <t>Ranking</t>
        </is>
      </c>
      <c r="H448" s="2" t="inlineStr">
        <is>
          <t>Satin|Queen</t>
        </is>
      </c>
      <c r="I448" s="2" t="inlineStr">
        <is>
          <t>Exact</t>
        </is>
      </c>
      <c r="J448" s="2" t="inlineStr">
        <is>
          <t>SATIN-QUEEN-BLACK</t>
        </is>
      </c>
      <c r="K448" s="2" t="inlineStr">
        <is>
          <t>SATIN-QUEEN-BLACK</t>
        </is>
      </c>
      <c r="L448" s="2" t="inlineStr">
        <is>
          <t>$0.50</t>
        </is>
      </c>
      <c r="M448" s="2" t="inlineStr">
        <is>
          <t>$0.50</t>
        </is>
      </c>
      <c r="N448" s="2" t="n">
        <v>150</v>
      </c>
      <c r="O448" s="2" t="n">
        <v>150</v>
      </c>
      <c r="P448" s="21" t="n">
        <v>1.25</v>
      </c>
      <c r="Q448" s="21" t="n">
        <v>1.25</v>
      </c>
      <c r="R448" s="2" t="n">
        <v>0</v>
      </c>
      <c r="S448" s="2" t="n">
        <v>0</v>
      </c>
      <c r="T448" s="2" t="n">
        <v>0</v>
      </c>
      <c r="U448" s="2" t="n">
        <v>0</v>
      </c>
      <c r="V448" s="21" t="n">
        <v>11.07</v>
      </c>
      <c r="W448" s="21" t="n">
        <v>11.07</v>
      </c>
      <c r="X448" s="2" t="inlineStr">
        <is>
          <t>PAUSED</t>
        </is>
      </c>
      <c r="Y448" s="2" t="inlineStr">
        <is>
          <t>none</t>
        </is>
      </c>
      <c r="Z448" s="2" t="inlineStr">
        <is>
          <t>load (clean): DSS4-SP-Queen Satin Sheet Set-[Satin|Queen]-(MSV)-Exact-(Ranking)-DO-SATIN-QUEEN-BLACK</t>
        </is>
      </c>
      <c r="AA448" s="21" t="n">
        <v>0</v>
      </c>
      <c r="AB448" s="2" t="n">
        <v>0</v>
      </c>
      <c r="AC448" s="2" t="n">
        <v>0</v>
      </c>
      <c r="AD448" s="2" t="n"/>
      <c r="AE448" s="2" t="n"/>
      <c r="AF448" s="2" t="n"/>
      <c r="AG448" s="2" t="n">
        <v>9</v>
      </c>
      <c r="AH448" s="2" t="inlineStr">
        <is>
          <t>Keep paused</t>
        </is>
      </c>
      <c r="AI448" s="22" t="inlineStr">
        <is>
          <t>Keep paused (reject revive)</t>
        </is>
      </c>
      <c r="AJ448" s="22" t="inlineStr">
        <is>
          <t>Revive rejected: Above the 27.92% break-even. The Queen Black child break-even is 17.7% (SB 8/30–9/28: $5.01 on $28.30), and the child lost −$6,420 after ads over SB 8/30–9/28. Note: structure notice seq 2846 held.</t>
        </is>
      </c>
      <c r="AK448" s="2" t="inlineStr">
        <is>
          <t>seq 2809 structure: hold (re-price by ruling D if wanted); seq 2846 structure: hold (agree); seq 3320 rename LOAD</t>
        </is>
      </c>
      <c r="AL448" s="22" t="n"/>
    </row>
    <row r="449">
      <c r="A449" s="2" t="inlineStr">
        <is>
          <t>139932818357681</t>
        </is>
      </c>
      <c r="B449" s="2" t="inlineStr">
        <is>
          <t>D-S4-queen sheet set satin - [Satin|Queen] - Phrase - Conv - DO - SATIN-QUEEN-GREY</t>
        </is>
      </c>
      <c r="C449" s="2" t="inlineStr">
        <is>
          <t>queen sheet set satin [phrase]</t>
        </is>
      </c>
      <c r="D449" s="2" t="inlineStr">
        <is>
          <t>whole campaign</t>
        </is>
      </c>
      <c r="E449" s="2" t="inlineStr">
        <is>
          <t>ENABLED</t>
        </is>
      </c>
      <c r="F449" s="2" t="inlineStr">
        <is>
          <t>Conversions</t>
        </is>
      </c>
      <c r="G449" s="2" t="inlineStr">
        <is>
          <t>Discovery</t>
        </is>
      </c>
      <c r="H449" s="2" t="inlineStr">
        <is>
          <t>Satin|Queen</t>
        </is>
      </c>
      <c r="I449" s="2" t="inlineStr">
        <is>
          <t>Phrase</t>
        </is>
      </c>
      <c r="J449" s="2" t="inlineStr">
        <is>
          <t>SATIN-QUEEN-GREY</t>
        </is>
      </c>
      <c r="K449" s="2" t="inlineStr">
        <is>
          <t>SATIN-QUEEN-GREY</t>
        </is>
      </c>
      <c r="L449" s="2" t="inlineStr">
        <is>
          <t>n/a (no target bid in audit)</t>
        </is>
      </c>
      <c r="M449" s="2" t="inlineStr">
        <is>
          <t>n/a</t>
        </is>
      </c>
      <c r="N449" s="2" t="n">
        <v>0</v>
      </c>
      <c r="O449" s="2" t="n">
        <v>0</v>
      </c>
      <c r="P449" s="21" t="n"/>
      <c r="Q449" s="21" t="n"/>
      <c r="R449" s="2" t="n"/>
      <c r="S449" s="2" t="n"/>
      <c r="T449" s="2" t="n"/>
      <c r="U449" s="2" t="n"/>
      <c r="V449" s="21" t="n">
        <v>10</v>
      </c>
      <c r="W449" s="21" t="n">
        <v>10</v>
      </c>
      <c r="X449" s="2" t="inlineStr">
        <is>
          <t>PAUSED</t>
        </is>
      </c>
      <c r="Y449" s="2" t="inlineStr">
        <is>
          <t>none</t>
        </is>
      </c>
      <c r="Z449" s="2" t="inlineStr">
        <is>
          <t>none</t>
        </is>
      </c>
      <c r="AA449" s="21" t="n">
        <v>0</v>
      </c>
      <c r="AB449" s="2" t="n">
        <v>0</v>
      </c>
      <c r="AC449" s="2" t="n">
        <v>0</v>
      </c>
      <c r="AD449" s="2" t="n"/>
      <c r="AE449" s="2" t="n"/>
      <c r="AF449" s="2" t="n"/>
      <c r="AG449" s="2" t="n">
        <v>0</v>
      </c>
      <c r="AH449" s="2" t="inlineStr">
        <is>
          <t>Pause</t>
        </is>
      </c>
      <c r="AI449" s="22" t="inlineStr">
        <is>
          <t>Pause (seq 3340); retag → Discovery</t>
        </is>
      </c>
      <c r="AJ449" s="22" t="inlineStr">
        <is>
          <t>Duplicate discovery campaign with under 15 clicks and no order in 90 days (audit read to 29 Sep).</t>
        </is>
      </c>
      <c r="AK449" s="2" t="inlineStr">
        <is>
          <t>seq 3340 structure 3340: agree with review 40; our addition: standard → Discovery (phrase)</t>
        </is>
      </c>
      <c r="AL449" s="22" t="n"/>
    </row>
    <row r="450">
      <c r="A450" s="2" t="inlineStr">
        <is>
          <t>162778552953167</t>
        </is>
      </c>
      <c r="B450" s="2" t="inlineStr">
        <is>
          <t>D-S4-queen sheet set silk - [Silk|Queen] - Phrase - Conv - DO - SATIN-4PCS-QUEEN-STONE-GREY</t>
        </is>
      </c>
      <c r="C450" s="2" t="inlineStr">
        <is>
          <t>queen sheet set silk [phrase]</t>
        </is>
      </c>
      <c r="D450" s="2" t="inlineStr">
        <is>
          <t>whole campaign</t>
        </is>
      </c>
      <c r="E450" s="2" t="inlineStr">
        <is>
          <t>ENABLED</t>
        </is>
      </c>
      <c r="F450" s="2" t="inlineStr">
        <is>
          <t>Conversions</t>
        </is>
      </c>
      <c r="G450" s="2" t="inlineStr">
        <is>
          <t>Discovery</t>
        </is>
      </c>
      <c r="H450" s="2" t="inlineStr">
        <is>
          <t>Silk|Queen</t>
        </is>
      </c>
      <c r="I450" s="2" t="inlineStr">
        <is>
          <t>Phrase</t>
        </is>
      </c>
      <c r="J450" s="2" t="inlineStr">
        <is>
          <t>SATIN-4PCS-QUEEN-STONE-GREY</t>
        </is>
      </c>
      <c r="K450" s="2" t="inlineStr">
        <is>
          <t>SATIN-4PCS-QUEEN-STONE-GREY</t>
        </is>
      </c>
      <c r="L450" s="2" t="inlineStr">
        <is>
          <t>n/a (no target bid in audit)</t>
        </is>
      </c>
      <c r="M450" s="2" t="inlineStr">
        <is>
          <t>n/a</t>
        </is>
      </c>
      <c r="N450" s="2" t="n">
        <v>0</v>
      </c>
      <c r="O450" s="2" t="n">
        <v>0</v>
      </c>
      <c r="P450" s="21" t="n"/>
      <c r="Q450" s="21" t="n"/>
      <c r="R450" s="2" t="n"/>
      <c r="S450" s="2" t="n"/>
      <c r="T450" s="2" t="n"/>
      <c r="U450" s="2" t="n"/>
      <c r="V450" s="21" t="n">
        <v>10</v>
      </c>
      <c r="W450" s="21" t="n">
        <v>10</v>
      </c>
      <c r="X450" s="2" t="inlineStr">
        <is>
          <t>PAUSED</t>
        </is>
      </c>
      <c r="Y450" s="2" t="inlineStr">
        <is>
          <t>none</t>
        </is>
      </c>
      <c r="Z450" s="2" t="inlineStr">
        <is>
          <t>none</t>
        </is>
      </c>
      <c r="AA450" s="21" t="n">
        <v>0</v>
      </c>
      <c r="AB450" s="2" t="n">
        <v>0</v>
      </c>
      <c r="AC450" s="2" t="n">
        <v>0</v>
      </c>
      <c r="AD450" s="2" t="n"/>
      <c r="AE450" s="2" t="n"/>
      <c r="AF450" s="2" t="n"/>
      <c r="AG450" s="2" t="n">
        <v>0</v>
      </c>
      <c r="AH450" s="2" t="inlineStr">
        <is>
          <t>Pause</t>
        </is>
      </c>
      <c r="AI450" s="22" t="inlineStr">
        <is>
          <t>Pause (seq 3340); retag → Discovery</t>
        </is>
      </c>
      <c r="AJ450" s="22" t="inlineStr">
        <is>
          <t>Duplicate discovery campaign with under 15 clicks and no order in 90 days (audit read to 29 Sep).</t>
        </is>
      </c>
      <c r="AK450" s="2" t="inlineStr">
        <is>
          <t>seq 3340 structure 3340: agree with review 40; our addition: standard → Discovery (phrase)</t>
        </is>
      </c>
      <c r="AL450" s="22" t="n"/>
    </row>
    <row r="451">
      <c r="A451" s="2" t="inlineStr">
        <is>
          <t>27851130064290</t>
        </is>
      </c>
      <c r="B451" s="2" t="inlineStr">
        <is>
          <t>D-S4-queen sheets satin - [Satin|Queen] - Exact - Ran - DO - SATIN-QUEEN-BLACK</t>
        </is>
      </c>
      <c r="C451" s="2" t="inlineStr">
        <is>
          <t>queen sheets satin [exact, $0.50]</t>
        </is>
      </c>
      <c r="D451" s="2" t="inlineStr">
        <is>
          <t>—</t>
        </is>
      </c>
      <c r="E451" s="2" t="inlineStr">
        <is>
          <t>ENABLED</t>
        </is>
      </c>
      <c r="F451" s="2" t="inlineStr">
        <is>
          <t>Ranking</t>
        </is>
      </c>
      <c r="G451" s="2" t="inlineStr">
        <is>
          <t>Ranking</t>
        </is>
      </c>
      <c r="H451" s="2" t="inlineStr">
        <is>
          <t>Satin|Queen</t>
        </is>
      </c>
      <c r="I451" s="2" t="inlineStr">
        <is>
          <t>Exact</t>
        </is>
      </c>
      <c r="J451" s="2" t="inlineStr">
        <is>
          <t>SATIN-QUEEN-BLACK</t>
        </is>
      </c>
      <c r="K451" s="2" t="inlineStr">
        <is>
          <t>SATIN-QUEEN-BLACK</t>
        </is>
      </c>
      <c r="L451" s="2" t="inlineStr">
        <is>
          <t>$0.50</t>
        </is>
      </c>
      <c r="M451" s="2" t="inlineStr">
        <is>
          <t>$0.50</t>
        </is>
      </c>
      <c r="N451" s="2" t="n">
        <v>80</v>
      </c>
      <c r="O451" s="2" t="n">
        <v>80</v>
      </c>
      <c r="P451" s="21" t="n">
        <v>0.9</v>
      </c>
      <c r="Q451" s="21" t="n">
        <v>0.9</v>
      </c>
      <c r="R451" s="2" t="n">
        <v>0</v>
      </c>
      <c r="S451" s="2" t="n">
        <v>0</v>
      </c>
      <c r="T451" s="2" t="n">
        <v>0</v>
      </c>
      <c r="U451" s="2" t="n">
        <v>0</v>
      </c>
      <c r="V451" s="21" t="n">
        <v>12.82</v>
      </c>
      <c r="W451" s="21" t="n">
        <v>12.82</v>
      </c>
      <c r="X451" s="2" t="inlineStr">
        <is>
          <t>ENABLED</t>
        </is>
      </c>
      <c r="Y451" s="2" t="inlineStr">
        <is>
          <t>none</t>
        </is>
      </c>
      <c r="Z451" s="2" t="inlineStr">
        <is>
          <t>defer — engine name wrong (SKU token SATIN-QUEEN-BLACK); load a corrected name after 28 Oct</t>
        </is>
      </c>
      <c r="AA451" s="21" t="n">
        <v>0</v>
      </c>
      <c r="AB451" s="2" t="n">
        <v>0</v>
      </c>
      <c r="AC451" s="2" t="n">
        <v>0</v>
      </c>
      <c r="AD451" s="2" t="n"/>
      <c r="AE451" s="2" t="n"/>
      <c r="AF451" s="2" t="n"/>
      <c r="AG451" s="2" t="n">
        <v>12</v>
      </c>
      <c r="AH451" s="2" t="inlineStr">
        <is>
          <t>No change (engine move rejected/held)</t>
        </is>
      </c>
      <c r="AI451" s="22" t="inlineStr">
        <is>
          <t>No change (reject engine child swap seq 1927; defer engine rename)</t>
        </is>
      </c>
      <c r="AJ451" s="22" t="inlineStr">
        <is>
          <t>Engine swap SATIN-QUEEN-BLACK → SATIN-4PCS-QUEEN-STONE-GREY rejected: the pick comes from the broken size map, and SATIN-QUEEN-BLACK is the size's best seller with cover (SB 30 Aug–29 Sep); the engine rename writes a wrong token and is deferred; no clicks in CC 31 Aug–29 Sep.</t>
        </is>
      </c>
      <c r="AK451" s="2" t="inlineStr">
        <is>
          <t>seq 1927 child: reject — keep SATIN-QUEEN-BLACK; seq 3209 rename CHANGE</t>
        </is>
      </c>
      <c r="AL451" s="22" t="n"/>
    </row>
    <row r="452">
      <c r="A452" s="2" t="inlineStr">
        <is>
          <t>45548703837750</t>
        </is>
      </c>
      <c r="B452" s="2" t="inlineStr">
        <is>
          <t>D-S4-queen size bed sheets silk - [Silk|Queen] - Exact - Ran - DO - SATIN-QUEEN-BLACK</t>
        </is>
      </c>
      <c r="C452" s="2" t="inlineStr">
        <is>
          <t>queen size bed sheets silk [exact]</t>
        </is>
      </c>
      <c r="D452" s="2" t="inlineStr">
        <is>
          <t>queen size bed sheets silk</t>
        </is>
      </c>
      <c r="E452" s="2" t="inlineStr">
        <is>
          <t>ENABLED</t>
        </is>
      </c>
      <c r="F452" s="2" t="inlineStr">
        <is>
          <t>Ranking</t>
        </is>
      </c>
      <c r="G452" s="2" t="inlineStr">
        <is>
          <t>Ranking</t>
        </is>
      </c>
      <c r="H452" s="2" t="inlineStr">
        <is>
          <t>Silk|Queen</t>
        </is>
      </c>
      <c r="I452" s="2" t="inlineStr">
        <is>
          <t>Exact</t>
        </is>
      </c>
      <c r="J452" s="2" t="inlineStr">
        <is>
          <t>SATIN-QUEEN-BLACK</t>
        </is>
      </c>
      <c r="K452" s="2" t="inlineStr">
        <is>
          <t>SATIN-QUEEN-BLACK</t>
        </is>
      </c>
      <c r="L452" s="2" t="inlineStr">
        <is>
          <t>n/a (no target bid in audit)</t>
        </is>
      </c>
      <c r="M452" s="2" t="inlineStr">
        <is>
          <t>n/a</t>
        </is>
      </c>
      <c r="N452" s="2" t="n">
        <v>50</v>
      </c>
      <c r="O452" s="2" t="n">
        <v>50</v>
      </c>
      <c r="P452" s="21" t="n"/>
      <c r="Q452" s="21" t="n"/>
      <c r="R452" s="2" t="n"/>
      <c r="S452" s="2" t="n"/>
      <c r="T452" s="2" t="n"/>
      <c r="U452" s="2" t="n"/>
      <c r="V452" s="21" t="n">
        <v>10.84</v>
      </c>
      <c r="W452" s="21" t="n">
        <v>10.84</v>
      </c>
      <c r="X452" s="2" t="inlineStr">
        <is>
          <t>ENABLED</t>
        </is>
      </c>
      <c r="Y452" s="2" t="inlineStr">
        <is>
          <t>none</t>
        </is>
      </c>
      <c r="Z452" s="2" t="inlineStr">
        <is>
          <t>defer — engine name wrong (SKU token SATIN-QUEEN-BLACK); load a corrected name after 28 Oct</t>
        </is>
      </c>
      <c r="AA452" s="21" t="n">
        <v>0</v>
      </c>
      <c r="AB452" s="2" t="n">
        <v>0</v>
      </c>
      <c r="AC452" s="2" t="n">
        <v>0</v>
      </c>
      <c r="AD452" s="2" t="n"/>
      <c r="AE452" s="2" t="n"/>
      <c r="AF452" s="2" t="n"/>
      <c r="AG452" s="2" t="n">
        <v>2</v>
      </c>
      <c r="AH452" s="2" t="inlineStr">
        <is>
          <t>Release hold, keep price</t>
        </is>
      </c>
      <c r="AI452" s="22" t="inlineStr">
        <is>
          <t>Release hold; keep base (no clicks 30d)</t>
        </is>
      </c>
      <c r="AJ452" s="22" t="inlineStr">
        <is>
          <t>The "0 impressions" hold is false, but the campaign had no clicks in CC 31 Aug–29 Sep, so a base cut would only lower delivery.</t>
        </is>
      </c>
      <c r="AK452" s="2" t="inlineStr">
        <is>
          <t>seq 1944 child: reject — keep SATIN-QUEEN-BLACK; seq 2213 retag LOAD; seq 3252 rename CHANGE; seq 2034 NOT SERVING hold(s) → release; price to break-even (our addition, reviewer D)</t>
        </is>
      </c>
      <c r="AL452" s="22" t="n"/>
    </row>
    <row r="453">
      <c r="A453" s="2" t="inlineStr">
        <is>
          <t>21691929485352</t>
        </is>
      </c>
      <c r="B453" s="2" t="inlineStr">
        <is>
          <t>D-S4-queen size satin sheets set - [Satin|Queen] - Phrase - Conv - DO - SATIN-QUEEN-GREY</t>
        </is>
      </c>
      <c r="C453" s="2" t="inlineStr">
        <is>
          <t>queen size satin sheets set [phrase]</t>
        </is>
      </c>
      <c r="D453" s="2" t="inlineStr">
        <is>
          <t>whole campaign</t>
        </is>
      </c>
      <c r="E453" s="2" t="inlineStr">
        <is>
          <t>ENABLED</t>
        </is>
      </c>
      <c r="F453" s="2" t="inlineStr">
        <is>
          <t>Conversions</t>
        </is>
      </c>
      <c r="G453" s="2" t="inlineStr">
        <is>
          <t>Discovery</t>
        </is>
      </c>
      <c r="H453" s="2" t="inlineStr">
        <is>
          <t>Satin|Queen</t>
        </is>
      </c>
      <c r="I453" s="2" t="inlineStr">
        <is>
          <t>Phrase</t>
        </is>
      </c>
      <c r="J453" s="2" t="inlineStr">
        <is>
          <t>SATIN-QUEEN-GREY</t>
        </is>
      </c>
      <c r="K453" s="2" t="inlineStr">
        <is>
          <t>SATIN-QUEEN-GREY</t>
        </is>
      </c>
      <c r="L453" s="2" t="inlineStr">
        <is>
          <t>n/a (no target bid in audit)</t>
        </is>
      </c>
      <c r="M453" s="2" t="inlineStr">
        <is>
          <t>n/a</t>
        </is>
      </c>
      <c r="N453" s="2" t="n">
        <v>0</v>
      </c>
      <c r="O453" s="2" t="n">
        <v>0</v>
      </c>
      <c r="P453" s="21" t="n"/>
      <c r="Q453" s="21" t="n"/>
      <c r="R453" s="2" t="n"/>
      <c r="S453" s="2" t="n"/>
      <c r="T453" s="2" t="n"/>
      <c r="U453" s="2" t="n"/>
      <c r="V453" s="21" t="n">
        <v>10</v>
      </c>
      <c r="W453" s="21" t="n">
        <v>10</v>
      </c>
      <c r="X453" s="2" t="inlineStr">
        <is>
          <t>PAUSED</t>
        </is>
      </c>
      <c r="Y453" s="2" t="inlineStr">
        <is>
          <t>none</t>
        </is>
      </c>
      <c r="Z453" s="2" t="inlineStr">
        <is>
          <t>none</t>
        </is>
      </c>
      <c r="AA453" s="21" t="n">
        <v>0</v>
      </c>
      <c r="AB453" s="2" t="n">
        <v>0</v>
      </c>
      <c r="AC453" s="2" t="n">
        <v>0</v>
      </c>
      <c r="AD453" s="2" t="n"/>
      <c r="AE453" s="2" t="n"/>
      <c r="AF453" s="2" t="n"/>
      <c r="AG453" s="2" t="n">
        <v>0</v>
      </c>
      <c r="AH453" s="2" t="inlineStr">
        <is>
          <t>Pause</t>
        </is>
      </c>
      <c r="AI453" s="22" t="inlineStr">
        <is>
          <t>Pause (seq 3340); retag → Discovery</t>
        </is>
      </c>
      <c r="AJ453" s="22" t="inlineStr">
        <is>
          <t>Duplicate discovery campaign with under 15 clicks and no order in 90 days (audit read to 29 Sep).</t>
        </is>
      </c>
      <c r="AK453" s="2" t="inlineStr">
        <is>
          <t>seq 3340 structure 3340: agree with review 40; our addition: standard → Discovery (phrase)</t>
        </is>
      </c>
      <c r="AL453" s="22" t="n"/>
    </row>
    <row r="454">
      <c r="A454" s="2" t="inlineStr">
        <is>
          <t>96945861360508</t>
        </is>
      </c>
      <c r="B454" s="2" t="inlineStr">
        <is>
          <t>D-S4-queen size sheets silk - [Silk|Queen] - Exact - Ran - DO - SATIN-QUEEN-BLACK</t>
        </is>
      </c>
      <c r="C454" s="2" t="inlineStr">
        <is>
          <t>queen size sheets silk [exact]</t>
        </is>
      </c>
      <c r="D454" s="2" t="inlineStr">
        <is>
          <t>whole campaign</t>
        </is>
      </c>
      <c r="E454" s="2" t="inlineStr">
        <is>
          <t>PAUSED</t>
        </is>
      </c>
      <c r="F454" s="2" t="inlineStr">
        <is>
          <t>UNSET</t>
        </is>
      </c>
      <c r="G454" s="2" t="inlineStr">
        <is>
          <t>Ranking</t>
        </is>
      </c>
      <c r="H454" s="2" t="inlineStr">
        <is>
          <t>Silk|Queen</t>
        </is>
      </c>
      <c r="I454" s="2" t="inlineStr">
        <is>
          <t>Exact</t>
        </is>
      </c>
      <c r="J454" s="2" t="inlineStr">
        <is>
          <t>SATIN-QUEEN-BLACK</t>
        </is>
      </c>
      <c r="K454" s="2" t="inlineStr">
        <is>
          <t>SATIN-QUEEN-BLACK</t>
        </is>
      </c>
      <c r="L454" s="2" t="inlineStr">
        <is>
          <t>n/a (no target bid in audit)</t>
        </is>
      </c>
      <c r="M454" s="2" t="inlineStr">
        <is>
          <t>n/a</t>
        </is>
      </c>
      <c r="N454" s="2" t="n">
        <v>50</v>
      </c>
      <c r="O454" s="2" t="n">
        <v>50</v>
      </c>
      <c r="P454" s="21" t="n"/>
      <c r="Q454" s="21" t="n"/>
      <c r="R454" s="2" t="n"/>
      <c r="S454" s="2" t="n"/>
      <c r="T454" s="2" t="n"/>
      <c r="U454" s="2" t="n"/>
      <c r="V454" s="21" t="n">
        <v>10.25</v>
      </c>
      <c r="W454" s="21" t="n">
        <v>10.25</v>
      </c>
      <c r="X454" s="2" t="inlineStr">
        <is>
          <t>PAUSED</t>
        </is>
      </c>
      <c r="Y454" s="2" t="inlineStr">
        <is>
          <t>none</t>
        </is>
      </c>
      <c r="Z454" s="2" t="inlineStr">
        <is>
          <t>none</t>
        </is>
      </c>
      <c r="AA454" s="21" t="n">
        <v>0</v>
      </c>
      <c r="AB454" s="2" t="n">
        <v>0</v>
      </c>
      <c r="AC454" s="2" t="n">
        <v>0</v>
      </c>
      <c r="AD454" s="2" t="n"/>
      <c r="AE454" s="2" t="n"/>
      <c r="AF454" s="2" t="n"/>
      <c r="AG454" s="2" t="n">
        <v>5</v>
      </c>
      <c r="AH454" s="2" t="inlineStr">
        <is>
          <t>Retag only</t>
        </is>
      </c>
      <c r="AI454" s="22" t="inlineStr">
        <is>
          <t>retag → Ranking</t>
        </is>
      </c>
      <c r="AJ454" s="22" t="inlineStr">
        <is>
          <t>Objective UNSET → Ranking by the standard (generic exact "queen size sheets silk"); no clicks in CC 31 Aug–29 Sep.</t>
        </is>
      </c>
      <c r="AK454" s="2" t="inlineStr">
        <is>
          <t>our addition: standard → Ranking (generic exact "queen size sheets silk")</t>
        </is>
      </c>
      <c r="AL454" s="22" t="n"/>
    </row>
    <row r="455">
      <c r="A455" s="2" t="inlineStr">
        <is>
          <t>209397703852122</t>
        </is>
      </c>
      <c r="B455" s="2" t="inlineStr">
        <is>
          <t>D-S4-queen size silk sheets set - [Silk|Queen] - Phrase - Conv - DO - SATIN-4PCS-QUEEN-STONE-GREY</t>
        </is>
      </c>
      <c r="C455" s="2" t="inlineStr">
        <is>
          <t>queen size silk sheets set [phrase]</t>
        </is>
      </c>
      <c r="D455" s="2" t="inlineStr">
        <is>
          <t>whole campaign</t>
        </is>
      </c>
      <c r="E455" s="2" t="inlineStr">
        <is>
          <t>ENABLED</t>
        </is>
      </c>
      <c r="F455" s="2" t="inlineStr">
        <is>
          <t>Conversions</t>
        </is>
      </c>
      <c r="G455" s="2" t="inlineStr">
        <is>
          <t>Discovery</t>
        </is>
      </c>
      <c r="H455" s="2" t="inlineStr">
        <is>
          <t>Silk|Queen</t>
        </is>
      </c>
      <c r="I455" s="2" t="inlineStr">
        <is>
          <t>Phrase</t>
        </is>
      </c>
      <c r="J455" s="2" t="inlineStr">
        <is>
          <t>SATIN-4PCS-QUEEN-STONE-GREY</t>
        </is>
      </c>
      <c r="K455" s="2" t="inlineStr">
        <is>
          <t>SATIN-4PCS-QUEEN-STONE-GREY</t>
        </is>
      </c>
      <c r="L455" s="2" t="inlineStr">
        <is>
          <t>n/a (no target bid in audit)</t>
        </is>
      </c>
      <c r="M455" s="2" t="inlineStr">
        <is>
          <t>n/a</t>
        </is>
      </c>
      <c r="N455" s="2" t="n">
        <v>0</v>
      </c>
      <c r="O455" s="2" t="n">
        <v>0</v>
      </c>
      <c r="P455" s="21" t="n"/>
      <c r="Q455" s="21" t="n"/>
      <c r="R455" s="2" t="n"/>
      <c r="S455" s="2" t="n"/>
      <c r="T455" s="2" t="n"/>
      <c r="U455" s="2" t="n"/>
      <c r="V455" s="21" t="n">
        <v>10</v>
      </c>
      <c r="W455" s="21" t="n">
        <v>10</v>
      </c>
      <c r="X455" s="2" t="inlineStr">
        <is>
          <t>PAUSED</t>
        </is>
      </c>
      <c r="Y455" s="2" t="inlineStr">
        <is>
          <t>none</t>
        </is>
      </c>
      <c r="Z455" s="2" t="inlineStr">
        <is>
          <t>none</t>
        </is>
      </c>
      <c r="AA455" s="21" t="n">
        <v>0</v>
      </c>
      <c r="AB455" s="2" t="n">
        <v>0</v>
      </c>
      <c r="AC455" s="2" t="n">
        <v>0</v>
      </c>
      <c r="AD455" s="2" t="n"/>
      <c r="AE455" s="2" t="n"/>
      <c r="AF455" s="2" t="n"/>
      <c r="AG455" s="2" t="n">
        <v>0</v>
      </c>
      <c r="AH455" s="2" t="inlineStr">
        <is>
          <t>Pause</t>
        </is>
      </c>
      <c r="AI455" s="22" t="inlineStr">
        <is>
          <t>Pause (seq 3340); retag → Discovery</t>
        </is>
      </c>
      <c r="AJ455" s="22" t="inlineStr">
        <is>
          <t>Duplicate discovery campaign with under 15 clicks and no order in 90 days (audit read to 29 Sep).</t>
        </is>
      </c>
      <c r="AK455" s="2" t="inlineStr">
        <is>
          <t>seq 3340 structure 3340: agree with review 40; our addition: standard → Discovery (phrase)</t>
        </is>
      </c>
      <c r="AL455" s="22" t="n"/>
    </row>
    <row r="456">
      <c r="A456" s="2" t="inlineStr">
        <is>
          <t>102492688801401</t>
        </is>
      </c>
      <c r="B456" s="2" t="inlineStr">
        <is>
          <t>D-S4-real silk sheets - [Silk] - Exact - Ran - DO - SATIN-QUEEN-BLACK</t>
        </is>
      </c>
      <c r="C456" s="2" t="inlineStr">
        <is>
          <t>real silk sheets [exact]</t>
        </is>
      </c>
      <c r="D456" s="2" t="inlineStr">
        <is>
          <t>whole campaign</t>
        </is>
      </c>
      <c r="E456" s="2" t="inlineStr">
        <is>
          <t>PAUSED</t>
        </is>
      </c>
      <c r="F456" s="2" t="inlineStr">
        <is>
          <t>UNSET</t>
        </is>
      </c>
      <c r="G456" s="2" t="inlineStr">
        <is>
          <t>Conversions</t>
        </is>
      </c>
      <c r="H456" s="2" t="inlineStr">
        <is>
          <t>Silk</t>
        </is>
      </c>
      <c r="I456" s="2" t="inlineStr">
        <is>
          <t>Exact</t>
        </is>
      </c>
      <c r="J456" s="2" t="inlineStr">
        <is>
          <t>SATIN-QUEEN-BLACK</t>
        </is>
      </c>
      <c r="K456" s="2" t="inlineStr">
        <is>
          <t>SATIN-QUEEN-BLACK</t>
        </is>
      </c>
      <c r="L456" s="2" t="inlineStr">
        <is>
          <t>n/a (no target bid in audit)</t>
        </is>
      </c>
      <c r="M456" s="2" t="inlineStr">
        <is>
          <t>n/a</t>
        </is>
      </c>
      <c r="N456" s="2" t="n">
        <v>50</v>
      </c>
      <c r="O456" s="2" t="n">
        <v>50</v>
      </c>
      <c r="P456" s="21" t="n"/>
      <c r="Q456" s="21" t="n"/>
      <c r="R456" s="2" t="n"/>
      <c r="S456" s="2" t="n"/>
      <c r="T456" s="2" t="n"/>
      <c r="U456" s="2" t="n"/>
      <c r="V456" s="21" t="n">
        <v>8.85</v>
      </c>
      <c r="W456" s="21" t="n">
        <v>8.85</v>
      </c>
      <c r="X456" s="2" t="inlineStr">
        <is>
          <t>PAUSED</t>
        </is>
      </c>
      <c r="Y456" s="2" t="inlineStr">
        <is>
          <t>none</t>
        </is>
      </c>
      <c r="Z456" s="2" t="inlineStr">
        <is>
          <t>none</t>
        </is>
      </c>
      <c r="AA456" s="21" t="n">
        <v>0</v>
      </c>
      <c r="AB456" s="2" t="n">
        <v>0</v>
      </c>
      <c r="AC456" s="2" t="n">
        <v>0</v>
      </c>
      <c r="AD456" s="2" t="n"/>
      <c r="AE456" s="2" t="n"/>
      <c r="AF456" s="2" t="n"/>
      <c r="AG456" s="2" t="n">
        <v>2</v>
      </c>
      <c r="AH456" s="2" t="inlineStr">
        <is>
          <t>Retag only</t>
        </is>
      </c>
      <c r="AI456" s="22" t="inlineStr">
        <is>
          <t>retag → Conversions</t>
        </is>
      </c>
      <c r="AJ456" s="22" t="inlineStr">
        <is>
          <t>Objective UNSET → Conversions by the standard (misspelled/irrelevant term "real silk sheets"); no clicks in CC 31 Aug–29 Sep.</t>
        </is>
      </c>
      <c r="AK456" s="2" t="inlineStr">
        <is>
          <t>our addition: standard → Conversions (misspelled/irrelevant term "real silk sheets")</t>
        </is>
      </c>
      <c r="AL456" s="22" t="n"/>
    </row>
    <row r="457">
      <c r="A457" s="2" t="inlineStr">
        <is>
          <t>141440417619048</t>
        </is>
      </c>
      <c r="B457" s="2" t="inlineStr">
        <is>
          <t>D-S4-red satin sheets queen - [Satin|Queen] - Exact - Ran - DO - SATIN-4PC-RED-QUEEN</t>
        </is>
      </c>
      <c r="C457" s="2" t="inlineStr">
        <is>
          <t>red satin sheets queen [exact]</t>
        </is>
      </c>
      <c r="D457" s="2" t="inlineStr">
        <is>
          <t>whole campaign</t>
        </is>
      </c>
      <c r="E457" s="2" t="inlineStr">
        <is>
          <t>PAUSED</t>
        </is>
      </c>
      <c r="F457" s="2" t="inlineStr">
        <is>
          <t>UNSET</t>
        </is>
      </c>
      <c r="G457" s="2" t="inlineStr">
        <is>
          <t>Conversions</t>
        </is>
      </c>
      <c r="H457" s="2" t="inlineStr">
        <is>
          <t>Satin|Queen</t>
        </is>
      </c>
      <c r="I457" s="2" t="inlineStr">
        <is>
          <t>Exact</t>
        </is>
      </c>
      <c r="J457" s="2" t="inlineStr">
        <is>
          <t>SATIN-4PC-RED-QUEEN</t>
        </is>
      </c>
      <c r="K457" s="2" t="inlineStr">
        <is>
          <t>SATIN-4PC-RED-QUEEN</t>
        </is>
      </c>
      <c r="L457" s="2" t="inlineStr">
        <is>
          <t>n/a (no target bid in audit)</t>
        </is>
      </c>
      <c r="M457" s="2" t="inlineStr">
        <is>
          <t>n/a</t>
        </is>
      </c>
      <c r="N457" s="2" t="n">
        <v>50</v>
      </c>
      <c r="O457" s="2" t="n">
        <v>50</v>
      </c>
      <c r="P457" s="21" t="n"/>
      <c r="Q457" s="21" t="n"/>
      <c r="R457" s="2" t="n"/>
      <c r="S457" s="2" t="n"/>
      <c r="T457" s="2" t="n"/>
      <c r="U457" s="2" t="n"/>
      <c r="V457" s="21" t="n">
        <v>9.9</v>
      </c>
      <c r="W457" s="21" t="n">
        <v>9.9</v>
      </c>
      <c r="X457" s="2" t="inlineStr">
        <is>
          <t>PAUSED</t>
        </is>
      </c>
      <c r="Y457" s="2" t="inlineStr">
        <is>
          <t>none</t>
        </is>
      </c>
      <c r="Z457" s="2" t="inlineStr">
        <is>
          <t>none</t>
        </is>
      </c>
      <c r="AA457" s="21" t="n">
        <v>0</v>
      </c>
      <c r="AB457" s="2" t="n">
        <v>0</v>
      </c>
      <c r="AC457" s="2" t="n">
        <v>0</v>
      </c>
      <c r="AD457" s="2" t="n"/>
      <c r="AE457" s="2" t="n"/>
      <c r="AF457" s="2" t="n"/>
      <c r="AG457" s="2" t="n">
        <v>1</v>
      </c>
      <c r="AH457" s="2" t="inlineStr">
        <is>
          <t>Keep paused</t>
        </is>
      </c>
      <c r="AI457" s="22" t="inlineStr">
        <is>
          <t>Keep paused (reject revive); retag → Conversions</t>
        </is>
      </c>
      <c r="AJ457" s="22" t="inlineStr">
        <is>
          <t>Revive rejected: Red Queen stock is at 34 units (CC 2 Jul–29 Sep).</t>
        </is>
      </c>
      <c r="AK457" s="2" t="inlineStr">
        <is>
          <t>seq 2843 structure: hold (agree); our addition: standard → Conversions (colour term "red satin sheets queen")</t>
        </is>
      </c>
      <c r="AL457" s="22" t="n"/>
    </row>
    <row r="458">
      <c r="A458" s="2" t="inlineStr">
        <is>
          <t>116201944014637</t>
        </is>
      </c>
      <c r="B458" s="2" t="inlineStr">
        <is>
          <t>D-S4-red silk sheets queen - [Silk|Queen] - Exact - Ran - DO - SATIN-4PC-RED-QUEEN</t>
        </is>
      </c>
      <c r="C458" s="2" t="inlineStr">
        <is>
          <t>red silk sheets queen [exact]</t>
        </is>
      </c>
      <c r="D458" s="2" t="inlineStr">
        <is>
          <t>red silk sheets queen</t>
        </is>
      </c>
      <c r="E458" s="2" t="inlineStr">
        <is>
          <t>ENABLED</t>
        </is>
      </c>
      <c r="F458" s="2" t="inlineStr">
        <is>
          <t>Ranking</t>
        </is>
      </c>
      <c r="G458" s="2" t="inlineStr">
        <is>
          <t>Conversions</t>
        </is>
      </c>
      <c r="H458" s="2" t="inlineStr">
        <is>
          <t>Silk|Queen</t>
        </is>
      </c>
      <c r="I458" s="2" t="inlineStr">
        <is>
          <t>Exact</t>
        </is>
      </c>
      <c r="J458" s="2" t="inlineStr">
        <is>
          <t>SATIN-4PC-RED-QUEEN</t>
        </is>
      </c>
      <c r="K458" s="2" t="inlineStr">
        <is>
          <t>SATIN-4PC-RED-QUEEN</t>
        </is>
      </c>
      <c r="L458" s="2" t="inlineStr">
        <is>
          <t>n/a (no target bid in audit)</t>
        </is>
      </c>
      <c r="M458" s="2" t="inlineStr">
        <is>
          <t>n/a</t>
        </is>
      </c>
      <c r="N458" s="2" t="n">
        <v>0</v>
      </c>
      <c r="O458" s="2" t="n">
        <v>0</v>
      </c>
      <c r="P458" s="21" t="n"/>
      <c r="Q458" s="21" t="n"/>
      <c r="R458" s="2" t="n"/>
      <c r="S458" s="2" t="n"/>
      <c r="T458" s="2" t="n"/>
      <c r="U458" s="2" t="n"/>
      <c r="V458" s="21" t="n">
        <v>15.82</v>
      </c>
      <c r="W458" s="21" t="n">
        <v>15.82</v>
      </c>
      <c r="X458" s="2" t="inlineStr">
        <is>
          <t>PAUSED</t>
        </is>
      </c>
      <c r="Y458" s="2" t="inlineStr">
        <is>
          <t>none</t>
        </is>
      </c>
      <c r="Z458" s="2" t="inlineStr">
        <is>
          <t>defer — engine name wrong ((Conversion)); load a corrected name after 28 Oct</t>
        </is>
      </c>
      <c r="AA458" s="21" t="n">
        <v>0</v>
      </c>
      <c r="AB458" s="2" t="n">
        <v>0</v>
      </c>
      <c r="AC458" s="2" t="n">
        <v>0</v>
      </c>
      <c r="AD458" s="2" t="n"/>
      <c r="AE458" s="2" t="n"/>
      <c r="AF458" s="2" t="n"/>
      <c r="AG458" s="2" t="n">
        <v>15</v>
      </c>
      <c r="AH458" s="2" t="inlineStr">
        <is>
          <t>Pause</t>
        </is>
      </c>
      <c r="AI458" s="22" t="inlineStr">
        <is>
          <t>Pause target "red silk sheets queen" (its only target — campaign goes dark); retag → Conversions</t>
        </is>
      </c>
      <c r="AJ458" s="22" t="inlineStr">
        <is>
          <t>Engine target pause agreed with review 40: Ranking campaign on a Re-Launch product whose objective is re-ranking — this campaign supports the push and is graded on its own objective's metric, never on the ranking bar (do…</t>
        </is>
      </c>
      <c r="AK458" s="2" t="inlineStr">
        <is>
          <t>seq 2054 state: agree with review 40; seq 2157 retag correct to Conversions; seq 3070 rename CHANGE</t>
        </is>
      </c>
      <c r="AL458" s="22" t="n"/>
    </row>
    <row r="459">
      <c r="A459" s="2" t="inlineStr">
        <is>
          <t>110272639698157</t>
        </is>
      </c>
      <c r="B459" s="2" t="inlineStr">
        <is>
          <t>D-S4-sateen sheets queen - [Satin|Queen] - Exact - Ran - DO - SATIN-QUEEN-BLACK</t>
        </is>
      </c>
      <c r="C459" s="2" t="inlineStr">
        <is>
          <t>sateen sheets queen [exact]</t>
        </is>
      </c>
      <c r="D459" s="2" t="inlineStr">
        <is>
          <t>whole campaign</t>
        </is>
      </c>
      <c r="E459" s="2" t="inlineStr">
        <is>
          <t>PAUSED</t>
        </is>
      </c>
      <c r="F459" s="2" t="inlineStr">
        <is>
          <t>UNSET</t>
        </is>
      </c>
      <c r="G459" s="2" t="inlineStr">
        <is>
          <t>Ranking</t>
        </is>
      </c>
      <c r="H459" s="2" t="inlineStr">
        <is>
          <t>Satin|Queen</t>
        </is>
      </c>
      <c r="I459" s="2" t="inlineStr">
        <is>
          <t>Exact</t>
        </is>
      </c>
      <c r="J459" s="2" t="inlineStr">
        <is>
          <t>SATIN-QUEEN-BLACK</t>
        </is>
      </c>
      <c r="K459" s="2" t="inlineStr">
        <is>
          <t>SATIN-QUEEN-BLACK</t>
        </is>
      </c>
      <c r="L459" s="2" t="inlineStr">
        <is>
          <t>n/a (no target bid in audit)</t>
        </is>
      </c>
      <c r="M459" s="2" t="inlineStr">
        <is>
          <t>n/a</t>
        </is>
      </c>
      <c r="N459" s="2" t="n">
        <v>50</v>
      </c>
      <c r="O459" s="2" t="n">
        <v>50</v>
      </c>
      <c r="P459" s="21" t="n"/>
      <c r="Q459" s="21" t="n"/>
      <c r="R459" s="2" t="n"/>
      <c r="S459" s="2" t="n"/>
      <c r="T459" s="2" t="n"/>
      <c r="U459" s="2" t="n"/>
      <c r="V459" s="21" t="n">
        <v>20.1</v>
      </c>
      <c r="W459" s="21" t="n">
        <v>20.1</v>
      </c>
      <c r="X459" s="2" t="inlineStr">
        <is>
          <t>PAUSED</t>
        </is>
      </c>
      <c r="Y459" s="2" t="inlineStr">
        <is>
          <t>none</t>
        </is>
      </c>
      <c r="Z459" s="2" t="inlineStr">
        <is>
          <t>none</t>
        </is>
      </c>
      <c r="AA459" s="21" t="n">
        <v>0</v>
      </c>
      <c r="AB459" s="2" t="n">
        <v>0</v>
      </c>
      <c r="AC459" s="2" t="n">
        <v>0</v>
      </c>
      <c r="AD459" s="2" t="n"/>
      <c r="AE459" s="2" t="n"/>
      <c r="AF459" s="2" t="n"/>
      <c r="AG459" s="2" t="n">
        <v>6</v>
      </c>
      <c r="AH459" s="2" t="inlineStr">
        <is>
          <t>Keep paused</t>
        </is>
      </c>
      <c r="AI459" s="22" t="inlineStr">
        <is>
          <t>Keep paused (reject revive); retag → Ranking</t>
        </is>
      </c>
      <c r="AJ459" s="22" t="inlineStr">
        <is>
          <t>Revive rejected: 53.2% ACoS (CC 2 Jul–29 Sep).</t>
        </is>
      </c>
      <c r="AK459" s="2" t="inlineStr">
        <is>
          <t>seq 2841 structure: hold; our addition: standard → Ranking (generic exact "sateen sheets queen")</t>
        </is>
      </c>
      <c r="AL459" s="22" t="n"/>
    </row>
    <row r="460">
      <c r="A460" s="2" t="inlineStr">
        <is>
          <t>138766172921460</t>
        </is>
      </c>
      <c r="B460" s="2" t="inlineStr">
        <is>
          <t>D-S4-sateen sheets queen size - [Satin|Queen] - Broad - Disc - DO - SATIN-QUEEN-GREY</t>
        </is>
      </c>
      <c r="C460" s="2" t="inlineStr">
        <is>
          <t>sateen sheets queen size [broad]</t>
        </is>
      </c>
      <c r="D460" s="2" t="inlineStr">
        <is>
          <t>whole campaign</t>
        </is>
      </c>
      <c r="E460" s="2" t="inlineStr">
        <is>
          <t>ENABLED</t>
        </is>
      </c>
      <c r="F460" s="2" t="inlineStr">
        <is>
          <t>Discovery</t>
        </is>
      </c>
      <c r="G460" s="2" t="inlineStr">
        <is>
          <t>Discovery</t>
        </is>
      </c>
      <c r="H460" s="2" t="inlineStr">
        <is>
          <t>Satin|Queen</t>
        </is>
      </c>
      <c r="I460" s="2" t="inlineStr">
        <is>
          <t>Broad</t>
        </is>
      </c>
      <c r="J460" s="2" t="inlineStr">
        <is>
          <t>SATIN-QUEEN-GREY</t>
        </is>
      </c>
      <c r="K460" s="2" t="inlineStr">
        <is>
          <t>SATIN-QUEEN-GREY</t>
        </is>
      </c>
      <c r="L460" s="2" t="inlineStr">
        <is>
          <t>n/a (no target bid in audit)</t>
        </is>
      </c>
      <c r="M460" s="2" t="inlineStr">
        <is>
          <t>n/a</t>
        </is>
      </c>
      <c r="N460" s="2" t="n">
        <v>0</v>
      </c>
      <c r="O460" s="2" t="n">
        <v>0</v>
      </c>
      <c r="P460" s="21" t="n"/>
      <c r="Q460" s="21" t="n"/>
      <c r="R460" s="2" t="n"/>
      <c r="S460" s="2" t="n"/>
      <c r="T460" s="2" t="n"/>
      <c r="U460" s="2" t="n"/>
      <c r="V460" s="21" t="n">
        <v>10</v>
      </c>
      <c r="W460" s="21" t="n">
        <v>10</v>
      </c>
      <c r="X460" s="2" t="inlineStr">
        <is>
          <t>PAUSED</t>
        </is>
      </c>
      <c r="Y460" s="2" t="inlineStr">
        <is>
          <t>none</t>
        </is>
      </c>
      <c r="Z460" s="2" t="inlineStr">
        <is>
          <t>none</t>
        </is>
      </c>
      <c r="AA460" s="21" t="n">
        <v>0</v>
      </c>
      <c r="AB460" s="2" t="n">
        <v>0</v>
      </c>
      <c r="AC460" s="2" t="n">
        <v>0</v>
      </c>
      <c r="AD460" s="2" t="n"/>
      <c r="AE460" s="2" t="n"/>
      <c r="AF460" s="2" t="n"/>
      <c r="AG460" s="2" t="n">
        <v>0</v>
      </c>
      <c r="AH460" s="2" t="inlineStr">
        <is>
          <t>Pause</t>
        </is>
      </c>
      <c r="AI460" s="22" t="inlineStr">
        <is>
          <t>Pause (seq 3340)</t>
        </is>
      </c>
      <c r="AJ460" s="22" t="inlineStr">
        <is>
          <t>Duplicate discovery campaign with under 15 clicks and no order in 90 days (audit read to 29 Sep).</t>
        </is>
      </c>
      <c r="AK460" s="2" t="inlineStr">
        <is>
          <t>seq 3340 structure 3340: agree with review 40</t>
        </is>
      </c>
      <c r="AL460" s="22" t="n"/>
    </row>
    <row r="461">
      <c r="A461" s="2" t="inlineStr">
        <is>
          <t>90189083210009</t>
        </is>
      </c>
      <c r="B461" s="2" t="inlineStr">
        <is>
          <t>D-S4-sateen sheets queen size - [Satin|Queen] - Exact - Ran - DO - SATIN-QUEEN-BLACK</t>
        </is>
      </c>
      <c r="C461" s="2" t="inlineStr">
        <is>
          <t>sateen sheets queen size [exact]</t>
        </is>
      </c>
      <c r="D461" s="2" t="inlineStr">
        <is>
          <t>whole campaign</t>
        </is>
      </c>
      <c r="E461" s="2" t="inlineStr">
        <is>
          <t>PAUSED</t>
        </is>
      </c>
      <c r="F461" s="2" t="inlineStr">
        <is>
          <t>UNSET</t>
        </is>
      </c>
      <c r="G461" s="2" t="inlineStr">
        <is>
          <t>Ranking</t>
        </is>
      </c>
      <c r="H461" s="2" t="inlineStr">
        <is>
          <t>Satin|Queen</t>
        </is>
      </c>
      <c r="I461" s="2" t="inlineStr">
        <is>
          <t>Exact</t>
        </is>
      </c>
      <c r="J461" s="2" t="inlineStr">
        <is>
          <t>SATIN-QUEEN-BLACK</t>
        </is>
      </c>
      <c r="K461" s="2" t="inlineStr">
        <is>
          <t>SATIN-QUEEN-BLACK</t>
        </is>
      </c>
      <c r="L461" s="2" t="inlineStr">
        <is>
          <t>n/a (no target bid in audit)</t>
        </is>
      </c>
      <c r="M461" s="2" t="inlineStr">
        <is>
          <t>n/a</t>
        </is>
      </c>
      <c r="N461" s="2" t="n">
        <v>50</v>
      </c>
      <c r="O461" s="2" t="n">
        <v>50</v>
      </c>
      <c r="P461" s="21" t="n"/>
      <c r="Q461" s="21" t="n"/>
      <c r="R461" s="2" t="n"/>
      <c r="S461" s="2" t="n"/>
      <c r="T461" s="2" t="n"/>
      <c r="U461" s="2" t="n"/>
      <c r="V461" s="21" t="n">
        <v>25.56</v>
      </c>
      <c r="W461" s="21" t="n">
        <v>25.56</v>
      </c>
      <c r="X461" s="2" t="inlineStr">
        <is>
          <t>PAUSED</t>
        </is>
      </c>
      <c r="Y461" s="2" t="inlineStr">
        <is>
          <t>none</t>
        </is>
      </c>
      <c r="Z461" s="2" t="inlineStr">
        <is>
          <t>none</t>
        </is>
      </c>
      <c r="AA461" s="21" t="n">
        <v>0</v>
      </c>
      <c r="AB461" s="2" t="n">
        <v>0</v>
      </c>
      <c r="AC461" s="2" t="n">
        <v>0</v>
      </c>
      <c r="AD461" s="2" t="n"/>
      <c r="AE461" s="2" t="n"/>
      <c r="AF461" s="2" t="n"/>
      <c r="AG461" s="2" t="n">
        <v>4</v>
      </c>
      <c r="AH461" s="2" t="inlineStr">
        <is>
          <t>Keep paused</t>
        </is>
      </c>
      <c r="AI461" s="22" t="inlineStr">
        <is>
          <t>Keep paused (reject revive); retag → Ranking</t>
        </is>
      </c>
      <c r="AJ461" s="22" t="inlineStr">
        <is>
          <t>Revive rejected: 156.5% ACoS (CC 2 Jul–29 Sep).</t>
        </is>
      </c>
      <c r="AK461" s="2" t="inlineStr">
        <is>
          <t>seq 2811 structure: hold; our addition: standard → Ranking (generic exact "sateen sheets queen size")</t>
        </is>
      </c>
      <c r="AL461" s="22" t="n"/>
    </row>
    <row r="462">
      <c r="A462" s="2" t="inlineStr">
        <is>
          <t>195952756183680</t>
        </is>
      </c>
      <c r="B462" s="2" t="inlineStr">
        <is>
          <t>D-S4-satin bed sheets - [Satin] - Broad - Disc - DO - SATIN-QUEEN-GREY</t>
        </is>
      </c>
      <c r="C462" s="2" t="inlineStr">
        <is>
          <t>satin bed sheets [broad]</t>
        </is>
      </c>
      <c r="D462" s="2" t="inlineStr">
        <is>
          <t>—</t>
        </is>
      </c>
      <c r="E462" s="2" t="inlineStr">
        <is>
          <t>PAUSED</t>
        </is>
      </c>
      <c r="F462" s="2" t="inlineStr">
        <is>
          <t>Discovery</t>
        </is>
      </c>
      <c r="G462" s="2" t="inlineStr">
        <is>
          <t>Discovery</t>
        </is>
      </c>
      <c r="H462" s="2" t="inlineStr">
        <is>
          <t>Satin</t>
        </is>
      </c>
      <c r="I462" s="2" t="inlineStr">
        <is>
          <t>Broad</t>
        </is>
      </c>
      <c r="J462" s="2" t="inlineStr">
        <is>
          <t>SATIN-QUEEN-GREY</t>
        </is>
      </c>
      <c r="K462" s="2" t="inlineStr">
        <is>
          <t>SATIN-QUEEN-GREY</t>
        </is>
      </c>
      <c r="L462" s="2" t="inlineStr">
        <is>
          <t>n/a (no target bid in audit)</t>
        </is>
      </c>
      <c r="M462" s="2" t="inlineStr">
        <is>
          <t>n/a</t>
        </is>
      </c>
      <c r="N462" s="2" t="n">
        <v>45</v>
      </c>
      <c r="O462" s="2" t="n">
        <v>45</v>
      </c>
      <c r="P462" s="21" t="n"/>
      <c r="Q462" s="21" t="n"/>
      <c r="R462" s="2" t="n"/>
      <c r="S462" s="2" t="n"/>
      <c r="T462" s="2" t="n"/>
      <c r="U462" s="2" t="n"/>
      <c r="V462" s="21" t="n">
        <v>10</v>
      </c>
      <c r="W462" s="21" t="n">
        <v>10</v>
      </c>
      <c r="X462" s="2" t="inlineStr">
        <is>
          <t>PAUSED</t>
        </is>
      </c>
      <c r="Y462" s="2" t="inlineStr">
        <is>
          <t>none</t>
        </is>
      </c>
      <c r="Z462" s="2" t="inlineStr">
        <is>
          <t>none</t>
        </is>
      </c>
      <c r="AA462" s="21" t="n">
        <v>0</v>
      </c>
      <c r="AB462" s="2" t="n">
        <v>0</v>
      </c>
      <c r="AC462" s="2" t="n">
        <v>0</v>
      </c>
      <c r="AD462" s="2" t="n"/>
      <c r="AE462" s="2" t="n"/>
      <c r="AF462" s="2" t="n"/>
      <c r="AG462" s="2" t="n">
        <v>1</v>
      </c>
      <c r="AH462" s="2" t="inlineStr">
        <is>
          <t>No change</t>
        </is>
      </c>
      <c r="AI462" s="22" t="inlineStr">
        <is>
          <t>Keep paused</t>
        </is>
      </c>
      <c r="AJ462" s="22" t="inlineStr">
        <is>
          <t>No run decision and no issue found; no clicks in CC 31 Aug–29 Sep.</t>
        </is>
      </c>
      <c r="AK462" s="2" t="inlineStr">
        <is>
          <t>no run decision</t>
        </is>
      </c>
      <c r="AL462" s="22" t="n"/>
    </row>
    <row r="463">
      <c r="A463" s="2" t="inlineStr">
        <is>
          <t>100715192346760</t>
        </is>
      </c>
      <c r="B463" s="2" t="inlineStr">
        <is>
          <t>D-S4-satin bed sheets - [Satin] - Exact - Ran - DO - SATIN-QUEEN-BLACK</t>
        </is>
      </c>
      <c r="C463" s="2" t="inlineStr">
        <is>
          <t>satin bed sheets [exact]</t>
        </is>
      </c>
      <c r="D463" s="2" t="inlineStr">
        <is>
          <t>whole campaign</t>
        </is>
      </c>
      <c r="E463" s="2" t="inlineStr">
        <is>
          <t>PAUSED</t>
        </is>
      </c>
      <c r="F463" s="2" t="inlineStr">
        <is>
          <t>UNSET</t>
        </is>
      </c>
      <c r="G463" s="2" t="inlineStr">
        <is>
          <t>Ranking</t>
        </is>
      </c>
      <c r="H463" s="2" t="inlineStr">
        <is>
          <t>Satin</t>
        </is>
      </c>
      <c r="I463" s="2" t="inlineStr">
        <is>
          <t>Exact</t>
        </is>
      </c>
      <c r="J463" s="2" t="inlineStr">
        <is>
          <t>SATIN-QUEEN-BLACK</t>
        </is>
      </c>
      <c r="K463" s="2" t="inlineStr">
        <is>
          <t>SATIN-QUEEN-BLACK</t>
        </is>
      </c>
      <c r="L463" s="2" t="inlineStr">
        <is>
          <t>n/a (no target bid in audit)</t>
        </is>
      </c>
      <c r="M463" s="2" t="inlineStr">
        <is>
          <t>n/a</t>
        </is>
      </c>
      <c r="N463" s="2" t="n">
        <v>50</v>
      </c>
      <c r="O463" s="2" t="n">
        <v>50</v>
      </c>
      <c r="P463" s="21" t="n"/>
      <c r="Q463" s="21" t="n"/>
      <c r="R463" s="2" t="n"/>
      <c r="S463" s="2" t="n"/>
      <c r="T463" s="2" t="n"/>
      <c r="U463" s="2" t="n"/>
      <c r="V463" s="21" t="n">
        <v>17.85</v>
      </c>
      <c r="W463" s="21" t="n">
        <v>17.85</v>
      </c>
      <c r="X463" s="2" t="inlineStr">
        <is>
          <t>PAUSED</t>
        </is>
      </c>
      <c r="Y463" s="2" t="inlineStr">
        <is>
          <t>none</t>
        </is>
      </c>
      <c r="Z463" s="2" t="inlineStr">
        <is>
          <t>none</t>
        </is>
      </c>
      <c r="AA463" s="21" t="n">
        <v>0</v>
      </c>
      <c r="AB463" s="2" t="n">
        <v>0</v>
      </c>
      <c r="AC463" s="2" t="n">
        <v>0</v>
      </c>
      <c r="AD463" s="2" t="n"/>
      <c r="AE463" s="2" t="n"/>
      <c r="AF463" s="2" t="n"/>
      <c r="AG463" s="2" t="n">
        <v>10</v>
      </c>
      <c r="AH463" s="2" t="inlineStr">
        <is>
          <t>Keep paused</t>
        </is>
      </c>
      <c r="AI463" s="22" t="inlineStr">
        <is>
          <t>Keep paused (reject revive); retag → Ranking</t>
        </is>
      </c>
      <c r="AJ463" s="22" t="inlineStr">
        <is>
          <t>Revive rejected: 71.8% ACoS (CC 2 Jul–29 Sep).</t>
        </is>
      </c>
      <c r="AK463" s="2" t="inlineStr">
        <is>
          <t>seq 2826 structure: hold; our addition: standard → Ranking (generic exact "satin bed sheets")</t>
        </is>
      </c>
      <c r="AL463" s="22" t="n"/>
    </row>
    <row r="464">
      <c r="A464" s="2" t="inlineStr">
        <is>
          <t>204224690294393</t>
        </is>
      </c>
      <c r="B464" s="2" t="inlineStr">
        <is>
          <t>D-S4-satin bed sheets king - [Satin|King] - Exact - Ran - DO - SATIN-4PC-KING-GREY</t>
        </is>
      </c>
      <c r="C464" s="2" t="inlineStr">
        <is>
          <t>satin bed sheets king [exact, $0.50]</t>
        </is>
      </c>
      <c r="D464" s="2" t="inlineStr">
        <is>
          <t>whole campaign</t>
        </is>
      </c>
      <c r="E464" s="2" t="inlineStr">
        <is>
          <t>ENABLED</t>
        </is>
      </c>
      <c r="F464" s="2" t="inlineStr">
        <is>
          <t>Ranking</t>
        </is>
      </c>
      <c r="G464" s="2" t="inlineStr">
        <is>
          <t>Ranking</t>
        </is>
      </c>
      <c r="H464" s="2" t="inlineStr">
        <is>
          <t>Satin|King</t>
        </is>
      </c>
      <c r="I464" s="2" t="inlineStr">
        <is>
          <t>Exact</t>
        </is>
      </c>
      <c r="J464" s="2" t="inlineStr">
        <is>
          <t>SATIN-4PC-KING-GREY</t>
        </is>
      </c>
      <c r="K464" s="2" t="inlineStr">
        <is>
          <t>SATIN-4PC-KING-GREY</t>
        </is>
      </c>
      <c r="L464" s="2" t="inlineStr">
        <is>
          <t>n/a (no target bid in audit)</t>
        </is>
      </c>
      <c r="M464" s="2" t="inlineStr">
        <is>
          <t>n/a</t>
        </is>
      </c>
      <c r="N464" s="2" t="n">
        <v>50</v>
      </c>
      <c r="O464" s="2" t="n">
        <v>50</v>
      </c>
      <c r="P464" s="21" t="n"/>
      <c r="Q464" s="21" t="n"/>
      <c r="R464" s="2" t="n"/>
      <c r="S464" s="2" t="n"/>
      <c r="T464" s="2" t="n"/>
      <c r="U464" s="2" t="n"/>
      <c r="V464" s="21" t="n">
        <v>11.81</v>
      </c>
      <c r="W464" s="21" t="n">
        <v>11.81</v>
      </c>
      <c r="X464" s="2" t="inlineStr">
        <is>
          <t>ENABLED</t>
        </is>
      </c>
      <c r="Y464" s="2" t="inlineStr">
        <is>
          <t>none</t>
        </is>
      </c>
      <c r="Z464" s="2" t="inlineStr">
        <is>
          <t>load (clean): DSS4-SP-Satin Bed Sheets King-[Satin|King]-(LSV)-Exact-(Ranking)-DO-SATIN-4PC-KING-GREY</t>
        </is>
      </c>
      <c r="AA464" s="21" t="n">
        <v>0</v>
      </c>
      <c r="AB464" s="2" t="n">
        <v>0</v>
      </c>
      <c r="AC464" s="2" t="n">
        <v>0</v>
      </c>
      <c r="AD464" s="2" t="n"/>
      <c r="AE464" s="2" t="n"/>
      <c r="AF464" s="2" t="n"/>
      <c r="AG464" s="2" t="n">
        <v>2</v>
      </c>
      <c r="AH464" s="2" t="inlineStr">
        <is>
          <t>Rename only</t>
        </is>
      </c>
      <c r="AI464" s="22" t="inlineStr">
        <is>
          <t>Load rename only</t>
        </is>
      </c>
      <c r="AJ464" s="22" t="inlineStr">
        <is>
          <t>Clean rename (SKU token and objective match what the campaign advertises); no clicks in CC 31 Aug–29 Sep.</t>
        </is>
      </c>
      <c r="AK464" s="2" t="inlineStr">
        <is>
          <t>seq 2182 retag LOAD; seq 3146 rename LOAD</t>
        </is>
      </c>
      <c r="AL464" s="22" t="n"/>
    </row>
    <row r="465">
      <c r="A465" s="2" t="inlineStr">
        <is>
          <t>113695227135031</t>
        </is>
      </c>
      <c r="B465" s="2" t="inlineStr">
        <is>
          <t>D-S4-satin bed sheets queen set - [Satin|Queen] - Exact - Ran - DO - SATIN-QUEEN-BLACK</t>
        </is>
      </c>
      <c r="C465" s="2" t="inlineStr">
        <is>
          <t>satin bed sheets queen set [exact, $0.50]</t>
        </is>
      </c>
      <c r="D465" s="2" t="inlineStr">
        <is>
          <t>—</t>
        </is>
      </c>
      <c r="E465" s="2" t="inlineStr">
        <is>
          <t>ENABLED</t>
        </is>
      </c>
      <c r="F465" s="2" t="inlineStr">
        <is>
          <t>Ranking</t>
        </is>
      </c>
      <c r="G465" s="2" t="inlineStr">
        <is>
          <t>Ranking</t>
        </is>
      </c>
      <c r="H465" s="2" t="inlineStr">
        <is>
          <t>Satin|Queen</t>
        </is>
      </c>
      <c r="I465" s="2" t="inlineStr">
        <is>
          <t>Exact</t>
        </is>
      </c>
      <c r="J465" s="2" t="inlineStr">
        <is>
          <t>SATIN-QUEEN-BLACK</t>
        </is>
      </c>
      <c r="K465" s="2" t="inlineStr">
        <is>
          <t>SATIN-QUEEN-BLACK</t>
        </is>
      </c>
      <c r="L465" s="2" t="inlineStr">
        <is>
          <t>n/a (no target bid in audit)</t>
        </is>
      </c>
      <c r="M465" s="2" t="inlineStr">
        <is>
          <t>n/a</t>
        </is>
      </c>
      <c r="N465" s="2" t="n">
        <v>50</v>
      </c>
      <c r="O465" s="2" t="n">
        <v>50</v>
      </c>
      <c r="P465" s="21" t="n"/>
      <c r="Q465" s="21" t="n"/>
      <c r="R465" s="2" t="n"/>
      <c r="S465" s="2" t="n"/>
      <c r="T465" s="2" t="n"/>
      <c r="U465" s="2" t="n"/>
      <c r="V465" s="21" t="n">
        <v>8.74</v>
      </c>
      <c r="W465" s="21" t="n">
        <v>8.74</v>
      </c>
      <c r="X465" s="2" t="inlineStr">
        <is>
          <t>ENABLED</t>
        </is>
      </c>
      <c r="Y465" s="2" t="inlineStr">
        <is>
          <t>none</t>
        </is>
      </c>
      <c r="Z465" s="2" t="inlineStr">
        <is>
          <t>defer — engine name wrong (SKU token SATIN-QUEEN-BLACK); load a corrected name after 28 Oct</t>
        </is>
      </c>
      <c r="AA465" s="21" t="n">
        <v>0</v>
      </c>
      <c r="AB465" s="2" t="n">
        <v>0</v>
      </c>
      <c r="AC465" s="2" t="n">
        <v>0</v>
      </c>
      <c r="AD465" s="2" t="n"/>
      <c r="AE465" s="2" t="n"/>
      <c r="AF465" s="2" t="n"/>
      <c r="AG465" s="2" t="n">
        <v>0</v>
      </c>
      <c r="AH465" s="2" t="inlineStr">
        <is>
          <t>No change (engine move rejected/held)</t>
        </is>
      </c>
      <c r="AI465" s="22" t="inlineStr">
        <is>
          <t>No change (reject engine child swap seq 1883; defer engine rename)</t>
        </is>
      </c>
      <c r="AJ465" s="22" t="inlineStr">
        <is>
          <t>Engine swap SATIN-QUEEN-BLACK → SATIN-4PCS-QUEEN-STONE-GREY rejected: the pick comes from the broken size map, and SATIN-QUEEN-BLACK is the size's best seller with cover (SB 30 Aug–29 Sep); the engine rename writes a wrong token and is deferred; no clicks in CC 31 Aug–29 Sep.</t>
        </is>
      </c>
      <c r="AK465" s="2" t="inlineStr">
        <is>
          <t>seq 1883 child: reject — keep SATIN-QUEEN-BLACK; seq 2155 retag LOAD; seq 3067 rename CHANGE</t>
        </is>
      </c>
      <c r="AL465" s="22" t="n"/>
    </row>
    <row r="466">
      <c r="A466" s="2" t="inlineStr">
        <is>
          <t>167555934961921</t>
        </is>
      </c>
      <c r="B466" s="2" t="inlineStr">
        <is>
          <t>D-S4-satin bed sheets twin - [Satin|Twin] - Phrase - Conv - DO - SATIN-STRIPE-TWIN-WHITE</t>
        </is>
      </c>
      <c r="C466" s="2" t="inlineStr">
        <is>
          <t>satin bed sheets twin [phrase]</t>
        </is>
      </c>
      <c r="D466" s="2" t="inlineStr">
        <is>
          <t>whole campaign</t>
        </is>
      </c>
      <c r="E466" s="2" t="inlineStr">
        <is>
          <t>ENABLED</t>
        </is>
      </c>
      <c r="F466" s="2" t="inlineStr">
        <is>
          <t>Conversions</t>
        </is>
      </c>
      <c r="G466" s="2" t="inlineStr">
        <is>
          <t>Discovery</t>
        </is>
      </c>
      <c r="H466" s="2" t="inlineStr">
        <is>
          <t>Satin|Twin</t>
        </is>
      </c>
      <c r="I466" s="2" t="inlineStr">
        <is>
          <t>Phrase</t>
        </is>
      </c>
      <c r="J466" s="2" t="inlineStr">
        <is>
          <t>SATIN-TWIN-GREY</t>
        </is>
      </c>
      <c r="K466" s="2" t="inlineStr">
        <is>
          <t>SATIN-TWIN-GREY</t>
        </is>
      </c>
      <c r="L466" s="2" t="inlineStr">
        <is>
          <t>n/a (no target bid in audit)</t>
        </is>
      </c>
      <c r="M466" s="2" t="inlineStr">
        <is>
          <t>n/a</t>
        </is>
      </c>
      <c r="N466" s="2" t="n">
        <v>0</v>
      </c>
      <c r="O466" s="2" t="n">
        <v>0</v>
      </c>
      <c r="P466" s="21" t="n"/>
      <c r="Q466" s="21" t="n"/>
      <c r="R466" s="2" t="n"/>
      <c r="S466" s="2" t="n"/>
      <c r="T466" s="2" t="n"/>
      <c r="U466" s="2" t="n"/>
      <c r="V466" s="21" t="n">
        <v>10</v>
      </c>
      <c r="W466" s="21" t="n">
        <v>10</v>
      </c>
      <c r="X466" s="2" t="inlineStr">
        <is>
          <t>PAUSED</t>
        </is>
      </c>
      <c r="Y466" s="2" t="inlineStr">
        <is>
          <t>none</t>
        </is>
      </c>
      <c r="Z466" s="2" t="inlineStr">
        <is>
          <t>none</t>
        </is>
      </c>
      <c r="AA466" s="21" t="n">
        <v>0</v>
      </c>
      <c r="AB466" s="2" t="n">
        <v>0</v>
      </c>
      <c r="AC466" s="2" t="n">
        <v>0</v>
      </c>
      <c r="AD466" s="2" t="n"/>
      <c r="AE466" s="2" t="n"/>
      <c r="AF466" s="2" t="n"/>
      <c r="AG466" s="2" t="n">
        <v>0</v>
      </c>
      <c r="AH466" s="2" t="inlineStr">
        <is>
          <t>Pause</t>
        </is>
      </c>
      <c r="AI466" s="22" t="inlineStr">
        <is>
          <t>Pause (seq 3340); retag → Discovery</t>
        </is>
      </c>
      <c r="AJ466" s="22" t="inlineStr">
        <is>
          <t>Duplicate discovery campaign with under 15 clicks and no order in 90 days (audit read to 29 Sep).</t>
        </is>
      </c>
      <c r="AK466" s="2" t="inlineStr">
        <is>
          <t>seq 3340 structure 3340: agree with review 40; our addition: standard → Discovery (phrase)</t>
        </is>
      </c>
      <c r="AL466" s="22" t="n"/>
    </row>
    <row r="467">
      <c r="A467" s="2" t="inlineStr">
        <is>
          <t>48944387061683</t>
        </is>
      </c>
      <c r="B467" s="2" t="inlineStr">
        <is>
          <t>D-S4-satin black sheets - [Satin] - Exact - Ran - DO - SATIN-QUEEN-BLACK</t>
        </is>
      </c>
      <c r="C467" s="2" t="inlineStr">
        <is>
          <t>satin black sheets [exact, $0.50]</t>
        </is>
      </c>
      <c r="D467" s="2" t="inlineStr">
        <is>
          <t>whole campaign</t>
        </is>
      </c>
      <c r="E467" s="2" t="inlineStr">
        <is>
          <t>ENABLED</t>
        </is>
      </c>
      <c r="F467" s="2" t="inlineStr">
        <is>
          <t>Ranking</t>
        </is>
      </c>
      <c r="G467" s="2" t="inlineStr">
        <is>
          <t>Conversions</t>
        </is>
      </c>
      <c r="H467" s="2" t="inlineStr">
        <is>
          <t>Satin</t>
        </is>
      </c>
      <c r="I467" s="2" t="inlineStr">
        <is>
          <t>Exact</t>
        </is>
      </c>
      <c r="J467" s="2" t="inlineStr">
        <is>
          <t>SATIN-QUEEN-BLACK</t>
        </is>
      </c>
      <c r="K467" s="2" t="inlineStr">
        <is>
          <t>SATIN-QUEEN-BLACK</t>
        </is>
      </c>
      <c r="L467" s="2" t="inlineStr">
        <is>
          <t>n/a (no target bid in audit)</t>
        </is>
      </c>
      <c r="M467" s="2" t="inlineStr">
        <is>
          <t>n/a</t>
        </is>
      </c>
      <c r="N467" s="2" t="n">
        <v>50</v>
      </c>
      <c r="O467" s="2" t="n">
        <v>50</v>
      </c>
      <c r="P467" s="21" t="n"/>
      <c r="Q467" s="21" t="n"/>
      <c r="R467" s="2" t="n"/>
      <c r="S467" s="2" t="n"/>
      <c r="T467" s="2" t="n"/>
      <c r="U467" s="2" t="n"/>
      <c r="V467" s="21" t="n">
        <v>7.89</v>
      </c>
      <c r="W467" s="21" t="n">
        <v>7.89</v>
      </c>
      <c r="X467" s="2" t="inlineStr">
        <is>
          <t>ENABLED</t>
        </is>
      </c>
      <c r="Y467" s="2" t="inlineStr">
        <is>
          <t>none</t>
        </is>
      </c>
      <c r="Z467" s="2" t="inlineStr">
        <is>
          <t>defer — engine name wrong ((Conversion)); load a corrected name after 28 Oct</t>
        </is>
      </c>
      <c r="AA467" s="21" t="n">
        <v>0</v>
      </c>
      <c r="AB467" s="2" t="n">
        <v>0</v>
      </c>
      <c r="AC467" s="2" t="n">
        <v>0</v>
      </c>
      <c r="AD467" s="2" t="n"/>
      <c r="AE467" s="2" t="n"/>
      <c r="AF467" s="2" t="n"/>
      <c r="AG467" s="2" t="n">
        <v>1</v>
      </c>
      <c r="AH467" s="2" t="inlineStr">
        <is>
          <t>Retag only</t>
        </is>
      </c>
      <c r="AI467" s="22" t="inlineStr">
        <is>
          <t>retag → Conversions</t>
        </is>
      </c>
      <c r="AJ467" s="22" t="inlineStr">
        <is>
          <t>Objective Ranking → Conversions by the standard (our retag verdict); no clicks in CC 31 Aug–29 Sep.</t>
        </is>
      </c>
      <c r="AK467" s="2" t="inlineStr">
        <is>
          <t>seq 2215 retag correct to Conversions; seq 3260 rename CHANGE</t>
        </is>
      </c>
      <c r="AL467" s="22" t="n"/>
    </row>
    <row r="468">
      <c r="A468" s="2" t="inlineStr">
        <is>
          <t>243997314795312</t>
        </is>
      </c>
      <c r="B468" s="2" t="inlineStr">
        <is>
          <t>D-S4-satin flat sheet - [Satin] - Exact - Ran - DO - SATIN-QUEEN-BLACK</t>
        </is>
      </c>
      <c r="C468" s="2" t="inlineStr">
        <is>
          <t>satin flat sheet [exact]</t>
        </is>
      </c>
      <c r="D468" s="2" t="inlineStr">
        <is>
          <t>whole campaign</t>
        </is>
      </c>
      <c r="E468" s="2" t="inlineStr">
        <is>
          <t>ENABLED</t>
        </is>
      </c>
      <c r="F468" s="2" t="inlineStr">
        <is>
          <t>Conversions</t>
        </is>
      </c>
      <c r="G468" s="2" t="inlineStr">
        <is>
          <t>Conversions</t>
        </is>
      </c>
      <c r="H468" s="2" t="inlineStr">
        <is>
          <t>Satin</t>
        </is>
      </c>
      <c r="I468" s="2" t="inlineStr">
        <is>
          <t>Exact</t>
        </is>
      </c>
      <c r="J468" s="2" t="inlineStr">
        <is>
          <t>SATIN-QUEEN-BLACK</t>
        </is>
      </c>
      <c r="K468" s="2" t="inlineStr">
        <is>
          <t>SATIN-QUEEN-BLACK</t>
        </is>
      </c>
      <c r="L468" s="2" t="inlineStr">
        <is>
          <t>n/a (no target bid in audit)</t>
        </is>
      </c>
      <c r="M468" s="2" t="inlineStr">
        <is>
          <t>n/a</t>
        </is>
      </c>
      <c r="N468" s="2" t="n">
        <v>50</v>
      </c>
      <c r="O468" s="2" t="n">
        <v>50</v>
      </c>
      <c r="P468" s="21" t="n"/>
      <c r="Q468" s="21" t="n"/>
      <c r="R468" s="2" t="n"/>
      <c r="S468" s="2" t="n"/>
      <c r="T468" s="2" t="n"/>
      <c r="U468" s="2" t="n"/>
      <c r="V468" s="21" t="n">
        <v>6.46</v>
      </c>
      <c r="W468" s="21" t="n">
        <v>6.46</v>
      </c>
      <c r="X468" s="2" t="inlineStr">
        <is>
          <t>ENABLED</t>
        </is>
      </c>
      <c r="Y468" s="2" t="inlineStr">
        <is>
          <t>none</t>
        </is>
      </c>
      <c r="Z468" s="2" t="inlineStr">
        <is>
          <t>load (clean): DSS4-SP-Satin Flat Sheet-(LSV)-Exact-(Conversion)-DO-SATIN-QUEEN-BLACK</t>
        </is>
      </c>
      <c r="AA468" s="21" t="n">
        <v>0</v>
      </c>
      <c r="AB468" s="2" t="n">
        <v>0</v>
      </c>
      <c r="AC468" s="2" t="n">
        <v>0</v>
      </c>
      <c r="AD468" s="2" t="n"/>
      <c r="AE468" s="2" t="n"/>
      <c r="AF468" s="2" t="n"/>
      <c r="AG468" s="2" t="n">
        <v>0</v>
      </c>
      <c r="AH468" s="2" t="inlineStr">
        <is>
          <t>Rename only</t>
        </is>
      </c>
      <c r="AI468" s="22" t="inlineStr">
        <is>
          <t>Load rename only</t>
        </is>
      </c>
      <c r="AJ468" s="22" t="inlineStr">
        <is>
          <t>Clean rename (SKU token and objective match what the campaign advertises); no clicks in CC 31 Aug–29 Sep.</t>
        </is>
      </c>
      <c r="AK468" s="2" t="inlineStr">
        <is>
          <t>seq 2196 retag LOAD; seq 3184 rename LOAD</t>
        </is>
      </c>
      <c r="AL468" s="22" t="n"/>
    </row>
    <row r="469">
      <c r="A469" s="2" t="inlineStr">
        <is>
          <t>169619101234250</t>
        </is>
      </c>
      <c r="B469" s="2" t="inlineStr">
        <is>
          <t>D-S4-satin flat sheet - [Satin] - Phrase - Conv - DO - SATIN-QUEEN-GREY</t>
        </is>
      </c>
      <c r="C469" s="2" t="inlineStr">
        <is>
          <t>satin flat sheet [phrase]</t>
        </is>
      </c>
      <c r="D469" s="2" t="inlineStr">
        <is>
          <t>whole campaign</t>
        </is>
      </c>
      <c r="E469" s="2" t="inlineStr">
        <is>
          <t>ENABLED</t>
        </is>
      </c>
      <c r="F469" s="2" t="inlineStr">
        <is>
          <t>Conversions</t>
        </is>
      </c>
      <c r="G469" s="2" t="inlineStr">
        <is>
          <t>Discovery</t>
        </is>
      </c>
      <c r="H469" s="2" t="inlineStr">
        <is>
          <t>Satin</t>
        </is>
      </c>
      <c r="I469" s="2" t="inlineStr">
        <is>
          <t>Phrase</t>
        </is>
      </c>
      <c r="J469" s="2" t="inlineStr">
        <is>
          <t>SATIN-QUEEN-GREY</t>
        </is>
      </c>
      <c r="K469" s="2" t="inlineStr">
        <is>
          <t>SATIN-QUEEN-GREY</t>
        </is>
      </c>
      <c r="L469" s="2" t="inlineStr">
        <is>
          <t>n/a (no target bid in audit)</t>
        </is>
      </c>
      <c r="M469" s="2" t="inlineStr">
        <is>
          <t>n/a</t>
        </is>
      </c>
      <c r="N469" s="2" t="n">
        <v>0</v>
      </c>
      <c r="O469" s="2" t="n">
        <v>0</v>
      </c>
      <c r="P469" s="21" t="n"/>
      <c r="Q469" s="21" t="n"/>
      <c r="R469" s="2" t="n"/>
      <c r="S469" s="2" t="n"/>
      <c r="T469" s="2" t="n"/>
      <c r="U469" s="2" t="n"/>
      <c r="V469" s="21" t="n">
        <v>10</v>
      </c>
      <c r="W469" s="21" t="n">
        <v>10</v>
      </c>
      <c r="X469" s="2" t="inlineStr">
        <is>
          <t>PAUSED</t>
        </is>
      </c>
      <c r="Y469" s="2" t="inlineStr">
        <is>
          <t>none</t>
        </is>
      </c>
      <c r="Z469" s="2" t="inlineStr">
        <is>
          <t>none</t>
        </is>
      </c>
      <c r="AA469" s="21" t="n">
        <v>0</v>
      </c>
      <c r="AB469" s="2" t="n">
        <v>0</v>
      </c>
      <c r="AC469" s="2" t="n">
        <v>0</v>
      </c>
      <c r="AD469" s="2" t="n"/>
      <c r="AE469" s="2" t="n"/>
      <c r="AF469" s="2" t="n"/>
      <c r="AG469" s="2" t="n">
        <v>1</v>
      </c>
      <c r="AH469" s="2" t="inlineStr">
        <is>
          <t>Pause</t>
        </is>
      </c>
      <c r="AI469" s="22" t="inlineStr">
        <is>
          <t>Pause (seq 2854); retag → Discovery</t>
        </is>
      </c>
      <c r="AJ469" s="22" t="inlineStr">
        <is>
          <t>Second discovery campaign in its family (fold = pause; only negatives move).</t>
        </is>
      </c>
      <c r="AK469" s="2" t="inlineStr">
        <is>
          <t>seq 2854 structure: agree with review 40; our addition: standard → Discovery (phrase)</t>
        </is>
      </c>
      <c r="AL469" s="22" t="n"/>
    </row>
    <row r="470">
      <c r="A470" s="2" t="inlineStr">
        <is>
          <t>169098552098912</t>
        </is>
      </c>
      <c r="B470" s="2" t="inlineStr">
        <is>
          <t>D-S4-satin king sheets - [Satin|King] - Exact - Ran - DO - SATIN-4PC-KING-GREY</t>
        </is>
      </c>
      <c r="C470" s="2" t="inlineStr">
        <is>
          <t>satin king sheets [exact]</t>
        </is>
      </c>
      <c r="D470" s="2" t="inlineStr">
        <is>
          <t>whole campaign</t>
        </is>
      </c>
      <c r="E470" s="2" t="inlineStr">
        <is>
          <t>PAUSED</t>
        </is>
      </c>
      <c r="F470" s="2" t="inlineStr">
        <is>
          <t>UNSET</t>
        </is>
      </c>
      <c r="G470" s="2" t="inlineStr">
        <is>
          <t>Ranking</t>
        </is>
      </c>
      <c r="H470" s="2" t="inlineStr">
        <is>
          <t>Satin|King</t>
        </is>
      </c>
      <c r="I470" s="2" t="inlineStr">
        <is>
          <t>Exact</t>
        </is>
      </c>
      <c r="J470" s="2" t="inlineStr">
        <is>
          <t>SATIN-4PC-KING-GREY</t>
        </is>
      </c>
      <c r="K470" s="2" t="inlineStr">
        <is>
          <t>SATIN-4PC-KING-GREY</t>
        </is>
      </c>
      <c r="L470" s="2" t="inlineStr">
        <is>
          <t>n/a (no target bid in audit)</t>
        </is>
      </c>
      <c r="M470" s="2" t="inlineStr">
        <is>
          <t>n/a</t>
        </is>
      </c>
      <c r="N470" s="2" t="n">
        <v>50</v>
      </c>
      <c r="O470" s="2" t="n">
        <v>50</v>
      </c>
      <c r="P470" s="21" t="n"/>
      <c r="Q470" s="21" t="n"/>
      <c r="R470" s="2" t="n"/>
      <c r="S470" s="2" t="n"/>
      <c r="T470" s="2" t="n"/>
      <c r="U470" s="2" t="n"/>
      <c r="V470" s="21" t="n">
        <v>18.29</v>
      </c>
      <c r="W470" s="21" t="n">
        <v>18.29</v>
      </c>
      <c r="X470" s="2" t="inlineStr">
        <is>
          <t>PAUSED</t>
        </is>
      </c>
      <c r="Y470" s="2" t="inlineStr">
        <is>
          <t>none</t>
        </is>
      </c>
      <c r="Z470" s="2" t="inlineStr">
        <is>
          <t>none</t>
        </is>
      </c>
      <c r="AA470" s="21" t="n">
        <v>0</v>
      </c>
      <c r="AB470" s="2" t="n">
        <v>0</v>
      </c>
      <c r="AC470" s="2" t="n">
        <v>0</v>
      </c>
      <c r="AD470" s="2" t="n"/>
      <c r="AE470" s="2" t="n"/>
      <c r="AF470" s="2" t="n"/>
      <c r="AG470" s="2" t="n">
        <v>4</v>
      </c>
      <c r="AH470" s="2" t="inlineStr">
        <is>
          <t>Keep paused</t>
        </is>
      </c>
      <c r="AI470" s="22" t="inlineStr">
        <is>
          <t>Keep paused (reject revive); retag → Ranking</t>
        </is>
      </c>
      <c r="AJ470" s="22" t="inlineStr">
        <is>
          <t>Revive rejected: Margin, not stock (CC 2 Jul–29 Sep).</t>
        </is>
      </c>
      <c r="AK470" s="2" t="inlineStr">
        <is>
          <t>seq 2837 structure: hold, reason corrected; our addition: standard → Ranking (generic exact "satin king sheets")</t>
        </is>
      </c>
      <c r="AL470" s="22" t="n"/>
    </row>
    <row r="471">
      <c r="A471" s="2" t="inlineStr">
        <is>
          <t>213666155638399</t>
        </is>
      </c>
      <c r="B471" s="2" t="inlineStr">
        <is>
          <t>D-S4-satin king sheets set - [Satin|King] - Phrase - Conv - DO - SATIN-4PCS-KING-SEA-TEAL</t>
        </is>
      </c>
      <c r="C471" s="2" t="inlineStr">
        <is>
          <t>satin king sheets set [phrase]</t>
        </is>
      </c>
      <c r="D471" s="2" t="inlineStr">
        <is>
          <t>whole campaign</t>
        </is>
      </c>
      <c r="E471" s="2" t="inlineStr">
        <is>
          <t>PAUSED</t>
        </is>
      </c>
      <c r="F471" s="2" t="inlineStr">
        <is>
          <t>Conversions</t>
        </is>
      </c>
      <c r="G471" s="2" t="inlineStr">
        <is>
          <t>Discovery</t>
        </is>
      </c>
      <c r="H471" s="2" t="inlineStr">
        <is>
          <t>Satin|King</t>
        </is>
      </c>
      <c r="I471" s="2" t="inlineStr">
        <is>
          <t>Phrase</t>
        </is>
      </c>
      <c r="J471" s="2" t="inlineStr">
        <is>
          <t>SATIN-4PCS-KING-SEA-TEAL</t>
        </is>
      </c>
      <c r="K471" s="2" t="inlineStr">
        <is>
          <t>SATIN-4PCS-KING-SEA-TEAL</t>
        </is>
      </c>
      <c r="L471" s="2" t="inlineStr">
        <is>
          <t>n/a (no target bid in audit)</t>
        </is>
      </c>
      <c r="M471" s="2" t="inlineStr">
        <is>
          <t>n/a</t>
        </is>
      </c>
      <c r="N471" s="2" t="n">
        <v>0</v>
      </c>
      <c r="O471" s="2" t="n">
        <v>0</v>
      </c>
      <c r="P471" s="21" t="n"/>
      <c r="Q471" s="21" t="n"/>
      <c r="R471" s="2" t="n"/>
      <c r="S471" s="2" t="n"/>
      <c r="T471" s="2" t="n"/>
      <c r="U471" s="2" t="n"/>
      <c r="V471" s="21" t="n">
        <v>10</v>
      </c>
      <c r="W471" s="21" t="n">
        <v>10</v>
      </c>
      <c r="X471" s="2" t="inlineStr">
        <is>
          <t>PAUSED</t>
        </is>
      </c>
      <c r="Y471" s="2" t="inlineStr">
        <is>
          <t>none</t>
        </is>
      </c>
      <c r="Z471" s="2" t="inlineStr">
        <is>
          <t>none</t>
        </is>
      </c>
      <c r="AA471" s="21" t="n">
        <v>0</v>
      </c>
      <c r="AB471" s="2" t="n">
        <v>0</v>
      </c>
      <c r="AC471" s="2" t="n">
        <v>0</v>
      </c>
      <c r="AD471" s="2" t="n"/>
      <c r="AE471" s="2" t="n"/>
      <c r="AF471" s="2" t="n"/>
      <c r="AG471" s="2" t="n">
        <v>0</v>
      </c>
      <c r="AH471" s="2" t="inlineStr">
        <is>
          <t>Retag only</t>
        </is>
      </c>
      <c r="AI471" s="22" t="inlineStr">
        <is>
          <t>retag → Discovery</t>
        </is>
      </c>
      <c r="AJ471" s="22" t="inlineStr">
        <is>
          <t>Objective Conversions → Discovery by the standard (phrase); no clicks in CC 31 Aug–29 Sep.</t>
        </is>
      </c>
      <c r="AK471" s="2" t="inlineStr">
        <is>
          <t>our addition: standard → Discovery (phrase)</t>
        </is>
      </c>
      <c r="AL471" s="22" t="n"/>
    </row>
    <row r="472">
      <c r="A472" s="2" t="inlineStr">
        <is>
          <t>171104594309817</t>
        </is>
      </c>
      <c r="B472" s="2" t="inlineStr">
        <is>
          <t>D-S4-satin pink sheets - [Satin] - Exact - Ran - DO - SATIN-QUEEN-PINK</t>
        </is>
      </c>
      <c r="C472" s="2" t="inlineStr">
        <is>
          <t>satin pink sheets [exact]</t>
        </is>
      </c>
      <c r="D472" s="2" t="inlineStr">
        <is>
          <t>whole campaign</t>
        </is>
      </c>
      <c r="E472" s="2" t="inlineStr">
        <is>
          <t>PAUSED</t>
        </is>
      </c>
      <c r="F472" s="2" t="inlineStr">
        <is>
          <t>UNSET</t>
        </is>
      </c>
      <c r="G472" s="2" t="inlineStr">
        <is>
          <t>Conversions</t>
        </is>
      </c>
      <c r="H472" s="2" t="inlineStr">
        <is>
          <t>Satin</t>
        </is>
      </c>
      <c r="I472" s="2" t="inlineStr">
        <is>
          <t>Exact</t>
        </is>
      </c>
      <c r="J472" s="2" t="inlineStr">
        <is>
          <t>SATIN-QUEEN-PINK</t>
        </is>
      </c>
      <c r="K472" s="2" t="inlineStr">
        <is>
          <t>SATIN-QUEEN-PINK</t>
        </is>
      </c>
      <c r="L472" s="2" t="inlineStr">
        <is>
          <t>n/a (no target bid in audit)</t>
        </is>
      </c>
      <c r="M472" s="2" t="inlineStr">
        <is>
          <t>n/a</t>
        </is>
      </c>
      <c r="N472" s="2" t="n">
        <v>50</v>
      </c>
      <c r="O472" s="2" t="n">
        <v>50</v>
      </c>
      <c r="P472" s="21" t="n"/>
      <c r="Q472" s="21" t="n"/>
      <c r="R472" s="2" t="n"/>
      <c r="S472" s="2" t="n"/>
      <c r="T472" s="2" t="n"/>
      <c r="U472" s="2" t="n"/>
      <c r="V472" s="21" t="n">
        <v>7.96</v>
      </c>
      <c r="W472" s="21" t="n">
        <v>7.96</v>
      </c>
      <c r="X472" s="2" t="inlineStr">
        <is>
          <t>PAUSED</t>
        </is>
      </c>
      <c r="Y472" s="2" t="inlineStr">
        <is>
          <t>none</t>
        </is>
      </c>
      <c r="Z472" s="2" t="inlineStr">
        <is>
          <t>none</t>
        </is>
      </c>
      <c r="AA472" s="21" t="n">
        <v>0</v>
      </c>
      <c r="AB472" s="2" t="n">
        <v>0</v>
      </c>
      <c r="AC472" s="2" t="n">
        <v>0</v>
      </c>
      <c r="AD472" s="2" t="n"/>
      <c r="AE472" s="2" t="n"/>
      <c r="AF472" s="2" t="n"/>
      <c r="AG472" s="2" t="n">
        <v>0</v>
      </c>
      <c r="AH472" s="2" t="inlineStr">
        <is>
          <t>Keep paused</t>
        </is>
      </c>
      <c r="AI472" s="22" t="inlineStr">
        <is>
          <t>Keep paused (reject revive); retag → Conversions</t>
        </is>
      </c>
      <c r="AJ472" s="22" t="inlineStr">
        <is>
          <t>Revive rejected: 0 orders (CC 2 Jul–29 Sep).</t>
        </is>
      </c>
      <c r="AK472" s="2" t="inlineStr">
        <is>
          <t>seq 2842 structure: hold; our addition: standard → Conversions (colour term "satin pink sheets")</t>
        </is>
      </c>
      <c r="AL472" s="22" t="n"/>
    </row>
    <row r="473">
      <c r="A473" s="2" t="inlineStr">
        <is>
          <t>169638429422892</t>
        </is>
      </c>
      <c r="B473" s="2" t="inlineStr">
        <is>
          <t>D-S4-satin sheet set full - [Satin|Full] - Exact - Ran - DO - SATIN-FULL-BLACK</t>
        </is>
      </c>
      <c r="C473" s="2" t="inlineStr">
        <is>
          <t>satin sheet set full [exact]</t>
        </is>
      </c>
      <c r="D473" s="2" t="inlineStr">
        <is>
          <t>satin sheet set full</t>
        </is>
      </c>
      <c r="E473" s="2" t="inlineStr">
        <is>
          <t>ENABLED</t>
        </is>
      </c>
      <c r="F473" s="2" t="inlineStr">
        <is>
          <t>Ranking</t>
        </is>
      </c>
      <c r="G473" s="2" t="inlineStr">
        <is>
          <t>Ranking</t>
        </is>
      </c>
      <c r="H473" s="2" t="inlineStr">
        <is>
          <t>Satin|Full</t>
        </is>
      </c>
      <c r="I473" s="2" t="inlineStr">
        <is>
          <t>Exact</t>
        </is>
      </c>
      <c r="J473" s="2" t="inlineStr">
        <is>
          <t>SATIN-FULL-BLACK</t>
        </is>
      </c>
      <c r="K473" s="2" t="inlineStr">
        <is>
          <t>SATIN-FULL-BLACK</t>
        </is>
      </c>
      <c r="L473" s="2" t="inlineStr">
        <is>
          <t>n/a (no target bid in audit)</t>
        </is>
      </c>
      <c r="M473" s="2" t="inlineStr">
        <is>
          <t>n/a</t>
        </is>
      </c>
      <c r="N473" s="2" t="n">
        <v>50</v>
      </c>
      <c r="O473" s="2" t="n">
        <v>50</v>
      </c>
      <c r="P473" s="21" t="n"/>
      <c r="Q473" s="21" t="n"/>
      <c r="R473" s="2" t="n"/>
      <c r="S473" s="2" t="n"/>
      <c r="T473" s="2" t="n"/>
      <c r="U473" s="2" t="n"/>
      <c r="V473" s="21" t="n">
        <v>8.109999999999999</v>
      </c>
      <c r="W473" s="21" t="n">
        <v>8.109999999999999</v>
      </c>
      <c r="X473" s="2" t="inlineStr">
        <is>
          <t>ENABLED</t>
        </is>
      </c>
      <c r="Y473" s="2" t="inlineStr">
        <is>
          <t>none</t>
        </is>
      </c>
      <c r="Z473" s="2" t="inlineStr">
        <is>
          <t>defer — engine name wrong (SKU token SATIN-FULL-BLACK); load a corrected name after 28 Oct</t>
        </is>
      </c>
      <c r="AA473" s="21" t="n">
        <v>0</v>
      </c>
      <c r="AB473" s="2" t="n">
        <v>0</v>
      </c>
      <c r="AC473" s="2" t="n">
        <v>0</v>
      </c>
      <c r="AD473" s="2" t="n"/>
      <c r="AE473" s="2" t="n"/>
      <c r="AF473" s="2" t="n"/>
      <c r="AG473" s="2" t="n">
        <v>0</v>
      </c>
      <c r="AH473" s="2" t="inlineStr">
        <is>
          <t>Release hold, keep price</t>
        </is>
      </c>
      <c r="AI473" s="22" t="inlineStr">
        <is>
          <t>Release hold; keep base (no clicks 30d)</t>
        </is>
      </c>
      <c r="AJ473" s="22" t="inlineStr">
        <is>
          <t>The "0 impressions" hold is false, but the campaign had no clicks in CC 31 Aug–29 Sep, so a base cut would only lower delivery.</t>
        </is>
      </c>
      <c r="AK473" s="2" t="inlineStr">
        <is>
          <t>seq 1897 child: reject — keep SATIN-FULL-BLACK; seq 2172 retag LOAD; seq 3118 rename CHANGE; seq 2012 NOT SERVING hold(s) → release; price to break-even (our addition, reviewer D)</t>
        </is>
      </c>
      <c r="AL473" s="22" t="n"/>
    </row>
    <row r="474">
      <c r="A474" s="2" t="inlineStr">
        <is>
          <t>177857597143532</t>
        </is>
      </c>
      <c r="B474" s="2" t="inlineStr">
        <is>
          <t>D-S4-satin sheet set full - [Satin|Full] - Phrase - Conv - DO - SATIN-IVORY-FULL</t>
        </is>
      </c>
      <c r="C474" s="2" t="inlineStr">
        <is>
          <t>satin sheet set full [phrase]</t>
        </is>
      </c>
      <c r="D474" s="2" t="inlineStr">
        <is>
          <t>whole campaign</t>
        </is>
      </c>
      <c r="E474" s="2" t="inlineStr">
        <is>
          <t>ENABLED</t>
        </is>
      </c>
      <c r="F474" s="2" t="inlineStr">
        <is>
          <t>Conversions</t>
        </is>
      </c>
      <c r="G474" s="2" t="inlineStr">
        <is>
          <t>Discovery</t>
        </is>
      </c>
      <c r="H474" s="2" t="inlineStr">
        <is>
          <t>Satin|Full</t>
        </is>
      </c>
      <c r="I474" s="2" t="inlineStr">
        <is>
          <t>Phrase</t>
        </is>
      </c>
      <c r="J474" s="2" t="inlineStr">
        <is>
          <t>SATIN-IVORY-FULL</t>
        </is>
      </c>
      <c r="K474" s="2" t="inlineStr">
        <is>
          <t>SATIN-IVORY-FULL</t>
        </is>
      </c>
      <c r="L474" s="2" t="inlineStr">
        <is>
          <t>n/a (no target bid in audit)</t>
        </is>
      </c>
      <c r="M474" s="2" t="inlineStr">
        <is>
          <t>n/a</t>
        </is>
      </c>
      <c r="N474" s="2" t="n">
        <v>0</v>
      </c>
      <c r="O474" s="2" t="n">
        <v>0</v>
      </c>
      <c r="P474" s="21" t="n"/>
      <c r="Q474" s="21" t="n"/>
      <c r="R474" s="2" t="n"/>
      <c r="S474" s="2" t="n"/>
      <c r="T474" s="2" t="n"/>
      <c r="U474" s="2" t="n"/>
      <c r="V474" s="21" t="n">
        <v>10</v>
      </c>
      <c r="W474" s="21" t="n">
        <v>10</v>
      </c>
      <c r="X474" s="2" t="inlineStr">
        <is>
          <t>PAUSED</t>
        </is>
      </c>
      <c r="Y474" s="2" t="inlineStr">
        <is>
          <t>none</t>
        </is>
      </c>
      <c r="Z474" s="2" t="inlineStr">
        <is>
          <t>none</t>
        </is>
      </c>
      <c r="AA474" s="21" t="n">
        <v>0</v>
      </c>
      <c r="AB474" s="2" t="n">
        <v>0</v>
      </c>
      <c r="AC474" s="2" t="n">
        <v>0</v>
      </c>
      <c r="AD474" s="2" t="n"/>
      <c r="AE474" s="2" t="n"/>
      <c r="AF474" s="2" t="n"/>
      <c r="AG474" s="2" t="n">
        <v>0</v>
      </c>
      <c r="AH474" s="2" t="inlineStr">
        <is>
          <t>Pause</t>
        </is>
      </c>
      <c r="AI474" s="22" t="inlineStr">
        <is>
          <t>Pause (seq 3340); retag → Discovery</t>
        </is>
      </c>
      <c r="AJ474" s="22" t="inlineStr">
        <is>
          <t>Duplicate discovery campaign with under 15 clicks and no order in 90 days (audit read to 29 Sep).</t>
        </is>
      </c>
      <c r="AK474" s="2" t="inlineStr">
        <is>
          <t>seq 3340 structure 3340: agree with review 40; our addition: standard → Discovery (phrase)</t>
        </is>
      </c>
      <c r="AL474" s="22" t="n"/>
    </row>
    <row r="475">
      <c r="A475" s="2" t="inlineStr">
        <is>
          <t>58981982103752</t>
        </is>
      </c>
      <c r="B475" s="2" t="inlineStr">
        <is>
          <t>D-S4-satin sheet set king - [Satin|King] - Exact - Ran - DO - SATIN-4PC-KING-GREY</t>
        </is>
      </c>
      <c r="C475" s="2" t="inlineStr">
        <is>
          <t>satin sheet set king [exact, $0.50]</t>
        </is>
      </c>
      <c r="D475" s="2" t="inlineStr">
        <is>
          <t>whole campaign</t>
        </is>
      </c>
      <c r="E475" s="2" t="inlineStr">
        <is>
          <t>ENABLED</t>
        </is>
      </c>
      <c r="F475" s="2" t="inlineStr">
        <is>
          <t>Ranking</t>
        </is>
      </c>
      <c r="G475" s="2" t="inlineStr">
        <is>
          <t>Ranking</t>
        </is>
      </c>
      <c r="H475" s="2" t="inlineStr">
        <is>
          <t>Satin|King</t>
        </is>
      </c>
      <c r="I475" s="2" t="inlineStr">
        <is>
          <t>Exact</t>
        </is>
      </c>
      <c r="J475" s="2" t="inlineStr">
        <is>
          <t>SATIN-4PC-KING-GREY</t>
        </is>
      </c>
      <c r="K475" s="2" t="inlineStr">
        <is>
          <t>SATIN-4PC-KING-GREY</t>
        </is>
      </c>
      <c r="L475" s="2" t="inlineStr">
        <is>
          <t>n/a (no target bid in audit)</t>
        </is>
      </c>
      <c r="M475" s="2" t="inlineStr">
        <is>
          <t>n/a</t>
        </is>
      </c>
      <c r="N475" s="2" t="n">
        <v>50</v>
      </c>
      <c r="O475" s="2" t="n">
        <v>50</v>
      </c>
      <c r="P475" s="21" t="n"/>
      <c r="Q475" s="21" t="n"/>
      <c r="R475" s="2" t="n"/>
      <c r="S475" s="2" t="n"/>
      <c r="T475" s="2" t="n"/>
      <c r="U475" s="2" t="n"/>
      <c r="V475" s="21" t="n">
        <v>10.74</v>
      </c>
      <c r="W475" s="21" t="n">
        <v>10.74</v>
      </c>
      <c r="X475" s="2" t="inlineStr">
        <is>
          <t>ENABLED</t>
        </is>
      </c>
      <c r="Y475" s="2" t="inlineStr">
        <is>
          <t>none</t>
        </is>
      </c>
      <c r="Z475" s="2" t="inlineStr">
        <is>
          <t>load (clean): DSS4-SP-Satin Sheet Set King-[Satin|King]-(VLSV)-Exact-(Ranking)-DO-SATIN-4PC-KING-GREY</t>
        </is>
      </c>
      <c r="AA475" s="21" t="n">
        <v>0</v>
      </c>
      <c r="AB475" s="2" t="n">
        <v>0</v>
      </c>
      <c r="AC475" s="2" t="n">
        <v>0</v>
      </c>
      <c r="AD475" s="2" t="n"/>
      <c r="AE475" s="2" t="n"/>
      <c r="AF475" s="2" t="n"/>
      <c r="AG475" s="2" t="n">
        <v>0</v>
      </c>
      <c r="AH475" s="2" t="inlineStr">
        <is>
          <t>Rename only</t>
        </is>
      </c>
      <c r="AI475" s="22" t="inlineStr">
        <is>
          <t>Load rename only</t>
        </is>
      </c>
      <c r="AJ475" s="22" t="inlineStr">
        <is>
          <t>Clean rename (SKU token and objective match what the campaign advertises); no clicks in CC 31 Aug–29 Sep.</t>
        </is>
      </c>
      <c r="AK475" s="2" t="inlineStr">
        <is>
          <t>seq 2220 retag LOAD; seq 3282 rename LOAD</t>
        </is>
      </c>
      <c r="AL475" s="22" t="n"/>
    </row>
    <row r="476">
      <c r="A476" s="2" t="inlineStr">
        <is>
          <t>183681832128167</t>
        </is>
      </c>
      <c r="B476" s="2" t="inlineStr">
        <is>
          <t>D-S4-satin sheet set king - [Satin|King] - Phrase - Conv - DO - SATIN-4PCS-KING-SEA-TEAL</t>
        </is>
      </c>
      <c r="C476" s="2" t="inlineStr">
        <is>
          <t>satin sheet set king [phrase]</t>
        </is>
      </c>
      <c r="D476" s="2" t="inlineStr">
        <is>
          <t>whole campaign</t>
        </is>
      </c>
      <c r="E476" s="2" t="inlineStr">
        <is>
          <t>ENABLED</t>
        </is>
      </c>
      <c r="F476" s="2" t="inlineStr">
        <is>
          <t>Conversions</t>
        </is>
      </c>
      <c r="G476" s="2" t="inlineStr">
        <is>
          <t>Discovery</t>
        </is>
      </c>
      <c r="H476" s="2" t="inlineStr">
        <is>
          <t>Satin|King</t>
        </is>
      </c>
      <c r="I476" s="2" t="inlineStr">
        <is>
          <t>Phrase</t>
        </is>
      </c>
      <c r="J476" s="2" t="inlineStr">
        <is>
          <t>SATIN-4PC-KING-GREY</t>
        </is>
      </c>
      <c r="K476" s="2" t="inlineStr">
        <is>
          <t>SATIN-4PC-KING-GREY</t>
        </is>
      </c>
      <c r="L476" s="2" t="inlineStr">
        <is>
          <t>n/a (no target bid in audit)</t>
        </is>
      </c>
      <c r="M476" s="2" t="inlineStr">
        <is>
          <t>n/a</t>
        </is>
      </c>
      <c r="N476" s="2" t="n">
        <v>0</v>
      </c>
      <c r="O476" s="2" t="n">
        <v>0</v>
      </c>
      <c r="P476" s="21" t="n"/>
      <c r="Q476" s="21" t="n"/>
      <c r="R476" s="2" t="n"/>
      <c r="S476" s="2" t="n"/>
      <c r="T476" s="2" t="n"/>
      <c r="U476" s="2" t="n"/>
      <c r="V476" s="21" t="n">
        <v>10</v>
      </c>
      <c r="W476" s="21" t="n">
        <v>10</v>
      </c>
      <c r="X476" s="2" t="inlineStr">
        <is>
          <t>PAUSED</t>
        </is>
      </c>
      <c r="Y476" s="2" t="inlineStr">
        <is>
          <t>none</t>
        </is>
      </c>
      <c r="Z476" s="2" t="inlineStr">
        <is>
          <t>none</t>
        </is>
      </c>
      <c r="AA476" s="21" t="n">
        <v>0</v>
      </c>
      <c r="AB476" s="2" t="n">
        <v>0</v>
      </c>
      <c r="AC476" s="2" t="n">
        <v>0</v>
      </c>
      <c r="AD476" s="2" t="n"/>
      <c r="AE476" s="2" t="n"/>
      <c r="AF476" s="2" t="n"/>
      <c r="AG476" s="2" t="n">
        <v>0</v>
      </c>
      <c r="AH476" s="2" t="inlineStr">
        <is>
          <t>Pause</t>
        </is>
      </c>
      <c r="AI476" s="22" t="inlineStr">
        <is>
          <t>Pause (seq 3340); retag → Discovery</t>
        </is>
      </c>
      <c r="AJ476" s="22" t="inlineStr">
        <is>
          <t>Duplicate discovery campaign with under 15 clicks and no order in 90 days (audit read to 29 Sep).</t>
        </is>
      </c>
      <c r="AK476" s="2" t="inlineStr">
        <is>
          <t>seq 3340 structure 3340: agree with review 40; our addition: standard → Discovery (phrase)</t>
        </is>
      </c>
      <c r="AL476" s="22" t="n"/>
    </row>
    <row r="477">
      <c r="A477" s="2" t="inlineStr">
        <is>
          <t>154733679444091</t>
        </is>
      </c>
      <c r="B477" s="2" t="inlineStr">
        <is>
          <t>D-S4-satin sheet set queen size - [Satin|Queen] - Exact - Ran - DO - SATIN-QUEEN-BLACK</t>
        </is>
      </c>
      <c r="C477" s="2" t="inlineStr">
        <is>
          <t>satin sheet set queen size [exact, $0.50]</t>
        </is>
      </c>
      <c r="D477" s="2" t="inlineStr">
        <is>
          <t>—</t>
        </is>
      </c>
      <c r="E477" s="2" t="inlineStr">
        <is>
          <t>ENABLED</t>
        </is>
      </c>
      <c r="F477" s="2" t="inlineStr">
        <is>
          <t>Ranking</t>
        </is>
      </c>
      <c r="G477" s="2" t="inlineStr">
        <is>
          <t>Ranking</t>
        </is>
      </c>
      <c r="H477" s="2" t="inlineStr">
        <is>
          <t>Satin|Queen</t>
        </is>
      </c>
      <c r="I477" s="2" t="inlineStr">
        <is>
          <t>Exact</t>
        </is>
      </c>
      <c r="J477" s="2" t="inlineStr">
        <is>
          <t>SATIN-QUEEN-BLACK</t>
        </is>
      </c>
      <c r="K477" s="2" t="inlineStr">
        <is>
          <t>SATIN-QUEEN-BLACK</t>
        </is>
      </c>
      <c r="L477" s="2" t="inlineStr">
        <is>
          <t>$0.50</t>
        </is>
      </c>
      <c r="M477" s="2" t="inlineStr">
        <is>
          <t>$0.50</t>
        </is>
      </c>
      <c r="N477" s="2" t="n">
        <v>150</v>
      </c>
      <c r="O477" s="2" t="n">
        <v>150</v>
      </c>
      <c r="P477" s="21" t="n">
        <v>1.25</v>
      </c>
      <c r="Q477" s="21" t="n">
        <v>1.25</v>
      </c>
      <c r="R477" s="2" t="n">
        <v>0</v>
      </c>
      <c r="S477" s="2" t="n">
        <v>0</v>
      </c>
      <c r="T477" s="2" t="n">
        <v>0</v>
      </c>
      <c r="U477" s="2" t="n">
        <v>0</v>
      </c>
      <c r="V477" s="21" t="n">
        <v>13.25</v>
      </c>
      <c r="W477" s="21" t="n">
        <v>13.25</v>
      </c>
      <c r="X477" s="2" t="inlineStr">
        <is>
          <t>ENABLED</t>
        </is>
      </c>
      <c r="Y477" s="2" t="inlineStr">
        <is>
          <t>none</t>
        </is>
      </c>
      <c r="Z477" s="2" t="inlineStr">
        <is>
          <t>defer — engine name wrong (SKU token SATIN-QUEEN-BLACK); load a corrected name after 28 Oct</t>
        </is>
      </c>
      <c r="AA477" s="21" t="n">
        <v>0</v>
      </c>
      <c r="AB477" s="2" t="n">
        <v>0</v>
      </c>
      <c r="AC477" s="2" t="n">
        <v>0</v>
      </c>
      <c r="AD477" s="2" t="n"/>
      <c r="AE477" s="2" t="n"/>
      <c r="AF477" s="2" t="n"/>
      <c r="AG477" s="2" t="n">
        <v>6</v>
      </c>
      <c r="AH477" s="2" t="inlineStr">
        <is>
          <t>No change (engine move rejected/held)</t>
        </is>
      </c>
      <c r="AI477" s="22" t="inlineStr">
        <is>
          <t>No change (reject engine child swap seq 1892; defer engine rename)</t>
        </is>
      </c>
      <c r="AJ477" s="22" t="inlineStr">
        <is>
          <t>Engine swap SATIN-QUEEN-BLACK → SATIN-4PCS-QUEEN-STONE-GREY rejected: the pick comes from the broken size map, and SATIN-QUEEN-BLACK is the size's best seller with cover (SB 30 Aug–29 Sep); the engine rename writes a wrong token and is deferred; no clicks in CC 31 Aug–29 Sep.</t>
        </is>
      </c>
      <c r="AK477" s="2" t="inlineStr">
        <is>
          <t>seq 1892 child: reject — keep SATIN-QUEEN-BLACK; seq 3102 rename CHANGE</t>
        </is>
      </c>
      <c r="AL477" s="22" t="n"/>
    </row>
    <row r="478">
      <c r="A478" s="2" t="inlineStr">
        <is>
          <t>58953236344593</t>
        </is>
      </c>
      <c r="B478" s="2" t="inlineStr">
        <is>
          <t>D-S4-satin sheet set queen size - [Satin|Queen] - Phrase - Conv - DO - SATIN-QUEEN-GREY</t>
        </is>
      </c>
      <c r="C478" s="2" t="inlineStr">
        <is>
          <t>satin sheet set queen size [phrase]</t>
        </is>
      </c>
      <c r="D478" s="2" t="inlineStr">
        <is>
          <t>whole campaign</t>
        </is>
      </c>
      <c r="E478" s="2" t="inlineStr">
        <is>
          <t>ENABLED</t>
        </is>
      </c>
      <c r="F478" s="2" t="inlineStr">
        <is>
          <t>Conversions</t>
        </is>
      </c>
      <c r="G478" s="2" t="inlineStr">
        <is>
          <t>Discovery</t>
        </is>
      </c>
      <c r="H478" s="2" t="inlineStr">
        <is>
          <t>Satin|Queen</t>
        </is>
      </c>
      <c r="I478" s="2" t="inlineStr">
        <is>
          <t>Phrase</t>
        </is>
      </c>
      <c r="J478" s="2" t="inlineStr">
        <is>
          <t>SATIN-QUEEN-GREY</t>
        </is>
      </c>
      <c r="K478" s="2" t="inlineStr">
        <is>
          <t>SATIN-QUEEN-GREY</t>
        </is>
      </c>
      <c r="L478" s="2" t="inlineStr">
        <is>
          <t>n/a (no target bid in audit)</t>
        </is>
      </c>
      <c r="M478" s="2" t="inlineStr">
        <is>
          <t>n/a</t>
        </is>
      </c>
      <c r="N478" s="2" t="n">
        <v>0</v>
      </c>
      <c r="O478" s="2" t="n">
        <v>0</v>
      </c>
      <c r="P478" s="21" t="n"/>
      <c r="Q478" s="21" t="n"/>
      <c r="R478" s="2" t="n"/>
      <c r="S478" s="2" t="n"/>
      <c r="T478" s="2" t="n"/>
      <c r="U478" s="2" t="n"/>
      <c r="V478" s="21" t="n">
        <v>10</v>
      </c>
      <c r="W478" s="21" t="n">
        <v>10</v>
      </c>
      <c r="X478" s="2" t="inlineStr">
        <is>
          <t>PAUSED</t>
        </is>
      </c>
      <c r="Y478" s="2" t="inlineStr">
        <is>
          <t>none</t>
        </is>
      </c>
      <c r="Z478" s="2" t="inlineStr">
        <is>
          <t>none</t>
        </is>
      </c>
      <c r="AA478" s="21" t="n">
        <v>0</v>
      </c>
      <c r="AB478" s="2" t="n">
        <v>0</v>
      </c>
      <c r="AC478" s="2" t="n">
        <v>0</v>
      </c>
      <c r="AD478" s="2" t="n"/>
      <c r="AE478" s="2" t="n"/>
      <c r="AF478" s="2" t="n"/>
      <c r="AG478" s="2" t="n">
        <v>0</v>
      </c>
      <c r="AH478" s="2" t="inlineStr">
        <is>
          <t>Pause</t>
        </is>
      </c>
      <c r="AI478" s="22" t="inlineStr">
        <is>
          <t>Pause (seq 3340); retag → Discovery</t>
        </is>
      </c>
      <c r="AJ478" s="22" t="inlineStr">
        <is>
          <t>Duplicate discovery campaign with under 15 clicks and no order in 90 days (audit read to 29 Sep).</t>
        </is>
      </c>
      <c r="AK478" s="2" t="inlineStr">
        <is>
          <t>seq 3340 structure 3340: agree with review 40; our addition: standard → Discovery (phrase)</t>
        </is>
      </c>
      <c r="AL478" s="22" t="n"/>
    </row>
    <row r="479">
      <c r="A479" s="2" t="inlineStr">
        <is>
          <t>131962594382720</t>
        </is>
      </c>
      <c r="B479" s="2" t="inlineStr">
        <is>
          <t>D-S4-satin sheets - [Satin] - Exact - Ran - DO - SATIN-QUEEN-BLACK</t>
        </is>
      </c>
      <c r="C479" s="2" t="inlineStr">
        <is>
          <t>satin sheets [exact]</t>
        </is>
      </c>
      <c r="D479" s="2" t="inlineStr">
        <is>
          <t>whole campaign</t>
        </is>
      </c>
      <c r="E479" s="2" t="inlineStr">
        <is>
          <t>PAUSED</t>
        </is>
      </c>
      <c r="F479" s="2" t="inlineStr">
        <is>
          <t>UNSET</t>
        </is>
      </c>
      <c r="G479" s="2" t="inlineStr">
        <is>
          <t>Ranking</t>
        </is>
      </c>
      <c r="H479" s="2" t="inlineStr">
        <is>
          <t>Satin</t>
        </is>
      </c>
      <c r="I479" s="2" t="inlineStr">
        <is>
          <t>Exact</t>
        </is>
      </c>
      <c r="J479" s="2" t="inlineStr">
        <is>
          <t>SATIN-QUEEN-BLACK</t>
        </is>
      </c>
      <c r="K479" s="2" t="inlineStr">
        <is>
          <t>SATIN-QUEEN-BLACK</t>
        </is>
      </c>
      <c r="L479" s="2" t="inlineStr">
        <is>
          <t>n/a (no target bid in audit)</t>
        </is>
      </c>
      <c r="M479" s="2" t="inlineStr">
        <is>
          <t>n/a</t>
        </is>
      </c>
      <c r="N479" s="2" t="n">
        <v>50</v>
      </c>
      <c r="O479" s="2" t="n">
        <v>50</v>
      </c>
      <c r="P479" s="21" t="n"/>
      <c r="Q479" s="21" t="n"/>
      <c r="R479" s="2" t="n"/>
      <c r="S479" s="2" t="n"/>
      <c r="T479" s="2" t="n"/>
      <c r="U479" s="2" t="n"/>
      <c r="V479" s="21" t="n">
        <v>12.32</v>
      </c>
      <c r="W479" s="21" t="n">
        <v>12.32</v>
      </c>
      <c r="X479" s="2" t="inlineStr">
        <is>
          <t>PAUSED</t>
        </is>
      </c>
      <c r="Y479" s="2" t="inlineStr">
        <is>
          <t>none</t>
        </is>
      </c>
      <c r="Z479" s="2" t="inlineStr">
        <is>
          <t>none</t>
        </is>
      </c>
      <c r="AA479" s="21" t="n">
        <v>0</v>
      </c>
      <c r="AB479" s="2" t="n">
        <v>0</v>
      </c>
      <c r="AC479" s="2" t="n">
        <v>0</v>
      </c>
      <c r="AD479" s="2" t="n"/>
      <c r="AE479" s="2" t="n"/>
      <c r="AF479" s="2" t="n"/>
      <c r="AG479" s="2" t="n">
        <v>0</v>
      </c>
      <c r="AH479" s="2" t="inlineStr">
        <is>
          <t>Retag only</t>
        </is>
      </c>
      <c r="AI479" s="22" t="inlineStr">
        <is>
          <t>retag → Ranking</t>
        </is>
      </c>
      <c r="AJ479" s="22" t="inlineStr">
        <is>
          <t>Objective UNSET → Ranking by the standard (generic exact "satin sheets"); no clicks in CC 31 Aug–29 Sep.</t>
        </is>
      </c>
      <c r="AK479" s="2" t="inlineStr">
        <is>
          <t>our addition: standard → Ranking (generic exact "satin sheets")</t>
        </is>
      </c>
      <c r="AL479" s="22" t="n"/>
    </row>
    <row r="480">
      <c r="A480" s="2" t="inlineStr">
        <is>
          <t>152711031293816</t>
        </is>
      </c>
      <c r="B480" s="2" t="inlineStr">
        <is>
          <t>D-S4-satin sheets and pillow cases - [Satin] - Phrase - Conv - DO - SATIN-QUEEN-GREY</t>
        </is>
      </c>
      <c r="C480" s="2" t="inlineStr">
        <is>
          <t>satin sheets and pillow cases [phrase]</t>
        </is>
      </c>
      <c r="D480" s="2" t="inlineStr">
        <is>
          <t>whole campaign</t>
        </is>
      </c>
      <c r="E480" s="2" t="inlineStr">
        <is>
          <t>ENABLED</t>
        </is>
      </c>
      <c r="F480" s="2" t="inlineStr">
        <is>
          <t>Conversions</t>
        </is>
      </c>
      <c r="G480" s="2" t="inlineStr">
        <is>
          <t>Discovery</t>
        </is>
      </c>
      <c r="H480" s="2" t="inlineStr">
        <is>
          <t>Satin</t>
        </is>
      </c>
      <c r="I480" s="2" t="inlineStr">
        <is>
          <t>Phrase</t>
        </is>
      </c>
      <c r="J480" s="2" t="inlineStr">
        <is>
          <t>SATIN-QUEEN-GREY</t>
        </is>
      </c>
      <c r="K480" s="2" t="inlineStr">
        <is>
          <t>SATIN-QUEEN-GREY</t>
        </is>
      </c>
      <c r="L480" s="2" t="inlineStr">
        <is>
          <t>n/a (no target bid in audit)</t>
        </is>
      </c>
      <c r="M480" s="2" t="inlineStr">
        <is>
          <t>n/a</t>
        </is>
      </c>
      <c r="N480" s="2" t="n">
        <v>0</v>
      </c>
      <c r="O480" s="2" t="n">
        <v>0</v>
      </c>
      <c r="P480" s="21" t="n"/>
      <c r="Q480" s="21" t="n"/>
      <c r="R480" s="2" t="n"/>
      <c r="S480" s="2" t="n"/>
      <c r="T480" s="2" t="n"/>
      <c r="U480" s="2" t="n"/>
      <c r="V480" s="21" t="n">
        <v>10</v>
      </c>
      <c r="W480" s="21" t="n">
        <v>10</v>
      </c>
      <c r="X480" s="2" t="inlineStr">
        <is>
          <t>PAUSED</t>
        </is>
      </c>
      <c r="Y480" s="2" t="inlineStr">
        <is>
          <t>none</t>
        </is>
      </c>
      <c r="Z480" s="2" t="inlineStr">
        <is>
          <t>none</t>
        </is>
      </c>
      <c r="AA480" s="21" t="n">
        <v>0</v>
      </c>
      <c r="AB480" s="2" t="n">
        <v>0</v>
      </c>
      <c r="AC480" s="2" t="n">
        <v>0</v>
      </c>
      <c r="AD480" s="2" t="n"/>
      <c r="AE480" s="2" t="n"/>
      <c r="AF480" s="2" t="n"/>
      <c r="AG480" s="2" t="n">
        <v>0</v>
      </c>
      <c r="AH480" s="2" t="inlineStr">
        <is>
          <t>Pause</t>
        </is>
      </c>
      <c r="AI480" s="22" t="inlineStr">
        <is>
          <t>Pause (seq 3340); retag → Discovery</t>
        </is>
      </c>
      <c r="AJ480" s="22" t="inlineStr">
        <is>
          <t>Duplicate discovery campaign with under 15 clicks and no order in 90 days (audit read to 29 Sep).</t>
        </is>
      </c>
      <c r="AK480" s="2" t="inlineStr">
        <is>
          <t>seq 3340 structure 3340: agree with review 40; our addition: standard → Discovery (phrase)</t>
        </is>
      </c>
      <c r="AL480" s="22" t="n"/>
    </row>
    <row r="481">
      <c r="A481" s="2" t="inlineStr">
        <is>
          <t>66493650063957</t>
        </is>
      </c>
      <c r="B481" s="2" t="inlineStr">
        <is>
          <t>D-S4-satin sheets full - [Satin|Full] - Exact - Ran - DO - SATIN-FULL-BLACK</t>
        </is>
      </c>
      <c r="C481" s="2" t="inlineStr">
        <is>
          <t>satin sheets full [exact]</t>
        </is>
      </c>
      <c r="D481" s="2" t="inlineStr">
        <is>
          <t>whole campaign</t>
        </is>
      </c>
      <c r="E481" s="2" t="inlineStr">
        <is>
          <t>PAUSED</t>
        </is>
      </c>
      <c r="F481" s="2" t="inlineStr">
        <is>
          <t>UNSET</t>
        </is>
      </c>
      <c r="G481" s="2" t="inlineStr">
        <is>
          <t>Ranking</t>
        </is>
      </c>
      <c r="H481" s="2" t="inlineStr">
        <is>
          <t>Satin|Full</t>
        </is>
      </c>
      <c r="I481" s="2" t="inlineStr">
        <is>
          <t>Exact</t>
        </is>
      </c>
      <c r="J481" s="2" t="inlineStr">
        <is>
          <t>SATIN-FULL-BLACK</t>
        </is>
      </c>
      <c r="K481" s="2" t="inlineStr">
        <is>
          <t>SATIN-FULL-BLACK</t>
        </is>
      </c>
      <c r="L481" s="2" t="inlineStr">
        <is>
          <t>n/a (no target bid in audit)</t>
        </is>
      </c>
      <c r="M481" s="2" t="inlineStr">
        <is>
          <t>n/a</t>
        </is>
      </c>
      <c r="N481" s="2" t="n">
        <v>50</v>
      </c>
      <c r="O481" s="2" t="n">
        <v>50</v>
      </c>
      <c r="P481" s="21" t="n"/>
      <c r="Q481" s="21" t="n"/>
      <c r="R481" s="2" t="n"/>
      <c r="S481" s="2" t="n"/>
      <c r="T481" s="2" t="n"/>
      <c r="U481" s="2" t="n"/>
      <c r="V481" s="21" t="n">
        <v>5</v>
      </c>
      <c r="W481" s="21" t="n">
        <v>5</v>
      </c>
      <c r="X481" s="2" t="inlineStr">
        <is>
          <t>PAUSED</t>
        </is>
      </c>
      <c r="Y481" s="2" t="inlineStr">
        <is>
          <t>none</t>
        </is>
      </c>
      <c r="Z481" s="2" t="inlineStr">
        <is>
          <t>none</t>
        </is>
      </c>
      <c r="AA481" s="21" t="n">
        <v>0</v>
      </c>
      <c r="AB481" s="2" t="n">
        <v>0</v>
      </c>
      <c r="AC481" s="2" t="n">
        <v>0</v>
      </c>
      <c r="AD481" s="2" t="n"/>
      <c r="AE481" s="2" t="n"/>
      <c r="AF481" s="2" t="n"/>
      <c r="AG481" s="2" t="n">
        <v>2</v>
      </c>
      <c r="AH481" s="2" t="inlineStr">
        <is>
          <t>Keep paused</t>
        </is>
      </c>
      <c r="AI481" s="22" t="inlineStr">
        <is>
          <t>Keep paused (reject revive); retag → Ranking</t>
        </is>
      </c>
      <c r="AJ481" s="22" t="inlineStr">
        <is>
          <t>Revive rejected: 98% ACoS on 2 orders (CC 2 Jul–29 Sep).</t>
        </is>
      </c>
      <c r="AK481" s="2" t="inlineStr">
        <is>
          <t>seq 2810 structure: hold; our addition: standard → Ranking (generic exact "satin sheets full")</t>
        </is>
      </c>
      <c r="AL481" s="22" t="n"/>
    </row>
    <row r="482">
      <c r="A482" s="2" t="inlineStr">
        <is>
          <t>112142054154326</t>
        </is>
      </c>
      <c r="B482" s="2" t="inlineStr">
        <is>
          <t>D-S4-satin sheets full size - [Satin|Full] - Broad - Disc - DO - SATIN-4PCS-FULL-ROSEWOOD</t>
        </is>
      </c>
      <c r="C482" s="2" t="inlineStr">
        <is>
          <t>satin sheets full size [broad, $0.60]</t>
        </is>
      </c>
      <c r="D482" s="2" t="inlineStr">
        <is>
          <t>satin sheets full size</t>
        </is>
      </c>
      <c r="E482" s="2" t="inlineStr">
        <is>
          <t>ENABLED</t>
        </is>
      </c>
      <c r="F482" s="2" t="inlineStr">
        <is>
          <t>Discovery</t>
        </is>
      </c>
      <c r="G482" s="2" t="inlineStr">
        <is>
          <t>Discovery</t>
        </is>
      </c>
      <c r="H482" s="2" t="inlineStr">
        <is>
          <t>Satin|Full</t>
        </is>
      </c>
      <c r="I482" s="2" t="inlineStr">
        <is>
          <t>Broad</t>
        </is>
      </c>
      <c r="J482" s="2" t="inlineStr">
        <is>
          <t>SATIN-FULL-GREY</t>
        </is>
      </c>
      <c r="K482" s="2" t="inlineStr">
        <is>
          <t>SATIN-FULL-GREY</t>
        </is>
      </c>
      <c r="L482" s="2" t="inlineStr">
        <is>
          <t>$0.60</t>
        </is>
      </c>
      <c r="M482" s="2" t="inlineStr">
        <is>
          <t>$0.60</t>
        </is>
      </c>
      <c r="N482" s="2" t="n">
        <v>0</v>
      </c>
      <c r="O482" s="2" t="n">
        <v>0</v>
      </c>
      <c r="P482" s="21" t="n">
        <v>0.6</v>
      </c>
      <c r="Q482" s="21" t="n">
        <v>0.6</v>
      </c>
      <c r="R482" s="2" t="n"/>
      <c r="S482" s="2" t="n"/>
      <c r="T482" s="2" t="n"/>
      <c r="U482" s="2" t="n"/>
      <c r="V482" s="21" t="n">
        <v>10</v>
      </c>
      <c r="W482" s="21" t="n">
        <v>10</v>
      </c>
      <c r="X482" s="2" t="inlineStr">
        <is>
          <t>ENABLED</t>
        </is>
      </c>
      <c r="Y482" s="2" t="inlineStr">
        <is>
          <t>add 3 negatives (seq 2258)</t>
        </is>
      </c>
      <c r="Z482" s="2" t="inlineStr">
        <is>
          <t>defer — engine name wrong (SKU token SATIN-FULL-GREY); load a corrected name after 28 Oct</t>
        </is>
      </c>
      <c r="AA482" s="21" t="n">
        <v>0</v>
      </c>
      <c r="AB482" s="2" t="n">
        <v>0</v>
      </c>
      <c r="AC482" s="2" t="n">
        <v>0</v>
      </c>
      <c r="AD482" s="2" t="n"/>
      <c r="AE482" s="2" t="n"/>
      <c r="AF482" s="2" t="n"/>
      <c r="AG482" s="2" t="n">
        <v>11</v>
      </c>
      <c r="AH482" s="2" t="inlineStr">
        <is>
          <t>Release hold, keep price</t>
        </is>
      </c>
      <c r="AI482" s="22" t="inlineStr">
        <is>
          <t>Release hold; keep base (no clicks 30d)</t>
        </is>
      </c>
      <c r="AJ482" s="22" t="inlineStr">
        <is>
          <t>The "0 impressions" hold is false, but the campaign had no clicks in CC 31 Aug–29 Sep, so a base cut would only lower delivery.</t>
        </is>
      </c>
      <c r="AK482" s="2" t="inlineStr">
        <is>
          <t>seq 1882 child: reject — keep SATIN-FULL-GREY; seq 2258 negatives: agree with review 40; seq 3064 rename CHANGE; seq 1767 NOT SERVING hold(s) → release; price to break-even (our addition, reviewer D)</t>
        </is>
      </c>
      <c r="AL482" s="22" t="n"/>
    </row>
    <row r="483">
      <c r="A483" s="2" t="inlineStr">
        <is>
          <t>136990883641003</t>
        </is>
      </c>
      <c r="B483" s="2" t="inlineStr">
        <is>
          <t>D-S4-satin sheets king size bed set - [Satin|King] - Exact - Ran - DO - SATIN-4PC-KING-GREY</t>
        </is>
      </c>
      <c r="C483" s="2" t="inlineStr">
        <is>
          <t>satin sheets king size bed set [exact, $0.50]</t>
        </is>
      </c>
      <c r="D483" s="2" t="inlineStr">
        <is>
          <t>whole campaign</t>
        </is>
      </c>
      <c r="E483" s="2" t="inlineStr">
        <is>
          <t>ENABLED</t>
        </is>
      </c>
      <c r="F483" s="2" t="inlineStr">
        <is>
          <t>Ranking</t>
        </is>
      </c>
      <c r="G483" s="2" t="inlineStr">
        <is>
          <t>Ranking</t>
        </is>
      </c>
      <c r="H483" s="2" t="inlineStr">
        <is>
          <t>Satin|King</t>
        </is>
      </c>
      <c r="I483" s="2" t="inlineStr">
        <is>
          <t>Exact</t>
        </is>
      </c>
      <c r="J483" s="2" t="inlineStr">
        <is>
          <t>SATIN-4PC-KING-GREY</t>
        </is>
      </c>
      <c r="K483" s="2" t="inlineStr">
        <is>
          <t>SATIN-4PC-KING-GREY</t>
        </is>
      </c>
      <c r="L483" s="2" t="inlineStr">
        <is>
          <t>n/a (no target bid in audit)</t>
        </is>
      </c>
      <c r="M483" s="2" t="inlineStr">
        <is>
          <t>n/a</t>
        </is>
      </c>
      <c r="N483" s="2" t="n">
        <v>50</v>
      </c>
      <c r="O483" s="2" t="n">
        <v>50</v>
      </c>
      <c r="P483" s="21" t="n"/>
      <c r="Q483" s="21" t="n"/>
      <c r="R483" s="2" t="n"/>
      <c r="S483" s="2" t="n"/>
      <c r="T483" s="2" t="n"/>
      <c r="U483" s="2" t="n"/>
      <c r="V483" s="21" t="n">
        <v>14.32</v>
      </c>
      <c r="W483" s="21" t="n">
        <v>14.32</v>
      </c>
      <c r="X483" s="2" t="inlineStr">
        <is>
          <t>ENABLED</t>
        </is>
      </c>
      <c r="Y483" s="2" t="inlineStr">
        <is>
          <t>none</t>
        </is>
      </c>
      <c r="Z483" s="2" t="inlineStr">
        <is>
          <t>load (clean): DSS4-SP-Satin Sheets King Size Bed Set-[Satin|King]-(VLSV)-Exact-(Ranking)-DO-SATIN-4PC-KING-GREY</t>
        </is>
      </c>
      <c r="AA483" s="21" t="n">
        <v>0</v>
      </c>
      <c r="AB483" s="2" t="n">
        <v>0</v>
      </c>
      <c r="AC483" s="2" t="n">
        <v>0</v>
      </c>
      <c r="AD483" s="2" t="n"/>
      <c r="AE483" s="2" t="n"/>
      <c r="AF483" s="2" t="n"/>
      <c r="AG483" s="2" t="n">
        <v>0</v>
      </c>
      <c r="AH483" s="2" t="inlineStr">
        <is>
          <t>Rename only</t>
        </is>
      </c>
      <c r="AI483" s="22" t="inlineStr">
        <is>
          <t>Load rename only</t>
        </is>
      </c>
      <c r="AJ483" s="22" t="inlineStr">
        <is>
          <t>Clean rename (SKU token and objective match what the campaign advertises); no clicks in CC 31 Aug–29 Sep.</t>
        </is>
      </c>
      <c r="AK483" s="2" t="inlineStr">
        <is>
          <t>seq 2166 retag LOAD; seq 3087 rename LOAD</t>
        </is>
      </c>
      <c r="AL483" s="22" t="n"/>
    </row>
    <row r="484">
      <c r="A484" s="2" t="inlineStr">
        <is>
          <t>29673143564461</t>
        </is>
      </c>
      <c r="B484" s="2" t="inlineStr">
        <is>
          <t>D-S4-satin sheets king size bed set - [Satin|King] - Phrase - Conv - DO - SATIN-4PCS-KING-SEA-TEAL</t>
        </is>
      </c>
      <c r="C484" s="2" t="inlineStr">
        <is>
          <t>satin sheets king size bed set [phrase]</t>
        </is>
      </c>
      <c r="D484" s="2" t="inlineStr">
        <is>
          <t>whole campaign</t>
        </is>
      </c>
      <c r="E484" s="2" t="inlineStr">
        <is>
          <t>ENABLED</t>
        </is>
      </c>
      <c r="F484" s="2" t="inlineStr">
        <is>
          <t>Conversions</t>
        </is>
      </c>
      <c r="G484" s="2" t="inlineStr">
        <is>
          <t>Discovery</t>
        </is>
      </c>
      <c r="H484" s="2" t="inlineStr">
        <is>
          <t>Satin|King</t>
        </is>
      </c>
      <c r="I484" s="2" t="inlineStr">
        <is>
          <t>Phrase</t>
        </is>
      </c>
      <c r="J484" s="2" t="inlineStr">
        <is>
          <t>SATIN-4PC-KING-GREY</t>
        </is>
      </c>
      <c r="K484" s="2" t="inlineStr">
        <is>
          <t>SATIN-4PC-KING-GREY</t>
        </is>
      </c>
      <c r="L484" s="2" t="inlineStr">
        <is>
          <t>n/a (no target bid in audit)</t>
        </is>
      </c>
      <c r="M484" s="2" t="inlineStr">
        <is>
          <t>n/a</t>
        </is>
      </c>
      <c r="N484" s="2" t="n">
        <v>0</v>
      </c>
      <c r="O484" s="2" t="n">
        <v>0</v>
      </c>
      <c r="P484" s="21" t="n"/>
      <c r="Q484" s="21" t="n"/>
      <c r="R484" s="2" t="n"/>
      <c r="S484" s="2" t="n"/>
      <c r="T484" s="2" t="n"/>
      <c r="U484" s="2" t="n"/>
      <c r="V484" s="21" t="n">
        <v>10</v>
      </c>
      <c r="W484" s="21" t="n">
        <v>10</v>
      </c>
      <c r="X484" s="2" t="inlineStr">
        <is>
          <t>PAUSED</t>
        </is>
      </c>
      <c r="Y484" s="2" t="inlineStr">
        <is>
          <t>none</t>
        </is>
      </c>
      <c r="Z484" s="2" t="inlineStr">
        <is>
          <t>none</t>
        </is>
      </c>
      <c r="AA484" s="21" t="n">
        <v>0</v>
      </c>
      <c r="AB484" s="2" t="n">
        <v>0</v>
      </c>
      <c r="AC484" s="2" t="n">
        <v>0</v>
      </c>
      <c r="AD484" s="2" t="n"/>
      <c r="AE484" s="2" t="n"/>
      <c r="AF484" s="2" t="n"/>
      <c r="AG484" s="2" t="n">
        <v>0</v>
      </c>
      <c r="AH484" s="2" t="inlineStr">
        <is>
          <t>Pause</t>
        </is>
      </c>
      <c r="AI484" s="22" t="inlineStr">
        <is>
          <t>Pause (seq 3340); retag → Discovery</t>
        </is>
      </c>
      <c r="AJ484" s="22" t="inlineStr">
        <is>
          <t>Duplicate discovery campaign with under 15 clicks and no order in 90 days (audit read to 29 Sep).</t>
        </is>
      </c>
      <c r="AK484" s="2" t="inlineStr">
        <is>
          <t>seq 3340 structure 3340: agree with review 40; our addition: standard → Discovery (phrase)</t>
        </is>
      </c>
      <c r="AL484" s="22" t="n"/>
    </row>
    <row r="485">
      <c r="A485" s="2" t="inlineStr">
        <is>
          <t>93124696318309</t>
        </is>
      </c>
      <c r="B485" s="2" t="inlineStr">
        <is>
          <t>D-S4-satin sheets twin - [Satin|Twin] - Broad - Disc - DO - SATIN-TWIN-GREY</t>
        </is>
      </c>
      <c r="C485" s="2" t="inlineStr">
        <is>
          <t>satin sheets twin [broad]</t>
        </is>
      </c>
      <c r="D485" s="2" t="inlineStr">
        <is>
          <t>—</t>
        </is>
      </c>
      <c r="E485" s="2" t="inlineStr">
        <is>
          <t>PAUSED</t>
        </is>
      </c>
      <c r="F485" s="2" t="inlineStr">
        <is>
          <t>Discovery</t>
        </is>
      </c>
      <c r="G485" s="2" t="inlineStr">
        <is>
          <t>Discovery</t>
        </is>
      </c>
      <c r="H485" s="2" t="inlineStr">
        <is>
          <t>Satin|Twin</t>
        </is>
      </c>
      <c r="I485" s="2" t="inlineStr">
        <is>
          <t>Broad</t>
        </is>
      </c>
      <c r="J485" s="2" t="inlineStr">
        <is>
          <t>SATIN-TWIN-GREY</t>
        </is>
      </c>
      <c r="K485" s="2" t="inlineStr">
        <is>
          <t>SATIN-TWIN-GREY</t>
        </is>
      </c>
      <c r="L485" s="2" t="inlineStr">
        <is>
          <t>n/a (no target bid in audit)</t>
        </is>
      </c>
      <c r="M485" s="2" t="inlineStr">
        <is>
          <t>n/a</t>
        </is>
      </c>
      <c r="N485" s="2" t="n">
        <v>0</v>
      </c>
      <c r="O485" s="2" t="n">
        <v>0</v>
      </c>
      <c r="P485" s="21" t="n"/>
      <c r="Q485" s="21" t="n"/>
      <c r="R485" s="2" t="n"/>
      <c r="S485" s="2" t="n"/>
      <c r="T485" s="2" t="n"/>
      <c r="U485" s="2" t="n"/>
      <c r="V485" s="21" t="n">
        <v>10</v>
      </c>
      <c r="W485" s="21" t="n">
        <v>10</v>
      </c>
      <c r="X485" s="2" t="inlineStr">
        <is>
          <t>PAUSED</t>
        </is>
      </c>
      <c r="Y485" s="2" t="inlineStr">
        <is>
          <t>none</t>
        </is>
      </c>
      <c r="Z485" s="2" t="inlineStr">
        <is>
          <t>none</t>
        </is>
      </c>
      <c r="AA485" s="21" t="n">
        <v>0</v>
      </c>
      <c r="AB485" s="2" t="n">
        <v>0</v>
      </c>
      <c r="AC485" s="2" t="n">
        <v>0</v>
      </c>
      <c r="AD485" s="2" t="n"/>
      <c r="AE485" s="2" t="n"/>
      <c r="AF485" s="2" t="n"/>
      <c r="AG485" s="2" t="n">
        <v>0</v>
      </c>
      <c r="AH485" s="2" t="inlineStr">
        <is>
          <t>No change</t>
        </is>
      </c>
      <c r="AI485" s="22" t="inlineStr">
        <is>
          <t>Keep paused</t>
        </is>
      </c>
      <c r="AJ485" s="22" t="inlineStr">
        <is>
          <t>No run decision and no issue found; no clicks in CC 31 Aug–29 Sep.</t>
        </is>
      </c>
      <c r="AK485" s="2" t="inlineStr">
        <is>
          <t>no run decision</t>
        </is>
      </c>
      <c r="AL485" s="22" t="n"/>
    </row>
    <row r="486">
      <c r="A486" s="2" t="inlineStr">
        <is>
          <t>2107301851159</t>
        </is>
      </c>
      <c r="B486" s="2" t="inlineStr">
        <is>
          <t>D-S4-satin sheets twin - [Satin|Twin] - Exact - Ran - DO - SATIN-TWIN-BLACK-NEW</t>
        </is>
      </c>
      <c r="C486" s="2" t="inlineStr">
        <is>
          <t>satin sheets twin [exact]</t>
        </is>
      </c>
      <c r="D486" s="2" t="inlineStr">
        <is>
          <t>satin sheets twin</t>
        </is>
      </c>
      <c r="E486" s="2" t="inlineStr">
        <is>
          <t>ENABLED</t>
        </is>
      </c>
      <c r="F486" s="2" t="inlineStr">
        <is>
          <t>Ranking</t>
        </is>
      </c>
      <c r="G486" s="2" t="inlineStr">
        <is>
          <t>Ranking</t>
        </is>
      </c>
      <c r="H486" s="2" t="inlineStr">
        <is>
          <t>Satin|Twin</t>
        </is>
      </c>
      <c r="I486" s="2" t="inlineStr">
        <is>
          <t>Exact</t>
        </is>
      </c>
      <c r="J486" s="2" t="inlineStr">
        <is>
          <t>SATIN-TWIN-BLACK-NEW</t>
        </is>
      </c>
      <c r="K486" s="2" t="inlineStr">
        <is>
          <t>SATIN-TWIN-BLACK-NEW</t>
        </is>
      </c>
      <c r="L486" s="2" t="inlineStr">
        <is>
          <t>n/a (no target bid in audit)</t>
        </is>
      </c>
      <c r="M486" s="2" t="inlineStr">
        <is>
          <t>n/a</t>
        </is>
      </c>
      <c r="N486" s="2" t="n">
        <v>50</v>
      </c>
      <c r="O486" s="2" t="n">
        <v>50</v>
      </c>
      <c r="P486" s="21" t="n"/>
      <c r="Q486" s="21" t="n"/>
      <c r="R486" s="2" t="n"/>
      <c r="S486" s="2" t="n"/>
      <c r="T486" s="2" t="n"/>
      <c r="U486" s="2" t="n"/>
      <c r="V486" s="21" t="n">
        <v>7.03</v>
      </c>
      <c r="W486" s="21" t="n">
        <v>7.03</v>
      </c>
      <c r="X486" s="2" t="inlineStr">
        <is>
          <t>ENABLED</t>
        </is>
      </c>
      <c r="Y486" s="2" t="inlineStr">
        <is>
          <t>none</t>
        </is>
      </c>
      <c r="Z486" s="2" t="inlineStr">
        <is>
          <t>defer — engine name wrong (SKU token SATIN-TWIN-BLACK-NEW); load a corrected name after 28 Oct</t>
        </is>
      </c>
      <c r="AA486" s="21" t="n">
        <v>0</v>
      </c>
      <c r="AB486" s="2" t="n">
        <v>0</v>
      </c>
      <c r="AC486" s="2" t="n">
        <v>0</v>
      </c>
      <c r="AD486" s="2" t="n"/>
      <c r="AE486" s="2" t="n"/>
      <c r="AF486" s="2" t="n"/>
      <c r="AG486" s="2" t="n">
        <v>1</v>
      </c>
      <c r="AH486" s="2" t="inlineStr">
        <is>
          <t>Release hold, keep price</t>
        </is>
      </c>
      <c r="AI486" s="22" t="inlineStr">
        <is>
          <t>Release hold; keep base (no clicks 30d)</t>
        </is>
      </c>
      <c r="AJ486" s="22" t="inlineStr">
        <is>
          <t>The "0 impressions" hold is false, but the campaign had no clicks in CC 31 Aug–29 Sep, so a base cut would only lower delivery. Note: plan move to SATIN-TWIN-GREY before 16 Oct (Twin Black 66 units, ~34 days).</t>
        </is>
      </c>
      <c r="AK486" s="2" t="inlineStr">
        <is>
          <t>seq 1911 child: reject — keep SATIN-TWIN-BLACK-NEW; seq 2185 retag LOAD; seq 3154 rename CHANGE; seq 2023 NOT SERVING hold(s) → release; price to break-even (our addition, reviewer D)</t>
        </is>
      </c>
      <c r="AL486" s="22" t="n"/>
    </row>
    <row r="487">
      <c r="A487" s="2" t="inlineStr">
        <is>
          <t>93422480453798</t>
        </is>
      </c>
      <c r="B487" s="2" t="inlineStr">
        <is>
          <t>D-S4-satin twin sheets - [Satin|Twin] - Broad - Disc - DO - SATIN-TWIN-GREY</t>
        </is>
      </c>
      <c r="C487" s="2" t="inlineStr">
        <is>
          <t>satin twin sheets [broad]</t>
        </is>
      </c>
      <c r="D487" s="2" t="inlineStr">
        <is>
          <t>—</t>
        </is>
      </c>
      <c r="E487" s="2" t="inlineStr">
        <is>
          <t>ENABLED</t>
        </is>
      </c>
      <c r="F487" s="2" t="inlineStr">
        <is>
          <t>Discovery</t>
        </is>
      </c>
      <c r="G487" s="2" t="inlineStr">
        <is>
          <t>Discovery</t>
        </is>
      </c>
      <c r="H487" s="2" t="inlineStr">
        <is>
          <t>Satin|Twin</t>
        </is>
      </c>
      <c r="I487" s="2" t="inlineStr">
        <is>
          <t>Broad</t>
        </is>
      </c>
      <c r="J487" s="2" t="inlineStr">
        <is>
          <t>SATIN-TWIN-GREY</t>
        </is>
      </c>
      <c r="K487" s="2" t="inlineStr">
        <is>
          <t>SATIN-TWIN-GREY</t>
        </is>
      </c>
      <c r="L487" s="2" t="inlineStr">
        <is>
          <t>n/a (no target bid in audit)</t>
        </is>
      </c>
      <c r="M487" s="2" t="inlineStr">
        <is>
          <t>n/a</t>
        </is>
      </c>
      <c r="N487" s="2" t="n">
        <v>0</v>
      </c>
      <c r="O487" s="2" t="n">
        <v>0</v>
      </c>
      <c r="P487" s="21" t="n"/>
      <c r="Q487" s="21" t="n"/>
      <c r="R487" s="2" t="n"/>
      <c r="S487" s="2" t="n"/>
      <c r="T487" s="2" t="n"/>
      <c r="U487" s="2" t="n"/>
      <c r="V487" s="21" t="n">
        <v>10</v>
      </c>
      <c r="W487" s="21" t="n">
        <v>10</v>
      </c>
      <c r="X487" s="2" t="inlineStr">
        <is>
          <t>ENABLED</t>
        </is>
      </c>
      <c r="Y487" s="2" t="inlineStr">
        <is>
          <t>none</t>
        </is>
      </c>
      <c r="Z487" s="2" t="inlineStr">
        <is>
          <t>defer — engine name wrong (SKU token SATIN-TWIN-GREY); load a corrected name after 28 Oct</t>
        </is>
      </c>
      <c r="AA487" s="21" t="n">
        <v>0</v>
      </c>
      <c r="AB487" s="2" t="n">
        <v>0</v>
      </c>
      <c r="AC487" s="2" t="n">
        <v>0</v>
      </c>
      <c r="AD487" s="2" t="n"/>
      <c r="AE487" s="2" t="n"/>
      <c r="AF487" s="2" t="n"/>
      <c r="AG487" s="2" t="n">
        <v>1</v>
      </c>
      <c r="AH487" s="2" t="inlineStr">
        <is>
          <t>No change (engine move rejected/held)</t>
        </is>
      </c>
      <c r="AI487" s="22" t="inlineStr">
        <is>
          <t>No change (reject engine child swap seq 1967; defer engine rename)</t>
        </is>
      </c>
      <c r="AJ487" s="22" t="inlineStr">
        <is>
          <t>Engine swap SATIN-TWIN-GREY → SATIN-4PC-TWIN-BLUSH PINK rejected: the pick comes from the broken size map, and SATIN-TWIN-GREY is the size's best seller with cover (SB 30 Aug–29 Sep); the engine rename writes a wrong token and is deferred; no clicks in CC 31 Aug–29 Sep.</t>
        </is>
      </c>
      <c r="AK487" s="2" t="inlineStr">
        <is>
          <t>seq 1967 child: reject — keep SATIN-TWIN-GREY; seq 3312 rename CHANGE</t>
        </is>
      </c>
      <c r="AL487" s="22" t="n"/>
    </row>
    <row r="488">
      <c r="A488" s="2" t="inlineStr">
        <is>
          <t>206482617774992</t>
        </is>
      </c>
      <c r="B488" s="2" t="inlineStr">
        <is>
          <t>D-S4-satin twin sheets - [Satin|Twin] - Exact - Ran - DO - SATIN-TWIN-BLACK-NEW</t>
        </is>
      </c>
      <c r="C488" s="2" t="inlineStr">
        <is>
          <t>satin twin sheets [exact]</t>
        </is>
      </c>
      <c r="D488" s="2" t="inlineStr">
        <is>
          <t>whole campaign</t>
        </is>
      </c>
      <c r="E488" s="2" t="inlineStr">
        <is>
          <t>PAUSED</t>
        </is>
      </c>
      <c r="F488" s="2" t="inlineStr">
        <is>
          <t>UNSET</t>
        </is>
      </c>
      <c r="G488" s="2" t="inlineStr">
        <is>
          <t>Ranking</t>
        </is>
      </c>
      <c r="H488" s="2" t="inlineStr">
        <is>
          <t>Satin|Twin</t>
        </is>
      </c>
      <c r="I488" s="2" t="inlineStr">
        <is>
          <t>Exact</t>
        </is>
      </c>
      <c r="J488" s="2" t="inlineStr">
        <is>
          <t>SATIN-TWIN-BLACK-NEW</t>
        </is>
      </c>
      <c r="K488" s="2" t="inlineStr">
        <is>
          <t>SATIN-TWIN-BLACK-NEW</t>
        </is>
      </c>
      <c r="L488" s="2" t="inlineStr">
        <is>
          <t>n/a (no target bid in audit)</t>
        </is>
      </c>
      <c r="M488" s="2" t="inlineStr">
        <is>
          <t>n/a</t>
        </is>
      </c>
      <c r="N488" s="2" t="n">
        <v>50</v>
      </c>
      <c r="O488" s="2" t="n">
        <v>50</v>
      </c>
      <c r="P488" s="21" t="n"/>
      <c r="Q488" s="21" t="n"/>
      <c r="R488" s="2" t="n"/>
      <c r="S488" s="2" t="n"/>
      <c r="T488" s="2" t="n"/>
      <c r="U488" s="2" t="n"/>
      <c r="V488" s="21" t="n">
        <v>8.73</v>
      </c>
      <c r="W488" s="21" t="n">
        <v>8.73</v>
      </c>
      <c r="X488" s="2" t="inlineStr">
        <is>
          <t>PAUSED</t>
        </is>
      </c>
      <c r="Y488" s="2" t="inlineStr">
        <is>
          <t>none</t>
        </is>
      </c>
      <c r="Z488" s="2" t="inlineStr">
        <is>
          <t>none</t>
        </is>
      </c>
      <c r="AA488" s="21" t="n">
        <v>0</v>
      </c>
      <c r="AB488" s="2" t="n">
        <v>0</v>
      </c>
      <c r="AC488" s="2" t="n">
        <v>0</v>
      </c>
      <c r="AD488" s="2" t="n"/>
      <c r="AE488" s="2" t="n"/>
      <c r="AF488" s="2" t="n"/>
      <c r="AG488" s="2" t="n">
        <v>1</v>
      </c>
      <c r="AH488" s="2" t="inlineStr">
        <is>
          <t>Keep paused</t>
        </is>
      </c>
      <c r="AI488" s="22" t="inlineStr">
        <is>
          <t>Keep paused (reject revive); retag → Ranking</t>
        </is>
      </c>
      <c r="AJ488" s="22" t="inlineStr">
        <is>
          <t>Revive rejected: 101.8% ACoS (CC 2 Jul–29 Sep).</t>
        </is>
      </c>
      <c r="AK488" s="2" t="inlineStr">
        <is>
          <t>seq 2832 structure: hold; our addition: standard → Ranking (generic exact "satin twin sheets")</t>
        </is>
      </c>
      <c r="AL488" s="22" t="n"/>
    </row>
    <row r="489">
      <c r="A489" s="2" t="inlineStr">
        <is>
          <t>18214228209075</t>
        </is>
      </c>
      <c r="B489" s="2" t="inlineStr">
        <is>
          <t>D-S4-sheets silk - [Silk] - Exact - Ran - DO - SATIN-QUEEN-BLACK</t>
        </is>
      </c>
      <c r="C489" s="2" t="inlineStr">
        <is>
          <t>sheets silk [exact]</t>
        </is>
      </c>
      <c r="D489" s="2" t="inlineStr">
        <is>
          <t>whole campaign</t>
        </is>
      </c>
      <c r="E489" s="2" t="inlineStr">
        <is>
          <t>PAUSED</t>
        </is>
      </c>
      <c r="F489" s="2" t="inlineStr">
        <is>
          <t>UNSET</t>
        </is>
      </c>
      <c r="G489" s="2" t="inlineStr">
        <is>
          <t>Ranking</t>
        </is>
      </c>
      <c r="H489" s="2" t="inlineStr">
        <is>
          <t>Silk</t>
        </is>
      </c>
      <c r="I489" s="2" t="inlineStr">
        <is>
          <t>Exact</t>
        </is>
      </c>
      <c r="J489" s="2" t="inlineStr">
        <is>
          <t>SATIN-QUEEN-BLACK</t>
        </is>
      </c>
      <c r="K489" s="2" t="inlineStr">
        <is>
          <t>SATIN-QUEEN-BLACK</t>
        </is>
      </c>
      <c r="L489" s="2" t="inlineStr">
        <is>
          <t>n/a (no target bid in audit)</t>
        </is>
      </c>
      <c r="M489" s="2" t="inlineStr">
        <is>
          <t>n/a</t>
        </is>
      </c>
      <c r="N489" s="2" t="n">
        <v>50</v>
      </c>
      <c r="O489" s="2" t="n">
        <v>50</v>
      </c>
      <c r="P489" s="21" t="n"/>
      <c r="Q489" s="21" t="n"/>
      <c r="R489" s="2" t="n"/>
      <c r="S489" s="2" t="n"/>
      <c r="T489" s="2" t="n"/>
      <c r="U489" s="2" t="n"/>
      <c r="V489" s="21" t="n">
        <v>7.94</v>
      </c>
      <c r="W489" s="21" t="n">
        <v>7.94</v>
      </c>
      <c r="X489" s="2" t="inlineStr">
        <is>
          <t>PAUSED</t>
        </is>
      </c>
      <c r="Y489" s="2" t="inlineStr">
        <is>
          <t>none</t>
        </is>
      </c>
      <c r="Z489" s="2" t="inlineStr">
        <is>
          <t>none</t>
        </is>
      </c>
      <c r="AA489" s="21" t="n">
        <v>0</v>
      </c>
      <c r="AB489" s="2" t="n">
        <v>0</v>
      </c>
      <c r="AC489" s="2" t="n">
        <v>0</v>
      </c>
      <c r="AD489" s="2" t="n"/>
      <c r="AE489" s="2" t="n"/>
      <c r="AF489" s="2" t="n"/>
      <c r="AG489" s="2" t="n">
        <v>1</v>
      </c>
      <c r="AH489" s="2" t="inlineStr">
        <is>
          <t>Keep paused</t>
        </is>
      </c>
      <c r="AI489" s="22" t="inlineStr">
        <is>
          <t>Keep paused (reject revive); retag → Ranking</t>
        </is>
      </c>
      <c r="AJ489" s="22" t="inlineStr">
        <is>
          <t>Revive rejected: 121.7% ACoS (CC 2 Jul–29 Sep).</t>
        </is>
      </c>
      <c r="AK489" s="2" t="inlineStr">
        <is>
          <t>seq 2829 structure: hold; our addition: standard → Ranking (generic exact "sheets silk")</t>
        </is>
      </c>
      <c r="AL489" s="22" t="n"/>
    </row>
    <row r="490">
      <c r="A490" s="2" t="inlineStr">
        <is>
          <t>85165191759793</t>
        </is>
      </c>
      <c r="B490" s="2" t="inlineStr">
        <is>
          <t>D-S4-silk bed sheet set - [Silk] - Exact - Ran - DO - SATIN-QUEEN-BLACK</t>
        </is>
      </c>
      <c r="C490" s="2" t="inlineStr">
        <is>
          <t>silk bed sheet set [exact]</t>
        </is>
      </c>
      <c r="D490" s="2" t="inlineStr">
        <is>
          <t>whole campaign</t>
        </is>
      </c>
      <c r="E490" s="2" t="inlineStr">
        <is>
          <t>PAUSED</t>
        </is>
      </c>
      <c r="F490" s="2" t="inlineStr">
        <is>
          <t>UNSET</t>
        </is>
      </c>
      <c r="G490" s="2" t="inlineStr">
        <is>
          <t>Ranking</t>
        </is>
      </c>
      <c r="H490" s="2" t="inlineStr">
        <is>
          <t>Silk</t>
        </is>
      </c>
      <c r="I490" s="2" t="inlineStr">
        <is>
          <t>Exact</t>
        </is>
      </c>
      <c r="J490" s="2" t="inlineStr">
        <is>
          <t>SATIN-QUEEN-BLACK</t>
        </is>
      </c>
      <c r="K490" s="2" t="inlineStr">
        <is>
          <t>SATIN-QUEEN-BLACK</t>
        </is>
      </c>
      <c r="L490" s="2" t="inlineStr">
        <is>
          <t>n/a (no target bid in audit)</t>
        </is>
      </c>
      <c r="M490" s="2" t="inlineStr">
        <is>
          <t>n/a</t>
        </is>
      </c>
      <c r="N490" s="2" t="n">
        <v>50</v>
      </c>
      <c r="O490" s="2" t="n">
        <v>50</v>
      </c>
      <c r="P490" s="21" t="n"/>
      <c r="Q490" s="21" t="n"/>
      <c r="R490" s="2" t="n"/>
      <c r="S490" s="2" t="n"/>
      <c r="T490" s="2" t="n"/>
      <c r="U490" s="2" t="n"/>
      <c r="V490" s="21" t="n">
        <v>14.49</v>
      </c>
      <c r="W490" s="21" t="n">
        <v>14.49</v>
      </c>
      <c r="X490" s="2" t="inlineStr">
        <is>
          <t>PAUSED</t>
        </is>
      </c>
      <c r="Y490" s="2" t="inlineStr">
        <is>
          <t>none</t>
        </is>
      </c>
      <c r="Z490" s="2" t="inlineStr">
        <is>
          <t>none</t>
        </is>
      </c>
      <c r="AA490" s="21" t="n">
        <v>0</v>
      </c>
      <c r="AB490" s="2" t="n">
        <v>0</v>
      </c>
      <c r="AC490" s="2" t="n">
        <v>0</v>
      </c>
      <c r="AD490" s="2" t="n"/>
      <c r="AE490" s="2" t="n"/>
      <c r="AF490" s="2" t="n"/>
      <c r="AG490" s="2" t="n">
        <v>1</v>
      </c>
      <c r="AH490" s="2" t="inlineStr">
        <is>
          <t>Retag only</t>
        </is>
      </c>
      <c r="AI490" s="22" t="inlineStr">
        <is>
          <t>retag → Ranking</t>
        </is>
      </c>
      <c r="AJ490" s="22" t="inlineStr">
        <is>
          <t>Objective UNSET → Ranking by the standard (generic exact "silk bed sheet set"); no clicks in CC 31 Aug–29 Sep.</t>
        </is>
      </c>
      <c r="AK490" s="2" t="inlineStr">
        <is>
          <t>our addition: standard → Ranking (generic exact "silk bed sheet set")</t>
        </is>
      </c>
      <c r="AL490" s="22" t="n"/>
    </row>
    <row r="491">
      <c r="A491" s="2" t="inlineStr">
        <is>
          <t>223232856894227</t>
        </is>
      </c>
      <c r="B491" s="2" t="inlineStr">
        <is>
          <t>D-S4-silk bed sheet set - [Silk] - Phrase - Conv - DO - SATIN-4PCS-QUEEN-STONE-GREY</t>
        </is>
      </c>
      <c r="C491" s="2" t="inlineStr">
        <is>
          <t>silk bed sheet set [phrase]</t>
        </is>
      </c>
      <c r="D491" s="2" t="inlineStr">
        <is>
          <t>whole campaign</t>
        </is>
      </c>
      <c r="E491" s="2" t="inlineStr">
        <is>
          <t>ENABLED</t>
        </is>
      </c>
      <c r="F491" s="2" t="inlineStr">
        <is>
          <t>Conversions</t>
        </is>
      </c>
      <c r="G491" s="2" t="inlineStr">
        <is>
          <t>Discovery</t>
        </is>
      </c>
      <c r="H491" s="2" t="inlineStr">
        <is>
          <t>Silk</t>
        </is>
      </c>
      <c r="I491" s="2" t="inlineStr">
        <is>
          <t>Phrase</t>
        </is>
      </c>
      <c r="J491" s="2" t="inlineStr">
        <is>
          <t>SATIN-4PCS-QUEEN-STONE-GREY</t>
        </is>
      </c>
      <c r="K491" s="2" t="inlineStr">
        <is>
          <t>SATIN-4PCS-QUEEN-STONE-GREY</t>
        </is>
      </c>
      <c r="L491" s="2" t="inlineStr">
        <is>
          <t>n/a (no target bid in audit)</t>
        </is>
      </c>
      <c r="M491" s="2" t="inlineStr">
        <is>
          <t>n/a</t>
        </is>
      </c>
      <c r="N491" s="2" t="n">
        <v>0</v>
      </c>
      <c r="O491" s="2" t="n">
        <v>0</v>
      </c>
      <c r="P491" s="21" t="n"/>
      <c r="Q491" s="21" t="n"/>
      <c r="R491" s="2" t="n"/>
      <c r="S491" s="2" t="n"/>
      <c r="T491" s="2" t="n"/>
      <c r="U491" s="2" t="n"/>
      <c r="V491" s="21" t="n">
        <v>10</v>
      </c>
      <c r="W491" s="21" t="n">
        <v>10</v>
      </c>
      <c r="X491" s="2" t="inlineStr">
        <is>
          <t>PAUSED</t>
        </is>
      </c>
      <c r="Y491" s="2" t="inlineStr">
        <is>
          <t>none</t>
        </is>
      </c>
      <c r="Z491" s="2" t="inlineStr">
        <is>
          <t>none</t>
        </is>
      </c>
      <c r="AA491" s="21" t="n">
        <v>0</v>
      </c>
      <c r="AB491" s="2" t="n">
        <v>0</v>
      </c>
      <c r="AC491" s="2" t="n">
        <v>0</v>
      </c>
      <c r="AD491" s="2" t="n"/>
      <c r="AE491" s="2" t="n"/>
      <c r="AF491" s="2" t="n"/>
      <c r="AG491" s="2" t="n">
        <v>0</v>
      </c>
      <c r="AH491" s="2" t="inlineStr">
        <is>
          <t>Pause</t>
        </is>
      </c>
      <c r="AI491" s="22" t="inlineStr">
        <is>
          <t>Pause (seq 3340); retag → Discovery</t>
        </is>
      </c>
      <c r="AJ491" s="22" t="inlineStr">
        <is>
          <t>Duplicate discovery campaign with under 15 clicks and no order in 90 days (audit read to 29 Sep).</t>
        </is>
      </c>
      <c r="AK491" s="2" t="inlineStr">
        <is>
          <t>seq 3340 structure 3340: agree with review 40; our addition: standard → Discovery (phrase)</t>
        </is>
      </c>
      <c r="AL491" s="22" t="n"/>
    </row>
    <row r="492">
      <c r="A492" s="2" t="inlineStr">
        <is>
          <t>118688193849833</t>
        </is>
      </c>
      <c r="B492" s="2" t="inlineStr">
        <is>
          <t>D-S4-silk bed sheets full - [Silk|Full] - Exact - Ran - DO - SATIN-FULL-BLACK</t>
        </is>
      </c>
      <c r="C492" s="2" t="inlineStr">
        <is>
          <t>silk bed sheets full [exact, $0.50]</t>
        </is>
      </c>
      <c r="D492" s="2" t="inlineStr">
        <is>
          <t>—</t>
        </is>
      </c>
      <c r="E492" s="2" t="inlineStr">
        <is>
          <t>ENABLED</t>
        </is>
      </c>
      <c r="F492" s="2" t="inlineStr">
        <is>
          <t>Ranking</t>
        </is>
      </c>
      <c r="G492" s="2" t="inlineStr">
        <is>
          <t>Ranking</t>
        </is>
      </c>
      <c r="H492" s="2" t="inlineStr">
        <is>
          <t>OUT</t>
        </is>
      </c>
      <c r="I492" s="2" t="inlineStr">
        <is>
          <t>Exact</t>
        </is>
      </c>
      <c r="J492" s="2" t="inlineStr">
        <is>
          <t>SATIN-FULL-BLACK</t>
        </is>
      </c>
      <c r="K492" s="2" t="inlineStr">
        <is>
          <t>SATIN-FULL-BLACK</t>
        </is>
      </c>
      <c r="L492" s="2" t="inlineStr">
        <is>
          <t>$0.50</t>
        </is>
      </c>
      <c r="M492" s="2" t="inlineStr">
        <is>
          <t>$0.50</t>
        </is>
      </c>
      <c r="N492" s="2" t="n">
        <v>190</v>
      </c>
      <c r="O492" s="2" t="n">
        <v>190</v>
      </c>
      <c r="P492" s="21" t="n">
        <v>1.45</v>
      </c>
      <c r="Q492" s="21" t="n">
        <v>1.45</v>
      </c>
      <c r="R492" s="2" t="n">
        <v>0</v>
      </c>
      <c r="S492" s="2" t="n">
        <v>0</v>
      </c>
      <c r="T492" s="2" t="n">
        <v>0</v>
      </c>
      <c r="U492" s="2" t="n">
        <v>0</v>
      </c>
      <c r="V492" s="21" t="n">
        <v>11.21</v>
      </c>
      <c r="W492" s="21" t="n">
        <v>11.21</v>
      </c>
      <c r="X492" s="2" t="inlineStr">
        <is>
          <t>ENABLED</t>
        </is>
      </c>
      <c r="Y492" s="2" t="inlineStr">
        <is>
          <t>none</t>
        </is>
      </c>
      <c r="Z492" s="2" t="inlineStr">
        <is>
          <t>defer — engine name wrong (SKU token SATIN-FULL-BLACK); load a corrected name after 28 Oct</t>
        </is>
      </c>
      <c r="AA492" s="21" t="n">
        <v>0</v>
      </c>
      <c r="AB492" s="2" t="n">
        <v>0</v>
      </c>
      <c r="AC492" s="2" t="n">
        <v>0</v>
      </c>
      <c r="AD492" s="2" t="n"/>
      <c r="AE492" s="2" t="n"/>
      <c r="AF492" s="2" t="n"/>
      <c r="AG492" s="2" t="n">
        <v>3</v>
      </c>
      <c r="AH492" s="2" t="inlineStr">
        <is>
          <t>No change (engine move rejected/held)</t>
        </is>
      </c>
      <c r="AI492" s="22" t="inlineStr">
        <is>
          <t>No change (reject engine child swap seq 1885; defer engine rename)</t>
        </is>
      </c>
      <c r="AJ492" s="22" t="inlineStr">
        <is>
          <t>Engine swap SATIN-FULL-BLACK → SATIN-4PCS-FULL-ROSEWOOD rejected: the pick comes from the broken size map, and SATIN-FULL-BLACK is the size's best seller with cover (SB 30 Aug–29 Sep); the engine rename writes a wrong token and is deferred; no clicks in CC 31 Aug–29 Sep.</t>
        </is>
      </c>
      <c r="AK492" s="2" t="inlineStr">
        <is>
          <t>seq 1885 child: reject — keep SATIN-FULL-BLACK; seq 3075 rename CHANGE</t>
        </is>
      </c>
      <c r="AL492" s="22" t="n"/>
    </row>
    <row r="493">
      <c r="A493" s="2" t="inlineStr">
        <is>
          <t>171313052211255</t>
        </is>
      </c>
      <c r="B493" s="2" t="inlineStr">
        <is>
          <t>D-S4-silk bed sheets queen - [Silk|Queen] - Broad - Disc - DO - SATIN-4PCS-QUEEN-STONE-GREY</t>
        </is>
      </c>
      <c r="C493" s="2" t="inlineStr">
        <is>
          <t>silk bed sheets queen [broad]</t>
        </is>
      </c>
      <c r="D493" s="2" t="inlineStr">
        <is>
          <t>whole campaign</t>
        </is>
      </c>
      <c r="E493" s="2" t="inlineStr">
        <is>
          <t>ENABLED</t>
        </is>
      </c>
      <c r="F493" s="2" t="inlineStr">
        <is>
          <t>Discovery</t>
        </is>
      </c>
      <c r="G493" s="2" t="inlineStr">
        <is>
          <t>Discovery</t>
        </is>
      </c>
      <c r="H493" s="2" t="inlineStr">
        <is>
          <t>Silk|Queen</t>
        </is>
      </c>
      <c r="I493" s="2" t="inlineStr">
        <is>
          <t>Broad</t>
        </is>
      </c>
      <c r="J493" s="2" t="inlineStr">
        <is>
          <t>SATIN-4PCS-QUEEN-STONE-GREY</t>
        </is>
      </c>
      <c r="K493" s="2" t="inlineStr">
        <is>
          <t>SATIN-4PCS-QUEEN-STONE-GREY</t>
        </is>
      </c>
      <c r="L493" s="2" t="inlineStr">
        <is>
          <t>n/a (no target bid in audit)</t>
        </is>
      </c>
      <c r="M493" s="2" t="inlineStr">
        <is>
          <t>n/a</t>
        </is>
      </c>
      <c r="N493" s="2" t="n">
        <v>0</v>
      </c>
      <c r="O493" s="2" t="n">
        <v>0</v>
      </c>
      <c r="P493" s="21" t="n"/>
      <c r="Q493" s="21" t="n"/>
      <c r="R493" s="2" t="n"/>
      <c r="S493" s="2" t="n"/>
      <c r="T493" s="2" t="n"/>
      <c r="U493" s="2" t="n"/>
      <c r="V493" s="21" t="n">
        <v>10</v>
      </c>
      <c r="W493" s="21" t="n">
        <v>10</v>
      </c>
      <c r="X493" s="2" t="inlineStr">
        <is>
          <t>PAUSED</t>
        </is>
      </c>
      <c r="Y493" s="2" t="inlineStr">
        <is>
          <t>none</t>
        </is>
      </c>
      <c r="Z493" s="2" t="inlineStr">
        <is>
          <t>none</t>
        </is>
      </c>
      <c r="AA493" s="21" t="n">
        <v>0</v>
      </c>
      <c r="AB493" s="2" t="n">
        <v>0</v>
      </c>
      <c r="AC493" s="2" t="n">
        <v>0</v>
      </c>
      <c r="AD493" s="2" t="n"/>
      <c r="AE493" s="2" t="n"/>
      <c r="AF493" s="2" t="n"/>
      <c r="AG493" s="2" t="n">
        <v>0</v>
      </c>
      <c r="AH493" s="2" t="inlineStr">
        <is>
          <t>Pause</t>
        </is>
      </c>
      <c r="AI493" s="22" t="inlineStr">
        <is>
          <t>Pause (seq 3340)</t>
        </is>
      </c>
      <c r="AJ493" s="22" t="inlineStr">
        <is>
          <t>Duplicate discovery campaign with under 15 clicks and no order in 90 days (audit read to 29 Sep).</t>
        </is>
      </c>
      <c r="AK493" s="2" t="inlineStr">
        <is>
          <t>seq 3340 structure 3340: agree with review 40</t>
        </is>
      </c>
      <c r="AL493" s="22" t="n"/>
    </row>
    <row r="494">
      <c r="A494" s="2" t="inlineStr">
        <is>
          <t>46491042794240</t>
        </is>
      </c>
      <c r="B494" s="2" t="inlineStr">
        <is>
          <t>D-S4-silk bed sheets twin - [Silk|Twin] - Exact - Ran - DO - SATIN-TWIN-BLACK-NEW</t>
        </is>
      </c>
      <c r="C494" s="2" t="inlineStr">
        <is>
          <t>silk bed sheets twin [exact]</t>
        </is>
      </c>
      <c r="D494" s="2" t="inlineStr">
        <is>
          <t>whole campaign</t>
        </is>
      </c>
      <c r="E494" s="2" t="inlineStr">
        <is>
          <t>PAUSED</t>
        </is>
      </c>
      <c r="F494" s="2" t="inlineStr">
        <is>
          <t>UNSET</t>
        </is>
      </c>
      <c r="G494" s="2" t="inlineStr">
        <is>
          <t>Ranking</t>
        </is>
      </c>
      <c r="H494" s="2" t="inlineStr">
        <is>
          <t>Silk|Twin</t>
        </is>
      </c>
      <c r="I494" s="2" t="inlineStr">
        <is>
          <t>Exact</t>
        </is>
      </c>
      <c r="J494" s="2" t="inlineStr">
        <is>
          <t>SATIN-TWIN-BLACK-NEW</t>
        </is>
      </c>
      <c r="K494" s="2" t="inlineStr">
        <is>
          <t>SATIN-TWIN-BLACK-NEW</t>
        </is>
      </c>
      <c r="L494" s="2" t="inlineStr">
        <is>
          <t>n/a (no target bid in audit)</t>
        </is>
      </c>
      <c r="M494" s="2" t="inlineStr">
        <is>
          <t>n/a</t>
        </is>
      </c>
      <c r="N494" s="2" t="n">
        <v>50</v>
      </c>
      <c r="O494" s="2" t="n">
        <v>50</v>
      </c>
      <c r="P494" s="21" t="n"/>
      <c r="Q494" s="21" t="n"/>
      <c r="R494" s="2" t="n"/>
      <c r="S494" s="2" t="n"/>
      <c r="T494" s="2" t="n"/>
      <c r="U494" s="2" t="n"/>
      <c r="V494" s="21" t="n">
        <v>10.83</v>
      </c>
      <c r="W494" s="21" t="n">
        <v>10.83</v>
      </c>
      <c r="X494" s="2" t="inlineStr">
        <is>
          <t>PAUSED</t>
        </is>
      </c>
      <c r="Y494" s="2" t="inlineStr">
        <is>
          <t>none</t>
        </is>
      </c>
      <c r="Z494" s="2" t="inlineStr">
        <is>
          <t>none</t>
        </is>
      </c>
      <c r="AA494" s="21" t="n">
        <v>0</v>
      </c>
      <c r="AB494" s="2" t="n">
        <v>0</v>
      </c>
      <c r="AC494" s="2" t="n">
        <v>0</v>
      </c>
      <c r="AD494" s="2" t="n"/>
      <c r="AE494" s="2" t="n"/>
      <c r="AF494" s="2" t="n"/>
      <c r="AG494" s="2" t="n">
        <v>1</v>
      </c>
      <c r="AH494" s="2" t="inlineStr">
        <is>
          <t>Keep paused</t>
        </is>
      </c>
      <c r="AI494" s="22" t="inlineStr">
        <is>
          <t>Keep paused (reject revive); retag → Ranking</t>
        </is>
      </c>
      <c r="AJ494" s="22" t="inlineStr">
        <is>
          <t>Revive rejected: 122.2% ACoS (CC 2 Jul–29 Sep).</t>
        </is>
      </c>
      <c r="AK494" s="2" t="inlineStr">
        <is>
          <t>seq 2825 structure: hold; our addition: standard → Ranking (generic exact "silk bed sheets twin")</t>
        </is>
      </c>
      <c r="AL494" s="22" t="n"/>
    </row>
    <row r="495">
      <c r="A495" s="2" t="inlineStr">
        <is>
          <t>244605908630247</t>
        </is>
      </c>
      <c r="B495" s="2" t="inlineStr">
        <is>
          <t>D-S4-silk flat sheet - [Silk] - Exact - Ran - DO - SATIN-QUEEN-BLACK</t>
        </is>
      </c>
      <c r="C495" s="2" t="inlineStr">
        <is>
          <t>silk flat sheet [exact]</t>
        </is>
      </c>
      <c r="D495" s="2" t="inlineStr">
        <is>
          <t>whole campaign</t>
        </is>
      </c>
      <c r="E495" s="2" t="inlineStr">
        <is>
          <t>ENABLED</t>
        </is>
      </c>
      <c r="F495" s="2" t="inlineStr">
        <is>
          <t>Conversions</t>
        </is>
      </c>
      <c r="G495" s="2" t="inlineStr">
        <is>
          <t>Conversions</t>
        </is>
      </c>
      <c r="H495" s="2" t="inlineStr">
        <is>
          <t>Silk</t>
        </is>
      </c>
      <c r="I495" s="2" t="inlineStr">
        <is>
          <t>Exact</t>
        </is>
      </c>
      <c r="J495" s="2" t="inlineStr">
        <is>
          <t>SATIN-QUEEN-BLACK</t>
        </is>
      </c>
      <c r="K495" s="2" t="inlineStr">
        <is>
          <t>SATIN-QUEEN-BLACK</t>
        </is>
      </c>
      <c r="L495" s="2" t="inlineStr">
        <is>
          <t>n/a (no target bid in audit)</t>
        </is>
      </c>
      <c r="M495" s="2" t="inlineStr">
        <is>
          <t>n/a</t>
        </is>
      </c>
      <c r="N495" s="2" t="n">
        <v>50</v>
      </c>
      <c r="O495" s="2" t="n">
        <v>50</v>
      </c>
      <c r="P495" s="21" t="n"/>
      <c r="Q495" s="21" t="n"/>
      <c r="R495" s="2" t="n"/>
      <c r="S495" s="2" t="n"/>
      <c r="T495" s="2" t="n"/>
      <c r="U495" s="2" t="n"/>
      <c r="V495" s="21" t="n">
        <v>7.4</v>
      </c>
      <c r="W495" s="21" t="n">
        <v>7.4</v>
      </c>
      <c r="X495" s="2" t="inlineStr">
        <is>
          <t>ENABLED</t>
        </is>
      </c>
      <c r="Y495" s="2" t="inlineStr">
        <is>
          <t>none</t>
        </is>
      </c>
      <c r="Z495" s="2" t="inlineStr">
        <is>
          <t>load (clean): DSS4-SP-Silk Flat Sheet-(LSV)-Exact-(Conversion)-DO-SATIN-QUEEN-BLACK</t>
        </is>
      </c>
      <c r="AA495" s="21" t="n">
        <v>0</v>
      </c>
      <c r="AB495" s="2" t="n">
        <v>0</v>
      </c>
      <c r="AC495" s="2" t="n">
        <v>0</v>
      </c>
      <c r="AD495" s="2" t="n"/>
      <c r="AE495" s="2" t="n"/>
      <c r="AF495" s="2" t="n"/>
      <c r="AG495" s="2" t="n">
        <v>0</v>
      </c>
      <c r="AH495" s="2" t="inlineStr">
        <is>
          <t>Rename only</t>
        </is>
      </c>
      <c r="AI495" s="22" t="inlineStr">
        <is>
          <t>Load rename only</t>
        </is>
      </c>
      <c r="AJ495" s="22" t="inlineStr">
        <is>
          <t>Clean rename (SKU token and objective match what the campaign advertises); no clicks in CC 31 Aug–29 Sep.</t>
        </is>
      </c>
      <c r="AK495" s="2" t="inlineStr">
        <is>
          <t>seq 2198 retag LOAD; seq 3189 rename LOAD</t>
        </is>
      </c>
      <c r="AL495" s="22" t="n"/>
    </row>
    <row r="496">
      <c r="A496" s="2" t="inlineStr">
        <is>
          <t>173264064340128</t>
        </is>
      </c>
      <c r="B496" s="2" t="inlineStr">
        <is>
          <t>D-S4-silk flat sheet - [Silk] - Phrase - Conv - DO - SATIN-4PCS-QUEEN-STONE-GREY</t>
        </is>
      </c>
      <c r="C496" s="2" t="inlineStr">
        <is>
          <t>silk flat sheet [phrase]</t>
        </is>
      </c>
      <c r="D496" s="2" t="inlineStr">
        <is>
          <t>whole campaign</t>
        </is>
      </c>
      <c r="E496" s="2" t="inlineStr">
        <is>
          <t>ENABLED</t>
        </is>
      </c>
      <c r="F496" s="2" t="inlineStr">
        <is>
          <t>Conversions</t>
        </is>
      </c>
      <c r="G496" s="2" t="inlineStr">
        <is>
          <t>Discovery</t>
        </is>
      </c>
      <c r="H496" s="2" t="inlineStr">
        <is>
          <t>Silk</t>
        </is>
      </c>
      <c r="I496" s="2" t="inlineStr">
        <is>
          <t>Phrase</t>
        </is>
      </c>
      <c r="J496" s="2" t="inlineStr">
        <is>
          <t>SATIN-4PCS-QUEEN-STONE-GREY</t>
        </is>
      </c>
      <c r="K496" s="2" t="inlineStr">
        <is>
          <t>SATIN-4PCS-QUEEN-STONE-GREY</t>
        </is>
      </c>
      <c r="L496" s="2" t="inlineStr">
        <is>
          <t>n/a (no target bid in audit)</t>
        </is>
      </c>
      <c r="M496" s="2" t="inlineStr">
        <is>
          <t>n/a</t>
        </is>
      </c>
      <c r="N496" s="2" t="n">
        <v>0</v>
      </c>
      <c r="O496" s="2" t="n">
        <v>0</v>
      </c>
      <c r="P496" s="21" t="n"/>
      <c r="Q496" s="21" t="n"/>
      <c r="R496" s="2" t="n"/>
      <c r="S496" s="2" t="n"/>
      <c r="T496" s="2" t="n"/>
      <c r="U496" s="2" t="n"/>
      <c r="V496" s="21" t="n">
        <v>10</v>
      </c>
      <c r="W496" s="21" t="n">
        <v>10</v>
      </c>
      <c r="X496" s="2" t="inlineStr">
        <is>
          <t>PAUSED</t>
        </is>
      </c>
      <c r="Y496" s="2" t="inlineStr">
        <is>
          <t>none</t>
        </is>
      </c>
      <c r="Z496" s="2" t="inlineStr">
        <is>
          <t>none</t>
        </is>
      </c>
      <c r="AA496" s="21" t="n">
        <v>0</v>
      </c>
      <c r="AB496" s="2" t="n">
        <v>0</v>
      </c>
      <c r="AC496" s="2" t="n">
        <v>0</v>
      </c>
      <c r="AD496" s="2" t="n"/>
      <c r="AE496" s="2" t="n"/>
      <c r="AF496" s="2" t="n"/>
      <c r="AG496" s="2" t="n">
        <v>0</v>
      </c>
      <c r="AH496" s="2" t="inlineStr">
        <is>
          <t>Pause</t>
        </is>
      </c>
      <c r="AI496" s="22" t="inlineStr">
        <is>
          <t>Pause (seq 3340); retag → Discovery</t>
        </is>
      </c>
      <c r="AJ496" s="22" t="inlineStr">
        <is>
          <t>Duplicate discovery campaign with under 15 clicks and no order in 90 days (audit read to 29 Sep).</t>
        </is>
      </c>
      <c r="AK496" s="2" t="inlineStr">
        <is>
          <t>seq 3340 structure 3340: agree with review 40; our addition: standard → Discovery (phrase)</t>
        </is>
      </c>
      <c r="AL496" s="22" t="n"/>
    </row>
    <row r="497">
      <c r="A497" s="2" t="inlineStr">
        <is>
          <t>246080257125002</t>
        </is>
      </c>
      <c r="B497" s="2" t="inlineStr">
        <is>
          <t>D-S4-silk full size bed sheets - [Silk|Full] - Exact - Ran - DO - SATIN-FULL-BLACK</t>
        </is>
      </c>
      <c r="C497" s="2" t="inlineStr">
        <is>
          <t>silk full size bed sheets [exact]</t>
        </is>
      </c>
      <c r="D497" s="2" t="inlineStr">
        <is>
          <t>silk full size bed sheets</t>
        </is>
      </c>
      <c r="E497" s="2" t="inlineStr">
        <is>
          <t>ENABLED</t>
        </is>
      </c>
      <c r="F497" s="2" t="inlineStr">
        <is>
          <t>Ranking</t>
        </is>
      </c>
      <c r="G497" s="2" t="inlineStr">
        <is>
          <t>Ranking</t>
        </is>
      </c>
      <c r="H497" s="2" t="inlineStr">
        <is>
          <t>Silk|Full</t>
        </is>
      </c>
      <c r="I497" s="2" t="inlineStr">
        <is>
          <t>Exact</t>
        </is>
      </c>
      <c r="J497" s="2" t="inlineStr">
        <is>
          <t>SATIN-FULL-BLACK</t>
        </is>
      </c>
      <c r="K497" s="2" t="inlineStr">
        <is>
          <t>SATIN-FULL-BLACK</t>
        </is>
      </c>
      <c r="L497" s="2" t="inlineStr">
        <is>
          <t>n/a (no target bid in audit)</t>
        </is>
      </c>
      <c r="M497" s="2" t="inlineStr">
        <is>
          <t>n/a</t>
        </is>
      </c>
      <c r="N497" s="2" t="n">
        <v>20</v>
      </c>
      <c r="O497" s="2" t="n">
        <v>20</v>
      </c>
      <c r="P497" s="21" t="n"/>
      <c r="Q497" s="21" t="n"/>
      <c r="R497" s="2" t="n"/>
      <c r="S497" s="2" t="n"/>
      <c r="T497" s="2" t="n"/>
      <c r="U497" s="2" t="n"/>
      <c r="V497" s="21" t="n">
        <v>11.21</v>
      </c>
      <c r="W497" s="21" t="n">
        <v>11.21</v>
      </c>
      <c r="X497" s="2" t="inlineStr">
        <is>
          <t>ENABLED</t>
        </is>
      </c>
      <c r="Y497" s="2" t="inlineStr">
        <is>
          <t>none</t>
        </is>
      </c>
      <c r="Z497" s="2" t="inlineStr">
        <is>
          <t>defer — engine name wrong (SKU token SATIN-FULL-BLACK); load a corrected name after 28 Oct</t>
        </is>
      </c>
      <c r="AA497" s="21" t="n">
        <v>0</v>
      </c>
      <c r="AB497" s="2" t="n">
        <v>0</v>
      </c>
      <c r="AC497" s="2" t="n">
        <v>0</v>
      </c>
      <c r="AD497" s="2" t="n"/>
      <c r="AE497" s="2" t="n"/>
      <c r="AF497" s="2" t="n"/>
      <c r="AG497" s="2" t="n">
        <v>5</v>
      </c>
      <c r="AH497" s="2" t="inlineStr">
        <is>
          <t>Release hold, keep price</t>
        </is>
      </c>
      <c r="AI497" s="22" t="inlineStr">
        <is>
          <t>Release hold; keep base (no clicks 30d)</t>
        </is>
      </c>
      <c r="AJ497" s="22" t="inlineStr">
        <is>
          <t>The "0 impressions" hold is false, but the campaign had no clicks in CC 31 Aug–29 Sep, so a base cut would only lower delivery.</t>
        </is>
      </c>
      <c r="AK497" s="2" t="inlineStr">
        <is>
          <t>seq 1920 child: reject — keep SATIN-FULL-BLACK; seq 2199 retag LOAD; seq 3192 rename CHANGE; seq 2029 NOT SERVING hold(s) → release; price to break-even (our addition, reviewer D)</t>
        </is>
      </c>
      <c r="AL497" s="22" t="n"/>
    </row>
    <row r="498">
      <c r="A498" s="2" t="inlineStr">
        <is>
          <t>196396610928962</t>
        </is>
      </c>
      <c r="B498" s="2" t="inlineStr">
        <is>
          <t>D-S4-silk king sheets - [Silk|King] - Exact - Ran - DO - SATIN-4PC-KING-GREY</t>
        </is>
      </c>
      <c r="C498" s="2" t="inlineStr">
        <is>
          <t>silk king sheets [exact]</t>
        </is>
      </c>
      <c r="D498" s="2" t="inlineStr">
        <is>
          <t>silk king sheets</t>
        </is>
      </c>
      <c r="E498" s="2" t="inlineStr">
        <is>
          <t>ENABLED</t>
        </is>
      </c>
      <c r="F498" s="2" t="inlineStr">
        <is>
          <t>Ranking</t>
        </is>
      </c>
      <c r="G498" s="2" t="inlineStr">
        <is>
          <t>Ranking</t>
        </is>
      </c>
      <c r="H498" s="2" t="inlineStr">
        <is>
          <t>Silk|King</t>
        </is>
      </c>
      <c r="I498" s="2" t="inlineStr">
        <is>
          <t>Exact</t>
        </is>
      </c>
      <c r="J498" s="2" t="inlineStr">
        <is>
          <t>SATIN-4PC-KING-GREY</t>
        </is>
      </c>
      <c r="K498" s="2" t="inlineStr">
        <is>
          <t>SATIN-4PC-KING-GREY</t>
        </is>
      </c>
      <c r="L498" s="2" t="inlineStr">
        <is>
          <t>n/a (no target bid in audit)</t>
        </is>
      </c>
      <c r="M498" s="2" t="inlineStr">
        <is>
          <t>n/a</t>
        </is>
      </c>
      <c r="N498" s="2" t="n">
        <v>50</v>
      </c>
      <c r="O498" s="2" t="n">
        <v>50</v>
      </c>
      <c r="P498" s="21" t="n"/>
      <c r="Q498" s="21" t="n"/>
      <c r="R498" s="2" t="n"/>
      <c r="S498" s="2" t="n"/>
      <c r="T498" s="2" t="n"/>
      <c r="U498" s="2" t="n"/>
      <c r="V498" s="21" t="n">
        <v>15.97</v>
      </c>
      <c r="W498" s="21" t="n">
        <v>15.97</v>
      </c>
      <c r="X498" s="2" t="inlineStr">
        <is>
          <t>ENABLED</t>
        </is>
      </c>
      <c r="Y498" s="2" t="inlineStr">
        <is>
          <t>none</t>
        </is>
      </c>
      <c r="Z498" s="2" t="inlineStr">
        <is>
          <t>load (clean): DSS4-SP-Silk King Sheets-[Silk|King]-(LSV)-Exact-(Ranking)-DO-SATIN-4PC-KING-GREY</t>
        </is>
      </c>
      <c r="AA498" s="21" t="n">
        <v>0</v>
      </c>
      <c r="AB498" s="2" t="n">
        <v>0</v>
      </c>
      <c r="AC498" s="2" t="n">
        <v>0</v>
      </c>
      <c r="AD498" s="2" t="n"/>
      <c r="AE498" s="2" t="n"/>
      <c r="AF498" s="2" t="n"/>
      <c r="AG498" s="2" t="n">
        <v>0</v>
      </c>
      <c r="AH498" s="2" t="inlineStr">
        <is>
          <t>Release hold, keep price</t>
        </is>
      </c>
      <c r="AI498" s="22" t="inlineStr">
        <is>
          <t>Release hold; keep base (no clicks 30d)</t>
        </is>
      </c>
      <c r="AJ498" s="22" t="inlineStr">
        <is>
          <t>The "0 impressions" hold is false, but the campaign had no clicks in CC 31 Aug–29 Sep, so a base cut would only lower delivery.</t>
        </is>
      </c>
      <c r="AK498" s="2" t="inlineStr">
        <is>
          <t>seq 2179 retag LOAD; seq 3141 rename LOAD; seq 2018 NOT SERVING hold(s) → release; price to break-even (our addition, reviewer D)</t>
        </is>
      </c>
      <c r="AL498" s="22" t="n"/>
    </row>
    <row r="499">
      <c r="A499" s="2" t="inlineStr">
        <is>
          <t>73162531895819</t>
        </is>
      </c>
      <c r="B499" s="2" t="inlineStr">
        <is>
          <t>D-S4-silk king sheets set - [Silk|King] - Exact - Ran - DO - SATIN-4PC-KING-GREY</t>
        </is>
      </c>
      <c r="C499" s="2" t="inlineStr">
        <is>
          <t>silk king sheets set [exact]</t>
        </is>
      </c>
      <c r="D499" s="2" t="inlineStr">
        <is>
          <t>silk king sheets set</t>
        </is>
      </c>
      <c r="E499" s="2" t="inlineStr">
        <is>
          <t>ENABLED</t>
        </is>
      </c>
      <c r="F499" s="2" t="inlineStr">
        <is>
          <t>Ranking</t>
        </is>
      </c>
      <c r="G499" s="2" t="inlineStr">
        <is>
          <t>Ranking</t>
        </is>
      </c>
      <c r="H499" s="2" t="inlineStr">
        <is>
          <t>Silk|King</t>
        </is>
      </c>
      <c r="I499" s="2" t="inlineStr">
        <is>
          <t>Exact</t>
        </is>
      </c>
      <c r="J499" s="2" t="inlineStr">
        <is>
          <t>SATIN-4PC-KING-GREY</t>
        </is>
      </c>
      <c r="K499" s="2" t="inlineStr">
        <is>
          <t>SATIN-4PC-KING-GREY</t>
        </is>
      </c>
      <c r="L499" s="2" t="inlineStr">
        <is>
          <t>n/a (no target bid in audit)</t>
        </is>
      </c>
      <c r="M499" s="2" t="inlineStr">
        <is>
          <t>n/a</t>
        </is>
      </c>
      <c r="N499" s="2" t="n">
        <v>50</v>
      </c>
      <c r="O499" s="2" t="n">
        <v>50</v>
      </c>
      <c r="P499" s="21" t="n"/>
      <c r="Q499" s="21" t="n"/>
      <c r="R499" s="2" t="n"/>
      <c r="S499" s="2" t="n"/>
      <c r="T499" s="2" t="n"/>
      <c r="U499" s="2" t="n"/>
      <c r="V499" s="21" t="n">
        <v>12.37</v>
      </c>
      <c r="W499" s="21" t="n">
        <v>12.37</v>
      </c>
      <c r="X499" s="2" t="inlineStr">
        <is>
          <t>ENABLED</t>
        </is>
      </c>
      <c r="Y499" s="2" t="inlineStr">
        <is>
          <t>none</t>
        </is>
      </c>
      <c r="Z499" s="2" t="inlineStr">
        <is>
          <t>load (clean): DSS4-SP-Silk King Sheets Set-[Silk|King]-(LSV)-Exact-(Ranking)-DO-SATIN-4PC-KING-GREY</t>
        </is>
      </c>
      <c r="AA499" s="21" t="n">
        <v>0</v>
      </c>
      <c r="AB499" s="2" t="n">
        <v>0</v>
      </c>
      <c r="AC499" s="2" t="n">
        <v>0</v>
      </c>
      <c r="AD499" s="2" t="n"/>
      <c r="AE499" s="2" t="n"/>
      <c r="AF499" s="2" t="n"/>
      <c r="AG499" s="2" t="n">
        <v>1</v>
      </c>
      <c r="AH499" s="2" t="inlineStr">
        <is>
          <t>Release hold, keep price</t>
        </is>
      </c>
      <c r="AI499" s="22" t="inlineStr">
        <is>
          <t>Release hold; keep base (no clicks 30d)</t>
        </is>
      </c>
      <c r="AJ499" s="22" t="inlineStr">
        <is>
          <t>The "0 impressions" hold is false, but the campaign had no clicks in CC 31 Aug–29 Sep, so a base cut would only lower delivery.</t>
        </is>
      </c>
      <c r="AK499" s="2" t="inlineStr">
        <is>
          <t>seq 2223 retag LOAD; seq 3289 rename LOAD; seq 2042 NOT SERVING hold(s) → release; price to break-even (our addition, reviewer D)</t>
        </is>
      </c>
      <c r="AL499" s="22" t="n"/>
    </row>
    <row r="500">
      <c r="A500" s="2" t="inlineStr">
        <is>
          <t>129331976169478</t>
        </is>
      </c>
      <c r="B500" s="2" t="inlineStr">
        <is>
          <t>D-S4-silk king sheets set - [Silk|King] - Phrase - Conv - DO - SATIN-TAUPE-KING</t>
        </is>
      </c>
      <c r="C500" s="2" t="inlineStr">
        <is>
          <t>silk king sheets set [phrase]</t>
        </is>
      </c>
      <c r="D500" s="2" t="inlineStr">
        <is>
          <t>whole campaign</t>
        </is>
      </c>
      <c r="E500" s="2" t="inlineStr">
        <is>
          <t>ENABLED</t>
        </is>
      </c>
      <c r="F500" s="2" t="inlineStr">
        <is>
          <t>Conversions</t>
        </is>
      </c>
      <c r="G500" s="2" t="inlineStr">
        <is>
          <t>Discovery</t>
        </is>
      </c>
      <c r="H500" s="2" t="inlineStr">
        <is>
          <t>Silk|King</t>
        </is>
      </c>
      <c r="I500" s="2" t="inlineStr">
        <is>
          <t>Phrase</t>
        </is>
      </c>
      <c r="J500" s="2" t="inlineStr">
        <is>
          <t>SATIN-4PC-KING-GREY</t>
        </is>
      </c>
      <c r="K500" s="2" t="inlineStr">
        <is>
          <t>SATIN-4PC-KING-GREY</t>
        </is>
      </c>
      <c r="L500" s="2" t="inlineStr">
        <is>
          <t>n/a (no target bid in audit)</t>
        </is>
      </c>
      <c r="M500" s="2" t="inlineStr">
        <is>
          <t>n/a</t>
        </is>
      </c>
      <c r="N500" s="2" t="n">
        <v>0</v>
      </c>
      <c r="O500" s="2" t="n">
        <v>0</v>
      </c>
      <c r="P500" s="21" t="n"/>
      <c r="Q500" s="21" t="n"/>
      <c r="R500" s="2" t="n"/>
      <c r="S500" s="2" t="n"/>
      <c r="T500" s="2" t="n"/>
      <c r="U500" s="2" t="n"/>
      <c r="V500" s="21" t="n">
        <v>10</v>
      </c>
      <c r="W500" s="21" t="n">
        <v>10</v>
      </c>
      <c r="X500" s="2" t="inlineStr">
        <is>
          <t>PAUSED</t>
        </is>
      </c>
      <c r="Y500" s="2" t="inlineStr">
        <is>
          <t>none</t>
        </is>
      </c>
      <c r="Z500" s="2" t="inlineStr">
        <is>
          <t>none</t>
        </is>
      </c>
      <c r="AA500" s="21" t="n">
        <v>0</v>
      </c>
      <c r="AB500" s="2" t="n">
        <v>0</v>
      </c>
      <c r="AC500" s="2" t="n">
        <v>0</v>
      </c>
      <c r="AD500" s="2" t="n"/>
      <c r="AE500" s="2" t="n"/>
      <c r="AF500" s="2" t="n"/>
      <c r="AG500" s="2" t="n">
        <v>0</v>
      </c>
      <c r="AH500" s="2" t="inlineStr">
        <is>
          <t>Pause</t>
        </is>
      </c>
      <c r="AI500" s="22" t="inlineStr">
        <is>
          <t>Pause (seq 3340); retag → Discovery</t>
        </is>
      </c>
      <c r="AJ500" s="22" t="inlineStr">
        <is>
          <t>Duplicate discovery campaign with under 15 clicks and no order in 90 days (audit read to 29 Sep).</t>
        </is>
      </c>
      <c r="AK500" s="2" t="inlineStr">
        <is>
          <t>seq 3340 structure 3340: agree with review 40; our addition: standard → Discovery (phrase)</t>
        </is>
      </c>
      <c r="AL500" s="22" t="n"/>
    </row>
    <row r="501">
      <c r="A501" s="2" t="inlineStr">
        <is>
          <t>281206716996062</t>
        </is>
      </c>
      <c r="B501" s="2" t="inlineStr">
        <is>
          <t>D-S4-silk pink sheets - [Silk] - Exact - Ran - DO - SATIN-QUEEN-PINK</t>
        </is>
      </c>
      <c r="C501" s="2" t="inlineStr">
        <is>
          <t>silk pink sheets [exact]</t>
        </is>
      </c>
      <c r="D501" s="2" t="inlineStr">
        <is>
          <t>whole campaign</t>
        </is>
      </c>
      <c r="E501" s="2" t="inlineStr">
        <is>
          <t>PAUSED</t>
        </is>
      </c>
      <c r="F501" s="2" t="inlineStr">
        <is>
          <t>UNSET</t>
        </is>
      </c>
      <c r="G501" s="2" t="inlineStr">
        <is>
          <t>Conversions</t>
        </is>
      </c>
      <c r="H501" s="2" t="inlineStr">
        <is>
          <t>Silk</t>
        </is>
      </c>
      <c r="I501" s="2" t="inlineStr">
        <is>
          <t>Exact</t>
        </is>
      </c>
      <c r="J501" s="2" t="inlineStr">
        <is>
          <t>SATIN-QUEEN-PINK</t>
        </is>
      </c>
      <c r="K501" s="2" t="inlineStr">
        <is>
          <t>SATIN-QUEEN-PINK</t>
        </is>
      </c>
      <c r="L501" s="2" t="inlineStr">
        <is>
          <t>n/a (no target bid in audit)</t>
        </is>
      </c>
      <c r="M501" s="2" t="inlineStr">
        <is>
          <t>n/a</t>
        </is>
      </c>
      <c r="N501" s="2" t="n">
        <v>50</v>
      </c>
      <c r="O501" s="2" t="n">
        <v>50</v>
      </c>
      <c r="P501" s="21" t="n"/>
      <c r="Q501" s="21" t="n"/>
      <c r="R501" s="2" t="n"/>
      <c r="S501" s="2" t="n"/>
      <c r="T501" s="2" t="n"/>
      <c r="U501" s="2" t="n"/>
      <c r="V501" s="21" t="n">
        <v>7.52</v>
      </c>
      <c r="W501" s="21" t="n">
        <v>7.52</v>
      </c>
      <c r="X501" s="2" t="inlineStr">
        <is>
          <t>PAUSED</t>
        </is>
      </c>
      <c r="Y501" s="2" t="inlineStr">
        <is>
          <t>none</t>
        </is>
      </c>
      <c r="Z501" s="2" t="inlineStr">
        <is>
          <t>none</t>
        </is>
      </c>
      <c r="AA501" s="21" t="n">
        <v>0</v>
      </c>
      <c r="AB501" s="2" t="n">
        <v>0</v>
      </c>
      <c r="AC501" s="2" t="n">
        <v>0</v>
      </c>
      <c r="AD501" s="2" t="n"/>
      <c r="AE501" s="2" t="n"/>
      <c r="AF501" s="2" t="n"/>
      <c r="AG501" s="2" t="n">
        <v>0</v>
      </c>
      <c r="AH501" s="2" t="inlineStr">
        <is>
          <t>Retag only</t>
        </is>
      </c>
      <c r="AI501" s="22" t="inlineStr">
        <is>
          <t>retag → Conversions</t>
        </is>
      </c>
      <c r="AJ501" s="22" t="inlineStr">
        <is>
          <t>Objective UNSET → Conversions by the standard (colour term "silk pink sheets"); no clicks in CC 31 Aug–29 Sep.</t>
        </is>
      </c>
      <c r="AK501" s="2" t="inlineStr">
        <is>
          <t>our addition: standard → Conversions (colour term "silk pink sheets")</t>
        </is>
      </c>
      <c r="AL501" s="22" t="n"/>
    </row>
    <row r="502">
      <c r="A502" s="2" t="inlineStr">
        <is>
          <t>129832389518323</t>
        </is>
      </c>
      <c r="B502" s="2" t="inlineStr">
        <is>
          <t>D-S4-silk queen bed sheets set - [Silk|Queen] - Broad - Disc - DO - SATIN-4PCS-QUEEN-STONE-GREY</t>
        </is>
      </c>
      <c r="C502" s="2" t="inlineStr">
        <is>
          <t>silk queen bed sheets set [broad]</t>
        </is>
      </c>
      <c r="D502" s="2" t="inlineStr">
        <is>
          <t>whole campaign</t>
        </is>
      </c>
      <c r="E502" s="2" t="inlineStr">
        <is>
          <t>ENABLED</t>
        </is>
      </c>
      <c r="F502" s="2" t="inlineStr">
        <is>
          <t>Discovery</t>
        </is>
      </c>
      <c r="G502" s="2" t="inlineStr">
        <is>
          <t>Discovery</t>
        </is>
      </c>
      <c r="H502" s="2" t="inlineStr">
        <is>
          <t>Silk|Queen</t>
        </is>
      </c>
      <c r="I502" s="2" t="inlineStr">
        <is>
          <t>Broad</t>
        </is>
      </c>
      <c r="J502" s="2" t="inlineStr">
        <is>
          <t>SATIN-4PCS-QUEEN-STONE-GREY</t>
        </is>
      </c>
      <c r="K502" s="2" t="inlineStr">
        <is>
          <t>SATIN-4PCS-QUEEN-STONE-GREY</t>
        </is>
      </c>
      <c r="L502" s="2" t="inlineStr">
        <is>
          <t>n/a (no target bid in audit)</t>
        </is>
      </c>
      <c r="M502" s="2" t="inlineStr">
        <is>
          <t>n/a</t>
        </is>
      </c>
      <c r="N502" s="2" t="n">
        <v>0</v>
      </c>
      <c r="O502" s="2" t="n">
        <v>0</v>
      </c>
      <c r="P502" s="21" t="n"/>
      <c r="Q502" s="21" t="n"/>
      <c r="R502" s="2" t="n"/>
      <c r="S502" s="2" t="n"/>
      <c r="T502" s="2" t="n"/>
      <c r="U502" s="2" t="n"/>
      <c r="V502" s="21" t="n">
        <v>10</v>
      </c>
      <c r="W502" s="21" t="n">
        <v>10</v>
      </c>
      <c r="X502" s="2" t="inlineStr">
        <is>
          <t>PAUSED</t>
        </is>
      </c>
      <c r="Y502" s="2" t="inlineStr">
        <is>
          <t>none</t>
        </is>
      </c>
      <c r="Z502" s="2" t="inlineStr">
        <is>
          <t>none</t>
        </is>
      </c>
      <c r="AA502" s="21" t="n">
        <v>0</v>
      </c>
      <c r="AB502" s="2" t="n">
        <v>0</v>
      </c>
      <c r="AC502" s="2" t="n">
        <v>0</v>
      </c>
      <c r="AD502" s="2" t="n"/>
      <c r="AE502" s="2" t="n"/>
      <c r="AF502" s="2" t="n"/>
      <c r="AG502" s="2" t="n">
        <v>0</v>
      </c>
      <c r="AH502" s="2" t="inlineStr">
        <is>
          <t>Pause</t>
        </is>
      </c>
      <c r="AI502" s="22" t="inlineStr">
        <is>
          <t>Pause (seq 3340)</t>
        </is>
      </c>
      <c r="AJ502" s="22" t="inlineStr">
        <is>
          <t>Duplicate discovery campaign with under 15 clicks and no order in 90 days (audit read to 29 Sep).</t>
        </is>
      </c>
      <c r="AK502" s="2" t="inlineStr">
        <is>
          <t>seq 3340 structure 3340: agree with review 40</t>
        </is>
      </c>
      <c r="AL502" s="22" t="n"/>
    </row>
    <row r="503">
      <c r="A503" s="2" t="inlineStr">
        <is>
          <t>258842071999076</t>
        </is>
      </c>
      <c r="B503" s="2" t="inlineStr">
        <is>
          <t>D-S4-silk satin sheets - [Silk] - Exact - Ran - DO - SATIN-QUEEN-BLACK</t>
        </is>
      </c>
      <c r="C503" s="2" t="inlineStr">
        <is>
          <t>silk satin sheets [exact]</t>
        </is>
      </c>
      <c r="D503" s="2" t="inlineStr">
        <is>
          <t>whole campaign</t>
        </is>
      </c>
      <c r="E503" s="2" t="inlineStr">
        <is>
          <t>PAUSED</t>
        </is>
      </c>
      <c r="F503" s="2" t="inlineStr">
        <is>
          <t>UNSET</t>
        </is>
      </c>
      <c r="G503" s="2" t="inlineStr">
        <is>
          <t>Ranking</t>
        </is>
      </c>
      <c r="H503" s="2" t="inlineStr">
        <is>
          <t>Silk</t>
        </is>
      </c>
      <c r="I503" s="2" t="inlineStr">
        <is>
          <t>Exact</t>
        </is>
      </c>
      <c r="J503" s="2" t="inlineStr">
        <is>
          <t>SATIN-QUEEN-BLACK</t>
        </is>
      </c>
      <c r="K503" s="2" t="inlineStr">
        <is>
          <t>SATIN-QUEEN-BLACK</t>
        </is>
      </c>
      <c r="L503" s="2" t="inlineStr">
        <is>
          <t>n/a (no target bid in audit)</t>
        </is>
      </c>
      <c r="M503" s="2" t="inlineStr">
        <is>
          <t>n/a</t>
        </is>
      </c>
      <c r="N503" s="2" t="n">
        <v>50</v>
      </c>
      <c r="O503" s="2" t="n">
        <v>50</v>
      </c>
      <c r="P503" s="21" t="n"/>
      <c r="Q503" s="21" t="n"/>
      <c r="R503" s="2" t="n"/>
      <c r="S503" s="2" t="n"/>
      <c r="T503" s="2" t="n"/>
      <c r="U503" s="2" t="n"/>
      <c r="V503" s="21" t="n">
        <v>10.43</v>
      </c>
      <c r="W503" s="21" t="n">
        <v>10.43</v>
      </c>
      <c r="X503" s="2" t="inlineStr">
        <is>
          <t>PAUSED</t>
        </is>
      </c>
      <c r="Y503" s="2" t="inlineStr">
        <is>
          <t>none</t>
        </is>
      </c>
      <c r="Z503" s="2" t="inlineStr">
        <is>
          <t>none</t>
        </is>
      </c>
      <c r="AA503" s="21" t="n">
        <v>0</v>
      </c>
      <c r="AB503" s="2" t="n">
        <v>0</v>
      </c>
      <c r="AC503" s="2" t="n">
        <v>0</v>
      </c>
      <c r="AD503" s="2" t="n"/>
      <c r="AE503" s="2" t="n"/>
      <c r="AF503" s="2" t="n"/>
      <c r="AG503" s="2" t="n">
        <v>0</v>
      </c>
      <c r="AH503" s="2" t="inlineStr">
        <is>
          <t>Retag only</t>
        </is>
      </c>
      <c r="AI503" s="22" t="inlineStr">
        <is>
          <t>retag → Ranking</t>
        </is>
      </c>
      <c r="AJ503" s="22" t="inlineStr">
        <is>
          <t>Objective UNSET → Ranking by the standard (generic exact "silk satin sheets"); no clicks in CC 31 Aug–29 Sep.</t>
        </is>
      </c>
      <c r="AK503" s="2" t="inlineStr">
        <is>
          <t>our addition: standard → Ranking (generic exact "silk satin sheets")</t>
        </is>
      </c>
      <c r="AL503" s="22" t="n"/>
    </row>
    <row r="504">
      <c r="A504" s="2" t="inlineStr">
        <is>
          <t>119554323685456</t>
        </is>
      </c>
      <c r="B504" s="2" t="inlineStr">
        <is>
          <t>D-S4-silk sheet set - [Silk] - Exact - Ran - DO - SATIN-QUEEN-BLACK</t>
        </is>
      </c>
      <c r="C504" s="2" t="inlineStr">
        <is>
          <t>silk sheet set [exact]</t>
        </is>
      </c>
      <c r="D504" s="2" t="inlineStr">
        <is>
          <t>whole campaign</t>
        </is>
      </c>
      <c r="E504" s="2" t="inlineStr">
        <is>
          <t>PAUSED</t>
        </is>
      </c>
      <c r="F504" s="2" t="inlineStr">
        <is>
          <t>UNSET</t>
        </is>
      </c>
      <c r="G504" s="2" t="inlineStr">
        <is>
          <t>Ranking</t>
        </is>
      </c>
      <c r="H504" s="2" t="inlineStr">
        <is>
          <t>Silk</t>
        </is>
      </c>
      <c r="I504" s="2" t="inlineStr">
        <is>
          <t>Exact</t>
        </is>
      </c>
      <c r="J504" s="2" t="inlineStr">
        <is>
          <t>SATIN-QUEEN-BLACK</t>
        </is>
      </c>
      <c r="K504" s="2" t="inlineStr">
        <is>
          <t>SATIN-QUEEN-BLACK</t>
        </is>
      </c>
      <c r="L504" s="2" t="inlineStr">
        <is>
          <t>n/a (no target bid in audit)</t>
        </is>
      </c>
      <c r="M504" s="2" t="inlineStr">
        <is>
          <t>n/a</t>
        </is>
      </c>
      <c r="N504" s="2" t="n">
        <v>0</v>
      </c>
      <c r="O504" s="2" t="n">
        <v>0</v>
      </c>
      <c r="P504" s="21" t="n"/>
      <c r="Q504" s="21" t="n"/>
      <c r="R504" s="2" t="n"/>
      <c r="S504" s="2" t="n"/>
      <c r="T504" s="2" t="n"/>
      <c r="U504" s="2" t="n"/>
      <c r="V504" s="21" t="n">
        <v>11.4</v>
      </c>
      <c r="W504" s="21" t="n">
        <v>11.4</v>
      </c>
      <c r="X504" s="2" t="inlineStr">
        <is>
          <t>PAUSED</t>
        </is>
      </c>
      <c r="Y504" s="2" t="inlineStr">
        <is>
          <t>none</t>
        </is>
      </c>
      <c r="Z504" s="2" t="inlineStr">
        <is>
          <t>none</t>
        </is>
      </c>
      <c r="AA504" s="21" t="n">
        <v>0</v>
      </c>
      <c r="AB504" s="2" t="n">
        <v>0</v>
      </c>
      <c r="AC504" s="2" t="n">
        <v>0</v>
      </c>
      <c r="AD504" s="2" t="n"/>
      <c r="AE504" s="2" t="n"/>
      <c r="AF504" s="2" t="n"/>
      <c r="AG504" s="2" t="n">
        <v>15</v>
      </c>
      <c r="AH504" s="2" t="inlineStr">
        <is>
          <t>Keep paused</t>
        </is>
      </c>
      <c r="AI504" s="22" t="inlineStr">
        <is>
          <t>Keep paused (reject revive); retag → Ranking</t>
        </is>
      </c>
      <c r="AJ504" s="22" t="inlineStr">
        <is>
          <t>Revive rejected: 76.1% ACoS (CC 2 Jul–29 Sep).</t>
        </is>
      </c>
      <c r="AK504" s="2" t="inlineStr">
        <is>
          <t>seq 2815 structure: hold; our addition: standard → Ranking (generic exact "silk sheet set")</t>
        </is>
      </c>
      <c r="AL504" s="22" t="n"/>
    </row>
    <row r="505">
      <c r="A505" s="2" t="inlineStr">
        <is>
          <t>92735618351014</t>
        </is>
      </c>
      <c r="B505" s="2" t="inlineStr">
        <is>
          <t>D-S4-silk sheet set - [Silk] - Phrase - Conv - DO - SATIN-4PCS-QUEEN-STONE-GREY</t>
        </is>
      </c>
      <c r="C505" s="2" t="inlineStr">
        <is>
          <t>silk sheet set [phrase]</t>
        </is>
      </c>
      <c r="D505" s="2" t="inlineStr">
        <is>
          <t>whole campaign</t>
        </is>
      </c>
      <c r="E505" s="2" t="inlineStr">
        <is>
          <t>ENABLED</t>
        </is>
      </c>
      <c r="F505" s="2" t="inlineStr">
        <is>
          <t>Conversions</t>
        </is>
      </c>
      <c r="G505" s="2" t="inlineStr">
        <is>
          <t>Discovery</t>
        </is>
      </c>
      <c r="H505" s="2" t="inlineStr">
        <is>
          <t>Silk</t>
        </is>
      </c>
      <c r="I505" s="2" t="inlineStr">
        <is>
          <t>Phrase</t>
        </is>
      </c>
      <c r="J505" s="2" t="inlineStr">
        <is>
          <t>SATIN-4PCS-QUEEN-STONE-GREY</t>
        </is>
      </c>
      <c r="K505" s="2" t="inlineStr">
        <is>
          <t>SATIN-4PCS-QUEEN-STONE-GREY</t>
        </is>
      </c>
      <c r="L505" s="2" t="inlineStr">
        <is>
          <t>n/a (no target bid in audit)</t>
        </is>
      </c>
      <c r="M505" s="2" t="inlineStr">
        <is>
          <t>n/a</t>
        </is>
      </c>
      <c r="N505" s="2" t="n">
        <v>0</v>
      </c>
      <c r="O505" s="2" t="n">
        <v>0</v>
      </c>
      <c r="P505" s="21" t="n"/>
      <c r="Q505" s="21" t="n"/>
      <c r="R505" s="2" t="n"/>
      <c r="S505" s="2" t="n"/>
      <c r="T505" s="2" t="n"/>
      <c r="U505" s="2" t="n"/>
      <c r="V505" s="21" t="n">
        <v>10</v>
      </c>
      <c r="W505" s="21" t="n">
        <v>10</v>
      </c>
      <c r="X505" s="2" t="inlineStr">
        <is>
          <t>PAUSED</t>
        </is>
      </c>
      <c r="Y505" s="2" t="inlineStr">
        <is>
          <t>none</t>
        </is>
      </c>
      <c r="Z505" s="2" t="inlineStr">
        <is>
          <t>none</t>
        </is>
      </c>
      <c r="AA505" s="21" t="n">
        <v>0</v>
      </c>
      <c r="AB505" s="2" t="n">
        <v>0</v>
      </c>
      <c r="AC505" s="2" t="n">
        <v>0</v>
      </c>
      <c r="AD505" s="2" t="n"/>
      <c r="AE505" s="2" t="n"/>
      <c r="AF505" s="2" t="n"/>
      <c r="AG505" s="2" t="n">
        <v>0</v>
      </c>
      <c r="AH505" s="2" t="inlineStr">
        <is>
          <t>Pause</t>
        </is>
      </c>
      <c r="AI505" s="22" t="inlineStr">
        <is>
          <t>Pause (seq 3340); retag → Discovery</t>
        </is>
      </c>
      <c r="AJ505" s="22" t="inlineStr">
        <is>
          <t>Duplicate discovery campaign with under 15 clicks and no order in 90 days (audit read to 29 Sep).</t>
        </is>
      </c>
      <c r="AK505" s="2" t="inlineStr">
        <is>
          <t>seq 3340 structure 3340: agree with review 40; our addition: standard → Discovery (phrase)</t>
        </is>
      </c>
      <c r="AL505" s="22" t="n"/>
    </row>
    <row r="506">
      <c r="A506" s="2" t="inlineStr">
        <is>
          <t>172553323970967</t>
        </is>
      </c>
      <c r="B506" s="2" t="inlineStr">
        <is>
          <t>D-S4-silk sheet set full - [Silk|Full] - Phrase - Conv - DO - SATIN-FULL-BLACK</t>
        </is>
      </c>
      <c r="C506" s="2" t="inlineStr">
        <is>
          <t>silk sheet set full [phrase]</t>
        </is>
      </c>
      <c r="D506" s="2" t="inlineStr">
        <is>
          <t>whole campaign</t>
        </is>
      </c>
      <c r="E506" s="2" t="inlineStr">
        <is>
          <t>ENABLED</t>
        </is>
      </c>
      <c r="F506" s="2" t="inlineStr">
        <is>
          <t>Conversions</t>
        </is>
      </c>
      <c r="G506" s="2" t="inlineStr">
        <is>
          <t>Discovery</t>
        </is>
      </c>
      <c r="H506" s="2" t="inlineStr">
        <is>
          <t>Silk|Full</t>
        </is>
      </c>
      <c r="I506" s="2" t="inlineStr">
        <is>
          <t>Phrase</t>
        </is>
      </c>
      <c r="J506" s="2" t="inlineStr">
        <is>
          <t>SATIN-FULL-GREY</t>
        </is>
      </c>
      <c r="K506" s="2" t="inlineStr">
        <is>
          <t>SATIN-FULL-GREY</t>
        </is>
      </c>
      <c r="L506" s="2" t="inlineStr">
        <is>
          <t>n/a (no target bid in audit)</t>
        </is>
      </c>
      <c r="M506" s="2" t="inlineStr">
        <is>
          <t>n/a</t>
        </is>
      </c>
      <c r="N506" s="2" t="n">
        <v>0</v>
      </c>
      <c r="O506" s="2" t="n">
        <v>0</v>
      </c>
      <c r="P506" s="21" t="n"/>
      <c r="Q506" s="21" t="n"/>
      <c r="R506" s="2" t="n"/>
      <c r="S506" s="2" t="n"/>
      <c r="T506" s="2" t="n"/>
      <c r="U506" s="2" t="n"/>
      <c r="V506" s="21" t="n">
        <v>10</v>
      </c>
      <c r="W506" s="21" t="n">
        <v>10</v>
      </c>
      <c r="X506" s="2" t="inlineStr">
        <is>
          <t>PAUSED</t>
        </is>
      </c>
      <c r="Y506" s="2" t="inlineStr">
        <is>
          <t>none</t>
        </is>
      </c>
      <c r="Z506" s="2" t="inlineStr">
        <is>
          <t>none</t>
        </is>
      </c>
      <c r="AA506" s="21" t="n">
        <v>0</v>
      </c>
      <c r="AB506" s="2" t="n">
        <v>0</v>
      </c>
      <c r="AC506" s="2" t="n">
        <v>0</v>
      </c>
      <c r="AD506" s="2" t="n"/>
      <c r="AE506" s="2" t="n"/>
      <c r="AF506" s="2" t="n"/>
      <c r="AG506" s="2" t="n">
        <v>0</v>
      </c>
      <c r="AH506" s="2" t="inlineStr">
        <is>
          <t>Pause</t>
        </is>
      </c>
      <c r="AI506" s="22" t="inlineStr">
        <is>
          <t>Pause (seq 3340); retag → Discovery</t>
        </is>
      </c>
      <c r="AJ506" s="22" t="inlineStr">
        <is>
          <t>Duplicate discovery campaign with under 15 clicks and no order in 90 days (audit read to 29 Sep).</t>
        </is>
      </c>
      <c r="AK506" s="2" t="inlineStr">
        <is>
          <t>seq 3340 structure 3340: agree with review 40; our addition: standard → Discovery (phrase)</t>
        </is>
      </c>
      <c r="AL506" s="22" t="n"/>
    </row>
    <row r="507">
      <c r="A507" s="2" t="inlineStr">
        <is>
          <t>275179895621162</t>
        </is>
      </c>
      <c r="B507" s="2" t="inlineStr">
        <is>
          <t>D-S4-silk sheet set king - [Silk|King] - Exact - Ran - DO - SATIN-4PC-KING-GREY</t>
        </is>
      </c>
      <c r="C507" s="2" t="inlineStr">
        <is>
          <t>silk sheet set king [exact]</t>
        </is>
      </c>
      <c r="D507" s="2" t="inlineStr">
        <is>
          <t>silk sheet set king</t>
        </is>
      </c>
      <c r="E507" s="2" t="inlineStr">
        <is>
          <t>ENABLED</t>
        </is>
      </c>
      <c r="F507" s="2" t="inlineStr">
        <is>
          <t>Ranking</t>
        </is>
      </c>
      <c r="G507" s="2" t="inlineStr">
        <is>
          <t>Ranking</t>
        </is>
      </c>
      <c r="H507" s="2" t="inlineStr">
        <is>
          <t>Silk|King</t>
        </is>
      </c>
      <c r="I507" s="2" t="inlineStr">
        <is>
          <t>Exact</t>
        </is>
      </c>
      <c r="J507" s="2" t="inlineStr">
        <is>
          <t>SATIN-4PC-KING-GREY</t>
        </is>
      </c>
      <c r="K507" s="2" t="inlineStr">
        <is>
          <t>SATIN-4PC-KING-GREY</t>
        </is>
      </c>
      <c r="L507" s="2" t="inlineStr">
        <is>
          <t>n/a (no target bid in audit)</t>
        </is>
      </c>
      <c r="M507" s="2" t="inlineStr">
        <is>
          <t>n/a</t>
        </is>
      </c>
      <c r="N507" s="2" t="n">
        <v>50</v>
      </c>
      <c r="O507" s="2" t="n">
        <v>50</v>
      </c>
      <c r="P507" s="21" t="n"/>
      <c r="Q507" s="21" t="n"/>
      <c r="R507" s="2" t="n"/>
      <c r="S507" s="2" t="n"/>
      <c r="T507" s="2" t="n"/>
      <c r="U507" s="2" t="n"/>
      <c r="V507" s="21" t="n">
        <v>10.71</v>
      </c>
      <c r="W507" s="21" t="n">
        <v>10.71</v>
      </c>
      <c r="X507" s="2" t="inlineStr">
        <is>
          <t>ENABLED</t>
        </is>
      </c>
      <c r="Y507" s="2" t="inlineStr">
        <is>
          <t>none</t>
        </is>
      </c>
      <c r="Z507" s="2" t="inlineStr">
        <is>
          <t>load (clean): DSS4-SP-Silk Sheet Set King-[Silk|King]-(VLSV)-Exact-(Ranking)-DO-SATIN-4PC-KING-GREY</t>
        </is>
      </c>
      <c r="AA507" s="21" t="n">
        <v>0</v>
      </c>
      <c r="AB507" s="2" t="n">
        <v>0</v>
      </c>
      <c r="AC507" s="2" t="n">
        <v>0</v>
      </c>
      <c r="AD507" s="2" t="n"/>
      <c r="AE507" s="2" t="n"/>
      <c r="AF507" s="2" t="n"/>
      <c r="AG507" s="2" t="n">
        <v>1</v>
      </c>
      <c r="AH507" s="2" t="inlineStr">
        <is>
          <t>Release hold, keep price</t>
        </is>
      </c>
      <c r="AI507" s="22" t="inlineStr">
        <is>
          <t>Release hold; keep base (no clicks 30d)</t>
        </is>
      </c>
      <c r="AJ507" s="22" t="inlineStr">
        <is>
          <t>The "0 impressions" hold is false, but the campaign had no clicks in CC 31 Aug–29 Sep, so a base cut would only lower delivery.</t>
        </is>
      </c>
      <c r="AK507" s="2" t="inlineStr">
        <is>
          <t>seq 2207 retag LOAD; seq 3206 rename LOAD; seq 2032 NOT SERVING hold(s) → release; price to break-even (our addition, reviewer D)</t>
        </is>
      </c>
      <c r="AL507" s="22" t="n"/>
    </row>
    <row r="508">
      <c r="A508" s="2" t="inlineStr">
        <is>
          <t>233525883215466</t>
        </is>
      </c>
      <c r="B508" s="2" t="inlineStr">
        <is>
          <t>D-S4-silk sheet set king - [Silk|King] - Phrase - Conv - DO - SATIN-TAUPE-KING</t>
        </is>
      </c>
      <c r="C508" s="2" t="inlineStr">
        <is>
          <t>silk sheet set king [phrase]</t>
        </is>
      </c>
      <c r="D508" s="2" t="inlineStr">
        <is>
          <t>whole campaign</t>
        </is>
      </c>
      <c r="E508" s="2" t="inlineStr">
        <is>
          <t>ENABLED</t>
        </is>
      </c>
      <c r="F508" s="2" t="inlineStr">
        <is>
          <t>Conversions</t>
        </is>
      </c>
      <c r="G508" s="2" t="inlineStr">
        <is>
          <t>Discovery</t>
        </is>
      </c>
      <c r="H508" s="2" t="inlineStr">
        <is>
          <t>Silk|King</t>
        </is>
      </c>
      <c r="I508" s="2" t="inlineStr">
        <is>
          <t>Phrase</t>
        </is>
      </c>
      <c r="J508" s="2" t="inlineStr">
        <is>
          <t>SATIN-4PC-KING-GREY</t>
        </is>
      </c>
      <c r="K508" s="2" t="inlineStr">
        <is>
          <t>SATIN-4PC-KING-GREY</t>
        </is>
      </c>
      <c r="L508" s="2" t="inlineStr">
        <is>
          <t>n/a (no target bid in audit)</t>
        </is>
      </c>
      <c r="M508" s="2" t="inlineStr">
        <is>
          <t>n/a</t>
        </is>
      </c>
      <c r="N508" s="2" t="n">
        <v>0</v>
      </c>
      <c r="O508" s="2" t="n">
        <v>0</v>
      </c>
      <c r="P508" s="21" t="n"/>
      <c r="Q508" s="21" t="n"/>
      <c r="R508" s="2" t="n"/>
      <c r="S508" s="2" t="n"/>
      <c r="T508" s="2" t="n"/>
      <c r="U508" s="2" t="n"/>
      <c r="V508" s="21" t="n">
        <v>10</v>
      </c>
      <c r="W508" s="21" t="n">
        <v>10</v>
      </c>
      <c r="X508" s="2" t="inlineStr">
        <is>
          <t>PAUSED</t>
        </is>
      </c>
      <c r="Y508" s="2" t="inlineStr">
        <is>
          <t>none</t>
        </is>
      </c>
      <c r="Z508" s="2" t="inlineStr">
        <is>
          <t>none</t>
        </is>
      </c>
      <c r="AA508" s="21" t="n">
        <v>0</v>
      </c>
      <c r="AB508" s="2" t="n">
        <v>0</v>
      </c>
      <c r="AC508" s="2" t="n">
        <v>0</v>
      </c>
      <c r="AD508" s="2" t="n"/>
      <c r="AE508" s="2" t="n"/>
      <c r="AF508" s="2" t="n"/>
      <c r="AG508" s="2" t="n">
        <v>0</v>
      </c>
      <c r="AH508" s="2" t="inlineStr">
        <is>
          <t>Pause</t>
        </is>
      </c>
      <c r="AI508" s="22" t="inlineStr">
        <is>
          <t>Pause (seq 3340); retag → Discovery</t>
        </is>
      </c>
      <c r="AJ508" s="22" t="inlineStr">
        <is>
          <t>Duplicate discovery campaign with under 15 clicks and no order in 90 days (audit read to 29 Sep).</t>
        </is>
      </c>
      <c r="AK508" s="2" t="inlineStr">
        <is>
          <t>seq 3340 structure 3340: agree with review 40; our addition: standard → Discovery (phrase)</t>
        </is>
      </c>
      <c r="AL508" s="22" t="n"/>
    </row>
    <row r="509">
      <c r="A509" s="2" t="inlineStr">
        <is>
          <t>178640370205104</t>
        </is>
      </c>
      <c r="B509" s="2" t="inlineStr">
        <is>
          <t>D-S4-silk sheet set queen - [Silk|Queen] - Exact - Ran - DO - SATIN-QUEEN-BLACK</t>
        </is>
      </c>
      <c r="C509" s="2" t="inlineStr">
        <is>
          <t>silk sheet set queen [exact]</t>
        </is>
      </c>
      <c r="D509" s="2" t="inlineStr">
        <is>
          <t>whole campaign</t>
        </is>
      </c>
      <c r="E509" s="2" t="inlineStr">
        <is>
          <t>PAUSED</t>
        </is>
      </c>
      <c r="F509" s="2" t="inlineStr">
        <is>
          <t>UNSET</t>
        </is>
      </c>
      <c r="G509" s="2" t="inlineStr">
        <is>
          <t>Ranking</t>
        </is>
      </c>
      <c r="H509" s="2" t="inlineStr">
        <is>
          <t>Silk|Queen</t>
        </is>
      </c>
      <c r="I509" s="2" t="inlineStr">
        <is>
          <t>Exact</t>
        </is>
      </c>
      <c r="J509" s="2" t="inlineStr">
        <is>
          <t>SATIN-QUEEN-BLACK</t>
        </is>
      </c>
      <c r="K509" s="2" t="inlineStr">
        <is>
          <t>SATIN-QUEEN-BLACK</t>
        </is>
      </c>
      <c r="L509" s="2" t="inlineStr">
        <is>
          <t>n/a (no target bid in audit)</t>
        </is>
      </c>
      <c r="M509" s="2" t="inlineStr">
        <is>
          <t>n/a</t>
        </is>
      </c>
      <c r="N509" s="2" t="n">
        <v>30</v>
      </c>
      <c r="O509" s="2" t="n">
        <v>30</v>
      </c>
      <c r="P509" s="21" t="n"/>
      <c r="Q509" s="21" t="n"/>
      <c r="R509" s="2" t="n"/>
      <c r="S509" s="2" t="n"/>
      <c r="T509" s="2" t="n"/>
      <c r="U509" s="2" t="n"/>
      <c r="V509" s="21" t="n">
        <v>11.36</v>
      </c>
      <c r="W509" s="21" t="n">
        <v>11.36</v>
      </c>
      <c r="X509" s="2" t="inlineStr">
        <is>
          <t>ENABLED</t>
        </is>
      </c>
      <c r="Y509" s="2" t="inlineStr">
        <is>
          <t>none</t>
        </is>
      </c>
      <c r="Z509" s="2" t="inlineStr">
        <is>
          <t>none</t>
        </is>
      </c>
      <c r="AA509" s="21" t="n">
        <v>0</v>
      </c>
      <c r="AB509" s="2" t="n">
        <v>0</v>
      </c>
      <c r="AC509" s="2" t="n">
        <v>0</v>
      </c>
      <c r="AD509" s="2" t="n"/>
      <c r="AE509" s="2" t="n"/>
      <c r="AF509" s="2" t="n"/>
      <c r="AG509" s="2" t="n">
        <v>8</v>
      </c>
      <c r="AH509" s="2" t="inlineStr">
        <is>
          <t>Revive at break-even</t>
        </is>
      </c>
      <c r="AI509" s="22" t="inlineStr">
        <is>
          <t>Revive at break-even base ($0.87 max); retag → Ranking</t>
        </is>
      </c>
      <c r="AJ509" s="22" t="inlineStr">
        <is>
          <t>39.7% ACoS against a 17.7% child break-even.</t>
        </is>
      </c>
      <c r="AK509" s="2" t="inlineStr">
        <is>
          <t>seq 2818 structure: correct to ruling-D price; our addition: standard → Ranking (generic exact "silk sheet set queen")</t>
        </is>
      </c>
      <c r="AL509" s="22" t="n"/>
    </row>
    <row r="510">
      <c r="A510" s="2" t="inlineStr">
        <is>
          <t>40474272292232</t>
        </is>
      </c>
      <c r="B510" s="2" t="inlineStr">
        <is>
          <t>D-S4-silk sheet set queen - [Silk|Queen] - Phrase - Conv - DO - SATIN-4PCS-QUEEN-STONE-GREY</t>
        </is>
      </c>
      <c r="C510" s="2" t="inlineStr">
        <is>
          <t>silk sheet set queen [phrase]</t>
        </is>
      </c>
      <c r="D510" s="2" t="inlineStr">
        <is>
          <t>whole campaign</t>
        </is>
      </c>
      <c r="E510" s="2" t="inlineStr">
        <is>
          <t>ENABLED</t>
        </is>
      </c>
      <c r="F510" s="2" t="inlineStr">
        <is>
          <t>Conversions</t>
        </is>
      </c>
      <c r="G510" s="2" t="inlineStr">
        <is>
          <t>Discovery</t>
        </is>
      </c>
      <c r="H510" s="2" t="inlineStr">
        <is>
          <t>Silk|Queen</t>
        </is>
      </c>
      <c r="I510" s="2" t="inlineStr">
        <is>
          <t>Phrase</t>
        </is>
      </c>
      <c r="J510" s="2" t="inlineStr">
        <is>
          <t>SATIN-4PCS-QUEEN-STONE-GREY</t>
        </is>
      </c>
      <c r="K510" s="2" t="inlineStr">
        <is>
          <t>SATIN-4PCS-QUEEN-STONE-GREY</t>
        </is>
      </c>
      <c r="L510" s="2" t="inlineStr">
        <is>
          <t>n/a (no target bid in audit)</t>
        </is>
      </c>
      <c r="M510" s="2" t="inlineStr">
        <is>
          <t>n/a</t>
        </is>
      </c>
      <c r="N510" s="2" t="n">
        <v>0</v>
      </c>
      <c r="O510" s="2" t="n">
        <v>0</v>
      </c>
      <c r="P510" s="21" t="n"/>
      <c r="Q510" s="21" t="n"/>
      <c r="R510" s="2" t="n"/>
      <c r="S510" s="2" t="n"/>
      <c r="T510" s="2" t="n"/>
      <c r="U510" s="2" t="n"/>
      <c r="V510" s="21" t="n">
        <v>10</v>
      </c>
      <c r="W510" s="21" t="n">
        <v>10</v>
      </c>
      <c r="X510" s="2" t="inlineStr">
        <is>
          <t>PAUSED</t>
        </is>
      </c>
      <c r="Y510" s="2" t="inlineStr">
        <is>
          <t>none</t>
        </is>
      </c>
      <c r="Z510" s="2" t="inlineStr">
        <is>
          <t>none</t>
        </is>
      </c>
      <c r="AA510" s="21" t="n">
        <v>0</v>
      </c>
      <c r="AB510" s="2" t="n">
        <v>0</v>
      </c>
      <c r="AC510" s="2" t="n">
        <v>0</v>
      </c>
      <c r="AD510" s="2" t="n"/>
      <c r="AE510" s="2" t="n"/>
      <c r="AF510" s="2" t="n"/>
      <c r="AG510" s="2" t="n">
        <v>0</v>
      </c>
      <c r="AH510" s="2" t="inlineStr">
        <is>
          <t>Pause</t>
        </is>
      </c>
      <c r="AI510" s="22" t="inlineStr">
        <is>
          <t>Pause (seq 3340); retag → Discovery</t>
        </is>
      </c>
      <c r="AJ510" s="22" t="inlineStr">
        <is>
          <t>Duplicate discovery campaign with under 15 clicks and no order in 90 days (audit read to 29 Sep).</t>
        </is>
      </c>
      <c r="AK510" s="2" t="inlineStr">
        <is>
          <t>seq 3340 structure 3340: agree with review 40; our addition: standard → Discovery (phrase)</t>
        </is>
      </c>
      <c r="AL510" s="22" t="n"/>
    </row>
    <row r="511">
      <c r="A511" s="2" t="inlineStr">
        <is>
          <t>99081622643164</t>
        </is>
      </c>
      <c r="B511" s="2" t="inlineStr">
        <is>
          <t>D-S4-silk sheets and pillow cases - [Silk] - Phrase - Conv - DO - SATIN-4PCS-QUEEN-STONE-GREY</t>
        </is>
      </c>
      <c r="C511" s="2" t="inlineStr">
        <is>
          <t>silk sheets and pillow cases [phrase]</t>
        </is>
      </c>
      <c r="D511" s="2" t="inlineStr">
        <is>
          <t>whole campaign</t>
        </is>
      </c>
      <c r="E511" s="2" t="inlineStr">
        <is>
          <t>ENABLED</t>
        </is>
      </c>
      <c r="F511" s="2" t="inlineStr">
        <is>
          <t>Conversions</t>
        </is>
      </c>
      <c r="G511" s="2" t="inlineStr">
        <is>
          <t>Discovery</t>
        </is>
      </c>
      <c r="H511" s="2" t="inlineStr">
        <is>
          <t>Silk</t>
        </is>
      </c>
      <c r="I511" s="2" t="inlineStr">
        <is>
          <t>Phrase</t>
        </is>
      </c>
      <c r="J511" s="2" t="inlineStr">
        <is>
          <t>SATIN-4PCS-QUEEN-STONE-GREY</t>
        </is>
      </c>
      <c r="K511" s="2" t="inlineStr">
        <is>
          <t>SATIN-4PCS-QUEEN-STONE-GREY</t>
        </is>
      </c>
      <c r="L511" s="2" t="inlineStr">
        <is>
          <t>n/a (no target bid in audit)</t>
        </is>
      </c>
      <c r="M511" s="2" t="inlineStr">
        <is>
          <t>n/a</t>
        </is>
      </c>
      <c r="N511" s="2" t="n">
        <v>0</v>
      </c>
      <c r="O511" s="2" t="n">
        <v>0</v>
      </c>
      <c r="P511" s="21" t="n"/>
      <c r="Q511" s="21" t="n"/>
      <c r="R511" s="2" t="n"/>
      <c r="S511" s="2" t="n"/>
      <c r="T511" s="2" t="n"/>
      <c r="U511" s="2" t="n"/>
      <c r="V511" s="21" t="n">
        <v>10</v>
      </c>
      <c r="W511" s="21" t="n">
        <v>10</v>
      </c>
      <c r="X511" s="2" t="inlineStr">
        <is>
          <t>PAUSED</t>
        </is>
      </c>
      <c r="Y511" s="2" t="inlineStr">
        <is>
          <t>none</t>
        </is>
      </c>
      <c r="Z511" s="2" t="inlineStr">
        <is>
          <t>none</t>
        </is>
      </c>
      <c r="AA511" s="21" t="n">
        <v>0</v>
      </c>
      <c r="AB511" s="2" t="n">
        <v>0</v>
      </c>
      <c r="AC511" s="2" t="n">
        <v>0</v>
      </c>
      <c r="AD511" s="2" t="n"/>
      <c r="AE511" s="2" t="n"/>
      <c r="AF511" s="2" t="n"/>
      <c r="AG511" s="2" t="n">
        <v>0</v>
      </c>
      <c r="AH511" s="2" t="inlineStr">
        <is>
          <t>Pause</t>
        </is>
      </c>
      <c r="AI511" s="22" t="inlineStr">
        <is>
          <t>Pause (seq 3340); retag → Discovery</t>
        </is>
      </c>
      <c r="AJ511" s="22" t="inlineStr">
        <is>
          <t>Duplicate discovery campaign with under 15 clicks and no order in 90 days (audit read to 29 Sep).</t>
        </is>
      </c>
      <c r="AK511" s="2" t="inlineStr">
        <is>
          <t>seq 3340 structure 3340: agree with review 40; our addition: standard → Discovery (phrase)</t>
        </is>
      </c>
      <c r="AL511" s="22" t="n"/>
    </row>
    <row r="512">
      <c r="A512" s="2" t="inlineStr">
        <is>
          <t>64803594725363</t>
        </is>
      </c>
      <c r="B512" s="2" t="inlineStr">
        <is>
          <t>D-S4-silk sheets full - [Silk|Full] - Broad - Disc - DO - SATIN-CHAMPAGNE-FULL</t>
        </is>
      </c>
      <c r="C512" s="2" t="inlineStr">
        <is>
          <t>silk sheets full [broad]</t>
        </is>
      </c>
      <c r="D512" s="2" t="inlineStr">
        <is>
          <t>—</t>
        </is>
      </c>
      <c r="E512" s="2" t="inlineStr">
        <is>
          <t>PAUSED</t>
        </is>
      </c>
      <c r="F512" s="2" t="inlineStr">
        <is>
          <t>Discovery</t>
        </is>
      </c>
      <c r="G512" s="2" t="inlineStr">
        <is>
          <t>Discovery</t>
        </is>
      </c>
      <c r="H512" s="2" t="inlineStr">
        <is>
          <t>Silk|Full</t>
        </is>
      </c>
      <c r="I512" s="2" t="inlineStr">
        <is>
          <t>Broad</t>
        </is>
      </c>
      <c r="J512" s="2" t="inlineStr">
        <is>
          <t>SATIN-CHAMPAGNE-FULL</t>
        </is>
      </c>
      <c r="K512" s="2" t="inlineStr">
        <is>
          <t>SATIN-CHAMPAGNE-FULL</t>
        </is>
      </c>
      <c r="L512" s="2" t="inlineStr">
        <is>
          <t>n/a (no target bid in audit)</t>
        </is>
      </c>
      <c r="M512" s="2" t="inlineStr">
        <is>
          <t>n/a</t>
        </is>
      </c>
      <c r="N512" s="2" t="n">
        <v>45</v>
      </c>
      <c r="O512" s="2" t="n">
        <v>45</v>
      </c>
      <c r="P512" s="21" t="n"/>
      <c r="Q512" s="21" t="n"/>
      <c r="R512" s="2" t="n"/>
      <c r="S512" s="2" t="n"/>
      <c r="T512" s="2" t="n"/>
      <c r="U512" s="2" t="n"/>
      <c r="V512" s="21" t="n">
        <v>10</v>
      </c>
      <c r="W512" s="21" t="n">
        <v>10</v>
      </c>
      <c r="X512" s="2" t="inlineStr">
        <is>
          <t>PAUSED</t>
        </is>
      </c>
      <c r="Y512" s="2" t="inlineStr">
        <is>
          <t>none</t>
        </is>
      </c>
      <c r="Z512" s="2" t="inlineStr">
        <is>
          <t>none</t>
        </is>
      </c>
      <c r="AA512" s="21" t="n">
        <v>0</v>
      </c>
      <c r="AB512" s="2" t="n">
        <v>0</v>
      </c>
      <c r="AC512" s="2" t="n">
        <v>0</v>
      </c>
      <c r="AD512" s="2" t="n"/>
      <c r="AE512" s="2" t="n"/>
      <c r="AF512" s="2" t="n"/>
      <c r="AG512" s="2" t="n">
        <v>0</v>
      </c>
      <c r="AH512" s="2" t="inlineStr">
        <is>
          <t>No change</t>
        </is>
      </c>
      <c r="AI512" s="22" t="inlineStr">
        <is>
          <t>Keep paused</t>
        </is>
      </c>
      <c r="AJ512" s="22" t="inlineStr">
        <is>
          <t>No run decision and no issue found; no clicks in CC 31 Aug–29 Sep.</t>
        </is>
      </c>
      <c r="AK512" s="2" t="inlineStr">
        <is>
          <t>no run decision</t>
        </is>
      </c>
      <c r="AL512" s="22" t="n"/>
    </row>
    <row r="513">
      <c r="A513" s="2" t="inlineStr">
        <is>
          <t>144601610568741</t>
        </is>
      </c>
      <c r="B513" s="2" t="inlineStr">
        <is>
          <t>D-S4-silk sheets full size - [Silk|Full] - Exact - Ran - DO - SATIN-FULL-BLACK</t>
        </is>
      </c>
      <c r="C513" s="2" t="inlineStr">
        <is>
          <t>silk sheets full size [exact]</t>
        </is>
      </c>
      <c r="D513" s="2" t="inlineStr">
        <is>
          <t>whole campaign</t>
        </is>
      </c>
      <c r="E513" s="2" t="inlineStr">
        <is>
          <t>PAUSED</t>
        </is>
      </c>
      <c r="F513" s="2" t="inlineStr">
        <is>
          <t>UNSET</t>
        </is>
      </c>
      <c r="G513" s="2" t="inlineStr">
        <is>
          <t>Ranking</t>
        </is>
      </c>
      <c r="H513" s="2" t="inlineStr">
        <is>
          <t>Silk|Full</t>
        </is>
      </c>
      <c r="I513" s="2" t="inlineStr">
        <is>
          <t>Exact</t>
        </is>
      </c>
      <c r="J513" s="2" t="inlineStr">
        <is>
          <t>SATIN-FULL-BLACK</t>
        </is>
      </c>
      <c r="K513" s="2" t="inlineStr">
        <is>
          <t>SATIN-FULL-BLACK</t>
        </is>
      </c>
      <c r="L513" s="2" t="inlineStr">
        <is>
          <t>n/a (no target bid in audit)</t>
        </is>
      </c>
      <c r="M513" s="2" t="inlineStr">
        <is>
          <t>n/a</t>
        </is>
      </c>
      <c r="N513" s="2" t="n">
        <v>50</v>
      </c>
      <c r="O513" s="2" t="n">
        <v>50</v>
      </c>
      <c r="P513" s="21" t="n"/>
      <c r="Q513" s="21" t="n"/>
      <c r="R513" s="2" t="n"/>
      <c r="S513" s="2" t="n"/>
      <c r="T513" s="2" t="n"/>
      <c r="U513" s="2" t="n"/>
      <c r="V513" s="21" t="n">
        <v>11.53</v>
      </c>
      <c r="W513" s="21" t="n">
        <v>11.53</v>
      </c>
      <c r="X513" s="2" t="inlineStr">
        <is>
          <t>PAUSED</t>
        </is>
      </c>
      <c r="Y513" s="2" t="inlineStr">
        <is>
          <t>none</t>
        </is>
      </c>
      <c r="Z513" s="2" t="inlineStr">
        <is>
          <t>none</t>
        </is>
      </c>
      <c r="AA513" s="21" t="n">
        <v>0</v>
      </c>
      <c r="AB513" s="2" t="n">
        <v>0</v>
      </c>
      <c r="AC513" s="2" t="n">
        <v>0</v>
      </c>
      <c r="AD513" s="2" t="n"/>
      <c r="AE513" s="2" t="n"/>
      <c r="AF513" s="2" t="n"/>
      <c r="AG513" s="2" t="n">
        <v>9</v>
      </c>
      <c r="AH513" s="2" t="inlineStr">
        <is>
          <t>Retag only</t>
        </is>
      </c>
      <c r="AI513" s="22" t="inlineStr">
        <is>
          <t>retag → Ranking</t>
        </is>
      </c>
      <c r="AJ513" s="22" t="inlineStr">
        <is>
          <t>Objective UNSET → Ranking by the standard (generic exact "silk sheets full size"); no clicks in CC 31 Aug–29 Sep.</t>
        </is>
      </c>
      <c r="AK513" s="2" t="inlineStr">
        <is>
          <t>our addition: standard → Ranking (generic exact "silk sheets full size")</t>
        </is>
      </c>
      <c r="AL513" s="22" t="n"/>
    </row>
    <row r="514">
      <c r="A514" s="2" t="inlineStr">
        <is>
          <t>269998882248281</t>
        </is>
      </c>
      <c r="B514" s="2" t="inlineStr">
        <is>
          <t>D-S4-silk sheets king - [Silk|King] - Broad - Disc - DO - SATIN-4PCS-KING-ROSEWOOD</t>
        </is>
      </c>
      <c r="C514" s="2" t="inlineStr">
        <is>
          <t>silk sheets king [broad]</t>
        </is>
      </c>
      <c r="D514" s="2" t="inlineStr">
        <is>
          <t>whole campaign</t>
        </is>
      </c>
      <c r="E514" s="2" t="inlineStr">
        <is>
          <t>ENABLED</t>
        </is>
      </c>
      <c r="F514" s="2" t="inlineStr">
        <is>
          <t>Discovery</t>
        </is>
      </c>
      <c r="G514" s="2" t="inlineStr">
        <is>
          <t>Discovery</t>
        </is>
      </c>
      <c r="H514" s="2" t="inlineStr">
        <is>
          <t>Silk|King</t>
        </is>
      </c>
      <c r="I514" s="2" t="inlineStr">
        <is>
          <t>Broad</t>
        </is>
      </c>
      <c r="J514" s="2" t="inlineStr">
        <is>
          <t>SATIN-4PC-KING-GREY</t>
        </is>
      </c>
      <c r="K514" s="2" t="inlineStr">
        <is>
          <t>SATIN-4PC-KING-GREY</t>
        </is>
      </c>
      <c r="L514" s="2" t="inlineStr">
        <is>
          <t>n/a (no target bid in audit)</t>
        </is>
      </c>
      <c r="M514" s="2" t="inlineStr">
        <is>
          <t>n/a</t>
        </is>
      </c>
      <c r="N514" s="2" t="n">
        <v>0</v>
      </c>
      <c r="O514" s="2" t="n">
        <v>0</v>
      </c>
      <c r="P514" s="21" t="n"/>
      <c r="Q514" s="21" t="n"/>
      <c r="R514" s="2" t="n"/>
      <c r="S514" s="2" t="n"/>
      <c r="T514" s="2" t="n"/>
      <c r="U514" s="2" t="n"/>
      <c r="V514" s="21" t="n">
        <v>10</v>
      </c>
      <c r="W514" s="21" t="n">
        <v>10</v>
      </c>
      <c r="X514" s="2" t="inlineStr">
        <is>
          <t>PAUSED</t>
        </is>
      </c>
      <c r="Y514" s="2" t="inlineStr">
        <is>
          <t>add 1 negatives (seq 2272)</t>
        </is>
      </c>
      <c r="Z514" s="2" t="inlineStr">
        <is>
          <t>none</t>
        </is>
      </c>
      <c r="AA514" s="21" t="n">
        <v>0</v>
      </c>
      <c r="AB514" s="2" t="n">
        <v>0</v>
      </c>
      <c r="AC514" s="2" t="n">
        <v>0</v>
      </c>
      <c r="AD514" s="2" t="n"/>
      <c r="AE514" s="2" t="n"/>
      <c r="AF514" s="2" t="n"/>
      <c r="AG514" s="2" t="n">
        <v>3</v>
      </c>
      <c r="AH514" s="2" t="inlineStr">
        <is>
          <t>Pause</t>
        </is>
      </c>
      <c r="AI514" s="22" t="inlineStr">
        <is>
          <t>Pause (seq 2865)</t>
        </is>
      </c>
      <c r="AJ514" s="22" t="inlineStr">
        <is>
          <t>Second discovery campaign in its family (fold = pause; only negatives move).</t>
        </is>
      </c>
      <c r="AK514" s="2" t="inlineStr">
        <is>
          <t>seq 2272 negatives: agree with review 40; seq 2865 structure: agree with review 40</t>
        </is>
      </c>
      <c r="AL514" s="22" t="n"/>
    </row>
    <row r="515">
      <c r="A515" s="2" t="inlineStr">
        <is>
          <t>233726842293519</t>
        </is>
      </c>
      <c r="B515" s="2" t="inlineStr">
        <is>
          <t>D-S4-silk sheets king size - [Silk|King] - Exact - Ran - DO - SATIN-4PC-KING-GREY</t>
        </is>
      </c>
      <c r="C515" s="2" t="inlineStr">
        <is>
          <t>silk sheets king size [exact]</t>
        </is>
      </c>
      <c r="D515" s="2" t="inlineStr">
        <is>
          <t>whole campaign</t>
        </is>
      </c>
      <c r="E515" s="2" t="inlineStr">
        <is>
          <t>PAUSED</t>
        </is>
      </c>
      <c r="F515" s="2" t="inlineStr">
        <is>
          <t>UNSET</t>
        </is>
      </c>
      <c r="G515" s="2" t="inlineStr">
        <is>
          <t>Ranking</t>
        </is>
      </c>
      <c r="H515" s="2" t="inlineStr">
        <is>
          <t>Silk|King</t>
        </is>
      </c>
      <c r="I515" s="2" t="inlineStr">
        <is>
          <t>Exact</t>
        </is>
      </c>
      <c r="J515" s="2" t="inlineStr">
        <is>
          <t>SATIN-4PC-KING-GREY</t>
        </is>
      </c>
      <c r="K515" s="2" t="inlineStr">
        <is>
          <t>SATIN-4PC-KING-GREY</t>
        </is>
      </c>
      <c r="L515" s="2" t="inlineStr">
        <is>
          <t>n/a (no target bid in audit)</t>
        </is>
      </c>
      <c r="M515" s="2" t="inlineStr">
        <is>
          <t>n/a</t>
        </is>
      </c>
      <c r="N515" s="2" t="n">
        <v>50</v>
      </c>
      <c r="O515" s="2" t="n">
        <v>50</v>
      </c>
      <c r="P515" s="21" t="n"/>
      <c r="Q515" s="21" t="n"/>
      <c r="R515" s="2" t="n"/>
      <c r="S515" s="2" t="n"/>
      <c r="T515" s="2" t="n"/>
      <c r="U515" s="2" t="n"/>
      <c r="V515" s="21" t="n">
        <v>14.03</v>
      </c>
      <c r="W515" s="21" t="n">
        <v>14.03</v>
      </c>
      <c r="X515" s="2" t="inlineStr">
        <is>
          <t>PAUSED</t>
        </is>
      </c>
      <c r="Y515" s="2" t="inlineStr">
        <is>
          <t>none</t>
        </is>
      </c>
      <c r="Z515" s="2" t="inlineStr">
        <is>
          <t>none</t>
        </is>
      </c>
      <c r="AA515" s="21" t="n">
        <v>0</v>
      </c>
      <c r="AB515" s="2" t="n">
        <v>0</v>
      </c>
      <c r="AC515" s="2" t="n">
        <v>0</v>
      </c>
      <c r="AD515" s="2" t="n"/>
      <c r="AE515" s="2" t="n"/>
      <c r="AF515" s="2" t="n"/>
      <c r="AG515" s="2" t="n">
        <v>1</v>
      </c>
      <c r="AH515" s="2" t="inlineStr">
        <is>
          <t>Retag only</t>
        </is>
      </c>
      <c r="AI515" s="22" t="inlineStr">
        <is>
          <t>retag → Ranking</t>
        </is>
      </c>
      <c r="AJ515" s="22" t="inlineStr">
        <is>
          <t>Objective UNSET → Ranking by the standard (generic exact "silk sheets king size"); no clicks in CC 31 Aug–29 Sep.</t>
        </is>
      </c>
      <c r="AK515" s="2" t="inlineStr">
        <is>
          <t>our addition: standard → Ranking (generic exact "silk sheets king size")</t>
        </is>
      </c>
      <c r="AL515" s="22" t="n"/>
    </row>
    <row r="516">
      <c r="A516" s="2" t="inlineStr">
        <is>
          <t>147733461905590</t>
        </is>
      </c>
      <c r="B516" s="2" t="inlineStr">
        <is>
          <t>D-S4-silk sheets king size bed set - [Silk|King] - Exact - Ran - DO - SATIN-4PC-KING-GREY</t>
        </is>
      </c>
      <c r="C516" s="2" t="inlineStr">
        <is>
          <t>silk sheets king size bed set [exact]</t>
        </is>
      </c>
      <c r="D516" s="2" t="inlineStr">
        <is>
          <t>silk sheets king size bed set</t>
        </is>
      </c>
      <c r="E516" s="2" t="inlineStr">
        <is>
          <t>ENABLED</t>
        </is>
      </c>
      <c r="F516" s="2" t="inlineStr">
        <is>
          <t>Ranking</t>
        </is>
      </c>
      <c r="G516" s="2" t="inlineStr">
        <is>
          <t>Ranking</t>
        </is>
      </c>
      <c r="H516" s="2" t="inlineStr">
        <is>
          <t>Silk|King</t>
        </is>
      </c>
      <c r="I516" s="2" t="inlineStr">
        <is>
          <t>Exact</t>
        </is>
      </c>
      <c r="J516" s="2" t="inlineStr">
        <is>
          <t>SATIN-4PC-KING-GREY</t>
        </is>
      </c>
      <c r="K516" s="2" t="inlineStr">
        <is>
          <t>SATIN-4PC-KING-GREY</t>
        </is>
      </c>
      <c r="L516" s="2" t="inlineStr">
        <is>
          <t>n/a (no target bid in audit)</t>
        </is>
      </c>
      <c r="M516" s="2" t="inlineStr">
        <is>
          <t>n/a</t>
        </is>
      </c>
      <c r="N516" s="2" t="n">
        <v>50</v>
      </c>
      <c r="O516" s="2" t="n">
        <v>50</v>
      </c>
      <c r="P516" s="21" t="n"/>
      <c r="Q516" s="21" t="n"/>
      <c r="R516" s="2" t="n"/>
      <c r="S516" s="2" t="n"/>
      <c r="T516" s="2" t="n"/>
      <c r="U516" s="2" t="n"/>
      <c r="V516" s="21" t="n">
        <v>17.14</v>
      </c>
      <c r="W516" s="21" t="n">
        <v>17.14</v>
      </c>
      <c r="X516" s="2" t="inlineStr">
        <is>
          <t>ENABLED</t>
        </is>
      </c>
      <c r="Y516" s="2" t="inlineStr">
        <is>
          <t>none</t>
        </is>
      </c>
      <c r="Z516" s="2" t="inlineStr">
        <is>
          <t>load (clean): DSS4-SP-Silk Sheets King Size Bed Set-[Silk|King]-(LSV)-Exact-(Ranking)-DO-SATIN-4PC-KING-GREY</t>
        </is>
      </c>
      <c r="AA516" s="21" t="n">
        <v>0</v>
      </c>
      <c r="AB516" s="2" t="n">
        <v>0</v>
      </c>
      <c r="AC516" s="2" t="n">
        <v>0</v>
      </c>
      <c r="AD516" s="2" t="n"/>
      <c r="AE516" s="2" t="n"/>
      <c r="AF516" s="2" t="n"/>
      <c r="AG516" s="2" t="n">
        <v>3</v>
      </c>
      <c r="AH516" s="2" t="inlineStr">
        <is>
          <t>Release hold, keep price</t>
        </is>
      </c>
      <c r="AI516" s="22" t="inlineStr">
        <is>
          <t>Release hold; keep base (no clicks 30d)</t>
        </is>
      </c>
      <c r="AJ516" s="22" t="inlineStr">
        <is>
          <t>The "0 impressions" hold is false, but the campaign had no clicks in CC 31 Aug–29 Sep, so a base cut would only lower delivery.</t>
        </is>
      </c>
      <c r="AK516" s="2" t="inlineStr">
        <is>
          <t>seq 2167 retag LOAD; seq 3099 rename LOAD; seq 2009 NOT SERVING hold(s) → release; price to break-even (our addition, reviewer D)</t>
        </is>
      </c>
      <c r="AL516" s="22" t="n"/>
    </row>
    <row r="517">
      <c r="A517" s="2" t="inlineStr">
        <is>
          <t>145095484039423</t>
        </is>
      </c>
      <c r="B517" s="2" t="inlineStr">
        <is>
          <t>D-S4-silk sheets king size bed set - [Silk|King] - Phrase - Conv - DO - SATIN-TAUPE-KING</t>
        </is>
      </c>
      <c r="C517" s="2" t="inlineStr">
        <is>
          <t>silk sheets king size bed set [phrase]</t>
        </is>
      </c>
      <c r="D517" s="2" t="inlineStr">
        <is>
          <t>whole campaign</t>
        </is>
      </c>
      <c r="E517" s="2" t="inlineStr">
        <is>
          <t>ENABLED</t>
        </is>
      </c>
      <c r="F517" s="2" t="inlineStr">
        <is>
          <t>Conversions</t>
        </is>
      </c>
      <c r="G517" s="2" t="inlineStr">
        <is>
          <t>Discovery</t>
        </is>
      </c>
      <c r="H517" s="2" t="inlineStr">
        <is>
          <t>Silk|King</t>
        </is>
      </c>
      <c r="I517" s="2" t="inlineStr">
        <is>
          <t>Phrase</t>
        </is>
      </c>
      <c r="J517" s="2" t="inlineStr">
        <is>
          <t>SATIN-TAUPE-KING</t>
        </is>
      </c>
      <c r="K517" s="2" t="inlineStr">
        <is>
          <t>SATIN-TAUPE-KING</t>
        </is>
      </c>
      <c r="L517" s="2" t="inlineStr">
        <is>
          <t>n/a (no target bid in audit)</t>
        </is>
      </c>
      <c r="M517" s="2" t="inlineStr">
        <is>
          <t>n/a</t>
        </is>
      </c>
      <c r="N517" s="2" t="n">
        <v>0</v>
      </c>
      <c r="O517" s="2" t="n">
        <v>0</v>
      </c>
      <c r="P517" s="21" t="n"/>
      <c r="Q517" s="21" t="n"/>
      <c r="R517" s="2" t="n"/>
      <c r="S517" s="2" t="n"/>
      <c r="T517" s="2" t="n"/>
      <c r="U517" s="2" t="n"/>
      <c r="V517" s="21" t="n">
        <v>10</v>
      </c>
      <c r="W517" s="21" t="n">
        <v>10</v>
      </c>
      <c r="X517" s="2" t="inlineStr">
        <is>
          <t>PAUSED</t>
        </is>
      </c>
      <c r="Y517" s="2" t="inlineStr">
        <is>
          <t>none</t>
        </is>
      </c>
      <c r="Z517" s="2" t="inlineStr">
        <is>
          <t>none</t>
        </is>
      </c>
      <c r="AA517" s="21" t="n">
        <v>0</v>
      </c>
      <c r="AB517" s="2" t="n">
        <v>0</v>
      </c>
      <c r="AC517" s="2" t="n">
        <v>0</v>
      </c>
      <c r="AD517" s="2" t="n"/>
      <c r="AE517" s="2" t="n"/>
      <c r="AF517" s="2" t="n"/>
      <c r="AG517" s="2" t="n">
        <v>0</v>
      </c>
      <c r="AH517" s="2" t="inlineStr">
        <is>
          <t>Pause</t>
        </is>
      </c>
      <c r="AI517" s="22" t="inlineStr">
        <is>
          <t>Pause (seq 3340); retag → Discovery</t>
        </is>
      </c>
      <c r="AJ517" s="22" t="inlineStr">
        <is>
          <t>Duplicate discovery campaign with under 15 clicks and no order in 90 days (audit read to 29 Sep).</t>
        </is>
      </c>
      <c r="AK517" s="2" t="inlineStr">
        <is>
          <t>seq 3340 structure 3340: agree with review 40; our addition: standard → Discovery (phrase)</t>
        </is>
      </c>
      <c r="AL517" s="22" t="n"/>
    </row>
    <row r="518">
      <c r="A518" s="2" t="inlineStr">
        <is>
          <t>98275912845962</t>
        </is>
      </c>
      <c r="B518" s="2" t="inlineStr">
        <is>
          <t>D-S4-silk sheets queen deep pocket - [Silk|Queen] - Exact - Ran - DO - SATIN-QUEEN-BLACK</t>
        </is>
      </c>
      <c r="C518" s="2" t="inlineStr">
        <is>
          <t>silk sheets queen deep pocket [exact]</t>
        </is>
      </c>
      <c r="D518" s="2" t="inlineStr">
        <is>
          <t>silk sheets queen deep pocket</t>
        </is>
      </c>
      <c r="E518" s="2" t="inlineStr">
        <is>
          <t>ENABLED</t>
        </is>
      </c>
      <c r="F518" s="2" t="inlineStr">
        <is>
          <t>Ranking</t>
        </is>
      </c>
      <c r="G518" s="2" t="inlineStr">
        <is>
          <t>Ranking</t>
        </is>
      </c>
      <c r="H518" s="2" t="inlineStr">
        <is>
          <t>Silk|Queen</t>
        </is>
      </c>
      <c r="I518" s="2" t="inlineStr">
        <is>
          <t>Exact</t>
        </is>
      </c>
      <c r="J518" s="2" t="inlineStr">
        <is>
          <t>SATIN-QUEEN-BLACK</t>
        </is>
      </c>
      <c r="K518" s="2" t="inlineStr">
        <is>
          <t>SATIN-QUEEN-BLACK</t>
        </is>
      </c>
      <c r="L518" s="2" t="inlineStr">
        <is>
          <t>n/a (no target bid in audit)</t>
        </is>
      </c>
      <c r="M518" s="2" t="inlineStr">
        <is>
          <t>n/a</t>
        </is>
      </c>
      <c r="N518" s="2" t="n">
        <v>50</v>
      </c>
      <c r="O518" s="2" t="n">
        <v>50</v>
      </c>
      <c r="P518" s="21" t="n"/>
      <c r="Q518" s="21" t="n"/>
      <c r="R518" s="2" t="n"/>
      <c r="S518" s="2" t="n"/>
      <c r="T518" s="2" t="n"/>
      <c r="U518" s="2" t="n"/>
      <c r="V518" s="21" t="n">
        <v>14.93</v>
      </c>
      <c r="W518" s="21" t="n">
        <v>14.93</v>
      </c>
      <c r="X518" s="2" t="inlineStr">
        <is>
          <t>ENABLED</t>
        </is>
      </c>
      <c r="Y518" s="2" t="inlineStr">
        <is>
          <t>none</t>
        </is>
      </c>
      <c r="Z518" s="2" t="inlineStr">
        <is>
          <t>defer — engine name wrong (SKU token SATIN-QUEEN-BLACK); load a corrected name after 28 Oct</t>
        </is>
      </c>
      <c r="AA518" s="21" t="n">
        <v>0</v>
      </c>
      <c r="AB518" s="2" t="n">
        <v>0</v>
      </c>
      <c r="AC518" s="2" t="n">
        <v>0</v>
      </c>
      <c r="AD518" s="2" t="n"/>
      <c r="AE518" s="2" t="n"/>
      <c r="AF518" s="2" t="n"/>
      <c r="AG518" s="2" t="n">
        <v>3</v>
      </c>
      <c r="AH518" s="2" t="inlineStr">
        <is>
          <t>Release hold, keep price</t>
        </is>
      </c>
      <c r="AI518" s="22" t="inlineStr">
        <is>
          <t>Release hold; keep base (no clicks 30d)</t>
        </is>
      </c>
      <c r="AJ518" s="22" t="inlineStr">
        <is>
          <t>The "0 impressions" hold is false, but the campaign had no clicks in CC 31 Aug–29 Sep, so a base cut would only lower delivery.</t>
        </is>
      </c>
      <c r="AK518" s="2" t="inlineStr">
        <is>
          <t>seq 1969 child: reject — keep SATIN-QUEEN-BLACK; seq 2232 retag LOAD; seq 3315 rename CHANGE; seq 2047 NOT SERVING hold(s) → release; price to break-even (our addition, reviewer D)</t>
        </is>
      </c>
      <c r="AL518" s="22" t="n"/>
    </row>
    <row r="519">
      <c r="A519" s="2" t="inlineStr">
        <is>
          <t>14241781947769</t>
        </is>
      </c>
      <c r="B519" s="2" t="inlineStr">
        <is>
          <t>D-S4-silk sheets queen deep pocket - [Silk|Queen] - Phrase - Conv - DO - SATIN-4PCS-QUEEN-STONE-GREY</t>
        </is>
      </c>
      <c r="C519" s="2" t="inlineStr">
        <is>
          <t>silk sheets queen deep pocket [phrase]</t>
        </is>
      </c>
      <c r="D519" s="2" t="inlineStr">
        <is>
          <t>whole campaign</t>
        </is>
      </c>
      <c r="E519" s="2" t="inlineStr">
        <is>
          <t>ENABLED</t>
        </is>
      </c>
      <c r="F519" s="2" t="inlineStr">
        <is>
          <t>Conversions</t>
        </is>
      </c>
      <c r="G519" s="2" t="inlineStr">
        <is>
          <t>Discovery</t>
        </is>
      </c>
      <c r="H519" s="2" t="inlineStr">
        <is>
          <t>Silk|Queen</t>
        </is>
      </c>
      <c r="I519" s="2" t="inlineStr">
        <is>
          <t>Phrase</t>
        </is>
      </c>
      <c r="J519" s="2" t="inlineStr">
        <is>
          <t>SATIN-4PCS-QUEEN-STONE-GREY</t>
        </is>
      </c>
      <c r="K519" s="2" t="inlineStr">
        <is>
          <t>SATIN-4PCS-QUEEN-STONE-GREY</t>
        </is>
      </c>
      <c r="L519" s="2" t="inlineStr">
        <is>
          <t>n/a (no target bid in audit)</t>
        </is>
      </c>
      <c r="M519" s="2" t="inlineStr">
        <is>
          <t>n/a</t>
        </is>
      </c>
      <c r="N519" s="2" t="n">
        <v>0</v>
      </c>
      <c r="O519" s="2" t="n">
        <v>0</v>
      </c>
      <c r="P519" s="21" t="n"/>
      <c r="Q519" s="21" t="n"/>
      <c r="R519" s="2" t="n"/>
      <c r="S519" s="2" t="n"/>
      <c r="T519" s="2" t="n"/>
      <c r="U519" s="2" t="n"/>
      <c r="V519" s="21" t="n">
        <v>10</v>
      </c>
      <c r="W519" s="21" t="n">
        <v>10</v>
      </c>
      <c r="X519" s="2" t="inlineStr">
        <is>
          <t>PAUSED</t>
        </is>
      </c>
      <c r="Y519" s="2" t="inlineStr">
        <is>
          <t>none</t>
        </is>
      </c>
      <c r="Z519" s="2" t="inlineStr">
        <is>
          <t>none</t>
        </is>
      </c>
      <c r="AA519" s="21" t="n">
        <v>0</v>
      </c>
      <c r="AB519" s="2" t="n">
        <v>0</v>
      </c>
      <c r="AC519" s="2" t="n">
        <v>0</v>
      </c>
      <c r="AD519" s="2" t="n"/>
      <c r="AE519" s="2" t="n"/>
      <c r="AF519" s="2" t="n"/>
      <c r="AG519" s="2" t="n">
        <v>0</v>
      </c>
      <c r="AH519" s="2" t="inlineStr">
        <is>
          <t>Pause</t>
        </is>
      </c>
      <c r="AI519" s="22" t="inlineStr">
        <is>
          <t>Pause (seq 3340); retag → Discovery</t>
        </is>
      </c>
      <c r="AJ519" s="22" t="inlineStr">
        <is>
          <t>Duplicate discovery campaign with under 15 clicks and no order in 90 days (audit read to 29 Sep).</t>
        </is>
      </c>
      <c r="AK519" s="2" t="inlineStr">
        <is>
          <t>seq 3340 structure 3340: agree with review 40; our addition: standard → Discovery (phrase)</t>
        </is>
      </c>
      <c r="AL519" s="22" t="n"/>
    </row>
    <row r="520">
      <c r="A520" s="2" t="inlineStr">
        <is>
          <t>28341962183724</t>
        </is>
      </c>
      <c r="B520" s="2" t="inlineStr">
        <is>
          <t>D-S4-silk sheets queen size bed set - [Silk|Queen] - Phrase - Conv - DO - SATIN-4PCS-QUEEN-STONE-GREY</t>
        </is>
      </c>
      <c r="C520" s="2" t="inlineStr">
        <is>
          <t>silk sheets queen size bed set [phrase]</t>
        </is>
      </c>
      <c r="D520" s="2" t="inlineStr">
        <is>
          <t>whole campaign</t>
        </is>
      </c>
      <c r="E520" s="2" t="inlineStr">
        <is>
          <t>ENABLED</t>
        </is>
      </c>
      <c r="F520" s="2" t="inlineStr">
        <is>
          <t>Conversions</t>
        </is>
      </c>
      <c r="G520" s="2" t="inlineStr">
        <is>
          <t>Discovery</t>
        </is>
      </c>
      <c r="H520" s="2" t="inlineStr">
        <is>
          <t>Silk|Queen</t>
        </is>
      </c>
      <c r="I520" s="2" t="inlineStr">
        <is>
          <t>Phrase</t>
        </is>
      </c>
      <c r="J520" s="2" t="inlineStr">
        <is>
          <t>SATIN-4PCS-QUEEN-STONE-GREY</t>
        </is>
      </c>
      <c r="K520" s="2" t="inlineStr">
        <is>
          <t>SATIN-4PCS-QUEEN-STONE-GREY</t>
        </is>
      </c>
      <c r="L520" s="2" t="inlineStr">
        <is>
          <t>n/a (no target bid in audit)</t>
        </is>
      </c>
      <c r="M520" s="2" t="inlineStr">
        <is>
          <t>n/a</t>
        </is>
      </c>
      <c r="N520" s="2" t="n">
        <v>0</v>
      </c>
      <c r="O520" s="2" t="n">
        <v>0</v>
      </c>
      <c r="P520" s="21" t="n"/>
      <c r="Q520" s="21" t="n"/>
      <c r="R520" s="2" t="n"/>
      <c r="S520" s="2" t="n"/>
      <c r="T520" s="2" t="n"/>
      <c r="U520" s="2" t="n"/>
      <c r="V520" s="21" t="n">
        <v>10</v>
      </c>
      <c r="W520" s="21" t="n">
        <v>10</v>
      </c>
      <c r="X520" s="2" t="inlineStr">
        <is>
          <t>PAUSED</t>
        </is>
      </c>
      <c r="Y520" s="2" t="inlineStr">
        <is>
          <t>none</t>
        </is>
      </c>
      <c r="Z520" s="2" t="inlineStr">
        <is>
          <t>none</t>
        </is>
      </c>
      <c r="AA520" s="21" t="n">
        <v>0</v>
      </c>
      <c r="AB520" s="2" t="n">
        <v>0</v>
      </c>
      <c r="AC520" s="2" t="n">
        <v>0</v>
      </c>
      <c r="AD520" s="2" t="n"/>
      <c r="AE520" s="2" t="n"/>
      <c r="AF520" s="2" t="n"/>
      <c r="AG520" s="2" t="n">
        <v>0</v>
      </c>
      <c r="AH520" s="2" t="inlineStr">
        <is>
          <t>Pause</t>
        </is>
      </c>
      <c r="AI520" s="22" t="inlineStr">
        <is>
          <t>Pause (seq 3340); retag → Discovery</t>
        </is>
      </c>
      <c r="AJ520" s="22" t="inlineStr">
        <is>
          <t>Duplicate discovery campaign with under 15 clicks and no order in 90 days (audit read to 29 Sep).</t>
        </is>
      </c>
      <c r="AK520" s="2" t="inlineStr">
        <is>
          <t>seq 3340 structure 3340: agree with review 40; our addition: standard → Discovery (phrase)</t>
        </is>
      </c>
      <c r="AL520" s="22" t="n"/>
    </row>
    <row r="521">
      <c r="A521" s="2" t="inlineStr">
        <is>
          <t>274098888993841</t>
        </is>
      </c>
      <c r="B521" s="2" t="inlineStr">
        <is>
          <t>D-S4-silk twin sheets - [Silk|Twin] - Exact - Ran - DO - SATIN-TWIN-BLACK-NEW</t>
        </is>
      </c>
      <c r="C521" s="2" t="inlineStr">
        <is>
          <t>silk twin sheets [exact, $0.65]</t>
        </is>
      </c>
      <c r="D521" s="2" t="inlineStr">
        <is>
          <t>silk twin sheets</t>
        </is>
      </c>
      <c r="E521" s="2" t="inlineStr">
        <is>
          <t>ENABLED</t>
        </is>
      </c>
      <c r="F521" s="2" t="inlineStr">
        <is>
          <t>Ranking</t>
        </is>
      </c>
      <c r="G521" s="2" t="inlineStr">
        <is>
          <t>Ranking</t>
        </is>
      </c>
      <c r="H521" s="2" t="inlineStr">
        <is>
          <t>OUT</t>
        </is>
      </c>
      <c r="I521" s="2" t="inlineStr">
        <is>
          <t>Exact</t>
        </is>
      </c>
      <c r="J521" s="2" t="inlineStr">
        <is>
          <t>SATIN-TWIN-BLACK-NEW</t>
        </is>
      </c>
      <c r="K521" s="2" t="inlineStr">
        <is>
          <t>SATIN-TWIN-BLACK-NEW</t>
        </is>
      </c>
      <c r="L521" s="2" t="inlineStr">
        <is>
          <t>$0.65</t>
        </is>
      </c>
      <c r="M521" s="2" t="inlineStr">
        <is>
          <t>$0.65</t>
        </is>
      </c>
      <c r="N521" s="2" t="n">
        <v>100</v>
      </c>
      <c r="O521" s="2" t="n">
        <v>100</v>
      </c>
      <c r="P521" s="21" t="n">
        <v>1.3</v>
      </c>
      <c r="Q521" s="21" t="n">
        <v>1.3</v>
      </c>
      <c r="R521" s="2" t="n">
        <v>0</v>
      </c>
      <c r="S521" s="2" t="n">
        <v>0</v>
      </c>
      <c r="T521" s="2" t="n">
        <v>30</v>
      </c>
      <c r="U521" s="2" t="n">
        <v>30</v>
      </c>
      <c r="V521" s="21" t="n">
        <v>19.72</v>
      </c>
      <c r="W521" s="21" t="n">
        <v>19.72</v>
      </c>
      <c r="X521" s="2" t="inlineStr">
        <is>
          <t>ENABLED</t>
        </is>
      </c>
      <c r="Y521" s="2" t="inlineStr">
        <is>
          <t>none</t>
        </is>
      </c>
      <c r="Z521" s="2" t="inlineStr">
        <is>
          <t>defer — engine name wrong (SKU token SATIN-TWIN-BLACK-NEW); load a corrected name after 28 Oct</t>
        </is>
      </c>
      <c r="AA521" s="21" t="n">
        <v>0</v>
      </c>
      <c r="AB521" s="2" t="n">
        <v>0</v>
      </c>
      <c r="AC521" s="2" t="n">
        <v>0</v>
      </c>
      <c r="AD521" s="2" t="n"/>
      <c r="AE521" s="2" t="n"/>
      <c r="AF521" s="2" t="n"/>
      <c r="AG521" s="2" t="n">
        <v>12</v>
      </c>
      <c r="AH521" s="2" t="inlineStr">
        <is>
          <t>Release hold, keep price</t>
        </is>
      </c>
      <c r="AI521" s="22" t="inlineStr">
        <is>
          <t>Release hold; keep base (no clicks 30d)</t>
        </is>
      </c>
      <c r="AJ521" s="22" t="inlineStr">
        <is>
          <t>The "0 impressions" hold is false, but the campaign had no clicks in CC 31 Aug–29 Sep, so a base cut would only lower delivery. Note: plan move to SATIN-TWIN-GREY before 16 Oct (Twin Black 66 units, ~34 days).</t>
        </is>
      </c>
      <c r="AK521" s="2" t="inlineStr">
        <is>
          <t>seq 1925 child: reject — keep SATIN-TWIN-BLACK-NEW; seq 3205 rename CHANGE; seq 538 NOT SERVING hold(s) → release; price to break-even (our addition, reviewer D)</t>
        </is>
      </c>
      <c r="AL521" s="22" t="n"/>
    </row>
    <row r="522">
      <c r="A522" s="2" t="inlineStr">
        <is>
          <t>271550099217810</t>
        </is>
      </c>
      <c r="B522" s="2" t="inlineStr">
        <is>
          <t>D-S4-silky bed sheets queen - [Silk|Queen] - Exact - Ran - DO - SATIN-QUEEN-BLACK</t>
        </is>
      </c>
      <c r="C522" s="2" t="inlineStr">
        <is>
          <t>silky bed sheets queen [exact]</t>
        </is>
      </c>
      <c r="D522" s="2" t="inlineStr">
        <is>
          <t>whole campaign</t>
        </is>
      </c>
      <c r="E522" s="2" t="inlineStr">
        <is>
          <t>PAUSED</t>
        </is>
      </c>
      <c r="F522" s="2" t="inlineStr">
        <is>
          <t>UNSET</t>
        </is>
      </c>
      <c r="G522" s="2" t="inlineStr">
        <is>
          <t>Ranking</t>
        </is>
      </c>
      <c r="H522" s="2" t="inlineStr">
        <is>
          <t>Silk|Queen</t>
        </is>
      </c>
      <c r="I522" s="2" t="inlineStr">
        <is>
          <t>Exact</t>
        </is>
      </c>
      <c r="J522" s="2" t="inlineStr">
        <is>
          <t>SATIN-QUEEN-BLACK</t>
        </is>
      </c>
      <c r="K522" s="2" t="inlineStr">
        <is>
          <t>SATIN-QUEEN-BLACK</t>
        </is>
      </c>
      <c r="L522" s="2" t="inlineStr">
        <is>
          <t>n/a (no target bid in audit)</t>
        </is>
      </c>
      <c r="M522" s="2" t="inlineStr">
        <is>
          <t>n/a</t>
        </is>
      </c>
      <c r="N522" s="2" t="n">
        <v>50</v>
      </c>
      <c r="O522" s="2" t="n">
        <v>50</v>
      </c>
      <c r="P522" s="21" t="n"/>
      <c r="Q522" s="21" t="n"/>
      <c r="R522" s="2" t="n"/>
      <c r="S522" s="2" t="n"/>
      <c r="T522" s="2" t="n"/>
      <c r="U522" s="2" t="n"/>
      <c r="V522" s="21" t="n">
        <v>11.06</v>
      </c>
      <c r="W522" s="21" t="n">
        <v>11.06</v>
      </c>
      <c r="X522" s="2" t="inlineStr">
        <is>
          <t>PAUSED</t>
        </is>
      </c>
      <c r="Y522" s="2" t="inlineStr">
        <is>
          <t>none</t>
        </is>
      </c>
      <c r="Z522" s="2" t="inlineStr">
        <is>
          <t>none</t>
        </is>
      </c>
      <c r="AA522" s="21" t="n">
        <v>0</v>
      </c>
      <c r="AB522" s="2" t="n">
        <v>0</v>
      </c>
      <c r="AC522" s="2" t="n">
        <v>0</v>
      </c>
      <c r="AD522" s="2" t="n"/>
      <c r="AE522" s="2" t="n"/>
      <c r="AF522" s="2" t="n"/>
      <c r="AG522" s="2" t="n">
        <v>2</v>
      </c>
      <c r="AH522" s="2" t="inlineStr">
        <is>
          <t>Retag only</t>
        </is>
      </c>
      <c r="AI522" s="22" t="inlineStr">
        <is>
          <t>retag → Ranking</t>
        </is>
      </c>
      <c r="AJ522" s="22" t="inlineStr">
        <is>
          <t>Objective UNSET → Ranking by the standard (generic exact "silky bed sheets queen"); no clicks in CC 31 Aug–29 Sep.</t>
        </is>
      </c>
      <c r="AK522" s="2" t="inlineStr">
        <is>
          <t>our addition: standard → Ranking (generic exact "silky bed sheets queen")</t>
        </is>
      </c>
      <c r="AL522" s="22" t="n"/>
    </row>
    <row r="523">
      <c r="A523" s="2" t="inlineStr">
        <is>
          <t>74681103284826</t>
        </is>
      </c>
      <c r="B523" s="2" t="inlineStr">
        <is>
          <t>D-S4-silky bed sheets queen - [Silk|Queen] - Phrase - Conv - DO - SATIN-QUEEN-GREY</t>
        </is>
      </c>
      <c r="C523" s="2" t="inlineStr">
        <is>
          <t>silky bed sheets queen [phrase]</t>
        </is>
      </c>
      <c r="D523" s="2" t="inlineStr">
        <is>
          <t>whole campaign</t>
        </is>
      </c>
      <c r="E523" s="2" t="inlineStr">
        <is>
          <t>ENABLED</t>
        </is>
      </c>
      <c r="F523" s="2" t="inlineStr">
        <is>
          <t>Conversions</t>
        </is>
      </c>
      <c r="G523" s="2" t="inlineStr">
        <is>
          <t>Discovery</t>
        </is>
      </c>
      <c r="H523" s="2" t="inlineStr">
        <is>
          <t>Silk|Queen</t>
        </is>
      </c>
      <c r="I523" s="2" t="inlineStr">
        <is>
          <t>Phrase</t>
        </is>
      </c>
      <c r="J523" s="2" t="inlineStr">
        <is>
          <t>SATIN-QUEEN-GREY</t>
        </is>
      </c>
      <c r="K523" s="2" t="inlineStr">
        <is>
          <t>SATIN-QUEEN-GREY</t>
        </is>
      </c>
      <c r="L523" s="2" t="inlineStr">
        <is>
          <t>n/a (no target bid in audit)</t>
        </is>
      </c>
      <c r="M523" s="2" t="inlineStr">
        <is>
          <t>n/a</t>
        </is>
      </c>
      <c r="N523" s="2" t="n">
        <v>0</v>
      </c>
      <c r="O523" s="2" t="n">
        <v>0</v>
      </c>
      <c r="P523" s="21" t="n"/>
      <c r="Q523" s="21" t="n"/>
      <c r="R523" s="2" t="n"/>
      <c r="S523" s="2" t="n"/>
      <c r="T523" s="2" t="n"/>
      <c r="U523" s="2" t="n"/>
      <c r="V523" s="21" t="n">
        <v>10</v>
      </c>
      <c r="W523" s="21" t="n">
        <v>10</v>
      </c>
      <c r="X523" s="2" t="inlineStr">
        <is>
          <t>PAUSED</t>
        </is>
      </c>
      <c r="Y523" s="2" t="inlineStr">
        <is>
          <t>none</t>
        </is>
      </c>
      <c r="Z523" s="2" t="inlineStr">
        <is>
          <t>none</t>
        </is>
      </c>
      <c r="AA523" s="21" t="n">
        <v>0</v>
      </c>
      <c r="AB523" s="2" t="n">
        <v>0</v>
      </c>
      <c r="AC523" s="2" t="n">
        <v>0</v>
      </c>
      <c r="AD523" s="2" t="n"/>
      <c r="AE523" s="2" t="n"/>
      <c r="AF523" s="2" t="n"/>
      <c r="AG523" s="2" t="n">
        <v>0</v>
      </c>
      <c r="AH523" s="2" t="inlineStr">
        <is>
          <t>Pause</t>
        </is>
      </c>
      <c r="AI523" s="22" t="inlineStr">
        <is>
          <t>Pause (seq 3340); retag → Discovery</t>
        </is>
      </c>
      <c r="AJ523" s="22" t="inlineStr">
        <is>
          <t>Duplicate discovery campaign with under 15 clicks and no order in 90 days (audit read to 29 Sep).</t>
        </is>
      </c>
      <c r="AK523" s="2" t="inlineStr">
        <is>
          <t>seq 3340 structure 3340: agree with review 40; our addition: standard → Discovery (phrase)</t>
        </is>
      </c>
      <c r="AL523" s="22" t="n"/>
    </row>
    <row r="524">
      <c r="A524" s="2" t="inlineStr">
        <is>
          <t>181333880384538</t>
        </is>
      </c>
      <c r="B524" s="2" t="inlineStr">
        <is>
          <t>D-S4-silky sheets - [Silk] - Exact - Ran - DO - SATIN-QUEEN-BLACK</t>
        </is>
      </c>
      <c r="C524" s="2" t="inlineStr">
        <is>
          <t>silky sheets [exact]</t>
        </is>
      </c>
      <c r="D524" s="2" t="inlineStr">
        <is>
          <t>whole campaign</t>
        </is>
      </c>
      <c r="E524" s="2" t="inlineStr">
        <is>
          <t>PAUSED</t>
        </is>
      </c>
      <c r="F524" s="2" t="inlineStr">
        <is>
          <t>UNSET</t>
        </is>
      </c>
      <c r="G524" s="2" t="inlineStr">
        <is>
          <t>Ranking</t>
        </is>
      </c>
      <c r="H524" s="2" t="inlineStr">
        <is>
          <t>Silk</t>
        </is>
      </c>
      <c r="I524" s="2" t="inlineStr">
        <is>
          <t>Exact</t>
        </is>
      </c>
      <c r="J524" s="2" t="inlineStr">
        <is>
          <t>SATIN-QUEEN-BLACK</t>
        </is>
      </c>
      <c r="K524" s="2" t="inlineStr">
        <is>
          <t>SATIN-QUEEN-BLACK</t>
        </is>
      </c>
      <c r="L524" s="2" t="inlineStr">
        <is>
          <t>n/a (no target bid in audit)</t>
        </is>
      </c>
      <c r="M524" s="2" t="inlineStr">
        <is>
          <t>n/a</t>
        </is>
      </c>
      <c r="N524" s="2" t="n">
        <v>50</v>
      </c>
      <c r="O524" s="2" t="n">
        <v>50</v>
      </c>
      <c r="P524" s="21" t="n"/>
      <c r="Q524" s="21" t="n"/>
      <c r="R524" s="2" t="n"/>
      <c r="S524" s="2" t="n"/>
      <c r="T524" s="2" t="n"/>
      <c r="U524" s="2" t="n"/>
      <c r="V524" s="21" t="n">
        <v>13.22</v>
      </c>
      <c r="W524" s="21" t="n">
        <v>13.22</v>
      </c>
      <c r="X524" s="2" t="inlineStr">
        <is>
          <t>PAUSED</t>
        </is>
      </c>
      <c r="Y524" s="2" t="inlineStr">
        <is>
          <t>none</t>
        </is>
      </c>
      <c r="Z524" s="2" t="inlineStr">
        <is>
          <t>none</t>
        </is>
      </c>
      <c r="AA524" s="21" t="n">
        <v>0</v>
      </c>
      <c r="AB524" s="2" t="n">
        <v>0</v>
      </c>
      <c r="AC524" s="2" t="n">
        <v>0</v>
      </c>
      <c r="AD524" s="2" t="n"/>
      <c r="AE524" s="2" t="n"/>
      <c r="AF524" s="2" t="n"/>
      <c r="AG524" s="2" t="n">
        <v>10</v>
      </c>
      <c r="AH524" s="2" t="inlineStr">
        <is>
          <t>Keep paused</t>
        </is>
      </c>
      <c r="AI524" s="22" t="inlineStr">
        <is>
          <t>Keep paused (reject revive); retag → Ranking</t>
        </is>
      </c>
      <c r="AJ524" s="22" t="inlineStr">
        <is>
          <t>Revive rejected: 104.3% ACoS (CC 2 Jul–29 Sep).</t>
        </is>
      </c>
      <c r="AK524" s="2" t="inlineStr">
        <is>
          <t>seq 2819 structure: hold; our addition: standard → Ranking (generic exact "silky sheets")</t>
        </is>
      </c>
      <c r="AL524" s="22" t="n"/>
    </row>
    <row r="525">
      <c r="A525" s="2" t="inlineStr">
        <is>
          <t>245233539959228</t>
        </is>
      </c>
      <c r="B525" s="2" t="inlineStr">
        <is>
          <t>D-S4-silky sheets - [Silk] - Phrase - Conv - DO - SATIN-4PCS-QUEEN-STONE-GREY</t>
        </is>
      </c>
      <c r="C525" s="2" t="inlineStr">
        <is>
          <t>silky sheets [phrase]</t>
        </is>
      </c>
      <c r="D525" s="2" t="inlineStr">
        <is>
          <t>whole campaign</t>
        </is>
      </c>
      <c r="E525" s="2" t="inlineStr">
        <is>
          <t>ENABLED</t>
        </is>
      </c>
      <c r="F525" s="2" t="inlineStr">
        <is>
          <t>Conversions</t>
        </is>
      </c>
      <c r="G525" s="2" t="inlineStr">
        <is>
          <t>Discovery</t>
        </is>
      </c>
      <c r="H525" s="2" t="inlineStr">
        <is>
          <t>Silk</t>
        </is>
      </c>
      <c r="I525" s="2" t="inlineStr">
        <is>
          <t>Phrase</t>
        </is>
      </c>
      <c r="J525" s="2" t="inlineStr">
        <is>
          <t>SATIN-4PCS-QUEEN-STONE-GREY</t>
        </is>
      </c>
      <c r="K525" s="2" t="inlineStr">
        <is>
          <t>SATIN-4PCS-QUEEN-STONE-GREY</t>
        </is>
      </c>
      <c r="L525" s="2" t="inlineStr">
        <is>
          <t>n/a (no target bid in audit)</t>
        </is>
      </c>
      <c r="M525" s="2" t="inlineStr">
        <is>
          <t>n/a</t>
        </is>
      </c>
      <c r="N525" s="2" t="n">
        <v>0</v>
      </c>
      <c r="O525" s="2" t="n">
        <v>0</v>
      </c>
      <c r="P525" s="21" t="n"/>
      <c r="Q525" s="21" t="n"/>
      <c r="R525" s="2" t="n"/>
      <c r="S525" s="2" t="n"/>
      <c r="T525" s="2" t="n"/>
      <c r="U525" s="2" t="n"/>
      <c r="V525" s="21" t="n">
        <v>10</v>
      </c>
      <c r="W525" s="21" t="n">
        <v>10</v>
      </c>
      <c r="X525" s="2" t="inlineStr">
        <is>
          <t>PAUSED</t>
        </is>
      </c>
      <c r="Y525" s="2" t="inlineStr">
        <is>
          <t>none</t>
        </is>
      </c>
      <c r="Z525" s="2" t="inlineStr">
        <is>
          <t>none</t>
        </is>
      </c>
      <c r="AA525" s="21" t="n">
        <v>0</v>
      </c>
      <c r="AB525" s="2" t="n">
        <v>0</v>
      </c>
      <c r="AC525" s="2" t="n">
        <v>0</v>
      </c>
      <c r="AD525" s="2" t="n"/>
      <c r="AE525" s="2" t="n"/>
      <c r="AF525" s="2" t="n"/>
      <c r="AG525" s="2" t="n">
        <v>0</v>
      </c>
      <c r="AH525" s="2" t="inlineStr">
        <is>
          <t>Pause</t>
        </is>
      </c>
      <c r="AI525" s="22" t="inlineStr">
        <is>
          <t>Pause (seq 3340); retag → Discovery</t>
        </is>
      </c>
      <c r="AJ525" s="22" t="inlineStr">
        <is>
          <t>Duplicate discovery campaign with under 15 clicks and no order in 90 days (audit read to 29 Sep).</t>
        </is>
      </c>
      <c r="AK525" s="2" t="inlineStr">
        <is>
          <t>seq 3340 structure 3340: agree with review 40; our addition: standard → Discovery (phrase)</t>
        </is>
      </c>
      <c r="AL525" s="22" t="n"/>
    </row>
    <row r="526">
      <c r="A526" s="2" t="inlineStr">
        <is>
          <t>41425751935028</t>
        </is>
      </c>
      <c r="B526" s="2" t="inlineStr">
        <is>
          <t>D-S4-silky sheets full - [Silk|Full] - Exact - Ran - DO - SATIN-FULL-BLACK</t>
        </is>
      </c>
      <c r="C526" s="2" t="inlineStr">
        <is>
          <t>silky sheets full [exact]</t>
        </is>
      </c>
      <c r="D526" s="2" t="inlineStr">
        <is>
          <t>whole campaign</t>
        </is>
      </c>
      <c r="E526" s="2" t="inlineStr">
        <is>
          <t>PAUSED</t>
        </is>
      </c>
      <c r="F526" s="2" t="inlineStr">
        <is>
          <t>UNSET</t>
        </is>
      </c>
      <c r="G526" s="2" t="inlineStr">
        <is>
          <t>Ranking</t>
        </is>
      </c>
      <c r="H526" s="2" t="inlineStr">
        <is>
          <t>Silk|Full</t>
        </is>
      </c>
      <c r="I526" s="2" t="inlineStr">
        <is>
          <t>Exact</t>
        </is>
      </c>
      <c r="J526" s="2" t="inlineStr">
        <is>
          <t>SATIN-FULL-BLACK</t>
        </is>
      </c>
      <c r="K526" s="2" t="inlineStr">
        <is>
          <t>SATIN-FULL-BLACK</t>
        </is>
      </c>
      <c r="L526" s="2" t="inlineStr">
        <is>
          <t>n/a (no target bid in audit)</t>
        </is>
      </c>
      <c r="M526" s="2" t="inlineStr">
        <is>
          <t>n/a</t>
        </is>
      </c>
      <c r="N526" s="2" t="n">
        <v>50</v>
      </c>
      <c r="O526" s="2" t="n">
        <v>50</v>
      </c>
      <c r="P526" s="21" t="n"/>
      <c r="Q526" s="21" t="n"/>
      <c r="R526" s="2" t="n"/>
      <c r="S526" s="2" t="n"/>
      <c r="T526" s="2" t="n"/>
      <c r="U526" s="2" t="n"/>
      <c r="V526" s="21" t="n">
        <v>14.72</v>
      </c>
      <c r="W526" s="21" t="n">
        <v>14.72</v>
      </c>
      <c r="X526" s="2" t="inlineStr">
        <is>
          <t>PAUSED</t>
        </is>
      </c>
      <c r="Y526" s="2" t="inlineStr">
        <is>
          <t>none</t>
        </is>
      </c>
      <c r="Z526" s="2" t="inlineStr">
        <is>
          <t>none</t>
        </is>
      </c>
      <c r="AA526" s="21" t="n">
        <v>0</v>
      </c>
      <c r="AB526" s="2" t="n">
        <v>0</v>
      </c>
      <c r="AC526" s="2" t="n">
        <v>0</v>
      </c>
      <c r="AD526" s="2" t="n"/>
      <c r="AE526" s="2" t="n"/>
      <c r="AF526" s="2" t="n"/>
      <c r="AG526" s="2" t="n">
        <v>1</v>
      </c>
      <c r="AH526" s="2" t="inlineStr">
        <is>
          <t>Retag only</t>
        </is>
      </c>
      <c r="AI526" s="22" t="inlineStr">
        <is>
          <t>retag → Ranking</t>
        </is>
      </c>
      <c r="AJ526" s="22" t="inlineStr">
        <is>
          <t>Objective UNSET → Ranking by the standard (generic exact "silky sheets full"); no clicks in CC 31 Aug–29 Sep.</t>
        </is>
      </c>
      <c r="AK526" s="2" t="inlineStr">
        <is>
          <t>our addition: standard → Ranking (generic exact "silky sheets full")</t>
        </is>
      </c>
      <c r="AL526" s="22" t="n"/>
    </row>
    <row r="527">
      <c r="A527" s="2" t="inlineStr">
        <is>
          <t>229702142125175</t>
        </is>
      </c>
      <c r="B527" s="2" t="inlineStr">
        <is>
          <t>D-S4-silky sheets full - [Silk|Full] - Phrase - Conv - DO - SATIN-FULL-BLACK</t>
        </is>
      </c>
      <c r="C527" s="2" t="inlineStr">
        <is>
          <t>silky sheets full [phrase]</t>
        </is>
      </c>
      <c r="D527" s="2" t="inlineStr">
        <is>
          <t>whole campaign</t>
        </is>
      </c>
      <c r="E527" s="2" t="inlineStr">
        <is>
          <t>ENABLED</t>
        </is>
      </c>
      <c r="F527" s="2" t="inlineStr">
        <is>
          <t>Conversions</t>
        </is>
      </c>
      <c r="G527" s="2" t="inlineStr">
        <is>
          <t>Discovery</t>
        </is>
      </c>
      <c r="H527" s="2" t="inlineStr">
        <is>
          <t>Silk|Full</t>
        </is>
      </c>
      <c r="I527" s="2" t="inlineStr">
        <is>
          <t>Phrase</t>
        </is>
      </c>
      <c r="J527" s="2" t="inlineStr">
        <is>
          <t>SATIN-FULL-GREY</t>
        </is>
      </c>
      <c r="K527" s="2" t="inlineStr">
        <is>
          <t>SATIN-FULL-GREY</t>
        </is>
      </c>
      <c r="L527" s="2" t="inlineStr">
        <is>
          <t>n/a (no target bid in audit)</t>
        </is>
      </c>
      <c r="M527" s="2" t="inlineStr">
        <is>
          <t>n/a</t>
        </is>
      </c>
      <c r="N527" s="2" t="n">
        <v>0</v>
      </c>
      <c r="O527" s="2" t="n">
        <v>0</v>
      </c>
      <c r="P527" s="21" t="n"/>
      <c r="Q527" s="21" t="n"/>
      <c r="R527" s="2" t="n"/>
      <c r="S527" s="2" t="n"/>
      <c r="T527" s="2" t="n"/>
      <c r="U527" s="2" t="n"/>
      <c r="V527" s="21" t="n">
        <v>10</v>
      </c>
      <c r="W527" s="21" t="n">
        <v>10</v>
      </c>
      <c r="X527" s="2" t="inlineStr">
        <is>
          <t>PAUSED</t>
        </is>
      </c>
      <c r="Y527" s="2" t="inlineStr">
        <is>
          <t>none</t>
        </is>
      </c>
      <c r="Z527" s="2" t="inlineStr">
        <is>
          <t>none</t>
        </is>
      </c>
      <c r="AA527" s="21" t="n">
        <v>0</v>
      </c>
      <c r="AB527" s="2" t="n">
        <v>0</v>
      </c>
      <c r="AC527" s="2" t="n">
        <v>0</v>
      </c>
      <c r="AD527" s="2" t="n"/>
      <c r="AE527" s="2" t="n"/>
      <c r="AF527" s="2" t="n"/>
      <c r="AG527" s="2" t="n">
        <v>0</v>
      </c>
      <c r="AH527" s="2" t="inlineStr">
        <is>
          <t>Pause</t>
        </is>
      </c>
      <c r="AI527" s="22" t="inlineStr">
        <is>
          <t>Pause (seq 3340); retag → Discovery</t>
        </is>
      </c>
      <c r="AJ527" s="22" t="inlineStr">
        <is>
          <t>Duplicate discovery campaign with under 15 clicks and no order in 90 days (audit read to 29 Sep).</t>
        </is>
      </c>
      <c r="AK527" s="2" t="inlineStr">
        <is>
          <t>seq 3340 structure 3340: agree with review 40; our addition: standard → Discovery (phrase)</t>
        </is>
      </c>
      <c r="AL527" s="22" t="n"/>
    </row>
    <row r="528">
      <c r="A528" s="2" t="inlineStr">
        <is>
          <t>95874516796652</t>
        </is>
      </c>
      <c r="B528" s="2" t="inlineStr">
        <is>
          <t>D-S4-silky sheets king - [Silk|King] - Exact - Ran - DO - SATIN-4PC-KING-GREY</t>
        </is>
      </c>
      <c r="C528" s="2" t="inlineStr">
        <is>
          <t>silky sheets king [exact]</t>
        </is>
      </c>
      <c r="D528" s="2" t="inlineStr">
        <is>
          <t>whole campaign</t>
        </is>
      </c>
      <c r="E528" s="2" t="inlineStr">
        <is>
          <t>ENABLED</t>
        </is>
      </c>
      <c r="F528" s="2" t="inlineStr">
        <is>
          <t>Ranking</t>
        </is>
      </c>
      <c r="G528" s="2" t="inlineStr">
        <is>
          <t>Ranking</t>
        </is>
      </c>
      <c r="H528" s="2" t="inlineStr">
        <is>
          <t>Silk|King</t>
        </is>
      </c>
      <c r="I528" s="2" t="inlineStr">
        <is>
          <t>Exact</t>
        </is>
      </c>
      <c r="J528" s="2" t="inlineStr">
        <is>
          <t>SATIN-4PC-KING-GREY</t>
        </is>
      </c>
      <c r="K528" s="2" t="inlineStr">
        <is>
          <t>SATIN-4PC-KING-GREY</t>
        </is>
      </c>
      <c r="L528" s="2" t="inlineStr">
        <is>
          <t>n/a (no target bid in audit)</t>
        </is>
      </c>
      <c r="M528" s="2" t="inlineStr">
        <is>
          <t>n/a</t>
        </is>
      </c>
      <c r="N528" s="2" t="n">
        <v>50</v>
      </c>
      <c r="O528" s="2" t="n">
        <v>50</v>
      </c>
      <c r="P528" s="21" t="n"/>
      <c r="Q528" s="21" t="n"/>
      <c r="R528" s="2" t="n"/>
      <c r="S528" s="2" t="n"/>
      <c r="T528" s="2" t="n"/>
      <c r="U528" s="2" t="n"/>
      <c r="V528" s="21" t="n">
        <v>17.44</v>
      </c>
      <c r="W528" s="21" t="n">
        <v>17.44</v>
      </c>
      <c r="X528" s="2" t="inlineStr">
        <is>
          <t>PAUSED</t>
        </is>
      </c>
      <c r="Y528" s="2" t="inlineStr">
        <is>
          <t>hold seq 2776 (held)</t>
        </is>
      </c>
      <c r="Z528" s="2" t="inlineStr">
        <is>
          <t>none</t>
        </is>
      </c>
      <c r="AA528" s="21" t="n">
        <v>0</v>
      </c>
      <c r="AB528" s="2" t="n">
        <v>0</v>
      </c>
      <c r="AC528" s="2" t="n">
        <v>0</v>
      </c>
      <c r="AD528" s="2" t="n"/>
      <c r="AE528" s="2" t="n"/>
      <c r="AF528" s="2" t="n"/>
      <c r="AG528" s="2" t="n">
        <v>3</v>
      </c>
      <c r="AH528" s="2" t="inlineStr">
        <is>
          <t>Pause</t>
        </is>
      </c>
      <c r="AI528" s="22" t="inlineStr">
        <is>
          <t>Pause (seq 1444)</t>
        </is>
      </c>
      <c r="AJ528" s="22" t="inlineStr">
        <is>
          <t>Engine pause agreed with review 40: Ranking campaign on a Re-Launch product whose objective is re-ranking — this campaign supports the push and is graded on its own objective's metric, never on the ranking bar (doctrine…</t>
        </is>
      </c>
      <c r="AK528" s="2" t="inlineStr">
        <is>
          <t>seq 1444 state: agree with review 40; seq 2776 negatives: agree with review 40</t>
        </is>
      </c>
      <c r="AL528" s="22" t="n"/>
    </row>
    <row r="529">
      <c r="A529" s="2" t="inlineStr">
        <is>
          <t>127458722568819</t>
        </is>
      </c>
      <c r="B529" s="2" t="inlineStr">
        <is>
          <t>D-S4-silky sheets king - [Silk|King] - Phrase - Conv - DO - SATIN-TAUPE-KING</t>
        </is>
      </c>
      <c r="C529" s="2" t="inlineStr">
        <is>
          <t>silky sheets king [phrase]</t>
        </is>
      </c>
      <c r="D529" s="2" t="inlineStr">
        <is>
          <t>whole campaign</t>
        </is>
      </c>
      <c r="E529" s="2" t="inlineStr">
        <is>
          <t>ENABLED</t>
        </is>
      </c>
      <c r="F529" s="2" t="inlineStr">
        <is>
          <t>Conversions</t>
        </is>
      </c>
      <c r="G529" s="2" t="inlineStr">
        <is>
          <t>Discovery</t>
        </is>
      </c>
      <c r="H529" s="2" t="inlineStr">
        <is>
          <t>Silk|King</t>
        </is>
      </c>
      <c r="I529" s="2" t="inlineStr">
        <is>
          <t>Phrase</t>
        </is>
      </c>
      <c r="J529" s="2" t="inlineStr">
        <is>
          <t>SATIN-4PC-KING-GREY</t>
        </is>
      </c>
      <c r="K529" s="2" t="inlineStr">
        <is>
          <t>SATIN-4PC-KING-GREY</t>
        </is>
      </c>
      <c r="L529" s="2" t="inlineStr">
        <is>
          <t>n/a (no target bid in audit)</t>
        </is>
      </c>
      <c r="M529" s="2" t="inlineStr">
        <is>
          <t>n/a</t>
        </is>
      </c>
      <c r="N529" s="2" t="n">
        <v>0</v>
      </c>
      <c r="O529" s="2" t="n">
        <v>0</v>
      </c>
      <c r="P529" s="21" t="n"/>
      <c r="Q529" s="21" t="n"/>
      <c r="R529" s="2" t="n"/>
      <c r="S529" s="2" t="n"/>
      <c r="T529" s="2" t="n"/>
      <c r="U529" s="2" t="n"/>
      <c r="V529" s="21" t="n">
        <v>10</v>
      </c>
      <c r="W529" s="21" t="n">
        <v>10</v>
      </c>
      <c r="X529" s="2" t="inlineStr">
        <is>
          <t>PAUSED</t>
        </is>
      </c>
      <c r="Y529" s="2" t="inlineStr">
        <is>
          <t>none</t>
        </is>
      </c>
      <c r="Z529" s="2" t="inlineStr">
        <is>
          <t>none</t>
        </is>
      </c>
      <c r="AA529" s="21" t="n">
        <v>0</v>
      </c>
      <c r="AB529" s="2" t="n">
        <v>0</v>
      </c>
      <c r="AC529" s="2" t="n">
        <v>0</v>
      </c>
      <c r="AD529" s="2" t="n"/>
      <c r="AE529" s="2" t="n"/>
      <c r="AF529" s="2" t="n"/>
      <c r="AG529" s="2" t="n">
        <v>0</v>
      </c>
      <c r="AH529" s="2" t="inlineStr">
        <is>
          <t>Pause</t>
        </is>
      </c>
      <c r="AI529" s="22" t="inlineStr">
        <is>
          <t>Pause (seq 3340); retag → Discovery</t>
        </is>
      </c>
      <c r="AJ529" s="22" t="inlineStr">
        <is>
          <t>Duplicate discovery campaign with under 15 clicks and no order in 90 days (audit read to 29 Sep).</t>
        </is>
      </c>
      <c r="AK529" s="2" t="inlineStr">
        <is>
          <t>seq 3340 structure 3340: agree with review 40; our addition: standard → Discovery (phrase)</t>
        </is>
      </c>
      <c r="AL529" s="22" t="n"/>
    </row>
    <row r="530">
      <c r="A530" s="2" t="inlineStr">
        <is>
          <t>185543063638825</t>
        </is>
      </c>
      <c r="B530" s="2" t="inlineStr">
        <is>
          <t>D-S4-silky sheets queen - [Silk|Queen] - Phrase - Conv - DO - SATIN-4PCS-QUEEN-STONE-GREY</t>
        </is>
      </c>
      <c r="C530" s="2" t="inlineStr">
        <is>
          <t>silky sheets queen [phrase]</t>
        </is>
      </c>
      <c r="D530" s="2" t="inlineStr">
        <is>
          <t>whole campaign</t>
        </is>
      </c>
      <c r="E530" s="2" t="inlineStr">
        <is>
          <t>ENABLED</t>
        </is>
      </c>
      <c r="F530" s="2" t="inlineStr">
        <is>
          <t>Conversions</t>
        </is>
      </c>
      <c r="G530" s="2" t="inlineStr">
        <is>
          <t>Discovery</t>
        </is>
      </c>
      <c r="H530" s="2" t="inlineStr">
        <is>
          <t>Silk|Queen</t>
        </is>
      </c>
      <c r="I530" s="2" t="inlineStr">
        <is>
          <t>Phrase</t>
        </is>
      </c>
      <c r="J530" s="2" t="inlineStr">
        <is>
          <t>SATIN-4PCS-QUEEN-STONE-GREY</t>
        </is>
      </c>
      <c r="K530" s="2" t="inlineStr">
        <is>
          <t>SATIN-4PCS-QUEEN-STONE-GREY</t>
        </is>
      </c>
      <c r="L530" s="2" t="inlineStr">
        <is>
          <t>n/a (no target bid in audit)</t>
        </is>
      </c>
      <c r="M530" s="2" t="inlineStr">
        <is>
          <t>n/a</t>
        </is>
      </c>
      <c r="N530" s="2" t="n">
        <v>0</v>
      </c>
      <c r="O530" s="2" t="n">
        <v>0</v>
      </c>
      <c r="P530" s="21" t="n"/>
      <c r="Q530" s="21" t="n"/>
      <c r="R530" s="2" t="n"/>
      <c r="S530" s="2" t="n"/>
      <c r="T530" s="2" t="n"/>
      <c r="U530" s="2" t="n"/>
      <c r="V530" s="21" t="n">
        <v>10</v>
      </c>
      <c r="W530" s="21" t="n">
        <v>10</v>
      </c>
      <c r="X530" s="2" t="inlineStr">
        <is>
          <t>PAUSED</t>
        </is>
      </c>
      <c r="Y530" s="2" t="inlineStr">
        <is>
          <t>none</t>
        </is>
      </c>
      <c r="Z530" s="2" t="inlineStr">
        <is>
          <t>none</t>
        </is>
      </c>
      <c r="AA530" s="21" t="n">
        <v>0</v>
      </c>
      <c r="AB530" s="2" t="n">
        <v>0</v>
      </c>
      <c r="AC530" s="2" t="n">
        <v>0</v>
      </c>
      <c r="AD530" s="2" t="n"/>
      <c r="AE530" s="2" t="n"/>
      <c r="AF530" s="2" t="n"/>
      <c r="AG530" s="2" t="n">
        <v>0</v>
      </c>
      <c r="AH530" s="2" t="inlineStr">
        <is>
          <t>Pause</t>
        </is>
      </c>
      <c r="AI530" s="22" t="inlineStr">
        <is>
          <t>Pause (seq 3340); retag → Discovery</t>
        </is>
      </c>
      <c r="AJ530" s="22" t="inlineStr">
        <is>
          <t>Duplicate discovery campaign with under 15 clicks and no order in 90 days (audit read to 29 Sep).</t>
        </is>
      </c>
      <c r="AK530" s="2" t="inlineStr">
        <is>
          <t>seq 3340 structure 3340: agree with review 40; our addition: standard → Discovery (phrase)</t>
        </is>
      </c>
      <c r="AL530" s="22" t="n"/>
    </row>
    <row r="531">
      <c r="A531" s="2" t="inlineStr">
        <is>
          <t>85243144899007</t>
        </is>
      </c>
      <c r="B531" s="2" t="inlineStr">
        <is>
          <t>D-S4-twin bed sheets silk - [Silk|Twin] - Exact - Ran - DO - SATIN-TWIN-BLACK-NEW</t>
        </is>
      </c>
      <c r="C531" s="2" t="inlineStr">
        <is>
          <t>twin bed sheets silk [exact]</t>
        </is>
      </c>
      <c r="D531" s="2" t="inlineStr">
        <is>
          <t>whole campaign</t>
        </is>
      </c>
      <c r="E531" s="2" t="inlineStr">
        <is>
          <t>PAUSED</t>
        </is>
      </c>
      <c r="F531" s="2" t="inlineStr">
        <is>
          <t>UNSET</t>
        </is>
      </c>
      <c r="G531" s="2" t="inlineStr">
        <is>
          <t>Ranking</t>
        </is>
      </c>
      <c r="H531" s="2" t="inlineStr">
        <is>
          <t>Silk|Twin</t>
        </is>
      </c>
      <c r="I531" s="2" t="inlineStr">
        <is>
          <t>Exact</t>
        </is>
      </c>
      <c r="J531" s="2" t="inlineStr">
        <is>
          <t>SATIN-TWIN-BLACK-NEW</t>
        </is>
      </c>
      <c r="K531" s="2" t="inlineStr">
        <is>
          <t>SATIN-TWIN-BLACK-NEW</t>
        </is>
      </c>
      <c r="L531" s="2" t="inlineStr">
        <is>
          <t>n/a (no target bid in audit)</t>
        </is>
      </c>
      <c r="M531" s="2" t="inlineStr">
        <is>
          <t>n/a</t>
        </is>
      </c>
      <c r="N531" s="2" t="n">
        <v>50</v>
      </c>
      <c r="O531" s="2" t="n">
        <v>50</v>
      </c>
      <c r="P531" s="21" t="n"/>
      <c r="Q531" s="21" t="n"/>
      <c r="R531" s="2" t="n"/>
      <c r="S531" s="2" t="n"/>
      <c r="T531" s="2" t="n"/>
      <c r="U531" s="2" t="n"/>
      <c r="V531" s="21" t="n">
        <v>12.69</v>
      </c>
      <c r="W531" s="21" t="n">
        <v>12.69</v>
      </c>
      <c r="X531" s="2" t="inlineStr">
        <is>
          <t>PAUSED</t>
        </is>
      </c>
      <c r="Y531" s="2" t="inlineStr">
        <is>
          <t>none</t>
        </is>
      </c>
      <c r="Z531" s="2" t="inlineStr">
        <is>
          <t>none</t>
        </is>
      </c>
      <c r="AA531" s="21" t="n">
        <v>0</v>
      </c>
      <c r="AB531" s="2" t="n">
        <v>0</v>
      </c>
      <c r="AC531" s="2" t="n">
        <v>0</v>
      </c>
      <c r="AD531" s="2" t="n"/>
      <c r="AE531" s="2" t="n"/>
      <c r="AF531" s="2" t="n"/>
      <c r="AG531" s="2" t="n">
        <v>1</v>
      </c>
      <c r="AH531" s="2" t="inlineStr">
        <is>
          <t>Keep paused</t>
        </is>
      </c>
      <c r="AI531" s="22" t="inlineStr">
        <is>
          <t>Keep paused (reject revive); retag → Ranking</t>
        </is>
      </c>
      <c r="AJ531" s="22" t="inlineStr">
        <is>
          <t>Revive rejected: 221.7% ACoS (CC 2 Jul–29 Sep).</t>
        </is>
      </c>
      <c r="AK531" s="2" t="inlineStr">
        <is>
          <t>seq 2833 structure: hold; our addition: standard → Ranking (generic exact "twin bed sheets silk")</t>
        </is>
      </c>
      <c r="AL531" s="22" t="n"/>
    </row>
    <row r="532">
      <c r="A532" s="2" t="inlineStr">
        <is>
          <t>54959686035818</t>
        </is>
      </c>
      <c r="B532" s="2" t="inlineStr">
        <is>
          <t>D-S4-twin bed silk sheets - [Silk|Twin] - Exact - Ran - DO - SATIN-TWIN-BLACK-NEW</t>
        </is>
      </c>
      <c r="C532" s="2" t="inlineStr">
        <is>
          <t>twin bed silk sheets [exact, $1.48]</t>
        </is>
      </c>
      <c r="D532" s="2" t="inlineStr">
        <is>
          <t>whole campaign</t>
        </is>
      </c>
      <c r="E532" s="2" t="inlineStr">
        <is>
          <t>PAUSED</t>
        </is>
      </c>
      <c r="F532" s="2" t="inlineStr">
        <is>
          <t>Ranking</t>
        </is>
      </c>
      <c r="G532" s="2" t="inlineStr">
        <is>
          <t>Ranking</t>
        </is>
      </c>
      <c r="H532" s="2" t="inlineStr">
        <is>
          <t>OUT</t>
        </is>
      </c>
      <c r="I532" s="2" t="inlineStr">
        <is>
          <t>Exact</t>
        </is>
      </c>
      <c r="J532" s="2" t="inlineStr">
        <is>
          <t>SATIN-TWIN-BLACK-NEW</t>
        </is>
      </c>
      <c r="K532" s="2" t="inlineStr">
        <is>
          <t>SATIN-TWIN-BLACK-NEW</t>
        </is>
      </c>
      <c r="L532" s="2" t="inlineStr">
        <is>
          <t>$1.48</t>
        </is>
      </c>
      <c r="M532" s="2" t="inlineStr">
        <is>
          <t>$1.48</t>
        </is>
      </c>
      <c r="N532" s="2" t="n">
        <v>230</v>
      </c>
      <c r="O532" s="2" t="n">
        <v>230</v>
      </c>
      <c r="P532" s="21" t="n">
        <v>4.88</v>
      </c>
      <c r="Q532" s="21" t="n">
        <v>4.88</v>
      </c>
      <c r="R532" s="2" t="n">
        <v>0</v>
      </c>
      <c r="S532" s="2" t="n">
        <v>0</v>
      </c>
      <c r="T532" s="2" t="n">
        <v>0</v>
      </c>
      <c r="U532" s="2" t="n">
        <v>0</v>
      </c>
      <c r="V532" s="21" t="n">
        <v>11.96</v>
      </c>
      <c r="W532" s="21" t="n">
        <v>11.96</v>
      </c>
      <c r="X532" s="2" t="inlineStr">
        <is>
          <t>PAUSED</t>
        </is>
      </c>
      <c r="Y532" s="2" t="inlineStr">
        <is>
          <t>none</t>
        </is>
      </c>
      <c r="Z532" s="2" t="inlineStr">
        <is>
          <t>load (clean): DSS4-SP-Twin Bed Silk Sheets-[Silk|Twin]-(VLSV)-Exact-(Ranking)-DO-SATIN-TWIN-BLACK-NEW</t>
        </is>
      </c>
      <c r="AA532" s="21" t="n">
        <v>0</v>
      </c>
      <c r="AB532" s="2" t="n">
        <v>0</v>
      </c>
      <c r="AC532" s="2" t="n">
        <v>0</v>
      </c>
      <c r="AD532" s="2" t="n"/>
      <c r="AE532" s="2" t="n"/>
      <c r="AF532" s="2" t="n"/>
      <c r="AG532" s="2" t="n">
        <v>7</v>
      </c>
      <c r="AH532" s="2" t="inlineStr">
        <is>
          <t>Keep paused</t>
        </is>
      </c>
      <c r="AI532" s="22" t="inlineStr">
        <is>
          <t>Keep paused (reject revive)</t>
        </is>
      </c>
      <c r="AJ532" s="22" t="inlineStr">
        <is>
          <t>Revive rejected: 33 days of cover (SB). Twin rank has collapsed (baseline).</t>
        </is>
      </c>
      <c r="AK532" s="2" t="inlineStr">
        <is>
          <t>seq 2821 structure: hold; seq 3335 rename LOAD</t>
        </is>
      </c>
      <c r="AL532" s="22" t="n"/>
    </row>
    <row r="533">
      <c r="A533" s="2" t="inlineStr">
        <is>
          <t>16985401580492</t>
        </is>
      </c>
      <c r="B533" s="2" t="inlineStr">
        <is>
          <t>D-S4-twin silk sheet set - [Silk|Twin] - Exact - Ran - DO - SATIN-TWIN-BLACK-NEW</t>
        </is>
      </c>
      <c r="C533" s="2" t="inlineStr">
        <is>
          <t>twin silk sheet set [exact]</t>
        </is>
      </c>
      <c r="D533" s="2" t="inlineStr">
        <is>
          <t>twin silk sheet set</t>
        </is>
      </c>
      <c r="E533" s="2" t="inlineStr">
        <is>
          <t>ENABLED</t>
        </is>
      </c>
      <c r="F533" s="2" t="inlineStr">
        <is>
          <t>Ranking</t>
        </is>
      </c>
      <c r="G533" s="2" t="inlineStr">
        <is>
          <t>Ranking</t>
        </is>
      </c>
      <c r="H533" s="2" t="inlineStr">
        <is>
          <t>Silk|Twin</t>
        </is>
      </c>
      <c r="I533" s="2" t="inlineStr">
        <is>
          <t>Exact</t>
        </is>
      </c>
      <c r="J533" s="2" t="inlineStr">
        <is>
          <t>SATIN-TWIN-BLACK-NEW</t>
        </is>
      </c>
      <c r="K533" s="2" t="inlineStr">
        <is>
          <t>SATIN-TWIN-BLACK-NEW</t>
        </is>
      </c>
      <c r="L533" s="2" t="inlineStr">
        <is>
          <t>n/a (no target bid in audit)</t>
        </is>
      </c>
      <c r="M533" s="2" t="inlineStr">
        <is>
          <t>n/a</t>
        </is>
      </c>
      <c r="N533" s="2" t="n">
        <v>50</v>
      </c>
      <c r="O533" s="2" t="n">
        <v>50</v>
      </c>
      <c r="P533" s="21" t="n"/>
      <c r="Q533" s="21" t="n"/>
      <c r="R533" s="2" t="n"/>
      <c r="S533" s="2" t="n"/>
      <c r="T533" s="2" t="n"/>
      <c r="U533" s="2" t="n"/>
      <c r="V533" s="21" t="n">
        <v>7.11</v>
      </c>
      <c r="W533" s="21" t="n">
        <v>7.11</v>
      </c>
      <c r="X533" s="2" t="inlineStr">
        <is>
          <t>ENABLED</t>
        </is>
      </c>
      <c r="Y533" s="2" t="inlineStr">
        <is>
          <t>none</t>
        </is>
      </c>
      <c r="Z533" s="2" t="inlineStr">
        <is>
          <t>defer — engine name wrong (SKU token SATIN-TWIN-BLACK-NEW); load a corrected name after 28 Oct</t>
        </is>
      </c>
      <c r="AA533" s="21" t="n">
        <v>0</v>
      </c>
      <c r="AB533" s="2" t="n">
        <v>0</v>
      </c>
      <c r="AC533" s="2" t="n">
        <v>0</v>
      </c>
      <c r="AD533" s="2" t="n"/>
      <c r="AE533" s="2" t="n"/>
      <c r="AF533" s="2" t="n"/>
      <c r="AG533" s="2" t="n">
        <v>1</v>
      </c>
      <c r="AH533" s="2" t="inlineStr">
        <is>
          <t>Release hold, keep price</t>
        </is>
      </c>
      <c r="AI533" s="22" t="inlineStr">
        <is>
          <t>Release hold; keep base (no clicks 30d)</t>
        </is>
      </c>
      <c r="AJ533" s="22" t="inlineStr">
        <is>
          <t>The "0 impressions" hold is false, but the campaign had no clicks in CC 31 Aug–29 Sep, so a base cut would only lower delivery. Note: plan move to SATIN-TWIN-GREY before 16 Oct (Twin Black 66 units, ~34 days).</t>
        </is>
      </c>
      <c r="AK533" s="2" t="inlineStr">
        <is>
          <t>seq 1898 child: reject — keep SATIN-TWIN-BLACK-NEW; seq 2173 retag LOAD; seq 3119 rename CHANGE; seq 2013 NOT SERVING hold(s) → release; price to break-even (our addition, reviewer D)</t>
        </is>
      </c>
      <c r="AL533" s="22" t="n"/>
    </row>
    <row r="534">
      <c r="A534" s="2" t="inlineStr">
        <is>
          <t>219525942483024</t>
        </is>
      </c>
      <c r="B534" s="2" t="inlineStr">
        <is>
          <t>D-S4-twin silk sheet set - [Silk|Twin] - Phrase - Conv - DO - SATIN-STRIPE-TWIN-WHITE</t>
        </is>
      </c>
      <c r="C534" s="2" t="inlineStr">
        <is>
          <t>twin silk sheet set [phrase]</t>
        </is>
      </c>
      <c r="D534" s="2" t="inlineStr">
        <is>
          <t>whole campaign</t>
        </is>
      </c>
      <c r="E534" s="2" t="inlineStr">
        <is>
          <t>ENABLED</t>
        </is>
      </c>
      <c r="F534" s="2" t="inlineStr">
        <is>
          <t>Conversions</t>
        </is>
      </c>
      <c r="G534" s="2" t="inlineStr">
        <is>
          <t>Discovery</t>
        </is>
      </c>
      <c r="H534" s="2" t="inlineStr">
        <is>
          <t>Silk|Twin</t>
        </is>
      </c>
      <c r="I534" s="2" t="inlineStr">
        <is>
          <t>Phrase</t>
        </is>
      </c>
      <c r="J534" s="2" t="inlineStr">
        <is>
          <t>SATIN-TWIN-GREY</t>
        </is>
      </c>
      <c r="K534" s="2" t="inlineStr">
        <is>
          <t>SATIN-TWIN-GREY</t>
        </is>
      </c>
      <c r="L534" s="2" t="inlineStr">
        <is>
          <t>n/a (no target bid in audit)</t>
        </is>
      </c>
      <c r="M534" s="2" t="inlineStr">
        <is>
          <t>n/a</t>
        </is>
      </c>
      <c r="N534" s="2" t="n">
        <v>0</v>
      </c>
      <c r="O534" s="2" t="n">
        <v>0</v>
      </c>
      <c r="P534" s="21" t="n"/>
      <c r="Q534" s="21" t="n"/>
      <c r="R534" s="2" t="n"/>
      <c r="S534" s="2" t="n"/>
      <c r="T534" s="2" t="n"/>
      <c r="U534" s="2" t="n"/>
      <c r="V534" s="21" t="n">
        <v>10</v>
      </c>
      <c r="W534" s="21" t="n">
        <v>10</v>
      </c>
      <c r="X534" s="2" t="inlineStr">
        <is>
          <t>PAUSED</t>
        </is>
      </c>
      <c r="Y534" s="2" t="inlineStr">
        <is>
          <t>none</t>
        </is>
      </c>
      <c r="Z534" s="2" t="inlineStr">
        <is>
          <t>none</t>
        </is>
      </c>
      <c r="AA534" s="21" t="n">
        <v>0</v>
      </c>
      <c r="AB534" s="2" t="n">
        <v>0</v>
      </c>
      <c r="AC534" s="2" t="n">
        <v>0</v>
      </c>
      <c r="AD534" s="2" t="n"/>
      <c r="AE534" s="2" t="n"/>
      <c r="AF534" s="2" t="n"/>
      <c r="AG534" s="2" t="n">
        <v>0</v>
      </c>
      <c r="AH534" s="2" t="inlineStr">
        <is>
          <t>Pause</t>
        </is>
      </c>
      <c r="AI534" s="22" t="inlineStr">
        <is>
          <t>Pause (seq 3340); retag → Discovery</t>
        </is>
      </c>
      <c r="AJ534" s="22" t="inlineStr">
        <is>
          <t>Duplicate discovery campaign with under 15 clicks and no order in 90 days (audit read to 29 Sep).</t>
        </is>
      </c>
      <c r="AK534" s="2" t="inlineStr">
        <is>
          <t>seq 3340 structure 3340: agree with review 40; our addition: standard → Discovery (phrase)</t>
        </is>
      </c>
      <c r="AL534" s="22" t="n"/>
    </row>
    <row r="535">
      <c r="A535" s="2" t="inlineStr">
        <is>
          <t>65533307538930</t>
        </is>
      </c>
      <c r="B535" s="2" t="inlineStr">
        <is>
          <t>D-S4-twin silk sheets - [Silk|Twin] - Broad - Disc - DO - SATIN-TWIN-GREY</t>
        </is>
      </c>
      <c r="C535" s="2" t="inlineStr">
        <is>
          <t>twin silk sheets [broad]</t>
        </is>
      </c>
      <c r="D535" s="2" t="inlineStr">
        <is>
          <t>—</t>
        </is>
      </c>
      <c r="E535" s="2" t="inlineStr">
        <is>
          <t>ENABLED</t>
        </is>
      </c>
      <c r="F535" s="2" t="inlineStr">
        <is>
          <t>Discovery</t>
        </is>
      </c>
      <c r="G535" s="2" t="inlineStr">
        <is>
          <t>Discovery</t>
        </is>
      </c>
      <c r="H535" s="2" t="inlineStr">
        <is>
          <t>Silk|Twin</t>
        </is>
      </c>
      <c r="I535" s="2" t="inlineStr">
        <is>
          <t>Broad</t>
        </is>
      </c>
      <c r="J535" s="2" t="inlineStr">
        <is>
          <t>SATIN-TWIN-GREY</t>
        </is>
      </c>
      <c r="K535" s="2" t="inlineStr">
        <is>
          <t>SATIN-TWIN-GREY</t>
        </is>
      </c>
      <c r="L535" s="2" t="inlineStr">
        <is>
          <t>n/a (no target bid in audit)</t>
        </is>
      </c>
      <c r="M535" s="2" t="inlineStr">
        <is>
          <t>n/a</t>
        </is>
      </c>
      <c r="N535" s="2" t="n">
        <v>0</v>
      </c>
      <c r="O535" s="2" t="n">
        <v>0</v>
      </c>
      <c r="P535" s="21" t="n"/>
      <c r="Q535" s="21" t="n"/>
      <c r="R535" s="2" t="n"/>
      <c r="S535" s="2" t="n"/>
      <c r="T535" s="2" t="n"/>
      <c r="U535" s="2" t="n"/>
      <c r="V535" s="21" t="n">
        <v>10</v>
      </c>
      <c r="W535" s="21" t="n">
        <v>10</v>
      </c>
      <c r="X535" s="2" t="inlineStr">
        <is>
          <t>ENABLED</t>
        </is>
      </c>
      <c r="Y535" s="2" t="inlineStr">
        <is>
          <t>none</t>
        </is>
      </c>
      <c r="Z535" s="2" t="inlineStr">
        <is>
          <t>defer — engine name wrong (SKU token SATIN-TWIN-GREY); load a corrected name after 28 Oct</t>
        </is>
      </c>
      <c r="AA535" s="21" t="n">
        <v>0</v>
      </c>
      <c r="AB535" s="2" t="n">
        <v>0</v>
      </c>
      <c r="AC535" s="2" t="n">
        <v>0</v>
      </c>
      <c r="AD535" s="2" t="n"/>
      <c r="AE535" s="2" t="n"/>
      <c r="AF535" s="2" t="n"/>
      <c r="AG535" s="2" t="n">
        <v>3</v>
      </c>
      <c r="AH535" s="2" t="inlineStr">
        <is>
          <t>No change (engine move rejected/held)</t>
        </is>
      </c>
      <c r="AI535" s="22" t="inlineStr">
        <is>
          <t>No change (reject engine child swap seq 1957; defer engine rename)</t>
        </is>
      </c>
      <c r="AJ535" s="22" t="inlineStr">
        <is>
          <t>Engine swap SATIN-TWIN-GREY → SATIN-4PC-TWIN-BLUSH PINK rejected: the pick comes from the broken size map, and SATIN-TWIN-GREY is the size's best seller with cover (SB 30 Aug–29 Sep); the engine rename writes a wrong token and is deferred; no clicks in CC 31 Aug–29 Sep.</t>
        </is>
      </c>
      <c r="AK535" s="2" t="inlineStr">
        <is>
          <t>seq 1957 child: reject — keep SATIN-TWIN-GREY; seq 3286 rename CHANGE</t>
        </is>
      </c>
      <c r="AL535" s="22" t="n"/>
    </row>
    <row r="536">
      <c r="A536" s="2" t="inlineStr">
        <is>
          <t>175024333400120</t>
        </is>
      </c>
      <c r="B536" s="2" t="inlineStr">
        <is>
          <t>D-S4-twin size silk sheets - [Silk|Twin] - Exact - Ran - DO - SATIN-TWIN-BLACK-NEW</t>
        </is>
      </c>
      <c r="C536" s="2" t="inlineStr">
        <is>
          <t>twin size silk sheets [exact]</t>
        </is>
      </c>
      <c r="D536" s="2" t="inlineStr">
        <is>
          <t>twin size silk sheets</t>
        </is>
      </c>
      <c r="E536" s="2" t="inlineStr">
        <is>
          <t>ENABLED</t>
        </is>
      </c>
      <c r="F536" s="2" t="inlineStr">
        <is>
          <t>Ranking</t>
        </is>
      </c>
      <c r="G536" s="2" t="inlineStr">
        <is>
          <t>Ranking</t>
        </is>
      </c>
      <c r="H536" s="2" t="inlineStr">
        <is>
          <t>Silk|Twin</t>
        </is>
      </c>
      <c r="I536" s="2" t="inlineStr">
        <is>
          <t>Exact</t>
        </is>
      </c>
      <c r="J536" s="2" t="inlineStr">
        <is>
          <t>SATIN-TWIN-BLACK-NEW</t>
        </is>
      </c>
      <c r="K536" s="2" t="inlineStr">
        <is>
          <t>SATIN-TWIN-BLACK-NEW</t>
        </is>
      </c>
      <c r="L536" s="2" t="inlineStr">
        <is>
          <t>n/a (no target bid in audit)</t>
        </is>
      </c>
      <c r="M536" s="2" t="inlineStr">
        <is>
          <t>n/a</t>
        </is>
      </c>
      <c r="N536" s="2" t="n">
        <v>50</v>
      </c>
      <c r="O536" s="2" t="n">
        <v>50</v>
      </c>
      <c r="P536" s="21" t="n"/>
      <c r="Q536" s="21" t="n"/>
      <c r="R536" s="2" t="n"/>
      <c r="S536" s="2" t="n"/>
      <c r="T536" s="2" t="n"/>
      <c r="U536" s="2" t="n"/>
      <c r="V536" s="21" t="n">
        <v>10.59</v>
      </c>
      <c r="W536" s="21" t="n">
        <v>10.59</v>
      </c>
      <c r="X536" s="2" t="inlineStr">
        <is>
          <t>ENABLED</t>
        </is>
      </c>
      <c r="Y536" s="2" t="inlineStr">
        <is>
          <t>none</t>
        </is>
      </c>
      <c r="Z536" s="2" t="inlineStr">
        <is>
          <t>defer — engine name wrong (SKU token SATIN-TWIN-BLACK-NEW); load a corrected name after 28 Oct</t>
        </is>
      </c>
      <c r="AA536" s="21" t="n">
        <v>0</v>
      </c>
      <c r="AB536" s="2" t="n">
        <v>0</v>
      </c>
      <c r="AC536" s="2" t="n">
        <v>0</v>
      </c>
      <c r="AD536" s="2" t="n"/>
      <c r="AE536" s="2" t="n"/>
      <c r="AF536" s="2" t="n"/>
      <c r="AG536" s="2" t="n">
        <v>0</v>
      </c>
      <c r="AH536" s="2" t="inlineStr">
        <is>
          <t>Release hold, keep price</t>
        </is>
      </c>
      <c r="AI536" s="22" t="inlineStr">
        <is>
          <t>Release hold; keep base (no clicks 30d)</t>
        </is>
      </c>
      <c r="AJ536" s="22" t="inlineStr">
        <is>
          <t>The "0 impressions" hold is false, but the campaign had no clicks in CC 31 Aug–29 Sep, so a base cut would only lower delivery. Note: plan move to SATIN-TWIN-GREY before 16 Oct (Twin Black 66 units, ~34 days).</t>
        </is>
      </c>
      <c r="AK536" s="2" t="inlineStr">
        <is>
          <t>seq 1902 child: reject — keep SATIN-TWIN-BLACK-NEW; seq 2174 retag LOAD; seq 3125 rename CHANGE; seq 2014 NOT SERVING hold(s) → release; price to break-even (our addition, reviewer D)</t>
        </is>
      </c>
      <c r="AL536" s="22" t="n"/>
    </row>
    <row r="537">
      <c r="A537" s="2" t="inlineStr">
        <is>
          <t>63311895208039</t>
        </is>
      </c>
      <c r="B537" s="2" t="inlineStr">
        <is>
          <t>D-S4-white satin sheets - [Satin] - Phrase - Conv - DO - SATIN-STRIPE-TWIN-WHITE</t>
        </is>
      </c>
      <c r="C537" s="2" t="inlineStr">
        <is>
          <t>white satin sheets [phrase, $0.60]; white satin sheets [phrase, $0.60]</t>
        </is>
      </c>
      <c r="D537" s="2" t="inlineStr">
        <is>
          <t>white satin sheets</t>
        </is>
      </c>
      <c r="E537" s="2" t="inlineStr">
        <is>
          <t>ENABLED</t>
        </is>
      </c>
      <c r="F537" s="2" t="inlineStr">
        <is>
          <t>Conversions</t>
        </is>
      </c>
      <c r="G537" s="2" t="inlineStr">
        <is>
          <t>Discovery</t>
        </is>
      </c>
      <c r="H537" s="2" t="inlineStr">
        <is>
          <t>Satin</t>
        </is>
      </c>
      <c r="I537" s="2" t="inlineStr">
        <is>
          <t>Phrase</t>
        </is>
      </c>
      <c r="J537" s="2" t="inlineStr">
        <is>
          <t>SATIN-WHITE-QUEEN</t>
        </is>
      </c>
      <c r="K537" s="2" t="inlineStr">
        <is>
          <t>SATIN-WHITE-QUEEN</t>
        </is>
      </c>
      <c r="L537" s="2" t="inlineStr">
        <is>
          <t>$0.60</t>
        </is>
      </c>
      <c r="M537" s="2" t="inlineStr">
        <is>
          <t>$0.60</t>
        </is>
      </c>
      <c r="N537" s="2" t="n">
        <v>0</v>
      </c>
      <c r="O537" s="2" t="n">
        <v>0</v>
      </c>
      <c r="P537" s="21" t="n">
        <v>0.6</v>
      </c>
      <c r="Q537" s="21" t="n">
        <v>0.6</v>
      </c>
      <c r="R537" s="2" t="n"/>
      <c r="S537" s="2" t="n"/>
      <c r="T537" s="2" t="n"/>
      <c r="U537" s="2" t="n"/>
      <c r="V537" s="21" t="n">
        <v>10</v>
      </c>
      <c r="W537" s="21" t="n">
        <v>10</v>
      </c>
      <c r="X537" s="2" t="inlineStr">
        <is>
          <t>ENABLED</t>
        </is>
      </c>
      <c r="Y537" s="2" t="inlineStr">
        <is>
          <t>none</t>
        </is>
      </c>
      <c r="Z537" s="2" t="inlineStr">
        <is>
          <t>defer — engine name wrong ((Discovery)); load a corrected name after 28 Oct</t>
        </is>
      </c>
      <c r="AA537" s="21" t="n">
        <v>0</v>
      </c>
      <c r="AB537" s="2" t="n">
        <v>0</v>
      </c>
      <c r="AC537" s="2" t="n">
        <v>0</v>
      </c>
      <c r="AD537" s="2" t="n"/>
      <c r="AE537" s="2" t="n"/>
      <c r="AF537" s="2" t="n"/>
      <c r="AG537" s="2" t="n">
        <v>0</v>
      </c>
      <c r="AH537" s="2" t="inlineStr">
        <is>
          <t>Release hold, keep price</t>
        </is>
      </c>
      <c r="AI537" s="22" t="inlineStr">
        <is>
          <t>Release hold; keep base (no clicks 30d); retag → Discovery</t>
        </is>
      </c>
      <c r="AJ537" s="22" t="inlineStr">
        <is>
          <t>The "0 impressions" hold is false, but the campaign had no clicks in CC 31 Aug–29 Sep, so a base cut would only lower delivery.</t>
        </is>
      </c>
      <c r="AK537" s="2" t="inlineStr">
        <is>
          <t>seq 3284 rename CHANGE; seq 1781 NOT SERVING hold(s) → release; price to break-even (our addition, reviewer D); our addition: standard → Discovery (phrase)</t>
        </is>
      </c>
      <c r="AL537" s="22" t="n"/>
    </row>
    <row r="538">
      <c r="A538" s="2" t="inlineStr">
        <is>
          <t>234290082318217</t>
        </is>
      </c>
      <c r="B538" s="2" t="inlineStr">
        <is>
          <t>D-S4-white silk bed sheets - [Silk] - Exact - Ran - DO - SATIN-WHITE-QUEEN</t>
        </is>
      </c>
      <c r="C538" s="2" t="inlineStr">
        <is>
          <t>white silk bed sheets [exact, $0.62]</t>
        </is>
      </c>
      <c r="D538" s="2" t="inlineStr">
        <is>
          <t>whole campaign</t>
        </is>
      </c>
      <c r="E538" s="2" t="inlineStr">
        <is>
          <t>ENABLED</t>
        </is>
      </c>
      <c r="F538" s="2" t="inlineStr">
        <is>
          <t>Ranking</t>
        </is>
      </c>
      <c r="G538" s="2" t="inlineStr">
        <is>
          <t>Conversions</t>
        </is>
      </c>
      <c r="H538" s="2" t="inlineStr">
        <is>
          <t>OUT</t>
        </is>
      </c>
      <c r="I538" s="2" t="inlineStr">
        <is>
          <t>Exact</t>
        </is>
      </c>
      <c r="J538" s="2" t="inlineStr">
        <is>
          <t>SATIN-WHITE-QUEEN</t>
        </is>
      </c>
      <c r="K538" s="2" t="inlineStr">
        <is>
          <t>SATIN-WHITE-QUEEN</t>
        </is>
      </c>
      <c r="L538" s="2" t="inlineStr">
        <is>
          <t>$0.62</t>
        </is>
      </c>
      <c r="M538" s="2" t="inlineStr">
        <is>
          <t>$0.62</t>
        </is>
      </c>
      <c r="N538" s="2" t="n">
        <v>90</v>
      </c>
      <c r="O538" s="2" t="n">
        <v>90</v>
      </c>
      <c r="P538" s="21" t="n">
        <v>1.18</v>
      </c>
      <c r="Q538" s="21" t="n">
        <v>1.18</v>
      </c>
      <c r="R538" s="2" t="n">
        <v>0</v>
      </c>
      <c r="S538" s="2" t="n">
        <v>0</v>
      </c>
      <c r="T538" s="2" t="n">
        <v>0</v>
      </c>
      <c r="U538" s="2" t="n">
        <v>0</v>
      </c>
      <c r="V538" s="21" t="n">
        <v>8.25</v>
      </c>
      <c r="W538" s="21" t="n">
        <v>8.25</v>
      </c>
      <c r="X538" s="2" t="inlineStr">
        <is>
          <t>ENABLED</t>
        </is>
      </c>
      <c r="Y538" s="2" t="inlineStr">
        <is>
          <t>none</t>
        </is>
      </c>
      <c r="Z538" s="2" t="inlineStr">
        <is>
          <t>defer — engine name wrong ((Conversion)); load a corrected name after 28 Oct</t>
        </is>
      </c>
      <c r="AA538" s="21" t="n">
        <v>0</v>
      </c>
      <c r="AB538" s="2" t="n">
        <v>0</v>
      </c>
      <c r="AC538" s="2" t="n">
        <v>0</v>
      </c>
      <c r="AD538" s="2" t="n"/>
      <c r="AE538" s="2" t="n"/>
      <c r="AF538" s="2" t="n"/>
      <c r="AG538" s="2" t="n">
        <v>4</v>
      </c>
      <c r="AH538" s="2" t="inlineStr">
        <is>
          <t>Retag only</t>
        </is>
      </c>
      <c r="AI538" s="22" t="inlineStr">
        <is>
          <t>retag → Conversions</t>
        </is>
      </c>
      <c r="AJ538" s="22" t="inlineStr">
        <is>
          <t>Objective Ranking → Conversions by the standard (colour term "white silk bed sheets"); no clicks in CC 31 Aug–29 Sep.</t>
        </is>
      </c>
      <c r="AK538" s="2" t="inlineStr">
        <is>
          <t>seq 3177 rename CHANGE; our addition: standard → Conversions (colour term "white silk bed sheets")</t>
        </is>
      </c>
      <c r="AL538" s="22" t="n"/>
    </row>
    <row r="539">
      <c r="A539" s="2" t="inlineStr">
        <is>
          <t>229933349282445</t>
        </is>
      </c>
      <c r="B539" s="2" t="inlineStr">
        <is>
          <t>D-S4-white silk sheets - [Silk] - Exact - Ran - DO - SATIN-WHITE-QUEEN</t>
        </is>
      </c>
      <c r="C539" s="2" t="inlineStr">
        <is>
          <t>white silk sheets [exact]</t>
        </is>
      </c>
      <c r="D539" s="2" t="inlineStr">
        <is>
          <t>whole campaign</t>
        </is>
      </c>
      <c r="E539" s="2" t="inlineStr">
        <is>
          <t>PAUSED</t>
        </is>
      </c>
      <c r="F539" s="2" t="inlineStr">
        <is>
          <t>UNSET</t>
        </is>
      </c>
      <c r="G539" s="2" t="inlineStr">
        <is>
          <t>Conversions</t>
        </is>
      </c>
      <c r="H539" s="2" t="inlineStr">
        <is>
          <t>Silk</t>
        </is>
      </c>
      <c r="I539" s="2" t="inlineStr">
        <is>
          <t>Exact</t>
        </is>
      </c>
      <c r="J539" s="2" t="inlineStr">
        <is>
          <t>SATIN-WHITE-QUEEN</t>
        </is>
      </c>
      <c r="K539" s="2" t="inlineStr">
        <is>
          <t>SATIN-WHITE-QUEEN</t>
        </is>
      </c>
      <c r="L539" s="2" t="inlineStr">
        <is>
          <t>n/a (no target bid in audit)</t>
        </is>
      </c>
      <c r="M539" s="2" t="inlineStr">
        <is>
          <t>n/a</t>
        </is>
      </c>
      <c r="N539" s="2" t="n">
        <v>50</v>
      </c>
      <c r="O539" s="2" t="n">
        <v>50</v>
      </c>
      <c r="P539" s="21" t="n"/>
      <c r="Q539" s="21" t="n"/>
      <c r="R539" s="2" t="n"/>
      <c r="S539" s="2" t="n"/>
      <c r="T539" s="2" t="n"/>
      <c r="U539" s="2" t="n"/>
      <c r="V539" s="21" t="n">
        <v>9.58</v>
      </c>
      <c r="W539" s="21" t="n">
        <v>9.58</v>
      </c>
      <c r="X539" s="2" t="inlineStr">
        <is>
          <t>PAUSED</t>
        </is>
      </c>
      <c r="Y539" s="2" t="inlineStr">
        <is>
          <t>none</t>
        </is>
      </c>
      <c r="Z539" s="2" t="inlineStr">
        <is>
          <t>none</t>
        </is>
      </c>
      <c r="AA539" s="21" t="n">
        <v>0</v>
      </c>
      <c r="AB539" s="2" t="n">
        <v>0</v>
      </c>
      <c r="AC539" s="2" t="n">
        <v>0</v>
      </c>
      <c r="AD539" s="2" t="n"/>
      <c r="AE539" s="2" t="n"/>
      <c r="AF539" s="2" t="n"/>
      <c r="AG539" s="2" t="n">
        <v>1</v>
      </c>
      <c r="AH539" s="2" t="inlineStr">
        <is>
          <t>Keep paused</t>
        </is>
      </c>
      <c r="AI539" s="22" t="inlineStr">
        <is>
          <t>Keep paused (reject revive); retag → Conversions</t>
        </is>
      </c>
      <c r="AJ539" s="22" t="inlineStr">
        <is>
          <t>Revive rejected: 111.9% ACoS (CC 2 Jul–29 Sep).</t>
        </is>
      </c>
      <c r="AK539" s="2" t="inlineStr">
        <is>
          <t>seq 2828 structure: hold; our addition: standard → Conversions (colour term "white silk sheets")</t>
        </is>
      </c>
      <c r="AL539" s="22" t="n"/>
    </row>
    <row r="540">
      <c r="A540" s="2" t="inlineStr">
        <is>
          <t>36555469104797</t>
        </is>
      </c>
      <c r="B540" s="2" t="inlineStr">
        <is>
          <t>D-SF-SB-PC-(Colour)-AGED-Broad-Disc-DO-SATIN-FITTED-FULL-LAVENDER-A2</t>
        </is>
      </c>
      <c r="C540" s="2" t="inlineStr">
        <is>
          <t>not on file (no spend in 90 days)</t>
        </is>
      </c>
      <c r="D540" s="2" t="inlineStr">
        <is>
          <t>—</t>
        </is>
      </c>
      <c r="E540" s="2" t="inlineStr">
        <is>
          <t>ENABLED</t>
        </is>
      </c>
      <c r="F540" s="2" t="inlineStr">
        <is>
          <t>Sponsored Brands</t>
        </is>
      </c>
      <c r="G540" s="2" t="inlineStr">
        <is>
          <t>Sponsored Brands</t>
        </is>
      </c>
      <c r="H540" s="2" t="n"/>
      <c r="I540" s="2" t="inlineStr">
        <is>
          <t>Broad</t>
        </is>
      </c>
      <c r="J540" s="2" t="n"/>
      <c r="K540" s="2" t="n"/>
      <c r="L540" s="2" t="inlineStr">
        <is>
          <t>n/a (no target bid in audit)</t>
        </is>
      </c>
      <c r="M540" s="2" t="inlineStr">
        <is>
          <t>n/a</t>
        </is>
      </c>
      <c r="N540" s="2" t="n"/>
      <c r="O540" s="2" t="n"/>
      <c r="P540" s="21" t="n"/>
      <c r="Q540" s="21" t="n"/>
      <c r="R540" s="2" t="n"/>
      <c r="S540" s="2" t="n"/>
      <c r="T540" s="2" t="n"/>
      <c r="U540" s="2" t="n"/>
      <c r="V540" s="21" t="n"/>
      <c r="W540" s="21" t="n"/>
      <c r="X540" s="2" t="inlineStr">
        <is>
          <t>ENABLED</t>
        </is>
      </c>
      <c r="Y540" s="2" t="inlineStr">
        <is>
          <t>none</t>
        </is>
      </c>
      <c r="Z540" s="2" t="inlineStr">
        <is>
          <t>none</t>
        </is>
      </c>
      <c r="AA540" s="21" t="n">
        <v>0</v>
      </c>
      <c r="AB540" s="2" t="n">
        <v>0</v>
      </c>
      <c r="AC540" s="2" t="n">
        <v>0</v>
      </c>
      <c r="AD540" s="2" t="n"/>
      <c r="AE540" s="2" t="n"/>
      <c r="AF540" s="2" t="n"/>
      <c r="AG540" s="2" t="n">
        <v>8</v>
      </c>
      <c r="AH540" s="2" t="inlineStr">
        <is>
          <t>No change</t>
        </is>
      </c>
      <c r="AI540" s="22" t="inlineStr">
        <is>
          <t>No change</t>
        </is>
      </c>
      <c r="AJ540" s="22" t="inlineStr">
        <is>
          <t>No run decision and no issue found; no clicks in CC 31 Aug–29 Sep.</t>
        </is>
      </c>
      <c r="AK540" s="2" t="inlineStr">
        <is>
          <t>no run decision</t>
        </is>
      </c>
      <c r="AL540" s="22" t="n"/>
    </row>
    <row r="541">
      <c r="A541" s="2" t="inlineStr">
        <is>
          <t>226062624391412</t>
        </is>
      </c>
      <c r="B541" s="2" t="inlineStr">
        <is>
          <t>D-SF-SB-PC-(Colour)-AGED-Phrase-Clr-DO-SATIN-FITTED-KING-PURPLE-A1</t>
        </is>
      </c>
      <c r="C541" s="2" t="inlineStr">
        <is>
          <t>not on file (no spend in 90 days)</t>
        </is>
      </c>
      <c r="D541" s="2" t="inlineStr">
        <is>
          <t>—</t>
        </is>
      </c>
      <c r="E541" s="2" t="inlineStr">
        <is>
          <t>ENABLED</t>
        </is>
      </c>
      <c r="F541" s="2" t="inlineStr">
        <is>
          <t>Sponsored Brands</t>
        </is>
      </c>
      <c r="G541" s="2" t="inlineStr">
        <is>
          <t>Sponsored Brands</t>
        </is>
      </c>
      <c r="H541" s="2" t="n"/>
      <c r="I541" s="2" t="inlineStr">
        <is>
          <t>Phrase</t>
        </is>
      </c>
      <c r="J541" s="2" t="n"/>
      <c r="K541" s="2" t="n"/>
      <c r="L541" s="2" t="inlineStr">
        <is>
          <t>n/a (no target bid in audit)</t>
        </is>
      </c>
      <c r="M541" s="2" t="inlineStr">
        <is>
          <t>n/a</t>
        </is>
      </c>
      <c r="N541" s="2" t="n"/>
      <c r="O541" s="2" t="n"/>
      <c r="P541" s="21" t="n"/>
      <c r="Q541" s="21" t="n"/>
      <c r="R541" s="2" t="n"/>
      <c r="S541" s="2" t="n"/>
      <c r="T541" s="2" t="n"/>
      <c r="U541" s="2" t="n"/>
      <c r="V541" s="21" t="n"/>
      <c r="W541" s="21" t="n"/>
      <c r="X541" s="2" t="inlineStr">
        <is>
          <t>ENABLED</t>
        </is>
      </c>
      <c r="Y541" s="2" t="inlineStr">
        <is>
          <t>none</t>
        </is>
      </c>
      <c r="Z541" s="2" t="inlineStr">
        <is>
          <t>none</t>
        </is>
      </c>
      <c r="AA541" s="21" t="n">
        <v>0</v>
      </c>
      <c r="AB541" s="2" t="n">
        <v>0</v>
      </c>
      <c r="AC541" s="2" t="n">
        <v>0</v>
      </c>
      <c r="AD541" s="2" t="n"/>
      <c r="AE541" s="2" t="n"/>
      <c r="AF541" s="2" t="n"/>
      <c r="AG541" s="2" t="n">
        <v>1</v>
      </c>
      <c r="AH541" s="2" t="inlineStr">
        <is>
          <t>No change</t>
        </is>
      </c>
      <c r="AI541" s="22" t="inlineStr">
        <is>
          <t>No change</t>
        </is>
      </c>
      <c r="AJ541" s="22" t="inlineStr">
        <is>
          <t>No run decision and no issue found; no clicks in CC 31 Aug–29 Sep.</t>
        </is>
      </c>
      <c r="AK541" s="2" t="inlineStr">
        <is>
          <t>no run decision</t>
        </is>
      </c>
      <c r="AL541" s="22" t="n"/>
    </row>
    <row r="542">
      <c r="A542" s="2" t="inlineStr">
        <is>
          <t>206435879333019</t>
        </is>
      </c>
      <c r="B542" s="2" t="inlineStr">
        <is>
          <t>D-SF-SB-PC-(PAT)-AGED-ASIN-Clr-DO-SATIN-FITTED-KING-RED-A3</t>
        </is>
      </c>
      <c r="C542" s="2" t="inlineStr">
        <is>
          <t>not on file (no spend in 90 days)</t>
        </is>
      </c>
      <c r="D542" s="2" t="inlineStr">
        <is>
          <t>—</t>
        </is>
      </c>
      <c r="E542" s="2" t="inlineStr">
        <is>
          <t>ENABLED</t>
        </is>
      </c>
      <c r="F542" s="2" t="inlineStr">
        <is>
          <t>Sponsored Brands</t>
        </is>
      </c>
      <c r="G542" s="2" t="inlineStr">
        <is>
          <t>Sponsored Brands</t>
        </is>
      </c>
      <c r="H542" s="2" t="n"/>
      <c r="I542" s="2" t="inlineStr">
        <is>
          <t>ASIN</t>
        </is>
      </c>
      <c r="J542" s="2" t="n"/>
      <c r="K542" s="2" t="n"/>
      <c r="L542" s="2" t="inlineStr">
        <is>
          <t>n/a (no target bid in audit)</t>
        </is>
      </c>
      <c r="M542" s="2" t="inlineStr">
        <is>
          <t>n/a</t>
        </is>
      </c>
      <c r="N542" s="2" t="n"/>
      <c r="O542" s="2" t="n"/>
      <c r="P542" s="21" t="n"/>
      <c r="Q542" s="21" t="n"/>
      <c r="R542" s="2" t="n"/>
      <c r="S542" s="2" t="n"/>
      <c r="T542" s="2" t="n"/>
      <c r="U542" s="2" t="n"/>
      <c r="V542" s="21" t="n"/>
      <c r="W542" s="21" t="n"/>
      <c r="X542" s="2" t="inlineStr">
        <is>
          <t>ENABLED</t>
        </is>
      </c>
      <c r="Y542" s="2" t="inlineStr">
        <is>
          <t>none</t>
        </is>
      </c>
      <c r="Z542" s="2" t="inlineStr">
        <is>
          <t>none</t>
        </is>
      </c>
      <c r="AA542" s="21" t="n">
        <v>0</v>
      </c>
      <c r="AB542" s="2" t="n">
        <v>0</v>
      </c>
      <c r="AC542" s="2" t="n">
        <v>0</v>
      </c>
      <c r="AD542" s="2" t="n"/>
      <c r="AE542" s="2" t="n"/>
      <c r="AF542" s="2" t="n"/>
      <c r="AG542" s="2" t="n">
        <v>15</v>
      </c>
      <c r="AH542" s="2" t="inlineStr">
        <is>
          <t>No change</t>
        </is>
      </c>
      <c r="AI542" s="22" t="inlineStr">
        <is>
          <t>No change</t>
        </is>
      </c>
      <c r="AJ542" s="22" t="inlineStr">
        <is>
          <t>No run decision and no issue found; no clicks in CC 31 Aug–29 Sep.</t>
        </is>
      </c>
      <c r="AK542" s="2" t="inlineStr">
        <is>
          <t>no run decision</t>
        </is>
      </c>
      <c r="AL542" s="22" t="n"/>
    </row>
    <row r="543">
      <c r="A543" s="2" t="inlineStr">
        <is>
          <t>524371484955241</t>
        </is>
      </c>
      <c r="B543" s="2" t="inlineStr">
        <is>
          <t>Decolure_SD_Contexual_Defensive</t>
        </is>
      </c>
      <c r="C543" s="2" t="inlineStr">
        <is>
          <t>not on file (no spend in 90 days)</t>
        </is>
      </c>
      <c r="D543" s="2" t="inlineStr">
        <is>
          <t>—</t>
        </is>
      </c>
      <c r="E543" s="2" t="inlineStr">
        <is>
          <t>(not in audit)</t>
        </is>
      </c>
      <c r="F543" s="2" t="inlineStr">
        <is>
          <t>Defensive</t>
        </is>
      </c>
      <c r="G543" s="2" t="inlineStr">
        <is>
          <t>Defensive</t>
        </is>
      </c>
      <c r="H543" s="2" t="n"/>
      <c r="I543" s="2" t="inlineStr">
        <is>
          <t>?</t>
        </is>
      </c>
      <c r="J543" s="2" t="n"/>
      <c r="K543" s="2" t="n"/>
      <c r="L543" s="2" t="inlineStr">
        <is>
          <t>n/a (no target bid in audit)</t>
        </is>
      </c>
      <c r="M543" s="2" t="inlineStr">
        <is>
          <t>n/a</t>
        </is>
      </c>
      <c r="N543" s="2" t="n"/>
      <c r="O543" s="2" t="n"/>
      <c r="P543" s="21" t="n"/>
      <c r="Q543" s="21" t="n"/>
      <c r="R543" s="2" t="n"/>
      <c r="S543" s="2" t="n"/>
      <c r="T543" s="2" t="n"/>
      <c r="U543" s="2" t="n"/>
      <c r="V543" s="21" t="n"/>
      <c r="W543" s="21" t="n"/>
      <c r="X543" s="2" t="inlineStr">
        <is>
          <t>(not in audit)</t>
        </is>
      </c>
      <c r="Y543" s="2" t="inlineStr">
        <is>
          <t>none</t>
        </is>
      </c>
      <c r="Z543" s="2" t="inlineStr">
        <is>
          <t>none</t>
        </is>
      </c>
      <c r="AA543" s="21" t="n">
        <v>0</v>
      </c>
      <c r="AB543" s="2" t="n">
        <v>0</v>
      </c>
      <c r="AC543" s="2" t="n">
        <v>0</v>
      </c>
      <c r="AD543" s="2" t="n"/>
      <c r="AE543" s="2" t="n"/>
      <c r="AF543" s="2" t="n"/>
      <c r="AG543" s="2" t="n">
        <v>3</v>
      </c>
      <c r="AH543" s="2" t="inlineStr">
        <is>
          <t>No change</t>
        </is>
      </c>
      <c r="AI543" s="22" t="inlineStr">
        <is>
          <t>No change</t>
        </is>
      </c>
      <c r="AJ543" s="22" t="inlineStr">
        <is>
          <t>No run decision and no issue found; no clicks in CC 31 Aug–29 Sep.</t>
        </is>
      </c>
      <c r="AK543" s="2" t="inlineStr">
        <is>
          <t>no run decision</t>
        </is>
      </c>
      <c r="AL543" s="22" t="n"/>
    </row>
    <row r="544">
      <c r="A544" s="2" t="inlineStr">
        <is>
          <t>524371484955241</t>
        </is>
      </c>
      <c r="B544" s="2" t="inlineStr">
        <is>
          <t>Decolure_SD_Contexual_Defensive</t>
        </is>
      </c>
      <c r="C544" s="2" t="inlineStr">
        <is>
          <t>not on file (no spend in 90 days)</t>
        </is>
      </c>
      <c r="D544" s="2" t="inlineStr">
        <is>
          <t>—</t>
        </is>
      </c>
      <c r="E544" s="2" t="inlineStr">
        <is>
          <t>(not in audit)</t>
        </is>
      </c>
      <c r="F544" s="2" t="inlineStr">
        <is>
          <t>Sponsored Display</t>
        </is>
      </c>
      <c r="G544" s="2" t="inlineStr">
        <is>
          <t>Sponsored Display</t>
        </is>
      </c>
      <c r="H544" s="2" t="n"/>
      <c r="I544" s="2" t="inlineStr">
        <is>
          <t>?</t>
        </is>
      </c>
      <c r="J544" s="2" t="n"/>
      <c r="K544" s="2" t="n"/>
      <c r="L544" s="2" t="inlineStr">
        <is>
          <t>n/a (no target bid in audit)</t>
        </is>
      </c>
      <c r="M544" s="2" t="inlineStr">
        <is>
          <t>n/a</t>
        </is>
      </c>
      <c r="N544" s="2" t="n"/>
      <c r="O544" s="2" t="n"/>
      <c r="P544" s="21" t="n"/>
      <c r="Q544" s="21" t="n"/>
      <c r="R544" s="2" t="n"/>
      <c r="S544" s="2" t="n"/>
      <c r="T544" s="2" t="n"/>
      <c r="U544" s="2" t="n"/>
      <c r="V544" s="21" t="n"/>
      <c r="W544" s="21" t="n"/>
      <c r="X544" s="2" t="inlineStr">
        <is>
          <t>(not in audit)</t>
        </is>
      </c>
      <c r="Y544" s="2" t="inlineStr">
        <is>
          <t>none</t>
        </is>
      </c>
      <c r="Z544" s="2" t="inlineStr">
        <is>
          <t>none</t>
        </is>
      </c>
      <c r="AA544" s="21" t="n">
        <v>0</v>
      </c>
      <c r="AB544" s="2" t="n">
        <v>0</v>
      </c>
      <c r="AC544" s="2" t="n">
        <v>0</v>
      </c>
      <c r="AD544" s="2" t="n"/>
      <c r="AE544" s="2" t="n"/>
      <c r="AF544" s="2" t="n"/>
      <c r="AG544" s="2" t="n">
        <v>3</v>
      </c>
      <c r="AH544" s="2" t="inlineStr">
        <is>
          <t>No change</t>
        </is>
      </c>
      <c r="AI544" s="22" t="inlineStr">
        <is>
          <t>No change</t>
        </is>
      </c>
      <c r="AJ544" s="22" t="inlineStr">
        <is>
          <t>No run decision and no issue found; no clicks in CC 31 Aug–29 Sep.</t>
        </is>
      </c>
      <c r="AK544" s="2" t="inlineStr">
        <is>
          <t>no run decision</t>
        </is>
      </c>
      <c r="AL544" s="22" t="n"/>
    </row>
    <row r="545">
      <c r="A545" s="2" t="inlineStr">
        <is>
          <t>482658169441009</t>
        </is>
      </c>
      <c r="B545" s="2" t="inlineStr">
        <is>
          <t>INCEPTION CAMPAIGN-SATIN-QUEEN-BLACK</t>
        </is>
      </c>
      <c r="C545" s="2" t="inlineStr">
        <is>
          <t>Product targets: B0839MKJMV</t>
        </is>
      </c>
      <c r="D545" s="2" t="inlineStr">
        <is>
          <t>whole campaign</t>
        </is>
      </c>
      <c r="E545" s="2" t="inlineStr">
        <is>
          <t>ENABLED</t>
        </is>
      </c>
      <c r="F545" s="2" t="inlineStr">
        <is>
          <t>Conversions</t>
        </is>
      </c>
      <c r="G545" s="2" t="inlineStr">
        <is>
          <t>Defensive</t>
        </is>
      </c>
      <c r="H545" s="2" t="n"/>
      <c r="I545" s="2" t="inlineStr">
        <is>
          <t>ASIN</t>
        </is>
      </c>
      <c r="J545" s="2" t="inlineStr">
        <is>
          <t>SATIN-QUEEN-BLACK</t>
        </is>
      </c>
      <c r="K545" s="2" t="inlineStr">
        <is>
          <t>SATIN-QUEEN-BLACK</t>
        </is>
      </c>
      <c r="L545" s="2" t="inlineStr">
        <is>
          <t>n/a (no target bid in audit)</t>
        </is>
      </c>
      <c r="M545" s="2" t="inlineStr">
        <is>
          <t>n/a</t>
        </is>
      </c>
      <c r="N545" s="2" t="n">
        <v>0</v>
      </c>
      <c r="O545" s="2" t="n">
        <v>0</v>
      </c>
      <c r="P545" s="21" t="n"/>
      <c r="Q545" s="21" t="n"/>
      <c r="R545" s="2" t="n"/>
      <c r="S545" s="2" t="n"/>
      <c r="T545" s="2" t="n"/>
      <c r="U545" s="2" t="n"/>
      <c r="V545" s="21" t="n">
        <v>1</v>
      </c>
      <c r="W545" s="21" t="n">
        <v>1</v>
      </c>
      <c r="X545" s="2" t="inlineStr">
        <is>
          <t>ENABLED</t>
        </is>
      </c>
      <c r="Y545" s="2" t="inlineStr">
        <is>
          <t>none</t>
        </is>
      </c>
      <c r="Z545" s="2" t="inlineStr">
        <is>
          <t>defer — engine name wrong ((Defensive)); load a corrected name after 28 Oct</t>
        </is>
      </c>
      <c r="AA545" s="21" t="n">
        <v>0</v>
      </c>
      <c r="AB545" s="2" t="n">
        <v>0</v>
      </c>
      <c r="AC545" s="2" t="n">
        <v>0</v>
      </c>
      <c r="AD545" s="2" t="n"/>
      <c r="AE545" s="2" t="n"/>
      <c r="AF545" s="2" t="n"/>
      <c r="AG545" s="2" t="n">
        <v>0</v>
      </c>
      <c r="AH545" s="2" t="inlineStr">
        <is>
          <t>Retag only</t>
        </is>
      </c>
      <c r="AI545" s="22" t="inlineStr">
        <is>
          <t>retag → Defensive</t>
        </is>
      </c>
      <c r="AJ545" s="22" t="inlineStr">
        <is>
          <t>Objective Conversions → Defensive by the standard (our retag verdict); no clicks in CC 31 Aug–29 Sep.</t>
        </is>
      </c>
      <c r="AK545" s="2" t="inlineStr">
        <is>
          <t>seq 2214 retag correct to Defensive; seq 3258 rename CHANGE</t>
        </is>
      </c>
      <c r="AL545" s="22" t="n"/>
    </row>
    <row r="546">
      <c r="A546" s="2" t="inlineStr">
        <is>
          <t>263093642812569</t>
        </is>
      </c>
      <c r="B546" s="2" t="inlineStr">
        <is>
          <t>SATIN-KING-BLACK SB Video Exac 030123 UGC 20 JP</t>
        </is>
      </c>
      <c r="C546" s="2" t="inlineStr">
        <is>
          <t>not on file (no spend in 90 days)</t>
        </is>
      </c>
      <c r="D546" s="2" t="inlineStr">
        <is>
          <t>—</t>
        </is>
      </c>
      <c r="E546" s="2" t="inlineStr">
        <is>
          <t>PAUSED</t>
        </is>
      </c>
      <c r="F546" s="2" t="inlineStr">
        <is>
          <t>Sponsored Brands</t>
        </is>
      </c>
      <c r="G546" s="2" t="inlineStr">
        <is>
          <t>Sponsored Brands</t>
        </is>
      </c>
      <c r="H546" s="2" t="n"/>
      <c r="I546" s="2" t="inlineStr">
        <is>
          <t>?</t>
        </is>
      </c>
      <c r="J546" s="2" t="n"/>
      <c r="K546" s="2" t="n"/>
      <c r="L546" s="2" t="inlineStr">
        <is>
          <t>n/a (no target bid in audit)</t>
        </is>
      </c>
      <c r="M546" s="2" t="inlineStr">
        <is>
          <t>n/a</t>
        </is>
      </c>
      <c r="N546" s="2" t="n"/>
      <c r="O546" s="2" t="n"/>
      <c r="P546" s="21" t="n"/>
      <c r="Q546" s="21" t="n"/>
      <c r="R546" s="2" t="n"/>
      <c r="S546" s="2" t="n"/>
      <c r="T546" s="2" t="n"/>
      <c r="U546" s="2" t="n"/>
      <c r="V546" s="21" t="n"/>
      <c r="W546" s="21" t="n"/>
      <c r="X546" s="2" t="inlineStr">
        <is>
          <t>PAUSED</t>
        </is>
      </c>
      <c r="Y546" s="2" t="inlineStr">
        <is>
          <t>none</t>
        </is>
      </c>
      <c r="Z546" s="2" t="inlineStr">
        <is>
          <t>none</t>
        </is>
      </c>
      <c r="AA546" s="21" t="n">
        <v>0</v>
      </c>
      <c r="AB546" s="2" t="n">
        <v>0</v>
      </c>
      <c r="AC546" s="2" t="n">
        <v>0</v>
      </c>
      <c r="AD546" s="2" t="n"/>
      <c r="AE546" s="2" t="n"/>
      <c r="AF546" s="2" t="n"/>
      <c r="AG546" s="2" t="n">
        <v>1</v>
      </c>
      <c r="AH546" s="2" t="inlineStr">
        <is>
          <t>No change</t>
        </is>
      </c>
      <c r="AI546" s="22" t="inlineStr">
        <is>
          <t>Keep paused</t>
        </is>
      </c>
      <c r="AJ546" s="22" t="inlineStr">
        <is>
          <t>No run decision and no issue found; no clicks in CC 31 Aug–29 Sep.</t>
        </is>
      </c>
      <c r="AK546" s="2" t="inlineStr">
        <is>
          <t>no run decision</t>
        </is>
      </c>
      <c r="AL546" s="22" t="n"/>
    </row>
    <row r="547">
      <c r="A547" s="2" t="inlineStr">
        <is>
          <t>309026561596288</t>
        </is>
      </c>
      <c r="B547" s="2" t="inlineStr">
        <is>
          <t>SATIN-KING-BLACK SBV EX 210524 - satin sheets king size bed set - ZB</t>
        </is>
      </c>
      <c r="C547" s="2" t="inlineStr">
        <is>
          <t>satin sheets king size bed set (from the campaign name; no targets on file, no spend in 90 days)</t>
        </is>
      </c>
      <c r="D547" s="2" t="inlineStr">
        <is>
          <t>—</t>
        </is>
      </c>
      <c r="E547" s="2" t="inlineStr">
        <is>
          <t>ENABLED</t>
        </is>
      </c>
      <c r="F547" s="2" t="inlineStr">
        <is>
          <t>Sponsored Brands</t>
        </is>
      </c>
      <c r="G547" s="2" t="inlineStr">
        <is>
          <t>Sponsored Brands</t>
        </is>
      </c>
      <c r="H547" s="2" t="n"/>
      <c r="I547" s="2" t="inlineStr">
        <is>
          <t>?</t>
        </is>
      </c>
      <c r="J547" s="2" t="n"/>
      <c r="K547" s="2" t="n"/>
      <c r="L547" s="2" t="inlineStr">
        <is>
          <t>n/a (no target bid in audit)</t>
        </is>
      </c>
      <c r="M547" s="2" t="inlineStr">
        <is>
          <t>n/a</t>
        </is>
      </c>
      <c r="N547" s="2" t="n"/>
      <c r="O547" s="2" t="n"/>
      <c r="P547" s="21" t="n"/>
      <c r="Q547" s="21" t="n"/>
      <c r="R547" s="2" t="n"/>
      <c r="S547" s="2" t="n"/>
      <c r="T547" s="2" t="n"/>
      <c r="U547" s="2" t="n"/>
      <c r="V547" s="21" t="n"/>
      <c r="W547" s="21" t="n"/>
      <c r="X547" s="2" t="inlineStr">
        <is>
          <t>ENABLED</t>
        </is>
      </c>
      <c r="Y547" s="2" t="inlineStr">
        <is>
          <t>none</t>
        </is>
      </c>
      <c r="Z547" s="2" t="inlineStr">
        <is>
          <t>none</t>
        </is>
      </c>
      <c r="AA547" s="21" t="n">
        <v>0</v>
      </c>
      <c r="AB547" s="2" t="n">
        <v>0</v>
      </c>
      <c r="AC547" s="2" t="n">
        <v>0</v>
      </c>
      <c r="AD547" s="2" t="n"/>
      <c r="AE547" s="2" t="n"/>
      <c r="AF547" s="2" t="n"/>
      <c r="AG547" s="2" t="n">
        <v>2</v>
      </c>
      <c r="AH547" s="2" t="inlineStr">
        <is>
          <t>No change</t>
        </is>
      </c>
      <c r="AI547" s="22" t="inlineStr">
        <is>
          <t>No change</t>
        </is>
      </c>
      <c r="AJ547" s="22" t="inlineStr">
        <is>
          <t>No run decision and no issue found; no clicks in CC 31 Aug–29 Sep.</t>
        </is>
      </c>
      <c r="AK547" s="2" t="inlineStr">
        <is>
          <t>no run decision</t>
        </is>
      </c>
      <c r="AL547" s="22" t="n"/>
    </row>
    <row r="548">
      <c r="A548" s="2" t="inlineStr">
        <is>
          <t>413417529221530</t>
        </is>
      </c>
      <c r="B548" s="2" t="inlineStr">
        <is>
          <t>SATIN-KING-BLACK SBV EX 210524 - satin sheets queen size deep pocket - ZB</t>
        </is>
      </c>
      <c r="C548" s="2" t="inlineStr">
        <is>
          <t>satin sheets queen size deep pocket (from the campaign name; no targets on file, no spend in 90 days)</t>
        </is>
      </c>
      <c r="D548" s="2" t="inlineStr">
        <is>
          <t>—</t>
        </is>
      </c>
      <c r="E548" s="2" t="inlineStr">
        <is>
          <t>PAUSED</t>
        </is>
      </c>
      <c r="F548" s="2" t="inlineStr">
        <is>
          <t>Sponsored Brands</t>
        </is>
      </c>
      <c r="G548" s="2" t="inlineStr">
        <is>
          <t>Sponsored Brands</t>
        </is>
      </c>
      <c r="H548" s="2" t="n"/>
      <c r="I548" s="2" t="inlineStr">
        <is>
          <t>?</t>
        </is>
      </c>
      <c r="J548" s="2" t="n"/>
      <c r="K548" s="2" t="n"/>
      <c r="L548" s="2" t="inlineStr">
        <is>
          <t>n/a (no target bid in audit)</t>
        </is>
      </c>
      <c r="M548" s="2" t="inlineStr">
        <is>
          <t>n/a</t>
        </is>
      </c>
      <c r="N548" s="2" t="n"/>
      <c r="O548" s="2" t="n"/>
      <c r="P548" s="21" t="n"/>
      <c r="Q548" s="21" t="n"/>
      <c r="R548" s="2" t="n"/>
      <c r="S548" s="2" t="n"/>
      <c r="T548" s="2" t="n"/>
      <c r="U548" s="2" t="n"/>
      <c r="V548" s="21" t="n"/>
      <c r="W548" s="21" t="n"/>
      <c r="X548" s="2" t="inlineStr">
        <is>
          <t>PAUSED</t>
        </is>
      </c>
      <c r="Y548" s="2" t="inlineStr">
        <is>
          <t>none</t>
        </is>
      </c>
      <c r="Z548" s="2" t="inlineStr">
        <is>
          <t>none</t>
        </is>
      </c>
      <c r="AA548" s="21" t="n">
        <v>0</v>
      </c>
      <c r="AB548" s="2" t="n">
        <v>0</v>
      </c>
      <c r="AC548" s="2" t="n">
        <v>0</v>
      </c>
      <c r="AD548" s="2" t="n"/>
      <c r="AE548" s="2" t="n"/>
      <c r="AF548" s="2" t="n"/>
      <c r="AG548" s="2" t="n">
        <v>0</v>
      </c>
      <c r="AH548" s="2" t="inlineStr">
        <is>
          <t>No change</t>
        </is>
      </c>
      <c r="AI548" s="22" t="inlineStr">
        <is>
          <t>Keep paused</t>
        </is>
      </c>
      <c r="AJ548" s="22" t="inlineStr">
        <is>
          <t>No run decision and no issue found; no clicks in CC 31 Aug–29 Sep.</t>
        </is>
      </c>
      <c r="AK548" s="2" t="inlineStr">
        <is>
          <t>no run decision</t>
        </is>
      </c>
      <c r="AL548" s="22" t="n"/>
    </row>
    <row r="549">
      <c r="A549" s="2" t="inlineStr">
        <is>
          <t>416869300652869</t>
        </is>
      </c>
      <c r="B549" s="2" t="inlineStr">
        <is>
          <t>SATIN-QUEEN-BLACK SBV EX 210524 - queen silk sheet set - 2KW ZB</t>
        </is>
      </c>
      <c r="C549" s="2" t="inlineStr">
        <is>
          <t>queen silk sheet set (from the campaign name; no targets on file, no spend in 90 days)</t>
        </is>
      </c>
      <c r="D549" s="2" t="inlineStr">
        <is>
          <t>—</t>
        </is>
      </c>
      <c r="E549" s="2" t="inlineStr">
        <is>
          <t>PAUSED</t>
        </is>
      </c>
      <c r="F549" s="2" t="inlineStr">
        <is>
          <t>Sponsored Brands</t>
        </is>
      </c>
      <c r="G549" s="2" t="inlineStr">
        <is>
          <t>Sponsored Brands</t>
        </is>
      </c>
      <c r="H549" s="2" t="n"/>
      <c r="I549" s="2" t="inlineStr">
        <is>
          <t>?</t>
        </is>
      </c>
      <c r="J549" s="2" t="n"/>
      <c r="K549" s="2" t="n"/>
      <c r="L549" s="2" t="inlineStr">
        <is>
          <t>n/a (no target bid in audit)</t>
        </is>
      </c>
      <c r="M549" s="2" t="inlineStr">
        <is>
          <t>n/a</t>
        </is>
      </c>
      <c r="N549" s="2" t="n"/>
      <c r="O549" s="2" t="n"/>
      <c r="P549" s="21" t="n"/>
      <c r="Q549" s="21" t="n"/>
      <c r="R549" s="2" t="n"/>
      <c r="S549" s="2" t="n"/>
      <c r="T549" s="2" t="n"/>
      <c r="U549" s="2" t="n"/>
      <c r="V549" s="21" t="n"/>
      <c r="W549" s="21" t="n"/>
      <c r="X549" s="2" t="inlineStr">
        <is>
          <t>PAUSED</t>
        </is>
      </c>
      <c r="Y549" s="2" t="inlineStr">
        <is>
          <t>none</t>
        </is>
      </c>
      <c r="Z549" s="2" t="inlineStr">
        <is>
          <t>none</t>
        </is>
      </c>
      <c r="AA549" s="21" t="n">
        <v>0</v>
      </c>
      <c r="AB549" s="2" t="n">
        <v>0</v>
      </c>
      <c r="AC549" s="2" t="n">
        <v>0</v>
      </c>
      <c r="AD549" s="2" t="n"/>
      <c r="AE549" s="2" t="n"/>
      <c r="AF549" s="2" t="n"/>
      <c r="AG549" s="2" t="n">
        <v>0</v>
      </c>
      <c r="AH549" s="2" t="inlineStr">
        <is>
          <t>No change</t>
        </is>
      </c>
      <c r="AI549" s="22" t="inlineStr">
        <is>
          <t>Keep paused</t>
        </is>
      </c>
      <c r="AJ549" s="22" t="inlineStr">
        <is>
          <t>No run decision and no issue found; no clicks in CC 31 Aug–29 Sep.</t>
        </is>
      </c>
      <c r="AK549" s="2" t="inlineStr">
        <is>
          <t>no run decision</t>
        </is>
      </c>
      <c r="AL549" s="22" t="n"/>
    </row>
    <row r="550">
      <c r="A550" s="2" t="inlineStr">
        <is>
          <t>38385921461966</t>
        </is>
      </c>
      <c r="B550" s="2" t="inlineStr">
        <is>
          <t>SATIN-QUEEN-BLACK_20211108_black silk sheets</t>
        </is>
      </c>
      <c r="C550" s="2" t="inlineStr">
        <is>
          <t>black silk sheets [exact]</t>
        </is>
      </c>
      <c r="D550" s="2" t="inlineStr">
        <is>
          <t>whole campaign</t>
        </is>
      </c>
      <c r="E550" s="2" t="inlineStr">
        <is>
          <t>PAUSED</t>
        </is>
      </c>
      <c r="F550" s="2" t="inlineStr">
        <is>
          <t>UNSET</t>
        </is>
      </c>
      <c r="G550" s="2" t="inlineStr">
        <is>
          <t>Conversions</t>
        </is>
      </c>
      <c r="H550" s="2" t="n"/>
      <c r="I550" s="2" t="inlineStr">
        <is>
          <t>Exact</t>
        </is>
      </c>
      <c r="J550" s="2" t="inlineStr">
        <is>
          <t>SATIN-KING-BLACK</t>
        </is>
      </c>
      <c r="K550" s="2" t="inlineStr">
        <is>
          <t>SATIN-KING-BLACK</t>
        </is>
      </c>
      <c r="L550" s="2" t="inlineStr">
        <is>
          <t>n/a (no target bid in audit)</t>
        </is>
      </c>
      <c r="M550" s="2" t="inlineStr">
        <is>
          <t>n/a</t>
        </is>
      </c>
      <c r="N550" s="2" t="n">
        <v>70</v>
      </c>
      <c r="O550" s="2" t="n">
        <v>70</v>
      </c>
      <c r="P550" s="21" t="n"/>
      <c r="Q550" s="21" t="n"/>
      <c r="R550" s="2" t="n"/>
      <c r="S550" s="2" t="n"/>
      <c r="T550" s="2" t="n"/>
      <c r="U550" s="2" t="n"/>
      <c r="V550" s="21" t="n">
        <v>1</v>
      </c>
      <c r="W550" s="21" t="n">
        <v>1</v>
      </c>
      <c r="X550" s="2" t="inlineStr">
        <is>
          <t>PAUSED</t>
        </is>
      </c>
      <c r="Y550" s="2" t="inlineStr">
        <is>
          <t>none</t>
        </is>
      </c>
      <c r="Z550" s="2" t="inlineStr">
        <is>
          <t>none</t>
        </is>
      </c>
      <c r="AA550" s="21" t="n">
        <v>0</v>
      </c>
      <c r="AB550" s="2" t="n">
        <v>0</v>
      </c>
      <c r="AC550" s="2" t="n">
        <v>0</v>
      </c>
      <c r="AD550" s="2" t="n"/>
      <c r="AE550" s="2" t="n"/>
      <c r="AF550" s="2" t="n"/>
      <c r="AG550" s="2" t="n">
        <v>2</v>
      </c>
      <c r="AH550" s="2" t="inlineStr">
        <is>
          <t>Retag only</t>
        </is>
      </c>
      <c r="AI550" s="22" t="inlineStr">
        <is>
          <t>retag → Conversions</t>
        </is>
      </c>
      <c r="AJ550" s="22" t="inlineStr">
        <is>
          <t>Objective UNSET → Conversions by the standard (colour term "black silk sheets"); no clicks in CC 31 Aug–29 Sep.</t>
        </is>
      </c>
      <c r="AK550" s="2" t="inlineStr">
        <is>
          <t>our addition: standard → Conversions (colour term "black silk sheets")</t>
        </is>
      </c>
      <c r="AL550" s="22" t="n"/>
    </row>
    <row r="551">
      <c r="A551" s="2" t="inlineStr">
        <is>
          <t>224634111337686</t>
        </is>
      </c>
      <c r="B551" s="2" t="inlineStr">
        <is>
          <t>SATIN-QUEEN-GREY SB Video Exac 030123 UGC 11 JP</t>
        </is>
      </c>
      <c r="C551" s="2" t="inlineStr">
        <is>
          <t>not on file (no spend in 90 days)</t>
        </is>
      </c>
      <c r="D551" s="2" t="inlineStr">
        <is>
          <t>—</t>
        </is>
      </c>
      <c r="E551" s="2" t="inlineStr">
        <is>
          <t>PAUSED</t>
        </is>
      </c>
      <c r="F551" s="2" t="inlineStr">
        <is>
          <t>Sponsored Brands</t>
        </is>
      </c>
      <c r="G551" s="2" t="inlineStr">
        <is>
          <t>Sponsored Brands</t>
        </is>
      </c>
      <c r="H551" s="2" t="n"/>
      <c r="I551" s="2" t="inlineStr">
        <is>
          <t>?</t>
        </is>
      </c>
      <c r="J551" s="2" t="n"/>
      <c r="K551" s="2" t="n"/>
      <c r="L551" s="2" t="inlineStr">
        <is>
          <t>n/a (no target bid in audit)</t>
        </is>
      </c>
      <c r="M551" s="2" t="inlineStr">
        <is>
          <t>n/a</t>
        </is>
      </c>
      <c r="N551" s="2" t="n"/>
      <c r="O551" s="2" t="n"/>
      <c r="P551" s="21" t="n"/>
      <c r="Q551" s="21" t="n"/>
      <c r="R551" s="2" t="n"/>
      <c r="S551" s="2" t="n"/>
      <c r="T551" s="2" t="n"/>
      <c r="U551" s="2" t="n"/>
      <c r="V551" s="21" t="n"/>
      <c r="W551" s="21" t="n"/>
      <c r="X551" s="2" t="inlineStr">
        <is>
          <t>PAUSED</t>
        </is>
      </c>
      <c r="Y551" s="2" t="inlineStr">
        <is>
          <t>none</t>
        </is>
      </c>
      <c r="Z551" s="2" t="inlineStr">
        <is>
          <t>none</t>
        </is>
      </c>
      <c r="AA551" s="21" t="n">
        <v>0</v>
      </c>
      <c r="AB551" s="2" t="n">
        <v>0</v>
      </c>
      <c r="AC551" s="2" t="n">
        <v>0</v>
      </c>
      <c r="AD551" s="2" t="n"/>
      <c r="AE551" s="2" t="n"/>
      <c r="AF551" s="2" t="n"/>
      <c r="AG551" s="2" t="n">
        <v>0</v>
      </c>
      <c r="AH551" s="2" t="inlineStr">
        <is>
          <t>No change</t>
        </is>
      </c>
      <c r="AI551" s="22" t="inlineStr">
        <is>
          <t>Keep paused</t>
        </is>
      </c>
      <c r="AJ551" s="22" t="inlineStr">
        <is>
          <t>No run decision and no issue found; no clicks in CC 31 Aug–29 Sep.</t>
        </is>
      </c>
      <c r="AK551" s="2" t="inlineStr">
        <is>
          <t>no run decision</t>
        </is>
      </c>
      <c r="AL551" s="22" t="n"/>
    </row>
    <row r="552">
      <c r="A552" s="2" t="inlineStr">
        <is>
          <t>109219962923549</t>
        </is>
      </c>
      <c r="B552" s="2" t="inlineStr">
        <is>
          <t>SATIN-QUEEN-GREY SB Video Exac 030123 UGC 21 JP</t>
        </is>
      </c>
      <c r="C552" s="2" t="inlineStr">
        <is>
          <t>not on file (no spend in 90 days)</t>
        </is>
      </c>
      <c r="D552" s="2" t="inlineStr">
        <is>
          <t>—</t>
        </is>
      </c>
      <c r="E552" s="2" t="inlineStr">
        <is>
          <t>ENABLED</t>
        </is>
      </c>
      <c r="F552" s="2" t="inlineStr">
        <is>
          <t>Sponsored Brands</t>
        </is>
      </c>
      <c r="G552" s="2" t="inlineStr">
        <is>
          <t>Sponsored Brands</t>
        </is>
      </c>
      <c r="H552" s="2" t="n"/>
      <c r="I552" s="2" t="inlineStr">
        <is>
          <t>?</t>
        </is>
      </c>
      <c r="J552" s="2" t="n"/>
      <c r="K552" s="2" t="n"/>
      <c r="L552" s="2" t="inlineStr">
        <is>
          <t>n/a (no target bid in audit)</t>
        </is>
      </c>
      <c r="M552" s="2" t="inlineStr">
        <is>
          <t>n/a</t>
        </is>
      </c>
      <c r="N552" s="2" t="n"/>
      <c r="O552" s="2" t="n"/>
      <c r="P552" s="21" t="n"/>
      <c r="Q552" s="21" t="n"/>
      <c r="R552" s="2" t="n"/>
      <c r="S552" s="2" t="n"/>
      <c r="T552" s="2" t="n"/>
      <c r="U552" s="2" t="n"/>
      <c r="V552" s="21" t="n"/>
      <c r="W552" s="21" t="n"/>
      <c r="X552" s="2" t="inlineStr">
        <is>
          <t>ENABLED</t>
        </is>
      </c>
      <c r="Y552" s="2" t="inlineStr">
        <is>
          <t>none</t>
        </is>
      </c>
      <c r="Z552" s="2" t="inlineStr">
        <is>
          <t>none</t>
        </is>
      </c>
      <c r="AA552" s="21" t="n">
        <v>0</v>
      </c>
      <c r="AB552" s="2" t="n">
        <v>0</v>
      </c>
      <c r="AC552" s="2" t="n">
        <v>0</v>
      </c>
      <c r="AD552" s="2" t="n"/>
      <c r="AE552" s="2" t="n"/>
      <c r="AF552" s="2" t="n"/>
      <c r="AG552" s="2" t="n">
        <v>12</v>
      </c>
      <c r="AH552" s="2" t="inlineStr">
        <is>
          <t>No change</t>
        </is>
      </c>
      <c r="AI552" s="22" t="inlineStr">
        <is>
          <t>No change</t>
        </is>
      </c>
      <c r="AJ552" s="22" t="inlineStr">
        <is>
          <t>No run decision and no issue found; no clicks in CC 31 Aug–29 Sep.</t>
        </is>
      </c>
      <c r="AK552" s="2" t="inlineStr">
        <is>
          <t>no run decision</t>
        </is>
      </c>
      <c r="AL552" s="22" t="n"/>
    </row>
    <row r="553">
      <c r="A553" s="2" t="inlineStr">
        <is>
          <t>187693475189592</t>
        </is>
      </c>
      <c r="B553" s="2" t="inlineStr">
        <is>
          <t>SATIN-QUEEN-GREY_20211023_silk sheets queen</t>
        </is>
      </c>
      <c r="C553" s="2" t="inlineStr">
        <is>
          <t>silk sheets queen [exact, $0.74]</t>
        </is>
      </c>
      <c r="D553" s="2" t="inlineStr">
        <is>
          <t>whole campaign</t>
        </is>
      </c>
      <c r="E553" s="2" t="inlineStr">
        <is>
          <t>PAUSED</t>
        </is>
      </c>
      <c r="F553" s="2" t="inlineStr">
        <is>
          <t>Ranking</t>
        </is>
      </c>
      <c r="G553" s="2" t="inlineStr">
        <is>
          <t>Ranking</t>
        </is>
      </c>
      <c r="H553" s="2" t="inlineStr">
        <is>
          <t>OUT</t>
        </is>
      </c>
      <c r="I553" s="2" t="inlineStr">
        <is>
          <t>Exact</t>
        </is>
      </c>
      <c r="J553" s="2" t="inlineStr">
        <is>
          <t>SATIN-QUEEN-BLACK</t>
        </is>
      </c>
      <c r="K553" s="2" t="inlineStr">
        <is>
          <t>SATIN-QUEEN-BLACK</t>
        </is>
      </c>
      <c r="L553" s="2" t="inlineStr">
        <is>
          <t>$0.74</t>
        </is>
      </c>
      <c r="M553" s="2" t="inlineStr">
        <is>
          <t>$0.74</t>
        </is>
      </c>
      <c r="N553" s="2" t="n">
        <v>100</v>
      </c>
      <c r="O553" s="2" t="n">
        <v>100</v>
      </c>
      <c r="P553" s="21" t="n">
        <v>1.48</v>
      </c>
      <c r="Q553" s="21" t="n">
        <v>1.48</v>
      </c>
      <c r="R553" s="2" t="n">
        <v>0</v>
      </c>
      <c r="S553" s="2" t="n">
        <v>0</v>
      </c>
      <c r="T553" s="2" t="n">
        <v>0</v>
      </c>
      <c r="U553" s="2" t="n">
        <v>0</v>
      </c>
      <c r="V553" s="21" t="n">
        <v>1</v>
      </c>
      <c r="W553" s="21" t="n">
        <v>1</v>
      </c>
      <c r="X553" s="2" t="inlineStr">
        <is>
          <t>PAUSED</t>
        </is>
      </c>
      <c r="Y553" s="2" t="inlineStr">
        <is>
          <t>none</t>
        </is>
      </c>
      <c r="Z553" s="2" t="inlineStr">
        <is>
          <t>load (clean): DSS4-SP-Silk Sheets Queen-[Silk|Queen]-(HSV)-Exact-(Ranking)-DO-SATIN-QUEEN-BLACK</t>
        </is>
      </c>
      <c r="AA553" s="21" t="n">
        <v>0</v>
      </c>
      <c r="AB553" s="2" t="n">
        <v>0</v>
      </c>
      <c r="AC553" s="2" t="n">
        <v>0</v>
      </c>
      <c r="AD553" s="2" t="n"/>
      <c r="AE553" s="2" t="n"/>
      <c r="AF553" s="2" t="n"/>
      <c r="AG553" s="2" t="n">
        <v>18</v>
      </c>
      <c r="AH553" s="2" t="inlineStr">
        <is>
          <t>Rename only</t>
        </is>
      </c>
      <c r="AI553" s="22" t="inlineStr">
        <is>
          <t>Load rename only</t>
        </is>
      </c>
      <c r="AJ553" s="22" t="inlineStr">
        <is>
          <t>Clean rename (SKU token and objective match what the campaign advertises); no clicks in CC 31 Aug–29 Sep.</t>
        </is>
      </c>
      <c r="AK553" s="2" t="inlineStr">
        <is>
          <t>seq 3333 rename LOAD</t>
        </is>
      </c>
      <c r="AL553" s="22" t="n"/>
    </row>
    <row r="554">
      <c r="A554" s="2" t="inlineStr">
        <is>
          <t>469572776495316</t>
        </is>
      </c>
      <c r="B554" s="2" t="inlineStr">
        <is>
          <t>SATIN-SEA-TEAL-KING SBV EX 210524 - decolure satin sheets queen - ZB</t>
        </is>
      </c>
      <c r="C554" s="2" t="inlineStr">
        <is>
          <t>decolure satin sheets queen (from the campaign name; no targets on file, no spend in 90 days)</t>
        </is>
      </c>
      <c r="D554" s="2" t="inlineStr">
        <is>
          <t>—</t>
        </is>
      </c>
      <c r="E554" s="2" t="inlineStr">
        <is>
          <t>PAUSED</t>
        </is>
      </c>
      <c r="F554" s="2" t="inlineStr">
        <is>
          <t>Sponsored Brands</t>
        </is>
      </c>
      <c r="G554" s="2" t="inlineStr">
        <is>
          <t>Sponsored Brands</t>
        </is>
      </c>
      <c r="H554" s="2" t="n"/>
      <c r="I554" s="2" t="inlineStr">
        <is>
          <t>?</t>
        </is>
      </c>
      <c r="J554" s="2" t="n"/>
      <c r="K554" s="2" t="n"/>
      <c r="L554" s="2" t="inlineStr">
        <is>
          <t>n/a (no target bid in audit)</t>
        </is>
      </c>
      <c r="M554" s="2" t="inlineStr">
        <is>
          <t>n/a</t>
        </is>
      </c>
      <c r="N554" s="2" t="n"/>
      <c r="O554" s="2" t="n"/>
      <c r="P554" s="21" t="n"/>
      <c r="Q554" s="21" t="n"/>
      <c r="R554" s="2" t="n"/>
      <c r="S554" s="2" t="n"/>
      <c r="T554" s="2" t="n"/>
      <c r="U554" s="2" t="n"/>
      <c r="V554" s="21" t="n"/>
      <c r="W554" s="21" t="n"/>
      <c r="X554" s="2" t="inlineStr">
        <is>
          <t>PAUSED</t>
        </is>
      </c>
      <c r="Y554" s="2" t="inlineStr">
        <is>
          <t>none</t>
        </is>
      </c>
      <c r="Z554" s="2" t="inlineStr">
        <is>
          <t>none</t>
        </is>
      </c>
      <c r="AA554" s="21" t="n">
        <v>0</v>
      </c>
      <c r="AB554" s="2" t="n">
        <v>0</v>
      </c>
      <c r="AC554" s="2" t="n">
        <v>0</v>
      </c>
      <c r="AD554" s="2" t="n"/>
      <c r="AE554" s="2" t="n"/>
      <c r="AF554" s="2" t="n"/>
      <c r="AG554" s="2" t="n">
        <v>0</v>
      </c>
      <c r="AH554" s="2" t="inlineStr">
        <is>
          <t>No change</t>
        </is>
      </c>
      <c r="AI554" s="22" t="inlineStr">
        <is>
          <t>Keep paused</t>
        </is>
      </c>
      <c r="AJ554" s="22" t="inlineStr">
        <is>
          <t>No run decision and no issue found; no clicks in CC 31 Aug–29 Sep.</t>
        </is>
      </c>
      <c r="AK554" s="2" t="inlineStr">
        <is>
          <t>no run decision</t>
        </is>
      </c>
      <c r="AL554" s="22" t="n"/>
    </row>
    <row r="555">
      <c r="A555" s="2" t="inlineStr">
        <is>
          <t>480348874694932</t>
        </is>
      </c>
      <c r="B555" s="2" t="inlineStr">
        <is>
          <t>SATIN-TWIN-BLACK-NEW SBV EX 210524 - satin sheets twin - ZB</t>
        </is>
      </c>
      <c r="C555" s="2" t="inlineStr">
        <is>
          <t>satin sheets twin (from the campaign name; no targets on file, no spend in 90 days)</t>
        </is>
      </c>
      <c r="D555" s="2" t="inlineStr">
        <is>
          <t>—</t>
        </is>
      </c>
      <c r="E555" s="2" t="inlineStr">
        <is>
          <t>ENABLED</t>
        </is>
      </c>
      <c r="F555" s="2" t="inlineStr">
        <is>
          <t>Sponsored Brands</t>
        </is>
      </c>
      <c r="G555" s="2" t="inlineStr">
        <is>
          <t>Sponsored Brands</t>
        </is>
      </c>
      <c r="H555" s="2" t="n"/>
      <c r="I555" s="2" t="inlineStr">
        <is>
          <t>?</t>
        </is>
      </c>
      <c r="J555" s="2" t="n"/>
      <c r="K555" s="2" t="n"/>
      <c r="L555" s="2" t="inlineStr">
        <is>
          <t>n/a (no target bid in audit)</t>
        </is>
      </c>
      <c r="M555" s="2" t="inlineStr">
        <is>
          <t>n/a</t>
        </is>
      </c>
      <c r="N555" s="2" t="n"/>
      <c r="O555" s="2" t="n"/>
      <c r="P555" s="21" t="n"/>
      <c r="Q555" s="21" t="n"/>
      <c r="R555" s="2" t="n"/>
      <c r="S555" s="2" t="n"/>
      <c r="T555" s="2" t="n"/>
      <c r="U555" s="2" t="n"/>
      <c r="V555" s="21" t="n"/>
      <c r="W555" s="21" t="n"/>
      <c r="X555" s="2" t="inlineStr">
        <is>
          <t>ENABLED</t>
        </is>
      </c>
      <c r="Y555" s="2" t="inlineStr">
        <is>
          <t>none</t>
        </is>
      </c>
      <c r="Z555" s="2" t="inlineStr">
        <is>
          <t>none</t>
        </is>
      </c>
      <c r="AA555" s="21" t="n">
        <v>0</v>
      </c>
      <c r="AB555" s="2" t="n">
        <v>0</v>
      </c>
      <c r="AC555" s="2" t="n">
        <v>0</v>
      </c>
      <c r="AD555" s="2" t="n"/>
      <c r="AE555" s="2" t="n"/>
      <c r="AF555" s="2" t="n"/>
      <c r="AG555" s="2" t="n">
        <v>4</v>
      </c>
      <c r="AH555" s="2" t="inlineStr">
        <is>
          <t>No change</t>
        </is>
      </c>
      <c r="AI555" s="22" t="inlineStr">
        <is>
          <t>No change</t>
        </is>
      </c>
      <c r="AJ555" s="22" t="inlineStr">
        <is>
          <t>No run decision and no issue found; no clicks in CC 31 Aug–29 Sep.</t>
        </is>
      </c>
      <c r="AK555" s="2" t="inlineStr">
        <is>
          <t>no run decision</t>
        </is>
      </c>
      <c r="AL555" s="22" t="n"/>
    </row>
    <row r="556">
      <c r="A556" s="2" t="inlineStr">
        <is>
          <t>49528844400864</t>
        </is>
      </c>
      <c r="B556" s="2" t="inlineStr">
        <is>
          <t>SATIN-WHITE-QUEEN SP Exact 050523 SQP Batch 1 - 7 JP</t>
        </is>
      </c>
      <c r="C556" s="2" t="inlineStr">
        <is>
          <t>white bed sheets queen silk; white queen silk sheets; white queen silk sheets set +1 more keywords [exact]</t>
        </is>
      </c>
      <c r="D556" s="2" t="inlineStr">
        <is>
          <t>whole campaign</t>
        </is>
      </c>
      <c r="E556" s="2" t="inlineStr">
        <is>
          <t>ENABLED</t>
        </is>
      </c>
      <c r="F556" s="2" t="inlineStr">
        <is>
          <t>Ranking</t>
        </is>
      </c>
      <c r="G556" s="2" t="inlineStr">
        <is>
          <t>Conversions</t>
        </is>
      </c>
      <c r="H556" s="2" t="n"/>
      <c r="I556" s="2" t="inlineStr">
        <is>
          <t>Exact</t>
        </is>
      </c>
      <c r="J556" s="2" t="inlineStr">
        <is>
          <t>SATIN-WHITE-QUEEN</t>
        </is>
      </c>
      <c r="K556" s="2" t="inlineStr">
        <is>
          <t>SATIN-WHITE-QUEEN</t>
        </is>
      </c>
      <c r="L556" s="2" t="inlineStr">
        <is>
          <t>n/a (no target bid in audit)</t>
        </is>
      </c>
      <c r="M556" s="2" t="inlineStr">
        <is>
          <t>n/a</t>
        </is>
      </c>
      <c r="N556" s="2" t="n">
        <v>50</v>
      </c>
      <c r="O556" s="2" t="n">
        <v>50</v>
      </c>
      <c r="P556" s="21" t="n"/>
      <c r="Q556" s="21" t="n"/>
      <c r="R556" s="2" t="n"/>
      <c r="S556" s="2" t="n"/>
      <c r="T556" s="2" t="n"/>
      <c r="U556" s="2" t="n"/>
      <c r="V556" s="21" t="n">
        <v>1</v>
      </c>
      <c r="W556" s="21" t="n">
        <v>1</v>
      </c>
      <c r="X556" s="2" t="inlineStr">
        <is>
          <t>ENABLED</t>
        </is>
      </c>
      <c r="Y556" s="2" t="inlineStr">
        <is>
          <t>none</t>
        </is>
      </c>
      <c r="Z556" s="2" t="inlineStr">
        <is>
          <t>defer — engine name wrong ((Conversion)); load a corrected name after 28 Oct</t>
        </is>
      </c>
      <c r="AA556" s="21" t="n">
        <v>0</v>
      </c>
      <c r="AB556" s="2" t="n">
        <v>0</v>
      </c>
      <c r="AC556" s="2" t="n">
        <v>0</v>
      </c>
      <c r="AD556" s="2" t="n"/>
      <c r="AE556" s="2" t="n"/>
      <c r="AF556" s="2" t="n"/>
      <c r="AG556" s="2" t="n">
        <v>0</v>
      </c>
      <c r="AH556" s="2" t="inlineStr">
        <is>
          <t>Release hold, keep price</t>
        </is>
      </c>
      <c r="AI556" s="22" t="inlineStr">
        <is>
          <t>Release hold; keep base (no clicks 30d); retag → Conversions</t>
        </is>
      </c>
      <c r="AJ556" s="22" t="inlineStr">
        <is>
          <t>The "0 impressions" hold is false, but the campaign had no clicks in CC 31 Aug–29 Sep, so a base cut would only lower delivery.</t>
        </is>
      </c>
      <c r="AK556" s="2" t="inlineStr">
        <is>
          <t>seq 2217 retag correct to Conversions; seq 3264 rename CHANGE; seq 2037 NOT SERVING hold(s) → release; price to break-even (our addition, reviewer D)</t>
        </is>
      </c>
      <c r="AL556" s="22" t="n"/>
    </row>
    <row r="557">
      <c r="A557" s="2" t="inlineStr">
        <is>
          <t>213144542822483</t>
        </is>
      </c>
      <c r="B557" s="2" t="inlineStr">
        <is>
          <t>SSS4-PHRASE-(satin sheet set)-Browse Kws Migr.</t>
        </is>
      </c>
      <c r="C557" s="2" t="inlineStr">
        <is>
          <t>satin sheet set [phrase]</t>
        </is>
      </c>
      <c r="D557" s="2" t="inlineStr">
        <is>
          <t>whole campaign</t>
        </is>
      </c>
      <c r="E557" s="2" t="inlineStr">
        <is>
          <t>PAUSED</t>
        </is>
      </c>
      <c r="F557" s="2" t="inlineStr">
        <is>
          <t>UNSET</t>
        </is>
      </c>
      <c r="G557" s="2" t="inlineStr">
        <is>
          <t>Discovery</t>
        </is>
      </c>
      <c r="H557" s="2" t="n"/>
      <c r="I557" s="2" t="inlineStr">
        <is>
          <t>Phrase</t>
        </is>
      </c>
      <c r="J557" s="2" t="inlineStr">
        <is>
          <t>SATIN-QUEEN-BLACK</t>
        </is>
      </c>
      <c r="K557" s="2" t="inlineStr">
        <is>
          <t>SATIN-QUEEN-BLACK</t>
        </is>
      </c>
      <c r="L557" s="2" t="inlineStr">
        <is>
          <t>n/a (no target bid in audit)</t>
        </is>
      </c>
      <c r="M557" s="2" t="inlineStr">
        <is>
          <t>n/a</t>
        </is>
      </c>
      <c r="N557" s="2" t="n">
        <v>0</v>
      </c>
      <c r="O557" s="2" t="n">
        <v>0</v>
      </c>
      <c r="P557" s="21" t="n"/>
      <c r="Q557" s="21" t="n"/>
      <c r="R557" s="2" t="n"/>
      <c r="S557" s="2" t="n"/>
      <c r="T557" s="2" t="n"/>
      <c r="U557" s="2" t="n"/>
      <c r="V557" s="21" t="n">
        <v>10</v>
      </c>
      <c r="W557" s="21" t="n">
        <v>10</v>
      </c>
      <c r="X557" s="2" t="inlineStr">
        <is>
          <t>PAUSED</t>
        </is>
      </c>
      <c r="Y557" s="2" t="inlineStr">
        <is>
          <t>none</t>
        </is>
      </c>
      <c r="Z557" s="2" t="inlineStr">
        <is>
          <t>none</t>
        </is>
      </c>
      <c r="AA557" s="21" t="n">
        <v>0</v>
      </c>
      <c r="AB557" s="2" t="n">
        <v>0</v>
      </c>
      <c r="AC557" s="2" t="n">
        <v>0</v>
      </c>
      <c r="AD557" s="2" t="n"/>
      <c r="AE557" s="2" t="n"/>
      <c r="AF557" s="2" t="n"/>
      <c r="AG557" s="2" t="n">
        <v>1</v>
      </c>
      <c r="AH557" s="2" t="inlineStr">
        <is>
          <t>Retag only</t>
        </is>
      </c>
      <c r="AI557" s="22" t="inlineStr">
        <is>
          <t>retag → Discovery</t>
        </is>
      </c>
      <c r="AJ557" s="22" t="inlineStr">
        <is>
          <t>Objective UNSET → Discovery by the standard (phrase); no clicks in CC 31 Aug–29 Sep.</t>
        </is>
      </c>
      <c r="AK557" s="2" t="inlineStr">
        <is>
          <t>our addition: standard → Discovery (phrase)</t>
        </is>
      </c>
      <c r="AL557" s="22" t="n"/>
    </row>
    <row r="558">
      <c r="A558" s="2" t="inlineStr">
        <is>
          <t>132922519230098</t>
        </is>
      </c>
      <c r="B558" s="2" t="inlineStr">
        <is>
          <t>SSS4-PHRASE-(silk sheet)-Browse Kws Migr.</t>
        </is>
      </c>
      <c r="C558" s="2" t="inlineStr">
        <is>
          <t>silk sheet [phrase]</t>
        </is>
      </c>
      <c r="D558" s="2" t="inlineStr">
        <is>
          <t>whole campaign</t>
        </is>
      </c>
      <c r="E558" s="2" t="inlineStr">
        <is>
          <t>PAUSED</t>
        </is>
      </c>
      <c r="F558" s="2" t="inlineStr">
        <is>
          <t>UNSET</t>
        </is>
      </c>
      <c r="G558" s="2" t="inlineStr">
        <is>
          <t>Discovery</t>
        </is>
      </c>
      <c r="H558" s="2" t="n"/>
      <c r="I558" s="2" t="inlineStr">
        <is>
          <t>Phrase</t>
        </is>
      </c>
      <c r="J558" s="2" t="inlineStr">
        <is>
          <t>SATIN-QUEEN-BLACK</t>
        </is>
      </c>
      <c r="K558" s="2" t="inlineStr">
        <is>
          <t>SATIN-QUEEN-BLACK</t>
        </is>
      </c>
      <c r="L558" s="2" t="inlineStr">
        <is>
          <t>n/a (no target bid in audit)</t>
        </is>
      </c>
      <c r="M558" s="2" t="inlineStr">
        <is>
          <t>n/a</t>
        </is>
      </c>
      <c r="N558" s="2" t="n">
        <v>0</v>
      </c>
      <c r="O558" s="2" t="n">
        <v>0</v>
      </c>
      <c r="P558" s="21" t="n"/>
      <c r="Q558" s="21" t="n"/>
      <c r="R558" s="2" t="n"/>
      <c r="S558" s="2" t="n"/>
      <c r="T558" s="2" t="n"/>
      <c r="U558" s="2" t="n"/>
      <c r="V558" s="21" t="n">
        <v>10</v>
      </c>
      <c r="W558" s="21" t="n">
        <v>10</v>
      </c>
      <c r="X558" s="2" t="inlineStr">
        <is>
          <t>PAUSED</t>
        </is>
      </c>
      <c r="Y558" s="2" t="inlineStr">
        <is>
          <t>none</t>
        </is>
      </c>
      <c r="Z558" s="2" t="inlineStr">
        <is>
          <t>none</t>
        </is>
      </c>
      <c r="AA558" s="21" t="n">
        <v>0</v>
      </c>
      <c r="AB558" s="2" t="n">
        <v>0</v>
      </c>
      <c r="AC558" s="2" t="n">
        <v>0</v>
      </c>
      <c r="AD558" s="2" t="n"/>
      <c r="AE558" s="2" t="n"/>
      <c r="AF558" s="2" t="n"/>
      <c r="AG558" s="2" t="n">
        <v>1</v>
      </c>
      <c r="AH558" s="2" t="inlineStr">
        <is>
          <t>Retag only</t>
        </is>
      </c>
      <c r="AI558" s="22" t="inlineStr">
        <is>
          <t>retag → Discovery</t>
        </is>
      </c>
      <c r="AJ558" s="22" t="inlineStr">
        <is>
          <t>Objective UNSET → Discovery by the standard (phrase); no clicks in CC 31 Aug–29 Sep.</t>
        </is>
      </c>
      <c r="AK558" s="2" t="inlineStr">
        <is>
          <t>our addition: standard → Discovery (phrase)</t>
        </is>
      </c>
      <c r="AL558" s="22" t="n"/>
    </row>
    <row r="559">
      <c r="A559" s="2" t="inlineStr">
        <is>
          <t>43663935526977</t>
        </is>
      </c>
      <c r="B559" s="2" t="inlineStr">
        <is>
          <t>SSS4-PHRASE-(silk sheets)-Browse Kws Migr.</t>
        </is>
      </c>
      <c r="C559" s="2" t="inlineStr">
        <is>
          <t>silk sheets [phrase]</t>
        </is>
      </c>
      <c r="D559" s="2" t="inlineStr">
        <is>
          <t>whole campaign</t>
        </is>
      </c>
      <c r="E559" s="2" t="inlineStr">
        <is>
          <t>PAUSED</t>
        </is>
      </c>
      <c r="F559" s="2" t="inlineStr">
        <is>
          <t>UNSET</t>
        </is>
      </c>
      <c r="G559" s="2" t="inlineStr">
        <is>
          <t>Discovery</t>
        </is>
      </c>
      <c r="H559" s="2" t="n"/>
      <c r="I559" s="2" t="inlineStr">
        <is>
          <t>Phrase</t>
        </is>
      </c>
      <c r="J559" s="2" t="inlineStr">
        <is>
          <t>SATIN-QUEEN-BLACK</t>
        </is>
      </c>
      <c r="K559" s="2" t="inlineStr">
        <is>
          <t>SATIN-QUEEN-BLACK</t>
        </is>
      </c>
      <c r="L559" s="2" t="inlineStr">
        <is>
          <t>n/a (no target bid in audit)</t>
        </is>
      </c>
      <c r="M559" s="2" t="inlineStr">
        <is>
          <t>n/a</t>
        </is>
      </c>
      <c r="N559" s="2" t="n">
        <v>0</v>
      </c>
      <c r="O559" s="2" t="n">
        <v>0</v>
      </c>
      <c r="P559" s="21" t="n"/>
      <c r="Q559" s="21" t="n"/>
      <c r="R559" s="2" t="n"/>
      <c r="S559" s="2" t="n"/>
      <c r="T559" s="2" t="n"/>
      <c r="U559" s="2" t="n"/>
      <c r="V559" s="21" t="n">
        <v>10</v>
      </c>
      <c r="W559" s="21" t="n">
        <v>10</v>
      </c>
      <c r="X559" s="2" t="inlineStr">
        <is>
          <t>PAUSED</t>
        </is>
      </c>
      <c r="Y559" s="2" t="inlineStr">
        <is>
          <t>none</t>
        </is>
      </c>
      <c r="Z559" s="2" t="inlineStr">
        <is>
          <t>none</t>
        </is>
      </c>
      <c r="AA559" s="21" t="n">
        <v>0</v>
      </c>
      <c r="AB559" s="2" t="n">
        <v>0</v>
      </c>
      <c r="AC559" s="2" t="n">
        <v>0</v>
      </c>
      <c r="AD559" s="2" t="n"/>
      <c r="AE559" s="2" t="n"/>
      <c r="AF559" s="2" t="n"/>
      <c r="AG559" s="2" t="n">
        <v>1</v>
      </c>
      <c r="AH559" s="2" t="inlineStr">
        <is>
          <t>Retag only</t>
        </is>
      </c>
      <c r="AI559" s="22" t="inlineStr">
        <is>
          <t>retag → Discovery</t>
        </is>
      </c>
      <c r="AJ559" s="22" t="inlineStr">
        <is>
          <t>Objective UNSET → Discovery by the standard (phrase); no clicks in CC 31 Aug–29 Sep.</t>
        </is>
      </c>
      <c r="AK559" s="2" t="inlineStr">
        <is>
          <t>our addition: standard → Discovery (phrase)</t>
        </is>
      </c>
      <c r="AL559" s="22" t="n"/>
    </row>
    <row r="560">
      <c r="A560" s="2" t="inlineStr">
        <is>
          <t>526522055600303</t>
        </is>
      </c>
      <c r="B560" s="2" t="inlineStr">
        <is>
          <t>Satin - SB - Headline - satin fitted sheet queen 112124 ZB</t>
        </is>
      </c>
      <c r="C560" s="2" t="inlineStr">
        <is>
          <t>satin fitted sheet queen (from the campaign name; no targets on file, no spend in 90 days)</t>
        </is>
      </c>
      <c r="D560" s="2" t="inlineStr">
        <is>
          <t>—</t>
        </is>
      </c>
      <c r="E560" s="2" t="inlineStr">
        <is>
          <t>PAUSED</t>
        </is>
      </c>
      <c r="F560" s="2" t="inlineStr">
        <is>
          <t>Sponsored Brands</t>
        </is>
      </c>
      <c r="G560" s="2" t="inlineStr">
        <is>
          <t>Sponsored Brands</t>
        </is>
      </c>
      <c r="H560" s="2" t="n"/>
      <c r="I560" s="2" t="inlineStr">
        <is>
          <t>?</t>
        </is>
      </c>
      <c r="J560" s="2" t="n"/>
      <c r="K560" s="2" t="n"/>
      <c r="L560" s="2" t="inlineStr">
        <is>
          <t>n/a (no target bid in audit)</t>
        </is>
      </c>
      <c r="M560" s="2" t="inlineStr">
        <is>
          <t>n/a</t>
        </is>
      </c>
      <c r="N560" s="2" t="n"/>
      <c r="O560" s="2" t="n"/>
      <c r="P560" s="21" t="n"/>
      <c r="Q560" s="21" t="n"/>
      <c r="R560" s="2" t="n"/>
      <c r="S560" s="2" t="n"/>
      <c r="T560" s="2" t="n"/>
      <c r="U560" s="2" t="n"/>
      <c r="V560" s="21" t="n"/>
      <c r="W560" s="21" t="n"/>
      <c r="X560" s="2" t="inlineStr">
        <is>
          <t>PAUSED</t>
        </is>
      </c>
      <c r="Y560" s="2" t="inlineStr">
        <is>
          <t>none</t>
        </is>
      </c>
      <c r="Z560" s="2" t="inlineStr">
        <is>
          <t>none</t>
        </is>
      </c>
      <c r="AA560" s="21" t="n">
        <v>0</v>
      </c>
      <c r="AB560" s="2" t="n">
        <v>0</v>
      </c>
      <c r="AC560" s="2" t="n">
        <v>0</v>
      </c>
      <c r="AD560" s="2" t="n"/>
      <c r="AE560" s="2" t="n"/>
      <c r="AF560" s="2" t="n"/>
      <c r="AG560" s="2" t="n">
        <v>0</v>
      </c>
      <c r="AH560" s="2" t="inlineStr">
        <is>
          <t>No change</t>
        </is>
      </c>
      <c r="AI560" s="22" t="inlineStr">
        <is>
          <t>Keep paused</t>
        </is>
      </c>
      <c r="AJ560" s="22" t="inlineStr">
        <is>
          <t>No run decision and no issue found; no clicks in CC 31 Aug–29 Sep.</t>
        </is>
      </c>
      <c r="AK560" s="2" t="inlineStr">
        <is>
          <t>no run decision</t>
        </is>
      </c>
      <c r="AL560" s="22" t="n"/>
    </row>
    <row r="561">
      <c r="A561" s="2" t="inlineStr">
        <is>
          <t>49775601772789</t>
        </is>
      </c>
      <c r="B561" s="2" t="inlineStr">
        <is>
          <t>Satin SB ProdCol Exac 031023 13 JP</t>
        </is>
      </c>
      <c r="C561" s="2" t="inlineStr">
        <is>
          <t>not on file (no spend in 90 days)</t>
        </is>
      </c>
      <c r="D561" s="2" t="inlineStr">
        <is>
          <t>—</t>
        </is>
      </c>
      <c r="E561" s="2" t="inlineStr">
        <is>
          <t>PAUSED</t>
        </is>
      </c>
      <c r="F561" s="2" t="inlineStr">
        <is>
          <t>Sponsored Brands</t>
        </is>
      </c>
      <c r="G561" s="2" t="inlineStr">
        <is>
          <t>Sponsored Brands</t>
        </is>
      </c>
      <c r="H561" s="2" t="n"/>
      <c r="I561" s="2" t="inlineStr">
        <is>
          <t>?</t>
        </is>
      </c>
      <c r="J561" s="2" t="n"/>
      <c r="K561" s="2" t="n"/>
      <c r="L561" s="2" t="inlineStr">
        <is>
          <t>n/a (no target bid in audit)</t>
        </is>
      </c>
      <c r="M561" s="2" t="inlineStr">
        <is>
          <t>n/a</t>
        </is>
      </c>
      <c r="N561" s="2" t="n"/>
      <c r="O561" s="2" t="n"/>
      <c r="P561" s="21" t="n"/>
      <c r="Q561" s="21" t="n"/>
      <c r="R561" s="2" t="n"/>
      <c r="S561" s="2" t="n"/>
      <c r="T561" s="2" t="n"/>
      <c r="U561" s="2" t="n"/>
      <c r="V561" s="21" t="n"/>
      <c r="W561" s="21" t="n"/>
      <c r="X561" s="2" t="inlineStr">
        <is>
          <t>PAUSED</t>
        </is>
      </c>
      <c r="Y561" s="2" t="inlineStr">
        <is>
          <t>none</t>
        </is>
      </c>
      <c r="Z561" s="2" t="inlineStr">
        <is>
          <t>none</t>
        </is>
      </c>
      <c r="AA561" s="21" t="n">
        <v>0</v>
      </c>
      <c r="AB561" s="2" t="n">
        <v>0</v>
      </c>
      <c r="AC561" s="2" t="n">
        <v>0</v>
      </c>
      <c r="AD561" s="2" t="n"/>
      <c r="AE561" s="2" t="n"/>
      <c r="AF561" s="2" t="n"/>
      <c r="AG561" s="2" t="n">
        <v>0</v>
      </c>
      <c r="AH561" s="2" t="inlineStr">
        <is>
          <t>No change</t>
        </is>
      </c>
      <c r="AI561" s="22" t="inlineStr">
        <is>
          <t>Keep paused</t>
        </is>
      </c>
      <c r="AJ561" s="22" t="inlineStr">
        <is>
          <t>No run decision and no issue found; no clicks in CC 31 Aug–29 Sep.</t>
        </is>
      </c>
      <c r="AK561" s="2" t="inlineStr">
        <is>
          <t>no run decision</t>
        </is>
      </c>
      <c r="AL561" s="22" t="n"/>
    </row>
    <row r="562">
      <c r="A562" s="2" t="inlineStr">
        <is>
          <t>226759530633756</t>
        </is>
      </c>
      <c r="B562" s="2" t="inlineStr">
        <is>
          <t>Satin SB ProdCol Exac 031023 16 JP</t>
        </is>
      </c>
      <c r="C562" s="2" t="inlineStr">
        <is>
          <t>not on file (no spend in 90 days)</t>
        </is>
      </c>
      <c r="D562" s="2" t="inlineStr">
        <is>
          <t>—</t>
        </is>
      </c>
      <c r="E562" s="2" t="inlineStr">
        <is>
          <t>PAUSED</t>
        </is>
      </c>
      <c r="F562" s="2" t="inlineStr">
        <is>
          <t>Sponsored Brands</t>
        </is>
      </c>
      <c r="G562" s="2" t="inlineStr">
        <is>
          <t>Sponsored Brands</t>
        </is>
      </c>
      <c r="H562" s="2" t="n"/>
      <c r="I562" s="2" t="inlineStr">
        <is>
          <t>?</t>
        </is>
      </c>
      <c r="J562" s="2" t="n"/>
      <c r="K562" s="2" t="n"/>
      <c r="L562" s="2" t="inlineStr">
        <is>
          <t>n/a (no target bid in audit)</t>
        </is>
      </c>
      <c r="M562" s="2" t="inlineStr">
        <is>
          <t>n/a</t>
        </is>
      </c>
      <c r="N562" s="2" t="n"/>
      <c r="O562" s="2" t="n"/>
      <c r="P562" s="21" t="n"/>
      <c r="Q562" s="21" t="n"/>
      <c r="R562" s="2" t="n"/>
      <c r="S562" s="2" t="n"/>
      <c r="T562" s="2" t="n"/>
      <c r="U562" s="2" t="n"/>
      <c r="V562" s="21" t="n"/>
      <c r="W562" s="21" t="n"/>
      <c r="X562" s="2" t="inlineStr">
        <is>
          <t>PAUSED</t>
        </is>
      </c>
      <c r="Y562" s="2" t="inlineStr">
        <is>
          <t>none</t>
        </is>
      </c>
      <c r="Z562" s="2" t="inlineStr">
        <is>
          <t>none</t>
        </is>
      </c>
      <c r="AA562" s="21" t="n">
        <v>0</v>
      </c>
      <c r="AB562" s="2" t="n">
        <v>0</v>
      </c>
      <c r="AC562" s="2" t="n">
        <v>0</v>
      </c>
      <c r="AD562" s="2" t="n"/>
      <c r="AE562" s="2" t="n"/>
      <c r="AF562" s="2" t="n"/>
      <c r="AG562" s="2" t="n">
        <v>0</v>
      </c>
      <c r="AH562" s="2" t="inlineStr">
        <is>
          <t>No change</t>
        </is>
      </c>
      <c r="AI562" s="22" t="inlineStr">
        <is>
          <t>Keep paused</t>
        </is>
      </c>
      <c r="AJ562" s="22" t="inlineStr">
        <is>
          <t>No run decision and no issue found; no clicks in CC 31 Aug–29 Sep.</t>
        </is>
      </c>
      <c r="AK562" s="2" t="inlineStr">
        <is>
          <t>no run decision</t>
        </is>
      </c>
      <c r="AL562" s="22" t="n"/>
    </row>
    <row r="563">
      <c r="A563" s="2" t="inlineStr">
        <is>
          <t>173441869530735</t>
        </is>
      </c>
      <c r="B563" s="2" t="inlineStr">
        <is>
          <t>Satin SB ProdCol Exac 031023 22 JP</t>
        </is>
      </c>
      <c r="C563" s="2" t="inlineStr">
        <is>
          <t>not on file (no spend in 90 days)</t>
        </is>
      </c>
      <c r="D563" s="2" t="inlineStr">
        <is>
          <t>—</t>
        </is>
      </c>
      <c r="E563" s="2" t="inlineStr">
        <is>
          <t>PAUSED</t>
        </is>
      </c>
      <c r="F563" s="2" t="inlineStr">
        <is>
          <t>Sponsored Brands</t>
        </is>
      </c>
      <c r="G563" s="2" t="inlineStr">
        <is>
          <t>Sponsored Brands</t>
        </is>
      </c>
      <c r="H563" s="2" t="n"/>
      <c r="I563" s="2" t="inlineStr">
        <is>
          <t>?</t>
        </is>
      </c>
      <c r="J563" s="2" t="n"/>
      <c r="K563" s="2" t="n"/>
      <c r="L563" s="2" t="inlineStr">
        <is>
          <t>n/a (no target bid in audit)</t>
        </is>
      </c>
      <c r="M563" s="2" t="inlineStr">
        <is>
          <t>n/a</t>
        </is>
      </c>
      <c r="N563" s="2" t="n"/>
      <c r="O563" s="2" t="n"/>
      <c r="P563" s="21" t="n"/>
      <c r="Q563" s="21" t="n"/>
      <c r="R563" s="2" t="n"/>
      <c r="S563" s="2" t="n"/>
      <c r="T563" s="2" t="n"/>
      <c r="U563" s="2" t="n"/>
      <c r="V563" s="21" t="n"/>
      <c r="W563" s="21" t="n"/>
      <c r="X563" s="2" t="inlineStr">
        <is>
          <t>PAUSED</t>
        </is>
      </c>
      <c r="Y563" s="2" t="inlineStr">
        <is>
          <t>none</t>
        </is>
      </c>
      <c r="Z563" s="2" t="inlineStr">
        <is>
          <t>none</t>
        </is>
      </c>
      <c r="AA563" s="21" t="n">
        <v>0</v>
      </c>
      <c r="AB563" s="2" t="n">
        <v>0</v>
      </c>
      <c r="AC563" s="2" t="n">
        <v>0</v>
      </c>
      <c r="AD563" s="2" t="n"/>
      <c r="AE563" s="2" t="n"/>
      <c r="AF563" s="2" t="n"/>
      <c r="AG563" s="2" t="n">
        <v>0</v>
      </c>
      <c r="AH563" s="2" t="inlineStr">
        <is>
          <t>No change</t>
        </is>
      </c>
      <c r="AI563" s="22" t="inlineStr">
        <is>
          <t>Keep paused</t>
        </is>
      </c>
      <c r="AJ563" s="22" t="inlineStr">
        <is>
          <t>No run decision and no issue found; no clicks in CC 31 Aug–29 Sep.</t>
        </is>
      </c>
      <c r="AK563" s="2" t="inlineStr">
        <is>
          <t>no run decision</t>
        </is>
      </c>
      <c r="AL563" s="22" t="n"/>
    </row>
    <row r="564">
      <c r="A564" s="2" t="inlineStr">
        <is>
          <t>46863550685145</t>
        </is>
      </c>
      <c r="B564" s="2" t="inlineStr">
        <is>
          <t>Satin SB ProdCol Exac 031023 26 JP</t>
        </is>
      </c>
      <c r="C564" s="2" t="inlineStr">
        <is>
          <t>not on file (no spend in 90 days)</t>
        </is>
      </c>
      <c r="D564" s="2" t="inlineStr">
        <is>
          <t>—</t>
        </is>
      </c>
      <c r="E564" s="2" t="inlineStr">
        <is>
          <t>PAUSED</t>
        </is>
      </c>
      <c r="F564" s="2" t="inlineStr">
        <is>
          <t>Sponsored Brands</t>
        </is>
      </c>
      <c r="G564" s="2" t="inlineStr">
        <is>
          <t>Sponsored Brands</t>
        </is>
      </c>
      <c r="H564" s="2" t="n"/>
      <c r="I564" s="2" t="inlineStr">
        <is>
          <t>?</t>
        </is>
      </c>
      <c r="J564" s="2" t="n"/>
      <c r="K564" s="2" t="n"/>
      <c r="L564" s="2" t="inlineStr">
        <is>
          <t>n/a (no target bid in audit)</t>
        </is>
      </c>
      <c r="M564" s="2" t="inlineStr">
        <is>
          <t>n/a</t>
        </is>
      </c>
      <c r="N564" s="2" t="n"/>
      <c r="O564" s="2" t="n"/>
      <c r="P564" s="21" t="n"/>
      <c r="Q564" s="21" t="n"/>
      <c r="R564" s="2" t="n"/>
      <c r="S564" s="2" t="n"/>
      <c r="T564" s="2" t="n"/>
      <c r="U564" s="2" t="n"/>
      <c r="V564" s="21" t="n"/>
      <c r="W564" s="21" t="n"/>
      <c r="X564" s="2" t="inlineStr">
        <is>
          <t>PAUSED</t>
        </is>
      </c>
      <c r="Y564" s="2" t="inlineStr">
        <is>
          <t>none</t>
        </is>
      </c>
      <c r="Z564" s="2" t="inlineStr">
        <is>
          <t>none</t>
        </is>
      </c>
      <c r="AA564" s="21" t="n">
        <v>0</v>
      </c>
      <c r="AB564" s="2" t="n">
        <v>0</v>
      </c>
      <c r="AC564" s="2" t="n">
        <v>0</v>
      </c>
      <c r="AD564" s="2" t="n"/>
      <c r="AE564" s="2" t="n"/>
      <c r="AF564" s="2" t="n"/>
      <c r="AG564" s="2" t="n">
        <v>0</v>
      </c>
      <c r="AH564" s="2" t="inlineStr">
        <is>
          <t>No change</t>
        </is>
      </c>
      <c r="AI564" s="22" t="inlineStr">
        <is>
          <t>Keep paused</t>
        </is>
      </c>
      <c r="AJ564" s="22" t="inlineStr">
        <is>
          <t>No run decision and no issue found; no clicks in CC 31 Aug–29 Sep.</t>
        </is>
      </c>
      <c r="AK564" s="2" t="inlineStr">
        <is>
          <t>no run decision</t>
        </is>
      </c>
      <c r="AL564" s="22" t="n"/>
    </row>
    <row r="565">
      <c r="A565" s="2" t="inlineStr">
        <is>
          <t>376425510463025</t>
        </is>
      </c>
      <c r="B565" s="2" t="inlineStr">
        <is>
          <t>Satin Sheet EX 4 PAT - B0839MKJMV</t>
        </is>
      </c>
      <c r="C565" s="2" t="inlineStr">
        <is>
          <t>Product targets: B07VTSYG8Z; B07X5DPMJ9; B07YKCZHGK +5 more targets</t>
        </is>
      </c>
      <c r="D565" s="2" t="inlineStr">
        <is>
          <t>whole campaign</t>
        </is>
      </c>
      <c r="E565" s="2" t="inlineStr">
        <is>
          <t>ENABLED</t>
        </is>
      </c>
      <c r="F565" s="2" t="inlineStr">
        <is>
          <t>Conversions</t>
        </is>
      </c>
      <c r="G565" s="2" t="inlineStr">
        <is>
          <t>Conquesting</t>
        </is>
      </c>
      <c r="H565" s="2" t="n"/>
      <c r="I565" s="2" t="inlineStr">
        <is>
          <t>ASIN</t>
        </is>
      </c>
      <c r="J565" s="2" t="inlineStr">
        <is>
          <t>SATIN-QUEEN-GREY</t>
        </is>
      </c>
      <c r="K565" s="2" t="inlineStr">
        <is>
          <t>SATIN-QUEEN-GREY</t>
        </is>
      </c>
      <c r="L565" s="2" t="inlineStr">
        <is>
          <t>n/a (no target bid in audit)</t>
        </is>
      </c>
      <c r="M565" s="2" t="inlineStr">
        <is>
          <t>n/a</t>
        </is>
      </c>
      <c r="N565" s="2" t="n">
        <v>0</v>
      </c>
      <c r="O565" s="2" t="n">
        <v>0</v>
      </c>
      <c r="P565" s="21" t="n"/>
      <c r="Q565" s="21" t="n"/>
      <c r="R565" s="2" t="n"/>
      <c r="S565" s="2" t="n"/>
      <c r="T565" s="2" t="n"/>
      <c r="U565" s="2" t="n"/>
      <c r="V565" s="21" t="n">
        <v>30</v>
      </c>
      <c r="W565" s="21" t="n">
        <v>30</v>
      </c>
      <c r="X565" s="2" t="inlineStr">
        <is>
          <t>ENABLED</t>
        </is>
      </c>
      <c r="Y565" s="2" t="inlineStr">
        <is>
          <t>none</t>
        </is>
      </c>
      <c r="Z565" s="2" t="inlineStr">
        <is>
          <t>defer — engine name wrong ((Conquest)); load a corrected name after 28 Oct</t>
        </is>
      </c>
      <c r="AA565" s="21" t="n">
        <v>0</v>
      </c>
      <c r="AB565" s="2" t="n">
        <v>0</v>
      </c>
      <c r="AC565" s="2" t="n">
        <v>0</v>
      </c>
      <c r="AD565" s="2" t="n"/>
      <c r="AE565" s="2" t="n"/>
      <c r="AF565" s="2" t="n"/>
      <c r="AG565" s="2" t="n">
        <v>0</v>
      </c>
      <c r="AH565" s="2" t="inlineStr">
        <is>
          <t>Retag only</t>
        </is>
      </c>
      <c r="AI565" s="22" t="inlineStr">
        <is>
          <t>retag → Conquesting</t>
        </is>
      </c>
      <c r="AJ565" s="22" t="inlineStr">
        <is>
          <t>Objective Conversions → Conquesting by the standard (our retag verdict); no clicks in CC 31 Aug–29 Sep.</t>
        </is>
      </c>
      <c r="AK565" s="2" t="inlineStr">
        <is>
          <t>seq 2210 retag correct to Conquesting; seq 3235 rename CHANGE</t>
        </is>
      </c>
      <c r="AL565" s="22" t="n"/>
    </row>
  </sheetData>
  <autoFilter ref="A1:AL56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27"/>
  <sheetViews>
    <sheetView showGridLines="1"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11" customWidth="1" min="2" max="2"/>
    <col width="9" customWidth="1" min="3" max="3"/>
    <col width="9" customWidth="1" min="4" max="4"/>
    <col width="11" customWidth="1" min="5" max="5"/>
    <col width="10" customWidth="1" min="6" max="6"/>
    <col width="11" customWidth="1" min="7" max="7"/>
    <col width="8" customWidth="1" min="8" max="8"/>
    <col width="9" customWidth="1" min="9" max="9"/>
    <col width="15" customWidth="1" min="10" max="10"/>
    <col width="9" customWidth="1" min="11" max="11"/>
    <col width="8" customWidth="1" min="12" max="12"/>
    <col width="20" customWidth="1" min="13" max="13"/>
    <col width="11" customWidth="1" min="14" max="14"/>
    <col width="11" customWidth="1" min="15" max="15"/>
    <col width="11"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22" customWidth="1" min="35" max="35"/>
    <col width="60" customWidth="1" min="36" max="36"/>
    <col width="70" customWidth="1" min="37" max="37"/>
  </cols>
  <sheetData>
    <row r="1">
      <c r="A1" s="20" t="inlineStr">
        <is>
          <t>Term</t>
        </is>
      </c>
      <c r="B1" s="20" t="inlineStr">
        <is>
          <t>Score components: CVR (25)</t>
        </is>
      </c>
      <c r="C1" s="20" t="inlineStr">
        <is>
          <t>CTR (20)</t>
        </is>
      </c>
      <c r="D1" s="20" t="inlineStr">
        <is>
          <t>Rank (15)</t>
        </is>
      </c>
      <c r="E1" s="20" t="inlineStr">
        <is>
          <t>Competitors (15)</t>
        </is>
      </c>
      <c r="F1" s="20" t="inlineStr">
        <is>
          <t>Inventory (15)</t>
        </is>
      </c>
      <c r="G1" s="20" t="inlineStr">
        <is>
          <t>Economics (10)</t>
        </is>
      </c>
      <c r="H1" s="20" t="inlineStr">
        <is>
          <t>Score</t>
        </is>
      </c>
      <c r="I1" s="20" t="inlineStr">
        <is>
          <t>Tier</t>
        </is>
      </c>
      <c r="J1" s="20" t="inlineStr">
        <is>
          <t>Action</t>
        </is>
      </c>
      <c r="K1" s="20" t="inlineStr">
        <is>
          <t>Rank 29 Sep</t>
        </is>
      </c>
      <c r="L1" s="20" t="inlineStr">
        <is>
          <t>Target</t>
        </is>
      </c>
      <c r="M1" s="20" t="inlineStr">
        <is>
          <t>Advertised child</t>
        </is>
      </c>
      <c r="N1" s="20" t="inlineStr">
        <is>
          <t>Monthly search volume</t>
        </is>
      </c>
      <c r="O1" s="20" t="inlineStr">
        <is>
          <t>TOS clicks/day now</t>
        </is>
      </c>
      <c r="P1" s="20" t="inlineStr">
        <is>
          <t>TOS clicks/day planned</t>
        </is>
      </c>
      <c r="Q1" s="20" t="inlineStr">
        <is>
          <t>TOS CVR 30d %</t>
        </is>
      </c>
      <c r="R1" s="20" t="inlineStr">
        <is>
          <t>Our CVR (SQP) %</t>
        </is>
      </c>
      <c r="S1" s="20" t="inlineStr">
        <is>
          <t>Market CVR (SQP) %</t>
        </is>
      </c>
      <c r="T1" s="20" t="inlineStr">
        <is>
          <t>Our CTR (SQP) %</t>
        </is>
      </c>
      <c r="U1" s="20" t="inlineStr">
        <is>
          <t>Market CTR (SQP) %</t>
        </is>
      </c>
      <c r="V1" s="20" t="inlineStr">
        <is>
          <t>TOS share of term clicks %</t>
        </is>
      </c>
      <c r="W1" s="20" t="inlineStr">
        <is>
          <t>Product-page share %</t>
        </is>
      </c>
      <c r="X1" s="20" t="inlineStr">
        <is>
          <t>TOS price now $</t>
        </is>
      </c>
      <c r="Y1" s="20" t="inlineStr">
        <is>
          <t>This write $</t>
        </is>
      </c>
      <c r="Z1" s="20" t="inlineStr">
        <is>
          <t>Budget/day $</t>
        </is>
      </c>
      <c r="AA1" s="20" t="inlineStr">
        <is>
          <t>Orders/day planned</t>
        </is>
      </c>
      <c r="AB1" s="20" t="inlineStr">
        <is>
          <t>Cost per order at this write $</t>
        </is>
      </c>
      <c r="AC1" s="20" t="inlineStr">
        <is>
          <t>Profit per unit, full price $</t>
        </is>
      </c>
      <c r="AD1" s="20" t="inlineStr">
        <is>
          <t>Profit per unit, deal price $</t>
        </is>
      </c>
      <c r="AE1" s="20" t="inlineStr">
        <is>
          <t>Loss per order, full price $</t>
        </is>
      </c>
      <c r="AF1" s="20" t="inlineStr">
        <is>
          <t>Loss per order, deal price $</t>
        </is>
      </c>
      <c r="AG1" s="20" t="inlineStr">
        <is>
          <t>Loss/day, full price $</t>
        </is>
      </c>
      <c r="AH1" s="20" t="inlineStr">
        <is>
          <t>Loss/day, deal days $</t>
        </is>
      </c>
      <c r="AI1" s="20" t="inlineStr">
        <is>
          <t>Recommended now</t>
        </is>
      </c>
      <c r="AJ1" s="20" t="inlineStr">
        <is>
          <t>Missing condition</t>
        </is>
      </c>
      <c r="AK1" s="20" t="inlineStr">
        <is>
          <t>Owning campaign(s)</t>
        </is>
      </c>
    </row>
    <row r="2">
      <c r="A2" s="23" t="inlineStr">
        <is>
          <t>satin sheets king</t>
        </is>
      </c>
      <c r="B2" s="9" t="n">
        <v>15.54</v>
      </c>
      <c r="C2" s="9" t="n">
        <v>20</v>
      </c>
      <c r="D2" s="9" t="n">
        <v>14</v>
      </c>
      <c r="E2" s="9" t="n">
        <v>15</v>
      </c>
      <c r="F2" s="9" t="n">
        <v>15</v>
      </c>
      <c r="G2" s="9" t="n">
        <v>3.46</v>
      </c>
      <c r="H2" s="2">
        <f>ROUND(SUM(B2:G2),0)</f>
        <v>83.0</v>
      </c>
      <c r="I2" s="2" t="str">
        <f>IF(H2&gt;=70,"High",IF(H2&gt;=50,"Medium","Low"))</f>
        <v>High</v>
      </c>
      <c r="J2" s="2" t="inlineStr">
        <is>
          <t>PUSH</t>
        </is>
      </c>
      <c r="K2" s="26" t="n">
        <v>4</v>
      </c>
      <c r="L2" s="26" t="n">
        <v>3</v>
      </c>
      <c r="M2" s="2" t="inlineStr">
        <is>
          <t>King Grey</t>
        </is>
      </c>
      <c r="N2" s="26" t="n">
        <v>4280</v>
      </c>
      <c r="O2" s="9" t="n">
        <v>5.2643</v>
      </c>
      <c r="P2" s="9" t="n">
        <v>5.2643</v>
      </c>
      <c r="Q2" s="26" t="n">
        <v>22.0247</v>
      </c>
      <c r="R2" s="26" t="n">
        <v>4.77</v>
      </c>
      <c r="S2" s="26" t="n">
        <v>4.95</v>
      </c>
      <c r="T2" s="26" t="n">
        <v>3.02</v>
      </c>
      <c r="U2" s="26" t="n">
        <v>1.93</v>
      </c>
      <c r="V2" s="26" t="n">
        <v>76.6649</v>
      </c>
      <c r="W2" s="26" t="n">
        <v>13.6375</v>
      </c>
      <c r="X2" s="6" t="n">
        <v>2.794</v>
      </c>
      <c r="Y2" s="6" t="n">
        <v>2.794</v>
      </c>
      <c r="Z2" s="6" t="n">
        <v>15.8978</v>
      </c>
      <c r="AA2" s="18">
        <f>P2*Q2/100</f>
        <v>1.1594462821</v>
      </c>
      <c r="AB2" s="6" t="n">
        <v>12.6858</v>
      </c>
      <c r="AC2" s="6" t="n">
        <v>6.4</v>
      </c>
      <c r="AD2" s="6" t="n">
        <v>1.38</v>
      </c>
      <c r="AE2" s="21">
        <f>AB2-AC2</f>
        <v>6.2858</v>
      </c>
      <c r="AF2" s="21">
        <f>AB2-AD2</f>
        <v>11.305800000000001</v>
      </c>
      <c r="AG2" s="21">
        <f>AA2*AE2</f>
        <v>7.28804744002418</v>
      </c>
      <c r="AH2" s="21">
        <f>AA2*AF2</f>
        <v>13.108467776166181</v>
      </c>
      <c r="AI2" s="23" t="inlineStr">
        <is>
          <t>Yes</t>
        </is>
      </c>
      <c r="AJ2" s="2" t="inlineStr">
        <is>
          <t>CVR not above market like-for-like (SQP); economics: CPO 2.3x contribution</t>
        </is>
      </c>
      <c r="AK2" s="2" t="inlineStr">
        <is>
          <t>33389871513217 D-S4-satin sheets king - [Satin|King] - Exact - Ran - DO - SATIN-4PC-KING-GREY</t>
        </is>
      </c>
    </row>
    <row r="3">
      <c r="A3" s="23" t="inlineStr">
        <is>
          <t>satin sheets full</t>
        </is>
      </c>
      <c r="B3" s="9" t="n">
        <v>16.06</v>
      </c>
      <c r="C3" s="9" t="n">
        <v>20</v>
      </c>
      <c r="D3" s="9" t="n">
        <v>14</v>
      </c>
      <c r="E3" s="9" t="n">
        <v>13</v>
      </c>
      <c r="F3" s="9" t="n">
        <v>12</v>
      </c>
      <c r="G3" s="9" t="n">
        <v>6.49</v>
      </c>
      <c r="H3" s="2">
        <f>ROUND(SUM(B3:G3),0)</f>
        <v>82.0</v>
      </c>
      <c r="I3" s="2" t="str">
        <f>IF(H3&gt;=70,"High",IF(H3&gt;=50,"Medium","Low"))</f>
        <v>High</v>
      </c>
      <c r="J3" s="2" t="inlineStr">
        <is>
          <t>PUSH</t>
        </is>
      </c>
      <c r="K3" s="26" t="n">
        <v>4</v>
      </c>
      <c r="L3" s="26" t="n">
        <v>3</v>
      </c>
      <c r="M3" s="2" t="inlineStr">
        <is>
          <t>Full Black</t>
        </is>
      </c>
      <c r="N3" s="26" t="n">
        <v>4438</v>
      </c>
      <c r="O3" s="9" t="n">
        <v>3.9108</v>
      </c>
      <c r="P3" s="9" t="n">
        <v>8</v>
      </c>
      <c r="Q3" s="26" t="n">
        <v>23.425</v>
      </c>
      <c r="R3" s="26" t="n">
        <v>10.01</v>
      </c>
      <c r="S3" s="26" t="n">
        <v>6.96</v>
      </c>
      <c r="T3" s="26" t="n">
        <v>2.82</v>
      </c>
      <c r="U3" s="26" t="n">
        <v>2.06</v>
      </c>
      <c r="V3" s="26" t="n">
        <v>71.5395</v>
      </c>
      <c r="W3" s="26" t="n">
        <v>10.0886</v>
      </c>
      <c r="X3" s="6" t="n">
        <v>3.729</v>
      </c>
      <c r="Y3" s="6" t="n">
        <v>3.6861</v>
      </c>
      <c r="Z3" s="6" t="n">
        <v>30.1118</v>
      </c>
      <c r="AA3" s="18">
        <f>P3*Q3/100</f>
        <v>1.874</v>
      </c>
      <c r="AB3" s="6" t="n">
        <v>15.7356</v>
      </c>
      <c r="AC3" s="6" t="n">
        <v>8.550000000000001</v>
      </c>
      <c r="AD3" s="6" t="n">
        <v>4.08</v>
      </c>
      <c r="AE3" s="21">
        <f>AB3-AC3</f>
        <v>7.185599999999999</v>
      </c>
      <c r="AF3" s="21">
        <f>AB3-AD3</f>
        <v>11.6556</v>
      </c>
      <c r="AG3" s="21">
        <f>AA3*AE3</f>
        <v>13.4658144</v>
      </c>
      <c r="AH3" s="21">
        <f>AA3*AF3</f>
        <v>21.8425944</v>
      </c>
      <c r="AI3" s="23" t="inlineStr">
        <is>
          <t>Yes</t>
        </is>
      </c>
      <c r="AJ3" s="2" t="inlineStr">
        <is>
          <t>—</t>
        </is>
      </c>
      <c r="AK3" s="2" t="inlineStr">
        <is>
          <t>82540637405662 D-S4-satin sheets full size - [Satin|Full] - Exact - Ran - DO - SATIN-FULL-BLACK</t>
        </is>
      </c>
    </row>
    <row r="4">
      <c r="A4" s="23" t="inlineStr">
        <is>
          <t>satin sheets king size</t>
        </is>
      </c>
      <c r="B4" s="9" t="n">
        <v>13.78</v>
      </c>
      <c r="C4" s="9" t="n">
        <v>20</v>
      </c>
      <c r="D4" s="9" t="n">
        <v>15</v>
      </c>
      <c r="E4" s="9" t="n">
        <v>15</v>
      </c>
      <c r="F4" s="9" t="n">
        <v>15</v>
      </c>
      <c r="G4" s="9" t="n">
        <v>1.38</v>
      </c>
      <c r="H4" s="2">
        <f>ROUND(SUM(B4:G4),0)</f>
        <v>80.0</v>
      </c>
      <c r="I4" s="2" t="str">
        <f>IF(H4&gt;=70,"High",IF(H4&gt;=50,"Medium","Low"))</f>
        <v>High</v>
      </c>
      <c r="J4" s="2" t="inlineStr">
        <is>
          <t>HOLD-AT-TARGET</t>
        </is>
      </c>
      <c r="K4" s="26" t="n">
        <v>2</v>
      </c>
      <c r="L4" s="26" t="n">
        <v>2</v>
      </c>
      <c r="M4" s="2" t="inlineStr">
        <is>
          <t>King Grey</t>
        </is>
      </c>
      <c r="N4" s="26" t="n">
        <v>695</v>
      </c>
      <c r="O4" s="9" t="n">
        <v>0.8122</v>
      </c>
      <c r="P4" s="9" t="n">
        <v>0.8122</v>
      </c>
      <c r="Q4" s="26" t="n">
        <v>17.6116</v>
      </c>
      <c r="R4" s="26" t="n">
        <v>6.88</v>
      </c>
      <c r="S4" s="26" t="n">
        <v>5.35</v>
      </c>
      <c r="T4" s="26" t="n">
        <v>2.87</v>
      </c>
      <c r="U4" s="26" t="n">
        <v>2</v>
      </c>
      <c r="V4" s="26" t="n">
        <v>73.8319</v>
      </c>
      <c r="W4" s="26" t="n">
        <v>10.2162</v>
      </c>
      <c r="X4" s="6" t="n">
        <v>2.512</v>
      </c>
      <c r="Y4" s="6" t="n">
        <v>2.512</v>
      </c>
      <c r="Z4" s="6" t="n">
        <v>2.2166</v>
      </c>
      <c r="AA4" s="18">
        <f>P4*Q4/100</f>
        <v>0.1430414152</v>
      </c>
      <c r="AB4" s="6" t="n">
        <v>14.2634</v>
      </c>
      <c r="AC4" s="6" t="n">
        <v>6.4</v>
      </c>
      <c r="AD4" s="6" t="n">
        <v>1.38</v>
      </c>
      <c r="AE4" s="21">
        <f>AB4-AC4</f>
        <v>7.8634</v>
      </c>
      <c r="AF4" s="21">
        <f>AB4-AD4</f>
        <v>12.883400000000002</v>
      </c>
      <c r="AG4" s="21">
        <f>AA4*AE4</f>
        <v>1.12479186428368</v>
      </c>
      <c r="AH4" s="21">
        <f>AA4*AF4</f>
        <v>1.8428597685876802</v>
      </c>
      <c r="AI4" s="23" t="inlineStr">
        <is>
          <t>Yes</t>
        </is>
      </c>
      <c r="AJ4" s="2" t="inlineStr">
        <is>
          <t>economics: CPO 2.7x contribution</t>
        </is>
      </c>
      <c r="AK4" s="2" t="inlineStr">
        <is>
          <t>189967409565927 D-S4-satin sheets king size - [Satin|King] - Exact - Ran - DO - SATIN-4PC-KING-GREY</t>
        </is>
      </c>
    </row>
    <row r="5">
      <c r="A5" s="23" t="inlineStr">
        <is>
          <t>silk sheets full</t>
        </is>
      </c>
      <c r="B5" s="9" t="n">
        <v>20.04</v>
      </c>
      <c r="C5" s="9" t="n">
        <v>8.31</v>
      </c>
      <c r="D5" s="9" t="n">
        <v>13</v>
      </c>
      <c r="E5" s="9" t="n">
        <v>15</v>
      </c>
      <c r="F5" s="9" t="n">
        <v>15</v>
      </c>
      <c r="G5" s="9" t="n">
        <v>8.33</v>
      </c>
      <c r="H5" s="2">
        <f>ROUND(SUM(B5:G5),0)</f>
        <v>80.0</v>
      </c>
      <c r="I5" s="2" t="str">
        <f>IF(H5&gt;=70,"High",IF(H5&gt;=50,"Medium","Low"))</f>
        <v>High</v>
      </c>
      <c r="J5" s="2" t="inlineStr">
        <is>
          <t>PUSH</t>
        </is>
      </c>
      <c r="K5" s="26" t="n">
        <v>5</v>
      </c>
      <c r="L5" s="26" t="n">
        <v>3</v>
      </c>
      <c r="M5" s="2" t="inlineStr">
        <is>
          <t>Full Black</t>
        </is>
      </c>
      <c r="N5" s="26" t="n">
        <v>6739</v>
      </c>
      <c r="O5" s="9" t="n">
        <v>2.872</v>
      </c>
      <c r="P5" s="9" t="n">
        <v>3.2879</v>
      </c>
      <c r="Q5" s="26" t="n">
        <v>24.2078</v>
      </c>
      <c r="R5" s="26" t="n">
        <v>10.11</v>
      </c>
      <c r="S5" s="26" t="n">
        <v>6.04</v>
      </c>
      <c r="T5" s="26" t="n">
        <v>1.41</v>
      </c>
      <c r="U5" s="26" t="n">
        <v>1.97</v>
      </c>
      <c r="V5" s="26" t="n">
        <v>67.3113</v>
      </c>
      <c r="W5" s="26" t="n">
        <v>14.4755</v>
      </c>
      <c r="X5" s="6" t="n">
        <v>2.565</v>
      </c>
      <c r="Y5" s="6" t="n">
        <v>2.5951</v>
      </c>
      <c r="Z5" s="6" t="n">
        <v>9.5885</v>
      </c>
      <c r="AA5" s="18">
        <f>P5*Q5/100</f>
        <v>0.7959282562</v>
      </c>
      <c r="AB5" s="6" t="n">
        <v>10.72</v>
      </c>
      <c r="AC5" s="6" t="n">
        <v>8.550000000000001</v>
      </c>
      <c r="AD5" s="6" t="n">
        <v>4.08</v>
      </c>
      <c r="AE5" s="21">
        <f>AB5-AC5</f>
        <v>2.17</v>
      </c>
      <c r="AF5" s="21">
        <f>AB5-AD5</f>
        <v>6.640000000000001</v>
      </c>
      <c r="AG5" s="21">
        <f>AA5*AE5</f>
        <v>1.7271643159539998</v>
      </c>
      <c r="AH5" s="21">
        <f>AA5*AF5</f>
        <v>5.284963621168</v>
      </c>
      <c r="AI5" s="23" t="inlineStr">
        <is>
          <t>Yes</t>
        </is>
      </c>
      <c r="AJ5" s="2" t="inlineStr">
        <is>
          <t>CTR not above market (SQP)</t>
        </is>
      </c>
      <c r="AK5" s="2" t="inlineStr">
        <is>
          <t>137973631643313 D-S4-SP-EXACT-silk sheets full size-Silk|Full-SATIN-FULL-BLACK</t>
        </is>
      </c>
    </row>
    <row r="6">
      <c r="A6" s="23" t="inlineStr">
        <is>
          <t>silk bed sheets full</t>
        </is>
      </c>
      <c r="B6" s="9" t="n">
        <v>6.37</v>
      </c>
      <c r="C6" s="9" t="n">
        <v>14</v>
      </c>
      <c r="D6" s="9" t="n">
        <v>14</v>
      </c>
      <c r="E6" s="9" t="n">
        <v>15</v>
      </c>
      <c r="F6" s="9" t="n">
        <v>15</v>
      </c>
      <c r="G6" s="9" t="n">
        <v>6.89</v>
      </c>
      <c r="H6" s="2">
        <f>ROUND(SUM(B6:G6),0)</f>
        <v>71.0</v>
      </c>
      <c r="I6" s="2" t="str">
        <f>IF(H6&gt;=70,"High",IF(H6&gt;=50,"Medium","Low"))</f>
        <v>High</v>
      </c>
      <c r="J6" s="2" t="inlineStr">
        <is>
          <t>PUSH</t>
        </is>
      </c>
      <c r="K6" s="26" t="n">
        <v>4</v>
      </c>
      <c r="L6" s="26" t="n">
        <v>3</v>
      </c>
      <c r="M6" s="2" t="inlineStr">
        <is>
          <t>Full Black</t>
        </is>
      </c>
      <c r="N6" s="26" t="n">
        <v>2200</v>
      </c>
      <c r="O6" s="9" t="n">
        <v>1.0301</v>
      </c>
      <c r="P6" s="9" t="n">
        <v>1.4286</v>
      </c>
      <c r="Q6" s="26" t="n">
        <v>15.0119</v>
      </c>
      <c r="R6" s="26" t="n">
        <v>5.87</v>
      </c>
      <c r="S6" s="26" t="n">
        <v>5.91</v>
      </c>
      <c r="T6" s="26" t="n">
        <v>1.87</v>
      </c>
      <c r="U6" s="26" t="n">
        <v>1.87</v>
      </c>
      <c r="V6" s="26" t="n">
        <v>73.5772</v>
      </c>
      <c r="W6" s="26" t="n">
        <v>7.0102</v>
      </c>
      <c r="X6" s="6" t="n">
        <v>1.9573</v>
      </c>
      <c r="Y6" s="6" t="n">
        <v>1.9573</v>
      </c>
      <c r="Z6" s="6" t="n">
        <v>2.8922</v>
      </c>
      <c r="AA6" s="18">
        <f>P6*Q6/100</f>
        <v>0.21446000340000002</v>
      </c>
      <c r="AB6" s="6" t="n">
        <v>13.0382</v>
      </c>
      <c r="AC6" s="6" t="n">
        <v>8.550000000000001</v>
      </c>
      <c r="AD6" s="6" t="n">
        <v>4.08</v>
      </c>
      <c r="AE6" s="21">
        <f>AB6-AC6</f>
        <v>4.488199999999999</v>
      </c>
      <c r="AF6" s="21">
        <f>AB6-AD6</f>
        <v>8.9582</v>
      </c>
      <c r="AG6" s="21">
        <f>AA6*AE6</f>
        <v>0.9625393872598799</v>
      </c>
      <c r="AH6" s="21">
        <f>AA6*AF6</f>
        <v>1.92117560245788</v>
      </c>
      <c r="AI6" s="23" t="inlineStr">
        <is>
          <t>Yes</t>
        </is>
      </c>
      <c r="AJ6" s="2" t="inlineStr">
        <is>
          <t>CVR not above market like-for-like (SQP)</t>
        </is>
      </c>
      <c r="AK6" s="2" t="inlineStr">
        <is>
          <t>276865047785028 D-S4-silk bed sheets full size - [Silk|Full] - Exact - Ran - DO - SATIN-FULL-BLACK (PAUSED); 50992822442833 D-S4-SP-silk bed sheets full size-(Silk)-MSV-Exact-Rank-DO-SATIN-FULL-GREY</t>
        </is>
      </c>
    </row>
    <row r="7">
      <c r="A7" s="23" t="inlineStr">
        <is>
          <t>king size silk sheets set</t>
        </is>
      </c>
      <c r="B7" s="9" t="n">
        <v>11.71</v>
      </c>
      <c r="C7" s="9" t="n">
        <v>20</v>
      </c>
      <c r="D7" s="9" t="n">
        <v>2</v>
      </c>
      <c r="E7" s="9" t="n">
        <v>15</v>
      </c>
      <c r="F7" s="9" t="n">
        <v>15</v>
      </c>
      <c r="G7" s="9" t="n">
        <v>0</v>
      </c>
      <c r="H7" s="2">
        <f>ROUND(SUM(B7:G7),0)</f>
        <v>64.0</v>
      </c>
      <c r="I7" s="2" t="str">
        <f>IF(H7&gt;=70,"High",IF(H7&gt;=50,"Medium","Low"))</f>
        <v>Medium</v>
      </c>
      <c r="J7" s="2" t="inlineStr">
        <is>
          <t>PUSH-SMALL</t>
        </is>
      </c>
      <c r="K7" s="26" t="n">
        <v>10</v>
      </c>
      <c r="L7" s="26" t="n">
        <v>3</v>
      </c>
      <c r="M7" s="2" t="inlineStr">
        <is>
          <t>King Grey</t>
        </is>
      </c>
      <c r="N7" s="26" t="n">
        <v>1961</v>
      </c>
      <c r="O7" s="9" t="n">
        <v>3.7092</v>
      </c>
      <c r="P7" s="9" t="n">
        <v>3.7092</v>
      </c>
      <c r="Q7" s="26" t="n">
        <v>19.8145</v>
      </c>
      <c r="R7" s="26" t="n">
        <v>8.06</v>
      </c>
      <c r="S7" s="26" t="n">
        <v>6.56</v>
      </c>
      <c r="T7" s="26" t="n">
        <v>3.6</v>
      </c>
      <c r="U7" s="26" t="n">
        <v>1.96</v>
      </c>
      <c r="V7" s="26" t="n">
        <v>87.619</v>
      </c>
      <c r="W7" s="26" t="n">
        <v>0.4121</v>
      </c>
      <c r="X7" s="6" t="n">
        <v>5.5</v>
      </c>
      <c r="Y7" s="6" t="n">
        <v>4.0619</v>
      </c>
      <c r="Z7" s="6" t="n">
        <v>15.1145</v>
      </c>
      <c r="AA7" s="18">
        <f>P7*Q7/100</f>
        <v>0.734959434</v>
      </c>
      <c r="AB7" s="6" t="n">
        <v>20.4997</v>
      </c>
      <c r="AC7" s="6" t="n">
        <v>6.4</v>
      </c>
      <c r="AD7" s="6" t="n">
        <v>1.38</v>
      </c>
      <c r="AE7" s="21">
        <f>AB7-AC7</f>
        <v>14.0997</v>
      </c>
      <c r="AF7" s="21">
        <f>AB7-AD7</f>
        <v>19.1197</v>
      </c>
      <c r="AG7" s="21">
        <f>AA7*AE7</f>
        <v>10.3627075315698</v>
      </c>
      <c r="AH7" s="21">
        <f>AA7*AF7</f>
        <v>14.052203890249801</v>
      </c>
      <c r="AI7" s="23" t="inlineStr">
        <is>
          <t>Yes</t>
        </is>
      </c>
      <c r="AJ7" s="2" t="inlineStr">
        <is>
          <t>economics: CPO 3.6x contribution</t>
        </is>
      </c>
      <c r="AK7" s="2" t="inlineStr">
        <is>
          <t>265771609218691 D-S4-king silk sheet set - [Silk|King] - Exact - Ran - DO - SATIN-4PC-KING-GREY</t>
        </is>
      </c>
    </row>
    <row r="8">
      <c r="A8" s="23" t="inlineStr">
        <is>
          <t>satin bed sheets queen</t>
        </is>
      </c>
      <c r="B8" s="9" t="n">
        <v>15.39</v>
      </c>
      <c r="C8" s="9" t="n">
        <v>9.529999999999999</v>
      </c>
      <c r="D8" s="9" t="n">
        <v>6</v>
      </c>
      <c r="E8" s="9" t="n">
        <v>9</v>
      </c>
      <c r="F8" s="9" t="n">
        <v>15</v>
      </c>
      <c r="G8" s="9" t="n">
        <v>5.57</v>
      </c>
      <c r="H8" s="2">
        <f>ROUND(SUM(B8:G8),0)</f>
        <v>60.0</v>
      </c>
      <c r="I8" s="2" t="str">
        <f>IF(H8&gt;=70,"High",IF(H8&gt;=50,"Medium","Low"))</f>
        <v>Medium</v>
      </c>
      <c r="J8" s="2" t="inlineStr">
        <is>
          <t>PUSH-SMALL</t>
        </is>
      </c>
      <c r="K8" s="26" t="n">
        <v>6</v>
      </c>
      <c r="L8" s="26" t="n">
        <v>3</v>
      </c>
      <c r="M8" s="2" t="inlineStr">
        <is>
          <t>Queen Black</t>
        </is>
      </c>
      <c r="N8" s="26" t="n">
        <v>2200</v>
      </c>
      <c r="O8" s="9" t="n">
        <v>0.6811</v>
      </c>
      <c r="P8" s="9" t="n">
        <v>0.6811</v>
      </c>
      <c r="Q8" s="26" t="n">
        <v>18.6169</v>
      </c>
      <c r="R8" s="26" t="n">
        <v>12.33</v>
      </c>
      <c r="S8" s="26" t="n">
        <v>6.05</v>
      </c>
      <c r="T8" s="26" t="n">
        <v>1.53</v>
      </c>
      <c r="U8" s="26" t="n">
        <v>1.97</v>
      </c>
      <c r="V8" s="26" t="n">
        <v>45.4075</v>
      </c>
      <c r="W8" s="26" t="n">
        <v>10.8385</v>
      </c>
      <c r="X8" s="6" t="n">
        <v>1.7666</v>
      </c>
      <c r="Y8" s="6" t="n">
        <v>1.7666</v>
      </c>
      <c r="Z8" s="6" t="n">
        <v>1.3468</v>
      </c>
      <c r="AA8" s="18">
        <f>P8*Q8/100</f>
        <v>0.1267997059</v>
      </c>
      <c r="AB8" s="6" t="n">
        <v>9.489100000000001</v>
      </c>
      <c r="AC8" s="6" t="n">
        <v>6.74</v>
      </c>
      <c r="AD8" s="6" t="n">
        <v>1.89</v>
      </c>
      <c r="AE8" s="21">
        <f>AB8-AC8</f>
        <v>2.7491000000000003</v>
      </c>
      <c r="AF8" s="21">
        <f>AB8-AD8</f>
        <v>7.599100000000001</v>
      </c>
      <c r="AG8" s="21">
        <f>AA8*AE8</f>
        <v>0.34858507148969003</v>
      </c>
      <c r="AH8" s="21">
        <f>AA8*AF8</f>
        <v>0.9635636451046902</v>
      </c>
      <c r="AI8" s="23" t="inlineStr">
        <is>
          <t>Yes</t>
        </is>
      </c>
      <c r="AJ8" s="2" t="inlineStr">
        <is>
          <t>CTR not above market (SQP)</t>
        </is>
      </c>
      <c r="AK8" s="2" t="inlineStr">
        <is>
          <t>47941523261030 D-S4-SP-EXACT-satin bedsheets queen size-Satin|Queen-SATIN-QUEEN-BLACK; 79231677791815 D-S4-satin bed sheets queen - [Satin|Queen] - Exact - Ran - DO - SATIN-QUEEN-BLACK</t>
        </is>
      </c>
    </row>
    <row r="9">
      <c r="A9" s="2" t="inlineStr">
        <is>
          <t>silk sheets queen</t>
        </is>
      </c>
      <c r="B9" s="9" t="n">
        <v>10.45</v>
      </c>
      <c r="C9" s="9" t="n">
        <v>12.67</v>
      </c>
      <c r="D9" s="9" t="n">
        <v>4</v>
      </c>
      <c r="E9" s="9" t="n">
        <v>9</v>
      </c>
      <c r="F9" s="9" t="n">
        <v>15</v>
      </c>
      <c r="G9" s="9" t="n">
        <v>3.94</v>
      </c>
      <c r="H9" s="2">
        <f>ROUND(SUM(B9:G9),0)</f>
        <v>55.0</v>
      </c>
      <c r="I9" s="2" t="str">
        <f>IF(H9&gt;=70,"High",IF(H9&gt;=50,"Medium","Low"))</f>
        <v>Medium</v>
      </c>
      <c r="J9" s="2" t="inlineStr">
        <is>
          <t>PUSH-SMALL</t>
        </is>
      </c>
      <c r="K9" s="26" t="n">
        <v>10</v>
      </c>
      <c r="L9" s="26" t="n">
        <v>3</v>
      </c>
      <c r="M9" s="2" t="inlineStr">
        <is>
          <t>Queen Black</t>
        </is>
      </c>
      <c r="N9" s="26" t="n">
        <v>15189</v>
      </c>
      <c r="O9" s="9" t="n">
        <v>7.2246</v>
      </c>
      <c r="P9" s="9" t="n">
        <v>20.0408</v>
      </c>
      <c r="Q9" s="26" t="n">
        <v>20.9483</v>
      </c>
      <c r="R9" s="26" t="n">
        <v>6.01</v>
      </c>
      <c r="S9" s="26" t="n">
        <v>6.16</v>
      </c>
      <c r="T9" s="26" t="n">
        <v>1.82</v>
      </c>
      <c r="U9" s="26" t="n">
        <v>1.95</v>
      </c>
      <c r="V9" s="26" t="n">
        <v>75.518</v>
      </c>
      <c r="W9" s="26" t="n">
        <v>5.0047</v>
      </c>
      <c r="X9" s="6" t="n">
        <v>2.0276</v>
      </c>
      <c r="Y9" s="6" t="n">
        <v>2.3318</v>
      </c>
      <c r="Z9" s="6" t="n">
        <v>47.2166</v>
      </c>
      <c r="AA9" s="18">
        <f>P9*Q9/100</f>
        <v>4.1982069064</v>
      </c>
      <c r="AB9" s="6" t="n">
        <v>11.1312</v>
      </c>
      <c r="AC9" s="6" t="n">
        <v>6.74</v>
      </c>
      <c r="AD9" s="6" t="n">
        <v>1.89</v>
      </c>
      <c r="AE9" s="21">
        <f>AB9-AC9</f>
        <v>4.3911999999999995</v>
      </c>
      <c r="AF9" s="21">
        <f>AB9-AD9</f>
        <v>9.2412</v>
      </c>
      <c r="AG9" s="21">
        <f>AA9*AE9</f>
        <v>18.43516616738368</v>
      </c>
      <c r="AH9" s="21">
        <f>AA9*AF9</f>
        <v>38.79646966342368</v>
      </c>
      <c r="AI9" s="2" t="inlineStr">
        <is>
          <t>Restore to about 10 TOS clicks/day on one exact; the push to 20 is your decision</t>
        </is>
      </c>
      <c r="AJ9" s="2" t="inlineStr">
        <is>
          <t>CTR not above market (SQP); CVR not above market like-for-like (SQP); economics: CPO 2.2x contribution</t>
        </is>
      </c>
      <c r="AK9" s="2" t="inlineStr">
        <is>
          <t>40865602759529 D-S4-silk sheets queen size - [Silk|Queen] - Exact - Ran - DO - SATIN-QUEEN-BLACK; 100830568607053 D-S4-SP-silk sheets queen-(Silk)-HSV-Exact-Rank-DO-SATIN-QUEEN-BLACK</t>
        </is>
      </c>
    </row>
    <row r="10">
      <c r="A10" s="2" t="inlineStr">
        <is>
          <t>satin sheets</t>
        </is>
      </c>
      <c r="B10" s="9" t="n">
        <v>14.28</v>
      </c>
      <c r="C10" s="9" t="n">
        <v>10.08</v>
      </c>
      <c r="D10" s="9" t="n">
        <v>10</v>
      </c>
      <c r="E10" s="9" t="n">
        <v>4</v>
      </c>
      <c r="F10" s="9" t="n">
        <v>12</v>
      </c>
      <c r="G10" s="9" t="n">
        <v>1.05</v>
      </c>
      <c r="H10" s="2">
        <f>ROUND(SUM(B10:G10),0)</f>
        <v>51.0</v>
      </c>
      <c r="I10" s="2" t="str">
        <f>IF(H10&gt;=70,"High",IF(H10&gt;=50,"Medium","Low"))</f>
        <v>Medium</v>
      </c>
      <c r="J10" s="2" t="inlineStr">
        <is>
          <t>PUSH-SMALL</t>
        </is>
      </c>
      <c r="K10" s="26" t="n">
        <v>5</v>
      </c>
      <c r="L10" s="26" t="n">
        <v>3</v>
      </c>
      <c r="M10" s="2" t="inlineStr">
        <is>
          <t>Queen Black</t>
        </is>
      </c>
      <c r="N10" s="26" t="n">
        <v>30210</v>
      </c>
      <c r="O10" s="9" t="n">
        <v>21.4229</v>
      </c>
      <c r="P10" s="9" t="n">
        <v>59.7829</v>
      </c>
      <c r="Q10" s="26" t="n">
        <v>16.5564</v>
      </c>
      <c r="R10" s="26" t="n">
        <v>4.08</v>
      </c>
      <c r="S10" s="26" t="n">
        <v>4.05</v>
      </c>
      <c r="T10" s="26" t="n">
        <v>1.95</v>
      </c>
      <c r="U10" s="26" t="n">
        <v>1.95</v>
      </c>
      <c r="V10" s="26" t="n">
        <v>79.3442</v>
      </c>
      <c r="W10" s="26" t="n">
        <v>10.2569</v>
      </c>
      <c r="X10" s="6" t="n">
        <v>2.3</v>
      </c>
      <c r="Y10" s="6" t="n">
        <v>2.324</v>
      </c>
      <c r="Z10" s="6" t="n">
        <v>142.1185</v>
      </c>
      <c r="AA10" s="18">
        <f>P10*Q10/100</f>
        <v>9.897896055599999</v>
      </c>
      <c r="AB10" s="6" t="n">
        <v>14.0367</v>
      </c>
      <c r="AC10" s="6" t="n">
        <v>6.74</v>
      </c>
      <c r="AD10" s="6" t="n">
        <v>1.89</v>
      </c>
      <c r="AE10" s="21">
        <f>AB10-AC10</f>
        <v>7.2966999999999995</v>
      </c>
      <c r="AF10" s="21">
        <f>AB10-AD10</f>
        <v>12.1467</v>
      </c>
      <c r="AG10" s="21">
        <f>AA10*AE10</f>
        <v>72.22197814889651</v>
      </c>
      <c r="AH10" s="21">
        <f>AA10*AF10</f>
        <v>120.2267740185565</v>
      </c>
      <c r="AI10" s="19" t="inlineStr">
        <is>
          <t>Your decision (full plan)</t>
        </is>
      </c>
      <c r="AJ10" s="2" t="inlineStr">
        <is>
          <t>economics: CPO 2.8x contribution; target rank held by strong rivals</t>
        </is>
      </c>
      <c r="AK10" s="2" t="inlineStr">
        <is>
          <t>527361393975073 D-S4-SP-satin sheets-(Satin)-HSV-Exact-Rank-DO-SATIN-QUEEN-GREY</t>
        </is>
      </c>
    </row>
    <row r="11">
      <c r="A11" s="2" t="inlineStr">
        <is>
          <t>silk sheets king</t>
        </is>
      </c>
      <c r="B11" s="9" t="n">
        <v>14.98</v>
      </c>
      <c r="C11" s="9" t="n">
        <v>2</v>
      </c>
      <c r="D11" s="9" t="n">
        <v>0</v>
      </c>
      <c r="E11" s="9" t="n">
        <v>15</v>
      </c>
      <c r="F11" s="9" t="n">
        <v>15</v>
      </c>
      <c r="G11" s="9" t="n">
        <v>3.51</v>
      </c>
      <c r="H11" s="2">
        <f>ROUND(SUM(B11:G11),0)</f>
        <v>50.0</v>
      </c>
      <c r="I11" s="2" t="str">
        <f>IF(H11&gt;=70,"High",IF(H11&gt;=50,"Medium","Low"))</f>
        <v>Medium</v>
      </c>
      <c r="J11" s="2" t="inlineStr">
        <is>
          <t>FIX-FIRST</t>
        </is>
      </c>
      <c r="K11" s="26" t="n">
        <v>40</v>
      </c>
      <c r="L11" s="26" t="n">
        <v>3</v>
      </c>
      <c r="M11" s="2" t="inlineStr">
        <is>
          <t>King Grey</t>
        </is>
      </c>
      <c r="N11" s="26" t="n">
        <v>6731</v>
      </c>
      <c r="O11" s="9" t="n">
        <v>0.421</v>
      </c>
      <c r="P11" s="9" t="n">
        <v>0.421</v>
      </c>
      <c r="Q11" s="26" t="n">
        <v>15.018</v>
      </c>
      <c r="R11" s="26" t="n">
        <v>5.73</v>
      </c>
      <c r="S11" s="26" t="n">
        <v>4.35</v>
      </c>
      <c r="T11" s="26" t="n">
        <v>1.12</v>
      </c>
      <c r="U11" s="26" t="n">
        <v>1.98</v>
      </c>
      <c r="V11" s="26" t="n">
        <v>15.401</v>
      </c>
      <c r="W11" s="26" t="n">
        <v>3.3186</v>
      </c>
      <c r="X11" s="6" t="n">
        <v>1.4796</v>
      </c>
      <c r="Y11" s="6" t="n">
        <v>1.1097</v>
      </c>
      <c r="Z11" s="6" t="n">
        <v>0.5342</v>
      </c>
      <c r="AA11" s="18">
        <f>P11*Q11/100</f>
        <v>0.06322578</v>
      </c>
      <c r="AB11" s="6" t="n">
        <v>7.3889</v>
      </c>
      <c r="AC11" s="6" t="n">
        <v>6.4</v>
      </c>
      <c r="AD11" s="6" t="n">
        <v>1.38</v>
      </c>
      <c r="AE11" s="21">
        <f>AB11-AC11</f>
        <v>0.9888999999999992</v>
      </c>
      <c r="AF11" s="21">
        <f>AB11-AD11</f>
        <v>6.0089</v>
      </c>
      <c r="AG11" s="21">
        <f>AA11*AE11</f>
        <v>0.06252397384199995</v>
      </c>
      <c r="AH11" s="21">
        <f>AA11*AF11</f>
        <v>0.37991738944199993</v>
      </c>
      <c r="AI11" s="2" t="inlineStr">
        <is>
          <t>Fix the mix first</t>
        </is>
      </c>
      <c r="AJ11" s="2" t="inlineStr">
        <is>
          <t>CTR not above market (SQP); economics: CPO 2.3x contribution</t>
        </is>
      </c>
      <c r="AK11" s="2" t="inlineStr">
        <is>
          <t>167888639670385 D-S4-SP-EXACT-silk sheets king size-Silk|King-SATIN-4PC-KING-GREY</t>
        </is>
      </c>
    </row>
    <row r="12">
      <c r="A12" s="23" t="inlineStr">
        <is>
          <t>satin queen sheets set</t>
        </is>
      </c>
      <c r="B12" s="9" t="n">
        <v>4.47</v>
      </c>
      <c r="C12" s="9" t="n">
        <v>12.93</v>
      </c>
      <c r="D12" s="9" t="n">
        <v>2</v>
      </c>
      <c r="E12" s="9" t="n">
        <v>11</v>
      </c>
      <c r="F12" s="9" t="n">
        <v>15</v>
      </c>
      <c r="G12" s="9" t="n">
        <v>4.32</v>
      </c>
      <c r="H12" s="2">
        <f>ROUND(SUM(B12:G12),0)</f>
        <v>50.0</v>
      </c>
      <c r="I12" s="2" t="str">
        <f>IF(H12&gt;=70,"High",IF(H12&gt;=50,"Medium","Low"))</f>
        <v>Medium</v>
      </c>
      <c r="J12" s="2" t="inlineStr">
        <is>
          <t>PUSH-SMALL</t>
        </is>
      </c>
      <c r="K12" s="26" t="n">
        <v>8</v>
      </c>
      <c r="L12" s="26" t="n">
        <v>3</v>
      </c>
      <c r="M12" s="2" t="inlineStr">
        <is>
          <t>Queen Black</t>
        </is>
      </c>
      <c r="N12" s="26" t="n">
        <v>1971</v>
      </c>
      <c r="O12" s="9" t="n">
        <v>1.2183</v>
      </c>
      <c r="P12" s="9" t="n">
        <v>1.7046</v>
      </c>
      <c r="Q12" s="26" t="n">
        <v>18.8842</v>
      </c>
      <c r="R12" s="26" t="n">
        <v>5.43</v>
      </c>
      <c r="S12" s="26" t="n">
        <v>6.99</v>
      </c>
      <c r="T12" s="26" t="n">
        <v>2.2</v>
      </c>
      <c r="U12" s="26" t="n">
        <v>1.98</v>
      </c>
      <c r="V12" s="26" t="n">
        <v>48.0906</v>
      </c>
      <c r="W12" s="26" t="n">
        <v>40.8684</v>
      </c>
      <c r="X12" s="6" t="n">
        <v>2.0293</v>
      </c>
      <c r="Y12" s="6" t="n">
        <v>2.0293</v>
      </c>
      <c r="Z12" s="6" t="n">
        <v>4.5095</v>
      </c>
      <c r="AA12" s="18">
        <f>P12*Q12/100</f>
        <v>0.32190007319999997</v>
      </c>
      <c r="AB12" s="6" t="n">
        <v>10.7459</v>
      </c>
      <c r="AC12" s="6" t="n">
        <v>6.74</v>
      </c>
      <c r="AD12" s="6" t="n">
        <v>1.89</v>
      </c>
      <c r="AE12" s="21">
        <f>AB12-AC12</f>
        <v>4.0059000000000005</v>
      </c>
      <c r="AF12" s="21">
        <f>AB12-AD12</f>
        <v>8.8559</v>
      </c>
      <c r="AG12" s="21">
        <f>AA12*AE12</f>
        <v>1.2894995032318801</v>
      </c>
      <c r="AH12" s="21">
        <f>AA12*AF12</f>
        <v>2.8507148582518798</v>
      </c>
      <c r="AI12" s="23" t="inlineStr">
        <is>
          <t>Yes</t>
        </is>
      </c>
      <c r="AJ12" s="2" t="inlineStr">
        <is>
          <t>CVR not above market like-for-like (SQP); economics: CPO 2.1x contribution</t>
        </is>
      </c>
      <c r="AK12" s="2" t="inlineStr">
        <is>
          <t>173446552008266 D-S4-satin queen sheets set - [Satin|Queen] - Exact - Ran - DO - SATIN-QUEEN-BLACK</t>
        </is>
      </c>
    </row>
    <row r="13">
      <c r="A13" s="2" t="inlineStr">
        <is>
          <t>satin sheets queen</t>
        </is>
      </c>
      <c r="B13" s="9" t="n">
        <v>4.96</v>
      </c>
      <c r="C13" s="9" t="n">
        <v>16.89</v>
      </c>
      <c r="D13" s="9" t="n">
        <v>6</v>
      </c>
      <c r="E13" s="9" t="n">
        <v>6</v>
      </c>
      <c r="F13" s="9" t="n">
        <v>15</v>
      </c>
      <c r="G13" s="9" t="n">
        <v>0</v>
      </c>
      <c r="H13" s="2">
        <f>ROUND(SUM(B13:G13),0)</f>
        <v>49.0</v>
      </c>
      <c r="I13" s="2" t="str">
        <f>IF(H13&gt;=70,"High",IF(H13&gt;=50,"Medium","Low"))</f>
        <v>Low</v>
      </c>
      <c r="J13" s="2" t="inlineStr">
        <is>
          <t>MAINTAIN</t>
        </is>
      </c>
      <c r="K13" s="26" t="n">
        <v>6</v>
      </c>
      <c r="L13" s="26" t="n">
        <v>3</v>
      </c>
      <c r="M13" s="2" t="inlineStr">
        <is>
          <t>Queen Black</t>
        </is>
      </c>
      <c r="N13" s="26" t="n">
        <v>1842</v>
      </c>
      <c r="O13" s="9" t="n">
        <v>1.6873</v>
      </c>
      <c r="P13" s="9" t="n">
        <v>1.6873</v>
      </c>
      <c r="Q13" s="26" t="n">
        <v>16.8455</v>
      </c>
      <c r="R13" s="26" t="n">
        <v>3.27</v>
      </c>
      <c r="S13" s="26" t="n">
        <v>5.63</v>
      </c>
      <c r="T13" s="26" t="n">
        <v>2.49</v>
      </c>
      <c r="U13" s="26" t="n">
        <v>1.87</v>
      </c>
      <c r="V13" s="26" t="n">
        <v>49.6253</v>
      </c>
      <c r="W13" s="26" t="n">
        <v>46.8953</v>
      </c>
      <c r="X13" s="6" t="n">
        <v>3.87</v>
      </c>
      <c r="Y13" s="6" t="n">
        <v>2.9025</v>
      </c>
      <c r="Z13" s="6" t="n">
        <v>6.8255</v>
      </c>
      <c r="AA13" s="18">
        <f>P13*Q13/100</f>
        <v>0.2842341215</v>
      </c>
      <c r="AB13" s="6" t="n">
        <v>17.2301</v>
      </c>
      <c r="AC13" s="6" t="n">
        <v>6.74</v>
      </c>
      <c r="AD13" s="6" t="n">
        <v>1.89</v>
      </c>
      <c r="AE13" s="21">
        <f>AB13-AC13</f>
        <v>10.4901</v>
      </c>
      <c r="AF13" s="21">
        <f>AB13-AD13</f>
        <v>15.3401</v>
      </c>
      <c r="AG13" s="21">
        <f>AA13*AE13</f>
        <v>2.98164435794715</v>
      </c>
      <c r="AH13" s="21">
        <f>AA13*AF13</f>
        <v>4.36017984722215</v>
      </c>
      <c r="AI13" s="2" t="inlineStr">
        <is>
          <t>Maintain</t>
        </is>
      </c>
      <c r="AJ13" s="2" t="inlineStr">
        <is>
          <t>CVR not above market like-for-like (SQP); economics: CPO 3.5x contribution</t>
        </is>
      </c>
      <c r="AK13" s="2" t="inlineStr">
        <is>
          <t>504037860004352 D-S4-SP-satin sheets queen-...-SATIN-WHITE-QUEEN-V2 (target "satin sheets queen"); 50488152164936 D-S4-SP-satin sheets for queen-(Satin)-HSV-Exact-Rank-DO-SATIN-QUEEN-BLACK</t>
        </is>
      </c>
    </row>
    <row r="14">
      <c r="A14" s="2" t="inlineStr">
        <is>
          <t>satin sheet set</t>
        </is>
      </c>
      <c r="B14" s="9" t="n">
        <v>13.48</v>
      </c>
      <c r="C14" s="9" t="n">
        <v>8.710000000000001</v>
      </c>
      <c r="D14" s="9" t="n">
        <v>2</v>
      </c>
      <c r="E14" s="9" t="n">
        <v>2</v>
      </c>
      <c r="F14" s="9" t="n">
        <v>15</v>
      </c>
      <c r="G14" s="9" t="n">
        <v>6.23</v>
      </c>
      <c r="H14" s="2">
        <f>ROUND(SUM(B14:G14),0)</f>
        <v>47.0</v>
      </c>
      <c r="I14" s="2" t="str">
        <f>IF(H14&gt;=70,"High",IF(H14&gt;=50,"Medium","Low"))</f>
        <v>Low</v>
      </c>
      <c r="J14" s="2" t="inlineStr">
        <is>
          <t>MAINTAIN</t>
        </is>
      </c>
      <c r="K14" s="26" t="n">
        <v>9</v>
      </c>
      <c r="L14" s="26" t="n">
        <v>3</v>
      </c>
      <c r="M14" s="2" t="inlineStr">
        <is>
          <t>Queen Black</t>
        </is>
      </c>
      <c r="N14" s="26" t="n">
        <v>1025</v>
      </c>
      <c r="O14" s="9" t="n">
        <v>0.041</v>
      </c>
      <c r="P14" s="9" t="n">
        <v>0.041</v>
      </c>
      <c r="Q14" s="26" t="n">
        <v>16.1887</v>
      </c>
      <c r="R14" s="26" t="n"/>
      <c r="S14" s="26" t="n">
        <v>2.02</v>
      </c>
      <c r="T14" s="26" t="n">
        <v>1.75</v>
      </c>
      <c r="U14" s="26" t="n">
        <v>1.69</v>
      </c>
      <c r="V14" s="26" t="n">
        <v>10.2482</v>
      </c>
      <c r="W14" s="26" t="n">
        <v>27.2901</v>
      </c>
      <c r="X14" s="6" t="n">
        <v>1.2416</v>
      </c>
      <c r="Y14" s="6" t="n">
        <v>0.9312</v>
      </c>
      <c r="Z14" s="6" t="n">
        <v>0.1059</v>
      </c>
      <c r="AA14" s="18">
        <f>P14*Q14/100</f>
        <v>0.006637367000000001</v>
      </c>
      <c r="AB14" s="6" t="n">
        <v>5.7523</v>
      </c>
      <c r="AC14" s="6" t="n">
        <v>6.74</v>
      </c>
      <c r="AD14" s="6" t="n">
        <v>1.89</v>
      </c>
      <c r="AE14" s="21">
        <f>AB14-AC14</f>
        <v>-0.9877000000000002</v>
      </c>
      <c r="AF14" s="21">
        <f>AB14-AD14</f>
        <v>3.8623000000000003</v>
      </c>
      <c r="AG14" s="21">
        <f>AA14*AE14</f>
        <v>-0.006555727385900002</v>
      </c>
      <c r="AH14" s="21">
        <f>AA14*AF14</f>
        <v>0.025635502564100004</v>
      </c>
      <c r="AI14" s="2" t="inlineStr">
        <is>
          <t>Maintain</t>
        </is>
      </c>
      <c r="AJ14" s="2" t="inlineStr">
        <is>
          <t>target rank held by strong rivals</t>
        </is>
      </c>
      <c r="AK14" s="2" t="inlineStr"/>
    </row>
    <row r="15">
      <c r="A15" s="2" t="inlineStr">
        <is>
          <t>silk sheets twin</t>
        </is>
      </c>
      <c r="B15" s="9" t="n">
        <v>8.09</v>
      </c>
      <c r="C15" s="9" t="n">
        <v>20</v>
      </c>
      <c r="D15" s="9" t="n">
        <v>0</v>
      </c>
      <c r="E15" s="9" t="n">
        <v>10</v>
      </c>
      <c r="F15" s="9" t="n">
        <v>8</v>
      </c>
      <c r="G15" s="9" t="n">
        <v>0</v>
      </c>
      <c r="H15" s="2">
        <f>ROUND(SUM(B15:G15),0)</f>
        <v>46.0</v>
      </c>
      <c r="I15" s="2" t="str">
        <f>IF(H15&gt;=70,"High",IF(H15&gt;=50,"Medium","Low"))</f>
        <v>Low</v>
      </c>
      <c r="J15" s="2" t="inlineStr">
        <is>
          <t>MAINTAIN</t>
        </is>
      </c>
      <c r="K15" s="26" t="inlineStr">
        <is>
          <t>unranked</t>
        </is>
      </c>
      <c r="L15" s="26" t="n">
        <v>3</v>
      </c>
      <c r="M15" s="2" t="inlineStr">
        <is>
          <t>Twin Black (3-pc)</t>
        </is>
      </c>
      <c r="N15" s="26" t="n">
        <v>3222</v>
      </c>
      <c r="O15" s="9" t="n">
        <v>3.0131</v>
      </c>
      <c r="P15" s="9" t="n">
        <v>3.0131</v>
      </c>
      <c r="Q15" s="26" t="n">
        <v>13.2164</v>
      </c>
      <c r="R15" s="26" t="n">
        <v>5.62</v>
      </c>
      <c r="S15" s="26" t="n">
        <v>5.08</v>
      </c>
      <c r="T15" s="26" t="n">
        <v>2.78</v>
      </c>
      <c r="U15" s="26" t="n">
        <v>1.84</v>
      </c>
      <c r="V15" s="26" t="n">
        <v>84.48009999999999</v>
      </c>
      <c r="W15" s="26" t="n">
        <v>5.5226</v>
      </c>
      <c r="X15" s="6" t="n">
        <v>3.52</v>
      </c>
      <c r="Y15" s="6" t="n">
        <v>2.64</v>
      </c>
      <c r="Z15" s="6" t="n">
        <v>8.1713</v>
      </c>
      <c r="AA15" s="18">
        <f>P15*Q15/100</f>
        <v>0.3982233484</v>
      </c>
      <c r="AB15" s="6" t="n">
        <v>19.9752</v>
      </c>
      <c r="AC15" s="6" t="n">
        <v>8.69</v>
      </c>
      <c r="AD15" s="6" t="n">
        <v>4.49</v>
      </c>
      <c r="AE15" s="21">
        <f>AB15-AC15</f>
        <v>11.285200000000001</v>
      </c>
      <c r="AF15" s="21">
        <f>AB15-AD15</f>
        <v>15.4852</v>
      </c>
      <c r="AG15" s="21">
        <f>AA15*AE15</f>
        <v>4.49403013136368</v>
      </c>
      <c r="AH15" s="21">
        <f>AA15*AF15</f>
        <v>6.166568194643681</v>
      </c>
      <c r="AI15" s="2" t="inlineStr">
        <is>
          <t>Maintain</t>
        </is>
      </c>
      <c r="AJ15" s="2" t="inlineStr">
        <is>
          <t>stock to sustain; economics: CPO 3.1x contribution</t>
        </is>
      </c>
      <c r="AK15" s="2" t="inlineStr">
        <is>
          <t>108995710931187 D-S4-silk sheets twin - [Silk|Twin] - Exact - Ran - DO - SATIN-TWIN-BLACK-NEW</t>
        </is>
      </c>
    </row>
    <row r="16">
      <c r="A16" s="2" t="inlineStr">
        <is>
          <t>black satin sheets</t>
        </is>
      </c>
      <c r="B16" s="9" t="n">
        <v>10</v>
      </c>
      <c r="C16" s="9" t="n">
        <v>2</v>
      </c>
      <c r="D16" s="9" t="n">
        <v>11</v>
      </c>
      <c r="E16" s="9" t="n">
        <v>3</v>
      </c>
      <c r="F16" s="9" t="n">
        <v>15</v>
      </c>
      <c r="G16" s="9" t="n">
        <v>3.94</v>
      </c>
      <c r="H16" s="2">
        <f>ROUND(SUM(B16:G16),0)</f>
        <v>45.0</v>
      </c>
      <c r="I16" s="2" t="str">
        <f>IF(H16&gt;=70,"High",IF(H16&gt;=50,"Medium","Low"))</f>
        <v>Low</v>
      </c>
      <c r="J16" s="2" t="inlineStr">
        <is>
          <t>MAINTAIN</t>
        </is>
      </c>
      <c r="K16" s="26" t="n">
        <v>4</v>
      </c>
      <c r="L16" s="26" t="n">
        <v>3</v>
      </c>
      <c r="M16" s="2" t="inlineStr">
        <is>
          <t>Queen Black</t>
        </is>
      </c>
      <c r="N16" s="26" t="n">
        <v>3271</v>
      </c>
      <c r="O16" s="9" t="n">
        <v>0.2098</v>
      </c>
      <c r="P16" s="9" t="n">
        <v>0.2098</v>
      </c>
      <c r="Q16" s="26" t="n">
        <v>16.1887</v>
      </c>
      <c r="R16" s="26" t="n">
        <v>14.41</v>
      </c>
      <c r="S16" s="26" t="n">
        <v>8.24</v>
      </c>
      <c r="T16" s="26" t="n">
        <v>0.98</v>
      </c>
      <c r="U16" s="26" t="n">
        <v>1.93</v>
      </c>
      <c r="V16" s="26" t="n">
        <v>29.9704</v>
      </c>
      <c r="W16" s="26" t="n">
        <v>20.667</v>
      </c>
      <c r="X16" s="6" t="n">
        <v>1.5658</v>
      </c>
      <c r="Y16" s="6" t="n">
        <v>1.1744</v>
      </c>
      <c r="Z16" s="6" t="n">
        <v>0.3596</v>
      </c>
      <c r="AA16" s="18">
        <f>P16*Q16/100</f>
        <v>0.0339638926</v>
      </c>
      <c r="AB16" s="6" t="n">
        <v>7.2543</v>
      </c>
      <c r="AC16" s="6" t="n">
        <v>6.74</v>
      </c>
      <c r="AD16" s="6" t="n">
        <v>1.89</v>
      </c>
      <c r="AE16" s="21">
        <f>AB16-AC16</f>
        <v>0.5142999999999995</v>
      </c>
      <c r="AF16" s="21">
        <f>AB16-AD16</f>
        <v>5.3643</v>
      </c>
      <c r="AG16" s="21">
        <f>AA16*AE16</f>
        <v>0.01746762996417998</v>
      </c>
      <c r="AH16" s="21">
        <f>AA16*AF16</f>
        <v>0.18219250907418</v>
      </c>
      <c r="AI16" s="2" t="inlineStr">
        <is>
          <t>Maintain</t>
        </is>
      </c>
      <c r="AJ16" s="2" t="inlineStr">
        <is>
          <t>CTR not above market (SQP); economics: CPO 2.2x contribution; target rank held by strong rivals</t>
        </is>
      </c>
      <c r="AK16" s="2" t="inlineStr">
        <is>
          <t>132033654836368 D-S4-black satin sheets - [Satin] - Exact - Ran - DO - SATIN-QUEEN-BLACK</t>
        </is>
      </c>
    </row>
    <row r="17">
      <c r="A17" s="2" t="inlineStr">
        <is>
          <t>satin sheets queen size</t>
        </is>
      </c>
      <c r="B17" s="9" t="n">
        <v>9.050000000000001</v>
      </c>
      <c r="C17" s="9" t="n">
        <v>9.25</v>
      </c>
      <c r="D17" s="9" t="n">
        <v>6</v>
      </c>
      <c r="E17" s="9" t="n">
        <v>6</v>
      </c>
      <c r="F17" s="9" t="n">
        <v>12</v>
      </c>
      <c r="G17" s="9" t="n">
        <v>0</v>
      </c>
      <c r="H17" s="2">
        <f>ROUND(SUM(B17:G17),0)</f>
        <v>42.0</v>
      </c>
      <c r="I17" s="2" t="str">
        <f>IF(H17&gt;=70,"High",IF(H17&gt;=50,"Medium","Low"))</f>
        <v>Low</v>
      </c>
      <c r="J17" s="2" t="inlineStr">
        <is>
          <t>MAINTAIN</t>
        </is>
      </c>
      <c r="K17" s="26" t="n">
        <v>7</v>
      </c>
      <c r="L17" s="26" t="n">
        <v>3</v>
      </c>
      <c r="M17" s="2" t="inlineStr">
        <is>
          <t>Queen Black</t>
        </is>
      </c>
      <c r="N17" s="26" t="n">
        <v>7792</v>
      </c>
      <c r="O17" s="9" t="n">
        <v>6.8124</v>
      </c>
      <c r="P17" s="9" t="n">
        <v>6.8124</v>
      </c>
      <c r="Q17" s="26" t="n">
        <v>26.0235</v>
      </c>
      <c r="R17" s="26" t="n">
        <v>3.36</v>
      </c>
      <c r="S17" s="26" t="n">
        <v>6.83</v>
      </c>
      <c r="T17" s="26" t="n">
        <v>2</v>
      </c>
      <c r="U17" s="26" t="n">
        <v>2.1</v>
      </c>
      <c r="V17" s="26" t="n">
        <v>39.6072</v>
      </c>
      <c r="W17" s="26" t="n">
        <v>54.4663</v>
      </c>
      <c r="X17" s="6" t="n">
        <v>3.816</v>
      </c>
      <c r="Y17" s="6" t="n">
        <v>2.862</v>
      </c>
      <c r="Z17" s="6" t="n">
        <v>30.6688</v>
      </c>
      <c r="AA17" s="18">
        <f>P17*Q17/100</f>
        <v>1.772824914</v>
      </c>
      <c r="AB17" s="6" t="n">
        <v>10.9977</v>
      </c>
      <c r="AC17" s="6" t="n">
        <v>6.74</v>
      </c>
      <c r="AD17" s="6" t="n">
        <v>1.89</v>
      </c>
      <c r="AE17" s="21">
        <f>AB17-AC17</f>
        <v>4.2577</v>
      </c>
      <c r="AF17" s="21">
        <f>AB17-AD17</f>
        <v>9.1077</v>
      </c>
      <c r="AG17" s="21">
        <f>AA17*AE17</f>
        <v>7.5481566363378</v>
      </c>
      <c r="AH17" s="21">
        <f>AA17*AF17</f>
        <v>16.1463574692378</v>
      </c>
      <c r="AI17" s="2" t="inlineStr">
        <is>
          <t>Maintain</t>
        </is>
      </c>
      <c r="AJ17" s="2" t="inlineStr">
        <is>
          <t>CTR not above market (SQP); CVR not above market like-for-like (SQP); economics: CPO 3.1x contribution</t>
        </is>
      </c>
      <c r="AK17" s="2" t="inlineStr">
        <is>
          <t>504037860004352 D-S4-SP-satin sheets queen-(Satin)-HSV-Exact-Rank-DO-SATIN-WHITE-QUEEN-V2 (target "satin sheets queen size")</t>
        </is>
      </c>
    </row>
    <row r="18">
      <c r="A18" s="2" t="inlineStr">
        <is>
          <t>silk sheet set</t>
        </is>
      </c>
      <c r="B18" s="9" t="n">
        <v>7.5</v>
      </c>
      <c r="C18" s="9" t="n">
        <v>14</v>
      </c>
      <c r="D18" s="9" t="n">
        <v>0</v>
      </c>
      <c r="E18" s="9" t="n">
        <v>6</v>
      </c>
      <c r="F18" s="9" t="n">
        <v>15</v>
      </c>
      <c r="G18" s="9" t="n">
        <v>0</v>
      </c>
      <c r="H18" s="2">
        <f>ROUND(SUM(B18:G18),0)</f>
        <v>43.0</v>
      </c>
      <c r="I18" s="2" t="str">
        <f>IF(H18&gt;=70,"High",IF(H18&gt;=50,"Medium","Low"))</f>
        <v>Low</v>
      </c>
      <c r="J18" s="2" t="inlineStr">
        <is>
          <t>MAINTAIN</t>
        </is>
      </c>
      <c r="K18" s="26" t="n">
        <v>25</v>
      </c>
      <c r="L18" s="26" t="n">
        <v>3</v>
      </c>
      <c r="M18" s="2" t="inlineStr">
        <is>
          <t>Queen Black</t>
        </is>
      </c>
      <c r="N18" s="26" t="n">
        <v>1674</v>
      </c>
      <c r="O18" s="9" t="n">
        <v>0.1321</v>
      </c>
      <c r="P18" s="9" t="n">
        <v>0.1321</v>
      </c>
      <c r="Q18" s="26" t="n">
        <v>8.7112</v>
      </c>
      <c r="R18" s="26" t="n"/>
      <c r="S18" s="26" t="n">
        <v>2.32</v>
      </c>
      <c r="T18" s="26" t="n">
        <v>2.52</v>
      </c>
      <c r="U18" s="26" t="n">
        <v>1.67</v>
      </c>
      <c r="V18" s="26" t="n">
        <v>30.4747</v>
      </c>
      <c r="W18" s="26" t="n">
        <v>16.2534</v>
      </c>
      <c r="X18" s="6" t="n">
        <v>1.287</v>
      </c>
      <c r="Y18" s="6" t="n">
        <v>0.9651999999999999</v>
      </c>
      <c r="Z18" s="6" t="n">
        <v>0.1728</v>
      </c>
      <c r="AA18" s="18">
        <f>P18*Q18/100</f>
        <v>0.0115074952</v>
      </c>
      <c r="AB18" s="6" t="n">
        <v>11.0802</v>
      </c>
      <c r="AC18" s="6" t="n">
        <v>6.74</v>
      </c>
      <c r="AD18" s="6" t="n">
        <v>1.89</v>
      </c>
      <c r="AE18" s="21">
        <f>AB18-AC18</f>
        <v>4.340199999999999</v>
      </c>
      <c r="AF18" s="21">
        <f>AB18-AD18</f>
        <v>9.190199999999999</v>
      </c>
      <c r="AG18" s="21">
        <f>AA18*AE18</f>
        <v>0.049944830667039995</v>
      </c>
      <c r="AH18" s="21">
        <f>AA18*AF18</f>
        <v>0.10575618238703999</v>
      </c>
      <c r="AI18" s="2" t="inlineStr">
        <is>
          <t>Maintain</t>
        </is>
      </c>
      <c r="AJ18" s="2" t="inlineStr">
        <is>
          <t>CVR not above market like-for-like (SQP); economics: CPO 3.4x contribution</t>
        </is>
      </c>
      <c r="AK18" s="2" t="inlineStr"/>
    </row>
    <row r="19">
      <c r="A19" s="2" t="inlineStr">
        <is>
          <t>satin bed sheets</t>
        </is>
      </c>
      <c r="B19" s="9" t="n">
        <v>7.5</v>
      </c>
      <c r="C19" s="9" t="n">
        <v>2</v>
      </c>
      <c r="D19" s="9" t="n">
        <v>2</v>
      </c>
      <c r="E19" s="9" t="n">
        <v>2</v>
      </c>
      <c r="F19" s="9" t="n">
        <v>15</v>
      </c>
      <c r="G19" s="9" t="n">
        <v>9.09</v>
      </c>
      <c r="H19" s="2">
        <f>ROUND(SUM(B19:G19),0)</f>
        <v>38.0</v>
      </c>
      <c r="I19" s="2" t="str">
        <f>IF(H19&gt;=70,"High",IF(H19&gt;=50,"Medium","Low"))</f>
        <v>Low</v>
      </c>
      <c r="J19" s="2" t="inlineStr">
        <is>
          <t>MAINTAIN</t>
        </is>
      </c>
      <c r="K19" s="26" t="n">
        <v>12</v>
      </c>
      <c r="L19" s="26" t="n">
        <v>3</v>
      </c>
      <c r="M19" s="2" t="inlineStr">
        <is>
          <t>Queen Black</t>
        </is>
      </c>
      <c r="N19" s="26" t="n">
        <v>4438</v>
      </c>
      <c r="O19" s="9" t="n">
        <v>0.039</v>
      </c>
      <c r="P19" s="9" t="n">
        <v>0.039</v>
      </c>
      <c r="Q19" s="26" t="n">
        <v>16.1887</v>
      </c>
      <c r="R19" s="26" t="n"/>
      <c r="S19" s="26" t="n">
        <v>3.34</v>
      </c>
      <c r="T19" s="26" t="n">
        <v>0.89</v>
      </c>
      <c r="U19" s="26" t="n">
        <v>1.92</v>
      </c>
      <c r="V19" s="26" t="n">
        <v>6.1505</v>
      </c>
      <c r="W19" s="26" t="n">
        <v>37.758</v>
      </c>
      <c r="X19" s="6" t="n">
        <v>0.8367</v>
      </c>
      <c r="Y19" s="6" t="n">
        <v>0.8143</v>
      </c>
      <c r="Z19" s="6" t="n">
        <v>0.1318</v>
      </c>
      <c r="AA19" s="18">
        <f>P19*Q19/100</f>
        <v>0.006313593000000001</v>
      </c>
      <c r="AB19" s="6" t="n">
        <v>5.03</v>
      </c>
      <c r="AC19" s="6" t="n">
        <v>6.74</v>
      </c>
      <c r="AD19" s="6" t="n">
        <v>1.89</v>
      </c>
      <c r="AE19" s="21">
        <f>AB19-AC19</f>
        <v>-1.71</v>
      </c>
      <c r="AF19" s="21">
        <f>AB19-AD19</f>
        <v>3.1400000000000006</v>
      </c>
      <c r="AG19" s="21">
        <f>AA19*AE19</f>
        <v>-0.01079624403</v>
      </c>
      <c r="AH19" s="21">
        <f>AA19*AF19</f>
        <v>0.01982468202000001</v>
      </c>
      <c r="AI19" s="2" t="inlineStr">
        <is>
          <t>Maintain</t>
        </is>
      </c>
      <c r="AJ19" s="2" t="inlineStr">
        <is>
          <t>CTR not above market (SQP); CVR not above market like-for-like (SQP); target rank held by strong rivals</t>
        </is>
      </c>
      <c r="AK19" s="2" t="inlineStr"/>
    </row>
    <row r="20">
      <c r="A20" s="2" t="inlineStr">
        <is>
          <t>queen silk sheets set</t>
        </is>
      </c>
      <c r="B20" s="9" t="n">
        <v>2.09</v>
      </c>
      <c r="C20" s="9" t="n">
        <v>8.300000000000001</v>
      </c>
      <c r="D20" s="9" t="n">
        <v>4</v>
      </c>
      <c r="E20" s="9" t="n">
        <v>4</v>
      </c>
      <c r="F20" s="9" t="n">
        <v>15</v>
      </c>
      <c r="G20" s="9" t="n">
        <v>4.3</v>
      </c>
      <c r="H20" s="2">
        <f>ROUND(SUM(B20:G20),0)</f>
        <v>38.0</v>
      </c>
      <c r="I20" s="2" t="str">
        <f>IF(H20&gt;=70,"High",IF(H20&gt;=50,"Medium","Low"))</f>
        <v>Low</v>
      </c>
      <c r="J20" s="2" t="inlineStr">
        <is>
          <t>MAINTAIN</t>
        </is>
      </c>
      <c r="K20" s="26" t="n">
        <v>9</v>
      </c>
      <c r="L20" s="26" t="n">
        <v>3</v>
      </c>
      <c r="M20" s="2" t="inlineStr">
        <is>
          <t>Queen Black</t>
        </is>
      </c>
      <c r="N20" s="26" t="n">
        <v>3324</v>
      </c>
      <c r="O20" s="9" t="n">
        <v>1.3658</v>
      </c>
      <c r="P20" s="9" t="n">
        <v>1.3658</v>
      </c>
      <c r="Q20" s="26" t="n">
        <v>19.1367</v>
      </c>
      <c r="R20" s="26" t="n">
        <v>7.88</v>
      </c>
      <c r="S20" s="26" t="n">
        <v>9.32</v>
      </c>
      <c r="T20" s="26" t="n">
        <v>1.43</v>
      </c>
      <c r="U20" s="26" t="n">
        <v>2</v>
      </c>
      <c r="V20" s="26" t="n">
        <v>80.3434</v>
      </c>
      <c r="W20" s="26" t="n">
        <v>5.6894</v>
      </c>
      <c r="X20" s="6" t="n">
        <v>1.872</v>
      </c>
      <c r="Y20" s="6" t="n">
        <v>1.404</v>
      </c>
      <c r="Z20" s="6" t="n">
        <v>1.9931</v>
      </c>
      <c r="AA20" s="18">
        <f>P20*Q20/100</f>
        <v>0.2613690486</v>
      </c>
      <c r="AB20" s="6" t="n">
        <v>7.3367</v>
      </c>
      <c r="AC20" s="6" t="n">
        <v>6.74</v>
      </c>
      <c r="AD20" s="6" t="n">
        <v>1.89</v>
      </c>
      <c r="AE20" s="21">
        <f>AB20-AC20</f>
        <v>0.5967000000000002</v>
      </c>
      <c r="AF20" s="21">
        <f>AB20-AD20</f>
        <v>5.446700000000001</v>
      </c>
      <c r="AG20" s="21">
        <f>AA20*AE20</f>
        <v>0.15595891129962006</v>
      </c>
      <c r="AH20" s="21">
        <f>AA20*AF20</f>
        <v>1.4235987970096202</v>
      </c>
      <c r="AI20" s="2" t="inlineStr">
        <is>
          <t>Maintain</t>
        </is>
      </c>
      <c r="AJ20" s="2" t="inlineStr">
        <is>
          <t>CTR not above market (SQP); CVR not above market like-for-like (SQP); economics: CPO 2.1x contribution; target rank held by strong rivals</t>
        </is>
      </c>
      <c r="AK20" s="2" t="inlineStr">
        <is>
          <t>19421880211317 D-S4-queen silk sheets set - [Silk|Queen] - Exact - Ran - DO - SATIN-QUEEN-BLACK</t>
        </is>
      </c>
    </row>
    <row r="21">
      <c r="A21" s="2" t="inlineStr">
        <is>
          <t>silk bed sheets</t>
        </is>
      </c>
      <c r="B21" s="9" t="n">
        <v>6.99</v>
      </c>
      <c r="C21" s="9" t="n">
        <v>8</v>
      </c>
      <c r="D21" s="9" t="n">
        <v>0</v>
      </c>
      <c r="E21" s="9" t="n">
        <v>7</v>
      </c>
      <c r="F21" s="9" t="n">
        <v>15</v>
      </c>
      <c r="G21" s="9" t="n">
        <v>0</v>
      </c>
      <c r="H21" s="2">
        <f>ROUND(SUM(B21:G21),0)</f>
        <v>37.0</v>
      </c>
      <c r="I21" s="2" t="str">
        <f>IF(H21&gt;=70,"High",IF(H21&gt;=50,"Medium","Low"))</f>
        <v>Low</v>
      </c>
      <c r="J21" s="2" t="inlineStr">
        <is>
          <t>MAINTAIN</t>
        </is>
      </c>
      <c r="K21" s="26" t="n">
        <v>19</v>
      </c>
      <c r="L21" s="26" t="n">
        <v>3</v>
      </c>
      <c r="M21" s="2" t="inlineStr">
        <is>
          <t>Queen Black</t>
        </is>
      </c>
      <c r="N21" s="26" t="n">
        <v>12374</v>
      </c>
      <c r="O21" s="9" t="n">
        <v>1.0654</v>
      </c>
      <c r="P21" s="9" t="n">
        <v>1.0654</v>
      </c>
      <c r="Q21" s="26" t="n">
        <v>9.891</v>
      </c>
      <c r="R21" s="26" t="n">
        <v>1.26</v>
      </c>
      <c r="S21" s="26" t="n">
        <v>2.91</v>
      </c>
      <c r="T21" s="26" t="n">
        <v>0.77</v>
      </c>
      <c r="U21" s="26" t="n">
        <v>1.79</v>
      </c>
      <c r="V21" s="26" t="n">
        <v>37.6032</v>
      </c>
      <c r="W21" s="26" t="n">
        <v>22.1323</v>
      </c>
      <c r="X21" s="6" t="n">
        <v>1.6541</v>
      </c>
      <c r="Y21" s="6" t="n">
        <v>1.2405</v>
      </c>
      <c r="Z21" s="6" t="n">
        <v>1.8403</v>
      </c>
      <c r="AA21" s="18">
        <f>P21*Q21/100</f>
        <v>0.10537871399999998</v>
      </c>
      <c r="AB21" s="6" t="n">
        <v>12.5422</v>
      </c>
      <c r="AC21" s="6" t="n">
        <v>6.74</v>
      </c>
      <c r="AD21" s="6" t="n">
        <v>1.89</v>
      </c>
      <c r="AE21" s="21">
        <f>AB21-AC21</f>
        <v>5.802199999999999</v>
      </c>
      <c r="AF21" s="21">
        <f>AB21-AD21</f>
        <v>10.652199999999999</v>
      </c>
      <c r="AG21" s="21">
        <f>AA21*AE21</f>
        <v>0.6114283743707998</v>
      </c>
      <c r="AH21" s="21">
        <f>AA21*AF21</f>
        <v>1.1225151372707998</v>
      </c>
      <c r="AI21" s="2" t="inlineStr">
        <is>
          <t>Maintain</t>
        </is>
      </c>
      <c r="AJ21" s="2" t="inlineStr">
        <is>
          <t>CTR not above market (SQP); CVR not above market like-for-like (SQP); economics: CPO 3.8x contribution</t>
        </is>
      </c>
      <c r="AK21" s="2" t="inlineStr">
        <is>
          <t>34608790713465 D-S4-SP-EXACT-silk bedsheets-Silk-SATIN-QUEEN-BLACK</t>
        </is>
      </c>
    </row>
    <row r="22">
      <c r="A22" s="2" t="inlineStr">
        <is>
          <t>queen satin sheet set</t>
        </is>
      </c>
      <c r="B22" s="9" t="n">
        <v>0</v>
      </c>
      <c r="C22" s="9" t="n">
        <v>2.48</v>
      </c>
      <c r="D22" s="9" t="n">
        <v>6</v>
      </c>
      <c r="E22" s="9" t="n">
        <v>9</v>
      </c>
      <c r="F22" s="9" t="n">
        <v>15</v>
      </c>
      <c r="G22" s="9" t="n">
        <v>3.13</v>
      </c>
      <c r="H22" s="2">
        <f>ROUND(SUM(B22:G22),0)</f>
        <v>36.0</v>
      </c>
      <c r="I22" s="2" t="str">
        <f>IF(H22&gt;=70,"High",IF(H22&gt;=50,"Medium","Low"))</f>
        <v>Low</v>
      </c>
      <c r="J22" s="2" t="inlineStr">
        <is>
          <t>MAINTAIN</t>
        </is>
      </c>
      <c r="K22" s="26" t="n">
        <v>6</v>
      </c>
      <c r="L22" s="26" t="n">
        <v>3</v>
      </c>
      <c r="M22" s="2" t="inlineStr">
        <is>
          <t>Queen Black</t>
        </is>
      </c>
      <c r="N22" s="26" t="n">
        <v>2274</v>
      </c>
      <c r="O22" s="9" t="n">
        <v>0.5635</v>
      </c>
      <c r="P22" s="9" t="n">
        <v>0.5635</v>
      </c>
      <c r="Q22" s="26" t="n">
        <v>18.2162</v>
      </c>
      <c r="R22" s="26" t="n">
        <v>5.6</v>
      </c>
      <c r="S22" s="26" t="n">
        <v>9.77</v>
      </c>
      <c r="T22" s="26" t="n">
        <v>1.47</v>
      </c>
      <c r="U22" s="26" t="n">
        <v>2.03</v>
      </c>
      <c r="V22" s="26" t="n">
        <v>52.8305</v>
      </c>
      <c r="W22" s="26" t="n">
        <v>14.9091</v>
      </c>
      <c r="X22" s="6" t="n">
        <v>1.925</v>
      </c>
      <c r="Y22" s="6" t="n">
        <v>1.4438</v>
      </c>
      <c r="Z22" s="6" t="n">
        <v>1.0585</v>
      </c>
      <c r="AA22" s="18">
        <f>P22*Q22/100</f>
        <v>0.102648287</v>
      </c>
      <c r="AB22" s="6" t="n">
        <v>7.9256</v>
      </c>
      <c r="AC22" s="6" t="n">
        <v>6.74</v>
      </c>
      <c r="AD22" s="6" t="n">
        <v>1.89</v>
      </c>
      <c r="AE22" s="21">
        <f>AB22-AC22</f>
        <v>1.1856</v>
      </c>
      <c r="AF22" s="21">
        <f>AB22-AD22</f>
        <v>6.0356000000000005</v>
      </c>
      <c r="AG22" s="21">
        <f>AA22*AE22</f>
        <v>0.1216998090672</v>
      </c>
      <c r="AH22" s="21">
        <f>AA22*AF22</f>
        <v>0.6195440010172001</v>
      </c>
      <c r="AI22" s="2" t="inlineStr">
        <is>
          <t>Maintain</t>
        </is>
      </c>
      <c r="AJ22" s="2" t="inlineStr">
        <is>
          <t>CTR not above market (SQP); CVR not above market like-for-like (SQP); economics: CPO 2.4x contribution</t>
        </is>
      </c>
      <c r="AK22" s="2" t="inlineStr">
        <is>
          <t>243989248483473 D-S4-SP-queen size satin sheets set-(Satin)-MSV-Exact-Rank-DO-SS-SATIN-RED-QUEEN-4PCS</t>
        </is>
      </c>
    </row>
    <row r="23">
      <c r="A23" s="2" t="inlineStr">
        <is>
          <t>silk bed sheets queen</t>
        </is>
      </c>
      <c r="B23" s="9" t="n">
        <v>3.31</v>
      </c>
      <c r="C23" s="9" t="n">
        <v>8</v>
      </c>
      <c r="D23" s="9" t="n">
        <v>0</v>
      </c>
      <c r="E23" s="9" t="n">
        <v>7</v>
      </c>
      <c r="F23" s="9" t="n">
        <v>15</v>
      </c>
      <c r="G23" s="9" t="n">
        <v>2.21</v>
      </c>
      <c r="H23" s="2">
        <f>ROUND(SUM(B23:G23),0)</f>
        <v>36.0</v>
      </c>
      <c r="I23" s="2" t="str">
        <f>IF(H23&gt;=70,"High",IF(H23&gt;=50,"Medium","Low"))</f>
        <v>Low</v>
      </c>
      <c r="J23" s="2" t="inlineStr">
        <is>
          <t>MAINTAIN</t>
        </is>
      </c>
      <c r="K23" s="26" t="n">
        <v>14</v>
      </c>
      <c r="L23" s="26" t="n">
        <v>3</v>
      </c>
      <c r="M23" s="2" t="inlineStr">
        <is>
          <t>Queen Black</t>
        </is>
      </c>
      <c r="N23" s="26" t="n">
        <v>4954</v>
      </c>
      <c r="O23" s="9" t="n">
        <v>0.7004</v>
      </c>
      <c r="P23" s="9" t="n">
        <v>0.7004</v>
      </c>
      <c r="Q23" s="26" t="n">
        <v>15.0112</v>
      </c>
      <c r="R23" s="26" t="n">
        <v>2.28</v>
      </c>
      <c r="S23" s="26" t="n">
        <v>5.64</v>
      </c>
      <c r="T23" s="26" t="n">
        <v>1.13</v>
      </c>
      <c r="U23" s="26" t="n">
        <v>1.79</v>
      </c>
      <c r="V23" s="26" t="n">
        <v>48.8631</v>
      </c>
      <c r="W23" s="26" t="n">
        <v>9.2835</v>
      </c>
      <c r="X23" s="6" t="n">
        <v>1.86</v>
      </c>
      <c r="Y23" s="6" t="n">
        <v>1.395</v>
      </c>
      <c r="Z23" s="6" t="n">
        <v>1.2245</v>
      </c>
      <c r="AA23" s="18">
        <f>P23*Q23/100</f>
        <v>0.10513844480000001</v>
      </c>
      <c r="AB23" s="6" t="n">
        <v>9.293100000000001</v>
      </c>
      <c r="AC23" s="6" t="n">
        <v>6.74</v>
      </c>
      <c r="AD23" s="6" t="n">
        <v>1.89</v>
      </c>
      <c r="AE23" s="21">
        <f>AB23-AC23</f>
        <v>2.5531000000000006</v>
      </c>
      <c r="AF23" s="21">
        <f>AB23-AD23</f>
        <v>7.403100000000001</v>
      </c>
      <c r="AG23" s="21">
        <f>AA23*AE23</f>
        <v>0.26842896341888006</v>
      </c>
      <c r="AH23" s="21">
        <f>AA23*AF23</f>
        <v>0.7783504206988802</v>
      </c>
      <c r="AI23" s="2" t="inlineStr">
        <is>
          <t>Maintain</t>
        </is>
      </c>
      <c r="AJ23" s="2" t="inlineStr">
        <is>
          <t>CTR not above market (SQP); CVR not above market like-for-like (SQP); economics: CPO 2.6x contribution</t>
        </is>
      </c>
      <c r="AK23" s="2" t="inlineStr">
        <is>
          <t>221215321421557 D-S4-SP-EXACT-silk bedsheets queen-Silk|Queen-SATIN-QUEEN-BLACK (PAUSED); 99038470646931 D-S4-silk bed sheets queen - [Silk|Queen] - Exact - Ran - DO - SATIN-QUEEN-BLACK</t>
        </is>
      </c>
    </row>
    <row r="24">
      <c r="A24" s="2" t="inlineStr">
        <is>
          <t>satin sheets twin</t>
        </is>
      </c>
      <c r="B24" s="9" t="n">
        <v>10</v>
      </c>
      <c r="C24" s="9" t="n">
        <v>2</v>
      </c>
      <c r="D24" s="9" t="n">
        <v>0</v>
      </c>
      <c r="E24" s="9" t="n">
        <v>10</v>
      </c>
      <c r="F24" s="9" t="n">
        <v>8</v>
      </c>
      <c r="G24" s="9" t="n">
        <v>4.88</v>
      </c>
      <c r="H24" s="2">
        <f>ROUND(SUM(B24:G24),0)</f>
        <v>35.0</v>
      </c>
      <c r="I24" s="2" t="str">
        <f>IF(H24&gt;=70,"High",IF(H24&gt;=50,"Medium","Low"))</f>
        <v>Low</v>
      </c>
      <c r="J24" s="2" t="inlineStr">
        <is>
          <t>MAINTAIN</t>
        </is>
      </c>
      <c r="K24" s="26" t="n">
        <v>106</v>
      </c>
      <c r="L24" s="26" t="n">
        <v>3</v>
      </c>
      <c r="M24" s="2" t="inlineStr">
        <is>
          <t>Twin Black (3-pc)</t>
        </is>
      </c>
      <c r="N24" s="26" t="n">
        <v>2274</v>
      </c>
      <c r="O24" s="9" t="n">
        <v>0.0264</v>
      </c>
      <c r="P24" s="9" t="n">
        <v>0.0264</v>
      </c>
      <c r="Q24" s="26" t="n">
        <v>6.0224</v>
      </c>
      <c r="R24" s="26" t="n"/>
      <c r="S24" s="26" t="n">
        <v>4.6</v>
      </c>
      <c r="T24" s="26" t="n">
        <v>0.74</v>
      </c>
      <c r="U24" s="26" t="n">
        <v>1.88</v>
      </c>
      <c r="V24" s="26" t="n">
        <v>7.9227</v>
      </c>
      <c r="W24" s="26" t="n">
        <v>30.0133</v>
      </c>
      <c r="X24" s="6" t="n">
        <v>0.901</v>
      </c>
      <c r="Y24" s="6" t="n">
        <v>0.6757</v>
      </c>
      <c r="Z24" s="6" t="n">
        <v>0.0629</v>
      </c>
      <c r="AA24" s="18">
        <f>P24*Q24/100</f>
        <v>0.0015899136</v>
      </c>
      <c r="AB24" s="6" t="n">
        <v>11.2205</v>
      </c>
      <c r="AC24" s="6" t="n">
        <v>8.69</v>
      </c>
      <c r="AD24" s="6" t="n">
        <v>4.49</v>
      </c>
      <c r="AE24" s="21">
        <f>AB24-AC24</f>
        <v>2.5305</v>
      </c>
      <c r="AF24" s="21">
        <f>AB24-AD24</f>
        <v>6.730499999999999</v>
      </c>
      <c r="AG24" s="21">
        <f>AA24*AE24</f>
        <v>0.0040232763648</v>
      </c>
      <c r="AH24" s="21">
        <f>AA24*AF24</f>
        <v>0.0107009134848</v>
      </c>
      <c r="AI24" s="2" t="inlineStr">
        <is>
          <t>Maintain</t>
        </is>
      </c>
      <c r="AJ24" s="2" t="inlineStr">
        <is>
          <t>CTR not above market (SQP); stock to sustain; economics: CPO 2.0x contribution</t>
        </is>
      </c>
      <c r="AK24" s="2" t="inlineStr"/>
    </row>
    <row r="25">
      <c r="A25" s="2" t="inlineStr">
        <is>
          <t>silk queen bed sheets set</t>
        </is>
      </c>
      <c r="B25" s="9" t="n">
        <v>3.11</v>
      </c>
      <c r="C25" s="9" t="n">
        <v>5.43</v>
      </c>
      <c r="D25" s="9" t="n">
        <v>2</v>
      </c>
      <c r="E25" s="9" t="n">
        <v>4</v>
      </c>
      <c r="F25" s="9" t="n">
        <v>15</v>
      </c>
      <c r="G25" s="9" t="n">
        <v>2.59</v>
      </c>
      <c r="H25" s="2">
        <f>ROUND(SUM(B25:G25),0)</f>
        <v>32.0</v>
      </c>
      <c r="I25" s="2" t="str">
        <f>IF(H25&gt;=70,"High",IF(H25&gt;=50,"Medium","Low"))</f>
        <v>Low</v>
      </c>
      <c r="J25" s="2" t="inlineStr">
        <is>
          <t>MAINTAIN</t>
        </is>
      </c>
      <c r="K25" s="26" t="n">
        <v>12</v>
      </c>
      <c r="L25" s="26" t="n">
        <v>3</v>
      </c>
      <c r="M25" s="2" t="inlineStr">
        <is>
          <t>Queen Black</t>
        </is>
      </c>
      <c r="N25" s="26" t="n">
        <v>3492</v>
      </c>
      <c r="O25" s="9" t="n">
        <v>1.5997</v>
      </c>
      <c r="P25" s="9" t="n">
        <v>1.5997</v>
      </c>
      <c r="Q25" s="26" t="n">
        <v>17.7565</v>
      </c>
      <c r="R25" s="26" t="n">
        <v>3.44</v>
      </c>
      <c r="S25" s="26" t="n">
        <v>6.77</v>
      </c>
      <c r="T25" s="26" t="n">
        <v>1.37</v>
      </c>
      <c r="U25" s="26" t="n">
        <v>1.92</v>
      </c>
      <c r="V25" s="26" t="n">
        <v>59.989</v>
      </c>
      <c r="W25" s="26" t="n">
        <v>34.9959</v>
      </c>
      <c r="X25" s="6" t="n">
        <v>1.9281</v>
      </c>
      <c r="Y25" s="6" t="n">
        <v>1.4461</v>
      </c>
      <c r="Z25" s="6" t="n">
        <v>3.213</v>
      </c>
      <c r="AA25" s="18">
        <f>P25*Q25/100</f>
        <v>0.28405073049999996</v>
      </c>
      <c r="AB25" s="6" t="n">
        <v>8.1441</v>
      </c>
      <c r="AC25" s="6" t="n">
        <v>6.74</v>
      </c>
      <c r="AD25" s="6" t="n">
        <v>1.89</v>
      </c>
      <c r="AE25" s="21">
        <f>AB25-AC25</f>
        <v>1.4040999999999997</v>
      </c>
      <c r="AF25" s="21">
        <f>AB25-AD25</f>
        <v>6.2541</v>
      </c>
      <c r="AG25" s="21">
        <f>AA25*AE25</f>
        <v>0.39883563069504985</v>
      </c>
      <c r="AH25" s="21">
        <f>AA25*AF25</f>
        <v>1.7764816736200497</v>
      </c>
      <c r="AI25" s="2" t="inlineStr">
        <is>
          <t>Maintain</t>
        </is>
      </c>
      <c r="AJ25" s="2" t="inlineStr">
        <is>
          <t>CTR not above market (SQP); CVR not above market like-for-like (SQP); economics: CPO 2.5x contribution; target rank held by strong rivals</t>
        </is>
      </c>
      <c r="AK25" s="2" t="inlineStr">
        <is>
          <t>152302990884047 D-S4-silk queen bed sheets set - [Silk|Queen] - Exact - Ran - DO - SATIN-QUEEN-BLACK</t>
        </is>
      </c>
    </row>
    <row r="26">
      <c r="A26" s="2" t="inlineStr">
        <is>
          <t>silk sheets</t>
        </is>
      </c>
      <c r="B26" s="9" t="n">
        <v>14.2</v>
      </c>
      <c r="C26" s="9" t="n">
        <v>4.67</v>
      </c>
      <c r="D26" s="9" t="n">
        <v>0</v>
      </c>
      <c r="E26" s="9" t="n">
        <v>7</v>
      </c>
      <c r="F26" s="9" t="n">
        <v>3</v>
      </c>
      <c r="G26" s="9" t="n">
        <v>0</v>
      </c>
      <c r="H26" s="2">
        <f>ROUND(SUM(B26:G26),0)</f>
        <v>29.0</v>
      </c>
      <c r="I26" s="2" t="str">
        <f>IF(H26&gt;=70,"High",IF(H26&gt;=50,"Medium","Low"))</f>
        <v>Low</v>
      </c>
      <c r="J26" s="2" t="inlineStr">
        <is>
          <t>MAINTAIN</t>
        </is>
      </c>
      <c r="K26" s="26" t="n">
        <v>28</v>
      </c>
      <c r="L26" s="26" t="n">
        <v>3</v>
      </c>
      <c r="M26" s="2" t="inlineStr">
        <is>
          <t>Queen Grey</t>
        </is>
      </c>
      <c r="N26" s="26" t="n">
        <v>51852</v>
      </c>
      <c r="O26" s="9" t="n">
        <v>3.749</v>
      </c>
      <c r="P26" s="9" t="n">
        <v>3.749</v>
      </c>
      <c r="Q26" s="26" t="n">
        <v>14.4216</v>
      </c>
      <c r="R26" s="26" t="n">
        <v>1.07</v>
      </c>
      <c r="S26" s="26" t="n">
        <v>2.98</v>
      </c>
      <c r="T26" s="26" t="n">
        <v>1.04</v>
      </c>
      <c r="U26" s="26" t="n">
        <v>1.66</v>
      </c>
      <c r="V26" s="26" t="n">
        <v>52.5559</v>
      </c>
      <c r="W26" s="26" t="n">
        <v>17.7053</v>
      </c>
      <c r="X26" s="6" t="n">
        <v>2.254</v>
      </c>
      <c r="Y26" s="6" t="n">
        <v>1.6905</v>
      </c>
      <c r="Z26" s="6" t="n">
        <v>7.5754</v>
      </c>
      <c r="AA26" s="18">
        <f>P26*Q26/100</f>
        <v>0.540665784</v>
      </c>
      <c r="AB26" s="6" t="n">
        <v>11.722</v>
      </c>
      <c r="AC26" s="6" t="n">
        <v>3.28</v>
      </c>
      <c r="AD26" s="6" t="n"/>
      <c r="AE26" s="21">
        <f>AB26-AC26</f>
        <v>8.442</v>
      </c>
      <c r="AF26" s="21" t="n"/>
      <c r="AG26" s="21">
        <f>AA26*AE26</f>
        <v>4.564300548528</v>
      </c>
      <c r="AH26" s="21" t="n"/>
      <c r="AI26" s="2" t="inlineStr">
        <is>
          <t>Maintain</t>
        </is>
      </c>
      <c r="AJ26" s="2" t="inlineStr">
        <is>
          <t>CTR not above market (SQP); CVR not above market like-for-like (SQP); stock to sustain; economics: CPO 5.1x contribution</t>
        </is>
      </c>
      <c r="AK26" s="2" t="inlineStr">
        <is>
          <t>520117564893402 SATIN-QUEEN-GREY SP - Silk Sheets - Exact 091323</t>
        </is>
      </c>
    </row>
    <row r="27">
      <c r="A27" s="2" t="inlineStr">
        <is>
          <t>black silk sheets</t>
        </is>
      </c>
      <c r="B27" s="9" t="n">
        <v>0.48</v>
      </c>
      <c r="C27" s="9" t="n">
        <v>6.66</v>
      </c>
      <c r="D27" s="9" t="n">
        <v>2</v>
      </c>
      <c r="E27" s="9" t="n">
        <v>5</v>
      </c>
      <c r="F27" s="9" t="n">
        <v>15</v>
      </c>
      <c r="G27" s="9" t="n">
        <v>0</v>
      </c>
      <c r="H27" s="2">
        <f>ROUND(SUM(B27:G27),0)</f>
        <v>29.0</v>
      </c>
      <c r="I27" s="2" t="str">
        <f>IF(H27&gt;=70,"High",IF(H27&gt;=50,"Medium","Low"))</f>
        <v>Low</v>
      </c>
      <c r="J27" s="2" t="inlineStr">
        <is>
          <t>MAINTAIN</t>
        </is>
      </c>
      <c r="K27" s="26" t="n">
        <v>10</v>
      </c>
      <c r="L27" s="26" t="n">
        <v>3</v>
      </c>
      <c r="M27" s="2" t="inlineStr">
        <is>
          <t>Queen Black</t>
        </is>
      </c>
      <c r="N27" s="26" t="n">
        <v>6231</v>
      </c>
      <c r="O27" s="9" t="n">
        <v>2.9281</v>
      </c>
      <c r="P27" s="9" t="n">
        <v>2.9281</v>
      </c>
      <c r="Q27" s="26" t="n">
        <v>6.4708</v>
      </c>
      <c r="R27" s="26" t="n">
        <v>5.61</v>
      </c>
      <c r="S27" s="26" t="n">
        <v>7.6</v>
      </c>
      <c r="T27" s="26" t="n">
        <v>1.45</v>
      </c>
      <c r="U27" s="26" t="n">
        <v>2.16</v>
      </c>
      <c r="V27" s="26" t="n">
        <v>57.7922</v>
      </c>
      <c r="W27" s="26" t="n">
        <v>33.7662</v>
      </c>
      <c r="X27" s="6" t="n">
        <v>1.8772</v>
      </c>
      <c r="Y27" s="6" t="n">
        <v>1.4079</v>
      </c>
      <c r="Z27" s="6" t="n">
        <v>5.7283</v>
      </c>
      <c r="AA27" s="18">
        <f>P27*Q27/100</f>
        <v>0.1894714948</v>
      </c>
      <c r="AB27" s="6" t="n">
        <v>21.7576</v>
      </c>
      <c r="AC27" s="6" t="n">
        <v>6.74</v>
      </c>
      <c r="AD27" s="6" t="n">
        <v>1.89</v>
      </c>
      <c r="AE27" s="21">
        <f>AB27-AC27</f>
        <v>15.0176</v>
      </c>
      <c r="AF27" s="21">
        <f>AB27-AD27</f>
        <v>19.8676</v>
      </c>
      <c r="AG27" s="21">
        <f>AA27*AE27</f>
        <v>2.84540712030848</v>
      </c>
      <c r="AH27" s="21">
        <f>AA27*AF27</f>
        <v>3.7643438700884797</v>
      </c>
      <c r="AI27" s="2" t="inlineStr">
        <is>
          <t>Maintain</t>
        </is>
      </c>
      <c r="AJ27" s="2" t="inlineStr">
        <is>
          <t>CTR not above market (SQP); CVR not above market like-for-like (SQP); economics: CPO 6.3x contribution; target rank held by strong rivals</t>
        </is>
      </c>
      <c r="AK27" s="2" t="inlineStr">
        <is>
          <t>234075729975572 D-S4-black silk sheets - [Silk] - Exact - Ran - DO - SATIN-QUEEN-BLACK</t>
        </is>
      </c>
    </row>
  </sheetData>
  <autoFilter ref="A1:AK2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7"/>
  <sheetViews>
    <sheetView showGridLines="1"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14" customWidth="1" min="2" max="2"/>
    <col width="12" customWidth="1" min="3" max="3"/>
    <col width="16" customWidth="1" min="4" max="4"/>
    <col width="34" customWidth="1" min="5" max="5"/>
    <col width="48" customWidth="1" min="6" max="6"/>
    <col width="34" customWidth="1" min="7" max="7"/>
    <col width="28" customWidth="1" min="8" max="8"/>
    <col width="18" customWidth="1" min="9" max="9"/>
    <col width="14" customWidth="1" min="10" max="10"/>
    <col width="14" customWidth="1" min="11" max="11"/>
  </cols>
  <sheetData>
    <row r="1">
      <c r="A1" s="20" t="inlineStr">
        <is>
          <t>Head term</t>
        </is>
      </c>
      <c r="B1" s="20" t="inlineStr">
        <is>
          <t>Our org / SP (ASINsight 9/28)</t>
        </is>
      </c>
      <c r="C1" s="20" t="inlineStr">
        <is>
          <t>Our org (DD radar 9/29)</t>
        </is>
      </c>
      <c r="D1" s="20" t="inlineStr">
        <is>
          <t>Our 7-d traffic (ad %)</t>
        </is>
      </c>
      <c r="E1" s="20" t="inlineStr">
        <is>
          <t>#1–2 tracked (ASINsight 9/28)</t>
        </is>
      </c>
      <c r="F1" s="20" t="inlineStr">
        <is>
          <t>DD niche 9/11 top holders</t>
        </is>
      </c>
      <c r="G1" s="20" t="inlineStr">
        <is>
          <t>Next rival to pass</t>
        </is>
      </c>
      <c r="H1" s="20" t="inlineStr">
        <is>
          <t>Only Aspirational above #3?</t>
        </is>
      </c>
      <c r="I1" s="20" t="inlineStr">
        <is>
          <t>Rank 3–5 benchmark</t>
        </is>
      </c>
      <c r="J1" s="20" t="inlineStr">
        <is>
          <t>Est. clicks/day (A–B)</t>
        </is>
      </c>
      <c r="K1" s="20" t="inlineStr">
        <is>
          <t>Est. ad $/day (A–B)</t>
        </is>
      </c>
    </row>
    <row r="2">
      <c r="A2" s="2" t="inlineStr">
        <is>
          <t>satin sheets</t>
        </is>
      </c>
      <c r="B2" s="2" t="inlineStr">
        <is>
          <t>3 / 11</t>
        </is>
      </c>
      <c r="C2" s="2" t="inlineStr">
        <is>
          <t>5</t>
        </is>
      </c>
      <c r="D2" s="2" t="inlineStr">
        <is>
          <t>13,935 (44%)</t>
        </is>
      </c>
      <c r="E2" s="2" t="inlineStr">
        <is>
          <t>BEDELITE-144 (Beat) #1, MR&amp;HM (Beat) #2</t>
        </is>
      </c>
      <c r="F2" s="2" t="inlineStr">
        <is>
          <t>#1 BEDELITE(Beat), #2 MR&amp;HM(Beat), #4 Love's cabin(Asp), #5 DECOLURE(us)</t>
        </is>
      </c>
      <c r="G2" s="2" t="inlineStr">
        <is>
          <t>MR&amp;HM (Beat) at #2, gap 1</t>
        </is>
      </c>
      <c r="H2" s="2" t="inlineStr">
        <is>
          <t>no</t>
        </is>
      </c>
      <c r="I2" s="2" t="inlineStr">
        <is>
          <t>Love's cabin #3</t>
        </is>
      </c>
      <c r="J2" s="2" t="inlineStr">
        <is>
          <t>45–108</t>
        </is>
      </c>
      <c r="K2" s="2" t="inlineStr">
        <is>
          <t>$18–44</t>
        </is>
      </c>
    </row>
    <row r="3">
      <c r="A3" s="2" t="inlineStr">
        <is>
          <t>silk sheets</t>
        </is>
      </c>
      <c r="B3" s="2" t="inlineStr">
        <is>
          <t>46 / 20</t>
        </is>
      </c>
      <c r="C3" s="2" t="inlineStr">
        <is>
          <t>29</t>
        </is>
      </c>
      <c r="D3" s="2" t="inlineStr">
        <is>
          <t>12,081 (44%)</t>
        </is>
      </c>
      <c r="E3" s="2" t="inlineStr">
        <is>
          <t>BEDELITE-144 (Beat) #1, MR&amp;HM (Beat) #2</t>
        </is>
      </c>
      <c r="F3" s="2" t="inlineStr">
        <is>
          <t>#1 BEDELITE(Beat), #2 MR&amp;HM(Beat), #6 Love's cabin(Asp), #9 Lanest Housing(Beat)</t>
        </is>
      </c>
      <c r="G3" s="2" t="inlineStr">
        <is>
          <t>FreshCulture (Poor) at #42, gap 4</t>
        </is>
      </c>
      <c r="H3" s="2" t="inlineStr">
        <is>
          <t>no</t>
        </is>
      </c>
      <c r="I3" s="2" t="inlineStr">
        <is>
          <t>MR&amp;HM #2</t>
        </is>
      </c>
      <c r="J3" s="2" t="inlineStr">
        <is>
          <t>44–156</t>
        </is>
      </c>
      <c r="K3" s="2" t="inlineStr">
        <is>
          <t>$21–73</t>
        </is>
      </c>
    </row>
    <row r="4">
      <c r="A4" s="2" t="inlineStr">
        <is>
          <t>satin sheets queen size</t>
        </is>
      </c>
      <c r="B4" s="2" t="inlineStr">
        <is>
          <t>5 / 10</t>
        </is>
      </c>
      <c r="C4" s="2" t="inlineStr">
        <is>
          <t>5</t>
        </is>
      </c>
      <c r="D4" s="2" t="inlineStr">
        <is>
          <t>9,572 (53%)</t>
        </is>
      </c>
      <c r="E4" s="2" t="inlineStr">
        <is>
          <t>BEDELITE-144 (Beat) #1, MR&amp;HM (Beat) #2</t>
        </is>
      </c>
      <c r="F4" s="2" t="inlineStr">
        <is>
          <t>#1 BEDELITE(Beat), #2 MR&amp;HM(Beat), #4 Love's cabin(Asp), #5 Lanest Housing(Beat)</t>
        </is>
      </c>
      <c r="G4" s="2" t="inlineStr">
        <is>
          <t>Love's cabin (Asp) at #3, gap 2</t>
        </is>
      </c>
      <c r="H4" s="2" t="inlineStr">
        <is>
          <t>no</t>
        </is>
      </c>
      <c r="I4" s="2" t="inlineStr">
        <is>
          <t>Love's cabin #3</t>
        </is>
      </c>
      <c r="J4" s="2" t="inlineStr">
        <is>
          <t>15–27</t>
        </is>
      </c>
      <c r="K4" s="2" t="inlineStr">
        <is>
          <t>$6–10</t>
        </is>
      </c>
    </row>
    <row r="5">
      <c r="A5" s="2" t="inlineStr">
        <is>
          <t>satin sheets queen</t>
        </is>
      </c>
      <c r="B5" s="2" t="inlineStr">
        <is>
          <t>6 / 13</t>
        </is>
      </c>
      <c r="C5" s="2" t="inlineStr">
        <is>
          <t>6</t>
        </is>
      </c>
      <c r="D5" s="2" t="inlineStr">
        <is>
          <t>1,055 (66%)</t>
        </is>
      </c>
      <c r="E5" s="2" t="inlineStr">
        <is>
          <t>BEDELITE-144 (Beat) #1, Love's cabin (Asp) #2</t>
        </is>
      </c>
      <c r="F5" s="2" t="inlineStr">
        <is>
          <t>#1 BEDELITE(Beat), #2 MR&amp;HM(Beat), #3 Love's cabin(Asp), #5 Lanest Housing(Beat)</t>
        </is>
      </c>
      <c r="G5" s="2" t="inlineStr">
        <is>
          <t>CozyLux (Beat) at #4, gap 2</t>
        </is>
      </c>
      <c r="H5" s="2" t="inlineStr">
        <is>
          <t>no</t>
        </is>
      </c>
      <c r="I5" s="2" t="inlineStr">
        <is>
          <t>MR&amp;HM #3</t>
        </is>
      </c>
      <c r="J5" s="2" t="inlineStr">
        <is>
          <t>1–4</t>
        </is>
      </c>
      <c r="K5" s="2" t="inlineStr">
        <is>
          <t>$1–3</t>
        </is>
      </c>
    </row>
    <row r="6">
      <c r="A6" s="2" t="inlineStr">
        <is>
          <t>silk sheets queen</t>
        </is>
      </c>
      <c r="B6" s="2" t="inlineStr">
        <is>
          <t>6 / 17</t>
        </is>
      </c>
      <c r="C6" s="2" t="inlineStr">
        <is>
          <t>8</t>
        </is>
      </c>
      <c r="D6" s="2" t="inlineStr">
        <is>
          <t>7,698 (44%)</t>
        </is>
      </c>
      <c r="E6" s="2" t="inlineStr">
        <is>
          <t>BEDELITE-144 (Beat) #1, MR&amp;HM (Beat) #2</t>
        </is>
      </c>
      <c r="F6" s="2" t="inlineStr">
        <is>
          <t>#1 BEDELITE(Beat), #2 MR&amp;HM(Beat), #6 Love's cabin(Asp), #8 Lanest Housing(Beat)</t>
        </is>
      </c>
      <c r="G6" s="2" t="inlineStr">
        <is>
          <t>MR&amp;HM (Beat) at #2, gap 4</t>
        </is>
      </c>
      <c r="H6" s="2" t="inlineStr">
        <is>
          <t>no</t>
        </is>
      </c>
      <c r="I6" s="2" t="inlineStr">
        <is>
          <t>MR&amp;HM #2</t>
        </is>
      </c>
      <c r="J6" s="2" t="inlineStr">
        <is>
          <t>14–45</t>
        </is>
      </c>
      <c r="K6" s="2" t="inlineStr">
        <is>
          <t>$4–13</t>
        </is>
      </c>
    </row>
    <row r="7">
      <c r="A7" s="2" t="inlineStr">
        <is>
          <t>satin sheets king</t>
        </is>
      </c>
      <c r="B7" s="2" t="inlineStr">
        <is>
          <t>4 / 1</t>
        </is>
      </c>
      <c r="C7" s="2" t="inlineStr">
        <is>
          <t>3</t>
        </is>
      </c>
      <c r="D7" s="2" t="inlineStr">
        <is>
          <t>1,710 (21%)</t>
        </is>
      </c>
      <c r="E7" s="2" t="inlineStr">
        <is>
          <t>FreshCulture (Poor) #2</t>
        </is>
      </c>
      <c r="F7" s="2" t="inlineStr">
        <is>
          <t>#1 BEDELITE(Beat), #3 MR&amp;HM(Beat), #6 SLEEP SANCTUARY(sister), #7 DECOLURE(us)</t>
        </is>
      </c>
      <c r="G7" s="2" t="inlineStr">
        <is>
          <t>FreshCulture (Poor) at #2, gap 2</t>
        </is>
      </c>
      <c r="H7" s="2" t="inlineStr">
        <is>
          <t>no</t>
        </is>
      </c>
      <c r="I7" s="2" t="inlineStr">
        <is>
          <t>P Pothuiny #5</t>
        </is>
      </c>
      <c r="J7" s="2" t="inlineStr">
        <is>
          <t>3–11</t>
        </is>
      </c>
      <c r="K7" s="2" t="inlineStr">
        <is>
          <t>$0–2</t>
        </is>
      </c>
    </row>
    <row r="8">
      <c r="A8" s="2" t="inlineStr">
        <is>
          <t>satin sheets king size</t>
        </is>
      </c>
      <c r="B8" s="2" t="inlineStr">
        <is>
          <t>2 / 3</t>
        </is>
      </c>
      <c r="C8" s="2" t="inlineStr">
        <is>
          <t>4</t>
        </is>
      </c>
      <c r="D8" s="2" t="inlineStr">
        <is>
          <t>444 (65%)</t>
        </is>
      </c>
      <c r="E8" s="2" t="inlineStr">
        <is>
          <t>none tracked</t>
        </is>
      </c>
      <c r="F8" s="2" t="inlineStr">
        <is>
          <t>#1 BEDELITE(Beat), #5 P Pothuiny(Poor), #6 DECOLURE(us), #8 MR&amp;HM(Beat)</t>
        </is>
      </c>
      <c r="G8" s="2" t="inlineStr">
        <is>
          <t>none — we lead tracked rivals</t>
        </is>
      </c>
      <c r="H8" s="2" t="inlineStr">
        <is>
          <t>ASINsight: none tracked at #1–2; DD 9/11: no (BEDELITE-144 #1)</t>
        </is>
      </c>
      <c r="I8" s="2" t="inlineStr">
        <is>
          <t>FreshCulture #3</t>
        </is>
      </c>
      <c r="J8" s="2" t="inlineStr">
        <is>
          <t>0–2</t>
        </is>
      </c>
      <c r="K8" s="2" t="inlineStr">
        <is>
          <t>$0–0</t>
        </is>
      </c>
    </row>
    <row r="9">
      <c r="A9" s="2" t="inlineStr">
        <is>
          <t>silk sheets king</t>
        </is>
      </c>
      <c r="B9" s="2" t="inlineStr">
        <is>
          <t>33 / 8</t>
        </is>
      </c>
      <c r="C9" s="2" t="inlineStr">
        <is>
          <t>32</t>
        </is>
      </c>
      <c r="D9" s="2" t="inlineStr">
        <is>
          <t>2,563 (44%)</t>
        </is>
      </c>
      <c r="E9" s="2" t="inlineStr">
        <is>
          <t>none tracked</t>
        </is>
      </c>
      <c r="F9" s="2" t="inlineStr">
        <is>
          <t>#1 BEDELITE(Beat), #3 MR&amp;HM(Beat), #7 SLEEP SANCTUARY(sister), #18 P Pothuiny(Poor)</t>
        </is>
      </c>
      <c r="G9" s="2" t="inlineStr">
        <is>
          <t>Lanest Housing (Beat) at #22, gap 11</t>
        </is>
      </c>
      <c r="H9" s="2" t="inlineStr">
        <is>
          <t>ASINsight: none tracked at #1–2; DD 9/11: no (BEDELITE-144 #1)</t>
        </is>
      </c>
      <c r="I9" s="2" t="inlineStr">
        <is>
          <t>CozyLux #6</t>
        </is>
      </c>
      <c r="J9" s="2" t="inlineStr">
        <is>
          <t>3–19</t>
        </is>
      </c>
      <c r="K9" s="2" t="inlineStr">
        <is>
          <t>$1–6</t>
        </is>
      </c>
    </row>
    <row r="10">
      <c r="A10" s="2" t="inlineStr">
        <is>
          <t>queen satin sheet set</t>
        </is>
      </c>
      <c r="B10" s="2" t="inlineStr">
        <is>
          <t>6 / 2</t>
        </is>
      </c>
      <c r="C10" s="2" t="inlineStr">
        <is>
          <t>6</t>
        </is>
      </c>
      <c r="D10" s="2" t="inlineStr">
        <is>
          <t>1,415 (66%)</t>
        </is>
      </c>
      <c r="E10" s="2" t="inlineStr">
        <is>
          <t>BEDELITE-144 (Beat) #1, MR&amp;HM (Beat) #2</t>
        </is>
      </c>
      <c r="F10" s="2" t="inlineStr">
        <is>
          <t>#1 BEDELITE(Beat), #2 MR&amp;HM(Beat), #4 Love's cabin(Asp), #5 Lanest Housing(Beat)</t>
        </is>
      </c>
      <c r="G10" s="2" t="inlineStr">
        <is>
          <t>Love's cabin (Asp) at #5, gap 1</t>
        </is>
      </c>
      <c r="H10" s="2" t="inlineStr">
        <is>
          <t>no</t>
        </is>
      </c>
      <c r="I10" s="2" t="inlineStr">
        <is>
          <t>CozyLux #3</t>
        </is>
      </c>
      <c r="J10" s="2" t="inlineStr">
        <is>
          <t>1–8</t>
        </is>
      </c>
      <c r="K10" s="2" t="inlineStr">
        <is>
          <t>$0–0</t>
        </is>
      </c>
    </row>
    <row r="11">
      <c r="A11" s="2" t="inlineStr">
        <is>
          <t>satin bed sheets queen</t>
        </is>
      </c>
      <c r="B11" s="2" t="inlineStr">
        <is>
          <t>4 / 15</t>
        </is>
      </c>
      <c r="C11" s="2" t="inlineStr">
        <is>
          <t>5</t>
        </is>
      </c>
      <c r="D11" s="2" t="inlineStr">
        <is>
          <t>1,328 (58%)</t>
        </is>
      </c>
      <c r="E11" s="2" t="inlineStr">
        <is>
          <t>BEDELITE-144 (Beat) #1, MR&amp;HM (Beat) #2</t>
        </is>
      </c>
      <c r="F11" s="2" t="inlineStr">
        <is>
          <t>#1 BEDELITE(Beat), #2 MR&amp;HM(Beat), #4 Love's cabin(Asp), #5 Lanest Housing(Beat)</t>
        </is>
      </c>
      <c r="G11" s="2" t="inlineStr">
        <is>
          <t>CozyLux (Beat) at #3, gap 1</t>
        </is>
      </c>
      <c r="H11" s="2" t="inlineStr">
        <is>
          <t>no</t>
        </is>
      </c>
      <c r="I11" s="2" t="inlineStr">
        <is>
          <t>CozyLux #3</t>
        </is>
      </c>
      <c r="J11" s="2" t="inlineStr">
        <is>
          <t>1–5</t>
        </is>
      </c>
      <c r="K11" s="2" t="inlineStr">
        <is>
          <t>$0–0</t>
        </is>
      </c>
    </row>
    <row r="12">
      <c r="A12" s="2" t="inlineStr">
        <is>
          <t>silk sheet set</t>
        </is>
      </c>
      <c r="B12" s="2" t="inlineStr">
        <is>
          <t>26 / 5</t>
        </is>
      </c>
      <c r="C12" s="2" t="inlineStr">
        <is>
          <t>24</t>
        </is>
      </c>
      <c r="D12" s="2" t="inlineStr">
        <is>
          <t>168 (0%)</t>
        </is>
      </c>
      <c r="E12" s="2" t="inlineStr">
        <is>
          <t>BEDELITE-144 (Beat) #1</t>
        </is>
      </c>
      <c r="F12" s="2" t="inlineStr">
        <is>
          <t>#1 BEDELITE(Beat), #3 Love's cabin(Asp), #5 MR&amp;HM(Beat), #14 DECOLURE(us)</t>
        </is>
      </c>
      <c r="G12" s="2" t="inlineStr">
        <is>
          <t>Pure Bedding (Poor) at #12, gap 14</t>
        </is>
      </c>
      <c r="H12" s="2" t="inlineStr">
        <is>
          <t>no</t>
        </is>
      </c>
      <c r="I12" s="2" t="inlineStr">
        <is>
          <t>Love's cabin #3</t>
        </is>
      </c>
      <c r="J12" s="2" t="inlineStr">
        <is>
          <t>2–4</t>
        </is>
      </c>
      <c r="K12" s="2" t="inlineStr">
        <is>
          <t>$0–1</t>
        </is>
      </c>
    </row>
    <row r="13">
      <c r="A13" s="2" t="inlineStr">
        <is>
          <t>satin sheets full</t>
        </is>
      </c>
      <c r="B13" s="2" t="inlineStr">
        <is>
          <t>5 / 11</t>
        </is>
      </c>
      <c r="C13" s="2" t="inlineStr">
        <is>
          <t>5</t>
        </is>
      </c>
      <c r="D13" s="2" t="inlineStr">
        <is>
          <t>2,700 (61%)</t>
        </is>
      </c>
      <c r="E13" s="2" t="inlineStr">
        <is>
          <t>none tracked</t>
        </is>
      </c>
      <c r="F13" s="2" t="inlineStr">
        <is>
          <t>#1 BEDELITE(Beat), #5 MR&amp;HM(Beat), #6 DECOLURE(us), #7 GOLAL(Poor)</t>
        </is>
      </c>
      <c r="G13" s="2" t="inlineStr">
        <is>
          <t>BEDELITE-1527 (Asp) at #4, gap 1</t>
        </is>
      </c>
      <c r="H13" s="2" t="inlineStr">
        <is>
          <t>ASINsight: none tracked at #1–2; DD 9/11: no (BEDELITE-144 #1)</t>
        </is>
      </c>
      <c r="I13" s="2" t="inlineStr">
        <is>
          <t>MR&amp;HM #3</t>
        </is>
      </c>
      <c r="J13" s="2" t="inlineStr">
        <is>
          <t>4–13</t>
        </is>
      </c>
      <c r="K13" s="2" t="inlineStr">
        <is>
          <t>$5–14</t>
        </is>
      </c>
    </row>
    <row r="14">
      <c r="A14" s="2" t="inlineStr">
        <is>
          <t>silk sheets full</t>
        </is>
      </c>
      <c r="B14" s="2" t="inlineStr">
        <is>
          <t>6 / 10</t>
        </is>
      </c>
      <c r="C14" s="2" t="inlineStr">
        <is>
          <t>13</t>
        </is>
      </c>
      <c r="D14" s="2" t="inlineStr">
        <is>
          <t>4,269 (58%)</t>
        </is>
      </c>
      <c r="E14" s="2" t="inlineStr">
        <is>
          <t>none tracked</t>
        </is>
      </c>
      <c r="F14" s="2" t="inlineStr">
        <is>
          <t>#1 BEDELITE(Beat), #3 MR&amp;HM(Beat), #6 GOLAL(Poor), #9 DECOLURE(us)</t>
        </is>
      </c>
      <c r="G14" s="2" t="inlineStr">
        <is>
          <t>none — we lead tracked rivals</t>
        </is>
      </c>
      <c r="H14" s="2" t="inlineStr">
        <is>
          <t>ASINsight: none tracked at #1–2; DD 9/11: no (BEDELITE-144 #1)</t>
        </is>
      </c>
      <c r="I14" s="2" t="inlineStr">
        <is>
          <t>BEDELITE-1527 #9</t>
        </is>
      </c>
      <c r="J14" s="2" t="inlineStr">
        <is>
          <t>4–15</t>
        </is>
      </c>
      <c r="K14" s="2" t="inlineStr">
        <is>
          <t>$1–4</t>
        </is>
      </c>
    </row>
    <row r="15">
      <c r="A15" s="2" t="inlineStr">
        <is>
          <t>satin sheets twin</t>
        </is>
      </c>
      <c r="B15" s="2" t="inlineStr">
        <is>
          <t>30 / 6</t>
        </is>
      </c>
      <c r="C15" s="2" t="inlineStr">
        <is>
          <t>16</t>
        </is>
      </c>
      <c r="D15" s="2" t="inlineStr">
        <is>
          <t>159 (22%)</t>
        </is>
      </c>
      <c r="E15" s="2" t="inlineStr">
        <is>
          <t>none tracked</t>
        </is>
      </c>
      <c r="F15" s="2" t="inlineStr">
        <is>
          <t>#1 BEDELITE(Beat), #4 MR&amp;HM(Beat), #5 FreshCulture(Poor), #6 Madison Park(Beat)</t>
        </is>
      </c>
      <c r="G15" s="2" t="inlineStr">
        <is>
          <t>Love's cabin (Asp) at #29, gap 1</t>
        </is>
      </c>
      <c r="H15" s="2" t="inlineStr">
        <is>
          <t>ASINsight: none tracked at #1–2; DD 9/11: no (BEDELITE-144 #1)</t>
        </is>
      </c>
      <c r="I15" s="2" t="inlineStr">
        <is>
          <t>BEDELITE-1527 #3</t>
        </is>
      </c>
      <c r="J15" s="2" t="inlineStr">
        <is>
          <t>1–5</t>
        </is>
      </c>
      <c r="K15" s="2" t="inlineStr">
        <is>
          <t>$1–5</t>
        </is>
      </c>
    </row>
    <row r="16">
      <c r="A16" s="2" t="inlineStr">
        <is>
          <t>silk sheets twin</t>
        </is>
      </c>
      <c r="B16" s="2" t="inlineStr">
        <is>
          <t>25 / 4</t>
        </is>
      </c>
      <c r="C16" s="2" t="inlineStr">
        <is>
          <t>7</t>
        </is>
      </c>
      <c r="D16" s="2" t="inlineStr">
        <is>
          <t>202 (0%)</t>
        </is>
      </c>
      <c r="E16" s="2" t="inlineStr">
        <is>
          <t>none tracked</t>
        </is>
      </c>
      <c r="F16" s="2" t="inlineStr">
        <is>
          <t>#1 BEDELITE(Beat), #5 SLEEP SANCTUARY(sister), #8 MR&amp;HM(Beat), #12 Vonty(Poor)</t>
        </is>
      </c>
      <c r="G16" s="2" t="inlineStr">
        <is>
          <t>VACVELT (Poor) at #23, gap 2</t>
        </is>
      </c>
      <c r="H16" s="2" t="inlineStr">
        <is>
          <t>ASINsight: none tracked at #1–2; DD 9/11: no (BEDELITE-144 #1)</t>
        </is>
      </c>
      <c r="I16" s="2" t="inlineStr">
        <is>
          <t>BEDELITE-1527 #3</t>
        </is>
      </c>
      <c r="J16" s="2" t="inlineStr">
        <is>
          <t>2–6</t>
        </is>
      </c>
      <c r="K16" s="2" t="inlineStr">
        <is>
          <t>$2–6</t>
        </is>
      </c>
    </row>
    <row r="17">
      <c r="A17" s="2" t="inlineStr">
        <is>
          <t>king size silk sheets set</t>
        </is>
      </c>
      <c r="B17" s="2" t="inlineStr">
        <is>
          <t>9 / 1</t>
        </is>
      </c>
      <c r="C17" s="2" t="inlineStr">
        <is>
          <t>8</t>
        </is>
      </c>
      <c r="D17" s="2" t="inlineStr">
        <is>
          <t>517 (1%)</t>
        </is>
      </c>
      <c r="E17" s="2" t="inlineStr">
        <is>
          <t>none tracked</t>
        </is>
      </c>
      <c r="F17" s="2" t="inlineStr">
        <is>
          <t>#1 BEDELITE(Beat), #4 MR&amp;HM(Beat), #6 DECOLURE(us), #9 FreshCulture(Poor)</t>
        </is>
      </c>
      <c r="G17" s="2" t="inlineStr">
        <is>
          <t>P Pothuiny (Poor) at #8, gap 1</t>
        </is>
      </c>
      <c r="H17" s="2" t="inlineStr">
        <is>
          <t>ASINsight: none tracked at #1–2; DD 9/11: no (BEDELITE-144 #1)</t>
        </is>
      </c>
      <c r="I17" s="2" t="inlineStr">
        <is>
          <t>FreshCulture #3</t>
        </is>
      </c>
      <c r="J17" s="2" t="inlineStr">
        <is>
          <t>1–5</t>
        </is>
      </c>
      <c r="K17" s="2" t="inlineStr">
        <is>
          <t>$0–0</t>
        </is>
      </c>
    </row>
    <row r="18">
      <c r="A18" s="2" t="inlineStr">
        <is>
          <t>satin bed sheets</t>
        </is>
      </c>
      <c r="B18" s="2" t="inlineStr">
        <is>
          <t>11 / 15</t>
        </is>
      </c>
      <c r="C18" s="2" t="inlineStr">
        <is>
          <t>15</t>
        </is>
      </c>
      <c r="D18" s="2" t="inlineStr">
        <is>
          <t>906 (0%)</t>
        </is>
      </c>
      <c r="E18" s="2" t="inlineStr">
        <is>
          <t>BEDELITE-144 (Beat) #1, MR&amp;HM (Beat) #2</t>
        </is>
      </c>
      <c r="F18" s="2" t="inlineStr">
        <is>
          <t>#1 MR&amp;HM(Beat), #2 BEDELITE(Beat), #3 Love's cabin(Asp), #5 Lanest Housing(Beat)</t>
        </is>
      </c>
      <c r="G18" s="2" t="inlineStr">
        <is>
          <t>CozyLux (Beat) at #4, gap 7</t>
        </is>
      </c>
      <c r="H18" s="2" t="inlineStr">
        <is>
          <t>no</t>
        </is>
      </c>
      <c r="I18" s="2" t="inlineStr">
        <is>
          <t>Love's cabin #3</t>
        </is>
      </c>
      <c r="J18" s="2" t="inlineStr">
        <is>
          <t>10–22</t>
        </is>
      </c>
      <c r="K18" s="2" t="inlineStr">
        <is>
          <t>$2–5</t>
        </is>
      </c>
    </row>
    <row r="19">
      <c r="A19" s="2" t="inlineStr">
        <is>
          <t>silk bed sheets</t>
        </is>
      </c>
      <c r="B19" s="2" t="inlineStr">
        <is>
          <t>12 / 11</t>
        </is>
      </c>
      <c r="C19" s="2" t="inlineStr">
        <is>
          <t>18</t>
        </is>
      </c>
      <c r="D19" s="2" t="inlineStr">
        <is>
          <t>3,765 (22%)</t>
        </is>
      </c>
      <c r="E19" s="2" t="inlineStr">
        <is>
          <t>BEDELITE-144 (Beat) #1</t>
        </is>
      </c>
      <c r="F19" s="2" t="inlineStr">
        <is>
          <t>#1 BEDELITE(Beat), #2 MR&amp;HM(Beat), #4 Love's cabin(Asp), #11 Lanest Housing(Beat)</t>
        </is>
      </c>
      <c r="G19" s="2" t="inlineStr">
        <is>
          <t>Love's cabin (Asp) at #7, gap 5</t>
        </is>
      </c>
      <c r="H19" s="2" t="inlineStr">
        <is>
          <t>no</t>
        </is>
      </c>
      <c r="I19" s="2" t="inlineStr">
        <is>
          <t>MR&amp;HM #3</t>
        </is>
      </c>
      <c r="J19" s="2" t="inlineStr">
        <is>
          <t>21–38</t>
        </is>
      </c>
      <c r="K19" s="2" t="inlineStr">
        <is>
          <t>$14–25</t>
        </is>
      </c>
    </row>
    <row r="21">
      <c r="A21" s="3" t="inlineStr">
        <is>
          <t>Rank-speed benchmark</t>
        </is>
      </c>
    </row>
    <row r="22">
      <c r="A22" s="2" t="inlineStr">
        <is>
          <t>Sleep Sanctuary (sister brand, B0F2G983W3): "satin sheets queen size" #26 → #6 in 9 days (17–26 Aug), holding sponsored rank 1–3 every day; lost ground within about 2 weeks once ads went intermittent (Data Dive rank radar, daily).</t>
        </is>
      </c>
    </row>
    <row r="23">
      <c r="A23" s="2" t="inlineStr">
        <is>
          <t>Sleep Sanctuary: "silk sheets twin" #18 → #4 in 17 days, same pattern.</t>
        </is>
      </c>
    </row>
    <row r="24">
      <c r="A24" s="2" t="inlineStr">
        <is>
          <t>BEDELITE-144 (B0CSFTRP2X, $17.99): #1 on 17 of 18 head terms (Data Dive niche 11 Sep) after cutting price $23.99 → $17.99 since 15 Aug; 18% ad share.</t>
        </is>
      </c>
    </row>
    <row r="25">
      <c r="A25" s="2" t="inlineStr">
        <is>
          <t>MR&amp;HM ($19.99): "silk sheets" #12 → #2 (15 Aug → 11 Sep), then cut price $27.99 → $19.99; 20% ad share.</t>
        </is>
      </c>
    </row>
    <row r="26">
      <c r="A26" s="2" t="inlineStr">
        <is>
          <t>Rival median price $22.99; only Vonty ($30.99) sits in our $29.95–33.95 band (competitor context, 28 Sep).</t>
        </is>
      </c>
    </row>
    <row r="27">
      <c r="A27" s="2" t="inlineStr">
        <is>
          <t>Rival clicks and ad spend are estimates: ASinsight 7-day traffic × a CTR calibrated on our own SQP (1.08%), or SQP market clicks × top-3 click share ÷ 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22"/>
  <sheetViews>
    <sheetView showGridLines="1"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40" customWidth="1" min="2" max="2"/>
    <col width="16" customWidth="1" min="3" max="3"/>
    <col width="16" customWidth="1" min="4" max="4"/>
    <col width="16" customWidth="1" min="5" max="5"/>
    <col width="40" customWidth="1" min="6" max="6"/>
    <col width="16" customWidth="1" min="7" max="7"/>
    <col width="16" customWidth="1" min="8" max="8"/>
    <col width="16" customWidth="1" min="9" max="9"/>
    <col width="16" customWidth="1" min="10" max="10"/>
    <col width="16" customWidth="1" min="11" max="11"/>
    <col width="16" customWidth="1" min="12" max="12"/>
    <col width="40" customWidth="1" min="13" max="13"/>
    <col width="40" customWidth="1" min="14" max="14"/>
    <col width="16" customWidth="1" min="15" max="15"/>
  </cols>
  <sheetData>
    <row r="1">
      <c r="A1" s="20" t="inlineStr">
        <is>
          <t>Seq</t>
        </is>
      </c>
      <c r="B1" s="20" t="inlineStr">
        <is>
          <t>New campaign</t>
        </is>
      </c>
      <c r="C1" s="20" t="inlineStr">
        <is>
          <t>Ad type</t>
        </is>
      </c>
      <c r="D1" s="20" t="inlineStr">
        <is>
          <t>Match</t>
        </is>
      </c>
      <c r="E1" s="20" t="inlineStr">
        <is>
          <t>Engine child</t>
        </is>
      </c>
      <c r="F1" s="20" t="inlineStr">
        <is>
          <t>Targets (engine)</t>
        </is>
      </c>
      <c r="G1" s="20" t="inlineStr">
        <is>
          <t>Budget $/day</t>
        </is>
      </c>
      <c r="H1" s="20" t="inlineStr">
        <is>
          <t>Bid</t>
        </is>
      </c>
      <c r="I1" s="20" t="inlineStr">
        <is>
          <t>Objective (engine)</t>
        </is>
      </c>
      <c r="J1" s="20" t="inlineStr">
        <is>
          <t>Our call (workbook)</t>
        </is>
      </c>
      <c r="K1" s="20" t="inlineStr">
        <is>
          <t>Our verdict</t>
        </is>
      </c>
      <c r="L1" s="20" t="inlineStr">
        <is>
          <t>Child after</t>
        </is>
      </c>
      <c r="M1" s="20" t="inlineStr">
        <is>
          <t>Deciding fact / what to change</t>
        </is>
      </c>
      <c r="N1" s="20" t="inlineStr">
        <is>
          <t>Other reviewer view</t>
        </is>
      </c>
      <c r="O1" s="20" t="inlineStr">
        <is>
          <t>Source</t>
        </is>
      </c>
    </row>
    <row r="2">
      <c r="A2" s="2" t="n">
        <v>2235</v>
      </c>
      <c r="B2" s="2" t="inlineStr">
        <is>
          <t>DSS4-SD-OwnPage-QUEEN-(PAT)-Targeting-(Defensive)-Reach-FIX-SATIN-WHITE-QUEEN-TEST</t>
        </is>
      </c>
      <c r="C2" s="2" t="inlineStr">
        <is>
          <t>SD</t>
        </is>
      </c>
      <c r="D2" s="2" t="inlineStr">
        <is>
          <t>TARGETING_EXPRESSION</t>
        </is>
      </c>
      <c r="E2" s="2" t="inlineStr">
        <is>
          <t>SATIN-WHITE-QUEEN</t>
        </is>
      </c>
      <c r="F2" s="2" t="inlineStr">
        <is>
          <t>B0CV4D54FV, B0CQRXDZYF, B08KRW2BX3, B0CQRXKRPN, B0BG1YXQGT, B0BG21THPM, B0BZPV84V7, B09G6JSW33, B0CQRZ6JQ3, B09G6L5ZW6, B09G6K9C65</t>
        </is>
      </c>
      <c r="G2" s="2" t="n">
        <v>5</v>
      </c>
      <c r="H2" s="2" t="n"/>
      <c r="I2" s="2" t="inlineStr">
        <is>
          <t>Defensive</t>
        </is>
      </c>
      <c r="J2" s="2" t="inlineStr">
        <is>
          <t>HOLD, RE-POINT / RE-DATE</t>
        </is>
      </c>
      <c r="K2" s="2" t="inlineStr">
        <is>
          <t>Hold; re-point; re-date</t>
        </is>
      </c>
      <c r="L2" s="2" t="inlineStr">
        <is>
          <t>SATIN-QUEEN-BLACK</t>
        </is>
      </c>
      <c r="M2" s="2" t="inlineStr">
        <is>
          <t>Re-point the ad to Queen Black and add B0839MKJMV (the Queen Black page, ~46% of product traffic) to the own-page targets; move the read from 20 Oct (inside the Best Deal) to after 11 Nov.</t>
        </is>
      </c>
      <c r="N2" s="2" t="n"/>
      <c r="O2" s="2" t="inlineStr">
        <is>
          <t>audit seq 2235; workbook verdict "hold / re-date"</t>
        </is>
      </c>
    </row>
    <row r="3">
      <c r="A3" s="2" t="n">
        <v>2246</v>
      </c>
      <c r="B3" s="2" t="inlineStr">
        <is>
          <t>DSS4-SD-OwnPage-QUEEN-(PAT)-Targeting-(Defensive)-Clicks-FIX-SATIN-WHITE-QUEEN-TEST</t>
        </is>
      </c>
      <c r="C3" s="2" t="inlineStr">
        <is>
          <t>SD</t>
        </is>
      </c>
      <c r="D3" s="2" t="inlineStr">
        <is>
          <t>TARGETING_EXPRESSION</t>
        </is>
      </c>
      <c r="E3" s="2" t="inlineStr">
        <is>
          <t>SATIN-WHITE-QUEEN</t>
        </is>
      </c>
      <c r="F3" s="2" t="inlineStr">
        <is>
          <t>B0DD4JMGXN, B0CQRWGHJN, B0839LQG4C, B0CNS8T4ZK, B0CQRXLH6M, B0839L4HWH, B0BG228RDJ, B0DBR4XYLB, B09G6LBXRX, B09G6KCTXW, B09G6K328B</t>
        </is>
      </c>
      <c r="G3" s="2" t="n">
        <v>5</v>
      </c>
      <c r="H3" s="2" t="n"/>
      <c r="I3" s="2" t="inlineStr">
        <is>
          <t>Defensive</t>
        </is>
      </c>
      <c r="J3" s="2" t="inlineStr">
        <is>
          <t>HOLD, RE-POINT / RE-DATE</t>
        </is>
      </c>
      <c r="K3" s="2" t="inlineStr">
        <is>
          <t>Hold; re-point; re-date</t>
        </is>
      </c>
      <c r="L3" s="2" t="inlineStr">
        <is>
          <t>SATIN-QUEEN-BLACK</t>
        </is>
      </c>
      <c r="M3" s="2" t="inlineStr">
        <is>
          <t>Same as 2235 (the clicks arm of the same split test).</t>
        </is>
      </c>
      <c r="N3" s="2" t="n"/>
      <c r="O3" s="2" t="inlineStr">
        <is>
          <t>audit seq 2246; workbook verdict "hold / re-date"</t>
        </is>
      </c>
    </row>
    <row r="4">
      <c r="A4" s="2" t="n">
        <v>2324</v>
      </c>
      <c r="B4" s="2" t="inlineStr">
        <is>
          <t>DSS4-SP-Harvest-(PAT)-Targeting-(Conversion)-FIX-SATIN-QUEEN-BLACK-TEST</t>
        </is>
      </c>
      <c r="C4" s="2" t="inlineStr">
        <is>
          <t>Sponsored Products</t>
        </is>
      </c>
      <c r="D4" s="2" t="inlineStr">
        <is>
          <t>TARGETING_EXPRESSION</t>
        </is>
      </c>
      <c r="E4" s="2" t="inlineStr">
        <is>
          <t>SATIN-QUEEN-BLACK</t>
        </is>
      </c>
      <c r="F4" s="2" t="inlineStr">
        <is>
          <t>asin="B082B4Z5QB"; asin="B0BNMC3V1T"; asin="B0CSFTZ5B9"; asin="B09G17SQXF"; asin="B09SH16ZMN"; asin="B0GT19ZY4F"; asin="B0CSFX48M3"; asin="B0CM5NFXX1"; asin="B07X1LN13P"; asin="B08FRFF5R7"</t>
        </is>
      </c>
      <c r="G4" s="2" t="n">
        <v>5</v>
      </c>
      <c r="H4" s="2" t="n"/>
      <c r="I4" s="2" t="inlineStr">
        <is>
          <t>Conversions</t>
        </is>
      </c>
      <c r="J4" s="2" t="inlineStr">
        <is>
          <t>CHANGE</t>
        </is>
      </c>
      <c r="K4" s="2" t="inlineStr">
        <is>
          <t>Re-point targets; re-date</t>
        </is>
      </c>
      <c r="L4" s="2" t="inlineStr">
        <is>
          <t>SATIN-QUEEN-BLACK</t>
        </is>
      </c>
      <c r="M4" s="2" t="inlineStr">
        <is>
          <t>Drop B082B4Z5QB (already a $1.06 target in Defensive campaign 12066855874066) and B0CSFTZ5B9 (also in conquest 2341); move the 20 Oct read to after 11 Nov.</t>
        </is>
      </c>
      <c r="N4" s="2" t="n"/>
      <c r="O4" s="2" t="inlineStr">
        <is>
          <t>audit seq 2324; workbook verdict "correct"</t>
        </is>
      </c>
    </row>
    <row r="5">
      <c r="A5" s="2" t="n">
        <v>2332</v>
      </c>
      <c r="B5" s="2" t="inlineStr">
        <is>
          <t>DSS4-SD-Harvest-(PAT)-Targeting-(Conversion)-FIX-SATIN-QUEEN-BLACK-TEST</t>
        </is>
      </c>
      <c r="C5" s="2" t="inlineStr">
        <is>
          <t>SD</t>
        </is>
      </c>
      <c r="D5" s="2" t="inlineStr">
        <is>
          <t>TARGETING_EXPRESSION</t>
        </is>
      </c>
      <c r="E5" s="2" t="inlineStr">
        <is>
          <t>SATIN-QUEEN-BLACK</t>
        </is>
      </c>
      <c r="F5" s="2" t="inlineStr">
        <is>
          <t>B082B4Z5QB, B0BNMC3V1T, B0CSFTZ5B9, B09G17SQXF, B09SH16ZMN, B0GT19ZY4F, B0CSFX48M3, B0CM5NFXX1, B07X1LN13P, B08FRFF5R7</t>
        </is>
      </c>
      <c r="G5" s="2" t="n">
        <v>5</v>
      </c>
      <c r="H5" s="2" t="n"/>
      <c r="I5" s="2" t="inlineStr">
        <is>
          <t>Conversions</t>
        </is>
      </c>
      <c r="J5" s="2" t="inlineStr">
        <is>
          <t>CHANGE</t>
        </is>
      </c>
      <c r="K5" s="2" t="inlineStr">
        <is>
          <t>Re-point targets; re-date</t>
        </is>
      </c>
      <c r="L5" s="2" t="inlineStr">
        <is>
          <t>SATIN-QUEEN-BLACK</t>
        </is>
      </c>
      <c r="M5" s="2" t="inlineStr">
        <is>
          <t>Same target corrections as its SP twin 2324; move the 20 Oct read to after 11 Nov.</t>
        </is>
      </c>
      <c r="N5" s="2" t="n"/>
      <c r="O5" s="2" t="inlineStr">
        <is>
          <t>audit seq 2332; workbook verdict "correct"</t>
        </is>
      </c>
    </row>
    <row r="6">
      <c r="A6" s="2" t="n">
        <v>2341</v>
      </c>
      <c r="B6" s="2" t="inlineStr">
        <is>
          <t>DSS4-SP-Conquest-(PAT)-Targeting-(Conquesting)-FIX-SATIN-QUEEN-BLACK-TEST</t>
        </is>
      </c>
      <c r="C6" s="2" t="inlineStr">
        <is>
          <t>Sponsored Products</t>
        </is>
      </c>
      <c r="D6" s="2" t="inlineStr">
        <is>
          <t>TARGETING_EXPRESSION</t>
        </is>
      </c>
      <c r="E6" s="2" t="inlineStr">
        <is>
          <t>SATIN-QUEEN-BLACK</t>
        </is>
      </c>
      <c r="F6" s="2" t="inlineStr">
        <is>
          <t>asin="B08HM6WT6X"; asin="B08HM65Z68"; asin="B0D2CQ6VNT"; asin="B082B5CY3D"; asin="B07VTSWJPH"; asin="B0CSFTRP2X"; asin="B0CSFTZ5B9"; asin="B0CSFW9QKP"; asin="B08P16XLP2"</t>
        </is>
      </c>
      <c r="G6" s="2" t="n">
        <v>21.21</v>
      </c>
      <c r="H6" s="2" t="n"/>
      <c r="I6" s="2" t="inlineStr">
        <is>
          <t>Conquesting</t>
        </is>
      </c>
      <c r="J6" s="2" t="inlineStr">
        <is>
          <t>HOLD</t>
        </is>
      </c>
      <c r="K6" s="2" t="inlineStr">
        <is>
          <t>Hold (until 29 Oct, then re-price)</t>
        </is>
      </c>
      <c r="L6" s="2" t="inlineStr">
        <is>
          <t>SATIN-QUEEN-BLACK</t>
        </is>
      </c>
      <c r="M6" s="2" t="inlineStr">
        <is>
          <t>Duplicates live conquest targets B08HM6WT6X / B08P16XLP2 and harvest target B0CSFTZ5B9; $8.40 CPA ceiling comes from the engine's $8.56/unit margin vs Queen Black's $5.03 (SB 30 Aug–29 Sep); 135-click read falls on the 6 Oct deal day.</t>
        </is>
      </c>
      <c r="N6" s="2" t="inlineStr">
        <is>
          <t>hold until 29 Oct, then re-price</t>
        </is>
      </c>
      <c r="O6" s="2" t="inlineStr">
        <is>
          <t>audit seq 2341; workbook verdict "hold"</t>
        </is>
      </c>
    </row>
    <row r="7">
      <c r="A7" s="2" t="n">
        <v>2373</v>
      </c>
      <c r="B7" s="2" t="inlineStr">
        <is>
          <t>DSS4-SP-satin sheet set queen-[Satin|Queen]-(LSV)-Exact-(Conversion)-DO-SATIN-4PCS-QUEEN-STONE-GREY-TEST</t>
        </is>
      </c>
      <c r="C7" s="2" t="inlineStr">
        <is>
          <t>Sponsored Products</t>
        </is>
      </c>
      <c r="D7" s="2" t="inlineStr">
        <is>
          <t>EXACT</t>
        </is>
      </c>
      <c r="E7" s="2" t="inlineStr">
        <is>
          <t>SATIN-4PCS-QUEEN-STONE-GREY</t>
        </is>
      </c>
      <c r="F7" s="2" t="inlineStr">
        <is>
          <t>satin sheet set queen</t>
        </is>
      </c>
      <c r="G7" s="2" t="n">
        <v>5.76</v>
      </c>
      <c r="H7" s="2" t="n">
        <v>1.92</v>
      </c>
      <c r="I7" s="2" t="inlineStr">
        <is>
          <t>Conversions</t>
        </is>
      </c>
      <c r="J7" s="2" t="inlineStr">
        <is>
          <t>CHANGE</t>
        </is>
      </c>
      <c r="K7" s="2" t="inlineStr">
        <is>
          <t>Hold; re-point; re-date</t>
        </is>
      </c>
      <c r="L7" s="2" t="inlineStr">
        <is>
          <t>SATIN-QUEEN-BLACK (or SATIN-WHITE-QUEEN)</t>
        </is>
      </c>
      <c r="M7" s="2" t="inlineStr">
        <is>
          <t>Advertises Queen Stone Grey ($2.94/unit, ~10% break-even, SB 30 Aug–29 Sep) at a 22.34% ACoS target, so each order loses ~$3.50; re-point to Queen Black (≤17.8% ACoS) or White Queen, and read after 11 Nov, not 20 Oct.</t>
        </is>
      </c>
      <c r="N7" s="2" t="inlineStr">
        <is>
          <t>hold; re-point to SATIN-WHITE-QUEEN</t>
        </is>
      </c>
      <c r="O7" s="2" t="inlineStr">
        <is>
          <t>audit seq 2373; workbook verdict "correct the child"</t>
        </is>
      </c>
    </row>
    <row r="8">
      <c r="A8" s="2" t="n">
        <v>2385</v>
      </c>
      <c r="B8" s="2" t="inlineStr">
        <is>
          <t>DSS4-SP-chair covers-[unassigned]-(NOSV)-Exact-(Conversion)-DO-SATIN-4PCS-QUEEN-STONE-GREY-TEST</t>
        </is>
      </c>
      <c r="C8" s="2" t="inlineStr">
        <is>
          <t>Sponsored Products</t>
        </is>
      </c>
      <c r="D8" s="2" t="inlineStr">
        <is>
          <t>EXACT</t>
        </is>
      </c>
      <c r="E8" s="2" t="inlineStr">
        <is>
          <t>SATIN-4PCS-QUEEN-STONE-GREY</t>
        </is>
      </c>
      <c r="F8" s="2" t="inlineStr">
        <is>
          <t>chair covers</t>
        </is>
      </c>
      <c r="G8" s="2" t="n">
        <v>5</v>
      </c>
      <c r="H8" s="2" t="n">
        <v>0.72</v>
      </c>
      <c r="I8" s="2" t="inlineStr">
        <is>
          <t>Conversions</t>
        </is>
      </c>
      <c r="J8" s="2" t="inlineStr">
        <is>
          <t>HOLD</t>
        </is>
      </c>
      <c r="K8" s="2" t="inlineStr">
        <is>
          <t>Hold; drop from this product</t>
        </is>
      </c>
      <c r="L8" s="2" t="inlineStr">
        <is>
          <t>—</t>
        </is>
      </c>
      <c r="M8" s="2" t="inlineStr">
        <is>
          <t>"chair covers" is product 33's halo term; held last run as 2383 and returned unchanged.</t>
        </is>
      </c>
      <c r="N8" s="2" t="n"/>
      <c r="O8" s="2" t="inlineStr">
        <is>
          <t>audit seq 2385; workbook verdict "hold (agree)"</t>
        </is>
      </c>
    </row>
    <row r="9">
      <c r="A9" s="2" t="n">
        <v>2397</v>
      </c>
      <c r="B9" s="2" t="inlineStr">
        <is>
          <t>DSS4-SP-silk fitted sheet queen-[unassigned]-(VLSV)-Exact-(Conversion)-DO-SATIN-4PCS-QUEEN-STONE-GREY-TEST</t>
        </is>
      </c>
      <c r="C9" s="2" t="inlineStr">
        <is>
          <t>Sponsored Products</t>
        </is>
      </c>
      <c r="D9" s="2" t="inlineStr">
        <is>
          <t>EXACT</t>
        </is>
      </c>
      <c r="E9" s="2" t="inlineStr">
        <is>
          <t>SATIN-4PCS-QUEEN-STONE-GREY</t>
        </is>
      </c>
      <c r="F9" s="2" t="inlineStr">
        <is>
          <t>silk fitted sheet queen</t>
        </is>
      </c>
      <c r="G9" s="2" t="n">
        <v>5</v>
      </c>
      <c r="H9" s="2" t="n">
        <v>1.26</v>
      </c>
      <c r="I9" s="2" t="inlineStr">
        <is>
          <t>Conversions</t>
        </is>
      </c>
      <c r="J9" s="2" t="inlineStr">
        <is>
          <t>CHANGE</t>
        </is>
      </c>
      <c r="K9" s="2" t="inlineStr">
        <is>
          <t>Hold; re-point; re-date</t>
        </is>
      </c>
      <c r="L9" s="2" t="inlineStr">
        <is>
          <t>SATIN-QUEEN-BLACK (or SATIN-WHITE-QUEEN)</t>
        </is>
      </c>
      <c r="M9" s="2" t="inlineStr">
        <is>
          <t>Advertises Queen Stone Grey ($2.94/unit, ~10% break-even, SB 30 Aug–29 Sep) at a 22.34% ACoS target, so each order loses ~$3.50; re-point to Queen Black (≤17.8% ACoS) or White Queen, and read after 11 Nov, not 20 Oct.</t>
        </is>
      </c>
      <c r="N9" s="2" t="inlineStr">
        <is>
          <t>hold; re-point to SATIN-WHITE-QUEEN</t>
        </is>
      </c>
      <c r="O9" s="2" t="inlineStr">
        <is>
          <t>audit seq 2397; workbook verdict "correct the child"</t>
        </is>
      </c>
    </row>
    <row r="10">
      <c r="A10" s="2" t="n">
        <v>2409</v>
      </c>
      <c r="B10" s="2" t="inlineStr">
        <is>
          <t>DSS4-SP-satin sheets queen size bed set-[Satin|Queen]-(LSV)-Exact-(Conversion)-DO-SATIN-4PCS-QUEEN-STONE-GREY-TEST</t>
        </is>
      </c>
      <c r="C10" s="2" t="inlineStr">
        <is>
          <t>Sponsored Products</t>
        </is>
      </c>
      <c r="D10" s="2" t="inlineStr">
        <is>
          <t>EXACT</t>
        </is>
      </c>
      <c r="E10" s="2" t="inlineStr">
        <is>
          <t>SATIN-4PCS-QUEEN-STONE-GREY</t>
        </is>
      </c>
      <c r="F10" s="2" t="inlineStr">
        <is>
          <t>satin sheets queen size bed set</t>
        </is>
      </c>
      <c r="G10" s="2" t="n">
        <v>5.76</v>
      </c>
      <c r="H10" s="2" t="n">
        <v>1.92</v>
      </c>
      <c r="I10" s="2" t="inlineStr">
        <is>
          <t>Conversions</t>
        </is>
      </c>
      <c r="J10" s="2" t="inlineStr">
        <is>
          <t>CHANGE</t>
        </is>
      </c>
      <c r="K10" s="2" t="inlineStr">
        <is>
          <t>Hold; re-point; re-date</t>
        </is>
      </c>
      <c r="L10" s="2" t="inlineStr">
        <is>
          <t>SATIN-QUEEN-BLACK (or SATIN-WHITE-QUEEN)</t>
        </is>
      </c>
      <c r="M10" s="2" t="inlineStr">
        <is>
          <t>Advertises Queen Stone Grey ($2.94/unit, ~10% break-even, SB 30 Aug–29 Sep) at a 22.34% ACoS target, so each order loses ~$3.50; re-point to Queen Black (≤17.8% ACoS) or White Queen, and read after 11 Nov, not 20 Oct.</t>
        </is>
      </c>
      <c r="N10" s="2" t="inlineStr">
        <is>
          <t>hold; re-point to SATIN-WHITE-QUEEN</t>
        </is>
      </c>
      <c r="O10" s="2" t="inlineStr">
        <is>
          <t>audit seq 2409; workbook verdict "correct the child"</t>
        </is>
      </c>
    </row>
    <row r="11">
      <c r="A11" s="2" t="n">
        <v>2421</v>
      </c>
      <c r="B11" s="2" t="inlineStr">
        <is>
          <t>DSS4-SP-sateen sheets-[Satin]-(MSV)-Exact-(Conversion)-DO-SATIN-4PCS-QUEEN-STONE-GREY-TEST</t>
        </is>
      </c>
      <c r="C11" s="2" t="inlineStr">
        <is>
          <t>Sponsored Products</t>
        </is>
      </c>
      <c r="D11" s="2" t="inlineStr">
        <is>
          <t>EXACT</t>
        </is>
      </c>
      <c r="E11" s="2" t="inlineStr">
        <is>
          <t>SATIN-4PCS-QUEEN-STONE-GREY</t>
        </is>
      </c>
      <c r="F11" s="2" t="inlineStr">
        <is>
          <t>sateen sheets</t>
        </is>
      </c>
      <c r="G11" s="2" t="n">
        <v>5</v>
      </c>
      <c r="H11" s="2" t="n">
        <v>1.28</v>
      </c>
      <c r="I11" s="2" t="inlineStr">
        <is>
          <t>Conversions</t>
        </is>
      </c>
      <c r="J11" s="2" t="inlineStr">
        <is>
          <t>CHANGE</t>
        </is>
      </c>
      <c r="K11" s="2" t="inlineStr">
        <is>
          <t>Hold; re-point; re-date</t>
        </is>
      </c>
      <c r="L11" s="2" t="inlineStr">
        <is>
          <t>SATIN-QUEEN-BLACK (or SATIN-WHITE-QUEEN)</t>
        </is>
      </c>
      <c r="M11" s="2" t="inlineStr">
        <is>
          <t>Advertises Queen Stone Grey ($2.94/unit, ~10% break-even, SB 30 Aug–29 Sep) at a 22.34% ACoS target, so each order loses ~$3.50; re-point to Queen Black (≤17.8% ACoS) or White Queen, and read after 11 Nov, not 20 Oct.</t>
        </is>
      </c>
      <c r="N11" s="2" t="inlineStr">
        <is>
          <t>hold; re-point to SATIN-WHITE-QUEEN</t>
        </is>
      </c>
      <c r="O11" s="2" t="inlineStr">
        <is>
          <t>audit seq 2421; workbook verdict "correct the child"</t>
        </is>
      </c>
    </row>
    <row r="12">
      <c r="A12" s="2" t="n">
        <v>2433</v>
      </c>
      <c r="B12" s="2" t="inlineStr">
        <is>
          <t>DSS4-SP-satin silk sheets full-[unassigned]-(LSV)-Exact-(Conversion)-DO-SATIN-4PCS-FULL-ROSEWOOD-TEST</t>
        </is>
      </c>
      <c r="C12" s="2" t="inlineStr">
        <is>
          <t>Sponsored Products</t>
        </is>
      </c>
      <c r="D12" s="2" t="inlineStr">
        <is>
          <t>EXACT</t>
        </is>
      </c>
      <c r="E12" s="2" t="inlineStr">
        <is>
          <t>SATIN-4PCS-FULL-ROSEWOOD</t>
        </is>
      </c>
      <c r="F12" s="2" t="inlineStr">
        <is>
          <t>satin silk sheets full</t>
        </is>
      </c>
      <c r="G12" s="2" t="n">
        <v>5.55</v>
      </c>
      <c r="H12" s="2" t="n">
        <v>1.85</v>
      </c>
      <c r="I12" s="2" t="inlineStr">
        <is>
          <t>Conversions</t>
        </is>
      </c>
      <c r="J12" s="2" t="inlineStr">
        <is>
          <t>HOLD</t>
        </is>
      </c>
      <c r="K12" s="2" t="inlineStr">
        <is>
          <t>Hold (evidence is attribution noise)</t>
        </is>
      </c>
      <c r="L12" s="2" t="inlineStr">
        <is>
          <t>n/a while held</t>
        </is>
      </c>
      <c r="M12" s="2" t="inlineStr">
        <is>
          <t>Source tails show as many or more orders than clicks (e.g. 2445: 20 orders on 12 clicks) and mix sizes onto one child; several terms are irrelevant (silver glitter, Spanish, skull). Rebuild only on a clean term read.</t>
        </is>
      </c>
      <c r="N12" s="2" t="inlineStr">
        <is>
          <t>hold; re-point to SATIN-FULL-BLACK</t>
        </is>
      </c>
      <c r="O12" s="2" t="inlineStr">
        <is>
          <t>audit seq 2433; workbook verdict "hold"</t>
        </is>
      </c>
    </row>
    <row r="13">
      <c r="A13" s="2" t="n">
        <v>2445</v>
      </c>
      <c r="B13" s="2" t="inlineStr">
        <is>
          <t>DSS4-SP-100 silk sheets full-[unassigned]-(LSV)-Exact-(Conversion)-DO-SATIN-4PCS-FULL-ROSEWOOD-TEST</t>
        </is>
      </c>
      <c r="C13" s="2" t="inlineStr">
        <is>
          <t>Sponsored Products</t>
        </is>
      </c>
      <c r="D13" s="2" t="inlineStr">
        <is>
          <t>EXACT</t>
        </is>
      </c>
      <c r="E13" s="2" t="inlineStr">
        <is>
          <t>SATIN-4PCS-FULL-ROSEWOOD</t>
        </is>
      </c>
      <c r="F13" s="2" t="inlineStr">
        <is>
          <t>100 silk sheets full</t>
        </is>
      </c>
      <c r="G13" s="2" t="n">
        <v>5.55</v>
      </c>
      <c r="H13" s="2" t="n">
        <v>1.85</v>
      </c>
      <c r="I13" s="2" t="inlineStr">
        <is>
          <t>Conversions</t>
        </is>
      </c>
      <c r="J13" s="2" t="inlineStr">
        <is>
          <t>HOLD</t>
        </is>
      </c>
      <c r="K13" s="2" t="inlineStr">
        <is>
          <t>Hold (evidence is attribution noise)</t>
        </is>
      </c>
      <c r="L13" s="2" t="inlineStr">
        <is>
          <t>n/a while held</t>
        </is>
      </c>
      <c r="M13" s="2" t="inlineStr">
        <is>
          <t>Source tails show as many or more orders than clicks (e.g. 2445: 20 orders on 12 clicks) and mix sizes onto one child; several terms are irrelevant (silver glitter, Spanish, skull). Rebuild only on a clean term read.</t>
        </is>
      </c>
      <c r="N13" s="2" t="inlineStr">
        <is>
          <t>hold; re-point to SATIN-FULL-BLACK</t>
        </is>
      </c>
      <c r="O13" s="2" t="inlineStr">
        <is>
          <t>audit seq 2445; workbook verdict "hold"</t>
        </is>
      </c>
    </row>
    <row r="14">
      <c r="A14" s="2" t="n">
        <v>2457</v>
      </c>
      <c r="B14" s="2" t="inlineStr">
        <is>
          <t>DSS4-SP-real satin bed sheets-[unassigned]-(LSV)-Exact-(Conversion)-DO-SATIN-4PCS-QUEEN-STONE-GREY-TEST</t>
        </is>
      </c>
      <c r="C14" s="2" t="inlineStr">
        <is>
          <t>Sponsored Products</t>
        </is>
      </c>
      <c r="D14" s="2" t="inlineStr">
        <is>
          <t>EXACT</t>
        </is>
      </c>
      <c r="E14" s="2" t="inlineStr">
        <is>
          <t>SATIN-4PCS-QUEEN-STONE-GREY</t>
        </is>
      </c>
      <c r="F14" s="2" t="inlineStr">
        <is>
          <t>real satin bed sheets</t>
        </is>
      </c>
      <c r="G14" s="2" t="n">
        <v>5.55</v>
      </c>
      <c r="H14" s="2" t="n">
        <v>1.85</v>
      </c>
      <c r="I14" s="2" t="inlineStr">
        <is>
          <t>Conversions</t>
        </is>
      </c>
      <c r="J14" s="2" t="inlineStr">
        <is>
          <t>HOLD</t>
        </is>
      </c>
      <c r="K14" s="2" t="inlineStr">
        <is>
          <t>Hold (evidence is attribution noise)</t>
        </is>
      </c>
      <c r="L14" s="2" t="inlineStr">
        <is>
          <t>n/a while held</t>
        </is>
      </c>
      <c r="M14" s="2" t="inlineStr">
        <is>
          <t>Source tails show as many or more orders than clicks (e.g. 2445: 20 orders on 12 clicks) and mix sizes onto one child; several terms are irrelevant (silver glitter, Spanish, skull). Rebuild only on a clean term read.</t>
        </is>
      </c>
      <c r="N14" s="2" t="inlineStr">
        <is>
          <t>hold; re-point to SATIN-WHITE-QUEEN</t>
        </is>
      </c>
      <c r="O14" s="2" t="inlineStr">
        <is>
          <t>audit seq 2457; workbook verdict "hold"</t>
        </is>
      </c>
    </row>
    <row r="15">
      <c r="A15" s="2" t="n">
        <v>2469</v>
      </c>
      <c r="B15" s="2" t="inlineStr">
        <is>
          <t>DSS4-SP-red dining chair covers set of 6-[unassigned]-(LSV)-Exact-(Conversion)-DO-SATIN-4PCS-KING-RED-TEST</t>
        </is>
      </c>
      <c r="C15" s="2" t="inlineStr">
        <is>
          <t>Sponsored Products</t>
        </is>
      </c>
      <c r="D15" s="2" t="inlineStr">
        <is>
          <t>EXACT</t>
        </is>
      </c>
      <c r="E15" s="2" t="inlineStr">
        <is>
          <t>SATIN-4PCS-KING-RED</t>
        </is>
      </c>
      <c r="F15" s="2" t="inlineStr">
        <is>
          <t>red dining chair covers set of 6</t>
        </is>
      </c>
      <c r="G15" s="2" t="n">
        <v>5</v>
      </c>
      <c r="H15" s="2" t="n">
        <v>1.31</v>
      </c>
      <c r="I15" s="2" t="inlineStr">
        <is>
          <t>Conversions</t>
        </is>
      </c>
      <c r="J15" s="2" t="inlineStr">
        <is>
          <t>HOLD</t>
        </is>
      </c>
      <c r="K15" s="2" t="inlineStr">
        <is>
          <t>Hold; drop from this product</t>
        </is>
      </c>
      <c r="L15" s="2" t="inlineStr">
        <is>
          <t>—</t>
        </is>
      </c>
      <c r="M15" s="2" t="inlineStr">
        <is>
          <t>Chair-cover terms belong to product 33; the engine's "10 shelf days" reason is wrong (King Red 262 + 402 inbound, SB 29 Sep).</t>
        </is>
      </c>
      <c r="N15" s="2" t="inlineStr">
        <is>
          <t>hold (agree on the chair-cover terms; the stock reason is wrong)</t>
        </is>
      </c>
      <c r="O15" s="2" t="inlineStr">
        <is>
          <t>audit seq 2469; workbook verdict "hold, reason corrected"</t>
        </is>
      </c>
    </row>
    <row r="16">
      <c r="A16" s="2" t="n">
        <v>2481</v>
      </c>
      <c r="B16" s="2" t="inlineStr">
        <is>
          <t>DSS4-SP-silver glitter sheets full size bed deep pocket-[unassigned]-(LSV)-Exact-(Conversion)-DO-SATIN-4PCS-FULL-ROSEWOOD-TEST</t>
        </is>
      </c>
      <c r="C16" s="2" t="inlineStr">
        <is>
          <t>Sponsored Products</t>
        </is>
      </c>
      <c r="D16" s="2" t="inlineStr">
        <is>
          <t>EXACT</t>
        </is>
      </c>
      <c r="E16" s="2" t="inlineStr">
        <is>
          <t>SATIN-4PCS-FULL-ROSEWOOD</t>
        </is>
      </c>
      <c r="F16" s="2" t="inlineStr">
        <is>
          <t>silver glitter sheets full size bed deep pocket</t>
        </is>
      </c>
      <c r="G16" s="2" t="n">
        <v>5.55</v>
      </c>
      <c r="H16" s="2" t="n">
        <v>1.85</v>
      </c>
      <c r="I16" s="2" t="inlineStr">
        <is>
          <t>Conversions</t>
        </is>
      </c>
      <c r="J16" s="2" t="inlineStr">
        <is>
          <t>HOLD</t>
        </is>
      </c>
      <c r="K16" s="2" t="inlineStr">
        <is>
          <t>Hold (evidence is attribution noise)</t>
        </is>
      </c>
      <c r="L16" s="2" t="inlineStr">
        <is>
          <t>n/a while held</t>
        </is>
      </c>
      <c r="M16" s="2" t="inlineStr">
        <is>
          <t>Source tails show as many or more orders than clicks (e.g. 2445: 20 orders on 12 clicks) and mix sizes onto one child; several terms are irrelevant (silver glitter, Spanish, skull). Rebuild only on a clean term read.</t>
        </is>
      </c>
      <c r="N16" s="2" t="inlineStr">
        <is>
          <t>hold; re-point to SATIN-FULL-BLACK</t>
        </is>
      </c>
      <c r="O16" s="2" t="inlineStr">
        <is>
          <t>audit seq 2481; workbook verdict "hold"</t>
        </is>
      </c>
    </row>
    <row r="17">
      <c r="A17" s="2" t="n">
        <v>2493</v>
      </c>
      <c r="B17" s="2" t="inlineStr">
        <is>
          <t>DSS4-SP-sheets full size silk-[Silk|Full]-(LSV)-Exact-(Conversion)-DO-SATIN-4PCS-FULL-ROSEWOOD-TEST</t>
        </is>
      </c>
      <c r="C17" s="2" t="inlineStr">
        <is>
          <t>Sponsored Products</t>
        </is>
      </c>
      <c r="D17" s="2" t="inlineStr">
        <is>
          <t>EXACT</t>
        </is>
      </c>
      <c r="E17" s="2" t="inlineStr">
        <is>
          <t>SATIN-4PCS-FULL-ROSEWOOD</t>
        </is>
      </c>
      <c r="F17" s="2" t="inlineStr">
        <is>
          <t>sheets full size silk</t>
        </is>
      </c>
      <c r="G17" s="2" t="n">
        <v>5.88</v>
      </c>
      <c r="H17" s="2" t="n">
        <v>1.96</v>
      </c>
      <c r="I17" s="2" t="inlineStr">
        <is>
          <t>Conversions</t>
        </is>
      </c>
      <c r="J17" s="2" t="inlineStr">
        <is>
          <t>LOAD</t>
        </is>
      </c>
      <c r="K17" s="2" t="inlineStr">
        <is>
          <t>Re-point to Full Black; re-date</t>
        </is>
      </c>
      <c r="L17" s="2" t="inlineStr">
        <is>
          <t>SATIN-FULL-BLACK</t>
        </is>
      </c>
      <c r="M17" s="2" t="inlineStr">
        <is>
          <t>Advertises Full Rosewood ($4.50/unit, 15.0% break-even, 1.2 units/day) against Full Black ($8.04, 27.5%, 11.2/day; SB 30 Aug–29 Sep); move the 20 Oct read to after 11 Nov.</t>
        </is>
      </c>
      <c r="N17" s="2" t="inlineStr">
        <is>
          <t>hold; re-point to SATIN-FULL-BLACK</t>
        </is>
      </c>
      <c r="O17" s="2" t="inlineStr">
        <is>
          <t>audit seq 2493; workbook verdict "pass"</t>
        </is>
      </c>
    </row>
    <row r="18">
      <c r="A18" s="2" t="n">
        <v>2505</v>
      </c>
      <c r="B18" s="2" t="inlineStr">
        <is>
          <t>DSS4-SP-juego de sábanas queen satin-[unassigned]-(NOSV)-Exact-(Conversion)-DO-SATIN-4PCS-QUEEN-STONE-GREY-TEST</t>
        </is>
      </c>
      <c r="C18" s="2" t="inlineStr">
        <is>
          <t>Sponsored Products</t>
        </is>
      </c>
      <c r="D18" s="2" t="inlineStr">
        <is>
          <t>EXACT</t>
        </is>
      </c>
      <c r="E18" s="2" t="inlineStr">
        <is>
          <t>SATIN-4PCS-QUEEN-STONE-GREY</t>
        </is>
      </c>
      <c r="F18" s="2" t="inlineStr">
        <is>
          <t>juego de sábanas queen satin</t>
        </is>
      </c>
      <c r="G18" s="2" t="n">
        <v>5</v>
      </c>
      <c r="H18" s="2" t="n">
        <v>1.53</v>
      </c>
      <c r="I18" s="2" t="inlineStr">
        <is>
          <t>Conversions</t>
        </is>
      </c>
      <c r="J18" s="2" t="inlineStr">
        <is>
          <t>HOLD</t>
        </is>
      </c>
      <c r="K18" s="2" t="inlineStr">
        <is>
          <t>Hold (evidence is attribution noise)</t>
        </is>
      </c>
      <c r="L18" s="2" t="inlineStr">
        <is>
          <t>n/a while held</t>
        </is>
      </c>
      <c r="M18" s="2" t="inlineStr">
        <is>
          <t>Source tails show as many or more orders than clicks (e.g. 2445: 20 orders on 12 clicks) and mix sizes onto one child; several terms are irrelevant (silver glitter, Spanish, skull). Rebuild only on a clean term read.</t>
        </is>
      </c>
      <c r="N18" s="2" t="inlineStr">
        <is>
          <t>hold; re-point to SATIN-WHITE-QUEEN</t>
        </is>
      </c>
      <c r="O18" s="2" t="inlineStr">
        <is>
          <t>audit seq 2505; workbook verdict "hold"</t>
        </is>
      </c>
    </row>
    <row r="19">
      <c r="A19" s="2" t="n">
        <v>2517</v>
      </c>
      <c r="B19" s="2" t="inlineStr">
        <is>
          <t>DSS4-SP-silk sheet and pillowcase set-[Silk]-(NOSV)-Exact-(Conversion)-DO-SATIN-4PCS-QUEEN-STONE-GREY-TEST</t>
        </is>
      </c>
      <c r="C19" s="2" t="inlineStr">
        <is>
          <t>Sponsored Products</t>
        </is>
      </c>
      <c r="D19" s="2" t="inlineStr">
        <is>
          <t>EXACT</t>
        </is>
      </c>
      <c r="E19" s="2" t="inlineStr">
        <is>
          <t>SATIN-4PCS-QUEEN-STONE-GREY</t>
        </is>
      </c>
      <c r="F19" s="2" t="inlineStr">
        <is>
          <t>silk sheet and pillowcase set</t>
        </is>
      </c>
      <c r="G19" s="2" t="n">
        <v>5.31</v>
      </c>
      <c r="H19" s="2" t="n">
        <v>1.77</v>
      </c>
      <c r="I19" s="2" t="inlineStr">
        <is>
          <t>Conversions</t>
        </is>
      </c>
      <c r="J19" s="2" t="inlineStr">
        <is>
          <t>HOLD</t>
        </is>
      </c>
      <c r="K19" s="2" t="inlineStr">
        <is>
          <t>Hold (evidence is attribution noise)</t>
        </is>
      </c>
      <c r="L19" s="2" t="inlineStr">
        <is>
          <t>n/a while held</t>
        </is>
      </c>
      <c r="M19" s="2" t="inlineStr">
        <is>
          <t>Source tails show as many or more orders than clicks (e.g. 2445: 20 orders on 12 clicks) and mix sizes onto one child; several terms are irrelevant (silver glitter, Spanish, skull). Rebuild only on a clean term read.</t>
        </is>
      </c>
      <c r="N19" s="2" t="inlineStr">
        <is>
          <t>hold; re-point to SATIN-WHITE-QUEEN</t>
        </is>
      </c>
      <c r="O19" s="2" t="inlineStr">
        <is>
          <t>audit seq 2517; workbook verdict "hold"</t>
        </is>
      </c>
    </row>
    <row r="20">
      <c r="A20" s="2" t="n">
        <v>2601</v>
      </c>
      <c r="B20" s="2" t="inlineStr">
        <is>
          <t>DSS4-SP-queen satin sheets set-[Satin|Queen]-(VLSV)-Exact-(Conversion)-DO-SATIN-4PCS-QUEEN-STONE-GREY-TEST</t>
        </is>
      </c>
      <c r="C20" s="2" t="inlineStr">
        <is>
          <t>Sponsored Products</t>
        </is>
      </c>
      <c r="D20" s="2" t="inlineStr">
        <is>
          <t>EXACT</t>
        </is>
      </c>
      <c r="E20" s="2" t="inlineStr">
        <is>
          <t>SATIN-4PCS-QUEEN-STONE-GREY</t>
        </is>
      </c>
      <c r="F20" s="2" t="inlineStr">
        <is>
          <t>queen satin sheets set</t>
        </is>
      </c>
      <c r="G20" s="2" t="n">
        <v>5</v>
      </c>
      <c r="H20" s="2" t="n">
        <v>1.63</v>
      </c>
      <c r="I20" s="2" t="inlineStr">
        <is>
          <t>Conversions</t>
        </is>
      </c>
      <c r="J20" s="2" t="inlineStr">
        <is>
          <t>CHANGE</t>
        </is>
      </c>
      <c r="K20" s="2" t="inlineStr">
        <is>
          <t>Hold; re-point; re-date</t>
        </is>
      </c>
      <c r="L20" s="2" t="inlineStr">
        <is>
          <t>SATIN-QUEEN-BLACK (or SATIN-WHITE-QUEEN)</t>
        </is>
      </c>
      <c r="M20" s="2" t="inlineStr">
        <is>
          <t>Advertises Queen Stone Grey ($2.94/unit, ~10% break-even, SB 30 Aug–29 Sep) at a 22.34% ACoS target, so each order loses ~$3.50; re-point to Queen Black (≤17.8% ACoS) or White Queen, and read after 11 Nov, not 20 Oct.</t>
        </is>
      </c>
      <c r="N20" s="2" t="inlineStr">
        <is>
          <t>hold; re-point to SATIN-WHITE-QUEEN</t>
        </is>
      </c>
      <c r="O20" s="2" t="inlineStr">
        <is>
          <t>audit seq 2601; workbook verdict "correct the child"</t>
        </is>
      </c>
    </row>
    <row r="21">
      <c r="A21" s="2" t="n">
        <v>2745</v>
      </c>
      <c r="B21" s="2" t="inlineStr">
        <is>
          <t>DSS4-SP-cooling silk sheets-[Silk]-(VLSV)-Exact-(Conversion)-DO-SATIN-4PCS-QUEEN-STONE-GREY-TEST</t>
        </is>
      </c>
      <c r="C21" s="2" t="inlineStr">
        <is>
          <t>Sponsored Products</t>
        </is>
      </c>
      <c r="D21" s="2" t="inlineStr">
        <is>
          <t>EXACT</t>
        </is>
      </c>
      <c r="E21" s="2" t="inlineStr">
        <is>
          <t>SATIN-4PCS-QUEEN-STONE-GREY</t>
        </is>
      </c>
      <c r="F21" s="2" t="inlineStr">
        <is>
          <t>cooling silk sheets</t>
        </is>
      </c>
      <c r="G21" s="2" t="n">
        <v>5</v>
      </c>
      <c r="H21" s="2" t="n">
        <v>0.99</v>
      </c>
      <c r="I21" s="2" t="inlineStr">
        <is>
          <t>Conversions</t>
        </is>
      </c>
      <c r="J21" s="2" t="inlineStr">
        <is>
          <t>CHANGE</t>
        </is>
      </c>
      <c r="K21" s="2" t="inlineStr">
        <is>
          <t>Hold; re-point; re-date</t>
        </is>
      </c>
      <c r="L21" s="2" t="inlineStr">
        <is>
          <t>SATIN-QUEEN-BLACK (or SATIN-WHITE-QUEEN)</t>
        </is>
      </c>
      <c r="M21" s="2" t="inlineStr">
        <is>
          <t>Advertises Queen Stone Grey ($2.94/unit, ~10% break-even, SB 30 Aug–29 Sep) at a 22.34% ACoS target, so each order loses ~$3.50; re-point to Queen Black (≤17.8% ACoS) or White Queen, and read after 11 Nov, not 20 Oct.</t>
        </is>
      </c>
      <c r="N21" s="2" t="inlineStr">
        <is>
          <t>hold; re-point to SATIN-WHITE-QUEEN</t>
        </is>
      </c>
      <c r="O21" s="2" t="inlineStr">
        <is>
          <t>audit seq 2745; workbook verdict "correct the child"</t>
        </is>
      </c>
    </row>
    <row r="22">
      <c r="A22" s="2" t="n">
        <v>2757</v>
      </c>
      <c r="B22" s="2" t="inlineStr">
        <is>
          <t>DSS4-SP-silk bedsheets full size bed-[Silk|Full]-(NOSV)-Exact-(Conversion)-DO-SATIN-4PCS-FULL-ROSEWOOD-TEST</t>
        </is>
      </c>
      <c r="C22" s="2" t="inlineStr">
        <is>
          <t>Sponsored Products</t>
        </is>
      </c>
      <c r="D22" s="2" t="inlineStr">
        <is>
          <t>EXACT</t>
        </is>
      </c>
      <c r="E22" s="2" t="inlineStr">
        <is>
          <t>SATIN-4PCS-FULL-ROSEWOOD</t>
        </is>
      </c>
      <c r="F22" s="2" t="inlineStr">
        <is>
          <t>silk bedsheets full size bed</t>
        </is>
      </c>
      <c r="G22" s="2" t="n">
        <v>5</v>
      </c>
      <c r="H22" s="2" t="n">
        <v>1.1</v>
      </c>
      <c r="I22" s="2" t="inlineStr">
        <is>
          <t>Conversions</t>
        </is>
      </c>
      <c r="J22" s="2" t="inlineStr">
        <is>
          <t>LOAD</t>
        </is>
      </c>
      <c r="K22" s="2" t="inlineStr">
        <is>
          <t>Re-point to Full Black; re-date</t>
        </is>
      </c>
      <c r="L22" s="2" t="inlineStr">
        <is>
          <t>SATIN-FULL-BLACK</t>
        </is>
      </c>
      <c r="M22" s="2" t="inlineStr">
        <is>
          <t>Advertises Full Rosewood ($4.50/unit, 15.0% break-even, 1.2 units/day) against Full Black ($8.04, 27.5%, 11.2/day; SB 30 Aug–29 Sep); move the 20 Oct read to after 11 Nov.</t>
        </is>
      </c>
      <c r="N22" s="2" t="inlineStr">
        <is>
          <t>hold; re-point to SATIN-FULL-BLACK</t>
        </is>
      </c>
      <c r="O22" s="2" t="inlineStr">
        <is>
          <t>audit seq 2757; workbook verdict "pass"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9"/>
  <sheetViews>
    <sheetView showGridLines="1"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40" customWidth="1" min="2" max="2"/>
    <col width="16" customWidth="1" min="3" max="3"/>
    <col width="16" customWidth="1" min="4" max="4"/>
    <col width="16" customWidth="1" min="5" max="5"/>
    <col width="40" customWidth="1" min="6" max="6"/>
  </cols>
  <sheetData>
    <row r="1">
      <c r="A1" s="20" t="inlineStr">
        <is>
          <t>Area</t>
        </is>
      </c>
      <c r="B1" s="20" t="inlineStr">
        <is>
          <t>What is needed</t>
        </is>
      </c>
      <c r="C1" s="20" t="inlineStr">
        <is>
          <t>Campaign(s)</t>
        </is>
      </c>
      <c r="D1" s="20" t="inlineStr">
        <is>
          <t>Decision</t>
        </is>
      </c>
      <c r="E1" s="20" t="inlineStr">
        <is>
          <t>Deciding fact (window)</t>
        </is>
      </c>
      <c r="F1" s="20" t="inlineStr">
        <is>
          <t>Source</t>
        </is>
      </c>
    </row>
    <row r="2">
      <c r="A2" s="2" t="inlineStr">
        <is>
          <t>Negation</t>
        </is>
      </c>
      <c r="B2" s="2" t="inlineStr">
        <is>
          <t>Negate our own ASIN "b0839mkjmv" as a search term</t>
        </is>
      </c>
      <c r="C2" s="2" t="inlineStr">
        <is>
          <t>Auto / broad / phrase campaigns where it serves (not itemised in the run)</t>
        </is>
      </c>
      <c r="D2" s="2" t="inlineStr">
        <is>
          <t>negative exact "b0839mkjmv" in each serving campaign</t>
        </is>
      </c>
      <c r="E2" s="2" t="inlineStr">
        <is>
          <t>$820 spent on our own ASIN as a search term (CC 2 Jul–29 Sep)</t>
        </is>
      </c>
      <c r="F2" s="2" t="inlineStr">
        <is>
          <t>corrections §10</t>
        </is>
      </c>
    </row>
    <row r="3">
      <c r="A3" s="2" t="inlineStr">
        <is>
          <t>Negation</t>
        </is>
      </c>
      <c r="B3" s="2" t="inlineStr">
        <is>
          <t>Negate chair-cover search terms (product 33's halo)</t>
        </is>
      </c>
      <c r="C3" s="2" t="inlineStr">
        <is>
          <t>Satin auto / broad campaigns serving chair-cover terms</t>
        </is>
      </c>
      <c r="D3" s="2" t="inlineStr">
        <is>
          <t>negative phrase "chair cover(s)"</t>
        </is>
      </c>
      <c r="E3" s="2" t="inlineStr">
        <is>
          <t>Chair-cover terms belong to product 33; builds 2385 and 2469 already held for this reason</t>
        </is>
      </c>
      <c r="F3" s="2" t="inlineStr">
        <is>
          <t>corrections §10; reviewer B/D</t>
        </is>
      </c>
    </row>
    <row r="4">
      <c r="A4" s="2" t="inlineStr">
        <is>
          <t>Child swap</t>
        </is>
      </c>
      <c r="B4" s="2" t="inlineStr">
        <is>
          <t>olive green silk sheets → King Dark Green</t>
        </is>
      </c>
      <c r="C4" s="2" t="inlineStr">
        <is>
          <t>218060067204712</t>
        </is>
      </c>
      <c r="D4" s="2" t="inlineStr">
        <is>
          <t>swap SATIN-4PC-QUEEN-DARK GREEN → SATIN-4PC-KING-DARK GREEN (or FULL-DARK GREEN), by hand, now; retag Conversions</t>
        </is>
      </c>
      <c r="E4" s="2" t="inlineStr">
        <is>
          <t>Queen Dark Green 6 units, ~3 days, out ~1 Oct; King Dark Green 116, Full Dark Green 96 (SB 29 Sep); $26.62 spend in 14d (audit)</t>
        </is>
      </c>
      <c r="F4" s="2" t="inlineStr">
        <is>
          <t>corrections §5; reviewer C A4</t>
        </is>
      </c>
    </row>
    <row r="5">
      <c r="A5" s="2" t="inlineStr">
        <is>
          <t>Child swap / ownership</t>
        </is>
      </c>
      <c r="B5" s="2" t="inlineStr">
        <is>
          <t>Bamboo defensive campaign on King Rosewood</t>
        </is>
      </c>
      <c r="C5" s="2" t="inlineStr">
        <is>
          <t>302124675724544</t>
        </is>
      </c>
      <c r="D5" s="2" t="inlineStr">
        <is>
          <t>swap SATIN-4PCS-KING-ROSEWOOD → SATIN-KING-BLACK now; move campaign to the bamboo product's ownership</t>
        </is>
      </c>
      <c r="E5" s="2" t="inlineStr">
        <is>
          <t>King Rosewood 4 units (~2 days, SB 29 Sep); $8.49 spend 14d (audit)</t>
        </is>
      </c>
      <c r="F5" s="2" t="inlineStr">
        <is>
          <t>corrections §5; reviewer C A4</t>
        </is>
      </c>
    </row>
    <row r="6">
      <c r="A6" s="2" t="inlineStr">
        <is>
          <t>Ownership</t>
        </is>
      </c>
      <c r="B6" s="2" t="inlineStr">
        <is>
          <t>Two more Bamboo 6-pc Defensive PAT campaigns filed under satin</t>
        </is>
      </c>
      <c r="C6" s="2" t="inlineStr">
        <is>
          <t>345754272659953; 545053729101534</t>
        </is>
      </c>
      <c r="D6" s="2" t="inlineStr">
        <is>
          <t>decide ownership (bamboo portfolio); objective Defensive is correct</t>
        </is>
      </c>
      <c r="E6" s="2" t="inlineStr">
        <is>
          <t>Target Decolure bamboo ASINs B0CQ2XQF9N / B0CQ2ZWGNQ / B0CQ33H4QW with satin ads</t>
        </is>
      </c>
      <c r="F6" s="2" t="inlineStr">
        <is>
          <t>corrections §10; reviewer C finding 9</t>
        </is>
      </c>
    </row>
    <row r="7">
      <c r="A7" s="2" t="inlineStr">
        <is>
          <t>Child swap</t>
        </is>
      </c>
      <c r="B7" s="2" t="inlineStr">
        <is>
          <t>Six King black-colour exacts advertise King Grey</t>
        </is>
      </c>
      <c r="C7" s="2" t="inlineStr">
        <is>
          <t>115346154431177; 205502557228684; 541158880050314; 139699829640851; 162830140596082; 17776649090891</t>
        </is>
      </c>
      <c r="D7" s="2" t="inlineStr">
        <is>
          <t>swap SATIN-4PC-KING-GREY → SATIN-KING-BLACK (low stakes)</t>
        </is>
      </c>
      <c r="E7" s="2" t="inlineStr">
        <is>
          <t>King Black 1,385 units (SB 29 Sep); $0 spend 14d</t>
        </is>
      </c>
      <c r="F7" s="2" t="inlineStr">
        <is>
          <t>corrections §5; reviewer C A4</t>
        </is>
      </c>
    </row>
    <row r="8">
      <c r="A8" s="2" t="inlineStr">
        <is>
          <t>Child swap</t>
        </is>
      </c>
      <c r="B8" s="2" t="inlineStr">
        <is>
          <t>plum → Queen Purple; silver → Queen Grey</t>
        </is>
      </c>
      <c r="C8" s="2" t="inlineStr">
        <is>
          <t>85523138318625; 113668823711741</t>
        </is>
      </c>
      <c r="D8" s="2" t="inlineStr">
        <is>
          <t>swap SATIN-QUEEN-BLACK → SATIN-QUEEN-PURPLE (plum) and → SATIN-QUEEN-GREY (silver)</t>
        </is>
      </c>
      <c r="E8" s="2" t="inlineStr">
        <is>
          <t>Queen Purple 143, Queen Grey 1,145 units (SB 29 Sep); $1.35 / $0 spend 14d</t>
        </is>
      </c>
      <c r="F8" s="2" t="inlineStr">
        <is>
          <t>corrections §5; reviewer C A4</t>
        </is>
      </c>
    </row>
    <row r="9">
      <c r="A9" s="2" t="inlineStr">
        <is>
          <t>Child swap</t>
        </is>
      </c>
      <c r="B9" s="2" t="inlineStr">
        <is>
          <t>red silky sheet set queen (enabled; not paused by the run)</t>
        </is>
      </c>
      <c r="C9" s="2" t="inlineStr">
        <is>
          <t>270072732682449</t>
        </is>
      </c>
      <c r="D9" s="2" t="inlineStr">
        <is>
          <t>swap SATIN-4PC-RED-QUEEN → SATIN-4PCS-KING-RED, or pause with the other red-queen rows</t>
        </is>
      </c>
      <c r="E9" s="2" t="inlineStr">
        <is>
          <t>Queen Red 34 units, ~11 days, out ~10 Oct (SB 29 Sep)</t>
        </is>
      </c>
      <c r="F9" s="2" t="inlineStr">
        <is>
          <t>reviewer C A4</t>
        </is>
      </c>
    </row>
    <row r="10">
      <c r="A10" s="2" t="inlineStr">
        <is>
          <t>Stock plan</t>
        </is>
      </c>
      <c r="B10" s="2" t="inlineStr">
        <is>
          <t>Twin Black → Twin Grey before the Best Deal</t>
        </is>
      </c>
      <c r="C10" s="2" t="inlineStr">
        <is>
          <t>108995710931187; 90694496079420; 276983621807441; 195376730173968; 253348963885567; 4681005199760; 176668458976065; 183041310179172; 177239915449451; 442077551467168; 259161668032687; 2107301851159; 274098888993841; 16985401580492; 175024333400120</t>
        </is>
      </c>
      <c r="D10" s="2" t="inlineStr">
        <is>
          <t>plan the move of every enabled Twin Black campaign to SATIN-TWIN-GREY before 16 Oct</t>
        </is>
      </c>
      <c r="E10" s="2" t="inlineStr">
        <is>
          <t>Twin Black 66 units, 2.0/day, ~34 days, out ~1 Nov; Twin Grey 94 units (SB 29 Sep)</t>
        </is>
      </c>
      <c r="F10" s="2" t="inlineStr">
        <is>
          <t>corrections §5; reviewer C A4</t>
        </is>
      </c>
    </row>
    <row r="11">
      <c r="A11" s="2" t="inlineStr">
        <is>
          <t>Objective</t>
        </is>
      </c>
      <c r="B11" s="2" t="inlineStr">
        <is>
          <t>Declared-Ranking colour / competitor / Spanish / misspelled campaigns the retag pass never reads</t>
        </is>
      </c>
      <c r="C11" s="2" t="inlineStr">
        <is>
          <t>102 campaigns (see "Every campaign", Source = "our addition: standard")</t>
        </is>
      </c>
      <c r="D11" s="2" t="inlineStr">
        <is>
          <t>retag → Conversions</t>
        </is>
      </c>
      <c r="E11" s="2" t="inlineStr">
        <is>
          <t>Retag pass only reads UNSET rows; C counted 78 colour campaigns (71 enabled, $368.62 in 14d)</t>
        </is>
      </c>
      <c r="F11" s="2" t="inlineStr">
        <is>
          <t>corrections §11; reviewer C finding 9</t>
        </is>
      </c>
    </row>
    <row r="12">
      <c r="A12" s="2" t="inlineStr">
        <is>
          <t>Objective</t>
        </is>
      </c>
      <c r="B12" s="2" t="inlineStr">
        <is>
          <t>Competitor "bedsure" campaigns under Ranking</t>
        </is>
      </c>
      <c r="C12" s="2" t="inlineStr">
        <is>
          <t>331342999808577; 466655261824746</t>
        </is>
      </c>
      <c r="D12" s="2" t="inlineStr">
        <is>
          <t>retag → Conversions (or negate)</t>
        </is>
      </c>
      <c r="E12" s="2" t="inlineStr">
        <is>
          <t>Targets "bedsure dark gray king bed sheets", "bedsure satin sheet set full"</t>
        </is>
      </c>
      <c r="F12" s="2" t="inlineStr">
        <is>
          <t>reviewer C A4</t>
        </is>
      </c>
    </row>
    <row r="13">
      <c r="A13" s="2" t="inlineStr">
        <is>
          <t>Missing campaign</t>
        </is>
      </c>
      <c r="B13" s="2" t="inlineStr">
        <is>
          <t>Sleep Sanctuary discovery campaign is not among the run's 564</t>
        </is>
      </c>
      <c r="C13" s="2" t="inlineStr">
        <is>
          <t>391439277151564</t>
        </is>
      </c>
      <c r="D13" s="2" t="inlineStr">
        <is>
          <t>confirm whether Sleep Sanctuary is a sister brand; stop if so, otherwise retag Conversions</t>
        </is>
      </c>
      <c r="E13" s="2" t="inlineStr">
        <is>
          <t>$39.58 spend, 12.3% ACoS (CC 31 Aug–29 Sep)</t>
        </is>
      </c>
      <c r="F13" s="2" t="inlineStr">
        <is>
          <t>corrections §11; reviewer C A4</t>
        </is>
      </c>
    </row>
    <row r="14">
      <c r="A14" s="2" t="inlineStr">
        <is>
          <t>Missing campaigns</t>
        </is>
      </c>
      <c r="B14" s="2" t="inlineStr">
        <is>
          <t>Legacy conquest campaigns missing from the run's campaign list (renamed by the run)</t>
        </is>
      </c>
      <c r="C14" s="2" t="inlineStr">
        <is>
          <t>445331298405761 (rename 2923); 240944286816337 (rename 2981); 406858750561527 (rename 3041); 387937043611856 (rename 3054); 28452323063468 (rename 3213); 348698424618332 (rename 3227); 462966076451219 (rename 3255); 553937078858380 (rename 3276)</t>
        </is>
      </c>
      <c r="D14" s="2" t="inlineStr">
        <is>
          <t>find who paused them before anything new is built; rename 3276 names one after our own ASIN</t>
        </is>
      </c>
      <c r="E14" s="2" t="inlineStr">
        <is>
          <t>Conquest spend $3,201 → $1,493 → $134 across the last three 30-day blocks, no logged decision</t>
        </is>
      </c>
      <c r="F14" s="2" t="inlineStr">
        <is>
          <t>corrections §10</t>
        </is>
      </c>
    </row>
    <row r="15">
      <c r="A15" s="2" t="inlineStr">
        <is>
          <t>Declined targets</t>
        </is>
      </c>
      <c r="B15" s="2" t="inlineStr">
        <is>
          <t>King keywords declined on the false "no room / stockout" read</t>
        </is>
      </c>
      <c r="C15" s="2" t="inlineStr">
        <is>
          <t>seq 2302 red satin sheets king; 2308 black satin king size sheets set; 2352 king size sheets set satin; 2364 sateen sheets king</t>
        </is>
      </c>
      <c r="D15" s="2" t="inlineStr">
        <is>
          <t>re-read with the real King stock; advertise on King Black / King Red</t>
        </is>
      </c>
      <c r="E15" s="2" t="inlineStr">
        <is>
          <t>King cover ~158 days; King Black 1,385, King Red 262 + 402 inbound (SB 29 Sep)</t>
        </is>
      </c>
      <c r="F15" s="2" t="inlineStr">
        <is>
          <t>corrections §7; reviewer D</t>
        </is>
      </c>
    </row>
    <row r="16">
      <c r="A16" s="2" t="inlineStr">
        <is>
          <t>Tuner</t>
        </is>
      </c>
      <c r="B16" s="2" t="inlineStr">
        <is>
          <t>Close five 27 Sep tuner records as superseded before loading</t>
        </is>
      </c>
      <c r="C16" s="2" t="inlineStr">
        <is>
          <t>rows 1/4/5 (satin sheets queen), 32 (silk sheets twin), 45 (red satin sheet), 101 (record 2848, satin sheets for queen), 244 (silk bed sheets full size)</t>
        </is>
      </c>
      <c r="D16" s="2" t="inlineStr">
        <is>
          <t>close, do not grade</t>
        </is>
      </c>
      <c r="E16" s="2" t="inlineStr">
        <is>
          <t>Otherwise the 11 Oct grades measure this run, not the raises</t>
        </is>
      </c>
      <c r="F16" s="2" t="inlineStr">
        <is>
          <t>corrections §13</t>
        </is>
      </c>
    </row>
    <row r="17">
      <c r="A17" s="2" t="inlineStr">
        <is>
          <t>Deals</t>
        </is>
      </c>
      <c r="B17" s="2" t="inlineStr">
        <is>
          <t>Deal-day break-even for every child in the 1 Oct, 6 Oct and 16–28 Oct deals</t>
        </is>
      </c>
      <c r="C17" s="2" t="inlineStr">
        <is>
          <t>all</t>
        </is>
      </c>
      <c r="D17" s="2" t="inlineStr">
        <is>
          <t>compute before 1 Oct; no bid is raised on deal-day CVR</t>
        </is>
      </c>
      <c r="E17" s="2" t="inlineStr">
        <is>
          <t>The engine never read the deal calendar</t>
        </is>
      </c>
      <c r="F17" s="2" t="inlineStr">
        <is>
          <t>corrections §4</t>
        </is>
      </c>
    </row>
    <row r="18">
      <c r="A18" s="2" t="inlineStr">
        <is>
          <t>Pricing gap</t>
        </is>
      </c>
      <c r="B18" s="2" t="inlineStr">
        <is>
          <t>Enabled campaigns above break-even with no pricing row in the run</t>
        </is>
      </c>
      <c r="C18" s="2" t="inlineStr">
        <is>
          <t>274586208953923 (49% ACoS); 520117564893402 (34% ACoS); 100830568607053 (24% ACoS); 238180925389130 (27% ACoS); 189967409565927 (45% ACoS); 48825734993999 (56% ACoS); 167888639670385 (29% ACoS); 173446552008266 (76% ACoS); 59818700734597 (42% ACoS); 49674570581247 (37% ACoS); 19421880211317 (26% ACoS); 156074162580081 (88% ACoS); 4681005199760 (102% ACoS); 272586279246311 (31% ACoS)</t>
        </is>
      </c>
      <c r="D18" s="2" t="inlineStr">
        <is>
          <t>decide at push-tier fill: price to break-even, or fund as a ranking push</t>
        </is>
      </c>
      <c r="E18" s="2" t="inlineStr">
        <is>
          <t>14 campaigns, $2151 spend (CC 31 Aug–29 Sep)</t>
        </is>
      </c>
      <c r="F18" s="2" t="inlineStr">
        <is>
          <t>our addition</t>
        </is>
      </c>
    </row>
    <row r="19">
      <c r="A19" s="2" t="inlineStr">
        <is>
          <t>Rank</t>
        </is>
      </c>
      <c r="B19" s="2" t="inlineStr">
        <is>
          <t>Twin rank collapse 23–26 Sep</t>
        </is>
      </c>
      <c r="C19" s="2" t="inlineStr">
        <is>
          <t>Twin campaigns</t>
        </is>
      </c>
      <c r="D19" s="2" t="inlineStr">
        <is>
          <t>find the cause (listing, stock, competitor) before reading any Twin cut</t>
        </is>
      </c>
      <c r="E19" s="2" t="inlineStr">
        <is>
          <t>satin twin sheets 24 → 141, silk twin bed sheets 8 → 100, satin sheets twin 17 → 106 (engine timelines, 29 Sep)</t>
        </is>
      </c>
      <c r="F19" s="2" t="inlineStr">
        <is>
          <t>corrections §13</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2"/>
  <sheetViews>
    <sheetView showGridLines="1" workbookViewId="0">
      <selection activeCell="A1" sqref="A1"/>
    </sheetView>
  </sheetViews>
  <sheetFormatPr baseColWidth="8" defaultRowHeight="15"/>
  <cols>
    <col width="28" customWidth="1" min="1" max="1"/>
    <col width="120" customWidth="1" min="2" max="2"/>
  </cols>
  <sheetData>
    <row r="1">
      <c r="A1" s="20" t="inlineStr">
        <is>
          <t>Item</t>
        </is>
      </c>
      <c r="B1" s="20" t="inlineStr">
        <is>
          <t>Definition</t>
        </is>
      </c>
    </row>
    <row r="2">
      <c r="A2" s="14" t="inlineStr">
        <is>
          <t>Workbook</t>
        </is>
      </c>
      <c r="B2" s="27" t="inlineStr">
        <is>
          <t>R3 — per-campaign decisions for the Satin Sheets 4 Piece (US) audit run 20260929-6050bf68, built 29 Sep 2026.</t>
        </is>
      </c>
    </row>
    <row r="3">
      <c r="A3" s="14" t="inlineStr">
        <is>
          <t>Scope</t>
        </is>
      </c>
      <c r="B3" s="27" t="inlineStr">
        <is>
          <t>564 campaigns in the run ("Every campaign"), 21 new campaigns ("New campaigns"), and the decisions the run needs but does not contain ("Not in the run"). Sorted by 30d spend, highest first.</t>
        </is>
      </c>
    </row>
    <row r="4">
      <c r="A4" s="14" t="inlineStr">
        <is>
          <t>Rule of precedence</t>
        </is>
      </c>
      <c r="B4" s="27" t="inlineStr">
        <is>
          <t>Our verdict in the corrections workbook ("Every decision") wins: "correct to X" → X; LOAD → the audit value; HOLD / DROP / REJECT → current value. Holds that should move (corrections §7) are applied. Where the run is silent, the row is "No change" unless an issue is found (then it is our addition, flagged in Source).</t>
        </is>
      </c>
    </row>
    <row r="5">
      <c r="A5" s="14" t="inlineStr">
        <is>
          <t>NOT SERVING holds</t>
        </is>
      </c>
      <c r="B5" s="27" t="inlineStr">
        <is>
          <t>119 holds on 103 campaigns are released. Break-even base = child contribution (Sellerboard 30 Aug–29 Sep) × campaign CVR (CC 31 Aug–29 Sep); the new base is max(break-even, current × 0.75) if the campaign had orders in 30d, max(break-even, current × 0.50) if not, and never above the current bid. No clicks in 30d → keep the base (a cut only lowers delivery). TOS % is left unchanged, so the TOS price falls with the base. 10 of the 103 are paused by folds and are not priced.</t>
        </is>
      </c>
    </row>
    <row r="6">
      <c r="A6" s="14" t="inlineStr">
        <is>
          <t>Child contribution ($/unit before ads, SB 30 Aug–29 Sep)</t>
        </is>
      </c>
      <c r="B6" s="27" t="inlineStr">
        <is>
          <t>Queen Black 5.03 · Queen Grey 3.28 · White Queen 9.02 · Queen Stone Grey 2.94 · Queen Red 8.15 · King Grey 4.93 · King Black 9.10 · King Red 6.75 · Full Black 8.04 · Full Grey 7.62 · Full Rosewood 4.50 · Twin Black 8.50 · Twin Grey 6.93 · blended 7.02 for every other colour.</t>
        </is>
      </c>
    </row>
    <row r="7">
      <c r="A7" s="14" t="inlineStr">
        <is>
          <t>Revives at break-even</t>
        </is>
      </c>
      <c r="B7" s="27" t="inlineStr">
        <is>
          <t>Revives our verdict re-prices (2817, 2818, 2831, 2836; 2827 re-pointed to King Black) use break-even base = contribution × CC 90d CVR (2 Jul–29 Sep), with no cap because the campaign is paused.</t>
        </is>
      </c>
    </row>
    <row r="8">
      <c r="A8" s="14" t="inlineStr">
        <is>
          <t>Objective standard</t>
        </is>
      </c>
      <c r="B8" s="27" t="inlineStr">
        <is>
          <t>brand → Defensive; generic exact → Ranking; colour / competitor / Spanish / misspelled / irrelevant exact → Conversions; auto / broad / phrase / theme → Discovery; competitor ASIN → Conquesting; own ASIN → Defensive; Liquidation, Sponsored Brands and Sponsored Display kept as declared. Retag rows use our verdict; other campaigns are classified from the campaign name keyword and CC targets.</t>
        </is>
      </c>
    </row>
    <row r="9">
      <c r="A9" s="14" t="inlineStr">
        <is>
          <t>Columns</t>
        </is>
      </c>
      <c r="B9" s="27" t="inlineStr">
        <is>
          <t>Campaign ID / name / status / objective / syntax / child: audit JSON `campaigns`. Match / targeting: from the name and CC. Base bid now: enabled target bids in the audit JSON; for 25 NOT-SERVING campaigns without one, the CC bid snapshot of 29 Sep. "n/a" = no bid in either source. TOS price = base × (1 + TOS %) on the campaign's main target. PP / ROS = product-page / rest-of-search boosts. State after = ENABLED / PAUSED after all decisions. Negatives: rows to add (held rows named). Rename: load (clean name) / defer (engine name wrong; load a corrected name after 28 Oct) / none.</t>
        </is>
      </c>
    </row>
    <row r="10">
      <c r="A10" s="14" t="inlineStr">
        <is>
          <t>Performance windows</t>
        </is>
      </c>
      <c r="B10" s="27" t="inlineStr">
        <is>
          <t>30d spend, clicks, orders, ACoS, TOS and PP click share: Command Center campaign view 31 Aug–29 Sep 2026 (raw/campaigns_30d_placements.csv; the trailing 7 days carry 7-day attribution and read low). 90d orders: CC 2 Jul–29 Sep (raw/campaigns_90d.csv), falling back to the audit's 90-day read. Break-even ACoS per child: Sellerboard 30 Aug–29 Sep. Stock: Sellerboard 29 Sep.</t>
        </is>
      </c>
    </row>
    <row r="11">
      <c r="A11" s="14" t="inlineStr">
        <is>
          <t>Decision / Why / Source</t>
        </is>
      </c>
      <c r="B11" s="27" t="inlineStr">
        <is>
          <t>Decision: the action in plain words. Decision type: a grouping for counts. Why: the deciding figure with its window. Source: audit seq(s) with our verdict, or "our addition".</t>
        </is>
      </c>
    </row>
    <row r="12">
      <c r="A12" s="14" t="inlineStr">
        <is>
          <t>Ranking push</t>
        </is>
      </c>
      <c r="B12" s="27" t="inlineStr">
        <is>
          <t>Left blank for the push-tier fill (Erik's direction: pick the keywords to push, with clicks, sales and volume needed).</t>
        </is>
      </c>
    </row>
    <row r="13">
      <c r="A13" s="14" t="inlineStr">
        <is>
          <t>Owner decisions still open</t>
        </is>
      </c>
      <c r="B13" s="27" t="inlineStr">
        <is>
          <t>1) "satin sheets queen" TOS: 104% ($3.24) vs 140% (hold $3.82 through 28 Oct). 2) King advertised colour (King Grey vs King Black). 3) Break-even on 23.3% (all-in) or 26.7% (storage as period cost). 4) Renames: load the clean ones now or all after 28 Oct.</t>
        </is>
      </c>
    </row>
    <row r="14">
      <c r="A14" s="14" t="inlineStr">
        <is>
          <t>Counts by decision type</t>
        </is>
      </c>
      <c r="B14" s="27" t="inlineStr">
        <is>
          <t>Retag only 121 · Pause 78 · Release hold + price to break-even 55 · Rename only 53 · No change 48 · No change (engine move rejected/held) 46 · Price cut 38 · Release hold, keep price 37 · Keep paused 28 · Child swap 18 · No change (flag: above break-even) 14 · Reject pause 11 · Hold (price) 5 · Revive at break-even 5 · Negatives only 4 · Revive (harvest) 2 · Pause target 1</t>
        </is>
      </c>
    </row>
    <row r="15">
      <c r="A15" s="14" t="inlineStr">
        <is>
          <t>Keywords / targets</t>
        </is>
      </c>
      <c r="B15" s="27" t="inlineStr">
        <is>
          <t>Every keyword or product target in the campaign: match type, state if not enabled, current bid and 90-day clicks where the audit lists them (otherwise Command Center's target list; product-target and auto lists are shortened by Command Center).</t>
        </is>
      </c>
    </row>
    <row r="16">
      <c r="A16" s="14" t="inlineStr">
        <is>
          <t>Keyword acted on</t>
        </is>
      </c>
      <c r="B16" s="27" t="inlineStr">
        <is>
          <t>The keyword(s) the decision applies to: the pushed or maintained head term, the targets named in the audit row, "whole campaign" for campaign-level changes (state, colour, objective, name, negatives), or "—" where nothing changes.</t>
        </is>
      </c>
    </row>
    <row r="17">
      <c r="A17" s="14" t="inlineStr">
        <is>
          <t>Ranking push column</t>
        </is>
      </c>
      <c r="B17" s="27" t="inlineStr">
        <is>
          <t>Filled for the owning exact campaigns of the 26 head terms scored on the Ranking push tab. PUSH / PUSH-SMALL / HOLD-AT-TARGET rows override the price, budget and decision; MAINTAIN rows keep the audit correction and add the score.</t>
        </is>
      </c>
    </row>
    <row r="18">
      <c r="A18" s="14" t="inlineStr">
        <is>
          <t>Green fill</t>
        </is>
      </c>
      <c r="B18" s="27" t="inlineStr">
        <is>
          <t>Campaign or term in the ranking push.</t>
        </is>
      </c>
    </row>
    <row r="19">
      <c r="A19" s="14" t="inlineStr">
        <is>
          <t>Yellow fill</t>
        </is>
      </c>
      <c r="B19" s="27" t="inlineStr">
        <is>
          <t>Needs a decision or a flag (no pricing row in the run, or a push that needs sign-off).</t>
        </is>
      </c>
    </row>
    <row r="20">
      <c r="A20" s="14" t="inlineStr">
        <is>
          <t>Blue text (Ranking push tab)</t>
        </is>
      </c>
      <c r="B20" s="27" t="inlineStr">
        <is>
          <t>Values pulled from Command Center, Sellerboard, Data Dive or ASinsight. Black: formulas (score, tier, orders/day, loss/day).</t>
        </is>
      </c>
    </row>
    <row r="21">
      <c r="A21" s="14" t="inlineStr">
        <is>
          <t>Confidence score</t>
        </is>
      </c>
      <c r="B21" s="27" t="inlineStr">
        <is>
          <t>CVR vs market 25 · CTR vs market 20 · rank distance and momentum 15 · competitors at or above target 15 · inventory of the advertised child 15 · economics (cost per order vs contribution) 10. High ≥70 push; Medium 50–69 push small (half the click gap) or fix first; Low &lt;50 maintain at the ceiling price with a 70/20 top-of-search/product-page mix.</t>
        </is>
      </c>
    </row>
    <row r="22">
      <c r="A22" s="14" t="inlineStr">
        <is>
          <t>Required TOS clicks/day</t>
        </is>
      </c>
      <c r="B22" s="27" t="inlineStr">
        <is>
          <t>Units/day needed at the target rank ÷ top-of-search CVR; the larger of the engine plan and the rival-at-target estimate when they agree within 2×, the rival estimate when they do not; never below current delivery.</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7"/>
  <sheetViews>
    <sheetView showGridLines="1" workbookViewId="0">
      <selection activeCell="A1" sqref="A1"/>
    </sheetView>
  </sheetViews>
  <sheetFormatPr baseColWidth="8" defaultRowHeight="15"/>
  <cols>
    <col width="30" customWidth="1" min="1" max="1"/>
    <col width="22" customWidth="1" min="2" max="2"/>
    <col width="36" customWidth="1" min="3" max="3"/>
    <col width="22" customWidth="1" min="4" max="4"/>
    <col width="44" customWidth="1" min="5" max="5"/>
    <col width="36" customWidth="1" min="6" max="6"/>
    <col width="14" customWidth="1" min="7" max="7"/>
    <col width="10" customWidth="1" min="8" max="8"/>
    <col width="36" customWidth="1" min="9" max="9"/>
    <col width="40" customWidth="1" min="10" max="10"/>
  </cols>
  <sheetData>
    <row r="1">
      <c r="A1" s="20" t="inlineStr">
        <is>
          <t>Written to</t>
        </is>
      </c>
      <c r="B1" s="20" t="inlineStr">
        <is>
          <t>Source</t>
        </is>
      </c>
      <c r="C1" s="20" t="inlineStr">
        <is>
          <t>Object</t>
        </is>
      </c>
      <c r="D1" s="20" t="inlineStr">
        <is>
          <t>Obtained via</t>
        </is>
      </c>
      <c r="E1" s="20" t="inlineStr">
        <is>
          <t>Query or request</t>
        </is>
      </c>
      <c r="F1" s="20" t="inlineStr">
        <is>
          <t>Parameters</t>
        </is>
      </c>
      <c r="G1" s="20" t="inlineStr">
        <is>
          <t>Run at</t>
        </is>
      </c>
      <c r="H1" s="20" t="inlineStr">
        <is>
          <t>Row count</t>
        </is>
      </c>
      <c r="I1" s="20" t="inlineStr">
        <is>
          <t>Changes after retrieval</t>
        </is>
      </c>
      <c r="J1" s="20" t="inlineStr">
        <is>
          <t>Notes</t>
        </is>
      </c>
    </row>
    <row r="2">
      <c r="A2" s="27" t="inlineStr">
        <is>
          <t>'Every campaign'!A1:AJ565</t>
        </is>
      </c>
      <c r="B2" s="27" t="inlineStr">
        <is>
          <t>PPC audit run 20260929-6050bf68</t>
        </is>
      </c>
      <c r="C2" s="27" t="inlineStr">
        <is>
          <t>ppc-audit-20260929-6050bf68.json (campaigns, decisions, considered, builds)</t>
        </is>
      </c>
      <c r="D2" s="27" t="inlineStr">
        <is>
          <t>Uploaded by user</t>
        </is>
      </c>
      <c r="E2" s="27" t="inlineStr">
        <is>
          <t>Audit JSON for Satin Sheets 4 Piece US</t>
        </is>
      </c>
      <c r="F2" s="27" t="inlineStr">
        <is>
          <t>product 37</t>
        </is>
      </c>
      <c r="G2" s="27" t="inlineStr">
        <is>
          <t>2026-09-29</t>
        </is>
      </c>
      <c r="H2" s="27" t="n">
        <v>564</v>
      </c>
      <c r="I2" s="27" t="inlineStr">
        <is>
          <t>One row per campaign; our verdict applied per decision</t>
        </is>
      </c>
      <c r="J2" s="27" t="inlineStr"/>
    </row>
    <row r="3">
      <c r="A3" s="27" t="inlineStr">
        <is>
          <t>'Every campaign'!Y1:AE565</t>
        </is>
      </c>
      <c r="B3" s="27" t="inlineStr">
        <is>
          <t>Command Center (ecotero-command-center)</t>
        </is>
      </c>
      <c r="C3" s="27" t="inlineStr">
        <is>
          <t>ppc_campaigns</t>
        </is>
      </c>
      <c r="D3" s="27" t="inlineStr">
        <is>
          <t>Run by Claude</t>
        </is>
      </c>
      <c r="E3" s="27" t="inlineStr">
        <is>
          <t>Campaign performance with placements</t>
        </is>
      </c>
      <c r="F3" s="27" t="inlineStr">
        <is>
          <t>product 37; 2026-08-31..2026-09-29 (30d); 2026-07-02..2026-09-29 (90d)</t>
        </is>
      </c>
      <c r="G3" s="27" t="inlineStr">
        <is>
          <t>2026-09-29</t>
        </is>
      </c>
      <c r="H3" s="27" t="n">
        <v>564</v>
      </c>
      <c r="I3" s="27" t="inlineStr">
        <is>
          <t>Joined on campaign ID</t>
        </is>
      </c>
      <c r="J3" s="27" t="inlineStr"/>
    </row>
    <row r="4">
      <c r="A4" s="27" t="inlineStr">
        <is>
          <t>'Ranking push'!A1:AE27</t>
        </is>
      </c>
      <c r="B4" s="27" t="inlineStr">
        <is>
          <t>Command Center; Data Dive rank radar B0839MKJMV (SQP); DataRova crawl; Sellerboard</t>
        </is>
      </c>
      <c r="C4" s="27" t="inlineStr">
        <is>
          <t>ppc_keywords, ppc_keyword_campaigns, ppc_campaign_targets, ppc_ranks, ppc_syntax_groups; get_rank_radar_sqp_data</t>
        </is>
      </c>
      <c r="D4" s="27" t="inlineStr">
        <is>
          <t>Run by Claude</t>
        </is>
      </c>
      <c r="E4" s="27" t="inlineStr">
        <is>
          <t>Per-term TOS clicks, CVR, CTR, TOS impression share, rank, SQP market and ASIN rates</t>
        </is>
      </c>
      <c r="F4" s="27" t="inlineStr">
        <is>
          <t>CC 2026-08-31..09-29 and 07-02..09-29; SQP weeks 30 Aug–26 Sep and 5 Jul–26 Sep; ranks 29 Sep and 30 Aug</t>
        </is>
      </c>
      <c r="G4" s="27" t="inlineStr">
        <is>
          <t>2026-09-29</t>
        </is>
      </c>
      <c r="H4" s="27" t="n">
        <v>26</v>
      </c>
      <c r="I4" s="27" t="inlineStr">
        <is>
          <t>Scored and sized by the bids and placements rules</t>
        </is>
      </c>
      <c r="J4" s="27" t="inlineStr">
        <is>
          <t>SQP basis (child or parent) not confirmed</t>
        </is>
      </c>
    </row>
    <row r="5">
      <c r="A5" s="27" t="inlineStr">
        <is>
          <t>'Ranking push' contribution</t>
        </is>
      </c>
      <c r="B5" s="27" t="inlineStr">
        <is>
          <t>Sellerboard</t>
        </is>
      </c>
      <c r="C5" s="27" t="inlineStr">
        <is>
          <t>dashboard_table (Ecotero, amazon.com)</t>
        </is>
      </c>
      <c r="D5" s="27" t="inlineStr">
        <is>
          <t>Run by Claude</t>
        </is>
      </c>
      <c r="E5" s="27" t="inlineStr">
        <is>
          <t>Profit before ads per unit by SKU</t>
        </is>
      </c>
      <c r="F5" s="27" t="inlineStr">
        <is>
          <t>2026-08-30..2026-09-29</t>
        </is>
      </c>
      <c r="G5" s="27" t="inlineStr">
        <is>
          <t>2026-09-29</t>
        </is>
      </c>
      <c r="H5" s="27" t="n">
        <v>13</v>
      </c>
      <c r="I5" s="27" t="inlineStr">
        <is>
          <t>Profit ÷ units per SKU</t>
        </is>
      </c>
      <c r="J5" s="27" t="inlineStr">
        <is>
          <t>All-in: COGS, fees, storage, refunds</t>
        </is>
      </c>
    </row>
    <row r="6">
      <c r="A6" s="27" t="inlineStr">
        <is>
          <t>'Competitors'!A1:K19</t>
        </is>
      </c>
      <c r="B6" s="27" t="inlineStr">
        <is>
          <t>Command Center traffic tools (ASinsight); Data Dive niche and rank radar</t>
        </is>
      </c>
      <c r="C6" s="27" t="inlineStr">
        <is>
          <t>traffic_market_keywords, traffic_competitor, traffic_position_trends; get_niche_keywords, get_niche_competitors, get_rank_radar_data</t>
        </is>
      </c>
      <c r="D6" s="27" t="inlineStr">
        <is>
          <t>Run by Claude (read-only)</t>
        </is>
      </c>
      <c r="E6" s="27" t="inlineStr">
        <is>
          <t>Who holds ranks 1–10 on 18 head terms, rival traffic and estimated clicks</t>
        </is>
      </c>
      <c r="F6" s="27" t="inlineStr">
        <is>
          <t>ASinsight exports 28–29 Sep; Data Dive snapshots 26 Feb, 19 May, 15 Aug, 11 Sep; radar 1 Jul–29 Sep</t>
        </is>
      </c>
      <c r="G6" s="27" t="inlineStr">
        <is>
          <t>2026-09-29</t>
        </is>
      </c>
      <c r="H6" s="27" t="n">
        <v>18</v>
      </c>
      <c r="I6" s="27" t="inlineStr">
        <is>
          <t>Clicks and spend estimated</t>
        </is>
      </c>
      <c r="J6" s="27" t="inlineStr">
        <is>
          <t>No rival click, hourly or sponsored-rank data</t>
        </is>
      </c>
    </row>
    <row r="7">
      <c r="A7" s="27" t="inlineStr">
        <is>
          <t>'New campaigns', 'Not in the run'</t>
        </is>
      </c>
      <c r="B7" s="27" t="inlineStr">
        <is>
          <t>Audit JSON builds; corrections review</t>
        </is>
      </c>
      <c r="C7" s="27" t="inlineStr">
        <is>
          <t>builds (21); review files A–F</t>
        </is>
      </c>
      <c r="D7" s="27" t="inlineStr">
        <is>
          <t>Run by Claude</t>
        </is>
      </c>
      <c r="E7" s="27" t="inlineStr">
        <is>
          <t>Verdict per new campaign; campaigns the run is missing</t>
        </is>
      </c>
      <c r="F7" s="27" t="inlineStr"/>
      <c r="G7" s="27" t="inlineStr">
        <is>
          <t>2026-09-29</t>
        </is>
      </c>
      <c r="H7" s="27" t="n">
        <v>39</v>
      </c>
      <c r="I7" s="27" t="inlineStr"/>
      <c r="J7" s="2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2026-09-29T21:40:00Z</dcterms:created>
  <dcterms:modified xmlns:dcterms="http://purl.org/dc/terms/" xmlns:xsi="http://www.w3.org/2001/XMLSchema-instance" xsi:type="dcterms:W3CDTF">2026-09-29T21:40:01Z</dcterms:modified>
</cp:coreProperties>
</file>