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_Me" sheetId="1" state="visible" r:id="rId3"/>
    <sheet name="Main_Strategy" sheetId="2" state="visible" r:id="rId4"/>
    <sheet name="Batch_Summary" sheetId="3" state="visible" r:id="rId5"/>
    <sheet name="Campaigns" sheetId="4" state="visible" r:id="rId6"/>
    <sheet name="Inventory" sheetId="5" state="visible" r:id="rId7"/>
    <sheet name="Competitors" sheetId="6" state="visible" r:id="rId8"/>
    <sheet name="Decolure_History" sheetId="7" state="visible" r:id="rId9"/>
    <sheet name="Sleephoria_History" sheetId="8" state="visible" r:id="rId10"/>
    <sheet name="Assumptions" sheetId="9" state="visible" r:id="rId11"/>
    <sheet name="Excluded" sheetId="10" state="visible" r:id="rId12"/>
  </sheets>
  <definedNames>
    <definedName function="false" hidden="true" localSheetId="3" name="_xlnm._FilterDatabase" vbProcedure="false">Campaigns!$A$4:$O$91</definedName>
    <definedName function="false" hidden="true" localSheetId="9" name="_xlnm._FilterDatabase" vbProcedure="false">Excluded!$A$4:$P$1256</definedName>
    <definedName function="false" hidden="true" localSheetId="4" name="_xlnm._FilterDatabase" vbProcedure="false">Inventory!$A$4:$R$64</definedName>
    <definedName function="false" hidden="true" localSheetId="1" name="_xlnm._FilterDatabase" vbProcedure="false">Main_Strategy!$A$6:$CC$108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<sst xmlns="http://schemas.openxmlformats.org/spreadsheetml/2006/main" count="28745" uniqueCount="7950">
  <si>
    <t xml:space="preserve">How to read this workbook</t>
  </si>
  <si>
    <t xml:space="preserve">CooLinens Cooling Sheets 4PC launch · Amazon US · prepared 8 Oct 2026 · analysis and proposal only — nothing has been changed in the account.</t>
  </si>
  <si>
    <t xml:space="preserve">Main_Strategy</t>
  </si>
  <si>
    <t xml:space="preserve">The decision tab. One row per keyword we keep (Batch 1, 2 or 3). Filter column B. Each row carries relevance, confidence, demand, rank history, competitors, live Sleephoria/Decolure PPC history, the ranking calculation, campaign structure, budget, stock and the full story.</t>
  </si>
  <si>
    <t xml:space="preserve">Batch_Summary</t>
  </si>
  <si>
    <t xml:space="preserve">Live totals per batch and the rules that put a keyword in a batch, plus the weekly decision rule.</t>
  </si>
  <si>
    <t xml:space="preserve">Campaigns</t>
  </si>
  <si>
    <t xml:space="preserve">One row per campaign. Daily budget = SUMIF of its keywords' planned spend × (1 + headroom), minimum $10. Main_Strategy reads its budget from here.</t>
  </si>
  <si>
    <t xml:space="preserve">Assumptions</t>
  </si>
  <si>
    <t xml:space="preserve">Every input the formulas use: paid click share, probe cap, modifier limits, the rank → click-share table (measured on Sleephoria) and economics by size. Change a blue cell and the whole plan recalculates.</t>
  </si>
  <si>
    <t xml:space="preserve">Inventory</t>
  </si>
  <si>
    <t xml:space="preserve">Stock, inbound, velocity and days of cover per SKU; preferred / backup per size; stock-out history; constraints. Main_Strategy reads stock status and cover from here.</t>
  </si>
  <si>
    <t xml:space="preserve">Competitors</t>
  </si>
  <si>
    <t xml:space="preserve">Profiles (price, material, variations, keywords, organic and PPC presence, strengths / weaknesses, comparison) and a keyword × rival rank matrix for every Main_Strategy keyword.</t>
  </si>
  <si>
    <t xml:space="preserve">Decolure_History / Sleephoria_History</t>
  </si>
  <si>
    <t xml:space="preserve">Full product history: summary, monthly business + PPC, year-on-year windows, size and SKU performance, ad formats and placements, organic rank history, stock-outs, rises and declines with causes, and the keyword table that Main_Strategy looks up.</t>
  </si>
  <si>
    <t xml:space="preserve">Excluded</t>
  </si>
  <si>
    <t xml:space="preserve">Every keyword considered and rejected, with its reason.</t>
  </si>
  <si>
    <t xml:space="preserve">Relevance %</t>
  </si>
  <si>
    <t xml:space="preserve">Product type 25 + use case (cooling / hot sleeper) 30 + material 15 + intent 15 + size fit 15 (specific size 15, no size 10). ✓ = full points, ⚠ = half, ✗ = 0 (and the keyword is excluded). Research wording ("best …") −5.</t>
  </si>
  <si>
    <t xml:space="preserve">Confidence</t>
  </si>
  <si>
    <t xml:space="preserve">Evidence score out of 12: Sleephoria PPC on the exact term (−2 to +4; same product, strongest weight) + root|size syntax proven on Sleephoria when the term itself has &lt; 20 clicks (+1.5) + Sleephoria organic rank reached (0 to +2) + market CVR from SQP (0 to +2) + rivals in the organic top 20 (0 to +1) + Decolure term history and rank (−0.5 to +1.5, adjacent product). High ≥ 6.5 · Medium 4–6.4 · Low &lt; 4. "Medium (syntax-proven)" = a long-tail with little data of its own whose root|size syntax Sleephoria proved — used only inside capped Halo campaigns. The build-up is shown on every row.</t>
  </si>
  <si>
    <t xml:space="preserve">Ranking calculation</t>
  </si>
  <si>
    <t xml:space="preserve">Searches/day × market clicks per search = market clicks/day → × click share needed for the target rank (Sleephoria-measured table) × paid share = clicks/day needed. Funded clicks: Ranking = needed, floored at 1/day so CVR can be read; capped probes = 50 clicks / 14 days (they build first sales and read CVR until the size is assigned to CooLinens); Halo probes = 0.75/day per term; support terms = needed. Every term is limited to 10% of its daily searches (what an exact ad can realistically buy). Orders = clicks × expected CVR. Base bid = Sleephoria's CPC on the same term, capped at the max ranking CPC. Top-of-Search modifier = the largest 25% step that keeps base × (1 + modifier) ≤ price × ranking-ceiling ACoS × CVR, limited to +100% where Sleephoria proved CVR on the term and +50% where it did not; 0 for probes and support terms. Effective CPC × clicks = spend; campaign budget sums its keywords.</t>
  </si>
  <si>
    <t xml:space="preserve">Expected CVR</t>
  </si>
  <si>
    <t xml:space="preserve">Sleephoria CVR on the exact term (≥ 50 clicks), otherwise its root/size group, × 0.8 for a new listing (24 Vine ratings vs Sleephoria's 889), bounded 3–14%.</t>
  </si>
  <si>
    <t xml:space="preserve">Colours</t>
  </si>
  <si>
    <t xml:space="preserve">Blue = input value · Black = formula · Green = pulled from another tab. Batch colours: green = 1, amber = 2, purple = 3.</t>
  </si>
  <si>
    <t xml:space="preserve">Structure rule</t>
  </si>
  <si>
    <t xml:space="preserve">Launch-window SV &gt; 300/mo → Hero single-keyword campaign; ≤ 300 → Halo campaign per size, ad groups by intent. Exact match only on day 1. Naming: CLCS4-SP-{keyword}-{SV tier}-Exact-{objective}-Fix-{SKU}.</t>
  </si>
  <si>
    <t xml:space="preserve">CooLinens Cooling Sheets 4PC — Main Strategy (Batch 1 / 2 / 3)</t>
  </si>
  <si>
    <t xml:space="preserve">One row per keyword we keep. Filter column B for Batch 1, 2 or 3. Blue = input value; black = live formula; green = pulled live from a supporting tab. Excluded keywords and their reasons are on the Excluded tab.</t>
  </si>
  <si>
    <t xml:space="preserve">Keyword</t>
  </si>
  <si>
    <t xml:space="preserve">Relevance &amp; Confidence</t>
  </si>
  <si>
    <t xml:space="preserve">Demand</t>
  </si>
  <si>
    <t xml:space="preserve">Organic Rank</t>
  </si>
  <si>
    <t xml:space="preserve">Historical PPC (Live from History Tabs)</t>
  </si>
  <si>
    <t xml:space="preserve">Click &amp; Order Model (Live)</t>
  </si>
  <si>
    <t xml:space="preserve">Bid &amp; Placement Model (Live)</t>
  </si>
  <si>
    <t xml:space="preserve">Campaign Structure</t>
  </si>
  <si>
    <t xml:space="preserve">Budget &amp; Stock (Live)</t>
  </si>
  <si>
    <t xml:space="preserve">Keyword Story — Why We Chose It</t>
  </si>
  <si>
    <t xml:space="preserve">Exact search term</t>
  </si>
  <si>
    <t xml:space="preserve">1 · 2 · 3</t>
  </si>
  <si>
    <t xml:space="preserve">Launch date / gate</t>
  </si>
  <si>
    <t xml:space="preserve">Size in the query</t>
  </si>
  <si>
    <t xml:space="preserve">Action for this keyword</t>
  </si>
  <si>
    <t xml:space="preserve">Type 25 + Use 30 + Material 15 + Intent 15 + Size 15</t>
  </si>
  <si>
    <t xml:space="preserve">Type · Use · Material · Intent (✓ / ⚠ / ✗)</t>
  </si>
  <si>
    <t xml:space="preserve">High ≥ 6.5 · Medium 4–6.4 · Low &lt; 4</t>
  </si>
  <si>
    <t xml:space="preserve">Sum of the build-up</t>
  </si>
  <si>
    <t xml:space="preserve">Sleephoria PPC + rank, market CVR, rivals, Decolure</t>
  </si>
  <si>
    <t xml:space="preserve">DataDive MKL build 618</t>
  </si>
  <si>
    <t xml:space="preserve">Oct–Jan seasonal level</t>
  </si>
  <si>
    <t xml:space="preserve">Calc: Launch SV ÷ 30</t>
  </si>
  <si>
    <t xml:space="preserve">All brands: purchases ÷ clicks, 12 mo</t>
  </si>
  <si>
    <t xml:space="preserve">Best · median · now</t>
  </si>
  <si>
    <t xml:space="preserve">Best · PPC-period median · now</t>
  </si>
  <si>
    <t xml:space="preserve">Best-ranked tracked rival</t>
  </si>
  <si>
    <t xml:space="preserve">Of 20 tracked rivals</t>
  </si>
  <si>
    <t xml:space="preserve">Exact rank to reach by week 8</t>
  </si>
  <si>
    <t xml:space="preserve">Checkpoints for the weekly verdict</t>
  </si>
  <si>
    <t xml:space="preserve">ASINsight, late Sep 2026</t>
  </si>
  <si>
    <t xml:space="preserve">Sleephoria_History §12</t>
  </si>
  <si>
    <t xml:space="preserve">Decolure_History §10</t>
  </si>
  <si>
    <t xml:space="preserve">Sleephoria CVR × 0.8 (new listing)</t>
  </si>
  <si>
    <t xml:space="preserve">Source of the CVR</t>
  </si>
  <si>
    <t xml:space="preserve">SQP clicks ÷ searches</t>
  </si>
  <si>
    <t xml:space="preserve">Calc: Searches/day × clicks per search</t>
  </si>
  <si>
    <t xml:space="preserve">Sleephoria-measured (Assumptions)</t>
  </si>
  <si>
    <t xml:space="preserve">Ads share during a push</t>
  </si>
  <si>
    <t xml:space="preserve">Calc: Market clicks × share × paid</t>
  </si>
  <si>
    <t xml:space="preserve">Calc: Required clicks × expected CVR</t>
  </si>
  <si>
    <t xml:space="preserve">Calc: Required clicks/day × 56</t>
  </si>
  <si>
    <t xml:space="preserve">Calc: Required orders/day × 56</t>
  </si>
  <si>
    <t xml:space="preserve">Calc: Searches/day × 10%</t>
  </si>
  <si>
    <t xml:space="preserve">All campaigns are ranking campaigns</t>
  </si>
  <si>
    <t xml:space="preserve">Reason for the objective and its funding level</t>
  </si>
  <si>
    <t xml:space="preserve">Exact on day 1</t>
  </si>
  <si>
    <t xml:space="preserve">Full push: MAX(required, 1) · capped: MAX(required, 1) up to 3.57 · long-tail: required up to 0.75 — all ≤ supply</t>
  </si>
  <si>
    <t xml:space="preserve">Planned ÷ required clicks</t>
  </si>
  <si>
    <t xml:space="preserve">Calc: Planned clicks × CVR</t>
  </si>
  <si>
    <t xml:space="preserve">Calc: Orders × price</t>
  </si>
  <si>
    <t xml:space="preserve">What Sleephoria paid</t>
  </si>
  <si>
    <t xml:space="preserve">Term or size average</t>
  </si>
  <si>
    <t xml:space="preserve">Assumptions · economics</t>
  </si>
  <si>
    <t xml:space="preserve">Calc: MIN(80%, 1.5 × break-even)</t>
  </si>
  <si>
    <t xml:space="preserve">Calc: Margin ÷ price</t>
  </si>
  <si>
    <t xml:space="preserve">Calc: Price × ceiling × CVR</t>
  </si>
  <si>
    <t xml:space="preserve">Calc: MIN(reference CPC, max ranking CPC)</t>
  </si>
  <si>
    <t xml:space="preserve">≥ 50 clicks and CVR ≥ 8%</t>
  </si>
  <si>
    <t xml:space="preserve">Largest 25% step keeping effective CPC ≤ max</t>
  </si>
  <si>
    <t xml:space="preserve">Decision with the ceiling maths and final values</t>
  </si>
  <si>
    <t xml:space="preserve">Calc: Base bid × (1 + modifier)</t>
  </si>
  <si>
    <t xml:space="preserve">Calc: Planned clicks × effective CPC</t>
  </si>
  <si>
    <t xml:space="preserve">Calc: Effective CPC ÷ (price × CVR)</t>
  </si>
  <si>
    <t xml:space="preserve">vs break-even and ceiling</t>
  </si>
  <si>
    <t xml:space="preserve">Full chain with final values</t>
  </si>
  <si>
    <t xml:space="preserve">Root | size</t>
  </si>
  <si>
    <t xml:space="preserve">Hero &gt; 300 SV/mo · Halo ≤ 300</t>
  </si>
  <si>
    <t xml:space="preserve">CLCS4 · SP · keyword/size · SV tier · match · objective · bid type · SKU</t>
  </si>
  <si>
    <t xml:space="preserve">Hero: keyword · Halo: intent</t>
  </si>
  <si>
    <t xml:space="preserve">Preferred child (colour terms: colour child)</t>
  </si>
  <si>
    <t xml:space="preserve">Calc: Campaign spend × 1.25, min $10</t>
  </si>
  <si>
    <t xml:space="preserve">Inventory tab</t>
  </si>
  <si>
    <t xml:space="preserve">Batch</t>
  </si>
  <si>
    <t xml:space="preserve">Go-Live</t>
  </si>
  <si>
    <t xml:space="preserve">Size</t>
  </si>
  <si>
    <t xml:space="preserve">Launch Recommendation</t>
  </si>
  <si>
    <t xml:space="preserve">Relevance (%)</t>
  </si>
  <si>
    <t xml:space="preserve">Relevance Check</t>
  </si>
  <si>
    <t xml:space="preserve">Confidence Level</t>
  </si>
  <si>
    <t xml:space="preserve">Evidence Score (/12)</t>
  </si>
  <si>
    <t xml:space="preserve">Evidence Score Build-Up</t>
  </si>
  <si>
    <t xml:space="preserve">Search Volume / Month (MKL)</t>
  </si>
  <si>
    <t xml:space="preserve">Search Volume / Month (Launch Window)</t>
  </si>
  <si>
    <t xml:space="preserve">Searches / Day</t>
  </si>
  <si>
    <t xml:space="preserve">Market CVR (SQP)</t>
  </si>
  <si>
    <t xml:space="preserve">Decolure Organic Rank (History)</t>
  </si>
  <si>
    <t xml:space="preserve">Sleephoria Organic Rank (History)</t>
  </si>
  <si>
    <t xml:space="preserve">Market Organic Leader</t>
  </si>
  <si>
    <t xml:space="preserve">Rivals in Organic Top 20</t>
  </si>
  <si>
    <t xml:space="preserve">Target Organic Rank (#)</t>
  </si>
  <si>
    <t xml:space="preserve">Rank Path (Wk 2 → Wk 4 → Wk 8)</t>
  </si>
  <si>
    <t xml:space="preserve">Competitor Presence (Organic · Sponsored)</t>
  </si>
  <si>
    <t xml:space="preserve">Sleephoria Clicks</t>
  </si>
  <si>
    <t xml:space="preserve">Sleephoria CVR</t>
  </si>
  <si>
    <t xml:space="preserve">Sleephoria CPC ($)</t>
  </si>
  <si>
    <t xml:space="preserve">Sleephoria ACoS</t>
  </si>
  <si>
    <t xml:space="preserve">Sleephoria Ad Sales ($)</t>
  </si>
  <si>
    <t xml:space="preserve">Decolure Clicks</t>
  </si>
  <si>
    <t xml:space="preserve">Decolure CVR</t>
  </si>
  <si>
    <t xml:space="preserve">Decolure ACoS</t>
  </si>
  <si>
    <t xml:space="preserve">CVR Basis</t>
  </si>
  <si>
    <t xml:space="preserve">Market Clicks per Search</t>
  </si>
  <si>
    <t xml:space="preserve">Market Clicks / Day</t>
  </si>
  <si>
    <t xml:space="preserve">Click Share for Target Rank</t>
  </si>
  <si>
    <t xml:space="preserve">Paid Share of Clicks</t>
  </si>
  <si>
    <t xml:space="preserve">Clicks / Day Required for Target Rank</t>
  </si>
  <si>
    <t xml:space="preserve">Orders / Day Required for Target Rank</t>
  </si>
  <si>
    <t xml:space="preserve">Clicks Required — 8-Week Push</t>
  </si>
  <si>
    <t xml:space="preserve">Orders Required — 8-Week Push</t>
  </si>
  <si>
    <t xml:space="preserve">Click Supply Cap / Day</t>
  </si>
  <si>
    <t xml:space="preserve">Campaign Objective</t>
  </si>
  <si>
    <t xml:space="preserve">Why This Objective</t>
  </si>
  <si>
    <t xml:space="preserve">Match Type</t>
  </si>
  <si>
    <t xml:space="preserve">Why This Match Type</t>
  </si>
  <si>
    <t xml:space="preserve">Planned Clicks / Day</t>
  </si>
  <si>
    <t xml:space="preserve">Funding vs Requirement</t>
  </si>
  <si>
    <t xml:space="preserve">Expected Orders / Day</t>
  </si>
  <si>
    <t xml:space="preserve">Expected Ad Sales / Day ($)</t>
  </si>
  <si>
    <t xml:space="preserve">Reference CPC ($)</t>
  </si>
  <si>
    <t xml:space="preserve">Reference CPC Source</t>
  </si>
  <si>
    <t xml:space="preserve">Price ($)</t>
  </si>
  <si>
    <t xml:space="preserve">Ranking Ceiling ACoS</t>
  </si>
  <si>
    <t xml:space="preserve">Break-Even ACoS</t>
  </si>
  <si>
    <t xml:space="preserve">Max Ranking CPC ($)</t>
  </si>
  <si>
    <t xml:space="preserve">Base Bid ($)</t>
  </si>
  <si>
    <t xml:space="preserve">Sleephoria CVR Proven?</t>
  </si>
  <si>
    <t xml:space="preserve">TOS Modifier (%)</t>
  </si>
  <si>
    <t xml:space="preserve">TOS Modifier Decision (+100%?)</t>
  </si>
  <si>
    <t xml:space="preserve">Effective TOS CPC ($)</t>
  </si>
  <si>
    <t xml:space="preserve">Planned Spend / Day ($)</t>
  </si>
  <si>
    <t xml:space="preserve">Expected ACoS</t>
  </si>
  <si>
    <t xml:space="preserve">ACoS Check</t>
  </si>
  <si>
    <t xml:space="preserve">Bid &amp; Budget Calculation (Worked Example)</t>
  </si>
  <si>
    <t xml:space="preserve">Syntax Group (Root | Size)</t>
  </si>
  <si>
    <t xml:space="preserve">Campaign Name</t>
  </si>
  <si>
    <t xml:space="preserve">Ad Group</t>
  </si>
  <si>
    <t xml:space="preserve">Advertised SKU</t>
  </si>
  <si>
    <t xml:space="preserve">Advertised ASIN</t>
  </si>
  <si>
    <t xml:space="preserve">Campaign Daily Budget ($)</t>
  </si>
  <si>
    <t xml:space="preserve">Stock Status</t>
  </si>
  <si>
    <t xml:space="preserve">Days of Cover</t>
  </si>
  <si>
    <t xml:space="preserve">Why It Is Relevant to CooLinens</t>
  </si>
  <si>
    <t xml:space="preserve">Evidence from Decolure</t>
  </si>
  <si>
    <t xml:space="preserve">Evidence from Sleephoria</t>
  </si>
  <si>
    <t xml:space="preserve">Market Demand and Trend</t>
  </si>
  <si>
    <t xml:space="preserve">Who Ranks and Who Advertises</t>
  </si>
  <si>
    <t xml:space="preserve">Competitive Opportunity</t>
  </si>
  <si>
    <t xml:space="preserve">Why Launch It Now</t>
  </si>
  <si>
    <t xml:space="preserve">Why This Batch (1 vs 2 vs 3)</t>
  </si>
  <si>
    <t xml:space="preserve">Target Rank Rationale</t>
  </si>
  <si>
    <t xml:space="preserve">cooling sheets queen</t>
  </si>
  <si>
    <t xml:space="preserve">15 Oct 2026</t>
  </si>
  <si>
    <t xml:space="preserve">Queen</t>
  </si>
  <si>
    <t xml:space="preserve">LAUNCH 15 Oct — rank push</t>
  </si>
  <si>
    <t xml:space="preserve">Type ✓ · Use ✓ · Material ✓ · Intent ✓</t>
  </si>
  <si>
    <t xml:space="preserve">High</t>
  </si>
  <si>
    <t xml:space="preserve">Sleephoria PPC +4 · Sleephoria rank +2 · market CVR +1.5 · competitors +1 · Decolure +1</t>
  </si>
  <si>
    <t xml:space="preserve">best #3 (2025-04-25) · median #27 · now #110</t>
  </si>
  <si>
    <t xml:space="preserve">best #2 (2025-10-23) · PPC-period median #23 · now #45</t>
  </si>
  <si>
    <t xml:space="preserve">#3 Pillcase</t>
  </si>
  <si>
    <t xml:space="preserve">#50 → #30 → #15</t>
  </si>
  <si>
    <t xml:space="preserve">Pillcase #3, Love's cabin #5, Bedsure PW #6, TRUE BAMBOO #7, Bambaw #12; Ads: Bedsure PW Cooling SP#2, Love's cabin SP#4, Bedsure PW SP#4, California Design Den SP#4</t>
  </si>
  <si>
    <t xml:space="preserve">Sleephoria term CVR 11.9% on 2552 clicks ×0.8 launch</t>
  </si>
  <si>
    <t xml:space="preserve">Ranking — Full Push</t>
  </si>
  <si>
    <t xml:space="preserve">Full ranking push: Queen is CooLinens' own size (its keywords are not shared with Sleephoria) and the evidence is High (9.5/12). Every click the target rank requires is funded, with a Top-of-Search modifier where the ceiling allows.</t>
  </si>
  <si>
    <t xml:space="preserve">Exact</t>
  </si>
  <si>
    <t xml:space="preserve">Exact: organic rank is earned per exact query, so sales must land on this wording; one keyword per campaign gives full control of bid, TOS modifier and budget, and clean attribution. Phrase / broad / auto open from week 4 for harvesting only.</t>
  </si>
  <si>
    <t xml:space="preserve">Sleephoria CPC on this exact term (2552 clicks)</t>
  </si>
  <si>
    <t xml:space="preserve">Yes</t>
  </si>
  <si>
    <t xml:space="preserve">cooling sheets|Queen</t>
  </si>
  <si>
    <t xml:space="preserve">Hero (single-keyword campaign)</t>
  </si>
  <si>
    <t xml:space="preserve">CLCS4-SP-cooling sheets queen-VHSV-Exact-Rank-Fix-Q-GRAPHITE</t>
  </si>
  <si>
    <t xml:space="preserve">CL-COOLING-SHEET-QUEEN-GRAPHITE</t>
  </si>
  <si>
    <t xml:space="preserve">B0H6K1MKQW</t>
  </si>
  <si>
    <t xml:space="preserve">"cooling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</si>
  <si>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(2048 clicks, CVR 6.9%, ACoS 46%); organic best #3 (2025-04-25), 73 days in top 10, median #28.</t>
  </si>
  <si>
    <t xml:space="preserve">Sleephoria (same product and price — strongest evidence): proven on the same product (2552 clicks, CVR 11.9%, ACoS 29%); organic best #2 (2025-10-23), first top-10 2025-10-12, now #45. Launch entry Oct-25: 7.8 clicks/day, 1.34 orders/day, $41/day → top 10 in 9 days.</t>
  </si>
  <si>
    <t xml:space="preserve">SV 30,225/mo (MKL (DataDive)); launch window ≈ 36,640/mo; SQP 12-mo 589,245 searches, peak 2026-06, Oct at 0.80× its avg; Mar-24→Mar-26 ×1.94; market CVR 3.3% (head term 1.5%).</t>
  </si>
  <si>
    <t xml:space="preserve">Organic top 20: Pillcase #3, Love's cabin #5, Bedsure PW #6, TRUE BAMBOO #7. Advertising: Bedsure PW Cooling SP#2, Love's cabin SP#4, Bedsure PW SP#4, California Design Den SP#4. Rival ad share 54%.</t>
  </si>
  <si>
    <t xml:space="preserve">Top-20 is held by bamboo/viscose sets (Pillcase, Love's cabin, Bedsure PW);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</si>
  <si>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Queen roots belong to CooLinens, so this can be pushed at ranking spend from day 1.</t>
  </si>
  <si>
    <t xml:space="preserve">Batch 1 Hero: relevance 100% ≥ 90%, clean wording, launch-window demand 36,640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</si>
  <si>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36,640-searches/mo page. Sleephoria's best was #2 (2025-10-23), but its launch ran into Prime Big Deal Days (7–8 Oct 2025). CooLinens launches with 24 Vine ratings and no deal tailwind in a 35%-of-peak window, so top 15 is the evidence-supported goal.</t>
  </si>
  <si>
    <t xml:space="preserve">queen sheets cooling</t>
  </si>
  <si>
    <t xml:space="preserve">Sleephoria PPC +4 · Sleephoria rank +2 · market CVR +2 · competitors +1 · Decolure +0.5</t>
  </si>
  <si>
    <t xml:space="preserve">now #127</t>
  </si>
  <si>
    <t xml:space="preserve">best #4 (2025-10-17) · PPC-period median #30 · now #69</t>
  </si>
  <si>
    <t xml:space="preserve">#5 Love's cabin</t>
  </si>
  <si>
    <t xml:space="preserve">#40 → #20 → #10</t>
  </si>
  <si>
    <t xml:space="preserve">Love's cabin #5, Bedsure PW #9, Bambaw #18; Ads: Bambaw SP#6, TRUE BAMBOO SP#8, Breescape SP#9, Pure Bamboo SP#10</t>
  </si>
  <si>
    <t xml:space="preserve">Sleephoria term CVR 9.1% on 55 clicks ×0.8 launch</t>
  </si>
  <si>
    <t xml:space="preserve">Sleephoria CPC on this exact term (55 clicks)</t>
  </si>
  <si>
    <t xml:space="preserve">CLCS4-SP-queen sheets cooling-HSV-Exact-Rank-Fix-Q-GRAPHITE</t>
  </si>
  <si>
    <t xml:space="preserve">"queen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</si>
  <si>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(45 clicks, CVR 8.9%, ACoS 48%).</t>
  </si>
  <si>
    <t xml:space="preserve">Sleephoria (same product and price — strongest evidence): proven on the same product (55 clicks, CVR 9.1%, ACoS 37%); organic best #4 (2025-10-17), first top-10 2025-10-15, now #69.</t>
  </si>
  <si>
    <t xml:space="preserve">SV 4,964/mo (MKL (DataDive)); launch window ≈ 5,693/mo; SQP 12-mo 78,457 searches, peak 2026-07, Oct at 0.94× its avg; market CVR 5.0% (head term 1.5%).</t>
  </si>
  <si>
    <t xml:space="preserve">Organic top 20: Love's cabin #5, Bedsure PW #9, Bambaw #18. Advertising: Bambaw SP#6, TRUE BAMBOO SP#8, Breescape SP#9, Pure Bamboo SP#10. Rival ad share 52%.</t>
  </si>
  <si>
    <t xml:space="preserve">Top-20 is held by bamboo/viscose sets (Love's cabin, Bedsure PW,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</si>
  <si>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5,693 searches/mo &gt; 300 (own campaign), and evidence score 9.5/12 ≥ 6.0 (Sleephoria PPC +4 · Sleephoria rank +2 · market CVR +2 · competitors +1 · Decolure +0.5). Sleephoria did not overpay on it beyond the ranking ceiling.</t>
  </si>
  <si>
    <t xml:space="preserve">≤10 (≤40 by wk 2, ≤20 by wk 4, ≤10 by wk 8): Sleephoria, the same product, reached #4 here; 3 tracked rival(s) in the top 20.</t>
  </si>
  <si>
    <t xml:space="preserve">queen cooling sheets</t>
  </si>
  <si>
    <t xml:space="preserve">Sleephoria PPC +4 · Sleephoria rank +2 · market CVR +2 · competitors +0.5 · Decolure +0.5</t>
  </si>
  <si>
    <t xml:space="preserve">best #4 (2025-06-18) · median #20 · now #130</t>
  </si>
  <si>
    <t xml:space="preserve">best #3 (2025-11-08) · PPC-period median #29 · now #45</t>
  </si>
  <si>
    <t xml:space="preserve">#1 Love's cabin</t>
  </si>
  <si>
    <t xml:space="preserve">Love's cabin #1, Bedsure PW #4; Ads: OMERAI SP#4, Bambaw SP#5, BEDELITE SP#8, Breescape SP#9</t>
  </si>
  <si>
    <t xml:space="preserve">Sleephoria term CVR 12.8% on 78 clicks ×0.8 launch</t>
  </si>
  <si>
    <t xml:space="preserve">Full ranking push: Queen is CooLinens' own size (its keywords are not shared with Sleephoria) and the evidence is High (9.0/12). Every click the target rank requires is funded, with a Top-of-Search modifier where the ceiling allows.</t>
  </si>
  <si>
    <t xml:space="preserve">Sleephoria CPC on this exact term (78 clicks)</t>
  </si>
  <si>
    <t xml:space="preserve">CLCS4-SP-queen cooling sheets-HSV-Exact-Rank-Fix-Q-GRAPHITE</t>
  </si>
  <si>
    <t xml:space="preserve">"queen cooling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</si>
  <si>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(88 clicks); organic best #4 (2025-06-18), 103 days in top 10, median #20.</t>
  </si>
  <si>
    <t xml:space="preserve">Sleephoria (same product and price — strongest evidence): proven on the same product (78 clicks, CVR 12.8%, ACoS 23%); organic best #3 (2025-11-08), first top-10 2025-10-12, now #45.</t>
  </si>
  <si>
    <t xml:space="preserve">SV 4,728/mo (MKL (DataDive)); launch window ≈ 5,605/mo; SQP 12-mo 86,358 searches, peak 2026-07, Oct at 0.91× its avg; Mar-24→Mar-26 ×2.19; market CVR 5.0% (head term 1.5%).</t>
  </si>
  <si>
    <t xml:space="preserve">Organic top 20: Love's cabin #1, Bedsure PW #4. Advertising: OMERAI SP#4, Bambaw SP#5, BEDELITE SP#8, Breescape SP#9. Rival ad share 52%.</t>
  </si>
  <si>
    <t xml:space="preserve">Top-20 is held by bamboo/viscose sets (Love's cabin, Bedsure PW);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</si>
  <si>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5,605 searches/mo &gt; 300 (own campaign), and evidence score 9.0/12 ≥ 6.0 (Sleephoria PPC +4 · Sleephoria rank +2 · market CVR +2 · competitors +0.5 · Decolure +0.5). Sleephoria did not overpay on it beyond the ranking ceiling.</t>
  </si>
  <si>
    <t xml:space="preserve">≤10 (≤40 by wk 2, ≤20 by wk 4, ≤10 by wk 8): Sleephoria, the same product, reached #3 here; 2 tracked rival(s) in the top 20.</t>
  </si>
  <si>
    <t xml:space="preserve">cooling queen sheets</t>
  </si>
  <si>
    <t xml:space="preserve">Sleephoria PPC +4 · Sleephoria rank +2 · market CVR +1.5 · competitors +1 · Decolure +0</t>
  </si>
  <si>
    <t xml:space="preserve">now #124</t>
  </si>
  <si>
    <t xml:space="preserve">best #4 (2025-10-15) · PPC-period median #20 · now #24</t>
  </si>
  <si>
    <t xml:space="preserve">#4 Love's cabin</t>
  </si>
  <si>
    <t xml:space="preserve">Love's cabin #4, Bedsure PW #5, Bambaw #11; Ads: KARISSA MAE SP#4, BEDELITE SP#5, Bambaw SP#6, REST SP#11</t>
  </si>
  <si>
    <t xml:space="preserve">Sleephoria term CVR 11.1% on 234 clicks ×0.8 launch</t>
  </si>
  <si>
    <t xml:space="preserve">Full ranking push: Queen is CooLinens' own size (its keywords are not shared with Sleephoria) and the evidence is High (8.5/12). Every click the target rank requires is funded, with a Top-of-Search modifier where the ceiling allows.</t>
  </si>
  <si>
    <t xml:space="preserve">Sleephoria CPC on this exact term (234 clicks)</t>
  </si>
  <si>
    <t xml:space="preserve">CLCS4-SP-cooling queen sheets-HSV-Exact-Rank-Fix-Q-GRAPHITE</t>
  </si>
  <si>
    <t xml:space="preserve">"cooling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</si>
  <si>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no search-term history.</t>
  </si>
  <si>
    <t xml:space="preserve">Sleephoria (same product and price — strongest evidence): proven on the same product (234 clicks, CVR 11.1%, ACoS 38%); organic best #4 (2025-10-15), first top-10 2025-10-13, now #24. Launch entry Oct-25: 1.2 clicks/day, 0.28 orders/day, $7/day → top 10 in 10 days.</t>
  </si>
  <si>
    <t xml:space="preserve">SV 2,635/mo (MKL (DataDive)); launch window ≈ 2,787/mo; SQP 12-mo 28,627 searches, peak 2026-06, Oct at 0.67× its avg; Mar-24→Mar-26 ×1.06; market CVR 3.8% (head term 1.5%).</t>
  </si>
  <si>
    <t xml:space="preserve">Organic top 20: Love's cabin #4, Bedsure PW #5, Bambaw #11. Advertising: KARISSA MAE SP#4, BEDELITE SP#5, Bambaw SP#6, REST SP#11. Rival ad share 49%.</t>
  </si>
  <si>
    <t xml:space="preserve">Batch 1 Hero: relevance 100% ≥ 90%, clean wording, launch-window demand 2,787 searches/mo &gt; 300 (own campaign), and evidence score 8.5/12 ≥ 6.0 (Sleephoria PPC +4 · Sleephoria rank +2 · market CVR +1.5 · competitors +1 · Decolure +0). Sleephoria did not overpay on it beyond the ranking ceiling.</t>
  </si>
  <si>
    <t xml:space="preserve">≤10 (≤40 by wk 2, ≤20 by wk 4, ≤10 by wk 8): Sleephoria, the same product, reached #4 here and entered the top 10 within 10 days; 3 tracked rival(s) in the top 20.</t>
  </si>
  <si>
    <t xml:space="preserve">queen bed sheets cooling</t>
  </si>
  <si>
    <t xml:space="preserve">Sleephoria PPC +2 · Sleephoria rank +2 · market CVR +2 · competitors +1 · Decolure +0.5</t>
  </si>
  <si>
    <t xml:space="preserve">best #9 (2025-04-25) · median #22 · now #105</t>
  </si>
  <si>
    <t xml:space="preserve">best #4 (2026-04-05) · PPC-period median #26 · now #14</t>
  </si>
  <si>
    <t xml:space="preserve">#3 Bedsure PW</t>
  </si>
  <si>
    <t xml:space="preserve">Bedsure PW #3, Love's cabin #4, Bambaw #9; Ads: Bambaw SP#7, BEDELITE SP#9, Love's cabin SP#12, Hotel Sheets Direct SP#12</t>
  </si>
  <si>
    <t xml:space="preserve">bucket default (no history) ×0.8 launch</t>
  </si>
  <si>
    <t xml:space="preserve">Full ranking push: Queen is CooLinens' own size (its keywords are not shared with Sleephoria) and the evidence is High (7.5/12). Every click the target rank requires is funded, with a Top-of-Search modifier where the ceiling allows.</t>
  </si>
  <si>
    <t xml:space="preserve">Sleephoria CPC on this exact term (35 clicks)</t>
  </si>
  <si>
    <t xml:space="preserve">No</t>
  </si>
  <si>
    <t xml:space="preserve">cooling bed sheets|Queen</t>
  </si>
  <si>
    <t xml:space="preserve">CLCS4-SP-queen bed sheets cooling-HSV-Exact-Rank-Fix-Q-GRAPHITE</t>
  </si>
  <si>
    <t xml:space="preserve">"queen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</si>
  <si>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(204 clicks); organic best #9 (2025-04-25), 7 days in top 10, median #22.</t>
  </si>
  <si>
    <t xml:space="preserve">Sleephoria (same product and price — strongest evidence): positive but small sample (35 clicks, CVR 11.4%); organic best #4 (2026-04-05), first top-10 2025-10-15, now #14.</t>
  </si>
  <si>
    <t xml:space="preserve">SV 2,630/mo (MKL (DataDive)); launch window ≈ 2,485/mo; SQP 12-mo 51,598 searches, peak 2026-07, Oct at 0.86× its avg; Mar-24→Mar-26 ×1.75; market CVR 6.1% (head term 1.5%).</t>
  </si>
  <si>
    <t xml:space="preserve">Organic top 20: Bedsure PW #3, Love's cabin #4, Bambaw #9. Advertising: Bambaw SP#7, BEDELITE SP#9, Love's cabin SP#12, Hotel Sheets Direct SP#12. Rival ad share 56%.</t>
  </si>
  <si>
    <t xml:space="preserve">Top-20 is held by bamboo/viscose sets (Bedsure PW, Love's cabin, Bambaw); no synthetic cooling-knit rival ranks here. CooLinens is the only nylon/spandex cooling option on the page at $79.99 — Sleephoria proved the knit ranks here.</t>
  </si>
  <si>
    <t xml:space="preserve">Batch 1 Hero: relevance 100% ≥ 90%, clean wording, launch-window demand 2,485 searches/mo &gt; 300 (own campaign), and evidence score 7.5/12 ≥ 6.0 (Sleephoria PPC +2 · Sleephoria rank +2 · market CVR +2 · competitors +1 · Decolure +0.5). Sleephoria did not overpay on it beyond the ranking ceiling.</t>
  </si>
  <si>
    <t xml:space="preserve">queen size sheets cooling</t>
  </si>
  <si>
    <t xml:space="preserve">Sleephoria PPC +0 · root|size group proven on Sleephoria +1.5 (cooling sheets|Queen: CVR 10.9% on 3,545 clicks) · Sleephoria rank +2 · market CVR +2 · competitors +1 · Decolure +0</t>
  </si>
  <si>
    <t xml:space="preserve">now #134</t>
  </si>
  <si>
    <t xml:space="preserve">best #4 (2025-10-20) · PPC-period median #30 · now #60</t>
  </si>
  <si>
    <t xml:space="preserve">#3 Love's cabin</t>
  </si>
  <si>
    <t xml:space="preserve">Love's cabin #3, Bedsure PW #6, Bambaw #14, KRIMANO #15; Ads: KRIMANO SP#10, Bambaw SP#11, Hotel Sheets Direct SP#12, REST SP#15</t>
  </si>
  <si>
    <t xml:space="preserve">Full ranking push: Queen is CooLinens' own size (its keywords are not shared with Sleephoria) and the evidence is High (6.5/12). Every click the target rank requires is funded, with a Top-of-Search modifier where the ceiling allows.</t>
  </si>
  <si>
    <t xml:space="preserve">Sleephoria avg CPC, Queen cooling terms</t>
  </si>
  <si>
    <t xml:space="preserve">CLCS4-SP-queen size sheets cooling-HSV-Exact-Rank-Fix-Q-GRAPHITE</t>
  </si>
  <si>
    <t xml:space="preserve">"queen size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</si>
  <si>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#4 (2025-10-20), first top-10 2025-10-14, now #60.</t>
  </si>
  <si>
    <t xml:space="preserve">SV 1,023/mo (MKL (DataDive)); launch window ≈ 1,061/mo; SQP 12-mo 19,210 searches, peak 2026-06, Oct at 0.73× its avg; Mar-24→Mar-26 ×3.02; market CVR 5.9% (head term 1.5%).</t>
  </si>
  <si>
    <t xml:space="preserve">Organic top 20: Love's cabin #3, Bedsure PW #6, Bambaw #14, KRIMANO #15. Advertising: KRIMANO SP#10, Bambaw SP#11, Hotel Sheets Direct SP#12, REST SP#15. Rival ad share 57%.</t>
  </si>
  <si>
    <t xml:space="preserve">Batch 1 Hero: relevance 100% ≥ 90%, clean wording, launch-window demand 1,061 searches/mo &gt; 300 (own campaign), and evidence score 6.5/12 ≥ 6.0 (Sleephoria PPC +0 · root|size group proven on Sleephoria +1.5 (cooling sheets|Queen: CVR 10.9% on 3,545 clicks) · Sleephoria rank +2 · market CVR +2 · competitors +1 · Decolure +0). Sleephoria did not overpay on it beyond the ranking ceiling.</t>
  </si>
  <si>
    <t xml:space="preserve">≤10 (≤40 by wk 2, ≤20 by wk 4, ≤10 by wk 8): Sleephoria, the same product, reached #4 here; 4 tracked rival(s) in the top 20.</t>
  </si>
  <si>
    <t xml:space="preserve">cool sheets queen</t>
  </si>
  <si>
    <t xml:space="preserve">Sleephoria PPC +4 · Sleephoria rank +2 · market CVR +2 · competitors +1 · Decolure +0</t>
  </si>
  <si>
    <t xml:space="preserve">now #114</t>
  </si>
  <si>
    <t xml:space="preserve">best #2 (2025-10-22) · PPC-period median #19 · now #12</t>
  </si>
  <si>
    <t xml:space="preserve">#4 Bedsure PW</t>
  </si>
  <si>
    <t xml:space="preserve">Bedsure PW #4, Love's cabin #5, Bambaw #7; Ads: KRIMANO SP#5, TRUE BAMBOO SP#7, Bedsure PW SP#7, Bambaw SP#7</t>
  </si>
  <si>
    <t xml:space="preserve">Sleephoria term CVR 15.0% on 120 clicks ×0.8 launch</t>
  </si>
  <si>
    <t xml:space="preserve">Sleephoria CPC on this exact term (120 clicks)</t>
  </si>
  <si>
    <t xml:space="preserve">cool sheets|Queen</t>
  </si>
  <si>
    <t xml:space="preserve">CLCS4-SP-cool sheets queen-MSV-Exact-Rank-Fix-Q-GRAPHITE</t>
  </si>
  <si>
    <t xml:space="preserve">"cool sheets queen"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</si>
  <si>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(27 clicks).</t>
  </si>
  <si>
    <t xml:space="preserve">Sleephoria (same product and price — strongest evidence): proven on the same product (120 clicks, CVR 15.0%, ACoS 23%); organic best #2 (2025-10-22), first top-10 2025-10-12, now #12.</t>
  </si>
  <si>
    <t xml:space="preserve">SV 766/mo (MKL (DataDive)); launch window ≈ 643/mo; SQP 12-mo 16,425 searches, peak 2026-06, Oct at 0.90× its avg; market CVR 4.6% (head term 1.5%).</t>
  </si>
  <si>
    <t xml:space="preserve">Organic top 20: Bedsure PW #4, Love's cabin #5, Bambaw #7. Advertising: KRIMANO SP#5, TRUE BAMBOO SP#7, Bedsure PW SP#7, Bambaw SP#7. Rival ad share 47%.</t>
  </si>
  <si>
    <t xml:space="preserve">Batch 1 Hero: relevance 100% ≥ 90%, clean wording, launch-window demand 643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</si>
  <si>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#2 here; 3 tracked rival(s) in the top 20.</t>
  </si>
  <si>
    <t xml:space="preserve">cool sheets for hot sleepers</t>
  </si>
  <si>
    <t xml:space="preserve">LAUNCH 15 Oct — supporting rank</t>
  </si>
  <si>
    <t xml:space="preserve">Sleephoria PPC +4 · Sleephoria rank +2 · market CVR +0.5 · competitors +1 · Decolure +0</t>
  </si>
  <si>
    <t xml:space="preserve">now #93</t>
  </si>
  <si>
    <t xml:space="preserve">best #2 (2026-03-18) · PPC-period median #14 · now #7</t>
  </si>
  <si>
    <t xml:space="preserve">#1 Bedsure PW</t>
  </si>
  <si>
    <t xml:space="preserve">Bedsure PW #1, Love's cabin #4, Pure Bamboo #18; Ads: BEDELITE SP#1, Breescape SP#4, Pure Bamboo SP#6, Love's cabin SP#8</t>
  </si>
  <si>
    <t xml:space="preserve">Sleephoria term CVR 9.9% on 71 clicks ×0.8 launch</t>
  </si>
  <si>
    <t xml:space="preserve">Ranking — Support</t>
  </si>
  <si>
    <t xml:space="preserve">Ranking support: relevant no-size wording with thinner evidence (7.5/12). Funded to what its own rank requires, no placement premium; its sales add velocity to the Queen hero terms.</t>
  </si>
  <si>
    <t xml:space="preserve">Sleephoria CPC on this exact term (71 clicks)</t>
  </si>
  <si>
    <t xml:space="preserve">cool sheets|no size</t>
  </si>
  <si>
    <t xml:space="preserve">CLCS4-SP-cool sheets for hot sleepers-HSV-Exact-Rank-Fix-Q-GRAPHITE</t>
  </si>
  <si>
    <t xml:space="preserve">"cool sheets for hot sleepers"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</si>
  <si>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(13 clicks).</t>
  </si>
  <si>
    <t xml:space="preserve">Sleephoria (same product and price — strongest evidence): proven on the same product (71 clicks, CVR 9.9%, ACoS 35%); organic best #2 (2026-03-18), first top-10 2025-10-13, now #7.</t>
  </si>
  <si>
    <t xml:space="preserve">SV 1,961/mo (MKL (DataDive)); launch window ≈ 2,298/mo; SQP 12-mo 32,730 searches, peak 2026-06, Oct at 0.71× its avg; Mar-24→Mar-26 ×0.31; market CVR 1.8% (head term 1.5%).</t>
  </si>
  <si>
    <t xml:space="preserve">Organic top 20: Bedsure PW #1, Love's cabin #4, Pure Bamboo #18. Advertising: BEDELITE SP#1, Breescape SP#4, Pure Bamboo SP#6, Love's cabin SP#8. Rival ad share 45%.</t>
  </si>
  <si>
    <t xml:space="preserve">Top-20 is held by bamboo/viscose sets (Bedsure PW, Love's cabin, Pure Bamboo);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</si>
  <si>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No-size roots are shared with Sleephoria and not yet assigned: launch capped (50 clicks / 14 days) to read CooLinens CVR for the ownership decision.</t>
  </si>
  <si>
    <t xml:space="preserve">Batch 1 Hero: relevance 95% ≥ 90%, clean wording, launch-window demand 2,298 searches/mo &gt; 300 (own campaign), and evidence score 7.5/12 ≥ 6.0 (Sleephoria PPC +4 · Sleephoria rank +2 · market CVR +0.5 · competitors +1 · Decolure +0). Sleephoria did not overpay on it beyond the ranking ceiling.</t>
  </si>
  <si>
    <t xml:space="preserve">cooling sheets queen size</t>
  </si>
  <si>
    <t xml:space="preserve">Medium</t>
  </si>
  <si>
    <t xml:space="preserve">Sleephoria PPC +1 · Sleephoria rank +2 · market CVR +1.5 · competitors +1 · Decolure +0.5</t>
  </si>
  <si>
    <t xml:space="preserve">best #7 (2025-04-25) · median #34 · now #122</t>
  </si>
  <si>
    <t xml:space="preserve">best #4 (2026-03-04) · PPC-period median #20 · now #46</t>
  </si>
  <si>
    <t xml:space="preserve">#60 → #35 → #20</t>
  </si>
  <si>
    <t xml:space="preserve">Love's cabin #4, Bedsure PW #5, Bambaw #14; Ads: REST SP#1, Bedsure PW SP#4, TRUE BAMBOO SP#6, Bambaw SP#8</t>
  </si>
  <si>
    <t xml:space="preserve">Sleephoria term CVR 5.8% on 504 clicks ×0.8 launch</t>
  </si>
  <si>
    <t xml:space="preserve">Ranking support: relevant Queen wording with thinner evidence (6.0/12). Funded to what its own rank requires, no placement premium; its sales add velocity to the Queen hero terms.</t>
  </si>
  <si>
    <t xml:space="preserve">Sleephoria CPC on this exact term (504 clicks)</t>
  </si>
  <si>
    <t xml:space="preserve">CLCS4-SP-cooling sheets queen size-HSV-Exact-Rank-Fix-Q-GRAPHITE</t>
  </si>
  <si>
    <t xml:space="preserve">"cooling sheets queen size"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</si>
  <si>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(65 clicks); organic best #7 (2025-04-25), 50 days in top 10, median #34.</t>
  </si>
  <si>
    <t xml:space="preserve">Sleephoria (same product and price — strongest evidence): middling (504 clicks, CVR 5.8%); organic best #4 (2026-03-04), first top-10 2025-10-17, now #46. Launch entry Oct-25: 2.2 clicks/day, 0.31 orders/day, $13/day → top 10 in 14 days.</t>
  </si>
  <si>
    <t xml:space="preserve">SV 924/mo (MKL (DataDive)); launch window ≈ 1,012/mo; SQP 12-mo 21,790 searches, peak 2026-06, Oct at 1.02× its avg; Mar-24→Mar-26 ×1.97; market CVR 3.9% (head term 1.5%).</t>
  </si>
  <si>
    <t xml:space="preserve">Organic top 20: Love's cabin #4, Bedsure PW #5, Bambaw #14. Advertising: REST SP#1, Bedsure PW SP#4, TRUE BAMBOO SP#6, Bambaw SP#8. Rival ad share 46%.</t>
  </si>
  <si>
    <t xml:space="preserve">Batch 1 Hero: relevance 100% ≥ 90%, clean wording, launch-window demand 1,012 searches/mo &gt; 300 (own campaign), and evidence score 6.0/12 ≥ 6.0 (Sleephoria PPC +1 · Sleephoria rank +2 · market CVR +1.5 · competitors +1 · Decolure +0.5). Sleephoria did not overpay on it beyond the ranking ceiling.</t>
  </si>
  <si>
    <t xml:space="preserve">≤20 (≤60 by wk 2, ≤35 by wk 4, ≤20 by wk 8): supporting rank — evidence or ownership does not justify a top-10 push yet.</t>
  </si>
  <si>
    <t xml:space="preserve">sheets queen cooling</t>
  </si>
  <si>
    <t xml:space="preserve">Sleephoria PPC +0 · root|size group proven on Sleephoria +1.5 (cooling sheets|Queen: CVR 10.9% on 3,545 clicks) · Sleephoria rank +2 · market CVR +2 · competitors +0.5 · Decolure +0</t>
  </si>
  <si>
    <t xml:space="preserve">now #122</t>
  </si>
  <si>
    <t xml:space="preserve">best #8 (2026-09-18) · PPC-period median #41 · now #35</t>
  </si>
  <si>
    <t xml:space="preserve">Love's cabin #1, Bedsure PW #2; Ads: California Design Den SP#2, Bambaw SP#6, Hotel Sheets Direct SP#9, Bedsure PW Cooling SP#9</t>
  </si>
  <si>
    <t xml:space="preserve">CLCS4-SP-sheets queen cooling-MSV-Exact-Rank-Fix-Q-GRAPHITE</t>
  </si>
  <si>
    <t xml:space="preserve">"sheets queen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</si>
  <si>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(1); organic best #8 (2026-09-18), first top-10 2026-09-16, now #35.</t>
  </si>
  <si>
    <t xml:space="preserve">SV 924/mo (MKL (DataDive)); launch window ≈ 752/mo; SQP 12-mo 8,227 searches, peak 2026-07, Oct at 0.39× its avg; market CVR 4.5% (head term 1.5%).</t>
  </si>
  <si>
    <t xml:space="preserve">Organic top 20: Love's cabin #1, Bedsure PW #2. Advertising: California Design Den SP#2, Bambaw SP#6, Hotel Sheets Direct SP#9, Bedsure PW Cooling SP#9. Rival ad share 51%.</t>
  </si>
  <si>
    <t xml:space="preserve">Batch 1 Hero: relevance 100% ≥ 90%, clean wording, launch-window demand 752 searches/mo &gt; 300 (own campaign), and evidence score 6.0/12 ≥ 6.0 (Sleephoria PPC +0 · root|size group proven on Sleephoria +1.5 (cooling sheets|Queen: CVR 10.9% on 3,545 clicks) · Sleephoria rank +2 · market CVR +2 · competitors +0.5 · Decolure +0). Sleephoria did not overpay on it beyond the ranking ceiling.</t>
  </si>
  <si>
    <t xml:space="preserve">cooling sheets</t>
  </si>
  <si>
    <t xml:space="preserve">LAUNCH 15 Oct — capped ranking entry</t>
  </si>
  <si>
    <t xml:space="preserve">best #4 (2025-04-25) · median #37 · now #132</t>
  </si>
  <si>
    <t xml:space="preserve">best #1 (2026-04-22) · PPC-period median #11 · now #13</t>
  </si>
  <si>
    <t xml:space="preserve">#2 Bedsure PW</t>
  </si>
  <si>
    <t xml:space="preserve">Bedsure PW #2, Pillcase #3, Love's cabin #5, Pure Bamboo #11, Pillcase #19; Ads: Pillcase SP#2, California Design Den SP#3, Hotel Sheets Direct SP#4, BC Bella Coterie SP#4</t>
  </si>
  <si>
    <t xml:space="preserve">Sleephoria term CVR 9.5% on 485 clicks ×0.8 launch</t>
  </si>
  <si>
    <t xml:space="preserve">Ranking — Head Term (Capped)</t>
  </si>
  <si>
    <t xml:space="preserve">Head term, capped: rank on broad heads follows sales velocity on the size terms — Sleephoria held #3–5 on "cooling sheets" with almost no spend on it, while bidding it directly ran 117% ACoS. Funded to what its rank needs (minimum 1 click/day), never above 3.57 clicks/day, to collect first sales and relevance.</t>
  </si>
  <si>
    <t xml:space="preserve">Sleephoria CPC on this exact term (485 clicks)</t>
  </si>
  <si>
    <t xml:space="preserve">cooling sheets|no size</t>
  </si>
  <si>
    <t xml:space="preserve">CLCS4-SP-cooling sheets-VHSV-Exact-Disc-Fix-Q-GRAPHITE</t>
  </si>
  <si>
    <t xml:space="preserve">"cooling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</si>
  <si>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weak at the $38 tier (376 clicks, CVR 2.9%); organic best #4 (2025-04-25), 38 days in top 10, median #37.</t>
  </si>
  <si>
    <t xml:space="preserve">Sleephoria (same product and price — strongest evidence): proven on the same product (485 clicks, CVR 9.5%, ACoS 30%); organic best #1 (2026-04-22), first top-10 2025-10-13, now #13. Launch entry Oct-25: 5.0 clicks/day, 0.38 orders/day, $28/day → top 10 in 10 days.</t>
  </si>
  <si>
    <t xml:space="preserve">SV 77,377/mo (MKL (DataDive)); launch window ≈ 83,823/mo; SQP 12-mo 1,388,684 searches, peak 2026-07, Oct at 0.85× its avg; Mar-24→Mar-26 ×1.64; market CVR 1.5% (head term 1.5%).</t>
  </si>
  <si>
    <t xml:space="preserve">Organic top 20: Bedsure PW #2, Pillcase #3, Love's cabin #5, Pure Bamboo #11. Advertising: Pillcase SP#2, California Design Den SP#3, Hotel Sheets Direct SP#4, BC Bella Coterie SP#4. Rival ad share 55%.</t>
  </si>
  <si>
    <t xml:space="preserve">Top-20 is held by bamboo/viscose sets (Bedsure PW, Pillcase, Love's cabin); no synthetic cooling-knit rival ranks here. CooLinens is the only nylon/spandex cooling option on the page at $79.99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</si>
  <si>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Head term — ranked by Queen size-term velocity (Sleephoria precedent); funded only as a capped probe.</t>
  </si>
  <si>
    <t xml:space="preserve">Batch 1 Hero: relevance 95% ≥ 90%, clean wording, launch-window demand 83,823 searches/mo &gt; 300 (own campaign), and evidence score 7.5/12 ≥ 6.0 (Sleephoria PPC +4 · Sleephoria rank +2 · market CVR +0.5 · competitors +1 · Decolure +0). Sleephoria did not overpay on it beyond the ranking ceiling.</t>
  </si>
  <si>
    <t xml:space="preserve">≤20 by week 8, earned from Queen/size-term velocity rather than direct bids (Sleephoria held #3–5 on "cooling sheets" with &lt; $0.10/day on that exact term; bidding it directly ran 117% ACoS).</t>
  </si>
  <si>
    <t xml:space="preserve">cooling bed sheets</t>
  </si>
  <si>
    <t xml:space="preserve">Sleephoria PPC +1 · Sleephoria rank +2 · market CVR +0.5 · competitors +1 · Decolure +1.5</t>
  </si>
  <si>
    <t xml:space="preserve">best #3 (2025-04-25) · median #27 · now #92</t>
  </si>
  <si>
    <t xml:space="preserve">best #1 (2026-03-21) · PPC-period median #13 · now #18</t>
  </si>
  <si>
    <t xml:space="preserve">Bedsure PW #2, Love's cabin #4, Pillcase #7, Bambaw #9, Pure Bamboo #19; Ads: Pillcase SP#3, KRIMANO SP#5, TRUE BAMBOO SP#5, Bambaw SP#10</t>
  </si>
  <si>
    <t xml:space="preserve">Sleephoria term CVR 7.7% on 259 clicks ×0.8 launch</t>
  </si>
  <si>
    <t xml:space="preserve">Sleephoria CPC on this exact term (259 clicks)</t>
  </si>
  <si>
    <t xml:space="preserve">cooling bed sheets|no size</t>
  </si>
  <si>
    <t xml:space="preserve">CLCS4-SP-cooling bed sheets-VHSV-Exact-Disc-Fix-Q-GRAPHITE</t>
  </si>
  <si>
    <t xml:space="preserve">"cooling bed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</si>
  <si>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at the $38 tier (87 clicks, CVR 9.2%, ACoS 35%); organic best #3 (2025-04-25), 95 days in top 10, median #27.</t>
  </si>
  <si>
    <t xml:space="preserve">Sleephoria (same product and price — strongest evidence): middling (259 clicks, CVR 7.7%); organic best #1 (2026-03-21), first top-10 2025-10-12, now #18. Launch entry Oct-25: 2.6 clicks/day, 0.28 orders/day, $11/day → top 10 in 9 days.</t>
  </si>
  <si>
    <t xml:space="preserve">SV 12,715/mo (MKL (DataDive)); launch window ≈ 18,222/mo; SQP 12-mo 250,049 searches, peak 2026-06, Oct at 0.67× its avg; Mar-24→Mar-26 ×1.85; market CVR 1.5% (head term 1.5%).</t>
  </si>
  <si>
    <t xml:space="preserve">Organic top 20: Bedsure PW #2, Love's cabin #4, Pillcase #7, Bambaw #9. Advertising: Pillcase SP#3, KRIMANO SP#5, TRUE BAMBOO SP#5, Bambaw SP#10. Rival ad share 51%.</t>
  </si>
  <si>
    <t xml:space="preserve">Top-20 is held by bamboo/viscose sets (Bedsure PW, Love's cabin, Pillcase); no synthetic cooling-knit rival ranks here. CooLinens is the only nylon/spandex cooling option on the page at $79.99 — Sleephoria proved the knit ranks here.</t>
  </si>
  <si>
    <t xml:space="preserve">Batch 1 Hero: relevance 95% ≥ 90%, clean wording, launch-window demand 18,222 searches/mo &gt; 300 (own campaign), and evidence score 6.0/12 ≥ 6.0 (Sleephoria PPC +1 · Sleephoria rank +2 · market CVR +0.5 · competitors +1 · Decolure +1.5). Sleephoria did not overpay on it beyond the ranking ceiling.</t>
  </si>
  <si>
    <t xml:space="preserve">cooling sheet set</t>
  </si>
  <si>
    <t xml:space="preserve">now #135</t>
  </si>
  <si>
    <t xml:space="preserve">best #4 (2025-11-07) · PPC-period median #32 · now #38</t>
  </si>
  <si>
    <t xml:space="preserve">Bedsure PW #1, Love's cabin #5, Breescape #10, Pure Bamboo #11, KRIMANO #17; Ads: California Design Den SP#2, REST SP#3, KARISSA MAE SP#4, Bambaw SP#6</t>
  </si>
  <si>
    <t xml:space="preserve">Sleephoria term CVR 9.8% on 61 clicks ×0.8 launch</t>
  </si>
  <si>
    <t xml:space="preserve">Sleephoria CPC on this exact term (61 clicks)</t>
  </si>
  <si>
    <t xml:space="preserve">cooling sheet set|no size</t>
  </si>
  <si>
    <t xml:space="preserve">CLCS4-SP-cooling sheet set-HSV-Exact-Disc-Fix-Q-GRAPHITE</t>
  </si>
  <si>
    <t xml:space="preserve">"cooling sheet set"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</si>
  <si>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proven on the same product (61 clicks, CVR 9.8%, ACoS 30%); organic best #4 (2025-11-07), first top-10 2025-10-28, now #38.</t>
  </si>
  <si>
    <t xml:space="preserve">SV 1,669/mo (MKL (DataDive)); launch window ≈ 1,546/mo; SQP 12-mo 29,717 searches, peak 2026-07, Oct at 0.76× its avg; Mar-24→Mar-26 ×1.09; market CVR 1.4% (head term 1.5%).</t>
  </si>
  <si>
    <t xml:space="preserve">Organic top 20: Bedsure PW #1, Love's cabin #5, Breescape #10, Pure Bamboo #11. Advertising: California Design Den SP#2, REST SP#3, KARISSA MAE SP#4, Bambaw SP#6. Rival ad share 49%.</t>
  </si>
  <si>
    <t xml:space="preserve">Direct cooling-tech rivals rank here (Breescape), priced $89.99–$224 vs CooLinens $79.99; bamboo sets hold the rest. Price and fabric are the wedge.</t>
  </si>
  <si>
    <t xml:space="preserve">Batch 1 Hero: relevance 95% ≥ 90%, clean wording, launch-window demand 1,546 searches/mo &gt; 300 (own campaign), and evidence score 7.5/12 ≥ 6.0 (Sleephoria PPC +4 · Sleephoria rank +2 · market CVR +0.5 · competitors +1 · Decolure +0). Sleephoria did not overpay on it beyond the ranking ceiling.</t>
  </si>
  <si>
    <t xml:space="preserve">california king cooling sheets</t>
  </si>
  <si>
    <t xml:space="preserve">Cal King</t>
  </si>
  <si>
    <t xml:space="preserve">Sleephoria PPC +4 · Sleephoria rank +2 · market CVR +2 · competitors +0.5 · Decolure +0</t>
  </si>
  <si>
    <t xml:space="preserve">now #18</t>
  </si>
  <si>
    <t xml:space="preserve">best #1 (2026-08-08) · PPC-period median #6 · now #3</t>
  </si>
  <si>
    <t xml:space="preserve">#11 Pillcase</t>
  </si>
  <si>
    <t xml:space="preserve">#40 → #20 → #10 (full push after size assignment)</t>
  </si>
  <si>
    <t xml:space="preserve">Pillcase #11, BC Bella Coterie #19; Ads: California Design Den SP#1, KARISSA MAE SP#5, Bambaw SP#7, Bedsure PW Cooling SP#8</t>
  </si>
  <si>
    <t xml:space="preserve">Sleephoria term CVR 16.7% on 324 clicks ×0.8 launch</t>
  </si>
  <si>
    <t xml:space="preserve">Ranking — Capped Entry</t>
  </si>
  <si>
    <t xml:space="preserve">Ranking entry, capped: Cal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Cal King is assigned to CooLinens.</t>
  </si>
  <si>
    <t xml:space="preserve">Sleephoria CPC on this exact term (324 clicks)</t>
  </si>
  <si>
    <t xml:space="preserve">cooling sheets|Cal King</t>
  </si>
  <si>
    <t xml:space="preserve">CLCS4-SP-california king cooling sheets-MSV-Exact-Disc-Fix-CK-GRAPHITE</t>
  </si>
  <si>
    <t xml:space="preserve">CL-COOLING-SHEET-CAL-KING-GRAPHITE</t>
  </si>
  <si>
    <t xml:space="preserve">B0H6JV73R5</t>
  </si>
  <si>
    <t xml:space="preserve">"california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</si>
  <si>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(324 clicks, CVR 16.7%, ACoS 30%); organic best #1 (2026-08-08), first top-10 2025-10-09, now #3. Reached top 10 6 days after ads started (Oct-25).</t>
  </si>
  <si>
    <t xml:space="preserve">SV 924/mo (MKL (DataDive)); launch window ≈ 815/mo; SQP 12-mo 14,212 searches, peak 2026-06, Oct at 0.67× its avg; market CVR 4.1% (head term 1.5%).</t>
  </si>
  <si>
    <t xml:space="preserve">Organic top 20: Pillcase #11, BC Bella Coterie #19. Advertising: California Design Den SP#1, KARISSA MAE SP#5, Bambaw SP#7, Bedsure PW Cooling SP#8. Rival ad share 47%.</t>
  </si>
  <si>
    <t xml:space="preserve">Top-20 is held by bamboo/viscose sets (Pillcase, BC Bella Coterie); no synthetic cooling-knit rival ranks here. CooLinens is the only nylon/spandex cooling option on the page at $86.99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</si>
  <si>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Cal King roots are shared with Sleephoria and not yet assigned: launch capped (50 clicks / 14 days) to read CooLinens CVR for the ownership decision.</t>
  </si>
  <si>
    <t xml:space="preserve">Batch 1 Hero: relevance 100% ≥ 90%, clean wording, launch-window demand 815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</si>
  <si>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#1 here and entered the top 10 within 6 days; 2 tracked rival(s) in the top 20. Full rank push starts once this size is assigned to CooLinens; until then spend is capped and the campaign builds first sales and a CVR read.</t>
  </si>
  <si>
    <t xml:space="preserve">cal king cooling sheets</t>
  </si>
  <si>
    <t xml:space="preserve">Sleephoria PPC +4 · Sleephoria rank +2 · market CVR +1.5 · competitors +1 · Decolure +0.5</t>
  </si>
  <si>
    <t xml:space="preserve">best #10 (2026-09-24) · median #43 · now #11</t>
  </si>
  <si>
    <t xml:space="preserve">best #1 (2026-10-02) · PPC-period median #10 · now #3</t>
  </si>
  <si>
    <t xml:space="preserve">#5 California Design Den</t>
  </si>
  <si>
    <t xml:space="preserve">#50 → #30 → #15 (full push after size assignment)</t>
  </si>
  <si>
    <t xml:space="preserve">California Design Den #5, Pure Bamboo #6, Breescape #9, Bedsure PW Cooling #11, Love's cabin #13; Ads: Hotel Sheets Direct SP#3, Pure Bamboo SP#4, Breescape SP#8, KARISSA MAE SP#8</t>
  </si>
  <si>
    <t xml:space="preserve">Sleephoria term CVR 17.2% on 227 clicks ×0.8 launch</t>
  </si>
  <si>
    <t xml:space="preserve">Sleephoria CPC on this exact term (227 clicks)</t>
  </si>
  <si>
    <t xml:space="preserve">CLCS4-SP-cal king cooling sheets-LSV-Exact-Disc-Fix-CK-GRAPHITE</t>
  </si>
  <si>
    <t xml:space="preserve">"cal king cooling sheets" asks for a Cal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</si>
  <si>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(48 clicks); organic best #10 (2026-09-24), 1 days in top 10, median #43.</t>
  </si>
  <si>
    <t xml:space="preserve">Sleephoria (same product and price — strongest evidence): proven on the same product (227 clicks, CVR 17.2%, ACoS 30%); organic best #1 (2026-10-02), first top-10 2025-10-23, now #3. Reached top 10 20 days after ads started (Oct-25).</t>
  </si>
  <si>
    <t xml:space="preserve">SV 672/mo (MKL (DataDive)); launch window ≈ 496/mo; SQP 12-mo 8,460 searches, peak 2026-07, Oct at 0.50× its avg; market CVR 3.5% (head term 1.5%).</t>
  </si>
  <si>
    <t xml:space="preserve">Organic top 20: California Design Den #5, Pure Bamboo #6, Breescape #9, Bedsure PW Cooling #11. Advertising: Hotel Sheets Direct SP#3, Pure Bamboo SP#4, Breescape SP#8, KARISSA MAE SP#8. Rival ad share 62%.</t>
  </si>
  <si>
    <t xml:space="preserve">Direct cooling-tech rivals rank here (Breescape, REST), priced $89.99–$224 vs CooLinens $86.99; bamboo sets hold the rest. Price and fabric are the wedge.</t>
  </si>
  <si>
    <t xml:space="preserve">Batch 1 Hero: relevance 100% ≥ 90%, clean wording, launch-window demand 496 searches/mo &gt; 300 (own campaign), and evidence score 9.0/12 ≥ 6.0 (Sleephoria PPC +4 · Sleephoria rank +2 · market CVR +1.5 · competitors +1 · Decolure +0.5). Sleephoria did not overpay on it beyond the ranking ceiling.</t>
  </si>
  <si>
    <t xml:space="preserve">≤15 (≤50 by wk 2, ≤30 by wk 4, ≤15 by wk 8): a crowded page (7 tracked rivals in the organic top 20). Sleephoria's best was #1 (2026-10-02),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</si>
  <si>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cooling california king sheets</t>
  </si>
  <si>
    <t xml:space="preserve">Sleephoria PPC +0 · root|size group proven on Sleephoria +1.5 (cooling sheets|Cal King: CVR 15.7% on 706 clicks) · Sleephoria rank +2 · market CVR +1.5 · competitors +1 · Decolure +0</t>
  </si>
  <si>
    <t xml:space="preserve">now #54</t>
  </si>
  <si>
    <t xml:space="preserve">best #1 (2026-08-10) · PPC-period median #10 · now #10</t>
  </si>
  <si>
    <t xml:space="preserve">#60 → #35 → #20 (full push after size assignment)</t>
  </si>
  <si>
    <t xml:space="preserve">Bedsure PW #3, Pure Bamboo #5, Pillcase #9, Love's cabin #12, BC Bella Coterie #19; Ads: Breescape SP#6, Bedsure PW Cooling SP#9, TRUE BAMBOO SP#9, Bambaw SP#11</t>
  </si>
  <si>
    <t xml:space="preserve">Sleephoria avg CPC, Cal King cooling terms</t>
  </si>
  <si>
    <t xml:space="preserve">CLCS4-SP-cooling california king sheets-LSV-Exact-Disc-Fix-CK-GRAPHITE</t>
  </si>
  <si>
    <t xml:space="preserve">"cooling california king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</si>
  <si>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#1 (2026-08-10), first top-10 2026-08-03, now #10.</t>
  </si>
  <si>
    <t xml:space="preserve">SV 639/mo (MKL (DataDive)); launch window ≈ 457/mo; SQP 12-mo 5,765 searches, peak 2026-08, Oct at 0.52× its avg; market CVR 3.4% (head term 1.5%).</t>
  </si>
  <si>
    <t xml:space="preserve">Organic top 20: Bedsure PW #3, Pure Bamboo #5, Pillcase #9, Love's cabin #12. Advertising: Breescape SP#6, Bedsure PW Cooling SP#9, TRUE BAMBOO SP#9, Bambaw SP#11. Rival ad share 52%.</t>
  </si>
  <si>
    <t xml:space="preserve">Top-20 is held by bamboo/viscose sets (Bedsure PW, Pure Bamboo, Pillcase); no synthetic cooling-knit rival ranks here. CooLinens is the only nylon/spandex cooling option on the page at $86.99 — Sleephoria proved the knit ranks here.</t>
  </si>
  <si>
    <t xml:space="preserve">Batch 1 Hero: relevance 100% ≥ 90%, clean wording, launch-window demand 457 searches/mo &gt; 300 (own campaign), and evidence score 6.0/12 ≥ 6.0 (Sleephoria PPC +0 · root|size group proven on Sleephoria +1.5 (cooling sheets|Cal King: CVR 15.7% on 706 clicks) · Sleephoria rank +2 · market CVR +1.5 · competitors +1 · Decolure +0). Sleephoria did not overpay on it beyond the ranking ceiling.</t>
  </si>
  <si>
    <t xml:space="preserve">≤20 (≤60 by wk 2, ≤35 by wk 4, ≤20 by wk 8): supporting rank — evidence or ownership does not justify a top-10 push yet. Full rank push starts once this size is assigned to CooLinens; until then spend is capped and the campaign builds first sales and a CVR read.</t>
  </si>
  <si>
    <t xml:space="preserve">cooling sheets full size</t>
  </si>
  <si>
    <t xml:space="preserve">Full</t>
  </si>
  <si>
    <t xml:space="preserve">best #4 (2025-04-26) · median #63 · now #86</t>
  </si>
  <si>
    <t xml:space="preserve">best #2 (2026-03-23) · PPC-period median #11 · now #22</t>
  </si>
  <si>
    <t xml:space="preserve">Love's cabin #5, KRIMANO #12, Bedsure PW #15; Ads: California Design Den SP#3, Hotel Sheets Direct SP#4, Bambaw SP#5, Elegear SP#7</t>
  </si>
  <si>
    <t xml:space="preserve">Sleephoria term CVR 12.0% on 2305 clicks ×0.8 launch</t>
  </si>
  <si>
    <t xml:space="preserve">Ranking entry, capped: Full is also Sleephoria's size on the same keywords, so CooLinens enters funded to what the target rank needs (minimum 1 click/day for a CVR read) but never above 3.57 clicks/day (50 clicks in 14 days), with no placement premium. It moves to a full push, with the TOS modifier, once Full is assigned to CooLinens.</t>
  </si>
  <si>
    <t xml:space="preserve">Sleephoria CPC on this exact term (2305 clicks)</t>
  </si>
  <si>
    <t xml:space="preserve">cooling sheets|Full</t>
  </si>
  <si>
    <t xml:space="preserve">CLCS4-SP-cooling sheets full size-HSV-Exact-Disc-Fix-F-COOL-GREY</t>
  </si>
  <si>
    <t xml:space="preserve">CL-COOLING-SHEET-FULL-COOL-GREY</t>
  </si>
  <si>
    <t xml:space="preserve">B0H6K4KPGJ</t>
  </si>
  <si>
    <t xml:space="preserve">"cooling sheets full size"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</si>
  <si>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(488 clicks, CVR 6.6%, ACoS 54%); organic best #4 (2025-04-26), 63 days in top 10, median #63.</t>
  </si>
  <si>
    <t xml:space="preserve">Sleephoria (same product and price — strongest evidence): proven on the same product (2305 clicks, CVR 12.0%, ACoS 35%); organic best #2 (2026-03-23), first top-10 2025-10-14, now #22. Launch entry Oct-25: 2.7 clicks/day, 0.31 orders/day, $12/day → top 10 in 11 days.</t>
  </si>
  <si>
    <t xml:space="preserve">SV 6,228/mo (MKL (DataDive)); launch window ≈ 7,387/mo; SQP 12-mo 109,449 searches, peak 2026-06, Oct at 0.71× its avg; market CVR 3.5% (head term 1.5%).</t>
  </si>
  <si>
    <t xml:space="preserve">Organic top 20: Love's cabin #5, KRIMANO #12, Bedsure PW #15. Advertising: California Design Den SP#3, Hotel Sheets Direct SP#4, Bambaw SP#5, Elegear SP#7. Rival ad share 36%.</t>
  </si>
  <si>
    <t xml:space="preserve">Top-20 is held by bamboo/viscose sets (Love's cabin, KRIMANO, Bedsure PW); no synthetic cooling-knit rival ranks here. CooLinens is the only nylon/spandex cooling option on the page at $67.99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</si>
  <si>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Full roots are shared with Sleephoria and not yet assigned: launch capped (50 clicks / 14 days) to read CooLinens CVR for the ownership decision.</t>
  </si>
  <si>
    <t xml:space="preserve">Batch 1 Hero: relevance 100% ≥ 90%, clean wording, launch-window demand 7,387 searches/mo &gt; 300 (own campaign), and evidence score 9.5/12 ≥ 6.0 (Sleephoria PPC +4 · Sleephoria rank +2 · market CVR +1.5 · competitors +1 · Decolure +1). Sleephoria did not overpay on it beyond the ranking ceiling.</t>
  </si>
  <si>
    <t xml:space="preserve">≤10 (≤40 by wk 2, ≤20 by wk 4, ≤10 by wk 8): Sleephoria, the same product, reached #2 here and entered the top 10 within 11 days; 3 tracked rival(s) in the top 20. Full rank push starts once this size is assigned to CooLinens; until then spend is capped and the campaign builds first sales and a CVR read.</t>
  </si>
  <si>
    <t xml:space="preserve">full size sheets cooling</t>
  </si>
  <si>
    <t xml:space="preserve">now #101</t>
  </si>
  <si>
    <t xml:space="preserve">best #5 (2025-10-16) · PPC-period median #20 · now #39</t>
  </si>
  <si>
    <t xml:space="preserve">Love's cabin #4, Bedsure PW #8; Ads: TRUE BAMBOO SP#1, Bedsure PW SP#3, REST SP#3, Love's cabin SP#7</t>
  </si>
  <si>
    <t xml:space="preserve">Sleephoria term CVR 8.9% on 112 clicks ×0.8 launch</t>
  </si>
  <si>
    <t xml:space="preserve">Sleephoria CPC on this exact term (112 clicks)</t>
  </si>
  <si>
    <t xml:space="preserve">CLCS4-SP-full size sheets cooling-HSV-Exact-Disc-Fix-F-COOL-GREY</t>
  </si>
  <si>
    <t xml:space="preserve">"full size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</si>
  <si>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(112 clicks, CVR 8.9%, ACoS 27%); organic best #5 (2025-10-16), first top-10 2025-10-16, now #39.</t>
  </si>
  <si>
    <t xml:space="preserve">SV 1,959/mo (MKL (DataDive)); launch window ≈ 1,209/mo; SQP 12-mo 21,514 searches, peak 2026-08, Oct at 0.85× its avg; market CVR 5.5% (head term 1.5%).</t>
  </si>
  <si>
    <t xml:space="preserve">Organic top 20: Love's cabin #4, Bedsure PW #8. Advertising: TRUE BAMBOO SP#1, Bedsure PW SP#3, REST SP#3, Love's cabin SP#7. Rival ad share 46%.</t>
  </si>
  <si>
    <t xml:space="preserve">Top-20 is held by bamboo/viscose sets (Love's cabin,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</si>
  <si>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1,209 searches/mo &gt; 300 (own campaign), and evidence score 8.5/12 ≥ 6.0 (Sleephoria PPC +4 · Sleephoria rank +2 · market CVR +2 · competitors +0.5 · Decolure +0). Sleephoria did not overpay on it beyond the ranking ceiling.</t>
  </si>
  <si>
    <t xml:space="preserve">≤10 (≤40 by wk 2, ≤20 by wk 4, ≤10 by wk 8): Sleephoria, the same product, reached #5 here; 2 tracked rival(s) in the top 20. Full rank push starts once this size is assigned to CooLinens; until then spend is capped and the campaign builds first sales and a CVR read.</t>
  </si>
  <si>
    <t xml:space="preserve">cooling sheets full</t>
  </si>
  <si>
    <t xml:space="preserve">Sleephoria PPC +3 · Sleephoria rank +2 · market CVR +1.5 · competitors +1 · Decolure +1</t>
  </si>
  <si>
    <t xml:space="preserve">best #5 (2025-04-02) · median #42 · now #63</t>
  </si>
  <si>
    <t xml:space="preserve">best #1 (2026-04-21) · PPC-period median #10 · now #10</t>
  </si>
  <si>
    <t xml:space="preserve">Love's cabin #5, Pure Bamboo #7, Bedsure PW #17; Ads: Hotel Sheets Direct SP#4, Breescape SP#4, Bambaw SP#6, Pure Bamboo SP#6</t>
  </si>
  <si>
    <t xml:space="preserve">Sleephoria term CVR 11.3% on 151 clicks ×0.8 launch</t>
  </si>
  <si>
    <t xml:space="preserve">Sleephoria CPC on this exact term (151 clicks)</t>
  </si>
  <si>
    <t xml:space="preserve">CLCS4-SP-cooling sheets full-MSV-Exact-Disc-Fix-F-COOL-GREY</t>
  </si>
  <si>
    <t xml:space="preserve">"cooling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</si>
  <si>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(67 clicks, CVR 7.5%, ACoS 48%); organic best #5 (2025-04-02), 41 days in top 10, median #42.</t>
  </si>
  <si>
    <t xml:space="preserve">Sleephoria (same product and price — strongest evidence): converts on the same product but costly (151 clicks, CVR 11.3%, ACoS 45%); organic best #1 (2026-04-21), first top-10 2025-10-15, now #10. Launch entry Oct-25: 2.3 clicks/day, 0.31 orders/day, $10/day → top 10 in 12 days.</t>
  </si>
  <si>
    <t xml:space="preserve">SV 1,216/mo (MKL (DataDive)); launch window ≈ 963/mo; SQP 12-mo 22,730 searches, peak 2026-06, Oct at 0.84× its avg; market CVR 3.5% (head term 1.5%).</t>
  </si>
  <si>
    <t xml:space="preserve">Organic top 20: Love's cabin #5, Pure Bamboo #7, Bedsure PW #17. Advertising: Hotel Sheets Direct SP#4, Breescape SP#4, Bambaw SP#6, Pure Bamboo SP#6. Rival ad share 49%.</t>
  </si>
  <si>
    <t xml:space="preserve">Top-20 is held by bamboo/viscose sets (Love's cabin, Pure Bamboo, Bedsure PW);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</si>
  <si>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963 searches/mo &gt; 300 (own campaign), and evidence score 8.5/12 ≥ 6.0 (Sleephoria PPC +3 · Sleephoria rank +2 · market CVR +1.5 · competitors +1 · Decolure +1). Sleephoria did not overpay on it beyond the ranking ceiling.</t>
  </si>
  <si>
    <t xml:space="preserve">≤10 (≤40 by wk 2, ≤20 by wk 4, ≤10 by wk 8): Sleephoria, the same product, reached #1 here and entered the top 10 within 12 days; 3 tracked rival(s) in the top 20. Full rank push starts once this size is assigned to CooLinens; until then spend is capped and the campaign builds first sales and a CVR read.</t>
  </si>
  <si>
    <t xml:space="preserve">cooling full size sheets</t>
  </si>
  <si>
    <t xml:space="preserve">Sleephoria PPC +4 · Sleephoria rank +2 · market CVR +2 · competitors +0.5 · Decolure +1</t>
  </si>
  <si>
    <t xml:space="preserve">now #71</t>
  </si>
  <si>
    <t xml:space="preserve">best #2 (2026-02-21) · PPC-period median #13 · now #33</t>
  </si>
  <si>
    <t xml:space="preserve">#2 Love's cabin</t>
  </si>
  <si>
    <t xml:space="preserve">Love's cabin #2; Ads: BC Bella Coterie SP#6, Bambaw SP#8, Love's cabin SP#8, Hotel Sheets Direct SP#12</t>
  </si>
  <si>
    <t xml:space="preserve">Sleephoria term CVR 11.0% on 155 clicks ×0.8 launch</t>
  </si>
  <si>
    <t xml:space="preserve">Sleephoria CPC on this exact term (155 clicks)</t>
  </si>
  <si>
    <t xml:space="preserve">CLCS4-SP-cooling full size sheets-MSV-Exact-Disc-Fix-F-COOL-GREY</t>
  </si>
  <si>
    <t xml:space="preserve">"cooling full size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</si>
  <si>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at the $38 tier (32 clicks, CVR 9.4%, ACoS 24%).</t>
  </si>
  <si>
    <t xml:space="preserve">Sleephoria (same product and price — strongest evidence): proven on the same product (155 clicks, CVR 11.0%, ACoS 26%); organic best #2 (2026-02-21), first top-10 2025-10-12, now #33.</t>
  </si>
  <si>
    <t xml:space="preserve">SV 822/mo (MKL (DataDive)); launch window ≈ 545/mo; SQP 12-mo 9,110 searches, peak 2026-06, Oct at 0.58× its avg; market CVR 4.6% (head term 1.5%).</t>
  </si>
  <si>
    <t xml:space="preserve">Organic top 20: Love's cabin #2. Advertising: BC Bella Coterie SP#6, Bambaw SP#8, Love's cabin SP#8, Hotel Sheets Direct SP#12. Rival ad share 46%.</t>
  </si>
  <si>
    <t xml:space="preserve">Top-20 is held by bamboo/viscose sets (Love's cabin); no synthetic cooling-knit rival ranks here. CooLinens is the only nylon/spandex cooling option on the page at $67.99 — Sleephoria proved the knit ranks here. Ad-dominated term (≤1 rival organic, ≥5 advertising) — reachable with paid traffic.</t>
  </si>
  <si>
    <t xml:space="preserve">Batch 1 Hero: relevance 100% ≥ 90%, clean wording, launch-window demand 545 searches/mo &gt; 300 (own campaign), and evidence score 9.5/12 ≥ 6.0 (Sleephoria PPC +4 · Sleephoria rank +2 · market CVR +2 · competitors +0.5 · Decolure +1). Sleephoria did not overpay on it beyond the ranking ceiling.</t>
  </si>
  <si>
    <t xml:space="preserve">≤10 (≤40 by wk 2, ≤20 by wk 4, ≤10 by wk 8): Sleephoria, the same product, reached #2 here; 1 tracked rival(s) in the top 20. Full rank push starts once this size is assigned to CooLinens; until then spend is capped and the campaign builds first sales and a CVR read.</t>
  </si>
  <si>
    <t xml:space="preserve">full cooling sheets</t>
  </si>
  <si>
    <t xml:space="preserve">Sleephoria PPC +0 · root|size group proven on Sleephoria +1.5 (cooling sheets|Full: CVR 11.7% on 2,803 clicks) · Sleephoria rank +2 · market CVR +2 · competitors +0.5 · Decolure +0</t>
  </si>
  <si>
    <t xml:space="preserve">now #92</t>
  </si>
  <si>
    <t xml:space="preserve">best #2 (2026-04-24) · PPC-period median #15 · now #30</t>
  </si>
  <si>
    <t xml:space="preserve">Love's cabin #4, Pure Bamboo #16; Ads: California Design Den SP#2, KRIMANO SP#5, KARISSA MAE SP#6, REST SP#7</t>
  </si>
  <si>
    <t xml:space="preserve">Sleephoria avg CPC, Full cooling terms</t>
  </si>
  <si>
    <t xml:space="preserve">CLCS4-SP-full cooling sheets-LSV-Exact-Disc-Fix-F-COOL-GREY</t>
  </si>
  <si>
    <t xml:space="preserve">"full cooling sheets"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</si>
  <si>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#2 (2026-04-24), first top-10 2025-10-17, now #30.</t>
  </si>
  <si>
    <t xml:space="preserve">SV 590/mo (MKL (DataDive)); launch window ≈ 337/mo; SQP 12-mo 6,762 searches, peak 2026-07, Oct at 0.75× its avg; market CVR 5.4% (head term 1.5%).</t>
  </si>
  <si>
    <t xml:space="preserve">Organic top 20: Love's cabin #4, Pure Bamboo #16. Advertising: California Design Den SP#2, KRIMANO SP#5, KARISSA MAE SP#6, REST SP#7. Rival ad share 56%.</t>
  </si>
  <si>
    <t xml:space="preserve">Top-20 is held by bamboo/viscose sets (Love's cabin, Pure Bamboo); no synthetic cooling-knit rival ranks here. CooLinens is the only nylon/spandex cooling option on the page at $67.99 — Sleephoria proved the knit ranks here.</t>
  </si>
  <si>
    <t xml:space="preserve">Batch 1 Hero: relevance 100% ≥ 90%, clean wording, launch-window demand 337 searches/mo &gt; 300 (own campaign), and evidence score 6.0/12 ≥ 6.0 (Sleephoria PPC +0 · root|size group proven on Sleephoria +1.5 (cooling sheets|Full: CVR 11.7% on 2,803 clicks) · Sleephoria rank +2 · market CVR +2 · competitors +0.5 · Decolure +0). Sleephoria did not overpay on it beyond the ranking ceiling.</t>
  </si>
  <si>
    <t xml:space="preserve">cooling sheets king size</t>
  </si>
  <si>
    <t xml:space="preserve">King</t>
  </si>
  <si>
    <t xml:space="preserve">best #5 (2025-05-03) · median #42 · now #98</t>
  </si>
  <si>
    <t xml:space="preserve">best #2 (2026-03-22) · PPC-period median #13 · now #18</t>
  </si>
  <si>
    <t xml:space="preserve">Pillcase #3, KRIMANO #5, Pure Bamboo #11, TRUE BAMBOO #14, Pillcase #19; Ads: REST SP#2, OMERAI SP#5, Breescape SP#6, Bambaw SP#7</t>
  </si>
  <si>
    <t xml:space="preserve">Sleephoria term CVR 11.1% on 651 clicks ×0.8 launch</t>
  </si>
  <si>
    <t xml:space="preserve">Ranking entry, capped: King is also Sleephoria's size on the same keywords, so CooLinens enters funded to what the target rank needs (minimum 1 click/day for a CVR read) but never above 3.57 clicks/day (50 clicks in 14 days), with no placement premium. It moves to a full push, with the TOS modifier, once King is assigned to CooLinens.</t>
  </si>
  <si>
    <t xml:space="preserve">Sleephoria CPC on this exact term (651 clicks)</t>
  </si>
  <si>
    <t xml:space="preserve">cooling sheets|King</t>
  </si>
  <si>
    <t xml:space="preserve">CLCS4-SP-cooling sheets king size-VHSV-Exact-Disc-Fix-K-GRAPHITE</t>
  </si>
  <si>
    <t xml:space="preserve">CL-COOLING-SHEET-KING-GRAPHITE</t>
  </si>
  <si>
    <t xml:space="preserve">B0H6JXBD3K</t>
  </si>
  <si>
    <t xml:space="preserve">"cooling sheets king size"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</si>
  <si>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(160 clicks, CVR 5.0%, ACoS 60%); organic best #5 (2025-05-03), 29 days in top 10, median #42.</t>
  </si>
  <si>
    <t xml:space="preserve">Sleephoria (same product and price — strongest evidence): proven on the same product (651 clicks, CVR 11.1%, ACoS 37%); organic best #2 (2026-03-22), first top-10 2025-10-12, now #18. Launch entry Oct-25: 5.1 clicks/day, 0.97 orders/day, $30/day → top 10 in 9 days.</t>
  </si>
  <si>
    <t xml:space="preserve">SV 19,413/mo (MKL (DataDive)); launch window ≈ 25,672/mo; SQP 12-mo 407,586 searches, peak 2026-06, Oct at 0.93× its avg; Mar-24→Mar-26 ×1.53; market CVR 3.0% (head term 1.5%).</t>
  </si>
  <si>
    <t xml:space="preserve">Organic top 20: Pillcase #3, KRIMANO #5, Pure Bamboo #11, TRUE BAMBOO #14. Advertising: REST SP#2, OMERAI SP#5, Breescape SP#6, Bambaw SP#7. Rival ad share 46%.</t>
  </si>
  <si>
    <t xml:space="preserve">Top-20 is held by bamboo/viscose sets (Pillcase, KRIMANO, Pure Bamboo); no synthetic cooling-knit rival ranks here. CooLinens is the only nylon/spandex cooling option on the page at $84.99 — Sleephoria proved the knit ranks here.</t>
  </si>
  <si>
    <t xml:space="preserve">Launch-window demand is ~35% of the June peak but these are the terms where evidence is strongest; ranking now means CooLinens holds position before the March ramp (SQP March ≈ 2× January). King roots are shared with Sleephoria and not yet assigned: launch capped (50 clicks / 14 days) to read CooLinens CVR for the ownership decision.</t>
  </si>
  <si>
    <t xml:space="preserve">Batch 1 Hero: relevance 100% ≥ 90%, clean wording, launch-window demand 25,672 searches/mo &gt; 300 (own campaign), and evidence score 9.5/12 ≥ 6.0 (Sleephoria PPC +4 · Sleephoria rank +2 · market CVR +1.5 · competitors +1 · Decolure +1). Sleephoria did not overpay on it beyond the ranking ceiling.</t>
  </si>
  <si>
    <t xml:space="preserve">≤15 (≤50 by wk 2, ≤30 by wk 4, ≤15 by wk 8): a 25,672-searches/mo page. Sleephoria's best was #2 (2026-03-22),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</si>
  <si>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size cooling sheets</t>
  </si>
  <si>
    <t xml:space="preserve">Sleephoria PPC +4 · Sleephoria rank +2 · market CVR +2 · competitors +1 · Decolure -0.5</t>
  </si>
  <si>
    <t xml:space="preserve">now #65</t>
  </si>
  <si>
    <t xml:space="preserve">best #2 (2026-04-02) · PPC-period median #13 · now #17</t>
  </si>
  <si>
    <t xml:space="preserve">Pillcase #3, KRIMANO #4, Bedsure PW #10, Breescape #11; Ads: California Design Den SP#2, Bedsure PW Cooling SP#3, KARISSA MAE SP#6, Pure Bamboo SP#6</t>
  </si>
  <si>
    <t xml:space="preserve">Sleephoria term CVR 15.8% on 1029 clicks ×0.8 launch</t>
  </si>
  <si>
    <t xml:space="preserve">Sleephoria CPC on this exact term (1029 clicks)</t>
  </si>
  <si>
    <t xml:space="preserve">CLCS4-SP-king size cooling sheets-HSV-Exact-Disc-Fix-K-GRAPHITE</t>
  </si>
  <si>
    <t xml:space="preserve">"king size cooling sheets"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</si>
  <si>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(38 clicks, CVR 0.0%).</t>
  </si>
  <si>
    <t xml:space="preserve">Sleephoria (same product and price — strongest evidence): proven on the same product (1029 clicks, CVR 15.8%, ACoS 33%); organic best #2 (2026-04-02), first top-10 2025-10-14, now #17. Launch entry Oct-25: 2.9 clicks/day, 0.76 orders/day, $19/day → top 10 in 11 days.</t>
  </si>
  <si>
    <t xml:space="preserve">SV 4,967/mo (MKL (DataDive)); launch window ≈ 5,581/mo; SQP 12-mo 89,007 searches, peak 2026-06, Oct at 0.88× its avg; Mar-24→Mar-26 ×4.84; market CVR 4.4% (head term 1.5%).</t>
  </si>
  <si>
    <t xml:space="preserve">Organic top 20: Pillcase #3, KRIMANO #4, Bedsure PW #10, Breescape #11. Advertising: California Design Den SP#2, Bedsure PW Cooling SP#3, KARISSA MAE SP#6, Pure Bamboo SP#6. Rival ad share 43%.</t>
  </si>
  <si>
    <t xml:space="preserve">Direct cooling-tech rivals rank here (Breescape), priced $89.99–$224 vs CooLinens $84.99; bamboo sets hold the rest. Price and fabric are the wedge.</t>
  </si>
  <si>
    <t xml:space="preserve">Batch 1 Hero: relevance 100% ≥ 90%, clean wording, launch-window demand 5,581 searches/mo &gt; 300 (own campaign), and evidence score 8.5/12 ≥ 6.0 (Sleephoria PPC +4 · Sleephoria rank +2 · market CVR +2 · competitors +1 · Decolure -0.5). Sleephoria did not overpay on it beyond the ranking ceiling.</t>
  </si>
  <si>
    <t xml:space="preserve">≤10 (≤40 by wk 2, ≤20 by wk 4, ≤10 by wk 8): Sleephoria, the same product, reached #2 here and entered the top 10 within 11 days; 4 tracked rival(s) in the top 20. Full rank push starts once this size is assigned to CooLinens; until then spend is capped and the campaign builds first sales and a CVR read.</t>
  </si>
  <si>
    <t xml:space="preserve">king sheets cooling</t>
  </si>
  <si>
    <t xml:space="preserve">Sleephoria PPC +2 · Sleephoria rank +2 · market CVR +2 · competitors +1 · Decolure +0</t>
  </si>
  <si>
    <t xml:space="preserve">now #111</t>
  </si>
  <si>
    <t xml:space="preserve">best #7 (2026-09-21) · PPC-period median #51 · now #27</t>
  </si>
  <si>
    <t xml:space="preserve">Pillcase #3, Bedsure PW #5, KRIMANO #6, SONORO KATE #14, Pure Bamboo #20; Ads: Love's cabin SP#3, REST SP#8, TRUE BAMBOO SP#8, Breescape SP#8</t>
  </si>
  <si>
    <t xml:space="preserve">Sleephoria CPC on this exact term (27 clicks)</t>
  </si>
  <si>
    <t xml:space="preserve">CLCS4-SP-king sheets cooling-HSV-Exact-Disc-Fix-K-GRAPHITE</t>
  </si>
  <si>
    <t xml:space="preserve">"king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</si>
  <si>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positive but small sample (27 clicks, CVR 18.5%); organic best #7 (2026-09-21), first top-10 2026-09-21, now #27.</t>
  </si>
  <si>
    <t xml:space="preserve">SV 4,954/mo (MKL (DataDive)); launch window ≈ 5,416/mo; SQP 12-mo 64,856 searches, peak 2026-05, Oct at 1.16× its avg; Mar-24→Mar-26 ×1.58; market CVR 4.4% (head term 1.5%).</t>
  </si>
  <si>
    <t xml:space="preserve">Organic top 20: Pillcase #3, Bedsure PW #5, KRIMANO #6, SONORO KATE #14. Advertising: Love's cabin SP#3, REST SP#8, TRUE BAMBOO SP#8, Breescape SP#8. Rival ad share 39%.</t>
  </si>
  <si>
    <t xml:space="preserve">Top-20 is held by bamboo/viscose sets (Pillcase, Bedsure PW,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</si>
  <si>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5,416 searches/mo &gt; 300 (own campaign), and evidence score 7.0/12 ≥ 6.0 (Sleephoria PPC +2 · Sleephoria rank +2 · market CVR +2 · competitors +1 · Decolure +0). Sleephoria did not overpay on it beyond the ranking ceiling.</t>
  </si>
  <si>
    <t xml:space="preserve">≤10 (≤40 by wk 2, ≤20 by wk 4, ≤10 by wk 8): Sleephoria, the same product, reached #7 here; 5 tracked rival(s) in the top 20. Full rank push starts once this size is assigned to CooLinens; until then spend is capped and the campaign builds first sales and a CVR read.</t>
  </si>
  <si>
    <t xml:space="preserve">king size sheets set cooling</t>
  </si>
  <si>
    <t xml:space="preserve">Sleephoria PPC +2 · Sleephoria rank +1.5 · market CVR +2 · competitors +1 · Decolure +1</t>
  </si>
  <si>
    <t xml:space="preserve">best #6 (2025-04-23) · median #79 · now #50</t>
  </si>
  <si>
    <t xml:space="preserve">best #12 (2026-09-21) · PPC-period median #60 · now #65</t>
  </si>
  <si>
    <t xml:space="preserve">#5 Bedsure PW</t>
  </si>
  <si>
    <t xml:space="preserve">Bedsure PW #5, Pure Bamboo #9, KRIMANO #12; Ads: Bedsure PW Cooling SP#3, Breescape SP#6, Bedsure PW SP#7, Pure Bamboo SP#8</t>
  </si>
  <si>
    <t xml:space="preserve">Sleephoria CPC on this exact term (30 clicks)</t>
  </si>
  <si>
    <t xml:space="preserve">cooling sheet set|King</t>
  </si>
  <si>
    <t xml:space="preserve">CLCS4-SP-king size sheets set cooling-HSV-Exact-Disc-Fix-K-GRAPHITE</t>
  </si>
  <si>
    <t xml:space="preserve">"king size sheets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</si>
  <si>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(147 clicks, CVR 6.1%, ACoS 96%); organic best #6 (2025-04-23), 74 days in top 10, median #79.</t>
  </si>
  <si>
    <t xml:space="preserve">Sleephoria (same product and price — strongest evidence): positive but small sample (30 clicks, CVR 13.3%); organic best #12 (2026-09-21), now #65.</t>
  </si>
  <si>
    <t xml:space="preserve">SV 3,492/mo (MKL (DataDive)); launch window ≈ 3,901/mo; SQP 12-mo 60,031 searches, peak 2026-06, Oct at 1.09× its avg; Mar-24→Mar-26 ×0.64; market CVR 4.4% (head term 1.5%).</t>
  </si>
  <si>
    <t xml:space="preserve">Organic top 20: Bedsure PW #5, Pure Bamboo #9, KRIMANO #12. Advertising: Bedsure PW Cooling SP#3, Breescape SP#6, Bedsure PW SP#7, Pure Bamboo SP#8. Rival ad share 50%.</t>
  </si>
  <si>
    <t xml:space="preserve">Top-20 is held by bamboo/viscose sets (Bedsure PW, Pure Bamboo, KRIMANO);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</si>
  <si>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3,901 searches/mo &gt; 300 (own campaign), and evidence score 7.5/12 ≥ 6.0 (Sleephoria PPC +2 · Sleephoria rank +1.5 · market CVR +2 · competitors +1 · Decolure +1). Sleephoria did not overpay on it beyond the ranking ceiling.</t>
  </si>
  <si>
    <t xml:space="preserve">≤10 (≤40 by wk 2, ≤20 by wk 4, ≤10 by wk 8): Sleephoria, the same product, reached #12 here; 3 tracked rival(s) in the top 20. Full rank push starts once this size is assigned to CooLinens; until then spend is capped and the campaign builds first sales and a CVR read.</t>
  </si>
  <si>
    <t xml:space="preserve">cooling king sheets</t>
  </si>
  <si>
    <t xml:space="preserve">Sleephoria PPC +3 · Sleephoria rank +2 · market CVR +1.5 · competitors +1 · Decolure +0</t>
  </si>
  <si>
    <t xml:space="preserve">best #5 (2025-11-13) · PPC-period median #26 · now #37</t>
  </si>
  <si>
    <t xml:space="preserve">Bedsure PW #3, KRIMANO #6, Pure Bamboo #17, Breescape #20; Ads: California Design Den SP#1, REST SP#3, Bedsure PW Cooling SP#9, KARISSA MAE SP#9</t>
  </si>
  <si>
    <t xml:space="preserve">Sleephoria term CVR 9.1% on 66 clicks ×0.8 launch</t>
  </si>
  <si>
    <t xml:space="preserve">Sleephoria CPC on this exact term (66 clicks)</t>
  </si>
  <si>
    <t xml:space="preserve">CLCS4-SP-cooling king sheets-HSV-Exact-Disc-Fix-K-GRAPHITE</t>
  </si>
  <si>
    <t xml:space="preserve">"cooling king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</si>
  <si>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(66 clicks, CVR 9.1%, ACoS 51%); organic best #5 (2025-11-13), first top-10 2025-10-13, now #37.</t>
  </si>
  <si>
    <t xml:space="preserve">SV 2,637/mo (MKL (DataDive)); launch window ≈ 3,191/mo; SQP 12-mo 39,172 searches, peak 2026-07, Oct at 0.66× its avg; Mar-24→Mar-26 ×3.54; market CVR 3.4% (head term 1.5%).</t>
  </si>
  <si>
    <t xml:space="preserve">Organic top 20: Bedsure PW #3, KRIMANO #6, Pure Bamboo #17, Breescape #20. Advertising: California Design Den SP#1, REST SP#3, Bedsure PW Cooling SP#9, KARISSA MAE SP#9. Rival ad share 36%.</t>
  </si>
  <si>
    <t xml:space="preserve">Batch 1 Hero: relevance 100% ≥ 90%, clean wording, launch-window demand 3,191 searches/mo &gt; 300 (own campaign), and evidence score 7.5/12 ≥ 6.0 (Sleephoria PPC +3 · Sleephoria rank +2 · market CVR +1.5 · competitors +1 · Decolure +0). Sleephoria did not overpay on it beyond the ranking ceiling.</t>
  </si>
  <si>
    <t xml:space="preserve">≤10 (≤40 by wk 2, ≤20 by wk 4, ≤10 by wk 8): Sleephoria, the same product, reached #5 here; 4 tracked rival(s) in the top 20. Full rank push starts once this size is assigned to CooLinens; until then spend is capped and the campaign builds first sales and a CVR read.</t>
  </si>
  <si>
    <t xml:space="preserve">cooling sheets king</t>
  </si>
  <si>
    <t xml:space="preserve">Sleephoria PPC +3 · Sleephoria rank +2 · market CVR +1.5 · competitors +1 · Decolure +0.5</t>
  </si>
  <si>
    <t xml:space="preserve">best #10 (2025-04-27) · median #57 · now #76</t>
  </si>
  <si>
    <t xml:space="preserve">best #4 (2026-03-19) · PPC-period median #28 · now #37</t>
  </si>
  <si>
    <t xml:space="preserve">Pillcase #3, Bedsure PW #4, KRIMANO #11, Pure Bamboo #12, Breescape #13; Ads: California Design Den SP#1, Love's cabin SP#3, Bambaw SP#8, KARISSA MAE SP#11</t>
  </si>
  <si>
    <t xml:space="preserve">Sleephoria term CVR 9.6% on 115 clicks ×0.8 launch</t>
  </si>
  <si>
    <t xml:space="preserve">Sleephoria CPC on this exact term (115 clicks)</t>
  </si>
  <si>
    <t xml:space="preserve">CLCS4-SP-cooling sheets king-HSV-Exact-Disc-Fix-K-GRAPHITE</t>
  </si>
  <si>
    <t xml:space="preserve">"cooling sheets king"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</si>
  <si>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clicks); organic best #10 (2025-04-27), 1 days in top 10, median #57.</t>
  </si>
  <si>
    <t xml:space="preserve">Sleephoria (same product and price — strongest evidence): converts on the same product but costly (115 clicks, CVR 9.6%, ACoS 43%); organic best #4 (2026-03-19), first top-10 2025-10-15, now #37. Reached top 10 12 days after ads started (Oct-25).</t>
  </si>
  <si>
    <t xml:space="preserve">SV 2,630/mo (MKL (DataDive)); launch window ≈ 3,114/mo; SQP 12-mo 50,649 searches, peak 2026-06, Oct at 0.76× its avg; Mar-24→Mar-26 ×1.39; market CVR 3.1% (head term 1.5%).</t>
  </si>
  <si>
    <t xml:space="preserve">Organic top 20: Pillcase #3, Bedsure PW #4, KRIMANO #11, Pure Bamboo #12. Advertising: California Design Den SP#1, Love's cabin SP#3, Bambaw SP#8, KARISSA MAE SP#11. Rival ad share 43%.</t>
  </si>
  <si>
    <t xml:space="preserve">Batch 1 Hero: relevance 100% ≥ 90%, clean wording, launch-window demand 3,114 searches/mo &gt; 300 (own campaign), and evidence score 8.0/12 ≥ 6.0 (Sleephoria PPC +3 · Sleephoria rank +2 · market CVR +1.5 · competitors +1 · Decolure +0.5). Sleephoria did not overpay on it beyond the ranking ceiling.</t>
  </si>
  <si>
    <t xml:space="preserve">≤15 (≤50 by wk 2, ≤30 by wk 4, ≤15 by wk 8): a crowded page (6 tracked rivals in the organic top 20). Sleephoria's best was #4 (2026-03-19),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</si>
  <si>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cooling bed sheets king</t>
  </si>
  <si>
    <t xml:space="preserve">Sleephoria PPC +4 · Sleephoria rank +2 · market CVR +1 · competitors +1 · Decolure +0</t>
  </si>
  <si>
    <t xml:space="preserve">now #110</t>
  </si>
  <si>
    <t xml:space="preserve">best #2 (2026-09-17) · PPC-period median #47 · now #24</t>
  </si>
  <si>
    <t xml:space="preserve">Bedsure PW #3, SONORO KATE #7, Pure Bamboo #8, Love's cabin #9, Breescape #12; Ads: Bedsure PW SP#4, KRIMANO SP#5, Pure Bamboo SP#6, Bedsure PW Cooling SP#8</t>
  </si>
  <si>
    <t xml:space="preserve">Sleephoria term CVR 14.5% on 69 clicks ×0.8 launch</t>
  </si>
  <si>
    <t xml:space="preserve">Sleephoria CPC on this exact term (69 clicks)</t>
  </si>
  <si>
    <t xml:space="preserve">cooling bed sheets|King</t>
  </si>
  <si>
    <t xml:space="preserve">CLCS4-SP-cooling bed sheets king-HSV-Exact-Disc-Fix-K-GRAPHITE</t>
  </si>
  <si>
    <t xml:space="preserve">"cooling bed sheets king"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</si>
  <si>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(69 clicks, CVR 14.5%, ACoS 28%); organic best #2 (2026-09-17), first top-10 2025-10-16, now #24.</t>
  </si>
  <si>
    <t xml:space="preserve">SV 1,961/mo (MKL (DataDive)); launch window ≈ 1,729/mo; SQP 12-mo 35,679 searches, peak 2026-06, Oct at 1.00× its avg; Mar-24→Mar-26 ×0.86; market CVR 2.9% (head term 1.5%).</t>
  </si>
  <si>
    <t xml:space="preserve">Organic top 20: Bedsure PW #3, SONORO KATE #7, Pure Bamboo #8, Love's cabin #9. Advertising: Bedsure PW SP#4, KRIMANO SP#5, Pure Bamboo SP#6, Bedsure PW Cooling SP#8. Rival ad share 51%.</t>
  </si>
  <si>
    <t xml:space="preserve">Batch 1 Hero: relevance 100% ≥ 90%, clean wording, launch-window demand 1,729 searches/mo &gt; 300 (own campaign), and evidence score 8.0/12 ≥ 6.0 (Sleephoria PPC +4 · Sleephoria rank +2 · market CVR +1 · competitors +1 · Decolure +0). Sleephoria did not overpay on it beyond the ranking ceiling.</t>
  </si>
  <si>
    <t xml:space="preserve">≤15 (≤50 by wk 2, ≤30 by wk 4, ≤15 by wk 8): a crowded page (7 tracked rivals in the organic top 20). Sleephoria's best was #2 (2026-09-17),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</si>
  <si>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size bed sheets cooling</t>
  </si>
  <si>
    <t xml:space="preserve">best #5 (2025-10-16) · PPC-period median #34 · now #39</t>
  </si>
  <si>
    <t xml:space="preserve">Bedsure PW #3, Love's cabin #6, Pure Bamboo #10, KRIMANO #15, Breescape #19; Ads: REST SP#3, KRIMANO SP#4, Breescape SP#9, BC Bella Coterie SP#10</t>
  </si>
  <si>
    <t xml:space="preserve">Sleephoria term CVR 12.0% on 50 clicks ×0.8 launch</t>
  </si>
  <si>
    <t xml:space="preserve">Sleephoria CPC on this exact term (50 clicks)</t>
  </si>
  <si>
    <t xml:space="preserve">CLCS4-SP-king size bed sheets cooling-MSV-Exact-Disc-Fix-K-GRAPHITE</t>
  </si>
  <si>
    <t xml:space="preserve">"king size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</si>
  <si>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(50 clicks, CVR 12.0%, ACoS 29%); organic best #5 (2025-10-16), first top-10 2025-10-13, now #39.</t>
  </si>
  <si>
    <t xml:space="preserve">SV 819/mo (MKL (DataDive)); launch window ≈ 924/mo; SQP 12-mo 8,148 searches, peak 2026-08, Oct at 0.97× its avg; market CVR 4.3% (head term 1.5%).</t>
  </si>
  <si>
    <t xml:space="preserve">Organic top 20: Bedsure PW #3, Love's cabin #6, Pure Bamboo #10, KRIMANO #15. Advertising: REST SP#3, KRIMANO SP#4, Breescape SP#9, BC Bella Coterie SP#10. Rival ad share 43%.</t>
  </si>
  <si>
    <t xml:space="preserve">Batch 1 Hero: relevance 100% ≥ 90%, clean wording, launch-window demand 924 searches/mo &gt; 300 (own campaign), and evidence score 9.0/12 ≥ 6.0 (Sleephoria PPC +4 · Sleephoria rank +2 · market CVR +2 · competitors +1 · Decolure +0). Sleephoria did not overpay on it beyond the ranking ceiling.</t>
  </si>
  <si>
    <t xml:space="preserve">≤10 (≤40 by wk 2, ≤20 by wk 4, ≤10 by wk 8): Sleephoria, the same product, reached #5 here; 5 tracked rival(s) in the top 20. Full rank push starts once this size is assigned to CooLinens; until then spend is capped and the campaign builds first sales and a CVR read.</t>
  </si>
  <si>
    <t xml:space="preserve">cooling king size sheets</t>
  </si>
  <si>
    <t xml:space="preserve">Sleephoria PPC +0 · root|size group proven on Sleephoria +1.5 (cooling sheets|King: CVR 12.8% on 2,263 clicks) · Sleephoria rank +2 · market CVR +1.5 · competitors +1 · Decolure +0</t>
  </si>
  <si>
    <t xml:space="preserve">now #51</t>
  </si>
  <si>
    <t xml:space="preserve">best #3 (2026-09-20) · PPC-period median #17 · now #23</t>
  </si>
  <si>
    <t xml:space="preserve">Bedsure PW #3, KRIMANO #7, SONORO KATE #13, Pure Bamboo #20; Ads: REST SP#1, Hotel Sheets Direct SP#2, California Design Den SP#2, Breescape SP#7</t>
  </si>
  <si>
    <t xml:space="preserve">Sleephoria avg CPC, King cooling terms</t>
  </si>
  <si>
    <t xml:space="preserve">CLCS4-SP-cooling king size sheets-MSV-Exact-Disc-Fix-K-GRAPHITE</t>
  </si>
  <si>
    <t xml:space="preserve">"cooling king size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</si>
  <si>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(18); organic best #3 (2026-09-20), first top-10 2025-10-14, now #23.</t>
  </si>
  <si>
    <t xml:space="preserve">SV 1,023/mo (MKL (DataDive)); launch window ≈ 826/mo; SQP 12-mo 10,644 searches, peak 2026-06, Oct at 0.69× its avg; market CVR 3.5% (head term 1.5%).</t>
  </si>
  <si>
    <t xml:space="preserve">Organic top 20: Bedsure PW #3, KRIMANO #7, SONORO KATE #13, Pure Bamboo #20. Advertising: REST SP#1, Hotel Sheets Direct SP#2, California Design Den SP#2, Breescape SP#7. Rival ad share 36%.</t>
  </si>
  <si>
    <t xml:space="preserve">Top-20 is held by bamboo/viscose sets (Bedsure PW, KRIMANO, SONORO KATE); no synthetic cooling-knit rival ranks here. CooLinens is the only nylon/spandex cooling option on the page at $84.99 — Sleephoria proved the knit ranks here.</t>
  </si>
  <si>
    <t xml:space="preserve">Batch 1 Hero: relevance 100% ≥ 90%, clean wording, launch-window demand 826 searches/mo &gt; 300 (own campaign), and evidence score 6.0/12 ≥ 6.0 (Sleephoria PPC +0 · root|size group proven on Sleephoria +1.5 (cooling sheets|King: CVR 12.8% on 2,263 clicks) · Sleephoria rank +2 · market CVR +1.5 · competitors +1 · Decolure +0). Sleephoria did not overpay on it beyond the ranking ceiling.</t>
  </si>
  <si>
    <t xml:space="preserve">cooling sheets twin</t>
  </si>
  <si>
    <t xml:space="preserve">Twin</t>
  </si>
  <si>
    <t xml:space="preserve">Sleephoria PPC +4 · Sleephoria rank +2 · market CVR +1.5 · competitors +0.5 · Decolure +1.5</t>
  </si>
  <si>
    <t xml:space="preserve">best #3 (2025-08-08) · median #21 · now #68</t>
  </si>
  <si>
    <t xml:space="preserve">best #1 (2026-02-10) · PPC-period median #4 · now #11</t>
  </si>
  <si>
    <t xml:space="preserve">#17 Breescape</t>
  </si>
  <si>
    <t xml:space="preserve">Breescape #17; Ads: TRUE BAMBOO SP#3, California Design Den SP#4, KARISSA MAE SP#6, Bedsure PW SP#7</t>
  </si>
  <si>
    <t xml:space="preserve">Sleephoria term CVR 13.4% on 172 clicks ×0.8 launch</t>
  </si>
  <si>
    <t xml:space="preserve">Ranking entry, capped: Twin is also Sleephoria's size on the same keywords, so CooLinens enters funded to what the target rank needs (minimum 1 click/day for a CVR read) but never above 3.57 clicks/day (50 clicks in 14 days), with no placement premium. It moves to a full push, with the TOS modifier, once Twin is assigned to CooLinens.</t>
  </si>
  <si>
    <t xml:space="preserve">Sleephoria CPC on this exact term (172 clicks)</t>
  </si>
  <si>
    <t xml:space="preserve">cooling sheets|Twin</t>
  </si>
  <si>
    <t xml:space="preserve">CLCS4-SP-cooling sheets twin-HSV-Exact-Disc-Fix-T-GRAPHITE</t>
  </si>
  <si>
    <t xml:space="preserve">CL-COOLING-SHEET-TWIN-GRAPHITE</t>
  </si>
  <si>
    <t xml:space="preserve">B0H6K1TJWV</t>
  </si>
  <si>
    <t xml:space="preserve">"cooling sheets twin"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</si>
  <si>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converted at the $38 tier (296 clicks, CVR 6.4%, ACoS 38%); organic best #3 (2025-08-08), 102 days in top 10, median #21.</t>
  </si>
  <si>
    <t xml:space="preserve">Sleephoria (same product and price — strongest evidence): proven on the same product (172 clicks, CVR 13.4%, ACoS 21%); organic best #1 (2026-02-10), first top-10 2025-10-05, now #11.</t>
  </si>
  <si>
    <t xml:space="preserve">SV 2,976/mo (MKL (DataDive)); launch window ≈ 2,776/mo; SQP 12-mo 55,602 searches, peak 2026-06, Oct at 0.71× its avg; market CVR 3.8% (head term 1.5%).</t>
  </si>
  <si>
    <t xml:space="preserve">Organic top 20: Breescape #17. Advertising: TRUE BAMBOO SP#3, California Design Den SP#4, KARISSA MAE SP#6, Bedsure PW SP#7. Rival ad share 70%.</t>
  </si>
  <si>
    <t xml:space="preserve">Direct cooling-tech rivals rank here (Breescape), priced $89.99–$224 vs CooLinens $62.99; bamboo sets hold the rest. Price and fabric are the wedge. Ad-dominated term (≤1 rival organic, ≥5 advertising) — reachable with paid traffic.</t>
  </si>
  <si>
    <t xml:space="preserve">Launch-window demand is ~35% of the June peak but these are the terms where evidence is strongest; ranking now means CooLinens holds position before the March ramp (SQP March ≈ 2× January). Twin roots are shared with Sleephoria and not yet assigned: launch capped (50 clicks / 14 days) to read CooLinens CVR for the ownership decision.</t>
  </si>
  <si>
    <t xml:space="preserve">Batch 1 Hero: relevance 100% ≥ 90%, clean wording, launch-window demand 2,776 searches/mo &gt; 300 (own campaign), and evidence score 9.5/12 ≥ 6.0 (Sleephoria PPC +4 · Sleephoria rank +2 · market CVR +1.5 · competitors +0.5 · Decolure +1.5). Sleephoria did not overpay on it beyond the ranking ceiling.</t>
  </si>
  <si>
    <t xml:space="preserve">≤10 (≤40 by wk 2, ≤20 by wk 4, ≤10 by wk 8): Sleephoria, the same product, reached #1 here; 1 tracked rival(s) in the top 20. Full rank push starts once this size is assigned to CooLinens; until then spend is capped and the campaign builds first sales and a CVR read.</t>
  </si>
  <si>
    <t xml:space="preserve">twin cooling sheets</t>
  </si>
  <si>
    <t xml:space="preserve">Sleephoria PPC +4 · Sleephoria rank +2 · market CVR +2 · competitors +0 · Decolure +0.5</t>
  </si>
  <si>
    <t xml:space="preserve">best #5 (2025-04-28) · median #22 · now #134</t>
  </si>
  <si>
    <t xml:space="preserve">best #2 (2025-10-28) · PPC-period median #5 · now #13</t>
  </si>
  <si>
    <t xml:space="preserve">no tracked rival top 20</t>
  </si>
  <si>
    <t xml:space="preserve">no rival organic top 20; Ads: Breescape SP#2, REST SP#3, Bambaw SP#8, Bedsure PW SP#9</t>
  </si>
  <si>
    <t xml:space="preserve">Sleephoria term CVR 10.8% on 614 clicks ×0.8 launch</t>
  </si>
  <si>
    <t xml:space="preserve">Sleephoria CPC on this exact term (614 clicks)</t>
  </si>
  <si>
    <t xml:space="preserve">CLCS4-SP-twin cooling sheets-HSV-Exact-Disc-Fix-T-GRAPHITE</t>
  </si>
  <si>
    <t xml:space="preserve">"twin cooling sheets" asks for a Twin cooling sheet product that CooLinens sells (BreezeWeave nylon/spandex knit, 16″ pocket, 3-piece set). Relevance 100%: product type ✓, use case ✓, material ✓, intent ✓.</t>
  </si>
  <si>
    <t xml:space="preserve">Decolure ($38 microfiber — adjacent, lower weight): small sample (26 clicks); organic best #5 (2025-04-28), 87 days in top 10, median #22.</t>
  </si>
  <si>
    <t xml:space="preserve">Sleephoria (same product and price — strongest evidence): proven on the same product (614 clicks, CVR 10.8%, ACoS 29%); organic best #2 (2025-10-28), first top-10 2025-10-14, now #13. Reached top 10 11 days after ads started (Oct-25).</t>
  </si>
  <si>
    <t xml:space="preserve">SV 1,305/mo (MKL (DataDive)); launch window ≈ 1,082/mo; SQP 12-mo 22,825 searches, peak 2026-06, Oct at 0.71× its avg; market CVR 5.1% (head term 1.5%).</t>
  </si>
  <si>
    <t xml:space="preserve">Organic top 20: none of the 20 tracked rivals in the organic top 20. Advertising: Breescape SP#2, REST SP#3, Bambaw SP#8, Bedsure PW SP#9. Rival ad share 66%.</t>
  </si>
  <si>
    <t xml:space="preserve">Organic page has no tracked rival in the top 20 — the cooling-knit position is open; paid velocity can take it. Ad-dominated term (≤1 rival organic, ≥5 advertising) — reachable with paid traffic.</t>
  </si>
  <si>
    <t xml:space="preserve">Batch 1 Hero: relevance 100% ≥ 90%, clean wording, launch-window demand 1,082 searches/mo &gt; 300 (own campaign), and evidence score 8.5/12 ≥ 6.0 (Sleephoria PPC +4 · Sleephoria rank +2 · market CVR +2 · competitors +0 · Decolure +0.5). Sleephoria did not overpay on it beyond the ranking ceiling.</t>
  </si>
  <si>
    <t xml:space="preserve">≤10 (≤40 by wk 2, ≤20 by wk 4, ≤10 by wk 8): Sleephoria, the same product, reached #2 here and entered the top 10 within 11 days; 0 tracked rival(s) in the top 20. Full rank push starts once this size is assigned to CooLinens; until then spend is capped and the campaign builds first sales and a CVR read.</t>
  </si>
  <si>
    <t xml:space="preserve">cooling twin sheets</t>
  </si>
  <si>
    <t xml:space="preserve">Sleephoria PPC +0 · root|size group proven on Sleephoria +1.5 (cooling sheets|Twin: CVR 11.7% on 865 clicks) · Sleephoria rank +2 · market CVR +2 · competitors +0.5 · Decolure +0</t>
  </si>
  <si>
    <t xml:space="preserve">now #104</t>
  </si>
  <si>
    <t xml:space="preserve">best #2 (2026-02-26) · PPC-period median #4 · now #9</t>
  </si>
  <si>
    <t xml:space="preserve">#17 Pure Bamboo</t>
  </si>
  <si>
    <t xml:space="preserve">Pure Bamboo #17; Ads: California Design Den SP#2, Bedsure PW SP#3, Bambaw SP#5, KARISSA MAE SP#7</t>
  </si>
  <si>
    <t xml:space="preserve">Sleephoria avg CPC, Twin cooling terms</t>
  </si>
  <si>
    <t xml:space="preserve">CLCS4-SP-cooling twin sheets-MSV-Exact-Disc-Fix-T-GRAPHITE</t>
  </si>
  <si>
    <t xml:space="preserve">"cooling twin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</si>
  <si>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(4); organic best #2 (2026-02-26), first top-10 2025-10-11, now #9.</t>
  </si>
  <si>
    <t xml:space="preserve">SV 682/mo (MKL (DataDive)); launch window ≈ 703/mo; SQP 12-mo 13,269 searches, peak 2026-06, Oct at 0.53× its avg; market CVR 4.8% (head term 1.5%).</t>
  </si>
  <si>
    <t xml:space="preserve">Organic top 20: Pure Bamboo #17. Advertising: California Design Den SP#2, Bedsure PW SP#3, Bambaw SP#5, KARISSA MAE SP#7. Rival ad share 64%.</t>
  </si>
  <si>
    <t xml:space="preserve">Top-20 is held by bamboo/viscose sets (Pure Bamboo); no synthetic cooling-knit rival ranks here. CooLinens is the only nylon/spandex cooling option on the page at $62.99 — Sleephoria proved the knit ranks here. Ad-dominated term (≤1 rival organic, ≥5 advertising) — reachable with paid traffic.</t>
  </si>
  <si>
    <t xml:space="preserve">Batch 1 Hero: relevance 100% ≥ 90%, clean wording, launch-window demand 703 searches/mo &gt; 300 (own campaign), and evidence score 6.0/12 ≥ 6.0 (Sleephoria PPC +0 · root|size group proven on Sleephoria +1.5 (cooling sheets|Twin: CVR 11.7% on 865 clicks) · Sleephoria rank +2 · market CVR +2 · competitors +0.5 · Decolure +0). Sleephoria did not overpay on it beyond the ranking ceiling.</t>
  </si>
  <si>
    <t xml:space="preserve">cool bed sheets</t>
  </si>
  <si>
    <t xml:space="preserve">Sleephoria PPC +0 · Sleephoria rank +2 · market CVR +1 · competitors +1 · Decolure +0</t>
  </si>
  <si>
    <t xml:space="preserve">now #131</t>
  </si>
  <si>
    <t xml:space="preserve">best #2 (2026-05-06) · PPC-period median #21 · now #17</t>
  </si>
  <si>
    <t xml:space="preserve">#2 Bambaw</t>
  </si>
  <si>
    <t xml:space="preserve">Bambaw #2, Love's cabin #3, Bedsure PW #5, Pure Bamboo #7; Ads: Bedsure PW SP#1, Breescape SP#2, KARISSA MAE SP#6, BC Bella Coterie SP#9</t>
  </si>
  <si>
    <t xml:space="preserve">Ranking support: relevant no-size wording with thinner evidence (4.0/12). Funded to what its own rank requires, no placement premium; its sales add velocity to the Queen hero terms.</t>
  </si>
  <si>
    <t xml:space="preserve">Exact inside a Halo: long-tail wording shares one budget by size and intent; exact keeps sales on the wording we want ranked. Graduates to its own campaign at 3+ orders.</t>
  </si>
  <si>
    <t xml:space="preserve">Sleephoria avg CPC, no-size cooling terms</t>
  </si>
  <si>
    <t xml:space="preserve">Halo (grouped, by size and intent)</t>
  </si>
  <si>
    <t xml:space="preserve">CLCS4-SP-Head-Halo-B1-Exact-Rank-Fix-Q-GRAPHITE</t>
  </si>
  <si>
    <t xml:space="preserve">Cool - cold</t>
  </si>
  <si>
    <t xml:space="preserve">"cool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</si>
  <si>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(2026-05-06), first top-10 2025-10-16, now #17.</t>
  </si>
  <si>
    <t xml:space="preserve">SV 651/mo (MKL (DataDive)); launch window ≈ 204/mo; SQP 12-mo 19,097 searches, peak 2026-06, Oct at 0.67× its avg; Mar-24→Mar-26 ×1.02; market CVR 2.0% (head term 1.5%).</t>
  </si>
  <si>
    <t xml:space="preserve">Organic top 20: Bambaw #2, Love's cabin #3, Bedsure PW #5, Pure Bamboo #7. Advertising: Bedsure PW SP#1, Breescape SP#2, KARISSA MAE SP#6, BC Bella Coterie SP#9. Rival ad share 0%.</t>
  </si>
  <si>
    <t xml:space="preserve">Top-20 is held by bamboo/viscose sets (Bambaw, Love's cabin, Bedsure PW); no synthetic cooling-knit rival ranks here. CooLinens is the only nylon/spandex cooling option on the page at $79.99 — Sleephoria proved the knit ranks here.</t>
  </si>
  <si>
    <t xml:space="preserve">Batch 1 Halo: relevance 95% ≥ 90%, clean wording, 204 searches/mo (≤ 300, so grouped rather than its own campaign), and one of the 6 best-evidenced long-tails of its size (score 4.0/12 = Sleephoria PPC +0 · Sleephoria rank +2 · market CVR +1 · competitors +1 · Decolure +0).</t>
  </si>
  <si>
    <t xml:space="preserve">cooling sheets for night sweats</t>
  </si>
  <si>
    <t xml:space="preserve">Sleephoria PPC +2 · Sleephoria rank +2 · market CVR +0.5 · competitors +1 · Decolure +0</t>
  </si>
  <si>
    <t xml:space="preserve">not tracked</t>
  </si>
  <si>
    <t xml:space="preserve">best #1 (2026-03-04) · PPC-period median #16</t>
  </si>
  <si>
    <t xml:space="preserve">Bedsure PW #1, Love's cabin #4, Bambaw #7, Bedsure PW Cooling #10; Ads: Bedsure PW SP#1, Breescape SP#6, Elegear SP#7, KARISSA MAE SP#9</t>
  </si>
  <si>
    <t xml:space="preserve">Ranking support: relevant no-size wording with thinner evidence (5.5/12). Funded to what its own rank requires, no placement premium; its sales add velocity to the Queen hero terms.</t>
  </si>
  <si>
    <t xml:space="preserve">Sleephoria CPC on this exact term (46 clicks)</t>
  </si>
  <si>
    <t xml:space="preserve">cooling sheets for hot sleepers|no size</t>
  </si>
  <si>
    <t xml:space="preserve">Hot sleepers</t>
  </si>
  <si>
    <t xml:space="preserve">"cooling sheets for night sweats"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</si>
  <si>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positive but small sample (46 clicks, CVR 8.7%); organic best #1 (2026-03-04), first top-10 2025-10-09.</t>
  </si>
  <si>
    <t xml:space="preserve">SV 439/mo (MKL (DataDive)); launch window ≈ 183/mo; SQP 12-mo 7,855 searches, peak 2026-03, Oct at 1.01× its avg; market CVR 1.2% (head term 1.5%).</t>
  </si>
  <si>
    <t xml:space="preserve">Organic top 20: Bedsure PW #1, Love's cabin #4, Bambaw #7, Bedsure PW Cooling #10. Advertising: Bedsure PW SP#1, Breescape SP#6, Elegear SP#7, KARISSA MAE SP#9.</t>
  </si>
  <si>
    <t xml:space="preserve">Batch 1 Halo: relevance 95% ≥ 90%, clean wording, 183 searches/mo (≤ 300, so grouped rather than its own campaign), and one of the 6 best-evidenced long-tails of its size (score 5.5/12 = Sleephoria PPC +2 · Sleephoria rank +2 · market CVR +0.5 · competitors +1 · Decolure +0).</t>
  </si>
  <si>
    <t xml:space="preserve">black queen sheets cooling</t>
  </si>
  <si>
    <t xml:space="preserve">Medium (syntax-proven)</t>
  </si>
  <si>
    <t xml:space="preserve">Sleephoria PPC +0 · root|size group proven on Sleephoria +1.5 (cooling sheets|Queen: CVR 10.9% on 3,545 clicks) · Sleephoria rank +0 · market CVR +0 · competitors +0 · Decolure +0</t>
  </si>
  <si>
    <t xml:space="preserve">no rival organic top 20; Ads: none tracked</t>
  </si>
  <si>
    <t xml:space="preserve">Ranking support: relevant Queen wording with thinner evidence (1.5/12). Funded to what its own rank requires, no placement premium; its sales add velocity to the Queen hero terms.</t>
  </si>
  <si>
    <t xml:space="preserve">CLCS4-SP-Queen-Halo-B1-Exact-Rank-Fix-Q-GRAPHITE</t>
  </si>
  <si>
    <t xml:space="preserve">Colour</t>
  </si>
  <si>
    <t xml:space="preserve">CL-COOLING-SHEET-QUEEN-MIDNIGHT-BLACK</t>
  </si>
  <si>
    <t xml:space="preserve">B0H6JXLFX6</t>
  </si>
  <si>
    <t xml:space="preserve">"black queen sheets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</si>
  <si>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term.</t>
  </si>
  <si>
    <t xml:space="preserve">SV 374/mo (MKL (DataDive)); launch window ≈ 284/mo.</t>
  </si>
  <si>
    <t xml:space="preserve">Organic top 20: none of the 20 tracked rivals in the organic top 20. Advertising: no tracked rival advertising.</t>
  </si>
  <si>
    <t xml:space="preserve">Organic page has no tracked rival in the top 20 — the cooling-knit position is open; paid velocity can take it.</t>
  </si>
  <si>
    <t xml:space="preserve">Batch 1 Halo: relevance 100%, clean wording, 284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</si>
  <si>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soft cooling sheets queen</t>
  </si>
  <si>
    <t xml:space="preserve">Cooling sheets</t>
  </si>
  <si>
    <t xml:space="preserve">"soft cooling sheets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</si>
  <si>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(4).</t>
  </si>
  <si>
    <t xml:space="preserve">SV 339/mo (MKL (DataDive)); launch window ≈ 258/mo.</t>
  </si>
  <si>
    <t xml:space="preserve">Batch 1 Halo: relevance 100%, clean wording, 258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</si>
  <si>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 queen</t>
  </si>
  <si>
    <t xml:space="preserve">"cooling sheet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</si>
  <si>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(7).</t>
  </si>
  <si>
    <t xml:space="preserve">SV 337/mo (MKL (DataDive)); launch window ≈ 256/mo.</t>
  </si>
  <si>
    <t xml:space="preserve">Batch 1 Halo: relevance 100%, clean wording, 256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</si>
  <si>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queen sheet cooling</t>
  </si>
  <si>
    <t xml:space="preserve">"queen sheet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</si>
  <si>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(1).</t>
  </si>
  <si>
    <t xml:space="preserve">SV 282/mo (MKL (DataDive)); launch window ≈ 214/mo.</t>
  </si>
  <si>
    <t xml:space="preserve">Batch 1 Halo: relevance 100%, clean wording, 214 searches/mo (≤ 300 → grouped, not its own campaign). Its own data is thin (long-tail), but it is the same syntax that Sleephoria proved (Sleephoria PPC +0 · root|size group proven on Sleephoria +1.5 (cooling sheets|Queen: CVR 10.9% on 3,545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</si>
  <si>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queen bed cooling sheets</t>
  </si>
  <si>
    <t xml:space="preserve">best #3 (2025-10-19) · PPC-period median #9 · now #8</t>
  </si>
  <si>
    <t xml:space="preserve">Bedsure PW #2, Love's cabin #3, Bambaw #7, SONORO KATE #19; Ads: SONORO KATE SP#1, REST SP#4, KRIMANO SP#7, TRUE BAMBOO SP#7</t>
  </si>
  <si>
    <t xml:space="preserve">Ranking support: relevant Queen wording with thinner evidence (6.5/12). Funded to what its own rank requires, no placement premium; its sales add velocity to the Queen hero terms.</t>
  </si>
  <si>
    <t xml:space="preserve">"queen bed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</si>
  <si>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#8.</t>
  </si>
  <si>
    <t xml:space="preserve">SV 588/mo (MKL (DataDive)); launch window ≈ 183/mo; SQP 12-mo 4,171 searches, peak 2026-06, Oct at 0.71× its avg; market CVR 5.5% (head term 1.5%).</t>
  </si>
  <si>
    <t xml:space="preserve">Organic top 20: Bedsure PW #2, Love's cabin #3, Bambaw #7, SONORO KATE #19. Advertising: SONORO KATE SP#1, REST SP#4, KRIMANO SP#7, TRUE BAMBOO SP#7. Rival ad share 0%.</t>
  </si>
  <si>
    <t xml:space="preserve">Batch 1 Halo: relevance 100% ≥ 90%, clean wording, 183 searches/mo (≤ 300, so grouped rather than its own campaign), and one of the 8 best-evidenced long-tails of its size (score 6.5/12 = Sleephoria PPC +0 · root|size group proven on Sleephoria +1.5 (cooling sheets|Queen: CVR 10.9% on 3,545 clicks) · Sleephoria rank +2 · market CVR +2 · competitors +1 · Decolure +0).</t>
  </si>
  <si>
    <t xml:space="preserve">california king sheet sets cooling</t>
  </si>
  <si>
    <t xml:space="preserve">Sleephoria PPC +0 · Sleephoria rank +2 · market CVR +1.5 · competitors +1 · Decolure +0</t>
  </si>
  <si>
    <t xml:space="preserve">best #7 (2026-08-14) · PPC-period median #46 · now #45</t>
  </si>
  <si>
    <t xml:space="preserve">Bedsure PW #3, Pure Bamboo #7, Love's cabin #9, TRUE BAMBOO #9; Ads: California Design Den SP#1, Breescape SP#3, Bambaw SP#4, Hotel Sheets Direct SP#4</t>
  </si>
  <si>
    <t xml:space="preserve">Ranking — Capped Long-Tail</t>
  </si>
  <si>
    <t xml:space="preserve">Long-tail ranking support, funded to what its rank needs up to 0.75 clicks/day inside the Cal King Halo; scales when Cal King is assigned to CooLinens or the term earns 3+ orders.</t>
  </si>
  <si>
    <t xml:space="preserve">cooling sheet set|Cal King</t>
  </si>
  <si>
    <t xml:space="preserve">CLCS4-SP-Twin-CalKing-Halo-B1-Exact-Disc-Fix-T+CK-GRAPHITE</t>
  </si>
  <si>
    <t xml:space="preserve">Cal King · Sheet set</t>
  </si>
  <si>
    <t xml:space="preserve">"california king sheet sets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</si>
  <si>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(12); organic best #7 (2026-08-14), first top-10 2026-08-14, now #45.</t>
  </si>
  <si>
    <t xml:space="preserve">SV 682/mo (MKL (DataDive)); launch window ≈ 295/mo; SQP 12-mo 7,112 searches, peak 2026-06; market CVR 3.9% (head term 1.5%).</t>
  </si>
  <si>
    <t xml:space="preserve">Organic top 20: Bedsure PW #3, Pure Bamboo #7, Love's cabin #9, TRUE BAMBOO #9. Advertising: California Design Den SP#1, Breescape SP#3, Bambaw SP#4, Hotel Sheets Direct SP#4. Rival ad share 46%.</t>
  </si>
  <si>
    <t xml:space="preserve">Top-20 is held by bamboo/viscose sets (Bedsure PW, Pure Bamboo, Love's cabin); no synthetic cooling-knit rival ranks here. CooLinens is the only nylon/spandex cooling option on the page at $86.99 — Sleephoria proved the knit ranks here.</t>
  </si>
  <si>
    <t xml:space="preserve">Batch 1 Halo: relevance 100% ≥ 90%, clean wording, 295 searches/mo (≤ 300, so grouped rather than its own campaign), and one of the 6 best-evidenced long-tails of its size (score 4.5/12 = Sleephoria PPC +0 · Sleephoria rank +2 · market CVR +1.5 · competitors +1 · Decolure +0).</t>
  </si>
  <si>
    <t xml:space="preserve">cal king sheets cooling</t>
  </si>
  <si>
    <t xml:space="preserve">Sleephoria PPC +0 · root|size group proven on Sleephoria +1.5 (cooling sheets|Cal King: CVR 15.7% on 706 clicks) · Sleephoria rank +0 · market CVR +0 · competitors +0 · Decolure +0</t>
  </si>
  <si>
    <t xml:space="preserve">Cal King · Cooling sheets</t>
  </si>
  <si>
    <t xml:space="preserve">"cal king sheets cooling" asks for a Cal King cooling sheet product that CooLinens sells (BreezeWeave nylon/spandex knit, 16″ pocket, 4-piece set). Relevance 100%: product type ✓, use case ✓, material ✓, intent ✓.</t>
  </si>
  <si>
    <t xml:space="preserve">SV 217/mo (MKL (DataDive)); launch window ≈ 165/mo.</t>
  </si>
  <si>
    <t xml:space="preserve">Batch 1 Halo: relevance 100%, clean wording, 165 searches/mo (≤ 300 → grouped, not its own campaign). Its own data is thin (long-tail), but it is the same syntax that Sleephoria proved (Sleephoria PPC +0 · root|size group proven on Sleephoria +1.5 (cooling sheets|Cal King: CVR 15.7% on 706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</si>
  <si>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full sheets cooling</t>
  </si>
  <si>
    <t xml:space="preserve">now #107</t>
  </si>
  <si>
    <t xml:space="preserve">best #6 (2025-11-04) · PPC-period median #22 · now #24</t>
  </si>
  <si>
    <t xml:space="preserve">Love's cabin #2; Ads: Love's cabin SP#2, KRIMANO SP#7, Bambaw SP#7, Bedsure PW SP#9</t>
  </si>
  <si>
    <t xml:space="preserve">Long-tail ranking support, funded to what its rank needs up to 0.75 clicks/day inside the Full Halo; scales when Full is assigned to CooLinens or the term earns 3+ orders.</t>
  </si>
  <si>
    <t xml:space="preserve">CLCS4-SP-Full-Halo-B1-Exact-Disc-Fix-F-COOL-GREY</t>
  </si>
  <si>
    <t xml:space="preserve">"full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</si>
  <si>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(5); organic best #6 (2025-11-04), first top-10 2025-10-29, now #24.</t>
  </si>
  <si>
    <t xml:space="preserve">SV 649/mo (MKL (DataDive)); launch window ≈ 267/mo; SQP 12-mo 4,044 searches, peak 2026-08, Oct at 0.75× its avg; market CVR 5.6% (head term 1.5%).</t>
  </si>
  <si>
    <t xml:space="preserve">Organic top 20: Love's cabin #2. Advertising: Love's cabin SP#2, KRIMANO SP#7, Bambaw SP#7, Bedsure PW SP#9. Rival ad share 38%.</t>
  </si>
  <si>
    <t xml:space="preserve">Batch 1 Halo: relevance 100% ≥ 90%, clean wording, 267 searches/mo (≤ 300, so grouped rather than its own campaign), and one of the 5 best-evidenced long-tails of its size (score 6.0/12 = Sleephoria PPC +0 · root|size group proven on Sleephoria +1.5 (cooling sheets|Full: CVR 11.7% on 2,803 clicks) · Sleephoria rank +2 · market CVR +2 · competitors +0.5 · Decolure +0).</t>
  </si>
  <si>
    <t xml:space="preserve">cooling sheets full size bed</t>
  </si>
  <si>
    <t xml:space="preserve">Sleephoria PPC +0 · root|size group proven on Sleephoria +1.5 (cooling sheets|Full: CVR 11.7% on 2,803 clicks) · Sleephoria rank +0 · market CVR +0 · competitors +0.5 · Decolure +0</t>
  </si>
  <si>
    <t xml:space="preserve">now #17</t>
  </si>
  <si>
    <t xml:space="preserve">Bedsure PW #3, Love's cabin #8; Ads: Hotel Sheets Direct SP#4, Bambaw SP#5, KRIMANO SP#10, Bedsure PW SP#12</t>
  </si>
  <si>
    <t xml:space="preserve">"cooling sheets full size bed"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</si>
  <si>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(4), now #17.</t>
  </si>
  <si>
    <t xml:space="preserve">SV 529/mo (MKL (DataDive)); launch window ≈ 225/mo.</t>
  </si>
  <si>
    <t xml:space="preserve">Organic top 20: Bedsure PW #3, Love's cabin #8. Advertising: Hotel Sheets Direct SP#4, Bambaw SP#5, KRIMANO SP#10, Bedsure PW SP#12.</t>
  </si>
  <si>
    <t xml:space="preserve">Top-20 is held by bamboo/viscose sets (Bedsure PW, Love's cabin); no synthetic cooling-knit rival ranks here. CooLinens is the only nylon/spandex cooling option on the page at $67.99.</t>
  </si>
  <si>
    <t xml:space="preserve">Batch 1 Halo: relevance 100%, clean wording, 225 searches/mo (≤ 300 → grouped, not its own campaign). Its own data is thin (long-tail), but it is the same syntax that Sleephoria proved (Sleephoria PPC +0 · root|size group proven on Sleephoria +1.5 (cooling sheets|Full: CVR 11.7% on 2,803 clicks) · Sleephoria rank +0 · market CVR +0 · competitors +0.5 · Decolure +0). It rides capped inside the size Halo so the proven syntax covers its long-tail wording; it graduates to its own campaign only if it earns 3+ orders at or below target ACoS.</t>
  </si>
  <si>
    <t xml:space="preserve">soft cooling sheets king</t>
  </si>
  <si>
    <t xml:space="preserve">Sleephoria PPC +0 · root|size group proven on Sleephoria +1.5 (cooling sheets|King: CVR 12.8% on 2,263 clicks) · Sleephoria rank +0 · market CVR +0 · competitors +0 · Decolure +0</t>
  </si>
  <si>
    <t xml:space="preserve">Long-tail ranking support, funded to what its rank needs up to 0.75 clicks/day inside the King Halo; scales when King is assigned to CooLinens or the term earns 3+ orders.</t>
  </si>
  <si>
    <t xml:space="preserve">CLCS4-SP-King-Halo-B1-Exact-Disc-Fix-K-GRAPHITE</t>
  </si>
  <si>
    <t xml:space="preserve">"soft cooling sheets king" asks for a King cooling sheet product that CooLinens sells (BreezeWeave nylon/spandex knit, 16″ pocket, 4-piece set). Relevance 100%: product type ✓, use case ✓, material ✓, intent ✓.</t>
  </si>
  <si>
    <t xml:space="preserve">SV 384/mo (MKL (DataDive)); launch window ≈ 292/mo.</t>
  </si>
  <si>
    <t xml:space="preserve">Batch 1 Halo: relevance 100%, clean wording, 292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</si>
  <si>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sheets king size cooling</t>
  </si>
  <si>
    <t xml:space="preserve">"sheets king size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</si>
  <si>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(11 clicks).</t>
  </si>
  <si>
    <t xml:space="preserve">SV 369/mo (MKL (DataDive)); launch window ≈ 280/mo.</t>
  </si>
  <si>
    <t xml:space="preserve">Batch 1 Halo: relevance 100%, clean wording, 280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</si>
  <si>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sheets for king size bed</t>
  </si>
  <si>
    <t xml:space="preserve">"cooling sheets for king size bed" asks for a King cooling sheet product that CooLinens sells (BreezeWeave nylon/spandex knit, 16″ pocket, 4-piece set). Relevance 100%: product type ✓, use case ✓, material ✓, intent ✓.</t>
  </si>
  <si>
    <t xml:space="preserve">SV 277/mo (MKL (DataDive)); launch window ≈ 211/mo.</t>
  </si>
  <si>
    <t xml:space="preserve">Batch 1 Halo: relevance 100%, clean wording, 211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</si>
  <si>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king sheet</t>
  </si>
  <si>
    <t xml:space="preserve">"cooling king sheet" asks for a King cooling sheet product that CooLinens sells (BreezeWeave nylon/spandex knit, 16″ pocket, 4-piece set). Relevance 100%: product type ✓, use case ✓, material ✓, intent ✓.</t>
  </si>
  <si>
    <t xml:space="preserve">SV 271/mo (MKL (DataDive)); launch window ≈ 206/mo.</t>
  </si>
  <si>
    <t xml:space="preserve">Batch 1 Halo: relevance 100%, clean wording, 206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</si>
  <si>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sheets for king size bed cooling</t>
  </si>
  <si>
    <t xml:space="preserve">"sheets for king size bed cooling" asks for a King cooling sheet product that CooLinens sells (BreezeWeave nylon/spandex knit, 16″ pocket, 4-piece set). Relevance 100%: product type ✓, use case ✓, material ✓, intent ✓.</t>
  </si>
  <si>
    <t xml:space="preserve">SV 241/mo (MKL (DataDive)); launch window ≈ 183/mo.</t>
  </si>
  <si>
    <t xml:space="preserve">Batch 1 Halo: relevance 100%, clean wording, 183 searches/mo (≤ 300 → grouped, not its own campaign). Its own data is thin (long-tail), but it is the same syntax that Sleephoria proved (Sleephoria PPC +0 · root|size group proven on Sleephoria +1.5 (cooling sheets|King: CVR 12.8% on 2,263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</si>
  <si>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cooling sheets twin size</t>
  </si>
  <si>
    <t xml:space="preserve">Sleephoria PPC +0 · root|size group proven on Sleephoria +1.5 (cooling sheets|Twin: CVR 11.7% on 865 clicks) · Sleephoria rank +0 · market CVR +0 · competitors +0 · Decolure +0</t>
  </si>
  <si>
    <t xml:space="preserve">Long-tail ranking support, funded to what its rank needs up to 0.75 clicks/day inside the Twin Halo; scales when Twin is assigned to CooLinens or the term earns 3+ orders.</t>
  </si>
  <si>
    <t xml:space="preserve">Twin · Cooling sheets</t>
  </si>
  <si>
    <t xml:space="preserve">"cooling sheets twin size"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</si>
  <si>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(2).</t>
  </si>
  <si>
    <t xml:space="preserve">SV 392/mo (MKL (DataDive)); launch window ≈ 298/mo.</t>
  </si>
  <si>
    <t xml:space="preserve">Batch 1 Halo: relevance 100%, clean wording, 298 searches/mo (≤ 300 → grouped, not its own campaign). Its own data is thin (long-tail), but it is the same syntax that Sleephoria proved (Sleephoria PPC +0 · root|size group proven on Sleephoria +1.5 (cooling sheets|Twin: CVR 11.7% on 865 clicks) · Sleephoria rank +0 · market CVR +0 · competitors +0 · Decolure +0). It rides capped inside the size Halo so the proven syntax covers its long-tail wording; it graduates to its own campaign only if it earns 3+ orders at or below target ACoS.</t>
  </si>
  <si>
    <t xml:space="preserve">twin sheets set cooling</t>
  </si>
  <si>
    <t xml:space="preserve">Sleephoria PPC +0 · Sleephoria rank +2 · market CVR +2 · competitors +0 · Decolure +0</t>
  </si>
  <si>
    <t xml:space="preserve">best #4 (2026-09-21) · PPC-period median #17</t>
  </si>
  <si>
    <t xml:space="preserve">cooling sheet set|Twin</t>
  </si>
  <si>
    <t xml:space="preserve">Twin · Sheet set</t>
  </si>
  <si>
    <t xml:space="preserve">"twin sheets set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</si>
  <si>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#4 (2026-09-21), first top-10 2026-08-06.</t>
  </si>
  <si>
    <t xml:space="preserve">SV 248/mo (MKL (DataDive)); launch window ≈ 267/mo; SQP 12-mo 1,729 searches, peak 2026-05, Oct at 0.96× its avg; market CVR 7.0% (head term 1.5%).</t>
  </si>
  <si>
    <t xml:space="preserve">Batch 1 Halo: relevance 100% ≥ 90%, clean wording, 267 searches/mo (≤ 300, so grouped rather than its own campaign), and one of the 6 best-evidenced long-tails of its size (score 4.0/12 = Sleephoria PPC +0 · Sleephoria rank +2 · market CVR +2 · competitors +0 · Decolure +0).</t>
  </si>
  <si>
    <t xml:space="preserve">cooling bed sheets twin</t>
  </si>
  <si>
    <t xml:space="preserve">Sleephoria PPC +0 · Sleephoria rank +2 · market CVR +1.5 · competitors +0.5 · Decolure +0</t>
  </si>
  <si>
    <t xml:space="preserve">now #40</t>
  </si>
  <si>
    <t xml:space="preserve">best #1 (2026-08-06) · PPC-period median #4 · now #4</t>
  </si>
  <si>
    <t xml:space="preserve">#18 Elegear</t>
  </si>
  <si>
    <t xml:space="preserve">Elegear #18, Bambaw #19; Ads: Bambaw SP#2, Love's cabin SP#5, REST SP#11, Breescape SP#15</t>
  </si>
  <si>
    <t xml:space="preserve">cooling bed sheets|Twin</t>
  </si>
  <si>
    <t xml:space="preserve">Twin · Bed sheets</t>
  </si>
  <si>
    <t xml:space="preserve">"cooling bed sheets twin"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</si>
  <si>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(2); organic best #1 (2026-08-06), first top-10 2025-10-12, now #4.</t>
  </si>
  <si>
    <t xml:space="preserve">SV 501/mo (MKL (DataDive)); launch window ≈ 246/mo; SQP 12-mo 6,934 searches, peak 2026-06, Oct at 0.70× its avg; market CVR 3.3% (head term 1.5%).</t>
  </si>
  <si>
    <t xml:space="preserve">Organic top 20: Elegear #18, Bambaw #19. Advertising: Bambaw SP#2, Love's cabin SP#5, REST SP#11, Breescape SP#15. Rival ad share 70%.</t>
  </si>
  <si>
    <t xml:space="preserve">Direct cooling-tech rivals rank here (Elegear), priced $89.99–$224 vs CooLinens $62.99; bamboo sets hold the rest. Price and fabric are the wedge.</t>
  </si>
  <si>
    <t xml:space="preserve">Batch 1 Halo: relevance 100% ≥ 90%, clean wording, 246 searches/mo (≤ 300, so grouped rather than its own campaign), and one of the 6 best-evidenced long-tails of its size (score 4.0/12 = Sleephoria PPC +0 · Sleephoria rank +2 · market CVR +1.5 · competitors +0.5 · Decolure +0).</t>
  </si>
  <si>
    <t xml:space="preserve">twin size cooling sheets</t>
  </si>
  <si>
    <t xml:space="preserve">Sleephoria PPC +3 · Sleephoria rank +2 · market CVR +2 · competitors +0 · Decolure +0</t>
  </si>
  <si>
    <t xml:space="preserve">best #1 (2026-08-01) · PPC-period median #5</t>
  </si>
  <si>
    <t xml:space="preserve">Sleephoria term CVR 11.1% on 54 clicks ×0.8 launch</t>
  </si>
  <si>
    <t xml:space="preserve">Sleephoria CPC on this exact term (54 clicks)</t>
  </si>
  <si>
    <t xml:space="preserve">"twin size cooling sheets"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</si>
  <si>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converts on the same product but costly (54 clicks, CVR 11.1%, ACoS 45%); organic best #1 (2026-08-01), first top-10 2026-07-17.</t>
  </si>
  <si>
    <t xml:space="preserve">SV 319/mo (MKL (DataDive)); launch window ≈ 240/mo; SQP 12-mo 4,903 searches, peak 2026-07, Oct at 0.61× its avg; market CVR 5.1% (head term 1.5%).</t>
  </si>
  <si>
    <t xml:space="preserve">Batch 1 Halo: relevance 100% ≥ 90%, clean wording, 240 searches/mo (≤ 300, so grouped rather than its own campaign), and one of the 6 best-evidenced long-tails of its size (score 7.0/12 = Sleephoria PPC +3 · Sleephoria rank +2 · market CVR +2 · competitors +0 · Decolure +0).</t>
  </si>
  <si>
    <t xml:space="preserve">black cooling sheets</t>
  </si>
  <si>
    <t xml:space="preserve">≥ 29 Oct 2026 (gated)</t>
  </si>
  <si>
    <t xml:space="preserve">HOLD for Batch 2 (≥29 Oct, gated)</t>
  </si>
  <si>
    <t xml:space="preserve">Sleephoria PPC +1 · Sleephoria rank +2 · market CVR +2 · competitors +0.5 · Decolure +0</t>
  </si>
  <si>
    <t xml:space="preserve">best #8 (2026-09-26) · PPC-period median #40 · now #30</t>
  </si>
  <si>
    <t xml:space="preserve">#7 Love's cabin</t>
  </si>
  <si>
    <t xml:space="preserve">Love's cabin #7, Bedsure PW #15; Ads: KRIMANO SP#3, KARISSA MAE SP#4, Love's cabin SP#10, Pure Bamboo SP#15</t>
  </si>
  <si>
    <t xml:space="preserve">Sleephoria CPC on this exact term (48 clicks)</t>
  </si>
  <si>
    <t xml:space="preserve">CLCS4-SP-black cooling sheets-MSV-Exact-Rank-Fix-Q-MIDNIGHT-BLACK</t>
  </si>
  <si>
    <t xml:space="preserve">"black cooling sheets"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</si>
  <si>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(23 clicks).</t>
  </si>
  <si>
    <t xml:space="preserve">Sleephoria (same product and price — strongest evidence): middling (48 clicks, CVR 6.2%); organic best #8 (2026-09-26), first top-10 2026-09-26, now #30.</t>
  </si>
  <si>
    <t xml:space="preserve">SV 924/mo (MKL (DataDive)); launch window ≈ 843/mo; SQP 12-mo 9,247 searches, peak 2026-07, Oct at 1.17× its avg; market CVR 5.5% (head term 1.5%).</t>
  </si>
  <si>
    <t xml:space="preserve">Organic top 20: Love's cabin #7, Bedsure PW #15. Advertising: KRIMANO SP#3, KARISSA MAE SP#4, Love's cabin SP#10, Pure Bamboo SP#15. Rival ad share 62%.</t>
  </si>
  <si>
    <t xml:space="preserve">Not on day 1: evidence is real but weaker than Batch 1. Opens from 29 Oct once the Batch 1 gates pass (Queen Graphite CVR ≥ 7% on 100+ clicks, rank moving), so the budget follows proof.</t>
  </si>
  <si>
    <t xml:space="preserve">Batch 2 because confidence is Medium (5.5/12 = Sleephoria PPC +1 · Sleephoria rank +2 · market CVR +2 · competitors +0.5 · Decolure +0) — below the High bar for day 1.</t>
  </si>
  <si>
    <t xml:space="preserve">cold sheets for hot sleepers</t>
  </si>
  <si>
    <t xml:space="preserve">Sleephoria PPC +1 · Sleephoria rank +2 · market CVR +0.5 · competitors +1 · Decolure +0</t>
  </si>
  <si>
    <t xml:space="preserve">now #74</t>
  </si>
  <si>
    <t xml:space="preserve">best #2 (2025-10-20) · PPC-period median #15 · now #5</t>
  </si>
  <si>
    <t xml:space="preserve">Bedsure PW #1, Love's cabin #8, Breescape #9, REST #19; Ads: California Design Den SP#1, BEDELITE SP#5, KRIMANO SP#6, Bambaw SP#6</t>
  </si>
  <si>
    <t xml:space="preserve">Sleephoria term CVR 7.8% on 103 clicks ×0.8 launch</t>
  </si>
  <si>
    <t xml:space="preserve">Ranking support: relevant no-size wording with thinner evidence (4.5/12). Funded to what its own rank requires, no placement premium; its sales add velocity to the Queen hero terms.</t>
  </si>
  <si>
    <t xml:space="preserve">Sleephoria CPC on this exact term (103 clicks)</t>
  </si>
  <si>
    <t xml:space="preserve">cold sheets|no size</t>
  </si>
  <si>
    <t xml:space="preserve">CLCS4-SP-cold sheets for hot sleepers-MSV-Exact-Rank-Fix-Q-GRAPHITE</t>
  </si>
  <si>
    <t xml:space="preserve">"cold sheets for hot sleepers"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</si>
  <si>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(103 clicks, CVR 7.8%); organic best #2 (2025-10-20), first top-10 2025-10-15, now #5.</t>
  </si>
  <si>
    <t xml:space="preserve">SV 822/mo (MKL (DataDive)); launch window ≈ 752/mo; SQP 12-mo 13,485 searches, peak 2026-07, Oct at 0.70× its avg; market CVR 1.8% (head term 1.5%).</t>
  </si>
  <si>
    <t xml:space="preserve">Organic top 20: Bedsure PW #1, Love's cabin #8, Breescape #9, REST #19. Advertising: California Design Den SP#1, BEDELITE SP#5, KRIMANO SP#6, Bambaw SP#6. Rival ad share 50%.</t>
  </si>
  <si>
    <t xml:space="preserve">Direct cooling-tech rivals rank here (Breescape, REST), priced $89.99–$224 vs CooLinens $79.99; bamboo sets hold the rest. Price and fabric are the wedge.</t>
  </si>
  <si>
    <t xml:space="preserve">Batch 2 because confidence is Medium (4.5/12 = Sleephoria PPC +1 · Sleephoria rank +2 · market CVR +0.5 · competitors +1 · Decolure +0) — below the High bar for day 1.</t>
  </si>
  <si>
    <t xml:space="preserve">cold bed sheets</t>
  </si>
  <si>
    <t xml:space="preserve">now #80</t>
  </si>
  <si>
    <t xml:space="preserve">best #1 (2025-10-22) · PPC-period median #7 · now #10</t>
  </si>
  <si>
    <t xml:space="preserve">Bedsure PW #1, Bambaw #7, Love's cabin #9, Breescape #17, Pure Bamboo #20; Ads: Bambaw SP#5, REST SP#10, Hotel Sheets Direct SP#10, Pure Bamboo SP#12</t>
  </si>
  <si>
    <t xml:space="preserve">Sleephoria CPC on this exact term (37 clicks)</t>
  </si>
  <si>
    <t xml:space="preserve">CLCS4-SP-cold bed sheets-MSV-Exact-Rank-Fix-Q-GRAPHITE</t>
  </si>
  <si>
    <t xml:space="preserve">"cold bed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</si>
  <si>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middling (37 clicks, CVR 5.4%); organic best #1 (2025-10-22), first top-10 2025-10-18, now #10.</t>
  </si>
  <si>
    <t xml:space="preserve">SV 924/mo (MKL (DataDive)); launch window ≈ 724/mo; SQP 12-mo 11,856 searches, peak 2026-07, Oct at 0.55× its avg; market CVR 1.7% (head term 1.5%).</t>
  </si>
  <si>
    <t xml:space="preserve">Organic top 20: Bedsure PW #1, Bambaw #7, Love's cabin #9, Breescape #17. Advertising: Bambaw SP#5, REST SP#10, Hotel Sheets Direct SP#10, Pure Bamboo SP#12. Rival ad share 39%.</t>
  </si>
  <si>
    <t xml:space="preserve">white cooling sheets</t>
  </si>
  <si>
    <t xml:space="preserve">Sleephoria PPC +0 · Sleephoria rank +2 · market CVR +2 · competitors +1 · Decolure +0</t>
  </si>
  <si>
    <t xml:space="preserve">now #46</t>
  </si>
  <si>
    <t xml:space="preserve">best #9 (2025-10-17) · PPC-period median #54 · now #52</t>
  </si>
  <si>
    <t xml:space="preserve">Bedsure PW #2, Pure Bamboo #10, Love's cabin #12, Bambaw #13; Ads: Breescape SP#1, Bambaw SP#8, Love's cabin SP#10, BEDELITE SP#10</t>
  </si>
  <si>
    <t xml:space="preserve">Ranking support: relevant no-size wording with thinner evidence (5.0/12). Funded to what its own rank requires, no placement premium; its sales add velocity to the Queen hero terms.</t>
  </si>
  <si>
    <t xml:space="preserve">CLCS4-SP-white cooling sheets-LSV-Exact-Rank-Fix-Q-WHITE</t>
  </si>
  <si>
    <t xml:space="preserve">CL-COOLING-SHEET-QUEEN-WHITE</t>
  </si>
  <si>
    <t xml:space="preserve">B0H6K5MXPD</t>
  </si>
  <si>
    <t xml:space="preserve">"white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</si>
  <si>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(4); organic best #9 (2025-10-17), first top-10 2025-10-17, now #52.</t>
  </si>
  <si>
    <t xml:space="preserve">SV 644/mo (MKL (DataDive)); launch window ≈ 467/mo; market CVR 5.2% (head term 1.5%).</t>
  </si>
  <si>
    <t xml:space="preserve">Organic top 20: Bedsure PW #2, Pure Bamboo #10, Love's cabin #12, Bambaw #13. Advertising: Breescape SP#1, Bambaw SP#8, Love's cabin SP#10, BEDELITE SP#10. Rival ad share 52%.</t>
  </si>
  <si>
    <t xml:space="preserve">Top-20 is held by bamboo/viscose sets (Bedsure PW, Pure Bamboo, Love's cabin);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</si>
  <si>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+2 · competitors +1 · Decolure +0) — below the High bar for day 1.</t>
  </si>
  <si>
    <t xml:space="preserve">best cooling sheets for hot sleepers</t>
  </si>
  <si>
    <t xml:space="preserve">now #91</t>
  </si>
  <si>
    <t xml:space="preserve">best #6 (2026-09-19) · PPC-period median #33 · now #19</t>
  </si>
  <si>
    <t xml:space="preserve">Bedsure PW #1, Love's cabin #2, Pure Bamboo #7, Pillcase #18, Bedsure PW Cooling #20; Ads: KARISSA MAE SP#2, BEDELITE SP#6, Breescape SP#7, California Design Den SP#8</t>
  </si>
  <si>
    <t xml:space="preserve">Sleephoria CPC on this exact term (44 clicks)</t>
  </si>
  <si>
    <t xml:space="preserve">CLCS4-SP-best cooling sheets for hot sleepers-LSV-Exact-Rank-Fix-Q-GRAPHITE</t>
  </si>
  <si>
    <t xml:space="preserve">"best cooling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</si>
  <si>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Decolure ($38 microfiber — adjacent, lower weight): small sample (18 clicks).</t>
  </si>
  <si>
    <t xml:space="preserve">Sleephoria (same product and price — strongest evidence): positive but small sample (44 clicks, CVR 11.4%); organic best #6 (2026-09-19), first top-10 2026-08-25, now #19.</t>
  </si>
  <si>
    <t xml:space="preserve">SV 575/mo (MKL (DataDive)); launch window ≈ 376/mo; SQP 12-mo 7,542 searches, peak 2026-07, Oct at 0.26× its avg; market CVR 1.3% (head term 1.5%).</t>
  </si>
  <si>
    <t xml:space="preserve">Organic top 20: Bedsure PW #1, Love's cabin #2, Pure Bamboo #7, Pillcase #18. Advertising: KARISSA MAE SP#2, BEDELITE SP#6, Breescape SP#7, California Design Den SP#8. Rival ad share 38%.</t>
  </si>
  <si>
    <t xml:space="preserve">Batch 2 because confidence is Medium (5.5/12 = Sleephoria PPC +2 · Sleephoria rank +2 · market CVR +0.5 · competitors +1 · Decolure +0) — below the High bar for day 1.</t>
  </si>
  <si>
    <t xml:space="preserve">queen sheet set cooling</t>
  </si>
  <si>
    <t xml:space="preserve">Sleephoria PPC +0 · Sleephoria rank +2 · market CVR +2 · competitors +1 · Decolure +0.5</t>
  </si>
  <si>
    <t xml:space="preserve">now #81</t>
  </si>
  <si>
    <t xml:space="preserve">best #9 (2026-10-01) · PPC-period median #43 · now #30</t>
  </si>
  <si>
    <t xml:space="preserve">Love's cabin #5, Bedsure PW #10, Pure Bamboo #20; Ads: Pure Bamboo SP#1, BC Bella Coterie SP#3, Bedsure PW Cooling SP#6, TRUE BAMBOO SP#8</t>
  </si>
  <si>
    <t xml:space="preserve">Ranking support: relevant Queen wording with thinner evidence (5.5/12). Funded to what its own rank requires, no placement premium; its sales add velocity to the Queen hero terms.</t>
  </si>
  <si>
    <t xml:space="preserve">cooling sheet set|Queen</t>
  </si>
  <si>
    <t xml:space="preserve">CLCS4-SP-queen sheet set cooling-HSV-Exact-Rank-Fix-Q-GRAPHITE</t>
  </si>
  <si>
    <t xml:space="preserve">"queen sheet set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</si>
  <si>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(33 clicks, CVR 21.2%, ACoS 52%).</t>
  </si>
  <si>
    <t xml:space="preserve">Sleephoria (same product and price — strongest evidence): too few clicks to read (8); organic best #9 (2026-10-01), first top-10 2026-10-01, now #30.</t>
  </si>
  <si>
    <t xml:space="preserve">SV 1,023/mo (MKL (DataDive)); launch window ≈ 1,434/mo; SQP 12-mo 15,465 searches, peak 2026-07, Oct at 0.95× its avg; market CVR 4.4% (head term 1.5%).</t>
  </si>
  <si>
    <t xml:space="preserve">Organic top 20: Love's cabin #5, Bedsure PW #10, Pure Bamboo #20. Advertising: Pure Bamboo SP#1, BC Bella Coterie SP#3, Bedsure PW Cooling SP#6, TRUE BAMBOO SP#8. Rival ad share 53%.</t>
  </si>
  <si>
    <t xml:space="preserve">Top-20 is held by bamboo/viscose sets (Love's cabin, Bedsure PW, Pure Bamboo); no synthetic cooling-knit rival ranks here. CooLinens is the only nylon/spandex cooling option on the page at $79.99 — Sleephoria proved the knit ranks here.</t>
  </si>
  <si>
    <t xml:space="preserve">Batch 2 because confidence is Medium (5.5/12 = Sleephoria PPC +0 · Sleephoria rank +2 · market CVR +2 · competitors +1 · Decolure +0.5) — below the High bar for day 1.</t>
  </si>
  <si>
    <t xml:space="preserve">queen cooling sheet set</t>
  </si>
  <si>
    <t xml:space="preserve">best #8 (2025-10-22) · PPC-period median #31 · now #47</t>
  </si>
  <si>
    <t xml:space="preserve">Bedsure PW #4, Love's cabin #5, Bambaw #18; Ads: California Design Den SP#4, Bedsure PW Cooling SP#5, Bambaw SP#6, Breescape SP#8</t>
  </si>
  <si>
    <t xml:space="preserve">Ranking support: relevant Queen wording with thinner evidence (5.0/12). Funded to what its own rank requires, no placement premium; its sales add velocity to the Queen hero terms.</t>
  </si>
  <si>
    <t xml:space="preserve">CLCS4-SP-queen cooling sheet set-MSV-Exact-Rank-Fix-Q-GRAPHITE</t>
  </si>
  <si>
    <t xml:space="preserve">"queen cooling sheet set"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</si>
  <si>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#8 (2025-10-22), first top-10 2025-10-19, now #47.</t>
  </si>
  <si>
    <t xml:space="preserve">SV 766/mo (MKL (DataDive)); launch window ≈ 696/mo; SQP 12-mo 15,097 searches, peak 2026-06, Oct at 1.19× its avg; market CVR 4.0% (head term 1.5%).</t>
  </si>
  <si>
    <t xml:space="preserve">Organic top 20: Bedsure PW #4, Love's cabin #5, Bambaw #18. Advertising: California Design Den SP#4, Bedsure PW Cooling SP#5, Bambaw SP#6, Breescape SP#8. Rival ad share 50%.</t>
  </si>
  <si>
    <t xml:space="preserve">cooling deep pocket queen sheets</t>
  </si>
  <si>
    <t xml:space="preserve">Sleephoria PPC +1 · Sleephoria rank +2 · market CVR +1.5 · competitors +0.5 · Decolure +0.5</t>
  </si>
  <si>
    <t xml:space="preserve">now #94</t>
  </si>
  <si>
    <t xml:space="preserve">best #8 (2026-09-23) · PPC-period median #62 · now #124</t>
  </si>
  <si>
    <t xml:space="preserve">#4 SONORO KATE</t>
  </si>
  <si>
    <t xml:space="preserve">SONORO KATE #4, Love's cabin #15; Ads: Love's cabin SP#2, BEDELITE SP#8, Bedsure PW SP#8, BC Bella Coterie SP#8</t>
  </si>
  <si>
    <t xml:space="preserve">Sleephoria CPC on this exact term (34 clicks)</t>
  </si>
  <si>
    <t xml:space="preserve">deep pocket cooling sheets|Queen</t>
  </si>
  <si>
    <t xml:space="preserve">CLCS4-SP-cooling deep pocket queen sheets-MSV-Exact-Rank-Fix-Q-GRAPHITE</t>
  </si>
  <si>
    <t xml:space="preserve">"cooling deep pocket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</si>
  <si>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(37 clicks, CVR 13.5%, ACoS 58%).</t>
  </si>
  <si>
    <t xml:space="preserve">Sleephoria (same product and price — strongest evidence): middling (34 clicks, CVR 5.9%); organic best #8 (2026-09-23), first top-10 2026-09-23, now #124.</t>
  </si>
  <si>
    <t xml:space="preserve">SV 766/mo (MKL (DataDive)); launch window ≈ 664/mo; SQP 12-mo 8,228 searches, peak 2026-07, Oct at 1.02× its avg; market CVR 3.4% (head term 1.5%).</t>
  </si>
  <si>
    <t xml:space="preserve">Organic top 20: SONORO KATE #4, Love's cabin #15. Advertising: Love's cabin SP#2, BEDELITE SP#8, Bedsure PW SP#8, BC Bella Coterie SP#8. Rival ad share 57%.</t>
  </si>
  <si>
    <t xml:space="preserve">Top-20 is held by bamboo/viscose sets (SONORO KATE, Love's cabin); no synthetic cooling-knit rival ranks here. CooLinens is the only nylon/spandex cooling option on the page at $79.99 — Sleephoria proved the knit ranks here.</t>
  </si>
  <si>
    <t xml:space="preserve">Batch 2 because confidence is Medium (5.5/12 = Sleephoria PPC +1 · Sleephoria rank +2 · market CVR +1.5 · competitors +0.5 · Decolure +0.5) — below the High bar for day 1.</t>
  </si>
  <si>
    <t xml:space="preserve">queen sheet set cooling sheets</t>
  </si>
  <si>
    <t xml:space="preserve">best #9 (2025-10-20) · PPC-period median #54 · now #72</t>
  </si>
  <si>
    <t xml:space="preserve">Bedsure PW #4, Love's cabin #6, SONORO KATE #7; Ads: Bambaw SP#1, California Design Den SP#4, KRIMANO SP#5, Bedsure PW SP#8</t>
  </si>
  <si>
    <t xml:space="preserve">CLCS4-SP-queen sheet set cooling sheets-MSV-Exact-Rank-Fix-Q-GRAPHITE</t>
  </si>
  <si>
    <t xml:space="preserve">"queen sheet set cooling sheets"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</si>
  <si>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(2); organic best #9 (2025-10-20), first top-10 2025-10-20, now #72.</t>
  </si>
  <si>
    <t xml:space="preserve">SV 1,213/mo (MKL (DataDive)); launch window ≈ 615/mo; SQP 12-mo 21,098 searches, peak 2025-10, Oct at 1.46× its avg; Mar-24→Mar-26 ×0.27; market CVR 5.0% (head term 1.5%).</t>
  </si>
  <si>
    <t xml:space="preserve">Organic top 20: Bedsure PW #4, Love's cabin #6, SONORO KATE #7. Advertising: Bambaw SP#1, California Design Den SP#4, KRIMANO SP#5, Bedsure PW SP#8. Rival ad share 58%.</t>
  </si>
  <si>
    <t xml:space="preserve">Top-20 is held by bamboo/viscose sets (Bedsure PW, Love's cabin, SONORO KATE); no synthetic cooling-knit rival ranks here. CooLinens is the only nylon/spandex cooling option on the page at $79.99 — Sleephoria proved the knit ranks here.</t>
  </si>
  <si>
    <t xml:space="preserve">cooling sheet set queen</t>
  </si>
  <si>
    <t xml:space="preserve">now #130</t>
  </si>
  <si>
    <t xml:space="preserve">best #4 (2026-02-18) · PPC-period median #28 · now #35</t>
  </si>
  <si>
    <t xml:space="preserve">Bedsure PW #4, Love's cabin #5, KRIMANO #11, Bambaw #13; Ads: REST SP#1, KRIMANO SP#1, BC Bella Coterie SP#2, California Design Den SP#3</t>
  </si>
  <si>
    <t xml:space="preserve">Ranking support: relevant Queen wording with thinner evidence (4.0/12). Funded to what its own rank requires, no placement premium; its sales add velocity to the Queen hero terms.</t>
  </si>
  <si>
    <t xml:space="preserve">CLCS4-SP-cooling sheet set queen-LSV-Exact-Rank-Fix-Q-GRAPHITE</t>
  </si>
  <si>
    <t xml:space="preserve">"cooling sheet set queen"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</si>
  <si>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#4 (2026-02-18), first top-10 2025-12-18, now #35.</t>
  </si>
  <si>
    <t xml:space="preserve">SV 766/mo (MKL (DataDive)); launch window ≈ 496/mo; SQP 12-mo 11,237 searches, peak 2026-06; market CVR 2.6% (head term 1.5%).</t>
  </si>
  <si>
    <t xml:space="preserve">Organic top 20: Bedsure PW #4, Love's cabin #5, KRIMANO #11, Bambaw #13. Advertising: REST SP#1, KRIMANO SP#1, BC Bella Coterie SP#2, California Design Den SP#3. Rival ad share 53%.</t>
  </si>
  <si>
    <t xml:space="preserve">Top-20 is held by bamboo/viscose sets (Bedsure PW, Love's cabin, KRIMANO);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</si>
  <si>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 · competitors +1 · Decolure +0) — below the High bar for day 1.</t>
  </si>
  <si>
    <t xml:space="preserve">bed sheets queen size cooling</t>
  </si>
  <si>
    <t xml:space="preserve">now #139</t>
  </si>
  <si>
    <t xml:space="preserve">best #5 (2025-10-14) · PPC-period median #36 · now #44</t>
  </si>
  <si>
    <t xml:space="preserve">Bedsure PW #4, Love's cabin #5, Bambaw #16, TRUE BAMBOO #19, KRIMANO #20; Ads: SONORO KATE SP#3, BC Bella Coterie SP#11, Hotel Sheets Direct SP#12, Bedsure PW SP#12</t>
  </si>
  <si>
    <t xml:space="preserve">CLCS4-SP-bed sheets queen size cooling-LSV-Exact-Rank-Fix-Q-GRAPHITE</t>
  </si>
  <si>
    <t xml:space="preserve">"bed sheets queen size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</si>
  <si>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(7); organic best #5 (2025-10-14), first top-10 2025-10-13, now #44.</t>
  </si>
  <si>
    <t xml:space="preserve">SV 697/mo (MKL (DataDive)); launch window ≈ 485/mo; SQP 12-mo 10,094 searches, peak 2026-08, Oct at 1.12× its avg; market CVR 4.2% (head term 1.5%).</t>
  </si>
  <si>
    <t xml:space="preserve">Organic top 20: Bedsure PW #4, Love's cabin #5, Bambaw #16, TRUE BAMBOO #19. Advertising: SONORO KATE SP#3, BC Bella Coterie SP#11, Hotel Sheets Direct SP#12, Bedsure PW SP#12. Rival ad share 57%.</t>
  </si>
  <si>
    <t xml:space="preserve">cooling queen sheet set</t>
  </si>
  <si>
    <t xml:space="preserve">Sleephoria PPC +0 · Sleephoria rank +2 · market CVR +1.5 · competitors +1 · Decolure +0.5</t>
  </si>
  <si>
    <t xml:space="preserve">now #95</t>
  </si>
  <si>
    <t xml:space="preserve">best #4 (2026-03-22) · PPC-period median #33 · now #56</t>
  </si>
  <si>
    <t xml:space="preserve">Love's cabin #1, Bedsure PW #7, KRIMANO #17; Ads: Pure Bamboo SP#1, KARISSA MAE SP#2, Love's cabin SP#3, Hotel Sheets Direct SP#5</t>
  </si>
  <si>
    <t xml:space="preserve">CLCS4-SP-cooling queen sheet set-LSV-Exact-Rank-Fix-Q-GRAPHITE</t>
  </si>
  <si>
    <t xml:space="preserve">"cooling queen sheet set"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</si>
  <si>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converted but costly at the $38 tier (40 clicks, CVR 5.0%, ACoS 84%).</t>
  </si>
  <si>
    <t xml:space="preserve">Sleephoria (same product and price — strongest evidence): too few clicks to read (1); organic best #4 (2026-03-22), first top-10 2025-12-17, now #56.</t>
  </si>
  <si>
    <t xml:space="preserve">SV 1,023/mo (MKL (DataDive)); launch window ≈ 474/mo; SQP 12-mo 34,963 searches, peak 2026-07, Oct at 1.15× its avg; Mar-24→Mar-26 ×1.25; market CVR 3.7% (head term 1.5%).</t>
  </si>
  <si>
    <t xml:space="preserve">Organic top 20: Love's cabin #1, Bedsure PW #7, KRIMANO #17. Advertising: Pure Bamboo SP#1, KARISSA MAE SP#2, Love's cabin SP#3, Hotel Sheets Direct SP#5. Rival ad share 51%.</t>
  </si>
  <si>
    <t xml:space="preserve">Top-20 is held by bamboo/viscose sets (Love's cabin, Bedsure PW, KRIMANO); no synthetic cooling-knit rival ranks here. CooLinens is the only nylon/spandex cooling option on the page at $79.99 — Sleephoria proved the knit ranks here.</t>
  </si>
  <si>
    <t xml:space="preserve">Batch 2 because confidence is Medium (5.0/12 = Sleephoria PPC +0 · Sleephoria rank +2 · market CVR +1.5 · competitors +1 · Decolure +0.5) — below the High bar for day 1.</t>
  </si>
  <si>
    <t xml:space="preserve">cooling sheets queen deep pockets</t>
  </si>
  <si>
    <t xml:space="preserve">Sleephoria PPC +0 · Sleephoria rank +2 · market CVR +1.5 · competitors +1 · Decolure -0.5</t>
  </si>
  <si>
    <t xml:space="preserve">now #119</t>
  </si>
  <si>
    <t xml:space="preserve">best #6 (2025-10-19) · PPC-period median #36 · now #53</t>
  </si>
  <si>
    <t xml:space="preserve">SONORO KATE #4, Bedsure PW #8, Love's cabin #17; Ads: Pure Bamboo SP#1, California Design Den SP#2, REST SP#2, TRUE BAMBOO SP#6</t>
  </si>
  <si>
    <t xml:space="preserve">CLCS4-SP-cooling sheets queen deep pockets-LSV-Exact-Rank-Fix-Q-GRAPHITE</t>
  </si>
  <si>
    <t xml:space="preserve">"cooling sheets queen deep pockets"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</si>
  <si>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weak at the $38 tier (32 clicks, CVR 0.0%).</t>
  </si>
  <si>
    <t xml:space="preserve">Sleephoria (same product and price — strongest evidence): too few clicks to read (3); organic best #6 (2025-10-19), first top-10 2025-10-15, now #53.</t>
  </si>
  <si>
    <t xml:space="preserve">SV 695/mo (MKL (DataDive)); launch window ≈ 467/mo; SQP 12-mo 13,768 searches, peak 2026-06, Oct at 0.58× its avg; market CVR 3.5% (head term 1.5%).</t>
  </si>
  <si>
    <t xml:space="preserve">Organic top 20: SONORO KATE #4, Bedsure PW #8, Love's cabin #17. Advertising: Pure Bamboo SP#1, California Design Den SP#2, REST SP#2, TRUE BAMBOO SP#6. Rival ad share 56%.</t>
  </si>
  <si>
    <t xml:space="preserve">Top-20 is held by bamboo/viscose sets (SONORO KATE, Bedsure PW, Love's cabin);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</si>
  <si>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+1.5 · competitors +1 · Decolure -0.5) — below the High bar for day 1.</t>
  </si>
  <si>
    <t xml:space="preserve">deep pocket cooling queen sheets</t>
  </si>
  <si>
    <t xml:space="preserve">now #87</t>
  </si>
  <si>
    <t xml:space="preserve">best #10 (2026-09-24) · PPC-period median #47 · now #56</t>
  </si>
  <si>
    <t xml:space="preserve">#3 SONORO KATE</t>
  </si>
  <si>
    <t xml:space="preserve">SONORO KATE #3, Love's cabin #8, Bedsure PW #9, Bambaw #19; Ads: Pure Bamboo SP#4, SONORO KATE SP#4, BEDELITE SP#5, TRUE BAMBOO SP#10</t>
  </si>
  <si>
    <t xml:space="preserve">Ranking support: relevant Queen wording with thinner evidence (4.5/12). Funded to what its own rank requires, no placement premium; its sales add velocity to the Queen hero terms.</t>
  </si>
  <si>
    <t xml:space="preserve">CLCS4-SP-deep pocket cooling queen sheets-LSV-Exact-Rank-Fix-Q-GRAPHITE</t>
  </si>
  <si>
    <t xml:space="preserve">"deep pocket cooling queen sheets"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</si>
  <si>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(20 clicks).</t>
  </si>
  <si>
    <t xml:space="preserve">Sleephoria (same product and price — strongest evidence): too few clicks to read (14); organic best #10 (2026-09-24), first top-10 2026-09-24, now #56.</t>
  </si>
  <si>
    <t xml:space="preserve">SV 677/mo (MKL (DataDive)); launch window ≈ 376/mo; SQP 12-mo 11,635 searches, peak 2026-06, Oct at 0.67× its avg; market CVR 3.3% (head term 1.5%).</t>
  </si>
  <si>
    <t xml:space="preserve">Organic top 20: SONORO KATE #3, Love's cabin #8, Bedsure PW #9, Bambaw #19. Advertising: Pure Bamboo SP#4, SONORO KATE SP#4, BEDELITE SP#5, TRUE BAMBOO SP#10. Rival ad share 56%.</t>
  </si>
  <si>
    <t xml:space="preserve">Top-20 is held by bamboo/viscose sets (SONORO KATE, Love's cabin, Bedsure PW); no synthetic cooling-knit rival ranks here. CooLinens is the only nylon/spandex cooling option on the page at $79.99 — Sleephoria proved the knit ranks here.</t>
  </si>
  <si>
    <t xml:space="preserve">Batch 2 because confidence is Medium (4.5/12 = Sleephoria PPC +0 · Sleephoria rank +2 · market CVR +1.5 · competitors +1 · Decolure +0) — below the High bar for day 1.</t>
  </si>
  <si>
    <t xml:space="preserve">queen size bed sheets cooling</t>
  </si>
  <si>
    <t xml:space="preserve">now #136</t>
  </si>
  <si>
    <t xml:space="preserve">best #5 (2025-10-17) · PPC-period median #36 · now #46</t>
  </si>
  <si>
    <t xml:space="preserve">Bedsure PW #3, Love's cabin #4, Bambaw #9; Ads: Bambaw SP#1, BC Bella Coterie SP#4, KARISSA MAE SP#6, Hotel Sheets Direct SP#6</t>
  </si>
  <si>
    <t xml:space="preserve">CLCS4-SP-queen size bed sheets cooling-LSV-Exact-Rank-Fix-Q-GRAPHITE</t>
  </si>
  <si>
    <t xml:space="preserve">"queen size bed sheets cooling" asks for a Queen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</si>
  <si>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(15 clicks).</t>
  </si>
  <si>
    <t xml:space="preserve">Sleephoria (same product and price — strongest evidence): too few clicks to read (1); organic best #5 (2025-10-17), first top-10 2025-10-17, now #46.</t>
  </si>
  <si>
    <t xml:space="preserve">SV 649/mo (MKL (DataDive)); launch window ≈ 365/mo; SQP 12-mo 7,263 searches, peak 2026-07, Oct at 0.60× its avg; market CVR 5.9% (head term 1.5%).</t>
  </si>
  <si>
    <t xml:space="preserve">Organic top 20: Bedsure PW #3, Love's cabin #4, Bambaw #9. Advertising: Bambaw SP#1, BC Bella Coterie SP#4, KARISSA MAE SP#6, Hotel Sheets Direct SP#6. Rival ad share 57%.</t>
  </si>
  <si>
    <t xml:space="preserve">cooling bedsheets queen size</t>
  </si>
  <si>
    <t xml:space="preserve">now #100</t>
  </si>
  <si>
    <t xml:space="preserve">best #3 (2026-09-23) · PPC-period median #30 · now #4</t>
  </si>
  <si>
    <t xml:space="preserve">Bedsure PW #2, Love's cabin #3, Bambaw #8, SONORO KATE #14, Bedsure PW Cooling #17; Ads: OMERAI SP#1, KARISSA MAE SP#2, KRIMANO SP#6, Love's cabin SP#6</t>
  </si>
  <si>
    <t xml:space="preserve">CLCS4-SP-cooling bedsheets queen size-LSV-Exact-Rank-Fix-Q-GRAPHITE</t>
  </si>
  <si>
    <t xml:space="preserve">"cooling bedsheets queen size"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</si>
  <si>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#3 (2026-09-23), first top-10 2026-09-07, now #4.</t>
  </si>
  <si>
    <t xml:space="preserve">SV 659/mo (MKL (DataDive)); launch window ≈ 355/mo; SQP 12-mo 9,279 searches, peak 2026-06, Oct at 0.34× its avg; market CVR 3.6% (head term 1.5%).</t>
  </si>
  <si>
    <t xml:space="preserve">Organic top 20: Bedsure PW #2, Love's cabin #3, Bambaw #8, SONORO KATE #14. Advertising: OMERAI SP#1, KARISSA MAE SP#2, KRIMANO SP#6, Love's cabin SP#6. Rival ad share 42%.</t>
  </si>
  <si>
    <t xml:space="preserve">queen sheets deep pocket cooling</t>
  </si>
  <si>
    <t xml:space="preserve">Sleephoria PPC +0 · Sleephoria rank +1.5 · market CVR +2 · competitors +1 · Decolure +0</t>
  </si>
  <si>
    <t xml:space="preserve">now #128</t>
  </si>
  <si>
    <t xml:space="preserve">best #16 (2025-10-26) · PPC-period median #65 · now #105</t>
  </si>
  <si>
    <t xml:space="preserve">SONORO KATE #4, Love's cabin #13, Bedsure PW #16; Ads: Hotel Sheets Direct SP#6, BEDELITE SP#6, TRUE BAMBOO SP#11, Bambaw SP#12</t>
  </si>
  <si>
    <t xml:space="preserve">CLCS4-SP-queen sheets deep pocket cooling-LSV-Exact-Rank-Fix-Q-GRAPHITE</t>
  </si>
  <si>
    <t xml:space="preserve">"queen sheets deep pocket cooling" asks for a Queen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</si>
  <si>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#16 (2025-10-26), now #105.</t>
  </si>
  <si>
    <t xml:space="preserve">SV 616/mo (MKL (DataDive)); launch window ≈ 337/mo; market CVR 5.1% (head term 1.5%).</t>
  </si>
  <si>
    <t xml:space="preserve">Organic top 20: SONORO KATE #4, Love's cabin #13, Bedsure PW #16. Advertising: Hotel Sheets Direct SP#6, BEDELITE SP#6, TRUE BAMBOO SP#11, Bambaw SP#12. Rival ad share 52%.</t>
  </si>
  <si>
    <t xml:space="preserve">Batch 2 because confidence is Medium (4.5/12 = Sleephoria PPC +0 · Sleephoria rank +1.5 · market CVR +2 · competitors +1 · Decolure +0) — below the High bar for day 1.</t>
  </si>
  <si>
    <t xml:space="preserve">cool sheets</t>
  </si>
  <si>
    <t xml:space="preserve">best #1 (2025-10-20) · PPC-period median #13 · now #13</t>
  </si>
  <si>
    <t xml:space="preserve">Bedsure PW #1, Love's cabin #4, Pure Bamboo #13, Bambaw #14, Breescape #17; Ads: BC Bella Coterie SP#4, Breescape SP#5, REST SP#7, Pillcase SP#8</t>
  </si>
  <si>
    <t xml:space="preserve">CLCS4-SP-cool sheets-HSV-Exact-Disc-Fix-Q-GRAPHITE</t>
  </si>
  <si>
    <t xml:space="preserve">"cool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</si>
  <si>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(9); organic best #1 (2025-10-20), first top-10 2025-10-12, now #13.</t>
  </si>
  <si>
    <t xml:space="preserve">SV 2,203/mo (MKL (DataDive)); launch window ≈ 1,771/mo; SQP 12-mo 28,982 searches, peak 2026-07, Oct at 0.91× its avg; Mar-24→Mar-26 ×0.98; market CVR 2.1% (head term 1.5%).</t>
  </si>
  <si>
    <t xml:space="preserve">Organic top 20: Bedsure PW #1, Love's cabin #4, Pure Bamboo #13, Bambaw #14. Advertising: BC Bella Coterie SP#4, Breescape SP#5, REST SP#7, Pillcase SP#8. Rival ad share 41%.</t>
  </si>
  <si>
    <t xml:space="preserve">best cooling sheets</t>
  </si>
  <si>
    <t xml:space="preserve">now #140</t>
  </si>
  <si>
    <t xml:space="preserve">best #4 (2026-03-15) · PPC-period median #23 · now #34</t>
  </si>
  <si>
    <t xml:space="preserve">Bedsure PW #1, Love's cabin #2, Pure Bamboo #8, Pillcase #9, Bambaw #12; Ads: REST SP#3, Bedsure PW SP#3, Bambaw SP#6, KARISSA MAE SP#7</t>
  </si>
  <si>
    <t xml:space="preserve">Sleephoria term CVR 5.2% on 211 clicks ×0.8 launch</t>
  </si>
  <si>
    <t xml:space="preserve">Sleephoria CPC on this exact term (211 clicks)</t>
  </si>
  <si>
    <t xml:space="preserve">CLCS4-SP-best cooling sheets-HSV-Exact-Disc-Fix-Q-GRAPHITE</t>
  </si>
  <si>
    <t xml:space="preserve">"best cooling sheets"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</si>
  <si>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middling (211 clicks, CVR 5.2%); organic best #4 (2026-03-15), first top-10 2025-11-11, now #34.</t>
  </si>
  <si>
    <t xml:space="preserve">SV 1,023/mo (MKL (DataDive)); launch window ≈ 1,557/mo; SQP 12-mo 22,925 searches, peak 2026-06, Oct at 0.96× its avg; Mar-24→Mar-26 ×2.07; market CVR 1.4% (head term 1.5%).</t>
  </si>
  <si>
    <t xml:space="preserve">Organic top 20: Bedsure PW #1, Love's cabin #2, Pure Bamboo #8, Pillcase #9. Advertising: REST SP#3, Bedsure PW SP#3, Bambaw SP#6, KARISSA MAE SP#7. Rival ad share 31%.</t>
  </si>
  <si>
    <t xml:space="preserve">Direct cooling-tech rivals rank here (REST), priced $89.99–$224 vs CooLinens $79.99; bamboo sets hold the rest. Price and fabric are the wedge.</t>
  </si>
  <si>
    <t xml:space="preserve">cooling sheet</t>
  </si>
  <si>
    <t xml:space="preserve">best #2 (2026-02-26) · PPC-period median #17 · now #13</t>
  </si>
  <si>
    <t xml:space="preserve">Bedsure PW #3, Love's cabin #7, Breescape #10, REST #17, Pure Bamboo #18; Ads: California Design Den SP#3, Pillcase SP#4, Breescape SP#5, Pillcase SP#6</t>
  </si>
  <si>
    <t xml:space="preserve">CLCS4-SP-cooling sheet-MSV-Exact-Disc-Fix-Q-GRAPHITE</t>
  </si>
  <si>
    <t xml:space="preserve">"cooling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</si>
  <si>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#2 (2026-02-26), first top-10 2025-10-14, now #13.</t>
  </si>
  <si>
    <t xml:space="preserve">SV 1,211/mo (MKL (DataDive)); launch window ≈ 984/mo; SQP 12-mo 39,524 searches, peak 2026-06, Oct at 0.72× its avg; market CVR 3.1% (head term 1.5%).</t>
  </si>
  <si>
    <t xml:space="preserve">Organic top 20: Bedsure PW #3, Love's cabin #7, Breescape #10, REST #17. Advertising: California Design Den SP#3, Pillcase SP#4, Breescape SP#5, Pillcase SP#6. Rival ad share 55%.</t>
  </si>
  <si>
    <t xml:space="preserve">sheets cooling</t>
  </si>
  <si>
    <t xml:space="preserve">Sleephoria PPC +0 · Sleephoria rank +2 · market CVR +0.5 · competitors +1 · Decolure +0.5</t>
  </si>
  <si>
    <t xml:space="preserve">best #2 (2025-10-18) · PPC-period median #10 · now #9</t>
  </si>
  <si>
    <t xml:space="preserve">Bedsure PW #1, KRIMANO #16, Pure Bamboo #17, Love's cabin #18; Ads: Elegear SP#1, REST SP#1, TRUE BAMBOO SP#2, California Design Den SP#3</t>
  </si>
  <si>
    <t xml:space="preserve">CLCS4-SP-sheets cooling-MSV-Exact-Disc-Fix-Q-GRAPHITE</t>
  </si>
  <si>
    <t xml:space="preserve">"sheets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</si>
  <si>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converted but costly at the $38 tier (35 clicks, CVR 5.7%, ACoS 135%).</t>
  </si>
  <si>
    <t xml:space="preserve">Sleephoria (same product and price — strongest evidence): too few clicks to read (5); organic best #2 (2025-10-18), first top-10 2025-10-15, now #9.</t>
  </si>
  <si>
    <t xml:space="preserve">SV 924/mo (MKL (DataDive)); launch window ≈ 675/mo; SQP 12-mo 11,744 searches, peak 2026-07, Oct at 1.17× its avg; market CVR 1.4% (head term 1.5%).</t>
  </si>
  <si>
    <t xml:space="preserve">Organic top 20: Bedsure PW #1, KRIMANO #16, Pure Bamboo #17, Love's cabin #18. Advertising: Elegear SP#1, REST SP#1, TRUE BAMBOO SP#2, California Design Den SP#3. Rival ad share 58%.</t>
  </si>
  <si>
    <t xml:space="preserve">Top-20 is held by bamboo/viscose sets (Bedsure PW, KRIMANO, Pure Bamboo); no synthetic cooling-knit rival ranks here. CooLinens is the only nylon/spandex cooling option on the page at $79.99 — Sleephoria proved the knit ranks here.</t>
  </si>
  <si>
    <t xml:space="preserve">Batch 2 because confidence is Medium (4.0/12 = Sleephoria PPC +0 · Sleephoria rank +2 · market CVR +0.5 · competitors +1 · Decolure +0.5) — below the High bar for day 1.</t>
  </si>
  <si>
    <t xml:space="preserve">cooling sheets california king</t>
  </si>
  <si>
    <t xml:space="preserve">Sleephoria PPC -2 · root|size group proven on Sleephoria +1.5 (cooling sheets|Cal King: CVR 15.7% on 706 clicks) · Sleephoria rank +2 · market CVR +1.5 · competitors +1 · Decolure +0</t>
  </si>
  <si>
    <t xml:space="preserve">now #38</t>
  </si>
  <si>
    <t xml:space="preserve">best #1 (2026-08-09) · PPC-period median #6 · now #9</t>
  </si>
  <si>
    <t xml:space="preserve">#6 Pure Bamboo</t>
  </si>
  <si>
    <t xml:space="preserve">Pure Bamboo #6, Pillcase #10, California Design Den #17; Ads: California Design Den SP#1, REST SP#2, Hotel Sheets Direct SP#4, TRUE BAMBOO SP#4</t>
  </si>
  <si>
    <t xml:space="preserve">CLCS4-SP-cooling sheets california king-MSV-Exact-Disc-Fix-CK-GRAPHITE</t>
  </si>
  <si>
    <t xml:space="preserve">"cooling sheets california king"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</si>
  <si>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19 clicks with 0 orders; organic best #1 (2026-08-09), first top-10 2025-10-12, now #9.</t>
  </si>
  <si>
    <t xml:space="preserve">SV 1,025/mo (MKL (DataDive)); launch window ≈ 984/mo; SQP 12-mo 18,713 searches, peak 2026-06, Oct at 0.82× its avg; Mar-24→Mar-26 ×1.60; market CVR 3.5% (head term 1.5%).</t>
  </si>
  <si>
    <t xml:space="preserve">Organic top 20: Pure Bamboo #6, Pillcase #10, California Design Den #17. Advertising: California Design Den SP#1, REST SP#2, Hotel Sheets Direct SP#4, TRUE BAMBOO SP#4. Rival ad share 54%.</t>
  </si>
  <si>
    <t xml:space="preserve">Top-20 is held by bamboo/viscose sets (Pure Bamboo, Pillcase, California Design Den); no synthetic cooling-knit rival ranks here. CooLinens is the only nylon/spandex cooling option on the page at $86.99 — Sleephoria proved the knit ranks here.</t>
  </si>
  <si>
    <t xml:space="preserve">Batch 2 because confidence is Medium (4.0/12 = Sleephoria PPC -2 · root|size group proven on Sleephoria +1.5 (cooling sheets|Cal King: CVR 15.7% on 706 clicks) · Sleephoria rank +2 · market CVR +1.5 · competitors +1 · Decolure +0) — below the High bar for day 1.</t>
  </si>
  <si>
    <t xml:space="preserve">california king sheets cooling</t>
  </si>
  <si>
    <t xml:space="preserve">Sleephoria PPC +0 · root|size group proven on Sleephoria +1.5 (cooling sheets|Cal King: CVR 15.7% on 706 clicks) · Sleephoria rank +2 · market CVR +2 · competitors +0 · Decolure +0</t>
  </si>
  <si>
    <t xml:space="preserve">best #1 (2026-08-07) · PPC-period median #7</t>
  </si>
  <si>
    <t xml:space="preserve">CLCS4-SP-california king sheets cooling-LSV-Exact-Disc-Fix-CK-GRAPHITE</t>
  </si>
  <si>
    <t xml:space="preserve">"california king sheets cooling"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</si>
  <si>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 (2026-08-07), first top-10 2025-10-15.</t>
  </si>
  <si>
    <t xml:space="preserve">SV 509/mo (MKL (DataDive)); launch window ≈ 351/mo; SQP 12-mo 4,794 searches, peak 2026-06, Oct at 0.91× its avg; market CVR 4.5% (head term 1.5%).</t>
  </si>
  <si>
    <t xml:space="preserve">Batch 2 because confidence is Medium (5.5/12 = Sleephoria PPC +0 · root|size group proven on Sleephoria +1.5 (cooling sheets|Cal King: CVR 15.7% on 706 clicks) · Sleephoria rank +2 · market CVR +2 · competitors +0 · Decolure +0) — below the High bar for day 1.</t>
  </si>
  <si>
    <t xml:space="preserve">cali king cooling sheets</t>
  </si>
  <si>
    <t xml:space="preserve">Sleephoria PPC +4 · Sleephoria rank +0 · market CVR +0 · competitors +0 · Decolure +0</t>
  </si>
  <si>
    <t xml:space="preserve">Sleephoria term CVR 17.4% on 92 clicks ×0.8 launch</t>
  </si>
  <si>
    <t xml:space="preserve">Sleephoria CPC on this exact term (92 clicks)</t>
  </si>
  <si>
    <t xml:space="preserve">CLCS4-SP-cali king cooling sheets-LSV-Exact-Disc-Fix-CK-GRAPHITE</t>
  </si>
  <si>
    <t xml:space="preserve">"cali king cooling sheets" asks for a Cal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</si>
  <si>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proven on the same product (92 clicks, CVR 17.4%, ACoS 27%).</t>
  </si>
  <si>
    <t xml:space="preserve">SV 402/mo (MKL (DataDive)); launch window ≈ 306/mo.</t>
  </si>
  <si>
    <t xml:space="preserve">Batch 2 because confidence is Medium (4.0/12 = Sleephoria PPC +4 · Sleephoria rank +0 · market CVR +0 · competitors +0 · Decolure +0) — below the High bar for day 1.</t>
  </si>
  <si>
    <t xml:space="preserve">full size cooling sheets</t>
  </si>
  <si>
    <t xml:space="preserve">best #4 (2025-10-20) · PPC-period median #15 · now #23</t>
  </si>
  <si>
    <t xml:space="preserve">Love's cabin #3, Bedsure PW #11; Ads: California Design Den SP#2, Hotel Sheets Direct SP#4, Bambaw SP#4, REST SP#6</t>
  </si>
  <si>
    <t xml:space="preserve">Sleephoria CPC on this exact term (45 clicks)</t>
  </si>
  <si>
    <t xml:space="preserve">CLCS4-SP-full size cooling sheets-HSV-Exact-Disc-Fix-F-COOL-GREY</t>
  </si>
  <si>
    <t xml:space="preserve">"full size cooling sheets"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</si>
  <si>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(25 clicks).</t>
  </si>
  <si>
    <t xml:space="preserve">Sleephoria (same product and price — strongest evidence): middling (45 clicks, CVR 6.7%); organic best #4 (2025-10-20), first top-10 2025-10-16, now #23.</t>
  </si>
  <si>
    <t xml:space="preserve">SV 1,735/mo (MKL (DataDive)); launch window ≈ 1,515/mo; SQP 12-mo 31,109 searches, peak 2026-06, Oct at 0.78× its avg; market CVR 4.8% (head term 1.5%).</t>
  </si>
  <si>
    <t xml:space="preserve">Organic top 20: Love's cabin #3, Bedsure PW #11. Advertising: California Design Den SP#2, Hotel Sheets Direct SP#4, Bambaw SP#4, REST SP#6. Rival ad share 48%.</t>
  </si>
  <si>
    <t xml:space="preserve">full size bed sheets cooling</t>
  </si>
  <si>
    <t xml:space="preserve">Sleephoria PPC +0 · Sleephoria rank +2 · market CVR +2 · competitors +0.5 · Decolure +0</t>
  </si>
  <si>
    <t xml:space="preserve">now #113</t>
  </si>
  <si>
    <t xml:space="preserve">best #5 (2026-05-18) · PPC-period median #18 · now #29</t>
  </si>
  <si>
    <t xml:space="preserve">Love's cabin #3, Bedsure PW #20; Ads: Breescape SP#4, Bambaw SP#4, Hotel Sheets Direct SP#4, TRUE BAMBOO SP#5</t>
  </si>
  <si>
    <t xml:space="preserve">cooling bed sheets|Full</t>
  </si>
  <si>
    <t xml:space="preserve">CLCS4-SP-full size bed sheets cooling-MSV-Exact-Disc-Fix-F-COOL-GREY</t>
  </si>
  <si>
    <t xml:space="preserve">"full size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</si>
  <si>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#5 (2026-05-18), first top-10 2025-11-07, now #29.</t>
  </si>
  <si>
    <t xml:space="preserve">SV 924/mo (MKL (DataDive)); launch window ≈ 685/mo; SQP 12-mo 13,763 searches, peak 2026-08, Oct at 0.85× its avg; market CVR 5.5% (head term 1.5%).</t>
  </si>
  <si>
    <t xml:space="preserve">Organic top 20: Love's cabin #3, Bedsure PW #20. Advertising: Breescape SP#4, Bambaw SP#4, Hotel Sheets Direct SP#4, TRUE BAMBOO SP#5. Rival ad share 54%.</t>
  </si>
  <si>
    <t xml:space="preserve">Batch 2 because confidence is Medium (4.5/12 = Sleephoria PPC +0 · Sleephoria rank +2 · market CVR +2 · competitors +0.5 · Decolure +0) — below the High bar for day 1.</t>
  </si>
  <si>
    <t xml:space="preserve">cooling bed sheets full</t>
  </si>
  <si>
    <t xml:space="preserve">Sleephoria PPC +1 · Sleephoria rank +2 · market CVR +1.5 · competitors +0.5 · Decolure +0</t>
  </si>
  <si>
    <t xml:space="preserve">now #117</t>
  </si>
  <si>
    <t xml:space="preserve">best #3 (2025-11-03) · PPC-period median #10 · now #17</t>
  </si>
  <si>
    <t xml:space="preserve">Love's cabin #4, Bedsure PW #16; Ads: California Design Den SP#3, KRIMANO SP#6, Bambaw SP#11, Breescape SP#15</t>
  </si>
  <si>
    <t xml:space="preserve">Sleephoria term CVR 6.2% on 65 clicks ×0.8 launch</t>
  </si>
  <si>
    <t xml:space="preserve">Sleephoria CPC on this exact term (65 clicks)</t>
  </si>
  <si>
    <t xml:space="preserve">CLCS4-SP-cooling bed sheets full-MSV-Exact-Disc-Fix-F-COOL-GREY</t>
  </si>
  <si>
    <t xml:space="preserve">"cooling bed sheets full" asks for a Full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</si>
  <si>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(28 clicks).</t>
  </si>
  <si>
    <t xml:space="preserve">Sleephoria (same product and price — strongest evidence): middling (65 clicks, CVR 6.2%); organic best #3 (2025-11-03), first top-10 2025-10-16, now #17.</t>
  </si>
  <si>
    <t xml:space="preserve">SV 924/mo (MKL (DataDive)); launch window ≈ 527/mo; SQP 12-mo 15,818 searches, peak 2026-06, Oct at 0.84× its avg; market CVR 3.3% (head term 1.5%).</t>
  </si>
  <si>
    <t xml:space="preserve">Organic top 20: Love's cabin #4, Bedsure PW #16. Advertising: California Design Den SP#3, KRIMANO SP#6, Bambaw SP#11, Breescape SP#15. Rival ad share 54%.</t>
  </si>
  <si>
    <t xml:space="preserve">Batch 2 because confidence is Medium (5.0/12 = Sleephoria PPC +1 · Sleephoria rank +2 · market CVR +1.5 · competitors +0.5 · Decolure +0) — below the High bar for day 1.</t>
  </si>
  <si>
    <t xml:space="preserve">full bed sheets cooling</t>
  </si>
  <si>
    <t xml:space="preserve">best #6 (2025-11-03) · PPC-period median #19 · now #26</t>
  </si>
  <si>
    <t xml:space="preserve">Love's cabin #3, TRUE BAMBOO #13, Breescape #19; Ads: Breescape SP#4, BC Bella Coterie SP#6, Love's cabin SP#7, Hotel Sheets Direct SP#11</t>
  </si>
  <si>
    <t xml:space="preserve">CLCS4-SP-full bed sheets cooling-LSV-Exact-Disc-Fix-F-COOL-GREY</t>
  </si>
  <si>
    <t xml:space="preserve">"full bed sheets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</si>
  <si>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#6 (2025-11-03), first top-10 2025-10-27, now #26.</t>
  </si>
  <si>
    <t xml:space="preserve">SV 662/mo (MKL (DataDive)); launch window ≈ 446/mo; SQP 12-mo 6,713 searches, peak 2026-07, Oct at 0.46× its avg; market CVR 6.3% (head term 1.5%).</t>
  </si>
  <si>
    <t xml:space="preserve">Organic top 20: Love's cabin #3, TRUE BAMBOO #13, Breescape #19. Advertising: Breescape SP#4, BC Bella Coterie SP#6, Love's cabin SP#7, Hotel Sheets Direct SP#11. Rival ad share 44%.</t>
  </si>
  <si>
    <t xml:space="preserve">Direct cooling-tech rivals rank here (Breescape), priced $89.99–$224 vs CooLinens $67.99; bamboo sets hold the rest. Price and fabric are the wedge.</t>
  </si>
  <si>
    <t xml:space="preserve">full sheet set cooling</t>
  </si>
  <si>
    <t xml:space="preserve">Sleephoria PPC +0 · Sleephoria rank +1.5 · market CVR +2 · competitors +0.5 · Decolure +0</t>
  </si>
  <si>
    <t xml:space="preserve">best #19 (2026-08-09) · now #105</t>
  </si>
  <si>
    <t xml:space="preserve">#6 Love's cabin</t>
  </si>
  <si>
    <t xml:space="preserve">Love's cabin #6; Ads: Pure Bamboo SP#3, TRUE BAMBOO SP#5, Love's cabin SP#9, Bambaw SP#9</t>
  </si>
  <si>
    <t xml:space="preserve">cooling sheet set|Full</t>
  </si>
  <si>
    <t xml:space="preserve">CLCS4-SP-full sheet set cooling-LSV-Exact-Disc-Fix-F-COOL-GREY</t>
  </si>
  <si>
    <t xml:space="preserve">"full sheet set cooling" asks for a Full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</si>
  <si>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never bought as its own search term; organic best #19 (2026-08-09), now #105.</t>
  </si>
  <si>
    <t xml:space="preserve">SV 674/mo (MKL (DataDive)); launch window ≈ 425/mo; market CVR 6.0% (head term 1.5%).</t>
  </si>
  <si>
    <t xml:space="preserve">Organic top 20: Love's cabin #6. Advertising: Pure Bamboo SP#3, TRUE BAMBOO SP#5, Love's cabin SP#9, Bambaw SP#9. Rival ad share 41%.</t>
  </si>
  <si>
    <t xml:space="preserve">Batch 2 because confidence is Medium (4.0/12 = Sleephoria PPC +0 · Sleephoria rank +1.5 · market CVR +2 · competitors +0.5 · Decolure +0) — below the High bar for day 1.</t>
  </si>
  <si>
    <t xml:space="preserve">king cooling sheets</t>
  </si>
  <si>
    <t xml:space="preserve">now #73</t>
  </si>
  <si>
    <t xml:space="preserve">best #5 (2026-02-14) · PPC-period median #34 · now #37</t>
  </si>
  <si>
    <t xml:space="preserve">Pillcase #3, Bedsure PW #4, TRUE BAMBOO #8, Pure Bamboo #9, Breescape #15; Ads: Breescape SP#4, Bambaw SP#6, Pure Bamboo SP#8, Bedsure PW Cooling SP#9</t>
  </si>
  <si>
    <t xml:space="preserve">Sleephoria term CVR 9.0% on 300 clicks ×0.8 launch</t>
  </si>
  <si>
    <t xml:space="preserve">Sleephoria CPC on this exact term (300 clicks)</t>
  </si>
  <si>
    <t xml:space="preserve">CLCS4-SP-king cooling sheets-HSV-Exact-Disc-Fix-K-GRAPHITE</t>
  </si>
  <si>
    <t xml:space="preserve">"king cooling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</si>
  <si>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converts on the same product but costly (300 clicks, CVR 9.0%, ACoS 60%); organic best #5 (2026-02-14), first top-10 2025-10-13, now #37. Launch entry Oct-25: 1.7 clicks/day, 0.24 orders/day, $10/day → top 10 in 10 days.</t>
  </si>
  <si>
    <t xml:space="preserve">SV 3,271/mo (MKL (DataDive)); launch window ≈ 3,353/mo; SQP 12-mo 47,181 searches, peak 2026-06, Oct at 1.19× its avg; Mar-24→Mar-26 ×0.74; market CVR 3.7% (head term 1.5%).</t>
  </si>
  <si>
    <t xml:space="preserve">Organic top 20: Pillcase #3, Bedsure PW #4, TRUE BAMBOO #8, Pure Bamboo #9. Advertising: Breescape SP#4, Bambaw SP#6, Pure Bamboo SP#8, Bedsure PW Cooling SP#9. Rival ad share 47%.</t>
  </si>
  <si>
    <t xml:space="preserve">Batch 2 because it is High confidence but its relevance is 100%.</t>
  </si>
  <si>
    <t xml:space="preserve">≤15 (≤50 by wk 2, ≤30 by wk 4, ≤15 by wk 8): a crowded page (6 tracked rivals in the organic top 20). Sleephoria's best was #5 (2026-02-14), but its launch ran into Prime Big Deal Days (7–8 Oct 2025). CooLinens launches with 24 Vine ratings and no deal tailwind in a 35%-of-peak window, so top 15 is the evidence-supported goal. Full rank push starts once this size is assigned to CooLinens; until then spend is capped and the campaign builds first sales and a CVR read.</t>
  </si>
  <si>
    <t xml:space="preserve">king bed sheets cooling</t>
  </si>
  <si>
    <t xml:space="preserve">now #98</t>
  </si>
  <si>
    <t xml:space="preserve">best #9 (2025-10-20) · PPC-period median #62 · now #45</t>
  </si>
  <si>
    <t xml:space="preserve">Love's cabin #5, Pure Bamboo #6, Bedsure PW #7, KRIMANO #15, Breescape #17; Ads: California Design Den SP#1, Breescape SP#2, KARISSA MAE SP#4, Bambaw SP#5</t>
  </si>
  <si>
    <t xml:space="preserve">CLCS4-SP-king bed sheets cooling-HSV-Exact-Disc-Fix-K-GRAPHITE</t>
  </si>
  <si>
    <t xml:space="preserve">"king bed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</si>
  <si>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(14); organic best #9 (2025-10-20), first top-10 2025-10-16, now #45.</t>
  </si>
  <si>
    <t xml:space="preserve">SV 1,109/mo (MKL (DataDive)); launch window ≈ 1,504/mo; SQP 12-mo 22,380 searches, peak 2026-05, Oct at 1.11× its avg; Mar-24→Mar-26 ×1.34; market CVR 4.2% (head term 1.5%).</t>
  </si>
  <si>
    <t xml:space="preserve">Organic top 20: Love's cabin #5, Pure Bamboo #6, Bedsure PW #7, KRIMANO #15. Advertising: California Design Den SP#1, Breescape SP#2, KARISSA MAE SP#4, Bambaw SP#5. Rival ad share 48%.</t>
  </si>
  <si>
    <t xml:space="preserve">king sheet set cooling</t>
  </si>
  <si>
    <t xml:space="preserve">now #102</t>
  </si>
  <si>
    <t xml:space="preserve">best #7 (2025-10-18) · PPC-period median #77 · now #88</t>
  </si>
  <si>
    <t xml:space="preserve">#8 Pure Bamboo</t>
  </si>
  <si>
    <t xml:space="preserve">Pure Bamboo #8, KRIMANO #9, SONORO KATE #19; Ads: California Design Den SP#1, Pure Bamboo SP#2, KRIMANO SP#2, Breescape SP#3</t>
  </si>
  <si>
    <t xml:space="preserve">CLCS4-SP-king sheet set cooling-MSV-Exact-Disc-Fix-K-GRAPHITE</t>
  </si>
  <si>
    <t xml:space="preserve">"king sheet set cooling" asks for a King cooling sheet product that CooLinens sells (BreezeWeave nylon/spandex knit, 16″ pocket, 4-piece set). Relevance 100%: product type ✓, use case ✓, material ✓, intent ✓.</t>
  </si>
  <si>
    <t xml:space="preserve">Decolure ($38 microfiber — adjacent, lower weight): small sample (17 clicks).</t>
  </si>
  <si>
    <t xml:space="preserve">Sleephoria (same product and price — strongest evidence): too few clicks to read (10); organic best #7 (2025-10-18), first top-10 2025-10-17, now #88.</t>
  </si>
  <si>
    <t xml:space="preserve">SV 1,023/mo (MKL (DataDive)); launch window ≈ 973/mo; SQP 12-mo 9,510 searches, peak 2025-11, Oct at 1.28× its avg; market CVR 4.5% (head term 1.5%).</t>
  </si>
  <si>
    <t xml:space="preserve">Organic top 20: Pure Bamboo #8, KRIMANO #9, SONORO KATE #19. Advertising: California Design Den SP#1, Pure Bamboo SP#2, KRIMANO SP#2, Breescape SP#3. Rival ad share 55%.</t>
  </si>
  <si>
    <t xml:space="preserve">Top-20 is held by bamboo/viscose sets (Pure Bamboo, KRIMANO, SONORO KATE); no synthetic cooling-knit rival ranks here. CooLinens is the only nylon/spandex cooling option on the page at $84.99 — Sleephoria proved the knit ranks here.</t>
  </si>
  <si>
    <t xml:space="preserve">king cooling sheet set</t>
  </si>
  <si>
    <t xml:space="preserve">Sleephoria PPC +0 · Sleephoria rank +1.5 · market CVR +1.5 · competitors +1 · Decolure +0</t>
  </si>
  <si>
    <t xml:space="preserve">now #90</t>
  </si>
  <si>
    <t xml:space="preserve">best #11 (2026-09-19) · PPC-period median #85 · now #87</t>
  </si>
  <si>
    <t xml:space="preserve">Bedsure PW #3, Love's cabin #6, Breescape #9, TRUE BAMBOO #11, REST #14; Ads: BC Bella Coterie SP#3, California Design Den SP#4, SONORO KATE SP#4, TRUE BAMBOO SP#5</t>
  </si>
  <si>
    <t xml:space="preserve">CLCS4-SP-king cooling sheet set-MSV-Exact-Disc-Fix-K-GRAPHITE</t>
  </si>
  <si>
    <t xml:space="preserve">"king cooling sheet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</si>
  <si>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(4); organic best #11 (2026-09-19), now #87.</t>
  </si>
  <si>
    <t xml:space="preserve">SV 644/mo (MKL (DataDive)); launch window ≈ 952/mo; market CVR 3.8% (head term 1.5%).</t>
  </si>
  <si>
    <t xml:space="preserve">Organic top 20: Bedsure PW #3, Love's cabin #6, Breescape #9, TRUE BAMBOO #11. Advertising: BC Bella Coterie SP#3, California Design Den SP#4, SONORO KATE SP#4, TRUE BAMBOO SP#5. Rival ad share 55%.</t>
  </si>
  <si>
    <t xml:space="preserve">Direct cooling-tech rivals rank here (Breescape, REST), priced $89.99–$224 vs CooLinens $84.99; bamboo sets hold the rest. Price and fabric are the wedge.</t>
  </si>
  <si>
    <t xml:space="preserve">Batch 2 because confidence is Medium (4.0/12 = Sleephoria PPC +0 · Sleephoria rank +1.5 · market CVR +1.5 · competitors +1 · Decolure +0) — below the High bar for day 1.</t>
  </si>
  <si>
    <t xml:space="preserve">king size cooling sheets set</t>
  </si>
  <si>
    <t xml:space="preserve">now #84</t>
  </si>
  <si>
    <t xml:space="preserve">best #5 (2025-10-17) · PPC-period median #33 · now #45</t>
  </si>
  <si>
    <t xml:space="preserve">#6 Bedsure PW</t>
  </si>
  <si>
    <t xml:space="preserve">Bedsure PW #6, KRIMANO #11, Pure Bamboo #19; Ads: California Design Den SP#1, Hotel Sheets Direct SP#7, Pillcase SP#11, Pure Bamboo SP#14</t>
  </si>
  <si>
    <t xml:space="preserve">CLCS4-SP-king size cooling sheets set-MSV-Exact-Disc-Fix-K-GRAPHITE</t>
  </si>
  <si>
    <t xml:space="preserve">"king size cooling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</si>
  <si>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#5 (2025-10-17), first top-10 2025-10-16, now #45.</t>
  </si>
  <si>
    <t xml:space="preserve">SV 1,023/mo (MKL (DataDive)); launch window ≈ 924/mo; SQP 12-mo 12,391 searches, peak 2026-08, Oct at 0.98× its avg; market CVR 3.6% (head term 1.5%).</t>
  </si>
  <si>
    <t xml:space="preserve">Organic top 20: Bedsure PW #6, KRIMANO #11, Pure Bamboo #19. Advertising: California Design Den SP#1, Hotel Sheets Direct SP#7, Pillcase SP#11, Pure Bamboo SP#14. Rival ad share 49%.</t>
  </si>
  <si>
    <t xml:space="preserve">Top-20 is held by bamboo/viscose sets (Bedsure PW, KRIMANO, Pure Bamboo); no synthetic cooling-knit rival ranks here. CooLinens is the only nylon/spandex cooling option on the page at $84.99 — Sleephoria proved the knit ranks here.</t>
  </si>
  <si>
    <t xml:space="preserve">cooling sheets king size deep pocket</t>
  </si>
  <si>
    <t xml:space="preserve">now #118</t>
  </si>
  <si>
    <t xml:space="preserve">best #7 (2025-10-18) · PPC-period median #62 · now #59</t>
  </si>
  <si>
    <t xml:space="preserve">#5 SONORO KATE</t>
  </si>
  <si>
    <t xml:space="preserve">SONORO KATE #5, Bedsure PW #8, Breescape #10, Love's cabin #16, Bambaw #19; Ads: BC Bella Coterie SP#2, TRUE BAMBOO SP#6, Pure Bamboo SP#8, Bedsure PW SP#8</t>
  </si>
  <si>
    <t xml:space="preserve">deep pocket cooling sheets|King</t>
  </si>
  <si>
    <t xml:space="preserve">CLCS4-SP-cooling sheets king size deep pocket-MSV-Exact-Disc-Fix-K-GRAPHITE</t>
  </si>
  <si>
    <t xml:space="preserve">"cooling sheets king size deep pocket"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</si>
  <si>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(6); organic best #7 (2025-10-18), first top-10 2025-10-15, now #59.</t>
  </si>
  <si>
    <t xml:space="preserve">SV 822/mo (MKL (DataDive)); launch window ≈ 763/mo; market CVR 2.6% (head term 1.5%).</t>
  </si>
  <si>
    <t xml:space="preserve">Organic top 20: SONORO KATE #5, Bedsure PW #8, Breescape #10, Love's cabin #16. Advertising: BC Bella Coterie SP#2, TRUE BAMBOO SP#6, Pure Bamboo SP#8, Bedsure PW SP#8. Rival ad share 56%.</t>
  </si>
  <si>
    <t xml:space="preserve">king size sheets cooling</t>
  </si>
  <si>
    <t xml:space="preserve">Sleephoria PPC -2 · root|size group proven on Sleephoria +1.5 (cooling sheets|King: CVR 12.8% on 2,263 clicks) · Sleephoria rank +2 · market CVR +2 · competitors +1 · Decolure +0</t>
  </si>
  <si>
    <t xml:space="preserve">now #75</t>
  </si>
  <si>
    <t xml:space="preserve">best #4 (2026-09-20) · PPC-period median #21 · now #28</t>
  </si>
  <si>
    <t xml:space="preserve">#4 KRIMANO</t>
  </si>
  <si>
    <t xml:space="preserve">KRIMANO #4, Bedsure PW #7, Pure Bamboo #12, Breescape #13, SONORO KATE #16; Ads: California Design Den SP#2, REST SP#2, Bambaw SP#10, Breescape SP#10</t>
  </si>
  <si>
    <t xml:space="preserve">CLCS4-SP-king size sheets cooling-LSV-Exact-Disc-Fix-K-GRAPHITE</t>
  </si>
  <si>
    <t xml:space="preserve">"king size sheets cooling"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</si>
  <si>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Sleephoria paid for 18 clicks with 0 orders; organic best #4 (2026-09-20), first top-10 2025-10-17, now #28.</t>
  </si>
  <si>
    <t xml:space="preserve">SV 659/mo (MKL (DataDive)); launch window ≈ 496/mo; SQP 12-mo 10,652 searches, peak 2026-05, Oct at 0.86× its avg; market CVR 4.4% (head term 1.5%).</t>
  </si>
  <si>
    <t xml:space="preserve">Organic top 20: KRIMANO #4, Bedsure PW #7, Pure Bamboo #12, Breescape #13. Advertising: California Design Den SP#2, REST SP#2, Bambaw SP#10, Breescape SP#10. Rival ad share 46%.</t>
  </si>
  <si>
    <t xml:space="preserve">Batch 2 because confidence is Medium (4.5/12 = Sleephoria PPC -2 · root|size group proven on Sleephoria +1.5 (cooling sheets|King: CVR 12.8% on 2,263 clicks) · Sleephoria rank +2 · market CVR +2 · competitors +1 · Decolure +0) — below the High bar for day 1.</t>
  </si>
  <si>
    <t xml:space="preserve">king size cooling sheets deep pocket set</t>
  </si>
  <si>
    <t xml:space="preserve">best #8 (2025-10-17) · PPC-period median #61 · now #66</t>
  </si>
  <si>
    <t xml:space="preserve">SONORO KATE #3, KRIMANO #13, Bedsure PW #14, Love's cabin #17, Bambaw #20; Ads: BC Bella Coterie SP#1, SONORO KATE SP#4, BEDELITE SP#5, OMERAI SP#5</t>
  </si>
  <si>
    <t xml:space="preserve">CLCS4-SP-king size cooling sheets deep pocket set-LSV-Exact-Disc-Fix-K-GRAPHITE</t>
  </si>
  <si>
    <t xml:space="preserve">"king size cooling sheets deep pocket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</si>
  <si>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(9); organic best #8 (2025-10-17), first top-10 2025-10-17, now #66.</t>
  </si>
  <si>
    <t xml:space="preserve">SV 601/mo (MKL (DataDive)); launch window ≈ 387/mo; market CVR 3.6% (head term 1.5%).</t>
  </si>
  <si>
    <t xml:space="preserve">Organic top 20: SONORO KATE #3, KRIMANO #13, Bedsure PW #14, Love's cabin #17. Advertising: BC Bella Coterie SP#1, SONORO KATE SP#4, BEDELITE SP#5, OMERAI SP#5. Rival ad share 46%.</t>
  </si>
  <si>
    <t xml:space="preserve">Top-20 is held by bamboo/viscose sets (SONORO KATE, KRIMANO, Bedsure PW); no synthetic cooling-knit rival ranks here. CooLinens is the only nylon/spandex cooling option on the page at $84.99 — Sleephoria proved the knit ranks here.</t>
  </si>
  <si>
    <t xml:space="preserve">cooling king bed sheets</t>
  </si>
  <si>
    <t xml:space="preserve">now #82</t>
  </si>
  <si>
    <t xml:space="preserve">best #11 (2026-09-16) · PPC-period median #96 · now #17</t>
  </si>
  <si>
    <t xml:space="preserve">Love's cabin #3, Pure Bamboo #7, Bedsure PW #9, KRIMANO #16, Pillcase #18; Ads: California Design Den SP#4, Bedsure PW SP#4, KARISSA MAE SP#5, KRIMANO SP#6</t>
  </si>
  <si>
    <t xml:space="preserve">CLCS4-SP-cooling king bed sheets-LSV-Exact-Disc-Fix-K-GRAPHITE</t>
  </si>
  <si>
    <t xml:space="preserve">"cooling king bed sheets"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</si>
  <si>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(8); organic best #11 (2026-09-16), now #17.</t>
  </si>
  <si>
    <t xml:space="preserve">SV 624/mo (MKL (DataDive)); launch window ≈ 376/mo; SQP 12-mo 2,916 searches, peak 2026-08, Oct at 1.12× its avg; market CVR 3.1% (head term 1.5%).</t>
  </si>
  <si>
    <t xml:space="preserve">Organic top 20: Love's cabin #3, Pure Bamboo #7, Bedsure PW #9, KRIMANO #16. Advertising: California Design Den SP#4, Bedsure PW SP#4, KARISSA MAE SP#5, KRIMANO SP#6. Rival ad share 34%.</t>
  </si>
  <si>
    <t xml:space="preserve">Top-20 is held by bamboo/viscose sets (Love's cabin, Pure Bamboo, Bedsure PW); no synthetic cooling-knit rival ranks here. CooLinens is the only nylon/spandex cooling option on the page at $84.99 — Sleephoria proved the knit ranks here.</t>
  </si>
  <si>
    <t xml:space="preserve">cool sheets king size</t>
  </si>
  <si>
    <t xml:space="preserve">now #63</t>
  </si>
  <si>
    <t xml:space="preserve">best #3 (2025-10-19) · PPC-period median #22 · now #28</t>
  </si>
  <si>
    <t xml:space="preserve">Bedsure PW #1, Pure Bamboo #5, Breescape #7, KRIMANO #9, SONORO KATE #13; Ads: KRIMANO SP#3, SONORO KATE SP#4, Bambaw SP#5, Breescape SP#6</t>
  </si>
  <si>
    <t xml:space="preserve">cool sheets|King</t>
  </si>
  <si>
    <t xml:space="preserve">CLCS4-SP-cool sheets king size-LSV-Exact-Disc-Fix-K-GRAPHITE</t>
  </si>
  <si>
    <t xml:space="preserve">"cool sheets king size"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</si>
  <si>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(13); organic best #3 (2025-10-19), first top-10 2025-10-15, now #28.</t>
  </si>
  <si>
    <t xml:space="preserve">SV 646/mo (MKL (DataDive)); launch window ≈ 327/mo; SQP 12-mo 8,702 searches, peak 2026-03, Oct at 1.18× its avg; market CVR 3.9% (head term 1.5%).</t>
  </si>
  <si>
    <t xml:space="preserve">Organic top 20: Bedsure PW #1, Pure Bamboo #5, Breescape #7, KRIMANO #9. Advertising: KRIMANO SP#3, SONORO KATE SP#4, Bambaw SP#5, Breescape SP#6. Rival ad share 39%.</t>
  </si>
  <si>
    <t xml:space="preserve">twin sheets cooling</t>
  </si>
  <si>
    <t xml:space="preserve">Sleephoria PPC +0 · root|size group proven on Sleephoria +1.5 (cooling sheets|Twin: CVR 11.7% on 865 clicks) · Sleephoria rank +2 · market CVR +2 · competitors +0 · Decolure +0</t>
  </si>
  <si>
    <t xml:space="preserve">now #77</t>
  </si>
  <si>
    <t xml:space="preserve">best #2 (2026-09-28) · now #10</t>
  </si>
  <si>
    <t xml:space="preserve">no rival organic top 20; Ads: Bambaw SP#3, KRIMANO SP#4, Pure Bamboo SP#7, Bedsure PW SP#9</t>
  </si>
  <si>
    <t xml:space="preserve">CLCS4-SP-twin sheets cooling-LSV-Exact-Disc-Fix-T-GRAPHITE</t>
  </si>
  <si>
    <t xml:space="preserve">"twin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</si>
  <si>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never bought as its own search term; organic best #2 (2026-09-28), first top-10 2025-10-16, now #10.</t>
  </si>
  <si>
    <t xml:space="preserve">SV 603/mo (MKL (DataDive)); launch window ≈ 376/mo; SQP 12-mo 7,543 searches, peak 2026-07, Oct at 0.35× its avg; market CVR 6.6% (head term 1.5%).</t>
  </si>
  <si>
    <t xml:space="preserve">Organic top 20: none of the 20 tracked rivals in the organic top 20. Advertising: Bambaw SP#3, KRIMANO SP#4, Pure Bamboo SP#7, Bedsure PW SP#9. Rival ad share 73%.</t>
  </si>
  <si>
    <t xml:space="preserve">Batch 2 because confidence is Medium (5.5/12 = Sleephoria PPC +0 · root|size group proven on Sleephoria +1.5 (cooling sheets|Twin: CVR 11.7% on 865 clicks) · Sleephoria rank +2 · market CVR +2 · competitors +0 · Decolure +0) — below the High bar for day 1.</t>
  </si>
  <si>
    <t xml:space="preserve">twin bed sheets cooling</t>
  </si>
  <si>
    <t xml:space="preserve">now #42</t>
  </si>
  <si>
    <t xml:space="preserve">best #2 (2026-08-06) · PPC-period median #12 · now #17</t>
  </si>
  <si>
    <t xml:space="preserve">#10 Pure Bamboo</t>
  </si>
  <si>
    <t xml:space="preserve">Pure Bamboo #10; Ads: OMERAI SP#3, Bambaw SP#7, California Design Den SP#19, Bedsure PW SP#20</t>
  </si>
  <si>
    <t xml:space="preserve">CLCS4-SP-twin bed sheets cooling-LSV-Exact-Disc-Fix-T-GRAPHITE</t>
  </si>
  <si>
    <t xml:space="preserve">"twin bed sheets cooling" asks for a Twin cooling sheet product that CooLinens sells (BreezeWeave nylon/spandex knit, 16″ pocket, 3-piece set). Relevance 100%: product type ✓, use case ✓, material ✓, intent ✓.</t>
  </si>
  <si>
    <t xml:space="preserve">Sleephoria (same product and price — strongest evidence): too few clicks to read (1); organic best #2 (2026-08-06), first top-10 2025-10-14, now #17.</t>
  </si>
  <si>
    <t xml:space="preserve">SV 636/mo (MKL (DataDive)); launch window ≈ 306/mo; SQP 12-mo 5,638 searches, peak 2026-07, Oct at 0.53× its avg; market CVR 6.7% (head term 1.5%).</t>
  </si>
  <si>
    <t xml:space="preserve">Organic top 20: Pure Bamboo #10. Advertising: OMERAI SP#3, Bambaw SP#7, California Design Den SP#19, Bedsure PW SP#20. Rival ad share 67%.</t>
  </si>
  <si>
    <t xml:space="preserve">coolinens</t>
  </si>
  <si>
    <t xml:space="preserve">LAUNCH in Batch 2 — branded defence</t>
  </si>
  <si>
    <t xml:space="preserve">Type ✗ · Use ✗ · Material ✓ · Intent ✓</t>
  </si>
  <si>
    <t xml:space="preserve">own brand name; Sleephoria branded exact ran 14.1% ACoS / 20% CVR, profitable 13 of 13 months</t>
  </si>
  <si>
    <t xml:space="preserve">#1 from week 1 (own brand)</t>
  </si>
  <si>
    <t xml:space="preserve">Brand Defense</t>
  </si>
  <si>
    <t xml:space="preserve">Brand defense: own the #1 position on the CooLinens brand name from the first branded searches.</t>
  </si>
  <si>
    <t xml:space="preserve">coolinens (brand)|no size</t>
  </si>
  <si>
    <t xml:space="preserve">Branded exact</t>
  </si>
  <si>
    <t xml:space="preserve">CLCS4-SP-Branded-Exact-Def-Fix-Q-GRAPHITE</t>
  </si>
  <si>
    <t xml:space="preserve">Branded</t>
  </si>
  <si>
    <t xml:space="preserve">"coolinens" asks for cooling sheet product that CooLinens sells (BreezeWeave nylon/spandex knit, 16″ pocket, 4-piece set). Relevance 100%: product type ✗, use case ✗, material ✓, intent ✓.</t>
  </si>
  <si>
    <t xml:space="preserve">SV 78/mo (MKL (DataDive)); launch window ≈ 59/mo.</t>
  </si>
  <si>
    <t xml:space="preserve">Batch 2: branded exact once "coolinens" searches appear in search terms (week 2–3). Sleephoria branded ran 14% ACoS, profitable 13 of 13 months.</t>
  </si>
  <si>
    <t xml:space="preserve">Own the #1 position on our brand name (defensive).</t>
  </si>
  <si>
    <t xml:space="preserve">soft cooling sheets</t>
  </si>
  <si>
    <t xml:space="preserve">Feb–Mar 2027 push</t>
  </si>
  <si>
    <t xml:space="preserve">HOLD for Batch 3 (Feb–Mar push)</t>
  </si>
  <si>
    <t xml:space="preserve">Low</t>
  </si>
  <si>
    <t xml:space="preserve">Sleephoria PPC +0 · Sleephoria rank +2 · market CVR +0.5 · competitors +1 · Decolure +0</t>
  </si>
  <si>
    <t xml:space="preserve">best #9 (2026-10-06) · PPC-period median #35 · now #43</t>
  </si>
  <si>
    <t xml:space="preserve">Bedsure PW #1, Love's cabin #16, Bedsure PW Cooling #18, SONORO KATE #19; Ads: KARISSA MAE SP#1, California Design Den SP#2, KRIMANO SP#5, Bambaw SP#5</t>
  </si>
  <si>
    <t xml:space="preserve">Ranking support: relevant no-size wording with thinner evidence (3.5/12). Funded to what its own rank requires, no placement premium; its sales add velocity to the Queen hero terms.</t>
  </si>
  <si>
    <t xml:space="preserve">CLCS4-SP-soft cooling sheets-MSV-Exact-Rank-Fix-Q-GRAPHITE</t>
  </si>
  <si>
    <t xml:space="preserve">"soft cooling 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</si>
  <si>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#9 (2026-10-06), first top-10 2026-09-26, now #43.</t>
  </si>
  <si>
    <t xml:space="preserve">SV 939/mo (MKL (DataDive)); launch window ≈ 822/mo; SQP 12-mo 11,998 searches, peak 2026-08, Oct at 1.07× its avg; market CVR 1.1% (head term 1.5%).</t>
  </si>
  <si>
    <t xml:space="preserve">Organic top 20: Bedsure PW #1, Love's cabin #16, Bedsure PW Cooling #18, SONORO KATE #19. Advertising: KARISSA MAE SP#1, California Design Den SP#2, KRIMANO SP#5, Bambaw SP#5. Rival ad share 52%.</t>
  </si>
  <si>
    <t xml:space="preserve">Top-20 is held by bamboo/viscose sets (Bedsure PW, Love's cabin, Bedsure PW Cooling); no synthetic cooling-knit rival ranks here. CooLinens is the only nylon/spandex cooling option on the page at $79.99 — Sleephoria proved the knit ranks here.</t>
  </si>
  <si>
    <t xml:space="preserve">Plausible but the least proven: held for the Feb–Mar push, after Batch 1–2 data confirm CooLinens CVR on cleaner wording.</t>
  </si>
  <si>
    <t xml:space="preserve">Batch 3 because evidence is Low (3.5/12); it only earns budget once CooLinens has its own conversion data.</t>
  </si>
  <si>
    <t xml:space="preserve">cooling bedsheets</t>
  </si>
  <si>
    <t xml:space="preserve">best #6 (2026-08-28) · PPC-period median #34 · now #17</t>
  </si>
  <si>
    <t xml:space="preserve">Bedsure PW #2, Love's cabin #3, Pillcase #3, Bambaw #8, Breescape #20; Ads: TRUE BAMBOO SP#7, Pure Bamboo SP#8, Bambaw SP#9, Hotel Sheets Direct SP#10</t>
  </si>
  <si>
    <t xml:space="preserve">CLCS4-SP-cooling bedsheets-MSV-Exact-Rank-Fix-Q-GRAPHITE</t>
  </si>
  <si>
    <t xml:space="preserve">"cooling bedsheets"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</si>
  <si>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(3); organic best #6 (2026-08-28), first top-10 2026-08-28, now #17.</t>
  </si>
  <si>
    <t xml:space="preserve">SV 677/mo (MKL (DataDive)); launch window ≈ 654/mo; SQP 12-mo 6,259 searches, peak 2026-08, Oct at 0.87× its avg; market CVR 1.1% (head term 1.5%).</t>
  </si>
  <si>
    <t xml:space="preserve">Organic top 20: Bedsure PW #2, Love's cabin #3, Pillcase #3, Bambaw #8. Advertising: TRUE BAMBOO SP#7, Pure Bamboo SP#8, Bambaw SP#9, Hotel Sheets Direct SP#10. Rival ad share 53%.</t>
  </si>
  <si>
    <t xml:space="preserve">best sheets for hot sleepers</t>
  </si>
  <si>
    <t xml:space="preserve">now #120</t>
  </si>
  <si>
    <t xml:space="preserve">best #6 (2026-03-25) · now #54</t>
  </si>
  <si>
    <t xml:space="preserve">Bedsure PW #1, Love's cabin #2, Pillcase #5, Pure Bamboo #10, SONORO KATE #15; Ads: BEDELITE SP#3, Pure Bamboo SP#6, Hotel Sheets Direct SP#6, Bedsure PW SP#7</t>
  </si>
  <si>
    <t xml:space="preserve">sheets for hot sleepers|no size</t>
  </si>
  <si>
    <t xml:space="preserve">CLCS4-SP-best sheets for hot sleepers-MSV-Exact-Rank-Fix-Q-GRAPHITE</t>
  </si>
  <si>
    <t xml:space="preserve">"best sheets for hot sleepers" asks for cooling sheet product that CooLinens sells (BreezeWeave nylon/spandex knit, 16″ pocket, 4-piece set). Relevance 90%: product type ✓, use case ✓, material ✓, intent ✓ (comparison/research stage — relevant, converts lower than direct size searches).</t>
  </si>
  <si>
    <t xml:space="preserve">Sleephoria (same product and price — strongest evidence): never bought as its own search term; organic best #6 (2026-03-25), first top-10 2026-02-19, now #54.</t>
  </si>
  <si>
    <t xml:space="preserve">SV 626/mo (MKL (DataDive)); launch window ≈ 583/mo; SQP 12-mo 4,243 searches, peak 2026-03; market CVR 1.0% (head term 1.5%).</t>
  </si>
  <si>
    <t xml:space="preserve">Organic top 20: Bedsure PW #1, Love's cabin #2, Pillcase #5, Pure Bamboo #10. Advertising: BEDELITE SP#3, Pure Bamboo SP#6, Hotel Sheets Direct SP#6, Bedsure PW SP#7. Rival ad share 34%.</t>
  </si>
  <si>
    <t xml:space="preserve">cooling bed sheet</t>
  </si>
  <si>
    <t xml:space="preserve">now #112</t>
  </si>
  <si>
    <t xml:space="preserve">best #1 (2025-10-24) · PPC-period median #18 · now #25</t>
  </si>
  <si>
    <t xml:space="preserve">Bedsure PW #3, Love's cabin #5, Bambaw #10, Pure Bamboo #17; Ads: KRIMANO SP#1, Bedsure PW SP#4, KARISSA MAE SP#6, Pure Bamboo SP#8</t>
  </si>
  <si>
    <t xml:space="preserve">CLCS4-SP-cooling bed sheet-MSV-Exact-Rank-Fix-Q-GRAPHITE</t>
  </si>
  <si>
    <t xml:space="preserve">"cooling bed sheet" asks for cooling sheet product that CooLinens sells (BreezeWeave nylon/spandex knit, 16″ pocket, 4-piece set). Relevance 95%: product type ✓, use case ✓, material ✓, intent ✓.</t>
  </si>
  <si>
    <t xml:space="preserve">Sleephoria (same product and price — strongest evidence): too few clicks to read (10); organic best #1 (2025-10-24), first top-10 2025-10-12, now #25.</t>
  </si>
  <si>
    <t xml:space="preserve">SV 672/mo (MKL (DataDive)); launch window ≈ 566/mo; SQP 12-mo 9,349 searches, peak 2026-07, Oct at 0.52× its avg; market CVR 1.9% (head term 1.5%).</t>
  </si>
  <si>
    <t xml:space="preserve">Organic top 20: Bedsure PW #3, Love's cabin #5, Bambaw #10, Pure Bamboo #17. Advertising: KRIMANO SP#1, Bedsure PW SP#4, KARISSA MAE SP#6, Pure Bamboo SP#8. Rival ad share 57%.</t>
  </si>
  <si>
    <t xml:space="preserve">sheets queen size bed set cooling</t>
  </si>
  <si>
    <t xml:space="preserve">Type ⚠ · Use ✓ · Material ✓ · Intent ✓</t>
  </si>
  <si>
    <t xml:space="preserve">now #129</t>
  </si>
  <si>
    <t xml:space="preserve">best #7 (2025-12-20) · PPC-period median #30 · now #40</t>
  </si>
  <si>
    <t xml:space="preserve">Love's cabin #3, Bedsure PW #6, KRIMANO #9, Bedsure PW Cooling #18, TRUE BAMBOO #20; Ads: BC Bella Coterie SP#3, Bedsure PW SP#3, SONORO KATE SP#4, Bedsure PW Cooling SP#4</t>
  </si>
  <si>
    <t xml:space="preserve">CLCS4-SP-sheets queen size bed set cooling-LSV-Exact-Rank-Fix-Q-GRAPHITE</t>
  </si>
  <si>
    <t xml:space="preserve">"sheets queen size bed set cooling" asks for a Queen cooling sheet product that CooLinens sells (BreezeWeave nylon/spandex knit, 16″ pocket, 4-piece set). Relevance 88%: product type ⚠, use case ✓, material ✓, intent ✓.</t>
  </si>
  <si>
    <t xml:space="preserve">Sleephoria (same product and price — strongest evidence): too few clicks to read (2); organic best #7 (2025-12-20), first top-10 2025-12-15, now #40.</t>
  </si>
  <si>
    <t xml:space="preserve">SV 659/mo (MKL (DataDive)); launch window ≈ 496/mo; SQP 12-mo 10,927 searches, peak 2026-06, Oct at 1.13× its avg; market CVR 4.7% (head term 1.5%).</t>
  </si>
  <si>
    <t xml:space="preserve">Organic top 20: Love's cabin #3, Bedsure PW #6, KRIMANO #9, Bedsure PW Cooling #18. Advertising: BC Bella Coterie SP#3, Bedsure PW SP#3, SONORO KATE SP#4, Bedsure PW Cooling SP#4. Rival ad share 63%.</t>
  </si>
  <si>
    <t xml:space="preserve">Batch 3 because the wording is questionable ("bedding / bed set" mixes sheets with comforters and toppers); it only earns budget once CooLinens has its own conversion data.</t>
  </si>
  <si>
    <t xml:space="preserve">bed sheets cooling</t>
  </si>
  <si>
    <t xml:space="preserve">best #3 (2026-03-19) · PPC-period median #18 · now #10</t>
  </si>
  <si>
    <t xml:space="preserve">Love's cabin #1, Bedsure PW #2, Pure Bamboo #10; Ads: Bedsure PW Cooling SP#6, KARISSA MAE SP#7, Pure Bamboo SP#8, Bambaw SP#8</t>
  </si>
  <si>
    <t xml:space="preserve">CLCS4-SP-bed sheets cooling-HSV-Exact-Disc-Fix-Q-GRAPHITE</t>
  </si>
  <si>
    <t xml:space="preserve">"bed sheets cooling" asks for cooling sheet product that CooLinens sells (BreezeWeave nylon/spandex knit, 16″ pocket, 4-piece set). Relevance 95%: product type ✓, use case ✓, material ✓, intent ✓.</t>
  </si>
  <si>
    <t xml:space="preserve">Decolure ($38 microfiber — adjacent, lower weight): small sample (52 clicks).</t>
  </si>
  <si>
    <t xml:space="preserve">Sleephoria (same product and price — strongest evidence): too few clicks to read (4); organic best #3 (2026-03-19), first top-10 2025-10-14, now #10.</t>
  </si>
  <si>
    <t xml:space="preserve">SV 1,023/mo (MKL (DataDive)); launch window ≈ 1,072/mo; SQP 12-mo 17,530 searches, peak 2026-07, Oct at 0.98× its avg; market CVR 1.9% (head term 1.5%).</t>
  </si>
  <si>
    <t xml:space="preserve">Organic top 20: Love's cabin #1, Bedsure PW #2, Pure Bamboo #10. Advertising: Bedsure PW Cooling SP#6, KARISSA MAE SP#7, Pure Bamboo SP#8, Bambaw SP#8. Rival ad share 54%.</t>
  </si>
  <si>
    <t xml:space="preserve">cooling king size sheets set</t>
  </si>
  <si>
    <t xml:space="preserve">Sleephoria PPC +0 · Sleephoria rank +2 · market CVR +1.5 · competitors +0 · Decolure +0</t>
  </si>
  <si>
    <t xml:space="preserve">best #4 (2026-09-17) · PPC-period median #32</t>
  </si>
  <si>
    <t xml:space="preserve">CLCS4-SP-cooling king size sheets set-HSV-Exact-Disc-Fix-K-GRAPHITE</t>
  </si>
  <si>
    <t xml:space="preserve">"cooling king size sheets set" asks for a King cooling sheet product that CooLinens sells (BreezeWeave nylon/spandex knit, 16″ pocket, 4-piece set). Relevance 100%: product type ✓, use case ✓, material ✓, intent ✓.</t>
  </si>
  <si>
    <t xml:space="preserve">Sleephoria (same product and price — strongest evidence): too few clicks to read (3); organic best #4 (2026-09-17), first top-10 2025-10-18.</t>
  </si>
  <si>
    <t xml:space="preserve">SV 466/mo (MKL (DataDive)); launch window ≈ 2,265/mo; SQP 12-mo 18,497 searches, peak 2026-05, Oct at 1.27× its avg; market CVR 3.1% (head term 1.5%).</t>
  </si>
  <si>
    <t xml:space="preserve">Totals for the visible (filtered) rows</t>
  </si>
  <si>
    <t xml:space="preserve">Batch summary — same keyword universe, three launch waves</t>
  </si>
  <si>
    <t xml:space="preserve">All numbers are live: they recount from Main_Strategy and Campaigns.</t>
  </si>
  <si>
    <t xml:space="preserve">Keywords</t>
  </si>
  <si>
    <t xml:space="preserve">Budget Caps / Day ($)</t>
  </si>
  <si>
    <t xml:space="preserve">All</t>
  </si>
  <si>
    <t xml:space="preserve">Batch 1 by objective</t>
  </si>
  <si>
    <t xml:space="preserve">Objective</t>
  </si>
  <si>
    <t xml:space="preserve">Clicks / day</t>
  </si>
  <si>
    <t xml:space="preserve">Orders / day</t>
  </si>
  <si>
    <t xml:space="preserve">Ad sales / day</t>
  </si>
  <si>
    <t xml:space="preserve">Planned spend / day</t>
  </si>
  <si>
    <t xml:space="preserve">How keywords were assigned to a batch</t>
  </si>
  <si>
    <t xml:space="preserve">Batch 1 — 15 Oct</t>
  </si>
  <si>
    <t xml:space="preserve">HERO (one keyword per campaign): relevance ≥ 90%, clean wording (no ⚠), launch-window demand &gt; 300 searches/mo, evidence score ≥ 6.0 of 12, and Sleephoria did not overpay beyond the ranking ceiling on it (≥ 100 clicks). HALO (one campaign per size group — Queen, King, Full, Twin + Cal King, no-size): relevance ≥ 90%, clean wording, 100–300 searches/mo, and either score ≥ 4 or a long-tail of a root|size syntax Sleephoria proved (CVR ≥ 8% on ≥ 200 clicks); best-evidenced 8 / 6 / 5 / 6 / 6 per Halo. Queen roots are CooLinens-owned → rank push; King / Full / Cal King / Twin are capped (Hero 50 clicks / 14 days, Halo 0.75 clicks/day per term) until the size is assigned to CooLinens.</t>
  </si>
  <si>
    <t xml:space="preserve">Batch 2 — from 29 Oct, gated</t>
  </si>
  <si>
    <t xml:space="preserve">Relevance ≥ 85% and score ≥ 4 of 12, clean wording, not picked for Batch 1 (lower evidence, or Sleephoria overpaid on it); plus branded "coolinens". Opens only when the Batch 1 gates pass: Queen Graphite CVR ≥ 7% on ≥ 100 clicks, at least a third of Queen ranking terms at organic ≤ 30 and improving, every probe ≥ 50 clicks read.</t>
  </si>
  <si>
    <t xml:space="preserve">Batch 3 — Feb–Mar 2027</t>
  </si>
  <si>
    <t xml:space="preserve">Relevance ≥ 75% and score ≥ 3.5 but questionable wording (bed set / bedding / generic phrasing), or seasonal "summer" wording. Launched with the second sized push before the Apr–Jul peak (SQP March ≈ 2× January), once CooLinens has its own CVR data and reviews.</t>
  </si>
  <si>
    <t xml:space="preserve">Any ✗ on product type, material, use case or intent; Spanish (out of scope); the same product already failed on the exact wording (Sleephoria ≥ 15 clicks with 0 orders, or CVR &lt; 5% on ≥ 20 clicks) without strong other evidence; launch-window demand &lt; 100 searches/mo; or evidence too thin (score &lt; 3.5). See the Excluded tab — every row has its reason.</t>
  </si>
  <si>
    <t xml:space="preserve">Weekly decision rule for every ranking keyword (from week 2)</t>
  </si>
  <si>
    <t xml:space="preserve">• SCALE: CVR ≥ plan, rank improved ≥ 25% week on week, ACoS ≤ ranking ceiling → keep bid, raise budget if it capped out.</t>
  </si>
  <si>
    <t xml:space="preserve">• HOLD: rank improving &lt; 25% but CVR ≥ plan → hold bid, check Top-of-Search impression share.</t>
  </si>
  <si>
    <t xml:space="preserve">• REDUCE: ACoS &gt; ranking ceiling for 2 weeks or CVR &lt; 60% of plan on ≥ 50 clicks → step the TOS modifier down one step (25 points), then the base bid 15–25%.</t>
  </si>
  <si>
    <t xml:space="preserve">• TAPER: target rank held for 2 consecutive weeks → step bids down 15–25% per cycle toward the max-profitable CPC (Sleephoria cut CPC 40% after ranking with no sales loss).</t>
  </si>
  <si>
    <t xml:space="preserve">• STOCK: advertised SKU &lt; 21 days of cover → switch to the backup SKU (Inventory tab) before the ad loses its offer.</t>
  </si>
  <si>
    <t xml:space="preserve">Campaign build and daily budgets (all batches)</t>
  </si>
  <si>
    <t xml:space="preserve">Budget = planned spend of the campaign's keywords (SUMIF from Main_Strategy) × (1 + headroom), minimum $10. Filter column B for a batch.</t>
  </si>
  <si>
    <t xml:space="preserve">Structure</t>
  </si>
  <si>
    <t xml:space="preserve">Ad Groups</t>
  </si>
  <si>
    <t xml:space="preserve">Daily Budget ($)</t>
  </si>
  <si>
    <t xml:space="preserve">Bidding &amp; Placements</t>
  </si>
  <si>
    <t xml:space="preserve">Exact match · fixed bids · TOS modifier per Main_Strategy (full-push terms only) · Product Pages 0% · Off-Amazon excluded</t>
  </si>
  <si>
    <t xml:space="preserve">Inventory, cover and preferred / backup SKUs</t>
  </si>
  <si>
    <t xml:space="preserve">Stock: DOH matrix upload (8 Oct) + Sellerboard FBA snapshot (8 Oct). Days of cover use the larger of the DOH base velocity and Batch 1 ad orders ÷ ad share (live from Main_Strategy).</t>
  </si>
  <si>
    <t xml:space="preserve">SKU</t>
  </si>
  <si>
    <t xml:space="preserve">ASIN</t>
  </si>
  <si>
    <t xml:space="preserve">Role</t>
  </si>
  <si>
    <t xml:space="preserve">Current stock (DOH)</t>
  </si>
  <si>
    <t xml:space="preserve">FBA available (Sellerboard)</t>
  </si>
  <si>
    <t xml:space="preserve">Reserved</t>
  </si>
  <si>
    <t xml:space="preserve">Inbound to FBA</t>
  </si>
  <si>
    <t xml:space="preserve">Units in production</t>
  </si>
  <si>
    <t xml:space="preserve">Base velocity (DOH, units/day)</t>
  </si>
  <si>
    <t xml:space="preserve">Batch 1 ad orders / day (Main)</t>
  </si>
  <si>
    <t xml:space="preserve">Planning velocity (units/day)</t>
  </si>
  <si>
    <t xml:space="preserve">Days of cover</t>
  </si>
  <si>
    <t xml:space="preserve">Stock status</t>
  </si>
  <si>
    <t xml:space="preserve">Min DOH</t>
  </si>
  <si>
    <t xml:space="preserve">Max DOH</t>
  </si>
  <si>
    <t xml:space="preserve">Advertised in Batch</t>
  </si>
  <si>
    <t xml:space="preserve">Graphite</t>
  </si>
  <si>
    <t xml:space="preserve">Preferred — Queen</t>
  </si>
  <si>
    <t xml:space="preserve">B1, B2, B3</t>
  </si>
  <si>
    <t xml:space="preserve">CL-COOLING-SHEET-QUEEN-COOL-GREY</t>
  </si>
  <si>
    <t xml:space="preserve">Cool Grey</t>
  </si>
  <si>
    <t xml:space="preserve">B0H6JWNCK3</t>
  </si>
  <si>
    <t xml:space="preserve">Backup — Queen</t>
  </si>
  <si>
    <t xml:space="preserve">Midnight Black</t>
  </si>
  <si>
    <t xml:space="preserve">Colour-keyword target</t>
  </si>
  <si>
    <t xml:space="preserve">B1, B2</t>
  </si>
  <si>
    <t xml:space="preserve">White</t>
  </si>
  <si>
    <t xml:space="preserve">B2</t>
  </si>
  <si>
    <t xml:space="preserve">CL-COOLING-SHEET-QUEEN-BEIGE</t>
  </si>
  <si>
    <t xml:space="preserve">Beige</t>
  </si>
  <si>
    <t xml:space="preserve">B0H6K4BKT8</t>
  </si>
  <si>
    <t xml:space="preserve">—</t>
  </si>
  <si>
    <t xml:space="preserve">CL-COOLING-SHEET-QUEEN-CREAM</t>
  </si>
  <si>
    <t xml:space="preserve">Cream</t>
  </si>
  <si>
    <t xml:space="preserve">B0H6K1XRBF</t>
  </si>
  <si>
    <t xml:space="preserve">CL-COOLING-SHEET-QUEEN-LIGHT-BLUE</t>
  </si>
  <si>
    <t xml:space="preserve">Light Blue</t>
  </si>
  <si>
    <t xml:space="preserve">B0H6K8W1VH</t>
  </si>
  <si>
    <t xml:space="preserve">CL-COOLING-SHEET-QUEEN-LIGHT-GREY</t>
  </si>
  <si>
    <t xml:space="preserve">Light Grey</t>
  </si>
  <si>
    <t xml:space="preserve">B0H6K55LHF</t>
  </si>
  <si>
    <t xml:space="preserve">CL-COOLING-SHEET-QUEEN-LIGHT-PINK</t>
  </si>
  <si>
    <t xml:space="preserve">Light Pink</t>
  </si>
  <si>
    <t xml:space="preserve">B0H6K2MXND</t>
  </si>
  <si>
    <t xml:space="preserve">CL-COOLING-SHEET-QUEEN-NAVY-BLUE</t>
  </si>
  <si>
    <t xml:space="preserve">Navy Blue</t>
  </si>
  <si>
    <t xml:space="preserve">B0H6K7PWRL</t>
  </si>
  <si>
    <t xml:space="preserve">CL-COOLING-SHEET-QUEEN-REGAL-PURPLE</t>
  </si>
  <si>
    <t xml:space="preserve">Regal Purple</t>
  </si>
  <si>
    <t xml:space="preserve">B0H6JW1KL2</t>
  </si>
  <si>
    <t xml:space="preserve">CL-COOLING-SHEET-QUEEN-SAGE-GREEN</t>
  </si>
  <si>
    <t xml:space="preserve">Sage Green</t>
  </si>
  <si>
    <t xml:space="preserve">B0H6JZVSG3</t>
  </si>
  <si>
    <t xml:space="preserve">Preferred — King</t>
  </si>
  <si>
    <t xml:space="preserve">CL-COOLING-SHEET-KING-COOL-GREY</t>
  </si>
  <si>
    <t xml:space="preserve">B0H6K77BRL</t>
  </si>
  <si>
    <t xml:space="preserve">Backup — King</t>
  </si>
  <si>
    <t xml:space="preserve">CL-COOLING-SHEET-KING-BEIGE</t>
  </si>
  <si>
    <t xml:space="preserve">B0H6KBLZ6X</t>
  </si>
  <si>
    <t xml:space="preserve">CL-COOLING-SHEET-KING-CREAM</t>
  </si>
  <si>
    <t xml:space="preserve">B0H6JWKFXF</t>
  </si>
  <si>
    <t xml:space="preserve">CL-COOLING-SHEET-KING-LIGHT-BLUE</t>
  </si>
  <si>
    <t xml:space="preserve">B0H6JYX655</t>
  </si>
  <si>
    <t xml:space="preserve">CL-COOLING-SHEET-KING-LIGHT-GREY</t>
  </si>
  <si>
    <t xml:space="preserve">B0H6K3X9SH</t>
  </si>
  <si>
    <t xml:space="preserve">CL-COOLING-SHEET-KING-LIGHT-PINK</t>
  </si>
  <si>
    <t xml:space="preserve">B0H6K7DXNY</t>
  </si>
  <si>
    <t xml:space="preserve">CL-COOLING-SHEET-KING-MIDNIGHT-BLACK</t>
  </si>
  <si>
    <t xml:space="preserve">B0H6K5JM82</t>
  </si>
  <si>
    <t xml:space="preserve">CL-COOLING-SHEET-KING-NAVY-BLUE</t>
  </si>
  <si>
    <t xml:space="preserve">B0H6K78BHY</t>
  </si>
  <si>
    <t xml:space="preserve">CL-COOLING-SHEET-KING-REGAL-PURPLE</t>
  </si>
  <si>
    <t xml:space="preserve">B0H6JZT4XF</t>
  </si>
  <si>
    <t xml:space="preserve">CL-COOLING-SHEET-KING-SAGE-GREEN</t>
  </si>
  <si>
    <t xml:space="preserve">B0H6K79KGF</t>
  </si>
  <si>
    <t xml:space="preserve">CL-COOLING-SHEET-KING-WHITE</t>
  </si>
  <si>
    <t xml:space="preserve">B0H6K7BNHG</t>
  </si>
  <si>
    <t xml:space="preserve">Preferred — CalKing</t>
  </si>
  <si>
    <t xml:space="preserve">CL-COOLING-SHEET-CAL-KING-MIDNIGHT-BLACK</t>
  </si>
  <si>
    <t xml:space="preserve">B0H6JZG4W5</t>
  </si>
  <si>
    <t xml:space="preserve">Backup — CalKing</t>
  </si>
  <si>
    <t xml:space="preserve">CL-COOLING-SHEET-CAL-KING-BEIGE</t>
  </si>
  <si>
    <t xml:space="preserve">B0H6K5RPX6</t>
  </si>
  <si>
    <t xml:space="preserve">CL-COOLING-SHEET-CAL-KING-COOL-GREY</t>
  </si>
  <si>
    <t xml:space="preserve">B0H6JWSSY9</t>
  </si>
  <si>
    <t xml:space="preserve">CL-COOLING-SHEET-CAL-KING-CREAM</t>
  </si>
  <si>
    <t xml:space="preserve">B0H6JXJHJK</t>
  </si>
  <si>
    <t xml:space="preserve">CL-COOLING-SHEET-CAL-KING-LIGHT-BLUE</t>
  </si>
  <si>
    <t xml:space="preserve">B0H6K58NNT</t>
  </si>
  <si>
    <t xml:space="preserve">CL-COOLING-SHEET-CAL-KING-LIGHT-GREY</t>
  </si>
  <si>
    <t xml:space="preserve">B0H6K5DRLZ</t>
  </si>
  <si>
    <t xml:space="preserve">CL-COOLING-SHEET-CAL-KING-LIGHT-PINK</t>
  </si>
  <si>
    <t xml:space="preserve">B0H6JYRJHC</t>
  </si>
  <si>
    <t xml:space="preserve">CL-COOLING-SHEET-CAL-KING-NAVY-BLUE</t>
  </si>
  <si>
    <t xml:space="preserve">B0H6K6KLFY</t>
  </si>
  <si>
    <t xml:space="preserve">CL-COOLING-SHEET-CAL-KING-REGAL-PURPLE</t>
  </si>
  <si>
    <t xml:space="preserve">B0H6JXKJJQ</t>
  </si>
  <si>
    <t xml:space="preserve">CL-COOLING-SHEET-CAL-KING-SAGE-GREEN</t>
  </si>
  <si>
    <t xml:space="preserve">B0H6K39KQX</t>
  </si>
  <si>
    <t xml:space="preserve">CL-COOLING-SHEET-CAL-KING-WHITE</t>
  </si>
  <si>
    <t xml:space="preserve">B0H6JYWQYR</t>
  </si>
  <si>
    <t xml:space="preserve">Preferred — Full</t>
  </si>
  <si>
    <t xml:space="preserve">CL-COOLING-SHEET-FULL-GRAPHITE</t>
  </si>
  <si>
    <t xml:space="preserve">B0H6K1C7N1</t>
  </si>
  <si>
    <t xml:space="preserve">Backup — Full</t>
  </si>
  <si>
    <t xml:space="preserve">CL-COOLING-SHEET-FULL-BEIGE</t>
  </si>
  <si>
    <t xml:space="preserve">B0H6JWJ4X2</t>
  </si>
  <si>
    <t xml:space="preserve">CL-COOLING-SHEET-FULL-CREAM</t>
  </si>
  <si>
    <t xml:space="preserve">B0H6K8FXL7</t>
  </si>
  <si>
    <t xml:space="preserve">CL-COOLING-SHEET-FULL-LIGHT-BLUE</t>
  </si>
  <si>
    <t xml:space="preserve">B0H6K5J4F2</t>
  </si>
  <si>
    <t xml:space="preserve">CL-COOLING-SHEET-FULL-LIGHT-GREY</t>
  </si>
  <si>
    <t xml:space="preserve">B0H6K2W7HC</t>
  </si>
  <si>
    <t xml:space="preserve">CL-COOLING-SHEET-FULL-LIGHT-PINK</t>
  </si>
  <si>
    <t xml:space="preserve">B0H6K1VFZ5</t>
  </si>
  <si>
    <t xml:space="preserve">CL-COOLING-SHEET-FULL-MIDNIGHT-BLACK</t>
  </si>
  <si>
    <t xml:space="preserve">B0H6KBLW87</t>
  </si>
  <si>
    <t xml:space="preserve">CL-COOLING-SHEET-FULL-NAVY-BLUE</t>
  </si>
  <si>
    <t xml:space="preserve">B0H6K57TQN</t>
  </si>
  <si>
    <t xml:space="preserve">CL-COOLING-SHEET-FULL-REGAL-PURPLE</t>
  </si>
  <si>
    <t xml:space="preserve">B0H6K4DQHY</t>
  </si>
  <si>
    <t xml:space="preserve">CL-COOLING-SHEET-FULL-SAGE-GREEN</t>
  </si>
  <si>
    <t xml:space="preserve">B0H6K2ZKTZ</t>
  </si>
  <si>
    <t xml:space="preserve">CL-COOLING-SHEET-FULL-WHITE</t>
  </si>
  <si>
    <t xml:space="preserve">B0H6JZ1QQH</t>
  </si>
  <si>
    <t xml:space="preserve">Preferred — Twin</t>
  </si>
  <si>
    <t xml:space="preserve">CL-COOLING-SHEET-TWIN-NAVY-BLUE</t>
  </si>
  <si>
    <t xml:space="preserve">B0H6K777C2</t>
  </si>
  <si>
    <t xml:space="preserve">Backup — Twin</t>
  </si>
  <si>
    <t xml:space="preserve">CL-COOLING-SHEET-TWIN-BEIGE</t>
  </si>
  <si>
    <t xml:space="preserve">B0H6K7NVS4</t>
  </si>
  <si>
    <t xml:space="preserve">CL-COOLING-SHEET-TWIN-COOL-GREY</t>
  </si>
  <si>
    <t xml:space="preserve">B0H6K2GPYY</t>
  </si>
  <si>
    <t xml:space="preserve">CL-COOLING-SHEET-TWIN-CREAM</t>
  </si>
  <si>
    <t xml:space="preserve">B0H6JZ632R</t>
  </si>
  <si>
    <t xml:space="preserve">CL-COOLING-SHEET-TWIN-LIGHT-BLUE</t>
  </si>
  <si>
    <t xml:space="preserve">B0H6JY5YZ5</t>
  </si>
  <si>
    <t xml:space="preserve">CL-COOLING-SHEET-TWIN-LIGHT-GREY</t>
  </si>
  <si>
    <t xml:space="preserve">B0H6K375NT</t>
  </si>
  <si>
    <t xml:space="preserve">CL-COOLING-SHEET-TWIN-LIGHT-PINK</t>
  </si>
  <si>
    <t xml:space="preserve">B0H6K9M7WN</t>
  </si>
  <si>
    <t xml:space="preserve">CL-COOLING-SHEET-TWIN-MIDNIGHT-BLACK</t>
  </si>
  <si>
    <t xml:space="preserve">B0H6K2WQHQ</t>
  </si>
  <si>
    <t xml:space="preserve">CL-COOLING-SHEET-TWIN-REGAL-PURPLE</t>
  </si>
  <si>
    <t xml:space="preserve">B0H6JVZNYN</t>
  </si>
  <si>
    <t xml:space="preserve">CL-COOLING-SHEET-TWIN-SAGE-GREEN</t>
  </si>
  <si>
    <t xml:space="preserve">B0H6K7PWRM</t>
  </si>
  <si>
    <t xml:space="preserve">CL-COOLING-SHEET-TWIN-WHITE</t>
  </si>
  <si>
    <t xml:space="preserve">B0H6K85JXL</t>
  </si>
  <si>
    <t xml:space="preserve">Preferred / backup per size and switch rules</t>
  </si>
  <si>
    <t xml:space="preserve">Preferred = the colour that sold most for Sleephoria/Decolure in that size and has the deepest CooLinens stock.</t>
  </si>
  <si>
    <t xml:space="preserve">size</t>
  </si>
  <si>
    <t xml:space="preserve">preferred_sku</t>
  </si>
  <si>
    <t xml:space="preserve">preferred_asin</t>
  </si>
  <si>
    <t xml:space="preserve">preferred_fba_2026-10-08</t>
  </si>
  <si>
    <t xml:space="preserve">preferred_inbound</t>
  </si>
  <si>
    <t xml:space="preserve">projected velocity u/day (SL analogue)</t>
  </si>
  <si>
    <t xml:space="preserve">preferred_DOH_base</t>
  </si>
  <si>
    <t xml:space="preserve">preferred_DOH_hero_x1.5</t>
  </si>
  <si>
    <t xml:space="preserve">backup_sku</t>
  </si>
  <si>
    <t xml:space="preserve">backup_asin</t>
  </si>
  <si>
    <t xml:space="preserve">backup_fba_2026-10-08</t>
  </si>
  <si>
    <t xml:space="preserve">backup_inbound</t>
  </si>
  <si>
    <t xml:space="preserve">backup_DOH_if_it_inherits_hero_velocity</t>
  </si>
  <si>
    <t xml:space="preserve">SL_share_in_size_pref_pct</t>
  </si>
  <si>
    <t xml:space="preserve">SL_share_in_size_backup_pct</t>
  </si>
  <si>
    <t xml:space="preserve">BM_share_in_size_pref_pct</t>
  </si>
  <si>
    <t xml:space="preserve">BM_share_in_size_backup_pct</t>
  </si>
  <si>
    <t xml:space="preserve">switch_to_backup_when</t>
  </si>
  <si>
    <t xml:space="preserve">switch_back_when</t>
  </si>
  <si>
    <t xml:space="preserve">rationale</t>
  </si>
  <si>
    <t xml:space="preserve">preferred available FBA DOH &lt; 21 at trailing-7d velocity OR preferred FBA &lt; 76 units, with no inbound receivable within 10 days</t>
  </si>
  <si>
    <t xml:space="preserve">preferred available FBA &gt;= 45 DOH (received, not just shipped)</t>
  </si>
  <si>
    <t xml:space="preserve">Graphite = #1 Queen colour in SL (20% of Queen units, 1,021 u) and BM (BM-QUEEN-GRAPHITE-GREY #1 SKU, 25.6% of BM Queen); deepest CL stock. Cool Grey = #2 in both brands (SL 14%, BM 14.8%) and 2nd-deepest CL stock. Both colours carry ad-landing traffic so their unit-session % (2.4-2.8%) understates true preference.</t>
  </si>
  <si>
    <t xml:space="preserve">preferred available FBA DOH &lt; 21 at trailing-7d velocity OR preferred FBA &lt; 49 units, with no inbound receivable within 10 days</t>
  </si>
  <si>
    <t xml:space="preserve">Graphite #1 King colour SL (19.9%, 26.5% in Jul-Oct 2026) and in BM (17.5%); Cool Grey #2 in SL (12.1%) and #1 in BM (19.5%). CL King Light Grey (#3 SL, best King CVR 6.6%) has only 42 units, too thin for a backup.</t>
  </si>
  <si>
    <t xml:space="preserve">CalKing</t>
  </si>
  <si>
    <t xml:space="preserve">preferred available FBA DOH &lt; 21 at trailing-7d velocity OR preferred FBA &lt; 15 units, with no inbound receivable within 10 days</t>
  </si>
  <si>
    <t xml:space="preserve">Graphite #1 Cal King in SL (20.8%) and BM (14.6%). Cool Grey is #2 by demand (SL 13.3%, BM 16.2%) but CL holds only 24 units; Midnight Black (SL 9.2%, BM 11.9%, CVR 5.1%) has 42 units, so it is the stock-feasible backup; Cool Grey is tertiary.</t>
  </si>
  <si>
    <t xml:space="preserve">preferred available FBA DOH &lt; 21 at trailing-7d velocity OR preferred FBA &lt; 16 units, with no inbound receivable within 10 days</t>
  </si>
  <si>
    <t xml:space="preserve">SL Full Cool Grey #1 (16.5%) but it was the advertised Full child; Graphite #2 SL (10.9%) and #1 BM Full (14.2%). In Jul-Oct 2026 Full colours are near-even (Midnight Black 13.2%, Cool Grey 10.1%, Graphite 9.6%). Preferred = Cool Grey on CL stock depth (90 vs 54); Graphite backup keeps the dark-grey hero family; Midnight Black (66 u) tertiary.</t>
  </si>
  <si>
    <t xml:space="preserve">Graphite #1 Twin in SL (21.9%) and BM (14.3%). Navy Blue #2 SL (16.3%, 19.6% in Jul-Oct 2026, best Twin CVR 7.4%). White (48 u) is a stock-deeper tertiary. Both Twin preferred and backup are thin (41/35 u).</t>
  </si>
  <si>
    <t xml:space="preserve">Stock-out history (Sleephoria + Decolure) and what it cost</t>
  </si>
  <si>
    <t xml:space="preserve">brand</t>
  </si>
  <si>
    <t xml:space="preserve">colour</t>
  </si>
  <si>
    <t xml:space="preserve">events</t>
  </si>
  <si>
    <t xml:space="preserve">first</t>
  </si>
  <si>
    <t xml:space="preserve">last</t>
  </si>
  <si>
    <t xml:space="preserve">est_lost_units</t>
  </si>
  <si>
    <t xml:space="preserve">est_lost_sales</t>
  </si>
  <si>
    <t xml:space="preserve">Sleephoria</t>
  </si>
  <si>
    <t xml:space="preserve">REGAL-PURPLE</t>
  </si>
  <si>
    <t xml:space="preserve">2026-04-15</t>
  </si>
  <si>
    <t xml:space="preserve">2026-07-10</t>
  </si>
  <si>
    <t xml:space="preserve">340.4</t>
  </si>
  <si>
    <t xml:space="preserve">COOL-GREY</t>
  </si>
  <si>
    <t xml:space="preserve">2025-12</t>
  </si>
  <si>
    <t xml:space="preserve">ongoing (2026-10-08)</t>
  </si>
  <si>
    <t xml:space="preserve">42.0347.5</t>
  </si>
  <si>
    <t xml:space="preserve">NAVY-BLUE</t>
  </si>
  <si>
    <t xml:space="preserve">2026-02</t>
  </si>
  <si>
    <t xml:space="preserve">2026-07-09</t>
  </si>
  <si>
    <t xml:space="preserve">48.0221.0</t>
  </si>
  <si>
    <t xml:space="preserve">LIGHT-BLUE</t>
  </si>
  <si>
    <t xml:space="preserve">43.0206.6</t>
  </si>
  <si>
    <t xml:space="preserve">2026-01</t>
  </si>
  <si>
    <t xml:space="preserve">20.0313.9</t>
  </si>
  <si>
    <t xml:space="preserve">WHITE</t>
  </si>
  <si>
    <t xml:space="preserve">2025-11</t>
  </si>
  <si>
    <t xml:space="preserve">2026-07-17</t>
  </si>
  <si>
    <t xml:space="preserve">53.020.0157.9</t>
  </si>
  <si>
    <t xml:space="preserve">Decolure</t>
  </si>
  <si>
    <t xml:space="preserve">GRAPHITE</t>
  </si>
  <si>
    <t xml:space="preserve">2024-01</t>
  </si>
  <si>
    <t xml:space="preserve">31.014.028.08.034.0165.978.3</t>
  </si>
  <si>
    <t xml:space="preserve">2026-05-18</t>
  </si>
  <si>
    <t xml:space="preserve">160.5</t>
  </si>
  <si>
    <t xml:space="preserve">2026-04-25</t>
  </si>
  <si>
    <t xml:space="preserve">140.5</t>
  </si>
  <si>
    <t xml:space="preserve">19.079.94.314.9</t>
  </si>
  <si>
    <t xml:space="preserve">MIDNIGHT-BLACK</t>
  </si>
  <si>
    <t xml:space="preserve">2023-12</t>
  </si>
  <si>
    <t xml:space="preserve">2026-08-14</t>
  </si>
  <si>
    <t xml:space="preserve">37.04.091.035.013.092.9</t>
  </si>
  <si>
    <t xml:space="preserve">SAGE-GREEN</t>
  </si>
  <si>
    <t xml:space="preserve">2026-04-17</t>
  </si>
  <si>
    <t xml:space="preserve">2026-07-11</t>
  </si>
  <si>
    <t xml:space="preserve">122.2</t>
  </si>
  <si>
    <t xml:space="preserve">2026-08-13</t>
  </si>
  <si>
    <t xml:space="preserve">37.03.033.07.066.8</t>
  </si>
  <si>
    <t xml:space="preserve">2024-02</t>
  </si>
  <si>
    <t xml:space="preserve">7.020.07.027.1104.9</t>
  </si>
  <si>
    <t xml:space="preserve">2026-05</t>
  </si>
  <si>
    <t xml:space="preserve">25.011.037.08.0</t>
  </si>
  <si>
    <t xml:space="preserve">9.058.01.8</t>
  </si>
  <si>
    <t xml:space="preserve">CREAM</t>
  </si>
  <si>
    <t xml:space="preserve">39.026.4</t>
  </si>
  <si>
    <t xml:space="preserve">BEIGE</t>
  </si>
  <si>
    <t xml:space="preserve">19.032.08.0</t>
  </si>
  <si>
    <t xml:space="preserve">LIGHT-GREY</t>
  </si>
  <si>
    <t xml:space="preserve">15.033.3</t>
  </si>
  <si>
    <t xml:space="preserve">2026-07</t>
  </si>
  <si>
    <t xml:space="preserve">20.018.09.0</t>
  </si>
  <si>
    <t xml:space="preserve">2024-11</t>
  </si>
  <si>
    <t xml:space="preserve">10.096.7</t>
  </si>
  <si>
    <t xml:space="preserve">40.08.3</t>
  </si>
  <si>
    <t xml:space="preserve">2026-06-03</t>
  </si>
  <si>
    <t xml:space="preserve">58.0</t>
  </si>
  <si>
    <t xml:space="preserve">5.02.011.061.0</t>
  </si>
  <si>
    <t xml:space="preserve">10.026.08.0</t>
  </si>
  <si>
    <t xml:space="preserve">2026-09</t>
  </si>
  <si>
    <t xml:space="preserve">7.018.012.015.0</t>
  </si>
  <si>
    <t xml:space="preserve">2024-08</t>
  </si>
  <si>
    <t xml:space="preserve">2026-10-01</t>
  </si>
  <si>
    <t xml:space="preserve">29.05.013.017.1</t>
  </si>
  <si>
    <t xml:space="preserve">11.04.060.4</t>
  </si>
  <si>
    <t xml:space="preserve">2026-06-25</t>
  </si>
  <si>
    <t xml:space="preserve">73.7</t>
  </si>
  <si>
    <t xml:space="preserve">16.031.6</t>
  </si>
  <si>
    <t xml:space="preserve">LIGHT-PINK</t>
  </si>
  <si>
    <t xml:space="preserve">2026-06</t>
  </si>
  <si>
    <t xml:space="preserve">11.012.07.0</t>
  </si>
  <si>
    <t xml:space="preserve">2025-06</t>
  </si>
  <si>
    <t xml:space="preserve">2025-07</t>
  </si>
  <si>
    <t xml:space="preserve">26.026.0</t>
  </si>
  <si>
    <t xml:space="preserve">2024-07</t>
  </si>
  <si>
    <t xml:space="preserve">2025-08</t>
  </si>
  <si>
    <t xml:space="preserve">16.040.06.0</t>
  </si>
  <si>
    <t xml:space="preserve">11.011.07.04.026.3</t>
  </si>
  <si>
    <t xml:space="preserve">2024-10</t>
  </si>
  <si>
    <t xml:space="preserve">31.012.016.0</t>
  </si>
  <si>
    <t xml:space="preserve">2025-01</t>
  </si>
  <si>
    <t xml:space="preserve">2026-09-28</t>
  </si>
  <si>
    <t xml:space="preserve">8.021.09.09.1</t>
  </si>
  <si>
    <t xml:space="preserve">32.8</t>
  </si>
  <si>
    <t xml:space="preserve">19.07.0</t>
  </si>
  <si>
    <t xml:space="preserve">2026-07-12</t>
  </si>
  <si>
    <t xml:space="preserve">4.018.4</t>
  </si>
  <si>
    <t xml:space="preserve">2026-03</t>
  </si>
  <si>
    <t xml:space="preserve">32.0</t>
  </si>
  <si>
    <t xml:space="preserve">Inventory constraints that change the PPC plan</t>
  </si>
  <si>
    <t xml:space="preserve">• Twin Graphite 48 units and Cal King Graphite 66 units: probe only. No ranking push on Twin / Cal King until the re-order lands — a ranked keyword that stocks out loses its rank (Sleephoria queen 18 → out of top 100 in its 2026 stock-out).</t>
  </si>
  <si>
    <t xml:space="preserve">• Queen Graphite 397 units carries every Queen rank push and both head-term probes. If cover falls below 21 days, re-point the ads to Queen Cool Grey (298 units) the same day — Sleephoria never re-pointed and lost the season.</t>
  </si>
  <si>
    <t xml:space="preserve">• No inbound for any CooLinens SKU. June demand runs ~2.8× the launch window, so the stock-out risk lands on the Apr–Jul peak. Re-order before the Feb–Mar push (Batch 3 timing assumes it).</t>
  </si>
  <si>
    <t xml:space="preserve">• Colour keywords (e.g. "black cooling sheets") advertise the matching Queen colour child — check that child's cover here before Batch 2 opens.</t>
  </si>
  <si>
    <t xml:space="preserve">Competitors — who they are, how they rank and advertise, and how they compare with CooLinens</t>
  </si>
  <si>
    <t xml:space="preserve">Sources: Inspiratek competitor capture (8 Oct), DataDive niche history, ASINsight exports (20 rivals, 61k keyword rows, late Sep 2026). CooLinens Queen $79.99, BreezeWeave nylon/spandex knit, 16″ pocket.</t>
  </si>
  <si>
    <t xml:space="preserve">1 · Competitor profiles</t>
  </si>
  <si>
    <t xml:space="preserve">Brand</t>
  </si>
  <si>
    <t xml:space="preserve">Parent ASIN</t>
  </si>
  <si>
    <t xml:space="preserve">Main child ASIN</t>
  </si>
  <si>
    <t xml:space="preserve">Product type</t>
  </si>
  <si>
    <t xml:space="preserve">Material</t>
  </si>
  <si>
    <t xml:space="preserve">Queen / ref price</t>
  </si>
  <si>
    <t xml:space="preserve">Rating</t>
  </si>
  <si>
    <t xml:space="preserve">Reviews</t>
  </si>
  <si>
    <t xml:space="preserve">Price band</t>
  </si>
  <si>
    <t xml:space="preserve">BSR (latest)</t>
  </si>
  <si>
    <t xml:space="preserve">Est. sales</t>
  </si>
  <si>
    <t xml:space="preserve">Key variations (hero children, share of traffic)</t>
  </si>
  <si>
    <t xml:space="preserve">ASINsight 7-day traffic</t>
  </si>
  <si>
    <t xml:space="preserve">Ad share of traffic</t>
  </si>
  <si>
    <t xml:space="preserve">Organic top-10 keywords</t>
  </si>
  <si>
    <t xml:space="preserve">"cooling sheets" organic / SP rank</t>
  </si>
  <si>
    <t xml:space="preserve">Main keywords (best organic)</t>
  </si>
  <si>
    <t xml:space="preserve">PPC presence (most advertised)</t>
  </si>
  <si>
    <t xml:space="preserve">Strengths</t>
  </si>
  <si>
    <t xml:space="preserve">Weaknesses</t>
  </si>
  <si>
    <t xml:space="preserve">How they compare with CooLinens</t>
  </si>
  <si>
    <t xml:space="preserve">Notes</t>
  </si>
  <si>
    <t xml:space="preserve">CooLinens (ours)</t>
  </si>
  <si>
    <t xml:space="preserve">B0H6K1MKQW (Queen Graphite)</t>
  </si>
  <si>
    <t xml:space="preserve">4pc (Twin 3pc)</t>
  </si>
  <si>
    <t xml:space="preserve">BreezeWeave nylon/spandex cooling knit, 16″ pocket</t>
  </si>
  <si>
    <t xml:space="preserve">$79.99 (King $84.99, Cal King $86.99, Full $67.99, Twin $62.99)</t>
  </si>
  <si>
    <t xml:space="preserve">REST Evercool+</t>
  </si>
  <si>
    <t xml:space="preserve">B0HC6866B7 (+B0C56VXVB3)</t>
  </si>
  <si>
    <t xml:space="preserve">B0BLYSGFRW (King) / hub B0D9JJSNC5</t>
  </si>
  <si>
    <t xml:space="preserve">4pc + 3pc Starter (no flat)</t>
  </si>
  <si>
    <t xml:space="preserve">Evercool+ cooling yarn + silver ionic yarn</t>
  </si>
  <si>
    <t xml:space="preserve">King $261.75 (list $349); 4/6pc $164.25; Twin starter $141.75</t>
  </si>
  <si>
    <t xml:space="preserve">4.3</t>
  </si>
  <si>
    <t xml:space="preserve">1133</t>
  </si>
  <si>
    <t xml:space="preserve">PREMIUM</t>
  </si>
  <si>
    <t xml:space="preserve">8557 (Oct-05)</t>
  </si>
  <si>
    <t xml:space="preserve">35/wk hub; 3946/mo DD May (King child)</t>
  </si>
  <si>
    <t xml:space="preserve">B0C56ZNQVQ(16%), B0BLYSGFRW(15%), B0BLYVMGYB(7%)</t>
  </si>
  <si>
    <t xml:space="preserve">#36 / SP#18</t>
  </si>
  <si>
    <t xml:space="preserve">rest sheets (#2,21204); king size sheets set (#74,8794); cooling sheets (#36,8387); miracle sheets (#48,3910); rest (#21,3144); rest evercool cooling comforter (#21,2745)</t>
  </si>
  <si>
    <t xml:space="preserve">cooling sheets (SP#18,52038); silk sheets (SP#10,15600); cooling pillow (SP#None,15442); rest sheets (SP#1,14655); cooling sheets king size (SP#2,10370); blue (SP#None,10016)</t>
  </si>
  <si>
    <t xml:space="preserve">heavy paid presence (ad share 78%)</t>
  </si>
  <si>
    <t xml:space="preserve">rank bought, not earned (high ad share, few organic top-10s); premium price ($261.75)</t>
  </si>
  <si>
    <t xml:space="preserve">CooLinens is 69% cheaper than its reference price; same synthetic cooling space — compete on price and proof (reviews).</t>
  </si>
  <si>
    <t xml:space="preserve">hot sleeper/night sweats/sensitive skin; SB on 3623 kw</t>
  </si>
  <si>
    <t xml:space="preserve">Breescape</t>
  </si>
  <si>
    <t xml:space="preserve">B0H41M1N4B (+B0DSPY326Y/B0H2797BXF)</t>
  </si>
  <si>
    <t xml:space="preserve">B0DSPZJKTB (King) / B0DSPZ9151 (Q)</t>
  </si>
  <si>
    <t xml:space="preserve">4pc</t>
  </si>
  <si>
    <t xml:space="preserve">BlendTek Dry&amp;Cool Q-Max&gt;0.46; 18in pocket</t>
  </si>
  <si>
    <t xml:space="preserve">Q $159.99 (May); King $149.99 list $179.99 (Oct)</t>
  </si>
  <si>
    <t xml:space="preserve">4.2 (old parents 3.8/72)</t>
  </si>
  <si>
    <t xml:space="preserve">593</t>
  </si>
  <si>
    <t xml:space="preserve">62365</t>
  </si>
  <si>
    <t xml:space="preserve">35/wk hub; ~1540/mo DD May</t>
  </si>
  <si>
    <t xml:space="preserve">B0DSPZJKTB(49%), B0DSPZSVFL(26%), B0DSPZKCCN(6%)</t>
  </si>
  <si>
    <t xml:space="preserve">#27 / SP#8</t>
  </si>
  <si>
    <t xml:space="preserve">cooling sheets (#27,8694); king size sheets set (#70,7893); breescape cooling sheets (#2,3919); cooling sheets queen (#40,3378); cooling sheets king size (#21,3293); cooling bed sheets (#43,2184)</t>
  </si>
  <si>
    <t xml:space="preserve">cooling sheets (SP#8,17166); cooling sheets queen (SP#15,6090); cooling sheets king size (SP#6,4249); cooling bed sheets (SP#15,3292); breescape cooling sheets (SP#2,3184); breescape cooling comforter blanket (SP#10,1278)</t>
  </si>
  <si>
    <t xml:space="preserve">deeper 18″ pocket</t>
  </si>
  <si>
    <t xml:space="preserve">premium price ($159.99)</t>
  </si>
  <si>
    <t xml:space="preserve">CooLinens is 50% cheaper than its reference price; same synthetic cooling space — compete on price and proof (reviews).</t>
  </si>
  <si>
    <t xml:space="preserve">SBV on 1163 kw; DD May 134 adv kw/44 TOS</t>
  </si>
  <si>
    <t xml:space="preserve">SHEEX</t>
  </si>
  <si>
    <t xml:space="preserve">B081KX96XD</t>
  </si>
  <si>
    <t xml:space="preserve">B00EWJS3PO (Q) / B00EWJHJU4</t>
  </si>
  <si>
    <t xml:space="preserve">performance moisture-wicking fabric</t>
  </si>
  <si>
    <t xml:space="preserve">Q $149 (Oct); $239.20 (May)</t>
  </si>
  <si>
    <t xml:space="preserve">4.5</t>
  </si>
  <si>
    <t xml:space="preserve">3254</t>
  </si>
  <si>
    <t xml:space="preserve">101244</t>
  </si>
  <si>
    <t xml:space="preserve">5/wk hub; 556/mo DD May</t>
  </si>
  <si>
    <t xml:space="preserve">unmeasured</t>
  </si>
  <si>
    <t xml:space="preserve">0 (DD May)</t>
  </si>
  <si>
    <t xml:space="preserve">premium price ($149.00)</t>
  </si>
  <si>
    <t xml:space="preserve">CooLinens is 46% cheaper than its reference price; same synthetic cooling space — compete on price and proof (reviews).</t>
  </si>
  <si>
    <t xml:space="preserve">no ASINsight export; top10 on 0/178 cooling kw (May)</t>
  </si>
  <si>
    <t xml:space="preserve">Elegear</t>
  </si>
  <si>
    <t xml:space="preserve">B0H7YWGBW3</t>
  </si>
  <si>
    <t xml:space="preserve">B0GCHG6VG6 (Q) / hero B0GCHRGYZZ</t>
  </si>
  <si>
    <t xml:space="preserve">silver-infused Arc-Chill 3.0; 18in</t>
  </si>
  <si>
    <t xml:space="preserve">Q $89.99 (Oct); $86.44 (May)</t>
  </si>
  <si>
    <t xml:space="preserve">4.4</t>
  </si>
  <si>
    <t xml:space="preserve">129</t>
  </si>
  <si>
    <t xml:space="preserve">179108</t>
  </si>
  <si>
    <t xml:space="preserve">5/wk hub; 276/mo DD May</t>
  </si>
  <si>
    <t xml:space="preserve">B0GCHRGYZZ(25%), B0GCHG6VG6(21%), B0GCH7FHV1(18%)</t>
  </si>
  <si>
    <t xml:space="preserve">#126 / —</t>
  </si>
  <si>
    <t xml:space="preserve">miracle sheets (#51,2655); miracle sheets king size silver infused (#45,761); cooling sheets (#126,566); bedsure cooling sheets (#42,453); silver infused antimicrobial sheets (#42,292); cooling sheets twin (#46,284)</t>
  </si>
  <si>
    <t xml:space="preserve">elegear (SP#18,939); silk sheets (SP#None,340); bedjet (SP#14,316); bed jet (SP#12,316); bed jet cooling system (SP#None,313); cooling pad for bed (SP#None,250)</t>
  </si>
  <si>
    <t xml:space="preserve">thin social proof (129 reviews)</t>
  </si>
  <si>
    <t xml:space="preserve">CooLinens is 11% cheaper than its reference price; same synthetic cooling space — compete on price and proof (reviews).</t>
  </si>
  <si>
    <t xml:space="preserve">SB 292 kw; organic top10 on 1 cooling kw</t>
  </si>
  <si>
    <t xml:space="preserve">Bedsure Cooling (Chill Cool)</t>
  </si>
  <si>
    <t xml:space="preserve">B0CPDTJ5NN</t>
  </si>
  <si>
    <t xml:space="preserve">B0CPDR1RQ9 (King) / B0DGX391VC (CalK) / hub B0DGWZTTRL</t>
  </si>
  <si>
    <t xml:space="preserve">synthetic Chill Cool; 18in</t>
  </si>
  <si>
    <t xml:space="preserve">King $75.99 / CalK $82.99 (May); hub child $139.99</t>
  </si>
  <si>
    <t xml:space="preserve">4.2-4.4</t>
  </si>
  <si>
    <t xml:space="preserve">401-508</t>
  </si>
  <si>
    <t xml:space="preserve">PREMIUM (King)</t>
  </si>
  <si>
    <t xml:space="preserve">435989 (Oct) vs 44575 (May)</t>
  </si>
  <si>
    <t xml:space="preserve">1104/mo DD May</t>
  </si>
  <si>
    <t xml:space="preserve">170 (export incomplete)</t>
  </si>
  <si>
    <t xml:space="preserve">nan</t>
  </si>
  <si>
    <t xml:space="preserve">CooLinens is 5% dearer than its reference price; same synthetic cooling space — compete on price and proof (reviews).</t>
  </si>
  <si>
    <t xml:space="preserve">ASINsight export only 22 kw - unmeasured</t>
  </si>
  <si>
    <t xml:space="preserve">Bedsure PureWoven bamboo</t>
  </si>
  <si>
    <t xml:space="preserve">B0BZ8T5BJ6</t>
  </si>
  <si>
    <t xml:space="preserve">B07YKCZHGK (Q)</t>
  </si>
  <si>
    <t xml:space="preserve">100% rayon from bamboo</t>
  </si>
  <si>
    <t xml:space="preserve">Q $64.59-67.99</t>
  </si>
  <si>
    <t xml:space="preserve">64995</t>
  </si>
  <si>
    <t xml:space="preserve">PREMIUM (edge)</t>
  </si>
  <si>
    <t xml:space="preserve">258</t>
  </si>
  <si>
    <t xml:space="preserve">809/wk hub; 29688/mo DD Oct</t>
  </si>
  <si>
    <t xml:space="preserve">B07YKCZHGK(29%), B07YK8VTJV(19%), B07YKCQBBL(14%)</t>
  </si>
  <si>
    <t xml:space="preserve">#2 / SP#10</t>
  </si>
  <si>
    <t xml:space="preserve">bamboo sheets (#3,148040); cooling sheets (#2,60729); sheets (#34,43548); king size sheets set (#15,37504); queen sheet set (#27,26480); bedsure sheets (#6,24896)</t>
  </si>
  <si>
    <t xml:space="preserve">bamboo sheets (SP#11,103986); bamboo sheets queen size (SP#18,20243); queen sheets (SP#10,16906); cooling sheets queen (SP#4,13563); bedsure sheets (SP#25,12997); sheets queen size bed set (SP#6,12574)</t>
  </si>
  <si>
    <t xml:space="preserve">review moat (64995 reviews); broad organic footprint (456 organic top-10 keywords); lower price ($64.59)</t>
  </si>
  <si>
    <t xml:space="preserve">not a cooling knit — bamboo/viscose (different fabric story); analyst note: avoid as a PAT target</t>
  </si>
  <si>
    <t xml:space="preserve">CooLinens is 24% dearer than its reference price; different fabric — compete on cooling-knit feel and the hot-sleeper promise.</t>
  </si>
  <si>
    <t xml:space="preserve">cooling sheets org #2 + AC; avoid PAT</t>
  </si>
  <si>
    <t xml:space="preserve">Bedsure PureWoven Cooling</t>
  </si>
  <si>
    <t xml:space="preserve">B0FB8XS4D1</t>
  </si>
  <si>
    <t xml:space="preserve">B0FB8XR43Q (Q)</t>
  </si>
  <si>
    <t xml:space="preserve">bamboo viscose 18in for hot sleepers</t>
  </si>
  <si>
    <t xml:space="preserve">Q $89.99 (list $119.99)</t>
  </si>
  <si>
    <t xml:space="preserve">568</t>
  </si>
  <si>
    <t xml:space="preserve">13496</t>
  </si>
  <si>
    <t xml:space="preserve">92/wk hub; 3062/mo DD Oct</t>
  </si>
  <si>
    <t xml:space="preserve">B0FB8XR43Q(31%), B0FB8ZTD7M(18%), B0GLN6VP9Y(11%)</t>
  </si>
  <si>
    <t xml:space="preserve">#79 / SP#12</t>
  </si>
  <si>
    <t xml:space="preserve">bamboo sheets (#60,8302); quince bedding (#39,4548); miracle sheets (#39,3937); bamboo sheets queen size (#48,3447); bed sheets (#103,3094); bedsure sheets (#24,2973)</t>
  </si>
  <si>
    <t xml:space="preserve">bamboo sheets (SP#10,88348); bamboo sheets queen size (SP#11,17419); deep pocket queen sheets (SP#20,16018); cooling sheets queen (SP#2,15488); cooling sheets (SP#12,15127); bedsure sheets (SP#6,10740)</t>
  </si>
  <si>
    <t xml:space="preserve">heavy paid presence (ad share 86%); deeper 18″ pocket</t>
  </si>
  <si>
    <t xml:space="preserve">not a cooling knit — bamboo/viscose (different fabric story); rank bought, not earned (high ad share, few organic top-10s)</t>
  </si>
  <si>
    <t xml:space="preserve">CooLinens is 11% cheaper than its reference price; different fabric — compete on cooling-knit feel and the hot-sleeper promise.</t>
  </si>
  <si>
    <t xml:space="preserve">cooling sheets queen SP#2</t>
  </si>
  <si>
    <t xml:space="preserve">Pure Bamboo</t>
  </si>
  <si>
    <t xml:space="preserve">B0CZQ52MTQ</t>
  </si>
  <si>
    <t xml:space="preserve">B07DZTQ4JC / hero B07MZ4GKZH</t>
  </si>
  <si>
    <t xml:space="preserve">bamboo viscose</t>
  </si>
  <si>
    <t xml:space="preserve">$109.99 (hub child)</t>
  </si>
  <si>
    <t xml:space="preserve">21857</t>
  </si>
  <si>
    <t xml:space="preserve">247</t>
  </si>
  <si>
    <t xml:space="preserve">809/wk hub</t>
  </si>
  <si>
    <t xml:space="preserve">B07MZ4GKZH(30%), B079RXWGSD(12%), B07DZTQ4JC(11%)</t>
  </si>
  <si>
    <t xml:space="preserve">#11 / SP#19</t>
  </si>
  <si>
    <t xml:space="preserve">bamboo sheets (#9,248015); king size sheets set (#18,68707); bamboo sheets king size (#11,27983); bamboo sheets queen size (#12,22687); bed sheets (#34,21965); queen sheet set (#32,19453)</t>
  </si>
  <si>
    <t xml:space="preserve">bamboo sheets (SP#3,159301); shee (SP#None,110217); sheets (SP#7,69203); bed sheets (SP#7,55623); cooling sheets (SP#19,45775); queen sheet set (SP#2,33538)</t>
  </si>
  <si>
    <t xml:space="preserve">review moat (21857 reviews); broad organic footprint (321 organic top-10 keywords)</t>
  </si>
  <si>
    <t xml:space="preserve">not a cooling knit — bamboo/viscose (different fabric story)</t>
  </si>
  <si>
    <t xml:space="preserve">CooLinens is 27% cheaper than its reference price; different fabric — compete on cooling-knit feel and the hot-sleeper promise.</t>
  </si>
  <si>
    <t xml:space="preserve">cooling sheets org 11/SP 19</t>
  </si>
  <si>
    <t xml:space="preserve">Love's cabin</t>
  </si>
  <si>
    <t xml:space="preserve">B0DN1GGFL7</t>
  </si>
  <si>
    <t xml:space="preserve">B0DN1DVKH5 (Q)</t>
  </si>
  <si>
    <t xml:space="preserve">rayon from bamboo 16in</t>
  </si>
  <si>
    <t xml:space="preserve">Q $37.99 (list $44.99)</t>
  </si>
  <si>
    <t xml:space="preserve">1856</t>
  </si>
  <si>
    <t xml:space="preserve">BUDGET</t>
  </si>
  <si>
    <t xml:space="preserve">628</t>
  </si>
  <si>
    <t xml:space="preserve">924/wk hub; 21959/mo DD Oct</t>
  </si>
  <si>
    <t xml:space="preserve">B0DN1DVKH5(43%), B0DN1H6C88(10%), B0DN1D4YKB(9%)</t>
  </si>
  <si>
    <t xml:space="preserve">#5 / SP#9</t>
  </si>
  <si>
    <t xml:space="preserve">bamboo sheets (#1,175790); bamboo sheets queen size (#1,27850); queen sheets (#18,24828); bed sheets (#25,21040); sheets (#19,18339); cooling sheets (#5,17992)</t>
  </si>
  <si>
    <t xml:space="preserve">bamboo sheets (SP#4,11280); full size sheets (SP#13,2410); cooling sheets (SP#9,1858); black sheets (SP#3,1855); bamboo sheets queen size (SP#2,1512); full size bed sheets (SP#10,1403)</t>
  </si>
  <si>
    <t xml:space="preserve">broad organic footprint (310 organic top-10 keywords); lower price ($37.99)</t>
  </si>
  <si>
    <t xml:space="preserve">CooLinens is 111% dearer than its reference price; different fabric — compete on cooling-knit feel and the hot-sleeper promise.</t>
  </si>
  <si>
    <t xml:space="preserve">organic top10 on 81 cooling kw; avoid</t>
  </si>
  <si>
    <t xml:space="preserve">BC Bella Coterie</t>
  </si>
  <si>
    <t xml:space="preserve">B0H29V113N</t>
  </si>
  <si>
    <t xml:space="preserve">B08L86VLZB (King)</t>
  </si>
  <si>
    <t xml:space="preserve">bamboo viscose 18in</t>
  </si>
  <si>
    <t xml:space="preserve">King $134.99</t>
  </si>
  <si>
    <t xml:space="preserve">5859</t>
  </si>
  <si>
    <t xml:space="preserve">2249</t>
  </si>
  <si>
    <t xml:space="preserve">81/wk hub; 10255/mo DD Oct</t>
  </si>
  <si>
    <t xml:space="preserve">B0C979FD5Z(12%), B09JTQMF5C(11%), B08L86VLZB(6%)</t>
  </si>
  <si>
    <t xml:space="preserve">#33 / SP#4</t>
  </si>
  <si>
    <t xml:space="preserve">bamboo sheets (#20,23474); queen sheets (#52,10771); king sheets (#33,9450); sheets (#50,6329); bamboo sheets king size (#28,5484); king size sheets set (#83,5456)</t>
  </si>
  <si>
    <t xml:space="preserve">bamboo sheets (SP#1,79483); king size sheets set (SP#1,66908); california king sheet sets (SP#23,8244); split king sheets sets for adjustable bed (SP#17,8179); bamboo sheets king size (SP#15,8167); coterie (SP#8,7019)</t>
  </si>
  <si>
    <t xml:space="preserve">review moat (5859 reviews); deeper 18″ pocket</t>
  </si>
  <si>
    <t xml:space="preserve">not a cooling knit — bamboo/viscose (different fabric story); premium price ($134.99)</t>
  </si>
  <si>
    <t xml:space="preserve">CooLinens is 41% cheaper than its reference price; different fabric — compete on cooling-knit feel and the hot-sleeper promise.</t>
  </si>
  <si>
    <t xml:space="preserve">DD Oct 327 adv kw (68%)/58 TOS</t>
  </si>
  <si>
    <t xml:space="preserve">Hotel Sheets Direct</t>
  </si>
  <si>
    <t xml:space="preserve">B0G5N99X9R</t>
  </si>
  <si>
    <t xml:space="preserve">B01N9L2O9P (Q)</t>
  </si>
  <si>
    <t xml:space="preserve">viscose from bamboo</t>
  </si>
  <si>
    <t xml:space="preserve">Q $79.99</t>
  </si>
  <si>
    <t xml:space="preserve">37169</t>
  </si>
  <si>
    <t xml:space="preserve">5122</t>
  </si>
  <si>
    <t xml:space="preserve">185/wk hub</t>
  </si>
  <si>
    <t xml:space="preserve">B01N9L2O9P(30%), B01N0UB2GO(20%), B072WD91XH(10%)</t>
  </si>
  <si>
    <t xml:space="preserve">#45 / SP#4</t>
  </si>
  <si>
    <t xml:space="preserve">bamboo sheets (#24,27829); king size sheets set (#51,15674); queen sheet set (#42,15090); sheets (#38,14601); bamboo sheets queen size (#28,12912); hotel (#27,10563)</t>
  </si>
  <si>
    <t xml:space="preserve">hotel (SP#8,107601); bamboo sheets (SP#26,4257); hotel sheets direct (SP#17,3533); bed sheets (SP#3,2579); quince bedding (SP#29,2222); bamboo sheets queen size (SP#12,2119)</t>
  </si>
  <si>
    <t xml:space="preserve">review moat (37169 reviews)</t>
  </si>
  <si>
    <t xml:space="preserve">CooLinens is 0% dearer than its reference price; different fabric — compete on cooling-knit feel and the hot-sleeper promise.</t>
  </si>
  <si>
    <t xml:space="preserve">37k reviews - avoid</t>
  </si>
  <si>
    <t xml:space="preserve">Bambaw</t>
  </si>
  <si>
    <t xml:space="preserve">B07K6SYX8L</t>
  </si>
  <si>
    <t xml:space="preserve">B0DR99Q37Y (Q)</t>
  </si>
  <si>
    <t xml:space="preserve">viscose from bamboo 16in</t>
  </si>
  <si>
    <t xml:space="preserve">Q $89.99</t>
  </si>
  <si>
    <t xml:space="preserve">2736</t>
  </si>
  <si>
    <t xml:space="preserve">17710</t>
  </si>
  <si>
    <t xml:space="preserve">173/wk hub; 2543/mo DD Oct</t>
  </si>
  <si>
    <t xml:space="preserve">B0DR99Q37Y(55%), B0DR98VW37(10%), B0F2J1742T(7%)</t>
  </si>
  <si>
    <t xml:space="preserve">#24 / SP#6</t>
  </si>
  <si>
    <t xml:space="preserve">bamboo sheets (#19,27909); bed sheets (#38,17911); queen bed sheets (#45,12727); queen sheet set (#64,11611); cooling sheets (#24,9211); bamboo sheets queen size (#14,8996)</t>
  </si>
  <si>
    <t xml:space="preserve">bamboo sheets (SP#6,63208); cooling sheets (SP#6,24555); bamboo sheets queen size (SP#10,11412); cooling sheets queen (SP#8,11268); shee (SP#10,8732); cooling sheets king size (SP#7,5930)</t>
  </si>
  <si>
    <t xml:space="preserve">cooling sheets org 24/SP 6</t>
  </si>
  <si>
    <t xml:space="preserve">KRIMANO</t>
  </si>
  <si>
    <t xml:space="preserve">B0FT7L9RSX</t>
  </si>
  <si>
    <t xml:space="preserve">B0FT7LZ2CD / B0FT7LV7PP</t>
  </si>
  <si>
    <t xml:space="preserve">organic viscose bamboo 17in</t>
  </si>
  <si>
    <t xml:space="preserve">Q $79.99-89.99</t>
  </si>
  <si>
    <t xml:space="preserve">252</t>
  </si>
  <si>
    <t xml:space="preserve">5790</t>
  </si>
  <si>
    <t xml:space="preserve">173/wk hub</t>
  </si>
  <si>
    <t xml:space="preserve">B0FT7LV7PP(53%), B0FT7LZ2CD(37%)</t>
  </si>
  <si>
    <t xml:space="preserve">#56 / SP#16</t>
  </si>
  <si>
    <t xml:space="preserve">king size sheets set (#26,27812); bamboo sheets (#17,27378); bamboo sheets queen size (#13,6513); silk sheets (#29,6172); queen sheets (#69,5687); cooling sheets (#56,4943)</t>
  </si>
  <si>
    <t xml:space="preserve">queen bed sheets (SP#2,18951); bamboo sheets (SP#11,16859); king sheets (SP#7,10749); king size sheets set (SP#11,10459); sheets queen size bed set (SP#11,7477); king bed sheets (SP#2,5175)</t>
  </si>
  <si>
    <t xml:space="preserve">king size cooling sheets org 4-5</t>
  </si>
  <si>
    <t xml:space="preserve">TRUE BAMBOO</t>
  </si>
  <si>
    <t xml:space="preserve">B0HHQ97HBL</t>
  </si>
  <si>
    <t xml:space="preserve">B0H5WYMXJK (King)</t>
  </si>
  <si>
    <t xml:space="preserve">bamboo</t>
  </si>
  <si>
    <t xml:space="preserve">King $99.99</t>
  </si>
  <si>
    <t xml:space="preserve">155</t>
  </si>
  <si>
    <t xml:space="preserve">7509</t>
  </si>
  <si>
    <t xml:space="preserve">92/wk hub</t>
  </si>
  <si>
    <t xml:space="preserve">B0HD7R5L1D(43%), B0H5WYMXJK(32%), B0H7BYKYCD(11%)</t>
  </si>
  <si>
    <t xml:space="preserve">#63 / SP#12</t>
  </si>
  <si>
    <t xml:space="preserve">king size sheets set (#22,11923); bamboo sheets (#84,9338); bamboo sheets queen size (#4,6440); king sheets (#36,6300); queen bed sheets (#43,5646); deep pocket king sheet set (#26,3863)</t>
  </si>
  <si>
    <t xml:space="preserve">king size sheets set (SP#8,60867); queen sheet set (SP#6,42858); queen sheets (SP#6,38389); queen bed sheets (SP#5,24405); king sheets (SP#6,20085); sheets queen size bed set (SP#5,19958)</t>
  </si>
  <si>
    <t xml:space="preserve">heavy paid presence (ad share 82%)</t>
  </si>
  <si>
    <t xml:space="preserve">not a cooling knit — bamboo/viscose (different fabric story); thin social proof (155 reviews)</t>
  </si>
  <si>
    <t xml:space="preserve">CooLinens is 20% cheaper than its reference price; different fabric — compete on cooling-knit feel and the hot-sleeper promise.</t>
  </si>
  <si>
    <t xml:space="preserve">cooling sheets queen org 7/SP 7</t>
  </si>
  <si>
    <t xml:space="preserve">KARISSA MAE</t>
  </si>
  <si>
    <t xml:space="preserve">B0GT172Y8L</t>
  </si>
  <si>
    <t xml:space="preserve">B0G1CSCQTB</t>
  </si>
  <si>
    <t xml:space="preserve">unverified</t>
  </si>
  <si>
    <t xml:space="preserve">unverified (bamboo-led keyword profile)</t>
  </si>
  <si>
    <t xml:space="preserve">$119.99</t>
  </si>
  <si>
    <t xml:space="preserve">472</t>
  </si>
  <si>
    <t xml:space="preserve">15394</t>
  </si>
  <si>
    <t xml:space="preserve">35/wk hub</t>
  </si>
  <si>
    <t xml:space="preserve">B0F9X7MV5B(14%), B0G1CSCQTB(10%), B0F9X8BNQB(7%)</t>
  </si>
  <si>
    <t xml:space="preserve">#142 / SP#7</t>
  </si>
  <si>
    <t xml:space="preserve">split king sheets sets for adjustable bed (#53,3236); bamboo sheets (#121,2937); split top king sheets sets for adjustable bed (#16,1477); sleep number sheets split top king (#23,1199); king sheet set (#76,982); split king sheets (#35,800)</t>
  </si>
  <si>
    <t xml:space="preserve">bamboo sheets (SP#19,43032); king size sheets set (SP#16,17146); bed sheets (SP#13,9665); split king sheets sets for adjustable bed (SP#4,9238); sheets (SP#13,8347); bamboo sheets queen size (SP#16,7700)</t>
  </si>
  <si>
    <t xml:space="preserve">heavy paid presence (ad share 86%)</t>
  </si>
  <si>
    <t xml:space="preserve">CooLinens is 33% cheaper than its reference price; different fabric — compete on cooling-knit feel and the hot-sleeper promise.</t>
  </si>
  <si>
    <t xml:space="preserve">ads-only on cooling (0 org top10)</t>
  </si>
  <si>
    <t xml:space="preserve">Pillcase (Tencel+bamboo)</t>
  </si>
  <si>
    <t xml:space="preserve">B0H1GGHHVN / B0HK71WHZW / B0HJYG8V9Q / B0FLDYD61P</t>
  </si>
  <si>
    <t xml:space="preserve">B0HFZQRXXQ (Q)</t>
  </si>
  <si>
    <t xml:space="preserve">Tencel lyocell + bamboo viscose 18in</t>
  </si>
  <si>
    <t xml:space="preserve">Q $79 (list $109); $99 white; old King $109.99-199</t>
  </si>
  <si>
    <t xml:space="preserve">4.9 (old 2.3-2.6)</t>
  </si>
  <si>
    <t xml:space="preserve">203-294 (old 24-35)</t>
  </si>
  <si>
    <t xml:space="preserve">23295</t>
  </si>
  <si>
    <t xml:space="preserve">B0H9K6WK34(27%), B0H1GVML4Z(24%), B0HFXGSDF1(22%)</t>
  </si>
  <si>
    <t xml:space="preserve">#19 / SP#5</t>
  </si>
  <si>
    <t xml:space="preserve">king size sheets set (#49,29029); bamboo sheets (#28,24516); cooling sheets (#19,9826); sheets queen size bed set (#36,7789); sheets (#34,7375); bed sheets queen size (#29,4708)</t>
  </si>
  <si>
    <t xml:space="preserve">cooling sheets (SP#5,3168); cooling sheets king size (SP#17,1588); bamboo sheets king size (SP#21,613); tencel lyocell sheets (SP#1,521); pillcase (SP#1,91); cooling bed sheets (SP#3,75)</t>
  </si>
  <si>
    <t xml:space="preserve">CooLinens is 1% dearer than its reference price; different fabric — compete on cooling-knit feel and the hot-sleeper promise.</t>
  </si>
  <si>
    <t xml:space="preserve">low ad; B0HJYG8V9Q org #3 on cooling sheets king size</t>
  </si>
  <si>
    <t xml:space="preserve">TWK</t>
  </si>
  <si>
    <t xml:space="preserve">B0HHQG3RSW</t>
  </si>
  <si>
    <t xml:space="preserve">B0H35S6VLR (Q)</t>
  </si>
  <si>
    <t xml:space="preserve">viscose bamboo 18in</t>
  </si>
  <si>
    <t xml:space="preserve">Q $62.10 (list $69); old King $109.99-199 3.6/37</t>
  </si>
  <si>
    <t xml:space="preserve">4.8</t>
  </si>
  <si>
    <t xml:space="preserve">131</t>
  </si>
  <si>
    <t xml:space="preserve">93032</t>
  </si>
  <si>
    <t xml:space="preserve">82471</t>
  </si>
  <si>
    <t xml:space="preserve">13 cooling kw</t>
  </si>
  <si>
    <t xml:space="preserve">lower price ($62.10); deeper 18″ pocket</t>
  </si>
  <si>
    <t xml:space="preserve">not a cooling knit — bamboo/viscose (different fabric story); thin social proof (131 reviews)</t>
  </si>
  <si>
    <t xml:space="preserve">CooLinens is 29% dearer than its reference price; different fabric — compete on cooling-knit feel and the hot-sleeper promise.</t>
  </si>
  <si>
    <t xml:space="preserve">California Design Den</t>
  </si>
  <si>
    <t xml:space="preserve">B0HFBJPD56</t>
  </si>
  <si>
    <t xml:space="preserve">B0GWHFGLVL (Q)</t>
  </si>
  <si>
    <t xml:space="preserve">viscose bamboo</t>
  </si>
  <si>
    <t xml:space="preserve">4.7</t>
  </si>
  <si>
    <t xml:space="preserve">66</t>
  </si>
  <si>
    <t xml:space="preserve">22545</t>
  </si>
  <si>
    <t xml:space="preserve">18/wk hub</t>
  </si>
  <si>
    <t xml:space="preserve">B0GWHFGLVL(32%), B0GWHPJ9SD(10%), B0GWHMSZYL(8%)</t>
  </si>
  <si>
    <t xml:space="preserve">#102 / SP#3</t>
  </si>
  <si>
    <t xml:space="preserve">bamboo sheets (#61,16512); silk sheets (#52,3295); deep pocket queen sheets (#34,3053); bamboo sheets queen size (#55,2822); bamboo sheets king size (#43,2241); california design den sheets (#25,2182)</t>
  </si>
  <si>
    <t xml:space="preserve">cooling sheets (SP#3,659); california king sheet sets (SP#1,658); full size sheets (SP#3,510); bamboo sheets (SP#13,335); full bed sheets (SP#2,299); sheets full size bed (SP#3,280)</t>
  </si>
  <si>
    <t xml:space="preserve">not a cooling knit — bamboo/viscose (different fabric story); thin social proof (66 reviews)</t>
  </si>
  <si>
    <t xml:space="preserve">BEDELITE</t>
  </si>
  <si>
    <t xml:space="preserve">B0GT98GVQN</t>
  </si>
  <si>
    <t xml:space="preserve">B0GT8Z4X5D (Q)</t>
  </si>
  <si>
    <t xml:space="preserve">Q $89.90</t>
  </si>
  <si>
    <t xml:space="preserve">4.6</t>
  </si>
  <si>
    <t xml:space="preserve">108</t>
  </si>
  <si>
    <t xml:space="preserve">90451</t>
  </si>
  <si>
    <t xml:space="preserve">B0GT8Z4X5D(87%)</t>
  </si>
  <si>
    <t xml:space="preserve">#71 / SP#18</t>
  </si>
  <si>
    <t xml:space="preserve">bamboo sheets (#118,2052); deep pocket king sheet set (#68,1190); miracle sheets (#84,1180); bamboo sheets queen size (#76,1112); cooling sheets queen (#71,955); cooling sheets full size (#38,643)</t>
  </si>
  <si>
    <t xml:space="preserve">queen sheets (SP#8,31092); bamboo sheets (SP#19,25129); queen bed sheets (SP#14,14129); sheets queen size bed set (SP#8,13468); bamboo sheets queen size (SP#6,12119); sheets (SP#11,6116)</t>
  </si>
  <si>
    <t xml:space="preserve">heavy paid presence (ad share 89%)</t>
  </si>
  <si>
    <t xml:space="preserve">not a cooling knit — bamboo/viscose (different fabric story); rank bought, not earned (high ad share, few organic top-10s); thin social proof (108 reviews)</t>
  </si>
  <si>
    <t xml:space="preserve">SP#1 cool sheets for hot sleepers</t>
  </si>
  <si>
    <t xml:space="preserve">SONORO KATE</t>
  </si>
  <si>
    <t xml:space="preserve">B0F4852T9V / B0F29FQLFD</t>
  </si>
  <si>
    <t xml:space="preserve">B0F4873G4H / B0F29F1JM5</t>
  </si>
  <si>
    <t xml:space="preserve">viscose bamboo 18-24in</t>
  </si>
  <si>
    <t xml:space="preserve">$79.99 / $59.99</t>
  </si>
  <si>
    <t xml:space="preserve">3767-3909</t>
  </si>
  <si>
    <t xml:space="preserve">PREMIUM/edge</t>
  </si>
  <si>
    <t xml:space="preserve">10779 / 32866</t>
  </si>
  <si>
    <t xml:space="preserve">104 + 81/wk hub</t>
  </si>
  <si>
    <t xml:space="preserve">B0F486MGJ1(46%), B0F4873G4H(45%)</t>
  </si>
  <si>
    <t xml:space="preserve">#77 / —</t>
  </si>
  <si>
    <t xml:space="preserve">bamboo sheets (#30,23618); deep pocket queen sheets (#11,8202); king size sheets set (#77,7300); deep pocket king sheet set (#6,7055); king sheets deep pocket (#6,6018); queen sheets deep pocket (#20,5273)</t>
  </si>
  <si>
    <t xml:space="preserve">queen bed sheets (SP#10,470); bed sheets queen size (SP#18,279); deep pocket king sheet set (SP#21,246); king sheets (SP#4,209); queen bed sheet set (SP#12,164); extra deep pocket king sheets (SP#19,155)</t>
  </si>
  <si>
    <t xml:space="preserve">broad organic footprint (129 organic top-10 keywords); deeper 18″ pocket</t>
  </si>
  <si>
    <t xml:space="preserve">Shilucheng (4 parents)</t>
  </si>
  <si>
    <t xml:space="preserve">B0HJSVWNRS / B09PYQ2VQL / B0F2TDDFGJ / B098JT1RF2</t>
  </si>
  <si>
    <t xml:space="preserve">B0FWY1TGFK (Q $29.74)</t>
  </si>
  <si>
    <t xml:space="preserve">rayon-bamboo blend / viscose</t>
  </si>
  <si>
    <t xml:space="preserve">Q $29.74; others $37.90-74.99</t>
  </si>
  <si>
    <t xml:space="preserve">4.3-4.5</t>
  </si>
  <si>
    <t xml:space="preserve">24339 (B0FWY1TGFK)</t>
  </si>
  <si>
    <t xml:space="preserve">BUDGET (mostly)</t>
  </si>
  <si>
    <t xml:space="preserve">5219</t>
  </si>
  <si>
    <t xml:space="preserve">92/wk hub; 11904/mo DD Mar</t>
  </si>
  <si>
    <t xml:space="preserve">135323 (+55k/42k/23k)</t>
  </si>
  <si>
    <t xml:space="preserve">42-55 cooling kw</t>
  </si>
  <si>
    <t xml:space="preserve">review moat (24339 (B0FWY1TGFK) reviews); lower price ($29.74)</t>
  </si>
  <si>
    <t xml:space="preserve">CooLinens is 169% dearer than its reference price; different fabric — compete on cooling-knit feel and the hot-sleeper promise.</t>
  </si>
  <si>
    <t xml:space="preserve">avoid B0FWY1TGFK</t>
  </si>
  <si>
    <t xml:space="preserve">Degrees of Comfort Coolmax</t>
  </si>
  <si>
    <t xml:space="preserve">B0DXT68BBR</t>
  </si>
  <si>
    <t xml:space="preserve">B08YS6WZRR (Q)</t>
  </si>
  <si>
    <t xml:space="preserve">Coolmax polyester</t>
  </si>
  <si>
    <t xml:space="preserve">Q $28.49 (list $29.99)</t>
  </si>
  <si>
    <t xml:space="preserve">4.1</t>
  </si>
  <si>
    <t xml:space="preserve">7324</t>
  </si>
  <si>
    <t xml:space="preserve">38796</t>
  </si>
  <si>
    <t xml:space="preserve">35/wk hub; 1431-1533/mo DD May</t>
  </si>
  <si>
    <t xml:space="preserve">review moat (7324 reviews); lower price ($28.49)</t>
  </si>
  <si>
    <t xml:space="preserve">CooLinens is 181% dearer than its reference price; same synthetic cooling space — compete on price and proof (reviews).</t>
  </si>
  <si>
    <t xml:space="preserve">strong organic: top10 on 20-25 cooling kw (May); PolarEdge Pro B0DYS4HVM3 Q $148.99 4.3/59 BSR 806589</t>
  </si>
  <si>
    <t xml:space="preserve">Comfort Spaces Coolmax fitted</t>
  </si>
  <si>
    <t xml:space="preserve">B0DCGL5646</t>
  </si>
  <si>
    <t xml:space="preserve">B08R6MTY36 (Q)</t>
  </si>
  <si>
    <t xml:space="preserve">fitted only</t>
  </si>
  <si>
    <t xml:space="preserve">Coolmax</t>
  </si>
  <si>
    <t xml:space="preserve">$28.49</t>
  </si>
  <si>
    <t xml:space="preserve">23009</t>
  </si>
  <si>
    <t xml:space="preserve">2001</t>
  </si>
  <si>
    <t xml:space="preserve">347/wk hub</t>
  </si>
  <si>
    <t xml:space="preserve">review moat (23009 reviews); lower price ($28.49)</t>
  </si>
  <si>
    <t xml:space="preserve">analyst note: avoid as a PAT target</t>
  </si>
  <si>
    <t xml:space="preserve">fitted-only demand leader; avoid</t>
  </si>
  <si>
    <t xml:space="preserve">Amazon Basics Cooling</t>
  </si>
  <si>
    <t xml:space="preserve">B0FX4P92L8 (Full)</t>
  </si>
  <si>
    <t xml:space="preserve">100% recycled polyester 15in</t>
  </si>
  <si>
    <t xml:space="preserve">Full $49.99</t>
  </si>
  <si>
    <t xml:space="preserve">23</t>
  </si>
  <si>
    <t xml:space="preserve">mid</t>
  </si>
  <si>
    <t xml:space="preserve">8889 (May)</t>
  </si>
  <si>
    <t xml:space="preserve">5213/mo DD May</t>
  </si>
  <si>
    <t xml:space="preserve">0</t>
  </si>
  <si>
    <t xml:space="preserve">lower price ($49.99)</t>
  </si>
  <si>
    <t xml:space="preserve">thin social proof (23 reviews); analyst note: avoid as a PAT target</t>
  </si>
  <si>
    <t xml:space="preserve">CooLinens is 60% dearer than its reference price; same synthetic cooling space — compete on price and proof (reviews).</t>
  </si>
  <si>
    <t xml:space="preserve">top10 on 25 cooling kw (May); 1P - avoid</t>
  </si>
  <si>
    <t xml:space="preserve">Cozy Bliss Premium Cooling</t>
  </si>
  <si>
    <t xml:space="preserve">B0DMNQDZNB (Q) / B0DMNP5BC8 (K)</t>
  </si>
  <si>
    <t xml:space="preserve">3pc no flat</t>
  </si>
  <si>
    <t xml:space="preserve">Q-Max&gt;0.45 18in</t>
  </si>
  <si>
    <t xml:space="preserve">Q $89.99; King $99.99</t>
  </si>
  <si>
    <t xml:space="preserve">436</t>
  </si>
  <si>
    <t xml:space="preserve">92159 (May)</t>
  </si>
  <si>
    <t xml:space="preserve">653/mo DD May</t>
  </si>
  <si>
    <t xml:space="preserve">PAT target: 3pc at higher price</t>
  </si>
  <si>
    <t xml:space="preserve">DOWNCOOL</t>
  </si>
  <si>
    <t xml:space="preserve">B0F93XRVSZ</t>
  </si>
  <si>
    <t xml:space="preserve">B0F93XMMQY (Q) / B0GFHLLGJ1 (Full)</t>
  </si>
  <si>
    <t xml:space="preserve">Q-Max&gt;0.4 15in</t>
  </si>
  <si>
    <t xml:space="preserve">Q $79.99 (May); Full $54.99</t>
  </si>
  <si>
    <t xml:space="preserve">4.1 (Q 24 rev); 4.5 (Full 91); parent 4.2/6</t>
  </si>
  <si>
    <t xml:space="preserve">24-91</t>
  </si>
  <si>
    <t xml:space="preserve">PREMIUM (Q)</t>
  </si>
  <si>
    <t xml:space="preserve">92100 (Full May); 2798999 (hub Sep-14)</t>
  </si>
  <si>
    <t xml:space="preserve">585/mo Full DD May</t>
  </si>
  <si>
    <t xml:space="preserve">thin social proof (24-91 reviews)</t>
  </si>
  <si>
    <t xml:space="preserve">CooLinens is 0% dearer than its reference price; same synthetic cooling space — compete on price and proof (reviews).</t>
  </si>
  <si>
    <t xml:space="preserve">OMERAI</t>
  </si>
  <si>
    <t xml:space="preserve">B0HDC7BMTC</t>
  </si>
  <si>
    <t xml:space="preserve">B0FX8K1CG9 / old B09SPRMT9F</t>
  </si>
  <si>
    <t xml:space="preserve">$59.99 (new); old Q $109.99</t>
  </si>
  <si>
    <t xml:space="preserve">4.6 (3 rev); old 4.2/320</t>
  </si>
  <si>
    <t xml:space="preserve">3-320</t>
  </si>
  <si>
    <t xml:space="preserve">mid/PREMIUM</t>
  </si>
  <si>
    <t xml:space="preserve">170691</t>
  </si>
  <si>
    <t xml:space="preserve">5/wk hub</t>
  </si>
  <si>
    <t xml:space="preserve">B0BM9K24ST(46%), B0BM9GLKYV(43%)</t>
  </si>
  <si>
    <t xml:space="preserve">#119 / SP#16</t>
  </si>
  <si>
    <t xml:space="preserve">cooling sheets queen (#47,4212); cooling sheets (#119,2562); cooling sheets king size (#126,894); king size cooling sheets (#47,723); rest sheets (#68,258); cooling queen sheets (#52,181)</t>
  </si>
  <si>
    <t xml:space="preserve">cooling sheets (SP#16,245); rest sheets (SP#19,155); cooling sheets king size (SP#5,133); hot sleepers must haves (SP#15,121); bedsure cooling sheets (SP#12,104); cooling sheets queen (SP#27,93)</t>
  </si>
  <si>
    <t xml:space="preserve">lower price ($59.99)</t>
  </si>
  <si>
    <t xml:space="preserve">thin social proof (3-320 reviews)</t>
  </si>
  <si>
    <t xml:space="preserve">CooLinens is 33% dearer than its reference price; same synthetic cooling space — compete on price and proof (reviews).</t>
  </si>
  <si>
    <t xml:space="preserve">CGK Unlimited Cooling</t>
  </si>
  <si>
    <t xml:space="preserve">B0FT4VV426</t>
  </si>
  <si>
    <t xml:space="preserve">B0FT575735 / B0FT4TC7NV</t>
  </si>
  <si>
    <t xml:space="preserve">3pc Twin XL</t>
  </si>
  <si>
    <t xml:space="preserve">poly cooling</t>
  </si>
  <si>
    <t xml:space="preserve">$57.99 TwinXL</t>
  </si>
  <si>
    <t xml:space="preserve">4.1-4.2</t>
  </si>
  <si>
    <t xml:space="preserve">50-117</t>
  </si>
  <si>
    <t xml:space="preserve">364130</t>
  </si>
  <si>
    <t xml:space="preserve">5/wk hub; 238/mo DD May</t>
  </si>
  <si>
    <t xml:space="preserve">59 adv kw (DD May)</t>
  </si>
  <si>
    <t xml:space="preserve">lower price ($57.99)</t>
  </si>
  <si>
    <t xml:space="preserve">thin social proof (50-117 reviews); analyst note: avoid as a PAT target</t>
  </si>
  <si>
    <t xml:space="preserve">CooLinens is 38% dearer than its reference price; same synthetic cooling space — compete on price and proof (reviews).</t>
  </si>
  <si>
    <t xml:space="preserve">CGK microfiber B01M16WBW1 $24.99 461815 rev BSR 2 with 337 adv kw - avoid</t>
  </si>
  <si>
    <t xml:space="preserve">Brookstone cooling fitted</t>
  </si>
  <si>
    <t xml:space="preserve">B0CXB579TZ</t>
  </si>
  <si>
    <t xml:space="preserve">B0CTKL3YJ2</t>
  </si>
  <si>
    <t xml:space="preserve">$69.99</t>
  </si>
  <si>
    <t xml:space="preserve">183</t>
  </si>
  <si>
    <t xml:space="preserve">PREMIUM (fitted)</t>
  </si>
  <si>
    <t xml:space="preserve">574513</t>
  </si>
  <si>
    <t xml:space="preserve">lower price ($69.99)</t>
  </si>
  <si>
    <t xml:space="preserve">thin social proof (183 reviews)</t>
  </si>
  <si>
    <t xml:space="preserve">CooLinens is 14% dearer than its reference price; same synthetic cooling space — compete on price and proof (reviews).</t>
  </si>
  <si>
    <t xml:space="preserve">HOT SLEEPER SHEETS</t>
  </si>
  <si>
    <t xml:space="preserve">B0D3M9TXW7 / B0D3XQM7DL (Q)</t>
  </si>
  <si>
    <t xml:space="preserve">viscose bamboo 16in</t>
  </si>
  <si>
    <t xml:space="preserve">Q $51.29-65.99</t>
  </si>
  <si>
    <t xml:space="preserve">4.4-4.5</t>
  </si>
  <si>
    <t xml:space="preserve">478-671</t>
  </si>
  <si>
    <t xml:space="preserve">41741-45396</t>
  </si>
  <si>
    <t xml:space="preserve">1273-1541/mo DD</t>
  </si>
  <si>
    <t xml:space="preserve">lower price ($51.29)</t>
  </si>
  <si>
    <t xml:space="preserve">CooLinens is 56% dearer than its reference price; different fabric — compete on cooling-knit feel and the hot-sleeper promise.</t>
  </si>
  <si>
    <t xml:space="preserve">MR&amp;HM</t>
  </si>
  <si>
    <t xml:space="preserve">B0DL5NCTYF (Q)</t>
  </si>
  <si>
    <t xml:space="preserve">rayon bamboo + polyester 15in</t>
  </si>
  <si>
    <t xml:space="preserve">Q $36.99-40.99</t>
  </si>
  <si>
    <t xml:space="preserve">600</t>
  </si>
  <si>
    <t xml:space="preserve">24811-36016</t>
  </si>
  <si>
    <t xml:space="preserve">2012-2174/mo DD</t>
  </si>
  <si>
    <t xml:space="preserve">37 adv kw (DD May)</t>
  </si>
  <si>
    <t xml:space="preserve">lower price ($36.99)</t>
  </si>
  <si>
    <t xml:space="preserve">CooLinens is 116% dearer than its reference price; different fabric — compete on cooling-knit feel and the hot-sleeper promise.</t>
  </si>
  <si>
    <t xml:space="preserve">SISTER Sleephoria</t>
  </si>
  <si>
    <t xml:space="preserve">B0F7LXFGLX</t>
  </si>
  <si>
    <t xml:space="preserve">B0F7LY3K8C (Q) / B0F7M19VYV</t>
  </si>
  <si>
    <t xml:space="preserve">BreezeWeave</t>
  </si>
  <si>
    <t xml:space="preserve">Q $64.99 (May)</t>
  </si>
  <si>
    <t xml:space="preserve">842</t>
  </si>
  <si>
    <t xml:space="preserve">42927 (May)</t>
  </si>
  <si>
    <t xml:space="preserve">1470/mo DD May</t>
  </si>
  <si>
    <t xml:space="preserve">38974 (Oct-06)</t>
  </si>
  <si>
    <t xml:space="preserve">lower price ($64.99)</t>
  </si>
  <si>
    <t xml:space="preserve">CooLinens is 23% dearer than its reference price; same synthetic cooling space — compete on price and proof (reviews).</t>
  </si>
  <si>
    <t xml:space="preserve">traffic 54433 (Sep-18) -&gt; 38974 (Oct-06)</t>
  </si>
  <si>
    <t xml:space="preserve">SISTER Decolure</t>
  </si>
  <si>
    <t xml:space="preserve">B0CWJ2ZQJR</t>
  </si>
  <si>
    <t xml:space="preserve">B0C9LQWPC7 (Q) / hero B0C9LS5H2T</t>
  </si>
  <si>
    <t xml:space="preserve">bamboo viscose microfiber</t>
  </si>
  <si>
    <t xml:space="preserve">Q $37.95 (May); $49.95 (Oct DD - shown FBM/0 sellers)</t>
  </si>
  <si>
    <t xml:space="preserve">4.2-4.3</t>
  </si>
  <si>
    <t xml:space="preserve">1304-1418</t>
  </si>
  <si>
    <t xml:space="preserve">104996 (May) -&gt; 176326-189815 (Oct)</t>
  </si>
  <si>
    <t xml:space="preserve">477/mo May -&gt; 209-212/mo Oct</t>
  </si>
  <si>
    <t xml:space="preserve">13066 (Oct-06)</t>
  </si>
  <si>
    <t xml:space="preserve">lower price ($37.95)</t>
  </si>
  <si>
    <t xml:space="preserve">DD Oct flags B0C9LQWPC7 as FBM/0 active sellers - check stock</t>
  </si>
  <si>
    <t xml:space="preserve">2 · Organic and sponsored rank of each tracked rival on every Main_Strategy keyword</t>
  </si>
  <si>
    <t xml:space="preserve">"#7" = organic rank 7; "SP3" = sponsored position 3 (ASINsight, late Sep 2026). Blank = not in the rival's export. This is the source of the competitor columns on Main_Strategy.</t>
  </si>
  <si>
    <t xml:space="preserve">Sleephoria now</t>
  </si>
  <si>
    <t xml:space="preserve">Bedsure PureWoven (bamboo)</t>
  </si>
  <si>
    <t xml:space="preserve">Pillcase (King cooling parent)</t>
  </si>
  <si>
    <t xml:space="preserve">Pillcase (charcoal parent)</t>
  </si>
  <si>
    <t xml:space="preserve">Pillcase (white parent)</t>
  </si>
  <si>
    <t xml:space="preserve">#98 / SP16</t>
  </si>
  <si>
    <t xml:space="preserve">#71 / SP11</t>
  </si>
  <si>
    <t xml:space="preserve">#12 / SP8</t>
  </si>
  <si>
    <t xml:space="preserve">#6 / SP4</t>
  </si>
  <si>
    <t xml:space="preserve">#90 / SP2</t>
  </si>
  <si>
    <t xml:space="preserve">#40 / SP15</t>
  </si>
  <si>
    <t xml:space="preserve">#79 / SP4</t>
  </si>
  <si>
    <t xml:space="preserve">#131 / SP9</t>
  </si>
  <si>
    <t xml:space="preserve">#35 / SP18</t>
  </si>
  <si>
    <t xml:space="preserve">SP21</t>
  </si>
  <si>
    <t xml:space="preserve">#68 / SP20</t>
  </si>
  <si>
    <t xml:space="preserve">#5 / SP4</t>
  </si>
  <si>
    <t xml:space="preserve">#47 / SP27</t>
  </si>
  <si>
    <t xml:space="preserve">#3</t>
  </si>
  <si>
    <t xml:space="preserve">#31</t>
  </si>
  <si>
    <t xml:space="preserve">#17 / SP7</t>
  </si>
  <si>
    <t xml:space="preserve">#28 / SP9</t>
  </si>
  <si>
    <t xml:space="preserve">#77 / SP16</t>
  </si>
  <si>
    <t xml:space="preserve">#66 / SP26</t>
  </si>
  <si>
    <t xml:space="preserve">#7 / SP7</t>
  </si>
  <si>
    <t xml:space="preserve">#25</t>
  </si>
  <si>
    <t xml:space="preserve">#95 / SP18</t>
  </si>
  <si>
    <t xml:space="preserve">#18 / SP6</t>
  </si>
  <si>
    <t xml:space="preserve">#9 / SP20</t>
  </si>
  <si>
    <t xml:space="preserve">#84 / SP11</t>
  </si>
  <si>
    <t xml:space="preserve">#40 / SP9</t>
  </si>
  <si>
    <t xml:space="preserve">#66</t>
  </si>
  <si>
    <t xml:space="preserve">#99</t>
  </si>
  <si>
    <t xml:space="preserve">#69 / SP10</t>
  </si>
  <si>
    <t xml:space="preserve">#65</t>
  </si>
  <si>
    <t xml:space="preserve">#5 / SP12</t>
  </si>
  <si>
    <t xml:space="preserve">#88 / SP14</t>
  </si>
  <si>
    <t xml:space="preserve">#46</t>
  </si>
  <si>
    <t xml:space="preserve">#43</t>
  </si>
  <si>
    <t xml:space="preserve">#34 / SP10</t>
  </si>
  <si>
    <t xml:space="preserve">#51 / SP12</t>
  </si>
  <si>
    <t xml:space="preserve">#57</t>
  </si>
  <si>
    <t xml:space="preserve">#45 / SP8</t>
  </si>
  <si>
    <t xml:space="preserve">#72 / SP11</t>
  </si>
  <si>
    <t xml:space="preserve">#81 / SP8</t>
  </si>
  <si>
    <t xml:space="preserve">#93 / SP5</t>
  </si>
  <si>
    <t xml:space="preserve">#4 / SP11</t>
  </si>
  <si>
    <t xml:space="preserve">#118 / SP9</t>
  </si>
  <si>
    <t xml:space="preserve">#30 / SP9</t>
  </si>
  <si>
    <t xml:space="preserve">#54</t>
  </si>
  <si>
    <t xml:space="preserve">#116</t>
  </si>
  <si>
    <t xml:space="preserve">#82 / SP12</t>
  </si>
  <si>
    <t xml:space="preserve">#138 / SP24</t>
  </si>
  <si>
    <t xml:space="preserve">#50</t>
  </si>
  <si>
    <t xml:space="preserve">#1</t>
  </si>
  <si>
    <t xml:space="preserve">#65 / SP4</t>
  </si>
  <si>
    <t xml:space="preserve">#29</t>
  </si>
  <si>
    <t xml:space="preserve">#35</t>
  </si>
  <si>
    <t xml:space="preserve">#46 / SP12</t>
  </si>
  <si>
    <t xml:space="preserve">#130 / SP12</t>
  </si>
  <si>
    <t xml:space="preserve">#51</t>
  </si>
  <si>
    <t xml:space="preserve">#103 / SP23</t>
  </si>
  <si>
    <t xml:space="preserve">#108 / SP11</t>
  </si>
  <si>
    <t xml:space="preserve">#116 / SP5</t>
  </si>
  <si>
    <t xml:space="preserve">#11 / SP6</t>
  </si>
  <si>
    <t xml:space="preserve">#5 / SP21</t>
  </si>
  <si>
    <t xml:space="preserve">#56 / SP11</t>
  </si>
  <si>
    <t xml:space="preserve">#50 / SP20</t>
  </si>
  <si>
    <t xml:space="preserve">#90</t>
  </si>
  <si>
    <t xml:space="preserve">#60 / SP17</t>
  </si>
  <si>
    <t xml:space="preserve">#143 / SP4</t>
  </si>
  <si>
    <t xml:space="preserve">#76</t>
  </si>
  <si>
    <t xml:space="preserve">#4</t>
  </si>
  <si>
    <t xml:space="preserve">#52</t>
  </si>
  <si>
    <t xml:space="preserve">#41</t>
  </si>
  <si>
    <t xml:space="preserve">#63 / SP18</t>
  </si>
  <si>
    <t xml:space="preserve">#79 / SP11</t>
  </si>
  <si>
    <t xml:space="preserve">#30</t>
  </si>
  <si>
    <t xml:space="preserve">#25 / SP28</t>
  </si>
  <si>
    <t xml:space="preserve">#23 / SP17</t>
  </si>
  <si>
    <t xml:space="preserve">#66 / SP9</t>
  </si>
  <si>
    <t xml:space="preserve">#9 / SP7</t>
  </si>
  <si>
    <t xml:space="preserve">#3 / SP19</t>
  </si>
  <si>
    <t xml:space="preserve">#78 / SP20</t>
  </si>
  <si>
    <t xml:space="preserve">#63 / SP21</t>
  </si>
  <si>
    <t xml:space="preserve">#67</t>
  </si>
  <si>
    <t xml:space="preserve">#118</t>
  </si>
  <si>
    <t xml:space="preserve">#64 / SP12</t>
  </si>
  <si>
    <t xml:space="preserve">#144 / SP12</t>
  </si>
  <si>
    <t xml:space="preserve">#46 / SP15</t>
  </si>
  <si>
    <t xml:space="preserve">#4 / SP12</t>
  </si>
  <si>
    <t xml:space="preserve">#127</t>
  </si>
  <si>
    <t xml:space="preserve">#34</t>
  </si>
  <si>
    <t xml:space="preserve">#57 / SP16</t>
  </si>
  <si>
    <t xml:space="preserve">#85 / SP29</t>
  </si>
  <si>
    <t xml:space="preserve">#45 / SP20</t>
  </si>
  <si>
    <t xml:space="preserve">#94 / SP19</t>
  </si>
  <si>
    <t xml:space="preserve">#14 / SP11</t>
  </si>
  <si>
    <t xml:space="preserve">#6 / SP19</t>
  </si>
  <si>
    <t xml:space="preserve">#31 / SP23</t>
  </si>
  <si>
    <t xml:space="preserve">#40 / SP25</t>
  </si>
  <si>
    <t xml:space="preserve">#104</t>
  </si>
  <si>
    <t xml:space="preserve">#82</t>
  </si>
  <si>
    <t xml:space="preserve">#37 / SP12</t>
  </si>
  <si>
    <t xml:space="preserve">#123 / SP24</t>
  </si>
  <si>
    <t xml:space="preserve">#15 / SP10</t>
  </si>
  <si>
    <t xml:space="preserve">#103</t>
  </si>
  <si>
    <t xml:space="preserve">#28</t>
  </si>
  <si>
    <t xml:space="preserve">#22 / SP24</t>
  </si>
  <si>
    <t xml:space="preserve">#82 / SP15</t>
  </si>
  <si>
    <t xml:space="preserve">#33</t>
  </si>
  <si>
    <t xml:space="preserve">#27 / SP20</t>
  </si>
  <si>
    <t xml:space="preserve">#101 / SP17</t>
  </si>
  <si>
    <t xml:space="preserve">#131</t>
  </si>
  <si>
    <t xml:space="preserve">#4 / SP7</t>
  </si>
  <si>
    <t xml:space="preserve">#28 / SP26</t>
  </si>
  <si>
    <t xml:space="preserve">#41 / SP19</t>
  </si>
  <si>
    <t xml:space="preserve">#91</t>
  </si>
  <si>
    <t xml:space="preserve">#44</t>
  </si>
  <si>
    <t xml:space="preserve">#103 / SP18</t>
  </si>
  <si>
    <t xml:space="preserve">SP13</t>
  </si>
  <si>
    <t xml:space="preserve">#39 / SP5</t>
  </si>
  <si>
    <t xml:space="preserve">#5</t>
  </si>
  <si>
    <t xml:space="preserve">#42</t>
  </si>
  <si>
    <t xml:space="preserve">#24</t>
  </si>
  <si>
    <t xml:space="preserve">#43 / SP28</t>
  </si>
  <si>
    <t xml:space="preserve">#120 / SP11</t>
  </si>
  <si>
    <t xml:space="preserve">#21 / SP7</t>
  </si>
  <si>
    <t xml:space="preserve">#78 / SP8</t>
  </si>
  <si>
    <t xml:space="preserve">#40 / SP1</t>
  </si>
  <si>
    <t xml:space="preserve">#38 / SP9</t>
  </si>
  <si>
    <t xml:space="preserve">#1 / SP16</t>
  </si>
  <si>
    <t xml:space="preserve">#60 / SP10</t>
  </si>
  <si>
    <t xml:space="preserve">#31 / SP4</t>
  </si>
  <si>
    <t xml:space="preserve">#64</t>
  </si>
  <si>
    <t xml:space="preserve">#96</t>
  </si>
  <si>
    <t xml:space="preserve">#62</t>
  </si>
  <si>
    <t xml:space="preserve">SP10</t>
  </si>
  <si>
    <t xml:space="preserve">#4 / SP8</t>
  </si>
  <si>
    <t xml:space="preserve">#125</t>
  </si>
  <si>
    <t xml:space="preserve">#134</t>
  </si>
  <si>
    <t xml:space="preserve">#26</t>
  </si>
  <si>
    <t xml:space="preserve">#55 / SP11</t>
  </si>
  <si>
    <t xml:space="preserve">#127 / SP9</t>
  </si>
  <si>
    <t xml:space="preserve">#129 / SP12</t>
  </si>
  <si>
    <t xml:space="preserve">#79 / SP19</t>
  </si>
  <si>
    <t xml:space="preserve">#14 / SP8</t>
  </si>
  <si>
    <t xml:space="preserve">#52 / SP16</t>
  </si>
  <si>
    <t xml:space="preserve">#39 / SP12</t>
  </si>
  <si>
    <t xml:space="preserve">#48</t>
  </si>
  <si>
    <t xml:space="preserve">#60 / SP11</t>
  </si>
  <si>
    <t xml:space="preserve">#134 / SP18</t>
  </si>
  <si>
    <t xml:space="preserve">#114</t>
  </si>
  <si>
    <t xml:space="preserve">#37</t>
  </si>
  <si>
    <t xml:space="preserve">#44 / SP18</t>
  </si>
  <si>
    <t xml:space="preserve">#31 / SP1</t>
  </si>
  <si>
    <t xml:space="preserve">#22 / SP6</t>
  </si>
  <si>
    <t xml:space="preserve">#79 / SP10</t>
  </si>
  <si>
    <t xml:space="preserve">#117 / SP20</t>
  </si>
  <si>
    <t xml:space="preserve">#92 / SP6</t>
  </si>
  <si>
    <t xml:space="preserve">#2 / SP12</t>
  </si>
  <si>
    <t xml:space="preserve">#96 / SP9</t>
  </si>
  <si>
    <t xml:space="preserve">#21 / SP12</t>
  </si>
  <si>
    <t xml:space="preserve">#57 / SP2</t>
  </si>
  <si>
    <t xml:space="preserve">#144</t>
  </si>
  <si>
    <t xml:space="preserve">#69 / SP9</t>
  </si>
  <si>
    <t xml:space="preserve">#1 / SP12</t>
  </si>
  <si>
    <t xml:space="preserve">#23 / SP18</t>
  </si>
  <si>
    <t xml:space="preserve">#38</t>
  </si>
  <si>
    <t xml:space="preserve">#47 / SP12</t>
  </si>
  <si>
    <t xml:space="preserve">#122 / SP12</t>
  </si>
  <si>
    <t xml:space="preserve">#51 / SP22</t>
  </si>
  <si>
    <t xml:space="preserve">#33 / SP4</t>
  </si>
  <si>
    <t xml:space="preserve">#71 / SP18</t>
  </si>
  <si>
    <t xml:space="preserve">#24 / SP6</t>
  </si>
  <si>
    <t xml:space="preserve">#2 / SP10</t>
  </si>
  <si>
    <t xml:space="preserve">#79 / SP12</t>
  </si>
  <si>
    <t xml:space="preserve">#27 / SP8</t>
  </si>
  <si>
    <t xml:space="preserve">#102 / SP3</t>
  </si>
  <si>
    <t xml:space="preserve">#126</t>
  </si>
  <si>
    <t xml:space="preserve">#45 / SP4</t>
  </si>
  <si>
    <t xml:space="preserve">#142 / SP7</t>
  </si>
  <si>
    <t xml:space="preserve">#56 / SP16</t>
  </si>
  <si>
    <t xml:space="preserve">#5 / SP9</t>
  </si>
  <si>
    <t xml:space="preserve">#119 / SP16</t>
  </si>
  <si>
    <t xml:space="preserve">#3 / SP12</t>
  </si>
  <si>
    <t xml:space="preserve">#19 / SP5</t>
  </si>
  <si>
    <t xml:space="preserve">#56 / SP2</t>
  </si>
  <si>
    <t xml:space="preserve">#11 / SP19</t>
  </si>
  <si>
    <t xml:space="preserve">#36 / SP18</t>
  </si>
  <si>
    <t xml:space="preserve">#77</t>
  </si>
  <si>
    <t xml:space="preserve">#63 / SP12</t>
  </si>
  <si>
    <t xml:space="preserve">#97 / SP27</t>
  </si>
  <si>
    <t xml:space="preserve">#95</t>
  </si>
  <si>
    <t xml:space="preserve">#9 / SP10</t>
  </si>
  <si>
    <t xml:space="preserve">#2 / SP11</t>
  </si>
  <si>
    <t xml:space="preserve">#23 / SP25</t>
  </si>
  <si>
    <t xml:space="preserve">#43 / SP15</t>
  </si>
  <si>
    <t xml:space="preserve">#88</t>
  </si>
  <si>
    <t xml:space="preserve">#119</t>
  </si>
  <si>
    <t xml:space="preserve">#73 / SP12</t>
  </si>
  <si>
    <t xml:space="preserve">#49 / SP5</t>
  </si>
  <si>
    <t xml:space="preserve">#133 / SP19</t>
  </si>
  <si>
    <t xml:space="preserve">#7</t>
  </si>
  <si>
    <t xml:space="preserve">#26 / SP3</t>
  </si>
  <si>
    <t xml:space="preserve">#55</t>
  </si>
  <si>
    <t xml:space="preserve">#19 / SP12</t>
  </si>
  <si>
    <t xml:space="preserve">#51 / SP11</t>
  </si>
  <si>
    <t xml:space="preserve">#75</t>
  </si>
  <si>
    <t xml:space="preserve">#67 / SP5</t>
  </si>
  <si>
    <t xml:space="preserve">#100 / SP28</t>
  </si>
  <si>
    <t xml:space="preserve">#19 / SP6</t>
  </si>
  <si>
    <t xml:space="preserve">#1 / SP15</t>
  </si>
  <si>
    <t xml:space="preserve">#53 / SP19</t>
  </si>
  <si>
    <t xml:space="preserve">#10 / SP16</t>
  </si>
  <si>
    <t xml:space="preserve">#116 / SP2</t>
  </si>
  <si>
    <t xml:space="preserve">#94</t>
  </si>
  <si>
    <t xml:space="preserve">#78 / SP16</t>
  </si>
  <si>
    <t xml:space="preserve">#136 / SP4</t>
  </si>
  <si>
    <t xml:space="preserve">#17</t>
  </si>
  <si>
    <t xml:space="preserve">#44 / SP8</t>
  </si>
  <si>
    <t xml:space="preserve">#62 / SP6</t>
  </si>
  <si>
    <t xml:space="preserve">#11 / SP10</t>
  </si>
  <si>
    <t xml:space="preserve">#66 / SP3</t>
  </si>
  <si>
    <t xml:space="preserve">#33 / SP6</t>
  </si>
  <si>
    <t xml:space="preserve">#19 / SP11</t>
  </si>
  <si>
    <t xml:space="preserve">#39 / SP7</t>
  </si>
  <si>
    <t xml:space="preserve">#49 / SP10</t>
  </si>
  <si>
    <t xml:space="preserve">#36 / SP8</t>
  </si>
  <si>
    <t xml:space="preserve">#52 / SP12</t>
  </si>
  <si>
    <t xml:space="preserve">#24 / SP1</t>
  </si>
  <si>
    <t xml:space="preserve">#58</t>
  </si>
  <si>
    <t xml:space="preserve">#114 / SP5</t>
  </si>
  <si>
    <t xml:space="preserve">#23 / SP21</t>
  </si>
  <si>
    <t xml:space="preserve">#123</t>
  </si>
  <si>
    <t xml:space="preserve">#11</t>
  </si>
  <si>
    <t xml:space="preserve">#26 / SP25</t>
  </si>
  <si>
    <t xml:space="preserve">#45</t>
  </si>
  <si>
    <t xml:space="preserve">#85</t>
  </si>
  <si>
    <t xml:space="preserve">#42 / SP18</t>
  </si>
  <si>
    <t xml:space="preserve">#20 / SP17</t>
  </si>
  <si>
    <t xml:space="preserve">#35 / SP26</t>
  </si>
  <si>
    <t xml:space="preserve">#33 / SP27</t>
  </si>
  <si>
    <t xml:space="preserve">#11 / SP12</t>
  </si>
  <si>
    <t xml:space="preserve">#9 / SP8</t>
  </si>
  <si>
    <t xml:space="preserve">#5 / SP25</t>
  </si>
  <si>
    <t xml:space="preserve">#34 / SP3</t>
  </si>
  <si>
    <t xml:space="preserve">#137 / SP8</t>
  </si>
  <si>
    <t xml:space="preserve">#89 / SP8</t>
  </si>
  <si>
    <t xml:space="preserve">#13</t>
  </si>
  <si>
    <t xml:space="preserve">#143</t>
  </si>
  <si>
    <t xml:space="preserve">#15 / SP23</t>
  </si>
  <si>
    <t xml:space="preserve">#69</t>
  </si>
  <si>
    <t xml:space="preserve">#37 / SP10</t>
  </si>
  <si>
    <t xml:space="preserve">#19 / SP23</t>
  </si>
  <si>
    <t xml:space="preserve">#29 / SP11</t>
  </si>
  <si>
    <t xml:space="preserve">#3 / SP22</t>
  </si>
  <si>
    <t xml:space="preserve">#21 / SP9</t>
  </si>
  <si>
    <t xml:space="preserve">#30 / SP6</t>
  </si>
  <si>
    <t xml:space="preserve">#26 / SP12</t>
  </si>
  <si>
    <t xml:space="preserve">#39</t>
  </si>
  <si>
    <t xml:space="preserve">#105 / SP15</t>
  </si>
  <si>
    <t xml:space="preserve">#12 / SP11</t>
  </si>
  <si>
    <t xml:space="preserve">#9</t>
  </si>
  <si>
    <t xml:space="preserve">#5 / SP13</t>
  </si>
  <si>
    <t xml:space="preserve">#79</t>
  </si>
  <si>
    <t xml:space="preserve">#49</t>
  </si>
  <si>
    <t xml:space="preserve">#23 / SP9</t>
  </si>
  <si>
    <t xml:space="preserve">#129 / SP23</t>
  </si>
  <si>
    <t xml:space="preserve">#101 / SP5</t>
  </si>
  <si>
    <t xml:space="preserve">#37 / SP7</t>
  </si>
  <si>
    <t xml:space="preserve">#56 / SP3</t>
  </si>
  <si>
    <t xml:space="preserve">#90 / SP7</t>
  </si>
  <si>
    <t xml:space="preserve">#60 / SP4</t>
  </si>
  <si>
    <t xml:space="preserve">#141 / SP8</t>
  </si>
  <si>
    <t xml:space="preserve">#12 / SP23</t>
  </si>
  <si>
    <t xml:space="preserve">#5 / SP19</t>
  </si>
  <si>
    <t xml:space="preserve">SP16</t>
  </si>
  <si>
    <t xml:space="preserve">#24 / SP12</t>
  </si>
  <si>
    <t xml:space="preserve">#41 / SP26</t>
  </si>
  <si>
    <t xml:space="preserve">#137 / SP10</t>
  </si>
  <si>
    <t xml:space="preserve">#8 / SP3</t>
  </si>
  <si>
    <t xml:space="preserve">#74</t>
  </si>
  <si>
    <t xml:space="preserve">#107</t>
  </si>
  <si>
    <t xml:space="preserve">#83</t>
  </si>
  <si>
    <t xml:space="preserve">SP23</t>
  </si>
  <si>
    <t xml:space="preserve">#27</t>
  </si>
  <si>
    <t xml:space="preserve">#32</t>
  </si>
  <si>
    <t xml:space="preserve">#50 / SP14</t>
  </si>
  <si>
    <t xml:space="preserve">#119 / SP3</t>
  </si>
  <si>
    <t xml:space="preserve">#53 / SP1</t>
  </si>
  <si>
    <t xml:space="preserve">#50 / SP6</t>
  </si>
  <si>
    <t xml:space="preserve">#80 / SP4</t>
  </si>
  <si>
    <t xml:space="preserve">#48 / SP12</t>
  </si>
  <si>
    <t xml:space="preserve">#70 / SP4</t>
  </si>
  <si>
    <t xml:space="preserve">SP11</t>
  </si>
  <si>
    <t xml:space="preserve">#110</t>
  </si>
  <si>
    <t xml:space="preserve">#47</t>
  </si>
  <si>
    <t xml:space="preserve">#7 / SP6</t>
  </si>
  <si>
    <t xml:space="preserve">#69 / SP25</t>
  </si>
  <si>
    <t xml:space="preserve">#40</t>
  </si>
  <si>
    <t xml:space="preserve">#124 / SP6</t>
  </si>
  <si>
    <t xml:space="preserve">#59</t>
  </si>
  <si>
    <t xml:space="preserve">#142 / SP8</t>
  </si>
  <si>
    <t xml:space="preserve">#33 / SP22</t>
  </si>
  <si>
    <t xml:space="preserve">#41 / SP15</t>
  </si>
  <si>
    <t xml:space="preserve">#34 / SP16</t>
  </si>
  <si>
    <t xml:space="preserve">#122</t>
  </si>
  <si>
    <t xml:space="preserve">#98 / SP12</t>
  </si>
  <si>
    <t xml:space="preserve">#133 / SP16</t>
  </si>
  <si>
    <t xml:space="preserve">#21</t>
  </si>
  <si>
    <t xml:space="preserve">#2 / SP8</t>
  </si>
  <si>
    <t xml:space="preserve">#64 / SP20</t>
  </si>
  <si>
    <t xml:space="preserve">#144 / SP21</t>
  </si>
  <si>
    <t xml:space="preserve">#52 / SP23</t>
  </si>
  <si>
    <t xml:space="preserve">#140 / SP15</t>
  </si>
  <si>
    <t xml:space="preserve">#129</t>
  </si>
  <si>
    <t xml:space="preserve">#44 / SP10</t>
  </si>
  <si>
    <t xml:space="preserve">#60 / SP16</t>
  </si>
  <si>
    <t xml:space="preserve">#93 / SP23</t>
  </si>
  <si>
    <t xml:space="preserve">#78 / SP2</t>
  </si>
  <si>
    <t xml:space="preserve">#71</t>
  </si>
  <si>
    <t xml:space="preserve">#144 / SP6</t>
  </si>
  <si>
    <t xml:space="preserve">#96 / SP5</t>
  </si>
  <si>
    <t xml:space="preserve">#81</t>
  </si>
  <si>
    <t xml:space="preserve">#16 / SP10</t>
  </si>
  <si>
    <t xml:space="preserve">#86 / SP7</t>
  </si>
  <si>
    <t xml:space="preserve">#61 / SP20</t>
  </si>
  <si>
    <t xml:space="preserve">#91 / SP19</t>
  </si>
  <si>
    <t xml:space="preserve">#139 / SP14</t>
  </si>
  <si>
    <t xml:space="preserve">#87 / SP7</t>
  </si>
  <si>
    <t xml:space="preserve">#70 / SP23</t>
  </si>
  <si>
    <t xml:space="preserve">#91 / SP22</t>
  </si>
  <si>
    <t xml:space="preserve">#21 / SP6</t>
  </si>
  <si>
    <t xml:space="preserve">#77 / SP25</t>
  </si>
  <si>
    <t xml:space="preserve">#140 / SP11</t>
  </si>
  <si>
    <t xml:space="preserve">#105 / SP21</t>
  </si>
  <si>
    <t xml:space="preserve">#129 / SP13</t>
  </si>
  <si>
    <t xml:space="preserve">#58 / SP9</t>
  </si>
  <si>
    <t xml:space="preserve">#126 / SP5</t>
  </si>
  <si>
    <t xml:space="preserve">#22 / SP17</t>
  </si>
  <si>
    <t xml:space="preserve">#19 / SP17</t>
  </si>
  <si>
    <t xml:space="preserve">#11 / SP20</t>
  </si>
  <si>
    <t xml:space="preserve">#42 / SP2</t>
  </si>
  <si>
    <t xml:space="preserve">#32 / SP11</t>
  </si>
  <si>
    <t xml:space="preserve">#65 / SP12</t>
  </si>
  <si>
    <t xml:space="preserve">#135</t>
  </si>
  <si>
    <t xml:space="preserve">#76 / SP11</t>
  </si>
  <si>
    <t xml:space="preserve">#10 / SP23</t>
  </si>
  <si>
    <t xml:space="preserve">#68 / SP3</t>
  </si>
  <si>
    <t xml:space="preserve">#11 / SP14</t>
  </si>
  <si>
    <t xml:space="preserve">#43 / SP2</t>
  </si>
  <si>
    <t xml:space="preserve">#115 / SP11</t>
  </si>
  <si>
    <t xml:space="preserve">SP6</t>
  </si>
  <si>
    <t xml:space="preserve">#28 / SP10</t>
  </si>
  <si>
    <t xml:space="preserve">#47 / SP16</t>
  </si>
  <si>
    <t xml:space="preserve">#71 / SP16</t>
  </si>
  <si>
    <t xml:space="preserve">#26 / SP6</t>
  </si>
  <si>
    <t xml:space="preserve">#102 / SP20</t>
  </si>
  <si>
    <t xml:space="preserve">#22</t>
  </si>
  <si>
    <t xml:space="preserve">#70</t>
  </si>
  <si>
    <t xml:space="preserve">#96 / SP10</t>
  </si>
  <si>
    <t xml:space="preserve">#128</t>
  </si>
  <si>
    <t xml:space="preserve">#44 / SP9</t>
  </si>
  <si>
    <t xml:space="preserve">#5 / SP20</t>
  </si>
  <si>
    <t xml:space="preserve">#72 / SP19</t>
  </si>
  <si>
    <t xml:space="preserve">#23 / SP8</t>
  </si>
  <si>
    <t xml:space="preserve">#124</t>
  </si>
  <si>
    <t xml:space="preserve">#106 / SP20</t>
  </si>
  <si>
    <t xml:space="preserve">#119 / SP11</t>
  </si>
  <si>
    <t xml:space="preserve">#6</t>
  </si>
  <si>
    <t xml:space="preserve">#41 / SP3</t>
  </si>
  <si>
    <t xml:space="preserve">#130</t>
  </si>
  <si>
    <t xml:space="preserve">#20 / SP15</t>
  </si>
  <si>
    <t xml:space="preserve">#77 / SP8</t>
  </si>
  <si>
    <t xml:space="preserve">#14</t>
  </si>
  <si>
    <t xml:space="preserve">#49 / SP8</t>
  </si>
  <si>
    <t xml:space="preserve">#105 / SP9</t>
  </si>
  <si>
    <t xml:space="preserve">#5 / SP7</t>
  </si>
  <si>
    <t xml:space="preserve">#40 / SP3</t>
  </si>
  <si>
    <t xml:space="preserve">#52 / SP6</t>
  </si>
  <si>
    <t xml:space="preserve">#137</t>
  </si>
  <si>
    <t xml:space="preserve">#126 / SP11</t>
  </si>
  <si>
    <t xml:space="preserve">#12 / SP12</t>
  </si>
  <si>
    <t xml:space="preserve">#142</t>
  </si>
  <si>
    <t xml:space="preserve">#80 / SP12</t>
  </si>
  <si>
    <t xml:space="preserve">#21 / SP24</t>
  </si>
  <si>
    <t xml:space="preserve">#64 / SP9</t>
  </si>
  <si>
    <t xml:space="preserve">#20 / SP18</t>
  </si>
  <si>
    <t xml:space="preserve">#115</t>
  </si>
  <si>
    <t xml:space="preserve">#113 / SP9</t>
  </si>
  <si>
    <t xml:space="preserve">#38 / SP11</t>
  </si>
  <si>
    <t xml:space="preserve">#17 / SP16</t>
  </si>
  <si>
    <t xml:space="preserve">#85 / SP3</t>
  </si>
  <si>
    <t xml:space="preserve">#36 / SP23</t>
  </si>
  <si>
    <t xml:space="preserve">#31 / SP25</t>
  </si>
  <si>
    <t xml:space="preserve">#52 / SP8</t>
  </si>
  <si>
    <t xml:space="preserve">#4 / SP26</t>
  </si>
  <si>
    <t xml:space="preserve">#70 / SP11</t>
  </si>
  <si>
    <t xml:space="preserve">#13 / SP21</t>
  </si>
  <si>
    <t xml:space="preserve">#41 / SP1</t>
  </si>
  <si>
    <t xml:space="preserve">#72</t>
  </si>
  <si>
    <t xml:space="preserve">#11 / SP18</t>
  </si>
  <si>
    <t xml:space="preserve">#29 / SP3</t>
  </si>
  <si>
    <t xml:space="preserve">#114 / SP18</t>
  </si>
  <si>
    <t xml:space="preserve">#12 / SP22</t>
  </si>
  <si>
    <t xml:space="preserve">#26 / SP21</t>
  </si>
  <si>
    <t xml:space="preserve">#75 / SP16</t>
  </si>
  <si>
    <t xml:space="preserve">#3 / SP4</t>
  </si>
  <si>
    <t xml:space="preserve">#28 / SP8</t>
  </si>
  <si>
    <t xml:space="preserve">#103 / SP21</t>
  </si>
  <si>
    <t xml:space="preserve">#76 / SP18</t>
  </si>
  <si>
    <t xml:space="preserve">#15 / SP5</t>
  </si>
  <si>
    <t xml:space="preserve">#90 / SP14</t>
  </si>
  <si>
    <t xml:space="preserve">#8 / SP6</t>
  </si>
  <si>
    <t xml:space="preserve">#76 / SP10</t>
  </si>
  <si>
    <t xml:space="preserve">#65 / SP22</t>
  </si>
  <si>
    <t xml:space="preserve">#3 / SP27</t>
  </si>
  <si>
    <t xml:space="preserve">#21 / SP18</t>
  </si>
  <si>
    <t xml:space="preserve">#19 / SP9</t>
  </si>
  <si>
    <t xml:space="preserve">#53</t>
  </si>
  <si>
    <t xml:space="preserve">#68</t>
  </si>
  <si>
    <t xml:space="preserve">#138 / SP21</t>
  </si>
  <si>
    <t xml:space="preserve">#15 / SP4</t>
  </si>
  <si>
    <t xml:space="preserve">#6 / SP11</t>
  </si>
  <si>
    <t xml:space="preserve">#100</t>
  </si>
  <si>
    <t xml:space="preserve">#10 / SP24</t>
  </si>
  <si>
    <t xml:space="preserve">#48 / SP3</t>
  </si>
  <si>
    <t xml:space="preserve">#112</t>
  </si>
  <si>
    <t xml:space="preserve">#61 / SP17</t>
  </si>
  <si>
    <t xml:space="preserve">#50 / SP26</t>
  </si>
  <si>
    <t xml:space="preserve">#3 / SP23</t>
  </si>
  <si>
    <t xml:space="preserve">#52 / SP22</t>
  </si>
  <si>
    <t xml:space="preserve">#32 / SP7</t>
  </si>
  <si>
    <t xml:space="preserve">#39 / SP2</t>
  </si>
  <si>
    <t xml:space="preserve">#96 / SP2</t>
  </si>
  <si>
    <t xml:space="preserve">#104 / SP12</t>
  </si>
  <si>
    <t xml:space="preserve">#7 / SP10</t>
  </si>
  <si>
    <t xml:space="preserve">#92 / SP1</t>
  </si>
  <si>
    <t xml:space="preserve">#21 / SP10</t>
  </si>
  <si>
    <t xml:space="preserve">#83 / SP15</t>
  </si>
  <si>
    <t xml:space="preserve">#47 / SP8</t>
  </si>
  <si>
    <t xml:space="preserve">#84 / SP7</t>
  </si>
  <si>
    <t xml:space="preserve">#25 / SP4</t>
  </si>
  <si>
    <t xml:space="preserve">#122 / SP6</t>
  </si>
  <si>
    <t xml:space="preserve">#54 / SP9</t>
  </si>
  <si>
    <t xml:space="preserve">#57 / SP11</t>
  </si>
  <si>
    <t xml:space="preserve">#110 / SP12</t>
  </si>
  <si>
    <t xml:space="preserve">#102</t>
  </si>
  <si>
    <t xml:space="preserve">SP3</t>
  </si>
  <si>
    <t xml:space="preserve">#27 / SP2</t>
  </si>
  <si>
    <t xml:space="preserve">#34 / SP11</t>
  </si>
  <si>
    <t xml:space="preserve">#36 / SP19</t>
  </si>
  <si>
    <t xml:space="preserve">#126 / SP17</t>
  </si>
  <si>
    <t xml:space="preserve">#86</t>
  </si>
  <si>
    <t xml:space="preserve">#60</t>
  </si>
  <si>
    <t xml:space="preserve">#21 / SP25</t>
  </si>
  <si>
    <t xml:space="preserve">#131 / SP3</t>
  </si>
  <si>
    <t xml:space="preserve">#98</t>
  </si>
  <si>
    <t xml:space="preserve">SP26</t>
  </si>
  <si>
    <t xml:space="preserve">#110 / SP9</t>
  </si>
  <si>
    <t xml:space="preserve">#97 / SP3</t>
  </si>
  <si>
    <t xml:space="preserve">#30 / SP16</t>
  </si>
  <si>
    <t xml:space="preserve">#58 / SP2</t>
  </si>
  <si>
    <t xml:space="preserve">#61</t>
  </si>
  <si>
    <t xml:space="preserve">#41 / SP12</t>
  </si>
  <si>
    <t xml:space="preserve">#141 / SP7</t>
  </si>
  <si>
    <t xml:space="preserve">SP9</t>
  </si>
  <si>
    <t xml:space="preserve">#17 / SP8</t>
  </si>
  <si>
    <t xml:space="preserve">#82 / SP17</t>
  </si>
  <si>
    <t xml:space="preserve">#121</t>
  </si>
  <si>
    <t xml:space="preserve">#5 / SP1</t>
  </si>
  <si>
    <t xml:space="preserve">#54 / SP10</t>
  </si>
  <si>
    <t xml:space="preserve">#83 / SP2</t>
  </si>
  <si>
    <t xml:space="preserve">#93</t>
  </si>
  <si>
    <t xml:space="preserve">#99 / SP12</t>
  </si>
  <si>
    <t xml:space="preserve">#82 / SP6</t>
  </si>
  <si>
    <t xml:space="preserve">#7 / SP19</t>
  </si>
  <si>
    <t xml:space="preserve">#34 / SP20</t>
  </si>
  <si>
    <t xml:space="preserve">SP12</t>
  </si>
  <si>
    <t xml:space="preserve">#78</t>
  </si>
  <si>
    <t xml:space="preserve">#7 / SP16</t>
  </si>
  <si>
    <t xml:space="preserve">#1 / SP1</t>
  </si>
  <si>
    <t xml:space="preserve">#10 / SP14</t>
  </si>
  <si>
    <t xml:space="preserve">#40 / SP6</t>
  </si>
  <si>
    <t xml:space="preserve">#108</t>
  </si>
  <si>
    <t xml:space="preserve">#84</t>
  </si>
  <si>
    <t xml:space="preserve">#24 / SP18</t>
  </si>
  <si>
    <t xml:space="preserve">#22 / SP19</t>
  </si>
  <si>
    <t xml:space="preserve">#130 / SP19</t>
  </si>
  <si>
    <t xml:space="preserve">#7 / SP22</t>
  </si>
  <si>
    <t xml:space="preserve">#2 / SP18</t>
  </si>
  <si>
    <t xml:space="preserve">#29 / SP25</t>
  </si>
  <si>
    <t xml:space="preserve">#33 / SP23</t>
  </si>
  <si>
    <t xml:space="preserve">#61 / SP21</t>
  </si>
  <si>
    <t xml:space="preserve">#22 / SP7</t>
  </si>
  <si>
    <t xml:space="preserve">#40 / SP26</t>
  </si>
  <si>
    <t xml:space="preserve">#38 / SP4</t>
  </si>
  <si>
    <t xml:space="preserve">#19 / SP1</t>
  </si>
  <si>
    <t xml:space="preserve">#99 / SP7</t>
  </si>
  <si>
    <t xml:space="preserve">#36 / SP4</t>
  </si>
  <si>
    <t xml:space="preserve">#3 / SP21</t>
  </si>
  <si>
    <t xml:space="preserve">#32 / SP6</t>
  </si>
  <si>
    <t xml:space="preserve">#52 / SP3</t>
  </si>
  <si>
    <t xml:space="preserve">#56 / SP4</t>
  </si>
  <si>
    <t xml:space="preserve">#113 / SP5</t>
  </si>
  <si>
    <t xml:space="preserve">#9 / SP27</t>
  </si>
  <si>
    <t xml:space="preserve">#7 / SP21</t>
  </si>
  <si>
    <t xml:space="preserve">#9 / SP9</t>
  </si>
  <si>
    <t xml:space="preserve">#139</t>
  </si>
  <si>
    <t xml:space="preserve">#47 / SP7</t>
  </si>
  <si>
    <t xml:space="preserve">#34 / SP9</t>
  </si>
  <si>
    <t xml:space="preserve">#131 / SP21</t>
  </si>
  <si>
    <t xml:space="preserve">#105 / SP7</t>
  </si>
  <si>
    <t xml:space="preserve">#2 / SP2</t>
  </si>
  <si>
    <t xml:space="preserve">#56</t>
  </si>
  <si>
    <t xml:space="preserve">#28 / SP20</t>
  </si>
  <si>
    <t xml:space="preserve">#124 / SP9</t>
  </si>
  <si>
    <t xml:space="preserve">#81 / SP9</t>
  </si>
  <si>
    <t xml:space="preserve">#83 / SP5</t>
  </si>
  <si>
    <t xml:space="preserve">SP22</t>
  </si>
  <si>
    <t xml:space="preserve">#68 / SP4</t>
  </si>
  <si>
    <t xml:space="preserve">#24 / SP10</t>
  </si>
  <si>
    <t xml:space="preserve">#8</t>
  </si>
  <si>
    <t xml:space="preserve">#21 / SP21</t>
  </si>
  <si>
    <t xml:space="preserve">#42 / SP24</t>
  </si>
  <si>
    <t xml:space="preserve">#53 / SP20</t>
  </si>
  <si>
    <t xml:space="preserve">#82 / SP21</t>
  </si>
  <si>
    <t xml:space="preserve">#19 / SP2</t>
  </si>
  <si>
    <t xml:space="preserve">#24 / SP16</t>
  </si>
  <si>
    <t xml:space="preserve">#72 / SP15</t>
  </si>
  <si>
    <t xml:space="preserve">#37 / SP20</t>
  </si>
  <si>
    <t xml:space="preserve">#18</t>
  </si>
  <si>
    <t xml:space="preserve">#62 / SP5</t>
  </si>
  <si>
    <t xml:space="preserve">#27 / SP22</t>
  </si>
  <si>
    <t xml:space="preserve">#85 / SP11</t>
  </si>
  <si>
    <t xml:space="preserve">#45 / SP21</t>
  </si>
  <si>
    <t xml:space="preserve">#66 / SP16</t>
  </si>
  <si>
    <t xml:space="preserve">#15 / SP19</t>
  </si>
  <si>
    <t xml:space="preserve">SP32</t>
  </si>
  <si>
    <t xml:space="preserve">#52 / SP21</t>
  </si>
  <si>
    <t xml:space="preserve">#97 / SP4</t>
  </si>
  <si>
    <t xml:space="preserve">#77 / SP3</t>
  </si>
  <si>
    <t xml:space="preserve">#21 / SP15</t>
  </si>
  <si>
    <t xml:space="preserve">#73</t>
  </si>
  <si>
    <t xml:space="preserve">#90 / SP25</t>
  </si>
  <si>
    <t xml:space="preserve">#32 / SP5</t>
  </si>
  <si>
    <t xml:space="preserve">#31 / SP6</t>
  </si>
  <si>
    <t xml:space="preserve">#1 / SP11</t>
  </si>
  <si>
    <t xml:space="preserve">#21 / SP8</t>
  </si>
  <si>
    <t xml:space="preserve">#68 / SP1</t>
  </si>
  <si>
    <t xml:space="preserve">#57 / SP12</t>
  </si>
  <si>
    <t xml:space="preserve">SP20</t>
  </si>
  <si>
    <t xml:space="preserve">#27 / SP6</t>
  </si>
  <si>
    <t xml:space="preserve">#79 / SP6</t>
  </si>
  <si>
    <t xml:space="preserve">#19 / SP7</t>
  </si>
  <si>
    <t xml:space="preserve">#120 / SP10</t>
  </si>
  <si>
    <t xml:space="preserve">#99 / SP20</t>
  </si>
  <si>
    <t xml:space="preserve">#7 / SP5</t>
  </si>
  <si>
    <t xml:space="preserve">#1 / SP34</t>
  </si>
  <si>
    <t xml:space="preserve">#81 / SP18</t>
  </si>
  <si>
    <t xml:space="preserve">#17 / SP28</t>
  </si>
  <si>
    <t xml:space="preserve">#30 / SP24</t>
  </si>
  <si>
    <t xml:space="preserve">#124 / SP10</t>
  </si>
  <si>
    <t xml:space="preserve">#132 / SP15</t>
  </si>
  <si>
    <t xml:space="preserve">#20 / SP12</t>
  </si>
  <si>
    <t xml:space="preserve">#54 / SP14</t>
  </si>
  <si>
    <t xml:space="preserve">#33 / SP10</t>
  </si>
  <si>
    <t xml:space="preserve">#13 / SP8</t>
  </si>
  <si>
    <t xml:space="preserve">#2 / SP17</t>
  </si>
  <si>
    <t xml:space="preserve">#22 / SP15</t>
  </si>
  <si>
    <t xml:space="preserve">#42 / SP1</t>
  </si>
  <si>
    <t xml:space="preserve">#43 / SP11</t>
  </si>
  <si>
    <t xml:space="preserve">#12 / SP10</t>
  </si>
  <si>
    <t xml:space="preserve">#10 / SP12</t>
  </si>
  <si>
    <t xml:space="preserve">#105 / SP13</t>
  </si>
  <si>
    <t xml:space="preserve">#45 / SP6</t>
  </si>
  <si>
    <t xml:space="preserve">#24 / SP11</t>
  </si>
  <si>
    <t xml:space="preserve">#20 / SP19</t>
  </si>
  <si>
    <t xml:space="preserve">#23 / SP7</t>
  </si>
  <si>
    <t xml:space="preserve">#37 / SP8</t>
  </si>
  <si>
    <t xml:space="preserve">#35 / SP10</t>
  </si>
  <si>
    <t xml:space="preserve">SP2</t>
  </si>
  <si>
    <t xml:space="preserve">#7 / SP9</t>
  </si>
  <si>
    <t xml:space="preserve">#55 / SP16</t>
  </si>
  <si>
    <t xml:space="preserve">#36</t>
  </si>
  <si>
    <t xml:space="preserve">#99 / SP3</t>
  </si>
  <si>
    <t xml:space="preserve">#73 / SP21</t>
  </si>
  <si>
    <t xml:space="preserve">#10 / SP11</t>
  </si>
  <si>
    <t xml:space="preserve">#38 / SP12</t>
  </si>
  <si>
    <t xml:space="preserve">#37 / SP18</t>
  </si>
  <si>
    <t xml:space="preserve">#141</t>
  </si>
  <si>
    <t xml:space="preserve">#20 / SP1</t>
  </si>
  <si>
    <t xml:space="preserve">#109 / SP22</t>
  </si>
  <si>
    <t xml:space="preserve">#23</t>
  </si>
  <si>
    <t xml:space="preserve">#51 / SP8</t>
  </si>
  <si>
    <t xml:space="preserve">#94 / SP16</t>
  </si>
  <si>
    <t xml:space="preserve">#73 / SP11</t>
  </si>
  <si>
    <t xml:space="preserve">#43 / SP5</t>
  </si>
  <si>
    <t xml:space="preserve">#111 / SP4</t>
  </si>
  <si>
    <t xml:space="preserve">#97 / SP12</t>
  </si>
  <si>
    <t xml:space="preserve">SP19</t>
  </si>
  <si>
    <t xml:space="preserve">#25 / SP11</t>
  </si>
  <si>
    <t xml:space="preserve">#5 / SP11</t>
  </si>
  <si>
    <t xml:space="preserve">#133</t>
  </si>
  <si>
    <t xml:space="preserve">#33 / SP9</t>
  </si>
  <si>
    <t xml:space="preserve">#77 / SP29</t>
  </si>
  <si>
    <t xml:space="preserve">#28 / SP13</t>
  </si>
  <si>
    <t xml:space="preserve">#114 / SP8</t>
  </si>
  <si>
    <t xml:space="preserve">#32 / SP8</t>
  </si>
  <si>
    <t xml:space="preserve">#26 / SP11</t>
  </si>
  <si>
    <t xml:space="preserve">#31 / SP24</t>
  </si>
  <si>
    <t xml:space="preserve">#83 / SP27</t>
  </si>
  <si>
    <t xml:space="preserve">#142 / SP9</t>
  </si>
  <si>
    <t xml:space="preserve">#15 / SP2</t>
  </si>
  <si>
    <t xml:space="preserve">#40 / SP12</t>
  </si>
  <si>
    <t xml:space="preserve">#39 / SP16</t>
  </si>
  <si>
    <t xml:space="preserve">#133 / SP25</t>
  </si>
  <si>
    <t xml:space="preserve">#101 / SP24</t>
  </si>
  <si>
    <t xml:space="preserve">#36 / SP1</t>
  </si>
  <si>
    <t xml:space="preserve">#88 / SP9</t>
  </si>
  <si>
    <t xml:space="preserve">#96 / SP4</t>
  </si>
  <si>
    <t xml:space="preserve">#89 / SP11</t>
  </si>
  <si>
    <t xml:space="preserve">#41 / SP5</t>
  </si>
  <si>
    <t xml:space="preserve">#6 / SP12</t>
  </si>
  <si>
    <t xml:space="preserve">#111</t>
  </si>
  <si>
    <t xml:space="preserve">#51 / SP16</t>
  </si>
  <si>
    <t xml:space="preserve">#120 / SP26</t>
  </si>
  <si>
    <t xml:space="preserve">#112 / SP30</t>
  </si>
  <si>
    <t xml:space="preserve">#100 / SP2</t>
  </si>
  <si>
    <t xml:space="preserve">#70 / SP12</t>
  </si>
  <si>
    <t xml:space="preserve">#42 / SP10</t>
  </si>
  <si>
    <t xml:space="preserve">#37 / SP9</t>
  </si>
  <si>
    <t xml:space="preserve">#86 / SP3</t>
  </si>
  <si>
    <t xml:space="preserve">#94 / SP10</t>
  </si>
  <si>
    <t xml:space="preserve">#142 / SP15</t>
  </si>
  <si>
    <t xml:space="preserve">#11 / SP1</t>
  </si>
  <si>
    <t xml:space="preserve">#5 / SP8</t>
  </si>
  <si>
    <t xml:space="preserve">#27 / SP16</t>
  </si>
  <si>
    <t xml:space="preserve">#29 / SP1</t>
  </si>
  <si>
    <t xml:space="preserve">#40 / SP4</t>
  </si>
  <si>
    <t xml:space="preserve">#67 / SP11</t>
  </si>
  <si>
    <t xml:space="preserve">#16 / SP20</t>
  </si>
  <si>
    <t xml:space="preserve">#34 / SP17</t>
  </si>
  <si>
    <t xml:space="preserve">#73 / SP19</t>
  </si>
  <si>
    <t xml:space="preserve">#140</t>
  </si>
  <si>
    <t xml:space="preserve">#69 / SP12</t>
  </si>
  <si>
    <t xml:space="preserve">#20</t>
  </si>
  <si>
    <t xml:space="preserve">#63</t>
  </si>
  <si>
    <t xml:space="preserve">#52 / SP24</t>
  </si>
  <si>
    <t xml:space="preserve">#74 / SP20</t>
  </si>
  <si>
    <t xml:space="preserve">#39 / SP3</t>
  </si>
  <si>
    <t xml:space="preserve">#74 / SP17</t>
  </si>
  <si>
    <t xml:space="preserve">#54 / SP16</t>
  </si>
  <si>
    <t xml:space="preserve">#7 / SP15</t>
  </si>
  <si>
    <t xml:space="preserve">#31 / SP22</t>
  </si>
  <si>
    <t xml:space="preserve">#106 / SP5</t>
  </si>
  <si>
    <t xml:space="preserve">#17 / SP11</t>
  </si>
  <si>
    <t xml:space="preserve">#1 / SP3</t>
  </si>
  <si>
    <t xml:space="preserve">#91 / SP10</t>
  </si>
  <si>
    <t xml:space="preserve">#118 / SP19</t>
  </si>
  <si>
    <t xml:space="preserve">#62 / SP7</t>
  </si>
  <si>
    <t xml:space="preserve">#60 / SP9</t>
  </si>
  <si>
    <t xml:space="preserve">#8 / SP20</t>
  </si>
  <si>
    <t xml:space="preserve">#40 / SP17</t>
  </si>
  <si>
    <t xml:space="preserve">#61 / SP2</t>
  </si>
  <si>
    <t xml:space="preserve">#118 / SP11</t>
  </si>
  <si>
    <t xml:space="preserve">#144 / SP15</t>
  </si>
  <si>
    <t xml:space="preserve">#45 / SP24</t>
  </si>
  <si>
    <t xml:space="preserve">#17 / SP9</t>
  </si>
  <si>
    <t xml:space="preserve">#94 / SP1</t>
  </si>
  <si>
    <t xml:space="preserve">#110 / SP2</t>
  </si>
  <si>
    <t xml:space="preserve">#4 / SP23</t>
  </si>
  <si>
    <t xml:space="preserve">#75 / SP6</t>
  </si>
  <si>
    <t xml:space="preserve">#119 / SP21</t>
  </si>
  <si>
    <t xml:space="preserve">#46 / SP5</t>
  </si>
  <si>
    <t xml:space="preserve">#19 / SP22</t>
  </si>
  <si>
    <t xml:space="preserve">#9 / SP21</t>
  </si>
  <si>
    <t xml:space="preserve">#23 / SP16</t>
  </si>
  <si>
    <t xml:space="preserve">#113</t>
  </si>
  <si>
    <t xml:space="preserve">#8 / SP11</t>
  </si>
  <si>
    <t xml:space="preserve">#91 / SP4</t>
  </si>
  <si>
    <t xml:space="preserve">#71 / SP10</t>
  </si>
  <si>
    <t xml:space="preserve">#88 / SP4</t>
  </si>
  <si>
    <t xml:space="preserve">#9 / SP1</t>
  </si>
  <si>
    <t xml:space="preserve">#3 / SP11</t>
  </si>
  <si>
    <t xml:space="preserve">#59 / SP6</t>
  </si>
  <si>
    <t xml:space="preserve">#81 / SP26</t>
  </si>
  <si>
    <t xml:space="preserve">#70 / SP6</t>
  </si>
  <si>
    <t xml:space="preserve">#28 / SP12</t>
  </si>
  <si>
    <t xml:space="preserve">#101</t>
  </si>
  <si>
    <t xml:space="preserve">#138 / SP11</t>
  </si>
  <si>
    <t xml:space="preserve">#29 / SP21</t>
  </si>
  <si>
    <t xml:space="preserve">#26 / SP9</t>
  </si>
  <si>
    <t xml:space="preserve">#60 / SP12</t>
  </si>
  <si>
    <t xml:space="preserve">#8 / SP15</t>
  </si>
  <si>
    <t xml:space="preserve">#2 / SP24</t>
  </si>
  <si>
    <t xml:space="preserve">#17 / SP24</t>
  </si>
  <si>
    <t xml:space="preserve">#124 / SP20</t>
  </si>
  <si>
    <t xml:space="preserve">#63 / SP7</t>
  </si>
  <si>
    <t xml:space="preserve">#121 / SP2</t>
  </si>
  <si>
    <t xml:space="preserve">#42 / SP6</t>
  </si>
  <si>
    <t xml:space="preserve">#3 / SP6</t>
  </si>
  <si>
    <t xml:space="preserve">#120 / SP1</t>
  </si>
  <si>
    <t xml:space="preserve">#61 / SP12</t>
  </si>
  <si>
    <t xml:space="preserve">#72 / SP7</t>
  </si>
  <si>
    <t xml:space="preserve">#88 / SP17</t>
  </si>
  <si>
    <t xml:space="preserve">#29 / SP12</t>
  </si>
  <si>
    <t xml:space="preserve">#118 / SP27</t>
  </si>
  <si>
    <t xml:space="preserve">#68 / SP12</t>
  </si>
  <si>
    <t xml:space="preserve">#16 / SP25</t>
  </si>
  <si>
    <t xml:space="preserve">#40 / SP14</t>
  </si>
  <si>
    <t xml:space="preserve">#89 / SP28</t>
  </si>
  <si>
    <t xml:space="preserve">#87</t>
  </si>
  <si>
    <t xml:space="preserve">#129 / SP6</t>
  </si>
  <si>
    <t xml:space="preserve">#107 / SP18</t>
  </si>
  <si>
    <t xml:space="preserve">#94 / SP15</t>
  </si>
  <si>
    <t xml:space="preserve">#4 / SP22</t>
  </si>
  <si>
    <t xml:space="preserve">#74 / SP11</t>
  </si>
  <si>
    <t xml:space="preserve">#53 / SP4</t>
  </si>
  <si>
    <t xml:space="preserve">#14 / SP18</t>
  </si>
  <si>
    <t xml:space="preserve">#1 / SP18</t>
  </si>
  <si>
    <t xml:space="preserve">#73 / SP14</t>
  </si>
  <si>
    <t xml:space="preserve">#17 / SP5</t>
  </si>
  <si>
    <t xml:space="preserve">#80</t>
  </si>
  <si>
    <t xml:space="preserve">#77 / SP23</t>
  </si>
  <si>
    <t xml:space="preserve">#132 / SP17</t>
  </si>
  <si>
    <t xml:space="preserve">#59 / SP20</t>
  </si>
  <si>
    <t xml:space="preserve">#31 / SP8</t>
  </si>
  <si>
    <t xml:space="preserve">#56 / SP20</t>
  </si>
  <si>
    <t xml:space="preserve">#13 / SP13</t>
  </si>
  <si>
    <t xml:space="preserve">#53 / SP18</t>
  </si>
  <si>
    <t xml:space="preserve">#12 / SP6</t>
  </si>
  <si>
    <t xml:space="preserve">#44 / SP12</t>
  </si>
  <si>
    <t xml:space="preserve">#24 / SP8</t>
  </si>
  <si>
    <t xml:space="preserve">#43 / SP12</t>
  </si>
  <si>
    <t xml:space="preserve">#129 / SP7</t>
  </si>
  <si>
    <t xml:space="preserve">#2</t>
  </si>
  <si>
    <t xml:space="preserve">#96 / SP20</t>
  </si>
  <si>
    <t xml:space="preserve">#8 / SP12</t>
  </si>
  <si>
    <t xml:space="preserve">#17 / SP3</t>
  </si>
  <si>
    <t xml:space="preserve">#114 / SP7</t>
  </si>
  <si>
    <t xml:space="preserve">#134 / SP10</t>
  </si>
  <si>
    <t xml:space="preserve">#10 / SP5</t>
  </si>
  <si>
    <t xml:space="preserve">#106 / SP3</t>
  </si>
  <si>
    <t xml:space="preserve">#78 / SP22</t>
  </si>
  <si>
    <t xml:space="preserve">#141 / SP6</t>
  </si>
  <si>
    <t xml:space="preserve">#101 / SP4</t>
  </si>
  <si>
    <t xml:space="preserve">#18 / SP10</t>
  </si>
  <si>
    <t xml:space="preserve">#90 / SP20</t>
  </si>
  <si>
    <t xml:space="preserve">#27 / SP28</t>
  </si>
  <si>
    <t xml:space="preserve">#114 / SP10</t>
  </si>
  <si>
    <t xml:space="preserve">#65 / SP7</t>
  </si>
  <si>
    <t xml:space="preserve">#1 / SP17</t>
  </si>
  <si>
    <t xml:space="preserve">#69 / SP22</t>
  </si>
  <si>
    <t xml:space="preserve">#22 / SP4</t>
  </si>
  <si>
    <t xml:space="preserve">#132 / SP3</t>
  </si>
  <si>
    <t xml:space="preserve">#82 / SP1</t>
  </si>
  <si>
    <t xml:space="preserve">#33 / SP8</t>
  </si>
  <si>
    <t xml:space="preserve">#16 / SP9</t>
  </si>
  <si>
    <t xml:space="preserve">#81 / SP17</t>
  </si>
  <si>
    <t xml:space="preserve">#17 / SP18</t>
  </si>
  <si>
    <t xml:space="preserve">#27 / SP9</t>
  </si>
  <si>
    <t xml:space="preserve">#35 / SP6</t>
  </si>
  <si>
    <t xml:space="preserve">#48 / SP4</t>
  </si>
  <si>
    <t xml:space="preserve">#17 / SP1</t>
  </si>
  <si>
    <t xml:space="preserve">#69 / SP4</t>
  </si>
  <si>
    <t xml:space="preserve">#101 / SP32</t>
  </si>
  <si>
    <t xml:space="preserve">#23 / SP19</t>
  </si>
  <si>
    <t xml:space="preserve">#10</t>
  </si>
  <si>
    <t xml:space="preserve">#21 / SP2</t>
  </si>
  <si>
    <t xml:space="preserve">#96 / SP11</t>
  </si>
  <si>
    <t xml:space="preserve">#113 / SP4</t>
  </si>
  <si>
    <t xml:space="preserve">#11 / SP17</t>
  </si>
  <si>
    <t xml:space="preserve">#48 / SP8</t>
  </si>
  <si>
    <t xml:space="preserve">#89 / SP2</t>
  </si>
  <si>
    <t xml:space="preserve">#99 / SP4</t>
  </si>
  <si>
    <t xml:space="preserve">#142 / SP10</t>
  </si>
  <si>
    <t xml:space="preserve">#3 / SP9</t>
  </si>
  <si>
    <t xml:space="preserve">#66 / SP21</t>
  </si>
  <si>
    <t xml:space="preserve">#96 / SP6</t>
  </si>
  <si>
    <t xml:space="preserve">#138</t>
  </si>
  <si>
    <t xml:space="preserve">#35 / SP4</t>
  </si>
  <si>
    <t xml:space="preserve">#64 / SP4</t>
  </si>
  <si>
    <t xml:space="preserve">#86 / SP11</t>
  </si>
  <si>
    <t xml:space="preserve">SP18</t>
  </si>
  <si>
    <t xml:space="preserve">#99 / SP11</t>
  </si>
  <si>
    <t xml:space="preserve">#55 / SP5</t>
  </si>
  <si>
    <t xml:space="preserve">#115 / SP20</t>
  </si>
  <si>
    <t xml:space="preserve">#16 / SP21</t>
  </si>
  <si>
    <t xml:space="preserve">#47 / SP15</t>
  </si>
  <si>
    <t xml:space="preserve">#76 / SP3</t>
  </si>
  <si>
    <t xml:space="preserve">#68 / SP31</t>
  </si>
  <si>
    <t xml:space="preserve">#88 / SP6</t>
  </si>
  <si>
    <t xml:space="preserve">#43 / SP24</t>
  </si>
  <si>
    <t xml:space="preserve">#71 / SP19</t>
  </si>
  <si>
    <t xml:space="preserve">#138 / SP6</t>
  </si>
  <si>
    <t xml:space="preserve">#65 / SP25</t>
  </si>
  <si>
    <t xml:space="preserve">#19 / SP4</t>
  </si>
  <si>
    <t xml:space="preserve">#30 / SP29</t>
  </si>
  <si>
    <t xml:space="preserve">#27 / SP11</t>
  </si>
  <si>
    <t xml:space="preserve">SP28</t>
  </si>
  <si>
    <t xml:space="preserve">#3 / SP7</t>
  </si>
  <si>
    <t xml:space="preserve">#38 / SP20</t>
  </si>
  <si>
    <t xml:space="preserve">#13 / SP16</t>
  </si>
  <si>
    <t xml:space="preserve">#82 / SP32</t>
  </si>
  <si>
    <t xml:space="preserve">#108 / SP24</t>
  </si>
  <si>
    <t xml:space="preserve">#77 / SP11</t>
  </si>
  <si>
    <t xml:space="preserve">SP25</t>
  </si>
  <si>
    <t xml:space="preserve">#6 / SP9</t>
  </si>
  <si>
    <t xml:space="preserve">#73 / SP3</t>
  </si>
  <si>
    <t xml:space="preserve">#108 / SP17</t>
  </si>
  <si>
    <t xml:space="preserve">#73 / SP5</t>
  </si>
  <si>
    <t xml:space="preserve">#28 / SP16</t>
  </si>
  <si>
    <t xml:space="preserve">#89 / SP6</t>
  </si>
  <si>
    <t xml:space="preserve">#65 / SP9</t>
  </si>
  <si>
    <t xml:space="preserve">#102 / SP11</t>
  </si>
  <si>
    <t xml:space="preserve">#16</t>
  </si>
  <si>
    <t xml:space="preserve">#40 / SP27</t>
  </si>
  <si>
    <t xml:space="preserve">#68 / SP10</t>
  </si>
  <si>
    <t xml:space="preserve">#136</t>
  </si>
  <si>
    <t xml:space="preserve">#34 / SP5</t>
  </si>
  <si>
    <t xml:space="preserve">#7 / SP8</t>
  </si>
  <si>
    <t xml:space="preserve">#18 / SP9</t>
  </si>
  <si>
    <t xml:space="preserve">#17 / SP2</t>
  </si>
  <si>
    <t xml:space="preserve">#116 / SP24</t>
  </si>
  <si>
    <t xml:space="preserve">#140 / SP4</t>
  </si>
  <si>
    <t xml:space="preserve">#15 / SP17</t>
  </si>
  <si>
    <t xml:space="preserve">#24 / SP25</t>
  </si>
  <si>
    <t xml:space="preserve">#67 / SP12</t>
  </si>
  <si>
    <t xml:space="preserve">#108 / SP9</t>
  </si>
  <si>
    <t xml:space="preserve">#78 / SP12</t>
  </si>
  <si>
    <t xml:space="preserve">#56 / SP7</t>
  </si>
  <si>
    <t xml:space="preserve">#45 / SP3</t>
  </si>
  <si>
    <t xml:space="preserve">#89 / SP1</t>
  </si>
  <si>
    <t xml:space="preserve">SP14</t>
  </si>
  <si>
    <t xml:space="preserve">#9 / SP2</t>
  </si>
  <si>
    <t xml:space="preserve">#44 / SP16</t>
  </si>
  <si>
    <t xml:space="preserve">#124 / SP12</t>
  </si>
  <si>
    <t xml:space="preserve">#8 / SP2</t>
  </si>
  <si>
    <t xml:space="preserve">#96 / SP27</t>
  </si>
  <si>
    <t xml:space="preserve">#38 / SP3</t>
  </si>
  <si>
    <t xml:space="preserve">#44 / SP3</t>
  </si>
  <si>
    <t xml:space="preserve">#3 / SP20</t>
  </si>
  <si>
    <t xml:space="preserve">#29 / SP23</t>
  </si>
  <si>
    <t xml:space="preserve">#109 / SP20</t>
  </si>
  <si>
    <t xml:space="preserve">#92</t>
  </si>
  <si>
    <t xml:space="preserve">#24 / SP4</t>
  </si>
  <si>
    <t xml:space="preserve">#11 / SP5</t>
  </si>
  <si>
    <t xml:space="preserve">#114 / SP19</t>
  </si>
  <si>
    <t xml:space="preserve">#120</t>
  </si>
  <si>
    <t xml:space="preserve">#47 / SP20</t>
  </si>
  <si>
    <t xml:space="preserve">#6 / SP26</t>
  </si>
  <si>
    <t xml:space="preserve">#22 / SP18</t>
  </si>
  <si>
    <t xml:space="preserve">#38 / SP1</t>
  </si>
  <si>
    <t xml:space="preserve">#123 / SP7</t>
  </si>
  <si>
    <t xml:space="preserve">#83 / SP21</t>
  </si>
  <si>
    <t xml:space="preserve">#49 / SP11</t>
  </si>
  <si>
    <t xml:space="preserve">#19 / SP14</t>
  </si>
  <si>
    <t xml:space="preserve">#29 / SP17</t>
  </si>
  <si>
    <t xml:space="preserve">#51 / SP2</t>
  </si>
  <si>
    <t xml:space="preserve">#33 / SP11</t>
  </si>
  <si>
    <t xml:space="preserve">#8 / SP8</t>
  </si>
  <si>
    <t xml:space="preserve">#10 / SP10</t>
  </si>
  <si>
    <t xml:space="preserve">#62 / SP25</t>
  </si>
  <si>
    <t xml:space="preserve">#63 / SP14</t>
  </si>
  <si>
    <t xml:space="preserve">#16 / SP13</t>
  </si>
  <si>
    <t xml:space="preserve">#53 / SP27</t>
  </si>
  <si>
    <t xml:space="preserve">#55 / SP26</t>
  </si>
  <si>
    <t xml:space="preserve">#13 / SP10</t>
  </si>
  <si>
    <t xml:space="preserve">#83 / SP23</t>
  </si>
  <si>
    <t xml:space="preserve">#4 / SP19</t>
  </si>
  <si>
    <t xml:space="preserve">#43 / SP13</t>
  </si>
  <si>
    <t xml:space="preserve">#12 / SP18</t>
  </si>
  <si>
    <t xml:space="preserve">#125 / SP2</t>
  </si>
  <si>
    <t xml:space="preserve">#16 / SP12</t>
  </si>
  <si>
    <t xml:space="preserve">#66 / SP15</t>
  </si>
  <si>
    <t xml:space="preserve">#79 / SP1</t>
  </si>
  <si>
    <t xml:space="preserve">#47 / SP5</t>
  </si>
  <si>
    <t xml:space="preserve">#112 / SP13</t>
  </si>
  <si>
    <t xml:space="preserve">#143 / SP5</t>
  </si>
  <si>
    <t xml:space="preserve">#57 / SP7</t>
  </si>
  <si>
    <t xml:space="preserve">#55 / SP10</t>
  </si>
  <si>
    <t xml:space="preserve">#85 / SP25</t>
  </si>
  <si>
    <t xml:space="preserve">#19</t>
  </si>
  <si>
    <t xml:space="preserve">#9 / SP4</t>
  </si>
  <si>
    <t xml:space="preserve">#44 / SP26</t>
  </si>
  <si>
    <t xml:space="preserve">#24 / SP5</t>
  </si>
  <si>
    <t xml:space="preserve">#16 / SP6</t>
  </si>
  <si>
    <t xml:space="preserve">#72 / SP8</t>
  </si>
  <si>
    <t xml:space="preserve">#69 / SP18</t>
  </si>
  <si>
    <t xml:space="preserve">#98 / SP15</t>
  </si>
  <si>
    <t xml:space="preserve">#86 / SP8</t>
  </si>
  <si>
    <t xml:space="preserve">#33 / SP5</t>
  </si>
  <si>
    <t xml:space="preserve">#43 / SP10</t>
  </si>
  <si>
    <t xml:space="preserve">#89</t>
  </si>
  <si>
    <t xml:space="preserve">#71 / SP12</t>
  </si>
  <si>
    <t xml:space="preserve">#9 / SP3</t>
  </si>
  <si>
    <t xml:space="preserve">#15</t>
  </si>
  <si>
    <t xml:space="preserve">#13 / SP4</t>
  </si>
  <si>
    <t xml:space="preserve">#95 / SP20</t>
  </si>
  <si>
    <t xml:space="preserve">#88 / SP3</t>
  </si>
  <si>
    <t xml:space="preserve">#74 / SP9</t>
  </si>
  <si>
    <t xml:space="preserve">#29 / SP15</t>
  </si>
  <si>
    <t xml:space="preserve">#48 / SP10</t>
  </si>
  <si>
    <t xml:space="preserve">#121 / SP16</t>
  </si>
  <si>
    <t xml:space="preserve">#27 / SP7</t>
  </si>
  <si>
    <t xml:space="preserve">#137 / SP12</t>
  </si>
  <si>
    <t xml:space="preserve">#70 / SP20</t>
  </si>
  <si>
    <t xml:space="preserve">#58 / SP19</t>
  </si>
  <si>
    <t xml:space="preserve">SP27</t>
  </si>
  <si>
    <t xml:space="preserve">#10 / SP22</t>
  </si>
  <si>
    <t xml:space="preserve">#83 / SP25</t>
  </si>
  <si>
    <t xml:space="preserve">#73 / SP22</t>
  </si>
  <si>
    <t xml:space="preserve">#45 / SP5</t>
  </si>
  <si>
    <t xml:space="preserve">#1 / SP19</t>
  </si>
  <si>
    <t xml:space="preserve">#65 / SP14</t>
  </si>
  <si>
    <t xml:space="preserve">#31 / SP2</t>
  </si>
  <si>
    <t xml:space="preserve">#124 / SP11</t>
  </si>
  <si>
    <t xml:space="preserve">#100 / SP1</t>
  </si>
  <si>
    <t xml:space="preserve">#22 / SP5</t>
  </si>
  <si>
    <t xml:space="preserve">#38 / SP16</t>
  </si>
  <si>
    <t xml:space="preserve">#119 / SP8</t>
  </si>
  <si>
    <t xml:space="preserve">#8 / SP9</t>
  </si>
  <si>
    <t xml:space="preserve">#24 / SP19</t>
  </si>
  <si>
    <t xml:space="preserve">SP24</t>
  </si>
  <si>
    <t xml:space="preserve">#37 / SP11</t>
  </si>
  <si>
    <t xml:space="preserve">#22 / SP8</t>
  </si>
  <si>
    <t xml:space="preserve">#54 / SP12</t>
  </si>
  <si>
    <t xml:space="preserve">#36 / SP7</t>
  </si>
  <si>
    <t xml:space="preserve">#81 / SP11</t>
  </si>
  <si>
    <t xml:space="preserve">#33 / SP3</t>
  </si>
  <si>
    <t xml:space="preserve">#42 / SP9</t>
  </si>
  <si>
    <t xml:space="preserve">#1 / SP7</t>
  </si>
  <si>
    <t xml:space="preserve">#51 / SP17</t>
  </si>
  <si>
    <t xml:space="preserve">#31 / SP15</t>
  </si>
  <si>
    <t xml:space="preserve">#2 / SP7</t>
  </si>
  <si>
    <t xml:space="preserve">#10 / SP6</t>
  </si>
  <si>
    <t xml:space="preserve">#97 / SP24</t>
  </si>
  <si>
    <t xml:space="preserve">#50 / SP1</t>
  </si>
  <si>
    <t xml:space="preserve">#52 / SP19</t>
  </si>
  <si>
    <t xml:space="preserve">#126 / SP3</t>
  </si>
  <si>
    <t xml:space="preserve">#78 / SP6</t>
  </si>
  <si>
    <t xml:space="preserve">#6 / SP3</t>
  </si>
  <si>
    <t xml:space="preserve">#18 / SP4</t>
  </si>
  <si>
    <t xml:space="preserve">#97</t>
  </si>
  <si>
    <t xml:space="preserve">#106 / SP12</t>
  </si>
  <si>
    <t xml:space="preserve">#105 / SP18</t>
  </si>
  <si>
    <t xml:space="preserve">#41 / SP6</t>
  </si>
  <si>
    <t xml:space="preserve">#52 / SP15</t>
  </si>
  <si>
    <t xml:space="preserve">#43 / SP4</t>
  </si>
  <si>
    <t xml:space="preserve">#20 / SP26</t>
  </si>
  <si>
    <t xml:space="preserve">#72 / SP16</t>
  </si>
  <si>
    <t xml:space="preserve">#68 / SP8</t>
  </si>
  <si>
    <t xml:space="preserve">#65 / SP6</t>
  </si>
  <si>
    <t xml:space="preserve">#39 / SP10</t>
  </si>
  <si>
    <t xml:space="preserve">#10 / SP8</t>
  </si>
  <si>
    <t xml:space="preserve">#23 / SP27</t>
  </si>
  <si>
    <t xml:space="preserve">Decolure Cooling Sheets 4PC — full history (~$38 microfiber tier, launched Oct 2023; the long history)</t>
  </si>
  <si>
    <t xml:space="preserve">Product 48 · Sellerboard from Oct 2023, command-center PPC from Apr 2025 · DataDive Rank Radar B0D9HRYKBW · pulled 8 Oct 2026. Keyword table at the bottom feeds Main_Strategy.</t>
  </si>
  <si>
    <t xml:space="preserve">What Decolure tells us for CooLinens</t>
  </si>
  <si>
    <t xml:space="preserve">• Price tier decides profit: $997k lifetime sales but net profit ≈ $0 (lifetime ACoS 44.2% vs ~28% break-even; LTSF + storage $70k). Fees are the same dollars per unit as Sleephoria, so a $38 price cannot fund PPC — CooLinens sits on Sleephoria economics.</t>
  </si>
  <si>
    <t xml:space="preserve">• Starving a new listing straight after launch erases it: Nov-23 launch $9.5k spend, cut to $8–71/week Dec–Mar → weekly sales $7.5k → $0.4–1.0k with no organic floor. Hold a Dec–Jan spend floor on the Queen heroes.</t>
  </si>
  <si>
    <t xml:space="preserve">• "cooling sheets queen": $2,487 at 45.9% ACoS — profitable 0 of 7 months; "cooling sheets" exact $5.2k at 40.5% = consistent waste. The $38 product could not convert these terms profitably; the $80 knit (Sleephoria) could.</t>
  </si>
  <si>
    <t xml:space="preserve">• Exact never reached break-even in any quarter (36–61%); SD auto 20–33% and SD product-similar 26.2% were the cheapest formats; broad 209% → no broad on day 1.</t>
  </si>
  <si>
    <t xml:space="preserve">• TOS +168–174% in Sep 2026 pushed CPC to $2.43–2.60 and ACoS to 76% with no rank response → modifiers only where CVR is proven.</t>
  </si>
  <si>
    <t xml:space="preserve">• Queen Graphite (#1 SKU) OOS 27 Jul–2 Sep and from 9 Sep: brand $/day −46%, sessions −50%, queen ranks 42 → ~125. Rank decays 35–45 positions/month with spend cut + OOS.</t>
  </si>
  <si>
    <t xml:space="preserve">• Price is a strong lever: −30% price → 4× weekly units (Apr 2025); restoring price in June kept revenue with the best profit months. Deals buy volume, not profit (Dec-24 promo: best CVR, −$5.0k month).</t>
  </si>
  <si>
    <t xml:space="preserve">• The decline from Jul 2025 started before Sleephoria's ads (3 Oct 2025): evidence that Sleephoria cannibalised Decolure is weak.</t>
  </si>
  <si>
    <t xml:space="preserve">1 · Product summary (Sellerboard, Oct 2023 → Oct 2026)</t>
  </si>
  <si>
    <t xml:space="preserve">Lifetime sales</t>
  </si>
  <si>
    <t xml:space="preserve">Lifetime units</t>
  </si>
  <si>
    <t xml:space="preserve">Lifetime PPC spend</t>
  </si>
  <si>
    <t xml:space="preserve">Lifetime PPC ACoS</t>
  </si>
  <si>
    <t xml:space="preserve">Lifetime TACoS</t>
  </si>
  <si>
    <t xml:space="preserve">Lifetime net profit</t>
  </si>
  <si>
    <t xml:space="preserve">Avg selling price</t>
  </si>
  <si>
    <t xml:space="preserve">Best month (sales)</t>
  </si>
  <si>
    <t xml:space="preserve">LTSF + removal fees</t>
  </si>
  <si>
    <t xml:space="preserve">2 · Monthly business and PPC history</t>
  </si>
  <si>
    <t xml:space="preserve">PPC: Sellerboard campaign lens to Jun 2025, command center from Jul 2025.</t>
  </si>
  <si>
    <t xml:space="preserve">month</t>
  </si>
  <si>
    <t xml:space="preserve">ppc_spend</t>
  </si>
  <si>
    <t xml:space="preserve">ppc_impressions</t>
  </si>
  <si>
    <t xml:space="preserve">ppc_clicks</t>
  </si>
  <si>
    <t xml:space="preserve">ppc_orders</t>
  </si>
  <si>
    <t xml:space="preserve">ppc_ad_sales</t>
  </si>
  <si>
    <t xml:space="preserve">ppc_acos_pct</t>
  </si>
  <si>
    <t xml:space="preserve">ppc_cpc</t>
  </si>
  <si>
    <t xml:space="preserve">ppc_cvr_pct</t>
  </si>
  <si>
    <t xml:space="preserve">ppc_ctr_pct</t>
  </si>
  <si>
    <t xml:space="preserve">total_sales</t>
  </si>
  <si>
    <t xml:space="preserve">units</t>
  </si>
  <si>
    <t xml:space="preserve">orders</t>
  </si>
  <si>
    <t xml:space="preserve">asp</t>
  </si>
  <si>
    <t xml:space="preserve">sessions</t>
  </si>
  <si>
    <t xml:space="preserve">unit_session_pct</t>
  </si>
  <si>
    <t xml:space="preserve">tacos_ppc_pct</t>
  </si>
  <si>
    <t xml:space="preserve">promo</t>
  </si>
  <si>
    <t xml:space="preserve">ltsf</t>
  </si>
  <si>
    <t xml:space="preserve">removal_fee</t>
  </si>
  <si>
    <t xml:space="preserve">net_profit</t>
  </si>
  <si>
    <t xml:space="preserve">net_margin_pct</t>
  </si>
  <si>
    <t xml:space="preserve">2023-10</t>
  </si>
  <si>
    <t xml:space="preserve">2023-11</t>
  </si>
  <si>
    <t xml:space="preserve">2024-03</t>
  </si>
  <si>
    <t xml:space="preserve">2024-04</t>
  </si>
  <si>
    <t xml:space="preserve">2024-05</t>
  </si>
  <si>
    <t xml:space="preserve">2024-06</t>
  </si>
  <si>
    <t xml:space="preserve">2024-09</t>
  </si>
  <si>
    <t xml:space="preserve">2024-12</t>
  </si>
  <si>
    <t xml:space="preserve">2025-02</t>
  </si>
  <si>
    <t xml:space="preserve">2025-03</t>
  </si>
  <si>
    <t xml:space="preserve">2025-04</t>
  </si>
  <si>
    <t xml:space="preserve">2025-05</t>
  </si>
  <si>
    <t xml:space="preserve">2025-09</t>
  </si>
  <si>
    <t xml:space="preserve">2025-10</t>
  </si>
  <si>
    <t xml:space="preserve">2026-04</t>
  </si>
  <si>
    <t xml:space="preserve">2026-08</t>
  </si>
  <si>
    <t xml:space="preserve">2026-10</t>
  </si>
  <si>
    <t xml:space="preserve">3 · Same period year on year (Jul 1 – Oct 7, trailing 30 days, Q4)</t>
  </si>
  <si>
    <t xml:space="preserve">window</t>
  </si>
  <si>
    <t xml:space="preserve">spend</t>
  </si>
  <si>
    <t xml:space="preserve">ad_sales</t>
  </si>
  <si>
    <t xml:space="preserve">acos_pct</t>
  </si>
  <si>
    <t xml:space="preserve">tacos_pct</t>
  </si>
  <si>
    <t xml:space="preserve">cpc</t>
  </si>
  <si>
    <t xml:space="preserve">ctr_pct</t>
  </si>
  <si>
    <t xml:space="preserve">cvr_pct</t>
  </si>
  <si>
    <t xml:space="preserve">clicks</t>
  </si>
  <si>
    <t xml:space="preserve">impressions</t>
  </si>
  <si>
    <t xml:space="preserve">ad_share_of_orders_pct</t>
  </si>
  <si>
    <t xml:space="preserve">sku_ad_spend_all_types</t>
  </si>
  <si>
    <t xml:space="preserve">tacos_sku_pct</t>
  </si>
  <si>
    <t xml:space="preserve">campaign_lens_spend</t>
  </si>
  <si>
    <t xml:space="preserve">JulOct7_2024 (2024-07-01..2024-10-07)</t>
  </si>
  <si>
    <t xml:space="preserve">35387.21</t>
  </si>
  <si>
    <t xml:space="preserve">85865.76</t>
  </si>
  <si>
    <t xml:space="preserve">41.2</t>
  </si>
  <si>
    <t xml:space="preserve">17.9</t>
  </si>
  <si>
    <t xml:space="preserve">1.52</t>
  </si>
  <si>
    <t xml:space="preserve">0.74</t>
  </si>
  <si>
    <t xml:space="preserve">9.79</t>
  </si>
  <si>
    <t xml:space="preserve">2275.0</t>
  </si>
  <si>
    <t xml:space="preserve">23246.0</t>
  </si>
  <si>
    <t xml:space="preserve">3159102.0</t>
  </si>
  <si>
    <t xml:space="preserve">197860.86</t>
  </si>
  <si>
    <t xml:space="preserve">5571.0</t>
  </si>
  <si>
    <t xml:space="preserve">35.52</t>
  </si>
  <si>
    <t xml:space="preserve">123489.0</t>
  </si>
  <si>
    <t xml:space="preserve">4.51</t>
  </si>
  <si>
    <t xml:space="preserve">35396.3</t>
  </si>
  <si>
    <t xml:space="preserve">13921.54</t>
  </si>
  <si>
    <t xml:space="preserve">T30_2024 (2024-09-08..2024-10-07)</t>
  </si>
  <si>
    <t xml:space="preserve">7836.49</t>
  </si>
  <si>
    <t xml:space="preserve">17130.74</t>
  </si>
  <si>
    <t xml:space="preserve">45.7</t>
  </si>
  <si>
    <t xml:space="preserve">20.9</t>
  </si>
  <si>
    <t xml:space="preserve">1.63</t>
  </si>
  <si>
    <t xml:space="preserve">0.67</t>
  </si>
  <si>
    <t xml:space="preserve">8.89</t>
  </si>
  <si>
    <t xml:space="preserve">426.0</t>
  </si>
  <si>
    <t xml:space="preserve">4794.0</t>
  </si>
  <si>
    <t xml:space="preserve">712788.0</t>
  </si>
  <si>
    <t xml:space="preserve">37478.15</t>
  </si>
  <si>
    <t xml:space="preserve">979.0</t>
  </si>
  <si>
    <t xml:space="preserve">38.28</t>
  </si>
  <si>
    <t xml:space="preserve">24214.0</t>
  </si>
  <si>
    <t xml:space="preserve">4.04</t>
  </si>
  <si>
    <t xml:space="preserve">7842.83</t>
  </si>
  <si>
    <t xml:space="preserve">853.5</t>
  </si>
  <si>
    <t xml:space="preserve">JulOct7_2025 (2025-07-01..2025-10-07)</t>
  </si>
  <si>
    <t xml:space="preserve">7623.59</t>
  </si>
  <si>
    <t xml:space="preserve">15113.95</t>
  </si>
  <si>
    <t xml:space="preserve">50.4</t>
  </si>
  <si>
    <t xml:space="preserve">7.1</t>
  </si>
  <si>
    <t xml:space="preserve">1.84</t>
  </si>
  <si>
    <t xml:space="preserve">0.79</t>
  </si>
  <si>
    <t xml:space="preserve">8.84</t>
  </si>
  <si>
    <t xml:space="preserve">367.0</t>
  </si>
  <si>
    <t xml:space="preserve">4153.0</t>
  </si>
  <si>
    <t xml:space="preserve">526151.0</t>
  </si>
  <si>
    <t xml:space="preserve">107496.41</t>
  </si>
  <si>
    <t xml:space="preserve">2934.0</t>
  </si>
  <si>
    <t xml:space="preserve">36.64</t>
  </si>
  <si>
    <t xml:space="preserve">75251.0</t>
  </si>
  <si>
    <t xml:space="preserve">3.9</t>
  </si>
  <si>
    <t xml:space="preserve">8709.0</t>
  </si>
  <si>
    <t xml:space="preserve">8.1</t>
  </si>
  <si>
    <t xml:space="preserve">12551.93</t>
  </si>
  <si>
    <t xml:space="preserve">14603.1</t>
  </si>
  <si>
    <t xml:space="preserve">T30_2025 (2025-09-08..2025-10-07)</t>
  </si>
  <si>
    <t xml:space="preserve">1058.01</t>
  </si>
  <si>
    <t xml:space="preserve">2673.11</t>
  </si>
  <si>
    <t xml:space="preserve">39.6</t>
  </si>
  <si>
    <t xml:space="preserve">10.9</t>
  </si>
  <si>
    <t xml:space="preserve">2.1</t>
  </si>
  <si>
    <t xml:space="preserve">0.62</t>
  </si>
  <si>
    <t xml:space="preserve">10.1</t>
  </si>
  <si>
    <t xml:space="preserve">51.0</t>
  </si>
  <si>
    <t xml:space="preserve">505.0</t>
  </si>
  <si>
    <t xml:space="preserve">81782.0</t>
  </si>
  <si>
    <t xml:space="preserve">9665.66</t>
  </si>
  <si>
    <t xml:space="preserve">250.0</t>
  </si>
  <si>
    <t xml:space="preserve">38.66</t>
  </si>
  <si>
    <t xml:space="preserve">8389.0</t>
  </si>
  <si>
    <t xml:space="preserve">2.98</t>
  </si>
  <si>
    <t xml:space="preserve">1216.32</t>
  </si>
  <si>
    <t xml:space="preserve">12.6</t>
  </si>
  <si>
    <t xml:space="preserve">2203.47</t>
  </si>
  <si>
    <t xml:space="preserve">640.56</t>
  </si>
  <si>
    <t xml:space="preserve">JulOct7_2026 (2026-07-01..2026-10-07)</t>
  </si>
  <si>
    <t xml:space="preserve">7342.72</t>
  </si>
  <si>
    <t xml:space="preserve">13227.1</t>
  </si>
  <si>
    <t xml:space="preserve">55.5</t>
  </si>
  <si>
    <t xml:space="preserve">28.0</t>
  </si>
  <si>
    <t xml:space="preserve">1.23</t>
  </si>
  <si>
    <t xml:space="preserve">1.24</t>
  </si>
  <si>
    <t xml:space="preserve">5.71</t>
  </si>
  <si>
    <t xml:space="preserve">342.0</t>
  </si>
  <si>
    <t xml:space="preserve">5991.0</t>
  </si>
  <si>
    <t xml:space="preserve">484445.0</t>
  </si>
  <si>
    <t xml:space="preserve">26220.24</t>
  </si>
  <si>
    <t xml:space="preserve">708.0</t>
  </si>
  <si>
    <t xml:space="preserve">37.03</t>
  </si>
  <si>
    <t xml:space="preserve">18965.0</t>
  </si>
  <si>
    <t xml:space="preserve">3.73</t>
  </si>
  <si>
    <t xml:space="preserve">7416.15</t>
  </si>
  <si>
    <t xml:space="preserve">28.3</t>
  </si>
  <si>
    <t xml:space="preserve">10052.75</t>
  </si>
  <si>
    <t xml:space="preserve">-9237.27</t>
  </si>
  <si>
    <t xml:space="preserve">T30_2026 (2026-09-08..2026-10-07)</t>
  </si>
  <si>
    <t xml:space="preserve">2992.91</t>
  </si>
  <si>
    <t xml:space="preserve">4206.2</t>
  </si>
  <si>
    <t xml:space="preserve">71.2</t>
  </si>
  <si>
    <t xml:space="preserve">42.3</t>
  </si>
  <si>
    <t xml:space="preserve">2.5</t>
  </si>
  <si>
    <t xml:space="preserve">8.28</t>
  </si>
  <si>
    <t xml:space="preserve">99.0</t>
  </si>
  <si>
    <t xml:space="preserve">1196.0</t>
  </si>
  <si>
    <t xml:space="preserve">78849.0</t>
  </si>
  <si>
    <t xml:space="preserve">7075.15</t>
  </si>
  <si>
    <t xml:space="preserve">179.0</t>
  </si>
  <si>
    <t xml:space="preserve">39.53</t>
  </si>
  <si>
    <t xml:space="preserve">4066.0</t>
  </si>
  <si>
    <t xml:space="preserve">3025.28</t>
  </si>
  <si>
    <t xml:space="preserve">42.8</t>
  </si>
  <si>
    <t xml:space="preserve">3790.77</t>
  </si>
  <si>
    <t xml:space="preserve">-2118.5</t>
  </si>
  <si>
    <t xml:space="preserve">Q4_2024 (2024-10-01..2024-12-31)</t>
  </si>
  <si>
    <t xml:space="preserve">19401.73</t>
  </si>
  <si>
    <t xml:space="preserve">41747.22</t>
  </si>
  <si>
    <t xml:space="preserve">46.5</t>
  </si>
  <si>
    <t xml:space="preserve">19.3</t>
  </si>
  <si>
    <t xml:space="preserve">1.61</t>
  </si>
  <si>
    <t xml:space="preserve">0.75</t>
  </si>
  <si>
    <t xml:space="preserve">9.04</t>
  </si>
  <si>
    <t xml:space="preserve">1093.0</t>
  </si>
  <si>
    <t xml:space="preserve">12086.0</t>
  </si>
  <si>
    <t xml:space="preserve">1616266.0</t>
  </si>
  <si>
    <t xml:space="preserve">100476.04</t>
  </si>
  <si>
    <t xml:space="preserve">2754.0</t>
  </si>
  <si>
    <t xml:space="preserve">36.48</t>
  </si>
  <si>
    <t xml:space="preserve">57236.0</t>
  </si>
  <si>
    <t xml:space="preserve">4.81</t>
  </si>
  <si>
    <t xml:space="preserve">18616.03</t>
  </si>
  <si>
    <t xml:space="preserve">18.5</t>
  </si>
  <si>
    <t xml:space="preserve">-9615.18</t>
  </si>
  <si>
    <t xml:space="preserve">Q4_2025 (2025-10-01..2025-12-31)</t>
  </si>
  <si>
    <t xml:space="preserve">1643.11</t>
  </si>
  <si>
    <t xml:space="preserve">4302.73</t>
  </si>
  <si>
    <t xml:space="preserve">38.2</t>
  </si>
  <si>
    <t xml:space="preserve">7.4</t>
  </si>
  <si>
    <t xml:space="preserve">2.01</t>
  </si>
  <si>
    <t xml:space="preserve">0.57</t>
  </si>
  <si>
    <t xml:space="preserve">10.74</t>
  </si>
  <si>
    <t xml:space="preserve">88.0</t>
  </si>
  <si>
    <t xml:space="preserve">819.0</t>
  </si>
  <si>
    <t xml:space="preserve">144768.0</t>
  </si>
  <si>
    <t xml:space="preserve">22137.59</t>
  </si>
  <si>
    <t xml:space="preserve">581.0</t>
  </si>
  <si>
    <t xml:space="preserve">38.1</t>
  </si>
  <si>
    <t xml:space="preserve">14971.0</t>
  </si>
  <si>
    <t xml:space="preserve">3.88</t>
  </si>
  <si>
    <t xml:space="preserve">2411.88</t>
  </si>
  <si>
    <t xml:space="preserve">8489.26</t>
  </si>
  <si>
    <t xml:space="preserve">-1502.91</t>
  </si>
  <si>
    <t xml:space="preserve">DELTA JulOct7_2026 vs JulOct7_2025</t>
  </si>
  <si>
    <t xml:space="preserve">-280.87 (-3.7%)</t>
  </si>
  <si>
    <t xml:space="preserve">-1886.85 (-12.5%)</t>
  </si>
  <si>
    <t xml:space="preserve">+5.10 (+10.1%)</t>
  </si>
  <si>
    <t xml:space="preserve">+20.90 (+294.4%)</t>
  </si>
  <si>
    <t xml:space="preserve">-0.61 (-33.2%)</t>
  </si>
  <si>
    <t xml:space="preserve">+0.45 (+57.0%)</t>
  </si>
  <si>
    <t xml:space="preserve">-3.13 (-35.4%)</t>
  </si>
  <si>
    <t xml:space="preserve">-25.00 (-6.8%)</t>
  </si>
  <si>
    <t xml:space="preserve">+1838.00 (+44.3%)</t>
  </si>
  <si>
    <t xml:space="preserve">-41706.00 (-7.9%)</t>
  </si>
  <si>
    <t xml:space="preserve">-81276.17 (-75.6%)</t>
  </si>
  <si>
    <t xml:space="preserve">-2226.00 (-75.9%)</t>
  </si>
  <si>
    <t xml:space="preserve">+0.39 (+1.1%)</t>
  </si>
  <si>
    <t xml:space="preserve">-56286.00 (-74.8%)</t>
  </si>
  <si>
    <t xml:space="preserve">-0.17 (-4.4%)</t>
  </si>
  <si>
    <t xml:space="preserve">-1292.85 (-14.8%)</t>
  </si>
  <si>
    <t xml:space="preserve">+20.20 (+249.4%)</t>
  </si>
  <si>
    <t xml:space="preserve">-2499.18 (-19.9%)</t>
  </si>
  <si>
    <t xml:space="preserve">-23840.37 (-163.3%)</t>
  </si>
  <si>
    <t xml:space="preserve">DELTA JulOct7_2025 vs JulOct7_2024</t>
  </si>
  <si>
    <t xml:space="preserve">-27763.62 (-78.5%)</t>
  </si>
  <si>
    <t xml:space="preserve">-70751.81 (-82.4%)</t>
  </si>
  <si>
    <t xml:space="preserve">+9.20 (+22.3%)</t>
  </si>
  <si>
    <t xml:space="preserve">-10.80 (-60.3%)</t>
  </si>
  <si>
    <t xml:space="preserve">+0.32 (+21.1%)</t>
  </si>
  <si>
    <t xml:space="preserve">+0.05 (+6.8%)</t>
  </si>
  <si>
    <t xml:space="preserve">-0.95 (-9.7%)</t>
  </si>
  <si>
    <t xml:space="preserve">-1908.00 (-83.9%)</t>
  </si>
  <si>
    <t xml:space="preserve">-19093.00 (-82.1%)</t>
  </si>
  <si>
    <t xml:space="preserve">-2632951.00 (-83.3%)</t>
  </si>
  <si>
    <t xml:space="preserve">-90364.45 (-45.7%)</t>
  </si>
  <si>
    <t xml:space="preserve">-2637.00 (-47.3%)</t>
  </si>
  <si>
    <t xml:space="preserve">+1.12 (+3.2%)</t>
  </si>
  <si>
    <t xml:space="preserve">-48238.00 (-39.1%)</t>
  </si>
  <si>
    <t xml:space="preserve">-0.61 (-13.5%)</t>
  </si>
  <si>
    <t xml:space="preserve">-26687.30 (-75.4%)</t>
  </si>
  <si>
    <t xml:space="preserve">-9.80 (-54.7%)</t>
  </si>
  <si>
    <t xml:space="preserve">-22835.28 (-64.5%)</t>
  </si>
  <si>
    <t xml:space="preserve">+681.56 (+4.9%)</t>
  </si>
  <si>
    <t xml:space="preserve">DELTA JulOct7_2026 vs JulOct7_2024</t>
  </si>
  <si>
    <t xml:space="preserve">-28044.49 (-79.3%)</t>
  </si>
  <si>
    <t xml:space="preserve">-72638.66 (-84.6%)</t>
  </si>
  <si>
    <t xml:space="preserve">+14.30 (+34.7%)</t>
  </si>
  <si>
    <t xml:space="preserve">+10.10 (+56.4%)</t>
  </si>
  <si>
    <t xml:space="preserve">-0.29 (-19.1%)</t>
  </si>
  <si>
    <t xml:space="preserve">+0.50 (+67.6%)</t>
  </si>
  <si>
    <t xml:space="preserve">-4.08 (-41.7%)</t>
  </si>
  <si>
    <t xml:space="preserve">-1933.00 (-85.0%)</t>
  </si>
  <si>
    <t xml:space="preserve">-17255.00 (-74.2%)</t>
  </si>
  <si>
    <t xml:space="preserve">-2674657.00 (-84.7%)</t>
  </si>
  <si>
    <t xml:space="preserve">-171640.62 (-86.7%)</t>
  </si>
  <si>
    <t xml:space="preserve">-4863.00 (-87.3%)</t>
  </si>
  <si>
    <t xml:space="preserve">+1.51 (+4.3%)</t>
  </si>
  <si>
    <t xml:space="preserve">-104524.00 (-84.6%)</t>
  </si>
  <si>
    <t xml:space="preserve">-0.78 (-17.3%)</t>
  </si>
  <si>
    <t xml:space="preserve">-27980.15 (-79.0%)</t>
  </si>
  <si>
    <t xml:space="preserve">+10.40 (+58.1%)</t>
  </si>
  <si>
    <t xml:space="preserve">-25334.46 (-71.6%)</t>
  </si>
  <si>
    <t xml:space="preserve">-23158.81 (-166.4%)</t>
  </si>
  <si>
    <t xml:space="preserve">DELTA T30_2026 vs T30_2025</t>
  </si>
  <si>
    <t xml:space="preserve">+1934.90 (+182.9%)</t>
  </si>
  <si>
    <t xml:space="preserve">+1533.09 (+57.4%)</t>
  </si>
  <si>
    <t xml:space="preserve">+31.60 (+79.8%)</t>
  </si>
  <si>
    <t xml:space="preserve">+31.40 (+288.1%)</t>
  </si>
  <si>
    <t xml:space="preserve">+0.40 (+19.0%)</t>
  </si>
  <si>
    <t xml:space="preserve">+0.90 (+145.2%)</t>
  </si>
  <si>
    <t xml:space="preserve">-1.82 (-18.0%)</t>
  </si>
  <si>
    <t xml:space="preserve">+48.00 (+94.1%)</t>
  </si>
  <si>
    <t xml:space="preserve">+691.00 (+136.8%)</t>
  </si>
  <si>
    <t xml:space="preserve">-2933.00 (-3.6%)</t>
  </si>
  <si>
    <t xml:space="preserve">-2590.51 (-26.8%)</t>
  </si>
  <si>
    <t xml:space="preserve">-71.00 (-28.4%)</t>
  </si>
  <si>
    <t xml:space="preserve">+0.87 (+2.3%)</t>
  </si>
  <si>
    <t xml:space="preserve">-4323.00 (-51.5%)</t>
  </si>
  <si>
    <t xml:space="preserve">+1.42 (+47.7%)</t>
  </si>
  <si>
    <t xml:space="preserve">+1808.96 (+148.7%)</t>
  </si>
  <si>
    <t xml:space="preserve">+30.20 (+239.7%)</t>
  </si>
  <si>
    <t xml:space="preserve">+1587.30 (+72.0%)</t>
  </si>
  <si>
    <t xml:space="preserve">-2759.06 (-430.7%)</t>
  </si>
  <si>
    <t xml:space="preserve">DELTA T30_2025 vs T30_2024</t>
  </si>
  <si>
    <t xml:space="preserve">-6778.48 (-86.5%)</t>
  </si>
  <si>
    <t xml:space="preserve">-14457.63 (-84.4%)</t>
  </si>
  <si>
    <t xml:space="preserve">-6.10 (-13.3%)</t>
  </si>
  <si>
    <t xml:space="preserve">-10.00 (-47.8%)</t>
  </si>
  <si>
    <t xml:space="preserve">+0.47 (+28.8%)</t>
  </si>
  <si>
    <t xml:space="preserve">-0.05 (-7.5%)</t>
  </si>
  <si>
    <t xml:space="preserve">+1.21 (+13.6%)</t>
  </si>
  <si>
    <t xml:space="preserve">-375.00 (-88.0%)</t>
  </si>
  <si>
    <t xml:space="preserve">-4289.00 (-89.5%)</t>
  </si>
  <si>
    <t xml:space="preserve">-631006.00 (-88.5%)</t>
  </si>
  <si>
    <t xml:space="preserve">-27812.49 (-74.2%)</t>
  </si>
  <si>
    <t xml:space="preserve">-729.00 (-74.5%)</t>
  </si>
  <si>
    <t xml:space="preserve">+0.38 (+1.0%)</t>
  </si>
  <si>
    <t xml:space="preserve">-15825.00 (-65.4%)</t>
  </si>
  <si>
    <t xml:space="preserve">-1.06 (-26.2%)</t>
  </si>
  <si>
    <t xml:space="preserve">-6626.51 (-84.5%)</t>
  </si>
  <si>
    <t xml:space="preserve">-8.30 (-39.7%)</t>
  </si>
  <si>
    <t xml:space="preserve">-5633.02 (-71.9%)</t>
  </si>
  <si>
    <t xml:space="preserve">-212.94 (-24.9%)</t>
  </si>
  <si>
    <t xml:space="preserve">DELTA Q4_2025 vs Q4_2024</t>
  </si>
  <si>
    <t xml:space="preserve">-17758.62 (-91.5%)</t>
  </si>
  <si>
    <t xml:space="preserve">-37444.49 (-89.7%)</t>
  </si>
  <si>
    <t xml:space="preserve">-8.30 (-17.8%)</t>
  </si>
  <si>
    <t xml:space="preserve">-11.90 (-61.7%)</t>
  </si>
  <si>
    <t xml:space="preserve">+0.40 (+24.8%)</t>
  </si>
  <si>
    <t xml:space="preserve">-0.18 (-24.0%)</t>
  </si>
  <si>
    <t xml:space="preserve">+1.70 (+18.8%)</t>
  </si>
  <si>
    <t xml:space="preserve">-1005.00 (-91.9%)</t>
  </si>
  <si>
    <t xml:space="preserve">-11267.00 (-93.2%)</t>
  </si>
  <si>
    <t xml:space="preserve">-1471498.00 (-91.0%)</t>
  </si>
  <si>
    <t xml:space="preserve">-78338.45 (-78.0%)</t>
  </si>
  <si>
    <t xml:space="preserve">-2173.00 (-78.9%)</t>
  </si>
  <si>
    <t xml:space="preserve">+1.62 (+4.4%)</t>
  </si>
  <si>
    <t xml:space="preserve">-42265.00 (-73.8%)</t>
  </si>
  <si>
    <t xml:space="preserve">-0.93 (-19.3%)</t>
  </si>
  <si>
    <t xml:space="preserve">-16204.15 (-87.0%)</t>
  </si>
  <si>
    <t xml:space="preserve">-7.60 (-41.1%)</t>
  </si>
  <si>
    <t xml:space="preserve">-10912.47 (-56.2%)</t>
  </si>
  <si>
    <t xml:space="preserve">+8112.27 (-84.4%)</t>
  </si>
  <si>
    <t xml:space="preserve">4 · Size performance (full history and last 90 days)</t>
  </si>
  <si>
    <t xml:space="preserve">skus</t>
  </si>
  <si>
    <t xml:space="preserve">share_units_pct</t>
  </si>
  <si>
    <t xml:space="preserve">sales</t>
  </si>
  <si>
    <t xml:space="preserve">refund_pct</t>
  </si>
  <si>
    <t xml:space="preserve">np_total</t>
  </si>
  <si>
    <t xml:space="preserve">np_per_unit</t>
  </si>
  <si>
    <t xml:space="preserve">np_ex_ads_per_unit</t>
  </si>
  <si>
    <t xml:space="preserve">ad_spend</t>
  </si>
  <si>
    <t xml:space="preserve">ad_share_pct</t>
  </si>
  <si>
    <t xml:space="preserve">FULL</t>
  </si>
  <si>
    <t xml:space="preserve">L90D</t>
  </si>
  <si>
    <t xml:space="preserve">5 · SKU / variation scorecard</t>
  </si>
  <si>
    <t xml:space="preserve">rank_full_units</t>
  </si>
  <si>
    <t xml:space="preserve">FULL_units</t>
  </si>
  <si>
    <t xml:space="preserve">FULL_sales</t>
  </si>
  <si>
    <t xml:space="preserve">FULL_share_units_pct</t>
  </si>
  <si>
    <t xml:space="preserve">FULL_cvr_pct</t>
  </si>
  <si>
    <t xml:space="preserve">FULL_np_per_unit</t>
  </si>
  <si>
    <t xml:space="preserve">FULL_ad_spend</t>
  </si>
  <si>
    <t xml:space="preserve">FULL_ad_share_pct</t>
  </si>
  <si>
    <t xml:space="preserve">L90D_units</t>
  </si>
  <si>
    <t xml:space="preserve">L90D_cvr_pct</t>
  </si>
  <si>
    <t xml:space="preserve">L90D_np_per_unit</t>
  </si>
  <si>
    <t xml:space="preserve">fba_now</t>
  </si>
  <si>
    <t xml:space="preserve">inbound_now</t>
  </si>
  <si>
    <t xml:space="preserve">days_in_stock_pct_obs_Apr8_Oct8_2026</t>
  </si>
  <si>
    <t xml:space="preserve">BM-QUEEN-GRAPHITE-GREY</t>
  </si>
  <si>
    <t xml:space="preserve">B0C9LQWPC7</t>
  </si>
  <si>
    <t xml:space="preserve">64.1</t>
  </si>
  <si>
    <t xml:space="preserve">BM-QUEEN-CGREY</t>
  </si>
  <si>
    <t xml:space="preserve">B0C9LTMN8M</t>
  </si>
  <si>
    <t xml:space="preserve">50.5</t>
  </si>
  <si>
    <t xml:space="preserve">BM-QUEEN-MIDNIGHT-BLACK</t>
  </si>
  <si>
    <t xml:space="preserve">B0C9LSB9RT</t>
  </si>
  <si>
    <t xml:space="preserve">56.5</t>
  </si>
  <si>
    <t xml:space="preserve">BM-KING-CGREY</t>
  </si>
  <si>
    <t xml:space="preserve">B0C9LSY8S7</t>
  </si>
  <si>
    <t xml:space="preserve">2.2</t>
  </si>
  <si>
    <t xml:space="preserve">BM-QUEEN-R-PURPLE</t>
  </si>
  <si>
    <t xml:space="preserve">B0C9LTT7CL</t>
  </si>
  <si>
    <t xml:space="preserve">n/a (not pulled)</t>
  </si>
  <si>
    <t xml:space="preserve">BM-KING-GRAPHITE-GREY</t>
  </si>
  <si>
    <t xml:space="preserve">B0C9LPCX5G</t>
  </si>
  <si>
    <t xml:space="preserve">BM-QUEEN-NAVY-BLUE</t>
  </si>
  <si>
    <t xml:space="preserve">B0C9LS5H2T</t>
  </si>
  <si>
    <t xml:space="preserve">53.8</t>
  </si>
  <si>
    <t xml:space="preserve">BM-KING-R-PURPLE</t>
  </si>
  <si>
    <t xml:space="preserve">B0C9LS8Z18</t>
  </si>
  <si>
    <t xml:space="preserve">51.6</t>
  </si>
  <si>
    <t xml:space="preserve">BM-QUEEN-CREAM</t>
  </si>
  <si>
    <t xml:space="preserve">B0C9LRJQCW</t>
  </si>
  <si>
    <t xml:space="preserve">100.0</t>
  </si>
  <si>
    <t xml:space="preserve">BM-QUEEN-WHITE</t>
  </si>
  <si>
    <t xml:space="preserve">B0C9LS4KC5</t>
  </si>
  <si>
    <t xml:space="preserve">42.4</t>
  </si>
  <si>
    <t xml:space="preserve">BM-KING-MIDNIGHT-BLACK</t>
  </si>
  <si>
    <t xml:space="preserve">B0C9LTM6CX</t>
  </si>
  <si>
    <t xml:space="preserve">32.6</t>
  </si>
  <si>
    <t xml:space="preserve">BM-KING-NAVY-BLUE</t>
  </si>
  <si>
    <t xml:space="preserve">B0C9LT3V3D</t>
  </si>
  <si>
    <t xml:space="preserve">45.1</t>
  </si>
  <si>
    <t xml:space="preserve">BM-KING-CREAM</t>
  </si>
  <si>
    <t xml:space="preserve">B0C9LXFDJT</t>
  </si>
  <si>
    <t xml:space="preserve">BM-KING-WHITE</t>
  </si>
  <si>
    <t xml:space="preserve">B0C9LTTX5N</t>
  </si>
  <si>
    <t xml:space="preserve">0.0</t>
  </si>
  <si>
    <t xml:space="preserve">BM-QUEEN-LIGHT-GREY</t>
  </si>
  <si>
    <t xml:space="preserve">B0CWJ188W3</t>
  </si>
  <si>
    <t xml:space="preserve">BM-FULL-GRAPHITE-GREY</t>
  </si>
  <si>
    <t xml:space="preserve">B0C9LQWY53</t>
  </si>
  <si>
    <t xml:space="preserve">23.4</t>
  </si>
  <si>
    <t xml:space="preserve">BM-FULL-MIDNIGHT-BLACK</t>
  </si>
  <si>
    <t xml:space="preserve">B0C9LTQ5YV</t>
  </si>
  <si>
    <t xml:space="preserve">BM-FULL-CGREY</t>
  </si>
  <si>
    <t xml:space="preserve">B0C9LVTKF7</t>
  </si>
  <si>
    <t xml:space="preserve">96.2</t>
  </si>
  <si>
    <t xml:space="preserve">BM-FULL-R-PURPLE</t>
  </si>
  <si>
    <t xml:space="preserve">B0C9LV5QYP</t>
  </si>
  <si>
    <t xml:space="preserve">BM-CALKING-CGREY</t>
  </si>
  <si>
    <t xml:space="preserve">B0C9LXDSJ1</t>
  </si>
  <si>
    <t xml:space="preserve">76.6</t>
  </si>
  <si>
    <t xml:space="preserve">BM-QUEEN-PINK</t>
  </si>
  <si>
    <t xml:space="preserve">B0CWJ2X18T</t>
  </si>
  <si>
    <t xml:space="preserve">BM-CALKING-GRAPHITE-GREY</t>
  </si>
  <si>
    <t xml:space="preserve">B0C9LNSCWB</t>
  </si>
  <si>
    <t xml:space="preserve">3.8</t>
  </si>
  <si>
    <t xml:space="preserve">BM-FULL-NAVY-BLUE</t>
  </si>
  <si>
    <t xml:space="preserve">B0C9LT81MY</t>
  </si>
  <si>
    <t xml:space="preserve">BM-FULL-WHITE</t>
  </si>
  <si>
    <t xml:space="preserve">B0C9LSHCH5</t>
  </si>
  <si>
    <t xml:space="preserve">BM-QUEEN-SAGE-GREEN</t>
  </si>
  <si>
    <t xml:space="preserve">B0CWHXCW71</t>
  </si>
  <si>
    <t xml:space="preserve">BM-CALKING-NAVY-BLUE</t>
  </si>
  <si>
    <t xml:space="preserve">B0C9LR2MK4</t>
  </si>
  <si>
    <t xml:space="preserve">BM-QUEEN-LIGHT-BLUE</t>
  </si>
  <si>
    <t xml:space="preserve">B0CWJ87BTG</t>
  </si>
  <si>
    <t xml:space="preserve">BM-KING-LIGHT-GREY</t>
  </si>
  <si>
    <t xml:space="preserve">B0CWJ4FTLV</t>
  </si>
  <si>
    <t xml:space="preserve">BM-CALKING-MIDNIGHT-BLACK</t>
  </si>
  <si>
    <t xml:space="preserve">B0C9LTYXMQ</t>
  </si>
  <si>
    <t xml:space="preserve">BM-FULL-CREAM</t>
  </si>
  <si>
    <t xml:space="preserve">B0C9LR45L9</t>
  </si>
  <si>
    <t xml:space="preserve">BM-QUEEN-BEIGE</t>
  </si>
  <si>
    <t xml:space="preserve">B0CWJBC82X</t>
  </si>
  <si>
    <t xml:space="preserve">BM-TWIN-GRAPHITE-GREY</t>
  </si>
  <si>
    <t xml:space="preserve">B0C9LPF46G</t>
  </si>
  <si>
    <t xml:space="preserve">BM-TWIN-R-PURPLE</t>
  </si>
  <si>
    <t xml:space="preserve">B0C9LS4RWT</t>
  </si>
  <si>
    <t xml:space="preserve">BM-FULL-LIGHT-GREY</t>
  </si>
  <si>
    <t xml:space="preserve">B0CWHYT2NC</t>
  </si>
  <si>
    <t xml:space="preserve">BM-TWIN-CGREY</t>
  </si>
  <si>
    <t xml:space="preserve">B0C9LSZTPN</t>
  </si>
  <si>
    <t xml:space="preserve">BM-TWIN-MIDNIGHT-BLACK</t>
  </si>
  <si>
    <t xml:space="preserve">B0C9LTZ8BC</t>
  </si>
  <si>
    <t xml:space="preserve">BM-CALKING-WHITE</t>
  </si>
  <si>
    <t xml:space="preserve">B0C9LTP7TM</t>
  </si>
  <si>
    <t xml:space="preserve">BM-CALKING-CREAM</t>
  </si>
  <si>
    <t xml:space="preserve">B0C9LWPL86</t>
  </si>
  <si>
    <t xml:space="preserve">BM-KING-SAGE-GREEN</t>
  </si>
  <si>
    <t xml:space="preserve">B0CWJ2BG1V</t>
  </si>
  <si>
    <t xml:space="preserve">BM-KING-PINK</t>
  </si>
  <si>
    <t xml:space="preserve">B0CWJ79M7J</t>
  </si>
  <si>
    <t xml:space="preserve">BM-TWIN-NAVY-BLUE</t>
  </si>
  <si>
    <t xml:space="preserve">B0C9LVLJ6S</t>
  </si>
  <si>
    <t xml:space="preserve">BM-KING-LIGHT-BLUE</t>
  </si>
  <si>
    <t xml:space="preserve">B0CWJ745KL</t>
  </si>
  <si>
    <t xml:space="preserve">BM-CALKING-LIGHT-GREY</t>
  </si>
  <si>
    <t xml:space="preserve">B0CWJ4HG9Q</t>
  </si>
  <si>
    <t xml:space="preserve">BM-CALKING-R-PURPLE</t>
  </si>
  <si>
    <t xml:space="preserve">B0C9LSHCGX</t>
  </si>
  <si>
    <t xml:space="preserve">BM-TWIN-WHITE</t>
  </si>
  <si>
    <t xml:space="preserve">B0C9LVNKHG</t>
  </si>
  <si>
    <t xml:space="preserve">BM-KING-BEIGE</t>
  </si>
  <si>
    <t xml:space="preserve">B0CWJFKC2N</t>
  </si>
  <si>
    <t xml:space="preserve">BM-FULL-LIGHT-BLUE</t>
  </si>
  <si>
    <t xml:space="preserve">B0CWJ4W1WP</t>
  </si>
  <si>
    <t xml:space="preserve">BM-FULL-PINK</t>
  </si>
  <si>
    <t xml:space="preserve">B0CWJ8YXR4</t>
  </si>
  <si>
    <t xml:space="preserve">BM-FULL-SAGE-GREEN</t>
  </si>
  <si>
    <t xml:space="preserve">B0CWJCY2VP</t>
  </si>
  <si>
    <t xml:space="preserve">BM-TWIN-LIGHT-BLUE</t>
  </si>
  <si>
    <t xml:space="preserve">B0CWJBZFZ7</t>
  </si>
  <si>
    <t xml:space="preserve">BM-CALKING-LIGHT-BLUE</t>
  </si>
  <si>
    <t xml:space="preserve">B0CWHT5C1M</t>
  </si>
  <si>
    <t xml:space="preserve">BM-FULL-BEIGE</t>
  </si>
  <si>
    <t xml:space="preserve">B0CWJBHX1G</t>
  </si>
  <si>
    <t xml:space="preserve">BM-TWIN-SAGE-GREEN</t>
  </si>
  <si>
    <t xml:space="preserve">B0CWJD4D6N</t>
  </si>
  <si>
    <t xml:space="preserve">BM-CALKING-BEIGE</t>
  </si>
  <si>
    <t xml:space="preserve">BM-TWIN-LIGHT-GREY</t>
  </si>
  <si>
    <t xml:space="preserve">B0CWJ1KPGR</t>
  </si>
  <si>
    <t xml:space="preserve">BM-CALKING-PINK</t>
  </si>
  <si>
    <t xml:space="preserve">B0CWJ19HT3</t>
  </si>
  <si>
    <t xml:space="preserve">BM-CALKING-SAGE-GREEN</t>
  </si>
  <si>
    <t xml:space="preserve">B0CWJ4HG7W</t>
  </si>
  <si>
    <t xml:space="preserve">BM-TWIN-PINK</t>
  </si>
  <si>
    <t xml:space="preserve">B0CWJ6KZ15</t>
  </si>
  <si>
    <t xml:space="preserve">BM-TWIN-CREAM</t>
  </si>
  <si>
    <t xml:space="preserve">B0C9LWVB7D</t>
  </si>
  <si>
    <t xml:space="preserve">BM-TWIN-BEIGE</t>
  </si>
  <si>
    <t xml:space="preserve">B0CWJ24ZTV</t>
  </si>
  <si>
    <t xml:space="preserve">6 · Match type, targeting type and placement (dedicated campaigns, Apr 2025 → Oct 2026)</t>
  </si>
  <si>
    <t xml:space="preserve">match_type</t>
  </si>
  <si>
    <t xml:space="preserve">ACoS</t>
  </si>
  <si>
    <t xml:space="preserve">CVR</t>
  </si>
  <si>
    <t xml:space="preserve">CPC</t>
  </si>
  <si>
    <t xml:space="preserve">Product Targeting</t>
  </si>
  <si>
    <t xml:space="preserve">Auto</t>
  </si>
  <si>
    <t xml:space="preserve">Phrase</t>
  </si>
  <si>
    <t xml:space="preserve">Broad</t>
  </si>
  <si>
    <t xml:space="preserve">unreported</t>
  </si>
  <si>
    <t xml:space="preserve">target_type</t>
  </si>
  <si>
    <t xml:space="preserve">placement</t>
  </si>
  <si>
    <t xml:space="preserve">orders_est</t>
  </si>
  <si>
    <t xml:space="preserve">detail</t>
  </si>
  <si>
    <t xml:space="preserve">other</t>
  </si>
  <si>
    <t xml:space="preserve">tos</t>
  </si>
  <si>
    <t xml:space="preserve">off</t>
  </si>
  <si>
    <t xml:space="preserve">7 · Organic rank history — top 15 keywords, monthly median (NR = unranked)</t>
  </si>
  <si>
    <t xml:space="preserve">keyword</t>
  </si>
  <si>
    <t xml:space="preserve">82</t>
  </si>
  <si>
    <t xml:space="preserve">98</t>
  </si>
  <si>
    <t xml:space="preserve">89</t>
  </si>
  <si>
    <t xml:space="preserve">20</t>
  </si>
  <si>
    <t xml:space="preserve">30</t>
  </si>
  <si>
    <t xml:space="preserve">46</t>
  </si>
  <si>
    <t xml:space="preserve">NR</t>
  </si>
  <si>
    <t xml:space="preserve">104</t>
  </si>
  <si>
    <t xml:space="preserve">19</t>
  </si>
  <si>
    <t xml:space="preserve">28</t>
  </si>
  <si>
    <t xml:space="preserve">35</t>
  </si>
  <si>
    <t xml:space="preserve">37</t>
  </si>
  <si>
    <t xml:space="preserve">124</t>
  </si>
  <si>
    <t xml:space="preserve">134</t>
  </si>
  <si>
    <t xml:space="preserve">144</t>
  </si>
  <si>
    <t xml:space="preserve">43</t>
  </si>
  <si>
    <t xml:space="preserve">42</t>
  </si>
  <si>
    <t xml:space="preserve">59</t>
  </si>
  <si>
    <t xml:space="preserve">95</t>
  </si>
  <si>
    <t xml:space="preserve">51</t>
  </si>
  <si>
    <t xml:space="preserve">65</t>
  </si>
  <si>
    <t xml:space="preserve">63</t>
  </si>
  <si>
    <t xml:space="preserve">68</t>
  </si>
  <si>
    <t xml:space="preserve">115</t>
  </si>
  <si>
    <t xml:space="preserve">69</t>
  </si>
  <si>
    <t xml:space="preserve">64</t>
  </si>
  <si>
    <t xml:space="preserve">75</t>
  </si>
  <si>
    <t xml:space="preserve">62</t>
  </si>
  <si>
    <t xml:space="preserve">31</t>
  </si>
  <si>
    <t xml:space="preserve">47</t>
  </si>
  <si>
    <t xml:space="preserve">54</t>
  </si>
  <si>
    <t xml:space="preserve">27</t>
  </si>
  <si>
    <t xml:space="preserve">38</t>
  </si>
  <si>
    <t xml:space="preserve">29</t>
  </si>
  <si>
    <t xml:space="preserve">49</t>
  </si>
  <si>
    <t xml:space="preserve">96</t>
  </si>
  <si>
    <t xml:space="preserve">cooling bed sheets queen</t>
  </si>
  <si>
    <t xml:space="preserve">34</t>
  </si>
  <si>
    <t xml:space="preserve">39</t>
  </si>
  <si>
    <t xml:space="preserve">126</t>
  </si>
  <si>
    <t xml:space="preserve">122</t>
  </si>
  <si>
    <t xml:space="preserve">41</t>
  </si>
  <si>
    <t xml:space="preserve">77</t>
  </si>
  <si>
    <t xml:space="preserve">17</t>
  </si>
  <si>
    <t xml:space="preserve">80</t>
  </si>
  <si>
    <t xml:space="preserve">58</t>
  </si>
  <si>
    <t xml:space="preserve">50</t>
  </si>
  <si>
    <t xml:space="preserve">113</t>
  </si>
  <si>
    <t xml:space="preserve">72</t>
  </si>
  <si>
    <t xml:space="preserve">bamboo cooling sheets</t>
  </si>
  <si>
    <t xml:space="preserve">71</t>
  </si>
  <si>
    <t xml:space="preserve">67</t>
  </si>
  <si>
    <t xml:space="preserve">52</t>
  </si>
  <si>
    <t xml:space="preserve">141</t>
  </si>
  <si>
    <t xml:space="preserve">12</t>
  </si>
  <si>
    <t xml:space="preserve">123</t>
  </si>
  <si>
    <t xml:space="preserve">48</t>
  </si>
  <si>
    <t xml:space="preserve">85</t>
  </si>
  <si>
    <t xml:space="preserve">94</t>
  </si>
  <si>
    <t xml:space="preserve">24</t>
  </si>
  <si>
    <t xml:space="preserve">18</t>
  </si>
  <si>
    <t xml:space="preserve">15</t>
  </si>
  <si>
    <t xml:space="preserve">61</t>
  </si>
  <si>
    <t xml:space="preserve">73</t>
  </si>
  <si>
    <t xml:space="preserve">84</t>
  </si>
  <si>
    <t xml:space="preserve">crawled_days</t>
  </si>
  <si>
    <t xml:space="preserve">first_crawl</t>
  </si>
  <si>
    <t xml:space="preserve">ranked_days</t>
  </si>
  <si>
    <t xml:space="preserve">best_rank</t>
  </si>
  <si>
    <t xml:space="preserve">best_date</t>
  </si>
  <si>
    <t xml:space="preserve">days_top20</t>
  </si>
  <si>
    <t xml:space="preserve">first_top20</t>
  </si>
  <si>
    <t xml:space="preserve">days_top10</t>
  </si>
  <si>
    <t xml:space="preserve">first_top10</t>
  </si>
  <si>
    <t xml:space="preserve">2025-04-01</t>
  </si>
  <si>
    <t xml:space="preserve">2025-04-25</t>
  </si>
  <si>
    <t xml:space="preserve">2025-04-03</t>
  </si>
  <si>
    <t xml:space="preserve">2025-04-16</t>
  </si>
  <si>
    <t xml:space="preserve">2025-04-27</t>
  </si>
  <si>
    <t xml:space="preserve">2025-04-18</t>
  </si>
  <si>
    <t xml:space="preserve">2025-05-03</t>
  </si>
  <si>
    <t xml:space="preserve">2025-04-10</t>
  </si>
  <si>
    <t xml:space="preserve">2025-04-24</t>
  </si>
  <si>
    <t xml:space="preserve">2025-04-26</t>
  </si>
  <si>
    <t xml:space="preserve">2025-08-08</t>
  </si>
  <si>
    <t xml:space="preserve">2025-06-03</t>
  </si>
  <si>
    <t xml:space="preserve">2025-06-18</t>
  </si>
  <si>
    <t xml:space="preserve">2025-04-17</t>
  </si>
  <si>
    <t xml:space="preserve">cooling sheets for hot sleepers</t>
  </si>
  <si>
    <t xml:space="preserve">2026-03-31</t>
  </si>
  <si>
    <t xml:space="preserve">bamboo sheets</t>
  </si>
  <si>
    <t xml:space="preserve">2025-12-30</t>
  </si>
  <si>
    <t xml:space="preserve">bamboo sheets queen size</t>
  </si>
  <si>
    <t xml:space="preserve">bamboo sheets king size</t>
  </si>
  <si>
    <t xml:space="preserve">2026-04-07</t>
  </si>
  <si>
    <t xml:space="preserve">queen sheets</t>
  </si>
  <si>
    <t xml:space="preserve">sheets queen size bed set</t>
  </si>
  <si>
    <t xml:space="preserve">2025-04-15</t>
  </si>
  <si>
    <t xml:space="preserve">2025-04-23</t>
  </si>
  <si>
    <t xml:space="preserve">2025-04-08</t>
  </si>
  <si>
    <t xml:space="preserve">2025-04-02</t>
  </si>
  <si>
    <t xml:space="preserve">2025-04-28</t>
  </si>
  <si>
    <t xml:space="preserve">2025-04-09</t>
  </si>
  <si>
    <t xml:space="preserve">2026-09-24</t>
  </si>
  <si>
    <t xml:space="preserve">2026-04-24</t>
  </si>
  <si>
    <t xml:space="preserve">cooling sheets for hot sleepers queen</t>
  </si>
  <si>
    <t xml:space="preserve">microfiber sheets</t>
  </si>
  <si>
    <t xml:space="preserve">queen sheet set</t>
  </si>
  <si>
    <t xml:space="preserve">8 · Stock-outs and their impact</t>
  </si>
  <si>
    <t xml:space="preserve">start</t>
  </si>
  <si>
    <t xml:space="preserve">end</t>
  </si>
  <si>
    <t xml:space="preserve">days</t>
  </si>
  <si>
    <t xml:space="preserve">type</t>
  </si>
  <si>
    <t xml:space="preserve">DOH_14d_before</t>
  </si>
  <si>
    <t xml:space="preserve">pre_rate_units_day</t>
  </si>
  <si>
    <t xml:space="preserve">est_lost_units_sku</t>
  </si>
  <si>
    <t xml:space="preserve">est_lost_sales_sku_usd</t>
  </si>
  <si>
    <t xml:space="preserve">month-level</t>
  </si>
  <si>
    <t xml:space="preserve">INFERRED (monthly units collapse vs brand) conf=HIGH</t>
  </si>
  <si>
    <t xml:space="preserve">37.0</t>
  </si>
  <si>
    <t xml:space="preserve">INFERRED (monthly units collapse vs brand) conf=LOW</t>
  </si>
  <si>
    <t xml:space="preserve">2.0</t>
  </si>
  <si>
    <t xml:space="preserve">4.0</t>
  </si>
  <si>
    <t xml:space="preserve">5.0</t>
  </si>
  <si>
    <t xml:space="preserve">11.0</t>
  </si>
  <si>
    <t xml:space="preserve">31.0</t>
  </si>
  <si>
    <t xml:space="preserve">INFERRED (monthly units collapse vs brand) conf=MED</t>
  </si>
  <si>
    <t xml:space="preserve">3.0</t>
  </si>
  <si>
    <t xml:space="preserve">6.0</t>
  </si>
  <si>
    <t xml:space="preserve">7.0</t>
  </si>
  <si>
    <t xml:space="preserve">14.0</t>
  </si>
  <si>
    <t xml:space="preserve">10.0</t>
  </si>
  <si>
    <t xml:space="preserve">15.0</t>
  </si>
  <si>
    <t xml:space="preserve">13.0</t>
  </si>
  <si>
    <t xml:space="preserve">16.0</t>
  </si>
  <si>
    <t xml:space="preserve">29.0</t>
  </si>
  <si>
    <t xml:space="preserve">26.0</t>
  </si>
  <si>
    <t xml:space="preserve">22.0</t>
  </si>
  <si>
    <t xml:space="preserve">24.0</t>
  </si>
  <si>
    <t xml:space="preserve">91.0</t>
  </si>
  <si>
    <t xml:space="preserve">9.0</t>
  </si>
  <si>
    <t xml:space="preserve">12.0</t>
  </si>
  <si>
    <t xml:space="preserve">8.0</t>
  </si>
  <si>
    <t xml:space="preserve">21.0</t>
  </si>
  <si>
    <t xml:space="preserve">23.0</t>
  </si>
  <si>
    <t xml:space="preserve">19.0</t>
  </si>
  <si>
    <t xml:space="preserve">25.0</t>
  </si>
  <si>
    <t xml:space="preserve">40.0</t>
  </si>
  <si>
    <t xml:space="preserve">18.0</t>
  </si>
  <si>
    <t xml:space="preserve">35.0</t>
  </si>
  <si>
    <t xml:space="preserve">33.0</t>
  </si>
  <si>
    <t xml:space="preserve">20.0</t>
  </si>
  <si>
    <t xml:space="preserve">34.0</t>
  </si>
  <si>
    <t xml:space="preserve">2026-04-08</t>
  </si>
  <si>
    <t xml:space="preserve">177</t>
  </si>
  <si>
    <t xml:space="preserve">OBSERVED OOS (FBA stock=0)</t>
  </si>
  <si>
    <t xml:space="preserve">17.1</t>
  </si>
  <si>
    <t xml:space="preserve">2026-05-14</t>
  </si>
  <si>
    <t xml:space="preserve">27.1</t>
  </si>
  <si>
    <t xml:space="preserve">184</t>
  </si>
  <si>
    <t xml:space="preserve">26.3</t>
  </si>
  <si>
    <t xml:space="preserve">61.0</t>
  </si>
  <si>
    <t xml:space="preserve">2026-05-04</t>
  </si>
  <si>
    <t xml:space="preserve">103</t>
  </si>
  <si>
    <t xml:space="preserve">30.7</t>
  </si>
  <si>
    <t xml:space="preserve">2026-05-11</t>
  </si>
  <si>
    <t xml:space="preserve">9.1</t>
  </si>
  <si>
    <t xml:space="preserve">2026-05-12</t>
  </si>
  <si>
    <t xml:space="preserve">2026-05-17</t>
  </si>
  <si>
    <t xml:space="preserve">6</t>
  </si>
  <si>
    <t xml:space="preserve">OBSERVED LOW STOCK (&lt;7 days cover, stock&gt;0)</t>
  </si>
  <si>
    <t xml:space="preserve">92</t>
  </si>
  <si>
    <t xml:space="preserve">60.4</t>
  </si>
  <si>
    <t xml:space="preserve">96.7</t>
  </si>
  <si>
    <t xml:space="preserve">2026-05-19</t>
  </si>
  <si>
    <t xml:space="preserve">143</t>
  </si>
  <si>
    <t xml:space="preserve">104.9</t>
  </si>
  <si>
    <t xml:space="preserve">2026-05-21</t>
  </si>
  <si>
    <t xml:space="preserve">66.8</t>
  </si>
  <si>
    <t xml:space="preserve">2026-05-27</t>
  </si>
  <si>
    <t xml:space="preserve">92.9</t>
  </si>
  <si>
    <t xml:space="preserve">106</t>
  </si>
  <si>
    <t xml:space="preserve">2026-06-27</t>
  </si>
  <si>
    <t xml:space="preserve">5.2</t>
  </si>
  <si>
    <t xml:space="preserve">17.0</t>
  </si>
  <si>
    <t xml:space="preserve">2026-07-01</t>
  </si>
  <si>
    <t xml:space="preserve">2026-07-26</t>
  </si>
  <si>
    <t xml:space="preserve">26</t>
  </si>
  <si>
    <t xml:space="preserve">2026-07-27</t>
  </si>
  <si>
    <t xml:space="preserve">2026-09-02</t>
  </si>
  <si>
    <t xml:space="preserve">165.9</t>
  </si>
  <si>
    <t xml:space="preserve">2026-09-09</t>
  </si>
  <si>
    <t xml:space="preserve">78.3</t>
  </si>
  <si>
    <t xml:space="preserve">8</t>
  </si>
  <si>
    <t xml:space="preserve">2026-10-02</t>
  </si>
  <si>
    <t xml:space="preserve">7</t>
  </si>
  <si>
    <t xml:space="preserve">1.0</t>
  </si>
  <si>
    <t xml:space="preserve">2025-10 (INFERRED start)</t>
  </si>
  <si>
    <t xml:space="preserve">~250-370</t>
  </si>
  <si>
    <t xml:space="preserve">OBSERVED OOS since Apr-2026 (inventory_history empty, FBA 0) + INFERRED start from monthly sales</t>
  </si>
  <si>
    <t xml:space="preserve">not estimated (discontinued-like; no restock)</t>
  </si>
  <si>
    <t xml:space="preserve">2026-01 (INFERRED start)</t>
  </si>
  <si>
    <t xml:space="preserve">event</t>
  </si>
  <si>
    <t xml:space="preserve">from</t>
  </si>
  <si>
    <t xml:space="preserve">to</t>
  </si>
  <si>
    <t xml:space="preserve">sku_units_day</t>
  </si>
  <si>
    <t xml:space="preserve">sku_instock_pct</t>
  </si>
  <si>
    <t xml:space="preserve">size_pulled_units_day</t>
  </si>
  <si>
    <t xml:space="preserve">brand_total_sales_day</t>
  </si>
  <si>
    <t xml:space="preserve">ad_spend_day</t>
  </si>
  <si>
    <t xml:space="preserve">ad_orders_day</t>
  </si>
  <si>
    <t xml:space="preserve">ad_cvr_pct</t>
  </si>
  <si>
    <t xml:space="preserve">rank_cooling bed sheets queen</t>
  </si>
  <si>
    <t xml:space="preserve">rank_cooling sheets</t>
  </si>
  <si>
    <t xml:space="preserve">rank_cooling sheets king</t>
  </si>
  <si>
    <t xml:space="preserve">rank_cooling sheets queen</t>
  </si>
  <si>
    <t xml:space="preserve">rank_king size cooling sheets</t>
  </si>
  <si>
    <t xml:space="preserve">rank_queen cooling sheets</t>
  </si>
  <si>
    <t xml:space="preserve">E3 Decolure Queen Cool Grey OOS 17 May-13 Aug</t>
  </si>
  <si>
    <t xml:space="preserve">before_28d</t>
  </si>
  <si>
    <t xml:space="preserve">2026-04-19</t>
  </si>
  <si>
    <t xml:space="preserve">2026-05-16</t>
  </si>
  <si>
    <t xml:space="preserve">4.43</t>
  </si>
  <si>
    <t xml:space="preserve">394.0</t>
  </si>
  <si>
    <t xml:space="preserve">20 (28/28 d ranked)</t>
  </si>
  <si>
    <t xml:space="preserve">69 (27/28 d ranked)</t>
  </si>
  <si>
    <t xml:space="preserve">25 (28/28 d ranked)</t>
  </si>
  <si>
    <t xml:space="preserve">15 (28/28 d ranked)</t>
  </si>
  <si>
    <t xml:space="preserve">before_14d</t>
  </si>
  <si>
    <t xml:space="preserve">2026-05-03</t>
  </si>
  <si>
    <t xml:space="preserve">0.36</t>
  </si>
  <si>
    <t xml:space="preserve">5.29</t>
  </si>
  <si>
    <t xml:space="preserve">420.0</t>
  </si>
  <si>
    <t xml:space="preserve">19 (14/14 d ranked)</t>
  </si>
  <si>
    <t xml:space="preserve">73 (14/14 d ranked)</t>
  </si>
  <si>
    <t xml:space="preserve">25 (14/14 d ranked)</t>
  </si>
  <si>
    <t xml:space="preserve">16 (14/14 d ranked)</t>
  </si>
  <si>
    <t xml:space="preserve">during</t>
  </si>
  <si>
    <t xml:space="preserve">0.01</t>
  </si>
  <si>
    <t xml:space="preserve">6.99</t>
  </si>
  <si>
    <t xml:space="preserve">489.0</t>
  </si>
  <si>
    <t xml:space="preserve">26 (87/89 d ranked)</t>
  </si>
  <si>
    <t xml:space="preserve">119 (71/89 d ranked)</t>
  </si>
  <si>
    <t xml:space="preserve">32 (83/89 d ranked)</t>
  </si>
  <si>
    <t xml:space="preserve">21 (83/89 d ranked)</t>
  </si>
  <si>
    <t xml:space="preserve">after_14d</t>
  </si>
  <si>
    <t xml:space="preserve">2026-08-27</t>
  </si>
  <si>
    <t xml:space="preserve">0.29</t>
  </si>
  <si>
    <t xml:space="preserve">0.5</t>
  </si>
  <si>
    <t xml:space="preserve">169.0</t>
  </si>
  <si>
    <t xml:space="preserve">unranked (14 d)</t>
  </si>
  <si>
    <t xml:space="preserve">77 (1/14 d ranked)</t>
  </si>
  <si>
    <t xml:space="preserve">141 (1/14 d ranked)</t>
  </si>
  <si>
    <t xml:space="preserve">after_28d</t>
  </si>
  <si>
    <t xml:space="preserve">2026-09-10</t>
  </si>
  <si>
    <t xml:space="preserve">0.68</t>
  </si>
  <si>
    <t xml:space="preserve">188.0</t>
  </si>
  <si>
    <t xml:space="preserve">120 (6/28 d ranked)</t>
  </si>
  <si>
    <t xml:space="preserve">unranked (28 d)</t>
  </si>
  <si>
    <t xml:space="preserve">121 (5/28 d ranked)</t>
  </si>
  <si>
    <t xml:space="preserve">136 (2/28 d ranked)</t>
  </si>
  <si>
    <t xml:space="preserve">ESTIMATE</t>
  </si>
  <si>
    <t xml:space="preserve">gross SKU units lost ~50</t>
  </si>
  <si>
    <t xml:space="preserve">other same-size pulled SKUs change +228 units (substitution/also OOS)</t>
  </si>
  <si>
    <t xml:space="preserve">brand $/day change during vs 28d before: +95</t>
  </si>
  <si>
    <t xml:space="preserve">E4a Decolure #1 Queen Graphite OOS 27 Jul-2 Sep</t>
  </si>
  <si>
    <t xml:space="preserve">2026-06-29</t>
  </si>
  <si>
    <t xml:space="preserve">4.79</t>
  </si>
  <si>
    <t xml:space="preserve">1.11</t>
  </si>
  <si>
    <t xml:space="preserve">409.0</t>
  </si>
  <si>
    <t xml:space="preserve">36 (28/28 d ranked)</t>
  </si>
  <si>
    <t xml:space="preserve">132 (22/28 d ranked)</t>
  </si>
  <si>
    <t xml:space="preserve">42 (28/28 d ranked)</t>
  </si>
  <si>
    <t xml:space="preserve">29 (28/28 d ranked)</t>
  </si>
  <si>
    <t xml:space="preserve">2026-07-13</t>
  </si>
  <si>
    <t xml:space="preserve">3.07</t>
  </si>
  <si>
    <t xml:space="preserve">1.36</t>
  </si>
  <si>
    <t xml:space="preserve">353.0</t>
  </si>
  <si>
    <t xml:space="preserve">45 (14/14 d ranked)</t>
  </si>
  <si>
    <t xml:space="preserve">121 (9/14 d ranked)</t>
  </si>
  <si>
    <t xml:space="preserve">51 (14/14 d ranked)</t>
  </si>
  <si>
    <t xml:space="preserve">38 (14/14 d ranked)</t>
  </si>
  <si>
    <t xml:space="preserve">0.42</t>
  </si>
  <si>
    <t xml:space="preserve">1.53</t>
  </si>
  <si>
    <t xml:space="preserve">219.0</t>
  </si>
  <si>
    <t xml:space="preserve">62 (16/38 d ranked)</t>
  </si>
  <si>
    <t xml:space="preserve">110 (7/38 d ranked)</t>
  </si>
  <si>
    <t xml:space="preserve">57 (13/38 d ranked)</t>
  </si>
  <si>
    <t xml:space="preserve">52 (13/38 d ranked)</t>
  </si>
  <si>
    <t xml:space="preserve">2026-09-03</t>
  </si>
  <si>
    <t xml:space="preserve">2026-09-16</t>
  </si>
  <si>
    <t xml:space="preserve">1.57</t>
  </si>
  <si>
    <t xml:space="preserve">246.0</t>
  </si>
  <si>
    <t xml:space="preserve">122 (9/14 d ranked)</t>
  </si>
  <si>
    <t xml:space="preserve">132 (10/14 d ranked)</t>
  </si>
  <si>
    <t xml:space="preserve">131 (7/14 d ranked)</t>
  </si>
  <si>
    <t xml:space="preserve">2026-09-30</t>
  </si>
  <si>
    <t xml:space="preserve">0.04</t>
  </si>
  <si>
    <t xml:space="preserve">1.54</t>
  </si>
  <si>
    <t xml:space="preserve">234.0</t>
  </si>
  <si>
    <t xml:space="preserve">123 (23/28 d ranked)</t>
  </si>
  <si>
    <t xml:space="preserve">119 (1/28 d ranked)</t>
  </si>
  <si>
    <t xml:space="preserve">126 (24/28 d ranked)</t>
  </si>
  <si>
    <t xml:space="preserve">124 (21/28 d ranked)</t>
  </si>
  <si>
    <t xml:space="preserve">gross SKU units lost ~166</t>
  </si>
  <si>
    <t xml:space="preserve">other same-size pulled SKUs change +16 units (substitution/also OOS)</t>
  </si>
  <si>
    <t xml:space="preserve">brand $/day change during vs 28d before: -190</t>
  </si>
  <si>
    <t xml:space="preserve">E4b Decolure #1 Queen Graphite OOS 9 Sep-&gt;now (0 FBA)</t>
  </si>
  <si>
    <t xml:space="preserve">2026-08-12</t>
  </si>
  <si>
    <t xml:space="preserve">2026-09-08</t>
  </si>
  <si>
    <t xml:space="preserve">178.0</t>
  </si>
  <si>
    <t xml:space="preserve">114 (6/28 d ranked)</t>
  </si>
  <si>
    <t xml:space="preserve">121 (3/28 d ranked)</t>
  </si>
  <si>
    <t xml:space="preserve">2026-08-26</t>
  </si>
  <si>
    <t xml:space="preserve">1.29</t>
  </si>
  <si>
    <t xml:space="preserve">180.0</t>
  </si>
  <si>
    <t xml:space="preserve">114 (4/14 d ranked)</t>
  </si>
  <si>
    <t xml:space="preserve">122 (2/14 d ranked)</t>
  </si>
  <si>
    <t xml:space="preserve">131 (1/14 d ranked)</t>
  </si>
  <si>
    <t xml:space="preserve">2026-10-07</t>
  </si>
  <si>
    <t xml:space="preserve">0.03</t>
  </si>
  <si>
    <t xml:space="preserve">1.55</t>
  </si>
  <si>
    <t xml:space="preserve">235.0</t>
  </si>
  <si>
    <t xml:space="preserve">124 (26/29 d ranked)</t>
  </si>
  <si>
    <t xml:space="preserve">142 (5/29 d ranked)</t>
  </si>
  <si>
    <t xml:space="preserve">122 (29/29 d ranked)</t>
  </si>
  <si>
    <t xml:space="preserve">120 (27/29 d ranked)</t>
  </si>
  <si>
    <t xml:space="preserve">gross SKU units lost ~0</t>
  </si>
  <si>
    <t xml:space="preserve">brand $/day change during vs 28d before: +57</t>
  </si>
  <si>
    <t xml:space="preserve">9 · Major rises and declines — causes</t>
  </si>
  <si>
    <t xml:space="preserve">date_or_week</t>
  </si>
  <si>
    <t xml:space="preserve">direction</t>
  </si>
  <si>
    <t xml:space="preserve">magnitude</t>
  </si>
  <si>
    <t xml:space="preserve">likely_cause</t>
  </si>
  <si>
    <t xml:space="preserve">evidence</t>
  </si>
  <si>
    <t xml:space="preserve">confidence</t>
  </si>
  <si>
    <t xml:space="preserve">source</t>
  </si>
  <si>
    <t xml:space="preserve">2023-11-06</t>
  </si>
  <si>
    <t xml:space="preserve">RISE</t>
  </si>
  <si>
    <t xml:space="preserve">Launch: sales $1.1k -&gt; $10.8k/wk in 2 wks; Nov-23 $32.0k</t>
  </si>
  <si>
    <t xml:space="preserve">PPC launch at ~$2-3.3k/wk, CPC $2.09-2.21</t>
  </si>
  <si>
    <t xml:space="preserve">SB weekly: ad spend $2 -&gt; $1,958 -&gt; $3,331/wk; Nov-23 PPC $9,507, ACoS 58.9%, TACoS 29.8%</t>
  </si>
  <si>
    <t xml:space="preserve">High (paid-driven launch; no organic base yet)</t>
  </si>
  <si>
    <t xml:space="preserve">Sellerboard weekly + PPC dashboard</t>
  </si>
  <si>
    <t xml:space="preserve">2023-12-18</t>
  </si>
  <si>
    <t xml:space="preserve">DECLINE</t>
  </si>
  <si>
    <t xml:space="preserve">Sales $7.5k -&gt; $2.9k/wk; Jan-24 $4.8k, Feb-24 $3.0k</t>
  </si>
  <si>
    <t xml:space="preserve">Spend cut + post-holiday seasonality</t>
  </si>
  <si>
    <t xml:space="preserve">Spend $1,418 -&gt; $564/wk (Dec 18), $27-71/wk Jan 29-Mar 11 2024; sales $0.4-1.0k/wk while paused</t>
  </si>
  <si>
    <t xml:space="preserve">High (sales tracked spend almost 1:1 with no organic floor)</t>
  </si>
  <si>
    <t xml:space="preserve">Sellerboard weekly</t>
  </si>
  <si>
    <t xml:space="preserve">2024-03-18</t>
  </si>
  <si>
    <t xml:space="preserve">Sales $0.9k -&gt; $3.9k -&gt; $6.7k -&gt; $8.5k -&gt; $10.8k -&gt; $17.4k/wk by Apr 15; Apr-24 $60.3k</t>
  </si>
  <si>
    <t xml:space="preserve">PPC restart (~$2.0-4.7k/wk) + spring season onset</t>
  </si>
  <si>
    <t xml:space="preserve">Spend $54 -&gt; $2,030/wk on 2024-03-18; CPC fell $1.75 -&gt; $1.18; sessions 612 -&gt; 10,574/wk; ACoS Apr-24 38.8%</t>
  </si>
  <si>
    <t xml:space="preserve">High for PPC-led restart; Medium for share due to seasonality</t>
  </si>
  <si>
    <t xml:space="preserve">2024-05-06</t>
  </si>
  <si>
    <t xml:space="preserve">DECLINE (soft)</t>
  </si>
  <si>
    <t xml:space="preserve">Sales $18.9k -&gt; $10.5k/wk by May 27</t>
  </si>
  <si>
    <t xml:space="preserve">Spend trimmed $4.7k -&gt; $1.75k/wk</t>
  </si>
  <si>
    <t xml:space="preserve">TACoS stayed 17-24%; ACoS May-24 37.3%</t>
  </si>
  <si>
    <t xml:space="preserve">2024-07-15</t>
  </si>
  <si>
    <t xml:space="preserve">SPIKE</t>
  </si>
  <si>
    <t xml:space="preserve">Prime Day week $22.8k (vs $12.5k prior wk)</t>
  </si>
  <si>
    <t xml:space="preserve">Prime Day 2024 (16-17 Jul) + promo $341</t>
  </si>
  <si>
    <t xml:space="preserve">Spend only +$0.8k; TACoS 10.8%</t>
  </si>
  <si>
    <t xml:space="preserve">High (event)</t>
  </si>
  <si>
    <t xml:space="preserve">2024-07-29</t>
  </si>
  <si>
    <t xml:space="preserve">Peak season: $22.1k, $24.2k (Aug 5), Aug-24 $84.6k best month ever</t>
  </si>
  <si>
    <t xml:space="preserve">Spend raised to $4.8-5.1k/wk at peak demand</t>
  </si>
  <si>
    <t xml:space="preserve">Aug-24 PPC $16,505, ACoS 39.8%, CVR 10.7%; sessions 15.9k/wk</t>
  </si>
  <si>
    <t xml:space="preserve">2024-08-12</t>
  </si>
  <si>
    <t xml:space="preserve">Sales $24.2k -&gt; $7.8k/wk by Sep 9; Oct-24 $32.1k, Nov-24 $24.3k</t>
  </si>
  <si>
    <t xml:space="preserve">End of cooling-sheet season; spend cut $5.1k -&gt; $1.4k/wk</t>
  </si>
  <si>
    <t xml:space="preserve">ACoS rose 39.8% (Aug) -&gt; 50.6% (Oct) -&gt; 55.2% (Nov); net profit Nov-24 -$4,761</t>
  </si>
  <si>
    <t xml:space="preserve">High (seasonality; spend followed demand down)</t>
  </si>
  <si>
    <t xml:space="preserve">Sellerboard</t>
  </si>
  <si>
    <t xml:space="preserve">2024-12-02</t>
  </si>
  <si>
    <t xml:space="preserve">Sales $7.7k -&gt; $11.9k/wk (Dec 9-16); Dec-24 $44.0k</t>
  </si>
  <si>
    <t xml:space="preserve">Holiday deal/coupon (promo $1.2-3.0k/wk) on flat spend ~$1.1-1.3k/wk</t>
  </si>
  <si>
    <t xml:space="preserve">Promo $9,115 in Dec-24; CPC rose to $2.17-2.32; PPC CVR 12.4% (best month); net profit Dec-24 -$4,984</t>
  </si>
  <si>
    <t xml:space="preserve">High (deal-driven, unprofitable)</t>
  </si>
  <si>
    <t xml:space="preserve">Sellerboard weekly + monthly</t>
  </si>
  <si>
    <t xml:space="preserve">2025-01-06</t>
  </si>
  <si>
    <t xml:space="preserve">Sales $11.9k -&gt; $2.2k/wk (Jan 20)</t>
  </si>
  <si>
    <t xml:space="preserve">Deal ended + winter trough</t>
  </si>
  <si>
    <t xml:space="preserve">Promo $1.9k -&gt; $0.02k/wk; spend ~$0.7-1.0k/wk</t>
  </si>
  <si>
    <t xml:space="preserve">2025-02-10</t>
  </si>
  <si>
    <t xml:space="preserve">Sales $2.9k -&gt; $7.5k/wk by Mar 10</t>
  </si>
  <si>
    <t xml:space="preserve">Coupons/promo $0.9-2.0k/wk + early spring</t>
  </si>
  <si>
    <t xml:space="preserve">Promo Feb-25 $2,639, Mar-25 $5,391; LTSF Mar-25 $3,840</t>
  </si>
  <si>
    <t xml:space="preserve">2025-04-14</t>
  </si>
  <si>
    <t xml:space="preserve">RISE (step)</t>
  </si>
  <si>
    <t xml:space="preserve">Units 176 -&gt; 527 -&gt; 741/wk; sales $6.8k -&gt; $17.5k/wk; Apr-May-25 $47.6k/$62.2k</t>
  </si>
  <si>
    <t xml:space="preserve">Price cut (ASP $37.6 Mar -&gt; $26.1 Apr) to clear LTSF-exposed stock; spend flat ~$0.9-1.1k/wk</t>
  </si>
  <si>
    <t xml:space="preserve">LTSF Apr-25 $3,748, May $2,367; TACoS fell to 6.5-7.9%; PPC CVR 14.6% Apr; organic rank cooling sheets queen 12 -&gt; 6 (May)</t>
  </si>
  <si>
    <t xml:space="preserve">High (price cut, not PPC, drove it)</t>
  </si>
  <si>
    <t xml:space="preserve">Sellerboard weekly + CC ranks</t>
  </si>
  <si>
    <t xml:space="preserve">2025-06-01</t>
  </si>
  <si>
    <t xml:space="preserve">HOLD at higher price</t>
  </si>
  <si>
    <t xml:space="preserve">ASP back to $35.7 (Jun) with sales held $13.5-15.2k/wk</t>
  </si>
  <si>
    <t xml:space="preserve">Price restored while ranks were top-10</t>
  </si>
  <si>
    <t xml:space="preserve">Units 2,220 (May) -&gt; 1,780 (Jun) but revenue flat; net profit Jun-25 $9,841, Jul $9,132 (best 2025 months)</t>
  </si>
  <si>
    <t xml:space="preserve">Sellerboard monthly + CC ranks</t>
  </si>
  <si>
    <t xml:space="preserve">2025-07-07</t>
  </si>
  <si>
    <t xml:space="preserve">Prime Day week $24.5k</t>
  </si>
  <si>
    <t xml:space="preserve">Prime Day 2025 (8-11 Jul)</t>
  </si>
  <si>
    <t xml:space="preserve">Spend $1.5k/wk; TACoS 6.2%</t>
  </si>
  <si>
    <t xml:space="preserve">2025-07-14</t>
  </si>
  <si>
    <t xml:space="preserve">DECLINE (start)</t>
  </si>
  <si>
    <t xml:space="preserve">Sales $24.5k -&gt; $13.7k -&gt; $9.5k/wk (Jul 21)</t>
  </si>
  <si>
    <t xml:space="preserve">Post-Prime Day + season roll-off; spend still ~$0.9k/wk (cut had NOT happened yet)</t>
  </si>
  <si>
    <t xml:space="preserve">Spend $1,056 / $904 / $886 /wk Jul 14-28</t>
  </si>
  <si>
    <t xml:space="preserve">High that decline began before spend cut</t>
  </si>
  <si>
    <t xml:space="preserve">2025-08-04</t>
  </si>
  <si>
    <t xml:space="preserve">DECLINE (accelerated)</t>
  </si>
  <si>
    <t xml:space="preserve">Sales $9.8k -&gt; $5.1k/wk (Aug 18); Aug-25 $29.8k, Sep $11.6k, Oct $7.1k</t>
  </si>
  <si>
    <t xml:space="preserve">PPC spend cut ~70% ($886 -&gt; $262/wk) on top of seasonality; ASP up to $38.1</t>
  </si>
  <si>
    <t xml:space="preserve">CC: Aug-25 spend $1,891, Sep $1,124, Oct $731, Nov $356; sessions 44k (Jul) -&gt; 19.8k -&gt; 9.5k -&gt; 5.8k; cooling sheets queen rank 12 (Jul) -&gt; 23 -&gt; 25 -&gt; 41 -&gt; 66 (Nov)</t>
  </si>
  <si>
    <t xml:space="preserve">High (spend cut + season); Medium on split between the two</t>
  </si>
  <si>
    <t xml:space="preserve">Sellerboard + CC ppc_summary + CC rank crawl</t>
  </si>
  <si>
    <t xml:space="preserve">2025-10-01</t>
  </si>
  <si>
    <t xml:space="preserve">Sleephoria launch (cannibalisation test)</t>
  </si>
  <si>
    <t xml:space="preserve">Decolure Oct-25 $7.1k (-39% MoM) while Sleephoria $72.4k</t>
  </si>
  <si>
    <t xml:space="preserve">Hypothesis: Sleephoria (ASP ~$61, PPC from 3 Oct 2025) took traffic</t>
  </si>
  <si>
    <t xml:space="preserve">Decolure decline began 2025-07-14 and sessions had already fallen 78% (Jul-&gt;Sep) before Sleephoria; in Mar-26 both grew together (Sleephoria $122.5k, Decolure rank best since Jul-25); different price tier ($38 vs ~$61)</t>
  </si>
  <si>
    <t xml:space="preserve">Low (weakly supported; at most a marginal contributor)</t>
  </si>
  <si>
    <t xml:space="preserve">Sellerboard monthly (both brands) + CC ranks</t>
  </si>
  <si>
    <t xml:space="preserve">2025-11-01</t>
  </si>
  <si>
    <t xml:space="preserve">FLOOR</t>
  </si>
  <si>
    <t xml:space="preserve">Sales $5.9-9.1k/mo Nov-25..Feb-26 at $300-560/mo spend</t>
  </si>
  <si>
    <t xml:space="preserve">Low-spend maintenance; winter</t>
  </si>
  <si>
    <t xml:space="preserve">TACoS 4-7%; ranks drift to 82-98 on cooling sheets queen (Dec-Jan)</t>
  </si>
  <si>
    <t xml:space="preserve">CC + Sellerboard</t>
  </si>
  <si>
    <t xml:space="preserve">2026-02-16</t>
  </si>
  <si>
    <t xml:space="preserve">SPEND CUT / CPC drop</t>
  </si>
  <si>
    <t xml:space="preserve">Weekly spend $134 -&gt; $24-48; CPC $2.06 -&gt; $0.58-0.90</t>
  </si>
  <si>
    <t xml:space="preserve">Bid restructure to sub-$1 CPC (campaign set rebuilt; CC objective tags appear)</t>
  </si>
  <si>
    <t xml:space="preserve">CC weekly; sales did not fall (rose to $2.2-3.2k/wk)</t>
  </si>
  <si>
    <t xml:space="preserve">High (spend data); Medium (no sales penalty)</t>
  </si>
  <si>
    <t xml:space="preserve">CC ppc_daily</t>
  </si>
  <si>
    <t xml:space="preserve">2026-03-01</t>
  </si>
  <si>
    <t xml:space="preserve">RANK RECOVERY</t>
  </si>
  <si>
    <t xml:space="preserve">cooling sheets queen 89 -&gt; 20; queen cooling sheets 77 -&gt; 17; Mar-26 sales $10.3k</t>
  </si>
  <si>
    <t xml:space="preserve">Unresolved: not PPC ($131 spend). Candidates: spring demand onset, price +$1 (18 Mar) not a driver; sessions anomaly (21,974 at 1.22% unit-session)</t>
  </si>
  <si>
    <t xml:space="preserve">DataDive radar agrees (86 -&gt; 21); DataDive listing changes 2026-02-10..03-31 show only +$1-3 price moves and image swaps</t>
  </si>
  <si>
    <t xml:space="preserve">Low (cause unexplained)</t>
  </si>
  <si>
    <t xml:space="preserve">CC rank crawl + DataDive radar + DataDive listing changes</t>
  </si>
  <si>
    <t xml:space="preserve">2026-04-13</t>
  </si>
  <si>
    <t xml:space="preserve">RISE (paid)</t>
  </si>
  <si>
    <t xml:space="preserve">Sales $1.7k -&gt; $3.6k/wk (May 18) -&gt; $4.2k (Jun 8); May-26 $13.5k, Jun $20.5k</t>
  </si>
  <si>
    <t xml:space="preserve">Spend ramp: auto discovery campaign at $0.58-0.64 CPC ($29 -&gt; $700-905/wk)</t>
  </si>
  <si>
    <t xml:space="preserve">Auto DCS-SP-Auto-Disc-DO-BM-QUEEN-GRAPHITE-GREY $2.5-3.6k/mo, CVR 3.5-4.2%, ACoS ~41-43%; TACoS 20-24%; organic ranks fell meanwhile (cooling sheets 37 -&gt; 124)</t>
  </si>
  <si>
    <t xml:space="preserve">High that sales were paid; Medium on incrementality</t>
  </si>
  <si>
    <t xml:space="preserve">CC campaigns + ppc_daily + rank crawl</t>
  </si>
  <si>
    <t xml:space="preserve">STOCKOUT</t>
  </si>
  <si>
    <t xml:space="preserve">BM-QUEEN-CGREY at 0 units 17 May-13 Aug 2026</t>
  </si>
  <si>
    <t xml:space="preserve">Queen Cool Grey stockout</t>
  </si>
  <si>
    <t xml:space="preserve">Sellerboard inventory history; sales still rose in June so not the sole driver; queen-term ranks 23-30 held through Jun then fell to 46 (Jul) and NR (Aug)</t>
  </si>
  <si>
    <t xml:space="preserve">Medium (contributor to Jul-Aug rank loss)</t>
  </si>
  <si>
    <t xml:space="preserve">Sellerboard inventory_history</t>
  </si>
  <si>
    <t xml:space="preserve">2026-06-22</t>
  </si>
  <si>
    <t xml:space="preserve">Week $7.8k (best 2026 week), spend $2,033</t>
  </si>
  <si>
    <t xml:space="preserve">Spend doubled (CPC $0.60 -&gt; $0.94); possible event week (not confirmed in data)</t>
  </si>
  <si>
    <t xml:space="preserve">Ad sales $4.3k = 55% of total; ACoS 47%</t>
  </si>
  <si>
    <t xml:space="preserve">Medium (spend) / Low (event)</t>
  </si>
  <si>
    <t xml:space="preserve">2026-07-06</t>
  </si>
  <si>
    <t xml:space="preserve">Sales $4.7k -&gt; $1.8k/wk; Jul-26 $11.9k</t>
  </si>
  <si>
    <t xml:space="preserve">Spend cut $1.56k -&gt; $0.56k/wk + season roll-off + growing OOS</t>
  </si>
  <si>
    <t xml:space="preserve">TACoS stayed 30-34%: paid sales collapsed with spend, no organic cushion (ranks 46-134)</t>
  </si>
  <si>
    <t xml:space="preserve">CC + rank crawl</t>
  </si>
  <si>
    <t xml:space="preserve">2026-08-01</t>
  </si>
  <si>
    <t xml:space="preserve">COLLAPSE</t>
  </si>
  <si>
    <t xml:space="preserve">Aug-26 sales $6.1k; spend $563; many keywords not ranked</t>
  </si>
  <si>
    <t xml:space="preserve">Removal order (fee $3,371) + spend cut to ~$70-155/wk + widespread SKU OOS</t>
  </si>
  <si>
    <t xml:space="preserve">Removal fee Aug-26 $3,371; 24/65 SKUs OOS on 2026-10-08; cooling sheets queen NR (8/31 days ranked)</t>
  </si>
  <si>
    <t xml:space="preserve">Sellerboard monthly + CC economics + rank crawl</t>
  </si>
  <si>
    <t xml:space="preserve">2026-08-31</t>
  </si>
  <si>
    <t xml:space="preserve">SPEND RISE, NO SALES RESPONSE</t>
  </si>
  <si>
    <t xml:space="preserve">Spend $66 -&gt; $496-869/wk; sales $1.2-1.9k/wk (flat)</t>
  </si>
  <si>
    <t xml:space="preserve">Ranking push: TOS modifiers 168-174% (2026-09-24/25), CPC $2.06-2.60</t>
  </si>
  <si>
    <t xml:space="preserve">Sep-26 ACoS 76.2%, TACoS 44.7%; Ranking objective $1,742 @ ACoS 60%, Conversions $939 @ 194%; cooling sheets queen rank 129 (Sep)</t>
  </si>
  <si>
    <t xml:space="preserve">High (unprofitable; no rank lift)</t>
  </si>
  <si>
    <t xml:space="preserve">CC ppc_daily + campaigns + decisions log</t>
  </si>
  <si>
    <t xml:space="preserve">2026-10-05</t>
  </si>
  <si>
    <t xml:space="preserve">EVENT</t>
  </si>
  <si>
    <t xml:space="preserve">Prime Big Deal Days 2026-10-06..08: week-to-date $451 sales on $240 spend (TACoS 53%)</t>
  </si>
  <si>
    <t xml:space="preserve">PBDD; owner 'PBDD exit' bid-down to profitable CPC decided 2026-10-07</t>
  </si>
  <si>
    <t xml:space="preserve">decisions_all.json: Ranking -&gt; Conversions retags, bid $2.37 -&gt; $0.35 on queen sheet set cooling</t>
  </si>
  <si>
    <t xml:space="preserve">Medium (partial week)</t>
  </si>
  <si>
    <t xml:space="preserve">CC ppc_daily + decisions log</t>
  </si>
  <si>
    <t xml:space="preserve">10 · Keyword performance (Apr 2025 → Oct 2026) — feeds Main_Strategy</t>
  </si>
  <si>
    <t xml:space="preserve">Command center ppc_keywords + ranks; median_organic_rank over the PPC period.</t>
  </si>
  <si>
    <t xml:space="preserve">relevancy</t>
  </si>
  <si>
    <t xml:space="preserve">syntax_owner</t>
  </si>
  <si>
    <t xml:space="preserve">search_volume</t>
  </si>
  <si>
    <t xml:space="preserve">ctr</t>
  </si>
  <si>
    <t xml:space="preserve">cvr</t>
  </si>
  <si>
    <t xml:space="preserve">acos</t>
  </si>
  <si>
    <t xml:space="preserve">median_organic_rank</t>
  </si>
  <si>
    <t xml:space="preserve">class</t>
  </si>
  <si>
    <t xml:space="preserve">Highly Relevant</t>
  </si>
  <si>
    <t xml:space="preserve">Cooling|Queen</t>
  </si>
  <si>
    <t xml:space="preserve">MARGINAL(45-60)</t>
  </si>
  <si>
    <t xml:space="preserve">b0839lqk8k</t>
  </si>
  <si>
    <t xml:space="preserve">Not Relevant</t>
  </si>
  <si>
    <t xml:space="preserve">PROFITABLE</t>
  </si>
  <si>
    <t xml:space="preserve">b0839mkjmv</t>
  </si>
  <si>
    <t xml:space="preserve">Cooling|Full</t>
  </si>
  <si>
    <t xml:space="preserve">Cooling</t>
  </si>
  <si>
    <t xml:space="preserve">WASTE</t>
  </si>
  <si>
    <t xml:space="preserve">Cooling|Twin</t>
  </si>
  <si>
    <t xml:space="preserve">GROWTH-ACCEPTABLE</t>
  </si>
  <si>
    <t xml:space="preserve">b071rvw4zy</t>
  </si>
  <si>
    <t xml:space="preserve">b0dbw2hddz</t>
  </si>
  <si>
    <t xml:space="preserve">decolure bamboo sheets</t>
  </si>
  <si>
    <t xml:space="preserve">b0dbqvgktv</t>
  </si>
  <si>
    <t xml:space="preserve">b0dbw1pnj8</t>
  </si>
  <si>
    <t xml:space="preserve">Relevant</t>
  </si>
  <si>
    <t xml:space="preserve">Bamboo</t>
  </si>
  <si>
    <t xml:space="preserve">b0dbvzppj6</t>
  </si>
  <si>
    <t xml:space="preserve">b0dbvy3ff2</t>
  </si>
  <si>
    <t xml:space="preserve">Cooling|King</t>
  </si>
  <si>
    <t xml:space="preserve">b0f21dwrrq</t>
  </si>
  <si>
    <t xml:space="preserve">b0fd9z5f7h</t>
  </si>
  <si>
    <t xml:space="preserve">b0839lcxbp</t>
  </si>
  <si>
    <t xml:space="preserve">decolure cooling sheets</t>
  </si>
  <si>
    <t xml:space="preserve">b0fd9yqksz</t>
  </si>
  <si>
    <t xml:space="preserve">red satin sheets</t>
  </si>
  <si>
    <t xml:space="preserve">chair covers for dining chairs</t>
  </si>
  <si>
    <t xml:space="preserve">Generic</t>
  </si>
  <si>
    <t xml:space="preserve">b0c7fmcxbv</t>
  </si>
  <si>
    <t xml:space="preserve">b0cq33h4qw</t>
  </si>
  <si>
    <t xml:space="preserve">b0dbvy6p25</t>
  </si>
  <si>
    <t xml:space="preserve">queen bed set</t>
  </si>
  <si>
    <t xml:space="preserve">b0f2t7f68t</t>
  </si>
  <si>
    <t xml:space="preserve">b0dbw47gvg</t>
  </si>
  <si>
    <t xml:space="preserve">b0839lqg4c</t>
  </si>
  <si>
    <t xml:space="preserve">deep pocket queen sheet set</t>
  </si>
  <si>
    <t xml:space="preserve">b0839ld2wq</t>
  </si>
  <si>
    <t xml:space="preserve">b08krw2bx3</t>
  </si>
  <si>
    <t xml:space="preserve">b07sgcy3fq</t>
  </si>
  <si>
    <t xml:space="preserve">GROWTH-ACCEPTABLE(low orders)</t>
  </si>
  <si>
    <t xml:space="preserve">b0dbvzzh8s</t>
  </si>
  <si>
    <t xml:space="preserve">silk sheets</t>
  </si>
  <si>
    <t xml:space="preserve">b0csftrp2x</t>
  </si>
  <si>
    <t xml:space="preserve">satin sheets queen size</t>
  </si>
  <si>
    <t xml:space="preserve">b0dbw47gvh</t>
  </si>
  <si>
    <t xml:space="preserve">decolure</t>
  </si>
  <si>
    <t xml:space="preserve">summer bedding sets queen</t>
  </si>
  <si>
    <t xml:space="preserve">Lower Relevant</t>
  </si>
  <si>
    <t xml:space="preserve">b0cv4d54fv</t>
  </si>
  <si>
    <t xml:space="preserve">queen size cooling sheets</t>
  </si>
  <si>
    <t xml:space="preserve">b0ddrbtg9j</t>
  </si>
  <si>
    <t xml:space="preserve">b0c7fj461d</t>
  </si>
  <si>
    <t xml:space="preserve">b08ys6wzrr</t>
  </si>
  <si>
    <t xml:space="preserve">b0dbqvftzs</t>
  </si>
  <si>
    <t xml:space="preserve">b0c9lsvfpr</t>
  </si>
  <si>
    <t xml:space="preserve">Bamboo|King</t>
  </si>
  <si>
    <t xml:space="preserve">b0839lp6tm</t>
  </si>
  <si>
    <t xml:space="preserve">b0bg22fcvj</t>
  </si>
  <si>
    <t xml:space="preserve">queen bed sheets</t>
  </si>
  <si>
    <t xml:space="preserve">b0c7kbfk2p</t>
  </si>
  <si>
    <t xml:space="preserve">b0ddrkvh9q</t>
  </si>
  <si>
    <t xml:space="preserve">chair covers</t>
  </si>
  <si>
    <t xml:space="preserve">gold satin sheets</t>
  </si>
  <si>
    <t xml:space="preserve">Bamboo|Queen</t>
  </si>
  <si>
    <t xml:space="preserve">silk sheets queen</t>
  </si>
  <si>
    <t xml:space="preserve">b0dnmwc1yv</t>
  </si>
  <si>
    <t xml:space="preserve">satin sheets</t>
  </si>
  <si>
    <t xml:space="preserve">b0c7fpm5cr</t>
  </si>
  <si>
    <t xml:space="preserve">queen bedding sets</t>
  </si>
  <si>
    <t xml:space="preserve">b0dbvzbshl</t>
  </si>
  <si>
    <t xml:space="preserve">silk bed sheets</t>
  </si>
  <si>
    <t xml:space="preserve">b0bdqmj55t</t>
  </si>
  <si>
    <t xml:space="preserve">*</t>
  </si>
  <si>
    <t xml:space="preserve">b0dbvzjtgs</t>
  </si>
  <si>
    <t xml:space="preserve">b08krxdwnn</t>
  </si>
  <si>
    <t xml:space="preserve">b0cqrx8q2p</t>
  </si>
  <si>
    <t xml:space="preserve">california king sheet sets</t>
  </si>
  <si>
    <t xml:space="preserve">b0c7jq8266</t>
  </si>
  <si>
    <t xml:space="preserve">b0dbvzrz4h</t>
  </si>
  <si>
    <t xml:space="preserve">queen comforter set</t>
  </si>
  <si>
    <t xml:space="preserve">b082p4ppyb</t>
  </si>
  <si>
    <t xml:space="preserve">cooling bed set</t>
  </si>
  <si>
    <t xml:space="preserve">Cooling|California King</t>
  </si>
  <si>
    <t xml:space="preserve">b0c7kbhv72</t>
  </si>
  <si>
    <t xml:space="preserve">b0bz8fzztn</t>
  </si>
  <si>
    <t xml:space="preserve">b0839lkzv9</t>
  </si>
  <si>
    <t xml:space="preserve">b0c7fxxs6r</t>
  </si>
  <si>
    <t xml:space="preserve">b0dbw157cr</t>
  </si>
  <si>
    <t xml:space="preserve">b0bzpy4pxy</t>
  </si>
  <si>
    <t xml:space="preserve">b0c7fw4q1c</t>
  </si>
  <si>
    <t xml:space="preserve">b0cq2zwgnq</t>
  </si>
  <si>
    <t xml:space="preserve">bed sheets</t>
  </si>
  <si>
    <t xml:space="preserve">queen size sheets</t>
  </si>
  <si>
    <t xml:space="preserve">b0c9lrjqcw</t>
  </si>
  <si>
    <t xml:space="preserve">b08jprkl7k</t>
  </si>
  <si>
    <t xml:space="preserve">bed sheets queen size</t>
  </si>
  <si>
    <t xml:space="preserve">bed set</t>
  </si>
  <si>
    <t xml:space="preserve">b0839l9rsb</t>
  </si>
  <si>
    <t xml:space="preserve">queen size 4 piece sheet set - comfy breathable &amp; cooling sheets - hotel luxury bed sheets for women &amp; men - deep pockets, easy-fit, extra soft and wrinkle free sheets - white oeko-tex bed sheet set</t>
  </si>
  <si>
    <t xml:space="preserve">b0ddrm5yw5</t>
  </si>
  <si>
    <t xml:space="preserve">b0ddqxm4rf</t>
  </si>
  <si>
    <t xml:space="preserve">deep pocket queen sheets</t>
  </si>
  <si>
    <t xml:space="preserve">dining chair covers set of 6</t>
  </si>
  <si>
    <t xml:space="preserve">b0dbw1nx31</t>
  </si>
  <si>
    <t xml:space="preserve">bed set queen size</t>
  </si>
  <si>
    <t xml:space="preserve">queen size comforter sets</t>
  </si>
  <si>
    <t xml:space="preserve">b0dbw151xc</t>
  </si>
  <si>
    <t xml:space="preserve">b0ddrd7jm2</t>
  </si>
  <si>
    <t xml:space="preserve">b0c7lcdjnn</t>
  </si>
  <si>
    <t xml:space="preserve">b0fp4l1r9s</t>
  </si>
  <si>
    <t xml:space="preserve">b0d3xqm7dl</t>
  </si>
  <si>
    <t xml:space="preserve">cooling blanket</t>
  </si>
  <si>
    <t xml:space="preserve">decolure cooling sheets queen</t>
  </si>
  <si>
    <t xml:space="preserve">b0ddqz6vt4</t>
  </si>
  <si>
    <t xml:space="preserve">b0dh19ljkp</t>
  </si>
  <si>
    <t xml:space="preserve">satin sheets king</t>
  </si>
  <si>
    <t xml:space="preserve">queen sheets deep pocket</t>
  </si>
  <si>
    <t xml:space="preserve">b08p16xlp2</t>
  </si>
  <si>
    <t xml:space="preserve">b0dbvzrl8v</t>
  </si>
  <si>
    <t xml:space="preserve">b0dbw1m6rn</t>
  </si>
  <si>
    <t xml:space="preserve">b08pdhqjrr</t>
  </si>
  <si>
    <t xml:space="preserve">b0dm9r8s1s</t>
  </si>
  <si>
    <t xml:space="preserve">king size sheets</t>
  </si>
  <si>
    <t xml:space="preserve">queen size sheet set</t>
  </si>
  <si>
    <t xml:space="preserve">b0dbvzbldk</t>
  </si>
  <si>
    <t xml:space="preserve">b0dbw17v8n</t>
  </si>
  <si>
    <t xml:space="preserve">cooling bedding set</t>
  </si>
  <si>
    <t xml:space="preserve">cooling comforter set</t>
  </si>
  <si>
    <t xml:space="preserve">b0839lms13</t>
  </si>
  <si>
    <t xml:space="preserve">b0ddr4d9hp</t>
  </si>
  <si>
    <t xml:space="preserve">b0839kg4vy</t>
  </si>
  <si>
    <t xml:space="preserve">b0cq2xqf9n</t>
  </si>
  <si>
    <t xml:space="preserve">b0bg21thpm</t>
  </si>
  <si>
    <t xml:space="preserve">queen comforter set cooling</t>
  </si>
  <si>
    <t xml:space="preserve">b0839l5pdj</t>
  </si>
  <si>
    <t xml:space="preserve">comforters queen size</t>
  </si>
  <si>
    <t xml:space="preserve">b07ykczhgk</t>
  </si>
  <si>
    <t xml:space="preserve">b0dbr5sy67</t>
  </si>
  <si>
    <t xml:space="preserve">bamboo cooling sheets queen</t>
  </si>
  <si>
    <t xml:space="preserve">Bamboo|Cooling</t>
  </si>
  <si>
    <t xml:space="preserve">b0c7k2b1y3</t>
  </si>
  <si>
    <t xml:space="preserve">b09xk5kz81</t>
  </si>
  <si>
    <t xml:space="preserve">b0dbvzy5t2</t>
  </si>
  <si>
    <t xml:space="preserve">b0839l6r8y</t>
  </si>
  <si>
    <t xml:space="preserve">bedding</t>
  </si>
  <si>
    <t xml:space="preserve">king size comforter set cooling</t>
  </si>
  <si>
    <t xml:space="preserve">b0dbw2hzbf</t>
  </si>
  <si>
    <t xml:space="preserve">b0c7fp1l1v</t>
  </si>
  <si>
    <t xml:space="preserve">b0dbvz73f7</t>
  </si>
  <si>
    <t xml:space="preserve">b0bzpvzkvs</t>
  </si>
  <si>
    <t xml:space="preserve">b0c7fm7gxs</t>
  </si>
  <si>
    <t xml:space="preserve">b07sjd6n38</t>
  </si>
  <si>
    <t xml:space="preserve">b08kqhrddg</t>
  </si>
  <si>
    <t xml:space="preserve">b09g6n2pnk</t>
  </si>
  <si>
    <t xml:space="preserve">sleep sanctuary</t>
  </si>
  <si>
    <t xml:space="preserve">b0dbvzv66d</t>
  </si>
  <si>
    <t xml:space="preserve">b0ddqx793b</t>
  </si>
  <si>
    <t xml:space="preserve">b0dbw2lxqy</t>
  </si>
  <si>
    <t xml:space="preserve">b0cq33zgq4</t>
  </si>
  <si>
    <t xml:space="preserve">b09sh21cw7</t>
  </si>
  <si>
    <t xml:space="preserve">full size comforter sets</t>
  </si>
  <si>
    <t xml:space="preserve">b0dbr4xylb</t>
  </si>
  <si>
    <t xml:space="preserve">b0dbvztm41</t>
  </si>
  <si>
    <t xml:space="preserve">b08kr9thfg</t>
  </si>
  <si>
    <t xml:space="preserve">b0ddrhlv1c</t>
  </si>
  <si>
    <t xml:space="preserve">b0dbvz9qzc</t>
  </si>
  <si>
    <t xml:space="preserve">b0cq32z6vp</t>
  </si>
  <si>
    <t xml:space="preserve">silk sheets king</t>
  </si>
  <si>
    <t xml:space="preserve">sheet &amp; pillowcase sets</t>
  </si>
  <si>
    <t xml:space="preserve">b0bzpv4lyc</t>
  </si>
  <si>
    <t xml:space="preserve">b0dbw1fpbt</t>
  </si>
  <si>
    <t xml:space="preserve">bedelite bamboo viscose sheets - 100% organically grown, up to 18" deep pocket queen sheet set, all round elastic &amp; corner straps, luxury silky soft cooling sheets for hot sleepers, 4 pieces, white</t>
  </si>
  <si>
    <t xml:space="preserve">b0c7fmdpbf</t>
  </si>
  <si>
    <t xml:space="preserve">b0ddqxkzk7</t>
  </si>
  <si>
    <t xml:space="preserve">cooling bed set queen</t>
  </si>
  <si>
    <t xml:space="preserve">cooling comforter</t>
  </si>
  <si>
    <t xml:space="preserve">b0bzq1ltk3</t>
  </si>
  <si>
    <t xml:space="preserve">b0c7f5vmc8</t>
  </si>
  <si>
    <t xml:space="preserve">b0bg228rdj</t>
  </si>
  <si>
    <t xml:space="preserve">b0c7f5zr17</t>
  </si>
  <si>
    <t xml:space="preserve">cooling pillow</t>
  </si>
  <si>
    <t xml:space="preserve">b08qmf6d5w</t>
  </si>
  <si>
    <t xml:space="preserve">b086t1cr3x</t>
  </si>
  <si>
    <t xml:space="preserve">b09g6jwzcz</t>
  </si>
  <si>
    <t xml:space="preserve">b08krytrhy</t>
  </si>
  <si>
    <t xml:space="preserve">b0c7kjmdng</t>
  </si>
  <si>
    <t xml:space="preserve">b0dbr1dwpp</t>
  </si>
  <si>
    <t xml:space="preserve">b0dbvzgv7z</t>
  </si>
  <si>
    <t xml:space="preserve">b0c7ftb8mq</t>
  </si>
  <si>
    <t xml:space="preserve">b0dl5nctyf</t>
  </si>
  <si>
    <t xml:space="preserve">b0c7k438ml</t>
  </si>
  <si>
    <t xml:space="preserve">b0c7kd5mpk</t>
  </si>
  <si>
    <t xml:space="preserve">decolure satin bed sheets</t>
  </si>
  <si>
    <t xml:space="preserve">b0c7kbkh28</t>
  </si>
  <si>
    <t xml:space="preserve">b0cq2zwsn7</t>
  </si>
  <si>
    <t xml:space="preserve">b0c7fjlp2f</t>
  </si>
  <si>
    <t xml:space="preserve">b0ddrp3r3f</t>
  </si>
  <si>
    <t xml:space="preserve">b0d9qr6ysh</t>
  </si>
  <si>
    <t xml:space="preserve">b0dbw336hd</t>
  </si>
  <si>
    <t xml:space="preserve">b0cq3178d7</t>
  </si>
  <si>
    <t xml:space="preserve">b09g6k53s2</t>
  </si>
  <si>
    <t xml:space="preserve">b0c7fx1gfs</t>
  </si>
  <si>
    <t xml:space="preserve">b0839l6qg5</t>
  </si>
  <si>
    <t xml:space="preserve">b0ddr1dyr6</t>
  </si>
  <si>
    <t xml:space="preserve">b0d9qtxkqd</t>
  </si>
  <si>
    <t xml:space="preserve">b0g8vvd3m5</t>
  </si>
  <si>
    <t xml:space="preserve">decolure sheets</t>
  </si>
  <si>
    <t xml:space="preserve">b0ddr5vw96</t>
  </si>
  <si>
    <t xml:space="preserve">b0dbvyywx3</t>
  </si>
  <si>
    <t xml:space="preserve">b0cv4d38w9</t>
  </si>
  <si>
    <t xml:space="preserve">b09g6l5zw6</t>
  </si>
  <si>
    <t xml:space="preserve">b0d9qsg9ld</t>
  </si>
  <si>
    <t xml:space="preserve">b09g6jhw3f</t>
  </si>
  <si>
    <t xml:space="preserve">b0cq31x65y</t>
  </si>
  <si>
    <t xml:space="preserve">b0d9qsyr9g</t>
  </si>
  <si>
    <t xml:space="preserve">b0ddrnw3gf</t>
  </si>
  <si>
    <t xml:space="preserve">b0c7fr94lj</t>
  </si>
  <si>
    <t xml:space="preserve">b09g6jgmy9</t>
  </si>
  <si>
    <t xml:space="preserve">b0dbw17zjp</t>
  </si>
  <si>
    <t xml:space="preserve">b09g6k8wyq</t>
  </si>
  <si>
    <t xml:space="preserve">b0839m8lp5</t>
  </si>
  <si>
    <t xml:space="preserve">b0cv4cy67m</t>
  </si>
  <si>
    <t xml:space="preserve">b0d9qszh1n</t>
  </si>
  <si>
    <t xml:space="preserve">b0839l4hwh</t>
  </si>
  <si>
    <t xml:space="preserve">b08qdj145c</t>
  </si>
  <si>
    <t xml:space="preserve">b0c7ffrnmh</t>
  </si>
  <si>
    <t xml:space="preserve">b0dbw1m1hx</t>
  </si>
  <si>
    <t xml:space="preserve">b0cqrxkrpn</t>
  </si>
  <si>
    <t xml:space="preserve">b0dr9b286y</t>
  </si>
  <si>
    <t xml:space="preserve">b0dk56h99h</t>
  </si>
  <si>
    <t xml:space="preserve">b0ddr5jmch</t>
  </si>
  <si>
    <t xml:space="preserve">b0ddrl7h2w</t>
  </si>
  <si>
    <t xml:space="preserve">b0dbr1x2xq</t>
  </si>
  <si>
    <t xml:space="preserve">b09g6k328b</t>
  </si>
  <si>
    <t xml:space="preserve">b08kqj62yc</t>
  </si>
  <si>
    <t xml:space="preserve">b0dbvz1z2s</t>
  </si>
  <si>
    <t xml:space="preserve">b0ddrczn9j</t>
  </si>
  <si>
    <t xml:space="preserve">b0c7k74slc</t>
  </si>
  <si>
    <t xml:space="preserve">deep pocket cooling sheets</t>
  </si>
  <si>
    <t xml:space="preserve">b0d9qsypf2</t>
  </si>
  <si>
    <t xml:space="preserve">b0dbvyjjz6</t>
  </si>
  <si>
    <t xml:space="preserve">b08kqjrl41</t>
  </si>
  <si>
    <t xml:space="preserve">b0ddrcqz7g</t>
  </si>
  <si>
    <t xml:space="preserve">b08kqjrsw6</t>
  </si>
  <si>
    <t xml:space="preserve">b0dbw1m6rr</t>
  </si>
  <si>
    <t xml:space="preserve">b0dbw2g5js</t>
  </si>
  <si>
    <t xml:space="preserve">b0ddrnyf9q</t>
  </si>
  <si>
    <t xml:space="preserve">b0dbvznlsm</t>
  </si>
  <si>
    <t xml:space="preserve">b0cq331l15</t>
  </si>
  <si>
    <t xml:space="preserve">b0bzpv84v7</t>
  </si>
  <si>
    <t xml:space="preserve">b0ddr1zprz</t>
  </si>
  <si>
    <t xml:space="preserve">b0cq32lwvd</t>
  </si>
  <si>
    <t xml:space="preserve">bed sheets king size cooling</t>
  </si>
  <si>
    <t xml:space="preserve">b0crhys5kt</t>
  </si>
  <si>
    <t xml:space="preserve">cooling soft sheets</t>
  </si>
  <si>
    <t xml:space="preserve">LOW-DATA</t>
  </si>
  <si>
    <t xml:space="preserve">b0ddrbx7cn</t>
  </si>
  <si>
    <t xml:space="preserve">b0839lk8db</t>
  </si>
  <si>
    <t xml:space="preserve">queen sheets set cooling</t>
  </si>
  <si>
    <t xml:space="preserve">b0bzpzpgdc</t>
  </si>
  <si>
    <t xml:space="preserve">b09g6j1hvy</t>
  </si>
  <si>
    <t xml:space="preserve">b0bzq39btx</t>
  </si>
  <si>
    <t xml:space="preserve">king sheets bamboo cooling</t>
  </si>
  <si>
    <t xml:space="preserve">king size sheets bamboo cooling</t>
  </si>
  <si>
    <t xml:space="preserve">b0ddrgzyzd</t>
  </si>
  <si>
    <t xml:space="preserve">decolure bamboo sheets king size</t>
  </si>
  <si>
    <t xml:space="preserve">bed sheet cooling</t>
  </si>
  <si>
    <t xml:space="preserve">b0cq31cztj</t>
  </si>
  <si>
    <t xml:space="preserve">b0cq32jy2t</t>
  </si>
  <si>
    <t xml:space="preserve">decolure stone bath mat</t>
  </si>
  <si>
    <t xml:space="preserve">sleephoria</t>
  </si>
  <si>
    <t xml:space="preserve">b0cq32n392</t>
  </si>
  <si>
    <t xml:space="preserve">bed sheets king cooling</t>
  </si>
  <si>
    <t xml:space="preserve">b08kql2jt8</t>
  </si>
  <si>
    <t xml:space="preserve">b0cq311kct</t>
  </si>
  <si>
    <t xml:space="preserve">b0cq32f3hy</t>
  </si>
  <si>
    <t xml:space="preserve">b09g6kksk6</t>
  </si>
  <si>
    <t xml:space="preserve">b0cq31fr3y</t>
  </si>
  <si>
    <t xml:space="preserve">b0cq2zvmjj</t>
  </si>
  <si>
    <t xml:space="preserve">b08kqj61t7</t>
  </si>
  <si>
    <t xml:space="preserve">b0clkbt95k</t>
  </si>
  <si>
    <t xml:space="preserve">b08kqj3m9n</t>
  </si>
  <si>
    <t xml:space="preserve">b0bzpyz1xy</t>
  </si>
  <si>
    <t xml:space="preserve">cooling queen comforters</t>
  </si>
  <si>
    <t xml:space="preserve">b0bzpzp12l</t>
  </si>
  <si>
    <t xml:space="preserve">12 inch sheets queen</t>
  </si>
  <si>
    <t xml:space="preserve">juego de sábanas para cama queen</t>
  </si>
  <si>
    <t xml:space="preserve">100% bamboo viscose sheets california king</t>
  </si>
  <si>
    <t xml:space="preserve">b0ft4rss2n</t>
  </si>
  <si>
    <t xml:space="preserve">Sleephoria Cooling Sheets 4PC — full history (same product, same COGS, colours and sizes; the economic twin)</t>
  </si>
  <si>
    <t xml:space="preserve">Product 45 · listing live Jul 2025 (Vine), PPC from 3 Oct 2025 · Sellerboard + command center + DataDive Rank Radar/SQP · pulled 8 Oct 2026. Keyword table at the bottom feeds Main_Strategy.</t>
  </si>
  <si>
    <t xml:space="preserve">What Sleephoria tells us for CooLinens</t>
  </si>
  <si>
    <t xml:space="preserve">• Launch (3 Oct 2025): 13 of 14 head terms reached organic top 10 within 6–20 days on ~100 single-keyword exacts at $4–6 CPC (≈ 2× steady CPC). Per-term entry spend was modest: cooling sheets queen $40.9/day (7.8 clicks, 1.3 orders/day, top 10 in 9 days).</t>
  </si>
  <si>
    <t xml:space="preserve">• Bids were ~2× what rank needed: late Nov 2025 CPC fell $4.21 → $2.48 (−40%) and ACoS 36% → 21.5% while sales held → taper 15–25% per cycle once rank holds 2 weeks.</t>
  </si>
  <si>
    <t xml:space="preserve">• Rank on the head term "cooling sheets" (#3–5 Feb–Apr 2026) came from size-term velocity with &lt; $0.10/day on that exact term; bidding it directly ran 117% ACoS → head terms are capped probes, not rank pushes.</t>
  </si>
  <si>
    <t xml:space="preserve">• Queen modifier terms convert best in the market (SQP: queen bed sheets cooling 6.1%, queen sheets cooling 5.0%) and Sleephoria under-indexed there → CooLinens leads with the Queen cluster.</t>
  </si>
  <si>
    <t xml:space="preserve">• Consistent waste on the same product: king cooling sheets $1,251 @ 60%, cooling bed sheets queen @ 57%, cooling sheets for hot sleepers @ 285% → these wordings are excluded or capped.</t>
  </si>
  <si>
    <t xml:space="preserve">• May–Jul 2026 stockout (20 of 21 SKUs at 0): sales/day −42%, "cooling sheets queen" 18 → out of top 100; ads were never re-pointed to in-stock colours → preferred/backup switch at 21 days of cover.</t>
  </si>
  <si>
    <t xml:space="preserve">• Best economics Feb–May 2026: TACoS 5.0%, ACoS 24.5%, CPC $2.15 → plan the second push in Feb–Mar ahead of the Apr–Jul peak (Batch 3 timing).</t>
  </si>
  <si>
    <t xml:space="preserve">• Branded exact: 14.1% ACoS / 20% CVR, profitable 13 of 13 months → branded defence in Batch 2.</t>
  </si>
  <si>
    <t xml:space="preserve">• Placement (May–Sep 2026): Top of Search 24.6–41.6% ACoS at the highest CPC; Product Pages 20–27%; Rest of Search 13.5–27%; Off-Amazon $661, 0 orders.</t>
  </si>
  <si>
    <t xml:space="preserve">1 · Product summary (Sellerboard, Jul 2025 → Oct 2026)</t>
  </si>
  <si>
    <t xml:space="preserve">Lifetime ad spend</t>
  </si>
  <si>
    <t xml:space="preserve">Net margin</t>
  </si>
  <si>
    <t xml:space="preserve">PPC launch</t>
  </si>
  <si>
    <t xml:space="preserve">2025-10-03</t>
  </si>
  <si>
    <t xml:space="preserve">Business: Sellerboard dashboard. PPC: command center ppc_daily (7-day attribution incl. sibling variations).</t>
  </si>
  <si>
    <t xml:space="preserve">margin_pct</t>
  </si>
  <si>
    <t xml:space="preserve">refund_rate_pct</t>
  </si>
  <si>
    <t xml:space="preserve">2026-10-MTD</t>
  </si>
  <si>
    <t xml:space="preserve">3 · Period comparison (launch quarter vs best stretch vs current)</t>
  </si>
  <si>
    <t xml:space="preserve">period</t>
  </si>
  <si>
    <t xml:space="preserve">tacos</t>
  </si>
  <si>
    <t xml:space="preserve">ad_share_of_sales_pct</t>
  </si>
  <si>
    <t xml:space="preserve">spend_per_day</t>
  </si>
  <si>
    <t xml:space="preserve">ad_sales_per_day</t>
  </si>
  <si>
    <t xml:space="preserve">total_sales_per_day</t>
  </si>
  <si>
    <t xml:space="preserve">orders_per_day</t>
  </si>
  <si>
    <t xml:space="preserve">settling_days</t>
  </si>
  <si>
    <t xml:space="preserve">P_cur Jul 1-Oct 7 2026</t>
  </si>
  <si>
    <t xml:space="preserve">Launch quarter Oct 3-Dec 31 2025</t>
  </si>
  <si>
    <t xml:space="preserve">2025-12-31</t>
  </si>
  <si>
    <t xml:space="preserve">Best stretch Feb 1-May 31 2026</t>
  </si>
  <si>
    <t xml:space="preserve">2026-02-01</t>
  </si>
  <si>
    <t xml:space="preserve">2026-05-31</t>
  </si>
  <si>
    <t xml:space="preserve">Trailing 30d Sep 8-Oct 7 2026</t>
  </si>
  <si>
    <t xml:space="preserve">Prior 30d Aug 9-Sep 7 2026</t>
  </si>
  <si>
    <t xml:space="preserve">2026-08-09</t>
  </si>
  <si>
    <t xml:space="preserve">2026-09-07</t>
  </si>
  <si>
    <t xml:space="preserve">Settled trailing 30d Sep 2-Oct 1 2026</t>
  </si>
  <si>
    <t xml:space="preserve">Settled prior 30d Aug 3-Sep 1 2026</t>
  </si>
  <si>
    <t xml:space="preserve">2026-08-03</t>
  </si>
  <si>
    <t xml:space="preserve">2026-09-01</t>
  </si>
  <si>
    <t xml:space="preserve">4 · Launch rank entry, Oct 2025 (what it cost to reach top 10)</t>
  </si>
  <si>
    <t xml:space="preserve">days_from_ad_start_to_top10</t>
  </si>
  <si>
    <t xml:space="preserve">oct25_targeted_kw_spend</t>
  </si>
  <si>
    <t xml:space="preserve">oct25_spend_per_day</t>
  </si>
  <si>
    <t xml:space="preserve">oct25_clicks_per_day</t>
  </si>
  <si>
    <t xml:space="preserve">oct25_orders_per_day</t>
  </si>
  <si>
    <t xml:space="preserve">oct25_acos</t>
  </si>
  <si>
    <t xml:space="preserve">2025-10-13</t>
  </si>
  <si>
    <t xml:space="preserve">2025-10-14</t>
  </si>
  <si>
    <t xml:space="preserve">2025-10-11</t>
  </si>
  <si>
    <t xml:space="preserve">2025-10-12</t>
  </si>
  <si>
    <t xml:space="preserve">2025-10-09</t>
  </si>
  <si>
    <t xml:space="preserve">2025-10-06</t>
  </si>
  <si>
    <t xml:space="preserve">2025-10-07</t>
  </si>
  <si>
    <t xml:space="preserve">2025-10-18</t>
  </si>
  <si>
    <t xml:space="preserve">2025-10-23</t>
  </si>
  <si>
    <t xml:space="preserve">2025-10-17</t>
  </si>
  <si>
    <t xml:space="preserve">2025-10-10</t>
  </si>
  <si>
    <t xml:space="preserve">2025-10-15</t>
  </si>
  <si>
    <t xml:space="preserve">5 · Size performance (full history and last 90 days)</t>
  </si>
  <si>
    <t xml:space="preserve">6 · SKU / variation scorecard</t>
  </si>
  <si>
    <t xml:space="preserve">FULL = since launch; L90D = last 90 days. Hero-advertised children show low CVR because shoppers click the hero ad and buy another colour.</t>
  </si>
  <si>
    <t xml:space="preserve">SL-COOLING-SHEET-QUEEN-GRAPHITE</t>
  </si>
  <si>
    <t xml:space="preserve">B0F7LY3K8C</t>
  </si>
  <si>
    <t xml:space="preserve">75.0</t>
  </si>
  <si>
    <t xml:space="preserve">SL-COOLING-SHEET-QUEEN-COOL-GREY</t>
  </si>
  <si>
    <t xml:space="preserve">B0F7LX9RP3</t>
  </si>
  <si>
    <t xml:space="preserve">51.1</t>
  </si>
  <si>
    <t xml:space="preserve">SL-COOLING-SHEET-KING-GRAPHITE</t>
  </si>
  <si>
    <t xml:space="preserve">B0F7M19VYV</t>
  </si>
  <si>
    <t xml:space="preserve">77.2</t>
  </si>
  <si>
    <t xml:space="preserve">SL-COOLING-SHEET-QUEEN-BEIGE</t>
  </si>
  <si>
    <t xml:space="preserve">B0F7LX6W9T</t>
  </si>
  <si>
    <t xml:space="preserve">95.7</t>
  </si>
  <si>
    <t xml:space="preserve">SL-COOLING-SHEET-QUEEN-REGAL-PURPLE</t>
  </si>
  <si>
    <t xml:space="preserve">B0F7LY4DSG</t>
  </si>
  <si>
    <t xml:space="preserve">SL-COOLING-SHEET-QUEEN-LIGHT-BLUE</t>
  </si>
  <si>
    <t xml:space="preserve">B0F7LZR5DF</t>
  </si>
  <si>
    <t xml:space="preserve">60.3</t>
  </si>
  <si>
    <t xml:space="preserve">SL-COOLING-SHEET-QUEEN-WHITE</t>
  </si>
  <si>
    <t xml:space="preserve">B0F7LW9GQN</t>
  </si>
  <si>
    <t xml:space="preserve">58.7</t>
  </si>
  <si>
    <t xml:space="preserve">SL-COOLING-SHEET-KING-COOL-GREY</t>
  </si>
  <si>
    <t xml:space="preserve">B0F7LY4RD6</t>
  </si>
  <si>
    <t xml:space="preserve">SL-COOLING-SHEET-QUEEN-NAVY-BLUE</t>
  </si>
  <si>
    <t xml:space="preserve">B0F7LYNN5W</t>
  </si>
  <si>
    <t xml:space="preserve">49.5</t>
  </si>
  <si>
    <t xml:space="preserve">SL-COOLING-SHEET-KING-LIGHT-GREY</t>
  </si>
  <si>
    <t xml:space="preserve">B0F7LZQNHM</t>
  </si>
  <si>
    <t xml:space="preserve">82.6</t>
  </si>
  <si>
    <t xml:space="preserve">SL-COOLING-SHEET-QUEEN-MIDNIGHT-BLACK</t>
  </si>
  <si>
    <t xml:space="preserve">B0F7LY14LM</t>
  </si>
  <si>
    <t xml:space="preserve">89.1</t>
  </si>
  <si>
    <t xml:space="preserve">SL-COOLING-SHEET-KING-NAVY-BLUE</t>
  </si>
  <si>
    <t xml:space="preserve">B0F7M13J7X</t>
  </si>
  <si>
    <t xml:space="preserve">SL-COOLING-SHEET-FULL-COOL-GREY</t>
  </si>
  <si>
    <t xml:space="preserve">B0F7LXB26C</t>
  </si>
  <si>
    <t xml:space="preserve">84.2</t>
  </si>
  <si>
    <t xml:space="preserve">SL-COOLING-SHEET-QUEEN-SAGE-GREEN</t>
  </si>
  <si>
    <t xml:space="preserve">B0F7LZFZCH</t>
  </si>
  <si>
    <t xml:space="preserve">53.3</t>
  </si>
  <si>
    <t xml:space="preserve">SL-COOLING-SHEET-QUEEN-CREAM</t>
  </si>
  <si>
    <t xml:space="preserve">B0F7LWK826</t>
  </si>
  <si>
    <t xml:space="preserve">78.8</t>
  </si>
  <si>
    <t xml:space="preserve">SL-COOLING-SHEET-QUEEN-LIGHT-PINK</t>
  </si>
  <si>
    <t xml:space="preserve">B0F7LX64VV</t>
  </si>
  <si>
    <t xml:space="preserve">SL-COOLING-SHEET-KING-MIDNIGHT-BLACK</t>
  </si>
  <si>
    <t xml:space="preserve">B0F7LY3994</t>
  </si>
  <si>
    <t xml:space="preserve">SL-COOLING-SHEET-TWIN-GRAPHITE</t>
  </si>
  <si>
    <t xml:space="preserve">B0F7LZ27F2</t>
  </si>
  <si>
    <t xml:space="preserve">81.5</t>
  </si>
  <si>
    <t xml:space="preserve">SL-COOLING-SHEET-QUEEN-LIGHT-GREY</t>
  </si>
  <si>
    <t xml:space="preserve">B0F7LYTDD7</t>
  </si>
  <si>
    <t xml:space="preserve">SL-COOLING-SHEET-KING-WHITE</t>
  </si>
  <si>
    <t xml:space="preserve">B0F7LX5ZQN</t>
  </si>
  <si>
    <t xml:space="preserve">47.8</t>
  </si>
  <si>
    <t xml:space="preserve">SL-COOLING-SHEET-KING-CREAM</t>
  </si>
  <si>
    <t xml:space="preserve">B0F7LXS4FK</t>
  </si>
  <si>
    <t xml:space="preserve">SL-COOLING-SHEET-KING-SAGE-GREEN</t>
  </si>
  <si>
    <t xml:space="preserve">B0F7LZCWQW</t>
  </si>
  <si>
    <t xml:space="preserve">SL-COOLING-SHEET-CAL-KING-GRAPHITE</t>
  </si>
  <si>
    <t xml:space="preserve">B0F7LY8QWF</t>
  </si>
  <si>
    <t xml:space="preserve">SL-COOLING-SHEET-KING-REGAL-PURPLE</t>
  </si>
  <si>
    <t xml:space="preserve">B0F7LX84MY</t>
  </si>
  <si>
    <t xml:space="preserve">SL-COOLING-SHEET-FULL-GRAPHITE</t>
  </si>
  <si>
    <t xml:space="preserve">B0F7LY3ZWB</t>
  </si>
  <si>
    <t xml:space="preserve">73.4</t>
  </si>
  <si>
    <t xml:space="preserve">SL-COOLING-SHEET-FULL-MIDNIGHT-BLACK</t>
  </si>
  <si>
    <t xml:space="preserve">B0F7LXNSQK</t>
  </si>
  <si>
    <t xml:space="preserve">SL-COOLING-SHEET-KING-LIGHT-BLUE</t>
  </si>
  <si>
    <t xml:space="preserve">B0F7LYCX4N</t>
  </si>
  <si>
    <t xml:space="preserve">SL-COOLING-SHEET-FULL-LIGHT-BLUE</t>
  </si>
  <si>
    <t xml:space="preserve">B0F7LYF4RK</t>
  </si>
  <si>
    <t xml:space="preserve">SL-COOLING-SHEET-FULL-NAVY-BLUE</t>
  </si>
  <si>
    <t xml:space="preserve">B0F7LZFKS7</t>
  </si>
  <si>
    <t xml:space="preserve">SL-COOLING-SHEET-TWIN-NAVY-BLUE</t>
  </si>
  <si>
    <t xml:space="preserve">B0F7LYVZMY</t>
  </si>
  <si>
    <t xml:space="preserve">SL-COOLING-SHEET-FULL-LIGHT-GREY</t>
  </si>
  <si>
    <t xml:space="preserve">B0F7LWYY19</t>
  </si>
  <si>
    <t xml:space="preserve">SL-COOLING-SHEET-FULL-WHITE</t>
  </si>
  <si>
    <t xml:space="preserve">B0F7LYFZ5Y</t>
  </si>
  <si>
    <t xml:space="preserve">SL-COOLING-SHEET-CAL-KING-COOL-GREY</t>
  </si>
  <si>
    <t xml:space="preserve">B0F7LWK8S4</t>
  </si>
  <si>
    <t xml:space="preserve">85.3</t>
  </si>
  <si>
    <t xml:space="preserve">SL-COOLING-SHEET-KING-LIGHT-PINK</t>
  </si>
  <si>
    <t xml:space="preserve">B0F7LTXSLG</t>
  </si>
  <si>
    <t xml:space="preserve">SL-COOLING-SHEET-FULL-BEIGE</t>
  </si>
  <si>
    <t xml:space="preserve">B0F7LYBQYF</t>
  </si>
  <si>
    <t xml:space="preserve">SL-COOLING-SHEET-CAL-KING-NAVY-BLUE</t>
  </si>
  <si>
    <t xml:space="preserve">B0F7LXFBGG</t>
  </si>
  <si>
    <t xml:space="preserve">SL-COOLING-SHEET-FULL-REGAL-PURPLE</t>
  </si>
  <si>
    <t xml:space="preserve">B0F7LWG82H</t>
  </si>
  <si>
    <t xml:space="preserve">SL-COOLING-SHEET-KING-BEIGE</t>
  </si>
  <si>
    <t xml:space="preserve">B0F7LZMK4N</t>
  </si>
  <si>
    <t xml:space="preserve">SL-COOLING-SHEET-TWIN-WHITE</t>
  </si>
  <si>
    <t xml:space="preserve">B0F7LYFSJS</t>
  </si>
  <si>
    <t xml:space="preserve">SL-COOLING-SHEET-FULL-LIGHT-PINK</t>
  </si>
  <si>
    <t xml:space="preserve">B0F7LZNYY8</t>
  </si>
  <si>
    <t xml:space="preserve">SL-COOLING-SHEET-TWIN-LIGHT-BLUE</t>
  </si>
  <si>
    <t xml:space="preserve">B0F7LXS112</t>
  </si>
  <si>
    <t xml:space="preserve">SL-COOLING-SHEET-CAL-KING-WHITE</t>
  </si>
  <si>
    <t xml:space="preserve">B0F7LX6LFL</t>
  </si>
  <si>
    <t xml:space="preserve">SL-COOLING-SHEET-CAL-KING-MIDNIGHT-BLACK</t>
  </si>
  <si>
    <t xml:space="preserve">B0F7LYR7L2</t>
  </si>
  <si>
    <t xml:space="preserve">SL-COOLING-SHEET-FULL-SAGE-GREEN</t>
  </si>
  <si>
    <t xml:space="preserve">B0F7LX9P4H</t>
  </si>
  <si>
    <t xml:space="preserve">SL-COOLING-SHEET-CAL-KING-SAGE-GREEN</t>
  </si>
  <si>
    <t xml:space="preserve">B0F7LWSXSC</t>
  </si>
  <si>
    <t xml:space="preserve">SL-COOLING-SHEET-TWIN-COOL-GREY</t>
  </si>
  <si>
    <t xml:space="preserve">B0F7LXWBL8</t>
  </si>
  <si>
    <t xml:space="preserve">76.1</t>
  </si>
  <si>
    <t xml:space="preserve">SL-COOLING-SHEET-TWIN-LIGHT-GREY</t>
  </si>
  <si>
    <t xml:space="preserve">B0F7LZ3ZQJ</t>
  </si>
  <si>
    <t xml:space="preserve">SL-COOLING-SHEET-CAL-KING-BEIGE</t>
  </si>
  <si>
    <t xml:space="preserve">SL-COOLING-SHEET-TWIN-REGAL-PURPLE</t>
  </si>
  <si>
    <t xml:space="preserve">B0F7LXNNGZ</t>
  </si>
  <si>
    <t xml:space="preserve">SL-COOLING-SHEET-CAL-KING-LIGHT-BLUE</t>
  </si>
  <si>
    <t xml:space="preserve">B0F7LX3RH5</t>
  </si>
  <si>
    <t xml:space="preserve">SL-COOLING-SHEET-FULL-CREAM</t>
  </si>
  <si>
    <t xml:space="preserve">B0F7LX3RH7</t>
  </si>
  <si>
    <t xml:space="preserve">SL-COOLING-SHEET-TWIN-SAGE-GREEN</t>
  </si>
  <si>
    <t xml:space="preserve">B0F7LWY93Q</t>
  </si>
  <si>
    <t xml:space="preserve">SL-COOLING-SHEET-CAL-KING-REGAL-PURPLE</t>
  </si>
  <si>
    <t xml:space="preserve">B0F7LXCSKW</t>
  </si>
  <si>
    <t xml:space="preserve">SL-COOLING-SHEET-TWIN-LIGHT-PINK</t>
  </si>
  <si>
    <t xml:space="preserve">B0F7LZ3ZJQ</t>
  </si>
  <si>
    <t xml:space="preserve">SL-COOLING-SHEET-TWIN-MIDNIGHT-BLACK</t>
  </si>
  <si>
    <t xml:space="preserve">B0F7LXP5ZF</t>
  </si>
  <si>
    <t xml:space="preserve">SL-COOLING-SHEET-TWIN-BEIGE</t>
  </si>
  <si>
    <t xml:space="preserve">B0F7LX6353</t>
  </si>
  <si>
    <t xml:space="preserve">SL-COOLING-SHEET-CAL-KING-LIGHT-PINK</t>
  </si>
  <si>
    <t xml:space="preserve">B0F7LZLX1T</t>
  </si>
  <si>
    <t xml:space="preserve">SL-COOLING-SHEET-CAL-KING-CREAM</t>
  </si>
  <si>
    <t xml:space="preserve">B0F7LWTN5R</t>
  </si>
  <si>
    <t xml:space="preserve">SL-COOLING-SHEET-TWIN-CREAM</t>
  </si>
  <si>
    <t xml:space="preserve">B0F7M1ZY15</t>
  </si>
  <si>
    <t xml:space="preserve">SL-COOLING-SHEET-CAL-KING-LIGHT-GREY</t>
  </si>
  <si>
    <t xml:space="preserve">B0F7M1847R</t>
  </si>
  <si>
    <t xml:space="preserve">7 · Ad results by advertised child (full PPC history)</t>
  </si>
  <si>
    <t xml:space="preserve">advertised_sku</t>
  </si>
  <si>
    <t xml:space="preserve">MULTI</t>
  </si>
  <si>
    <t xml:space="preserve">UNKNOWN</t>
  </si>
  <si>
    <t xml:space="preserve">8 · Match type, targeting type and placement (full PPC history)</t>
  </si>
  <si>
    <t xml:space="preserve">match type</t>
  </si>
  <si>
    <t xml:space="preserve">Branded (Exact+Broad)</t>
  </si>
  <si>
    <t xml:space="preserve">Unclassified</t>
  </si>
  <si>
    <t xml:space="preserve">PAT</t>
  </si>
  <si>
    <t xml:space="preserve">targeting type</t>
  </si>
  <si>
    <t xml:space="preserve">Product/ASIN</t>
  </si>
  <si>
    <t xml:space="preserve">Top of Search</t>
  </si>
  <si>
    <t xml:space="preserve">Product pages</t>
  </si>
  <si>
    <t xml:space="preserve">Rest of Search</t>
  </si>
  <si>
    <t xml:space="preserve">Off-Amazon</t>
  </si>
  <si>
    <t xml:space="preserve">9 · Organic rank history — monthly median organic rank (DataDive Rank Radar, B0FTSWF3M7)</t>
  </si>
  <si>
    <t xml:space="preserve">sv</t>
  </si>
  <si>
    <t xml:space="preserve">top10_days_last30</t>
  </si>
  <si>
    <t xml:space="preserve">best</t>
  </si>
  <si>
    <t xml:space="preserve">(1, '2026-04-22')</t>
  </si>
  <si>
    <t xml:space="preserve">(2, '2025-10-23')</t>
  </si>
  <si>
    <t xml:space="preserve">(2, '2026-03-22')</t>
  </si>
  <si>
    <t xml:space="preserve">(1, '2026-03-21')</t>
  </si>
  <si>
    <t xml:space="preserve">bed cooling system</t>
  </si>
  <si>
    <t xml:space="preserve">2026-02-12</t>
  </si>
  <si>
    <t xml:space="preserve">2026-09-21</t>
  </si>
  <si>
    <t xml:space="preserve">(7, '2026-09-21')</t>
  </si>
  <si>
    <t xml:space="preserve">(2, '2026-03-23')</t>
  </si>
  <si>
    <t xml:space="preserve">(2, '2026-04-02')</t>
  </si>
  <si>
    <t xml:space="preserve">(4, '2025-10-17')</t>
  </si>
  <si>
    <t xml:space="preserve">(3, '2025-11-08')</t>
  </si>
  <si>
    <t xml:space="preserve">(12, '2026-09-21')</t>
  </si>
  <si>
    <t xml:space="preserve">(4, '2026-03-19')</t>
  </si>
  <si>
    <t xml:space="preserve">(5, '2026-02-14')</t>
  </si>
  <si>
    <t xml:space="preserve">(5, '2025-11-13')</t>
  </si>
  <si>
    <t xml:space="preserve">hot sleepers must haves</t>
  </si>
  <si>
    <t xml:space="preserve">(82, '2026-08-06')</t>
  </si>
  <si>
    <t xml:space="preserve">cooling fitted sheet</t>
  </si>
  <si>
    <t xml:space="preserve">(89, '2026-10-06')</t>
  </si>
  <si>
    <t xml:space="preserve">bed cooling</t>
  </si>
  <si>
    <t xml:space="preserve">(44, '2026-10-07')</t>
  </si>
  <si>
    <t xml:space="preserve">oeko-tex sheets</t>
  </si>
  <si>
    <t xml:space="preserve">2025-10-16</t>
  </si>
  <si>
    <t xml:space="preserve">(2, '2026-03-20')</t>
  </si>
  <si>
    <t xml:space="preserve">(4, '2025-10-15')</t>
  </si>
  <si>
    <t xml:space="preserve">cooling bed</t>
  </si>
  <si>
    <t xml:space="preserve">(67, '2026-09-20')</t>
  </si>
  <si>
    <t xml:space="preserve">(1, '2025-10-20')</t>
  </si>
  <si>
    <t xml:space="preserve">2025-10-04</t>
  </si>
  <si>
    <t xml:space="preserve">2025-10-05</t>
  </si>
  <si>
    <t xml:space="preserve">(1, '2026-02-10')</t>
  </si>
  <si>
    <t xml:space="preserve">cooling fitted sheet queen</t>
  </si>
  <si>
    <t xml:space="preserve">(90, '2026-09-28')</t>
  </si>
  <si>
    <t xml:space="preserve">2026-03-16</t>
  </si>
  <si>
    <t xml:space="preserve">(9, '2026-10-01')</t>
  </si>
  <si>
    <t xml:space="preserve">2025-10-28</t>
  </si>
  <si>
    <t xml:space="preserve">(4, '2025-11-07')</t>
  </si>
  <si>
    <t xml:space="preserve">(4, '2026-04-05')</t>
  </si>
  <si>
    <t xml:space="preserve">(4, '2025-10-20')</t>
  </si>
  <si>
    <t xml:space="preserve">(2, '2026-03-18')</t>
  </si>
  <si>
    <t xml:space="preserve">(2, '2026-02-26')</t>
  </si>
  <si>
    <t xml:space="preserve">2025-11-11</t>
  </si>
  <si>
    <t xml:space="preserve">(4, '2026-03-15')</t>
  </si>
  <si>
    <t xml:space="preserve">cooling fitted sheet king</t>
  </si>
  <si>
    <t xml:space="preserve">2026-08-21</t>
  </si>
  <si>
    <t xml:space="preserve">(16, '2026-08-21')</t>
  </si>
  <si>
    <t xml:space="preserve">(2, '2026-09-17')</t>
  </si>
  <si>
    <t xml:space="preserve">(9, '2025-10-20')</t>
  </si>
  <si>
    <t xml:space="preserve">(1, '2026-04-21')</t>
  </si>
  <si>
    <t xml:space="preserve">(5, '2025-10-16')</t>
  </si>
  <si>
    <t xml:space="preserve">(5, '2026-09-27')</t>
  </si>
  <si>
    <t xml:space="preserve">(7, '2025-10-18')</t>
  </si>
  <si>
    <t xml:space="preserve">(2, '2025-10-18')</t>
  </si>
  <si>
    <t xml:space="preserve">(5, '2025-10-17')</t>
  </si>
  <si>
    <t xml:space="preserve">2026-09-18</t>
  </si>
  <si>
    <t xml:space="preserve">(6, '2026-09-21')</t>
  </si>
  <si>
    <t xml:space="preserve">2026-09-23</t>
  </si>
  <si>
    <t xml:space="preserve">(8, '2026-09-23')</t>
  </si>
  <si>
    <t xml:space="preserve">(2, '2025-10-28')</t>
  </si>
  <si>
    <t xml:space="preserve">breathable sheets</t>
  </si>
  <si>
    <t xml:space="preserve">(84, '2026-08-07')</t>
  </si>
  <si>
    <t xml:space="preserve">(2, '2026-03-21')</t>
  </si>
  <si>
    <t xml:space="preserve">(3, '2025-11-03')</t>
  </si>
  <si>
    <t xml:space="preserve">(2, '2025-10-20')</t>
  </si>
  <si>
    <t xml:space="preserve">(4, '2026-03-04')</t>
  </si>
  <si>
    <t xml:space="preserve">(4, '2026-09-20')</t>
  </si>
  <si>
    <t xml:space="preserve">2026-06-15</t>
  </si>
  <si>
    <t xml:space="preserve">2026-09-26</t>
  </si>
  <si>
    <t xml:space="preserve">(9, '2026-10-06')</t>
  </si>
  <si>
    <t xml:space="preserve">(3, '2026-03-19')</t>
  </si>
  <si>
    <t xml:space="preserve">deep pocket queen sheets cooling</t>
  </si>
  <si>
    <t xml:space="preserve">(5, '2025-10-15')</t>
  </si>
  <si>
    <t xml:space="preserve">cold sheets</t>
  </si>
  <si>
    <t xml:space="preserve">2025-10-19</t>
  </si>
  <si>
    <t xml:space="preserve">2025-10-25</t>
  </si>
  <si>
    <t xml:space="preserve">(1, '2026-04-20')</t>
  </si>
  <si>
    <t xml:space="preserve">cooling sleep</t>
  </si>
  <si>
    <t xml:space="preserve">(1, '2026-08-08')</t>
  </si>
  <si>
    <t xml:space="preserve">(8, '2025-10-22')</t>
  </si>
  <si>
    <t xml:space="preserve">(3, '2026-09-20')</t>
  </si>
  <si>
    <t xml:space="preserve">(6, '2025-10-19')</t>
  </si>
  <si>
    <t xml:space="preserve">cooling fitted sheet full</t>
  </si>
  <si>
    <t xml:space="preserve">(93, '2026-08-23')</t>
  </si>
  <si>
    <t xml:space="preserve">2025-10-08</t>
  </si>
  <si>
    <t xml:space="preserve">(1, '2026-08-09')</t>
  </si>
  <si>
    <t xml:space="preserve">king sheets deep pocket cooling</t>
  </si>
  <si>
    <t xml:space="preserve">(55, '2026-09-19')</t>
  </si>
  <si>
    <t xml:space="preserve">breathable bed sheets</t>
  </si>
  <si>
    <t xml:space="preserve">(1, '2026-08-10')</t>
  </si>
  <si>
    <t xml:space="preserve">2025-10-22</t>
  </si>
  <si>
    <t xml:space="preserve">(7, '2026-08-14')</t>
  </si>
  <si>
    <t xml:space="preserve">(5, '2025-10-14')</t>
  </si>
  <si>
    <t xml:space="preserve">(1, '2025-10-22')</t>
  </si>
  <si>
    <t xml:space="preserve">(8, '2026-09-18')</t>
  </si>
  <si>
    <t xml:space="preserve">2025-10-26</t>
  </si>
  <si>
    <t xml:space="preserve">(11, '2026-09-19')</t>
  </si>
  <si>
    <t xml:space="preserve">good sleep bedding</t>
  </si>
  <si>
    <t xml:space="preserve">2026-08-18</t>
  </si>
  <si>
    <t xml:space="preserve">(16, '2026-08-18')</t>
  </si>
  <si>
    <t xml:space="preserve">cooling king sheets deep pocket</t>
  </si>
  <si>
    <t xml:space="preserve">(40, '2026-09-30')</t>
  </si>
  <si>
    <t xml:space="preserve">2025-12-15</t>
  </si>
  <si>
    <t xml:space="preserve">(7, '2025-12-20')</t>
  </si>
  <si>
    <t xml:space="preserve">(1, '2026-03-04')</t>
  </si>
  <si>
    <t xml:space="preserve">(1, '2026-08-07')</t>
  </si>
  <si>
    <t xml:space="preserve">2026-08-28</t>
  </si>
  <si>
    <t xml:space="preserve">(6, '2026-08-28')</t>
  </si>
  <si>
    <t xml:space="preserve">deep pocket king sheet set cooling</t>
  </si>
  <si>
    <t xml:space="preserve">(33, '2025-11-07')</t>
  </si>
  <si>
    <t xml:space="preserve">2026-09-19</t>
  </si>
  <si>
    <t xml:space="preserve">(8, '2026-09-26')</t>
  </si>
  <si>
    <t xml:space="preserve">queen cooling sheets deep pockets</t>
  </si>
  <si>
    <t xml:space="preserve">(34, '2026-09-28')</t>
  </si>
  <si>
    <t xml:space="preserve">2025-10-24</t>
  </si>
  <si>
    <t xml:space="preserve">2025-11-07</t>
  </si>
  <si>
    <t xml:space="preserve">(5, '2026-05-18')</t>
  </si>
  <si>
    <t xml:space="preserve">(3, '2026-09-23')</t>
  </si>
  <si>
    <t xml:space="preserve">(10, '2026-09-24')</t>
  </si>
  <si>
    <t xml:space="preserve">(1, '2026-08-06')</t>
  </si>
  <si>
    <t xml:space="preserve">temperature regulating sheets</t>
  </si>
  <si>
    <t xml:space="preserve">(6, '2025-10-15')</t>
  </si>
  <si>
    <t xml:space="preserve">(16, '2025-10-26')</t>
  </si>
  <si>
    <t xml:space="preserve">2025-12-18</t>
  </si>
  <si>
    <t xml:space="preserve">(4, '2026-02-18')</t>
  </si>
  <si>
    <t xml:space="preserve">2025-11-03</t>
  </si>
  <si>
    <t xml:space="preserve">2026-02-19</t>
  </si>
  <si>
    <t xml:space="preserve">(6, '2026-03-25')</t>
  </si>
  <si>
    <t xml:space="preserve">sheets for night sweats</t>
  </si>
  <si>
    <t xml:space="preserve">2026-07-25</t>
  </si>
  <si>
    <t xml:space="preserve">(3, '2026-09-11')</t>
  </si>
  <si>
    <t xml:space="preserve">(11, '2026-09-16')</t>
  </si>
  <si>
    <t xml:space="preserve">cooling sheets deep pocket king</t>
  </si>
  <si>
    <t xml:space="preserve">(41, '2026-09-19')</t>
  </si>
  <si>
    <t xml:space="preserve">cooling flat sheet</t>
  </si>
  <si>
    <t xml:space="preserve">(48, '2026-10-02')</t>
  </si>
  <si>
    <t xml:space="preserve">queen fitted sheet cooling</t>
  </si>
  <si>
    <t xml:space="preserve">(9, '2025-10-17')</t>
  </si>
  <si>
    <t xml:space="preserve">(2, '2026-02-21')</t>
  </si>
  <si>
    <t xml:space="preserve">breathable sheets queen</t>
  </si>
  <si>
    <t xml:space="preserve">(8, '2025-10-17')</t>
  </si>
  <si>
    <t xml:space="preserve">(1, '2026-10-02')</t>
  </si>
  <si>
    <t xml:space="preserve">2025-11-18</t>
  </si>
  <si>
    <t xml:space="preserve">2025-12-17</t>
  </si>
  <si>
    <t xml:space="preserve">(4, '2026-03-22')</t>
  </si>
  <si>
    <t xml:space="preserve">(2, '2026-05-06')</t>
  </si>
  <si>
    <t xml:space="preserve">(19, '2026-08-09')</t>
  </si>
  <si>
    <t xml:space="preserve">2025-10-27</t>
  </si>
  <si>
    <t xml:space="preserve">(6, '2025-11-03')</t>
  </si>
  <si>
    <t xml:space="preserve">(3, '2025-10-19')</t>
  </si>
  <si>
    <t xml:space="preserve">2025-10-29</t>
  </si>
  <si>
    <t xml:space="preserve">(6, '2025-11-04')</t>
  </si>
  <si>
    <t xml:space="preserve">cooling for bed</t>
  </si>
  <si>
    <t xml:space="preserve">(22, '2026-09-29')</t>
  </si>
  <si>
    <t xml:space="preserve">2026-07-31</t>
  </si>
  <si>
    <t xml:space="preserve">2026-08-06</t>
  </si>
  <si>
    <t xml:space="preserve">(4, '2026-09-21')</t>
  </si>
  <si>
    <t xml:space="preserve">cooling top sheet</t>
  </si>
  <si>
    <t xml:space="preserve">(15, '2026-09-03')</t>
  </si>
  <si>
    <t xml:space="preserve">cooling for hot sleepers</t>
  </si>
  <si>
    <t xml:space="preserve">2026-08-24</t>
  </si>
  <si>
    <t xml:space="preserve">(16, '2026-08-24')</t>
  </si>
  <si>
    <t xml:space="preserve">king cooling sheets deep pocket</t>
  </si>
  <si>
    <t xml:space="preserve">(52, '2026-09-22')</t>
  </si>
  <si>
    <t xml:space="preserve">(2, '2026-09-28')</t>
  </si>
  <si>
    <t xml:space="preserve">breathable sheets king</t>
  </si>
  <si>
    <t xml:space="preserve">(66, '2026-04-26')</t>
  </si>
  <si>
    <t xml:space="preserve">(1, '2026-08-01')</t>
  </si>
  <si>
    <t xml:space="preserve">cooling bedsheets king size bed</t>
  </si>
  <si>
    <t xml:space="preserve">(13, '2025-11-07')</t>
  </si>
  <si>
    <t xml:space="preserve">night sweats relief bedding</t>
  </si>
  <si>
    <t xml:space="preserve">2026-07-30</t>
  </si>
  <si>
    <t xml:space="preserve">(10, '2026-09-03')</t>
  </si>
  <si>
    <t xml:space="preserve">(2, '2025-10-22')</t>
  </si>
  <si>
    <t xml:space="preserve">organic cooling sheets</t>
  </si>
  <si>
    <t xml:space="preserve">(69, '2026-09-25')</t>
  </si>
  <si>
    <t xml:space="preserve">full size sheet sets cooling</t>
  </si>
  <si>
    <t xml:space="preserve">(12, '2026-09-18')</t>
  </si>
  <si>
    <t xml:space="preserve">queen size sheet set cooling</t>
  </si>
  <si>
    <t xml:space="preserve">(43, '2026-09-28')</t>
  </si>
  <si>
    <t xml:space="preserve">cooling bedding for hot sleepers</t>
  </si>
  <si>
    <t xml:space="preserve">(16, '2026-08-12')</t>
  </si>
  <si>
    <t xml:space="preserve">2025-10-20</t>
  </si>
  <si>
    <t xml:space="preserve">(2, '2026-08-06')</t>
  </si>
  <si>
    <t xml:space="preserve">cooling bed set king</t>
  </si>
  <si>
    <t xml:space="preserve">(8, '2026-09-21')</t>
  </si>
  <si>
    <t xml:space="preserve">2026-06-04</t>
  </si>
  <si>
    <t xml:space="preserve">2026-08-25</t>
  </si>
  <si>
    <t xml:space="preserve">(6, '2026-09-19')</t>
  </si>
  <si>
    <t xml:space="preserve">(4, '2026-09-17')</t>
  </si>
  <si>
    <t xml:space="preserve">fitted sheet queen cooling</t>
  </si>
  <si>
    <t xml:space="preserve">(59, '2026-09-24')</t>
  </si>
  <si>
    <t xml:space="preserve">cooling bed sheets full size</t>
  </si>
  <si>
    <t xml:space="preserve">2026-08-08</t>
  </si>
  <si>
    <t xml:space="preserve">(3, '2026-08-08')</t>
  </si>
  <si>
    <t xml:space="preserve">(1, '2025-10-24')</t>
  </si>
  <si>
    <t xml:space="preserve">(2, '2026-04-24')</t>
  </si>
  <si>
    <t xml:space="preserve">10 · Stock-outs and their impact</t>
  </si>
  <si>
    <t xml:space="preserve">53.0</t>
  </si>
  <si>
    <t xml:space="preserve">42.0</t>
  </si>
  <si>
    <t xml:space="preserve">43.0</t>
  </si>
  <si>
    <t xml:space="preserve">39.0</t>
  </si>
  <si>
    <t xml:space="preserve">48.0</t>
  </si>
  <si>
    <t xml:space="preserve">101</t>
  </si>
  <si>
    <t xml:space="preserve">157.9</t>
  </si>
  <si>
    <t xml:space="preserve">93</t>
  </si>
  <si>
    <t xml:space="preserve">221.0</t>
  </si>
  <si>
    <t xml:space="preserve">87</t>
  </si>
  <si>
    <t xml:space="preserve">86</t>
  </si>
  <si>
    <t xml:space="preserve">2026-04-29</t>
  </si>
  <si>
    <t xml:space="preserve">206.6</t>
  </si>
  <si>
    <t xml:space="preserve">2026-05-23</t>
  </si>
  <si>
    <t xml:space="preserve">79.9</t>
  </si>
  <si>
    <t xml:space="preserve">2026-05-24</t>
  </si>
  <si>
    <t xml:space="preserve">2026-05-30</t>
  </si>
  <si>
    <t xml:space="preserve">44</t>
  </si>
  <si>
    <t xml:space="preserve">5.3</t>
  </si>
  <si>
    <t xml:space="preserve">2026-06-01</t>
  </si>
  <si>
    <t xml:space="preserve">40</t>
  </si>
  <si>
    <t xml:space="preserve">26.4</t>
  </si>
  <si>
    <t xml:space="preserve">2026-06-10</t>
  </si>
  <si>
    <t xml:space="preserve">2026-06-07</t>
  </si>
  <si>
    <t xml:space="preserve">5</t>
  </si>
  <si>
    <t xml:space="preserve">2026-06-06</t>
  </si>
  <si>
    <t xml:space="preserve">31.6</t>
  </si>
  <si>
    <t xml:space="preserve">2026-06-08</t>
  </si>
  <si>
    <t xml:space="preserve">32</t>
  </si>
  <si>
    <t xml:space="preserve">33.3</t>
  </si>
  <si>
    <t xml:space="preserve">2026-06-11</t>
  </si>
  <si>
    <t xml:space="preserve">2026-06-13</t>
  </si>
  <si>
    <t xml:space="preserve">18.4</t>
  </si>
  <si>
    <t xml:space="preserve">2026-06-20</t>
  </si>
  <si>
    <t xml:space="preserve">22</t>
  </si>
  <si>
    <t xml:space="preserve">3.5</t>
  </si>
  <si>
    <t xml:space="preserve">20.4</t>
  </si>
  <si>
    <t xml:space="preserve">2026-06-28</t>
  </si>
  <si>
    <t xml:space="preserve">347.5</t>
  </si>
  <si>
    <t xml:space="preserve">2026-07-02</t>
  </si>
  <si>
    <t xml:space="preserve">2026-07-07</t>
  </si>
  <si>
    <t xml:space="preserve">2026-07-04</t>
  </si>
  <si>
    <t xml:space="preserve">8.3</t>
  </si>
  <si>
    <t xml:space="preserve">2026-07-08</t>
  </si>
  <si>
    <t xml:space="preserve">313.9</t>
  </si>
  <si>
    <t xml:space="preserve">30.0</t>
  </si>
  <si>
    <t xml:space="preserve">16</t>
  </si>
  <si>
    <t xml:space="preserve">14.9</t>
  </si>
  <si>
    <t xml:space="preserve">2026-09-29</t>
  </si>
  <si>
    <t xml:space="preserve">2026-10-06</t>
  </si>
  <si>
    <t xml:space="preserve">3</t>
  </si>
  <si>
    <t xml:space="preserve">1.8</t>
  </si>
  <si>
    <t xml:space="preserve">E1 Sleephoria hero Queen Graphite OOS (brand-wide May-Jul stock-out)</t>
  </si>
  <si>
    <t xml:space="preserve">2026-04-26</t>
  </si>
  <si>
    <t xml:space="preserve">6.11</t>
  </si>
  <si>
    <t xml:space="preserve">1994.0</t>
  </si>
  <si>
    <t xml:space="preserve">12 (28/28 d ranked)</t>
  </si>
  <si>
    <t xml:space="preserve">24 (28/28 d ranked)</t>
  </si>
  <si>
    <t xml:space="preserve">18 (28/28 d ranked)</t>
  </si>
  <si>
    <t xml:space="preserve">10 (28/28 d ranked)</t>
  </si>
  <si>
    <t xml:space="preserve">2026-05-10</t>
  </si>
  <si>
    <t xml:space="preserve">3.79</t>
  </si>
  <si>
    <t xml:space="preserve">6.07</t>
  </si>
  <si>
    <t xml:space="preserve">1990.0</t>
  </si>
  <si>
    <t xml:space="preserve">18 (14/14 d ranked)</t>
  </si>
  <si>
    <t xml:space="preserve">28 (14/14 d ranked)</t>
  </si>
  <si>
    <t xml:space="preserve">24 (14/14 d ranked)</t>
  </si>
  <si>
    <t xml:space="preserve">10 (14/14 d ranked)</t>
  </si>
  <si>
    <t xml:space="preserve">0.09</t>
  </si>
  <si>
    <t xml:space="preserve">5.66</t>
  </si>
  <si>
    <t xml:space="preserve">1155.0</t>
  </si>
  <si>
    <t xml:space="preserve">43 (47/47 d ranked)</t>
  </si>
  <si>
    <t xml:space="preserve">45 (47/47 d ranked)</t>
  </si>
  <si>
    <t xml:space="preserve">66 (47/47 d ranked)</t>
  </si>
  <si>
    <t xml:space="preserve">34 (47/47 d ranked)</t>
  </si>
  <si>
    <t xml:space="preserve">2026-07-23</t>
  </si>
  <si>
    <t xml:space="preserve">878.0</t>
  </si>
  <si>
    <t xml:space="preserve">79 (14/14 d ranked)</t>
  </si>
  <si>
    <t xml:space="preserve">101 (14/14 d ranked)</t>
  </si>
  <si>
    <t xml:space="preserve">29 (14/14 d ranked)</t>
  </si>
  <si>
    <t xml:space="preserve">0.93</t>
  </si>
  <si>
    <t xml:space="preserve">5.21</t>
  </si>
  <si>
    <t xml:space="preserve">1290.0</t>
  </si>
  <si>
    <t xml:space="preserve">53 (28/28 d ranked)</t>
  </si>
  <si>
    <t xml:space="preserve">101 (28/28 d ranked)</t>
  </si>
  <si>
    <t xml:space="preserve">27 (28/28 d ranked)</t>
  </si>
  <si>
    <t xml:space="preserve">gross SKU units lost ~160</t>
  </si>
  <si>
    <t xml:space="preserve">other same-size pulled SKUs change -21 units (substitution/also OOS)</t>
  </si>
  <si>
    <t xml:space="preserve">brand $/day change during vs 28d before: -839</t>
  </si>
  <si>
    <t xml:space="preserve">E1b Sleephoria King Graphite OOS (inside brand-wide stock-out)</t>
  </si>
  <si>
    <t xml:space="preserve">1.75</t>
  </si>
  <si>
    <t xml:space="preserve">3.54</t>
  </si>
  <si>
    <t xml:space="preserve">1851.0</t>
  </si>
  <si>
    <t xml:space="preserve">19 (28/28 d ranked)</t>
  </si>
  <si>
    <t xml:space="preserve">28 (28/28 d ranked)</t>
  </si>
  <si>
    <t xml:space="preserve">11 (28/28 d ranked)</t>
  </si>
  <si>
    <t xml:space="preserve">2.07</t>
  </si>
  <si>
    <t xml:space="preserve">1899.0</t>
  </si>
  <si>
    <t xml:space="preserve">30 (14/14 d ranked)</t>
  </si>
  <si>
    <t xml:space="preserve">65 (14/14 d ranked)</t>
  </si>
  <si>
    <t xml:space="preserve">0.3</t>
  </si>
  <si>
    <t xml:space="preserve">2.9</t>
  </si>
  <si>
    <t xml:space="preserve">1032.0</t>
  </si>
  <si>
    <t xml:space="preserve">54 (40/40 d ranked)</t>
  </si>
  <si>
    <t xml:space="preserve">50 (40/40 d ranked)</t>
  </si>
  <si>
    <t xml:space="preserve">66 (40/40 d ranked)</t>
  </si>
  <si>
    <t xml:space="preserve">42 (40/40 d ranked)</t>
  </si>
  <si>
    <t xml:space="preserve">2026-07-24</t>
  </si>
  <si>
    <t xml:space="preserve">0.71</t>
  </si>
  <si>
    <t xml:space="preserve">889.0</t>
  </si>
  <si>
    <t xml:space="preserve">55 (14/14 d ranked)</t>
  </si>
  <si>
    <t xml:space="preserve">2026-08-07</t>
  </si>
  <si>
    <t xml:space="preserve">1.89</t>
  </si>
  <si>
    <t xml:space="preserve">1342.0</t>
  </si>
  <si>
    <t xml:space="preserve">52 (28/28 d ranked)</t>
  </si>
  <si>
    <t xml:space="preserve">gross SKU units lost ~58</t>
  </si>
  <si>
    <t xml:space="preserve">other same-size pulled SKUs change -26 units (substitution/also OOS)</t>
  </si>
  <si>
    <t xml:space="preserve">brand $/day change during vs 28d before: -819</t>
  </si>
  <si>
    <t xml:space="preserve">E2 Sleephoria King Graphite OOS since 6 Oct 2026 (low stock from 29 Sep)</t>
  </si>
  <si>
    <t xml:space="preserve">2.57</t>
  </si>
  <si>
    <t xml:space="preserve">2182.0</t>
  </si>
  <si>
    <t xml:space="preserve">16 (28/28 d ranked)</t>
  </si>
  <si>
    <t xml:space="preserve">32 (28/28 d ranked)</t>
  </si>
  <si>
    <t xml:space="preserve">9 (28/28 d ranked)</t>
  </si>
  <si>
    <t xml:space="preserve">2026-09-15</t>
  </si>
  <si>
    <t xml:space="preserve">2.29</t>
  </si>
  <si>
    <t xml:space="preserve">1543.0</t>
  </si>
  <si>
    <t xml:space="preserve">14 (14/14 d ranked)</t>
  </si>
  <si>
    <t xml:space="preserve">7 (14/14 d ranked)</t>
  </si>
  <si>
    <t xml:space="preserve">1.78</t>
  </si>
  <si>
    <t xml:space="preserve">1329.0</t>
  </si>
  <si>
    <t xml:space="preserve">18 (9/9 d ranked)</t>
  </si>
  <si>
    <t xml:space="preserve">23 (9/9 d ranked)</t>
  </si>
  <si>
    <t xml:space="preserve">45 (9/9 d ranked)</t>
  </si>
  <si>
    <t xml:space="preserve">4 (9/9 d ranked)</t>
  </si>
  <si>
    <t xml:space="preserve">gross SKU units lost ~6</t>
  </si>
  <si>
    <t xml:space="preserve">other same-size pulled SKUs change -11 units (substitution/also OOS)</t>
  </si>
  <si>
    <t xml:space="preserve">brand $/day change during vs 28d before: -853</t>
  </si>
  <si>
    <t xml:space="preserve">E5 Sleephoria Cool Grey Queen+King OOS (Jul-&gt;now)</t>
  </si>
  <si>
    <t xml:space="preserve">SL-COOLING-SHEET-QUEEN-COOL-GREY+SL-COOLING-SHEET-KING-COOL-GREY</t>
  </si>
  <si>
    <t xml:space="preserve">6.86</t>
  </si>
  <si>
    <t xml:space="preserve">2.04</t>
  </si>
  <si>
    <t xml:space="preserve">975.0</t>
  </si>
  <si>
    <t xml:space="preserve">56 (28/28 d ranked)</t>
  </si>
  <si>
    <t xml:space="preserve">43 (28/28 d ranked)</t>
  </si>
  <si>
    <t xml:space="preserve">44 (28/28 d ranked)</t>
  </si>
  <si>
    <t xml:space="preserve">2026-06-24</t>
  </si>
  <si>
    <t xml:space="preserve">5.86</t>
  </si>
  <si>
    <t xml:space="preserve">953.0</t>
  </si>
  <si>
    <t xml:space="preserve">88 (14/14 d ranked)</t>
  </si>
  <si>
    <t xml:space="preserve">96 (14/14 d ranked)</t>
  </si>
  <si>
    <t xml:space="preserve">60 (14/14 d ranked)</t>
  </si>
  <si>
    <t xml:space="preserve">0.05</t>
  </si>
  <si>
    <t xml:space="preserve">12.34</t>
  </si>
  <si>
    <t xml:space="preserve">1889.0</t>
  </si>
  <si>
    <t xml:space="preserve">18 (91/92 d ranked)</t>
  </si>
  <si>
    <t xml:space="preserve">65 (91/92 d ranked)</t>
  </si>
  <si>
    <t xml:space="preserve">45 (91/92 d ranked)</t>
  </si>
  <si>
    <t xml:space="preserve">23 (91/92 d ranked)</t>
  </si>
  <si>
    <t xml:space="preserve">gross SKU units lost ~627</t>
  </si>
  <si>
    <t xml:space="preserve">other same-size pulled SKUs change +948 units (substitution/also OOS)</t>
  </si>
  <si>
    <t xml:space="preserve">brand $/day change during vs 28d before: +914</t>
  </si>
  <si>
    <t xml:space="preserve">11 · Major rises and declines — causes</t>
  </si>
  <si>
    <t xml:space="preserve">cause</t>
  </si>
  <si>
    <t xml:space="preserve">2025-10-03..10-12 (launch + PBDD Oct 7-8)</t>
  </si>
  <si>
    <t xml:space="preserve">UP (launch spike)</t>
  </si>
  <si>
    <t xml:space="preserve">Spend $922/day wk Oct 6, CPC $5.15, ad CVR 18.3%, total sales $17.3k/wk; 13 of 14 tracked head terms reached organic top-10 by Oct 9-23 (DataDive RR)</t>
  </si>
  <si>
    <t xml:space="preserve">Launch ranking push on ~100 single-keyword Exact campaigns at $4-6 CPC; PBDD traffic</t>
  </si>
  <si>
    <t xml:space="preserve">Spend/CPC confirmed (CC daily, Sellerboard campaigns); PBDD contribution unverified (no deal in CC deal feed)</t>
  </si>
  <si>
    <t xml:space="preserve">2025-10-13..11-23</t>
  </si>
  <si>
    <t xml:space="preserve">FLAT sales, falling spend</t>
  </si>
  <si>
    <t xml:space="preserve">Spend $4.1k-&gt;$2.3k/wk, total sales $15.6-20.2k/wk, ACoS 36-62%, TACoS 12-25%</t>
  </si>
  <si>
    <t xml:space="preserve">Bids trimmed after rank secured; ranks held 4-7 on cooling sheets/queen</t>
  </si>
  <si>
    <t xml:space="preserve">Confirmed (CPC 5.15-&gt;4.21; RR ranks)</t>
  </si>
  <si>
    <t xml:space="preserve">2025-11-24..12-14</t>
  </si>
  <si>
    <t xml:space="preserve">EFFICIENCY STEP-UP</t>
  </si>
  <si>
    <t xml:space="preserve">CPC -36% wk Nov 24 (4.21-&gt;2.68) and ~2.5 thereafter; ACoS 28.6/24.3/21.5%; total sales held/rose $18.8k-&gt;$26.9k/wk; BFCM inside window</t>
  </si>
  <si>
    <t xml:space="preserve">Bid cut (inferred from CPC; no decision log before 2026-09-27) with no loss of sales: organic rank carried volume</t>
  </si>
  <si>
    <t xml:space="preserve">CPC change confirmed; bid change itself unverified (no log)</t>
  </si>
  <si>
    <t xml:space="preserve">2025-12-15..2026-01-11</t>
  </si>
  <si>
    <t xml:space="preserve">DOWN (trough)</t>
  </si>
  <si>
    <t xml:space="preserve">Total sales -61% and -60% w/w (wk Dec 15, Dec 22); ad CVR 5.5%; spend cut to $51-64/day in Jan; ranks: cooling sheets queen median 67 (Jan), king size cooling sheets 101 (Dec)</t>
  </si>
  <si>
    <t xml:space="preserve">Holiday + winter off-season for cooling sheets; spend cut deepened rank loss</t>
  </si>
  <si>
    <t xml:space="preserve">Spend cut confirmed; seasonality likely (no SQP history for Q4/Q1); stock unverified (inventory history only from 2026-04-08)</t>
  </si>
  <si>
    <t xml:space="preserve">2026-01-12..03-29</t>
  </si>
  <si>
    <t xml:space="preserve">UP (best stretch)</t>
  </si>
  <si>
    <t xml:space="preserve">Total sales $6.2k -&gt; $30.6k/wk (wk Mar 9); spend $358-&gt;$1,437/wk; ACoS 17.7-24%; TACoS 3.9-4.8%; cooling sheets organic #2-4, queen #6-11</t>
  </si>
  <si>
    <t xml:space="preserve">Spring demand + restored Exact spend on size terms at ~$2.2-2.5 CPC; A+ content update 2026-02-28</t>
  </si>
  <si>
    <t xml:space="preserve">Spend/CPC/rank confirmed; seasonality likely; A+ impact unverified (sales already rising wk Feb 16)</t>
  </si>
  <si>
    <t xml:space="preserve">2026-04-06..05-10</t>
  </si>
  <si>
    <t xml:space="preserve">DOWN</t>
  </si>
  <si>
    <t xml:space="preserve">Ad CVR 17.3%-&gt;9.1% (wk Apr 6); total sales -32% wk Apr 20, -25% wk May 4; Sellerboard unit-session% 3.1% (Mar) -&gt; 2.5% (Apr) on 63k sessions</t>
  </si>
  <si>
    <t xml:space="preserve">King White out of stock all April (0 units from 2026-04-08); hero stock (Queen/King Graphite) running down; main image changed 2026-04-27</t>
  </si>
  <si>
    <t xml:space="preserve">King White OOS confirmed; hero rundown confirmed; image effect unverified</t>
  </si>
  <si>
    <t xml:space="preserve">2026-05-18..07-12</t>
  </si>
  <si>
    <t xml:space="preserve">DOWN (stockout)</t>
  </si>
  <si>
    <t xml:space="preserve">Queen Graphite 0 units 2026-05-24..07-09; King Graphite 0 units 2026-06-01..07-10; King White 0 to 07-12; Jun ACoS 36.4%, ad CVR 9.9%; ranks cooling sheets 19-&gt;42-&gt;101, queen 24-&gt;42-&gt;101; King-advertised campaigns ACoS 76% in Jun</t>
  </si>
  <si>
    <t xml:space="preserve">Stockout of the two hero children that ~46% of ad spend advertised; ads not re-pointed to in-stock colours</t>
  </si>
  <si>
    <t xml:space="preserve">Confirmed (Sellerboard invhist + CC campaigns)</t>
  </si>
  <si>
    <t xml:space="preserve">2026-07-06..07-19 (Prime Day month)</t>
  </si>
  <si>
    <t xml:space="preserve">DOWN spend / flat sales</t>
  </si>
  <si>
    <t xml:space="preserve">Spend -62% to ~$40-55/day; total sales $5.8-6.0k/wk; no deal in CC deal feed</t>
  </si>
  <si>
    <t xml:space="preserve">Spend paused through stockout; Prime Day not exploited (heroes restocked only Jul 9-12)</t>
  </si>
  <si>
    <t xml:space="preserve">Confirmed for spend/stock; Prime Day dates not in data</t>
  </si>
  <si>
    <t xml:space="preserve">2026-07-20..08-16</t>
  </si>
  <si>
    <t xml:space="preserve">RECOVERY (efficient)</t>
  </si>
  <si>
    <t xml:space="preserve">ACoS 12.6-20%, ad CVR 16-19% on $40-80/day; total sales $7.8k-&gt;$14.8k/wk</t>
  </si>
  <si>
    <t xml:space="preserve">Restock (Queen Graphite 234-577, King White 95-652 units) + low bids; branded/defensive 53% of July spend</t>
  </si>
  <si>
    <t xml:space="preserve">Confirmed</t>
  </si>
  <si>
    <t xml:space="preserve">2026-08-17..09-06</t>
  </si>
  <si>
    <t xml:space="preserve">UP (re-launch push)</t>
  </si>
  <si>
    <t xml:space="preserve">Spend +335% wk Aug 17 then $3.2k/wk; CPC 1.46-&gt;2.26; campaigns with spend 13 (Jul) -&gt; 145 (Aug); total sales peak $23.2k wk Aug 31; cooling sheets organic back to #6-10</t>
  </si>
  <si>
    <t xml:space="preserve">Re-launch restructure (SCS4 naming, Phrase/Broad/Auto added, Exact re-funded); price raised 2026-08-07/08-18/08-24 (+$5)</t>
  </si>
  <si>
    <t xml:space="preserve">Spend/campaign count confirmed; price changes confirmed (CC listing events; Sellerboard ASP $62.06 Jul -&gt; $70.82 Aug -&gt; $77.58 Sep)</t>
  </si>
  <si>
    <t xml:space="preserve">2026-09-21..10-07</t>
  </si>
  <si>
    <t xml:space="preserve">Total sales -42% wk Sep 21; ad CVR 6.6-7.4%; ACoS 34-39%; CTR 0.55-0.69%; King Graphite 24 -&gt; 0 units (OOS from 2026-10-06); cooling sheets queen rank 45 in Oct</t>
  </si>
  <si>
    <t xml:space="preserve">End of cooling-sheet season + price now ~27% above launch ASP + King Graphite stockout; main image changed 2026-09-02</t>
  </si>
  <si>
    <t xml:space="preserve">Stockout and price confirmed; seasonality likely; image unverified; PBDD Oct 2026 lift not visible in data to Oct 7 (dates unverified)</t>
  </si>
  <si>
    <t xml:space="preserve">12 · Keyword performance (lifetime search-term/target history) — feeds Main_Strategy</t>
  </si>
  <si>
    <t xml:space="preserve">Command center ppc_keywords, Oct 2025 → Oct 2026. Rank columns: median = PPC-period median organic rank; RR = Rank Radar daily crawl.</t>
  </si>
  <si>
    <t xml:space="preserve">syntax</t>
  </si>
  <si>
    <t xml:space="preserve">searchVolume</t>
  </si>
  <si>
    <t xml:space="preserve">median_rank</t>
  </si>
  <si>
    <t xml:space="preserve">RR best rank</t>
  </si>
  <si>
    <t xml:space="preserve">RR first top-10</t>
  </si>
  <si>
    <t xml:space="preserve">RR now (Oct-26)</t>
  </si>
  <si>
    <t xml:space="preserve">sleephoria cooling sheets</t>
  </si>
  <si>
    <t xml:space="preserve">sleephoria cooling comforter</t>
  </si>
  <si>
    <t xml:space="preserve">stay cool sheets</t>
  </si>
  <si>
    <t xml:space="preserve">sleephoria cooling pillowcases</t>
  </si>
  <si>
    <t xml:space="preserve">breescape cooling sheets</t>
  </si>
  <si>
    <t xml:space="preserve">sleephoria cooling sheets king</t>
  </si>
  <si>
    <t xml:space="preserve">sleephoria 3/4 pc cooling sheets - breezeweave bed sheets for hot sleepers &amp; deep, cool rest - cloud soft, silky smooth, 16 in deep pocket, ultra durable</t>
  </si>
  <si>
    <t xml:space="preserve">blue</t>
  </si>
  <si>
    <t xml:space="preserve">sleephoria sheets</t>
  </si>
  <si>
    <t xml:space="preserve">sleephoria cooling sheets queen</t>
  </si>
  <si>
    <t xml:space="preserve">cool queen sheets</t>
  </si>
  <si>
    <t xml:space="preserve">cooling sheets sleephoria</t>
  </si>
  <si>
    <t xml:space="preserve">purple cooling sheets</t>
  </si>
  <si>
    <t xml:space="preserve">sleephoria pillow cases</t>
  </si>
  <si>
    <t xml:space="preserve">sleephoria 3/4 pc cooling sheets - breezeweave bed sheets for hot sleepers &amp; deep,</t>
  </si>
  <si>
    <t xml:space="preserve">rest cooling sheets</t>
  </si>
  <si>
    <t xml:space="preserve">cooling bed sheets for hot sleepers</t>
  </si>
  <si>
    <t xml:space="preserve">sleephoria cooling sheets king size</t>
  </si>
  <si>
    <t xml:space="preserve">cool sheets full</t>
  </si>
  <si>
    <t xml:space="preserve">cooling queen size sheets</t>
  </si>
  <si>
    <t xml:space="preserve">sleephoria cooling fitted sheet</t>
  </si>
  <si>
    <t xml:space="preserve">sleephoria - 4 pc breezeweave cooling bed sheets - nylon + spandex, cloud soft, silky smooth, 16 in deep pocket, ultra durable, skin-friendly, machine washable for hot sleepers</t>
  </si>
  <si>
    <t xml:space="preserve">cooling sheets in full-size</t>
  </si>
  <si>
    <t xml:space="preserve">purple sheets</t>
  </si>
  <si>
    <t xml:space="preserve">cold sheets queen</t>
  </si>
  <si>
    <t xml:space="preserve">bedsure cooling sheets</t>
  </si>
  <si>
    <t xml:space="preserve">king size cool sheets</t>
  </si>
  <si>
    <t xml:space="preserve">twin cooling sheet</t>
  </si>
  <si>
    <t xml:space="preserve">cold bed sheets queen</t>
  </si>
  <si>
    <t xml:space="preserve">sleephoria full</t>
  </si>
  <si>
    <t xml:space="preserve">cozy bliss cooling sheets</t>
  </si>
  <si>
    <t xml:space="preserve">cooling queen sheet</t>
  </si>
  <si>
    <t xml:space="preserve">under the sheets cooling fan</t>
  </si>
  <si>
    <t xml:space="preserve">king size cooling sheet</t>
  </si>
  <si>
    <t xml:space="preserve">cooling full sheets</t>
  </si>
  <si>
    <t xml:space="preserve">sleepphoria cooling sheets</t>
  </si>
  <si>
    <t xml:space="preserve">cool bed sheets king size</t>
  </si>
  <si>
    <t xml:space="preserve">breathable cooling sheets</t>
  </si>
  <si>
    <t xml:space="preserve">bed cooling fan under sheets</t>
  </si>
  <si>
    <t xml:space="preserve">cooling sheets cal king</t>
  </si>
  <si>
    <t xml:space="preserve">california king cool sheets</t>
  </si>
  <si>
    <t xml:space="preserve">california king cooling sheet</t>
  </si>
  <si>
    <t xml:space="preserve">cooling sheets king size for hot sleepers</t>
  </si>
  <si>
    <t xml:space="preserve">king cooling sheet</t>
  </si>
  <si>
    <t xml:space="preserve">sleephoria cooling sheets full</t>
  </si>
  <si>
    <t xml:space="preserve">cooling sheets deep pocket</t>
  </si>
  <si>
    <t xml:space="preserve">ugg cooling sheets</t>
  </si>
  <si>
    <t xml:space="preserve">sleephoria cooling comforter king</t>
  </si>
  <si>
    <t xml:space="preserve">sleephoria cooling comforter king size</t>
  </si>
  <si>
    <t xml:space="preserve">sleephoria cooling blanket</t>
  </si>
  <si>
    <t xml:space="preserve">king size cooling comforter</t>
  </si>
  <si>
    <t xml:space="preserve">bed jet cooling system</t>
  </si>
  <si>
    <t xml:space="preserve">sleephoria cooling pillow cases</t>
  </si>
  <si>
    <t xml:space="preserve">silver infused bed sheets</t>
  </si>
  <si>
    <t xml:space="preserve">the best cooling sheets</t>
  </si>
  <si>
    <t xml:space="preserve">cool sheets king</t>
  </si>
  <si>
    <t xml:space="preserve">cooling sheets hot sleepers</t>
  </si>
  <si>
    <t xml:space="preserve">sleeporia cooling sheets</t>
  </si>
  <si>
    <t xml:space="preserve">highest rated cooling bed sheets</t>
  </si>
  <si>
    <t xml:space="preserve">purple sheets queen</t>
  </si>
  <si>
    <t xml:space="preserve">sleephoria cooling sheets california king</t>
  </si>
  <si>
    <t xml:space="preserve">cool sheets queen size</t>
  </si>
  <si>
    <t xml:space="preserve">sleephoria king</t>
  </si>
  <si>
    <t xml:space="preserve">sleephoria top sheet</t>
  </si>
  <si>
    <t xml:space="preserve">phf cooling sheets</t>
  </si>
  <si>
    <t xml:space="preserve">cooling comforter king size</t>
  </si>
  <si>
    <t xml:space="preserve">cooling comforter sleephoria</t>
  </si>
  <si>
    <t xml:space="preserve">cooling queen bed sheets</t>
  </si>
  <si>
    <t xml:space="preserve">deep pocket cooling king sheet set</t>
  </si>
  <si>
    <t xml:space="preserve">cooling sheet full size</t>
  </si>
  <si>
    <t xml:space="preserve">cooling bed sheets king size</t>
  </si>
  <si>
    <t xml:space="preserve">queen size cooling bed sheets</t>
  </si>
  <si>
    <t xml:space="preserve">rest sheets</t>
  </si>
  <si>
    <t xml:space="preserve">king size sheets set deep pockets cooling</t>
  </si>
  <si>
    <t xml:space="preserve">sleephoria cooling flat sheet</t>
  </si>
  <si>
    <t xml:space="preserve">king bed cooling sheets</t>
  </si>
  <si>
    <t xml:space="preserve">cooling sheets set</t>
  </si>
  <si>
    <t xml:space="preserve">sleep essentials</t>
  </si>
  <si>
    <t xml:space="preserve">sleephoria cooling pillow case</t>
  </si>
  <si>
    <t xml:space="preserve">cool sheets full size</t>
  </si>
  <si>
    <t xml:space="preserve">purple bed sheets</t>
  </si>
  <si>
    <t xml:space="preserve">cooling fitted sheet for hot sleepers</t>
  </si>
  <si>
    <t xml:space="preserve">moisture wicking cooling sheets</t>
  </si>
  <si>
    <t xml:space="preserve">cooling bed sheets queen size</t>
  </si>
  <si>
    <t xml:space="preserve">cal king cool sheets</t>
  </si>
  <si>
    <t xml:space="preserve">sleephoria pillowcases</t>
  </si>
  <si>
    <t xml:space="preserve">sleephoria king cooling sheets</t>
  </si>
  <si>
    <t xml:space="preserve">sleephoria cooling pillow cases for hot sleepers</t>
  </si>
  <si>
    <t xml:space="preserve">sleephoria comforter</t>
  </si>
  <si>
    <t xml:space="preserve">cooling sheet set king</t>
  </si>
  <si>
    <t xml:space="preserve">best cool sheets for hot sleepers</t>
  </si>
  <si>
    <t xml:space="preserve">cooling pad for bed</t>
  </si>
  <si>
    <t xml:space="preserve">best cooling sheet</t>
  </si>
  <si>
    <t xml:space="preserve">cooling queen size bed sheets</t>
  </si>
  <si>
    <t xml:space="preserve">cooling sheet full</t>
  </si>
  <si>
    <t xml:space="preserve">sleephoria king sheets</t>
  </si>
  <si>
    <t xml:space="preserve">sleephoria sheet set</t>
  </si>
  <si>
    <t xml:space="preserve">sabanas frias</t>
  </si>
  <si>
    <t xml:space="preserve">cooling sheet sets</t>
  </si>
  <si>
    <t xml:space="preserve">sleephoria cooling sheets - breezeweave 4 pc queen size cooling bed sheets for hot sleepers &amp; deep, cool rest - cloud soft, silky smooth, 16 in deep pocket, ultra</t>
  </si>
  <si>
    <t xml:space="preserve">sleephoria cooling comforter queen</t>
  </si>
  <si>
    <t xml:space="preserve">sleephoria breezeweave cooling sheets</t>
  </si>
  <si>
    <t xml:space="preserve">antimicrobial sheets</t>
  </si>
  <si>
    <t xml:space="preserve">sleephoria cooling fitted sheet king</t>
  </si>
  <si>
    <t xml:space="preserve">sleephoria flat sheet</t>
  </si>
  <si>
    <t xml:space="preserve">split king cooling sheets</t>
  </si>
  <si>
    <t xml:space="preserve">cooling sheets queen sleephoria</t>
  </si>
  <si>
    <t xml:space="preserve">sleephoria cooling sheets split king</t>
  </si>
  <si>
    <t xml:space="preserve">purple bed sheets queen</t>
  </si>
  <si>
    <t xml:space="preserve">cool full size sheets</t>
  </si>
  <si>
    <t xml:space="preserve">cool bed sheets full size</t>
  </si>
  <si>
    <t xml:space="preserve">sheets that cool</t>
  </si>
  <si>
    <t xml:space="preserve">queen cooling bed sheets</t>
  </si>
  <si>
    <t xml:space="preserve">sleephoria sheet</t>
  </si>
  <si>
    <t xml:space="preserve">extra deep pocket king sheets cooling</t>
  </si>
  <si>
    <t xml:space="preserve">king size bed sheets set cooling</t>
  </si>
  <si>
    <t xml:space="preserve">queen sheet sets cooling</t>
  </si>
  <si>
    <t xml:space="preserve">queen size cooling sheets for hot sleepers</t>
  </si>
  <si>
    <t xml:space="preserve">cool bed sheets full</t>
  </si>
  <si>
    <t xml:space="preserve">bedding comforters</t>
  </si>
  <si>
    <t xml:space="preserve">cooling sheets california king deep pocket</t>
  </si>
  <si>
    <t xml:space="preserve">king size cooling sheet set</t>
  </si>
  <si>
    <t xml:space="preserve">twin xl cooling sheets</t>
  </si>
  <si>
    <t xml:space="preserve">cooling sheets deep pocket queen</t>
  </si>
  <si>
    <t xml:space="preserve">sabanas frias queen</t>
  </si>
  <si>
    <t xml:space="preserve">breescape cooling sheet set</t>
  </si>
  <si>
    <t xml:space="preserve">sleephoria cooling sheets twin</t>
  </si>
  <si>
    <t xml:space="preserve">bed sheets full size cooling</t>
  </si>
  <si>
    <t xml:space="preserve">cooling sheets queen size bed set</t>
  </si>
  <si>
    <t xml:space="preserve">cool bedsheets</t>
  </si>
  <si>
    <t xml:space="preserve">rest cooling sheets queen</t>
  </si>
  <si>
    <t xml:space="preserve">california king size cooling sheets</t>
  </si>
  <si>
    <t xml:space="preserve">sleephoria breezeweave</t>
  </si>
  <si>
    <t xml:space="preserve">sleephoria cooling sheets - breezeweave 4 pc queen size cooling bed sheets for hot sleepers &amp; deep, cool rest - cloud soft, silky smooth, 16 in deep pocket, ultra durable regal</t>
  </si>
  <si>
    <t xml:space="preserve">twin size cooling sheet</t>
  </si>
  <si>
    <t xml:space="preserve">purple cooling sheets queen</t>
  </si>
  <si>
    <t xml:space="preserve">twin cool sheets</t>
  </si>
  <si>
    <t xml:space="preserve">cold sheet</t>
  </si>
  <si>
    <t xml:space="preserve">cooling sheets queen for hot sleepers</t>
  </si>
  <si>
    <t xml:space="preserve">bed cooling sheets</t>
  </si>
  <si>
    <t xml:space="preserve">cooling sheets twin xl</t>
  </si>
  <si>
    <t xml:space="preserve">ugg cooling sheets king</t>
  </si>
  <si>
    <t xml:space="preserve">mellow cooling sheets</t>
  </si>
  <si>
    <t xml:space="preserve">sleephoria california king</t>
  </si>
  <si>
    <t xml:space="preserve">breezeweave cooling sheets</t>
  </si>
  <si>
    <t xml:space="preserve">sleephoria cold sheets</t>
  </si>
  <si>
    <t xml:space="preserve">sleephoria cooling sheet</t>
  </si>
  <si>
    <t xml:space="preserve">cool queen sheet</t>
  </si>
  <si>
    <t xml:space="preserve">bambo cooling sheets</t>
  </si>
  <si>
    <t xml:space="preserve">sleephoria - 4 pc breezeweave cooling bed sheets</t>
  </si>
  <si>
    <t xml:space="preserve">purple deep pocket sheets</t>
  </si>
  <si>
    <t xml:space="preserve">sleephoria cooling sheets light grey</t>
  </si>
  <si>
    <t xml:space="preserve">sleephoria store</t>
  </si>
  <si>
    <t xml:space="preserve">sleephoria cooling sheets twin xl</t>
  </si>
  <si>
    <t xml:space="preserve">sleephoria cooling flat sheets</t>
  </si>
  <si>
    <t xml:space="preserve">queen bedsheets cooling</t>
  </si>
  <si>
    <t xml:space="preserve">king cool sheets</t>
  </si>
  <si>
    <t xml:space="preserve">king size cotton percale cooling sheets</t>
  </si>
  <si>
    <t xml:space="preserve">cooling sheets with deep pockets</t>
  </si>
  <si>
    <t xml:space="preserve">sleephoria cooling</t>
  </si>
  <si>
    <t xml:space="preserve">zippered sheets</t>
  </si>
  <si>
    <t xml:space="preserve">rest cooling sheets twin xl</t>
  </si>
  <si>
    <t xml:space="preserve">cooling bed for cats</t>
  </si>
  <si>
    <t xml:space="preserve">bed sheet with borders</t>
  </si>
  <si>
    <t xml:space="preserve">cooling queen bed set</t>
  </si>
  <si>
    <t xml:space="preserve">queen bed sheet set cooling</t>
  </si>
  <si>
    <t xml:space="preserve">sleephoria queen</t>
  </si>
  <si>
    <t xml:space="preserve">fitted cooling sheet</t>
  </si>
  <si>
    <t xml:space="preserve">sleephoria pillowcase</t>
  </si>
  <si>
    <t xml:space="preserve">cooling sheets for full size</t>
  </si>
  <si>
    <t xml:space="preserve">sleepphoria</t>
  </si>
  <si>
    <t xml:space="preserve">queen size deep pocket cooling sheets</t>
  </si>
  <si>
    <t xml:space="preserve">￼ sleephoria 3/4 pc cooling sheets - breezeweave bed sheets for hot sleepers &amp; deep, cool rest - cloud soft, silky smooth, 16 in deep pocket, ultra durable</t>
  </si>
  <si>
    <t xml:space="preserve">sleephoria cool sheets</t>
  </si>
  <si>
    <t xml:space="preserve">fitted sheet queen</t>
  </si>
  <si>
    <t xml:space="preserve">sleephoria flat sheet king</t>
  </si>
  <si>
    <t xml:space="preserve">sleeptopia</t>
  </si>
  <si>
    <t xml:space="preserve">columbia cooling sheets</t>
  </si>
  <si>
    <t xml:space="preserve">extra deep pocket queen sheets</t>
  </si>
  <si>
    <t xml:space="preserve">sleephoria cooling sheets - breezeweave 4 pc queen size</t>
  </si>
  <si>
    <t xml:space="preserve">mellow sheets</t>
  </si>
  <si>
    <t xml:space="preserve">king size sheets set</t>
  </si>
  <si>
    <t xml:space="preserve">sleephoria quilt</t>
  </si>
  <si>
    <t xml:space="preserve">cooling sheets queen purple</t>
  </si>
  <si>
    <t xml:space="preserve">sleephoria standard pillowcases</t>
  </si>
  <si>
    <t xml:space="preserve">cooling bed sets</t>
  </si>
  <si>
    <t xml:space="preserve">cooling comforter queen size</t>
  </si>
  <si>
    <t xml:space="preserve">coldest bed sheets</t>
  </si>
  <si>
    <t xml:space="preserve">king size bed set cooling</t>
  </si>
  <si>
    <t xml:space="preserve">cooling sheet queen size</t>
  </si>
  <si>
    <t xml:space="preserve">silver infused cooling bed sheets</t>
  </si>
  <si>
    <t xml:space="preserve">cool sheet sets</t>
  </si>
  <si>
    <t xml:space="preserve">extra deep pocket queen sheets cooling</t>
  </si>
  <si>
    <t xml:space="preserve">sleephoria deep pocket cooling sheets</t>
  </si>
  <si>
    <t xml:space="preserve">cooling sheet sleephoria</t>
  </si>
  <si>
    <t xml:space="preserve">full size q</t>
  </si>
  <si>
    <t xml:space="preserve">cooling sheets for menopause night sweats</t>
  </si>
  <si>
    <t xml:space="preserve">baby registry search</t>
  </si>
  <si>
    <t xml:space="preserve">king size deep pocket cooling sheets</t>
  </si>
  <si>
    <t xml:space="preserve">cooling sheets queen deep pocket</t>
  </si>
  <si>
    <t xml:space="preserve">cooling king size sheet set</t>
  </si>
  <si>
    <t xml:space="preserve">sleephoria king comforter</t>
  </si>
  <si>
    <t xml:space="preserve">king cooling bed sheets</t>
  </si>
  <si>
    <t xml:space="preserve">cool sheet full size</t>
  </si>
  <si>
    <t xml:space="preserve">cooling bedsheet</t>
  </si>
  <si>
    <t xml:space="preserve">artic chill sheets twin xl</t>
  </si>
  <si>
    <t xml:space="preserve">fsa sheets</t>
  </si>
  <si>
    <t xml:space="preserve">sleephoria queen sheets</t>
  </si>
  <si>
    <t xml:space="preserve">￼california king cooling sheets</t>
  </si>
  <si>
    <t xml:space="preserve">king bedsheets cooling</t>
  </si>
  <si>
    <t xml:space="preserve">cooling bed sheet king</t>
  </si>
  <si>
    <t xml:space="preserve">sleephoria cooling sheet set</t>
  </si>
  <si>
    <t xml:space="preserve">sleephoria king sheet set</t>
  </si>
  <si>
    <t xml:space="preserve">cooling sheets deep pockets</t>
  </si>
  <si>
    <t xml:space="preserve">sleephoria black comforter</t>
  </si>
  <si>
    <t xml:space="preserve">black cooling sheets queen</t>
  </si>
  <si>
    <t xml:space="preserve">breescape cooling sheets king</t>
  </si>
  <si>
    <t xml:space="preserve">sleephoria bamboo cooling sheets</t>
  </si>
  <si>
    <t xml:space="preserve">sleephoria cooling curved pillowcase</t>
  </si>
  <si>
    <t xml:space="preserve">sleephoria fitted sheet</t>
  </si>
  <si>
    <t xml:space="preserve">sleephoria cool grey</t>
  </si>
  <si>
    <t xml:space="preserve">sleephoria cooling sheets - breezeweave 4 pc queen size cooling bed sheets for hot sleepers &amp; deep, cool rest - cloud soft, silky smooth, 16 in deep pocket</t>
  </si>
  <si>
    <t xml:space="preserve">cooling sheets queen 1800 thread count</t>
  </si>
  <si>
    <t xml:space="preserve">sleephoria cooling sheets full size</t>
  </si>
  <si>
    <t xml:space="preserve">sleephoria cooling fitted sheet and pillow cases</t>
  </si>
  <si>
    <t xml:space="preserve">purple queen sheets</t>
  </si>
  <si>
    <t xml:space="preserve">sleephoria cooling comforter set</t>
  </si>
  <si>
    <t xml:space="preserve">sleephoria cooling pillowcase purple</t>
  </si>
  <si>
    <t xml:space="preserve">sleephoria cooling sheets - breezeweave 4 pc queen size cooling bed sheets for hot sleepers &amp; deep, cool rest - cloud soft, silky smooth, 16 in deep pocket, ultra durable (regal purple)</t>
  </si>
  <si>
    <t xml:space="preserve">sleephoria cooling fitted sheets</t>
  </si>
  <si>
    <t xml:space="preserve">king cooling sheets deep pockets</t>
  </si>
  <si>
    <t xml:space="preserve">king size cooling bed sheets</t>
  </si>
  <si>
    <t xml:space="preserve">fitted bed sheets</t>
  </si>
  <si>
    <t xml:space="preserve">silver infused antimicrobial sheets</t>
  </si>
  <si>
    <t xml:space="preserve">sleephoria cooling light pink</t>
  </si>
  <si>
    <t xml:space="preserve">90 below</t>
  </si>
  <si>
    <t xml:space="preserve">cooling sheets for queen</t>
  </si>
  <si>
    <t xml:space="preserve">rest® evercool® cooling comforter, full/queen, blanket for hot sleepers, all season bedding to keep cool for night sweats, breathable lightweight blanket, 90"x90" inches, cool gray</t>
  </si>
  <si>
    <t xml:space="preserve">sleephoria 4 pc cooling sheets california king size bed set - temperature regulating bedding for hot sleepers - deep pocket cooling bed sheets for night sweats and comfort</t>
  </si>
  <si>
    <t xml:space="preserve">sleephoria king pillowcases cool gray</t>
  </si>
  <si>
    <t xml:space="preserve">sleephoria king size flat sheet</t>
  </si>
  <si>
    <t xml:space="preserve">slumber solutions</t>
  </si>
  <si>
    <t xml:space="preserve">full size sheet cooling</t>
  </si>
  <si>
    <t xml:space="preserve">deep pocket cooling sheets queen</t>
  </si>
  <si>
    <t xml:space="preserve">extreme cooling sheets</t>
  </si>
  <si>
    <t xml:space="preserve">queen size cooling sheets deep pocket</t>
  </si>
  <si>
    <t xml:space="preserve">full size bed sheet cooling</t>
  </si>
  <si>
    <t xml:space="preserve">sleephoria - 4 pc breezeweave cooling bed sheets - nylon + spandex, cloud soft, silky smooth, 16 in deep pocket, ultra durable, skin-friendly, machine washable for hot sleeper</t>
  </si>
  <si>
    <t xml:space="preserve">sleephoria pillow case</t>
  </si>
  <si>
    <t xml:space="preserve">sleephoria twin</t>
  </si>
  <si>
    <t xml:space="preserve">sleephoria full size</t>
  </si>
  <si>
    <t xml:space="preserve">puresnoo</t>
  </si>
  <si>
    <t xml:space="preserve">purple deep pocket queen sheets</t>
  </si>
  <si>
    <t xml:space="preserve">sleephoria sheets queen</t>
  </si>
  <si>
    <t xml:space="preserve">sleephoria cooling sheet king</t>
  </si>
  <si>
    <t xml:space="preserve">sleephoria pink pillow cases</t>
  </si>
  <si>
    <t xml:space="preserve">good cooling sheets</t>
  </si>
  <si>
    <t xml:space="preserve">cooling bed sheets california king</t>
  </si>
  <si>
    <t xml:space="preserve">sleephoria pink</t>
  </si>
  <si>
    <t xml:space="preserve">king deep pocket cooling sheet set</t>
  </si>
  <si>
    <t xml:space="preserve">sleephoria king pillow cases</t>
  </si>
  <si>
    <t xml:space="preserve">sleephoria blanket</t>
  </si>
  <si>
    <t xml:space="preserve">sleephoria coolingsheets queen</t>
  </si>
  <si>
    <t xml:space="preserve">king sheets deep pockets cooling</t>
  </si>
  <si>
    <t xml:space="preserve">king size cool sheets set</t>
  </si>
  <si>
    <t xml:space="preserve">king size sheet set cooling</t>
  </si>
  <si>
    <t xml:space="preserve">green cooling sheets</t>
  </si>
  <si>
    <t xml:space="preserve">cooling sheets for queen size</t>
  </si>
  <si>
    <t xml:space="preserve">cooling sheet for hot sleepers</t>
  </si>
  <si>
    <t xml:space="preserve">top rated cooling sheets</t>
  </si>
  <si>
    <t xml:space="preserve">cooling sheet cal king</t>
  </si>
  <si>
    <t xml:space="preserve">cool sheets for summer</t>
  </si>
  <si>
    <t xml:space="preserve">sleephoria cooling comforter california king</t>
  </si>
  <si>
    <t xml:space="preserve">cooling twin bed sheets</t>
  </si>
  <si>
    <t xml:space="preserve">￼ sleephoria 3/4 pc cooling sheets - breezeweave bed sheets for hot sleepers &amp; deep,</t>
  </si>
  <si>
    <t xml:space="preserve">queen bed sheet cooling</t>
  </si>
  <si>
    <t xml:space="preserve">royal purple silver infused cooling sheets</t>
  </si>
  <si>
    <t xml:space="preserve">miracle sheets</t>
  </si>
  <si>
    <t xml:space="preserve">sleephoria king size top sheet</t>
  </si>
  <si>
    <t xml:space="preserve">silver cooling sheets</t>
  </si>
  <si>
    <t xml:space="preserve">dark purple king sheets deep pocket</t>
  </si>
  <si>
    <t xml:space="preserve">queen size bed</t>
  </si>
  <si>
    <t xml:space="preserve">bedsheets that keep you cool</t>
  </si>
  <si>
    <t xml:space="preserve">king size comforter set</t>
  </si>
  <si>
    <t xml:space="preserve">cooling mattress topper</t>
  </si>
  <si>
    <t xml:space="preserve">sleephoria cooling king size sheets set</t>
  </si>
  <si>
    <t xml:space="preserve">cool sheets twin</t>
  </si>
  <si>
    <t xml:space="preserve">queen cooling sheets for hot sleepers</t>
  </si>
  <si>
    <t xml:space="preserve">purple queen cooling sheets set</t>
  </si>
  <si>
    <t xml:space="preserve">queen mattress cooling sheets</t>
  </si>
  <si>
    <t xml:space="preserve">tencel sheets</t>
  </si>
  <si>
    <t xml:space="preserve">cooling fitted sheets</t>
  </si>
  <si>
    <t xml:space="preserve">bed ac</t>
  </si>
  <si>
    <t xml:space="preserve">cooling bed fan for hot sleepers</t>
  </si>
  <si>
    <t xml:space="preserve">cooling bedding</t>
  </si>
  <si>
    <t xml:space="preserve">cooling blanket and sheets set</t>
  </si>
  <si>
    <t xml:space="preserve">cooling dog bed</t>
  </si>
  <si>
    <t xml:space="preserve">emerald green cooling sheets</t>
  </si>
  <si>
    <t xml:space="preserve">evercool sheets</t>
  </si>
  <si>
    <t xml:space="preserve">18 inch deep pocket queen sheets cooling</t>
  </si>
  <si>
    <t xml:space="preserve">cooling black sheets</t>
  </si>
  <si>
    <t xml:space="preserve">sleephoria pillow cases standard black</t>
  </si>
  <si>
    <t xml:space="preserve">cooling top sheet sleephoria</t>
  </si>
  <si>
    <t xml:space="preserve">sleephora cooling sheets</t>
  </si>
  <si>
    <t xml:space="preserve">sleephoria cooling comforter twin</t>
  </si>
  <si>
    <t xml:space="preserve">menopause cooling sheets</t>
  </si>
  <si>
    <t xml:space="preserve">cooling sheet deep pocket</t>
  </si>
  <si>
    <t xml:space="preserve">sleephoria cooling purple pillowcases</t>
  </si>
  <si>
    <t xml:space="preserve">cooling comforter and sheets</t>
  </si>
  <si>
    <t xml:space="preserve">silvery sheets</t>
  </si>
  <si>
    <t xml:space="preserve">cooling fitted sheet and pillowcases full</t>
  </si>
  <si>
    <t xml:space="preserve">cooling light grey sheets twin xl</t>
  </si>
  <si>
    <t xml:space="preserve">cooling sheets queen set</t>
  </si>
  <si>
    <t xml:space="preserve">sleephoria cooling fitted sheet twin xl</t>
  </si>
  <si>
    <t xml:space="preserve">soft full size sheets cooling</t>
  </si>
  <si>
    <t xml:space="preserve">bed fan under sheets cooling</t>
  </si>
  <si>
    <t xml:space="preserve">king size comforter set with sheets cooling</t>
  </si>
  <si>
    <t xml:space="preserve">twin xl sheets cooling</t>
  </si>
  <si>
    <t xml:space="preserve">ultra chill cooling sheets</t>
  </si>
  <si>
    <t xml:space="preserve">hot pink cooling sheets</t>
  </si>
  <si>
    <t xml:space="preserve">cooling sheets and pillow cases</t>
  </si>
  <si>
    <t xml:space="preserve">top 10 cooling sheets</t>
  </si>
  <si>
    <t xml:space="preserve">cotton cooling sheets</t>
  </si>
  <si>
    <t xml:space="preserve">sheets queen size cooling</t>
  </si>
  <si>
    <t xml:space="preserve">queen deep pocket cooling sheets</t>
  </si>
  <si>
    <t xml:space="preserve">cooling sheets king size hot sleepers</t>
  </si>
  <si>
    <t xml:space="preserve">cooling sheet california king</t>
  </si>
  <si>
    <t xml:space="preserve">cooling fitted sheets for hot sleepers</t>
  </si>
  <si>
    <t xml:space="preserve">pink cooling sheets</t>
  </si>
  <si>
    <t xml:space="preserve">full bed cooling sheets</t>
  </si>
  <si>
    <t xml:space="preserve">cooling bed set king size</t>
  </si>
  <si>
    <t xml:space="preserve">cool bed set king</t>
  </si>
  <si>
    <t xml:space="preserve">queen bed sheet set cool</t>
  </si>
  <si>
    <t xml:space="preserve">cool queen size sheets</t>
  </si>
  <si>
    <t xml:space="preserve">king size deep pockets cooling sheets</t>
  </si>
  <si>
    <t xml:space="preserve">below zero cooling sheets</t>
  </si>
  <si>
    <t xml:space="preserve">cooling deep pocket king sheets</t>
  </si>
  <si>
    <t xml:space="preserve">cool bed sheets queen size</t>
  </si>
  <si>
    <t xml:space="preserve">cooling king sheet sets</t>
  </si>
  <si>
    <t xml:space="preserve">cooling king sheets set</t>
  </si>
  <si>
    <t xml:space="preserve">cooling sheet set king size</t>
  </si>
  <si>
    <t xml:space="preserve">cooling sheets full xl</t>
  </si>
  <si>
    <t xml:space="preserve">rest evercool cooling sheets</t>
  </si>
  <si>
    <t xml:space="preserve">bed sheets for hot sleepers</t>
  </si>
  <si>
    <t xml:space="preserve">sleephoria cooling sheets deep pockets</t>
  </si>
  <si>
    <t xml:space="preserve">patterned cooling sheets</t>
  </si>
  <si>
    <t xml:space="preserve">polyester cooling sheets</t>
  </si>
  <si>
    <t xml:space="preserve">q-max cooling sheets</t>
  </si>
  <si>
    <t xml:space="preserve">silk cooling sheets</t>
  </si>
  <si>
    <t xml:space="preserve">split top king cooling sheets</t>
  </si>
  <si>
    <t xml:space="preserve">deep pocket full size cooling sheets</t>
  </si>
  <si>
    <t xml:space="preserve">california king cooling bed sheets</t>
  </si>
  <si>
    <t xml:space="preserve">cooling sheets and pillow cases king</t>
  </si>
  <si>
    <t xml:space="preserve">extra deep pockets cooling sheets</t>
  </si>
  <si>
    <t xml:space="preserve">miracle brand cooling sheets</t>
  </si>
  <si>
    <t xml:space="preserve">nylon cooling sheets</t>
  </si>
  <si>
    <t xml:space="preserve">sleephoria cooling sheets cal king</t>
  </si>
  <si>
    <t xml:space="preserve">sleephoria breezeweave comforter</t>
  </si>
  <si>
    <t xml:space="preserve">breeze weave cooling sheets king set</t>
  </si>
  <si>
    <t xml:space="preserve">sleephoria oeko-tex certified sheets</t>
  </si>
  <si>
    <t xml:space="preserve">king-size cooling sheets</t>
  </si>
  <si>
    <t xml:space="preserve">sheet set</t>
  </si>
  <si>
    <t xml:space="preserve">cooling sheets queens size</t>
  </si>
  <si>
    <t xml:space="preserve">sleephoria cooling fresh air flow</t>
  </si>
  <si>
    <t xml:space="preserve">sleephoria cooling sheets - breezeweave 4 pc queen size cooling bed sheets for hot sleepers &amp; deep, cool rest - cloud soft, silky smooth, 16 in</t>
  </si>
  <si>
    <t xml:space="preserve">sleephoria cooling top queen sheet</t>
  </si>
  <si>
    <t xml:space="preserve">sleephoria coolinset</t>
  </si>
  <si>
    <t xml:space="preserve">sleephoria fillets sheet</t>
  </si>
  <si>
    <t xml:space="preserve">sleephoria nasa technology</t>
  </si>
  <si>
    <t xml:space="preserve">sleephoria sheets breeze weave 4 queen cooling</t>
  </si>
  <si>
    <t xml:space="preserve">sleeporia</t>
  </si>
  <si>
    <t xml:space="preserve">sleepy cotton</t>
  </si>
  <si>
    <t xml:space="preserve">snuggle morning breeze dryer sheets</t>
  </si>
  <si>
    <t xml:space="preserve">split king bedding set</t>
  </si>
  <si>
    <t xml:space="preserve">temperature regulating bed sheets queen size</t>
  </si>
  <si>
    <t xml:space="preserve">temperature regulating comforter</t>
  </si>
  <si>
    <t xml:space="preserve">tinted su nscreenbest sheet set</t>
  </si>
  <si>
    <t xml:space="preserve">deep sheet set queen size eggplant</t>
  </si>
  <si>
    <t xml:space="preserve">diamond finger grinding wheel set</t>
  </si>
  <si>
    <t xml:space="preserve">dog hair resistant bed sheets</t>
  </si>
  <si>
    <t xml:space="preserve">dream valley sheets</t>
  </si>
  <si>
    <t xml:space="preserve">eucalyptus cooling sheets for hot sleepers</t>
  </si>
  <si>
    <t xml:space="preserve">ever cool comforter</t>
  </si>
  <si>
    <t xml:space="preserve">good american</t>
  </si>
  <si>
    <t xml:space="preserve">hot sleeper cooling sheets deep pocket</t>
  </si>
  <si>
    <t xml:space="preserve">cooling sheets breezeweave</t>
  </si>
  <si>
    <t xml:space="preserve">cooling sheets cooling q-max black</t>
  </si>
  <si>
    <t xml:space="preserve">cooling sheets purple</t>
  </si>
  <si>
    <t xml:space="preserve">cooling silk sheets california king</t>
  </si>
  <si>
    <t xml:space="preserve">cozy bliss sheets</t>
  </si>
  <si>
    <t xml:space="preserve">dark purple sheets</t>
  </si>
  <si>
    <t xml:space="preserve">deep pocket queen bed set</t>
  </si>
  <si>
    <t xml:space="preserve">deep queen bed sheets purple</t>
  </si>
  <si>
    <t xml:space="preserve">comforter full size</t>
  </si>
  <si>
    <t xml:space="preserve">cooling | ultra soft | 18" deep pockets | elastic corner straps | includes organizer band</t>
  </si>
  <si>
    <t xml:space="preserve">cooling bed sheets queen size, purple</t>
  </si>
  <si>
    <t xml:space="preserve">cooling blanket king size</t>
  </si>
  <si>
    <t xml:space="preserve">cooling deep pocket sheets queen size</t>
  </si>
  <si>
    <t xml:space="preserve">cooling pillows</t>
  </si>
  <si>
    <t xml:space="preserve">cooling sheet set black</t>
  </si>
  <si>
    <t xml:space="preserve">blue palm tree queen deep pocket sheets</t>
  </si>
  <si>
    <t xml:space="preserve">breeze essential bed sheet</t>
  </si>
  <si>
    <t xml:space="preserve">breezeweave sheets</t>
  </si>
  <si>
    <t xml:space="preserve">breezeweave sheets cooking</t>
  </si>
  <si>
    <t xml:space="preserve">chill sheets</t>
  </si>
  <si>
    <t xml:space="preserve">cloud bed queen</t>
  </si>
  <si>
    <t xml:space="preserve">clouds sheets</t>
  </si>
  <si>
    <t xml:space="preserve">cold sheet for sleeping</t>
  </si>
  <si>
    <t xml:space="preserve">sheets cool</t>
  </si>
  <si>
    <t xml:space="preserve">sheets full size bed cooling</t>
  </si>
  <si>
    <t xml:space="preserve">sleep cooling sheets</t>
  </si>
  <si>
    <t xml:space="preserve">cooled bed sheets</t>
  </si>
  <si>
    <t xml:space="preserve">cooling sheets with corner straps</t>
  </si>
  <si>
    <t xml:space="preserve">queen cooling sheets deep pocket</t>
  </si>
  <si>
    <t xml:space="preserve">cooled bed sheets full</t>
  </si>
  <si>
    <t xml:space="preserve">sleephoria 3/4 pc cooling sheets breezeweave bed sheets for hot sleepers &amp;deep cool rest</t>
  </si>
  <si>
    <t xml:space="preserve">sleephoria cal king cooling sheets</t>
  </si>
  <si>
    <t xml:space="preserve">cooling sheets with corner strap</t>
  </si>
  <si>
    <t xml:space="preserve">deep pocket king sheet cooling</t>
  </si>
  <si>
    <t xml:space="preserve">deep pocket king sheets cooling</t>
  </si>
  <si>
    <t xml:space="preserve">king cooling bed sheet</t>
  </si>
  <si>
    <t xml:space="preserve">￼ sleephoria 3/4 pc cooling sheets</t>
  </si>
  <si>
    <t xml:space="preserve">sleephoria - 4 pc breezeweave cooling bed sheets - nylon + spandex, cloud soft, silky smooth, 16 in deep pocket, ultra durable, skin-friendly, machine washable for hot sleepers 4,7 (393) 2917 vendidos</t>
  </si>
  <si>
    <t xml:space="preserve">cooling full size sheet</t>
  </si>
  <si>
    <t xml:space="preserve">twin cooling sheets.</t>
  </si>
  <si>
    <t xml:space="preserve">cooling sheets with elastic corner straps</t>
  </si>
  <si>
    <t xml:space="preserve">deep pocket cool sheets</t>
  </si>
  <si>
    <t xml:space="preserve">cooling bed sheets. queen size</t>
  </si>
  <si>
    <t xml:space="preserve">cooling sheets hot sleepers queen</t>
  </si>
  <si>
    <t xml:space="preserve">king size cooling sheets deep pocket</t>
  </si>
  <si>
    <t xml:space="preserve">cooling sheet for night sweats</t>
  </si>
  <si>
    <t xml:space="preserve">sleephoria cooling pillow cases with zipper</t>
  </si>
  <si>
    <t xml:space="preserve">breathable cooling sheet</t>
  </si>
  <si>
    <t xml:space="preserve">king sheets cooling deep pocket</t>
  </si>
  <si>
    <t xml:space="preserve">flat sheet queen cooling sleephoria</t>
  </si>
  <si>
    <t xml:space="preserve">￼stay cool sheets</t>
  </si>
  <si>
    <t xml:space="preserve">daily deals</t>
  </si>
  <si>
    <t xml:space="preserve">decolure sleephoria sheets</t>
  </si>
  <si>
    <t xml:space="preserve">deep blue</t>
  </si>
  <si>
    <t xml:space="preserve">dream valley® outlast® deepsleep cooling comforter, full/queen size, nasa-grade space technology cooling blanket for hot sleepers night sweats, q-max &gt; 0.45 aerocool™ breathable, mint macaron, 90"x90"</t>
  </si>
  <si>
    <t xml:space="preserve">essentials</t>
  </si>
  <si>
    <t xml:space="preserve">fitted, flat pillow cases queen silver fiber, 74% , 4% silk, - conductive earth fitted sheet 16" deep w/wash bag &amp; wool dryer balls, cloud gray4pc set</t>
  </si>
  <si>
    <t xml:space="preserve">gifts for athletes men</t>
  </si>
  <si>
    <t xml:space="preserve">ha</t>
  </si>
  <si>
    <t xml:space="preserve">bedsure comforter duvet insert - quilted comforters queen size, all season duvet, gentlesoft down alternative bedding blanket, with 8 tabs, gifts for women/men, white, queen 88 x 88 inches</t>
  </si>
  <si>
    <t xml:space="preserve">company store</t>
  </si>
  <si>
    <t xml:space="preserve">cool pink</t>
  </si>
  <si>
    <t xml:space="preserve">cool q</t>
  </si>
  <si>
    <t xml:space="preserve">coolest christmas gifts for adults</t>
  </si>
  <si>
    <t xml:space="preserve">cooling comforter king</t>
  </si>
  <si>
    <r>
      <rPr>
        <sz val="9"/>
        <color rgb="FF000000"/>
        <rFont val="Arial"/>
        <family val="0"/>
        <charset val="1"/>
      </rPr>
      <t xml:space="preserve">cozy bliss cooling comforter king size x sorona® viscose natural fiber, reversible silky smooth cooling blanket with q-max</t>
    </r>
    <r>
      <rPr>
        <sz val="9"/>
        <color rgb="FF000000"/>
        <rFont val="WenQuanYi Zen Hei"/>
        <family val="2"/>
      </rPr>
      <t xml:space="preserve">＞</t>
    </r>
    <r>
      <rPr>
        <sz val="9"/>
        <color rgb="FF000000"/>
        <rFont val="Arial"/>
        <family val="0"/>
        <charset val="1"/>
      </rPr>
      <t xml:space="preserve">0.45 for hot sleepers &amp; night sweats, cool grey, 106"x90"</t>
    </r>
  </si>
  <si>
    <t xml:space="preserve">cozy bliss cooling comforter seersucker plaid king, q-max 0.4 reversible lightweight cooling blanket, breathable silk smooth summer bedding quilt for hot sleepers night sweats denim blue</t>
  </si>
  <si>
    <t xml:space="preserve">cooling sheet setqueen size</t>
  </si>
  <si>
    <t xml:space="preserve">cooling sheets set queen</t>
  </si>
  <si>
    <t xml:space="preserve">cooling sheets night sweat</t>
  </si>
  <si>
    <t xml:space="preserve">￼ sleephoria 3/4 pc cooling sheets - breezeweave bed sheets for hot sleepers &amp; deep, c</t>
  </si>
  <si>
    <t xml:space="preserve">full size sheets. cooling</t>
  </si>
  <si>
    <t xml:space="preserve">full cooler sheets</t>
  </si>
  <si>
    <t xml:space="preserve">sleephoria 3/4 pc cooling sheet...</t>
  </si>
  <si>
    <t xml:space="preserve">coolest bed sheets full</t>
  </si>
  <si>
    <t xml:space="preserve">king bed cool sheets</t>
  </si>
  <si>
    <t xml:space="preserve">cool bedsheets king</t>
  </si>
  <si>
    <t xml:space="preserve">bamboo sheets queen size sleephoria</t>
  </si>
  <si>
    <t xml:space="preserve">cooling sheets/full size</t>
  </si>
  <si>
    <t xml:space="preserve">better cooling sheets</t>
  </si>
  <si>
    <t xml:space="preserve">cool deep pocket sheets</t>
  </si>
  <si>
    <t xml:space="preserve">cooling bedsheet queen size</t>
  </si>
  <si>
    <t xml:space="preserve">sleephoria twin fitted sheet</t>
  </si>
  <si>
    <t xml:space="preserve">sleephoria white sheet set in queen size</t>
  </si>
  <si>
    <t xml:space="preserve">snuggle sac cooling comforter queen size - q-max 0.43 striped cooling blanket for hot sleepers &amp;night sweats, light breathable summer blanket, reversible dual-sided silk-smooth, 90x90 inches, white</t>
  </si>
  <si>
    <t xml:space="preserve">ultra cool xl</t>
  </si>
  <si>
    <t xml:space="preserve">coolest queen sheets</t>
  </si>
  <si>
    <t xml:space="preserve">cooling sheets full-size</t>
  </si>
  <si>
    <t xml:space="preserve">sleephoria cooling comforter king size for hot sleep</t>
  </si>
  <si>
    <t xml:space="preserve">sleephoria 4 pc cooling sheets california king size bed set - temperature regulating bedding for hot sleepers - deep pocket cooling bed sheet</t>
  </si>
  <si>
    <t xml:space="preserve">sleephoria cooling sheets breezeweave 4 pc</t>
  </si>
  <si>
    <t xml:space="preserve">sleephoria cooling sheets pink cotton</t>
  </si>
  <si>
    <t xml:space="preserve">sleephoria cooling top sheet queen size</t>
  </si>
  <si>
    <t xml:space="preserve">sleephoria full fitted white sheet</t>
  </si>
  <si>
    <t xml:space="preserve">sleephoria full sheet cool white</t>
  </si>
  <si>
    <t xml:space="preserve">sleephoria pillow cases midnight</t>
  </si>
  <si>
    <t xml:space="preserve">sleephoria queen cooling fitted sheet</t>
  </si>
  <si>
    <t xml:space="preserve">sleephoria split king</t>
  </si>
  <si>
    <t xml:space="preserve">sleephoria cooling comfort sheets</t>
  </si>
  <si>
    <t xml:space="preserve">sleephoria cooling comforter 90%nylon 10 spandex</t>
  </si>
  <si>
    <t xml:space="preserve">sleephoria cooling comforter king size for hot sleepers &amp; night sweats luxury lightweight breathable bedding all season cool blanket for bed reversible cold &amp; soft touch</t>
  </si>
  <si>
    <t xml:space="preserve">sleephoria cooling fitted sheets king</t>
  </si>
  <si>
    <t xml:space="preserve">sleephoria cooling king top sheet</t>
  </si>
  <si>
    <t xml:space="preserve">sleephoria cooling king top sheet only</t>
  </si>
  <si>
    <t xml:space="preserve">sleephoria cooling pillowcase king light pink</t>
  </si>
  <si>
    <t xml:space="preserve">sleephoria cooling sheets - breezeweave 4 pc</t>
  </si>
  <si>
    <t xml:space="preserve">lightweight comforter for hot sleepers&amp;summer,ultra soft bamboo viscose fabric, breathable &amp; moisture wicking, soy fiber blend fill creme</t>
  </si>
  <si>
    <t xml:space="preserve">otteroasis cooling comforter oversized king for hot sleepers, 108"x90" summer cooling blanket for night sweats, silk soft lightweight breathable all-season grey cooling quilt blanket</t>
  </si>
  <si>
    <t xml:space="preserve">otteroasis cooling comforter twin size for hot sleepers, 68"x90" summer cooling blanket for night sweats, silk soft lightweight breathable all-season blue grey cooling quilt blanket</t>
  </si>
  <si>
    <t xml:space="preserve">puresnoo cooling sheet set, breathable &amp; soft silver infused bed sheets set for hot sleeper, silky smooth with self-cleaning silver yarn that stays fresh 3x longer for sensitive skin (queen, gray)</t>
  </si>
  <si>
    <t xml:space="preserve">queen.</t>
  </si>
  <si>
    <t xml:space="preserve">sleeper</t>
  </si>
  <si>
    <t xml:space="preserve">sleephoria california king fitted sheet</t>
  </si>
  <si>
    <t xml:space="preserve">sleephoria cloud soft cooling sheets</t>
  </si>
  <si>
    <t xml:space="preserve">emerald green cooling sheets king</t>
  </si>
  <si>
    <t xml:space="preserve">extra soft cooling bed sheets</t>
  </si>
  <si>
    <t xml:space="preserve">sleephoria pillowcases beige</t>
  </si>
  <si>
    <t xml:space="preserve">sleephoria pillow cases black</t>
  </si>
  <si>
    <t xml:space="preserve">bed sheets cooling queen</t>
  </si>
  <si>
    <t xml:space="preserve">queen size c</t>
  </si>
  <si>
    <t xml:space="preserve">rand: sleephoria 4.2 4.2 out of 5 stars (909) cooling sheets - breezeweave 4 pc queen size cooling bed sheets for hot sleepers &amp; deep, cool rest - cloud soft, silky smooth, 16 in deep pocket, ultra du</t>
  </si>
  <si>
    <t xml:space="preserve">sleephoria cooling sheets - breezeweave 4 pc queen size cooling bed sheets for hot sleepers &amp; deep, cool rest - cloud soft, silky smooth, 16 in deep p</t>
  </si>
  <si>
    <t xml:space="preserve">queen size sheet sets</t>
  </si>
  <si>
    <t xml:space="preserve">satin black sheets</t>
  </si>
  <si>
    <t xml:space="preserve">sleephoria cooling comforter for hot sleepers &amp; night sweats luxury lightweight breath</t>
  </si>
  <si>
    <t xml:space="preserve">queen sheets sleephoria</t>
  </si>
  <si>
    <t xml:space="preserve">cooling queen bed sheets for hot sleepers</t>
  </si>
  <si>
    <t xml:space="preserve">sleephoria cooling fitted sheet full with straps</t>
  </si>
  <si>
    <t xml:space="preserve">amélie home cooling comforter twin size, dual-sided lightweight cooling blanket for hot sleepers, q-max 0.43 breathable cooling quilt for night sweats, 68" × 90", heather charcoal grey https://a.co/</t>
  </si>
  <si>
    <t xml:space="preserve">sleephoria cooling pillowcases navy blue</t>
  </si>
  <si>
    <t xml:space="preserve">cooling bed pad</t>
  </si>
  <si>
    <t xml:space="preserve">sleephoria full fitted sheets</t>
  </si>
  <si>
    <t xml:space="preserve">cooling bamboo sheets sleephoria</t>
  </si>
  <si>
    <t xml:space="preserve">sheets like purple sheets</t>
  </si>
  <si>
    <t xml:space="preserve">sleephoria flat cooling sheets</t>
  </si>
  <si>
    <t xml:space="preserve">saba sleephoria</t>
  </si>
  <si>
    <t xml:space="preserve">cooling fitted sheet for king bed</t>
  </si>
  <si>
    <t xml:space="preserve">queen short cooling sheets for rv camper</t>
  </si>
  <si>
    <t xml:space="preserve">coolest sheet for twin</t>
  </si>
  <si>
    <t xml:space="preserve">cooling twin sheet</t>
  </si>
  <si>
    <t xml:space="preserve">cooling sheet for full size</t>
  </si>
  <si>
    <t xml:space="preserve">sleephoria eastern king cooling sheets</t>
  </si>
  <si>
    <t xml:space="preserve">cool sheets queen size.</t>
  </si>
  <si>
    <t xml:space="preserve">bed cool air blower under sheets</t>
  </si>
  <si>
    <t xml:space="preserve">bed sheets king size deep pocket cooling</t>
  </si>
  <si>
    <t xml:space="preserve">cool sleep sheets queen</t>
  </si>
  <si>
    <t xml:space="preserve">cooling deep pockets king sheets</t>
  </si>
  <si>
    <t xml:space="preserve">cooling gel sheets</t>
  </si>
  <si>
    <t xml:space="preserve">cooling queen bed sheet set</t>
  </si>
  <si>
    <t xml:space="preserve">cooling sheet with corner strap</t>
  </si>
  <si>
    <t xml:space="preserve">cooling sheets corner straps</t>
  </si>
  <si>
    <t xml:space="preserve">cooling sheets for summer</t>
  </si>
  <si>
    <t xml:space="preserve">sleephoria top sheet king</t>
  </si>
  <si>
    <t xml:space="preserve">cooling bed sheet queen</t>
  </si>
  <si>
    <t xml:space="preserve">kings size sheets cooling</t>
  </si>
  <si>
    <t xml:space="preserve">sleephoria regular king size fitted sheet</t>
  </si>
  <si>
    <t xml:space="preserve">cooling. sheet set</t>
  </si>
  <si>
    <t xml:space="preserve">bed sheet full size cooling</t>
  </si>
  <si>
    <t xml:space="preserve">best cooling bed sheets</t>
  </si>
  <si>
    <t xml:space="preserve">cool queen bed sheets set</t>
  </si>
  <si>
    <t xml:space="preserve">cool sheets for hot sleepers queen size</t>
  </si>
  <si>
    <t xml:space="preserve">kingsize cooling sheets set</t>
  </si>
  <si>
    <t xml:space="preserve">cal king sheet set cooling</t>
  </si>
  <si>
    <t xml:space="preserve">king size sheets set cool</t>
  </si>
  <si>
    <t xml:space="preserve">kingsize sheets set cooling</t>
  </si>
  <si>
    <t xml:space="preserve">queen cooling bed sheet</t>
  </si>
  <si>
    <t xml:space="preserve">full size cooling sheet</t>
  </si>
  <si>
    <t xml:space="preserve">sleephoria non fitted sheet</t>
  </si>
  <si>
    <t xml:space="preserve">stay on cooling sheet</t>
  </si>
  <si>
    <t xml:space="preserve">￼cooling full size sheet</t>
  </si>
  <si>
    <t xml:space="preserve">sleephoria cooling sheet twin xl</t>
  </si>
  <si>
    <t xml:space="preserve">sleephoria cooling queen fitted sheet</t>
  </si>
  <si>
    <t xml:space="preserve">printed bed sheets queen size cooling deep pocket</t>
  </si>
  <si>
    <t xml:space="preserve">sleephoria - 4 pc breezeweave cooling bed sheets - nylon + spandex, cloud soft, silky smooth, 16 in deep pocket, ultra durable, skin-friendly, machine washable for hot sleepe</t>
  </si>
  <si>
    <t xml:space="preserve">sleephoria comferter</t>
  </si>
  <si>
    <t xml:space="preserve">sleephoria cooling pillowcase king</t>
  </si>
  <si>
    <t xml:space="preserve">king size sheet set deep pocket cooling</t>
  </si>
  <si>
    <t xml:space="preserve">cooling bed sheets\</t>
  </si>
  <si>
    <t xml:space="preserve">cooling bed sheet queen size</t>
  </si>
  <si>
    <t xml:space="preserve">cooling king sheet set</t>
  </si>
  <si>
    <t xml:space="preserve">cooling sheets king extra deep pockets</t>
  </si>
  <si>
    <t xml:space="preserve">cooling sheets king size extra deep pocket</t>
  </si>
  <si>
    <t xml:space="preserve">deep pocket cooling king sheets</t>
  </si>
  <si>
    <t xml:space="preserve">king cool sheet set</t>
  </si>
  <si>
    <t xml:space="preserve">king cooling sheets set</t>
  </si>
  <si>
    <t xml:space="preserve">the best cooling sheets for hot sleepers</t>
  </si>
  <si>
    <t xml:space="preserve">cooling sheets cal king size sleephoria</t>
  </si>
  <si>
    <t xml:space="preserve">cool fitted sheets for hot sleepers</t>
  </si>
  <si>
    <t xml:space="preserve">cooling sheets sets</t>
  </si>
  <si>
    <t xml:space="preserve">king split sleephoria sheets</t>
  </si>
  <si>
    <t xml:space="preserve">queen sheets cool</t>
  </si>
  <si>
    <t xml:space="preserve">queen size sheets' cooling</t>
  </si>
  <si>
    <t xml:space="preserve">cool sheets queens size</t>
  </si>
  <si>
    <t xml:space="preserve">cooling deep pocket queen sheets pattern</t>
  </si>
  <si>
    <t xml:space="preserve">extra deep pocket bamboo sheets queen purple</t>
  </si>
  <si>
    <t xml:space="preserve">queen breathable sheets that will keep you cool not just soild colors</t>
  </si>
  <si>
    <t xml:space="preserve">breescape cooling sheets king size</t>
  </si>
  <si>
    <t xml:space="preserve">cooling queen bed sheet</t>
  </si>
  <si>
    <t xml:space="preserve">full size cooling sheets for hot sleepers</t>
  </si>
  <si>
    <t xml:space="preserve">queen size cool bed sheets</t>
  </si>
  <si>
    <t xml:space="preserve">queen size cooling sheets with deep pockets</t>
  </si>
  <si>
    <t xml:space="preserve">cooling sheets king sleephoria</t>
  </si>
  <si>
    <t xml:space="preserve">queen bed sheets set sleephoria</t>
  </si>
  <si>
    <t xml:space="preserve">sleephoria cooling sheets with corner straps</t>
  </si>
  <si>
    <t xml:space="preserve">cooling sheet twin</t>
  </si>
  <si>
    <t xml:space="preserve">cooling sheets for twin</t>
  </si>
  <si>
    <t xml:space="preserve">purple sheets for purple bed</t>
  </si>
  <si>
    <t xml:space="preserve">sleephoria cooling sheets - breezeweave 4 pc queen size cooling bed sheets for hot</t>
  </si>
  <si>
    <t xml:space="preserve">cooling bedsheets for hot sleepers</t>
  </si>
  <si>
    <t xml:space="preserve">sleephoria pillow cases standard</t>
  </si>
  <si>
    <t xml:space="preserve">sheets for full size bed cooling</t>
  </si>
  <si>
    <t xml:space="preserve">sleephoria cooling fitted sheet and pillow case</t>
  </si>
  <si>
    <t xml:space="preserve">sleephoria cooling shams. king</t>
  </si>
  <si>
    <t xml:space="preserve">sleephoria king flat sheet</t>
  </si>
  <si>
    <t xml:space="preserve">sleephoria pillows</t>
  </si>
  <si>
    <t xml:space="preserve">queen sizedeep pocket cooling sheets</t>
  </si>
  <si>
    <t xml:space="preserve">sleephoria cooling sheets deep pocket</t>
  </si>
  <si>
    <t xml:space="preserve">best+cooling+sheets</t>
  </si>
  <si>
    <t xml:space="preserve">cooling dry sheets</t>
  </si>
  <si>
    <t xml:space="preserve">king size sheet and comforter set cooling</t>
  </si>
  <si>
    <t xml:space="preserve">lightning deals on cooling sheets</t>
  </si>
  <si>
    <t xml:space="preserve">sleephoria cooling sheets - breezeweave 4 pc king size cooling bed sheets for hot sleepers</t>
  </si>
  <si>
    <t xml:space="preserve">soft cool sheets</t>
  </si>
  <si>
    <t xml:space="preserve">brand: sleephoria 4.3 (863) cooling sheets - breezeweave 4 pc queen size cooling bed sheets for hot sleepers &amp; deep, cool rest - cloud soft, silky smooth, 16 in deep pocket, ultra durable</t>
  </si>
  <si>
    <t xml:space="preserve">sleephoria cooling pillow cases - breezeweave queen size set of 2 pillowcases for hot sleepers &amp; cool, deep rest - cloud soft, silky smooth, ultra durable, easy care, hidden zipper (white)</t>
  </si>
  <si>
    <t xml:space="preserve">sleephoria cooling comforter king size for hot sleepers &amp; night sweats luxury lightweight</t>
  </si>
  <si>
    <t xml:space="preserve">sleephoria split king sheets</t>
  </si>
  <si>
    <t xml:space="preserve">twin sleephoria cooling sheets</t>
  </si>
  <si>
    <t xml:space="preserve">sleephoria cooling sheets - breezeweave 4 pc queen size cooling bed sheets for hot sleepers &amp; deep, cool rest - cloud</t>
  </si>
  <si>
    <t xml:space="preserve">sleephoria cooling sheets - breezeweave 4 pc queen size cooling bed sheets for hot sleepers &amp; deep, cool rest - cloud soft, silky smooth</t>
  </si>
  <si>
    <t xml:space="preserve">sleephoria sheets set</t>
  </si>
  <si>
    <t xml:space="preserve">cooling sheet queen 1000 thread count</t>
  </si>
  <si>
    <t xml:space="preserve">cooling sheets for normal queen mattress o deep sheets</t>
  </si>
  <si>
    <t xml:space="preserve">king sheet set deep pocket cooling</t>
  </si>
  <si>
    <t xml:space="preserve">king size bed sheet cooling</t>
  </si>
  <si>
    <t xml:space="preserve">king size bed sheet set cooling</t>
  </si>
  <si>
    <t xml:space="preserve">king size bedsheets cooling</t>
  </si>
  <si>
    <t xml:space="preserve">king size deep pocket cooling sheet sets</t>
  </si>
  <si>
    <t xml:space="preserve">sleep cool sheets</t>
  </si>
  <si>
    <t xml:space="preserve">sleephoria cooling sheet twin</t>
  </si>
  <si>
    <t xml:space="preserve">temperature regulated sheets</t>
  </si>
  <si>
    <t xml:space="preserve">colling sheets</t>
  </si>
  <si>
    <t xml:space="preserve">cool bed set</t>
  </si>
  <si>
    <t xml:space="preserve">striped cooling sheets queen</t>
  </si>
  <si>
    <t xml:space="preserve">cool twin sheet</t>
  </si>
  <si>
    <t xml:space="preserve">cool twin sheets</t>
  </si>
  <si>
    <t xml:space="preserve">purple sleephoria pillowcases</t>
  </si>
  <si>
    <t xml:space="preserve">cooling sheet king</t>
  </si>
  <si>
    <t xml:space="preserve">cooling sheets for a king</t>
  </si>
  <si>
    <t xml:space="preserve">cloudcool cooling sheetsset lavender queen</t>
  </si>
  <si>
    <t xml:space="preserve">cooling microfiber bed sheets</t>
  </si>
  <si>
    <t xml:space="preserve">cooling nylon and spandex sheets</t>
  </si>
  <si>
    <t xml:space="preserve">cooling sheets that will not pop off of bed</t>
  </si>
  <si>
    <t xml:space="preserve">extra deep 18-24 inch pocket cooling queen size sheets</t>
  </si>
  <si>
    <t xml:space="preserve">sleephoria fitted cooling sheet</t>
  </si>
  <si>
    <t xml:space="preserve">super soft cooling xl twin sheet set</t>
  </si>
  <si>
    <t xml:space="preserve">teen cooling sheets queen</t>
  </si>
  <si>
    <t xml:space="preserve">queen size purple sheets</t>
  </si>
  <si>
    <t xml:space="preserve">sleephoria cooling fitted sheet sage green</t>
  </si>
  <si>
    <t xml:space="preserve">cooling sheets king size sleephoria</t>
  </si>
  <si>
    <t xml:space="preserve">king q</t>
  </si>
  <si>
    <t xml:space="preserve">sleephoria cooling sheets pillow cases</t>
  </si>
  <si>
    <t xml:space="preserve">sleephoria flat cooling california king sheet</t>
  </si>
  <si>
    <t xml:space="preserve">sleephoria white king</t>
  </si>
  <si>
    <t xml:space="preserve">75x54x12 quality cooling sheets</t>
  </si>
  <si>
    <t xml:space="preserve">sleephoria cooling fitted sheet king size</t>
  </si>
  <si>
    <t xml:space="preserve">sleephoria cooling sheets -</t>
  </si>
  <si>
    <t xml:space="preserve">soft cool sheets queen</t>
  </si>
  <si>
    <t xml:space="preserve">king size sleephoria cooling comforter</t>
  </si>
  <si>
    <t xml:space="preserve">sleephoria cooling pillow cases for hot sleepers king</t>
  </si>
  <si>
    <t xml:space="preserve">full size cooling bed sheets</t>
  </si>
  <si>
    <t xml:space="preserve">comfortable sleep items</t>
  </si>
  <si>
    <t xml:space="preserve">queen comforter duvet set with sheets</t>
  </si>
  <si>
    <t xml:space="preserve">beckham hotel collection cooling sheets</t>
  </si>
  <si>
    <t xml:space="preserve">beckham hotel cooling sheets</t>
  </si>
  <si>
    <t xml:space="preserve">bed sure cooling sheets king</t>
  </si>
  <si>
    <t xml:space="preserve">beds for cooling bed sheets</t>
  </si>
  <si>
    <t xml:space="preserve">best comfortable queen sheets for 13” thick mattress cooling sheets</t>
  </si>
  <si>
    <t xml:space="preserve">best luxury sheets for hot sleepers grounding</t>
  </si>
  <si>
    <t xml:space="preserve">best+rated+ 6 piece cooling+sheets+size+king</t>
  </si>
  <si>
    <t xml:space="preserve">bet sheets twin size cooling sheets</t>
  </si>
  <si>
    <t xml:space="preserve">4 piece cooling sheet set</t>
  </si>
  <si>
    <t xml:space="preserve">90% nylon 10% spandex cooling bed sheets for hot sleepers</t>
  </si>
  <si>
    <t xml:space="preserve">all natural material cooling bed sheet set</t>
  </si>
  <si>
    <t xml:space="preserve">amazon cooling sheets</t>
  </si>
  <si>
    <t xml:space="preserve">animalprint tencel cooling sheets size queen</t>
  </si>
  <si>
    <t xml:space="preserve">arc chill cooling sheets queen</t>
  </si>
  <si>
    <t xml:space="preserve">bamboo cooling sheets king</t>
  </si>
  <si>
    <t xml:space="preserve">bamboo cooling sheets with elastic corner straps and pattern</t>
  </si>
  <si>
    <t xml:space="preserve">sleephoria sheets twin</t>
  </si>
  <si>
    <t xml:space="preserve">sleephoria cooling comforter for hot sleepers &amp; night sweats earth comforter</t>
  </si>
  <si>
    <t xml:space="preserve">sleephoria cooling comforter - breezeweave cooling blanket king size for hot sleepers</t>
  </si>
  <si>
    <t xml:space="preserve">sleephoria cooling sheets - breezeweave king suze</t>
  </si>
  <si>
    <t xml:space="preserve">sleephoria sage green pillow cases</t>
  </si>
  <si>
    <t xml:space="preserve">sleephoria twin sheets</t>
  </si>
  <si>
    <t xml:space="preserve">16 inch deep king cooling sheets</t>
  </si>
  <si>
    <t xml:space="preserve">30in split top king cooling sheet set</t>
  </si>
  <si>
    <t xml:space="preserve">sleephoria king size fitted cooling sheets</t>
  </si>
  <si>
    <t xml:space="preserve">4 pcs cooling sheet queen size bed sleephoria</t>
  </si>
  <si>
    <t xml:space="preserve">sleephoria cooling top sheets</t>
  </si>
  <si>
    <t xml:space="preserve">cooling bed sheets sleephoria</t>
  </si>
  <si>
    <t xml:space="preserve">cooling blanket sleephoria</t>
  </si>
  <si>
    <t xml:space="preserve">cooling gel blanket sleephoria</t>
  </si>
  <si>
    <t xml:space="preserve">sleephoria cooling fitted sheet queen cool grey</t>
  </si>
  <si>
    <t xml:space="preserve">sleephoria king sheet</t>
  </si>
  <si>
    <t xml:space="preserve">cooling sheet split king</t>
  </si>
  <si>
    <t xml:space="preserve">cooling sheets and blankets set</t>
  </si>
  <si>
    <t xml:space="preserve">cooling sheets brown 6 piece set</t>
  </si>
  <si>
    <t xml:space="preserve">cooling sheets california king size</t>
  </si>
  <si>
    <t xml:space="preserve">cooling sheets deep pocket strap xs king</t>
  </si>
  <si>
    <t xml:space="preserve">cooling sheets deep twin xl size</t>
  </si>
  <si>
    <t xml:space="preserve">cooling sheets for queen size bed</t>
  </si>
  <si>
    <t xml:space="preserve">cooling sheets for xl twin beds</t>
  </si>
  <si>
    <t xml:space="preserve">cooling bed sheets sleepharia</t>
  </si>
  <si>
    <t xml:space="preserve">cooling bed sheets top rated</t>
  </si>
  <si>
    <t xml:space="preserve">cooling sheet cooling sheets</t>
  </si>
  <si>
    <t xml:space="preserve">cooling sheet extra deep pockets fitted with thick elastic</t>
  </si>
  <si>
    <t xml:space="preserve">cooling sheet fitted</t>
  </si>
  <si>
    <t xml:space="preserve">cooling sheet set queen size</t>
  </si>
  <si>
    <t xml:space="preserve">cooling sheet set with zipper close pillow cases</t>
  </si>
  <si>
    <t xml:space="preserve">cooling sheet set with zippered pillowcase</t>
  </si>
  <si>
    <t xml:space="preserve">cal king cooling sheets deep pockets</t>
  </si>
  <si>
    <t xml:space="preserve">california king cooling sheets q max</t>
  </si>
  <si>
    <t xml:space="preserve">california king cooling sheets q max .4</t>
  </si>
  <si>
    <t xml:space="preserve">calvin klein cooling sheets</t>
  </si>
  <si>
    <t xml:space="preserve">cheetah print cooling sheets set</t>
  </si>
  <si>
    <t xml:space="preserve">cooling bed sheets for euro top queen bed</t>
  </si>
  <si>
    <t xml:space="preserve">cooling bed sheets full purple</t>
  </si>
  <si>
    <t xml:space="preserve">cooling bed sheets nylon polyamide blend</t>
  </si>
  <si>
    <t xml:space="preserve">black cooling sheets king size</t>
  </si>
  <si>
    <t xml:space="preserve">black twin xl cooling sheet set</t>
  </si>
  <si>
    <t xml:space="preserve">bohemian king size cooling sheets</t>
  </si>
  <si>
    <t xml:space="preserve">breescape blendtec cooling sheets queen</t>
  </si>
  <si>
    <t xml:space="preserve">brown cooling sheets and duvet</t>
  </si>
  <si>
    <t xml:space="preserve">brown cooling sheets king</t>
  </si>
  <si>
    <t xml:space="preserve">burnt orange cooling sheets king</t>
  </si>
  <si>
    <t xml:space="preserve">cal king cooling sheet set extra deep pockets</t>
  </si>
  <si>
    <t xml:space="preserve">cooling sheets that stay on the bed</t>
  </si>
  <si>
    <t xml:space="preserve">cooling sheets twin xl purple extra deep pocket egyptian cotton</t>
  </si>
  <si>
    <t xml:space="preserve">cooling sheets with cool designs full bed</t>
  </si>
  <si>
    <t xml:space="preserve">cooling sheets with deep corners</t>
  </si>
  <si>
    <t xml:space="preserve">cooling sheets with deep pockets queen</t>
  </si>
  <si>
    <t xml:space="preserve">cooling sheets with pockets on side</t>
  </si>
  <si>
    <t xml:space="preserve">cooling technology sheets hot sleepers</t>
  </si>
  <si>
    <t xml:space="preserve">cornflower blue cooling sheet</t>
  </si>
  <si>
    <t xml:space="preserve">cooling sheets queen dark red</t>
  </si>
  <si>
    <t xml:space="preserve">cooling sheets queen designs</t>
  </si>
  <si>
    <t xml:space="preserve">cooling sheets queen lilac</t>
  </si>
  <si>
    <t xml:space="preserve">cooling sheets queen rv</t>
  </si>
  <si>
    <t xml:space="preserve">cooling sheets queen satin</t>
  </si>
  <si>
    <t xml:space="preserve">cooling sheets sets 100%polyester fiber</t>
  </si>
  <si>
    <t xml:space="preserve">cooling sheets sleep sanctuary</t>
  </si>
  <si>
    <t xml:space="preserve">cooling sheets sleeporia</t>
  </si>
  <si>
    <t xml:space="preserve">cooling sheets nylon twin</t>
  </si>
  <si>
    <t xml:space="preserve">cooling sheets pillow cases</t>
  </si>
  <si>
    <t xml:space="preserve">cooling sheets printed</t>
  </si>
  <si>
    <t xml:space="preserve">cooling sheets queen 14 inch pockets</t>
  </si>
  <si>
    <t xml:space="preserve">cooling sheets queen 18 inch</t>
  </si>
  <si>
    <t xml:space="preserve">cooling sheets queen 6 piece</t>
  </si>
  <si>
    <t xml:space="preserve">cooling sheets queen 6pc</t>
  </si>
  <si>
    <t xml:space="preserve">cooling sheets queen black</t>
  </si>
  <si>
    <t xml:space="preserve">cooling sheets full size bed deep pocket</t>
  </si>
  <si>
    <t xml:space="preserve">cooling sheets full size deep pockets</t>
  </si>
  <si>
    <t xml:space="preserve">cooling sheets geht</t>
  </si>
  <si>
    <t xml:space="preserve">cooling sheets halloween</t>
  </si>
  <si>
    <t xml:space="preserve">cooling sheets in purple</t>
  </si>
  <si>
    <t xml:space="preserve">cooling sheets keep you cool at night</t>
  </si>
  <si>
    <t xml:space="preserve">cooling sheets king size black 90% nylon and 10% spandex</t>
  </si>
  <si>
    <t xml:space="preserve">cooling sheets king split</t>
  </si>
  <si>
    <t xml:space="preserve">grayish purple cooling sheets</t>
  </si>
  <si>
    <t xml:space="preserve">homfine cooling sheets</t>
  </si>
  <si>
    <t xml:space="preserve">hsa approved cooling sheets</t>
  </si>
  <si>
    <t xml:space="preserve">ice silk cooling sheets</t>
  </si>
  <si>
    <t xml:space="preserve">kathy ireland cooling sheets</t>
  </si>
  <si>
    <t xml:space="preserve">king cooling sheets corner straps</t>
  </si>
  <si>
    <t xml:space="preserve">king cooling sheets deep pocket with corner straps</t>
  </si>
  <si>
    <t xml:space="preserve">king cooling sheets floral</t>
  </si>
  <si>
    <t xml:space="preserve">extra soft cooling sheets queen</t>
  </si>
  <si>
    <t xml:space="preserve">fan cooling sheets</t>
  </si>
  <si>
    <t xml:space="preserve">fitted cooling sheets sheet set high thread count queen</t>
  </si>
  <si>
    <t xml:space="preserve">flex top split california king cooling sheets for sleep number</t>
  </si>
  <si>
    <t xml:space="preserve">fsa hsa approved cooling bed sheets</t>
  </si>
  <si>
    <t xml:space="preserve">full size fitted cooling sheet only 10 inch deep</t>
  </si>
  <si>
    <t xml:space="preserve">full split king sheets sets for adjustable bed cooling sheets</t>
  </si>
  <si>
    <t xml:space="preserve">full xl cooling sheets set</t>
  </si>
  <si>
    <t xml:space="preserve">deep purple cooling sheets for king size</t>
  </si>
  <si>
    <t xml:space="preserve">deep queen cooling bed sheets</t>
  </si>
  <si>
    <t xml:space="preserve">degrees of comfort coolmax cooling sheets king</t>
  </si>
  <si>
    <t xml:space="preserve">dream valley cooling sheets</t>
  </si>
  <si>
    <t xml:space="preserve">eucalyptus cooling sheets queen</t>
  </si>
  <si>
    <t xml:space="preserve">everrest cooling sheets</t>
  </si>
  <si>
    <t xml:space="preserve">extra deep king size cooling sheets</t>
  </si>
  <si>
    <t xml:space="preserve">extra deep sateen cooling sheets</t>
  </si>
  <si>
    <t xml:space="preserve">cotton percale cooling sheets</t>
  </si>
  <si>
    <t xml:space="preserve">cozybliss cooling sheets</t>
  </si>
  <si>
    <t xml:space="preserve">deep cooling sheets</t>
  </si>
  <si>
    <t xml:space="preserve">deep king size sheets set cooling sheets</t>
  </si>
  <si>
    <t xml:space="preserve">deep pocket cal king cool sheets usa black</t>
  </si>
  <si>
    <t xml:space="preserve">deep pocket cooling sheets king</t>
  </si>
  <si>
    <t xml:space="preserve">deep pocket full cooling sheets</t>
  </si>
  <si>
    <t xml:space="preserve">deep pocket queen cooling sheet set</t>
  </si>
  <si>
    <t xml:space="preserve">￼king cooling sheet</t>
  </si>
  <si>
    <t xml:space="preserve">cool king sheets</t>
  </si>
  <si>
    <t xml:space="preserve">king bed sheet cooling</t>
  </si>
  <si>
    <t xml:space="preserve">cooling sheets full sleephoria</t>
  </si>
  <si>
    <t xml:space="preserve">cooling sheets, full size</t>
  </si>
  <si>
    <t xml:space="preserve">cooling. sheets</t>
  </si>
  <si>
    <t xml:space="preserve">queen cool sheets by</t>
  </si>
  <si>
    <t xml:space="preserve">queen size cooling sheet</t>
  </si>
  <si>
    <t xml:space="preserve">members mark cooling sheets queen</t>
  </si>
  <si>
    <t xml:space="preserve">mica nylon cool, q-max 0.439 instant cool sheets</t>
  </si>
  <si>
    <t xml:space="preserve">microfiber cooling bed sheets turquoise</t>
  </si>
  <si>
    <t xml:space="preserve">cold bed sheets queen size</t>
  </si>
  <si>
    <t xml:space="preserve">king size sheets cool</t>
  </si>
  <si>
    <t xml:space="preserve">cooling bedsheets king</t>
  </si>
  <si>
    <t xml:space="preserve">sleephoria bamboo sheets</t>
  </si>
  <si>
    <t xml:space="preserve">king. size cooling sheets</t>
  </si>
  <si>
    <t xml:space="preserve">krimano cooling sheets queen 800 thread count</t>
  </si>
  <si>
    <t xml:space="preserve">labor day sale cooling sheets</t>
  </si>
  <si>
    <t xml:space="preserve">light green queen egyptian cotton cooling sheets</t>
  </si>
  <si>
    <t xml:space="preserve">linen cooling bed sheets</t>
  </si>
  <si>
    <t xml:space="preserve">linen cooling sheets queen</t>
  </si>
  <si>
    <t xml:space="preserve">london fog cooling sheets</t>
  </si>
  <si>
    <t xml:space="preserve">mello sleep cooling sheets</t>
  </si>
  <si>
    <t xml:space="preserve">king cooling sheets with corner straps patterned</t>
  </si>
  <si>
    <t xml:space="preserve">king gray cooling sheets</t>
  </si>
  <si>
    <t xml:space="preserve">king size bed cooling sheets dark gray</t>
  </si>
  <si>
    <t xml:space="preserve">king size cool sheets for hot sleepers</t>
  </si>
  <si>
    <t xml:space="preserve">king size cooling sheets set with corner straps</t>
  </si>
  <si>
    <t xml:space="preserve">king size fitted cooling sheet deep pocket</t>
  </si>
  <si>
    <t xml:space="preserve">king size mellow sleep cooling sheets</t>
  </si>
  <si>
    <t xml:space="preserve">king size printed cooling sheets</t>
  </si>
  <si>
    <t xml:space="preserve">rest evercool cooling sheet set</t>
  </si>
  <si>
    <t xml:space="preserve">royal blue cooling sheets</t>
  </si>
  <si>
    <t xml:space="preserve">rv king size cooling sheets</t>
  </si>
  <si>
    <t xml:space="preserve">satin bamboo cooling sheets queen</t>
  </si>
  <si>
    <t xml:space="preserve">satin cooling sheets king</t>
  </si>
  <si>
    <t xml:space="preserve">sheet &amp; joy cooling sheets</t>
  </si>
  <si>
    <t xml:space="preserve">sheets for hot sleepers</t>
  </si>
  <si>
    <t xml:space="preserve">silk cooling sheet</t>
  </si>
  <si>
    <t xml:space="preserve">queen size always cool sheet</t>
  </si>
  <si>
    <t xml:space="preserve">queen size bed fitted cooling sheets bottom only</t>
  </si>
  <si>
    <t xml:space="preserve">queen size bed fitted cooling sheets bottom only deep pockets 18 inch to 24 inch</t>
  </si>
  <si>
    <t xml:space="preserve">queen size cooling sheets with corner straps</t>
  </si>
  <si>
    <t xml:space="preserve">queen size dark grey fitted cooling sheet</t>
  </si>
  <si>
    <t xml:space="preserve">qutool cooling sheets</t>
  </si>
  <si>
    <t xml:space="preserve">red cooling sheets king</t>
  </si>
  <si>
    <t xml:space="preserve">red cooling sheets queen</t>
  </si>
  <si>
    <t xml:space="preserve">printed queen sheet set cooling sheets</t>
  </si>
  <si>
    <t xml:space="preserve">puresnoo cooling sheets</t>
  </si>
  <si>
    <t xml:space="preserve">purple color cooling sheet</t>
  </si>
  <si>
    <t xml:space="preserve">qmax cooling sheets</t>
  </si>
  <si>
    <t xml:space="preserve">qmax cooling sheets cal king</t>
  </si>
  <si>
    <t xml:space="preserve">queen cooling sheet set with blanket</t>
  </si>
  <si>
    <t xml:space="preserve">queen cooling sheets striped</t>
  </si>
  <si>
    <t xml:space="preserve">queen silk cooling sheet set</t>
  </si>
  <si>
    <t xml:space="preserve">moisture wicking cooling sheets twin xl</t>
  </si>
  <si>
    <t xml:space="preserve">nylon cooling bed sheets</t>
  </si>
  <si>
    <t xml:space="preserve">olive green cooling sheets king</t>
  </si>
  <si>
    <t xml:space="preserve">oversized cooling sheets</t>
  </si>
  <si>
    <t xml:space="preserve">percale cooling bed sheets</t>
  </si>
  <si>
    <t xml:space="preserve">percale cotton cooling sheets</t>
  </si>
  <si>
    <t xml:space="preserve">percale weave cooling sheets patterned</t>
  </si>
  <si>
    <t xml:space="preserve">performance cooling sheets</t>
  </si>
  <si>
    <t xml:space="preserve">teal cooling bed sheets</t>
  </si>
  <si>
    <t xml:space="preserve">teal cooling sheets</t>
  </si>
  <si>
    <t xml:space="preserve">teal king cooling sheets</t>
  </si>
  <si>
    <t xml:space="preserve">tempurpedic cooling sheets king size</t>
  </si>
  <si>
    <t xml:space="preserve">tencel cooling sheets</t>
  </si>
  <si>
    <t xml:space="preserve">tencel cooling sheets king size</t>
  </si>
  <si>
    <t xml:space="preserve">toddler bed cooling sheets</t>
  </si>
  <si>
    <t xml:space="preserve">twin cl cooling sheets</t>
  </si>
  <si>
    <t xml:space="preserve">split king cooling sheet set</t>
  </si>
  <si>
    <t xml:space="preserve">split king cooling sheets sets for adjustable bed</t>
  </si>
  <si>
    <t xml:space="preserve">split king cooling sheets sets for adjustable bed 14" pockets</t>
  </si>
  <si>
    <t xml:space="preserve">split top king cooling sheet</t>
  </si>
  <si>
    <t xml:space="preserve">stretchy cooling bed sheets</t>
  </si>
  <si>
    <t xml:space="preserve">stretchy cooling sheets</t>
  </si>
  <si>
    <t xml:space="preserve">sunflower yellow cooling sheets</t>
  </si>
  <si>
    <t xml:space="preserve">teal colored cooling sheets hotel collection</t>
  </si>
  <si>
    <t xml:space="preserve">sleephoria cooling sheets xl twin</t>
  </si>
  <si>
    <t xml:space="preserve">sleepphoria cooling sheets set</t>
  </si>
  <si>
    <t xml:space="preserve">slumber chill cooling sheets</t>
  </si>
  <si>
    <t xml:space="preserve">snuggle sac cooling sheets</t>
  </si>
  <si>
    <t xml:space="preserve">soft cooling sheets 300 thread count</t>
  </si>
  <si>
    <t xml:space="preserve">sold by amazon cooling sheets 18” deep</t>
  </si>
  <si>
    <t xml:space="preserve">split head cooling sheets king</t>
  </si>
  <si>
    <t xml:space="preserve">split head queen size cooling sheets</t>
  </si>
  <si>
    <t xml:space="preserve">silk cooling sheets king</t>
  </si>
  <si>
    <t xml:space="preserve">silky cooling sheets</t>
  </si>
  <si>
    <t xml:space="preserve">silver infused cooling sheets miracle</t>
  </si>
  <si>
    <t xml:space="preserve">sleepforia cooling sheets</t>
  </si>
  <si>
    <t xml:space="preserve">sleephoria - 4 pc breezeweave cooling bed sheets - nylon + spandex, cloud soft, silky smo</t>
  </si>
  <si>
    <t xml:space="preserve">sleephoria 18”</t>
  </si>
  <si>
    <t xml:space="preserve">sleephoria cooling sheet king size</t>
  </si>
  <si>
    <t xml:space="preserve">sleephoria cooling sheets silver</t>
  </si>
  <si>
    <t xml:space="preserve">bedding cool sheets</t>
  </si>
  <si>
    <t xml:space="preserve">sleephoria queen cooling pillow cases</t>
  </si>
  <si>
    <t xml:space="preserve">bamboo ultra chill cooling sheets</t>
  </si>
  <si>
    <t xml:space="preserve">cooling top sheet only sleephoria</t>
  </si>
  <si>
    <t xml:space="preserve">linen market 4 piece queen sheet set - breathable, double-brushed patterned cooling sheets – ultra soft &amp; wrinkle-free 16" deep-pocket queen sheets - easy care blossoms light blue</t>
  </si>
  <si>
    <t xml:space="preserve">sleephoria bamboo sheets queen size 6pc</t>
  </si>
  <si>
    <t xml:space="preserve">cooling bed sheets fig color</t>
  </si>
  <si>
    <t xml:space="preserve">cooling sheets black</t>
  </si>
  <si>
    <t xml:space="preserve">flextop california king cooling sheet set for sleep number bed</t>
  </si>
  <si>
    <t xml:space="preserve">sleephoria king cooling sheet set</t>
  </si>
  <si>
    <t xml:space="preserve">rv queen cool sheets</t>
  </si>
  <si>
    <t xml:space="preserve">sleephoria cooling king size pillowcase</t>
  </si>
  <si>
    <t xml:space="preserve">sleephoria cooling sheets cool grey</t>
  </si>
  <si>
    <t xml:space="preserve">sleephoria standard pillow cases</t>
  </si>
  <si>
    <t xml:space="preserve">teal sleephoria sheets</t>
  </si>
  <si>
    <t xml:space="preserve">twin xl cooling sheets deep pockets</t>
  </si>
  <si>
    <t xml:space="preserve">xl twin cooling sheets</t>
  </si>
  <si>
    <t xml:space="preserve">xtreme cooling sheets</t>
  </si>
  <si>
    <t xml:space="preserve">yiyea arc-chill icy-jade cooling sheets full</t>
  </si>
  <si>
    <t xml:space="preserve">sleephoria cooling sheets - breezeweave 4 pc queen size cooling bed sheets for hot sleepers &amp; deep, cool rest - cloud soft, silky smooth, 16 in deep pocket, ultra durable</t>
  </si>
  <si>
    <t xml:space="preserve">cooling bed sheets breathable fabric</t>
  </si>
  <si>
    <t xml:space="preserve">full size bed cooling sheets sets</t>
  </si>
  <si>
    <t xml:space="preserve">sleephoria cooling glacial green king size pillow cases</t>
  </si>
  <si>
    <t xml:space="preserve">california king cooling sheet sets</t>
  </si>
  <si>
    <t xml:space="preserve">twin cooling sheets deep pockets</t>
  </si>
  <si>
    <t xml:space="preserve">twin xl bed deep cool sheet</t>
  </si>
  <si>
    <t xml:space="preserve">twin xl black cooling sheets</t>
  </si>
  <si>
    <t xml:space="preserve">twin xl sage cooling sheets q max</t>
  </si>
  <si>
    <t xml:space="preserve">twin xl size cooling bed sheets</t>
  </si>
  <si>
    <t xml:space="preserve">ultra cooling sheets and comforter</t>
  </si>
  <si>
    <t xml:space="preserve">very cool sheets and thick</t>
  </si>
  <si>
    <t xml:space="preserve">what are your best king size deep pocket cooling sheets</t>
  </si>
  <si>
    <t xml:space="preserve">cooling sheet sets for queen mattress16 inches deep pocket</t>
  </si>
  <si>
    <t xml:space="preserve">cooling sheets with elastic corner straps cooling sheets extra wide elastic</t>
  </si>
  <si>
    <t xml:space="preserve">cooling sheets teal</t>
  </si>
  <si>
    <t xml:space="preserve">twin daybed cooling sheets set</t>
  </si>
  <si>
    <t xml:space="preserve">what is the best cooling sheets with a bed set</t>
  </si>
  <si>
    <t xml:space="preserve">16 inch cooling queen deep pocket sheets</t>
  </si>
  <si>
    <t xml:space="preserve">16 inch deep sheets queen cooling</t>
  </si>
  <si>
    <t xml:space="preserve">18-24” deep pocket cooling king sheets navy</t>
  </si>
  <si>
    <t xml:space="preserve">sleephoria 3/4 pc cooling sheets - breezeweave bed sheets</t>
  </si>
  <si>
    <t xml:space="preserve">sleephoria 4 piece king size cooling sheets set</t>
  </si>
  <si>
    <t xml:space="preserve">sleephoria breeze weave cooling blanket</t>
  </si>
  <si>
    <t xml:space="preserve">sleephoria king with deep pockets</t>
  </si>
  <si>
    <t xml:space="preserve">sheets that stay super cool</t>
  </si>
  <si>
    <t xml:space="preserve">sleephoria sleep cooling pillow case</t>
  </si>
  <si>
    <t xml:space="preserve">5 star 24” queen size sheets deep pocket cooling</t>
  </si>
  <si>
    <t xml:space="preserve">sleephoria beige pillow case</t>
  </si>
  <si>
    <t xml:space="preserve">queen sport cooling sheets</t>
  </si>
  <si>
    <t xml:space="preserve">sleephoria cooling pillowcase</t>
  </si>
  <si>
    <t xml:space="preserve">sleephoria king flatsheet</t>
  </si>
  <si>
    <t xml:space="preserve">cooling sheets 6 piece</t>
  </si>
  <si>
    <t xml:space="preserve">cooling sheets 12 inch twin mattress</t>
  </si>
  <si>
    <t xml:space="preserve">sleephoria beige pillow cases</t>
  </si>
  <si>
    <t xml:space="preserve">sleephoria personal sheet set</t>
  </si>
  <si>
    <t xml:space="preserve">full xl cooling sheets</t>
  </si>
  <si>
    <t xml:space="preserve">sleephoria 4 pc cooling sheets california king size bed set - temperature regulating bedding for</t>
  </si>
  <si>
    <t xml:space="preserve">cooling sheets for full xl</t>
  </si>
  <si>
    <t xml:space="preserve">qmax cooling comforter breeze weave cooling sleephoria</t>
  </si>
  <si>
    <t xml:space="preserve">cooling sheets king size teal</t>
  </si>
  <si>
    <t xml:space="preserve">cali king cooling sheets with side pockets</t>
  </si>
  <si>
    <t xml:space="preserve">sleephoria — cooling pillowcases</t>
  </si>
  <si>
    <t xml:space="preserve">cooling sheets pink</t>
  </si>
  <si>
    <t xml:space="preserve">queen cooling sheets sleephoria</t>
  </si>
  <si>
    <t xml:space="preserve">cooling bamboo sheets king</t>
  </si>
  <si>
    <t xml:space="preserve">cooling bed sheets cal king beige deep pockets</t>
  </si>
  <si>
    <t xml:space="preserve">cooling deep pocket king sheet set</t>
  </si>
  <si>
    <t xml:space="preserve">cooling fitted sheet twin xl</t>
  </si>
  <si>
    <t xml:space="preserve">cooling fitted sheets for california king size bed</t>
  </si>
  <si>
    <t xml:space="preserve">cooling flat sheet only</t>
  </si>
  <si>
    <t xml:space="preserve">cooling good on skin sheets</t>
  </si>
  <si>
    <t xml:space="preserve">cooling queen sheets teal</t>
  </si>
  <si>
    <t xml:space="preserve">cool and crisp sheet set</t>
  </si>
  <si>
    <t xml:space="preserve">cool comfort queen bed sheet</t>
  </si>
  <si>
    <t xml:space="preserve">cool gel sheet set</t>
  </si>
  <si>
    <t xml:space="preserve">cool touch sheets twin xl</t>
  </si>
  <si>
    <t xml:space="preserve">cool-tech advanced sheet set size queen</t>
  </si>
  <si>
    <t xml:space="preserve">cooling 24 deep pocket sheets</t>
  </si>
  <si>
    <t xml:space="preserve">cooling alaskan king sheets breathable</t>
  </si>
  <si>
    <t xml:space="preserve">cooling bamboo sheets</t>
  </si>
  <si>
    <t xml:space="preserve">cal king fitted sheet</t>
  </si>
  <si>
    <t xml:space="preserve">california king cooling for hot sleepers fitted sheet with straps</t>
  </si>
  <si>
    <t xml:space="preserve">california king sheets</t>
  </si>
  <si>
    <t xml:space="preserve">california king silk sheet sets cool</t>
  </si>
  <si>
    <t xml:space="preserve">california king teal cooling sheets</t>
  </si>
  <si>
    <t xml:space="preserve">california sheets</t>
  </si>
  <si>
    <t xml:space="preserve">columbia california king cooling sheets</t>
  </si>
  <si>
    <t xml:space="preserve">columbia fitted sheet</t>
  </si>
  <si>
    <t xml:space="preserve">300 thread count sheets king cooling</t>
  </si>
  <si>
    <t xml:space="preserve">7 piece king bedding set cooling</t>
  </si>
  <si>
    <t xml:space="preserve">bed sheets colorado king deep cooling</t>
  </si>
  <si>
    <t xml:space="preserve">best cooling sheets cal king extra deep pocket</t>
  </si>
  <si>
    <t xml:space="preserve">breezeweave king sheets</t>
  </si>
  <si>
    <t xml:space="preserve">browncooling sheets king size for hot sleepers</t>
  </si>
  <si>
    <t xml:space="preserve">burgundy cooling sheets</t>
  </si>
  <si>
    <t xml:space="preserve">cal king cooling pillows cases g sheet</t>
  </si>
  <si>
    <t xml:space="preserve">king size cooling sheets￼</t>
  </si>
  <si>
    <t xml:space="preserve">kingsize cooling sheets</t>
  </si>
  <si>
    <t xml:space="preserve">cal king cooling sheet</t>
  </si>
  <si>
    <t xml:space="preserve">cooling sheets sleephoria white</t>
  </si>
  <si>
    <t xml:space="preserve">sleephoria cooling comforter for hot sleepers &amp; night sweats luxury lightweight</t>
  </si>
  <si>
    <t xml:space="preserve">split king sheets sets for adjustable bed sleephoria</t>
  </si>
  <si>
    <t xml:space="preserve">fresh cold bed sheets</t>
  </si>
  <si>
    <t xml:space="preserve">deep pocket california king sheets cooling</t>
  </si>
  <si>
    <t xml:space="preserve">deep pocket cooler queen sheets</t>
  </si>
  <si>
    <t xml:space="preserve">deep pocket cooling queen sheet set</t>
  </si>
  <si>
    <t xml:space="preserve">deep pocket sheets 18-24 inches queen cooling</t>
  </si>
  <si>
    <t xml:space="preserve">dry fit cooling sheets for split head king mattress</t>
  </si>
  <si>
    <t xml:space="preserve">eastern king cooling sheets</t>
  </si>
  <si>
    <t xml:space="preserve">extra deep pocket cooling queen sheets 18-24 inches</t>
  </si>
  <si>
    <t xml:space="preserve">fitted sheet king cooling</t>
  </si>
  <si>
    <t xml:space="preserve">cooling sheets walmart</t>
  </si>
  <si>
    <t xml:space="preserve">cooling silk sheets king</t>
  </si>
  <si>
    <t xml:space="preserve">cooling silky sheets king size deep pocket</t>
  </si>
  <si>
    <t xml:space="preserve">cooling temperature regulating sheets</t>
  </si>
  <si>
    <t xml:space="preserve">cooling thick soft sheets king size</t>
  </si>
  <si>
    <t xml:space="preserve">cooling top sheet qmax</t>
  </si>
  <si>
    <t xml:space="preserve">cooling touch sheets</t>
  </si>
  <si>
    <t xml:space="preserve">coral cooling bed sheets</t>
  </si>
  <si>
    <t xml:space="preserve">cooling sheet set king green pattern</t>
  </si>
  <si>
    <t xml:space="preserve">cooling sheets and blanket set</t>
  </si>
  <si>
    <t xml:space="preserve">cooling sheets california king in teal</t>
  </si>
  <si>
    <t xml:space="preserve">cooling sheets dark blue</t>
  </si>
  <si>
    <t xml:space="preserve">cooling sheets for beds that incline</t>
  </si>
  <si>
    <t xml:space="preserve">cooling sheets for summer king</t>
  </si>
  <si>
    <t xml:space="preserve">cooling sheets queen fitted</t>
  </si>
  <si>
    <t xml:space="preserve">cooling sheets split king size</t>
  </si>
  <si>
    <t xml:space="preserve">sleephoria king pillow case</t>
  </si>
  <si>
    <t xml:space="preserve">sleephoria single top sheet</t>
  </si>
  <si>
    <t xml:space="preserve">sleepy deluxe cool stretch sheets</t>
  </si>
  <si>
    <t xml:space="preserve">stretch bed sheets king cool</t>
  </si>
  <si>
    <t xml:space="preserve">twin cooling fitted sheets</t>
  </si>
  <si>
    <t xml:space="preserve">twin xl cooling sheets for california king bed split</t>
  </si>
  <si>
    <t xml:space="preserve">ultra cooling extra deep sheets</t>
  </si>
  <si>
    <t xml:space="preserve">vince camuto cooling sheets</t>
  </si>
  <si>
    <t xml:space="preserve">rest evercool cooling fitted sheets</t>
  </si>
  <si>
    <t xml:space="preserve">rest sheets cooling set king</t>
  </si>
  <si>
    <t xml:space="preserve">sealy twin xl cool fitted sheet with strap</t>
  </si>
  <si>
    <t xml:space="preserve">sheets</t>
  </si>
  <si>
    <t xml:space="preserve">short queen rv sheets 60x75 cooling</t>
  </si>
  <si>
    <t xml:space="preserve">silver sheets</t>
  </si>
  <si>
    <t xml:space="preserve">sleep number sheets with straps cooling</t>
  </si>
  <si>
    <t xml:space="preserve">sleephoria 3-4 pc breezeweave cooling bed sheets - nylon + spandex, cloud soft, silky smooth, 16</t>
  </si>
  <si>
    <t xml:space="preserve">king size cooling orange sheets</t>
  </si>
  <si>
    <t xml:space="preserve">king size deep gem colored printed cooling percale bed sheet sets</t>
  </si>
  <si>
    <t xml:space="preserve">king split sheets for adjustable bed cooling</t>
  </si>
  <si>
    <t xml:space="preserve">mellow king size sheets</t>
  </si>
  <si>
    <t xml:space="preserve">mica nylon cool fitted sheet</t>
  </si>
  <si>
    <t xml:space="preserve">oversized queen sheets cooling</t>
  </si>
  <si>
    <t xml:space="preserve">polyester sheets black cooling</t>
  </si>
  <si>
    <t xml:space="preserve">queen sheets cooling 6pcs</t>
  </si>
  <si>
    <t xml:space="preserve">full size 14 inch cooling fitted sheet</t>
  </si>
  <si>
    <t xml:space="preserve">full xl bed sheets cooling</t>
  </si>
  <si>
    <t xml:space="preserve">fun print cooling king sheet set</t>
  </si>
  <si>
    <t xml:space="preserve">hot pink cooling silk sheets king size</t>
  </si>
  <si>
    <t xml:space="preserve">hotel quality microfiber cooling sheets</t>
  </si>
  <si>
    <t xml:space="preserve">king bed sheets bamboo cooling</t>
  </si>
  <si>
    <t xml:space="preserve">king bed sheets cooling deep pocket</t>
  </si>
  <si>
    <t xml:space="preserve">king silver infused bed sheets deep pocket</t>
  </si>
  <si>
    <t xml:space="preserve">cooling sheets 4 pc - sleephoria</t>
  </si>
  <si>
    <t xml:space="preserve">cooling silk sheets</t>
  </si>
  <si>
    <t xml:space="preserve">horvath sleephoria</t>
  </si>
  <si>
    <t xml:space="preserve">sleephoria bedding set</t>
  </si>
  <si>
    <t xml:space="preserve">sleephoria top sheets</t>
  </si>
  <si>
    <t xml:space="preserve">100% rayon cooling sheet</t>
  </si>
  <si>
    <t xml:space="preserve">100% rayon made from bamboo, 3 pcs silky soft sheet set, breathable cool for night sweats, up to 16 inches deep pocket twin xl</t>
  </si>
  <si>
    <t xml:space="preserve">100%polyester cooling sheets</t>
  </si>
  <si>
    <t xml:space="preserve">sleephoria king size sheets</t>
  </si>
  <si>
    <t xml:space="preserve">cooling sheets for california king comforter set for cabin</t>
  </si>
  <si>
    <t xml:space="preserve">king size oversize sleephoria cooling comforter ...</t>
  </si>
  <si>
    <t xml:space="preserve">queen bed sheets cooling silk</t>
  </si>
  <si>
    <t xml:space="preserve">cloud cool cooling sheet set</t>
  </si>
  <si>
    <t xml:space="preserve">cooling sheet sleepphoria</t>
  </si>
  <si>
    <t xml:space="preserve">full size sheet sets with cooling technology in red</t>
  </si>
  <si>
    <t xml:space="preserve">queen size cooling fitted sheet only</t>
  </si>
  <si>
    <t xml:space="preserve">bedsure king cooling colored sheets</t>
  </si>
  <si>
    <t xml:space="preserve">below zero cooling bed sheets</t>
  </si>
  <si>
    <t xml:space="preserve">sleephoria queen size sheet set</t>
  </si>
  <si>
    <t xml:space="preserve">ugg queen cooling sheets</t>
  </si>
  <si>
    <t xml:space="preserve">dusty rose king size cooling sheets</t>
  </si>
  <si>
    <t xml:space="preserve">avolore cooling sheets</t>
  </si>
  <si>
    <t xml:space="preserve">cooling sheets full size sleephoria</t>
  </si>
  <si>
    <t xml:space="preserve">sleephoria just top sheet</t>
  </si>
  <si>
    <t xml:space="preserve">flex head king cooling sheets</t>
  </si>
  <si>
    <t xml:space="preserve">sleephoria 4 pc cooling sheets california king size bed set - temperature regulating bedding for h</t>
  </si>
  <si>
    <t xml:space="preserve">abeero home king size sheets set cooling</t>
  </si>
  <si>
    <t xml:space="preserve">cooling queen size extra deep sheets</t>
  </si>
  <si>
    <t xml:space="preserve">cooling sheets deep pocket design</t>
  </si>
  <si>
    <t xml:space="preserve">sleephoria 4 piece eastern king cooling sheet set</t>
  </si>
  <si>
    <t xml:space="preserve">￼ sleephoria cooling comforter king size for hot sleepers &amp; night sweats luxury lightweight</t>
  </si>
  <si>
    <t xml:space="preserve">black cooling sheet</t>
  </si>
  <si>
    <t xml:space="preserve">black queen cooling sheet set</t>
  </si>
  <si>
    <t xml:space="preserve">black sheets king cooling</t>
  </si>
  <si>
    <t xml:space="preserve">blue green cooling sheets</t>
  </si>
  <si>
    <t xml:space="preserve">blue printed cool deep fitted sheet</t>
  </si>
  <si>
    <t xml:space="preserve">breezeweave cooling flat sheet</t>
  </si>
  <si>
    <t xml:space="preserve">california king bed set cooling 8 piece</t>
  </si>
  <si>
    <t xml:space="preserve">california king black cooling sheets</t>
  </si>
  <si>
    <t xml:space="preserve">bed set cooling king</t>
  </si>
  <si>
    <t xml:space="preserve">bed sets queen cooling black</t>
  </si>
  <si>
    <t xml:space="preserve">bed sheets set queen size 12 inch deep pockets cooling</t>
  </si>
  <si>
    <t xml:space="preserve">bedsheets queen size bed cool 10 inch</t>
  </si>
  <si>
    <t xml:space="preserve">bedsheets that breathe and stay cool at night</t>
  </si>
  <si>
    <t xml:space="preserve">bedsheets that help keep you cool</t>
  </si>
  <si>
    <t xml:space="preserve">bedsure fitted sheet queen</t>
  </si>
  <si>
    <t xml:space="preserve">bedsure sheets</t>
  </si>
  <si>
    <t xml:space="preserve">bamboo cooling sheets queen chocolate brown</t>
  </si>
  <si>
    <t xml:space="preserve">bamboo cooling sheets queen deep pocket</t>
  </si>
  <si>
    <t xml:space="preserve">bamboo sheets cooling</t>
  </si>
  <si>
    <t xml:space="preserve">bamboo super soft sheets</t>
  </si>
  <si>
    <t xml:space="preserve">bed cooler fan</t>
  </si>
  <si>
    <t xml:space="preserve">bed cooling pad</t>
  </si>
  <si>
    <t xml:space="preserve">bed room fans for cooling and sleep blue</t>
  </si>
  <si>
    <t xml:space="preserve">16 in queen sheets with strap cooling purple</t>
  </si>
  <si>
    <t xml:space="preserve">18 inch plus bed sheet purple floral cooling</t>
  </si>
  <si>
    <t xml:space="preserve">24inch cool sheets</t>
  </si>
  <si>
    <t xml:space="preserve">5 star cooling bedsheets nasa technology deep pockets</t>
  </si>
  <si>
    <t xml:space="preserve">7 piece cooling bedding set</t>
  </si>
  <si>
    <t xml:space="preserve">advanced cooling gel sheets</t>
  </si>
  <si>
    <t xml:space="preserve">affordable price for cooling queen sheet set</t>
  </si>
  <si>
    <t xml:space="preserve">b10 bed cooling system queen</t>
  </si>
  <si>
    <t xml:space="preserve">cooling fitted bed sheets king</t>
  </si>
  <si>
    <t xml:space="preserve">cooling fitted sheet king stretch</t>
  </si>
  <si>
    <t xml:space="preserve">cooling fitted sheet queen deep pocket</t>
  </si>
  <si>
    <t xml:space="preserve">cooling fitted sheets california king</t>
  </si>
  <si>
    <t xml:space="preserve">cooling fitted twin sheet</t>
  </si>
  <si>
    <t xml:space="preserve">cooling fuchsia sheets</t>
  </si>
  <si>
    <t xml:space="preserve">cooling full fitted sheet</t>
  </si>
  <si>
    <t xml:space="preserve">cooling full size bed set</t>
  </si>
  <si>
    <t xml:space="preserve">cooling bed topper</t>
  </si>
  <si>
    <t xml:space="preserve">cooling black silk fitted sheet</t>
  </si>
  <si>
    <t xml:space="preserve">cooling burnt orange deep pocket sheets queen</t>
  </si>
  <si>
    <t xml:space="preserve">cooling complete bed set</t>
  </si>
  <si>
    <t xml:space="preserve">cooling dark purple fitted sheet deep pockets</t>
  </si>
  <si>
    <t xml:space="preserve">cooling dark purple fitted sheet deep pockets california king size</t>
  </si>
  <si>
    <t xml:space="preserve">cooling denim blue sheet set</t>
  </si>
  <si>
    <t xml:space="preserve">cool purple sheets queen</t>
  </si>
  <si>
    <t xml:space="preserve">cool stretch sheets</t>
  </si>
  <si>
    <t xml:space="preserve">cooling bed covers queen black</t>
  </si>
  <si>
    <t xml:space="preserve">cooling bed in a bag</t>
  </si>
  <si>
    <t xml:space="preserve">cooling bed set cal king 16" in deep</t>
  </si>
  <si>
    <t xml:space="preserve">cooling bed sets full</t>
  </si>
  <si>
    <t xml:space="preserve">cooling bed sheets thick</t>
  </si>
  <si>
    <t xml:space="preserve">cooling bed sheets twin size</t>
  </si>
  <si>
    <t xml:space="preserve">chocolate brown cooling sheets</t>
  </si>
  <si>
    <t xml:space="preserve">cold queen sheets covers purple</t>
  </si>
  <si>
    <t xml:space="preserve">color red cooling sheets queen</t>
  </si>
  <si>
    <t xml:space="preserve">columbia cooling sheets twin</t>
  </si>
  <si>
    <t xml:space="preserve">coma inducer snooze cloud sheet set</t>
  </si>
  <si>
    <t xml:space="preserve">comfort cooling bedsheet</t>
  </si>
  <si>
    <t xml:space="preserve">cool bed super soft bed sheets</t>
  </si>
  <si>
    <t xml:space="preserve">cool bedroom set</t>
  </si>
  <si>
    <t xml:space="preserve">cooling sheets king size deep pocket turquoise</t>
  </si>
  <si>
    <t xml:space="preserve">cooling sheets queen extra deep</t>
  </si>
  <si>
    <t xml:space="preserve">cooling sheets queen for purple bed</t>
  </si>
  <si>
    <t xml:space="preserve">cooling sheets queen purple and teal</t>
  </si>
  <si>
    <t xml:space="preserve">cooling sheets silver infused</t>
  </si>
  <si>
    <t xml:space="preserve">cooling sheets with elastic corner straps cooling sheets extra wide elastic wyoming king</t>
  </si>
  <si>
    <t xml:space="preserve">cooling sheets with elastic straps</t>
  </si>
  <si>
    <t xml:space="preserve">cooling tanktops for bed</t>
  </si>
  <si>
    <t xml:space="preserve">cooling sheet throw size</t>
  </si>
  <si>
    <t xml:space="preserve">cooling sheets 16 in</t>
  </si>
  <si>
    <t xml:space="preserve">cooling sheets and pillow cases black queen size</t>
  </si>
  <si>
    <t xml:space="preserve">cooling sheets cotton</t>
  </si>
  <si>
    <t xml:space="preserve">cooling sheets for hot sleepers calking</t>
  </si>
  <si>
    <t xml:space="preserve">cooling sheets for kids twin</t>
  </si>
  <si>
    <t xml:space="preserve">cooling sheets galaxy theme</t>
  </si>
  <si>
    <t xml:space="preserve">cooling sheets green</t>
  </si>
  <si>
    <t xml:space="preserve">cooling queen sheets hot sleepers 24”+</t>
  </si>
  <si>
    <t xml:space="preserve">cooling queen sie deep pocket sheets</t>
  </si>
  <si>
    <t xml:space="preserve">cooling queen size bed set 5 piece</t>
  </si>
  <si>
    <t xml:space="preserve">cooling queen size bed sets</t>
  </si>
  <si>
    <t xml:space="preserve">cooling satin king sheets</t>
  </si>
  <si>
    <t xml:space="preserve">cooling satin sheets polyester</t>
  </si>
  <si>
    <t xml:space="preserve">cooling sheet queen set light blue</t>
  </si>
  <si>
    <t xml:space="preserve">cooling sheet set queen size - 4 piece summer bed sheet set - sky blue</t>
  </si>
  <si>
    <t xml:space="preserve">cooling jumbo fitted bedsheet cal king</t>
  </si>
  <si>
    <t xml:space="preserve">cooling low profile sheets</t>
  </si>
  <si>
    <t xml:space="preserve">cooling moisture wicking sheets for hot sleepers fitted</t>
  </si>
  <si>
    <t xml:space="preserve">cooling navy bed set</t>
  </si>
  <si>
    <t xml:space="preserve">cooling percal sheets</t>
  </si>
  <si>
    <t xml:space="preserve">cooling purple halloween sheets</t>
  </si>
  <si>
    <t xml:space="preserve">cooling queen fitted sheets with strap</t>
  </si>
  <si>
    <t xml:space="preserve">cooling queen sheet sets breathable satin</t>
  </si>
  <si>
    <t xml:space="preserve">extra deep pocket queen sheets 18-24 inches cooling</t>
  </si>
  <si>
    <t xml:space="preserve">fresh queen bed set</t>
  </si>
  <si>
    <t xml:space="preserve">full size bed fitted with pillowcasescotton cooling</t>
  </si>
  <si>
    <t xml:space="preserve">full size cooling fitted sheet only</t>
  </si>
  <si>
    <t xml:space="preserve">full xl sheets cooling</t>
  </si>
  <si>
    <t xml:space="preserve">green cooling sheet set</t>
  </si>
  <si>
    <t xml:space="preserve">hot sleeper solutions twin xl</t>
  </si>
  <si>
    <t xml:space="preserve">kids cooling sheets queen size</t>
  </si>
  <si>
    <t xml:space="preserve">dusty blueextra cooling sheets extra deep pockets</t>
  </si>
  <si>
    <t xml:space="preserve">electric cooling sheets</t>
  </si>
  <si>
    <t xml:space="preserve">elegant blue cooling comforter sheet set</t>
  </si>
  <si>
    <t xml:space="preserve">elegear cooling sheets</t>
  </si>
  <si>
    <t xml:space="preserve">elegear cooling sheets king</t>
  </si>
  <si>
    <t xml:space="preserve">evercool®+ cooling fitted sheet</t>
  </si>
  <si>
    <t xml:space="preserve">extra cooling camping sheets</t>
  </si>
  <si>
    <t xml:space="preserve">extra deep pocket cooling sheets</t>
  </si>
  <si>
    <t xml:space="preserve">cream bedsheet set full cooling</t>
  </si>
  <si>
    <t xml:space="preserve">cute deep cotton queen sheets</t>
  </si>
  <si>
    <t xml:space="preserve">dark purple cooling sheets queen</t>
  </si>
  <si>
    <t xml:space="preserve">decolure cooling sheets queen set 4pcs - luxurious &amp; ultra-soft cooling bed sheets queen size for hot sleepers - comfortable bamboo viscose microfiber queen bed sheets set cooling (cream)</t>
  </si>
  <si>
    <t xml:space="preserve">deep fitted cooling sheets queen</t>
  </si>
  <si>
    <t xml:space="preserve">deep pocket cooling queen sheets hot sleepers</t>
  </si>
  <si>
    <t xml:space="preserve">deep queen sheet set cooling cute</t>
  </si>
  <si>
    <t xml:space="preserve">dusty blue cooling sheets extra deep pockets</t>
  </si>
  <si>
    <t xml:space="preserve">cooling technology sheets</t>
  </si>
  <si>
    <t xml:space="preserve">cooling top sheet only</t>
  </si>
  <si>
    <t xml:space="preserve">cooling top sheet purple</t>
  </si>
  <si>
    <t xml:space="preserve">cooling twin fitted sheet only</t>
  </si>
  <si>
    <t xml:space="preserve">cooling twin xl sheets</t>
  </si>
  <si>
    <t xml:space="preserve">coolmax cooling sheets</t>
  </si>
  <si>
    <t xml:space="preserve">copper infused cooling bed sheets</t>
  </si>
  <si>
    <t xml:space="preserve">cozy bliss cooling sheets queen</t>
  </si>
  <si>
    <t xml:space="preserve">pattern cooling sheets queen</t>
  </si>
  <si>
    <t xml:space="preserve">phase-change cooling sheet</t>
  </si>
  <si>
    <t xml:space="preserve">printed bamboo sheets</t>
  </si>
  <si>
    <t xml:space="preserve">purple bedsheets queen size bamboo cooling</t>
  </si>
  <si>
    <t xml:space="preserve">purple cool queen mattress sheet set</t>
  </si>
  <si>
    <t xml:space="preserve">purple cooling bamboo fitted sheets design full size</t>
  </si>
  <si>
    <t xml:space="preserve">purple cooling bed spread king</t>
  </si>
  <si>
    <t xml:space="preserve">purple cooling sheet queen</t>
  </si>
  <si>
    <t xml:space="preserve">mauve queen cooling sheet</t>
  </si>
  <si>
    <t xml:space="preserve">mellow cloud cooling sheet set</t>
  </si>
  <si>
    <t xml:space="preserve">midnight bed cooling system</t>
  </si>
  <si>
    <t xml:space="preserve">moisture wicking sheets</t>
  </si>
  <si>
    <t xml:space="preserve">navy blue cooling sheets full</t>
  </si>
  <si>
    <t xml:space="preserve">nylon spandex cooling sheets queen</t>
  </si>
  <si>
    <t xml:space="preserve">oeko-tex cooling sheets</t>
  </si>
  <si>
    <t xml:space="preserve">oeko-tex sheets cooling 1000 thread count</t>
  </si>
  <si>
    <t xml:space="preserve">king size deep gem colored cooling percale bed sheet sets</t>
  </si>
  <si>
    <t xml:space="preserve">king size sheets 18-24 extra deep pocket set cooling</t>
  </si>
  <si>
    <t xml:space="preserve">king size sheets set silky and cooling</t>
  </si>
  <si>
    <t xml:space="preserve">lavender cotton cooling sheets</t>
  </si>
  <si>
    <t xml:space="preserve">light purple queen sheets cooling</t>
  </si>
  <si>
    <t xml:space="preserve">low profile cooling sheet</t>
  </si>
  <si>
    <t xml:space="preserve">luxear cooling sheets</t>
  </si>
  <si>
    <t xml:space="preserve">maroon king cooling sheets</t>
  </si>
  <si>
    <t xml:space="preserve">king bedsheets cooling deep pockets</t>
  </si>
  <si>
    <t xml:space="preserve">king cooling bed set</t>
  </si>
  <si>
    <t xml:space="preserve">king cooling fitted sheet</t>
  </si>
  <si>
    <t xml:space="preserve">king cooling fitted sheet with corner straps</t>
  </si>
  <si>
    <t xml:space="preserve">king cooling sheet tucked in</t>
  </si>
  <si>
    <t xml:space="preserve">king red sheets cooling</t>
  </si>
  <si>
    <t xml:space="preserve">king size cooling bed set</t>
  </si>
  <si>
    <t xml:space="preserve">king size cooling rose color sheets</t>
  </si>
  <si>
    <t xml:space="preserve">queen size extra deep pocket cooling gel sheet</t>
  </si>
  <si>
    <t xml:space="preserve">queen size purple bed sheets</t>
  </si>
  <si>
    <t xml:space="preserve">queen size sheet set deep pocket cooling with comforter</t>
  </si>
  <si>
    <t xml:space="preserve">queen size sheets purple sweat resistant cooling</t>
  </si>
  <si>
    <t xml:space="preserve">queen size sheets with side pockets</t>
  </si>
  <si>
    <t xml:space="preserve">rest sheets cooling set queen</t>
  </si>
  <si>
    <t xml:space="preserve">room bedroom bed cooling</t>
  </si>
  <si>
    <t xml:space="preserve">sage green cooling flat sheet</t>
  </si>
  <si>
    <t xml:space="preserve">queen pillow top bed sheets cooling</t>
  </si>
  <si>
    <t xml:space="preserve">queen sheet set cooling regal purple</t>
  </si>
  <si>
    <t xml:space="preserve">queen sheets silk cooling</t>
  </si>
  <si>
    <t xml:space="preserve">queen sheets uk cooling</t>
  </si>
  <si>
    <t xml:space="preserve">queen size cooling bed set</t>
  </si>
  <si>
    <t xml:space="preserve">queen size cooling fitted sheet</t>
  </si>
  <si>
    <t xml:space="preserve">queen size cooling sheets brown</t>
  </si>
  <si>
    <t xml:space="preserve">queen size deep pocket sheet sets cooling set</t>
  </si>
  <si>
    <t xml:space="preserve">queen bed sheets 1000 thread count cooling</t>
  </si>
  <si>
    <t xml:space="preserve">queen bed sheets black don't fall off cooling</t>
  </si>
  <si>
    <t xml:space="preserve">queen bed sheets deep pocket cooling 15 inch pockets</t>
  </si>
  <si>
    <t xml:space="preserve">queen black and sage cooling sheets</t>
  </si>
  <si>
    <t xml:space="preserve">queen cooling bed in a bag red</t>
  </si>
  <si>
    <t xml:space="preserve">queen cotton cooling effect sheets 20"deep</t>
  </si>
  <si>
    <t xml:space="preserve">queen extra deep pocket sheets 18-24 inch</t>
  </si>
  <si>
    <t xml:space="preserve">purple cooling silk sheets</t>
  </si>
  <si>
    <t xml:space="preserve">purple deep pocket cooling sheets</t>
  </si>
  <si>
    <t xml:space="preserve">purple sheets king</t>
  </si>
  <si>
    <t xml:space="preserve">purple sheets king size</t>
  </si>
  <si>
    <t xml:space="preserve">purple sheets queen spandex cooling</t>
  </si>
  <si>
    <t xml:space="preserve">q max cooling sheets</t>
  </si>
  <si>
    <t xml:space="preserve">queen bed bedsheet ultra soft air cool</t>
  </si>
  <si>
    <t xml:space="preserve">queen bed cooling comforter set fall</t>
  </si>
  <si>
    <t xml:space="preserve">twin sheets cooling lilac</t>
  </si>
  <si>
    <t xml:space="preserve">twin size bed cooling sheets sleephoria</t>
  </si>
  <si>
    <t xml:space="preserve">undersheet cooling fan for bed</t>
  </si>
  <si>
    <t xml:space="preserve">washable cooling and heating bed sheets</t>
  </si>
  <si>
    <t xml:space="preserve">queen sheet set for blow up mattress</t>
  </si>
  <si>
    <t xml:space="preserve">cooling bed in a bag queen</t>
  </si>
  <si>
    <t xml:space="preserve">royal purple cooling sheets full bed</t>
  </si>
  <si>
    <t xml:space="preserve">sleephoria cooling bed sheets</t>
  </si>
  <si>
    <t xml:space="preserve">soft cooling black full sheets</t>
  </si>
  <si>
    <t xml:space="preserve">soft cooling sheets queen size purple</t>
  </si>
  <si>
    <t xml:space="preserve">soft cooling sheets with moons</t>
  </si>
  <si>
    <t xml:space="preserve">soft stretchy queen sheets cool</t>
  </si>
  <si>
    <t xml:space="preserve">soft temperature regulating queen sheets</t>
  </si>
  <si>
    <t xml:space="preserve">split head queen sheets for adjustable bed cooling</t>
  </si>
  <si>
    <t xml:space="preserve">standard queen cooling fitted sheets print</t>
  </si>
  <si>
    <t xml:space="preserve">super soft sheets cal king hot sleepers deep pocket</t>
  </si>
  <si>
    <t xml:space="preserve">sheetz sheets king</t>
  </si>
  <si>
    <t xml:space="preserve">short queen deep fitted sheets cooling</t>
  </si>
  <si>
    <t xml:space="preserve">silky cooling fitted sheet</t>
  </si>
  <si>
    <t xml:space="preserve">silky cooling purple queen sheets</t>
  </si>
  <si>
    <t xml:space="preserve">silver infused sheets</t>
  </si>
  <si>
    <t xml:space="preserve">silvery sheets queen</t>
  </si>
  <si>
    <t xml:space="preserve">sleepphoria cooling fitted sheet full size</t>
  </si>
  <si>
    <t xml:space="preserve">sleepzone sheets</t>
  </si>
  <si>
    <t xml:space="preserve">sealy cool bed sheets extra deep pocket</t>
  </si>
  <si>
    <t xml:space="preserve">serta cooling full size sheets</t>
  </si>
  <si>
    <t xml:space="preserve">serta cooling full size, deep pocket sheets</t>
  </si>
  <si>
    <t xml:space="preserve">sheets for hot sleepers twin xl printed</t>
  </si>
  <si>
    <t xml:space="preserve">sheets full elastic cooling</t>
  </si>
  <si>
    <t xml:space="preserve">sheets queen size</t>
  </si>
  <si>
    <t xml:space="preserve">sheets that don't bunch up</t>
  </si>
  <si>
    <t xml:space="preserve">sheets with ice</t>
  </si>
  <si>
    <t xml:space="preserve">cooling bed sheets double elastic sewn in</t>
  </si>
  <si>
    <t xml:space="preserve">cooling comforter full size</t>
  </si>
  <si>
    <t xml:space="preserve">cooling fitted sheet king size</t>
  </si>
  <si>
    <t xml:space="preserve">cooling mattress pad</t>
  </si>
  <si>
    <t xml:space="preserve">cooling sheets for hot flashes and night sweats</t>
  </si>
  <si>
    <t xml:space="preserve">cream bed sheets</t>
  </si>
  <si>
    <t xml:space="preserve">dark purple sheets queen</t>
  </si>
  <si>
    <t xml:space="preserve">deep pocket queen size cooling sheets</t>
  </si>
  <si>
    <t xml:space="preserve">bed sheets queen size cloud</t>
  </si>
  <si>
    <t xml:space="preserve">black deep pocket queen sheets</t>
  </si>
  <si>
    <t xml:space="preserve">black sheets</t>
  </si>
  <si>
    <t xml:space="preserve">breezeweave flat sheets</t>
  </si>
  <si>
    <t xml:space="preserve">brookstone sheets</t>
  </si>
  <si>
    <t xml:space="preserve">cloud sleep</t>
  </si>
  <si>
    <t xml:space="preserve">clouds bed sheets queen</t>
  </si>
  <si>
    <t xml:space="preserve">cold sheets for hot sleepers queen</t>
  </si>
  <si>
    <t xml:space="preserve">fsa eligible cooling sheets california king</t>
  </si>
  <si>
    <t xml:space="preserve">sleephoria 4 piece deep pocket cooling sheets</t>
  </si>
  <si>
    <t xml:space="preserve">sleephoria cooling blanket king size</t>
  </si>
  <si>
    <t xml:space="preserve">twin xl cooling sheets for adjustable bed</t>
  </si>
  <si>
    <t xml:space="preserve">800 count queen sheets cool</t>
  </si>
  <si>
    <t xml:space="preserve">bamboo sheets twin</t>
  </si>
  <si>
    <t xml:space="preserve">bed sheets cloud</t>
  </si>
  <si>
    <t xml:space="preserve">bed sheets purple</t>
  </si>
  <si>
    <t xml:space="preserve">sleephoria cooling bedspread queen</t>
  </si>
  <si>
    <t xml:space="preserve">sleephoria cooling sheet queen</t>
  </si>
  <si>
    <t xml:space="preserve">sleephoria cooling sheets king size 6 piece</t>
  </si>
  <si>
    <t xml:space="preserve">sleephoria extra deep</t>
  </si>
  <si>
    <t xml:space="preserve">tencel cooling fitted sheets</t>
  </si>
  <si>
    <t xml:space="preserve">chocolate cooling sheets sleephoria</t>
  </si>
  <si>
    <t xml:space="preserve">cooling bed sheets 4pc sleephoria</t>
  </si>
  <si>
    <t xml:space="preserve">cooling fitted sheet infused with silver california king</t>
  </si>
  <si>
    <t xml:space="preserve">silver lined sheets</t>
  </si>
  <si>
    <t xml:space="preserve">12 inch queen cold bed sheets</t>
  </si>
  <si>
    <t xml:space="preserve">purple deep pocket queen sheets breathable</t>
  </si>
  <si>
    <t xml:space="preserve">￼king size cooling sheets</t>
  </si>
  <si>
    <t xml:space="preserve">kings size cooling sheets</t>
  </si>
  <si>
    <t xml:space="preserve">king sheet cooling</t>
  </si>
  <si>
    <t xml:space="preserve">king sheets cool</t>
  </si>
  <si>
    <t xml:space="preserve">cooling sheet king size</t>
  </si>
  <si>
    <t xml:space="preserve">sleepohoria cooling sheets</t>
  </si>
  <si>
    <t xml:space="preserve">soft and cool queen size sheets</t>
  </si>
  <si>
    <t xml:space="preserve">stant cooling for hot sleepers, luxury soft, silky smooth, breathable, deep pocket up to 16", 4 pieces with pillowcases twin bed</t>
  </si>
  <si>
    <t xml:space="preserve">tempurpedic sheets</t>
  </si>
  <si>
    <t xml:space="preserve">comfortable bed set to keep you cool</t>
  </si>
  <si>
    <t xml:space="preserve">sleephoria — cooling sheets 4 piece</t>
  </si>
  <si>
    <t xml:space="preserve">sleephoria cooling duvet</t>
  </si>
  <si>
    <t xml:space="preserve">queen size purple sheet set</t>
  </si>
  <si>
    <t xml:space="preserve">rest</t>
  </si>
  <si>
    <t xml:space="preserve">sheets for purple bed deep pockets</t>
  </si>
  <si>
    <t xml:space="preserve">silver infused sheets queen size</t>
  </si>
  <si>
    <t xml:space="preserve">sleep zone cooling sheets</t>
  </si>
  <si>
    <t xml:space="preserve">sleephoria comforter queen size</t>
  </si>
  <si>
    <t xml:space="preserve">deep sheets queen purple</t>
  </si>
  <si>
    <t xml:space="preserve">fitted cooling sheet queen size</t>
  </si>
  <si>
    <t xml:space="preserve">nylon and spandex fitted sheet</t>
  </si>
  <si>
    <t xml:space="preserve">purple queen cooling sheets</t>
  </si>
  <si>
    <t xml:space="preserve">purple queen size sheets</t>
  </si>
  <si>
    <t xml:space="preserve">purple sheets for queen size bed</t>
  </si>
  <si>
    <t xml:space="preserve">queen sheets purple</t>
  </si>
  <si>
    <t xml:space="preserve">queen size bed sheets</t>
  </si>
  <si>
    <t xml:space="preserve">queen size bed fitted cooling sheets bottom only deep pockets</t>
  </si>
  <si>
    <t xml:space="preserve">twin xl bed sheets cooling</t>
  </si>
  <si>
    <t xml:space="preserve">rest cooling flat sheet kong size</t>
  </si>
  <si>
    <t xml:space="preserve">sleephoria cooling pillowcases 4</t>
  </si>
  <si>
    <t xml:space="preserve">sleeporia sheets</t>
  </si>
  <si>
    <t xml:space="preserve">bed cooling fan</t>
  </si>
  <si>
    <t xml:space="preserve">sleephoria 3-4 pc breezeweave cooling bed sheets</t>
  </si>
  <si>
    <t xml:space="preserve">sleephoria pillow case cook grey</t>
  </si>
  <si>
    <t xml:space="preserve">hot sleeper sheets</t>
  </si>
  <si>
    <t xml:space="preserve">pillow case cool sleephoria</t>
  </si>
  <si>
    <t xml:space="preserve">sleephoria california king cooling comforter</t>
  </si>
  <si>
    <t xml:space="preserve">cooling fitted sheet all around elastic</t>
  </si>
  <si>
    <t xml:space="preserve">cooling jersey sheets king size</t>
  </si>
  <si>
    <t xml:space="preserve">sleephoria — cooling comforter</t>
  </si>
  <si>
    <t xml:space="preserve">queen 21-24 inch extra deep pocket sheets with strap cooling and extra soft with straps</t>
  </si>
  <si>
    <t xml:space="preserve">dri fit sheets extra deep 28 in</t>
  </si>
  <si>
    <t xml:space="preserve">king size sheets set cooling deep pocket cotton</t>
  </si>
  <si>
    <t xml:space="preserve">lightweight small pocket cooling bedsheets</t>
  </si>
  <si>
    <t xml:space="preserve">queen sheets 14 to 16 inch pocket cooling</t>
  </si>
  <si>
    <t xml:space="preserve">4pc king cooling sheets</t>
  </si>
  <si>
    <t xml:space="preserve">cookie sheets with cooling rack</t>
  </si>
  <si>
    <t xml:space="preserve">dual sided cooling sheets cotton blue</t>
  </si>
  <si>
    <t xml:space="preserve">queen bed sheets purple</t>
  </si>
  <si>
    <t xml:space="preserve">split top queen mattress cooling cover for adjustable bed</t>
  </si>
  <si>
    <t xml:space="preserve">purple cooling sheets queen size</t>
  </si>
  <si>
    <t xml:space="preserve">satin cooling sheets</t>
  </si>
  <si>
    <t xml:space="preserve">sleephoria cooling sheets - breezeweave 4 pc queen size cooling b</t>
  </si>
  <si>
    <t xml:space="preserve">bamboo cooling sheet deep pocket</t>
  </si>
  <si>
    <t xml:space="preserve">chocolate brown cooling sheets queen</t>
  </si>
  <si>
    <t xml:space="preserve">cooling deep pocket fitted sheet with pillowcases</t>
  </si>
  <si>
    <t xml:space="preserve">cooling sheet in leopard print</t>
  </si>
  <si>
    <t xml:space="preserve">sleephoria cold sheet</t>
  </si>
  <si>
    <t xml:space="preserve">sleephoria cooling pillow</t>
  </si>
  <si>
    <t xml:space="preserve">slumberchill sheet set</t>
  </si>
  <si>
    <t xml:space="preserve">christmas bed sheets deep cooling</t>
  </si>
  <si>
    <t xml:space="preserve">sleephoria cooling sheets - breezeweave 4 pc king size cooling bed sheets for hot sleepers &amp; deep, cool rest - cloud soft, silky smooth, 16 in deep pocket, ultra durable (beige)</t>
  </si>
  <si>
    <t xml:space="preserve">sleephoria cooling comfort</t>
  </si>
  <si>
    <t xml:space="preserve">purple cooling blanket king</t>
  </si>
  <si>
    <t xml:space="preserve">sleephoria cooling twin flat sheet</t>
  </si>
  <si>
    <t xml:space="preserve">cool kitchen</t>
  </si>
  <si>
    <t xml:space="preserve">dark lavender sheets</t>
  </si>
  <si>
    <t xml:space="preserve">purple and teal deep pocket bed sheets</t>
  </si>
  <si>
    <t xml:space="preserve">q max cold sheets</t>
  </si>
  <si>
    <t xml:space="preserve">q max cooling sheetz</t>
  </si>
  <si>
    <t xml:space="preserve">ralph lauren bed sheets</t>
  </si>
  <si>
    <t xml:space="preserve">royal purple queen sheet set</t>
  </si>
  <si>
    <t xml:space="preserve">sleephiria cooling top sheet</t>
  </si>
  <si>
    <t xml:space="preserve">cooling bed sets for queen size</t>
  </si>
  <si>
    <t xml:space="preserve">king mattress protector</t>
  </si>
  <si>
    <t xml:space="preserve">sleephoria brand comforter</t>
  </si>
  <si>
    <t xml:space="preserve">bedjet cooling system</t>
  </si>
  <si>
    <t xml:space="preserve">breeze weave 6 pcs sheet set</t>
  </si>
  <si>
    <t xml:space="preserve">breezewave sheets twin</t>
  </si>
  <si>
    <t xml:space="preserve">coma inducer summertime</t>
  </si>
  <si>
    <t xml:space="preserve">comforter bows</t>
  </si>
  <si>
    <t xml:space="preserve">sleephoria - 4 pc breezeweave</t>
  </si>
  <si>
    <t xml:space="preserve">cool bedsheets for your bed</t>
  </si>
  <si>
    <t xml:space="preserve">sleephoria full xl</t>
  </si>
  <si>
    <t xml:space="preserve">i sleephoria - 4 pc breezeweave co... i sleephoria - 4 pc breezeweave co...</t>
  </si>
  <si>
    <t xml:space="preserve">q-max 0.4 cooling sheets</t>
  </si>
  <si>
    <t xml:space="preserve">sleephoria cooling sheets - breezeweave 4 pc queen size cooling bed sheets</t>
  </si>
  <si>
    <t xml:space="preserve">sleephoria king size pocket pillowcase</t>
  </si>
  <si>
    <t xml:space="preserve">sleephoria pillowcases cool gray</t>
  </si>
  <si>
    <t xml:space="preserve">bed sheets full size</t>
  </si>
  <si>
    <t xml:space="preserve">bed sheets king size</t>
  </si>
  <si>
    <t xml:space="preserve">black 14 in queen sheets cooling</t>
  </si>
  <si>
    <t xml:space="preserve">black bamboo sheets queen cooling</t>
  </si>
  <si>
    <t xml:space="preserve">black cooling sheets 17in pockets</t>
  </si>
  <si>
    <t xml:space="preserve">black cooling sheets king</t>
  </si>
  <si>
    <t xml:space="preserve">blendtek™ dry &amp; cool technology for hot sleepers and night sweats, q-max0.46 tech, deep pocket up to 18", 360° elastic band</t>
  </si>
  <si>
    <t xml:space="preserve">12’x12’ sheets of screen</t>
  </si>
  <si>
    <t xml:space="preserve">4.4 (820) sleephoria cooling sheets - breezeweave 4 pc queen size cooling bed sheets for hot sleepers &amp; deep, cool rest - cloud soft, silky smooth, 16 in deep pocket, ultra</t>
  </si>
  <si>
    <t xml:space="preserve">4.5 (805) sleephoria cooling sheets - breezeweave 4 pc king size cooling</t>
  </si>
  <si>
    <t xml:space="preserve">allen roth sheets</t>
  </si>
  <si>
    <t xml:space="preserve">antimicrobial silver infused sheets</t>
  </si>
  <si>
    <t xml:space="preserve">arc-chill q-max 0.5 fitted sheet</t>
  </si>
  <si>
    <t xml:space="preserve">bed air conditioner under sheets</t>
  </si>
  <si>
    <t xml:space="preserve">bed cooler system</t>
  </si>
  <si>
    <t xml:space="preserve">sleephoria 4 pc cooling</t>
  </si>
  <si>
    <t xml:space="preserve">sleephoria 6 pc sheet set</t>
  </si>
  <si>
    <t xml:space="preserve">sleephoria cooling comforter for hot sleepers</t>
  </si>
  <si>
    <t xml:space="preserve">sleephoria cooling sheets - breezeweave 4 pc california king size cooling bed</t>
  </si>
  <si>
    <t xml:space="preserve">sleephoria queen size</t>
  </si>
  <si>
    <t xml:space="preserve">sleephoria set</t>
  </si>
  <si>
    <t xml:space="preserve">breeescape</t>
  </si>
  <si>
    <t xml:space="preserve">￼cooling pads that go under your bedsheet for sleeping</t>
  </si>
  <si>
    <t xml:space="preserve">bedsheets cute design cooling</t>
  </si>
  <si>
    <t xml:space="preserve">cooling bed cover packs</t>
  </si>
  <si>
    <t xml:space="preserve">pillow cover brand sleephoria</t>
  </si>
  <si>
    <t xml:space="preserve">sleephoria cooling sheets cooling comfort collection</t>
  </si>
  <si>
    <t xml:space="preserve">best cal king cooling sheets</t>
  </si>
  <si>
    <t xml:space="preserve">cooling sheets single</t>
  </si>
  <si>
    <t xml:space="preserve">sleephoria - 4 pc breezeweave c</t>
  </si>
  <si>
    <t xml:space="preserve">sleephoria - 4 pc breezeweave cooling</t>
  </si>
  <si>
    <t xml:space="preserve">sleepforia breezeweave</t>
  </si>
  <si>
    <t xml:space="preserve">sleephoria 4 piece breeze weave queen</t>
  </si>
  <si>
    <t xml:space="preserve">sleephoria 4.3 4.3 de 5 estrellas (905) sábanas refrescantes - breezeweave 4 piezas tamaño queen sábanas de cama refrescantes para personas que duermen con calor y descanso profundo y fresco - suav</t>
  </si>
  <si>
    <t xml:space="preserve">sleephoria black queen bottom sheets</t>
  </si>
  <si>
    <t xml:space="preserve">sleephoria cooling fitted sheet queen size - 1 pc breezeweave cooling sheets for hot sleepers &amp; cool rest</t>
  </si>
  <si>
    <t xml:space="preserve">sleephoria cooling fitted sheet queen size - 1 pc breezeweave cooling sheets for hot sleepers &amp; cool rest w/ 16 in deep pocket - corner straps, cloud soft, ultra durable - 57 x 77 in (white)</t>
  </si>
  <si>
    <t xml:space="preserve">cooler sheets sleep horia</t>
  </si>
  <si>
    <t xml:space="preserve">twin xl sheet sets cooling</t>
  </si>
  <si>
    <t xml:space="preserve">sensory compression sheet queen</t>
  </si>
  <si>
    <t xml:space="preserve">sheets that don't pill</t>
  </si>
  <si>
    <t xml:space="preserve">sheetsthat keep you coolat night</t>
  </si>
  <si>
    <t xml:space="preserve">silky sheets cooling queen</t>
  </si>
  <si>
    <t xml:space="preserve">silky sheets queen</t>
  </si>
  <si>
    <t xml:space="preserve">silver infused pillow cases</t>
  </si>
  <si>
    <t xml:space="preserve">silver infused sheet sets</t>
  </si>
  <si>
    <t xml:space="preserve">sleepfaria</t>
  </si>
  <si>
    <t xml:space="preserve">purple queen sheet set</t>
  </si>
  <si>
    <t xml:space="preserve">queen mattress sheets</t>
  </si>
  <si>
    <t xml:space="preserve">queens size bed sheets</t>
  </si>
  <si>
    <t xml:space="preserve">quince sheets</t>
  </si>
  <si>
    <t xml:space="preserve">resort sheets</t>
  </si>
  <si>
    <t xml:space="preserve">rest evercool starting sheet set</t>
  </si>
  <si>
    <t xml:space="preserve">satin sheets deep pockets queen</t>
  </si>
  <si>
    <t xml:space="preserve">hsa debit eligible sheets</t>
  </si>
  <si>
    <t xml:space="preserve">ice sheets for bed</t>
  </si>
  <si>
    <t xml:space="preserve">king cooling blanket</t>
  </si>
  <si>
    <t xml:space="preserve">king cooling comforter set</t>
  </si>
  <si>
    <t xml:space="preserve">king size blankets for bed</t>
  </si>
  <si>
    <t xml:space="preserve">miracle sheets queen size silver infused</t>
  </si>
  <si>
    <t xml:space="preserve">moisture wicking cooling sheets queen</t>
  </si>
  <si>
    <t xml:space="preserve">purple cooling sheet</t>
  </si>
  <si>
    <t xml:space="preserve">cooling sheets for full size bed</t>
  </si>
  <si>
    <t xml:space="preserve">sleephoria cooling sheets - breezeweave 4 pc california king size cooling bed sheets for hot sleepers &amp; deep, cool rest - cloud soft, silky smooth, 16 in deep pocket, ultra durable (cream)</t>
  </si>
  <si>
    <t xml:space="preserve">cool sheet set</t>
  </si>
  <si>
    <t xml:space="preserve">cool full sheets</t>
  </si>
  <si>
    <t xml:space="preserve">cooling sheet for twin</t>
  </si>
  <si>
    <t xml:space="preserve">cool king size sheets set</t>
  </si>
  <si>
    <t xml:space="preserve">sleephoria cooling sheets - breezeweave 4 pc queen size cooling bed sheets for hot sleepers &amp; deep, cool rest - cloud soft, silky smooth, 16 in deep pocket,</t>
  </si>
  <si>
    <t xml:space="preserve">cooler sheet set</t>
  </si>
  <si>
    <t xml:space="preserve">queen size bed sheets for cooling</t>
  </si>
  <si>
    <t xml:space="preserve">queens bedsheet cool</t>
  </si>
  <si>
    <t xml:space="preserve">sabana fria queen</t>
  </si>
  <si>
    <t xml:space="preserve">sleephoria cooling sheets bamboo</t>
  </si>
  <si>
    <t xml:space="preserve">cooling sheets by queen size</t>
  </si>
  <si>
    <t xml:space="preserve">cooling sheets in queen size</t>
  </si>
  <si>
    <t xml:space="preserve">cooling bed sets queen</t>
  </si>
  <si>
    <t xml:space="preserve">sleephoria cooling sheets - breezeweave 4 pc queen size cooling bed sheets for hot sleepers &amp; deep, cool rest - cloud soft, silky smooth, 16 in deep pocket, ultra durable regal...</t>
  </si>
  <si>
    <t xml:space="preserve">￼nylon and spandex light red/ coral colored bamboo cooling with four corner strap queen sheet set -sale!</t>
  </si>
  <si>
    <t xml:space="preserve">1800 thread count sheets king cooling</t>
  </si>
  <si>
    <t xml:space="preserve">cool bed lining</t>
  </si>
  <si>
    <t xml:space="preserve">soft breathable sheets queen</t>
  </si>
  <si>
    <t xml:space="preserve">breezeweave</t>
  </si>
  <si>
    <t xml:space="preserve">queen cool sheet set</t>
  </si>
  <si>
    <t xml:space="preserve">ultra-chill cooling sheet purple</t>
  </si>
  <si>
    <t xml:space="preserve">under sheet bed cooling fan</t>
  </si>
  <si>
    <t xml:space="preserve">wishsmile cooling</t>
  </si>
  <si>
    <t xml:space="preserve">purple queen size sheets deep pocket set</t>
  </si>
  <si>
    <t xml:space="preserve">silky smooth cooling bed sheets</t>
  </si>
  <si>
    <t xml:space="preserve">sleephoria cooling flat sheets queen</t>
  </si>
  <si>
    <t xml:space="preserve">cooling bedding sheet</t>
  </si>
  <si>
    <t xml:space="preserve">sleephoria cream</t>
  </si>
  <si>
    <t xml:space="preserve">queen bedding sets cooling</t>
  </si>
  <si>
    <t xml:space="preserve">queen cool sheets for hot sleepers</t>
  </si>
  <si>
    <t xml:space="preserve">Assumptions and calculation inputs</t>
  </si>
  <si>
    <t xml:space="preserve">Blue = input you can change; black = formula. Every Main_Strategy calculation reads these cells.</t>
  </si>
  <si>
    <t xml:space="preserve">Launch and ranking inputs</t>
  </si>
  <si>
    <t xml:space="preserve">Batch 1 go-live</t>
  </si>
  <si>
    <t xml:space="preserve">2026-10-15</t>
  </si>
  <si>
    <t xml:space="preserve">Decision 8 Oct (Ali's plan): launch 15 Oct at current prices.</t>
  </si>
  <si>
    <t xml:space="preserve">Paid share of ASIN clicks during the rank push</t>
  </si>
  <si>
    <t xml:space="preserve">Sleephoria launch Oct–Nov 2025: DataDive PPC clicks ÷ SQP ASIN clicks on the same keyword (median of 18 keyword-months). The rest came from organic/other placements.</t>
  </si>
  <si>
    <t xml:space="preserve">Probe cap (clicks/day per capped keyword)</t>
  </si>
  <si>
    <t xml:space="preserve">50 clicks over 14 days per capped term — enough for first sales, indexing and a CooLinens CVR read before the size is assigned.</t>
  </si>
  <si>
    <t xml:space="preserve">Max share of a keyword's searches one exact ad can buy</t>
  </si>
  <si>
    <t xml:space="preserve">Supply ceiling: an exact-match ad at the top of search rarely gets more than ~10% of a query's searches as clicks. Funded clicks never exceed searches/day × this.</t>
  </si>
  <si>
    <t xml:space="preserve">Minimum clicks/day for a ranking campaign</t>
  </si>
  <si>
    <t xml:space="preserve">Floor so every full-push and capped-entry campaign reads its own CVR (~50 clicks in 7 weeks) even where the click-share maths asks for less; still limited by supply.</t>
  </si>
  <si>
    <t xml:space="preserve">Halo probe cap (clicks/day per keyword)</t>
  </si>
  <si>
    <t xml:space="preserve">Long-tail terms of undeclared sizes inside a Halo: visibility and CVR read only, no rank push until the root is declared.</t>
  </si>
  <si>
    <t xml:space="preserve">Base bid multiplier on reference CPC</t>
  </si>
  <si>
    <t xml:space="preserve">Base bid = what Sleephoria actually paid on the same exact term (rest-of-search price). The Top-of-Search modifier supplies the launch lift.</t>
  </si>
  <si>
    <t xml:space="preserve">Max TOS modifier when Sleephoria CVR is proven on the term</t>
  </si>
  <si>
    <t xml:space="preserve">Proven = Sleephoria ≥ 50 clicks and CVR ≥ 8% on the exact term. Sleephoria's Oct-25 launch CPC ($4.87–5.15) ran ≈ 2× its steady CPC (~$2.2) and 13 of 14 heads reached top 10 in 6–20 days.</t>
  </si>
  <si>
    <t xml:space="preserve">Max TOS modifier when CVR is not proven</t>
  </si>
  <si>
    <t xml:space="preserve">Decolure Sep-26: TOS +168–174% without CVR evidence → CPC $2.43–2.60, ACoS 76%, no rank response. Unproven terms are capped at +50%.</t>
  </si>
  <si>
    <t xml:space="preserve">Modifier step</t>
  </si>
  <si>
    <t xml:space="preserve">Modifier is the largest step that keeps effective CPC ≤ ranking max CPC.</t>
  </si>
  <si>
    <t xml:space="preserve">Campaign budget headroom over planned spend</t>
  </si>
  <si>
    <t xml:space="preserve">Budget = planned spend × (1 + headroom), so ranking campaigns do not run out before evening (D6).</t>
  </si>
  <si>
    <t xml:space="preserve">Minimum campaign daily budget ($)</t>
  </si>
  <si>
    <t xml:space="preserve">Floor per campaign.</t>
  </si>
  <si>
    <t xml:space="preserve">Ad share of units during launch (planning velocity)</t>
  </si>
  <si>
    <t xml:space="preserve">Sleephoria launch quarter Oct–Dec 2025: ads = 40.2% of sales. Planning velocity = ad orders ÷ this share.</t>
  </si>
  <si>
    <t xml:space="preserve">Switch-to-backup trigger (days of cover)</t>
  </si>
  <si>
    <t xml:space="preserve">Median cover 14 days before observed stockouts = 17.5 days (n = 27) → 21-day trigger.</t>
  </si>
  <si>
    <t xml:space="preserve">Watch threshold (days of cover)</t>
  </si>
  <si>
    <t xml:space="preserve">Switch back to preferred at ≥ 45 days of received cover.</t>
  </si>
  <si>
    <t xml:space="preserve">Click share needed for a target organic rank</t>
  </si>
  <si>
    <t xml:space="preserve">Measured on Sleephoria (same product): SQP ASIN click share in months where its monthly median organic rank sat in each band (Oct-25 → Sep-26).</t>
  </si>
  <si>
    <t xml:space="preserve">Target rank (≤)</t>
  </si>
  <si>
    <t xml:space="preserve">Click share needed</t>
  </si>
  <si>
    <t xml:space="preserve">Purchase share observed</t>
  </si>
  <si>
    <t xml:space="preserve">Keyword-months (n)</t>
  </si>
  <si>
    <t xml:space="preserve">Economics by size (rule M1)</t>
  </si>
  <si>
    <t xml:space="preserve">Margin = price − COGS − FBA − 15% referral − $3.50 allowance. Target ACoS = 0.5 × break-even; max acceptable = 0.75 × break-even; ranking ceiling = MIN(80%, 1.5 × break-even). No-size keywords use Queen (they advertise Queen Graphite).</t>
  </si>
  <si>
    <t xml:space="preserve">Price</t>
  </si>
  <si>
    <t xml:space="preserve">COGS</t>
  </si>
  <si>
    <t xml:space="preserve">FBA fee</t>
  </si>
  <si>
    <t xml:space="preserve">Referral (15%)</t>
  </si>
  <si>
    <t xml:space="preserve">Allowance</t>
  </si>
  <si>
    <t xml:space="preserve">Margin / unit</t>
  </si>
  <si>
    <t xml:space="preserve">Break-even ACoS</t>
  </si>
  <si>
    <t xml:space="preserve">Target ACoS</t>
  </si>
  <si>
    <t xml:space="preserve">Max acceptable ACoS</t>
  </si>
  <si>
    <t xml:space="preserve">Ranking ceiling ACoS</t>
  </si>
  <si>
    <t xml:space="preserve">COGS: user upload (aligned 8 Oct). FBA: Amazon fee preview per size. Prices: decision 8 Oct.</t>
  </si>
  <si>
    <t xml:space="preserve">Excluded keywords (1,252) — considered and rejected, with the reason</t>
  </si>
  <si>
    <t xml:space="preserve">Kept out of every batch. Re-add only through search-term harvest evidence.</t>
  </si>
  <si>
    <t xml:space="preserve">Exclusion type</t>
  </si>
  <si>
    <t xml:space="preserve">SV / mo (MKL)</t>
  </si>
  <si>
    <t xml:space="preserve">SV / mo (launch window)</t>
  </si>
  <si>
    <t xml:space="preserve">Score</t>
  </si>
  <si>
    <t xml:space="preserve">Type</t>
  </si>
  <si>
    <t xml:space="preserve">Use</t>
  </si>
  <si>
    <t xml:space="preserve">Intent</t>
  </si>
  <si>
    <t xml:space="preserve">Market CVR</t>
  </si>
  <si>
    <t xml:space="preserve">Sleephoria clicks</t>
  </si>
  <si>
    <t xml:space="preserve">Sleephoria CVR %</t>
  </si>
  <si>
    <t xml:space="preserve">Reason</t>
  </si>
  <si>
    <t xml:space="preserve">Fails product / intent check</t>
  </si>
  <si>
    <t xml:space="preserve">✓</t>
  </si>
  <si>
    <t xml:space="preserve">✗</t>
  </si>
  <si>
    <t xml:space="preserve">Excluded: no cooling or hot-sleeper intent — generic sheets.</t>
  </si>
  <si>
    <t xml:space="preserve">full size sheets</t>
  </si>
  <si>
    <t xml:space="preserve">sheet holders for corners</t>
  </si>
  <si>
    <t xml:space="preserve">king sheets</t>
  </si>
  <si>
    <t xml:space="preserve">⚠</t>
  </si>
  <si>
    <t xml:space="preserve">twin sheets</t>
  </si>
  <si>
    <t xml:space="preserve">twin sheets set</t>
  </si>
  <si>
    <t xml:space="preserve">twin bed sheets</t>
  </si>
  <si>
    <t xml:space="preserve">bed sheet holders for corners</t>
  </si>
  <si>
    <t xml:space="preserve">full size bed sheets</t>
  </si>
  <si>
    <t xml:space="preserve">Excluded: fitted/flat/top-sheet-only search; CooLinens sells the full set; no cooling or hot-sleeper intent — generic sheets.</t>
  </si>
  <si>
    <t xml:space="preserve">king bed sheets</t>
  </si>
  <si>
    <t xml:space="preserve">twin fitted sheet</t>
  </si>
  <si>
    <t xml:space="preserve">king sheet set</t>
  </si>
  <si>
    <t xml:space="preserve">deep pocket king sheet set</t>
  </si>
  <si>
    <t xml:space="preserve">sheets king size</t>
  </si>
  <si>
    <t xml:space="preserve">full size sheet sets</t>
  </si>
  <si>
    <t xml:space="preserve">king sheets deep pocket</t>
  </si>
  <si>
    <t xml:space="preserve">full sheet set</t>
  </si>
  <si>
    <t xml:space="preserve">queen bedding</t>
  </si>
  <si>
    <t xml:space="preserve">full bed sheets</t>
  </si>
  <si>
    <t xml:space="preserve">fitted sheet holder</t>
  </si>
  <si>
    <t xml:space="preserve">brown sheets</t>
  </si>
  <si>
    <t xml:space="preserve">Excluded: no cooling or hot-sleeper intent — generic sheets; colour/pattern CooLinens does not sell.</t>
  </si>
  <si>
    <t xml:space="preserve">fitted sheet</t>
  </si>
  <si>
    <t xml:space="preserve">queen fitted sheet</t>
  </si>
  <si>
    <t xml:space="preserve">sheets full size bed</t>
  </si>
  <si>
    <t xml:space="preserve">king fitted sheet only</t>
  </si>
  <si>
    <t xml:space="preserve">king size bed sheets</t>
  </si>
  <si>
    <t xml:space="preserve">queen sheets set</t>
  </si>
  <si>
    <t xml:space="preserve">bedsheets</t>
  </si>
  <si>
    <t xml:space="preserve">white sheets</t>
  </si>
  <si>
    <t xml:space="preserve">bedding queen size</t>
  </si>
  <si>
    <t xml:space="preserve">full sheets</t>
  </si>
  <si>
    <t xml:space="preserve">king size fitted sheet</t>
  </si>
  <si>
    <t xml:space="preserve">king size bedding</t>
  </si>
  <si>
    <t xml:space="preserve">gold leaf sheets</t>
  </si>
  <si>
    <t xml:space="preserve">king bedding</t>
  </si>
  <si>
    <t xml:space="preserve">twin sheet set</t>
  </si>
  <si>
    <t xml:space="preserve">king fitted sheet</t>
  </si>
  <si>
    <t xml:space="preserve">pink sheets</t>
  </si>
  <si>
    <t xml:space="preserve">bedsheets queen size bed</t>
  </si>
  <si>
    <t xml:space="preserve">twin fitted sheets 2 pack</t>
  </si>
  <si>
    <t xml:space="preserve">king size fitted sheets only</t>
  </si>
  <si>
    <t xml:space="preserve">queen bed sheet set</t>
  </si>
  <si>
    <t xml:space="preserve">white sheet</t>
  </si>
  <si>
    <t xml:space="preserve">fitted sheet king</t>
  </si>
  <si>
    <t xml:space="preserve">striped sheets</t>
  </si>
  <si>
    <t xml:space="preserve">king size sheets deep pocket set</t>
  </si>
  <si>
    <t xml:space="preserve">fitted sheet full</t>
  </si>
  <si>
    <t xml:space="preserve">full size bedding</t>
  </si>
  <si>
    <t xml:space="preserve">pink bedding</t>
  </si>
  <si>
    <t xml:space="preserve">cal king sheet set</t>
  </si>
  <si>
    <t xml:space="preserve">brown bedding</t>
  </si>
  <si>
    <t xml:space="preserve">full size fitted sheet</t>
  </si>
  <si>
    <t xml:space="preserve">white bedding</t>
  </si>
  <si>
    <t xml:space="preserve">bed sheet holder</t>
  </si>
  <si>
    <t xml:space="preserve">sheet straps</t>
  </si>
  <si>
    <t xml:space="preserve">sabanas queen</t>
  </si>
  <si>
    <t xml:space="preserve">twin size sheets</t>
  </si>
  <si>
    <t xml:space="preserve">flat sheets only</t>
  </si>
  <si>
    <t xml:space="preserve">bed sheets twin</t>
  </si>
  <si>
    <t xml:space="preserve">full fitted sheet</t>
  </si>
  <si>
    <t xml:space="preserve">extra deep pocket king sheets</t>
  </si>
  <si>
    <t xml:space="preserve">floral sheets</t>
  </si>
  <si>
    <t xml:space="preserve">fitted sheet twin</t>
  </si>
  <si>
    <t xml:space="preserve">sabanas</t>
  </si>
  <si>
    <t xml:space="preserve">full size fitted sheet only</t>
  </si>
  <si>
    <t xml:space="preserve">bedding king size</t>
  </si>
  <si>
    <t xml:space="preserve">bed sheet</t>
  </si>
  <si>
    <t xml:space="preserve">twin sheet</t>
  </si>
  <si>
    <t xml:space="preserve">twin bedding</t>
  </si>
  <si>
    <t xml:space="preserve">flat sheet</t>
  </si>
  <si>
    <t xml:space="preserve">queen deep pocket sheet set</t>
  </si>
  <si>
    <t xml:space="preserve">sheet set queen size</t>
  </si>
  <si>
    <t xml:space="preserve">black bed sheets</t>
  </si>
  <si>
    <t xml:space="preserve">brown bed sheets</t>
  </si>
  <si>
    <t xml:space="preserve">bedsheet</t>
  </si>
  <si>
    <t xml:space="preserve">queen size sheets deep pocket</t>
  </si>
  <si>
    <t xml:space="preserve">queen sheet</t>
  </si>
  <si>
    <t xml:space="preserve">deep pocket king sheets</t>
  </si>
  <si>
    <t xml:space="preserve">sheets twin size bed set</t>
  </si>
  <si>
    <t xml:space="preserve">queen sheet set deep pocket</t>
  </si>
  <si>
    <t xml:space="preserve">white sheets queen set</t>
  </si>
  <si>
    <t xml:space="preserve">full size sheet set</t>
  </si>
  <si>
    <t xml:space="preserve">deep pocket full size sheets set</t>
  </si>
  <si>
    <t xml:space="preserve">queen size bedding</t>
  </si>
  <si>
    <t xml:space="preserve">black bedding</t>
  </si>
  <si>
    <t xml:space="preserve">queen size fitted sheet</t>
  </si>
  <si>
    <t xml:space="preserve">cooling</t>
  </si>
  <si>
    <t xml:space="preserve">Excluded: no sheet product in the query.</t>
  </si>
  <si>
    <t xml:space="preserve">sheet sets</t>
  </si>
  <si>
    <t xml:space="preserve">white bed sheets</t>
  </si>
  <si>
    <t xml:space="preserve">pink bed sheets</t>
  </si>
  <si>
    <t xml:space="preserve">black sheets queen</t>
  </si>
  <si>
    <t xml:space="preserve">king size sheet set</t>
  </si>
  <si>
    <t xml:space="preserve">cheetah print sheets</t>
  </si>
  <si>
    <t xml:space="preserve">green sheets</t>
  </si>
  <si>
    <t xml:space="preserve">bed sheets queen</t>
  </si>
  <si>
    <t xml:space="preserve">bed sheet holders</t>
  </si>
  <si>
    <t xml:space="preserve">black queen sheets</t>
  </si>
  <si>
    <t xml:space="preserve">white flat sheet</t>
  </si>
  <si>
    <t xml:space="preserve">twin flat sheet</t>
  </si>
  <si>
    <t xml:space="preserve">full size sheets set</t>
  </si>
  <si>
    <t xml:space="preserve">bedding full size</t>
  </si>
  <si>
    <t xml:space="preserve">green bedding</t>
  </si>
  <si>
    <t xml:space="preserve">cal king sheets</t>
  </si>
  <si>
    <t xml:space="preserve">king flat sheets only</t>
  </si>
  <si>
    <t xml:space="preserve">deep pocket sheets</t>
  </si>
  <si>
    <t xml:space="preserve">queen size fitted sheet only</t>
  </si>
  <si>
    <t xml:space="preserve">king size flat sheet only</t>
  </si>
  <si>
    <t xml:space="preserve">bed sheet set</t>
  </si>
  <si>
    <t xml:space="preserve">cream sheets</t>
  </si>
  <si>
    <t xml:space="preserve">full bed sheets set</t>
  </si>
  <si>
    <t xml:space="preserve">sheets &amp; pillowcases</t>
  </si>
  <si>
    <t xml:space="preserve">hotel sheets</t>
  </si>
  <si>
    <t xml:space="preserve">brown sheets queen set</t>
  </si>
  <si>
    <t xml:space="preserve">sheets queen</t>
  </si>
  <si>
    <t xml:space="preserve">queen sheet sets</t>
  </si>
  <si>
    <t xml:space="preserve">bed sheet straps</t>
  </si>
  <si>
    <t xml:space="preserve">sage green sheets</t>
  </si>
  <si>
    <t xml:space="preserve">full sheets sets</t>
  </si>
  <si>
    <t xml:space="preserve">white queen sheets set</t>
  </si>
  <si>
    <t xml:space="preserve">king size deep pocket sheets</t>
  </si>
  <si>
    <t xml:space="preserve">queen bed sheet</t>
  </si>
  <si>
    <t xml:space="preserve">beige sheets</t>
  </si>
  <si>
    <t xml:space="preserve">sheets with corner straps</t>
  </si>
  <si>
    <t xml:space="preserve">pink sheets queen</t>
  </si>
  <si>
    <t xml:space="preserve">cheetah print bed set</t>
  </si>
  <si>
    <t xml:space="preserve">brown gingham sheets</t>
  </si>
  <si>
    <t xml:space="preserve">twin fitted sheets</t>
  </si>
  <si>
    <t xml:space="preserve">fitted sheets</t>
  </si>
  <si>
    <t xml:space="preserve">olive green sheets</t>
  </si>
  <si>
    <t xml:space="preserve">sheet</t>
  </si>
  <si>
    <t xml:space="preserve">twin flat sheets only</t>
  </si>
  <si>
    <t xml:space="preserve">king flat sheet</t>
  </si>
  <si>
    <t xml:space="preserve">black sheet</t>
  </si>
  <si>
    <t xml:space="preserve">brown striped sheets</t>
  </si>
  <si>
    <t xml:space="preserve">floral bedding</t>
  </si>
  <si>
    <t xml:space="preserve">striped bed sheets</t>
  </si>
  <si>
    <t xml:space="preserve">full fitted sheets only</t>
  </si>
  <si>
    <t xml:space="preserve">california king fitted sheet</t>
  </si>
  <si>
    <t xml:space="preserve">king sheet</t>
  </si>
  <si>
    <t xml:space="preserve">luxury bedding</t>
  </si>
  <si>
    <t xml:space="preserve">king deep pocket sheets set</t>
  </si>
  <si>
    <t xml:space="preserve">sheet sets full size bed</t>
  </si>
  <si>
    <t xml:space="preserve">burgundy sheets</t>
  </si>
  <si>
    <t xml:space="preserve">twin sheet sets</t>
  </si>
  <si>
    <t xml:space="preserve">twin bed sheet set</t>
  </si>
  <si>
    <t xml:space="preserve">plaid sheets</t>
  </si>
  <si>
    <t xml:space="preserve">bedsheets king size bed</t>
  </si>
  <si>
    <t xml:space="preserve">king size sheet</t>
  </si>
  <si>
    <t xml:space="preserve">pink twin sheets</t>
  </si>
  <si>
    <t xml:space="preserve">blue bedding</t>
  </si>
  <si>
    <t xml:space="preserve">burgundy bedding</t>
  </si>
  <si>
    <t xml:space="preserve">brown queen sheets</t>
  </si>
  <si>
    <t xml:space="preserve">queen bedsheets</t>
  </si>
  <si>
    <t xml:space="preserve">striped bedding</t>
  </si>
  <si>
    <t xml:space="preserve">soft sheets</t>
  </si>
  <si>
    <t xml:space="preserve">brown sheets king</t>
  </si>
  <si>
    <t xml:space="preserve">sage green bedding</t>
  </si>
  <si>
    <t xml:space="preserve">king bed sheet set</t>
  </si>
  <si>
    <t xml:space="preserve">brown king sheets</t>
  </si>
  <si>
    <t xml:space="preserve">bed corner sheet holders</t>
  </si>
  <si>
    <t xml:space="preserve">sheets king size deep pocket</t>
  </si>
  <si>
    <t xml:space="preserve">king bed sheets deep pocket</t>
  </si>
  <si>
    <t xml:space="preserve">twin size bed sheets</t>
  </si>
  <si>
    <t xml:space="preserve">blue sheets</t>
  </si>
  <si>
    <t xml:space="preserve">deep pocket twin sheets</t>
  </si>
  <si>
    <t xml:space="preserve">cali king sheets</t>
  </si>
  <si>
    <t xml:space="preserve">deep pocket california king sheets</t>
  </si>
  <si>
    <t xml:space="preserve">queen size sheets set</t>
  </si>
  <si>
    <t xml:space="preserve">burnt orange sheets</t>
  </si>
  <si>
    <t xml:space="preserve">deep pocket king fitted sheet</t>
  </si>
  <si>
    <t xml:space="preserve">dark brown sheets</t>
  </si>
  <si>
    <t xml:space="preserve">white king sheets</t>
  </si>
  <si>
    <t xml:space="preserve">bedsheets full size bed</t>
  </si>
  <si>
    <t xml:space="preserve">leopard print sheets</t>
  </si>
  <si>
    <t xml:space="preserve">queen fitted sheet deep pocket</t>
  </si>
  <si>
    <t xml:space="preserve">king fitted sheet deep pocket</t>
  </si>
  <si>
    <t xml:space="preserve">queen bed sheets set</t>
  </si>
  <si>
    <t xml:space="preserve">twin bed sheet</t>
  </si>
  <si>
    <t xml:space="preserve">black twin sheets</t>
  </si>
  <si>
    <t xml:space="preserve">bed sheets full</t>
  </si>
  <si>
    <t xml:space="preserve">pink queen sheets</t>
  </si>
  <si>
    <t xml:space="preserve">queen flat sheet only</t>
  </si>
  <si>
    <t xml:space="preserve">light pink sheets</t>
  </si>
  <si>
    <t xml:space="preserve">full size sheet</t>
  </si>
  <si>
    <t xml:space="preserve">Excluded: fitted/flat/top-sheet-only search; CooLinens sells the full set.</t>
  </si>
  <si>
    <t xml:space="preserve">floral bed sheets</t>
  </si>
  <si>
    <t xml:space="preserve">white queen sheets</t>
  </si>
  <si>
    <t xml:space="preserve">black sheets full</t>
  </si>
  <si>
    <t xml:space="preserve">single bed sheets</t>
  </si>
  <si>
    <t xml:space="preserve">flat sheets</t>
  </si>
  <si>
    <t xml:space="preserve">sheets twin</t>
  </si>
  <si>
    <t xml:space="preserve">full size bed sheets set</t>
  </si>
  <si>
    <t xml:space="preserve">queen flat sheet</t>
  </si>
  <si>
    <t xml:space="preserve">cheetah print bedding</t>
  </si>
  <si>
    <t xml:space="preserve">twin size fitted sheet</t>
  </si>
  <si>
    <t xml:space="preserve">king size sheets set deep pockets</t>
  </si>
  <si>
    <t xml:space="preserve">queen fitted sheets</t>
  </si>
  <si>
    <t xml:space="preserve">white twin sheets</t>
  </si>
  <si>
    <t xml:space="preserve">Same product failed on it</t>
  </si>
  <si>
    <t xml:space="preserve">Excluded: Sleephoria CVR only 4.7% on 86 clicks — the same product already failed on this exact wording, and the rest of the evidence is not strong enough to override it (confidence 3.0/12: Sleephoria PPC -2 · Sleephoria rank +2 · market CVR +1.5 · competitors +1 · Decolure +0.5); market CVR 3.3%. Re-add only if it appears converting in the Batch 1 search-term reports.</t>
  </si>
  <si>
    <t xml:space="preserve">leopard print bedding</t>
  </si>
  <si>
    <t xml:space="preserve">deep queen sheet set</t>
  </si>
  <si>
    <t xml:space="preserve">california king bedding</t>
  </si>
  <si>
    <t xml:space="preserve">black king size sheets</t>
  </si>
  <si>
    <t xml:space="preserve">white sheets king</t>
  </si>
  <si>
    <t xml:space="preserve">fitted twin sheet</t>
  </si>
  <si>
    <t xml:space="preserve">deep pocket queen fitted sheet</t>
  </si>
  <si>
    <t xml:space="preserve">queen size bed sheets set</t>
  </si>
  <si>
    <t xml:space="preserve">cream bedding</t>
  </si>
  <si>
    <t xml:space="preserve">queen deep pocket fitted sheet only</t>
  </si>
  <si>
    <t xml:space="preserve">twin fitted sheets only</t>
  </si>
  <si>
    <t xml:space="preserve">sheet set king size</t>
  </si>
  <si>
    <t xml:space="preserve">striped sheets queen</t>
  </si>
  <si>
    <t xml:space="preserve">king size flat sheet</t>
  </si>
  <si>
    <t xml:space="preserve">king size bed sheet set</t>
  </si>
  <si>
    <t xml:space="preserve">orange sheets</t>
  </si>
  <si>
    <t xml:space="preserve">chocolate brown sheets</t>
  </si>
  <si>
    <t xml:space="preserve">black fitted sheet</t>
  </si>
  <si>
    <t xml:space="preserve">sheet sets queen size</t>
  </si>
  <si>
    <t xml:space="preserve">olive green bedding</t>
  </si>
  <si>
    <t xml:space="preserve">soft sheets queen</t>
  </si>
  <si>
    <t xml:space="preserve">sheets full</t>
  </si>
  <si>
    <t xml:space="preserve">sheets king</t>
  </si>
  <si>
    <t xml:space="preserve">pink sheets full</t>
  </si>
  <si>
    <t xml:space="preserve">white sheets full</t>
  </si>
  <si>
    <t xml:space="preserve">full bedding</t>
  </si>
  <si>
    <t xml:space="preserve">black sheets king</t>
  </si>
  <si>
    <t xml:space="preserve">sabanas king</t>
  </si>
  <si>
    <t xml:space="preserve">king bed sheet</t>
  </si>
  <si>
    <t xml:space="preserve">twin bed fitted sheet</t>
  </si>
  <si>
    <t xml:space="preserve">sheets set</t>
  </si>
  <si>
    <t xml:space="preserve">queen bed sheets deep pocket</t>
  </si>
  <si>
    <t xml:space="preserve">twin size sheet set</t>
  </si>
  <si>
    <t xml:space="preserve">light blue sheets</t>
  </si>
  <si>
    <t xml:space="preserve">white bed sheet</t>
  </si>
  <si>
    <t xml:space="preserve">california king fitted sheets only</t>
  </si>
  <si>
    <t xml:space="preserve">dark green sheets</t>
  </si>
  <si>
    <t xml:space="preserve">queen size deep pocket sheet sets</t>
  </si>
  <si>
    <t xml:space="preserve">pink striped sheets</t>
  </si>
  <si>
    <t xml:space="preserve">brown fitted sheet</t>
  </si>
  <si>
    <t xml:space="preserve">bedding twin</t>
  </si>
  <si>
    <t xml:space="preserve">Excluded: Sleephoria CVR only 2.7% on 37 clicks — the same product already failed on this exact wording, and the rest of the evidence is not strong enough to override it (confidence 2.5/12: Sleephoria PPC -2 · Sleephoria rank +2 · market CVR +2 · competitors +0.5 · Decolure +0); market CVR 5.2%. Re-add only if it appears converting in the Batch 1 search-term reports.</t>
  </si>
  <si>
    <t xml:space="preserve">red sheets</t>
  </si>
  <si>
    <t xml:space="preserve">light brown sheets</t>
  </si>
  <si>
    <t xml:space="preserve">california king sheets deep pockets</t>
  </si>
  <si>
    <t xml:space="preserve">bed sheets king</t>
  </si>
  <si>
    <t xml:space="preserve">hotel sheets queen</t>
  </si>
  <si>
    <t xml:space="preserve">soft bed sheets</t>
  </si>
  <si>
    <t xml:space="preserve">twin size bedding</t>
  </si>
  <si>
    <t xml:space="preserve">deep pocket fitted sheets queen</t>
  </si>
  <si>
    <t xml:space="preserve">fitted sheets queen</t>
  </si>
  <si>
    <t xml:space="preserve">wueen sheets</t>
  </si>
  <si>
    <t xml:space="preserve">deep fitted sheets queen</t>
  </si>
  <si>
    <t xml:space="preserve">double bed sheets</t>
  </si>
  <si>
    <t xml:space="preserve">dry sheets</t>
  </si>
  <si>
    <t xml:space="preserve">hotel bedding</t>
  </si>
  <si>
    <t xml:space="preserve">deep pocket sheets queen</t>
  </si>
  <si>
    <t xml:space="preserve">queen white sheets</t>
  </si>
  <si>
    <t xml:space="preserve">deep sheets queen</t>
  </si>
  <si>
    <t xml:space="preserve">yellow sheets</t>
  </si>
  <si>
    <t xml:space="preserve">green sheets queen</t>
  </si>
  <si>
    <t xml:space="preserve">king sheets sets</t>
  </si>
  <si>
    <t xml:space="preserve">Excluded: no sheet product in the query; gift/listicle browsing, not a sheet-set purchase.</t>
  </si>
  <si>
    <t xml:space="preserve">twin bed sheets set</t>
  </si>
  <si>
    <t xml:space="preserve">king sheet sets</t>
  </si>
  <si>
    <t xml:space="preserve">pink full size sheets</t>
  </si>
  <si>
    <t xml:space="preserve">grey sheets</t>
  </si>
  <si>
    <t xml:space="preserve">green striped sheets</t>
  </si>
  <si>
    <t xml:space="preserve">full size bed sheet</t>
  </si>
  <si>
    <t xml:space="preserve">white bedding queen</t>
  </si>
  <si>
    <t xml:space="preserve">queen deep pocket sheets</t>
  </si>
  <si>
    <t xml:space="preserve">cream sheets queen</t>
  </si>
  <si>
    <t xml:space="preserve">bedding queen</t>
  </si>
  <si>
    <t xml:space="preserve">beige bedding</t>
  </si>
  <si>
    <t xml:space="preserve">taupe sheets</t>
  </si>
  <si>
    <t xml:space="preserve">sheets for queen size bed</t>
  </si>
  <si>
    <t xml:space="preserve">king size deep pocket sheet sets</t>
  </si>
  <si>
    <t xml:space="preserve">tan sheets</t>
  </si>
  <si>
    <t xml:space="preserve">white fitted sheet</t>
  </si>
  <si>
    <t xml:space="preserve">king size bed sheet</t>
  </si>
  <si>
    <t xml:space="preserve">sheets for full size bed</t>
  </si>
  <si>
    <t xml:space="preserve">full size fitted sheets</t>
  </si>
  <si>
    <t xml:space="preserve">ivory sheets</t>
  </si>
  <si>
    <t xml:space="preserve">Spanish — out of scope</t>
  </si>
  <si>
    <t xml:space="preserve">Excluded: Spanish-language keywords are out of scope for this launch (decision 8 Oct).</t>
  </si>
  <si>
    <t xml:space="preserve">teal bedding</t>
  </si>
  <si>
    <t xml:space="preserve">white sheets twin</t>
  </si>
  <si>
    <t xml:space="preserve">queen set bedding</t>
  </si>
  <si>
    <t xml:space="preserve">green bed sheets</t>
  </si>
  <si>
    <t xml:space="preserve">pink queen sheet set</t>
  </si>
  <si>
    <t xml:space="preserve">brown sheets full</t>
  </si>
  <si>
    <t xml:space="preserve">teal sheets</t>
  </si>
  <si>
    <t xml:space="preserve">floral sheets queen</t>
  </si>
  <si>
    <t xml:space="preserve">queen size sheet</t>
  </si>
  <si>
    <t xml:space="preserve">dark green bedding</t>
  </si>
  <si>
    <t xml:space="preserve">double bed sheets sets</t>
  </si>
  <si>
    <t xml:space="preserve">pink sheets twin</t>
  </si>
  <si>
    <t xml:space="preserve">queen bedsheet sets</t>
  </si>
  <si>
    <t xml:space="preserve">burnt orange bedding</t>
  </si>
  <si>
    <t xml:space="preserve">black flat sheet</t>
  </si>
  <si>
    <t xml:space="preserve">full bed sheet</t>
  </si>
  <si>
    <t xml:space="preserve">cal king sheets deep pocket fitted</t>
  </si>
  <si>
    <t xml:space="preserve">Not enough evidence or demand</t>
  </si>
  <si>
    <t xml:space="preserve">Excluded — not enough evidence or alignment: evidence too thin (confidence 1.0/12: Sleephoria PPC +0 · Sleephoria rank +0 · market CVR +0.5 · competitors +0.5 · Decolure +0). Left to search-term harvest.</t>
  </si>
  <si>
    <t xml:space="preserve">soft queen sheets</t>
  </si>
  <si>
    <t xml:space="preserve">white bed sheets queen</t>
  </si>
  <si>
    <t xml:space="preserve">pink bedding queen</t>
  </si>
  <si>
    <t xml:space="preserve">queen bed fitted sheet</t>
  </si>
  <si>
    <t xml:space="preserve">white sheets queen</t>
  </si>
  <si>
    <t xml:space="preserve">halo bassinest fitted sheets</t>
  </si>
  <si>
    <t xml:space="preserve">king size sheet sets</t>
  </si>
  <si>
    <t xml:space="preserve">full sheet</t>
  </si>
  <si>
    <t xml:space="preserve">hotel sheets king</t>
  </si>
  <si>
    <t xml:space="preserve">king deep pocket fitted sheet</t>
  </si>
  <si>
    <t xml:space="preserve">luxury sheets</t>
  </si>
  <si>
    <t xml:space="preserve">full size deep pocket sheet set</t>
  </si>
  <si>
    <t xml:space="preserve">fitted queen sheet</t>
  </si>
  <si>
    <t xml:space="preserve">beige sheets queen</t>
  </si>
  <si>
    <t xml:space="preserve">deep queen fitted sheet</t>
  </si>
  <si>
    <t xml:space="preserve">brown sheet set</t>
  </si>
  <si>
    <t xml:space="preserve">pink floral sheets</t>
  </si>
  <si>
    <t xml:space="preserve">brown bed set</t>
  </si>
  <si>
    <t xml:space="preserve">dusty rose sheets</t>
  </si>
  <si>
    <t xml:space="preserve">printable fabric sheets</t>
  </si>
  <si>
    <t xml:space="preserve">fitted sheet full size</t>
  </si>
  <si>
    <t xml:space="preserve">cal king bed sheets</t>
  </si>
  <si>
    <t xml:space="preserve">hot pink sheets</t>
  </si>
  <si>
    <t xml:space="preserve">flat sheet queen</t>
  </si>
  <si>
    <t xml:space="preserve">fitted sheet straps</t>
  </si>
  <si>
    <t xml:space="preserve">white fitted sheet queen</t>
  </si>
  <si>
    <t xml:space="preserve">blue striped sheets</t>
  </si>
  <si>
    <t xml:space="preserve">butter yellow sheets</t>
  </si>
  <si>
    <t xml:space="preserve">sheet straps king size bed</t>
  </si>
  <si>
    <t xml:space="preserve">burgundy sheets queen</t>
  </si>
  <si>
    <t xml:space="preserve">plaid bed sheets</t>
  </si>
  <si>
    <t xml:space="preserve">california king flat sheet</t>
  </si>
  <si>
    <t xml:space="preserve">printable shrinky dink sheets</t>
  </si>
  <si>
    <t xml:space="preserve">orange bedding</t>
  </si>
  <si>
    <t xml:space="preserve">brown full size sheets</t>
  </si>
  <si>
    <t xml:space="preserve">sheet straps for queen size bed</t>
  </si>
  <si>
    <t xml:space="preserve">deep fitted sheets king</t>
  </si>
  <si>
    <t xml:space="preserve">red bed sheets</t>
  </si>
  <si>
    <t xml:space="preserve">twin flat sheets only 2 pack</t>
  </si>
  <si>
    <t xml:space="preserve">brown sheets queen</t>
  </si>
  <si>
    <t xml:space="preserve">deep pocket fitted sheet</t>
  </si>
  <si>
    <t xml:space="preserve">brown queen sheet set</t>
  </si>
  <si>
    <t xml:space="preserve">striped sheet set</t>
  </si>
  <si>
    <t xml:space="preserve">king fitted sheets</t>
  </si>
  <si>
    <t xml:space="preserve">twin flat sheets</t>
  </si>
  <si>
    <t xml:space="preserve">maroon bedding</t>
  </si>
  <si>
    <t xml:space="preserve">Excluded — not enough evidence or alignment: evidence too thin (confidence 3.0/12: Sleephoria PPC +0 · Sleephoria rank +2 · market CVR +0.5 · competitors +1 · Decolure -0.5). Left to search-term harvest.</t>
  </si>
  <si>
    <t xml:space="preserve">flat sheets only king size</t>
  </si>
  <si>
    <t xml:space="preserve">orange sheets queen</t>
  </si>
  <si>
    <t xml:space="preserve">printed sheets</t>
  </si>
  <si>
    <t xml:space="preserve">green floral sheets</t>
  </si>
  <si>
    <t xml:space="preserve">blue floral sheets</t>
  </si>
  <si>
    <t xml:space="preserve">brown floral sheets</t>
  </si>
  <si>
    <t xml:space="preserve">queen size flat sheet only</t>
  </si>
  <si>
    <t xml:space="preserve">striped sheets king</t>
  </si>
  <si>
    <t xml:space="preserve">pink fitted sheet</t>
  </si>
  <si>
    <t xml:space="preserve">silky sheets</t>
  </si>
  <si>
    <t xml:space="preserve">king size deep pocket fitted sheet</t>
  </si>
  <si>
    <t xml:space="preserve">cheetah print sheets queen</t>
  </si>
  <si>
    <t xml:space="preserve">twin deep pocket fitted sheet</t>
  </si>
  <si>
    <t xml:space="preserve">king size fitted sheets</t>
  </si>
  <si>
    <t xml:space="preserve">orange bed sheets</t>
  </si>
  <si>
    <t xml:space="preserve">full size flat sheet only</t>
  </si>
  <si>
    <t xml:space="preserve">cheetah print bed sheets</t>
  </si>
  <si>
    <t xml:space="preserve">white flat sheets</t>
  </si>
  <si>
    <t xml:space="preserve">chocolate brown bedding</t>
  </si>
  <si>
    <t xml:space="preserve">fitted sheets full</t>
  </si>
  <si>
    <t xml:space="preserve">pink and brown bedding</t>
  </si>
  <si>
    <t xml:space="preserve">king size fitted sheet only</t>
  </si>
  <si>
    <t xml:space="preserve">taupe bedding</t>
  </si>
  <si>
    <t xml:space="preserve">black fitted sheet queen</t>
  </si>
  <si>
    <t xml:space="preserve">red sheets queen</t>
  </si>
  <si>
    <t xml:space="preserve">striped queen sheets</t>
  </si>
  <si>
    <t xml:space="preserve">queen sheets floral</t>
  </si>
  <si>
    <t xml:space="preserve">brown king size sheets</t>
  </si>
  <si>
    <t xml:space="preserve">twin size fitted sheets only</t>
  </si>
  <si>
    <t xml:space="preserve">maroon sheets</t>
  </si>
  <si>
    <t xml:space="preserve">fitted sheets king</t>
  </si>
  <si>
    <t xml:space="preserve">cabbages and roses of london bedding</t>
  </si>
  <si>
    <t xml:space="preserve">gold sheets</t>
  </si>
  <si>
    <t xml:space="preserve">fitted sheet with corner straps</t>
  </si>
  <si>
    <t xml:space="preserve">orange queen sheet set</t>
  </si>
  <si>
    <t xml:space="preserve">floral queen sheets</t>
  </si>
  <si>
    <t xml:space="preserve">fitted sheet only</t>
  </si>
  <si>
    <t xml:space="preserve">red bedding</t>
  </si>
  <si>
    <t xml:space="preserve">full flat sheet only</t>
  </si>
  <si>
    <t xml:space="preserve">red queen sheet set</t>
  </si>
  <si>
    <t xml:space="preserve">burgundy bed sheets</t>
  </si>
  <si>
    <t xml:space="preserve">sheet locks for fitted sheets</t>
  </si>
  <si>
    <t xml:space="preserve">floral sheets king</t>
  </si>
  <si>
    <t xml:space="preserve">red twin sheets</t>
  </si>
  <si>
    <t xml:space="preserve">fitted sheets twin</t>
  </si>
  <si>
    <t xml:space="preserve">plaid sheets queen</t>
  </si>
  <si>
    <t xml:space="preserve">dark brown bedding</t>
  </si>
  <si>
    <t xml:space="preserve">floral king sheets</t>
  </si>
  <si>
    <t xml:space="preserve">striped king sheets</t>
  </si>
  <si>
    <t xml:space="preserve">secure sheet holders for beds</t>
  </si>
  <si>
    <t xml:space="preserve">twin fitted sheet only</t>
  </si>
  <si>
    <t xml:space="preserve">bed nest fitted sheet</t>
  </si>
  <si>
    <t xml:space="preserve">brown gingham bedding</t>
  </si>
  <si>
    <t xml:space="preserve">brown bed sheets queen</t>
  </si>
  <si>
    <t xml:space="preserve">animal print sheets</t>
  </si>
  <si>
    <t xml:space="preserve">queen size fitted sheets</t>
  </si>
  <si>
    <t xml:space="preserve">brown plaid sheets</t>
  </si>
  <si>
    <t xml:space="preserve">bed sheet holders for fitted sheets</t>
  </si>
  <si>
    <t xml:space="preserve">waterproof fitted sheet</t>
  </si>
  <si>
    <t xml:space="preserve">leopard print sheets queen</t>
  </si>
  <si>
    <t xml:space="preserve">shrinky dink sheets printable</t>
  </si>
  <si>
    <t xml:space="preserve">luxury sheets queen size</t>
  </si>
  <si>
    <t xml:space="preserve">tan sheets queen</t>
  </si>
  <si>
    <t xml:space="preserve">Excluded: relevant on paper but Sleephoria — the same product — paid for 80 clicks with CVR 1.2% (1 orders). Leave it to search-term harvest; re-add only if it converts there.</t>
  </si>
  <si>
    <t xml:space="preserve">invisible sheet holders</t>
  </si>
  <si>
    <t xml:space="preserve">red bed set</t>
  </si>
  <si>
    <t xml:space="preserve">comfort cool</t>
  </si>
  <si>
    <t xml:space="preserve">pinstripe sheets</t>
  </si>
  <si>
    <t xml:space="preserve">stripe sheets</t>
  </si>
  <si>
    <t xml:space="preserve">full bed fitted sheet</t>
  </si>
  <si>
    <t xml:space="preserve">king size fitted sheets with deep pockets</t>
  </si>
  <si>
    <t xml:space="preserve">flat sheets only queen size</t>
  </si>
  <si>
    <t xml:space="preserve">deep pocket fitted sheets king size</t>
  </si>
  <si>
    <t xml:space="preserve">zipper fitted sheet</t>
  </si>
  <si>
    <t xml:space="preserve">full flat sheet</t>
  </si>
  <si>
    <t xml:space="preserve">yellow sheets queen</t>
  </si>
  <si>
    <t xml:space="preserve">yellow foam sheets</t>
  </si>
  <si>
    <t xml:space="preserve">extra deep king fitted sheet</t>
  </si>
  <si>
    <t xml:space="preserve">white flat sheet twin</t>
  </si>
  <si>
    <t xml:space="preserve">king size flat sheets clearance</t>
  </si>
  <si>
    <t xml:space="preserve">king bed fitted sheet</t>
  </si>
  <si>
    <t xml:space="preserve">fitted sheet california king</t>
  </si>
  <si>
    <t xml:space="preserve">white twin flat sheet</t>
  </si>
  <si>
    <t xml:space="preserve">fitted sheet with borders</t>
  </si>
  <si>
    <t xml:space="preserve">king flat sheets only clearance</t>
  </si>
  <si>
    <t xml:space="preserve">queen size fitted sheet deep pocket</t>
  </si>
  <si>
    <t xml:space="preserve">tan gingham sheets</t>
  </si>
  <si>
    <t xml:space="preserve">deep pocket full size fitted sheet</t>
  </si>
  <si>
    <t xml:space="preserve">brown bedding king</t>
  </si>
  <si>
    <t xml:space="preserve">olive green sheets queen</t>
  </si>
  <si>
    <t xml:space="preserve">yellow bedding</t>
  </si>
  <si>
    <t xml:space="preserve">fitted sheet queen deep pocket</t>
  </si>
  <si>
    <t xml:space="preserve">twin fitted sheets 4 pack</t>
  </si>
  <si>
    <t xml:space="preserve">fitted sheet with pillow cases</t>
  </si>
  <si>
    <t xml:space="preserve">white queen fitted sheet</t>
  </si>
  <si>
    <t xml:space="preserve">striped sheets full</t>
  </si>
  <si>
    <t xml:space="preserve">deep pocket king fitted sheet only</t>
  </si>
  <si>
    <t xml:space="preserve">full size flat sheet</t>
  </si>
  <si>
    <t xml:space="preserve">queen bed fitted sheet only</t>
  </si>
  <si>
    <t xml:space="preserve">pc cooling</t>
  </si>
  <si>
    <t xml:space="preserve">zebra print bedding</t>
  </si>
  <si>
    <t xml:space="preserve">brown cooling sheets</t>
  </si>
  <si>
    <t xml:space="preserve">Excluded: colour/pattern CooLinens does not sell.</t>
  </si>
  <si>
    <t xml:space="preserve">dark floral sheets</t>
  </si>
  <si>
    <t xml:space="preserve">lock bed sheet holders for corners</t>
  </si>
  <si>
    <t xml:space="preserve">sheet stays for fitted sheets</t>
  </si>
  <si>
    <t xml:space="preserve">burgundy striped sheets</t>
  </si>
  <si>
    <t xml:space="preserve">zebra print sheets</t>
  </si>
  <si>
    <t xml:space="preserve">tan bedding</t>
  </si>
  <si>
    <t xml:space="preserve">burnt orange sheets queen</t>
  </si>
  <si>
    <t xml:space="preserve">dark red sheets</t>
  </si>
  <si>
    <t xml:space="preserve">deep pocket fitted sheets</t>
  </si>
  <si>
    <t xml:space="preserve">dark brown sheets queen</t>
  </si>
  <si>
    <t xml:space="preserve">full size fitted sheet and pillow cases</t>
  </si>
  <si>
    <t xml:space="preserve">full size bed fitted sheet</t>
  </si>
  <si>
    <t xml:space="preserve">fitted sheet king deep pocket</t>
  </si>
  <si>
    <t xml:space="preserve">yellow bed sheets</t>
  </si>
  <si>
    <t xml:space="preserve">adjustable elastic sheet straps</t>
  </si>
  <si>
    <t xml:space="preserve">king flat sheets</t>
  </si>
  <si>
    <t xml:space="preserve">queen striped sheets</t>
  </si>
  <si>
    <t xml:space="preserve">olive green bed sheets</t>
  </si>
  <si>
    <t xml:space="preserve">silky bed sheets</t>
  </si>
  <si>
    <t xml:space="preserve">dusty rose bedding</t>
  </si>
  <si>
    <t xml:space="preserve">green plaid sheets</t>
  </si>
  <si>
    <t xml:space="preserve">twin bed fitted sheets 2 pack</t>
  </si>
  <si>
    <t xml:space="preserve">tan bed sheets</t>
  </si>
  <si>
    <t xml:space="preserve">sheet suspenders king</t>
  </si>
  <si>
    <t xml:space="preserve">deep pocket queen fitted sheets</t>
  </si>
  <si>
    <t xml:space="preserve">black twin fitted sheet</t>
  </si>
  <si>
    <t xml:space="preserve">coraline bedding</t>
  </si>
  <si>
    <t xml:space="preserve">brown bed sheets king</t>
  </si>
  <si>
    <t xml:space="preserve">floral sheet set</t>
  </si>
  <si>
    <t xml:space="preserve">Excluded: relevant on paper but Sleephoria — the same product — paid for 28 clicks with CVR 0.0% (0 orders). Leave it to search-term harvest; re-add only if it converts there.</t>
  </si>
  <si>
    <t xml:space="preserve">leopard print bed sheets</t>
  </si>
  <si>
    <t xml:space="preserve">olive green king sheets</t>
  </si>
  <si>
    <t xml:space="preserve">flat sheet twin</t>
  </si>
  <si>
    <t xml:space="preserve">black floral sheets</t>
  </si>
  <si>
    <t xml:space="preserve">sheet suspenders queen</t>
  </si>
  <si>
    <t xml:space="preserve">deep pocket twin fitted sheet</t>
  </si>
  <si>
    <t xml:space="preserve">tan queen sheet set</t>
  </si>
  <si>
    <t xml:space="preserve">california king flat sheets only</t>
  </si>
  <si>
    <t xml:space="preserve">queen floral sheets</t>
  </si>
  <si>
    <t xml:space="preserve">stripe bedding</t>
  </si>
  <si>
    <t xml:space="preserve">oversized king flat sheet</t>
  </si>
  <si>
    <t xml:space="preserve">flat sheets only full size</t>
  </si>
  <si>
    <t xml:space="preserve">red foam sheets</t>
  </si>
  <si>
    <t xml:space="preserve">flat sheets only twin size</t>
  </si>
  <si>
    <t xml:space="preserve">twin white flat sheet</t>
  </si>
  <si>
    <t xml:space="preserve">chocolate brown sheets king</t>
  </si>
  <si>
    <t xml:space="preserve">burgundy bed set</t>
  </si>
  <si>
    <t xml:space="preserve">chocolate brown bed sheets</t>
  </si>
  <si>
    <t xml:space="preserve">waterproof flat sheet</t>
  </si>
  <si>
    <t xml:space="preserve">flat sheet only</t>
  </si>
  <si>
    <t xml:space="preserve">chocolate brown sheets queen</t>
  </si>
  <si>
    <t xml:space="preserve">Excluded: Sleephoria CVR only 4.3% on 23 clicks — the same product already failed on this exact wording, and the rest of the evidence is not strong enough to override it (confidence 1.5/12: Sleephoria PPC -2 · Sleephoria rank +2 · market CVR +0.5 · competitors +1 · Decolure +0); market CVR 1.4%. Re-add only if it appears converting in the Batch 1 search-term reports.</t>
  </si>
  <si>
    <t xml:space="preserve">full fitted sheets</t>
  </si>
  <si>
    <t xml:space="preserve">red king size sheet set</t>
  </si>
  <si>
    <t xml:space="preserve">bed fitted sheet</t>
  </si>
  <si>
    <t xml:space="preserve">queen fitted sheets only</t>
  </si>
  <si>
    <t xml:space="preserve">lavender sheets</t>
  </si>
  <si>
    <t xml:space="preserve">brown foam sheets</t>
  </si>
  <si>
    <t xml:space="preserve">white flat sheet queen</t>
  </si>
  <si>
    <t xml:space="preserve">red sheet</t>
  </si>
  <si>
    <t xml:space="preserve">teal bed sheets</t>
  </si>
  <si>
    <t xml:space="preserve">white fitted sheet king</t>
  </si>
  <si>
    <t xml:space="preserve">king size fitted sheet deep pocket</t>
  </si>
  <si>
    <t xml:space="preserve">deep pocket queen fitted sheet only</t>
  </si>
  <si>
    <t xml:space="preserve">extra deep pocket king fitted sheet</t>
  </si>
  <si>
    <t xml:space="preserve">vintage floral sheets</t>
  </si>
  <si>
    <t xml:space="preserve">queen sheet set floral</t>
  </si>
  <si>
    <t xml:space="preserve">burgundy queen sheet set</t>
  </si>
  <si>
    <t xml:space="preserve">black flat sheets</t>
  </si>
  <si>
    <t xml:space="preserve">Excluded — not enough evidence or alignment: evidence too thin (confidence 2.0/12: Sleephoria PPC +0 · Sleephoria rank +0 · market CVR +1 · competitors +1 · Decolure +0). Left to search-term harvest.</t>
  </si>
  <si>
    <t xml:space="preserve">burnt orange king sheets</t>
  </si>
  <si>
    <t xml:space="preserve">green fitted sheet</t>
  </si>
  <si>
    <t xml:space="preserve">queen flat sheets</t>
  </si>
  <si>
    <t xml:space="preserve">olive green queen sheets</t>
  </si>
  <si>
    <t xml:space="preserve">brown sheet</t>
  </si>
  <si>
    <t xml:space="preserve">black queen fitted sheet</t>
  </si>
  <si>
    <t xml:space="preserve">black and white striped sheets</t>
  </si>
  <si>
    <t xml:space="preserve">black fitted sheet full</t>
  </si>
  <si>
    <t xml:space="preserve">brown king sheet set</t>
  </si>
  <si>
    <t xml:space="preserve">queen flat sheets 2 pack</t>
  </si>
  <si>
    <t xml:space="preserve">brown pattern sheets</t>
  </si>
  <si>
    <t xml:space="preserve">peach sheets</t>
  </si>
  <si>
    <t xml:space="preserve">dark red bedding</t>
  </si>
  <si>
    <t xml:space="preserve">tan sheets king</t>
  </si>
  <si>
    <t xml:space="preserve">cheetah print sheets full</t>
  </si>
  <si>
    <t xml:space="preserve">low profile fitted sheet</t>
  </si>
  <si>
    <t xml:space="preserve">dark brown king sheets</t>
  </si>
  <si>
    <t xml:space="preserve">twin size flat sheet only</t>
  </si>
  <si>
    <t xml:space="preserve">king fitted sheet with corner straps</t>
  </si>
  <si>
    <t xml:space="preserve">pink twin fitted sheet</t>
  </si>
  <si>
    <t xml:space="preserve">lavender bedding</t>
  </si>
  <si>
    <t xml:space="preserve">queen sheets striped</t>
  </si>
  <si>
    <t xml:space="preserve">light brown bed sheets</t>
  </si>
  <si>
    <t xml:space="preserve">burgundy sheets king</t>
  </si>
  <si>
    <t xml:space="preserve">bed fitted sheet grippers</t>
  </si>
  <si>
    <t xml:space="preserve">gingham fitted sheet</t>
  </si>
  <si>
    <t xml:space="preserve">teal sheets queen</t>
  </si>
  <si>
    <t xml:space="preserve">floral sheets full</t>
  </si>
  <si>
    <t xml:space="preserve">king floral sheets</t>
  </si>
  <si>
    <t xml:space="preserve">flat sheet king</t>
  </si>
  <si>
    <t xml:space="preserve">taupe king sheets</t>
  </si>
  <si>
    <t xml:space="preserve">gold sheets queen</t>
  </si>
  <si>
    <t xml:space="preserve">white twin fitted sheet</t>
  </si>
  <si>
    <t xml:space="preserve">queen fitted sheet and pillow cases</t>
  </si>
  <si>
    <t xml:space="preserve">Excluded — not enough evidence or alignment: evidence too thin (confidence 2.5/12: Sleephoria PPC +0 · Sleephoria rank +0 · market CVR +1.5 · competitors +1 · Decolure +0). Left to search-term harvest.</t>
  </si>
  <si>
    <t xml:space="preserve">floral twin sheets</t>
  </si>
  <si>
    <t xml:space="preserve">red sheets full</t>
  </si>
  <si>
    <t xml:space="preserve">Excluded: Sleephoria CVR only 4.5% on 22 clicks — the same product already failed on this exact wording, and the rest of the evidence is not strong enough to override it (confidence 2.5/12: Sleephoria PPC -2 · Sleephoria rank +2 · market CVR +1.5 · competitors +1 · Decolure +0); market CVR 3.6%. Re-add only if it appears converting in the Batch 1 search-term reports.</t>
  </si>
  <si>
    <t xml:space="preserve">deep pocket king fitted sheets</t>
  </si>
  <si>
    <t xml:space="preserve">white queen fitted sheet only</t>
  </si>
  <si>
    <t xml:space="preserve">orange striped sheets</t>
  </si>
  <si>
    <t xml:space="preserve">mustard yellow sheets</t>
  </si>
  <si>
    <t xml:space="preserve">striped fitted sheet</t>
  </si>
  <si>
    <t xml:space="preserve">king size flat sheets</t>
  </si>
  <si>
    <t xml:space="preserve">cow print sheets</t>
  </si>
  <si>
    <t xml:space="preserve">twin bed fitted sheets</t>
  </si>
  <si>
    <t xml:space="preserve">orange sheets king</t>
  </si>
  <si>
    <t xml:space="preserve">corner sheet holders</t>
  </si>
  <si>
    <t xml:space="preserve">red cellophane sheets</t>
  </si>
  <si>
    <t xml:space="preserve">brown sheets twin</t>
  </si>
  <si>
    <t xml:space="preserve">orange twin sheets</t>
  </si>
  <si>
    <t xml:space="preserve">yellow queen sheets</t>
  </si>
  <si>
    <t xml:space="preserve">queen size flat sheet</t>
  </si>
  <si>
    <t xml:space="preserve">queen fitted sheet with pillow cases</t>
  </si>
  <si>
    <t xml:space="preserve">flat sheet full</t>
  </si>
  <si>
    <t xml:space="preserve">black flat sheet king</t>
  </si>
  <si>
    <t xml:space="preserve">Excluded — not enough evidence or alignment: evidence too thin (confidence 1.5/12: Sleephoria PPC +0 · Sleephoria rank +1 · market CVR +0 · competitors +0.5 · Decolure +0). Left to search-term harvest.</t>
  </si>
  <si>
    <t xml:space="preserve">deep fitted sheet</t>
  </si>
  <si>
    <t xml:space="preserve">king brown sheets</t>
  </si>
  <si>
    <t xml:space="preserve">taupe bed sheets</t>
  </si>
  <si>
    <t xml:space="preserve">olive and crate sheets</t>
  </si>
  <si>
    <t xml:space="preserve">dark brown queen sheets</t>
  </si>
  <si>
    <t xml:space="preserve">dark brown sheets king</t>
  </si>
  <si>
    <t xml:space="preserve">burnt orange queen sheet set</t>
  </si>
  <si>
    <t xml:space="preserve">california king fitted sheet deep pocket</t>
  </si>
  <si>
    <t xml:space="preserve">brown bed sheets full</t>
  </si>
  <si>
    <t xml:space="preserve">single fitted sheet only</t>
  </si>
  <si>
    <t xml:space="preserve">white fitted sheet full</t>
  </si>
  <si>
    <t xml:space="preserve">yellow twin sheets</t>
  </si>
  <si>
    <t xml:space="preserve">floral fitted sheet</t>
  </si>
  <si>
    <t xml:space="preserve">blue fitted sheet</t>
  </si>
  <si>
    <t xml:space="preserve">queen deep pocket fitted sheet</t>
  </si>
  <si>
    <t xml:space="preserve">soft fitted sheet</t>
  </si>
  <si>
    <t xml:space="preserve">brown sheet set queen</t>
  </si>
  <si>
    <t xml:space="preserve">orange king size sheets set</t>
  </si>
  <si>
    <t xml:space="preserve">black queen fitted sheet only</t>
  </si>
  <si>
    <t xml:space="preserve">dark brown bed sheets</t>
  </si>
  <si>
    <t xml:space="preserve">olive green sheets king</t>
  </si>
  <si>
    <t xml:space="preserve">leopard print sheets king</t>
  </si>
  <si>
    <t xml:space="preserve">plaid king sheets</t>
  </si>
  <si>
    <t xml:space="preserve">twin size fitted sheets 2 pack</t>
  </si>
  <si>
    <t xml:space="preserve">yellow gingham sheets</t>
  </si>
  <si>
    <t xml:space="preserve">king size fitted sheet cooling</t>
  </si>
  <si>
    <t xml:space="preserve">beige striped sheets</t>
  </si>
  <si>
    <t xml:space="preserve">orange gingham sheets</t>
  </si>
  <si>
    <t xml:space="preserve">plaid sheets king</t>
  </si>
  <si>
    <t xml:space="preserve">burgundy sheet set</t>
  </si>
  <si>
    <t xml:space="preserve">deep king fitted sheet</t>
  </si>
  <si>
    <t xml:space="preserve">halloween fitted sheet</t>
  </si>
  <si>
    <t xml:space="preserve">taupe sheets queen</t>
  </si>
  <si>
    <t xml:space="preserve">coraline bed set</t>
  </si>
  <si>
    <t xml:space="preserve">cali king fitted sheet only</t>
  </si>
  <si>
    <t xml:space="preserve">olive bedding</t>
  </si>
  <si>
    <t xml:space="preserve">rose sheets</t>
  </si>
  <si>
    <t xml:space="preserve">pac n play fitted sheets</t>
  </si>
  <si>
    <t xml:space="preserve">light yellow sheets</t>
  </si>
  <si>
    <t xml:space="preserve">king sheets brown</t>
  </si>
  <si>
    <t xml:space="preserve">red full size sheets</t>
  </si>
  <si>
    <t xml:space="preserve">pink fitted sheet queen</t>
  </si>
  <si>
    <t xml:space="preserve">orange bed set</t>
  </si>
  <si>
    <t xml:space="preserve">california king fitted sheets</t>
  </si>
  <si>
    <t xml:space="preserve">pink striped bedding</t>
  </si>
  <si>
    <t xml:space="preserve">single fitted sheet</t>
  </si>
  <si>
    <t xml:space="preserve">fitted sheets with corner straps</t>
  </si>
  <si>
    <t xml:space="preserve">king sheets striped</t>
  </si>
  <si>
    <t xml:space="preserve">extra deep fitted sheet queen</t>
  </si>
  <si>
    <t xml:space="preserve">teal queen sheets</t>
  </si>
  <si>
    <t xml:space="preserve">maroon bed sheets</t>
  </si>
  <si>
    <t xml:space="preserve">extra deep fitted sheet king</t>
  </si>
  <si>
    <t xml:space="preserve">burnt orange bed sheets</t>
  </si>
  <si>
    <t xml:space="preserve">lavender sheets queen</t>
  </si>
  <si>
    <t xml:space="preserve">king size bottom fitted sheet only</t>
  </si>
  <si>
    <t xml:space="preserve">elastic sheet straps</t>
  </si>
  <si>
    <t xml:space="preserve">white queen flat sheet</t>
  </si>
  <si>
    <t xml:space="preserve">floral bedsheets</t>
  </si>
  <si>
    <t xml:space="preserve">plush fitted sheet</t>
  </si>
  <si>
    <t xml:space="preserve">brown bedding full</t>
  </si>
  <si>
    <t xml:space="preserve">stripe bed sheets</t>
  </si>
  <si>
    <t xml:space="preserve">white flat sheet king</t>
  </si>
  <si>
    <t xml:space="preserve">twin striped sheets</t>
  </si>
  <si>
    <t xml:space="preserve">queen size deep pocket fitted sheet</t>
  </si>
  <si>
    <t xml:space="preserve">orange sheets full</t>
  </si>
  <si>
    <t xml:space="preserve">king striped sheets</t>
  </si>
  <si>
    <t xml:space="preserve">stretchy sheets</t>
  </si>
  <si>
    <t xml:space="preserve">Excluded — not enough evidence or alignment: evidence too thin (confidence 0.0/12: Sleephoria PPC +0 · Sleephoria rank +0 · market CVR +0 · competitors +0 · Decolure +0). Left to search-term harvest.</t>
  </si>
  <si>
    <t xml:space="preserve">bed suspenders for sheets</t>
  </si>
  <si>
    <t xml:space="preserve">pink flat sheet</t>
  </si>
  <si>
    <t xml:space="preserve">pink and white striped sheets</t>
  </si>
  <si>
    <t xml:space="preserve">moomee fitted sheet</t>
  </si>
  <si>
    <t xml:space="preserve">striped twin sheets</t>
  </si>
  <si>
    <t xml:space="preserve">light brown bedding</t>
  </si>
  <si>
    <t xml:space="preserve">burnt orange sheets king</t>
  </si>
  <si>
    <t xml:space="preserve">bed sheets floral</t>
  </si>
  <si>
    <t xml:space="preserve">printed sheets king</t>
  </si>
  <si>
    <t xml:space="preserve">yellow queen sheet set</t>
  </si>
  <si>
    <t xml:space="preserve">queen sheets brown</t>
  </si>
  <si>
    <t xml:space="preserve">attached fitted and flat sheet</t>
  </si>
  <si>
    <t xml:space="preserve">full fitted sheet only</t>
  </si>
  <si>
    <t xml:space="preserve">black fitted sheet twin</t>
  </si>
  <si>
    <t xml:space="preserve">brown fitted sheet queen</t>
  </si>
  <si>
    <t xml:space="preserve">double fitted sheet</t>
  </si>
  <si>
    <t xml:space="preserve">peachskin sheets king set</t>
  </si>
  <si>
    <t xml:space="preserve">white fitted sheet twin</t>
  </si>
  <si>
    <t xml:space="preserve">zipper fitted sheet queen</t>
  </si>
  <si>
    <t xml:space="preserve">king size brown sheets</t>
  </si>
  <si>
    <t xml:space="preserve">deep fitted sheet full</t>
  </si>
  <si>
    <t xml:space="preserve">extra deep queen fitted sheet</t>
  </si>
  <si>
    <t xml:space="preserve">brown and pink bedding</t>
  </si>
  <si>
    <t xml:space="preserve">cooling queen sheets hot sleepers</t>
  </si>
  <si>
    <t xml:space="preserve">Excluded — not enough evidence or alignment: evidence too thin (confidence 1.0/12: Sleephoria PPC +0 · Sleephoria rank +0 · market CVR +0 · competitors +1 · Decolure +0). Left to search-term harvest.</t>
  </si>
  <si>
    <t xml:space="preserve">Excluded — not enough evidence or alignment: evidence too thin (confidence 1.5/12: Sleephoria PPC +0 · root|size group proven on Sleephoria +1.5 (cooling sheets|Cal King: CVR 15.7% on 706 clicks) · Sleephoria rank +0 · market CVR +0 · competitors +0 · Decolure +0). Left to search-term harvest.</t>
  </si>
  <si>
    <t xml:space="preserve">olive green sheet set</t>
  </si>
  <si>
    <t xml:space="preserve">navy blue fitted sheet</t>
  </si>
  <si>
    <t xml:space="preserve">teal bed set</t>
  </si>
  <si>
    <t xml:space="preserve">teal queen sheet set</t>
  </si>
  <si>
    <t xml:space="preserve">floral queen sheet set</t>
  </si>
  <si>
    <t xml:space="preserve">pack and play fitted sheet</t>
  </si>
  <si>
    <t xml:space="preserve">king size sheets set floral</t>
  </si>
  <si>
    <t xml:space="preserve">queen fitted sheet only cooling</t>
  </si>
  <si>
    <t xml:space="preserve">king size fitted sheet and pillow cases</t>
  </si>
  <si>
    <t xml:space="preserve">cooling aheets</t>
  </si>
  <si>
    <t xml:space="preserve">king size cooling fitted sheet</t>
  </si>
  <si>
    <t xml:space="preserve">red queen sheets</t>
  </si>
  <si>
    <t xml:space="preserve">burgundy sheets full</t>
  </si>
  <si>
    <t xml:space="preserve">orange queen sheets</t>
  </si>
  <si>
    <t xml:space="preserve">maroon sheets queen</t>
  </si>
  <si>
    <t xml:space="preserve">massage table fitted sheet</t>
  </si>
  <si>
    <t xml:space="preserve">pink stripe sheets</t>
  </si>
  <si>
    <t xml:space="preserve">burgundy king sheets</t>
  </si>
  <si>
    <t xml:space="preserve">brown gingham sheets queen</t>
  </si>
  <si>
    <t xml:space="preserve">twin size fitted sheets</t>
  </si>
  <si>
    <t xml:space="preserve">full fitted sheets 2 pack</t>
  </si>
  <si>
    <t xml:space="preserve">floral full size sheets</t>
  </si>
  <si>
    <t xml:space="preserve">deep twin fitted sheet</t>
  </si>
  <si>
    <t xml:space="preserve">butter yellow bedding</t>
  </si>
  <si>
    <t xml:space="preserve">yellow floral sheets</t>
  </si>
  <si>
    <t xml:space="preserve">sheets floral</t>
  </si>
  <si>
    <t xml:space="preserve">plaid queen sheets</t>
  </si>
  <si>
    <t xml:space="preserve">brown and white striped sheets</t>
  </si>
  <si>
    <t xml:space="preserve">full size cooling sheets breathable</t>
  </si>
  <si>
    <t xml:space="preserve">Excluded — not enough evidence or alignment: evidence too thin (confidence 1.5/12: Sleephoria PPC +0 · root|size group proven on Sleephoria +1.5 (cooling sheets|Full: CVR 11.7% on 2,803 clicks) · Sleephoria rank +0 · market CVR +0 · competitors +0 · Decolure +0). Left to search-term harvest.</t>
  </si>
  <si>
    <t xml:space="preserve">striped bed set</t>
  </si>
  <si>
    <t xml:space="preserve">queen bed sheets floral</t>
  </si>
  <si>
    <t xml:space="preserve">red sheets king</t>
  </si>
  <si>
    <t xml:space="preserve">tan queen sheets</t>
  </si>
  <si>
    <t xml:space="preserve">cream fitted sheet</t>
  </si>
  <si>
    <t xml:space="preserve">dusty rose bed sheets</t>
  </si>
  <si>
    <t xml:space="preserve">printed sheets queen</t>
  </si>
  <si>
    <t xml:space="preserve">king bed fitted sheet only</t>
  </si>
  <si>
    <t xml:space="preserve">king fitted sheet only deep pocket</t>
  </si>
  <si>
    <t xml:space="preserve">full size deep pocket fitted sheet</t>
  </si>
  <si>
    <t xml:space="preserve">cool bed</t>
  </si>
  <si>
    <t xml:space="preserve">Excluded — not enough evidence or alignment: evidence too thin (confidence 1.0/12: Sleephoria PPC +0 · Sleephoria rank +1 · market CVR +0 · competitors +0 · Decolure +0). Left to search-term harvest.</t>
  </si>
  <si>
    <t xml:space="preserve">Excluded — not enough evidence or alignment: evidence too thin (confidence 2.0/12: Sleephoria PPC +2 · Sleephoria rank +0 · market CVR +0 · competitors +0 · Decolure +0). Left to search-term harvest.</t>
  </si>
  <si>
    <t xml:space="preserve">cabbage and roses bedding</t>
  </si>
  <si>
    <t xml:space="preserve">cal king flat sheet only</t>
  </si>
  <si>
    <t xml:space="preserve">california king deep pocket fitted sheet</t>
  </si>
  <si>
    <t xml:space="preserve">brown bed set queen</t>
  </si>
  <si>
    <t xml:space="preserve">bed sheets striped</t>
  </si>
  <si>
    <t xml:space="preserve">red sheet james ellroy</t>
  </si>
  <si>
    <t xml:space="preserve">full fitted sheet deep pocket</t>
  </si>
  <si>
    <t xml:space="preserve">fitted sheet deep pocket</t>
  </si>
  <si>
    <t xml:space="preserve">tein fitted sheet only</t>
  </si>
  <si>
    <t xml:space="preserve">Excluded — not enough evidence or alignment: evidence too thin (confidence 1.5/12: Sleephoria PPC +0 · Sleephoria rank +0 · market CVR +1 · competitors +0.5 · Decolure +0). Left to search-term harvest.</t>
  </si>
  <si>
    <t xml:space="preserve">taupe sheets king</t>
  </si>
  <si>
    <t xml:space="preserve">moisture wicking sheets queen</t>
  </si>
  <si>
    <t xml:space="preserve">bedding brown</t>
  </si>
  <si>
    <t xml:space="preserve">cool beds</t>
  </si>
  <si>
    <t xml:space="preserve">king flat sheet only</t>
  </si>
  <si>
    <t xml:space="preserve">king deep pocket fitted sheets</t>
  </si>
  <si>
    <t xml:space="preserve">chocolate brown king sheets</t>
  </si>
  <si>
    <t xml:space="preserve">cheetah print sheets king</t>
  </si>
  <si>
    <t xml:space="preserve">sheet straps full size bed</t>
  </si>
  <si>
    <t xml:space="preserve">cooling sheets cal king size deep pocket</t>
  </si>
  <si>
    <t xml:space="preserve">black fitted sheet king</t>
  </si>
  <si>
    <t xml:space="preserve">deep pocket fitted sheet king</t>
  </si>
  <si>
    <t xml:space="preserve">gold bedding</t>
  </si>
  <si>
    <t xml:space="preserve">flat sheet king size</t>
  </si>
  <si>
    <t xml:space="preserve">brown gingham sheets king</t>
  </si>
  <si>
    <t xml:space="preserve">beige fitted sheet</t>
  </si>
  <si>
    <t xml:space="preserve">fitted sheet king size</t>
  </si>
  <si>
    <t xml:space="preserve">coral bedding</t>
  </si>
  <si>
    <t xml:space="preserve">bulk flat sheets</t>
  </si>
  <si>
    <t xml:space="preserve">espresso brown sheets</t>
  </si>
  <si>
    <t xml:space="preserve">red gingham sheets</t>
  </si>
  <si>
    <t xml:space="preserve">pink fitted sheet full</t>
  </si>
  <si>
    <t xml:space="preserve">fall floral sheets</t>
  </si>
  <si>
    <t xml:space="preserve">printable static cling sheets</t>
  </si>
  <si>
    <t xml:space="preserve">twin size flat sheet</t>
  </si>
  <si>
    <t xml:space="preserve">light brown queen sheets</t>
  </si>
  <si>
    <t xml:space="preserve">taupe queen sheet set</t>
  </si>
  <si>
    <t xml:space="preserve">tan striped sheets</t>
  </si>
  <si>
    <t xml:space="preserve">full size fitted sheets only</t>
  </si>
  <si>
    <t xml:space="preserve">maroon bed set</t>
  </si>
  <si>
    <t xml:space="preserve">fitted sheets only</t>
  </si>
  <si>
    <t xml:space="preserve">yellow sheet set</t>
  </si>
  <si>
    <t xml:space="preserve">straps for fitted sheets</t>
  </si>
  <si>
    <t xml:space="preserve">red striped sheets</t>
  </si>
  <si>
    <t xml:space="preserve">block print sheets</t>
  </si>
  <si>
    <t xml:space="preserve">olive green fitted sheet</t>
  </si>
  <si>
    <t xml:space="preserve">brown flat sheet</t>
  </si>
  <si>
    <t xml:space="preserve">burgundy fitted sheet</t>
  </si>
  <si>
    <t xml:space="preserve">shallow pocket fitted sheets</t>
  </si>
  <si>
    <t xml:space="preserve">Excluded — not enough evidence or alignment: evidence too thin (confidence 1.0/12: Sleephoria PPC +0 · Sleephoria rank +0 · market CVR +1 · competitors +0 · Decolure +0). Left to search-term harvest.</t>
  </si>
  <si>
    <t xml:space="preserve">Excluded — not enough evidence or alignment: evidence too thin (confidence 3.0/12: Sleephoria PPC +0 · Sleephoria rank +0 · market CVR +2 · competitors +1 · Decolure +0). Left to search-term harvest.</t>
  </si>
  <si>
    <t xml:space="preserve">bed set queen size cooling</t>
  </si>
  <si>
    <t xml:space="preserve">Excluded: asks for 18"+ / extra-deep pocket; CooLinens fits 16".</t>
  </si>
  <si>
    <t xml:space="preserve">cooling twin sheets set</t>
  </si>
  <si>
    <t xml:space="preserve">sabanas fresca para verano</t>
  </si>
  <si>
    <t xml:space="preserve">cold sheets king</t>
  </si>
  <si>
    <t xml:space="preserve">corner bed sheet holder</t>
  </si>
  <si>
    <t xml:space="preserve">printed bed sheets</t>
  </si>
  <si>
    <t xml:space="preserve">king size white flat sheet</t>
  </si>
  <si>
    <t xml:space="preserve">full size sheets floral</t>
  </si>
  <si>
    <t xml:space="preserve">full size sheets 18-24 extra deep pocket fitted sheet</t>
  </si>
  <si>
    <t xml:space="preserve">fitted sheet queen size</t>
  </si>
  <si>
    <t xml:space="preserve">brown checkered sheets</t>
  </si>
  <si>
    <t xml:space="preserve">queen fitted sheet with corner straps</t>
  </si>
  <si>
    <t xml:space="preserve">printed king size sheets set</t>
  </si>
  <si>
    <t xml:space="preserve">brown queen bed sheets</t>
  </si>
  <si>
    <t xml:space="preserve">gold queen sheet set</t>
  </si>
  <si>
    <t xml:space="preserve">king fitted sheets only</t>
  </si>
  <si>
    <t xml:space="preserve">plaid sheet set</t>
  </si>
  <si>
    <t xml:space="preserve">brown king bed sheets</t>
  </si>
  <si>
    <t xml:space="preserve">eq printables inkjet fabric sheets</t>
  </si>
  <si>
    <t xml:space="preserve">twin flat sheet only</t>
  </si>
  <si>
    <t xml:space="preserve">orange sheet</t>
  </si>
  <si>
    <t xml:space="preserve">dark brown fitted sheet</t>
  </si>
  <si>
    <t xml:space="preserve">cheetah print queen sheets</t>
  </si>
  <si>
    <t xml:space="preserve">brown striped bed sheets</t>
  </si>
  <si>
    <t xml:space="preserve">burnt orange sheet set</t>
  </si>
  <si>
    <t xml:space="preserve">blue and white striped sheets</t>
  </si>
  <si>
    <t xml:space="preserve">beige fitted sheet queen</t>
  </si>
  <si>
    <t xml:space="preserve">twin fitted sheet 2 pack</t>
  </si>
  <si>
    <t xml:space="preserve">pink and yellow bedding</t>
  </si>
  <si>
    <t xml:space="preserve">brown full sheets</t>
  </si>
  <si>
    <t xml:space="preserve">blue striped bedding</t>
  </si>
  <si>
    <t xml:space="preserve">twin floral sheets</t>
  </si>
  <si>
    <t xml:space="preserve">yellow full size sheet set</t>
  </si>
  <si>
    <t xml:space="preserve">yellow sheets full</t>
  </si>
  <si>
    <t xml:space="preserve">yellow king size sheets set</t>
  </si>
  <si>
    <t xml:space="preserve">sheets king cool</t>
  </si>
  <si>
    <t xml:space="preserve">twin bed cooling sheets</t>
  </si>
  <si>
    <t xml:space="preserve">Excluded — not enough evidence or alignment: evidence too thin (confidence 1.5/12: Sleephoria PPC +0 · root|size group proven on Sleephoria +1.5 (cooling sheets|Twin: CVR 11.7% on 865 clicks) · Sleephoria rank +0 · market CVR +0 · competitors +0 · Decolure +0). Left to search-term harvest.</t>
  </si>
  <si>
    <t xml:space="preserve">bedding for hot sleepers</t>
  </si>
  <si>
    <t xml:space="preserve">cool sheets queen size bed set</t>
  </si>
  <si>
    <t xml:space="preserve">menopause cooling bedding</t>
  </si>
  <si>
    <t xml:space="preserve">Excluded: condition-driven (menopause/hot flashes) — shoppers buy fans, pajamas, towels as much as sheets; no conversion history for us; claim-sensitive.</t>
  </si>
  <si>
    <t xml:space="preserve">yellow twin sheet set</t>
  </si>
  <si>
    <t xml:space="preserve">cooling sheets for a queen</t>
  </si>
  <si>
    <t xml:space="preserve">Excluded — not enough evidence or alignment: evidence too thin (confidence 1.5/12: Sleephoria PPC +0 · root|size group proven on Sleephoria +1.5 (cooling sheets|Queen: CVR 10.9% on 3,545 clicks) · Sleephoria rank +0 · market CVR +0 · competitors +0 · Decolure +0). Left to search-term harvest.</t>
  </si>
  <si>
    <t xml:space="preserve">flat sheet only clearance</t>
  </si>
  <si>
    <t xml:space="preserve">dark brown gingham sheets</t>
  </si>
  <si>
    <t xml:space="preserve">fall fitted sheet</t>
  </si>
  <si>
    <t xml:space="preserve">queen sheet set brown</t>
  </si>
  <si>
    <t xml:space="preserve">tan king sheets</t>
  </si>
  <si>
    <t xml:space="preserve">white twin flat sheets 2 pack</t>
  </si>
  <si>
    <t xml:space="preserve">corner straps for fitted sheets</t>
  </si>
  <si>
    <t xml:space="preserve">bed sheets brown</t>
  </si>
  <si>
    <t xml:space="preserve">grey fitted sheet queen</t>
  </si>
  <si>
    <t xml:space="preserve">leopard print sheets full</t>
  </si>
  <si>
    <t xml:space="preserve">queen brown sheets</t>
  </si>
  <si>
    <t xml:space="preserve">full size sheets brown</t>
  </si>
  <si>
    <t xml:space="preserve">cool touch sheet set</t>
  </si>
  <si>
    <t xml:space="preserve">king size sheets cooling set</t>
  </si>
  <si>
    <t xml:space="preserve">full size cooling sheets set</t>
  </si>
  <si>
    <t xml:space="preserve">queen cooling sheets set</t>
  </si>
  <si>
    <t xml:space="preserve">fitted cooling sheet queen</t>
  </si>
  <si>
    <t xml:space="preserve">double bed fitted sheet</t>
  </si>
  <si>
    <t xml:space="preserve">cooling sheeta</t>
  </si>
  <si>
    <t xml:space="preserve">summer cooling bedding king size</t>
  </si>
  <si>
    <t xml:space="preserve">Excluded — not enough evidence or alignment: relevance 72% (below 75%); evidence too thin (confidence 0.0/12: Sleephoria PPC +0 · Sleephoria rank +0 · market CVR +0 · competitors +0 · Decolure +0). Left to search-term harvest.</t>
  </si>
  <si>
    <t xml:space="preserve">fitted sheet cooling</t>
  </si>
  <si>
    <t xml:space="preserve">queen bed sheets set cooling</t>
  </si>
  <si>
    <t xml:space="preserve">terracotta striped sheets</t>
  </si>
  <si>
    <t xml:space="preserve">brown bedding queen</t>
  </si>
  <si>
    <t xml:space="preserve">white flat sheets cheap</t>
  </si>
  <si>
    <t xml:space="preserve">sage green fitted sheet</t>
  </si>
  <si>
    <t xml:space="preserve">plaid sheets full</t>
  </si>
  <si>
    <t xml:space="preserve">olive sheets</t>
  </si>
  <si>
    <t xml:space="preserve">pink fitted sheet twin</t>
  </si>
  <si>
    <t xml:space="preserve">full size fitted sheet deep pocket</t>
  </si>
  <si>
    <t xml:space="preserve">brown polka dot sheets</t>
  </si>
  <si>
    <t xml:space="preserve">extra deep twin fitted sheet</t>
  </si>
  <si>
    <t xml:space="preserve">floral bed sheets queen</t>
  </si>
  <si>
    <t xml:space="preserve">olive green striped sheets</t>
  </si>
  <si>
    <t xml:space="preserve">twin size cooling sheets set</t>
  </si>
  <si>
    <t xml:space="preserve">Excluded — not enough evidence or alignment: evidence too thin (confidence 0.5/12: Sleephoria PPC +0 · Sleephoria rank +0 · market CVR +0 · competitors +0.5 · Decolure +0). Left to search-term harvest.</t>
  </si>
  <si>
    <t xml:space="preserve">cold sheets queen size</t>
  </si>
  <si>
    <t xml:space="preserve">sábanas frescas para el calor</t>
  </si>
  <si>
    <t xml:space="preserve">Excluded: no sheet product in the query; malformed keyword (stray character) — duplicate of a cleaner term.</t>
  </si>
  <si>
    <t xml:space="preserve">black twin flat sheet</t>
  </si>
  <si>
    <t xml:space="preserve">printed queen sheet set</t>
  </si>
  <si>
    <t xml:space="preserve">imitation gold leaf sheets</t>
  </si>
  <si>
    <t xml:space="preserve">red sheets twin</t>
  </si>
  <si>
    <t xml:space="preserve">brown fitted sheet king</t>
  </si>
  <si>
    <t xml:space="preserve">butter yellow bed sheets</t>
  </si>
  <si>
    <t xml:space="preserve">Excluded — not enough evidence or alignment: evidence too thin (confidence 3.0/12: Sleephoria PPC +0 · Sleephoria rank +2 · market CVR +0 · competitors +1 · Decolure +0). Left to search-term harvest.</t>
  </si>
  <si>
    <t xml:space="preserve">plaid sheets twin</t>
  </si>
  <si>
    <t xml:space="preserve">king size deep pocket fitted sheets</t>
  </si>
  <si>
    <t xml:space="preserve">yellow bed set</t>
  </si>
  <si>
    <t xml:space="preserve">queen deep pocket fitted sheets</t>
  </si>
  <si>
    <t xml:space="preserve">striped bed sheets queen</t>
  </si>
  <si>
    <t xml:space="preserve">cooling sheet set full</t>
  </si>
  <si>
    <t xml:space="preserve">twin bed sheets floral</t>
  </si>
  <si>
    <t xml:space="preserve">top cooling sheets</t>
  </si>
  <si>
    <t xml:space="preserve">cooling fitted sheets queen</t>
  </si>
  <si>
    <t xml:space="preserve">california king fitted sheet only</t>
  </si>
  <si>
    <t xml:space="preserve">silky sheets king</t>
  </si>
  <si>
    <t xml:space="preserve">grey cooling sheets</t>
  </si>
  <si>
    <t xml:space="preserve">stretch bed sheets</t>
  </si>
  <si>
    <t xml:space="preserve">stretch sheets</t>
  </si>
  <si>
    <t xml:space="preserve">brown king bedding</t>
  </si>
  <si>
    <t xml:space="preserve">bulk fitted sheets</t>
  </si>
  <si>
    <t xml:space="preserve">light brown sheets queen</t>
  </si>
  <si>
    <t xml:space="preserve">orange fitted sheet</t>
  </si>
  <si>
    <t xml:space="preserve">plaid fitted sheet</t>
  </si>
  <si>
    <t xml:space="preserve">queen bed sheets brown</t>
  </si>
  <si>
    <t xml:space="preserve">queen size fitted sheets only</t>
  </si>
  <si>
    <t xml:space="preserve">brown bed sheet</t>
  </si>
  <si>
    <t xml:space="preserve">cooling queen sheets deep pocket</t>
  </si>
  <si>
    <t xml:space="preserve">summer cooling sheets</t>
  </si>
  <si>
    <t xml:space="preserve">cooling fitted sheet full size</t>
  </si>
  <si>
    <t xml:space="preserve">menopause sheets for hot flashes</t>
  </si>
  <si>
    <t xml:space="preserve">twin cooling sheets set</t>
  </si>
  <si>
    <t xml:space="preserve">Excluded — not enough evidence or alignment: evidence too thin (confidence 3.0/12: Sleephoria PPC +1 · Sleephoria rank +2 · market CVR +0 · competitors +0 · Decolure +0). Left to search-term harvest.</t>
  </si>
  <si>
    <t xml:space="preserve">red flat sheet</t>
  </si>
  <si>
    <t xml:space="preserve">brown queen fitted sheet</t>
  </si>
  <si>
    <t xml:space="preserve">brown sheet set king</t>
  </si>
  <si>
    <t xml:space="preserve">black king size flat sheet</t>
  </si>
  <si>
    <t xml:space="preserve">bfan bed cooling fans</t>
  </si>
  <si>
    <t xml:space="preserve">fitted sheets queen size</t>
  </si>
  <si>
    <t xml:space="preserve">king size bed fitted sheet</t>
  </si>
  <si>
    <t xml:space="preserve">king size sheets set brown</t>
  </si>
  <si>
    <t xml:space="preserve">padded fitted sheet</t>
  </si>
  <si>
    <t xml:space="preserve">tan sheets full</t>
  </si>
  <si>
    <t xml:space="preserve">nylon sheet</t>
  </si>
  <si>
    <t xml:space="preserve">striped brown sheets</t>
  </si>
  <si>
    <t xml:space="preserve">Excluded — not enough evidence or alignment: evidence too thin (confidence 2.0/12: Sleephoria PPC +0 · Sleephoria rank +0 · market CVR +2 · competitors +0 · Decolure +0). Left to search-term harvest.</t>
  </si>
  <si>
    <t xml:space="preserve">queen sheets cool temperature</t>
  </si>
  <si>
    <t xml:space="preserve">cooling king size bed set</t>
  </si>
  <si>
    <t xml:space="preserve">stretch sheets king</t>
  </si>
  <si>
    <t xml:space="preserve">breathable bedding</t>
  </si>
  <si>
    <t xml:space="preserve">gold sheets king</t>
  </si>
  <si>
    <t xml:space="preserve">orange plaid sheets</t>
  </si>
  <si>
    <t xml:space="preserve">fitted sheets full size</t>
  </si>
  <si>
    <t xml:space="preserve">rattan sheet</t>
  </si>
  <si>
    <t xml:space="preserve">queen white fitted sheet</t>
  </si>
  <si>
    <t xml:space="preserve">black flat sheet twin</t>
  </si>
  <si>
    <t xml:space="preserve">black and white striped bedding</t>
  </si>
  <si>
    <t xml:space="preserve">cool comfort</t>
  </si>
  <si>
    <t xml:space="preserve">deep pocket cal king fitted sheet</t>
  </si>
  <si>
    <t xml:space="preserve">teal twin sheets</t>
  </si>
  <si>
    <t xml:space="preserve">queen bed fitted sheets</t>
  </si>
  <si>
    <t xml:space="preserve">light blue fitted sheet</t>
  </si>
  <si>
    <t xml:space="preserve">white king flat sheet</t>
  </si>
  <si>
    <t xml:space="preserve">white king fitted sheet</t>
  </si>
  <si>
    <t xml:space="preserve">sheet set cooling</t>
  </si>
  <si>
    <t xml:space="preserve">cooling bedsheets queen size bed</t>
  </si>
  <si>
    <t xml:space="preserve">fitted sheet and pillow cases</t>
  </si>
  <si>
    <t xml:space="preserve">Excluded — not enough evidence or alignment: evidence too thin (confidence 1.5/12: Sleephoria PPC +0 · Sleephoria rank +0 · market CVR +0.5 · competitors +1 · Decolure +0). Left to search-term harvest.</t>
  </si>
  <si>
    <t xml:space="preserve">king fitted sheet only cooling</t>
  </si>
  <si>
    <t xml:space="preserve">king deep pocket cooling sheets</t>
  </si>
  <si>
    <t xml:space="preserve">king bed set cooling</t>
  </si>
  <si>
    <t xml:space="preserve">nylon sheets</t>
  </si>
  <si>
    <t xml:space="preserve">cali king fitted sheet</t>
  </si>
  <si>
    <t xml:space="preserve">sage green striped sheets</t>
  </si>
  <si>
    <t xml:space="preserve">brown striped bedding</t>
  </si>
  <si>
    <t xml:space="preserve">pale yellow sheets</t>
  </si>
  <si>
    <t xml:space="preserve">snoo fitted sheet</t>
  </si>
  <si>
    <t xml:space="preserve">gray fitted sheet queen</t>
  </si>
  <si>
    <t xml:space="preserve">ticking stripe sheets</t>
  </si>
  <si>
    <t xml:space="preserve">olive green bed set</t>
  </si>
  <si>
    <t xml:space="preserve">cabbages and roses bedding</t>
  </si>
  <si>
    <t xml:space="preserve">thick fitted sheet</t>
  </si>
  <si>
    <t xml:space="preserve">cooling products for hot sleepers</t>
  </si>
  <si>
    <t xml:space="preserve">cool bed sheets king</t>
  </si>
  <si>
    <t xml:space="preserve">cooling fitted sheet twin</t>
  </si>
  <si>
    <t xml:space="preserve">king fitted sheet cooling</t>
  </si>
  <si>
    <t xml:space="preserve">super soft cooling sheets</t>
  </si>
  <si>
    <t xml:space="preserve">red fitted sheet</t>
  </si>
  <si>
    <t xml:space="preserve">sheets striped</t>
  </si>
  <si>
    <t xml:space="preserve">twin flat sheets 6 pack</t>
  </si>
  <si>
    <t xml:space="preserve">light pink fitted sheet</t>
  </si>
  <si>
    <t xml:space="preserve">floral flat sheet</t>
  </si>
  <si>
    <t xml:space="preserve">cooling queen fitted sheet</t>
  </si>
  <si>
    <t xml:space="preserve">fitted sheet with bumpers</t>
  </si>
  <si>
    <t xml:space="preserve">brown gingham bed sheets</t>
  </si>
  <si>
    <t xml:space="preserve">full size striped sheets</t>
  </si>
  <si>
    <t xml:space="preserve">blue and brown bedding</t>
  </si>
  <si>
    <t xml:space="preserve">￼cooling sheets</t>
  </si>
  <si>
    <t xml:space="preserve">Excluded: malformed keyword (stray character) — duplicate of a cleaner term.</t>
  </si>
  <si>
    <t xml:space="preserve">Excluded — not enough evidence or alignment: evidence too thin (confidence 2.5/12: Sleephoria PPC +0 · Sleephoria rank +2 · market CVR +0.5 · competitors +0 · Decolure +0). Left to search-term harvest.</t>
  </si>
  <si>
    <t xml:space="preserve">king cooling fitted sheet only</t>
  </si>
  <si>
    <t xml:space="preserve">cream fitted sheet queen</t>
  </si>
  <si>
    <t xml:space="preserve">silky sheets full</t>
  </si>
  <si>
    <t xml:space="preserve">spandex sheets</t>
  </si>
  <si>
    <t xml:space="preserve">king size bedding cooling</t>
  </si>
  <si>
    <t xml:space="preserve">queen fitted sheets deep pocket</t>
  </si>
  <si>
    <t xml:space="preserve">light blue striped sheets</t>
  </si>
  <si>
    <t xml:space="preserve">brown queen size sheets</t>
  </si>
  <si>
    <t xml:space="preserve">full deep pocket fitted sheet</t>
  </si>
  <si>
    <t xml:space="preserve">striped full size sheets</t>
  </si>
  <si>
    <t xml:space="preserve">printable canvas sheets</t>
  </si>
  <si>
    <t xml:space="preserve">blue plaid sheets</t>
  </si>
  <si>
    <t xml:space="preserve">brown stripe sheets</t>
  </si>
  <si>
    <t xml:space="preserve">Excluded — not enough evidence or alignment: evidence too thin (confidence 3.0/12: Sleephoria PPC +2 · Sleephoria rank +0 · market CVR +0 · competitors +1 · Decolure +0). Left to search-term harvest.</t>
  </si>
  <si>
    <t xml:space="preserve">king size sheets set cooling deep pocket</t>
  </si>
  <si>
    <t xml:space="preserve">king size cooling deep pocket sheets</t>
  </si>
  <si>
    <t xml:space="preserve">queen size cooling sheet set</t>
  </si>
  <si>
    <t xml:space="preserve">heated fitted sheet king size</t>
  </si>
  <si>
    <t xml:space="preserve">king size deep pocket cooling sheet set</t>
  </si>
  <si>
    <t xml:space="preserve">bed sheets queen cooling</t>
  </si>
  <si>
    <t xml:space="preserve">bulk king fitted sheets</t>
  </si>
  <si>
    <t xml:space="preserve">king bed sheets deep pocket cooling</t>
  </si>
  <si>
    <t xml:space="preserve">fitted sheets with wide elastic band</t>
  </si>
  <si>
    <t xml:space="preserve">queen bed set cooling</t>
  </si>
  <si>
    <t xml:space="preserve">Excluded — not enough evidence or alignment: evidence too thin (confidence 2.0/12: Sleephoria PPC +0 · Sleephoria rank +0 · market CVR +1.5 · competitors +0.5 · Decolure +0). Left to search-term harvest.</t>
  </si>
  <si>
    <t xml:space="preserve">black flat sheet queen</t>
  </si>
  <si>
    <t xml:space="preserve">brown bedsheets</t>
  </si>
  <si>
    <t xml:space="preserve">deep pocket fitted sheet queen</t>
  </si>
  <si>
    <t xml:space="preserve">dark brown sheets full</t>
  </si>
  <si>
    <t xml:space="preserve">gingham brown sheets</t>
  </si>
  <si>
    <t xml:space="preserve">red twin sheet set</t>
  </si>
  <si>
    <t xml:space="preserve">pink floral bed sheets</t>
  </si>
  <si>
    <t xml:space="preserve">striped bedsheets</t>
  </si>
  <si>
    <t xml:space="preserve">king size fitted sheet with corner straps</t>
  </si>
  <si>
    <t xml:space="preserve">full bed fitted sheet only</t>
  </si>
  <si>
    <t xml:space="preserve">full size floral sheets</t>
  </si>
  <si>
    <t xml:space="preserve">green flat sheet</t>
  </si>
  <si>
    <t xml:space="preserve">king size white flat sheet only</t>
  </si>
  <si>
    <t xml:space="preserve">fitted sheet with pockets</t>
  </si>
  <si>
    <t xml:space="preserve">light brown king sheets</t>
  </si>
  <si>
    <t xml:space="preserve">sova sheets top sheet attached to fitted sheet</t>
  </si>
  <si>
    <t xml:space="preserve">buffalo plaid bedding</t>
  </si>
  <si>
    <t xml:space="preserve">queen flat sheets only</t>
  </si>
  <si>
    <t xml:space="preserve">blue flat sheet</t>
  </si>
  <si>
    <t xml:space="preserve">olive green sheets full</t>
  </si>
  <si>
    <t xml:space="preserve">orange sheet set</t>
  </si>
  <si>
    <t xml:space="preserve">2 pack twin fitted sheets</t>
  </si>
  <si>
    <t xml:space="preserve">Excluded — not enough evidence or alignment: evidence too thin (confidence 1.5/12: Sleephoria PPC +0 · Sleephoria rank +1.5 · market CVR +0 · competitors +0 · Decolure +0). Left to search-term harvest.</t>
  </si>
  <si>
    <t xml:space="preserve">cooling sherts</t>
  </si>
  <si>
    <t xml:space="preserve">queen size fitted sheet only cooling</t>
  </si>
  <si>
    <t xml:space="preserve">king deep pocket sheets set cooling</t>
  </si>
  <si>
    <t xml:space="preserve">cool sheet</t>
  </si>
  <si>
    <t xml:space="preserve">cooling bedspread</t>
  </si>
  <si>
    <t xml:space="preserve">extra deep king sheet set - 4 piece breathable &amp; cooling bed sheets - easily fits 18 to 24 inch matt</t>
  </si>
  <si>
    <t xml:space="preserve">cooling sheets king deep pocket</t>
  </si>
  <si>
    <t xml:space="preserve">sábanas frias para el calor</t>
  </si>
  <si>
    <t xml:space="preserve">deep pocket queen cooling sheets</t>
  </si>
  <si>
    <t xml:space="preserve">queen cooling bed set</t>
  </si>
  <si>
    <t xml:space="preserve">cooling bed sheet set</t>
  </si>
  <si>
    <t xml:space="preserve">plaid twin sheets</t>
  </si>
  <si>
    <t xml:space="preserve">cooling queen size sheet set</t>
  </si>
  <si>
    <t xml:space="preserve">shilucheng bamboo sheets set 4/6 pc,cooling breathable &amp; hotel luxury super silky soft, 16'' deep po</t>
  </si>
  <si>
    <t xml:space="preserve">queen cooling sheet sets</t>
  </si>
  <si>
    <t xml:space="preserve">cooling night sweats</t>
  </si>
  <si>
    <t xml:space="preserve">sheet set queen size cooling</t>
  </si>
  <si>
    <t xml:space="preserve">cooling deep pocket sheets</t>
  </si>
  <si>
    <t xml:space="preserve">sábanas frescas para el verano</t>
  </si>
  <si>
    <t xml:space="preserve">extra cooling sheets</t>
  </si>
  <si>
    <t xml:space="preserve">cooling fitted sheets queen size bed set</t>
  </si>
  <si>
    <t xml:space="preserve">heated fitted sheet</t>
  </si>
  <si>
    <t xml:space="preserve">heat and cooling bed</t>
  </si>
  <si>
    <t xml:space="preserve">twin fitted sheet cooling</t>
  </si>
  <si>
    <t xml:space="preserve">queen cooling fitted sheet</t>
  </si>
  <si>
    <t xml:space="preserve">king size fitted sheet with straps</t>
  </si>
  <si>
    <t xml:space="preserve">cool temperature bed sheets</t>
  </si>
  <si>
    <t xml:space="preserve">silky sheet</t>
  </si>
  <si>
    <t xml:space="preserve">cool bedding for hot sleepers</t>
  </si>
  <si>
    <t xml:space="preserve">cooling bedding king size</t>
  </si>
  <si>
    <t xml:space="preserve">king size sheets deep pocket set cooling</t>
  </si>
  <si>
    <t xml:space="preserve">silky queen bed sheets</t>
  </si>
  <si>
    <t xml:space="preserve">queen sheets cooling for hot sleepers</t>
  </si>
  <si>
    <t xml:space="preserve">cooling king size fitted sheet</t>
  </si>
  <si>
    <t xml:space="preserve">Excluded — not enough evidence or alignment: evidence too thin (confidence 1.0/12: Sleephoria PPC +1 · Sleephoria rank +0 · market CVR +0 · competitors +0 · Decolure +0). Left to search-term harvest.</t>
  </si>
  <si>
    <t xml:space="preserve">cool sleeping</t>
  </si>
  <si>
    <t xml:space="preserve">cooling california king bed sheet set</t>
  </si>
  <si>
    <t xml:space="preserve">king size cooling sheet sets</t>
  </si>
  <si>
    <t xml:space="preserve">full size sheet set cooling</t>
  </si>
  <si>
    <t xml:space="preserve">cooling bed set full</t>
  </si>
  <si>
    <t xml:space="preserve">sage green cooling sheets</t>
  </si>
  <si>
    <t xml:space="preserve">breathable sheets full</t>
  </si>
  <si>
    <t xml:space="preserve">cool bed sets</t>
  </si>
  <si>
    <t xml:space="preserve">cool queen sheet set</t>
  </si>
  <si>
    <t xml:space="preserve">striped cooling sheets</t>
  </si>
  <si>
    <t xml:space="preserve">sábanas frescas para verano</t>
  </si>
  <si>
    <t xml:space="preserve">cooling queen fitted sheet only</t>
  </si>
  <si>
    <t xml:space="preserve">king bed sheets cooling set</t>
  </si>
  <si>
    <t xml:space="preserve">twin cooling fitted sheet</t>
  </si>
  <si>
    <t xml:space="preserve">breathable queen bed sheets</t>
  </si>
  <si>
    <t xml:space="preserve">extra deep pocket queen cooling sheets</t>
  </si>
  <si>
    <t xml:space="preserve">cooling fitted sheets king size</t>
  </si>
  <si>
    <t xml:space="preserve">cooling king fitted sheet only</t>
  </si>
  <si>
    <t xml:space="preserve">breathable queen sheets</t>
  </si>
  <si>
    <t xml:space="preserve">the best sheets for night sweats</t>
  </si>
  <si>
    <t xml:space="preserve">breathable bed sheets queen</t>
  </si>
  <si>
    <t xml:space="preserve">moisture wicking bed sheets</t>
  </si>
  <si>
    <t xml:space="preserve">Excluded — not enough evidence or alignment: evidence too thin (confidence 2.5/12: Sleephoria PPC +0 · Sleephoria rank +1.5 · market CVR +1 · competitors +0 · Decolure +0). Left to search-term harvest.</t>
  </si>
  <si>
    <t xml:space="preserve">twin sheet set cooling</t>
  </si>
  <si>
    <t xml:space="preserve">full size bed sheets cooling and soft</t>
  </si>
  <si>
    <t xml:space="preserve">chewie cooling water bed</t>
  </si>
  <si>
    <t xml:space="preserve">sábanas frias</t>
  </si>
  <si>
    <t xml:space="preserve">cooling sheets size queen</t>
  </si>
  <si>
    <t xml:space="preserve">cooling bed sheets deep pocket</t>
  </si>
  <si>
    <t xml:space="preserve">twin sheet sets cooling</t>
  </si>
  <si>
    <t xml:space="preserve">moisture wicking sheets king</t>
  </si>
  <si>
    <t xml:space="preserve">cooling sheets twin for hot sleepers</t>
  </si>
  <si>
    <t xml:space="preserve">deep cool</t>
  </si>
  <si>
    <t xml:space="preserve">queen sheets soft cooling</t>
  </si>
  <si>
    <t xml:space="preserve">cooling sheets for bed</t>
  </si>
  <si>
    <t xml:space="preserve">full cooling sheet set</t>
  </si>
  <si>
    <t xml:space="preserve">Excluded: launch-window demand 99 searches/mo is too small to justify its own target (relevance 100%, confidence 0.0/12) — left to search-term harvest.</t>
  </si>
  <si>
    <t xml:space="preserve">cool technology</t>
  </si>
  <si>
    <t xml:space="preserve">Excluded: launch-window demand 97 searches/mo is too small to justify its own target (relevance 100%, confidence 0.0/12) — left to search-term harvest.</t>
  </si>
  <si>
    <t xml:space="preserve">heated fitted sheet queen</t>
  </si>
  <si>
    <t xml:space="preserve">cool bed sheets queen</t>
  </si>
  <si>
    <t xml:space="preserve">Excluded: launch-window demand 92 searches/mo is too small to justify its own target (relevance 100%, confidence 0.0/12) — left to search-term harvest.</t>
  </si>
  <si>
    <t xml:space="preserve">cooling anti sweat sheets</t>
  </si>
  <si>
    <t xml:space="preserve">Excluded: launch-window demand 92 searches/mo is too small to justify its own target (relevance 95%, confidence 0.0/12) — left to search-term harvest.</t>
  </si>
  <si>
    <t xml:space="preserve">Excluded: relevant on paper but Sleephoria — the same product — paid for 18 clicks with CVR 0.0% (0 orders). Leave it to search-term harvest; re-add only if it converts there.</t>
  </si>
  <si>
    <t xml:space="preserve">stretchy sheets queen</t>
  </si>
  <si>
    <t xml:space="preserve">Excluded: launch-window demand 89 searches/mo is too small to justify its own target (relevance 85%, confidence 0.0/12) — left to search-term harvest.</t>
  </si>
  <si>
    <t xml:space="preserve">cooling+sheets</t>
  </si>
  <si>
    <t xml:space="preserve">deep pocket with strap fitted sheet</t>
  </si>
  <si>
    <t xml:space="preserve">Excluded: launch-window demand 84 searches/mo is too small to justify its own target (relevance 100%, confidence 0.0/12) — left to search-term harvest.</t>
  </si>
  <si>
    <t xml:space="preserve">Excluded: launch-window demand 83 searches/mo is too small to justify its own target (relevance 100%, confidence 0.0/12) — left to search-term harvest.</t>
  </si>
  <si>
    <t xml:space="preserve">Excluded: launch-window demand 82 searches/mo is too small to justify its own target (relevance 100%, confidence 1.5/12) — left to search-term harvest.</t>
  </si>
  <si>
    <t xml:space="preserve">cooling queen sheets for hot sleepers</t>
  </si>
  <si>
    <t xml:space="preserve">Excluded: launch-window demand 81 searches/mo is too small to justify its own target (relevance 100%, confidence 0.0/12) — left to search-term harvest.</t>
  </si>
  <si>
    <t xml:space="preserve">silky bed sheets full</t>
  </si>
  <si>
    <t xml:space="preserve">ultra soft cooling sheets queen size bed set</t>
  </si>
  <si>
    <t xml:space="preserve">Excluded: launch-window demand 80 searches/mo is too small to justify its own target (relevance 88%, confidence 0.0/12) — left to search-term harvest.</t>
  </si>
  <si>
    <t xml:space="preserve">queen size cooling sheets deep pocket set</t>
  </si>
  <si>
    <t xml:space="preserve">Excluded: launch-window demand 79 searches/mo is too small to justify its own target (relevance 100%, confidence 0.0/12) — left to search-term harvest.</t>
  </si>
  <si>
    <t xml:space="preserve">stretchy bed sheets</t>
  </si>
  <si>
    <t xml:space="preserve">Excluded: launch-window demand 78 searches/mo is too small to justify its own target (relevance 80%, confidence 0.0/12) — left to search-term harvest.</t>
  </si>
  <si>
    <t xml:space="preserve">bed set cooling</t>
  </si>
  <si>
    <t xml:space="preserve">Excluded: launch-window demand 77 searches/mo is too small to justify its own target (relevance 82%, confidence 0.0/12) — left to search-term harvest.</t>
  </si>
  <si>
    <t xml:space="preserve">cooling summer sheets</t>
  </si>
  <si>
    <t xml:space="preserve">Excluded: launch-window demand 77 searches/mo is too small to justify its own target (relevance 80%, confidence 0.0/12) — left to search-term harvest.</t>
  </si>
  <si>
    <t xml:space="preserve">cooling bed for hot sleepers</t>
  </si>
  <si>
    <t xml:space="preserve">Excluded: launch-window demand 73 searches/mo is too small to justify its own target (relevance 80%, confidence 0.0/12) — left to search-term harvest.</t>
  </si>
  <si>
    <t xml:space="preserve">sheets cooling queen size bed set</t>
  </si>
  <si>
    <t xml:space="preserve">Excluded: launch-window demand 69 searches/mo is too small to justify its own target (relevance 88%, confidence 0.0/12) — left to search-term harvest.</t>
  </si>
  <si>
    <t xml:space="preserve">Excluded: launch-window demand 68 searches/mo is too small to justify its own target (relevance 100%, confidence 0.0/12) — left to search-term harvest.</t>
  </si>
  <si>
    <t xml:space="preserve">cooling king size bed sheet set</t>
  </si>
  <si>
    <t xml:space="preserve">Excluded: launch-window demand 66 searches/mo is too small to justify its own target (relevance 100%, confidence 0.0/12) — left to search-term harvest.</t>
  </si>
  <si>
    <t xml:space="preserve">coolest bed sheets</t>
  </si>
  <si>
    <t xml:space="preserve">Excluded: launch-window demand 65 searches/mo is too small to justify its own target (relevance 95%, confidence 0.0/12) — left to search-term harvest.</t>
  </si>
  <si>
    <t xml:space="preserve">best sheets for sweaty sleepers</t>
  </si>
  <si>
    <t xml:space="preserve">Excluded: launch-window demand 64 searches/mo is too small to justify its own target (relevance 90%, confidence 0.0/12) — left to search-term harvest.</t>
  </si>
  <si>
    <t xml:space="preserve">best cooling sheets for menopause</t>
  </si>
  <si>
    <t xml:space="preserve">black silky sheets</t>
  </si>
  <si>
    <t xml:space="preserve">cooling california king sheet sets</t>
  </si>
  <si>
    <t xml:space="preserve">Excluded: launch-window demand 60 searches/mo is too small to justify its own target (relevance 100%, confidence 0.0/12) — left to search-term harvest.</t>
  </si>
  <si>
    <t xml:space="preserve">best bed sheets cooling</t>
  </si>
  <si>
    <t xml:space="preserve">Excluded: launch-window demand 57 searches/mo is too small to justify its own target (relevance 90%, confidence 0.0/12) — left to search-term harvest.</t>
  </si>
  <si>
    <t xml:space="preserve">cooling sheets king for night sweats</t>
  </si>
  <si>
    <t xml:space="preserve">Excluded: launch-window demand 55 searches/mo is too small to justify its own target (relevance 100%, confidence 0.0/12) — left to search-term harvest.</t>
  </si>
  <si>
    <t xml:space="preserve">silky sheets twin</t>
  </si>
  <si>
    <t xml:space="preserve">luxury cooling sheets</t>
  </si>
  <si>
    <t xml:space="preserve">Excluded: launch-window demand 49 searches/mo is too small to justify its own target (relevance 95%, confidence 0.0/12) — left to search-term harvest.</t>
  </si>
  <si>
    <t xml:space="preserve">best sheets for night sweats</t>
  </si>
  <si>
    <t xml:space="preserve">Excluded: launch-window demand 48 searches/mo is too small to justify its own target (relevance 90%, confidence 0.0/12) — left to search-term harvest.</t>
  </si>
  <si>
    <t xml:space="preserve">cool fitted sheet queen</t>
  </si>
  <si>
    <t xml:space="preserve">stay cool sheets for king size bed</t>
  </si>
  <si>
    <t xml:space="preserve">Excluded: launch-window demand 42 searches/mo is too small to justify its own target (relevance 100%, confidence 0.0/12) — left to search-term harvest.</t>
  </si>
  <si>
    <t xml:space="preserve">best rated cooling sheets</t>
  </si>
  <si>
    <t xml:space="preserve">Excluded: launch-window demand 38 searches/mo is too small to justify its own target (relevance 90%, confidence 0.0/12) — left to search-term harvest.</t>
  </si>
  <si>
    <t xml:space="preserve">silky bed sheets queen set</t>
  </si>
  <si>
    <t xml:space="preserve">Excluded: launch-window demand 11 searches/mo is too small to justify its own target (relevance 100%, confidence 0.0/12) — left to search-term harvest.</t>
  </si>
  <si>
    <t xml:space="preserve">Excluded: launch-window demand 0 searches/mo is too small to justify its own target (relevance 100%, confidence 1.0/12) — left to search-term harvest.</t>
  </si>
  <si>
    <t xml:space="preserve">Excluded: launch-window demand 0 searches/mo is too small to justify its own target (relevance 100%, confidence 1.5/12) — left to search-term harvest.</t>
  </si>
  <si>
    <t xml:space="preserve">Excluded: launch-window demand 0 searches/mo is too small to justify its own target (relevance 100%, confidence 0.0/12) — left to search-term harvest.</t>
  </si>
  <si>
    <t xml:space="preserve">Excluded: launch-window demand 0 searches/mo is too small to justify its own target (relevance 90%, confidence 0.0/12) — left to search-term harvest.</t>
  </si>
  <si>
    <t xml:space="preserve">Excluded: launch-window demand 0 searches/mo is too small to justify its own target (relevance 95%, confidence 4.0/12) — left to search-term harvest.</t>
  </si>
  <si>
    <t xml:space="preserve">Excluded: launch-window demand 0 searches/mo is too small to justify its own target (relevance 95%, confidence 1.0/12) — left to search-term harvest.</t>
  </si>
  <si>
    <t xml:space="preserve">Excluded: launch-window demand 0 searches/mo is too small to justify its own target (relevance 82%, confidence 2.5/12) — left to search-term harvest.</t>
  </si>
  <si>
    <t xml:space="preserve">sabanas frias king</t>
  </si>
  <si>
    <t xml:space="preserve">king size cooling fitted sheets only</t>
  </si>
  <si>
    <t xml:space="preserve">Excluded: launch-window demand 0 searches/mo is too small to justify its own target (relevance 100%, confidence 4.0/12) — left to search-term harvest.</t>
  </si>
  <si>
    <t xml:space="preserve">Excluded: launch-window demand 0 searches/mo is too small to justify its own target (relevance 100%, confidence 7.0/12) — left to search-term harvest.</t>
  </si>
  <si>
    <t xml:space="preserve">silky bed sheets queen</t>
  </si>
  <si>
    <t xml:space="preserve">queen sheet set deep pocket cooling</t>
  </si>
  <si>
    <t xml:space="preserve">Excluded: launch-window demand 0 searches/mo is too small to justify its own target (relevance 100%, confidence 0.5/12) — left to search-term harvest.</t>
  </si>
  <si>
    <t xml:space="preserve">cold bed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</si>
</sst>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0%"/>
    <numFmt numFmtId="167" formatCode="0.0"/>
    <numFmt numFmtId="168" formatCode="#,##0"/>
    <numFmt numFmtId="169" formatCode="#,##0.0"/>
    <numFmt numFmtId="170" formatCode="0.0%"/>
    <numFmt numFmtId="171" formatCode="\#0"/>
    <numFmt numFmtId="172" formatCode="\$0.00"/>
    <numFmt numFmtId="173" formatCode="\$#,##0"/>
    <numFmt numFmtId="174" formatCode="0.00"/>
    <numFmt numFmtId="175" formatCode="0.00%"/>
    <numFmt numFmtId="176" formatCode="\$#,##0.00"/>
    <numFmt numFmtId="177" formatCode="General"/>
    <numFmt numFmtId="178" formatCode="@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1"/>
      <color rgb="FF1F3A4D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sz val="9"/>
      <color rgb="FF000000"/>
      <name val="WenQuanYi Zen Hei"/>
      <family val="2"/>
    </font>
    <font>
      <sz val="8.5"/>
      <color rgb="FF44444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E5E78"/>
        <bgColor rgb="FF2F4F6F"/>
      </patternFill>
    </fill>
    <fill>
      <patternFill patternType="solid">
        <fgColor rgb="FF3B6E4F"/>
        <bgColor rgb="FF2E5E78"/>
      </patternFill>
    </fill>
    <fill>
      <patternFill patternType="solid">
        <fgColor rgb="FF6B5B2E"/>
        <bgColor rgb="FF555555"/>
      </patternFill>
    </fill>
    <fill>
      <patternFill patternType="solid">
        <fgColor rgb="FF5A3E6E"/>
        <bgColor rgb="FF4A4A4A"/>
      </patternFill>
    </fill>
    <fill>
      <patternFill patternType="solid">
        <fgColor rgb="FF7A3E3E"/>
        <bgColor rgb="FF5A3E6E"/>
      </patternFill>
    </fill>
    <fill>
      <patternFill patternType="solid">
        <fgColor rgb="FF2F4F6F"/>
        <bgColor rgb="FF24506B"/>
      </patternFill>
    </fill>
    <fill>
      <patternFill patternType="solid">
        <fgColor rgb="FF1F3A4D"/>
        <bgColor rgb="FF24506B"/>
      </patternFill>
    </fill>
    <fill>
      <patternFill patternType="solid">
        <fgColor rgb="FF24506B"/>
        <bgColor rgb="FF2F4F6F"/>
      </patternFill>
    </fill>
    <fill>
      <patternFill patternType="solid">
        <fgColor rgb="FF4A4A4A"/>
        <bgColor rgb="FF444444"/>
      </patternFill>
    </fill>
    <fill>
      <patternFill patternType="solid">
        <fgColor rgb="FFEEF2F5"/>
        <bgColor rgb="FFEEF4FA"/>
      </patternFill>
    </fill>
    <fill>
      <patternFill patternType="solid">
        <fgColor rgb="FFE3F1E8"/>
        <bgColor rgb="FFEEF2F5"/>
      </patternFill>
    </fill>
    <fill>
      <patternFill patternType="solid">
        <fgColor rgb="FFF3EEF8"/>
        <bgColor rgb="FFEEF2F5"/>
      </patternFill>
    </fill>
    <fill>
      <patternFill patternType="solid">
        <fgColor rgb="FFEEF4FA"/>
        <bgColor rgb="FFEEF2F5"/>
      </patternFill>
    </fill>
    <fill>
      <patternFill patternType="solid">
        <fgColor rgb="FFFFF4D6"/>
        <bgColor rgb="FFF3EEF8"/>
      </patternFill>
    </fill>
    <fill>
      <patternFill patternType="solid">
        <fgColor rgb="FFEAE6F5"/>
        <bgColor rgb="FFF3EE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4" fillId="1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E5E78"/>
          <bgColor rgb="FF000000"/>
        </patternFill>
      </fill>
    </dxf>
    <dxf>
      <fill>
        <patternFill patternType="solid">
          <fgColor rgb="FFE3F1E8"/>
          <bgColor rgb="FF000000"/>
        </patternFill>
      </fill>
    </dxf>
    <dxf>
      <fill>
        <patternFill patternType="solid">
          <fgColor rgb="FFEAE6F5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B6E4F"/>
          <bgColor rgb="FF000000"/>
        </patternFill>
      </fill>
    </dxf>
    <dxf>
      <fill>
        <patternFill patternType="solid">
          <fgColor rgb="FF6B5B2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5A3E6E"/>
          <bgColor rgb="FF000000"/>
        </patternFill>
      </fill>
    </dxf>
    <dxf>
      <fill>
        <patternFill patternType="solid">
          <fgColor rgb="FFF3EEF8"/>
          <bgColor rgb="FF000000"/>
        </patternFill>
      </fill>
    </dxf>
    <dxf>
      <fill>
        <patternFill patternType="solid">
          <fgColor rgb="FF7A3E3E"/>
          <bgColor rgb="FF000000"/>
        </patternFill>
      </fill>
    </dxf>
    <dxf>
      <fill>
        <patternFill patternType="solid">
          <fgColor rgb="FF2F4F6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1F3A4D"/>
          <bgColor rgb="FF000000"/>
        </patternFill>
      </fill>
    </dxf>
    <dxf>
      <fill>
        <patternFill patternType="solid">
          <fgColor rgb="FF24506B"/>
          <bgColor rgb="FF000000"/>
        </patternFill>
      </fill>
    </dxf>
    <dxf>
      <fill>
        <patternFill patternType="solid">
          <fgColor rgb="FFEEF4FA"/>
          <bgColor rgb="FF00000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B2E"/>
      <rgbColor rgb="FF800080"/>
      <rgbColor rgb="FF2E5E78"/>
      <rgbColor rgb="FFC0C0C0"/>
      <rgbColor rgb="FF808080"/>
      <rgbColor rgb="FF9999FF"/>
      <rgbColor rgb="FF7A3E3E"/>
      <rgbColor rgb="FFFFF4D6"/>
      <rgbColor rgb="FFE3F1E8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A"/>
      <rgbColor rgb="FFEEF2F5"/>
      <rgbColor rgb="FFF3EEF8"/>
      <rgbColor rgb="FF99CCFF"/>
      <rgbColor rgb="FFFF99CC"/>
      <rgbColor rgb="FFCC99FF"/>
      <rgbColor rgb="FFEAE6F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24506B"/>
      <rgbColor rgb="FF3B6E4F"/>
      <rgbColor rgb="FF4A4A4A"/>
      <rgbColor rgb="FF444444"/>
      <rgbColor rgb="FF993300"/>
      <rgbColor rgb="FF5A3E6E"/>
      <rgbColor rgb="FF2F4F6F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4" t="s">
        <v>3</v>
      </c>
    </row>
    <row r="5" customFormat="false" ht="25.5" hidden="false" customHeight="true" outlineLevel="0" collapsed="false">
      <c r="A5" s="3" t="s">
        <v>4</v>
      </c>
      <c r="B5" s="4" t="s">
        <v>5</v>
      </c>
    </row>
    <row r="6" customFormat="false" ht="25.5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25.5" hidden="false" customHeight="true" outlineLevel="0" collapsed="false">
      <c r="A8" s="3" t="s">
        <v>10</v>
      </c>
      <c r="B8" s="4" t="s">
        <v>11</v>
      </c>
    </row>
    <row r="9" customFormat="false" ht="25.5" hidden="false" customHeight="true" outlineLevel="0" collapsed="false">
      <c r="A9" s="3" t="s">
        <v>12</v>
      </c>
      <c r="B9" s="4" t="s">
        <v>13</v>
      </c>
    </row>
    <row r="10" customFormat="false" ht="39.75" hidden="false" customHeight="true" outlineLevel="0" collapsed="false">
      <c r="A10" s="3" t="s">
        <v>14</v>
      </c>
      <c r="B10" s="4" t="s">
        <v>15</v>
      </c>
    </row>
    <row r="11" customFormat="false" ht="25.5" hidden="false" customHeight="true" outlineLevel="0" collapsed="false">
      <c r="A11" s="3" t="s">
        <v>16</v>
      </c>
      <c r="B11" s="4" t="s">
        <v>17</v>
      </c>
    </row>
    <row r="12" customFormat="false" ht="39.75" hidden="false" customHeight="true" outlineLevel="0" collapsed="false">
      <c r="A12" s="3" t="s">
        <v>18</v>
      </c>
      <c r="B12" s="4" t="s">
        <v>19</v>
      </c>
    </row>
    <row r="13" customFormat="false" ht="39.75" hidden="false" customHeight="true" outlineLevel="0" collapsed="false">
      <c r="A13" s="3" t="s">
        <v>20</v>
      </c>
      <c r="B13" s="4" t="s">
        <v>21</v>
      </c>
    </row>
    <row r="14" customFormat="false" ht="39.75" hidden="false" customHeight="true" outlineLevel="0" collapsed="false">
      <c r="A14" s="3" t="s">
        <v>22</v>
      </c>
      <c r="B14" s="4" t="s">
        <v>23</v>
      </c>
    </row>
    <row r="15" customFormat="false" ht="25.5" hidden="false" customHeight="true" outlineLevel="0" collapsed="false">
      <c r="A15" s="3" t="s">
        <v>24</v>
      </c>
      <c r="B15" s="4" t="s">
        <v>25</v>
      </c>
    </row>
    <row r="16" customFormat="false" ht="25.5" hidden="false" customHeight="true" outlineLevel="0" collapsed="false">
      <c r="A16" s="3" t="s">
        <v>26</v>
      </c>
      <c r="B16" s="4" t="s">
        <v>27</v>
      </c>
    </row>
    <row r="17" customFormat="false" ht="39.75" hidden="false" customHeight="true" outlineLevel="0" collapsed="false">
      <c r="A17" s="3" t="s">
        <v>28</v>
      </c>
      <c r="B1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36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22"/>
    <col collapsed="false" customWidth="true" hidden="false" outlineLevel="0" max="16" min="16" style="0" width="24"/>
    <col collapsed="false" customWidth="true" hidden="false" outlineLevel="0" max="17" min="17" style="0" width="17"/>
    <col collapsed="false" customWidth="true" hidden="false" outlineLevel="0" max="18" min="18" style="0" width="9"/>
    <col collapsed="false" customWidth="true" hidden="false" outlineLevel="0" max="19" min="19" style="0" width="10"/>
    <col collapsed="false" customWidth="true" hidden="false" outlineLevel="0" max="20" min="20" style="0" width="20"/>
    <col collapsed="false" customWidth="true" hidden="false" outlineLevel="0" max="21" min="21" style="0" width="40"/>
    <col collapsed="false" customWidth="true" hidden="false" outlineLevel="0" max="25" min="22" style="0" width="9"/>
    <col collapsed="false" customWidth="true" hidden="false" outlineLevel="0" max="26" min="26" style="0" width="10"/>
    <col collapsed="false" customWidth="true" hidden="false" outlineLevel="0" max="30" min="27" style="0" width="9"/>
    <col collapsed="false" customWidth="true" hidden="false" outlineLevel="0" max="31" min="31" style="0" width="24"/>
    <col collapsed="false" customWidth="true" hidden="false" outlineLevel="0" max="32" min="32" style="0" width="9"/>
    <col collapsed="false" customWidth="true" hidden="false" outlineLevel="0" max="34" min="33" style="0" width="10"/>
    <col collapsed="false" customWidth="true" hidden="false" outlineLevel="0" max="35" min="35" style="0" width="9"/>
    <col collapsed="false" customWidth="true" hidden="false" outlineLevel="0" max="40" min="36" style="0" width="10"/>
    <col collapsed="false" customWidth="true" hidden="false" outlineLevel="0" max="41" min="41" style="0" width="20"/>
    <col collapsed="false" customWidth="true" hidden="false" outlineLevel="0" max="42" min="42" style="0" width="48"/>
    <col collapsed="false" customWidth="true" hidden="false" outlineLevel="0" max="43" min="43" style="0" width="9"/>
    <col collapsed="false" customWidth="true" hidden="false" outlineLevel="0" max="44" min="44" style="0" width="34"/>
    <col collapsed="false" customWidth="true" hidden="false" outlineLevel="0" max="45" min="45" style="0" width="10"/>
    <col collapsed="false" customWidth="true" hidden="false" outlineLevel="0" max="46" min="46" style="0" width="18"/>
    <col collapsed="false" customWidth="true" hidden="false" outlineLevel="0" max="47" min="47" style="0" width="9"/>
    <col collapsed="false" customWidth="true" hidden="false" outlineLevel="0" max="48" min="48" style="0" width="10"/>
    <col collapsed="false" customWidth="true" hidden="false" outlineLevel="0" max="49" min="49" style="0" width="9"/>
    <col collapsed="false" customWidth="true" hidden="false" outlineLevel="0" max="50" min="50" style="0" width="24"/>
    <col collapsed="false" customWidth="true" hidden="false" outlineLevel="0" max="53" min="51" style="0" width="9"/>
    <col collapsed="false" customWidth="true" hidden="false" outlineLevel="0" max="54" min="54" style="0" width="10"/>
    <col collapsed="false" customWidth="true" hidden="false" outlineLevel="0" max="57" min="55" style="0" width="9"/>
    <col collapsed="false" customWidth="true" hidden="false" outlineLevel="0" max="58" min="58" style="0" width="52"/>
    <col collapsed="false" customWidth="true" hidden="false" outlineLevel="0" max="60" min="59" style="0" width="10"/>
    <col collapsed="false" customWidth="true" hidden="false" outlineLevel="0" max="61" min="61" style="0" width="9"/>
    <col collapsed="false" customWidth="true" hidden="false" outlineLevel="0" max="62" min="62" style="0" width="16"/>
    <col collapsed="false" customWidth="true" hidden="false" outlineLevel="0" max="63" min="63" style="0" width="60"/>
    <col collapsed="false" customWidth="true" hidden="false" outlineLevel="0" max="65" min="64" style="0" width="18"/>
    <col collapsed="false" customWidth="true" hidden="false" outlineLevel="0" max="66" min="66" style="0" width="46"/>
    <col collapsed="false" customWidth="true" hidden="false" outlineLevel="0" max="67" min="67" style="0" width="18"/>
    <col collapsed="false" customWidth="true" hidden="false" outlineLevel="0" max="68" min="68" style="0" width="30"/>
    <col collapsed="false" customWidth="true" hidden="false" outlineLevel="0" max="69" min="69" style="0" width="12"/>
    <col collapsed="false" customWidth="true" hidden="false" outlineLevel="0" max="70" min="70" style="0" width="10"/>
    <col collapsed="false" customWidth="true" hidden="false" outlineLevel="0" max="71" min="71" style="0" width="18"/>
    <col collapsed="false" customWidth="true" hidden="false" outlineLevel="0" max="72" min="72" style="0" width="9"/>
    <col collapsed="false" customWidth="true" hidden="false" outlineLevel="0" max="73" min="73" style="0" width="50"/>
    <col collapsed="false" customWidth="true" hidden="false" outlineLevel="0" max="74" min="74" style="0" width="45"/>
    <col collapsed="false" customWidth="true" hidden="false" outlineLevel="0" max="75" min="75" style="0" width="50"/>
    <col collapsed="false" customWidth="true" hidden="false" outlineLevel="0" max="79" min="76" style="0" width="45"/>
    <col collapsed="false" customWidth="true" hidden="false" outlineLevel="0" max="81" min="80" style="0" width="50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9.5" hidden="false" customHeight="true" outlineLevel="0" collapsed="false">
      <c r="A4" s="5" t="s">
        <v>32</v>
      </c>
      <c r="B4" s="5"/>
      <c r="C4" s="5"/>
      <c r="D4" s="5"/>
      <c r="E4" s="5"/>
      <c r="F4" s="6" t="s">
        <v>33</v>
      </c>
      <c r="G4" s="6"/>
      <c r="H4" s="6"/>
      <c r="I4" s="6"/>
      <c r="J4" s="6"/>
      <c r="K4" s="7" t="s">
        <v>34</v>
      </c>
      <c r="L4" s="7"/>
      <c r="M4" s="7"/>
      <c r="N4" s="7"/>
      <c r="O4" s="8" t="s">
        <v>35</v>
      </c>
      <c r="P4" s="8"/>
      <c r="Q4" s="8"/>
      <c r="R4" s="8"/>
      <c r="S4" s="8"/>
      <c r="T4" s="8"/>
      <c r="U4" s="9" t="s">
        <v>12</v>
      </c>
      <c r="V4" s="10" t="s">
        <v>36</v>
      </c>
      <c r="W4" s="10"/>
      <c r="X4" s="10"/>
      <c r="Y4" s="10"/>
      <c r="Z4" s="10"/>
      <c r="AA4" s="10"/>
      <c r="AB4" s="10"/>
      <c r="AC4" s="10"/>
      <c r="AD4" s="11" t="s">
        <v>37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2" t="s">
        <v>38</v>
      </c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3" t="s">
        <v>39</v>
      </c>
      <c r="BM4" s="13"/>
      <c r="BN4" s="13"/>
      <c r="BO4" s="13"/>
      <c r="BP4" s="13"/>
      <c r="BQ4" s="13"/>
      <c r="BR4" s="5" t="s">
        <v>40</v>
      </c>
      <c r="BS4" s="5"/>
      <c r="BT4" s="5"/>
      <c r="BU4" s="6" t="s">
        <v>41</v>
      </c>
      <c r="BV4" s="6"/>
      <c r="BW4" s="6"/>
      <c r="BX4" s="6"/>
      <c r="BY4" s="6"/>
      <c r="BZ4" s="6"/>
      <c r="CA4" s="6"/>
      <c r="CB4" s="6"/>
      <c r="CC4" s="6"/>
    </row>
    <row r="5" customFormat="false" ht="45.75" hidden="false" customHeight="true" outlineLevel="0" collapsed="false">
      <c r="A5" s="14" t="s">
        <v>42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4" t="s">
        <v>52</v>
      </c>
      <c r="L5" s="14" t="s">
        <v>53</v>
      </c>
      <c r="M5" s="14" t="s">
        <v>54</v>
      </c>
      <c r="N5" s="14" t="s">
        <v>55</v>
      </c>
      <c r="O5" s="14" t="s">
        <v>56</v>
      </c>
      <c r="P5" s="14" t="s">
        <v>57</v>
      </c>
      <c r="Q5" s="14" t="s">
        <v>58</v>
      </c>
      <c r="R5" s="14" t="s">
        <v>59</v>
      </c>
      <c r="S5" s="14" t="s">
        <v>60</v>
      </c>
      <c r="T5" s="14" t="s">
        <v>61</v>
      </c>
      <c r="U5" s="14" t="s">
        <v>62</v>
      </c>
      <c r="V5" s="14" t="s">
        <v>63</v>
      </c>
      <c r="W5" s="14" t="s">
        <v>63</v>
      </c>
      <c r="X5" s="14" t="s">
        <v>63</v>
      </c>
      <c r="Y5" s="14" t="s">
        <v>63</v>
      </c>
      <c r="Z5" s="14" t="s">
        <v>63</v>
      </c>
      <c r="AA5" s="14" t="s">
        <v>64</v>
      </c>
      <c r="AB5" s="14" t="s">
        <v>64</v>
      </c>
      <c r="AC5" s="14" t="s">
        <v>64</v>
      </c>
      <c r="AD5" s="14" t="s">
        <v>65</v>
      </c>
      <c r="AE5" s="14" t="s">
        <v>66</v>
      </c>
      <c r="AF5" s="14" t="s">
        <v>67</v>
      </c>
      <c r="AG5" s="14" t="s">
        <v>68</v>
      </c>
      <c r="AH5" s="14" t="s">
        <v>69</v>
      </c>
      <c r="AI5" s="14" t="s">
        <v>70</v>
      </c>
      <c r="AJ5" s="14" t="s">
        <v>71</v>
      </c>
      <c r="AK5" s="14" t="s">
        <v>72</v>
      </c>
      <c r="AL5" s="14" t="s">
        <v>73</v>
      </c>
      <c r="AM5" s="14" t="s">
        <v>74</v>
      </c>
      <c r="AN5" s="14" t="s">
        <v>75</v>
      </c>
      <c r="AO5" s="14" t="s">
        <v>76</v>
      </c>
      <c r="AP5" s="14" t="s">
        <v>77</v>
      </c>
      <c r="AQ5" s="14" t="s">
        <v>78</v>
      </c>
      <c r="AR5" s="14"/>
      <c r="AS5" s="14" t="s">
        <v>79</v>
      </c>
      <c r="AT5" s="14" t="s">
        <v>80</v>
      </c>
      <c r="AU5" s="14" t="s">
        <v>81</v>
      </c>
      <c r="AV5" s="14" t="s">
        <v>82</v>
      </c>
      <c r="AW5" s="14" t="s">
        <v>83</v>
      </c>
      <c r="AX5" s="14" t="s">
        <v>84</v>
      </c>
      <c r="AY5" s="14" t="s">
        <v>85</v>
      </c>
      <c r="AZ5" s="14" t="s">
        <v>86</v>
      </c>
      <c r="BA5" s="14" t="s">
        <v>87</v>
      </c>
      <c r="BB5" s="14" t="s">
        <v>88</v>
      </c>
      <c r="BC5" s="14" t="s">
        <v>89</v>
      </c>
      <c r="BD5" s="14" t="s">
        <v>90</v>
      </c>
      <c r="BE5" s="14" t="s">
        <v>91</v>
      </c>
      <c r="BF5" s="14" t="s">
        <v>92</v>
      </c>
      <c r="BG5" s="14" t="s">
        <v>93</v>
      </c>
      <c r="BH5" s="14" t="s">
        <v>94</v>
      </c>
      <c r="BI5" s="14" t="s">
        <v>95</v>
      </c>
      <c r="BJ5" s="14" t="s">
        <v>96</v>
      </c>
      <c r="BK5" s="14" t="s">
        <v>97</v>
      </c>
      <c r="BL5" s="14" t="s">
        <v>98</v>
      </c>
      <c r="BM5" s="14" t="s">
        <v>99</v>
      </c>
      <c r="BN5" s="14" t="s">
        <v>100</v>
      </c>
      <c r="BO5" s="14" t="s">
        <v>101</v>
      </c>
      <c r="BP5" s="14" t="s">
        <v>102</v>
      </c>
      <c r="BQ5" s="14"/>
      <c r="BR5" s="14" t="s">
        <v>103</v>
      </c>
      <c r="BS5" s="14" t="s">
        <v>104</v>
      </c>
      <c r="BT5" s="14" t="s">
        <v>104</v>
      </c>
      <c r="BU5" s="14"/>
      <c r="BV5" s="14"/>
      <c r="BW5" s="14"/>
      <c r="BX5" s="14"/>
      <c r="BY5" s="14"/>
      <c r="BZ5" s="14"/>
      <c r="CA5" s="14"/>
      <c r="CB5" s="14"/>
      <c r="CC5" s="14"/>
    </row>
    <row r="6" customFormat="false" ht="61.5" hidden="false" customHeight="true" outlineLevel="0" collapsed="false">
      <c r="A6" s="15" t="s">
        <v>32</v>
      </c>
      <c r="B6" s="15" t="s">
        <v>105</v>
      </c>
      <c r="C6" s="15" t="s">
        <v>106</v>
      </c>
      <c r="D6" s="15" t="s">
        <v>107</v>
      </c>
      <c r="E6" s="15" t="s">
        <v>108</v>
      </c>
      <c r="F6" s="16" t="s">
        <v>109</v>
      </c>
      <c r="G6" s="16" t="s">
        <v>110</v>
      </c>
      <c r="H6" s="16" t="s">
        <v>111</v>
      </c>
      <c r="I6" s="16" t="s">
        <v>112</v>
      </c>
      <c r="J6" s="16" t="s">
        <v>113</v>
      </c>
      <c r="K6" s="17" t="s">
        <v>114</v>
      </c>
      <c r="L6" s="17" t="s">
        <v>115</v>
      </c>
      <c r="M6" s="17" t="s">
        <v>116</v>
      </c>
      <c r="N6" s="17" t="s">
        <v>117</v>
      </c>
      <c r="O6" s="18" t="s">
        <v>118</v>
      </c>
      <c r="P6" s="18" t="s">
        <v>119</v>
      </c>
      <c r="Q6" s="18" t="s">
        <v>120</v>
      </c>
      <c r="R6" s="18" t="s">
        <v>121</v>
      </c>
      <c r="S6" s="18" t="s">
        <v>122</v>
      </c>
      <c r="T6" s="18" t="s">
        <v>123</v>
      </c>
      <c r="U6" s="19" t="s">
        <v>124</v>
      </c>
      <c r="V6" s="20" t="s">
        <v>125</v>
      </c>
      <c r="W6" s="20" t="s">
        <v>126</v>
      </c>
      <c r="X6" s="20" t="s">
        <v>127</v>
      </c>
      <c r="Y6" s="20" t="s">
        <v>128</v>
      </c>
      <c r="Z6" s="20" t="s">
        <v>129</v>
      </c>
      <c r="AA6" s="20" t="s">
        <v>130</v>
      </c>
      <c r="AB6" s="20" t="s">
        <v>131</v>
      </c>
      <c r="AC6" s="20" t="s">
        <v>132</v>
      </c>
      <c r="AD6" s="21" t="s">
        <v>24</v>
      </c>
      <c r="AE6" s="21" t="s">
        <v>133</v>
      </c>
      <c r="AF6" s="21" t="s">
        <v>134</v>
      </c>
      <c r="AG6" s="21" t="s">
        <v>135</v>
      </c>
      <c r="AH6" s="21" t="s">
        <v>136</v>
      </c>
      <c r="AI6" s="21" t="s">
        <v>137</v>
      </c>
      <c r="AJ6" s="21" t="s">
        <v>138</v>
      </c>
      <c r="AK6" s="21" t="s">
        <v>139</v>
      </c>
      <c r="AL6" s="21" t="s">
        <v>140</v>
      </c>
      <c r="AM6" s="21" t="s">
        <v>141</v>
      </c>
      <c r="AN6" s="21" t="s">
        <v>142</v>
      </c>
      <c r="AO6" s="21" t="s">
        <v>143</v>
      </c>
      <c r="AP6" s="21" t="s">
        <v>144</v>
      </c>
      <c r="AQ6" s="21" t="s">
        <v>145</v>
      </c>
      <c r="AR6" s="21" t="s">
        <v>146</v>
      </c>
      <c r="AS6" s="21" t="s">
        <v>147</v>
      </c>
      <c r="AT6" s="21" t="s">
        <v>148</v>
      </c>
      <c r="AU6" s="21" t="s">
        <v>149</v>
      </c>
      <c r="AV6" s="21" t="s">
        <v>150</v>
      </c>
      <c r="AW6" s="22" t="s">
        <v>151</v>
      </c>
      <c r="AX6" s="22" t="s">
        <v>152</v>
      </c>
      <c r="AY6" s="22" t="s">
        <v>153</v>
      </c>
      <c r="AZ6" s="22" t="s">
        <v>154</v>
      </c>
      <c r="BA6" s="22" t="s">
        <v>155</v>
      </c>
      <c r="BB6" s="22" t="s">
        <v>156</v>
      </c>
      <c r="BC6" s="22" t="s">
        <v>157</v>
      </c>
      <c r="BD6" s="22" t="s">
        <v>158</v>
      </c>
      <c r="BE6" s="22" t="s">
        <v>159</v>
      </c>
      <c r="BF6" s="22" t="s">
        <v>160</v>
      </c>
      <c r="BG6" s="22" t="s">
        <v>161</v>
      </c>
      <c r="BH6" s="22" t="s">
        <v>162</v>
      </c>
      <c r="BI6" s="22" t="s">
        <v>163</v>
      </c>
      <c r="BJ6" s="22" t="s">
        <v>164</v>
      </c>
      <c r="BK6" s="22" t="s">
        <v>165</v>
      </c>
      <c r="BL6" s="23" t="s">
        <v>166</v>
      </c>
      <c r="BM6" s="23" t="s">
        <v>39</v>
      </c>
      <c r="BN6" s="23" t="s">
        <v>167</v>
      </c>
      <c r="BO6" s="23" t="s">
        <v>168</v>
      </c>
      <c r="BP6" s="23" t="s">
        <v>169</v>
      </c>
      <c r="BQ6" s="23" t="s">
        <v>170</v>
      </c>
      <c r="BR6" s="15" t="s">
        <v>171</v>
      </c>
      <c r="BS6" s="15" t="s">
        <v>172</v>
      </c>
      <c r="BT6" s="15" t="s">
        <v>173</v>
      </c>
      <c r="BU6" s="16" t="s">
        <v>174</v>
      </c>
      <c r="BV6" s="16" t="s">
        <v>175</v>
      </c>
      <c r="BW6" s="16" t="s">
        <v>176</v>
      </c>
      <c r="BX6" s="16" t="s">
        <v>177</v>
      </c>
      <c r="BY6" s="16" t="s">
        <v>178</v>
      </c>
      <c r="BZ6" s="16" t="s">
        <v>179</v>
      </c>
      <c r="CA6" s="16" t="s">
        <v>180</v>
      </c>
      <c r="CB6" s="16" t="s">
        <v>181</v>
      </c>
      <c r="CC6" s="16" t="s">
        <v>182</v>
      </c>
    </row>
    <row r="7" customFormat="false" ht="120" hidden="false" customHeight="true" outlineLevel="0" collapsed="false">
      <c r="A7" s="24" t="s">
        <v>183</v>
      </c>
      <c r="B7" s="25" t="n">
        <v>1</v>
      </c>
      <c r="C7" s="26" t="s">
        <v>184</v>
      </c>
      <c r="D7" s="26" t="s">
        <v>185</v>
      </c>
      <c r="E7" s="27" t="s">
        <v>186</v>
      </c>
      <c r="F7" s="28" t="n">
        <v>1</v>
      </c>
      <c r="G7" s="27" t="s">
        <v>187</v>
      </c>
      <c r="H7" s="26" t="s">
        <v>188</v>
      </c>
      <c r="I7" s="29" t="n">
        <v>9.5</v>
      </c>
      <c r="J7" s="27" t="s">
        <v>189</v>
      </c>
      <c r="K7" s="30" t="n">
        <v>30225</v>
      </c>
      <c r="L7" s="31" t="n">
        <v>36640</v>
      </c>
      <c r="M7" s="32" t="n">
        <f aca="false">L7/30</f>
        <v>1221.33333333333</v>
      </c>
      <c r="N7" s="33" t="n">
        <v>0.0334730971000643</v>
      </c>
      <c r="O7" s="27" t="s">
        <v>190</v>
      </c>
      <c r="P7" s="27" t="s">
        <v>191</v>
      </c>
      <c r="Q7" s="27" t="s">
        <v>192</v>
      </c>
      <c r="R7" s="34" t="n">
        <v>5</v>
      </c>
      <c r="S7" s="35" t="n">
        <v>15</v>
      </c>
      <c r="T7" s="36" t="s">
        <v>193</v>
      </c>
      <c r="U7" s="27" t="s">
        <v>194</v>
      </c>
      <c r="V7" s="37" t="n">
        <f aca="false">IFERROR(INDEX(Sleephoria_History!$F$454:$F$2115,MATCH($A7,Sleephoria_History!$A$454:$A$2115,0)),"")</f>
        <v>2552</v>
      </c>
      <c r="W7" s="38" t="n">
        <f aca="false">IFERROR(INDEX(Sleephoria_History!$J$454:$J$2115,MATCH($A7,Sleephoria_History!$A$454:$A$2115,0)),"")</f>
        <v>0.1187</v>
      </c>
      <c r="X7" s="39" t="n">
        <f aca="false">IFERROR(INDEX(Sleephoria_History!$H$454:$H$2115,MATCH($A7,Sleephoria_History!$A$454:$A$2115,0)),"")</f>
        <v>2.24</v>
      </c>
      <c r="Y7" s="38" t="n">
        <f aca="false">IFERROR(INDEX(Sleephoria_History!$M$454:$M$2115,MATCH($A7,Sleephoria_History!$A$454:$A$2115,0)),"")</f>
        <v>0.289</v>
      </c>
      <c r="Z7" s="40" t="n">
        <f aca="false">IFERROR(INDEX(Sleephoria_History!$L$454:$L$2115,MATCH($A7,Sleephoria_History!$A$454:$A$2115,0)),"")</f>
        <v>19776.51</v>
      </c>
      <c r="AA7" s="37" t="n">
        <f aca="false">IFERROR(INDEX(Decolure_History!$F$397:$F$709,MATCH($A7,Decolure_History!$A$397:$A$709,0)),"")</f>
        <v>2048</v>
      </c>
      <c r="AB7" s="38" t="n">
        <f aca="false">IFERROR(INDEX(Decolure_History!$J$397:$J$709,MATCH($A7,Decolure_History!$A$397:$A$709,0)),"")</f>
        <v>0.0693</v>
      </c>
      <c r="AC7" s="38" t="n">
        <f aca="false">IFERROR(INDEX(Decolure_History!$M$397:$M$709,MATCH($A7,Decolure_History!$A$397:$A$709,0)),"")</f>
        <v>0.459</v>
      </c>
      <c r="AD7" s="41" t="n">
        <v>0.095</v>
      </c>
      <c r="AE7" s="27" t="s">
        <v>195</v>
      </c>
      <c r="AF7" s="42" t="n">
        <v>0.476</v>
      </c>
      <c r="AG7" s="32" t="n">
        <f aca="false">M7*AF7</f>
        <v>581.354666666667</v>
      </c>
      <c r="AH7" s="43" t="n">
        <f aca="false">IF(AO7="Brand Defense",0,IFERROR(VLOOKUP(S7,Assumptions!$A$24:$B$28,2,FALSE()),0))</f>
        <v>0.0149</v>
      </c>
      <c r="AI7" s="28" t="n">
        <f aca="false">Assumptions!$B$6</f>
        <v>0.66</v>
      </c>
      <c r="AJ7" s="44" t="n">
        <f aca="false">AG7*AH7*AI7</f>
        <v>5.717041792</v>
      </c>
      <c r="AK7" s="44" t="n">
        <f aca="false">AJ7*AD7</f>
        <v>0.54311897024</v>
      </c>
      <c r="AL7" s="30" t="n">
        <f aca="false">AJ7*56</f>
        <v>320.154340352</v>
      </c>
      <c r="AM7" s="32" t="n">
        <f aca="false">AK7*56</f>
        <v>30.41466233344</v>
      </c>
      <c r="AN7" s="44" t="n">
        <f aca="false">M7*Assumptions!$B$8</f>
        <v>122.133333333333</v>
      </c>
      <c r="AO7" s="27" t="s">
        <v>196</v>
      </c>
      <c r="AP7" s="27" t="s">
        <v>197</v>
      </c>
      <c r="AQ7" s="26" t="s">
        <v>198</v>
      </c>
      <c r="AR7" s="27" t="s">
        <v>199</v>
      </c>
      <c r="AS7" s="44" t="n">
        <f aca="false">IF(AO7="Ranking — Full Push",MIN(MAX(AJ7,Assumptions!$B$9),AN7),IF(AO7="Brand Defense",MIN(Assumptions!$B$7,AN7),IF(OR(AO7="Ranking — Head Term (Capped)",AO7="Ranking — Capped Entry"),MIN(MAX(AJ7,Assumptions!$B$9),Assumptions!$B$7,AN7),IF(AO7="Ranking — Capped Long-Tail",MIN(AJ7,Assumptions!$B$10,AN7),MIN(AJ7,AN7)))))</f>
        <v>5.717041792</v>
      </c>
      <c r="AT7" s="27" t="str">
        <f aca="false">IF(AJ7&lt;=0,"",IF(AS7&gt;=AJ7,IF(AS7&gt;AJ7*1.05,"Floor of "&amp;TEXT(AS7,"0.0")&amp;" click/day to read CVR (rank needs "&amp;TEXT(AJ7,"0.00")&amp;")","Fully funded (100%)"),"Capped at "&amp;TEXT(AS7/AJ7,"0%")&amp;" of required"))</f>
        <v>Fully funded (100%)</v>
      </c>
      <c r="AU7" s="44" t="n">
        <f aca="false">AS7*AD7</f>
        <v>0.54311897024</v>
      </c>
      <c r="AV7" s="45" t="n">
        <f aca="false">AU7*AY7</f>
        <v>43.4440864294976</v>
      </c>
      <c r="AW7" s="46" t="n">
        <v>2.24</v>
      </c>
      <c r="AX7" s="27" t="s">
        <v>200</v>
      </c>
      <c r="AY7" s="47" t="n">
        <f aca="false">INDEX(Assumptions!$B$33:$B$37,MATCH(IF($D7="","Queen",$D7),Assumptions!$A$33:$A$37,0))</f>
        <v>79.99</v>
      </c>
      <c r="AZ7" s="33" t="n">
        <f aca="false">INDEX(Assumptions!$K$33:$K$37,MATCH(IF($D7="","Queen",$D7),Assumptions!$A$33:$A$37,0))</f>
        <v>0.558660457557195</v>
      </c>
      <c r="BA7" s="33" t="n">
        <f aca="false">INDEX(Assumptions!$H$33:$H$37,MATCH(IF($D7="","Queen",$D7),Assumptions!$A$33:$A$37,0))</f>
        <v>0.37244030503813</v>
      </c>
      <c r="BB7" s="47" t="n">
        <f aca="false">AY7*AZ7*AD7</f>
        <v>4.24528875</v>
      </c>
      <c r="BC7" s="47" t="n">
        <f aca="false">ROUND(MIN(AW7*Assumptions!$B$11,BB7),2)</f>
        <v>2.24</v>
      </c>
      <c r="BD7" s="26" t="s">
        <v>201</v>
      </c>
      <c r="BE7" s="48" t="n">
        <f aca="false">IF(AO7="Ranking — Full Push",MAX(0,MIN(IF(BD7="Yes",Assumptions!$B$12,Assumptions!$B$13),FLOOR(MAX(0,BB7/BC7-1),Assumptions!$B$14))),0)</f>
        <v>0.75</v>
      </c>
      <c r="BF7" s="49" t="str">
        <f aca="false">IF(AO7="Ranking — Full Push",IF(BE7&gt;=1,"YES — +100% Top of Search. Effective CPC $"&amp;TEXT(BG7,"0.00")&amp;" (= $"&amp;TEXT(BC7,"0.00")&amp;" × 2) stays within the $"&amp;TEXT(BB7,"0.00")&amp;" max ranking CPC"&amp;" (= $"&amp;TEXT(AY7,"0.00")&amp;" price × "&amp;TEXT(AZ7,"0.0%")&amp;" ranking ceiling × "&amp;TEXT(AD7,"0.0%")&amp;" CVR)"&amp;". Sleephoria CVR is proven on this term, so the full push is justified.",IF(AND(BD7="No",BE7&gt;=Assumptions!$B$13),"PARTIAL — +"&amp;TEXT(BE7,"0%")&amp;" Top of Search (limit for terms without proven CVR). Effective CPC $"&amp;TEXT(BG7,"0.00")&amp;" vs $"&amp;TEXT(BB7,"0.00")&amp;" max ranking CPC"&amp;" (= $"&amp;TEXT(AY7,"0.00")&amp;" price × "&amp;TEXT(AZ7,"0.0%")&amp;" ranking ceiling × "&amp;TEXT(AD7,"0.0%")&amp;" CVR)"&amp;". Raise to +100% only after CooLinens converts at ≥ "&amp;TEXT(AD7,"0.0%")&amp;" on 50+ clicks and $"&amp;TEXT(BC7*2,"0.00")&amp;" ≤ the max.",IF(BE7&gt;0,"PARTIAL — +"&amp;TEXT(BE7,"0%")&amp;" Top of Search. Effective CPC $"&amp;TEXT(BG7,"0.00")&amp;" stays within the $"&amp;TEXT(BB7,"0.00")&amp;" max ranking CPC"&amp;" (= $"&amp;TEXT(AY7,"0.00")&amp;" price × "&amp;TEXT(AZ7,"0.0%")&amp;" ranking ceiling × "&amp;TEXT(AD7,"0.0%")&amp;" CVR)"&amp;". +100% would cost $"&amp;TEXT(BC7*2,"0.00")&amp;" per click and push ACoS to "&amp;TEXT(BC7*2/(AY7*AD7),"0.0%")&amp;", above the "&amp;TEXT(AZ7,"0.0%")&amp;" ceiling.","NO — 0%. Base bid $"&amp;TEXT(BC7,"0.00")&amp;" already equals the $"&amp;TEXT(BB7,"0.00")&amp;" max ranking CPC"&amp;" (= $"&amp;TEXT(AY7,"0.00")&amp;" price × "&amp;TEXT(AZ7,"0.0%")&amp;" ranking ceiling × "&amp;TEXT(AD7,"0.0%")&amp;" CVR)"&amp;"; any modifier would push ACoS above the "&amp;TEXT(AZ7,"0.0%")&amp;" ceiling."))),IF(OR(AO7="Ranking — Head Term (Capped)",AO7="Ranking — Capped Entry",AO7="Ranking — Capped Long-Tail"),"NO — 0% (capped ranking entry). Bid $"&amp;TEXT(BC7,"0.00")&amp;" vs $"&amp;TEXT(BB7,"0.00")&amp;" max ranking CPC"&amp;" (= $"&amp;TEXT(AY7,"0.00")&amp;" price × "&amp;TEXT(AZ7,"0.0%")&amp;" ranking ceiling × "&amp;TEXT(AD7,"0.0%")&amp;" CVR)"&amp;". While spend is capped at "&amp;TEXT(AS7,"0.00")&amp;" clicks/day, a placement premium would only raise CPC without buying more rank; the modifier is set when this term moves to a full push.","NO — 0% (support / brand term). Bid $"&amp;TEXT(BC7,"0.00")&amp;" vs $"&amp;TEXT(BB7,"0.00")&amp;" max ranking CPC"&amp;" (= $"&amp;TEXT(AY7,"0.00")&amp;" price × "&amp;TEXT(AZ7,"0.0%")&amp;" ranking ceiling × "&amp;TEXT(AD7,"0.0%")&amp;" CVR)"&amp;"; expected ACoS "&amp;TEXT(BI7,"0.0%")&amp;" vs the "&amp;TEXT(AZ7,"0.0%")&amp;" ceiling."))</f>
        <v>PARTIAL — +75% Top of Search. Effective CPC $3.92 stays within the $4.25 max ranking CPC (= $79.99 price × 55.9% ranking ceiling × 9.5% CVR). +100% would cost $4.48 per click and push ACoS to 59.0%, above the 55.9% ceiling.</v>
      </c>
      <c r="BG7" s="50" t="n">
        <f aca="false">BC7*(1+BE7)</f>
        <v>3.92</v>
      </c>
      <c r="BH7" s="45" t="n">
        <f aca="false">AS7*BG7</f>
        <v>22.41080382464</v>
      </c>
      <c r="BI7" s="33" t="n">
        <f aca="false">IFERROR(BG7/(AY7*AD7),"")</f>
        <v>0.515853955428639</v>
      </c>
      <c r="BJ7" s="27" t="str">
        <f aca="false">IF(BI7="","",IF(BI7&lt;=BA7,"Profitable (≤ break-even)",IF(BI7&lt;=AZ7,"Ranking investment (≤ ceiling)","Above ceiling — reduce bid")))</f>
        <v>Ranking investment (≤ ceiling)</v>
      </c>
      <c r="BK7" s="49" t="str">
        <f aca="false">"Base $"&amp;TEXT(BC7,"0.00")&amp;" × (1 + "&amp;TEXT(BE7,"0%")&amp;" TOS) = $"&amp;TEXT(BG7,"0.00")&amp;" effective CPC [max $"&amp;TEXT(BB7,"0.00")&amp;"]. "&amp;TEXT(AG7,"0.0")&amp;" market clicks/day × "&amp;TEXT(AH7,"0.00%")&amp;" click share × "&amp;TEXT(AI7,"0%")&amp;" paid = "&amp;TEXT(AJ7,"0.00")&amp;" clicks/day needed; "&amp;"planned "&amp;TEXT(AS7,"0.00")&amp;" clicks/day × "&amp;TEXT(AD7,"0.0%")&amp;" CVR = "&amp;TEXT(AU7,"0.00")&amp;" orders/day. "&amp;"Spend $"&amp;TEXT(BH7,"0.00")&amp;"/day, ACoS "&amp;TEXT(BI7,"0.0%")&amp;" (ceiling "&amp;TEXT(AZ7,"0.0%")&amp;", break-even "&amp;TEXT(BA7,"0.0%")&amp;"). "&amp;"Target organic rank #"&amp;S7&amp;" by week 8 ("&amp;T7&amp;")."</f>
        <v>Base $2.24 × (1 + 75% TOS) = $3.92 effective CPC [max $4.25]. 581.4 market clicks/day × 1.49% click share × 66% paid = 5.72 clicks/day needed; planned 5.72 clicks/day × 9.5% CVR = 0.54 orders/day. Spend $22.41/day, ACoS 51.6% (ceiling 55.9%, break-even 37.2%). Target organic rank #15 by week 8 (#50 → #30 → #15).</v>
      </c>
      <c r="BL7" s="27" t="s">
        <v>202</v>
      </c>
      <c r="BM7" s="27" t="s">
        <v>203</v>
      </c>
      <c r="BN7" s="27" t="s">
        <v>204</v>
      </c>
      <c r="BO7" s="27" t="s">
        <v>183</v>
      </c>
      <c r="BP7" s="27" t="s">
        <v>205</v>
      </c>
      <c r="BQ7" s="26" t="s">
        <v>206</v>
      </c>
      <c r="BR7" s="40" t="n">
        <f aca="false">IFERROR(INDEX(Campaigns!$L:$L,MATCH(BN7,Campaigns!$A:$A,0)),"")</f>
        <v>29</v>
      </c>
      <c r="BS7" s="51" t="str">
        <f aca="false">IFERROR(INDEX(Inventory!$O:$O,MATCH(BP7,Inventory!$A:$A,0)),"")</f>
        <v>OK</v>
      </c>
      <c r="BT7" s="52" t="n">
        <f aca="false">IFERROR(INDEX(Inventory!$N:$N,MATCH(BP7,Inventory!$A:$A,0)),"")</f>
        <v>91.5322601167724</v>
      </c>
      <c r="BU7" s="27" t="s">
        <v>207</v>
      </c>
      <c r="BV7" s="27" t="s">
        <v>208</v>
      </c>
      <c r="BW7" s="27" t="s">
        <v>209</v>
      </c>
      <c r="BX7" s="27" t="s">
        <v>210</v>
      </c>
      <c r="BY7" s="27" t="s">
        <v>211</v>
      </c>
      <c r="BZ7" s="27" t="s">
        <v>212</v>
      </c>
      <c r="CA7" s="27" t="s">
        <v>213</v>
      </c>
      <c r="CB7" s="27" t="s">
        <v>214</v>
      </c>
      <c r="CC7" s="27" t="s">
        <v>215</v>
      </c>
    </row>
    <row r="8" customFormat="false" ht="120" hidden="false" customHeight="true" outlineLevel="0" collapsed="false">
      <c r="A8" s="24" t="s">
        <v>216</v>
      </c>
      <c r="B8" s="25" t="n">
        <v>1</v>
      </c>
      <c r="C8" s="26" t="s">
        <v>184</v>
      </c>
      <c r="D8" s="26" t="s">
        <v>185</v>
      </c>
      <c r="E8" s="27" t="s">
        <v>186</v>
      </c>
      <c r="F8" s="28" t="n">
        <v>1</v>
      </c>
      <c r="G8" s="27" t="s">
        <v>187</v>
      </c>
      <c r="H8" s="26" t="s">
        <v>188</v>
      </c>
      <c r="I8" s="29" t="n">
        <v>9.5</v>
      </c>
      <c r="J8" s="27" t="s">
        <v>217</v>
      </c>
      <c r="K8" s="30" t="n">
        <v>4964</v>
      </c>
      <c r="L8" s="31" t="n">
        <v>5693</v>
      </c>
      <c r="M8" s="32" t="n">
        <f aca="false">L8/30</f>
        <v>189.766666666667</v>
      </c>
      <c r="N8" s="33" t="n">
        <v>0.0502949096037953</v>
      </c>
      <c r="O8" s="27" t="s">
        <v>218</v>
      </c>
      <c r="P8" s="27" t="s">
        <v>219</v>
      </c>
      <c r="Q8" s="27" t="s">
        <v>220</v>
      </c>
      <c r="R8" s="34" t="n">
        <v>3</v>
      </c>
      <c r="S8" s="35" t="n">
        <v>10</v>
      </c>
      <c r="T8" s="36" t="s">
        <v>221</v>
      </c>
      <c r="U8" s="27" t="s">
        <v>222</v>
      </c>
      <c r="V8" s="37" t="n">
        <f aca="false">IFERROR(INDEX(Sleephoria_History!$F$454:$F$2115,MATCH($A8,Sleephoria_History!$A$454:$A$2115,0)),"")</f>
        <v>55</v>
      </c>
      <c r="W8" s="38" t="n">
        <f aca="false">IFERROR(INDEX(Sleephoria_History!$J$454:$J$2115,MATCH($A8,Sleephoria_History!$A$454:$A$2115,0)),"")</f>
        <v>0.0909</v>
      </c>
      <c r="X8" s="39" t="n">
        <f aca="false">IFERROR(INDEX(Sleephoria_History!$H$454:$H$2115,MATCH($A8,Sleephoria_History!$A$454:$A$2115,0)),"")</f>
        <v>2.42</v>
      </c>
      <c r="Y8" s="38" t="n">
        <f aca="false">IFERROR(INDEX(Sleephoria_History!$M$454:$M$2115,MATCH($A8,Sleephoria_History!$A$454:$A$2115,0)),"")</f>
        <v>0.37</v>
      </c>
      <c r="Z8" s="40" t="n">
        <f aca="false">IFERROR(INDEX(Sleephoria_History!$L$454:$L$2115,MATCH($A8,Sleephoria_History!$A$454:$A$2115,0)),"")</f>
        <v>359.95</v>
      </c>
      <c r="AA8" s="37" t="n">
        <f aca="false">IFERROR(INDEX(Decolure_History!$F$397:$F$709,MATCH($A8,Decolure_History!$A$397:$A$709,0)),"")</f>
        <v>45</v>
      </c>
      <c r="AB8" s="38" t="n">
        <f aca="false">IFERROR(INDEX(Decolure_History!$J$397:$J$709,MATCH($A8,Decolure_History!$A$397:$A$709,0)),"")</f>
        <v>0.0889</v>
      </c>
      <c r="AC8" s="38" t="n">
        <f aca="false">IFERROR(INDEX(Decolure_History!$M$397:$M$709,MATCH($A8,Decolure_History!$A$397:$A$709,0)),"")</f>
        <v>0.481</v>
      </c>
      <c r="AD8" s="41" t="n">
        <v>0.0727</v>
      </c>
      <c r="AE8" s="27" t="s">
        <v>223</v>
      </c>
      <c r="AF8" s="42" t="n">
        <v>0.471</v>
      </c>
      <c r="AG8" s="32" t="n">
        <f aca="false">M8*AF8</f>
        <v>89.3801</v>
      </c>
      <c r="AH8" s="43" t="n">
        <f aca="false">IF(AO8="Brand Defense",0,IFERROR(VLOOKUP(S8,Assumptions!$A$24:$B$28,2,FALSE()),0))</f>
        <v>0.028</v>
      </c>
      <c r="AI8" s="28" t="n">
        <f aca="false">Assumptions!$B$6</f>
        <v>0.66</v>
      </c>
      <c r="AJ8" s="44" t="n">
        <f aca="false">AG8*AH8*AI8</f>
        <v>1.651744248</v>
      </c>
      <c r="AK8" s="44" t="n">
        <f aca="false">AJ8*AD8</f>
        <v>0.1200818068296</v>
      </c>
      <c r="AL8" s="30" t="n">
        <f aca="false">AJ8*56</f>
        <v>92.497677888</v>
      </c>
      <c r="AM8" s="32" t="n">
        <f aca="false">AK8*56</f>
        <v>6.7245811824576</v>
      </c>
      <c r="AN8" s="44" t="n">
        <f aca="false">M8*Assumptions!$B$8</f>
        <v>18.9766666666667</v>
      </c>
      <c r="AO8" s="27" t="s">
        <v>196</v>
      </c>
      <c r="AP8" s="27" t="s">
        <v>197</v>
      </c>
      <c r="AQ8" s="26" t="s">
        <v>198</v>
      </c>
      <c r="AR8" s="27" t="s">
        <v>199</v>
      </c>
      <c r="AS8" s="44" t="n">
        <f aca="false">IF(AO8="Ranking — Full Push",MIN(MAX(AJ8,Assumptions!$B$9),AN8),IF(AO8="Brand Defense",MIN(Assumptions!$B$7,AN8),IF(OR(AO8="Ranking — Head Term (Capped)",AO8="Ranking — Capped Entry"),MIN(MAX(AJ8,Assumptions!$B$9),Assumptions!$B$7,AN8),IF(AO8="Ranking — Capped Long-Tail",MIN(AJ8,Assumptions!$B$10,AN8),MIN(AJ8,AN8)))))</f>
        <v>1.651744248</v>
      </c>
      <c r="AT8" s="27" t="str">
        <f aca="false">IF(AJ8&lt;=0,"",IF(AS8&gt;=AJ8,IF(AS8&gt;AJ8*1.05,"Floor of "&amp;TEXT(AS8,"0.0")&amp;" click/day to read CVR (rank needs "&amp;TEXT(AJ8,"0.00")&amp;")","Fully funded (100%)"),"Capped at "&amp;TEXT(AS8/AJ8,"0%")&amp;" of required"))</f>
        <v>Fully funded (100%)</v>
      </c>
      <c r="AU8" s="44" t="n">
        <f aca="false">AS8*AD8</f>
        <v>0.1200818068296</v>
      </c>
      <c r="AV8" s="45" t="n">
        <f aca="false">AU8*AY8</f>
        <v>9.6053437282997</v>
      </c>
      <c r="AW8" s="46" t="n">
        <v>2.42</v>
      </c>
      <c r="AX8" s="27" t="s">
        <v>224</v>
      </c>
      <c r="AY8" s="47" t="n">
        <f aca="false">INDEX(Assumptions!$B$33:$B$37,MATCH(IF($D8="","Queen",$D8),Assumptions!$A$33:$A$37,0))</f>
        <v>79.99</v>
      </c>
      <c r="AZ8" s="33" t="n">
        <f aca="false">INDEX(Assumptions!$K$33:$K$37,MATCH(IF($D8="","Queen",$D8),Assumptions!$A$33:$A$37,0))</f>
        <v>0.558660457557195</v>
      </c>
      <c r="BA8" s="33" t="n">
        <f aca="false">INDEX(Assumptions!$H$33:$H$37,MATCH(IF($D8="","Queen",$D8),Assumptions!$A$33:$A$37,0))</f>
        <v>0.37244030503813</v>
      </c>
      <c r="BB8" s="47" t="n">
        <f aca="false">AY8*AZ8*AD8</f>
        <v>3.248763075</v>
      </c>
      <c r="BC8" s="47" t="n">
        <f aca="false">ROUND(MIN(AW8*Assumptions!$B$11,BB8),2)</f>
        <v>2.42</v>
      </c>
      <c r="BD8" s="26" t="s">
        <v>201</v>
      </c>
      <c r="BE8" s="48" t="n">
        <f aca="false">IF(AO8="Ranking — Full Push",MAX(0,MIN(IF(BD8="Yes",Assumptions!$B$12,Assumptions!$B$13),FLOOR(MAX(0,BB8/BC8-1),Assumptions!$B$14))),0)</f>
        <v>0.25</v>
      </c>
      <c r="BF8" s="49" t="str">
        <f aca="false">IF(AO8="Ranking — Full Push",IF(BE8&gt;=1,"YES — +100% Top of Search. Effective CPC $"&amp;TEXT(BG8,"0.00")&amp;" (= $"&amp;TEXT(BC8,"0.00")&amp;" × 2) stays within the $"&amp;TEXT(BB8,"0.00")&amp;" max ranking CPC"&amp;" (= $"&amp;TEXT(AY8,"0.00")&amp;" price × "&amp;TEXT(AZ8,"0.0%")&amp;" ranking ceiling × "&amp;TEXT(AD8,"0.0%")&amp;" CVR)"&amp;". Sleephoria CVR is proven on this term, so the full push is justified.",IF(AND(BD8="No",BE8&gt;=Assumptions!$B$13),"PARTIAL — +"&amp;TEXT(BE8,"0%")&amp;" Top of Search (limit for terms without proven CVR). Effective CPC $"&amp;TEXT(BG8,"0.00")&amp;" vs $"&amp;TEXT(BB8,"0.00")&amp;" max ranking CPC"&amp;" (= $"&amp;TEXT(AY8,"0.00")&amp;" price × "&amp;TEXT(AZ8,"0.0%")&amp;" ranking ceiling × "&amp;TEXT(AD8,"0.0%")&amp;" CVR)"&amp;". Raise to +100% only after CooLinens converts at ≥ "&amp;TEXT(AD8,"0.0%")&amp;" on 50+ clicks and $"&amp;TEXT(BC8*2,"0.00")&amp;" ≤ the max.",IF(BE8&gt;0,"PARTIAL — +"&amp;TEXT(BE8,"0%")&amp;" Top of Search. Effective CPC $"&amp;TEXT(BG8,"0.00")&amp;" stays within the $"&amp;TEXT(BB8,"0.00")&amp;" max ranking CPC"&amp;" (= $"&amp;TEXT(AY8,"0.00")&amp;" price × "&amp;TEXT(AZ8,"0.0%")&amp;" ranking ceiling × "&amp;TEXT(AD8,"0.0%")&amp;" CVR)"&amp;". +100% would cost $"&amp;TEXT(BC8*2,"0.00")&amp;" per click and push ACoS to "&amp;TEXT(BC8*2/(AY8*AD8),"0.0%")&amp;", above the "&amp;TEXT(AZ8,"0.0%")&amp;" ceiling.","NO — 0%. Base bid $"&amp;TEXT(BC8,"0.00")&amp;" already equals the $"&amp;TEXT(BB8,"0.00")&amp;" max ranking CPC"&amp;" (= $"&amp;TEXT(AY8,"0.00")&amp;" price × "&amp;TEXT(AZ8,"0.0%")&amp;" ranking ceiling × "&amp;TEXT(AD8,"0.0%")&amp;" CVR)"&amp;"; any modifier would push ACoS above the "&amp;TEXT(AZ8,"0.0%")&amp;" ceiling."))),IF(OR(AO8="Ranking — Head Term (Capped)",AO8="Ranking — Capped Entry",AO8="Ranking — Capped Long-Tail"),"NO — 0% (capped ranking entry). Bid $"&amp;TEXT(BC8,"0.00")&amp;" vs $"&amp;TEXT(BB8,"0.00")&amp;" max ranking CPC"&amp;" (= $"&amp;TEXT(AY8,"0.00")&amp;" price × "&amp;TEXT(AZ8,"0.0%")&amp;" ranking ceiling × "&amp;TEXT(AD8,"0.0%")&amp;" CVR)"&amp;". While spend is capped at "&amp;TEXT(AS8,"0.00")&amp;" clicks/day, a placement premium would only raise CPC without buying more rank; the modifier is set when this term moves to a full push.","NO — 0% (support / brand term). Bid $"&amp;TEXT(BC8,"0.00")&amp;" vs $"&amp;TEXT(BB8,"0.00")&amp;" max ranking CPC"&amp;" (= $"&amp;TEXT(AY8,"0.00")&amp;" price × "&amp;TEXT(AZ8,"0.0%")&amp;" ranking ceiling × "&amp;TEXT(AD8,"0.0%")&amp;" CVR)"&amp;"; expected ACoS "&amp;TEXT(BI8,"0.0%")&amp;" vs the "&amp;TEXT(AZ8,"0.0%")&amp;" ceiling."))</f>
        <v>PARTIAL — +25% Top of Search. Effective CPC $3.03 stays within the $3.25 max ranking CPC (= $79.99 price × 55.9% ranking ceiling × 7.3% CVR). +100% would cost $4.84 per click and push ACoS to 83.2%, above the 55.9% ceiling.</v>
      </c>
      <c r="BG8" s="50" t="n">
        <f aca="false">BC8*(1+BE8)</f>
        <v>3.025</v>
      </c>
      <c r="BH8" s="45" t="n">
        <f aca="false">AS8*BG8</f>
        <v>4.9965263502</v>
      </c>
      <c r="BI8" s="33" t="n">
        <f aca="false">IFERROR(BG8/(AY8*AD8),"")</f>
        <v>0.520181941587265</v>
      </c>
      <c r="BJ8" s="27" t="str">
        <f aca="false">IF(BI8="","",IF(BI8&lt;=BA8,"Profitable (≤ break-even)",IF(BI8&lt;=AZ8,"Ranking investment (≤ ceiling)","Above ceiling — reduce bid")))</f>
        <v>Ranking investment (≤ ceiling)</v>
      </c>
      <c r="BK8" s="49" t="str">
        <f aca="false">"Base $"&amp;TEXT(BC8,"0.00")&amp;" × (1 + "&amp;TEXT(BE8,"0%")&amp;" TOS) = $"&amp;TEXT(BG8,"0.00")&amp;" effective CPC [max $"&amp;TEXT(BB8,"0.00")&amp;"]. "&amp;TEXT(AG8,"0.0")&amp;" market clicks/day × "&amp;TEXT(AH8,"0.00%")&amp;" click share × "&amp;TEXT(AI8,"0%")&amp;" paid = "&amp;TEXT(AJ8,"0.00")&amp;" clicks/day needed; "&amp;"planned "&amp;TEXT(AS8,"0.00")&amp;" clicks/day × "&amp;TEXT(AD8,"0.0%")&amp;" CVR = "&amp;TEXT(AU8,"0.00")&amp;" orders/day. "&amp;"Spend $"&amp;TEXT(BH8,"0.00")&amp;"/day, ACoS "&amp;TEXT(BI8,"0.0%")&amp;" (ceiling "&amp;TEXT(AZ8,"0.0%")&amp;", break-even "&amp;TEXT(BA8,"0.0%")&amp;"). "&amp;"Target organic rank #"&amp;S8&amp;" by week 8 ("&amp;T8&amp;")."</f>
        <v>Base $2.42 × (1 + 25% TOS) = $3.03 effective CPC [max $3.25]. 89.4 market clicks/day × 2.80% click share × 66% paid = 1.65 clicks/day needed; planned 1.65 clicks/day × 7.3% CVR = 0.12 orders/day. Spend $5.00/day, ACoS 52.0% (ceiling 55.9%, break-even 37.2%). Target organic rank #10 by week 8 (#40 → #20 → #10).</v>
      </c>
      <c r="BL8" s="27" t="s">
        <v>202</v>
      </c>
      <c r="BM8" s="27" t="s">
        <v>203</v>
      </c>
      <c r="BN8" s="27" t="s">
        <v>225</v>
      </c>
      <c r="BO8" s="27" t="s">
        <v>216</v>
      </c>
      <c r="BP8" s="27" t="s">
        <v>205</v>
      </c>
      <c r="BQ8" s="26" t="s">
        <v>206</v>
      </c>
      <c r="BR8" s="40" t="n">
        <f aca="false">IFERROR(INDEX(Campaigns!$L:$L,MATCH(BN8,Campaigns!$A:$A,0)),"")</f>
        <v>10</v>
      </c>
      <c r="BS8" s="51" t="str">
        <f aca="false">IFERROR(INDEX(Inventory!$O:$O,MATCH(BP8,Inventory!$A:$A,0)),"")</f>
        <v>OK</v>
      </c>
      <c r="BT8" s="52" t="n">
        <f aca="false">IFERROR(INDEX(Inventory!$N:$N,MATCH(BP8,Inventory!$A:$A,0)),"")</f>
        <v>91.5322601167724</v>
      </c>
      <c r="BU8" s="27" t="s">
        <v>226</v>
      </c>
      <c r="BV8" s="27" t="s">
        <v>227</v>
      </c>
      <c r="BW8" s="27" t="s">
        <v>228</v>
      </c>
      <c r="BX8" s="27" t="s">
        <v>229</v>
      </c>
      <c r="BY8" s="27" t="s">
        <v>230</v>
      </c>
      <c r="BZ8" s="27" t="s">
        <v>231</v>
      </c>
      <c r="CA8" s="27" t="s">
        <v>213</v>
      </c>
      <c r="CB8" s="27" t="s">
        <v>232</v>
      </c>
      <c r="CC8" s="27" t="s">
        <v>233</v>
      </c>
    </row>
    <row r="9" customFormat="false" ht="120" hidden="false" customHeight="true" outlineLevel="0" collapsed="false">
      <c r="A9" s="24" t="s">
        <v>234</v>
      </c>
      <c r="B9" s="25" t="n">
        <v>1</v>
      </c>
      <c r="C9" s="26" t="s">
        <v>184</v>
      </c>
      <c r="D9" s="26" t="s">
        <v>185</v>
      </c>
      <c r="E9" s="27" t="s">
        <v>186</v>
      </c>
      <c r="F9" s="28" t="n">
        <v>1</v>
      </c>
      <c r="G9" s="27" t="s">
        <v>187</v>
      </c>
      <c r="H9" s="26" t="s">
        <v>188</v>
      </c>
      <c r="I9" s="29" t="n">
        <v>9</v>
      </c>
      <c r="J9" s="27" t="s">
        <v>235</v>
      </c>
      <c r="K9" s="30" t="n">
        <v>4728</v>
      </c>
      <c r="L9" s="31" t="n">
        <v>5605</v>
      </c>
      <c r="M9" s="32" t="n">
        <f aca="false">L9/30</f>
        <v>186.833333333333</v>
      </c>
      <c r="N9" s="33" t="n">
        <v>0.04971613519393</v>
      </c>
      <c r="O9" s="27" t="s">
        <v>236</v>
      </c>
      <c r="P9" s="27" t="s">
        <v>237</v>
      </c>
      <c r="Q9" s="27" t="s">
        <v>238</v>
      </c>
      <c r="R9" s="34" t="n">
        <v>2</v>
      </c>
      <c r="S9" s="35" t="n">
        <v>10</v>
      </c>
      <c r="T9" s="36" t="s">
        <v>221</v>
      </c>
      <c r="U9" s="27" t="s">
        <v>239</v>
      </c>
      <c r="V9" s="37" t="n">
        <f aca="false">IFERROR(INDEX(Sleephoria_History!$F$454:$F$2115,MATCH($A9,Sleephoria_History!$A$454:$A$2115,0)),"")</f>
        <v>78</v>
      </c>
      <c r="W9" s="38" t="n">
        <f aca="false">IFERROR(INDEX(Sleephoria_History!$J$454:$J$2115,MATCH($A9,Sleephoria_History!$A$454:$A$2115,0)),"")</f>
        <v>0.1282</v>
      </c>
      <c r="X9" s="39" t="n">
        <f aca="false">IFERROR(INDEX(Sleephoria_History!$H$454:$H$2115,MATCH($A9,Sleephoria_History!$A$454:$A$2115,0)),"")</f>
        <v>2.38</v>
      </c>
      <c r="Y9" s="38" t="n">
        <f aca="false">IFERROR(INDEX(Sleephoria_History!$M$454:$M$2115,MATCH($A9,Sleephoria_History!$A$454:$A$2115,0)),"")</f>
        <v>0.23</v>
      </c>
      <c r="Z9" s="40" t="n">
        <f aca="false">IFERROR(INDEX(Sleephoria_History!$L$454:$L$2115,MATCH($A9,Sleephoria_History!$A$454:$A$2115,0)),"")</f>
        <v>804.9</v>
      </c>
      <c r="AA9" s="37" t="n">
        <f aca="false">IFERROR(INDEX(Decolure_History!$F$397:$F$709,MATCH($A9,Decolure_History!$A$397:$A$709,0)),"")</f>
        <v>88</v>
      </c>
      <c r="AB9" s="38" t="n">
        <f aca="false">IFERROR(INDEX(Decolure_History!$J$397:$J$709,MATCH($A9,Decolure_History!$A$397:$A$709,0)),"")</f>
        <v>0.0455</v>
      </c>
      <c r="AC9" s="38" t="n">
        <f aca="false">IFERROR(INDEX(Decolure_History!$M$397:$M$709,MATCH($A9,Decolure_History!$A$397:$A$709,0)),"")</f>
        <v>0.657</v>
      </c>
      <c r="AD9" s="41" t="n">
        <v>0.1026</v>
      </c>
      <c r="AE9" s="27" t="s">
        <v>240</v>
      </c>
      <c r="AF9" s="42" t="n">
        <v>0.492</v>
      </c>
      <c r="AG9" s="32" t="n">
        <f aca="false">M9*AF9</f>
        <v>91.922</v>
      </c>
      <c r="AH9" s="43" t="n">
        <f aca="false">IF(AO9="Brand Defense",0,IFERROR(VLOOKUP(S9,Assumptions!$A$24:$B$28,2,FALSE()),0))</f>
        <v>0.028</v>
      </c>
      <c r="AI9" s="28" t="n">
        <f aca="false">Assumptions!$B$6</f>
        <v>0.66</v>
      </c>
      <c r="AJ9" s="44" t="n">
        <f aca="false">AG9*AH9*AI9</f>
        <v>1.69871856</v>
      </c>
      <c r="AK9" s="44" t="n">
        <f aca="false">AJ9*AD9</f>
        <v>0.174288524256</v>
      </c>
      <c r="AL9" s="30" t="n">
        <f aca="false">AJ9*56</f>
        <v>95.12823936</v>
      </c>
      <c r="AM9" s="32" t="n">
        <f aca="false">AK9*56</f>
        <v>9.760157358336</v>
      </c>
      <c r="AN9" s="44" t="n">
        <f aca="false">M9*Assumptions!$B$8</f>
        <v>18.6833333333333</v>
      </c>
      <c r="AO9" s="27" t="s">
        <v>196</v>
      </c>
      <c r="AP9" s="27" t="s">
        <v>241</v>
      </c>
      <c r="AQ9" s="26" t="s">
        <v>198</v>
      </c>
      <c r="AR9" s="27" t="s">
        <v>199</v>
      </c>
      <c r="AS9" s="44" t="n">
        <f aca="false">IF(AO9="Ranking — Full Push",MIN(MAX(AJ9,Assumptions!$B$9),AN9),IF(AO9="Brand Defense",MIN(Assumptions!$B$7,AN9),IF(OR(AO9="Ranking — Head Term (Capped)",AO9="Ranking — Capped Entry"),MIN(MAX(AJ9,Assumptions!$B$9),Assumptions!$B$7,AN9),IF(AO9="Ranking — Capped Long-Tail",MIN(AJ9,Assumptions!$B$10,AN9),MIN(AJ9,AN9)))))</f>
        <v>1.69871856</v>
      </c>
      <c r="AT9" s="27" t="str">
        <f aca="false">IF(AJ9&lt;=0,"",IF(AS9&gt;=AJ9,IF(AS9&gt;AJ9*1.05,"Floor of "&amp;TEXT(AS9,"0.0")&amp;" click/day to read CVR (rank needs "&amp;TEXT(AJ9,"0.00")&amp;")","Fully funded (100%)"),"Capped at "&amp;TEXT(AS9/AJ9,"0%")&amp;" of required"))</f>
        <v>Fully funded (100%)</v>
      </c>
      <c r="AU9" s="44" t="n">
        <f aca="false">AS9*AD9</f>
        <v>0.174288524256</v>
      </c>
      <c r="AV9" s="45" t="n">
        <f aca="false">AU9*AY9</f>
        <v>13.9413390552374</v>
      </c>
      <c r="AW9" s="46" t="n">
        <v>2.38</v>
      </c>
      <c r="AX9" s="27" t="s">
        <v>242</v>
      </c>
      <c r="AY9" s="47" t="n">
        <f aca="false">INDEX(Assumptions!$B$33:$B$37,MATCH(IF($D9="","Queen",$D9),Assumptions!$A$33:$A$37,0))</f>
        <v>79.99</v>
      </c>
      <c r="AZ9" s="33" t="n">
        <f aca="false">INDEX(Assumptions!$K$33:$K$37,MATCH(IF($D9="","Queen",$D9),Assumptions!$A$33:$A$37,0))</f>
        <v>0.558660457557195</v>
      </c>
      <c r="BA9" s="33" t="n">
        <f aca="false">INDEX(Assumptions!$H$33:$H$37,MATCH(IF($D9="","Queen",$D9),Assumptions!$A$33:$A$37,0))</f>
        <v>0.37244030503813</v>
      </c>
      <c r="BB9" s="47" t="n">
        <f aca="false">AY9*AZ9*AD9</f>
        <v>4.58491185</v>
      </c>
      <c r="BC9" s="47" t="n">
        <f aca="false">ROUND(MIN(AW9*Assumptions!$B$11,BB9),2)</f>
        <v>2.38</v>
      </c>
      <c r="BD9" s="26" t="s">
        <v>201</v>
      </c>
      <c r="BE9" s="48" t="n">
        <f aca="false">IF(AO9="Ranking — Full Push",MAX(0,MIN(IF(BD9="Yes",Assumptions!$B$12,Assumptions!$B$13),FLOOR(MAX(0,BB9/BC9-1),Assumptions!$B$14))),0)</f>
        <v>0.75</v>
      </c>
      <c r="BF9" s="49" t="str">
        <f aca="false">IF(AO9="Ranking — Full Push",IF(BE9&gt;=1,"YES — +100% Top of Search. Effective CPC $"&amp;TEXT(BG9,"0.00")&amp;" (= $"&amp;TEXT(BC9,"0.00")&amp;" × 2) stays within the $"&amp;TEXT(BB9,"0.00")&amp;" max ranking CPC"&amp;" (= $"&amp;TEXT(AY9,"0.00")&amp;" price × "&amp;TEXT(AZ9,"0.0%")&amp;" ranking ceiling × "&amp;TEXT(AD9,"0.0%")&amp;" CVR)"&amp;". Sleephoria CVR is proven on this term, so the full push is justified.",IF(AND(BD9="No",BE9&gt;=Assumptions!$B$13),"PARTIAL — +"&amp;TEXT(BE9,"0%")&amp;" Top of Search (limit for terms without proven CVR). Effective CPC $"&amp;TEXT(BG9,"0.00")&amp;" vs $"&amp;TEXT(BB9,"0.00")&amp;" max ranking CPC"&amp;" (= $"&amp;TEXT(AY9,"0.00")&amp;" price × "&amp;TEXT(AZ9,"0.0%")&amp;" ranking ceiling × "&amp;TEXT(AD9,"0.0%")&amp;" CVR)"&amp;". Raise to +100% only after CooLinens converts at ≥ "&amp;TEXT(AD9,"0.0%")&amp;" on 50+ clicks and $"&amp;TEXT(BC9*2,"0.00")&amp;" ≤ the max.",IF(BE9&gt;0,"PARTIAL — +"&amp;TEXT(BE9,"0%")&amp;" Top of Search. Effective CPC $"&amp;TEXT(BG9,"0.00")&amp;" stays within the $"&amp;TEXT(BB9,"0.00")&amp;" max ranking CPC"&amp;" (= $"&amp;TEXT(AY9,"0.00")&amp;" price × "&amp;TEXT(AZ9,"0.0%")&amp;" ranking ceiling × "&amp;TEXT(AD9,"0.0%")&amp;" CVR)"&amp;". +100% would cost $"&amp;TEXT(BC9*2,"0.00")&amp;" per click and push ACoS to "&amp;TEXT(BC9*2/(AY9*AD9),"0.0%")&amp;", above the "&amp;TEXT(AZ9,"0.0%")&amp;" ceiling.","NO — 0%. Base bid $"&amp;TEXT(BC9,"0.00")&amp;" already equals the $"&amp;TEXT(BB9,"0.00")&amp;" max ranking CPC"&amp;" (= $"&amp;TEXT(AY9,"0.00")&amp;" price × "&amp;TEXT(AZ9,"0.0%")&amp;" ranking ceiling × "&amp;TEXT(AD9,"0.0%")&amp;" CVR)"&amp;"; any modifier would push ACoS above the "&amp;TEXT(AZ9,"0.0%")&amp;" ceiling."))),IF(OR(AO9="Ranking — Head Term (Capped)",AO9="Ranking — Capped Entry",AO9="Ranking — Capped Long-Tail"),"NO — 0% (capped ranking entry). Bid $"&amp;TEXT(BC9,"0.00")&amp;" vs $"&amp;TEXT(BB9,"0.00")&amp;" max ranking CPC"&amp;" (= $"&amp;TEXT(AY9,"0.00")&amp;" price × "&amp;TEXT(AZ9,"0.0%")&amp;" ranking ceiling × "&amp;TEXT(AD9,"0.0%")&amp;" CVR)"&amp;". While spend is capped at "&amp;TEXT(AS9,"0.00")&amp;" clicks/day, a placement premium would only raise CPC without buying more rank; the modifier is set when this term moves to a full push.","NO — 0% (support / brand term). Bid $"&amp;TEXT(BC9,"0.00")&amp;" vs $"&amp;TEXT(BB9,"0.00")&amp;" max ranking CPC"&amp;" (= $"&amp;TEXT(AY9,"0.00")&amp;" price × "&amp;TEXT(AZ9,"0.0%")&amp;" ranking ceiling × "&amp;TEXT(AD9,"0.0%")&amp;" CVR)"&amp;"; expected ACoS "&amp;TEXT(BI9,"0.0%")&amp;" vs the "&amp;TEXT(AZ9,"0.0%")&amp;" ceiling."))</f>
        <v>PARTIAL — +75% Top of Search. Effective CPC $4.17 stays within the $4.58 max ranking CPC (= $79.99 price × 55.9% ranking ceiling × 10.3% CVR). +100% would cost $4.76 per click and push ACoS to 58.0%, above the 55.9% ceiling.</v>
      </c>
      <c r="BG9" s="50" t="n">
        <f aca="false">BC9*(1+BE9)</f>
        <v>4.165</v>
      </c>
      <c r="BH9" s="45" t="n">
        <f aca="false">AS9*BG9</f>
        <v>7.0751628024</v>
      </c>
      <c r="BI9" s="33" t="n">
        <f aca="false">IFERROR(BG9/(AY9*AD9),"")</f>
        <v>0.50749521078049</v>
      </c>
      <c r="BJ9" s="27" t="str">
        <f aca="false">IF(BI9="","",IF(BI9&lt;=BA9,"Profitable (≤ break-even)",IF(BI9&lt;=AZ9,"Ranking investment (≤ ceiling)","Above ceiling — reduce bid")))</f>
        <v>Ranking investment (≤ ceiling)</v>
      </c>
      <c r="BK9" s="49" t="str">
        <f aca="false">"Base $"&amp;TEXT(BC9,"0.00")&amp;" × (1 + "&amp;TEXT(BE9,"0%")&amp;" TOS) = $"&amp;TEXT(BG9,"0.00")&amp;" effective CPC [max $"&amp;TEXT(BB9,"0.00")&amp;"]. "&amp;TEXT(AG9,"0.0")&amp;" market clicks/day × "&amp;TEXT(AH9,"0.00%")&amp;" click share × "&amp;TEXT(AI9,"0%")&amp;" paid = "&amp;TEXT(AJ9,"0.00")&amp;" clicks/day needed; "&amp;"planned "&amp;TEXT(AS9,"0.00")&amp;" clicks/day × "&amp;TEXT(AD9,"0.0%")&amp;" CVR = "&amp;TEXT(AU9,"0.00")&amp;" orders/day. "&amp;"Spend $"&amp;TEXT(BH9,"0.00")&amp;"/day, ACoS "&amp;TEXT(BI9,"0.0%")&amp;" (ceiling "&amp;TEXT(AZ9,"0.0%")&amp;", break-even "&amp;TEXT(BA9,"0.0%")&amp;"). "&amp;"Target organic rank #"&amp;S9&amp;" by week 8 ("&amp;T9&amp;")."</f>
        <v>Base $2.38 × (1 + 75% TOS) = $4.17 effective CPC [max $4.58]. 91.9 market clicks/day × 2.80% click share × 66% paid = 1.70 clicks/day needed; planned 1.70 clicks/day × 10.3% CVR = 0.17 orders/day. Spend $7.08/day, ACoS 50.7% (ceiling 55.9%, break-even 37.2%). Target organic rank #10 by week 8 (#40 → #20 → #10).</v>
      </c>
      <c r="BL9" s="27" t="s">
        <v>202</v>
      </c>
      <c r="BM9" s="27" t="s">
        <v>203</v>
      </c>
      <c r="BN9" s="27" t="s">
        <v>243</v>
      </c>
      <c r="BO9" s="27" t="s">
        <v>234</v>
      </c>
      <c r="BP9" s="27" t="s">
        <v>205</v>
      </c>
      <c r="BQ9" s="26" t="s">
        <v>206</v>
      </c>
      <c r="BR9" s="40" t="n">
        <f aca="false">IFERROR(INDEX(Campaigns!$L:$L,MATCH(BN9,Campaigns!$A:$A,0)),"")</f>
        <v>10</v>
      </c>
      <c r="BS9" s="51" t="str">
        <f aca="false">IFERROR(INDEX(Inventory!$O:$O,MATCH(BP9,Inventory!$A:$A,0)),"")</f>
        <v>OK</v>
      </c>
      <c r="BT9" s="52" t="n">
        <f aca="false">IFERROR(INDEX(Inventory!$N:$N,MATCH(BP9,Inventory!$A:$A,0)),"")</f>
        <v>91.5322601167724</v>
      </c>
      <c r="BU9" s="27" t="s">
        <v>244</v>
      </c>
      <c r="BV9" s="27" t="s">
        <v>245</v>
      </c>
      <c r="BW9" s="27" t="s">
        <v>246</v>
      </c>
      <c r="BX9" s="27" t="s">
        <v>247</v>
      </c>
      <c r="BY9" s="27" t="s">
        <v>248</v>
      </c>
      <c r="BZ9" s="27" t="s">
        <v>249</v>
      </c>
      <c r="CA9" s="27" t="s">
        <v>213</v>
      </c>
      <c r="CB9" s="27" t="s">
        <v>250</v>
      </c>
      <c r="CC9" s="27" t="s">
        <v>251</v>
      </c>
    </row>
    <row r="10" customFormat="false" ht="120" hidden="false" customHeight="true" outlineLevel="0" collapsed="false">
      <c r="A10" s="24" t="s">
        <v>252</v>
      </c>
      <c r="B10" s="25" t="n">
        <v>1</v>
      </c>
      <c r="C10" s="26" t="s">
        <v>184</v>
      </c>
      <c r="D10" s="26" t="s">
        <v>185</v>
      </c>
      <c r="E10" s="27" t="s">
        <v>186</v>
      </c>
      <c r="F10" s="28" t="n">
        <v>1</v>
      </c>
      <c r="G10" s="27" t="s">
        <v>187</v>
      </c>
      <c r="H10" s="26" t="s">
        <v>188</v>
      </c>
      <c r="I10" s="29" t="n">
        <v>8.5</v>
      </c>
      <c r="J10" s="27" t="s">
        <v>253</v>
      </c>
      <c r="K10" s="30" t="n">
        <v>2635</v>
      </c>
      <c r="L10" s="31" t="n">
        <v>2787</v>
      </c>
      <c r="M10" s="32" t="n">
        <f aca="false">L10/30</f>
        <v>92.9</v>
      </c>
      <c r="N10" s="33" t="n">
        <v>0.0377812124334535</v>
      </c>
      <c r="O10" s="27" t="s">
        <v>254</v>
      </c>
      <c r="P10" s="27" t="s">
        <v>255</v>
      </c>
      <c r="Q10" s="27" t="s">
        <v>256</v>
      </c>
      <c r="R10" s="34" t="n">
        <v>3</v>
      </c>
      <c r="S10" s="35" t="n">
        <v>10</v>
      </c>
      <c r="T10" s="36" t="s">
        <v>221</v>
      </c>
      <c r="U10" s="27" t="s">
        <v>257</v>
      </c>
      <c r="V10" s="37" t="n">
        <f aca="false">IFERROR(INDEX(Sleephoria_History!$F$454:$F$2115,MATCH($A10,Sleephoria_History!$A$454:$A$2115,0)),"")</f>
        <v>234</v>
      </c>
      <c r="W10" s="38" t="n">
        <f aca="false">IFERROR(INDEX(Sleephoria_History!$J$454:$J$2115,MATCH($A10,Sleephoria_History!$A$454:$A$2115,0)),"")</f>
        <v>0.1111</v>
      </c>
      <c r="X10" s="39" t="n">
        <f aca="false">IFERROR(INDEX(Sleephoria_History!$H$454:$H$2115,MATCH($A10,Sleephoria_History!$A$454:$A$2115,0)),"")</f>
        <v>2.95</v>
      </c>
      <c r="Y10" s="38" t="n">
        <f aca="false">IFERROR(INDEX(Sleephoria_History!$M$454:$M$2115,MATCH($A10,Sleephoria_History!$A$454:$A$2115,0)),"")</f>
        <v>0.38</v>
      </c>
      <c r="Z10" s="40" t="n">
        <f aca="false">IFERROR(INDEX(Sleephoria_History!$L$454:$L$2115,MATCH($A10,Sleephoria_History!$A$454:$A$2115,0)),"")</f>
        <v>1814.7</v>
      </c>
      <c r="AA10" s="37" t="str">
        <f aca="false">IFERROR(INDEX(Decolure_History!$F$397:$F$709,MATCH($A10,Decolure_History!$A$397:$A$709,0)),"")</f>
        <v/>
      </c>
      <c r="AB10" s="38" t="str">
        <f aca="false">IFERROR(INDEX(Decolure_History!$J$397:$J$709,MATCH($A10,Decolure_History!$A$397:$A$709,0)),"")</f>
        <v/>
      </c>
      <c r="AC10" s="38" t="str">
        <f aca="false">IFERROR(INDEX(Decolure_History!$M$397:$M$709,MATCH($A10,Decolure_History!$A$397:$A$709,0)),"")</f>
        <v/>
      </c>
      <c r="AD10" s="41" t="n">
        <v>0.0889</v>
      </c>
      <c r="AE10" s="27" t="s">
        <v>258</v>
      </c>
      <c r="AF10" s="42" t="n">
        <v>0.475</v>
      </c>
      <c r="AG10" s="32" t="n">
        <f aca="false">M10*AF10</f>
        <v>44.1275</v>
      </c>
      <c r="AH10" s="43" t="n">
        <f aca="false">IF(AO10="Brand Defense",0,IFERROR(VLOOKUP(S10,Assumptions!$A$24:$B$28,2,FALSE()),0))</f>
        <v>0.028</v>
      </c>
      <c r="AI10" s="28" t="n">
        <f aca="false">Assumptions!$B$6</f>
        <v>0.66</v>
      </c>
      <c r="AJ10" s="44" t="n">
        <f aca="false">AG10*AH10*AI10</f>
        <v>0.8154762</v>
      </c>
      <c r="AK10" s="44" t="n">
        <f aca="false">AJ10*AD10</f>
        <v>0.07249583418</v>
      </c>
      <c r="AL10" s="30" t="n">
        <f aca="false">AJ10*56</f>
        <v>45.6666672</v>
      </c>
      <c r="AM10" s="32" t="n">
        <f aca="false">AK10*56</f>
        <v>4.05976671408</v>
      </c>
      <c r="AN10" s="44" t="n">
        <f aca="false">M10*Assumptions!$B$8</f>
        <v>9.29</v>
      </c>
      <c r="AO10" s="27" t="s">
        <v>196</v>
      </c>
      <c r="AP10" s="27" t="s">
        <v>259</v>
      </c>
      <c r="AQ10" s="26" t="s">
        <v>198</v>
      </c>
      <c r="AR10" s="27" t="s">
        <v>199</v>
      </c>
      <c r="AS10" s="44" t="n">
        <f aca="false">IF(AO10="Ranking — Full Push",MIN(MAX(AJ10,Assumptions!$B$9),AN10),IF(AO10="Brand Defense",MIN(Assumptions!$B$7,AN10),IF(OR(AO10="Ranking — Head Term (Capped)",AO10="Ranking — Capped Entry"),MIN(MAX(AJ10,Assumptions!$B$9),Assumptions!$B$7,AN10),IF(AO10="Ranking — Capped Long-Tail",MIN(AJ10,Assumptions!$B$10,AN10),MIN(AJ10,AN10)))))</f>
        <v>1</v>
      </c>
      <c r="AT10" s="27" t="str">
        <f aca="false">IF(AJ10&lt;=0,"",IF(AS10&gt;=AJ10,IF(AS10&gt;AJ10*1.05,"Floor of "&amp;TEXT(AS10,"0.0")&amp;" click/day to read CVR (rank needs "&amp;TEXT(AJ10,"0.00")&amp;")","Fully funded (100%)"),"Capped at "&amp;TEXT(AS10/AJ10,"0%")&amp;" of required"))</f>
        <v>Floor of 1.0 click/day to read CVR (rank needs 0.82)</v>
      </c>
      <c r="AU10" s="44" t="n">
        <f aca="false">AS10*AD10</f>
        <v>0.0889</v>
      </c>
      <c r="AV10" s="45" t="n">
        <f aca="false">AU10*AY10</f>
        <v>7.111111</v>
      </c>
      <c r="AW10" s="46" t="n">
        <v>2.95</v>
      </c>
      <c r="AX10" s="27" t="s">
        <v>260</v>
      </c>
      <c r="AY10" s="47" t="n">
        <f aca="false">INDEX(Assumptions!$B$33:$B$37,MATCH(IF($D10="","Queen",$D10),Assumptions!$A$33:$A$37,0))</f>
        <v>79.99</v>
      </c>
      <c r="AZ10" s="33" t="n">
        <f aca="false">INDEX(Assumptions!$K$33:$K$37,MATCH(IF($D10="","Queen",$D10),Assumptions!$A$33:$A$37,0))</f>
        <v>0.558660457557195</v>
      </c>
      <c r="BA10" s="33" t="n">
        <f aca="false">INDEX(Assumptions!$H$33:$H$37,MATCH(IF($D10="","Queen",$D10),Assumptions!$A$33:$A$37,0))</f>
        <v>0.37244030503813</v>
      </c>
      <c r="BB10" s="47" t="n">
        <f aca="false">AY10*AZ10*AD10</f>
        <v>3.972696525</v>
      </c>
      <c r="BC10" s="47" t="n">
        <f aca="false">ROUND(MIN(AW10*Assumptions!$B$11,BB10),2)</f>
        <v>2.95</v>
      </c>
      <c r="BD10" s="26" t="s">
        <v>201</v>
      </c>
      <c r="BE10" s="48" t="n">
        <f aca="false">IF(AO10="Ranking — Full Push",MAX(0,MIN(IF(BD10="Yes",Assumptions!$B$12,Assumptions!$B$13),FLOOR(MAX(0,BB10/BC10-1),Assumptions!$B$14))),0)</f>
        <v>0.25</v>
      </c>
      <c r="BF10" s="49" t="str">
        <f aca="false">IF(AO10="Ranking — Full Push",IF(BE10&gt;=1,"YES — +100% Top of Search. Effective CPC $"&amp;TEXT(BG10,"0.00")&amp;" (= $"&amp;TEXT(BC10,"0.00")&amp;" × 2) stays within the $"&amp;TEXT(BB10,"0.00")&amp;" max ranking CPC"&amp;" (= $"&amp;TEXT(AY10,"0.00")&amp;" price × "&amp;TEXT(AZ10,"0.0%")&amp;" ranking ceiling × "&amp;TEXT(AD10,"0.0%")&amp;" CVR)"&amp;". Sleephoria CVR is proven on this term, so the full push is justified.",IF(AND(BD10="No",BE10&gt;=Assumptions!$B$13),"PARTIAL — +"&amp;TEXT(BE10,"0%")&amp;" Top of Search (limit for terms without proven CVR). Effective CPC $"&amp;TEXT(BG10,"0.00")&amp;" vs $"&amp;TEXT(BB10,"0.00")&amp;" max ranking CPC"&amp;" (= $"&amp;TEXT(AY10,"0.00")&amp;" price × "&amp;TEXT(AZ10,"0.0%")&amp;" ranking ceiling × "&amp;TEXT(AD10,"0.0%")&amp;" CVR)"&amp;". Raise to +100% only after CooLinens converts at ≥ "&amp;TEXT(AD10,"0.0%")&amp;" on 50+ clicks and $"&amp;TEXT(BC10*2,"0.00")&amp;" ≤ the max.",IF(BE10&gt;0,"PARTIAL — +"&amp;TEXT(BE10,"0%")&amp;" Top of Search. Effective CPC $"&amp;TEXT(BG10,"0.00")&amp;" stays within the $"&amp;TEXT(BB10,"0.00")&amp;" max ranking CPC"&amp;" (= $"&amp;TEXT(AY10,"0.00")&amp;" price × "&amp;TEXT(AZ10,"0.0%")&amp;" ranking ceiling × "&amp;TEXT(AD10,"0.0%")&amp;" CVR)"&amp;". +100% would cost $"&amp;TEXT(BC10*2,"0.00")&amp;" per click and push ACoS to "&amp;TEXT(BC10*2/(AY10*AD10),"0.0%")&amp;", above the "&amp;TEXT(AZ10,"0.0%")&amp;" ceiling.","NO — 0%. Base bid $"&amp;TEXT(BC10,"0.00")&amp;" already equals the $"&amp;TEXT(BB10,"0.00")&amp;" max ranking CPC"&amp;" (= $"&amp;TEXT(AY10,"0.00")&amp;" price × "&amp;TEXT(AZ10,"0.0%")&amp;" ranking ceiling × "&amp;TEXT(AD10,"0.0%")&amp;" CVR)"&amp;"; any modifier would push ACoS above the "&amp;TEXT(AZ10,"0.0%")&amp;" ceiling."))),IF(OR(AO10="Ranking — Head Term (Capped)",AO10="Ranking — Capped Entry",AO10="Ranking — Capped Long-Tail"),"NO — 0% (capped ranking entry). Bid $"&amp;TEXT(BC10,"0.00")&amp;" vs $"&amp;TEXT(BB10,"0.00")&amp;" max ranking CPC"&amp;" (= $"&amp;TEXT(AY10,"0.00")&amp;" price × "&amp;TEXT(AZ10,"0.0%")&amp;" ranking ceiling × "&amp;TEXT(AD10,"0.0%")&amp;" CVR)"&amp;". While spend is capped at "&amp;TEXT(AS10,"0.00")&amp;" clicks/day, a placement premium would only raise CPC without buying more rank; the modifier is set when this term moves to a full push.","NO — 0% (support / brand term). Bid $"&amp;TEXT(BC10,"0.00")&amp;" vs $"&amp;TEXT(BB10,"0.00")&amp;" max ranking CPC"&amp;" (= $"&amp;TEXT(AY10,"0.00")&amp;" price × "&amp;TEXT(AZ10,"0.0%")&amp;" ranking ceiling × "&amp;TEXT(AD10,"0.0%")&amp;" CVR)"&amp;"; expected ACoS "&amp;TEXT(BI10,"0.0%")&amp;" vs the "&amp;TEXT(AZ10,"0.0%")&amp;" ceiling."))</f>
        <v>PARTIAL — +25% Top of Search. Effective CPC $3.69 stays within the $3.97 max ranking CPC (= $79.99 price × 55.9% ranking ceiling × 8.9% CVR). +100% would cost $5.90 per click and push ACoS to 83.0%, above the 55.9% ceiling.</v>
      </c>
      <c r="BG10" s="50" t="n">
        <f aca="false">BC10*(1+BE10)</f>
        <v>3.6875</v>
      </c>
      <c r="BH10" s="45" t="n">
        <f aca="false">AS10*BG10</f>
        <v>3.6875</v>
      </c>
      <c r="BI10" s="33" t="n">
        <f aca="false">IFERROR(BG10/(AY10*AD10),"")</f>
        <v>0.518554695602417</v>
      </c>
      <c r="BJ10" s="27" t="str">
        <f aca="false">IF(BI10="","",IF(BI10&lt;=BA10,"Profitable (≤ break-even)",IF(BI10&lt;=AZ10,"Ranking investment (≤ ceiling)","Above ceiling — reduce bid")))</f>
        <v>Ranking investment (≤ ceiling)</v>
      </c>
      <c r="BK10" s="49" t="str">
        <f aca="false">"Base $"&amp;TEXT(BC10,"0.00")&amp;" × (1 + "&amp;TEXT(BE10,"0%")&amp;" TOS) = $"&amp;TEXT(BG10,"0.00")&amp;" effective CPC [max $"&amp;TEXT(BB10,"0.00")&amp;"]. "&amp;TEXT(AG10,"0.0")&amp;" market clicks/day × "&amp;TEXT(AH10,"0.00%")&amp;" click share × "&amp;TEXT(AI10,"0%")&amp;" paid = "&amp;TEXT(AJ10,"0.00")&amp;" clicks/day needed; "&amp;"planned "&amp;TEXT(AS10,"0.00")&amp;" clicks/day × "&amp;TEXT(AD10,"0.0%")&amp;" CVR = "&amp;TEXT(AU10,"0.00")&amp;" orders/day. "&amp;"Spend $"&amp;TEXT(BH10,"0.00")&amp;"/day, ACoS "&amp;TEXT(BI10,"0.0%")&amp;" (ceiling "&amp;TEXT(AZ10,"0.0%")&amp;", break-even "&amp;TEXT(BA10,"0.0%")&amp;"). "&amp;"Target organic rank #"&amp;S10&amp;" by week 8 ("&amp;T10&amp;")."</f>
        <v>Base $2.95 × (1 + 25% TOS) = $3.69 effective CPC [max $3.97]. 44.1 market clicks/day × 2.80% click share × 66% paid = 0.82 clicks/day needed; planned 1.00 clicks/day × 8.9% CVR = 0.09 orders/day. Spend $3.69/day, ACoS 51.9% (ceiling 55.9%, break-even 37.2%). Target organic rank #10 by week 8 (#40 → #20 → #10).</v>
      </c>
      <c r="BL10" s="27" t="s">
        <v>202</v>
      </c>
      <c r="BM10" s="27" t="s">
        <v>203</v>
      </c>
      <c r="BN10" s="27" t="s">
        <v>261</v>
      </c>
      <c r="BO10" s="27" t="s">
        <v>252</v>
      </c>
      <c r="BP10" s="27" t="s">
        <v>205</v>
      </c>
      <c r="BQ10" s="26" t="s">
        <v>206</v>
      </c>
      <c r="BR10" s="40" t="n">
        <f aca="false">IFERROR(INDEX(Campaigns!$L:$L,MATCH(BN10,Campaigns!$A:$A,0)),"")</f>
        <v>10</v>
      </c>
      <c r="BS10" s="51" t="str">
        <f aca="false">IFERROR(INDEX(Inventory!$O:$O,MATCH(BP10,Inventory!$A:$A,0)),"")</f>
        <v>OK</v>
      </c>
      <c r="BT10" s="52" t="n">
        <f aca="false">IFERROR(INDEX(Inventory!$N:$N,MATCH(BP10,Inventory!$A:$A,0)),"")</f>
        <v>91.5322601167724</v>
      </c>
      <c r="BU10" s="27" t="s">
        <v>262</v>
      </c>
      <c r="BV10" s="27" t="s">
        <v>263</v>
      </c>
      <c r="BW10" s="27" t="s">
        <v>264</v>
      </c>
      <c r="BX10" s="27" t="s">
        <v>265</v>
      </c>
      <c r="BY10" s="27" t="s">
        <v>266</v>
      </c>
      <c r="BZ10" s="27" t="s">
        <v>231</v>
      </c>
      <c r="CA10" s="27" t="s">
        <v>213</v>
      </c>
      <c r="CB10" s="27" t="s">
        <v>267</v>
      </c>
      <c r="CC10" s="27" t="s">
        <v>268</v>
      </c>
    </row>
    <row r="11" customFormat="false" ht="120" hidden="false" customHeight="true" outlineLevel="0" collapsed="false">
      <c r="A11" s="24" t="s">
        <v>269</v>
      </c>
      <c r="B11" s="25" t="n">
        <v>1</v>
      </c>
      <c r="C11" s="26" t="s">
        <v>184</v>
      </c>
      <c r="D11" s="26" t="s">
        <v>185</v>
      </c>
      <c r="E11" s="27" t="s">
        <v>186</v>
      </c>
      <c r="F11" s="28" t="n">
        <v>1</v>
      </c>
      <c r="G11" s="27" t="s">
        <v>187</v>
      </c>
      <c r="H11" s="26" t="s">
        <v>188</v>
      </c>
      <c r="I11" s="29" t="n">
        <v>7.5</v>
      </c>
      <c r="J11" s="27" t="s">
        <v>270</v>
      </c>
      <c r="K11" s="30" t="n">
        <v>2630</v>
      </c>
      <c r="L11" s="31" t="n">
        <v>2485</v>
      </c>
      <c r="M11" s="32" t="n">
        <f aca="false">L11/30</f>
        <v>82.8333333333333</v>
      </c>
      <c r="N11" s="33" t="n">
        <v>0.0614727153188691</v>
      </c>
      <c r="O11" s="27" t="s">
        <v>271</v>
      </c>
      <c r="P11" s="27" t="s">
        <v>272</v>
      </c>
      <c r="Q11" s="27" t="s">
        <v>273</v>
      </c>
      <c r="R11" s="34" t="n">
        <v>3</v>
      </c>
      <c r="S11" s="35" t="n">
        <v>10</v>
      </c>
      <c r="T11" s="36" t="s">
        <v>221</v>
      </c>
      <c r="U11" s="27" t="s">
        <v>274</v>
      </c>
      <c r="V11" s="37" t="n">
        <f aca="false">IFERROR(INDEX(Sleephoria_History!$F$454:$F$2115,MATCH($A11,Sleephoria_History!$A$454:$A$2115,0)),"")</f>
        <v>35</v>
      </c>
      <c r="W11" s="38" t="n">
        <f aca="false">IFERROR(INDEX(Sleephoria_History!$J$454:$J$2115,MATCH($A11,Sleephoria_History!$A$454:$A$2115,0)),"")</f>
        <v>0.1143</v>
      </c>
      <c r="X11" s="39" t="n">
        <f aca="false">IFERROR(INDEX(Sleephoria_History!$H$454:$H$2115,MATCH($A11,Sleephoria_History!$A$454:$A$2115,0)),"")</f>
        <v>3.14</v>
      </c>
      <c r="Y11" s="38" t="n">
        <f aca="false">IFERROR(INDEX(Sleephoria_History!$M$454:$M$2115,MATCH($A11,Sleephoria_History!$A$454:$A$2115,0)),"")</f>
        <v>0.355</v>
      </c>
      <c r="Z11" s="40" t="n">
        <f aca="false">IFERROR(INDEX(Sleephoria_History!$L$454:$L$2115,MATCH($A11,Sleephoria_History!$A$454:$A$2115,0)),"")</f>
        <v>309.96</v>
      </c>
      <c r="AA11" s="37" t="n">
        <f aca="false">IFERROR(INDEX(Decolure_History!$F$397:$F$709,MATCH($A11,Decolure_History!$A$397:$A$709,0)),"")</f>
        <v>204</v>
      </c>
      <c r="AB11" s="38" t="n">
        <f aca="false">IFERROR(INDEX(Decolure_History!$J$397:$J$709,MATCH($A11,Decolure_History!$A$397:$A$709,0)),"")</f>
        <v>0.049</v>
      </c>
      <c r="AC11" s="38" t="n">
        <f aca="false">IFERROR(INDEX(Decolure_History!$M$397:$M$709,MATCH($A11,Decolure_History!$A$397:$A$709,0)),"")</f>
        <v>0.742</v>
      </c>
      <c r="AD11" s="41" t="n">
        <v>0.064</v>
      </c>
      <c r="AE11" s="27" t="s">
        <v>275</v>
      </c>
      <c r="AF11" s="42" t="n">
        <v>0.409</v>
      </c>
      <c r="AG11" s="32" t="n">
        <f aca="false">M11*AF11</f>
        <v>33.8788333333333</v>
      </c>
      <c r="AH11" s="43" t="n">
        <f aca="false">IF(AO11="Brand Defense",0,IFERROR(VLOOKUP(S11,Assumptions!$A$24:$B$28,2,FALSE()),0))</f>
        <v>0.028</v>
      </c>
      <c r="AI11" s="28" t="n">
        <f aca="false">Assumptions!$B$6</f>
        <v>0.66</v>
      </c>
      <c r="AJ11" s="44" t="n">
        <f aca="false">AG11*AH11*AI11</f>
        <v>0.62608084</v>
      </c>
      <c r="AK11" s="44" t="n">
        <f aca="false">AJ11*AD11</f>
        <v>0.04006917376</v>
      </c>
      <c r="AL11" s="30" t="n">
        <f aca="false">AJ11*56</f>
        <v>35.06052704</v>
      </c>
      <c r="AM11" s="32" t="n">
        <f aca="false">AK11*56</f>
        <v>2.24387373056</v>
      </c>
      <c r="AN11" s="44" t="n">
        <f aca="false">M11*Assumptions!$B$8</f>
        <v>8.28333333333333</v>
      </c>
      <c r="AO11" s="27" t="s">
        <v>196</v>
      </c>
      <c r="AP11" s="27" t="s">
        <v>276</v>
      </c>
      <c r="AQ11" s="26" t="s">
        <v>198</v>
      </c>
      <c r="AR11" s="27" t="s">
        <v>199</v>
      </c>
      <c r="AS11" s="44" t="n">
        <f aca="false">IF(AO11="Ranking — Full Push",MIN(MAX(AJ11,Assumptions!$B$9),AN11),IF(AO11="Brand Defense",MIN(Assumptions!$B$7,AN11),IF(OR(AO11="Ranking — Head Term (Capped)",AO11="Ranking — Capped Entry"),MIN(MAX(AJ11,Assumptions!$B$9),Assumptions!$B$7,AN11),IF(AO11="Ranking — Capped Long-Tail",MIN(AJ11,Assumptions!$B$10,AN11),MIN(AJ11,AN11)))))</f>
        <v>1</v>
      </c>
      <c r="AT11" s="27" t="str">
        <f aca="false">IF(AJ11&lt;=0,"",IF(AS11&gt;=AJ11,IF(AS11&gt;AJ11*1.05,"Floor of "&amp;TEXT(AS11,"0.0")&amp;" click/day to read CVR (rank needs "&amp;TEXT(AJ11,"0.00")&amp;")","Fully funded (100%)"),"Capped at "&amp;TEXT(AS11/AJ11,"0%")&amp;" of required"))</f>
        <v>Floor of 1.0 click/day to read CVR (rank needs 0.63)</v>
      </c>
      <c r="AU11" s="44" t="n">
        <f aca="false">AS11*AD11</f>
        <v>0.064</v>
      </c>
      <c r="AV11" s="45" t="n">
        <f aca="false">AU11*AY11</f>
        <v>5.11936</v>
      </c>
      <c r="AW11" s="46" t="n">
        <v>3.14</v>
      </c>
      <c r="AX11" s="27" t="s">
        <v>277</v>
      </c>
      <c r="AY11" s="47" t="n">
        <f aca="false">INDEX(Assumptions!$B$33:$B$37,MATCH(IF($D11="","Queen",$D11),Assumptions!$A$33:$A$37,0))</f>
        <v>79.99</v>
      </c>
      <c r="AZ11" s="33" t="n">
        <f aca="false">INDEX(Assumptions!$K$33:$K$37,MATCH(IF($D11="","Queen",$D11),Assumptions!$A$33:$A$37,0))</f>
        <v>0.558660457557195</v>
      </c>
      <c r="BA11" s="33" t="n">
        <f aca="false">INDEX(Assumptions!$H$33:$H$37,MATCH(IF($D11="","Queen",$D11),Assumptions!$A$33:$A$37,0))</f>
        <v>0.37244030503813</v>
      </c>
      <c r="BB11" s="47" t="n">
        <f aca="false">AY11*AZ11*AD11</f>
        <v>2.859984</v>
      </c>
      <c r="BC11" s="47" t="n">
        <f aca="false">ROUND(MIN(AW11*Assumptions!$B$11,BB11),2)</f>
        <v>2.86</v>
      </c>
      <c r="BD11" s="26" t="s">
        <v>278</v>
      </c>
      <c r="BE11" s="48" t="n">
        <f aca="false">IF(AO11="Ranking — Full Push",MAX(0,MIN(IF(BD11="Yes",Assumptions!$B$12,Assumptions!$B$13),FLOOR(MAX(0,BB11/BC11-1),Assumptions!$B$14))),0)</f>
        <v>0</v>
      </c>
      <c r="BF11" s="49" t="str">
        <f aca="false">IF(AO11="Ranking — Full Push",IF(BE11&gt;=1,"YES — +100% Top of Search. Effective CPC $"&amp;TEXT(BG11,"0.00")&amp;" (= $"&amp;TEXT(BC11,"0.00")&amp;" × 2) stays within the $"&amp;TEXT(BB11,"0.00")&amp;" max ranking CPC"&amp;" (= $"&amp;TEXT(AY11,"0.00")&amp;" price × "&amp;TEXT(AZ11,"0.0%")&amp;" ranking ceiling × "&amp;TEXT(AD11,"0.0%")&amp;" CVR)"&amp;". Sleephoria CVR is proven on this term, so the full push is justified.",IF(AND(BD11="No",BE11&gt;=Assumptions!$B$13),"PARTIAL — +"&amp;TEXT(BE11,"0%")&amp;" Top of Search (limit for terms without proven CVR). Effective CPC $"&amp;TEXT(BG11,"0.00")&amp;" vs $"&amp;TEXT(BB11,"0.00")&amp;" max ranking CPC"&amp;" (= $"&amp;TEXT(AY11,"0.00")&amp;" price × "&amp;TEXT(AZ11,"0.0%")&amp;" ranking ceiling × "&amp;TEXT(AD11,"0.0%")&amp;" CVR)"&amp;". Raise to +100% only after CooLinens converts at ≥ "&amp;TEXT(AD11,"0.0%")&amp;" on 50+ clicks and $"&amp;TEXT(BC11*2,"0.00")&amp;" ≤ the max.",IF(BE11&gt;0,"PARTIAL — +"&amp;TEXT(BE11,"0%")&amp;" Top of Search. Effective CPC $"&amp;TEXT(BG11,"0.00")&amp;" stays within the $"&amp;TEXT(BB11,"0.00")&amp;" max ranking CPC"&amp;" (= $"&amp;TEXT(AY11,"0.00")&amp;" price × "&amp;TEXT(AZ11,"0.0%")&amp;" ranking ceiling × "&amp;TEXT(AD11,"0.0%")&amp;" CVR)"&amp;". +100% would cost $"&amp;TEXT(BC11*2,"0.00")&amp;" per click and push ACoS to "&amp;TEXT(BC11*2/(AY11*AD11),"0.0%")&amp;", above the "&amp;TEXT(AZ11,"0.0%")&amp;" ceiling.","NO — 0%. Base bid $"&amp;TEXT(BC11,"0.00")&amp;" already equals the $"&amp;TEXT(BB11,"0.00")&amp;" max ranking CPC"&amp;" (= $"&amp;TEXT(AY11,"0.00")&amp;" price × "&amp;TEXT(AZ11,"0.0%")&amp;" ranking ceiling × "&amp;TEXT(AD11,"0.0%")&amp;" CVR)"&amp;"; any modifier would push ACoS above the "&amp;TEXT(AZ11,"0.0%")&amp;" ceiling."))),IF(OR(AO11="Ranking — Head Term (Capped)",AO11="Ranking — Capped Entry",AO11="Ranking — Capped Long-Tail"),"NO — 0% (capped ranking entry). Bid $"&amp;TEXT(BC11,"0.00")&amp;" vs $"&amp;TEXT(BB11,"0.00")&amp;" max ranking CPC"&amp;" (= $"&amp;TEXT(AY11,"0.00")&amp;" price × "&amp;TEXT(AZ11,"0.0%")&amp;" ranking ceiling × "&amp;TEXT(AD11,"0.0%")&amp;" CVR)"&amp;". While spend is capped at "&amp;TEXT(AS11,"0.00")&amp;" clicks/day, a placement premium would only raise CPC without buying more rank; the modifier is set when this term moves to a full push.","NO — 0% (support / brand term). Bid $"&amp;TEXT(BC11,"0.00")&amp;" vs $"&amp;TEXT(BB11,"0.00")&amp;" max ranking CPC"&amp;" (= $"&amp;TEXT(AY11,"0.00")&amp;" price × "&amp;TEXT(AZ11,"0.0%")&amp;" ranking ceiling × "&amp;TEXT(AD11,"0.0%")&amp;" CVR)"&amp;"; expected ACoS "&amp;TEXT(BI11,"0.0%")&amp;" vs the "&amp;TEXT(AZ11,"0.0%")&amp;" ceiling."))</f>
        <v>NO — 0%. Base bid $2.86 already equals the $2.86 max ranking CPC (= $79.99 price × 55.9% ranking ceiling × 6.4% CVR); any modifier would push ACoS above the 55.9% ceiling.</v>
      </c>
      <c r="BG11" s="50" t="n">
        <f aca="false">BC11*(1+BE11)</f>
        <v>2.86</v>
      </c>
      <c r="BH11" s="45" t="n">
        <f aca="false">AS11*BG11</f>
        <v>2.86</v>
      </c>
      <c r="BI11" s="33" t="n">
        <f aca="false">IFERROR(BG11/(AY11*AD11),"")</f>
        <v>0.558663582947869</v>
      </c>
      <c r="BJ11" s="27" t="str">
        <f aca="false">IF(BI11="","",IF(BI11&lt;=BA11,"Profitable (≤ break-even)",IF(BI11&lt;=AZ11,"Ranking investment (≤ ceiling)","Above ceiling — reduce bid")))</f>
        <v>Above ceiling — reduce bid</v>
      </c>
      <c r="BK11" s="49" t="str">
        <f aca="false">"Base $"&amp;TEXT(BC11,"0.00")&amp;" × (1 + "&amp;TEXT(BE11,"0%")&amp;" TOS) = $"&amp;TEXT(BG11,"0.00")&amp;" effective CPC [max $"&amp;TEXT(BB11,"0.00")&amp;"]. "&amp;TEXT(AG11,"0.0")&amp;" market clicks/day × "&amp;TEXT(AH11,"0.00%")&amp;" click share × "&amp;TEXT(AI11,"0%")&amp;" paid = "&amp;TEXT(AJ11,"0.00")&amp;" clicks/day needed; "&amp;"planned "&amp;TEXT(AS11,"0.00")&amp;" clicks/day × "&amp;TEXT(AD11,"0.0%")&amp;" CVR = "&amp;TEXT(AU11,"0.00")&amp;" orders/day. "&amp;"Spend $"&amp;TEXT(BH11,"0.00")&amp;"/day, ACoS "&amp;TEXT(BI11,"0.0%")&amp;" (ceiling "&amp;TEXT(AZ11,"0.0%")&amp;", break-even "&amp;TEXT(BA11,"0.0%")&amp;"). "&amp;"Target organic rank #"&amp;S11&amp;" by week 8 ("&amp;T11&amp;")."</f>
        <v>Base $2.86 × (1 + 0% TOS) = $2.86 effective CPC [max $2.86]. 33.9 market clicks/day × 2.80% click share × 66% paid = 0.63 clicks/day needed; planned 1.00 clicks/day × 6.4% CVR = 0.06 orders/day. Spend $2.86/day, ACoS 55.9% (ceiling 55.9%, break-even 37.2%). Target organic rank #10 by week 8 (#40 → #20 → #10).</v>
      </c>
      <c r="BL11" s="27" t="s">
        <v>279</v>
      </c>
      <c r="BM11" s="27" t="s">
        <v>203</v>
      </c>
      <c r="BN11" s="27" t="s">
        <v>280</v>
      </c>
      <c r="BO11" s="27" t="s">
        <v>269</v>
      </c>
      <c r="BP11" s="27" t="s">
        <v>205</v>
      </c>
      <c r="BQ11" s="26" t="s">
        <v>206</v>
      </c>
      <c r="BR11" s="40" t="n">
        <f aca="false">IFERROR(INDEX(Campaigns!$L:$L,MATCH(BN11,Campaigns!$A:$A,0)),"")</f>
        <v>10</v>
      </c>
      <c r="BS11" s="51" t="str">
        <f aca="false">IFERROR(INDEX(Inventory!$O:$O,MATCH(BP11,Inventory!$A:$A,0)),"")</f>
        <v>OK</v>
      </c>
      <c r="BT11" s="52" t="n">
        <f aca="false">IFERROR(INDEX(Inventory!$N:$N,MATCH(BP11,Inventory!$A:$A,0)),"")</f>
        <v>91.5322601167724</v>
      </c>
      <c r="BU11" s="27" t="s">
        <v>281</v>
      </c>
      <c r="BV11" s="27" t="s">
        <v>282</v>
      </c>
      <c r="BW11" s="27" t="s">
        <v>283</v>
      </c>
      <c r="BX11" s="27" t="s">
        <v>284</v>
      </c>
      <c r="BY11" s="27" t="s">
        <v>285</v>
      </c>
      <c r="BZ11" s="27" t="s">
        <v>286</v>
      </c>
      <c r="CA11" s="27" t="s">
        <v>213</v>
      </c>
      <c r="CB11" s="27" t="s">
        <v>287</v>
      </c>
      <c r="CC11" s="27" t="s">
        <v>233</v>
      </c>
    </row>
    <row r="12" customFormat="false" ht="120" hidden="false" customHeight="true" outlineLevel="0" collapsed="false">
      <c r="A12" s="24" t="s">
        <v>288</v>
      </c>
      <c r="B12" s="25" t="n">
        <v>1</v>
      </c>
      <c r="C12" s="26" t="s">
        <v>184</v>
      </c>
      <c r="D12" s="26" t="s">
        <v>185</v>
      </c>
      <c r="E12" s="27" t="s">
        <v>186</v>
      </c>
      <c r="F12" s="28" t="n">
        <v>1</v>
      </c>
      <c r="G12" s="27" t="s">
        <v>187</v>
      </c>
      <c r="H12" s="26" t="s">
        <v>188</v>
      </c>
      <c r="I12" s="29" t="n">
        <v>6.5</v>
      </c>
      <c r="J12" s="27" t="s">
        <v>289</v>
      </c>
      <c r="K12" s="30" t="n">
        <v>1023</v>
      </c>
      <c r="L12" s="31" t="n">
        <v>1061</v>
      </c>
      <c r="M12" s="32" t="n">
        <f aca="false">L12/30</f>
        <v>35.3666666666667</v>
      </c>
      <c r="N12" s="33" t="n">
        <v>0.0590169324346539</v>
      </c>
      <c r="O12" s="27" t="s">
        <v>290</v>
      </c>
      <c r="P12" s="27" t="s">
        <v>291</v>
      </c>
      <c r="Q12" s="27" t="s">
        <v>292</v>
      </c>
      <c r="R12" s="34" t="n">
        <v>4</v>
      </c>
      <c r="S12" s="35" t="n">
        <v>10</v>
      </c>
      <c r="T12" s="36" t="s">
        <v>221</v>
      </c>
      <c r="U12" s="27" t="s">
        <v>293</v>
      </c>
      <c r="V12" s="37" t="n">
        <f aca="false">IFERROR(INDEX(Sleephoria_History!$F$454:$F$2115,MATCH($A12,Sleephoria_History!$A$454:$A$2115,0)),"")</f>
        <v>12</v>
      </c>
      <c r="W12" s="38" t="n">
        <f aca="false">IFERROR(INDEX(Sleephoria_History!$J$454:$J$2115,MATCH($A12,Sleephoria_History!$A$454:$A$2115,0)),"")</f>
        <v>0.0833</v>
      </c>
      <c r="X12" s="39" t="n">
        <f aca="false">IFERROR(INDEX(Sleephoria_History!$H$454:$H$2115,MATCH($A12,Sleephoria_History!$A$454:$A$2115,0)),"")</f>
        <v>2.41</v>
      </c>
      <c r="Y12" s="38" t="n">
        <f aca="false">IFERROR(INDEX(Sleephoria_History!$M$454:$M$2115,MATCH($A12,Sleephoria_History!$A$454:$A$2115,0)),"")</f>
        <v>0.361</v>
      </c>
      <c r="Z12" s="40" t="n">
        <f aca="false">IFERROR(INDEX(Sleephoria_History!$L$454:$L$2115,MATCH($A12,Sleephoria_History!$A$454:$A$2115,0)),"")</f>
        <v>79.99</v>
      </c>
      <c r="AA12" s="37" t="str">
        <f aca="false">IFERROR(INDEX(Decolure_History!$F$397:$F$709,MATCH($A12,Decolure_History!$A$397:$A$709,0)),"")</f>
        <v/>
      </c>
      <c r="AB12" s="38" t="str">
        <f aca="false">IFERROR(INDEX(Decolure_History!$J$397:$J$709,MATCH($A12,Decolure_History!$A$397:$A$709,0)),"")</f>
        <v/>
      </c>
      <c r="AC12" s="38" t="str">
        <f aca="false">IFERROR(INDEX(Decolure_History!$M$397:$M$709,MATCH($A12,Decolure_History!$A$397:$A$709,0)),"")</f>
        <v/>
      </c>
      <c r="AD12" s="41" t="n">
        <v>0.064</v>
      </c>
      <c r="AE12" s="27" t="s">
        <v>275</v>
      </c>
      <c r="AF12" s="42" t="n">
        <v>0.428</v>
      </c>
      <c r="AG12" s="32" t="n">
        <f aca="false">M12*AF12</f>
        <v>15.1369333333333</v>
      </c>
      <c r="AH12" s="43" t="n">
        <f aca="false">IF(AO12="Brand Defense",0,IFERROR(VLOOKUP(S12,Assumptions!$A$24:$B$28,2,FALSE()),0))</f>
        <v>0.028</v>
      </c>
      <c r="AI12" s="28" t="n">
        <f aca="false">Assumptions!$B$6</f>
        <v>0.66</v>
      </c>
      <c r="AJ12" s="44" t="n">
        <f aca="false">AG12*AH12*AI12</f>
        <v>0.279730528</v>
      </c>
      <c r="AK12" s="44" t="n">
        <f aca="false">AJ12*AD12</f>
        <v>0.017902753792</v>
      </c>
      <c r="AL12" s="30" t="n">
        <f aca="false">AJ12*56</f>
        <v>15.664909568</v>
      </c>
      <c r="AM12" s="32" t="n">
        <f aca="false">AK12*56</f>
        <v>1.002554212352</v>
      </c>
      <c r="AN12" s="44" t="n">
        <f aca="false">M12*Assumptions!$B$8</f>
        <v>3.53666666666667</v>
      </c>
      <c r="AO12" s="27" t="s">
        <v>196</v>
      </c>
      <c r="AP12" s="27" t="s">
        <v>294</v>
      </c>
      <c r="AQ12" s="26" t="s">
        <v>198</v>
      </c>
      <c r="AR12" s="27" t="s">
        <v>199</v>
      </c>
      <c r="AS12" s="44" t="n">
        <f aca="false">IF(AO12="Ranking — Full Push",MIN(MAX(AJ12,Assumptions!$B$9),AN12),IF(AO12="Brand Defense",MIN(Assumptions!$B$7,AN12),IF(OR(AO12="Ranking — Head Term (Capped)",AO12="Ranking — Capped Entry"),MIN(MAX(AJ12,Assumptions!$B$9),Assumptions!$B$7,AN12),IF(AO12="Ranking — Capped Long-Tail",MIN(AJ12,Assumptions!$B$10,AN12),MIN(AJ12,AN12)))))</f>
        <v>1</v>
      </c>
      <c r="AT12" s="27" t="str">
        <f aca="false">IF(AJ12&lt;=0,"",IF(AS12&gt;=AJ12,IF(AS12&gt;AJ12*1.05,"Floor of "&amp;TEXT(AS12,"0.0")&amp;" click/day to read CVR (rank needs "&amp;TEXT(AJ12,"0.00")&amp;")","Fully funded (100%)"),"Capped at "&amp;TEXT(AS12/AJ12,"0%")&amp;" of required"))</f>
        <v>Floor of 1.0 click/day to read CVR (rank needs 0.28)</v>
      </c>
      <c r="AU12" s="44" t="n">
        <f aca="false">AS12*AD12</f>
        <v>0.064</v>
      </c>
      <c r="AV12" s="45" t="n">
        <f aca="false">AU12*AY12</f>
        <v>5.11936</v>
      </c>
      <c r="AW12" s="46" t="n">
        <v>2.18</v>
      </c>
      <c r="AX12" s="27" t="s">
        <v>295</v>
      </c>
      <c r="AY12" s="47" t="n">
        <f aca="false">INDEX(Assumptions!$B$33:$B$37,MATCH(IF($D12="","Queen",$D12),Assumptions!$A$33:$A$37,0))</f>
        <v>79.99</v>
      </c>
      <c r="AZ12" s="33" t="n">
        <f aca="false">INDEX(Assumptions!$K$33:$K$37,MATCH(IF($D12="","Queen",$D12),Assumptions!$A$33:$A$37,0))</f>
        <v>0.558660457557195</v>
      </c>
      <c r="BA12" s="33" t="n">
        <f aca="false">INDEX(Assumptions!$H$33:$H$37,MATCH(IF($D12="","Queen",$D12),Assumptions!$A$33:$A$37,0))</f>
        <v>0.37244030503813</v>
      </c>
      <c r="BB12" s="47" t="n">
        <f aca="false">AY12*AZ12*AD12</f>
        <v>2.859984</v>
      </c>
      <c r="BC12" s="47" t="n">
        <f aca="false">ROUND(MIN(AW12*Assumptions!$B$11,BB12),2)</f>
        <v>2.18</v>
      </c>
      <c r="BD12" s="26" t="s">
        <v>278</v>
      </c>
      <c r="BE12" s="48" t="n">
        <f aca="false">IF(AO12="Ranking — Full Push",MAX(0,MIN(IF(BD12="Yes",Assumptions!$B$12,Assumptions!$B$13),FLOOR(MAX(0,BB12/BC12-1),Assumptions!$B$14))),0)</f>
        <v>0.25</v>
      </c>
      <c r="BF12" s="49" t="str">
        <f aca="false">IF(AO12="Ranking — Full Push",IF(BE12&gt;=1,"YES — +100% Top of Search. Effective CPC $"&amp;TEXT(BG12,"0.00")&amp;" (= $"&amp;TEXT(BC12,"0.00")&amp;" × 2) stays within the $"&amp;TEXT(BB12,"0.00")&amp;" max ranking CPC"&amp;" (= $"&amp;TEXT(AY12,"0.00")&amp;" price × "&amp;TEXT(AZ12,"0.0%")&amp;" ranking ceiling × "&amp;TEXT(AD12,"0.0%")&amp;" CVR)"&amp;". Sleephoria CVR is proven on this term, so the full push is justified.",IF(AND(BD12="No",BE12&gt;=Assumptions!$B$13),"PARTIAL — +"&amp;TEXT(BE12,"0%")&amp;" Top of Search (limit for terms without proven CVR). Effective CPC $"&amp;TEXT(BG12,"0.00")&amp;" vs $"&amp;TEXT(BB12,"0.00")&amp;" max ranking CPC"&amp;" (= $"&amp;TEXT(AY12,"0.00")&amp;" price × "&amp;TEXT(AZ12,"0.0%")&amp;" ranking ceiling × "&amp;TEXT(AD12,"0.0%")&amp;" CVR)"&amp;". Raise to +100% only after CooLinens converts at ≥ "&amp;TEXT(AD12,"0.0%")&amp;" on 50+ clicks and $"&amp;TEXT(BC12*2,"0.00")&amp;" ≤ the max.",IF(BE12&gt;0,"PARTIAL — +"&amp;TEXT(BE12,"0%")&amp;" Top of Search. Effective CPC $"&amp;TEXT(BG12,"0.00")&amp;" stays within the $"&amp;TEXT(BB12,"0.00")&amp;" max ranking CPC"&amp;" (= $"&amp;TEXT(AY12,"0.00")&amp;" price × "&amp;TEXT(AZ12,"0.0%")&amp;" ranking ceiling × "&amp;TEXT(AD12,"0.0%")&amp;" CVR)"&amp;". +100% would cost $"&amp;TEXT(BC12*2,"0.00")&amp;" per click and push ACoS to "&amp;TEXT(BC12*2/(AY12*AD12),"0.0%")&amp;", above the "&amp;TEXT(AZ12,"0.0%")&amp;" ceiling.","NO — 0%. Base bid $"&amp;TEXT(BC12,"0.00")&amp;" already equals the $"&amp;TEXT(BB12,"0.00")&amp;" max ranking CPC"&amp;" (= $"&amp;TEXT(AY12,"0.00")&amp;" price × "&amp;TEXT(AZ12,"0.0%")&amp;" ranking ceiling × "&amp;TEXT(AD12,"0.0%")&amp;" CVR)"&amp;"; any modifier would push ACoS above the "&amp;TEXT(AZ12,"0.0%")&amp;" ceiling."))),IF(OR(AO12="Ranking — Head Term (Capped)",AO12="Ranking — Capped Entry",AO12="Ranking — Capped Long-Tail"),"NO — 0% (capped ranking entry). Bid $"&amp;TEXT(BC12,"0.00")&amp;" vs $"&amp;TEXT(BB12,"0.00")&amp;" max ranking CPC"&amp;" (= $"&amp;TEXT(AY12,"0.00")&amp;" price × "&amp;TEXT(AZ12,"0.0%")&amp;" ranking ceiling × "&amp;TEXT(AD12,"0.0%")&amp;" CVR)"&amp;". While spend is capped at "&amp;TEXT(AS12,"0.00")&amp;" clicks/day, a placement premium would only raise CPC without buying more rank; the modifier is set when this term moves to a full push.","NO — 0% (support / brand term). Bid $"&amp;TEXT(BC12,"0.00")&amp;" vs $"&amp;TEXT(BB12,"0.00")&amp;" max ranking CPC"&amp;" (= $"&amp;TEXT(AY12,"0.00")&amp;" price × "&amp;TEXT(AZ12,"0.0%")&amp;" ranking ceiling × "&amp;TEXT(AD12,"0.0%")&amp;" CVR)"&amp;"; expected ACoS "&amp;TEXT(BI12,"0.0%")&amp;" vs the "&amp;TEXT(AZ12,"0.0%")&amp;" ceiling."))</f>
        <v>PARTIAL — +25% Top of Search. Effective CPC $2.73 stays within the $2.86 max ranking CPC (= $79.99 price × 55.9% ranking ceiling × 6.4% CVR). +100% would cost $4.36 per click and push ACoS to 85.2%, above the 55.9% ceiling.</v>
      </c>
      <c r="BG12" s="50" t="n">
        <f aca="false">BC12*(1+BE12)</f>
        <v>2.725</v>
      </c>
      <c r="BH12" s="45" t="n">
        <f aca="false">AS12*BG12</f>
        <v>2.725</v>
      </c>
      <c r="BI12" s="33" t="n">
        <f aca="false">IFERROR(BG12/(AY12*AD12),"")</f>
        <v>0.532293099137392</v>
      </c>
      <c r="BJ12" s="27" t="str">
        <f aca="false">IF(BI12="","",IF(BI12&lt;=BA12,"Profitable (≤ break-even)",IF(BI12&lt;=AZ12,"Ranking investment (≤ ceiling)","Above ceiling — reduce bid")))</f>
        <v>Ranking investment (≤ ceiling)</v>
      </c>
      <c r="BK12" s="49" t="str">
        <f aca="false">"Base $"&amp;TEXT(BC12,"0.00")&amp;" × (1 + "&amp;TEXT(BE12,"0%")&amp;" TOS) = $"&amp;TEXT(BG12,"0.00")&amp;" effective CPC [max $"&amp;TEXT(BB12,"0.00")&amp;"]. "&amp;TEXT(AG12,"0.0")&amp;" market clicks/day × "&amp;TEXT(AH12,"0.00%")&amp;" click share × "&amp;TEXT(AI12,"0%")&amp;" paid = "&amp;TEXT(AJ12,"0.00")&amp;" clicks/day needed; "&amp;"planned "&amp;TEXT(AS12,"0.00")&amp;" clicks/day × "&amp;TEXT(AD12,"0.0%")&amp;" CVR = "&amp;TEXT(AU12,"0.00")&amp;" orders/day. "&amp;"Spend $"&amp;TEXT(BH12,"0.00")&amp;"/day, ACoS "&amp;TEXT(BI12,"0.0%")&amp;" (ceiling "&amp;TEXT(AZ12,"0.0%")&amp;", break-even "&amp;TEXT(BA12,"0.0%")&amp;"). "&amp;"Target organic rank #"&amp;S12&amp;" by week 8 ("&amp;T12&amp;")."</f>
        <v>Base $2.18 × (1 + 25% TOS) = $2.73 effective CPC [max $2.86]. 15.1 market clicks/day × 2.80% click share × 66% paid = 0.28 clicks/day needed; planned 1.00 clicks/day × 6.4% CVR = 0.06 orders/day. Spend $2.73/day, ACoS 53.2% (ceiling 55.9%, break-even 37.2%). Target organic rank #10 by week 8 (#40 → #20 → #10).</v>
      </c>
      <c r="BL12" s="27" t="s">
        <v>202</v>
      </c>
      <c r="BM12" s="27" t="s">
        <v>203</v>
      </c>
      <c r="BN12" s="27" t="s">
        <v>296</v>
      </c>
      <c r="BO12" s="27" t="s">
        <v>288</v>
      </c>
      <c r="BP12" s="27" t="s">
        <v>205</v>
      </c>
      <c r="BQ12" s="26" t="s">
        <v>206</v>
      </c>
      <c r="BR12" s="40" t="n">
        <f aca="false">IFERROR(INDEX(Campaigns!$L:$L,MATCH(BN12,Campaigns!$A:$A,0)),"")</f>
        <v>10</v>
      </c>
      <c r="BS12" s="51" t="str">
        <f aca="false">IFERROR(INDEX(Inventory!$O:$O,MATCH(BP12,Inventory!$A:$A,0)),"")</f>
        <v>OK</v>
      </c>
      <c r="BT12" s="52" t="n">
        <f aca="false">IFERROR(INDEX(Inventory!$N:$N,MATCH(BP12,Inventory!$A:$A,0)),"")</f>
        <v>91.5322601167724</v>
      </c>
      <c r="BU12" s="27" t="s">
        <v>297</v>
      </c>
      <c r="BV12" s="27" t="s">
        <v>263</v>
      </c>
      <c r="BW12" s="27" t="s">
        <v>298</v>
      </c>
      <c r="BX12" s="27" t="s">
        <v>299</v>
      </c>
      <c r="BY12" s="27" t="s">
        <v>300</v>
      </c>
      <c r="BZ12" s="27" t="s">
        <v>231</v>
      </c>
      <c r="CA12" s="27" t="s">
        <v>213</v>
      </c>
      <c r="CB12" s="27" t="s">
        <v>301</v>
      </c>
      <c r="CC12" s="27" t="s">
        <v>302</v>
      </c>
    </row>
    <row r="13" customFormat="false" ht="120" hidden="false" customHeight="true" outlineLevel="0" collapsed="false">
      <c r="A13" s="24" t="s">
        <v>303</v>
      </c>
      <c r="B13" s="25" t="n">
        <v>1</v>
      </c>
      <c r="C13" s="26" t="s">
        <v>184</v>
      </c>
      <c r="D13" s="26" t="s">
        <v>185</v>
      </c>
      <c r="E13" s="27" t="s">
        <v>186</v>
      </c>
      <c r="F13" s="28" t="n">
        <v>1</v>
      </c>
      <c r="G13" s="27" t="s">
        <v>187</v>
      </c>
      <c r="H13" s="26" t="s">
        <v>188</v>
      </c>
      <c r="I13" s="29" t="n">
        <v>9</v>
      </c>
      <c r="J13" s="27" t="s">
        <v>304</v>
      </c>
      <c r="K13" s="30" t="n">
        <v>766</v>
      </c>
      <c r="L13" s="31" t="n">
        <v>643</v>
      </c>
      <c r="M13" s="32" t="n">
        <f aca="false">L13/30</f>
        <v>21.4333333333333</v>
      </c>
      <c r="N13" s="33" t="n">
        <v>0.0459442976214677</v>
      </c>
      <c r="O13" s="27" t="s">
        <v>305</v>
      </c>
      <c r="P13" s="27" t="s">
        <v>306</v>
      </c>
      <c r="Q13" s="27" t="s">
        <v>307</v>
      </c>
      <c r="R13" s="34" t="n">
        <v>3</v>
      </c>
      <c r="S13" s="35" t="n">
        <v>10</v>
      </c>
      <c r="T13" s="36" t="s">
        <v>221</v>
      </c>
      <c r="U13" s="27" t="s">
        <v>308</v>
      </c>
      <c r="V13" s="37" t="n">
        <f aca="false">IFERROR(INDEX(Sleephoria_History!$F$454:$F$2115,MATCH($A13,Sleephoria_History!$A$454:$A$2115,0)),"")</f>
        <v>120</v>
      </c>
      <c r="W13" s="38" t="n">
        <f aca="false">IFERROR(INDEX(Sleephoria_History!$J$454:$J$2115,MATCH($A13,Sleephoria_History!$A$454:$A$2115,0)),"")</f>
        <v>0.15</v>
      </c>
      <c r="X13" s="39" t="n">
        <f aca="false">IFERROR(INDEX(Sleephoria_History!$H$454:$H$2115,MATCH($A13,Sleephoria_History!$A$454:$A$2115,0)),"")</f>
        <v>2.39</v>
      </c>
      <c r="Y13" s="38" t="n">
        <f aca="false">IFERROR(INDEX(Sleephoria_History!$M$454:$M$2115,MATCH($A13,Sleephoria_History!$A$454:$A$2115,0)),"")</f>
        <v>0.228</v>
      </c>
      <c r="Z13" s="40" t="n">
        <f aca="false">IFERROR(INDEX(Sleephoria_History!$L$454:$L$2115,MATCH($A13,Sleephoria_History!$A$454:$A$2115,0)),"")</f>
        <v>1254.81</v>
      </c>
      <c r="AA13" s="37" t="n">
        <f aca="false">IFERROR(INDEX(Decolure_History!$F$397:$F$709,MATCH($A13,Decolure_History!$A$397:$A$709,0)),"")</f>
        <v>27</v>
      </c>
      <c r="AB13" s="38" t="n">
        <f aca="false">IFERROR(INDEX(Decolure_History!$J$397:$J$709,MATCH($A13,Decolure_History!$A$397:$A$709,0)),"")</f>
        <v>0.1481</v>
      </c>
      <c r="AC13" s="38" t="n">
        <f aca="false">IFERROR(INDEX(Decolure_History!$M$397:$M$709,MATCH($A13,Decolure_History!$A$397:$A$709,0)),"")</f>
        <v>0.178</v>
      </c>
      <c r="AD13" s="41" t="n">
        <v>0.12</v>
      </c>
      <c r="AE13" s="27" t="s">
        <v>309</v>
      </c>
      <c r="AF13" s="42" t="n">
        <v>0.406</v>
      </c>
      <c r="AG13" s="32" t="n">
        <f aca="false">M13*AF13</f>
        <v>8.70193333333334</v>
      </c>
      <c r="AH13" s="43" t="n">
        <f aca="false">IF(AO13="Brand Defense",0,IFERROR(VLOOKUP(S13,Assumptions!$A$24:$B$28,2,FALSE()),0))</f>
        <v>0.028</v>
      </c>
      <c r="AI13" s="28" t="n">
        <f aca="false">Assumptions!$B$6</f>
        <v>0.66</v>
      </c>
      <c r="AJ13" s="44" t="n">
        <f aca="false">AG13*AH13*AI13</f>
        <v>0.160811728</v>
      </c>
      <c r="AK13" s="44" t="n">
        <f aca="false">AJ13*AD13</f>
        <v>0.01929740736</v>
      </c>
      <c r="AL13" s="30" t="n">
        <f aca="false">AJ13*56</f>
        <v>9.005456768</v>
      </c>
      <c r="AM13" s="32" t="n">
        <f aca="false">AK13*56</f>
        <v>1.08065481216</v>
      </c>
      <c r="AN13" s="44" t="n">
        <f aca="false">M13*Assumptions!$B$8</f>
        <v>2.14333333333333</v>
      </c>
      <c r="AO13" s="27" t="s">
        <v>196</v>
      </c>
      <c r="AP13" s="27" t="s">
        <v>241</v>
      </c>
      <c r="AQ13" s="26" t="s">
        <v>198</v>
      </c>
      <c r="AR13" s="27" t="s">
        <v>199</v>
      </c>
      <c r="AS13" s="44" t="n">
        <f aca="false">IF(AO13="Ranking — Full Push",MIN(MAX(AJ13,Assumptions!$B$9),AN13),IF(AO13="Brand Defense",MIN(Assumptions!$B$7,AN13),IF(OR(AO13="Ranking — Head Term (Capped)",AO13="Ranking — Capped Entry"),MIN(MAX(AJ13,Assumptions!$B$9),Assumptions!$B$7,AN13),IF(AO13="Ranking — Capped Long-Tail",MIN(AJ13,Assumptions!$B$10,AN13),MIN(AJ13,AN13)))))</f>
        <v>1</v>
      </c>
      <c r="AT13" s="27" t="str">
        <f aca="false">IF(AJ13&lt;=0,"",IF(AS13&gt;=AJ13,IF(AS13&gt;AJ13*1.05,"Floor of "&amp;TEXT(AS13,"0.0")&amp;" click/day to read CVR (rank needs "&amp;TEXT(AJ13,"0.00")&amp;")","Fully funded (100%)"),"Capped at "&amp;TEXT(AS13/AJ13,"0%")&amp;" of required"))</f>
        <v>Floor of 1.0 click/day to read CVR (rank needs 0.16)</v>
      </c>
      <c r="AU13" s="44" t="n">
        <f aca="false">AS13*AD13</f>
        <v>0.12</v>
      </c>
      <c r="AV13" s="45" t="n">
        <f aca="false">AU13*AY13</f>
        <v>9.5988</v>
      </c>
      <c r="AW13" s="46" t="n">
        <v>2.39</v>
      </c>
      <c r="AX13" s="27" t="s">
        <v>310</v>
      </c>
      <c r="AY13" s="47" t="n">
        <f aca="false">INDEX(Assumptions!$B$33:$B$37,MATCH(IF($D13="","Queen",$D13),Assumptions!$A$33:$A$37,0))</f>
        <v>79.99</v>
      </c>
      <c r="AZ13" s="33" t="n">
        <f aca="false">INDEX(Assumptions!$K$33:$K$37,MATCH(IF($D13="","Queen",$D13),Assumptions!$A$33:$A$37,0))</f>
        <v>0.558660457557195</v>
      </c>
      <c r="BA13" s="33" t="n">
        <f aca="false">INDEX(Assumptions!$H$33:$H$37,MATCH(IF($D13="","Queen",$D13),Assumptions!$A$33:$A$37,0))</f>
        <v>0.37244030503813</v>
      </c>
      <c r="BB13" s="47" t="n">
        <f aca="false">AY13*AZ13*AD13</f>
        <v>5.36247</v>
      </c>
      <c r="BC13" s="47" t="n">
        <f aca="false">ROUND(MIN(AW13*Assumptions!$B$11,BB13),2)</f>
        <v>2.39</v>
      </c>
      <c r="BD13" s="26" t="s">
        <v>201</v>
      </c>
      <c r="BE13" s="48" t="n">
        <f aca="false">IF(AO13="Ranking — Full Push",MAX(0,MIN(IF(BD13="Yes",Assumptions!$B$12,Assumptions!$B$13),FLOOR(MAX(0,BB13/BC13-1),Assumptions!$B$14))),0)</f>
        <v>1</v>
      </c>
      <c r="BF13" s="49" t="str">
        <f aca="false">IF(AO13="Ranking — Full Push",IF(BE13&gt;=1,"YES — +100% Top of Search. Effective CPC $"&amp;TEXT(BG13,"0.00")&amp;" (= $"&amp;TEXT(BC13,"0.00")&amp;" × 2) stays within the $"&amp;TEXT(BB13,"0.00")&amp;" max ranking CPC"&amp;" (= $"&amp;TEXT(AY13,"0.00")&amp;" price × "&amp;TEXT(AZ13,"0.0%")&amp;" ranking ceiling × "&amp;TEXT(AD13,"0.0%")&amp;" CVR)"&amp;". Sleephoria CVR is proven on this term, so the full push is justified.",IF(AND(BD13="No",BE13&gt;=Assumptions!$B$13),"PARTIAL — +"&amp;TEXT(BE13,"0%")&amp;" Top of Search (limit for terms without proven CVR). Effective CPC $"&amp;TEXT(BG13,"0.00")&amp;" vs $"&amp;TEXT(BB13,"0.00")&amp;" max ranking CPC"&amp;" (= $"&amp;TEXT(AY13,"0.00")&amp;" price × "&amp;TEXT(AZ13,"0.0%")&amp;" ranking ceiling × "&amp;TEXT(AD13,"0.0%")&amp;" CVR)"&amp;". Raise to +100% only after CooLinens converts at ≥ "&amp;TEXT(AD13,"0.0%")&amp;" on 50+ clicks and $"&amp;TEXT(BC13*2,"0.00")&amp;" ≤ the max.",IF(BE13&gt;0,"PARTIAL — +"&amp;TEXT(BE13,"0%")&amp;" Top of Search. Effective CPC $"&amp;TEXT(BG13,"0.00")&amp;" stays within the $"&amp;TEXT(BB13,"0.00")&amp;" max ranking CPC"&amp;" (= $"&amp;TEXT(AY13,"0.00")&amp;" price × "&amp;TEXT(AZ13,"0.0%")&amp;" ranking ceiling × "&amp;TEXT(AD13,"0.0%")&amp;" CVR)"&amp;". +100% would cost $"&amp;TEXT(BC13*2,"0.00")&amp;" per click and push ACoS to "&amp;TEXT(BC13*2/(AY13*AD13),"0.0%")&amp;", above the "&amp;TEXT(AZ13,"0.0%")&amp;" ceiling.","NO — 0%. Base bid $"&amp;TEXT(BC13,"0.00")&amp;" already equals the $"&amp;TEXT(BB13,"0.00")&amp;" max ranking CPC"&amp;" (= $"&amp;TEXT(AY13,"0.00")&amp;" price × "&amp;TEXT(AZ13,"0.0%")&amp;" ranking ceiling × "&amp;TEXT(AD13,"0.0%")&amp;" CVR)"&amp;"; any modifier would push ACoS above the "&amp;TEXT(AZ13,"0.0%")&amp;" ceiling."))),IF(OR(AO13="Ranking — Head Term (Capped)",AO13="Ranking — Capped Entry",AO13="Ranking — Capped Long-Tail"),"NO — 0% (capped ranking entry). Bid $"&amp;TEXT(BC13,"0.00")&amp;" vs $"&amp;TEXT(BB13,"0.00")&amp;" max ranking CPC"&amp;" (= $"&amp;TEXT(AY13,"0.00")&amp;" price × "&amp;TEXT(AZ13,"0.0%")&amp;" ranking ceiling × "&amp;TEXT(AD13,"0.0%")&amp;" CVR)"&amp;". While spend is capped at "&amp;TEXT(AS13,"0.00")&amp;" clicks/day, a placement premium would only raise CPC without buying more rank; the modifier is set when this term moves to a full push.","NO — 0% (support / brand term). Bid $"&amp;TEXT(BC13,"0.00")&amp;" vs $"&amp;TEXT(BB13,"0.00")&amp;" max ranking CPC"&amp;" (= $"&amp;TEXT(AY13,"0.00")&amp;" price × "&amp;TEXT(AZ13,"0.0%")&amp;" ranking ceiling × "&amp;TEXT(AD13,"0.0%")&amp;" CVR)"&amp;"; expected ACoS "&amp;TEXT(BI13,"0.0%")&amp;" vs the "&amp;TEXT(AZ13,"0.0%")&amp;" ceiling."))</f>
        <v>YES — +100% Top of Search. Effective CPC $4.78 (= $2.39 × 2) stays within the $5.36 max ranking CPC (= $79.99 price × 55.9% ranking ceiling × 12.0% CVR). Sleephoria CVR is proven on this term, so the full push is justified.</v>
      </c>
      <c r="BG13" s="50" t="n">
        <f aca="false">BC13*(1+BE13)</f>
        <v>4.78</v>
      </c>
      <c r="BH13" s="45" t="n">
        <f aca="false">AS13*BG13</f>
        <v>4.78</v>
      </c>
      <c r="BI13" s="33" t="n">
        <f aca="false">IFERROR(BG13/(AY13*AD13),"")</f>
        <v>0.497978914030921</v>
      </c>
      <c r="BJ13" s="27" t="str">
        <f aca="false">IF(BI13="","",IF(BI13&lt;=BA13,"Profitable (≤ break-even)",IF(BI13&lt;=AZ13,"Ranking investment (≤ ceiling)","Above ceiling — reduce bid")))</f>
        <v>Ranking investment (≤ ceiling)</v>
      </c>
      <c r="BK13" s="49" t="str">
        <f aca="false">"Base $"&amp;TEXT(BC13,"0.00")&amp;" × (1 + "&amp;TEXT(BE13,"0%")&amp;" TOS) = $"&amp;TEXT(BG13,"0.00")&amp;" effective CPC [max $"&amp;TEXT(BB13,"0.00")&amp;"]. "&amp;TEXT(AG13,"0.0")&amp;" market clicks/day × "&amp;TEXT(AH13,"0.00%")&amp;" click share × "&amp;TEXT(AI13,"0%")&amp;" paid = "&amp;TEXT(AJ13,"0.00")&amp;" clicks/day needed; "&amp;"planned "&amp;TEXT(AS13,"0.00")&amp;" clicks/day × "&amp;TEXT(AD13,"0.0%")&amp;" CVR = "&amp;TEXT(AU13,"0.00")&amp;" orders/day. "&amp;"Spend $"&amp;TEXT(BH13,"0.00")&amp;"/day, ACoS "&amp;TEXT(BI13,"0.0%")&amp;" (ceiling "&amp;TEXT(AZ13,"0.0%")&amp;", break-even "&amp;TEXT(BA13,"0.0%")&amp;"). "&amp;"Target organic rank #"&amp;S13&amp;" by week 8 ("&amp;T13&amp;")."</f>
        <v>Base $2.39 × (1 + 100% TOS) = $4.78 effective CPC [max $5.36]. 8.7 market clicks/day × 2.80% click share × 66% paid = 0.16 clicks/day needed; planned 1.00 clicks/day × 12.0% CVR = 0.12 orders/day. Spend $4.78/day, ACoS 49.8% (ceiling 55.9%, break-even 37.2%). Target organic rank #10 by week 8 (#40 → #20 → #10).</v>
      </c>
      <c r="BL13" s="27" t="s">
        <v>311</v>
      </c>
      <c r="BM13" s="27" t="s">
        <v>203</v>
      </c>
      <c r="BN13" s="27" t="s">
        <v>312</v>
      </c>
      <c r="BO13" s="27" t="s">
        <v>303</v>
      </c>
      <c r="BP13" s="27" t="s">
        <v>205</v>
      </c>
      <c r="BQ13" s="26" t="s">
        <v>206</v>
      </c>
      <c r="BR13" s="40" t="n">
        <f aca="false">IFERROR(INDEX(Campaigns!$L:$L,MATCH(BN13,Campaigns!$A:$A,0)),"")</f>
        <v>10</v>
      </c>
      <c r="BS13" s="51" t="str">
        <f aca="false">IFERROR(INDEX(Inventory!$O:$O,MATCH(BP13,Inventory!$A:$A,0)),"")</f>
        <v>OK</v>
      </c>
      <c r="BT13" s="52" t="n">
        <f aca="false">IFERROR(INDEX(Inventory!$N:$N,MATCH(BP13,Inventory!$A:$A,0)),"")</f>
        <v>91.5322601167724</v>
      </c>
      <c r="BU13" s="27" t="s">
        <v>313</v>
      </c>
      <c r="BV13" s="27" t="s">
        <v>314</v>
      </c>
      <c r="BW13" s="27" t="s">
        <v>315</v>
      </c>
      <c r="BX13" s="27" t="s">
        <v>316</v>
      </c>
      <c r="BY13" s="27" t="s">
        <v>317</v>
      </c>
      <c r="BZ13" s="27" t="s">
        <v>286</v>
      </c>
      <c r="CA13" s="27" t="s">
        <v>213</v>
      </c>
      <c r="CB13" s="27" t="s">
        <v>318</v>
      </c>
      <c r="CC13" s="27" t="s">
        <v>319</v>
      </c>
    </row>
    <row r="14" customFormat="false" ht="120" hidden="false" customHeight="true" outlineLevel="0" collapsed="false">
      <c r="A14" s="24" t="s">
        <v>320</v>
      </c>
      <c r="B14" s="25" t="n">
        <v>1</v>
      </c>
      <c r="C14" s="26" t="s">
        <v>184</v>
      </c>
      <c r="D14" s="26"/>
      <c r="E14" s="27" t="s">
        <v>321</v>
      </c>
      <c r="F14" s="28" t="n">
        <v>0.95</v>
      </c>
      <c r="G14" s="27" t="s">
        <v>187</v>
      </c>
      <c r="H14" s="26" t="s">
        <v>188</v>
      </c>
      <c r="I14" s="29" t="n">
        <v>7.5</v>
      </c>
      <c r="J14" s="27" t="s">
        <v>322</v>
      </c>
      <c r="K14" s="30" t="n">
        <v>1961</v>
      </c>
      <c r="L14" s="31" t="n">
        <v>2298</v>
      </c>
      <c r="M14" s="32" t="n">
        <f aca="false">L14/30</f>
        <v>76.6</v>
      </c>
      <c r="N14" s="33" t="n">
        <v>0.0180132913606156</v>
      </c>
      <c r="O14" s="27" t="s">
        <v>323</v>
      </c>
      <c r="P14" s="27" t="s">
        <v>324</v>
      </c>
      <c r="Q14" s="27" t="s">
        <v>325</v>
      </c>
      <c r="R14" s="34" t="n">
        <v>3</v>
      </c>
      <c r="S14" s="35" t="n">
        <v>10</v>
      </c>
      <c r="T14" s="36" t="s">
        <v>221</v>
      </c>
      <c r="U14" s="27" t="s">
        <v>326</v>
      </c>
      <c r="V14" s="37" t="n">
        <f aca="false">IFERROR(INDEX(Sleephoria_History!$F$454:$F$2115,MATCH($A14,Sleephoria_History!$A$454:$A$2115,0)),"")</f>
        <v>71</v>
      </c>
      <c r="W14" s="38" t="n">
        <f aca="false">IFERROR(INDEX(Sleephoria_History!$J$454:$J$2115,MATCH($A14,Sleephoria_History!$A$454:$A$2115,0)),"")</f>
        <v>0.0986</v>
      </c>
      <c r="X14" s="39" t="n">
        <f aca="false">IFERROR(INDEX(Sleephoria_History!$H$454:$H$2115,MATCH($A14,Sleephoria_History!$A$454:$A$2115,0)),"")</f>
        <v>2.81</v>
      </c>
      <c r="Y14" s="38" t="n">
        <f aca="false">IFERROR(INDEX(Sleephoria_History!$M$454:$M$2115,MATCH($A14,Sleephoria_History!$A$454:$A$2115,0)),"")</f>
        <v>0.353</v>
      </c>
      <c r="Z14" s="40" t="n">
        <f aca="false">IFERROR(INDEX(Sleephoria_History!$L$454:$L$2115,MATCH($A14,Sleephoria_History!$A$454:$A$2115,0)),"")</f>
        <v>564.93</v>
      </c>
      <c r="AA14" s="37" t="n">
        <f aca="false">IFERROR(INDEX(Decolure_History!$F$397:$F$709,MATCH($A14,Decolure_History!$A$397:$A$709,0)),"")</f>
        <v>13</v>
      </c>
      <c r="AB14" s="38" t="n">
        <f aca="false">IFERROR(INDEX(Decolure_History!$J$397:$J$709,MATCH($A14,Decolure_History!$A$397:$A$709,0)),"")</f>
        <v>0.1538</v>
      </c>
      <c r="AC14" s="38" t="n">
        <f aca="false">IFERROR(INDEX(Decolure_History!$M$397:$M$709,MATCH($A14,Decolure_History!$A$397:$A$709,0)),"")</f>
        <v>0.303</v>
      </c>
      <c r="AD14" s="41" t="n">
        <v>0.0789</v>
      </c>
      <c r="AE14" s="27" t="s">
        <v>327</v>
      </c>
      <c r="AF14" s="42" t="n">
        <v>0.443</v>
      </c>
      <c r="AG14" s="32" t="n">
        <f aca="false">M14*AF14</f>
        <v>33.9338</v>
      </c>
      <c r="AH14" s="43" t="n">
        <f aca="false">IF(AO14="Brand Defense",0,IFERROR(VLOOKUP(S14,Assumptions!$A$24:$B$28,2,FALSE()),0))</f>
        <v>0.028</v>
      </c>
      <c r="AI14" s="28" t="n">
        <f aca="false">Assumptions!$B$6</f>
        <v>0.66</v>
      </c>
      <c r="AJ14" s="44" t="n">
        <f aca="false">AG14*AH14*AI14</f>
        <v>0.627096624</v>
      </c>
      <c r="AK14" s="44" t="n">
        <f aca="false">AJ14*AD14</f>
        <v>0.0494779236336</v>
      </c>
      <c r="AL14" s="30" t="n">
        <f aca="false">AJ14*56</f>
        <v>35.117410944</v>
      </c>
      <c r="AM14" s="32" t="n">
        <f aca="false">AK14*56</f>
        <v>2.7707637234816</v>
      </c>
      <c r="AN14" s="44" t="n">
        <f aca="false">M14*Assumptions!$B$8</f>
        <v>7.66</v>
      </c>
      <c r="AO14" s="27" t="s">
        <v>328</v>
      </c>
      <c r="AP14" s="27" t="s">
        <v>329</v>
      </c>
      <c r="AQ14" s="26" t="s">
        <v>198</v>
      </c>
      <c r="AR14" s="27" t="s">
        <v>199</v>
      </c>
      <c r="AS14" s="44" t="n">
        <f aca="false">IF(AO14="Ranking — Full Push",MIN(MAX(AJ14,Assumptions!$B$9),AN14),IF(AO14="Brand Defense",MIN(Assumptions!$B$7,AN14),IF(OR(AO14="Ranking — Head Term (Capped)",AO14="Ranking — Capped Entry"),MIN(MAX(AJ14,Assumptions!$B$9),Assumptions!$B$7,AN14),IF(AO14="Ranking — Capped Long-Tail",MIN(AJ14,Assumptions!$B$10,AN14),MIN(AJ14,AN14)))))</f>
        <v>0.627096624</v>
      </c>
      <c r="AT14" s="27" t="str">
        <f aca="false">IF(AJ14&lt;=0,"",IF(AS14&gt;=AJ14,IF(AS14&gt;AJ14*1.05,"Floor of "&amp;TEXT(AS14,"0.0")&amp;" click/day to read CVR (rank needs "&amp;TEXT(AJ14,"0.00")&amp;")","Fully funded (100%)"),"Capped at "&amp;TEXT(AS14/AJ14,"0%")&amp;" of required"))</f>
        <v>Fully funded (100%)</v>
      </c>
      <c r="AU14" s="44" t="n">
        <f aca="false">AS14*AD14</f>
        <v>0.0494779236336</v>
      </c>
      <c r="AV14" s="45" t="n">
        <f aca="false">AU14*AY14</f>
        <v>3.95773911145166</v>
      </c>
      <c r="AW14" s="46" t="n">
        <v>2.81</v>
      </c>
      <c r="AX14" s="27" t="s">
        <v>330</v>
      </c>
      <c r="AY14" s="47" t="n">
        <f aca="false">INDEX(Assumptions!$B$33:$B$37,MATCH(IF($D14="","Queen",$D14),Assumptions!$A$33:$A$37,0))</f>
        <v>79.99</v>
      </c>
      <c r="AZ14" s="33" t="n">
        <f aca="false">INDEX(Assumptions!$K$33:$K$37,MATCH(IF($D14="","Queen",$D14),Assumptions!$A$33:$A$37,0))</f>
        <v>0.558660457557195</v>
      </c>
      <c r="BA14" s="33" t="n">
        <f aca="false">INDEX(Assumptions!$H$33:$H$37,MATCH(IF($D14="","Queen",$D14),Assumptions!$A$33:$A$37,0))</f>
        <v>0.37244030503813</v>
      </c>
      <c r="BB14" s="47" t="n">
        <f aca="false">AY14*AZ14*AD14</f>
        <v>3.525824025</v>
      </c>
      <c r="BC14" s="47" t="n">
        <f aca="false">ROUND(MIN(AW14*Assumptions!$B$11,BB14),2)</f>
        <v>2.81</v>
      </c>
      <c r="BD14" s="26" t="s">
        <v>201</v>
      </c>
      <c r="BE14" s="48" t="n">
        <f aca="false">IF(AO14="Ranking — Full Push",MAX(0,MIN(IF(BD14="Yes",Assumptions!$B$12,Assumptions!$B$13),FLOOR(MAX(0,BB14/BC14-1),Assumptions!$B$14))),0)</f>
        <v>0</v>
      </c>
      <c r="BF14" s="49" t="str">
        <f aca="false">IF(AO14="Ranking — Full Push",IF(BE14&gt;=1,"YES — +100% Top of Search. Effective CPC $"&amp;TEXT(BG14,"0.00")&amp;" (= $"&amp;TEXT(BC14,"0.00")&amp;" × 2) stays within the $"&amp;TEXT(BB14,"0.00")&amp;" max ranking CPC"&amp;" (= $"&amp;TEXT(AY14,"0.00")&amp;" price × "&amp;TEXT(AZ14,"0.0%")&amp;" ranking ceiling × "&amp;TEXT(AD14,"0.0%")&amp;" CVR)"&amp;". Sleephoria CVR is proven on this term, so the full push is justified.",IF(AND(BD14="No",BE14&gt;=Assumptions!$B$13),"PARTIAL — +"&amp;TEXT(BE14,"0%")&amp;" Top of Search (limit for terms without proven CVR). Effective CPC $"&amp;TEXT(BG14,"0.00")&amp;" vs $"&amp;TEXT(BB14,"0.00")&amp;" max ranking CPC"&amp;" (= $"&amp;TEXT(AY14,"0.00")&amp;" price × "&amp;TEXT(AZ14,"0.0%")&amp;" ranking ceiling × "&amp;TEXT(AD14,"0.0%")&amp;" CVR)"&amp;". Raise to +100% only after CooLinens converts at ≥ "&amp;TEXT(AD14,"0.0%")&amp;" on 50+ clicks and $"&amp;TEXT(BC14*2,"0.00")&amp;" ≤ the max.",IF(BE14&gt;0,"PARTIAL — +"&amp;TEXT(BE14,"0%")&amp;" Top of Search. Effective CPC $"&amp;TEXT(BG14,"0.00")&amp;" stays within the $"&amp;TEXT(BB14,"0.00")&amp;" max ranking CPC"&amp;" (= $"&amp;TEXT(AY14,"0.00")&amp;" price × "&amp;TEXT(AZ14,"0.0%")&amp;" ranking ceiling × "&amp;TEXT(AD14,"0.0%")&amp;" CVR)"&amp;". +100% would cost $"&amp;TEXT(BC14*2,"0.00")&amp;" per click and push ACoS to "&amp;TEXT(BC14*2/(AY14*AD14),"0.0%")&amp;", above the "&amp;TEXT(AZ14,"0.0%")&amp;" ceiling.","NO — 0%. Base bid $"&amp;TEXT(BC14,"0.00")&amp;" already equals the $"&amp;TEXT(BB14,"0.00")&amp;" max ranking CPC"&amp;" (= $"&amp;TEXT(AY14,"0.00")&amp;" price × "&amp;TEXT(AZ14,"0.0%")&amp;" ranking ceiling × "&amp;TEXT(AD14,"0.0%")&amp;" CVR)"&amp;"; any modifier would push ACoS above the "&amp;TEXT(AZ14,"0.0%")&amp;" ceiling."))),IF(OR(AO14="Ranking — Head Term (Capped)",AO14="Ranking — Capped Entry",AO14="Ranking — Capped Long-Tail"),"NO — 0% (capped ranking entry). Bid $"&amp;TEXT(BC14,"0.00")&amp;" vs $"&amp;TEXT(BB14,"0.00")&amp;" max ranking CPC"&amp;" (= $"&amp;TEXT(AY14,"0.00")&amp;" price × "&amp;TEXT(AZ14,"0.0%")&amp;" ranking ceiling × "&amp;TEXT(AD14,"0.0%")&amp;" CVR)"&amp;". While spend is capped at "&amp;TEXT(AS14,"0.00")&amp;" clicks/day, a placement premium would only raise CPC without buying more rank; the modifier is set when this term moves to a full push.","NO — 0% (support / brand term). Bid $"&amp;TEXT(BC14,"0.00")&amp;" vs $"&amp;TEXT(BB14,"0.00")&amp;" max ranking CPC"&amp;" (= $"&amp;TEXT(AY14,"0.00")&amp;" price × "&amp;TEXT(AZ14,"0.0%")&amp;" ranking ceiling × "&amp;TEXT(AD14,"0.0%")&amp;" CVR)"&amp;"; expected ACoS "&amp;TEXT(BI14,"0.0%")&amp;" vs the "&amp;TEXT(AZ14,"0.0%")&amp;" ceiling."))</f>
        <v>NO — 0% (support / brand term). Bid $2.81 vs $3.53 max ranking CPC (= $79.99 price × 55.9% ranking ceiling × 7.9% CVR); expected ACoS 44.5% vs the 55.9% ceiling.</v>
      </c>
      <c r="BG14" s="50" t="n">
        <f aca="false">BC14*(1+BE14)</f>
        <v>2.81</v>
      </c>
      <c r="BH14" s="45" t="n">
        <f aca="false">AS14*BG14</f>
        <v>1.76214151344</v>
      </c>
      <c r="BI14" s="33" t="n">
        <f aca="false">IFERROR(BG14/(AY14*AD14),"")</f>
        <v>0.445239431861809</v>
      </c>
      <c r="BJ14" s="27" t="str">
        <f aca="false">IF(BI14="","",IF(BI14&lt;=BA14,"Profitable (≤ break-even)",IF(BI14&lt;=AZ14,"Ranking investment (≤ ceiling)","Above ceiling — reduce bid")))</f>
        <v>Ranking investment (≤ ceiling)</v>
      </c>
      <c r="BK14" s="49" t="str">
        <f aca="false">"Base $"&amp;TEXT(BC14,"0.00")&amp;" × (1 + "&amp;TEXT(BE14,"0%")&amp;" TOS) = $"&amp;TEXT(BG14,"0.00")&amp;" effective CPC [max $"&amp;TEXT(BB14,"0.00")&amp;"]. "&amp;TEXT(AG14,"0.0")&amp;" market clicks/day × "&amp;TEXT(AH14,"0.00%")&amp;" click share × "&amp;TEXT(AI14,"0%")&amp;" paid = "&amp;TEXT(AJ14,"0.00")&amp;" clicks/day needed; "&amp;"planned "&amp;TEXT(AS14,"0.00")&amp;" clicks/day × "&amp;TEXT(AD14,"0.0%")&amp;" CVR = "&amp;TEXT(AU14,"0.00")&amp;" orders/day. "&amp;"Spend $"&amp;TEXT(BH14,"0.00")&amp;"/day, ACoS "&amp;TEXT(BI14,"0.0%")&amp;" (ceiling "&amp;TEXT(AZ14,"0.0%")&amp;", break-even "&amp;TEXT(BA14,"0.0%")&amp;"). "&amp;"Target organic rank #"&amp;S14&amp;" by week 8 ("&amp;T14&amp;")."</f>
        <v>Base $2.81 × (1 + 0% TOS) = $2.81 effective CPC [max $3.53]. 33.9 market clicks/day × 2.80% click share × 66% paid = 0.63 clicks/day needed; planned 0.63 clicks/day × 7.9% CVR = 0.05 orders/day. Spend $1.76/day, ACoS 44.5% (ceiling 55.9%, break-even 37.2%). Target organic rank #10 by week 8 (#40 → #20 → #10).</v>
      </c>
      <c r="BL14" s="27" t="s">
        <v>331</v>
      </c>
      <c r="BM14" s="27" t="s">
        <v>203</v>
      </c>
      <c r="BN14" s="27" t="s">
        <v>332</v>
      </c>
      <c r="BO14" s="27" t="s">
        <v>320</v>
      </c>
      <c r="BP14" s="27" t="s">
        <v>205</v>
      </c>
      <c r="BQ14" s="26" t="s">
        <v>206</v>
      </c>
      <c r="BR14" s="40" t="n">
        <f aca="false">IFERROR(INDEX(Campaigns!$L:$L,MATCH(BN14,Campaigns!$A:$A,0)),"")</f>
        <v>10</v>
      </c>
      <c r="BS14" s="51" t="str">
        <f aca="false">IFERROR(INDEX(Inventory!$O:$O,MATCH(BP14,Inventory!$A:$A,0)),"")</f>
        <v>OK</v>
      </c>
      <c r="BT14" s="52" t="n">
        <f aca="false">IFERROR(INDEX(Inventory!$N:$N,MATCH(BP14,Inventory!$A:$A,0)),"")</f>
        <v>91.5322601167724</v>
      </c>
      <c r="BU14" s="27" t="s">
        <v>333</v>
      </c>
      <c r="BV14" s="27" t="s">
        <v>334</v>
      </c>
      <c r="BW14" s="27" t="s">
        <v>335</v>
      </c>
      <c r="BX14" s="27" t="s">
        <v>336</v>
      </c>
      <c r="BY14" s="27" t="s">
        <v>337</v>
      </c>
      <c r="BZ14" s="27" t="s">
        <v>338</v>
      </c>
      <c r="CA14" s="27" t="s">
        <v>339</v>
      </c>
      <c r="CB14" s="27" t="s">
        <v>340</v>
      </c>
      <c r="CC14" s="27" t="s">
        <v>319</v>
      </c>
    </row>
    <row r="15" customFormat="false" ht="120" hidden="false" customHeight="true" outlineLevel="0" collapsed="false">
      <c r="A15" s="24" t="s">
        <v>341</v>
      </c>
      <c r="B15" s="25" t="n">
        <v>1</v>
      </c>
      <c r="C15" s="26" t="s">
        <v>184</v>
      </c>
      <c r="D15" s="26" t="s">
        <v>185</v>
      </c>
      <c r="E15" s="27" t="s">
        <v>321</v>
      </c>
      <c r="F15" s="28" t="n">
        <v>1</v>
      </c>
      <c r="G15" s="27" t="s">
        <v>187</v>
      </c>
      <c r="H15" s="26" t="s">
        <v>342</v>
      </c>
      <c r="I15" s="29" t="n">
        <v>6</v>
      </c>
      <c r="J15" s="27" t="s">
        <v>343</v>
      </c>
      <c r="K15" s="30" t="n">
        <v>924</v>
      </c>
      <c r="L15" s="31" t="n">
        <v>1012</v>
      </c>
      <c r="M15" s="32" t="n">
        <f aca="false">L15/30</f>
        <v>33.7333333333333</v>
      </c>
      <c r="N15" s="33" t="n">
        <v>0.0392000908987615</v>
      </c>
      <c r="O15" s="27" t="s">
        <v>344</v>
      </c>
      <c r="P15" s="27" t="s">
        <v>345</v>
      </c>
      <c r="Q15" s="27" t="s">
        <v>256</v>
      </c>
      <c r="R15" s="34" t="n">
        <v>3</v>
      </c>
      <c r="S15" s="35" t="n">
        <v>20</v>
      </c>
      <c r="T15" s="36" t="s">
        <v>346</v>
      </c>
      <c r="U15" s="27" t="s">
        <v>347</v>
      </c>
      <c r="V15" s="37" t="n">
        <f aca="false">IFERROR(INDEX(Sleephoria_History!$F$454:$F$2115,MATCH($A15,Sleephoria_History!$A$454:$A$2115,0)),"")</f>
        <v>504</v>
      </c>
      <c r="W15" s="38" t="n">
        <f aca="false">IFERROR(INDEX(Sleephoria_History!$J$454:$J$2115,MATCH($A15,Sleephoria_History!$A$454:$A$2115,0)),"")</f>
        <v>0.0575</v>
      </c>
      <c r="X15" s="39" t="n">
        <f aca="false">IFERROR(INDEX(Sleephoria_History!$H$454:$H$2115,MATCH($A15,Sleephoria_History!$A$454:$A$2115,0)),"")</f>
        <v>1.4</v>
      </c>
      <c r="Y15" s="38" t="n">
        <f aca="false">IFERROR(INDEX(Sleephoria_History!$M$454:$M$2115,MATCH($A15,Sleephoria_History!$A$454:$A$2115,0)),"")</f>
        <v>0.386</v>
      </c>
      <c r="Z15" s="40" t="n">
        <f aca="false">IFERROR(INDEX(Sleephoria_History!$L$454:$L$2115,MATCH($A15,Sleephoria_History!$A$454:$A$2115,0)),"")</f>
        <v>1828.63</v>
      </c>
      <c r="AA15" s="37" t="n">
        <f aca="false">IFERROR(INDEX(Decolure_History!$F$397:$F$709,MATCH($A15,Decolure_History!$A$397:$A$709,0)),"")</f>
        <v>65</v>
      </c>
      <c r="AB15" s="38" t="n">
        <f aca="false">IFERROR(INDEX(Decolure_History!$J$397:$J$709,MATCH($A15,Decolure_History!$A$397:$A$709,0)),"")</f>
        <v>0.0308</v>
      </c>
      <c r="AC15" s="38" t="n">
        <f aca="false">IFERROR(INDEX(Decolure_History!$M$397:$M$709,MATCH($A15,Decolure_History!$A$397:$A$709,0)),"")</f>
        <v>0.88</v>
      </c>
      <c r="AD15" s="41" t="n">
        <v>0.046</v>
      </c>
      <c r="AE15" s="27" t="s">
        <v>348</v>
      </c>
      <c r="AF15" s="42" t="n">
        <v>0.448</v>
      </c>
      <c r="AG15" s="32" t="n">
        <f aca="false">M15*AF15</f>
        <v>15.1125333333333</v>
      </c>
      <c r="AH15" s="43" t="n">
        <f aca="false">IF(AO15="Brand Defense",0,IFERROR(VLOOKUP(S15,Assumptions!$A$24:$B$28,2,FALSE()),0))</f>
        <v>0.0124</v>
      </c>
      <c r="AI15" s="28" t="n">
        <f aca="false">Assumptions!$B$6</f>
        <v>0.66</v>
      </c>
      <c r="AJ15" s="44" t="n">
        <f aca="false">AG15*AH15*AI15</f>
        <v>0.1236809728</v>
      </c>
      <c r="AK15" s="44" t="n">
        <f aca="false">AJ15*AD15</f>
        <v>0.0056893247488</v>
      </c>
      <c r="AL15" s="30" t="n">
        <f aca="false">AJ15*56</f>
        <v>6.9261344768</v>
      </c>
      <c r="AM15" s="32" t="n">
        <f aca="false">AK15*56</f>
        <v>0.3186021859328</v>
      </c>
      <c r="AN15" s="44" t="n">
        <f aca="false">M15*Assumptions!$B$8</f>
        <v>3.37333333333333</v>
      </c>
      <c r="AO15" s="27" t="s">
        <v>328</v>
      </c>
      <c r="AP15" s="27" t="s">
        <v>349</v>
      </c>
      <c r="AQ15" s="26" t="s">
        <v>198</v>
      </c>
      <c r="AR15" s="27" t="s">
        <v>199</v>
      </c>
      <c r="AS15" s="44" t="n">
        <f aca="false">IF(AO15="Ranking — Full Push",MIN(MAX(AJ15,Assumptions!$B$9),AN15),IF(AO15="Brand Defense",MIN(Assumptions!$B$7,AN15),IF(OR(AO15="Ranking — Head Term (Capped)",AO15="Ranking — Capped Entry"),MIN(MAX(AJ15,Assumptions!$B$9),Assumptions!$B$7,AN15),IF(AO15="Ranking — Capped Long-Tail",MIN(AJ15,Assumptions!$B$10,AN15),MIN(AJ15,AN15)))))</f>
        <v>0.1236809728</v>
      </c>
      <c r="AT15" s="27" t="str">
        <f aca="false">IF(AJ15&lt;=0,"",IF(AS15&gt;=AJ15,IF(AS15&gt;AJ15*1.05,"Floor of "&amp;TEXT(AS15,"0.0")&amp;" click/day to read CVR (rank needs "&amp;TEXT(AJ15,"0.00")&amp;")","Fully funded (100%)"),"Capped at "&amp;TEXT(AS15/AJ15,"0%")&amp;" of required"))</f>
        <v>Fully funded (100%)</v>
      </c>
      <c r="AU15" s="44" t="n">
        <f aca="false">AS15*AD15</f>
        <v>0.0056893247488</v>
      </c>
      <c r="AV15" s="45" t="n">
        <f aca="false">AU15*AY15</f>
        <v>0.455089086656512</v>
      </c>
      <c r="AW15" s="46" t="n">
        <v>1.4</v>
      </c>
      <c r="AX15" s="27" t="s">
        <v>350</v>
      </c>
      <c r="AY15" s="47" t="n">
        <f aca="false">INDEX(Assumptions!$B$33:$B$37,MATCH(IF($D15="","Queen",$D15),Assumptions!$A$33:$A$37,0))</f>
        <v>79.99</v>
      </c>
      <c r="AZ15" s="33" t="n">
        <f aca="false">INDEX(Assumptions!$K$33:$K$37,MATCH(IF($D15="","Queen",$D15),Assumptions!$A$33:$A$37,0))</f>
        <v>0.558660457557195</v>
      </c>
      <c r="BA15" s="33" t="n">
        <f aca="false">INDEX(Assumptions!$H$33:$H$37,MATCH(IF($D15="","Queen",$D15),Assumptions!$A$33:$A$37,0))</f>
        <v>0.37244030503813</v>
      </c>
      <c r="BB15" s="47" t="n">
        <f aca="false">AY15*AZ15*AD15</f>
        <v>2.0556135</v>
      </c>
      <c r="BC15" s="47" t="n">
        <f aca="false">ROUND(MIN(AW15*Assumptions!$B$11,BB15),2)</f>
        <v>1.4</v>
      </c>
      <c r="BD15" s="26" t="s">
        <v>278</v>
      </c>
      <c r="BE15" s="48" t="n">
        <f aca="false">IF(AO15="Ranking — Full Push",MAX(0,MIN(IF(BD15="Yes",Assumptions!$B$12,Assumptions!$B$13),FLOOR(MAX(0,BB15/BC15-1),Assumptions!$B$14))),0)</f>
        <v>0</v>
      </c>
      <c r="BF15" s="49" t="str">
        <f aca="false">IF(AO15="Ranking — Full Push",IF(BE15&gt;=1,"YES — +100% Top of Search. Effective CPC $"&amp;TEXT(BG15,"0.00")&amp;" (= $"&amp;TEXT(BC15,"0.00")&amp;" × 2) stays within the $"&amp;TEXT(BB15,"0.00")&amp;" max ranking CPC"&amp;" (= $"&amp;TEXT(AY15,"0.00")&amp;" price × "&amp;TEXT(AZ15,"0.0%")&amp;" ranking ceiling × "&amp;TEXT(AD15,"0.0%")&amp;" CVR)"&amp;". Sleephoria CVR is proven on this term, so the full push is justified.",IF(AND(BD15="No",BE15&gt;=Assumptions!$B$13),"PARTIAL — +"&amp;TEXT(BE15,"0%")&amp;" Top of Search (limit for terms without proven CVR). Effective CPC $"&amp;TEXT(BG15,"0.00")&amp;" vs $"&amp;TEXT(BB15,"0.00")&amp;" max ranking CPC"&amp;" (= $"&amp;TEXT(AY15,"0.00")&amp;" price × "&amp;TEXT(AZ15,"0.0%")&amp;" ranking ceiling × "&amp;TEXT(AD15,"0.0%")&amp;" CVR)"&amp;". Raise to +100% only after CooLinens converts at ≥ "&amp;TEXT(AD15,"0.0%")&amp;" on 50+ clicks and $"&amp;TEXT(BC15*2,"0.00")&amp;" ≤ the max.",IF(BE15&gt;0,"PARTIAL — +"&amp;TEXT(BE15,"0%")&amp;" Top of Search. Effective CPC $"&amp;TEXT(BG15,"0.00")&amp;" stays within the $"&amp;TEXT(BB15,"0.00")&amp;" max ranking CPC"&amp;" (= $"&amp;TEXT(AY15,"0.00")&amp;" price × "&amp;TEXT(AZ15,"0.0%")&amp;" ranking ceiling × "&amp;TEXT(AD15,"0.0%")&amp;" CVR)"&amp;". +100% would cost $"&amp;TEXT(BC15*2,"0.00")&amp;" per click and push ACoS to "&amp;TEXT(BC15*2/(AY15*AD15),"0.0%")&amp;", above the "&amp;TEXT(AZ15,"0.0%")&amp;" ceiling.","NO — 0%. Base bid $"&amp;TEXT(BC15,"0.00")&amp;" already equals the $"&amp;TEXT(BB15,"0.00")&amp;" max ranking CPC"&amp;" (= $"&amp;TEXT(AY15,"0.00")&amp;" price × "&amp;TEXT(AZ15,"0.0%")&amp;" ranking ceiling × "&amp;TEXT(AD15,"0.0%")&amp;" CVR)"&amp;"; any modifier would push ACoS above the "&amp;TEXT(AZ15,"0.0%")&amp;" ceiling."))),IF(OR(AO15="Ranking — Head Term (Capped)",AO15="Ranking — Capped Entry",AO15="Ranking — Capped Long-Tail"),"NO — 0% (capped ranking entry). Bid $"&amp;TEXT(BC15,"0.00")&amp;" vs $"&amp;TEXT(BB15,"0.00")&amp;" max ranking CPC"&amp;" (= $"&amp;TEXT(AY15,"0.00")&amp;" price × "&amp;TEXT(AZ15,"0.0%")&amp;" ranking ceiling × "&amp;TEXT(AD15,"0.0%")&amp;" CVR)"&amp;". While spend is capped at "&amp;TEXT(AS15,"0.00")&amp;" clicks/day, a placement premium would only raise CPC without buying more rank; the modifier is set when this term moves to a full push.","NO — 0% (support / brand term). Bid $"&amp;TEXT(BC15,"0.00")&amp;" vs $"&amp;TEXT(BB15,"0.00")&amp;" max ranking CPC"&amp;" (= $"&amp;TEXT(AY15,"0.00")&amp;" price × "&amp;TEXT(AZ15,"0.0%")&amp;" ranking ceiling × "&amp;TEXT(AD15,"0.0%")&amp;" CVR)"&amp;"; expected ACoS "&amp;TEXT(BI15,"0.0%")&amp;" vs the "&amp;TEXT(AZ15,"0.0%")&amp;" ceiling."))</f>
        <v>NO — 0% (support / brand term). Bid $1.40 vs $2.06 max ranking CPC (= $79.99 price × 55.9% ranking ceiling × 4.6% CVR); expected ACoS 38.0% vs the 55.9% ceiling.</v>
      </c>
      <c r="BG15" s="50" t="n">
        <f aca="false">BC15*(1+BE15)</f>
        <v>1.4</v>
      </c>
      <c r="BH15" s="45" t="n">
        <f aca="false">AS15*BG15</f>
        <v>0.17315336192</v>
      </c>
      <c r="BI15" s="33" t="n">
        <f aca="false">IFERROR(BG15/(AY15*AD15),"")</f>
        <v>0.380482342901558</v>
      </c>
      <c r="BJ15" s="27" t="str">
        <f aca="false">IF(BI15="","",IF(BI15&lt;=BA15,"Profitable (≤ break-even)",IF(BI15&lt;=AZ15,"Ranking investment (≤ ceiling)","Above ceiling — reduce bid")))</f>
        <v>Ranking investment (≤ ceiling)</v>
      </c>
      <c r="BK15" s="49" t="str">
        <f aca="false">"Base $"&amp;TEXT(BC15,"0.00")&amp;" × (1 + "&amp;TEXT(BE15,"0%")&amp;" TOS) = $"&amp;TEXT(BG15,"0.00")&amp;" effective CPC [max $"&amp;TEXT(BB15,"0.00")&amp;"]. "&amp;TEXT(AG15,"0.0")&amp;" market clicks/day × "&amp;TEXT(AH15,"0.00%")&amp;" click share × "&amp;TEXT(AI15,"0%")&amp;" paid = "&amp;TEXT(AJ15,"0.00")&amp;" clicks/day needed; "&amp;"planned "&amp;TEXT(AS15,"0.00")&amp;" clicks/day × "&amp;TEXT(AD15,"0.0%")&amp;" CVR = "&amp;TEXT(AU15,"0.00")&amp;" orders/day. "&amp;"Spend $"&amp;TEXT(BH15,"0.00")&amp;"/day, ACoS "&amp;TEXT(BI15,"0.0%")&amp;" (ceiling "&amp;TEXT(AZ15,"0.0%")&amp;", break-even "&amp;TEXT(BA15,"0.0%")&amp;"). "&amp;"Target organic rank #"&amp;S15&amp;" by week 8 ("&amp;T15&amp;")."</f>
        <v>Base $1.40 × (1 + 0% TOS) = $1.40 effective CPC [max $2.06]. 15.1 market clicks/day × 1.24% click share × 66% paid = 0.12 clicks/day needed; planned 0.12 clicks/day × 4.6% CVR = 0.01 orders/day. Spend $0.17/day, ACoS 38.0% (ceiling 55.9%, break-even 37.2%). Target organic rank #20 by week 8 (#60 → #35 → #20).</v>
      </c>
      <c r="BL15" s="27" t="s">
        <v>202</v>
      </c>
      <c r="BM15" s="27" t="s">
        <v>203</v>
      </c>
      <c r="BN15" s="27" t="s">
        <v>351</v>
      </c>
      <c r="BO15" s="27" t="s">
        <v>341</v>
      </c>
      <c r="BP15" s="27" t="s">
        <v>205</v>
      </c>
      <c r="BQ15" s="26" t="s">
        <v>206</v>
      </c>
      <c r="BR15" s="40" t="n">
        <f aca="false">IFERROR(INDEX(Campaigns!$L:$L,MATCH(BN15,Campaigns!$A:$A,0)),"")</f>
        <v>10</v>
      </c>
      <c r="BS15" s="51" t="str">
        <f aca="false">IFERROR(INDEX(Inventory!$O:$O,MATCH(BP15,Inventory!$A:$A,0)),"")</f>
        <v>OK</v>
      </c>
      <c r="BT15" s="52" t="n">
        <f aca="false">IFERROR(INDEX(Inventory!$N:$N,MATCH(BP15,Inventory!$A:$A,0)),"")</f>
        <v>91.5322601167724</v>
      </c>
      <c r="BU15" s="27" t="s">
        <v>352</v>
      </c>
      <c r="BV15" s="27" t="s">
        <v>353</v>
      </c>
      <c r="BW15" s="27" t="s">
        <v>354</v>
      </c>
      <c r="BX15" s="27" t="s">
        <v>355</v>
      </c>
      <c r="BY15" s="27" t="s">
        <v>356</v>
      </c>
      <c r="BZ15" s="27" t="s">
        <v>231</v>
      </c>
      <c r="CA15" s="27" t="s">
        <v>213</v>
      </c>
      <c r="CB15" s="27" t="s">
        <v>357</v>
      </c>
      <c r="CC15" s="27" t="s">
        <v>358</v>
      </c>
    </row>
    <row r="16" customFormat="false" ht="120" hidden="false" customHeight="true" outlineLevel="0" collapsed="false">
      <c r="A16" s="24" t="s">
        <v>359</v>
      </c>
      <c r="B16" s="25" t="n">
        <v>1</v>
      </c>
      <c r="C16" s="26" t="s">
        <v>184</v>
      </c>
      <c r="D16" s="26" t="s">
        <v>185</v>
      </c>
      <c r="E16" s="27" t="s">
        <v>321</v>
      </c>
      <c r="F16" s="28" t="n">
        <v>1</v>
      </c>
      <c r="G16" s="27" t="s">
        <v>187</v>
      </c>
      <c r="H16" s="26" t="s">
        <v>342</v>
      </c>
      <c r="I16" s="29" t="n">
        <v>6</v>
      </c>
      <c r="J16" s="27" t="s">
        <v>360</v>
      </c>
      <c r="K16" s="30" t="n">
        <v>924</v>
      </c>
      <c r="L16" s="31" t="n">
        <v>752</v>
      </c>
      <c r="M16" s="32" t="n">
        <f aca="false">L16/30</f>
        <v>25.0666666666667</v>
      </c>
      <c r="N16" s="33" t="n">
        <v>0.0452661778769525</v>
      </c>
      <c r="O16" s="27" t="s">
        <v>361</v>
      </c>
      <c r="P16" s="27" t="s">
        <v>362</v>
      </c>
      <c r="Q16" s="27" t="s">
        <v>238</v>
      </c>
      <c r="R16" s="34" t="n">
        <v>2</v>
      </c>
      <c r="S16" s="35" t="n">
        <v>20</v>
      </c>
      <c r="T16" s="36" t="s">
        <v>346</v>
      </c>
      <c r="U16" s="27" t="s">
        <v>363</v>
      </c>
      <c r="V16" s="37" t="n">
        <f aca="false">IFERROR(INDEX(Sleephoria_History!$F$454:$F$2115,MATCH($A16,Sleephoria_History!$A$454:$A$2115,0)),"")</f>
        <v>1</v>
      </c>
      <c r="W16" s="38" t="n">
        <f aca="false">IFERROR(INDEX(Sleephoria_History!$J$454:$J$2115,MATCH($A16,Sleephoria_History!$A$454:$A$2115,0)),"")</f>
        <v>1</v>
      </c>
      <c r="X16" s="39" t="n">
        <f aca="false">IFERROR(INDEX(Sleephoria_History!$H$454:$H$2115,MATCH($A16,Sleephoria_History!$A$454:$A$2115,0)),"")</f>
        <v>2.84</v>
      </c>
      <c r="Y16" s="38" t="n">
        <f aca="false">IFERROR(INDEX(Sleephoria_History!$M$454:$M$2115,MATCH($A16,Sleephoria_History!$A$454:$A$2115,0)),"")</f>
        <v>0.038</v>
      </c>
      <c r="Z16" s="40" t="n">
        <f aca="false">IFERROR(INDEX(Sleephoria_History!$L$454:$L$2115,MATCH($A16,Sleephoria_History!$A$454:$A$2115,0)),"")</f>
        <v>74.99</v>
      </c>
      <c r="AA16" s="37" t="str">
        <f aca="false">IFERROR(INDEX(Decolure_History!$F$397:$F$709,MATCH($A16,Decolure_History!$A$397:$A$709,0)),"")</f>
        <v/>
      </c>
      <c r="AB16" s="38" t="str">
        <f aca="false">IFERROR(INDEX(Decolure_History!$J$397:$J$709,MATCH($A16,Decolure_History!$A$397:$A$709,0)),"")</f>
        <v/>
      </c>
      <c r="AC16" s="38" t="str">
        <f aca="false">IFERROR(INDEX(Decolure_History!$M$397:$M$709,MATCH($A16,Decolure_History!$A$397:$A$709,0)),"")</f>
        <v/>
      </c>
      <c r="AD16" s="41" t="n">
        <v>0.064</v>
      </c>
      <c r="AE16" s="27" t="s">
        <v>275</v>
      </c>
      <c r="AF16" s="42" t="n">
        <v>0.618</v>
      </c>
      <c r="AG16" s="32" t="n">
        <f aca="false">M16*AF16</f>
        <v>15.4912</v>
      </c>
      <c r="AH16" s="43" t="n">
        <f aca="false">IF(AO16="Brand Defense",0,IFERROR(VLOOKUP(S16,Assumptions!$A$24:$B$28,2,FALSE()),0))</f>
        <v>0.0124</v>
      </c>
      <c r="AI16" s="28" t="n">
        <f aca="false">Assumptions!$B$6</f>
        <v>0.66</v>
      </c>
      <c r="AJ16" s="44" t="n">
        <f aca="false">AG16*AH16*AI16</f>
        <v>0.1267799808</v>
      </c>
      <c r="AK16" s="44" t="n">
        <f aca="false">AJ16*AD16</f>
        <v>0.0081139187712</v>
      </c>
      <c r="AL16" s="30" t="n">
        <f aca="false">AJ16*56</f>
        <v>7.0996789248</v>
      </c>
      <c r="AM16" s="32" t="n">
        <f aca="false">AK16*56</f>
        <v>0.4543794511872</v>
      </c>
      <c r="AN16" s="44" t="n">
        <f aca="false">M16*Assumptions!$B$8</f>
        <v>2.50666666666667</v>
      </c>
      <c r="AO16" s="27" t="s">
        <v>328</v>
      </c>
      <c r="AP16" s="27" t="s">
        <v>349</v>
      </c>
      <c r="AQ16" s="26" t="s">
        <v>198</v>
      </c>
      <c r="AR16" s="27" t="s">
        <v>199</v>
      </c>
      <c r="AS16" s="44" t="n">
        <f aca="false">IF(AO16="Ranking — Full Push",MIN(MAX(AJ16,Assumptions!$B$9),AN16),IF(AO16="Brand Defense",MIN(Assumptions!$B$7,AN16),IF(OR(AO16="Ranking — Head Term (Capped)",AO16="Ranking — Capped Entry"),MIN(MAX(AJ16,Assumptions!$B$9),Assumptions!$B$7,AN16),IF(AO16="Ranking — Capped Long-Tail",MIN(AJ16,Assumptions!$B$10,AN16),MIN(AJ16,AN16)))))</f>
        <v>0.1267799808</v>
      </c>
      <c r="AT16" s="27" t="str">
        <f aca="false">IF(AJ16&lt;=0,"",IF(AS16&gt;=AJ16,IF(AS16&gt;AJ16*1.05,"Floor of "&amp;TEXT(AS16,"0.0")&amp;" click/day to read CVR (rank needs "&amp;TEXT(AJ16,"0.00")&amp;")","Fully funded (100%)"),"Capped at "&amp;TEXT(AS16/AJ16,"0%")&amp;" of required"))</f>
        <v>Fully funded (100%)</v>
      </c>
      <c r="AU16" s="44" t="n">
        <f aca="false">AS16*AD16</f>
        <v>0.0081139187712</v>
      </c>
      <c r="AV16" s="45" t="n">
        <f aca="false">AU16*AY16</f>
        <v>0.649032362508288</v>
      </c>
      <c r="AW16" s="46" t="n">
        <v>2.18</v>
      </c>
      <c r="AX16" s="27" t="s">
        <v>295</v>
      </c>
      <c r="AY16" s="47" t="n">
        <f aca="false">INDEX(Assumptions!$B$33:$B$37,MATCH(IF($D16="","Queen",$D16),Assumptions!$A$33:$A$37,0))</f>
        <v>79.99</v>
      </c>
      <c r="AZ16" s="33" t="n">
        <f aca="false">INDEX(Assumptions!$K$33:$K$37,MATCH(IF($D16="","Queen",$D16),Assumptions!$A$33:$A$37,0))</f>
        <v>0.558660457557195</v>
      </c>
      <c r="BA16" s="33" t="n">
        <f aca="false">INDEX(Assumptions!$H$33:$H$37,MATCH(IF($D16="","Queen",$D16),Assumptions!$A$33:$A$37,0))</f>
        <v>0.37244030503813</v>
      </c>
      <c r="BB16" s="47" t="n">
        <f aca="false">AY16*AZ16*AD16</f>
        <v>2.859984</v>
      </c>
      <c r="BC16" s="47" t="n">
        <f aca="false">ROUND(MIN(AW16*Assumptions!$B$11,BB16),2)</f>
        <v>2.18</v>
      </c>
      <c r="BD16" s="26" t="s">
        <v>278</v>
      </c>
      <c r="BE16" s="48" t="n">
        <f aca="false">IF(AO16="Ranking — Full Push",MAX(0,MIN(IF(BD16="Yes",Assumptions!$B$12,Assumptions!$B$13),FLOOR(MAX(0,BB16/BC16-1),Assumptions!$B$14))),0)</f>
        <v>0</v>
      </c>
      <c r="BF16" s="49" t="str">
        <f aca="false">IF(AO16="Ranking — Full Push",IF(BE16&gt;=1,"YES — +100% Top of Search. Effective CPC $"&amp;TEXT(BG16,"0.00")&amp;" (= $"&amp;TEXT(BC16,"0.00")&amp;" × 2) stays within the $"&amp;TEXT(BB16,"0.00")&amp;" max ranking CPC"&amp;" (= $"&amp;TEXT(AY16,"0.00")&amp;" price × "&amp;TEXT(AZ16,"0.0%")&amp;" ranking ceiling × "&amp;TEXT(AD16,"0.0%")&amp;" CVR)"&amp;". Sleephoria CVR is proven on this term, so the full push is justified.",IF(AND(BD16="No",BE16&gt;=Assumptions!$B$13),"PARTIAL — +"&amp;TEXT(BE16,"0%")&amp;" Top of Search (limit for terms without proven CVR). Effective CPC $"&amp;TEXT(BG16,"0.00")&amp;" vs $"&amp;TEXT(BB16,"0.00")&amp;" max ranking CPC"&amp;" (= $"&amp;TEXT(AY16,"0.00")&amp;" price × "&amp;TEXT(AZ16,"0.0%")&amp;" ranking ceiling × "&amp;TEXT(AD16,"0.0%")&amp;" CVR)"&amp;". Raise to +100% only after CooLinens converts at ≥ "&amp;TEXT(AD16,"0.0%")&amp;" on 50+ clicks and $"&amp;TEXT(BC16*2,"0.00")&amp;" ≤ the max.",IF(BE16&gt;0,"PARTIAL — +"&amp;TEXT(BE16,"0%")&amp;" Top of Search. Effective CPC $"&amp;TEXT(BG16,"0.00")&amp;" stays within the $"&amp;TEXT(BB16,"0.00")&amp;" max ranking CPC"&amp;" (= $"&amp;TEXT(AY16,"0.00")&amp;" price × "&amp;TEXT(AZ16,"0.0%")&amp;" ranking ceiling × "&amp;TEXT(AD16,"0.0%")&amp;" CVR)"&amp;". +100% would cost $"&amp;TEXT(BC16*2,"0.00")&amp;" per click and push ACoS to "&amp;TEXT(BC16*2/(AY16*AD16),"0.0%")&amp;", above the "&amp;TEXT(AZ16,"0.0%")&amp;" ceiling.","NO — 0%. Base bid $"&amp;TEXT(BC16,"0.00")&amp;" already equals the $"&amp;TEXT(BB16,"0.00")&amp;" max ranking CPC"&amp;" (= $"&amp;TEXT(AY16,"0.00")&amp;" price × "&amp;TEXT(AZ16,"0.0%")&amp;" ranking ceiling × "&amp;TEXT(AD16,"0.0%")&amp;" CVR)"&amp;"; any modifier would push ACoS above the "&amp;TEXT(AZ16,"0.0%")&amp;" ceiling."))),IF(OR(AO16="Ranking — Head Term (Capped)",AO16="Ranking — Capped Entry",AO16="Ranking — Capped Long-Tail"),"NO — 0% (capped ranking entry). Bid $"&amp;TEXT(BC16,"0.00")&amp;" vs $"&amp;TEXT(BB16,"0.00")&amp;" max ranking CPC"&amp;" (= $"&amp;TEXT(AY16,"0.00")&amp;" price × "&amp;TEXT(AZ16,"0.0%")&amp;" ranking ceiling × "&amp;TEXT(AD16,"0.0%")&amp;" CVR)"&amp;". While spend is capped at "&amp;TEXT(AS16,"0.00")&amp;" clicks/day, a placement premium would only raise CPC without buying more rank; the modifier is set when this term moves to a full push.","NO — 0% (support / brand term). Bid $"&amp;TEXT(BC16,"0.00")&amp;" vs $"&amp;TEXT(BB16,"0.00")&amp;" max ranking CPC"&amp;" (= $"&amp;TEXT(AY16,"0.00")&amp;" price × "&amp;TEXT(AZ16,"0.0%")&amp;" ranking ceiling × "&amp;TEXT(AD16,"0.0%")&amp;" CVR)"&amp;"; expected ACoS "&amp;TEXT(BI16,"0.0%")&amp;" vs the "&amp;TEXT(AZ16,"0.0%")&amp;" ceiling."))</f>
        <v>NO — 0% (support / brand term). Bid $2.18 vs $2.86 max ranking CPC (= $79.99 price × 55.9% ranking ceiling × 6.4% CVR); expected ACoS 42.6% vs the 55.9% ceiling.</v>
      </c>
      <c r="BG16" s="50" t="n">
        <f aca="false">BC16*(1+BE16)</f>
        <v>2.18</v>
      </c>
      <c r="BH16" s="45" t="n">
        <f aca="false">AS16*BG16</f>
        <v>0.276380358144</v>
      </c>
      <c r="BI16" s="33" t="n">
        <f aca="false">IFERROR(BG16/(AY16*AD16),"")</f>
        <v>0.425834479309914</v>
      </c>
      <c r="BJ16" s="27" t="str">
        <f aca="false">IF(BI16="","",IF(BI16&lt;=BA16,"Profitable (≤ break-even)",IF(BI16&lt;=AZ16,"Ranking investment (≤ ceiling)","Above ceiling — reduce bid")))</f>
        <v>Ranking investment (≤ ceiling)</v>
      </c>
      <c r="BK16" s="49" t="str">
        <f aca="false">"Base $"&amp;TEXT(BC16,"0.00")&amp;" × (1 + "&amp;TEXT(BE16,"0%")&amp;" TOS) = $"&amp;TEXT(BG16,"0.00")&amp;" effective CPC [max $"&amp;TEXT(BB16,"0.00")&amp;"]. "&amp;TEXT(AG16,"0.0")&amp;" market clicks/day × "&amp;TEXT(AH16,"0.00%")&amp;" click share × "&amp;TEXT(AI16,"0%")&amp;" paid = "&amp;TEXT(AJ16,"0.00")&amp;" clicks/day needed; "&amp;"planned "&amp;TEXT(AS16,"0.00")&amp;" clicks/day × "&amp;TEXT(AD16,"0.0%")&amp;" CVR = "&amp;TEXT(AU16,"0.00")&amp;" orders/day. "&amp;"Spend $"&amp;TEXT(BH16,"0.00")&amp;"/day, ACoS "&amp;TEXT(BI16,"0.0%")&amp;" (ceiling "&amp;TEXT(AZ16,"0.0%")&amp;", break-even "&amp;TEXT(BA16,"0.0%")&amp;"). "&amp;"Target organic rank #"&amp;S16&amp;" by week 8 ("&amp;T16&amp;")."</f>
        <v>Base $2.18 × (1 + 0% TOS) = $2.18 effective CPC [max $2.86]. 15.5 market clicks/day × 1.24% click share × 66% paid = 0.13 clicks/day needed; planned 0.13 clicks/day × 6.4% CVR = 0.01 orders/day. Spend $0.28/day, ACoS 42.6% (ceiling 55.9%, break-even 37.2%). Target organic rank #20 by week 8 (#60 → #35 → #20).</v>
      </c>
      <c r="BL16" s="27" t="s">
        <v>202</v>
      </c>
      <c r="BM16" s="27" t="s">
        <v>203</v>
      </c>
      <c r="BN16" s="27" t="s">
        <v>364</v>
      </c>
      <c r="BO16" s="27" t="s">
        <v>359</v>
      </c>
      <c r="BP16" s="27" t="s">
        <v>205</v>
      </c>
      <c r="BQ16" s="26" t="s">
        <v>206</v>
      </c>
      <c r="BR16" s="40" t="n">
        <f aca="false">IFERROR(INDEX(Campaigns!$L:$L,MATCH(BN16,Campaigns!$A:$A,0)),"")</f>
        <v>10</v>
      </c>
      <c r="BS16" s="51" t="str">
        <f aca="false">IFERROR(INDEX(Inventory!$O:$O,MATCH(BP16,Inventory!$A:$A,0)),"")</f>
        <v>OK</v>
      </c>
      <c r="BT16" s="52" t="n">
        <f aca="false">IFERROR(INDEX(Inventory!$N:$N,MATCH(BP16,Inventory!$A:$A,0)),"")</f>
        <v>91.5322601167724</v>
      </c>
      <c r="BU16" s="27" t="s">
        <v>365</v>
      </c>
      <c r="BV16" s="27" t="s">
        <v>263</v>
      </c>
      <c r="BW16" s="27" t="s">
        <v>366</v>
      </c>
      <c r="BX16" s="27" t="s">
        <v>367</v>
      </c>
      <c r="BY16" s="27" t="s">
        <v>368</v>
      </c>
      <c r="BZ16" s="27" t="s">
        <v>249</v>
      </c>
      <c r="CA16" s="27" t="s">
        <v>213</v>
      </c>
      <c r="CB16" s="27" t="s">
        <v>369</v>
      </c>
      <c r="CC16" s="27" t="s">
        <v>358</v>
      </c>
    </row>
    <row r="17" customFormat="false" ht="120" hidden="false" customHeight="true" outlineLevel="0" collapsed="false">
      <c r="A17" s="24" t="s">
        <v>370</v>
      </c>
      <c r="B17" s="25" t="n">
        <v>1</v>
      </c>
      <c r="C17" s="26" t="s">
        <v>184</v>
      </c>
      <c r="D17" s="26"/>
      <c r="E17" s="27" t="s">
        <v>371</v>
      </c>
      <c r="F17" s="28" t="n">
        <v>0.95</v>
      </c>
      <c r="G17" s="27" t="s">
        <v>187</v>
      </c>
      <c r="H17" s="26" t="s">
        <v>188</v>
      </c>
      <c r="I17" s="29" t="n">
        <v>7.5</v>
      </c>
      <c r="J17" s="27" t="s">
        <v>322</v>
      </c>
      <c r="K17" s="30" t="n">
        <v>77377</v>
      </c>
      <c r="L17" s="31" t="n">
        <v>83823</v>
      </c>
      <c r="M17" s="32" t="n">
        <f aca="false">L17/30</f>
        <v>2794.1</v>
      </c>
      <c r="N17" s="33" t="n">
        <v>0.0154430563909307</v>
      </c>
      <c r="O17" s="27" t="s">
        <v>372</v>
      </c>
      <c r="P17" s="27" t="s">
        <v>373</v>
      </c>
      <c r="Q17" s="27" t="s">
        <v>374</v>
      </c>
      <c r="R17" s="34" t="n">
        <v>4</v>
      </c>
      <c r="S17" s="35" t="n">
        <v>20</v>
      </c>
      <c r="T17" s="36" t="s">
        <v>346</v>
      </c>
      <c r="U17" s="27" t="s">
        <v>375</v>
      </c>
      <c r="V17" s="37" t="n">
        <f aca="false">IFERROR(INDEX(Sleephoria_History!$F$454:$F$2115,MATCH($A17,Sleephoria_History!$A$454:$A$2115,0)),"")</f>
        <v>485</v>
      </c>
      <c r="W17" s="38" t="n">
        <f aca="false">IFERROR(INDEX(Sleephoria_History!$J$454:$J$2115,MATCH($A17,Sleephoria_History!$A$454:$A$2115,0)),"")</f>
        <v>0.0948</v>
      </c>
      <c r="X17" s="39" t="n">
        <f aca="false">IFERROR(INDEX(Sleephoria_History!$H$454:$H$2115,MATCH($A17,Sleephoria_History!$A$454:$A$2115,0)),"")</f>
        <v>2.01</v>
      </c>
      <c r="Y17" s="38" t="n">
        <f aca="false">IFERROR(INDEX(Sleephoria_History!$M$454:$M$2115,MATCH($A17,Sleephoria_History!$A$454:$A$2115,0)),"")</f>
        <v>0.295</v>
      </c>
      <c r="Z17" s="40" t="n">
        <f aca="false">IFERROR(INDEX(Sleephoria_History!$L$454:$L$2115,MATCH($A17,Sleephoria_History!$A$454:$A$2115,0)),"")</f>
        <v>3298.46</v>
      </c>
      <c r="AA17" s="37" t="n">
        <f aca="false">IFERROR(INDEX(Decolure_History!$F$397:$F$709,MATCH($A17,Decolure_History!$A$397:$A$709,0)),"")</f>
        <v>376</v>
      </c>
      <c r="AB17" s="38" t="n">
        <f aca="false">IFERROR(INDEX(Decolure_History!$J$397:$J$709,MATCH($A17,Decolure_History!$A$397:$A$709,0)),"")</f>
        <v>0.0293</v>
      </c>
      <c r="AC17" s="38" t="n">
        <f aca="false">IFERROR(INDEX(Decolure_History!$M$397:$M$709,MATCH($A17,Decolure_History!$A$397:$A$709,0)),"")</f>
        <v>0.621</v>
      </c>
      <c r="AD17" s="41" t="n">
        <v>0.0758</v>
      </c>
      <c r="AE17" s="27" t="s">
        <v>376</v>
      </c>
      <c r="AF17" s="42" t="n">
        <v>0.443</v>
      </c>
      <c r="AG17" s="32" t="n">
        <f aca="false">M17*AF17</f>
        <v>1237.7863</v>
      </c>
      <c r="AH17" s="43" t="n">
        <f aca="false">IF(AO17="Brand Defense",0,IFERROR(VLOOKUP(S17,Assumptions!$A$24:$B$28,2,FALSE()),0))</f>
        <v>0.0124</v>
      </c>
      <c r="AI17" s="28" t="n">
        <f aca="false">Assumptions!$B$6</f>
        <v>0.66</v>
      </c>
      <c r="AJ17" s="44" t="n">
        <f aca="false">AG17*AH17*AI17</f>
        <v>10.1300430792</v>
      </c>
      <c r="AK17" s="44" t="n">
        <f aca="false">AJ17*AD17</f>
        <v>0.76785726540336</v>
      </c>
      <c r="AL17" s="30" t="n">
        <f aca="false">AJ17*56</f>
        <v>567.2824124352</v>
      </c>
      <c r="AM17" s="32" t="n">
        <f aca="false">AK17*56</f>
        <v>43.0000068625882</v>
      </c>
      <c r="AN17" s="44" t="n">
        <f aca="false">M17*Assumptions!$B$8</f>
        <v>279.41</v>
      </c>
      <c r="AO17" s="27" t="s">
        <v>377</v>
      </c>
      <c r="AP17" s="27" t="s">
        <v>378</v>
      </c>
      <c r="AQ17" s="26" t="s">
        <v>198</v>
      </c>
      <c r="AR17" s="27" t="s">
        <v>199</v>
      </c>
      <c r="AS17" s="44" t="n">
        <f aca="false">IF(AO17="Ranking — Full Push",MIN(MAX(AJ17,Assumptions!$B$9),AN17),IF(AO17="Brand Defense",MIN(Assumptions!$B$7,AN17),IF(OR(AO17="Ranking — Head Term (Capped)",AO17="Ranking — Capped Entry"),MIN(MAX(AJ17,Assumptions!$B$9),Assumptions!$B$7,AN17),IF(AO17="Ranking — Capped Long-Tail",MIN(AJ17,Assumptions!$B$10,AN17),MIN(AJ17,AN17)))))</f>
        <v>3.57142857142857</v>
      </c>
      <c r="AT17" s="27" t="str">
        <f aca="false">IF(AJ17&lt;=0,"",IF(AS17&gt;=AJ17,IF(AS17&gt;AJ17*1.05,"Floor of "&amp;TEXT(AS17,"0.0")&amp;" click/day to read CVR (rank needs "&amp;TEXT(AJ17,"0.00")&amp;")","Fully funded (100%)"),"Capped at "&amp;TEXT(AS17/AJ17,"0%")&amp;" of required"))</f>
        <v>Capped at 35% of required</v>
      </c>
      <c r="AU17" s="44" t="n">
        <f aca="false">AS17*AD17</f>
        <v>0.270714285714286</v>
      </c>
      <c r="AV17" s="45" t="n">
        <f aca="false">AU17*AY17</f>
        <v>21.6544357142857</v>
      </c>
      <c r="AW17" s="46" t="n">
        <v>2.01</v>
      </c>
      <c r="AX17" s="27" t="s">
        <v>379</v>
      </c>
      <c r="AY17" s="47" t="n">
        <f aca="false">INDEX(Assumptions!$B$33:$B$37,MATCH(IF($D17="","Queen",$D17),Assumptions!$A$33:$A$37,0))</f>
        <v>79.99</v>
      </c>
      <c r="AZ17" s="33" t="n">
        <f aca="false">INDEX(Assumptions!$K$33:$K$37,MATCH(IF($D17="","Queen",$D17),Assumptions!$A$33:$A$37,0))</f>
        <v>0.558660457557195</v>
      </c>
      <c r="BA17" s="33" t="n">
        <f aca="false">INDEX(Assumptions!$H$33:$H$37,MATCH(IF($D17="","Queen",$D17),Assumptions!$A$33:$A$37,0))</f>
        <v>0.37244030503813</v>
      </c>
      <c r="BB17" s="47" t="n">
        <f aca="false">AY17*AZ17*AD17</f>
        <v>3.38729355</v>
      </c>
      <c r="BC17" s="47" t="n">
        <f aca="false">ROUND(MIN(AW17*Assumptions!$B$11,BB17),2)</f>
        <v>2.01</v>
      </c>
      <c r="BD17" s="26" t="s">
        <v>201</v>
      </c>
      <c r="BE17" s="48" t="n">
        <f aca="false">IF(AO17="Ranking — Full Push",MAX(0,MIN(IF(BD17="Yes",Assumptions!$B$12,Assumptions!$B$13),FLOOR(MAX(0,BB17/BC17-1),Assumptions!$B$14))),0)</f>
        <v>0</v>
      </c>
      <c r="BF17" s="49" t="str">
        <f aca="false">IF(AO17="Ranking — Full Push",IF(BE17&gt;=1,"YES — +100% Top of Search. Effective CPC $"&amp;TEXT(BG17,"0.00")&amp;" (= $"&amp;TEXT(BC17,"0.00")&amp;" × 2) stays within the $"&amp;TEXT(BB17,"0.00")&amp;" max ranking CPC"&amp;" (= $"&amp;TEXT(AY17,"0.00")&amp;" price × "&amp;TEXT(AZ17,"0.0%")&amp;" ranking ceiling × "&amp;TEXT(AD17,"0.0%")&amp;" CVR)"&amp;". Sleephoria CVR is proven on this term, so the full push is justified.",IF(AND(BD17="No",BE17&gt;=Assumptions!$B$13),"PARTIAL — +"&amp;TEXT(BE17,"0%")&amp;" Top of Search (limit for terms without proven CVR). Effective CPC $"&amp;TEXT(BG17,"0.00")&amp;" vs $"&amp;TEXT(BB17,"0.00")&amp;" max ranking CPC"&amp;" (= $"&amp;TEXT(AY17,"0.00")&amp;" price × "&amp;TEXT(AZ17,"0.0%")&amp;" ranking ceiling × "&amp;TEXT(AD17,"0.0%")&amp;" CVR)"&amp;". Raise to +100% only after CooLinens converts at ≥ "&amp;TEXT(AD17,"0.0%")&amp;" on 50+ clicks and $"&amp;TEXT(BC17*2,"0.00")&amp;" ≤ the max.",IF(BE17&gt;0,"PARTIAL — +"&amp;TEXT(BE17,"0%")&amp;" Top of Search. Effective CPC $"&amp;TEXT(BG17,"0.00")&amp;" stays within the $"&amp;TEXT(BB17,"0.00")&amp;" max ranking CPC"&amp;" (= $"&amp;TEXT(AY17,"0.00")&amp;" price × "&amp;TEXT(AZ17,"0.0%")&amp;" ranking ceiling × "&amp;TEXT(AD17,"0.0%")&amp;" CVR)"&amp;". +100% would cost $"&amp;TEXT(BC17*2,"0.00")&amp;" per click and push ACoS to "&amp;TEXT(BC17*2/(AY17*AD17),"0.0%")&amp;", above the "&amp;TEXT(AZ17,"0.0%")&amp;" ceiling.","NO — 0%. Base bid $"&amp;TEXT(BC17,"0.00")&amp;" already equals the $"&amp;TEXT(BB17,"0.00")&amp;" max ranking CPC"&amp;" (= $"&amp;TEXT(AY17,"0.00")&amp;" price × "&amp;TEXT(AZ17,"0.0%")&amp;" ranking ceiling × "&amp;TEXT(AD17,"0.0%")&amp;" CVR)"&amp;"; any modifier would push ACoS above the "&amp;TEXT(AZ17,"0.0%")&amp;" ceiling."))),IF(OR(AO17="Ranking — Head Term (Capped)",AO17="Ranking — Capped Entry",AO17="Ranking — Capped Long-Tail"),"NO — 0% (capped ranking entry). Bid $"&amp;TEXT(BC17,"0.00")&amp;" vs $"&amp;TEXT(BB17,"0.00")&amp;" max ranking CPC"&amp;" (= $"&amp;TEXT(AY17,"0.00")&amp;" price × "&amp;TEXT(AZ17,"0.0%")&amp;" ranking ceiling × "&amp;TEXT(AD17,"0.0%")&amp;" CVR)"&amp;". While spend is capped at "&amp;TEXT(AS17,"0.00")&amp;" clicks/day, a placement premium would only raise CPC without buying more rank; the modifier is set when this term moves to a full push.","NO — 0% (support / brand term). Bid $"&amp;TEXT(BC17,"0.00")&amp;" vs $"&amp;TEXT(BB17,"0.00")&amp;" max ranking CPC"&amp;" (= $"&amp;TEXT(AY17,"0.00")&amp;" price × "&amp;TEXT(AZ17,"0.0%")&amp;" ranking ceiling × "&amp;TEXT(AD17,"0.0%")&amp;" CVR)"&amp;"; expected ACoS "&amp;TEXT(BI17,"0.0%")&amp;" vs the "&amp;TEXT(AZ17,"0.0%")&amp;" ceiling."))</f>
        <v>NO — 0% (capped ranking entry). Bid $2.01 vs $3.39 max ranking CPC (= $79.99 price × 55.9% ranking ceiling × 7.6% CVR). While spend is capped at 3.57 clicks/day, a placement premium would only raise CPC without buying more rank; the modifier is set when this term moves to a full push.</v>
      </c>
      <c r="BG17" s="50" t="n">
        <f aca="false">BC17*(1+BE17)</f>
        <v>2.01</v>
      </c>
      <c r="BH17" s="45" t="n">
        <f aca="false">AS17*BG17</f>
        <v>7.17857142857143</v>
      </c>
      <c r="BI17" s="33" t="n">
        <f aca="false">IFERROR(BG17/(AY17*AD17),"")</f>
        <v>0.331505818174501</v>
      </c>
      <c r="BJ17" s="27" t="str">
        <f aca="false">IF(BI17="","",IF(BI17&lt;=BA17,"Profitable (≤ break-even)",IF(BI17&lt;=AZ17,"Ranking investment (≤ ceiling)","Above ceiling — reduce bid")))</f>
        <v>Profitable (≤ break-even)</v>
      </c>
      <c r="BK17" s="49" t="str">
        <f aca="false">"Base $"&amp;TEXT(BC17,"0.00")&amp;" × (1 + "&amp;TEXT(BE17,"0%")&amp;" TOS) = $"&amp;TEXT(BG17,"0.00")&amp;" effective CPC [max $"&amp;TEXT(BB17,"0.00")&amp;"]. "&amp;TEXT(AG17,"0.0")&amp;" market clicks/day × "&amp;TEXT(AH17,"0.00%")&amp;" click share × "&amp;TEXT(AI17,"0%")&amp;" paid = "&amp;TEXT(AJ17,"0.00")&amp;" clicks/day needed; "&amp;"planned "&amp;TEXT(AS17,"0.00")&amp;" clicks/day × "&amp;TEXT(AD17,"0.0%")&amp;" CVR = "&amp;TEXT(AU17,"0.00")&amp;" orders/day. "&amp;"Spend $"&amp;TEXT(BH17,"0.00")&amp;"/day, ACoS "&amp;TEXT(BI17,"0.0%")&amp;" (ceiling "&amp;TEXT(AZ17,"0.0%")&amp;", break-even "&amp;TEXT(BA17,"0.0%")&amp;"). "&amp;"Target organic rank #"&amp;S17&amp;" by week 8 ("&amp;T17&amp;")."</f>
        <v>Base $2.01 × (1 + 0% TOS) = $2.01 effective CPC [max $3.39]. 1237.8 market clicks/day × 1.24% click share × 66% paid = 10.13 clicks/day needed; planned 3.57 clicks/day × 7.6% CVR = 0.27 orders/day. Spend $7.18/day, ACoS 33.2% (ceiling 55.9%, break-even 37.2%). Target organic rank #20 by week 8 (#60 → #35 → #20).</v>
      </c>
      <c r="BL17" s="27" t="s">
        <v>380</v>
      </c>
      <c r="BM17" s="27" t="s">
        <v>203</v>
      </c>
      <c r="BN17" s="27" t="s">
        <v>381</v>
      </c>
      <c r="BO17" s="27" t="s">
        <v>370</v>
      </c>
      <c r="BP17" s="27" t="s">
        <v>205</v>
      </c>
      <c r="BQ17" s="26" t="s">
        <v>206</v>
      </c>
      <c r="BR17" s="40" t="n">
        <f aca="false">IFERROR(INDEX(Campaigns!$L:$L,MATCH(BN17,Campaigns!$A:$A,0)),"")</f>
        <v>10</v>
      </c>
      <c r="BS17" s="51" t="str">
        <f aca="false">IFERROR(INDEX(Inventory!$O:$O,MATCH(BP17,Inventory!$A:$A,0)),"")</f>
        <v>OK</v>
      </c>
      <c r="BT17" s="52" t="n">
        <f aca="false">IFERROR(INDEX(Inventory!$N:$N,MATCH(BP17,Inventory!$A:$A,0)),"")</f>
        <v>91.5322601167724</v>
      </c>
      <c r="BU17" s="27" t="s">
        <v>382</v>
      </c>
      <c r="BV17" s="27" t="s">
        <v>383</v>
      </c>
      <c r="BW17" s="27" t="s">
        <v>384</v>
      </c>
      <c r="BX17" s="27" t="s">
        <v>385</v>
      </c>
      <c r="BY17" s="27" t="s">
        <v>386</v>
      </c>
      <c r="BZ17" s="27" t="s">
        <v>387</v>
      </c>
      <c r="CA17" s="27" t="s">
        <v>388</v>
      </c>
      <c r="CB17" s="27" t="s">
        <v>389</v>
      </c>
      <c r="CC17" s="27" t="s">
        <v>390</v>
      </c>
    </row>
    <row r="18" customFormat="false" ht="120" hidden="false" customHeight="true" outlineLevel="0" collapsed="false">
      <c r="A18" s="24" t="s">
        <v>391</v>
      </c>
      <c r="B18" s="25" t="n">
        <v>1</v>
      </c>
      <c r="C18" s="26" t="s">
        <v>184</v>
      </c>
      <c r="D18" s="26"/>
      <c r="E18" s="27" t="s">
        <v>371</v>
      </c>
      <c r="F18" s="28" t="n">
        <v>0.95</v>
      </c>
      <c r="G18" s="27" t="s">
        <v>187</v>
      </c>
      <c r="H18" s="26" t="s">
        <v>342</v>
      </c>
      <c r="I18" s="29" t="n">
        <v>6</v>
      </c>
      <c r="J18" s="27" t="s">
        <v>392</v>
      </c>
      <c r="K18" s="30" t="n">
        <v>12715</v>
      </c>
      <c r="L18" s="31" t="n">
        <v>18222</v>
      </c>
      <c r="M18" s="32" t="n">
        <f aca="false">L18/30</f>
        <v>607.4</v>
      </c>
      <c r="N18" s="33" t="n">
        <v>0.0154973149661452</v>
      </c>
      <c r="O18" s="27" t="s">
        <v>393</v>
      </c>
      <c r="P18" s="27" t="s">
        <v>394</v>
      </c>
      <c r="Q18" s="27" t="s">
        <v>374</v>
      </c>
      <c r="R18" s="34" t="n">
        <v>5</v>
      </c>
      <c r="S18" s="35" t="n">
        <v>20</v>
      </c>
      <c r="T18" s="36" t="s">
        <v>346</v>
      </c>
      <c r="U18" s="27" t="s">
        <v>395</v>
      </c>
      <c r="V18" s="37" t="n">
        <f aca="false">IFERROR(INDEX(Sleephoria_History!$F$454:$F$2115,MATCH($A18,Sleephoria_History!$A$454:$A$2115,0)),"")</f>
        <v>259</v>
      </c>
      <c r="W18" s="38" t="n">
        <f aca="false">IFERROR(INDEX(Sleephoria_History!$J$454:$J$2115,MATCH($A18,Sleephoria_History!$A$454:$A$2115,0)),"")</f>
        <v>0.0772</v>
      </c>
      <c r="X18" s="39" t="n">
        <f aca="false">IFERROR(INDEX(Sleephoria_History!$H$454:$H$2115,MATCH($A18,Sleephoria_History!$A$454:$A$2115,0)),"")</f>
        <v>2.45</v>
      </c>
      <c r="Y18" s="38" t="n">
        <f aca="false">IFERROR(INDEX(Sleephoria_History!$M$454:$M$2115,MATCH($A18,Sleephoria_History!$A$454:$A$2115,0)),"")</f>
        <v>0.421</v>
      </c>
      <c r="Z18" s="40" t="n">
        <f aca="false">IFERROR(INDEX(Sleephoria_History!$L$454:$L$2115,MATCH($A18,Sleephoria_History!$A$454:$A$2115,0)),"")</f>
        <v>1508.3</v>
      </c>
      <c r="AA18" s="37" t="n">
        <f aca="false">IFERROR(INDEX(Decolure_History!$F$397:$F$709,MATCH($A18,Decolure_History!$A$397:$A$709,0)),"")</f>
        <v>87</v>
      </c>
      <c r="AB18" s="38" t="n">
        <f aca="false">IFERROR(INDEX(Decolure_History!$J$397:$J$709,MATCH($A18,Decolure_History!$A$397:$A$709,0)),"")</f>
        <v>0.092</v>
      </c>
      <c r="AC18" s="38" t="n">
        <f aca="false">IFERROR(INDEX(Decolure_History!$M$397:$M$709,MATCH($A18,Decolure_History!$A$397:$A$709,0)),"")</f>
        <v>0.351</v>
      </c>
      <c r="AD18" s="41" t="n">
        <v>0.0618</v>
      </c>
      <c r="AE18" s="27" t="s">
        <v>396</v>
      </c>
      <c r="AF18" s="42" t="n">
        <v>0.449</v>
      </c>
      <c r="AG18" s="32" t="n">
        <f aca="false">M18*AF18</f>
        <v>272.7226</v>
      </c>
      <c r="AH18" s="43" t="n">
        <f aca="false">IF(AO18="Brand Defense",0,IFERROR(VLOOKUP(S18,Assumptions!$A$24:$B$28,2,FALSE()),0))</f>
        <v>0.0124</v>
      </c>
      <c r="AI18" s="28" t="n">
        <f aca="false">Assumptions!$B$6</f>
        <v>0.66</v>
      </c>
      <c r="AJ18" s="44" t="n">
        <f aca="false">AG18*AH18*AI18</f>
        <v>2.2319617584</v>
      </c>
      <c r="AK18" s="44" t="n">
        <f aca="false">AJ18*AD18</f>
        <v>0.13793523666912</v>
      </c>
      <c r="AL18" s="30" t="n">
        <f aca="false">AJ18*56</f>
        <v>124.9898584704</v>
      </c>
      <c r="AM18" s="32" t="n">
        <f aca="false">AK18*56</f>
        <v>7.72437325347072</v>
      </c>
      <c r="AN18" s="44" t="n">
        <f aca="false">M18*Assumptions!$B$8</f>
        <v>60.74</v>
      </c>
      <c r="AO18" s="27" t="s">
        <v>377</v>
      </c>
      <c r="AP18" s="27" t="s">
        <v>378</v>
      </c>
      <c r="AQ18" s="26" t="s">
        <v>198</v>
      </c>
      <c r="AR18" s="27" t="s">
        <v>199</v>
      </c>
      <c r="AS18" s="44" t="n">
        <f aca="false">IF(AO18="Ranking — Full Push",MIN(MAX(AJ18,Assumptions!$B$9),AN18),IF(AO18="Brand Defense",MIN(Assumptions!$B$7,AN18),IF(OR(AO18="Ranking — Head Term (Capped)",AO18="Ranking — Capped Entry"),MIN(MAX(AJ18,Assumptions!$B$9),Assumptions!$B$7,AN18),IF(AO18="Ranking — Capped Long-Tail",MIN(AJ18,Assumptions!$B$10,AN18),MIN(AJ18,AN18)))))</f>
        <v>2.2319617584</v>
      </c>
      <c r="AT18" s="27" t="str">
        <f aca="false">IF(AJ18&lt;=0,"",IF(AS18&gt;=AJ18,IF(AS18&gt;AJ18*1.05,"Floor of "&amp;TEXT(AS18,"0.0")&amp;" click/day to read CVR (rank needs "&amp;TEXT(AJ18,"0.00")&amp;")","Fully funded (100%)"),"Capped at "&amp;TEXT(AS18/AJ18,"0%")&amp;" of required"))</f>
        <v>Fully funded (100%)</v>
      </c>
      <c r="AU18" s="44" t="n">
        <f aca="false">AS18*AD18</f>
        <v>0.13793523666912</v>
      </c>
      <c r="AV18" s="45" t="n">
        <f aca="false">AU18*AY18</f>
        <v>11.0334395811629</v>
      </c>
      <c r="AW18" s="46" t="n">
        <v>2.45</v>
      </c>
      <c r="AX18" s="27" t="s">
        <v>397</v>
      </c>
      <c r="AY18" s="47" t="n">
        <f aca="false">INDEX(Assumptions!$B$33:$B$37,MATCH(IF($D18="","Queen",$D18),Assumptions!$A$33:$A$37,0))</f>
        <v>79.99</v>
      </c>
      <c r="AZ18" s="33" t="n">
        <f aca="false">INDEX(Assumptions!$K$33:$K$37,MATCH(IF($D18="","Queen",$D18),Assumptions!$A$33:$A$37,0))</f>
        <v>0.558660457557195</v>
      </c>
      <c r="BA18" s="33" t="n">
        <f aca="false">INDEX(Assumptions!$H$33:$H$37,MATCH(IF($D18="","Queen",$D18),Assumptions!$A$33:$A$37,0))</f>
        <v>0.37244030503813</v>
      </c>
      <c r="BB18" s="47" t="n">
        <f aca="false">AY18*AZ18*AD18</f>
        <v>2.76167205</v>
      </c>
      <c r="BC18" s="47" t="n">
        <f aca="false">ROUND(MIN(AW18*Assumptions!$B$11,BB18),2)</f>
        <v>2.45</v>
      </c>
      <c r="BD18" s="26" t="s">
        <v>278</v>
      </c>
      <c r="BE18" s="48" t="n">
        <f aca="false">IF(AO18="Ranking — Full Push",MAX(0,MIN(IF(BD18="Yes",Assumptions!$B$12,Assumptions!$B$13),FLOOR(MAX(0,BB18/BC18-1),Assumptions!$B$14))),0)</f>
        <v>0</v>
      </c>
      <c r="BF18" s="49" t="str">
        <f aca="false">IF(AO18="Ranking — Full Push",IF(BE18&gt;=1,"YES — +100% Top of Search. Effective CPC $"&amp;TEXT(BG18,"0.00")&amp;" (= $"&amp;TEXT(BC18,"0.00")&amp;" × 2) stays within the $"&amp;TEXT(BB18,"0.00")&amp;" max ranking CPC"&amp;" (= $"&amp;TEXT(AY18,"0.00")&amp;" price × "&amp;TEXT(AZ18,"0.0%")&amp;" ranking ceiling × "&amp;TEXT(AD18,"0.0%")&amp;" CVR)"&amp;". Sleephoria CVR is proven on this term, so the full push is justified.",IF(AND(BD18="No",BE18&gt;=Assumptions!$B$13),"PARTIAL — +"&amp;TEXT(BE18,"0%")&amp;" Top of Search (limit for terms without proven CVR). Effective CPC $"&amp;TEXT(BG18,"0.00")&amp;" vs $"&amp;TEXT(BB18,"0.00")&amp;" max ranking CPC"&amp;" (= $"&amp;TEXT(AY18,"0.00")&amp;" price × "&amp;TEXT(AZ18,"0.0%")&amp;" ranking ceiling × "&amp;TEXT(AD18,"0.0%")&amp;" CVR)"&amp;". Raise to +100% only after CooLinens converts at ≥ "&amp;TEXT(AD18,"0.0%")&amp;" on 50+ clicks and $"&amp;TEXT(BC18*2,"0.00")&amp;" ≤ the max.",IF(BE18&gt;0,"PARTIAL — +"&amp;TEXT(BE18,"0%")&amp;" Top of Search. Effective CPC $"&amp;TEXT(BG18,"0.00")&amp;" stays within the $"&amp;TEXT(BB18,"0.00")&amp;" max ranking CPC"&amp;" (= $"&amp;TEXT(AY18,"0.00")&amp;" price × "&amp;TEXT(AZ18,"0.0%")&amp;" ranking ceiling × "&amp;TEXT(AD18,"0.0%")&amp;" CVR)"&amp;". +100% would cost $"&amp;TEXT(BC18*2,"0.00")&amp;" per click and push ACoS to "&amp;TEXT(BC18*2/(AY18*AD18),"0.0%")&amp;", above the "&amp;TEXT(AZ18,"0.0%")&amp;" ceiling.","NO — 0%. Base bid $"&amp;TEXT(BC18,"0.00")&amp;" already equals the $"&amp;TEXT(BB18,"0.00")&amp;" max ranking CPC"&amp;" (= $"&amp;TEXT(AY18,"0.00")&amp;" price × "&amp;TEXT(AZ18,"0.0%")&amp;" ranking ceiling × "&amp;TEXT(AD18,"0.0%")&amp;" CVR)"&amp;"; any modifier would push ACoS above the "&amp;TEXT(AZ18,"0.0%")&amp;" ceiling."))),IF(OR(AO18="Ranking — Head Term (Capped)",AO18="Ranking — Capped Entry",AO18="Ranking — Capped Long-Tail"),"NO — 0% (capped ranking entry). Bid $"&amp;TEXT(BC18,"0.00")&amp;" vs $"&amp;TEXT(BB18,"0.00")&amp;" max ranking CPC"&amp;" (= $"&amp;TEXT(AY18,"0.00")&amp;" price × "&amp;TEXT(AZ18,"0.0%")&amp;" ranking ceiling × "&amp;TEXT(AD18,"0.0%")&amp;" CVR)"&amp;". While spend is capped at "&amp;TEXT(AS18,"0.00")&amp;" clicks/day, a placement premium would only raise CPC without buying more rank; the modifier is set when this term moves to a full push.","NO — 0% (support / brand term). Bid $"&amp;TEXT(BC18,"0.00")&amp;" vs $"&amp;TEXT(BB18,"0.00")&amp;" max ranking CPC"&amp;" (= $"&amp;TEXT(AY18,"0.00")&amp;" price × "&amp;TEXT(AZ18,"0.0%")&amp;" ranking ceiling × "&amp;TEXT(AD18,"0.0%")&amp;" CVR)"&amp;"; expected ACoS "&amp;TEXT(BI18,"0.0%")&amp;" vs the "&amp;TEXT(AZ18,"0.0%")&amp;" ceiling."))</f>
        <v>NO — 0% (capped ranking entry). Bid $2.45 vs $2.76 max ranking CPC (= $79.99 price × 55.9% ranking ceiling × 6.2% CVR). While spend is capped at 2.23 clicks/day, a placement premium would only raise CPC without buying more rank; the modifier is set when this term moves to a full push.</v>
      </c>
      <c r="BG18" s="50" t="n">
        <f aca="false">BC18*(1+BE18)</f>
        <v>2.45</v>
      </c>
      <c r="BH18" s="45" t="n">
        <f aca="false">AS18*BG18</f>
        <v>5.46830630808</v>
      </c>
      <c r="BI18" s="33" t="n">
        <f aca="false">IFERROR(BG18/(AY18*AD18),"")</f>
        <v>0.495612113326464</v>
      </c>
      <c r="BJ18" s="27" t="str">
        <f aca="false">IF(BI18="","",IF(BI18&lt;=BA18,"Profitable (≤ break-even)",IF(BI18&lt;=AZ18,"Ranking investment (≤ ceiling)","Above ceiling — reduce bid")))</f>
        <v>Ranking investment (≤ ceiling)</v>
      </c>
      <c r="BK18" s="49" t="str">
        <f aca="false">"Base $"&amp;TEXT(BC18,"0.00")&amp;" × (1 + "&amp;TEXT(BE18,"0%")&amp;" TOS) = $"&amp;TEXT(BG18,"0.00")&amp;" effective CPC [max $"&amp;TEXT(BB18,"0.00")&amp;"]. "&amp;TEXT(AG18,"0.0")&amp;" market clicks/day × "&amp;TEXT(AH18,"0.00%")&amp;" click share × "&amp;TEXT(AI18,"0%")&amp;" paid = "&amp;TEXT(AJ18,"0.00")&amp;" clicks/day needed; "&amp;"planned "&amp;TEXT(AS18,"0.00")&amp;" clicks/day × "&amp;TEXT(AD18,"0.0%")&amp;" CVR = "&amp;TEXT(AU18,"0.00")&amp;" orders/day. "&amp;"Spend $"&amp;TEXT(BH18,"0.00")&amp;"/day, ACoS "&amp;TEXT(BI18,"0.0%")&amp;" (ceiling "&amp;TEXT(AZ18,"0.0%")&amp;", break-even "&amp;TEXT(BA18,"0.0%")&amp;"). "&amp;"Target organic rank #"&amp;S18&amp;" by week 8 ("&amp;T18&amp;")."</f>
        <v>Base $2.45 × (1 + 0% TOS) = $2.45 effective CPC [max $2.76]. 272.7 market clicks/day × 1.24% click share × 66% paid = 2.23 clicks/day needed; planned 2.23 clicks/day × 6.2% CVR = 0.14 orders/day. Spend $5.47/day, ACoS 49.6% (ceiling 55.9%, break-even 37.2%). Target organic rank #20 by week 8 (#60 → #35 → #20).</v>
      </c>
      <c r="BL18" s="27" t="s">
        <v>398</v>
      </c>
      <c r="BM18" s="27" t="s">
        <v>203</v>
      </c>
      <c r="BN18" s="27" t="s">
        <v>399</v>
      </c>
      <c r="BO18" s="27" t="s">
        <v>391</v>
      </c>
      <c r="BP18" s="27" t="s">
        <v>205</v>
      </c>
      <c r="BQ18" s="26" t="s">
        <v>206</v>
      </c>
      <c r="BR18" s="40" t="n">
        <f aca="false">IFERROR(INDEX(Campaigns!$L:$L,MATCH(BN18,Campaigns!$A:$A,0)),"")</f>
        <v>10</v>
      </c>
      <c r="BS18" s="51" t="str">
        <f aca="false">IFERROR(INDEX(Inventory!$O:$O,MATCH(BP18,Inventory!$A:$A,0)),"")</f>
        <v>OK</v>
      </c>
      <c r="BT18" s="52" t="n">
        <f aca="false">IFERROR(INDEX(Inventory!$N:$N,MATCH(BP18,Inventory!$A:$A,0)),"")</f>
        <v>91.5322601167724</v>
      </c>
      <c r="BU18" s="27" t="s">
        <v>400</v>
      </c>
      <c r="BV18" s="27" t="s">
        <v>401</v>
      </c>
      <c r="BW18" s="27" t="s">
        <v>402</v>
      </c>
      <c r="BX18" s="27" t="s">
        <v>403</v>
      </c>
      <c r="BY18" s="27" t="s">
        <v>404</v>
      </c>
      <c r="BZ18" s="27" t="s">
        <v>405</v>
      </c>
      <c r="CA18" s="27" t="s">
        <v>388</v>
      </c>
      <c r="CB18" s="27" t="s">
        <v>406</v>
      </c>
      <c r="CC18" s="27" t="s">
        <v>390</v>
      </c>
    </row>
    <row r="19" customFormat="false" ht="120" hidden="false" customHeight="true" outlineLevel="0" collapsed="false">
      <c r="A19" s="24" t="s">
        <v>407</v>
      </c>
      <c r="B19" s="25" t="n">
        <v>1</v>
      </c>
      <c r="C19" s="26" t="s">
        <v>184</v>
      </c>
      <c r="D19" s="26"/>
      <c r="E19" s="27" t="s">
        <v>371</v>
      </c>
      <c r="F19" s="28" t="n">
        <v>0.95</v>
      </c>
      <c r="G19" s="27" t="s">
        <v>187</v>
      </c>
      <c r="H19" s="26" t="s">
        <v>188</v>
      </c>
      <c r="I19" s="29" t="n">
        <v>7.5</v>
      </c>
      <c r="J19" s="27" t="s">
        <v>322</v>
      </c>
      <c r="K19" s="30" t="n">
        <v>1669</v>
      </c>
      <c r="L19" s="31" t="n">
        <v>1546</v>
      </c>
      <c r="M19" s="32" t="n">
        <f aca="false">L19/30</f>
        <v>51.5333333333333</v>
      </c>
      <c r="N19" s="33" t="n">
        <v>0.014025389025389</v>
      </c>
      <c r="O19" s="27" t="s">
        <v>408</v>
      </c>
      <c r="P19" s="27" t="s">
        <v>409</v>
      </c>
      <c r="Q19" s="27" t="s">
        <v>325</v>
      </c>
      <c r="R19" s="34" t="n">
        <v>6</v>
      </c>
      <c r="S19" s="35" t="n">
        <v>20</v>
      </c>
      <c r="T19" s="36" t="s">
        <v>346</v>
      </c>
      <c r="U19" s="27" t="s">
        <v>410</v>
      </c>
      <c r="V19" s="37" t="n">
        <f aca="false">IFERROR(INDEX(Sleephoria_History!$F$454:$F$2115,MATCH($A19,Sleephoria_History!$A$454:$A$2115,0)),"")</f>
        <v>61</v>
      </c>
      <c r="W19" s="38" t="n">
        <f aca="false">IFERROR(INDEX(Sleephoria_History!$J$454:$J$2115,MATCH($A19,Sleephoria_History!$A$454:$A$2115,0)),"")</f>
        <v>0.0984</v>
      </c>
      <c r="X19" s="39" t="n">
        <f aca="false">IFERROR(INDEX(Sleephoria_History!$H$454:$H$2115,MATCH($A19,Sleephoria_History!$A$454:$A$2115,0)),"")</f>
        <v>2.35</v>
      </c>
      <c r="Y19" s="38" t="n">
        <f aca="false">IFERROR(INDEX(Sleephoria_History!$M$454:$M$2115,MATCH($A19,Sleephoria_History!$A$454:$A$2115,0)),"")</f>
        <v>0.302</v>
      </c>
      <c r="Z19" s="40" t="n">
        <f aca="false">IFERROR(INDEX(Sleephoria_History!$L$454:$L$2115,MATCH($A19,Sleephoria_History!$A$454:$A$2115,0)),"")</f>
        <v>474.94</v>
      </c>
      <c r="AA19" s="37" t="str">
        <f aca="false">IFERROR(INDEX(Decolure_History!$F$397:$F$709,MATCH($A19,Decolure_History!$A$397:$A$709,0)),"")</f>
        <v/>
      </c>
      <c r="AB19" s="38" t="str">
        <f aca="false">IFERROR(INDEX(Decolure_History!$J$397:$J$709,MATCH($A19,Decolure_History!$A$397:$A$709,0)),"")</f>
        <v/>
      </c>
      <c r="AC19" s="38" t="str">
        <f aca="false">IFERROR(INDEX(Decolure_History!$M$397:$M$709,MATCH($A19,Decolure_History!$A$397:$A$709,0)),"")</f>
        <v/>
      </c>
      <c r="AD19" s="41" t="n">
        <v>0.0787</v>
      </c>
      <c r="AE19" s="27" t="s">
        <v>411</v>
      </c>
      <c r="AF19" s="42" t="n">
        <v>0.433</v>
      </c>
      <c r="AG19" s="32" t="n">
        <f aca="false">M19*AF19</f>
        <v>22.3139333333333</v>
      </c>
      <c r="AH19" s="43" t="n">
        <f aca="false">IF(AO19="Brand Defense",0,IFERROR(VLOOKUP(S19,Assumptions!$A$24:$B$28,2,FALSE()),0))</f>
        <v>0.0124</v>
      </c>
      <c r="AI19" s="28" t="n">
        <f aca="false">Assumptions!$B$6</f>
        <v>0.66</v>
      </c>
      <c r="AJ19" s="44" t="n">
        <f aca="false">AG19*AH19*AI19</f>
        <v>0.1826172304</v>
      </c>
      <c r="AK19" s="44" t="n">
        <f aca="false">AJ19*AD19</f>
        <v>0.01437197603248</v>
      </c>
      <c r="AL19" s="30" t="n">
        <f aca="false">AJ19*56</f>
        <v>10.2265649024</v>
      </c>
      <c r="AM19" s="32" t="n">
        <f aca="false">AK19*56</f>
        <v>0.80483065781888</v>
      </c>
      <c r="AN19" s="44" t="n">
        <f aca="false">M19*Assumptions!$B$8</f>
        <v>5.15333333333333</v>
      </c>
      <c r="AO19" s="27" t="s">
        <v>377</v>
      </c>
      <c r="AP19" s="27" t="s">
        <v>378</v>
      </c>
      <c r="AQ19" s="26" t="s">
        <v>198</v>
      </c>
      <c r="AR19" s="27" t="s">
        <v>199</v>
      </c>
      <c r="AS19" s="44" t="n">
        <f aca="false">IF(AO19="Ranking — Full Push",MIN(MAX(AJ19,Assumptions!$B$9),AN19),IF(AO19="Brand Defense",MIN(Assumptions!$B$7,AN19),IF(OR(AO19="Ranking — Head Term (Capped)",AO19="Ranking — Capped Entry"),MIN(MAX(AJ19,Assumptions!$B$9),Assumptions!$B$7,AN19),IF(AO19="Ranking — Capped Long-Tail",MIN(AJ19,Assumptions!$B$10,AN19),MIN(AJ19,AN19)))))</f>
        <v>1</v>
      </c>
      <c r="AT19" s="27" t="str">
        <f aca="false">IF(AJ19&lt;=0,"",IF(AS19&gt;=AJ19,IF(AS19&gt;AJ19*1.05,"Floor of "&amp;TEXT(AS19,"0.0")&amp;" click/day to read CVR (rank needs "&amp;TEXT(AJ19,"0.00")&amp;")","Fully funded (100%)"),"Capped at "&amp;TEXT(AS19/AJ19,"0%")&amp;" of required"))</f>
        <v>Floor of 1.0 click/day to read CVR (rank needs 0.18)</v>
      </c>
      <c r="AU19" s="44" t="n">
        <f aca="false">AS19*AD19</f>
        <v>0.0787</v>
      </c>
      <c r="AV19" s="45" t="n">
        <f aca="false">AU19*AY19</f>
        <v>6.295213</v>
      </c>
      <c r="AW19" s="46" t="n">
        <v>2.35</v>
      </c>
      <c r="AX19" s="27" t="s">
        <v>412</v>
      </c>
      <c r="AY19" s="47" t="n">
        <f aca="false">INDEX(Assumptions!$B$33:$B$37,MATCH(IF($D19="","Queen",$D19),Assumptions!$A$33:$A$37,0))</f>
        <v>79.99</v>
      </c>
      <c r="AZ19" s="33" t="n">
        <f aca="false">INDEX(Assumptions!$K$33:$K$37,MATCH(IF($D19="","Queen",$D19),Assumptions!$A$33:$A$37,0))</f>
        <v>0.558660457557195</v>
      </c>
      <c r="BA19" s="33" t="n">
        <f aca="false">INDEX(Assumptions!$H$33:$H$37,MATCH(IF($D19="","Queen",$D19),Assumptions!$A$33:$A$37,0))</f>
        <v>0.37244030503813</v>
      </c>
      <c r="BB19" s="47" t="n">
        <f aca="false">AY19*AZ19*AD19</f>
        <v>3.516886575</v>
      </c>
      <c r="BC19" s="47" t="n">
        <f aca="false">ROUND(MIN(AW19*Assumptions!$B$11,BB19),2)</f>
        <v>2.35</v>
      </c>
      <c r="BD19" s="26" t="s">
        <v>201</v>
      </c>
      <c r="BE19" s="48" t="n">
        <f aca="false">IF(AO19="Ranking — Full Push",MAX(0,MIN(IF(BD19="Yes",Assumptions!$B$12,Assumptions!$B$13),FLOOR(MAX(0,BB19/BC19-1),Assumptions!$B$14))),0)</f>
        <v>0</v>
      </c>
      <c r="BF19" s="49" t="str">
        <f aca="false">IF(AO19="Ranking — Full Push",IF(BE19&gt;=1,"YES — +100% Top of Search. Effective CPC $"&amp;TEXT(BG19,"0.00")&amp;" (= $"&amp;TEXT(BC19,"0.00")&amp;" × 2) stays within the $"&amp;TEXT(BB19,"0.00")&amp;" max ranking CPC"&amp;" (= $"&amp;TEXT(AY19,"0.00")&amp;" price × "&amp;TEXT(AZ19,"0.0%")&amp;" ranking ceiling × "&amp;TEXT(AD19,"0.0%")&amp;" CVR)"&amp;". Sleephoria CVR is proven on this term, so the full push is justified.",IF(AND(BD19="No",BE19&gt;=Assumptions!$B$13),"PARTIAL — +"&amp;TEXT(BE19,"0%")&amp;" Top of Search (limit for terms without proven CVR). Effective CPC $"&amp;TEXT(BG19,"0.00")&amp;" vs $"&amp;TEXT(BB19,"0.00")&amp;" max ranking CPC"&amp;" (= $"&amp;TEXT(AY19,"0.00")&amp;" price × "&amp;TEXT(AZ19,"0.0%")&amp;" ranking ceiling × "&amp;TEXT(AD19,"0.0%")&amp;" CVR)"&amp;". Raise to +100% only after CooLinens converts at ≥ "&amp;TEXT(AD19,"0.0%")&amp;" on 50+ clicks and $"&amp;TEXT(BC19*2,"0.00")&amp;" ≤ the max.",IF(BE19&gt;0,"PARTIAL — +"&amp;TEXT(BE19,"0%")&amp;" Top of Search. Effective CPC $"&amp;TEXT(BG19,"0.00")&amp;" stays within the $"&amp;TEXT(BB19,"0.00")&amp;" max ranking CPC"&amp;" (= $"&amp;TEXT(AY19,"0.00")&amp;" price × "&amp;TEXT(AZ19,"0.0%")&amp;" ranking ceiling × "&amp;TEXT(AD19,"0.0%")&amp;" CVR)"&amp;". +100% would cost $"&amp;TEXT(BC19*2,"0.00")&amp;" per click and push ACoS to "&amp;TEXT(BC19*2/(AY19*AD19),"0.0%")&amp;", above the "&amp;TEXT(AZ19,"0.0%")&amp;" ceiling.","NO — 0%. Base bid $"&amp;TEXT(BC19,"0.00")&amp;" already equals the $"&amp;TEXT(BB19,"0.00")&amp;" max ranking CPC"&amp;" (= $"&amp;TEXT(AY19,"0.00")&amp;" price × "&amp;TEXT(AZ19,"0.0%")&amp;" ranking ceiling × "&amp;TEXT(AD19,"0.0%")&amp;" CVR)"&amp;"; any modifier would push ACoS above the "&amp;TEXT(AZ19,"0.0%")&amp;" ceiling."))),IF(OR(AO19="Ranking — Head Term (Capped)",AO19="Ranking — Capped Entry",AO19="Ranking — Capped Long-Tail"),"NO — 0% (capped ranking entry). Bid $"&amp;TEXT(BC19,"0.00")&amp;" vs $"&amp;TEXT(BB19,"0.00")&amp;" max ranking CPC"&amp;" (= $"&amp;TEXT(AY19,"0.00")&amp;" price × "&amp;TEXT(AZ19,"0.0%")&amp;" ranking ceiling × "&amp;TEXT(AD19,"0.0%")&amp;" CVR)"&amp;". While spend is capped at "&amp;TEXT(AS19,"0.00")&amp;" clicks/day, a placement premium would only raise CPC without buying more rank; the modifier is set when this term moves to a full push.","NO — 0% (support / brand term). Bid $"&amp;TEXT(BC19,"0.00")&amp;" vs $"&amp;TEXT(BB19,"0.00")&amp;" max ranking CPC"&amp;" (= $"&amp;TEXT(AY19,"0.00")&amp;" price × "&amp;TEXT(AZ19,"0.0%")&amp;" ranking ceiling × "&amp;TEXT(AD19,"0.0%")&amp;" CVR)"&amp;"; expected ACoS "&amp;TEXT(BI19,"0.0%")&amp;" vs the "&amp;TEXT(AZ19,"0.0%")&amp;" ceiling."))</f>
        <v>NO — 0% (capped ranking entry). Bid $2.35 vs $3.52 max ranking CPC (= $79.99 price × 55.9% ranking ceiling × 7.9% CVR). While spend is capped at 1.00 clicks/day, a placement premium would only raise CPC without buying more rank; the modifier is set when this term moves to a full push.</v>
      </c>
      <c r="BG19" s="50" t="n">
        <f aca="false">BC19*(1+BE19)</f>
        <v>2.35</v>
      </c>
      <c r="BH19" s="45" t="n">
        <f aca="false">AS19*BG19</f>
        <v>2.35</v>
      </c>
      <c r="BI19" s="33" t="n">
        <f aca="false">IFERROR(BG19/(AY19*AD19),"")</f>
        <v>0.373299521398243</v>
      </c>
      <c r="BJ19" s="27" t="str">
        <f aca="false">IF(BI19="","",IF(BI19&lt;=BA19,"Profitable (≤ break-even)",IF(BI19&lt;=AZ19,"Ranking investment (≤ ceiling)","Above ceiling — reduce bid")))</f>
        <v>Ranking investment (≤ ceiling)</v>
      </c>
      <c r="BK19" s="49" t="str">
        <f aca="false">"Base $"&amp;TEXT(BC19,"0.00")&amp;" × (1 + "&amp;TEXT(BE19,"0%")&amp;" TOS) = $"&amp;TEXT(BG19,"0.00")&amp;" effective CPC [max $"&amp;TEXT(BB19,"0.00")&amp;"]. "&amp;TEXT(AG19,"0.0")&amp;" market clicks/day × "&amp;TEXT(AH19,"0.00%")&amp;" click share × "&amp;TEXT(AI19,"0%")&amp;" paid = "&amp;TEXT(AJ19,"0.00")&amp;" clicks/day needed; "&amp;"planned "&amp;TEXT(AS19,"0.00")&amp;" clicks/day × "&amp;TEXT(AD19,"0.0%")&amp;" CVR = "&amp;TEXT(AU19,"0.00")&amp;" orders/day. "&amp;"Spend $"&amp;TEXT(BH19,"0.00")&amp;"/day, ACoS "&amp;TEXT(BI19,"0.0%")&amp;" (ceiling "&amp;TEXT(AZ19,"0.0%")&amp;", break-even "&amp;TEXT(BA19,"0.0%")&amp;"). "&amp;"Target organic rank #"&amp;S19&amp;" by week 8 ("&amp;T19&amp;")."</f>
        <v>Base $2.35 × (1 + 0% TOS) = $2.35 effective CPC [max $3.52]. 22.3 market clicks/day × 1.24% click share × 66% paid = 0.18 clicks/day needed; planned 1.00 clicks/day × 7.9% CVR = 0.08 orders/day. Spend $2.35/day, ACoS 37.3% (ceiling 55.9%, break-even 37.2%). Target organic rank #20 by week 8 (#60 → #35 → #20).</v>
      </c>
      <c r="BL19" s="27" t="s">
        <v>413</v>
      </c>
      <c r="BM19" s="27" t="s">
        <v>203</v>
      </c>
      <c r="BN19" s="27" t="s">
        <v>414</v>
      </c>
      <c r="BO19" s="27" t="s">
        <v>407</v>
      </c>
      <c r="BP19" s="27" t="s">
        <v>205</v>
      </c>
      <c r="BQ19" s="26" t="s">
        <v>206</v>
      </c>
      <c r="BR19" s="40" t="n">
        <f aca="false">IFERROR(INDEX(Campaigns!$L:$L,MATCH(BN19,Campaigns!$A:$A,0)),"")</f>
        <v>10</v>
      </c>
      <c r="BS19" s="51" t="str">
        <f aca="false">IFERROR(INDEX(Inventory!$O:$O,MATCH(BP19,Inventory!$A:$A,0)),"")</f>
        <v>OK</v>
      </c>
      <c r="BT19" s="52" t="n">
        <f aca="false">IFERROR(INDEX(Inventory!$N:$N,MATCH(BP19,Inventory!$A:$A,0)),"")</f>
        <v>91.5322601167724</v>
      </c>
      <c r="BU19" s="27" t="s">
        <v>415</v>
      </c>
      <c r="BV19" s="27" t="s">
        <v>263</v>
      </c>
      <c r="BW19" s="27" t="s">
        <v>416</v>
      </c>
      <c r="BX19" s="27" t="s">
        <v>417</v>
      </c>
      <c r="BY19" s="27" t="s">
        <v>418</v>
      </c>
      <c r="BZ19" s="27" t="s">
        <v>419</v>
      </c>
      <c r="CA19" s="27" t="s">
        <v>388</v>
      </c>
      <c r="CB19" s="27" t="s">
        <v>420</v>
      </c>
      <c r="CC19" s="27" t="s">
        <v>390</v>
      </c>
    </row>
    <row r="20" customFormat="false" ht="120" hidden="false" customHeight="true" outlineLevel="0" collapsed="false">
      <c r="A20" s="24" t="s">
        <v>421</v>
      </c>
      <c r="B20" s="25" t="n">
        <v>1</v>
      </c>
      <c r="C20" s="26" t="s">
        <v>184</v>
      </c>
      <c r="D20" s="26" t="s">
        <v>422</v>
      </c>
      <c r="E20" s="27" t="s">
        <v>371</v>
      </c>
      <c r="F20" s="28" t="n">
        <v>1</v>
      </c>
      <c r="G20" s="27" t="s">
        <v>187</v>
      </c>
      <c r="H20" s="26" t="s">
        <v>188</v>
      </c>
      <c r="I20" s="29" t="n">
        <v>8.5</v>
      </c>
      <c r="J20" s="27" t="s">
        <v>423</v>
      </c>
      <c r="K20" s="30" t="n">
        <v>924</v>
      </c>
      <c r="L20" s="31" t="n">
        <v>815</v>
      </c>
      <c r="M20" s="32" t="n">
        <f aca="false">L20/30</f>
        <v>27.1666666666667</v>
      </c>
      <c r="N20" s="33" t="n">
        <v>0.041045910611128</v>
      </c>
      <c r="O20" s="27" t="s">
        <v>424</v>
      </c>
      <c r="P20" s="27" t="s">
        <v>425</v>
      </c>
      <c r="Q20" s="27" t="s">
        <v>426</v>
      </c>
      <c r="R20" s="34" t="n">
        <v>2</v>
      </c>
      <c r="S20" s="35" t="n">
        <v>10</v>
      </c>
      <c r="T20" s="36" t="s">
        <v>427</v>
      </c>
      <c r="U20" s="27" t="s">
        <v>428</v>
      </c>
      <c r="V20" s="37" t="n">
        <f aca="false">IFERROR(INDEX(Sleephoria_History!$F$454:$F$2115,MATCH($A20,Sleephoria_History!$A$454:$A$2115,0)),"")</f>
        <v>324</v>
      </c>
      <c r="W20" s="38" t="n">
        <f aca="false">IFERROR(INDEX(Sleephoria_History!$J$454:$J$2115,MATCH($A20,Sleephoria_History!$A$454:$A$2115,0)),"")</f>
        <v>0.1667</v>
      </c>
      <c r="X20" s="39" t="n">
        <f aca="false">IFERROR(INDEX(Sleephoria_History!$H$454:$H$2115,MATCH($A20,Sleephoria_History!$A$454:$A$2115,0)),"")</f>
        <v>3.69</v>
      </c>
      <c r="Y20" s="38" t="n">
        <f aca="false">IFERROR(INDEX(Sleephoria_History!$M$454:$M$2115,MATCH($A20,Sleephoria_History!$A$454:$A$2115,0)),"")</f>
        <v>0.304</v>
      </c>
      <c r="Z20" s="40" t="n">
        <f aca="false">IFERROR(INDEX(Sleephoria_History!$L$454:$L$2115,MATCH($A20,Sleephoria_History!$A$454:$A$2115,0)),"")</f>
        <v>3934.45</v>
      </c>
      <c r="AA20" s="37" t="str">
        <f aca="false">IFERROR(INDEX(Decolure_History!$F$397:$F$709,MATCH($A20,Decolure_History!$A$397:$A$709,0)),"")</f>
        <v/>
      </c>
      <c r="AB20" s="38" t="str">
        <f aca="false">IFERROR(INDEX(Decolure_History!$J$397:$J$709,MATCH($A20,Decolure_History!$A$397:$A$709,0)),"")</f>
        <v/>
      </c>
      <c r="AC20" s="38" t="str">
        <f aca="false">IFERROR(INDEX(Decolure_History!$M$397:$M$709,MATCH($A20,Decolure_History!$A$397:$A$709,0)),"")</f>
        <v/>
      </c>
      <c r="AD20" s="41" t="n">
        <v>0.1334</v>
      </c>
      <c r="AE20" s="27" t="s">
        <v>429</v>
      </c>
      <c r="AF20" s="42" t="n">
        <v>0.502</v>
      </c>
      <c r="AG20" s="32" t="n">
        <f aca="false">M20*AF20</f>
        <v>13.6376666666667</v>
      </c>
      <c r="AH20" s="43" t="n">
        <f aca="false">IF(AO20="Brand Defense",0,IFERROR(VLOOKUP(S20,Assumptions!$A$24:$B$28,2,FALSE()),0))</f>
        <v>0.028</v>
      </c>
      <c r="AI20" s="28" t="n">
        <f aca="false">Assumptions!$B$6</f>
        <v>0.66</v>
      </c>
      <c r="AJ20" s="44" t="n">
        <f aca="false">AG20*AH20*AI20</f>
        <v>0.25202408</v>
      </c>
      <c r="AK20" s="44" t="n">
        <f aca="false">AJ20*AD20</f>
        <v>0.033620012272</v>
      </c>
      <c r="AL20" s="30" t="n">
        <f aca="false">AJ20*56</f>
        <v>14.11334848</v>
      </c>
      <c r="AM20" s="32" t="n">
        <f aca="false">AK20*56</f>
        <v>1.882720687232</v>
      </c>
      <c r="AN20" s="44" t="n">
        <f aca="false">M20*Assumptions!$B$8</f>
        <v>2.71666666666667</v>
      </c>
      <c r="AO20" s="27" t="s">
        <v>430</v>
      </c>
      <c r="AP20" s="27" t="s">
        <v>431</v>
      </c>
      <c r="AQ20" s="26" t="s">
        <v>198</v>
      </c>
      <c r="AR20" s="27" t="s">
        <v>199</v>
      </c>
      <c r="AS20" s="44" t="n">
        <f aca="false">IF(AO20="Ranking — Full Push",MIN(MAX(AJ20,Assumptions!$B$9),AN20),IF(AO20="Brand Defense",MIN(Assumptions!$B$7,AN20),IF(OR(AO20="Ranking — Head Term (Capped)",AO20="Ranking — Capped Entry"),MIN(MAX(AJ20,Assumptions!$B$9),Assumptions!$B$7,AN20),IF(AO20="Ranking — Capped Long-Tail",MIN(AJ20,Assumptions!$B$10,AN20),MIN(AJ20,AN20)))))</f>
        <v>1</v>
      </c>
      <c r="AT20" s="27" t="str">
        <f aca="false">IF(AJ20&lt;=0,"",IF(AS20&gt;=AJ20,IF(AS20&gt;AJ20*1.05,"Floor of "&amp;TEXT(AS20,"0.0")&amp;" click/day to read CVR (rank needs "&amp;TEXT(AJ20,"0.00")&amp;")","Fully funded (100%)"),"Capped at "&amp;TEXT(AS20/AJ20,"0%")&amp;" of required"))</f>
        <v>Floor of 1.0 click/day to read CVR (rank needs 0.25)</v>
      </c>
      <c r="AU20" s="44" t="n">
        <f aca="false">AS20*AD20</f>
        <v>0.1334</v>
      </c>
      <c r="AV20" s="45" t="n">
        <f aca="false">AU20*AY20</f>
        <v>11.604466</v>
      </c>
      <c r="AW20" s="46" t="n">
        <v>3.69</v>
      </c>
      <c r="AX20" s="27" t="s">
        <v>432</v>
      </c>
      <c r="AY20" s="47" t="n">
        <f aca="false">INDEX(Assumptions!$B$33:$B$37,MATCH(IF($D20="","Queen",$D20),Assumptions!$A$33:$A$37,0))</f>
        <v>86.99</v>
      </c>
      <c r="AZ20" s="33" t="n">
        <f aca="false">INDEX(Assumptions!$K$33:$K$37,MATCH(IF($D20="","Queen",$D20),Assumptions!$A$33:$A$37,0))</f>
        <v>0.531293826876653</v>
      </c>
      <c r="BA20" s="33" t="n">
        <f aca="false">INDEX(Assumptions!$H$33:$H$37,MATCH(IF($D20="","Queen",$D20),Assumptions!$A$33:$A$37,0))</f>
        <v>0.354195884584435</v>
      </c>
      <c r="BB20" s="47" t="n">
        <f aca="false">AY20*AZ20*AD20</f>
        <v>6.16538115</v>
      </c>
      <c r="BC20" s="47" t="n">
        <f aca="false">ROUND(MIN(AW20*Assumptions!$B$11,BB20),2)</f>
        <v>3.69</v>
      </c>
      <c r="BD20" s="26" t="s">
        <v>201</v>
      </c>
      <c r="BE20" s="48" t="n">
        <f aca="false">IF(AO20="Ranking — Full Push",MAX(0,MIN(IF(BD20="Yes",Assumptions!$B$12,Assumptions!$B$13),FLOOR(MAX(0,BB20/BC20-1),Assumptions!$B$14))),0)</f>
        <v>0</v>
      </c>
      <c r="BF20" s="49" t="str">
        <f aca="false">IF(AO20="Ranking — Full Push",IF(BE20&gt;=1,"YES — +100% Top of Search. Effective CPC $"&amp;TEXT(BG20,"0.00")&amp;" (= $"&amp;TEXT(BC20,"0.00")&amp;" × 2) stays within the $"&amp;TEXT(BB20,"0.00")&amp;" max ranking CPC"&amp;" (= $"&amp;TEXT(AY20,"0.00")&amp;" price × "&amp;TEXT(AZ20,"0.0%")&amp;" ranking ceiling × "&amp;TEXT(AD20,"0.0%")&amp;" CVR)"&amp;". Sleephoria CVR is proven on this term, so the full push is justified.",IF(AND(BD20="No",BE20&gt;=Assumptions!$B$13),"PARTIAL — +"&amp;TEXT(BE20,"0%")&amp;" Top of Search (limit for terms without proven CVR). Effective CPC $"&amp;TEXT(BG20,"0.00")&amp;" vs $"&amp;TEXT(BB20,"0.00")&amp;" max ranking CPC"&amp;" (= $"&amp;TEXT(AY20,"0.00")&amp;" price × "&amp;TEXT(AZ20,"0.0%")&amp;" ranking ceiling × "&amp;TEXT(AD20,"0.0%")&amp;" CVR)"&amp;". Raise to +100% only after CooLinens converts at ≥ "&amp;TEXT(AD20,"0.0%")&amp;" on 50+ clicks and $"&amp;TEXT(BC20*2,"0.00")&amp;" ≤ the max.",IF(BE20&gt;0,"PARTIAL — +"&amp;TEXT(BE20,"0%")&amp;" Top of Search. Effective CPC $"&amp;TEXT(BG20,"0.00")&amp;" stays within the $"&amp;TEXT(BB20,"0.00")&amp;" max ranking CPC"&amp;" (= $"&amp;TEXT(AY20,"0.00")&amp;" price × "&amp;TEXT(AZ20,"0.0%")&amp;" ranking ceiling × "&amp;TEXT(AD20,"0.0%")&amp;" CVR)"&amp;". +100% would cost $"&amp;TEXT(BC20*2,"0.00")&amp;" per click and push ACoS to "&amp;TEXT(BC20*2/(AY20*AD20),"0.0%")&amp;", above the "&amp;TEXT(AZ20,"0.0%")&amp;" ceiling.","NO — 0%. Base bid $"&amp;TEXT(BC20,"0.00")&amp;" already equals the $"&amp;TEXT(BB20,"0.00")&amp;" max ranking CPC"&amp;" (= $"&amp;TEXT(AY20,"0.00")&amp;" price × "&amp;TEXT(AZ20,"0.0%")&amp;" ranking ceiling × "&amp;TEXT(AD20,"0.0%")&amp;" CVR)"&amp;"; any modifier would push ACoS above the "&amp;TEXT(AZ20,"0.0%")&amp;" ceiling."))),IF(OR(AO20="Ranking — Head Term (Capped)",AO20="Ranking — Capped Entry",AO20="Ranking — Capped Long-Tail"),"NO — 0% (capped ranking entry). Bid $"&amp;TEXT(BC20,"0.00")&amp;" vs $"&amp;TEXT(BB20,"0.00")&amp;" max ranking CPC"&amp;" (= $"&amp;TEXT(AY20,"0.00")&amp;" price × "&amp;TEXT(AZ20,"0.0%")&amp;" ranking ceiling × "&amp;TEXT(AD20,"0.0%")&amp;" CVR)"&amp;". While spend is capped at "&amp;TEXT(AS20,"0.00")&amp;" clicks/day, a placement premium would only raise CPC without buying more rank; the modifier is set when this term moves to a full push.","NO — 0% (support / brand term). Bid $"&amp;TEXT(BC20,"0.00")&amp;" vs $"&amp;TEXT(BB20,"0.00")&amp;" max ranking CPC"&amp;" (= $"&amp;TEXT(AY20,"0.00")&amp;" price × "&amp;TEXT(AZ20,"0.0%")&amp;" ranking ceiling × "&amp;TEXT(AD20,"0.0%")&amp;" CVR)"&amp;"; expected ACoS "&amp;TEXT(BI20,"0.0%")&amp;" vs the "&amp;TEXT(AZ20,"0.0%")&amp;" ceiling."))</f>
        <v>NO — 0% (capped ranking entry). Bid $3.69 vs $6.17 max ranking CPC (= $86.99 price × 53.1% ranking ceiling × 13.3% CVR). While spend is capped at 1.00 clicks/day, a placement premium would only raise CPC without buying more rank; the modifier is set when this term moves to a full push.</v>
      </c>
      <c r="BG20" s="50" t="n">
        <f aca="false">BC20*(1+BE20)</f>
        <v>3.69</v>
      </c>
      <c r="BH20" s="45" t="n">
        <f aca="false">AS20*BG20</f>
        <v>3.69</v>
      </c>
      <c r="BI20" s="33" t="n">
        <f aca="false">IFERROR(BG20/(AY20*AD20),"")</f>
        <v>0.317981025581013</v>
      </c>
      <c r="BJ20" s="27" t="str">
        <f aca="false">IF(BI20="","",IF(BI20&lt;=BA20,"Profitable (≤ break-even)",IF(BI20&lt;=AZ20,"Ranking investment (≤ ceiling)","Above ceiling — reduce bid")))</f>
        <v>Profitable (≤ break-even)</v>
      </c>
      <c r="BK20" s="49" t="str">
        <f aca="false">"Base $"&amp;TEXT(BC20,"0.00")&amp;" × (1 + "&amp;TEXT(BE20,"0%")&amp;" TOS) = $"&amp;TEXT(BG20,"0.00")&amp;" effective CPC [max $"&amp;TEXT(BB20,"0.00")&amp;"]. "&amp;TEXT(AG20,"0.0")&amp;" market clicks/day × "&amp;TEXT(AH20,"0.00%")&amp;" click share × "&amp;TEXT(AI20,"0%")&amp;" paid = "&amp;TEXT(AJ20,"0.00")&amp;" clicks/day needed; "&amp;"planned "&amp;TEXT(AS20,"0.00")&amp;" clicks/day × "&amp;TEXT(AD20,"0.0%")&amp;" CVR = "&amp;TEXT(AU20,"0.00")&amp;" orders/day. "&amp;"Spend $"&amp;TEXT(BH20,"0.00")&amp;"/day, ACoS "&amp;TEXT(BI20,"0.0%")&amp;" (ceiling "&amp;TEXT(AZ20,"0.0%")&amp;", break-even "&amp;TEXT(BA20,"0.0%")&amp;"). "&amp;"Target organic rank #"&amp;S20&amp;" by week 8 ("&amp;T20&amp;")."</f>
        <v>Base $3.69 × (1 + 0% TOS) = $3.69 effective CPC [max $6.17]. 13.6 market clicks/day × 2.80% click share × 66% paid = 0.25 clicks/day needed; planned 1.00 clicks/day × 13.3% CVR = 0.13 orders/day. Spend $3.69/day, ACoS 31.8% (ceiling 53.1%, break-even 35.4%). Target organic rank #10 by week 8 (#40 → #20 → #10 (full push after size assignment)).</v>
      </c>
      <c r="BL20" s="27" t="s">
        <v>433</v>
      </c>
      <c r="BM20" s="27" t="s">
        <v>203</v>
      </c>
      <c r="BN20" s="27" t="s">
        <v>434</v>
      </c>
      <c r="BO20" s="27" t="s">
        <v>421</v>
      </c>
      <c r="BP20" s="27" t="s">
        <v>435</v>
      </c>
      <c r="BQ20" s="26" t="s">
        <v>436</v>
      </c>
      <c r="BR20" s="40" t="n">
        <f aca="false">IFERROR(INDEX(Campaigns!$L:$L,MATCH(BN20,Campaigns!$A:$A,0)),"")</f>
        <v>10</v>
      </c>
      <c r="BS20" s="51" t="str">
        <f aca="false">IFERROR(INDEX(Inventory!$O:$O,MATCH(BP20,Inventory!$A:$A,0)),"")</f>
        <v>OK</v>
      </c>
      <c r="BT20" s="52" t="n">
        <f aca="false">IFERROR(INDEX(Inventory!$N:$N,MATCH(BP20,Inventory!$A:$A,0)),"")</f>
        <v>77.9698137852892</v>
      </c>
      <c r="BU20" s="27" t="s">
        <v>437</v>
      </c>
      <c r="BV20" s="27" t="s">
        <v>263</v>
      </c>
      <c r="BW20" s="27" t="s">
        <v>438</v>
      </c>
      <c r="BX20" s="27" t="s">
        <v>439</v>
      </c>
      <c r="BY20" s="27" t="s">
        <v>440</v>
      </c>
      <c r="BZ20" s="27" t="s">
        <v>441</v>
      </c>
      <c r="CA20" s="27" t="s">
        <v>442</v>
      </c>
      <c r="CB20" s="27" t="s">
        <v>443</v>
      </c>
      <c r="CC20" s="27" t="s">
        <v>444</v>
      </c>
    </row>
    <row r="21" customFormat="false" ht="120" hidden="false" customHeight="true" outlineLevel="0" collapsed="false">
      <c r="A21" s="24" t="s">
        <v>445</v>
      </c>
      <c r="B21" s="25" t="n">
        <v>1</v>
      </c>
      <c r="C21" s="26" t="s">
        <v>184</v>
      </c>
      <c r="D21" s="26" t="s">
        <v>422</v>
      </c>
      <c r="E21" s="27" t="s">
        <v>371</v>
      </c>
      <c r="F21" s="28" t="n">
        <v>1</v>
      </c>
      <c r="G21" s="27" t="s">
        <v>187</v>
      </c>
      <c r="H21" s="26" t="s">
        <v>188</v>
      </c>
      <c r="I21" s="29" t="n">
        <v>9</v>
      </c>
      <c r="J21" s="27" t="s">
        <v>446</v>
      </c>
      <c r="K21" s="30" t="n">
        <v>672</v>
      </c>
      <c r="L21" s="31" t="n">
        <v>496</v>
      </c>
      <c r="M21" s="32" t="n">
        <f aca="false">L21/30</f>
        <v>16.5333333333333</v>
      </c>
      <c r="N21" s="33" t="n">
        <v>0.0345102203344836</v>
      </c>
      <c r="O21" s="27" t="s">
        <v>447</v>
      </c>
      <c r="P21" s="27" t="s">
        <v>448</v>
      </c>
      <c r="Q21" s="27" t="s">
        <v>449</v>
      </c>
      <c r="R21" s="34" t="n">
        <v>7</v>
      </c>
      <c r="S21" s="35" t="n">
        <v>15</v>
      </c>
      <c r="T21" s="36" t="s">
        <v>450</v>
      </c>
      <c r="U21" s="27" t="s">
        <v>451</v>
      </c>
      <c r="V21" s="37" t="n">
        <f aca="false">IFERROR(INDEX(Sleephoria_History!$F$454:$F$2115,MATCH($A21,Sleephoria_History!$A$454:$A$2115,0)),"")</f>
        <v>227</v>
      </c>
      <c r="W21" s="38" t="n">
        <f aca="false">IFERROR(INDEX(Sleephoria_History!$J$454:$J$2115,MATCH($A21,Sleephoria_History!$A$454:$A$2115,0)),"")</f>
        <v>0.1718</v>
      </c>
      <c r="X21" s="39" t="n">
        <f aca="false">IFERROR(INDEX(Sleephoria_History!$H$454:$H$2115,MATCH($A21,Sleephoria_History!$A$454:$A$2115,0)),"")</f>
        <v>3.71</v>
      </c>
      <c r="Y21" s="38" t="n">
        <f aca="false">IFERROR(INDEX(Sleephoria_History!$M$454:$M$2115,MATCH($A21,Sleephoria_History!$A$454:$A$2115,0)),"")</f>
        <v>0.297</v>
      </c>
      <c r="Z21" s="40" t="n">
        <f aca="false">IFERROR(INDEX(Sleephoria_History!$L$454:$L$2115,MATCH($A21,Sleephoria_History!$A$454:$A$2115,0)),"")</f>
        <v>2831.6</v>
      </c>
      <c r="AA21" s="37" t="n">
        <f aca="false">IFERROR(INDEX(Decolure_History!$F$397:$F$709,MATCH($A21,Decolure_History!$A$397:$A$709,0)),"")</f>
        <v>48</v>
      </c>
      <c r="AB21" s="38" t="n">
        <f aca="false">IFERROR(INDEX(Decolure_History!$J$397:$J$709,MATCH($A21,Decolure_History!$A$397:$A$709,0)),"")</f>
        <v>0.0417</v>
      </c>
      <c r="AC21" s="38" t="n">
        <f aca="false">IFERROR(INDEX(Decolure_History!$M$397:$M$709,MATCH($A21,Decolure_History!$A$397:$A$709,0)),"")</f>
        <v>1.061</v>
      </c>
      <c r="AD21" s="41" t="n">
        <v>0.1374</v>
      </c>
      <c r="AE21" s="27" t="s">
        <v>452</v>
      </c>
      <c r="AF21" s="42" t="n">
        <v>0.507</v>
      </c>
      <c r="AG21" s="32" t="n">
        <f aca="false">M21*AF21</f>
        <v>8.3824</v>
      </c>
      <c r="AH21" s="43" t="n">
        <f aca="false">IF(AO21="Brand Defense",0,IFERROR(VLOOKUP(S21,Assumptions!$A$24:$B$28,2,FALSE()),0))</f>
        <v>0.0149</v>
      </c>
      <c r="AI21" s="28" t="n">
        <f aca="false">Assumptions!$B$6</f>
        <v>0.66</v>
      </c>
      <c r="AJ21" s="44" t="n">
        <f aca="false">AG21*AH21*AI21</f>
        <v>0.0824325216</v>
      </c>
      <c r="AK21" s="44" t="n">
        <f aca="false">AJ21*AD21</f>
        <v>0.01132622846784</v>
      </c>
      <c r="AL21" s="30" t="n">
        <f aca="false">AJ21*56</f>
        <v>4.6162212096</v>
      </c>
      <c r="AM21" s="32" t="n">
        <f aca="false">AK21*56</f>
        <v>0.63426879419904</v>
      </c>
      <c r="AN21" s="44" t="n">
        <f aca="false">M21*Assumptions!$B$8</f>
        <v>1.65333333333333</v>
      </c>
      <c r="AO21" s="27" t="s">
        <v>430</v>
      </c>
      <c r="AP21" s="27" t="s">
        <v>431</v>
      </c>
      <c r="AQ21" s="26" t="s">
        <v>198</v>
      </c>
      <c r="AR21" s="27" t="s">
        <v>199</v>
      </c>
      <c r="AS21" s="44" t="n">
        <f aca="false">IF(AO21="Ranking — Full Push",MIN(MAX(AJ21,Assumptions!$B$9),AN21),IF(AO21="Brand Defense",MIN(Assumptions!$B$7,AN21),IF(OR(AO21="Ranking — Head Term (Capped)",AO21="Ranking — Capped Entry"),MIN(MAX(AJ21,Assumptions!$B$9),Assumptions!$B$7,AN21),IF(AO21="Ranking — Capped Long-Tail",MIN(AJ21,Assumptions!$B$10,AN21),MIN(AJ21,AN21)))))</f>
        <v>1</v>
      </c>
      <c r="AT21" s="27" t="str">
        <f aca="false">IF(AJ21&lt;=0,"",IF(AS21&gt;=AJ21,IF(AS21&gt;AJ21*1.05,"Floor of "&amp;TEXT(AS21,"0.0")&amp;" click/day to read CVR (rank needs "&amp;TEXT(AJ21,"0.00")&amp;")","Fully funded (100%)"),"Capped at "&amp;TEXT(AS21/AJ21,"0%")&amp;" of required"))</f>
        <v>Floor of 1.0 click/day to read CVR (rank needs 0.08)</v>
      </c>
      <c r="AU21" s="44" t="n">
        <f aca="false">AS21*AD21</f>
        <v>0.1374</v>
      </c>
      <c r="AV21" s="45" t="n">
        <f aca="false">AU21*AY21</f>
        <v>11.952426</v>
      </c>
      <c r="AW21" s="46" t="n">
        <v>3.71</v>
      </c>
      <c r="AX21" s="27" t="s">
        <v>453</v>
      </c>
      <c r="AY21" s="47" t="n">
        <f aca="false">INDEX(Assumptions!$B$33:$B$37,MATCH(IF($D21="","Queen",$D21),Assumptions!$A$33:$A$37,0))</f>
        <v>86.99</v>
      </c>
      <c r="AZ21" s="33" t="n">
        <f aca="false">INDEX(Assumptions!$K$33:$K$37,MATCH(IF($D21="","Queen",$D21),Assumptions!$A$33:$A$37,0))</f>
        <v>0.531293826876653</v>
      </c>
      <c r="BA21" s="33" t="n">
        <f aca="false">INDEX(Assumptions!$H$33:$H$37,MATCH(IF($D21="","Queen",$D21),Assumptions!$A$33:$A$37,0))</f>
        <v>0.354195884584435</v>
      </c>
      <c r="BB21" s="47" t="n">
        <f aca="false">AY21*AZ21*AD21</f>
        <v>6.35025015</v>
      </c>
      <c r="BC21" s="47" t="n">
        <f aca="false">ROUND(MIN(AW21*Assumptions!$B$11,BB21),2)</f>
        <v>3.71</v>
      </c>
      <c r="BD21" s="26" t="s">
        <v>201</v>
      </c>
      <c r="BE21" s="48" t="n">
        <f aca="false">IF(AO21="Ranking — Full Push",MAX(0,MIN(IF(BD21="Yes",Assumptions!$B$12,Assumptions!$B$13),FLOOR(MAX(0,BB21/BC21-1),Assumptions!$B$14))),0)</f>
        <v>0</v>
      </c>
      <c r="BF21" s="49" t="str">
        <f aca="false">IF(AO21="Ranking — Full Push",IF(BE21&gt;=1,"YES — +100% Top of Search. Effective CPC $"&amp;TEXT(BG21,"0.00")&amp;" (= $"&amp;TEXT(BC21,"0.00")&amp;" × 2) stays within the $"&amp;TEXT(BB21,"0.00")&amp;" max ranking CPC"&amp;" (= $"&amp;TEXT(AY21,"0.00")&amp;" price × "&amp;TEXT(AZ21,"0.0%")&amp;" ranking ceiling × "&amp;TEXT(AD21,"0.0%")&amp;" CVR)"&amp;". Sleephoria CVR is proven on this term, so the full push is justified.",IF(AND(BD21="No",BE21&gt;=Assumptions!$B$13),"PARTIAL — +"&amp;TEXT(BE21,"0%")&amp;" Top of Search (limit for terms without proven CVR). Effective CPC $"&amp;TEXT(BG21,"0.00")&amp;" vs $"&amp;TEXT(BB21,"0.00")&amp;" max ranking CPC"&amp;" (= $"&amp;TEXT(AY21,"0.00")&amp;" price × "&amp;TEXT(AZ21,"0.0%")&amp;" ranking ceiling × "&amp;TEXT(AD21,"0.0%")&amp;" CVR)"&amp;". Raise to +100% only after CooLinens converts at ≥ "&amp;TEXT(AD21,"0.0%")&amp;" on 50+ clicks and $"&amp;TEXT(BC21*2,"0.00")&amp;" ≤ the max.",IF(BE21&gt;0,"PARTIAL — +"&amp;TEXT(BE21,"0%")&amp;" Top of Search. Effective CPC $"&amp;TEXT(BG21,"0.00")&amp;" stays within the $"&amp;TEXT(BB21,"0.00")&amp;" max ranking CPC"&amp;" (= $"&amp;TEXT(AY21,"0.00")&amp;" price × "&amp;TEXT(AZ21,"0.0%")&amp;" ranking ceiling × "&amp;TEXT(AD21,"0.0%")&amp;" CVR)"&amp;". +100% would cost $"&amp;TEXT(BC21*2,"0.00")&amp;" per click and push ACoS to "&amp;TEXT(BC21*2/(AY21*AD21),"0.0%")&amp;", above the "&amp;TEXT(AZ21,"0.0%")&amp;" ceiling.","NO — 0%. Base bid $"&amp;TEXT(BC21,"0.00")&amp;" already equals the $"&amp;TEXT(BB21,"0.00")&amp;" max ranking CPC"&amp;" (= $"&amp;TEXT(AY21,"0.00")&amp;" price × "&amp;TEXT(AZ21,"0.0%")&amp;" ranking ceiling × "&amp;TEXT(AD21,"0.0%")&amp;" CVR)"&amp;"; any modifier would push ACoS above the "&amp;TEXT(AZ21,"0.0%")&amp;" ceiling."))),IF(OR(AO21="Ranking — Head Term (Capped)",AO21="Ranking — Capped Entry",AO21="Ranking — Capped Long-Tail"),"NO — 0% (capped ranking entry). Bid $"&amp;TEXT(BC21,"0.00")&amp;" vs $"&amp;TEXT(BB21,"0.00")&amp;" max ranking CPC"&amp;" (= $"&amp;TEXT(AY21,"0.00")&amp;" price × "&amp;TEXT(AZ21,"0.0%")&amp;" ranking ceiling × "&amp;TEXT(AD21,"0.0%")&amp;" CVR)"&amp;". While spend is capped at "&amp;TEXT(AS21,"0.00")&amp;" clicks/day, a placement premium would only raise CPC without buying more rank; the modifier is set when this term moves to a full push.","NO — 0% (support / brand term). Bid $"&amp;TEXT(BC21,"0.00")&amp;" vs $"&amp;TEXT(BB21,"0.00")&amp;" max ranking CPC"&amp;" (= $"&amp;TEXT(AY21,"0.00")&amp;" price × "&amp;TEXT(AZ21,"0.0%")&amp;" ranking ceiling × "&amp;TEXT(AD21,"0.0%")&amp;" CVR)"&amp;"; expected ACoS "&amp;TEXT(BI21,"0.0%")&amp;" vs the "&amp;TEXT(AZ21,"0.0%")&amp;" ceiling."))</f>
        <v>NO — 0% (capped ranking entry). Bid $3.71 vs $6.35 max ranking CPC (= $86.99 price × 53.1% ranking ceiling × 13.7% CVR). While spend is capped at 1.00 clicks/day, a placement premium would only raise CPC without buying more rank; the modifier is set when this term moves to a full push.</v>
      </c>
      <c r="BG21" s="50" t="n">
        <f aca="false">BC21*(1+BE21)</f>
        <v>3.71</v>
      </c>
      <c r="BH21" s="45" t="n">
        <f aca="false">AS21*BG21</f>
        <v>3.71</v>
      </c>
      <c r="BI21" s="33" t="n">
        <f aca="false">IFERROR(BG21/(AY21*AD21),"")</f>
        <v>0.310397236510814</v>
      </c>
      <c r="BJ21" s="27" t="str">
        <f aca="false">IF(BI21="","",IF(BI21&lt;=BA21,"Profitable (≤ break-even)",IF(BI21&lt;=AZ21,"Ranking investment (≤ ceiling)","Above ceiling — reduce bid")))</f>
        <v>Profitable (≤ break-even)</v>
      </c>
      <c r="BK21" s="49" t="str">
        <f aca="false">"Base $"&amp;TEXT(BC21,"0.00")&amp;" × (1 + "&amp;TEXT(BE21,"0%")&amp;" TOS) = $"&amp;TEXT(BG21,"0.00")&amp;" effective CPC [max $"&amp;TEXT(BB21,"0.00")&amp;"]. "&amp;TEXT(AG21,"0.0")&amp;" market clicks/day × "&amp;TEXT(AH21,"0.00%")&amp;" click share × "&amp;TEXT(AI21,"0%")&amp;" paid = "&amp;TEXT(AJ21,"0.00")&amp;" clicks/day needed; "&amp;"planned "&amp;TEXT(AS21,"0.00")&amp;" clicks/day × "&amp;TEXT(AD21,"0.0%")&amp;" CVR = "&amp;TEXT(AU21,"0.00")&amp;" orders/day. "&amp;"Spend $"&amp;TEXT(BH21,"0.00")&amp;"/day, ACoS "&amp;TEXT(BI21,"0.0%")&amp;" (ceiling "&amp;TEXT(AZ21,"0.0%")&amp;", break-even "&amp;TEXT(BA21,"0.0%")&amp;"). "&amp;"Target organic rank #"&amp;S21&amp;" by week 8 ("&amp;T21&amp;")."</f>
        <v>Base $3.71 × (1 + 0% TOS) = $3.71 effective CPC [max $6.35]. 8.4 market clicks/day × 1.49% click share × 66% paid = 0.08 clicks/day needed; planned 1.00 clicks/day × 13.7% CVR = 0.14 orders/day. Spend $3.71/day, ACoS 31.0% (ceiling 53.1%, break-even 35.4%). Target organic rank #15 by week 8 (#50 → #30 → #15 (full push after size assignment)).</v>
      </c>
      <c r="BL21" s="27" t="s">
        <v>433</v>
      </c>
      <c r="BM21" s="27" t="s">
        <v>203</v>
      </c>
      <c r="BN21" s="27" t="s">
        <v>454</v>
      </c>
      <c r="BO21" s="27" t="s">
        <v>445</v>
      </c>
      <c r="BP21" s="27" t="s">
        <v>435</v>
      </c>
      <c r="BQ21" s="26" t="s">
        <v>436</v>
      </c>
      <c r="BR21" s="40" t="n">
        <f aca="false">IFERROR(INDEX(Campaigns!$L:$L,MATCH(BN21,Campaigns!$A:$A,0)),"")</f>
        <v>10</v>
      </c>
      <c r="BS21" s="51" t="str">
        <f aca="false">IFERROR(INDEX(Inventory!$O:$O,MATCH(BP21,Inventory!$A:$A,0)),"")</f>
        <v>OK</v>
      </c>
      <c r="BT21" s="52" t="n">
        <f aca="false">IFERROR(INDEX(Inventory!$N:$N,MATCH(BP21,Inventory!$A:$A,0)),"")</f>
        <v>77.9698137852892</v>
      </c>
      <c r="BU21" s="27" t="s">
        <v>455</v>
      </c>
      <c r="BV21" s="27" t="s">
        <v>456</v>
      </c>
      <c r="BW21" s="27" t="s">
        <v>457</v>
      </c>
      <c r="BX21" s="27" t="s">
        <v>458</v>
      </c>
      <c r="BY21" s="27" t="s">
        <v>459</v>
      </c>
      <c r="BZ21" s="27" t="s">
        <v>460</v>
      </c>
      <c r="CA21" s="27" t="s">
        <v>442</v>
      </c>
      <c r="CB21" s="27" t="s">
        <v>461</v>
      </c>
      <c r="CC21" s="27" t="s">
        <v>462</v>
      </c>
    </row>
    <row r="22" customFormat="false" ht="120" hidden="false" customHeight="true" outlineLevel="0" collapsed="false">
      <c r="A22" s="24" t="s">
        <v>463</v>
      </c>
      <c r="B22" s="25" t="n">
        <v>1</v>
      </c>
      <c r="C22" s="26" t="s">
        <v>184</v>
      </c>
      <c r="D22" s="26" t="s">
        <v>422</v>
      </c>
      <c r="E22" s="27" t="s">
        <v>371</v>
      </c>
      <c r="F22" s="28" t="n">
        <v>1</v>
      </c>
      <c r="G22" s="27" t="s">
        <v>187</v>
      </c>
      <c r="H22" s="26" t="s">
        <v>342</v>
      </c>
      <c r="I22" s="29" t="n">
        <v>6</v>
      </c>
      <c r="J22" s="27" t="s">
        <v>464</v>
      </c>
      <c r="K22" s="30" t="n">
        <v>639</v>
      </c>
      <c r="L22" s="31" t="n">
        <v>457</v>
      </c>
      <c r="M22" s="32" t="n">
        <f aca="false">L22/30</f>
        <v>15.2333333333333</v>
      </c>
      <c r="N22" s="33" t="n">
        <v>0.0340956340956341</v>
      </c>
      <c r="O22" s="27" t="s">
        <v>465</v>
      </c>
      <c r="P22" s="27" t="s">
        <v>466</v>
      </c>
      <c r="Q22" s="27" t="s">
        <v>273</v>
      </c>
      <c r="R22" s="34" t="n">
        <v>5</v>
      </c>
      <c r="S22" s="35" t="n">
        <v>20</v>
      </c>
      <c r="T22" s="36" t="s">
        <v>467</v>
      </c>
      <c r="U22" s="27" t="s">
        <v>468</v>
      </c>
      <c r="V22" s="37" t="n">
        <f aca="false">IFERROR(INDEX(Sleephoria_History!$F$454:$F$2115,MATCH($A22,Sleephoria_History!$A$454:$A$2115,0)),"")</f>
        <v>13</v>
      </c>
      <c r="W22" s="38" t="n">
        <f aca="false">IFERROR(INDEX(Sleephoria_History!$J$454:$J$2115,MATCH($A22,Sleephoria_History!$A$454:$A$2115,0)),"")</f>
        <v>0</v>
      </c>
      <c r="X22" s="39" t="n">
        <f aca="false">IFERROR(INDEX(Sleephoria_History!$H$454:$H$2115,MATCH($A22,Sleephoria_History!$A$454:$A$2115,0)),"")</f>
        <v>2.05</v>
      </c>
      <c r="Y22" s="38" t="n">
        <f aca="false">IFERROR(INDEX(Sleephoria_History!$M$454:$M$2115,MATCH($A22,Sleephoria_History!$A$454:$A$2115,0)),"")</f>
        <v>0</v>
      </c>
      <c r="Z22" s="40" t="n">
        <f aca="false">IFERROR(INDEX(Sleephoria_History!$L$454:$L$2115,MATCH($A22,Sleephoria_History!$A$454:$A$2115,0)),"")</f>
        <v>0</v>
      </c>
      <c r="AA22" s="37" t="str">
        <f aca="false">IFERROR(INDEX(Decolure_History!$F$397:$F$709,MATCH($A22,Decolure_History!$A$397:$A$709,0)),"")</f>
        <v/>
      </c>
      <c r="AB22" s="38" t="str">
        <f aca="false">IFERROR(INDEX(Decolure_History!$J$397:$J$709,MATCH($A22,Decolure_History!$A$397:$A$709,0)),"")</f>
        <v/>
      </c>
      <c r="AC22" s="38" t="str">
        <f aca="false">IFERROR(INDEX(Decolure_History!$M$397:$M$709,MATCH($A22,Decolure_History!$A$397:$A$709,0)),"")</f>
        <v/>
      </c>
      <c r="AD22" s="41" t="n">
        <v>0.064</v>
      </c>
      <c r="AE22" s="27" t="s">
        <v>275</v>
      </c>
      <c r="AF22" s="42" t="n">
        <v>0.515</v>
      </c>
      <c r="AG22" s="32" t="n">
        <f aca="false">M22*AF22</f>
        <v>7.84516666666667</v>
      </c>
      <c r="AH22" s="43" t="n">
        <f aca="false">IF(AO22="Brand Defense",0,IFERROR(VLOOKUP(S22,Assumptions!$A$24:$B$28,2,FALSE()),0))</f>
        <v>0.0124</v>
      </c>
      <c r="AI22" s="28" t="n">
        <f aca="false">Assumptions!$B$6</f>
        <v>0.66</v>
      </c>
      <c r="AJ22" s="44" t="n">
        <f aca="false">AG22*AH22*AI22</f>
        <v>0.064204844</v>
      </c>
      <c r="AK22" s="44" t="n">
        <f aca="false">AJ22*AD22</f>
        <v>0.004109110016</v>
      </c>
      <c r="AL22" s="30" t="n">
        <f aca="false">AJ22*56</f>
        <v>3.595471264</v>
      </c>
      <c r="AM22" s="32" t="n">
        <f aca="false">AK22*56</f>
        <v>0.230110160896</v>
      </c>
      <c r="AN22" s="44" t="n">
        <f aca="false">M22*Assumptions!$B$8</f>
        <v>1.52333333333333</v>
      </c>
      <c r="AO22" s="27" t="s">
        <v>430</v>
      </c>
      <c r="AP22" s="27" t="s">
        <v>431</v>
      </c>
      <c r="AQ22" s="26" t="s">
        <v>198</v>
      </c>
      <c r="AR22" s="27" t="s">
        <v>199</v>
      </c>
      <c r="AS22" s="44" t="n">
        <f aca="false">IF(AO22="Ranking — Full Push",MIN(MAX(AJ22,Assumptions!$B$9),AN22),IF(AO22="Brand Defense",MIN(Assumptions!$B$7,AN22),IF(OR(AO22="Ranking — Head Term (Capped)",AO22="Ranking — Capped Entry"),MIN(MAX(AJ22,Assumptions!$B$9),Assumptions!$B$7,AN22),IF(AO22="Ranking — Capped Long-Tail",MIN(AJ22,Assumptions!$B$10,AN22),MIN(AJ22,AN22)))))</f>
        <v>1</v>
      </c>
      <c r="AT22" s="27" t="str">
        <f aca="false">IF(AJ22&lt;=0,"",IF(AS22&gt;=AJ22,IF(AS22&gt;AJ22*1.05,"Floor of "&amp;TEXT(AS22,"0.0")&amp;" click/day to read CVR (rank needs "&amp;TEXT(AJ22,"0.00")&amp;")","Fully funded (100%)"),"Capped at "&amp;TEXT(AS22/AJ22,"0%")&amp;" of required"))</f>
        <v>Floor of 1.0 click/day to read CVR (rank needs 0.06)</v>
      </c>
      <c r="AU22" s="44" t="n">
        <f aca="false">AS22*AD22</f>
        <v>0.064</v>
      </c>
      <c r="AV22" s="45" t="n">
        <f aca="false">AU22*AY22</f>
        <v>5.56736</v>
      </c>
      <c r="AW22" s="46" t="n">
        <v>3.66</v>
      </c>
      <c r="AX22" s="27" t="s">
        <v>469</v>
      </c>
      <c r="AY22" s="47" t="n">
        <f aca="false">INDEX(Assumptions!$B$33:$B$37,MATCH(IF($D22="","Queen",$D22),Assumptions!$A$33:$A$37,0))</f>
        <v>86.99</v>
      </c>
      <c r="AZ22" s="33" t="n">
        <f aca="false">INDEX(Assumptions!$K$33:$K$37,MATCH(IF($D22="","Queen",$D22),Assumptions!$A$33:$A$37,0))</f>
        <v>0.531293826876653</v>
      </c>
      <c r="BA22" s="33" t="n">
        <f aca="false">INDEX(Assumptions!$H$33:$H$37,MATCH(IF($D22="","Queen",$D22),Assumptions!$A$33:$A$37,0))</f>
        <v>0.354195884584435</v>
      </c>
      <c r="BB22" s="47" t="n">
        <f aca="false">AY22*AZ22*AD22</f>
        <v>2.957904</v>
      </c>
      <c r="BC22" s="47" t="n">
        <f aca="false">ROUND(MIN(AW22*Assumptions!$B$11,BB22),2)</f>
        <v>2.96</v>
      </c>
      <c r="BD22" s="26" t="s">
        <v>278</v>
      </c>
      <c r="BE22" s="48" t="n">
        <f aca="false">IF(AO22="Ranking — Full Push",MAX(0,MIN(IF(BD22="Yes",Assumptions!$B$12,Assumptions!$B$13),FLOOR(MAX(0,BB22/BC22-1),Assumptions!$B$14))),0)</f>
        <v>0</v>
      </c>
      <c r="BF22" s="49" t="str">
        <f aca="false">IF(AO22="Ranking — Full Push",IF(BE22&gt;=1,"YES — +100% Top of Search. Effective CPC $"&amp;TEXT(BG22,"0.00")&amp;" (= $"&amp;TEXT(BC22,"0.00")&amp;" × 2) stays within the $"&amp;TEXT(BB22,"0.00")&amp;" max ranking CPC"&amp;" (= $"&amp;TEXT(AY22,"0.00")&amp;" price × "&amp;TEXT(AZ22,"0.0%")&amp;" ranking ceiling × "&amp;TEXT(AD22,"0.0%")&amp;" CVR)"&amp;". Sleephoria CVR is proven on this term, so the full push is justified.",IF(AND(BD22="No",BE22&gt;=Assumptions!$B$13),"PARTIAL — +"&amp;TEXT(BE22,"0%")&amp;" Top of Search (limit for terms without proven CVR). Effective CPC $"&amp;TEXT(BG22,"0.00")&amp;" vs $"&amp;TEXT(BB22,"0.00")&amp;" max ranking CPC"&amp;" (= $"&amp;TEXT(AY22,"0.00")&amp;" price × "&amp;TEXT(AZ22,"0.0%")&amp;" ranking ceiling × "&amp;TEXT(AD22,"0.0%")&amp;" CVR)"&amp;". Raise to +100% only after CooLinens converts at ≥ "&amp;TEXT(AD22,"0.0%")&amp;" on 50+ clicks and $"&amp;TEXT(BC22*2,"0.00")&amp;" ≤ the max.",IF(BE22&gt;0,"PARTIAL — +"&amp;TEXT(BE22,"0%")&amp;" Top of Search. Effective CPC $"&amp;TEXT(BG22,"0.00")&amp;" stays within the $"&amp;TEXT(BB22,"0.00")&amp;" max ranking CPC"&amp;" (= $"&amp;TEXT(AY22,"0.00")&amp;" price × "&amp;TEXT(AZ22,"0.0%")&amp;" ranking ceiling × "&amp;TEXT(AD22,"0.0%")&amp;" CVR)"&amp;". +100% would cost $"&amp;TEXT(BC22*2,"0.00")&amp;" per click and push ACoS to "&amp;TEXT(BC22*2/(AY22*AD22),"0.0%")&amp;", above the "&amp;TEXT(AZ22,"0.0%")&amp;" ceiling.","NO — 0%. Base bid $"&amp;TEXT(BC22,"0.00")&amp;" already equals the $"&amp;TEXT(BB22,"0.00")&amp;" max ranking CPC"&amp;" (= $"&amp;TEXT(AY22,"0.00")&amp;" price × "&amp;TEXT(AZ22,"0.0%")&amp;" ranking ceiling × "&amp;TEXT(AD22,"0.0%")&amp;" CVR)"&amp;"; any modifier would push ACoS above the "&amp;TEXT(AZ22,"0.0%")&amp;" ceiling."))),IF(OR(AO22="Ranking — Head Term (Capped)",AO22="Ranking — Capped Entry",AO22="Ranking — Capped Long-Tail"),"NO — 0% (capped ranking entry). Bid $"&amp;TEXT(BC22,"0.00")&amp;" vs $"&amp;TEXT(BB22,"0.00")&amp;" max ranking CPC"&amp;" (= $"&amp;TEXT(AY22,"0.00")&amp;" price × "&amp;TEXT(AZ22,"0.0%")&amp;" ranking ceiling × "&amp;TEXT(AD22,"0.0%")&amp;" CVR)"&amp;". While spend is capped at "&amp;TEXT(AS22,"0.00")&amp;" clicks/day, a placement premium would only raise CPC without buying more rank; the modifier is set when this term moves to a full push.","NO — 0% (support / brand term). Bid $"&amp;TEXT(BC22,"0.00")&amp;" vs $"&amp;TEXT(BB22,"0.00")&amp;" max ranking CPC"&amp;" (= $"&amp;TEXT(AY22,"0.00")&amp;" price × "&amp;TEXT(AZ22,"0.0%")&amp;" ranking ceiling × "&amp;TEXT(AD22,"0.0%")&amp;" CVR)"&amp;"; expected ACoS "&amp;TEXT(BI22,"0.0%")&amp;" vs the "&amp;TEXT(AZ22,"0.0%")&amp;"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G22" s="50" t="n">
        <f aca="false">BC22*(1+BE22)</f>
        <v>2.96</v>
      </c>
      <c r="BH22" s="45" t="n">
        <f aca="false">AS22*BG22</f>
        <v>2.96</v>
      </c>
      <c r="BI22" s="33" t="n">
        <f aca="false">IFERROR(BG22/(AY22*AD22),"")</f>
        <v>0.531670306931831</v>
      </c>
      <c r="BJ22" s="27" t="str">
        <f aca="false">IF(BI22="","",IF(BI22&lt;=BA22,"Profitable (≤ break-even)",IF(BI22&lt;=AZ22,"Ranking investment (≤ ceiling)","Above ceiling — reduce bid")))</f>
        <v>Above ceiling — reduce bid</v>
      </c>
      <c r="BK22" s="49" t="str">
        <f aca="false">"Base $"&amp;TEXT(BC22,"0.00")&amp;" × (1 + "&amp;TEXT(BE22,"0%")&amp;" TOS) = $"&amp;TEXT(BG22,"0.00")&amp;" effective CPC [max $"&amp;TEXT(BB22,"0.00")&amp;"]. "&amp;TEXT(AG22,"0.0")&amp;" market clicks/day × "&amp;TEXT(AH22,"0.00%")&amp;" click share × "&amp;TEXT(AI22,"0%")&amp;" paid = "&amp;TEXT(AJ22,"0.00")&amp;" clicks/day needed; "&amp;"planned "&amp;TEXT(AS22,"0.00")&amp;" clicks/day × "&amp;TEXT(AD22,"0.0%")&amp;" CVR = "&amp;TEXT(AU22,"0.00")&amp;" orders/day. "&amp;"Spend $"&amp;TEXT(BH22,"0.00")&amp;"/day, ACoS "&amp;TEXT(BI22,"0.0%")&amp;" (ceiling "&amp;TEXT(AZ22,"0.0%")&amp;", break-even "&amp;TEXT(BA22,"0.0%")&amp;"). "&amp;"Target organic rank #"&amp;S22&amp;" by week 8 ("&amp;T22&amp;")."</f>
        <v>Base $2.96 × (1 + 0% TOS) = $2.96 effective CPC [max $2.96]. 7.8 market clicks/day × 1.24% click share × 66% paid = 0.06 clicks/day needed; planned 1.00 clicks/day × 6.4% CVR = 0.06 orders/day. Spend $2.96/day, ACoS 53.2% (ceiling 53.1%, break-even 35.4%). Target organic rank #20 by week 8 (#60 → #35 → #20 (full push after size assignment)).</v>
      </c>
      <c r="BL22" s="27" t="s">
        <v>433</v>
      </c>
      <c r="BM22" s="27" t="s">
        <v>203</v>
      </c>
      <c r="BN22" s="27" t="s">
        <v>470</v>
      </c>
      <c r="BO22" s="27" t="s">
        <v>463</v>
      </c>
      <c r="BP22" s="27" t="s">
        <v>435</v>
      </c>
      <c r="BQ22" s="26" t="s">
        <v>436</v>
      </c>
      <c r="BR22" s="40" t="n">
        <f aca="false">IFERROR(INDEX(Campaigns!$L:$L,MATCH(BN22,Campaigns!$A:$A,0)),"")</f>
        <v>10</v>
      </c>
      <c r="BS22" s="51" t="str">
        <f aca="false">IFERROR(INDEX(Inventory!$O:$O,MATCH(BP22,Inventory!$A:$A,0)),"")</f>
        <v>OK</v>
      </c>
      <c r="BT22" s="52" t="n">
        <f aca="false">IFERROR(INDEX(Inventory!$N:$N,MATCH(BP22,Inventory!$A:$A,0)),"")</f>
        <v>77.9698137852892</v>
      </c>
      <c r="BU22" s="27" t="s">
        <v>471</v>
      </c>
      <c r="BV22" s="27" t="s">
        <v>263</v>
      </c>
      <c r="BW22" s="27" t="s">
        <v>472</v>
      </c>
      <c r="BX22" s="27" t="s">
        <v>473</v>
      </c>
      <c r="BY22" s="27" t="s">
        <v>474</v>
      </c>
      <c r="BZ22" s="27" t="s">
        <v>475</v>
      </c>
      <c r="CA22" s="27" t="s">
        <v>442</v>
      </c>
      <c r="CB22" s="27" t="s">
        <v>476</v>
      </c>
      <c r="CC22" s="27" t="s">
        <v>477</v>
      </c>
    </row>
    <row r="23" customFormat="false" ht="120" hidden="false" customHeight="true" outlineLevel="0" collapsed="false">
      <c r="A23" s="24" t="s">
        <v>478</v>
      </c>
      <c r="B23" s="25" t="n">
        <v>1</v>
      </c>
      <c r="C23" s="26" t="s">
        <v>184</v>
      </c>
      <c r="D23" s="26" t="s">
        <v>479</v>
      </c>
      <c r="E23" s="27" t="s">
        <v>371</v>
      </c>
      <c r="F23" s="28" t="n">
        <v>1</v>
      </c>
      <c r="G23" s="27" t="s">
        <v>187</v>
      </c>
      <c r="H23" s="26" t="s">
        <v>188</v>
      </c>
      <c r="I23" s="29" t="n">
        <v>9.5</v>
      </c>
      <c r="J23" s="27" t="s">
        <v>189</v>
      </c>
      <c r="K23" s="30" t="n">
        <v>6228</v>
      </c>
      <c r="L23" s="31" t="n">
        <v>7387</v>
      </c>
      <c r="M23" s="32" t="n">
        <f aca="false">L23/30</f>
        <v>246.233333333333</v>
      </c>
      <c r="N23" s="33" t="n">
        <v>0.0354388284552356</v>
      </c>
      <c r="O23" s="27" t="s">
        <v>480</v>
      </c>
      <c r="P23" s="27" t="s">
        <v>481</v>
      </c>
      <c r="Q23" s="27" t="s">
        <v>220</v>
      </c>
      <c r="R23" s="34" t="n">
        <v>3</v>
      </c>
      <c r="S23" s="35" t="n">
        <v>10</v>
      </c>
      <c r="T23" s="36" t="s">
        <v>427</v>
      </c>
      <c r="U23" s="27" t="s">
        <v>482</v>
      </c>
      <c r="V23" s="37" t="n">
        <f aca="false">IFERROR(INDEX(Sleephoria_History!$F$454:$F$2115,MATCH($A23,Sleephoria_History!$A$454:$A$2115,0)),"")</f>
        <v>2305</v>
      </c>
      <c r="W23" s="38" t="n">
        <f aca="false">IFERROR(INDEX(Sleephoria_History!$J$454:$J$2115,MATCH($A23,Sleephoria_History!$A$454:$A$2115,0)),"")</f>
        <v>0.1202</v>
      </c>
      <c r="X23" s="39" t="n">
        <f aca="false">IFERROR(INDEX(Sleephoria_History!$H$454:$H$2115,MATCH($A23,Sleephoria_History!$A$454:$A$2115,0)),"")</f>
        <v>2.49</v>
      </c>
      <c r="Y23" s="38" t="n">
        <f aca="false">IFERROR(INDEX(Sleephoria_History!$M$454:$M$2115,MATCH($A23,Sleephoria_History!$A$454:$A$2115,0)),"")</f>
        <v>0.349</v>
      </c>
      <c r="Z23" s="40" t="n">
        <f aca="false">IFERROR(INDEX(Sleephoria_History!$L$454:$L$2115,MATCH($A23,Sleephoria_History!$A$454:$A$2115,0)),"")</f>
        <v>16455.32</v>
      </c>
      <c r="AA23" s="37" t="n">
        <f aca="false">IFERROR(INDEX(Decolure_History!$F$397:$F$709,MATCH($A23,Decolure_History!$A$397:$A$709,0)),"")</f>
        <v>488</v>
      </c>
      <c r="AB23" s="38" t="n">
        <f aca="false">IFERROR(INDEX(Decolure_History!$J$397:$J$709,MATCH($A23,Decolure_History!$A$397:$A$709,0)),"")</f>
        <v>0.0656</v>
      </c>
      <c r="AC23" s="38" t="n">
        <f aca="false">IFERROR(INDEX(Decolure_History!$M$397:$M$709,MATCH($A23,Decolure_History!$A$397:$A$709,0)),"")</f>
        <v>0.541</v>
      </c>
      <c r="AD23" s="41" t="n">
        <v>0.0962</v>
      </c>
      <c r="AE23" s="27" t="s">
        <v>483</v>
      </c>
      <c r="AF23" s="42" t="n">
        <v>0.498</v>
      </c>
      <c r="AG23" s="32" t="n">
        <f aca="false">M23*AF23</f>
        <v>122.6242</v>
      </c>
      <c r="AH23" s="43" t="n">
        <f aca="false">IF(AO23="Brand Defense",0,IFERROR(VLOOKUP(S23,Assumptions!$A$24:$B$28,2,FALSE()),0))</f>
        <v>0.028</v>
      </c>
      <c r="AI23" s="28" t="n">
        <f aca="false">Assumptions!$B$6</f>
        <v>0.66</v>
      </c>
      <c r="AJ23" s="44" t="n">
        <f aca="false">AG23*AH23*AI23</f>
        <v>2.266095216</v>
      </c>
      <c r="AK23" s="44" t="n">
        <f aca="false">AJ23*AD23</f>
        <v>0.2179983597792</v>
      </c>
      <c r="AL23" s="30" t="n">
        <f aca="false">AJ23*56</f>
        <v>126.901332096</v>
      </c>
      <c r="AM23" s="32" t="n">
        <f aca="false">AK23*56</f>
        <v>12.2079081476352</v>
      </c>
      <c r="AN23" s="44" t="n">
        <f aca="false">M23*Assumptions!$B$8</f>
        <v>24.6233333333333</v>
      </c>
      <c r="AO23" s="27" t="s">
        <v>430</v>
      </c>
      <c r="AP23" s="27" t="s">
        <v>484</v>
      </c>
      <c r="AQ23" s="26" t="s">
        <v>198</v>
      </c>
      <c r="AR23" s="27" t="s">
        <v>199</v>
      </c>
      <c r="AS23" s="44" t="n">
        <f aca="false">IF(AO23="Ranking — Full Push",MIN(MAX(AJ23,Assumptions!$B$9),AN23),IF(AO23="Brand Defense",MIN(Assumptions!$B$7,AN23),IF(OR(AO23="Ranking — Head Term (Capped)",AO23="Ranking — Capped Entry"),MIN(MAX(AJ23,Assumptions!$B$9),Assumptions!$B$7,AN23),IF(AO23="Ranking — Capped Long-Tail",MIN(AJ23,Assumptions!$B$10,AN23),MIN(AJ23,AN23)))))</f>
        <v>2.266095216</v>
      </c>
      <c r="AT23" s="27" t="str">
        <f aca="false">IF(AJ23&lt;=0,"",IF(AS23&gt;=AJ23,IF(AS23&gt;AJ23*1.05,"Floor of "&amp;TEXT(AS23,"0.0")&amp;" click/day to read CVR (rank needs "&amp;TEXT(AJ23,"0.00")&amp;")","Fully funded (100%)"),"Capped at "&amp;TEXT(AS23/AJ23,"0%")&amp;" of required"))</f>
        <v>Fully funded (100%)</v>
      </c>
      <c r="AU23" s="44" t="n">
        <f aca="false">AS23*AD23</f>
        <v>0.2179983597792</v>
      </c>
      <c r="AV23" s="45" t="n">
        <f aca="false">AU23*AY23</f>
        <v>14.8217084813878</v>
      </c>
      <c r="AW23" s="46" t="n">
        <v>2.49</v>
      </c>
      <c r="AX23" s="27" t="s">
        <v>485</v>
      </c>
      <c r="AY23" s="47" t="n">
        <f aca="false">INDEX(Assumptions!$B$33:$B$37,MATCH(IF($D23="","Queen",$D23),Assumptions!$A$33:$A$37,0))</f>
        <v>67.99</v>
      </c>
      <c r="AZ23" s="33" t="n">
        <f aca="false">INDEX(Assumptions!$K$33:$K$37,MATCH(IF($D23="","Queen",$D23),Assumptions!$A$33:$A$37,0))</f>
        <v>0.468852037064274</v>
      </c>
      <c r="BA23" s="33" t="n">
        <f aca="false">INDEX(Assumptions!$H$33:$H$37,MATCH(IF($D23="","Queen",$D23),Assumptions!$A$33:$A$37,0))</f>
        <v>0.312568024709516</v>
      </c>
      <c r="BB23" s="47" t="n">
        <f aca="false">AY23*AZ23*AD23</f>
        <v>3.06659145</v>
      </c>
      <c r="BC23" s="47" t="n">
        <f aca="false">ROUND(MIN(AW23*Assumptions!$B$11,BB23),2)</f>
        <v>2.49</v>
      </c>
      <c r="BD23" s="26" t="s">
        <v>201</v>
      </c>
      <c r="BE23" s="48" t="n">
        <f aca="false">IF(AO23="Ranking — Full Push",MAX(0,MIN(IF(BD23="Yes",Assumptions!$B$12,Assumptions!$B$13),FLOOR(MAX(0,BB23/BC23-1),Assumptions!$B$14))),0)</f>
        <v>0</v>
      </c>
      <c r="BF23" s="49" t="str">
        <f aca="false">IF(AO23="Ranking — Full Push",IF(BE23&gt;=1,"YES — +100% Top of Search. Effective CPC $"&amp;TEXT(BG23,"0.00")&amp;" (= $"&amp;TEXT(BC23,"0.00")&amp;" × 2) stays within the $"&amp;TEXT(BB23,"0.00")&amp;" max ranking CPC"&amp;" (= $"&amp;TEXT(AY23,"0.00")&amp;" price × "&amp;TEXT(AZ23,"0.0%")&amp;" ranking ceiling × "&amp;TEXT(AD23,"0.0%")&amp;" CVR)"&amp;". Sleephoria CVR is proven on this term, so the full push is justified.",IF(AND(BD23="No",BE23&gt;=Assumptions!$B$13),"PARTIAL — +"&amp;TEXT(BE23,"0%")&amp;" Top of Search (limit for terms without proven CVR). Effective CPC $"&amp;TEXT(BG23,"0.00")&amp;" vs $"&amp;TEXT(BB23,"0.00")&amp;" max ranking CPC"&amp;" (= $"&amp;TEXT(AY23,"0.00")&amp;" price × "&amp;TEXT(AZ23,"0.0%")&amp;" ranking ceiling × "&amp;TEXT(AD23,"0.0%")&amp;" CVR)"&amp;". Raise to +100% only after CooLinens converts at ≥ "&amp;TEXT(AD23,"0.0%")&amp;" on 50+ clicks and $"&amp;TEXT(BC23*2,"0.00")&amp;" ≤ the max.",IF(BE23&gt;0,"PARTIAL — +"&amp;TEXT(BE23,"0%")&amp;" Top of Search. Effective CPC $"&amp;TEXT(BG23,"0.00")&amp;" stays within the $"&amp;TEXT(BB23,"0.00")&amp;" max ranking CPC"&amp;" (= $"&amp;TEXT(AY23,"0.00")&amp;" price × "&amp;TEXT(AZ23,"0.0%")&amp;" ranking ceiling × "&amp;TEXT(AD23,"0.0%")&amp;" CVR)"&amp;". +100% would cost $"&amp;TEXT(BC23*2,"0.00")&amp;" per click and push ACoS to "&amp;TEXT(BC23*2/(AY23*AD23),"0.0%")&amp;", above the "&amp;TEXT(AZ23,"0.0%")&amp;" ceiling.","NO — 0%. Base bid $"&amp;TEXT(BC23,"0.00")&amp;" already equals the $"&amp;TEXT(BB23,"0.00")&amp;" max ranking CPC"&amp;" (= $"&amp;TEXT(AY23,"0.00")&amp;" price × "&amp;TEXT(AZ23,"0.0%")&amp;" ranking ceiling × "&amp;TEXT(AD23,"0.0%")&amp;" CVR)"&amp;"; any modifier would push ACoS above the "&amp;TEXT(AZ23,"0.0%")&amp;" ceiling."))),IF(OR(AO23="Ranking — Head Term (Capped)",AO23="Ranking — Capped Entry",AO23="Ranking — Capped Long-Tail"),"NO — 0% (capped ranking entry). Bid $"&amp;TEXT(BC23,"0.00")&amp;" vs $"&amp;TEXT(BB23,"0.00")&amp;" max ranking CPC"&amp;" (= $"&amp;TEXT(AY23,"0.00")&amp;" price × "&amp;TEXT(AZ23,"0.0%")&amp;" ranking ceiling × "&amp;TEXT(AD23,"0.0%")&amp;" CVR)"&amp;". While spend is capped at "&amp;TEXT(AS23,"0.00")&amp;" clicks/day, a placement premium would only raise CPC without buying more rank; the modifier is set when this term moves to a full push.","NO — 0% (support / brand term). Bid $"&amp;TEXT(BC23,"0.00")&amp;" vs $"&amp;TEXT(BB23,"0.00")&amp;" max ranking CPC"&amp;" (= $"&amp;TEXT(AY23,"0.00")&amp;" price × "&amp;TEXT(AZ23,"0.0%")&amp;" ranking ceiling × "&amp;TEXT(AD23,"0.0%")&amp;" CVR)"&amp;"; expected ACoS "&amp;TEXT(BI23,"0.0%")&amp;" vs the "&amp;TEXT(AZ23,"0.0%")&amp;" ceiling."))</f>
        <v>NO — 0% (capped ranking entry). Bid $2.49 vs $3.07 max ranking CPC (= $67.99 price × 46.9% ranking ceiling × 9.6% CVR). While spend is capped at 2.27 clicks/day, a placement premium would only raise CPC without buying more rank; the modifier is set when this term moves to a full push.</v>
      </c>
      <c r="BG23" s="50" t="n">
        <f aca="false">BC23*(1+BE23)</f>
        <v>2.49</v>
      </c>
      <c r="BH23" s="45" t="n">
        <f aca="false">AS23*BG23</f>
        <v>5.64257708784</v>
      </c>
      <c r="BI23" s="33" t="n">
        <f aca="false">IFERROR(BG23/(AY23*AD23),"")</f>
        <v>0.380696806641799</v>
      </c>
      <c r="BJ23" s="27" t="str">
        <f aca="false">IF(BI23="","",IF(BI23&lt;=BA23,"Profitable (≤ break-even)",IF(BI23&lt;=AZ23,"Ranking investment (≤ ceiling)","Above ceiling — reduce bid")))</f>
        <v>Ranking investment (≤ ceiling)</v>
      </c>
      <c r="BK23" s="49" t="str">
        <f aca="false">"Base $"&amp;TEXT(BC23,"0.00")&amp;" × (1 + "&amp;TEXT(BE23,"0%")&amp;" TOS) = $"&amp;TEXT(BG23,"0.00")&amp;" effective CPC [max $"&amp;TEXT(BB23,"0.00")&amp;"]. "&amp;TEXT(AG23,"0.0")&amp;" market clicks/day × "&amp;TEXT(AH23,"0.00%")&amp;" click share × "&amp;TEXT(AI23,"0%")&amp;" paid = "&amp;TEXT(AJ23,"0.00")&amp;" clicks/day needed; "&amp;"planned "&amp;TEXT(AS23,"0.00")&amp;" clicks/day × "&amp;TEXT(AD23,"0.0%")&amp;" CVR = "&amp;TEXT(AU23,"0.00")&amp;" orders/day. "&amp;"Spend $"&amp;TEXT(BH23,"0.00")&amp;"/day, ACoS "&amp;TEXT(BI23,"0.0%")&amp;" (ceiling "&amp;TEXT(AZ23,"0.0%")&amp;", break-even "&amp;TEXT(BA23,"0.0%")&amp;"). "&amp;"Target organic rank #"&amp;S23&amp;" by week 8 ("&amp;T23&amp;")."</f>
        <v>Base $2.49 × (1 + 0% TOS) = $2.49 effective CPC [max $3.07]. 122.6 market clicks/day × 2.80% click share × 66% paid = 2.27 clicks/day needed; planned 2.27 clicks/day × 9.6% CVR = 0.22 orders/day. Spend $5.64/day, ACoS 38.1% (ceiling 46.9%, break-even 31.3%). Target organic rank #10 by week 8 (#40 → #20 → #10 (full push after size assignment)).</v>
      </c>
      <c r="BL23" s="27" t="s">
        <v>486</v>
      </c>
      <c r="BM23" s="27" t="s">
        <v>203</v>
      </c>
      <c r="BN23" s="27" t="s">
        <v>487</v>
      </c>
      <c r="BO23" s="27" t="s">
        <v>478</v>
      </c>
      <c r="BP23" s="27" t="s">
        <v>488</v>
      </c>
      <c r="BQ23" s="26" t="s">
        <v>489</v>
      </c>
      <c r="BR23" s="40" t="n">
        <f aca="false">IFERROR(INDEX(Campaigns!$L:$L,MATCH(BN23,Campaigns!$A:$A,0)),"")</f>
        <v>10</v>
      </c>
      <c r="BS23" s="51" t="str">
        <f aca="false">IFERROR(INDEX(Inventory!$O:$O,MATCH(BP23,Inventory!$A:$A,0)),"")</f>
        <v>OK</v>
      </c>
      <c r="BT23" s="52" t="n">
        <f aca="false">IFERROR(INDEX(Inventory!$N:$N,MATCH(BP23,Inventory!$A:$A,0)),"")</f>
        <v>67.2295359591037</v>
      </c>
      <c r="BU23" s="27" t="s">
        <v>490</v>
      </c>
      <c r="BV23" s="27" t="s">
        <v>491</v>
      </c>
      <c r="BW23" s="27" t="s">
        <v>492</v>
      </c>
      <c r="BX23" s="27" t="s">
        <v>493</v>
      </c>
      <c r="BY23" s="27" t="s">
        <v>494</v>
      </c>
      <c r="BZ23" s="27" t="s">
        <v>495</v>
      </c>
      <c r="CA23" s="27" t="s">
        <v>496</v>
      </c>
      <c r="CB23" s="27" t="s">
        <v>497</v>
      </c>
      <c r="CC23" s="27" t="s">
        <v>498</v>
      </c>
    </row>
    <row r="24" customFormat="false" ht="120" hidden="false" customHeight="true" outlineLevel="0" collapsed="false">
      <c r="A24" s="24" t="s">
        <v>499</v>
      </c>
      <c r="B24" s="25" t="n">
        <v>1</v>
      </c>
      <c r="C24" s="26" t="s">
        <v>184</v>
      </c>
      <c r="D24" s="26" t="s">
        <v>479</v>
      </c>
      <c r="E24" s="27" t="s">
        <v>371</v>
      </c>
      <c r="F24" s="28" t="n">
        <v>1</v>
      </c>
      <c r="G24" s="27" t="s">
        <v>187</v>
      </c>
      <c r="H24" s="26" t="s">
        <v>188</v>
      </c>
      <c r="I24" s="29" t="n">
        <v>8.5</v>
      </c>
      <c r="J24" s="27" t="s">
        <v>423</v>
      </c>
      <c r="K24" s="30" t="n">
        <v>1959</v>
      </c>
      <c r="L24" s="31" t="n">
        <v>1209</v>
      </c>
      <c r="M24" s="32" t="n">
        <f aca="false">L24/30</f>
        <v>40.3</v>
      </c>
      <c r="N24" s="33" t="n">
        <v>0.0554230550823395</v>
      </c>
      <c r="O24" s="27" t="s">
        <v>500</v>
      </c>
      <c r="P24" s="27" t="s">
        <v>501</v>
      </c>
      <c r="Q24" s="27" t="s">
        <v>256</v>
      </c>
      <c r="R24" s="34" t="n">
        <v>2</v>
      </c>
      <c r="S24" s="35" t="n">
        <v>10</v>
      </c>
      <c r="T24" s="36" t="s">
        <v>427</v>
      </c>
      <c r="U24" s="27" t="s">
        <v>502</v>
      </c>
      <c r="V24" s="37" t="n">
        <f aca="false">IFERROR(INDEX(Sleephoria_History!$F$454:$F$2115,MATCH($A24,Sleephoria_History!$A$454:$A$2115,0)),"")</f>
        <v>112</v>
      </c>
      <c r="W24" s="38" t="n">
        <f aca="false">IFERROR(INDEX(Sleephoria_History!$J$454:$J$2115,MATCH($A24,Sleephoria_History!$A$454:$A$2115,0)),"")</f>
        <v>0.0893</v>
      </c>
      <c r="X24" s="39" t="n">
        <f aca="false">IFERROR(INDEX(Sleephoria_History!$H$454:$H$2115,MATCH($A24,Sleephoria_History!$A$454:$A$2115,0)),"")</f>
        <v>1.45</v>
      </c>
      <c r="Y24" s="38" t="n">
        <f aca="false">IFERROR(INDEX(Sleephoria_History!$M$454:$M$2115,MATCH($A24,Sleephoria_History!$A$454:$A$2115,0)),"")</f>
        <v>0.272</v>
      </c>
      <c r="Z24" s="40" t="n">
        <f aca="false">IFERROR(INDEX(Sleephoria_History!$L$454:$L$2115,MATCH($A24,Sleephoria_History!$A$454:$A$2115,0)),"")</f>
        <v>596.55</v>
      </c>
      <c r="AA24" s="37" t="str">
        <f aca="false">IFERROR(INDEX(Decolure_History!$F$397:$F$709,MATCH($A24,Decolure_History!$A$397:$A$709,0)),"")</f>
        <v/>
      </c>
      <c r="AB24" s="38" t="str">
        <f aca="false">IFERROR(INDEX(Decolure_History!$J$397:$J$709,MATCH($A24,Decolure_History!$A$397:$A$709,0)),"")</f>
        <v/>
      </c>
      <c r="AC24" s="38" t="str">
        <f aca="false">IFERROR(INDEX(Decolure_History!$M$397:$M$709,MATCH($A24,Decolure_History!$A$397:$A$709,0)),"")</f>
        <v/>
      </c>
      <c r="AD24" s="41" t="n">
        <v>0.0714</v>
      </c>
      <c r="AE24" s="27" t="s">
        <v>503</v>
      </c>
      <c r="AF24" s="42" t="n">
        <v>0.483</v>
      </c>
      <c r="AG24" s="32" t="n">
        <f aca="false">M24*AF24</f>
        <v>19.4649</v>
      </c>
      <c r="AH24" s="43" t="n">
        <f aca="false">IF(AO24="Brand Defense",0,IFERROR(VLOOKUP(S24,Assumptions!$A$24:$B$28,2,FALSE()),0))</f>
        <v>0.028</v>
      </c>
      <c r="AI24" s="28" t="n">
        <f aca="false">Assumptions!$B$6</f>
        <v>0.66</v>
      </c>
      <c r="AJ24" s="44" t="n">
        <f aca="false">AG24*AH24*AI24</f>
        <v>0.359711352</v>
      </c>
      <c r="AK24" s="44" t="n">
        <f aca="false">AJ24*AD24</f>
        <v>0.0256833905328</v>
      </c>
      <c r="AL24" s="30" t="n">
        <f aca="false">AJ24*56</f>
        <v>20.143835712</v>
      </c>
      <c r="AM24" s="32" t="n">
        <f aca="false">AK24*56</f>
        <v>1.4382698698368</v>
      </c>
      <c r="AN24" s="44" t="n">
        <f aca="false">M24*Assumptions!$B$8</f>
        <v>4.03</v>
      </c>
      <c r="AO24" s="27" t="s">
        <v>430</v>
      </c>
      <c r="AP24" s="27" t="s">
        <v>484</v>
      </c>
      <c r="AQ24" s="26" t="s">
        <v>198</v>
      </c>
      <c r="AR24" s="27" t="s">
        <v>199</v>
      </c>
      <c r="AS24" s="44" t="n">
        <f aca="false">IF(AO24="Ranking — Full Push",MIN(MAX(AJ24,Assumptions!$B$9),AN24),IF(AO24="Brand Defense",MIN(Assumptions!$B$7,AN24),IF(OR(AO24="Ranking — Head Term (Capped)",AO24="Ranking — Capped Entry"),MIN(MAX(AJ24,Assumptions!$B$9),Assumptions!$B$7,AN24),IF(AO24="Ranking — Capped Long-Tail",MIN(AJ24,Assumptions!$B$10,AN24),MIN(AJ24,AN24)))))</f>
        <v>1</v>
      </c>
      <c r="AT24" s="27" t="str">
        <f aca="false">IF(AJ24&lt;=0,"",IF(AS24&gt;=AJ24,IF(AS24&gt;AJ24*1.05,"Floor of "&amp;TEXT(AS24,"0.0")&amp;" click/day to read CVR (rank needs "&amp;TEXT(AJ24,"0.00")&amp;")","Fully funded (100%)"),"Capped at "&amp;TEXT(AS24/AJ24,"0%")&amp;" of required"))</f>
        <v>Floor of 1.0 click/day to read CVR (rank needs 0.36)</v>
      </c>
      <c r="AU24" s="44" t="n">
        <f aca="false">AS24*AD24</f>
        <v>0.0714</v>
      </c>
      <c r="AV24" s="45" t="n">
        <f aca="false">AU24*AY24</f>
        <v>4.854486</v>
      </c>
      <c r="AW24" s="46" t="n">
        <v>1.45</v>
      </c>
      <c r="AX24" s="27" t="s">
        <v>504</v>
      </c>
      <c r="AY24" s="47" t="n">
        <f aca="false">INDEX(Assumptions!$B$33:$B$37,MATCH(IF($D24="","Queen",$D24),Assumptions!$A$33:$A$37,0))</f>
        <v>67.99</v>
      </c>
      <c r="AZ24" s="33" t="n">
        <f aca="false">INDEX(Assumptions!$K$33:$K$37,MATCH(IF($D24="","Queen",$D24),Assumptions!$A$33:$A$37,0))</f>
        <v>0.468852037064274</v>
      </c>
      <c r="BA24" s="33" t="n">
        <f aca="false">INDEX(Assumptions!$H$33:$H$37,MATCH(IF($D24="","Queen",$D24),Assumptions!$A$33:$A$37,0))</f>
        <v>0.312568024709516</v>
      </c>
      <c r="BB24" s="47" t="n">
        <f aca="false">AY24*AZ24*AD24</f>
        <v>2.27603565</v>
      </c>
      <c r="BC24" s="47" t="n">
        <f aca="false">ROUND(MIN(AW24*Assumptions!$B$11,BB24),2)</f>
        <v>1.45</v>
      </c>
      <c r="BD24" s="26" t="s">
        <v>201</v>
      </c>
      <c r="BE24" s="48" t="n">
        <f aca="false">IF(AO24="Ranking — Full Push",MAX(0,MIN(IF(BD24="Yes",Assumptions!$B$12,Assumptions!$B$13),FLOOR(MAX(0,BB24/BC24-1),Assumptions!$B$14))),0)</f>
        <v>0</v>
      </c>
      <c r="BF24" s="49" t="str">
        <f aca="false">IF(AO24="Ranking — Full Push",IF(BE24&gt;=1,"YES — +100% Top of Search. Effective CPC $"&amp;TEXT(BG24,"0.00")&amp;" (= $"&amp;TEXT(BC24,"0.00")&amp;" × 2) stays within the $"&amp;TEXT(BB24,"0.00")&amp;" max ranking CPC"&amp;" (= $"&amp;TEXT(AY24,"0.00")&amp;" price × "&amp;TEXT(AZ24,"0.0%")&amp;" ranking ceiling × "&amp;TEXT(AD24,"0.0%")&amp;" CVR)"&amp;". Sleephoria CVR is proven on this term, so the full push is justified.",IF(AND(BD24="No",BE24&gt;=Assumptions!$B$13),"PARTIAL — +"&amp;TEXT(BE24,"0%")&amp;" Top of Search (limit for terms without proven CVR). Effective CPC $"&amp;TEXT(BG24,"0.00")&amp;" vs $"&amp;TEXT(BB24,"0.00")&amp;" max ranking CPC"&amp;" (= $"&amp;TEXT(AY24,"0.00")&amp;" price × "&amp;TEXT(AZ24,"0.0%")&amp;" ranking ceiling × "&amp;TEXT(AD24,"0.0%")&amp;" CVR)"&amp;". Raise to +100% only after CooLinens converts at ≥ "&amp;TEXT(AD24,"0.0%")&amp;" on 50+ clicks and $"&amp;TEXT(BC24*2,"0.00")&amp;" ≤ the max.",IF(BE24&gt;0,"PARTIAL — +"&amp;TEXT(BE24,"0%")&amp;" Top of Search. Effective CPC $"&amp;TEXT(BG24,"0.00")&amp;" stays within the $"&amp;TEXT(BB24,"0.00")&amp;" max ranking CPC"&amp;" (= $"&amp;TEXT(AY24,"0.00")&amp;" price × "&amp;TEXT(AZ24,"0.0%")&amp;" ranking ceiling × "&amp;TEXT(AD24,"0.0%")&amp;" CVR)"&amp;". +100% would cost $"&amp;TEXT(BC24*2,"0.00")&amp;" per click and push ACoS to "&amp;TEXT(BC24*2/(AY24*AD24),"0.0%")&amp;", above the "&amp;TEXT(AZ24,"0.0%")&amp;" ceiling.","NO — 0%. Base bid $"&amp;TEXT(BC24,"0.00")&amp;" already equals the $"&amp;TEXT(BB24,"0.00")&amp;" max ranking CPC"&amp;" (= $"&amp;TEXT(AY24,"0.00")&amp;" price × "&amp;TEXT(AZ24,"0.0%")&amp;" ranking ceiling × "&amp;TEXT(AD24,"0.0%")&amp;" CVR)"&amp;"; any modifier would push ACoS above the "&amp;TEXT(AZ24,"0.0%")&amp;" ceiling."))),IF(OR(AO24="Ranking — Head Term (Capped)",AO24="Ranking — Capped Entry",AO24="Ranking — Capped Long-Tail"),"NO — 0% (capped ranking entry). Bid $"&amp;TEXT(BC24,"0.00")&amp;" vs $"&amp;TEXT(BB24,"0.00")&amp;" max ranking CPC"&amp;" (= $"&amp;TEXT(AY24,"0.00")&amp;" price × "&amp;TEXT(AZ24,"0.0%")&amp;" ranking ceiling × "&amp;TEXT(AD24,"0.0%")&amp;" CVR)"&amp;". While spend is capped at "&amp;TEXT(AS24,"0.00")&amp;" clicks/day, a placement premium would only raise CPC without buying more rank; the modifier is set when this term moves to a full push.","NO — 0% (support / brand term). Bid $"&amp;TEXT(BC24,"0.00")&amp;" vs $"&amp;TEXT(BB24,"0.00")&amp;" max ranking CPC"&amp;" (= $"&amp;TEXT(AY24,"0.00")&amp;" price × "&amp;TEXT(AZ24,"0.0%")&amp;" ranking ceiling × "&amp;TEXT(AD24,"0.0%")&amp;" CVR)"&amp;"; expected ACoS "&amp;TEXT(BI24,"0.0%")&amp;" vs the "&amp;TEXT(AZ24,"0.0%")&amp;" ceiling."))</f>
        <v>NO — 0% (capped ranking entry). Bid $1.45 vs $2.28 max ranking CPC (= $67.99 price × 46.9% ranking ceiling × 7.1% CVR). While spend is capped at 1.00 clicks/day, a placement premium would only raise CPC without buying more rank; the modifier is set when this term moves to a full push.</v>
      </c>
      <c r="BG24" s="50" t="n">
        <f aca="false">BC24*(1+BE24)</f>
        <v>1.45</v>
      </c>
      <c r="BH24" s="45" t="n">
        <f aca="false">AS24*BG24</f>
        <v>1.45</v>
      </c>
      <c r="BI24" s="33" t="n">
        <f aca="false">IFERROR(BG24/(AY24*AD24),"")</f>
        <v>0.298692796724514</v>
      </c>
      <c r="BJ24" s="27" t="str">
        <f aca="false">IF(BI24="","",IF(BI24&lt;=BA24,"Profitable (≤ break-even)",IF(BI24&lt;=AZ24,"Ranking investment (≤ ceiling)","Above ceiling — reduce bid")))</f>
        <v>Profitable (≤ break-even)</v>
      </c>
      <c r="BK24" s="49" t="str">
        <f aca="false">"Base $"&amp;TEXT(BC24,"0.00")&amp;" × (1 + "&amp;TEXT(BE24,"0%")&amp;" TOS) = $"&amp;TEXT(BG24,"0.00")&amp;" effective CPC [max $"&amp;TEXT(BB24,"0.00")&amp;"]. "&amp;TEXT(AG24,"0.0")&amp;" market clicks/day × "&amp;TEXT(AH24,"0.00%")&amp;" click share × "&amp;TEXT(AI24,"0%")&amp;" paid = "&amp;TEXT(AJ24,"0.00")&amp;" clicks/day needed; "&amp;"planned "&amp;TEXT(AS24,"0.00")&amp;" clicks/day × "&amp;TEXT(AD24,"0.0%")&amp;" CVR = "&amp;TEXT(AU24,"0.00")&amp;" orders/day. "&amp;"Spend $"&amp;TEXT(BH24,"0.00")&amp;"/day, ACoS "&amp;TEXT(BI24,"0.0%")&amp;" (ceiling "&amp;TEXT(AZ24,"0.0%")&amp;", break-even "&amp;TEXT(BA24,"0.0%")&amp;"). "&amp;"Target organic rank #"&amp;S24&amp;" by week 8 ("&amp;T24&amp;")."</f>
        <v>Base $1.45 × (1 + 0% TOS) = $1.45 effective CPC [max $2.28]. 19.5 market clicks/day × 2.80% click share × 66% paid = 0.36 clicks/day needed; planned 1.00 clicks/day × 7.1% CVR = 0.07 orders/day. Spend $1.45/day, ACoS 29.9% (ceiling 46.9%, break-even 31.3%). Target organic rank #10 by week 8 (#40 → #20 → #10 (full push after size assignment)).</v>
      </c>
      <c r="BL24" s="27" t="s">
        <v>486</v>
      </c>
      <c r="BM24" s="27" t="s">
        <v>203</v>
      </c>
      <c r="BN24" s="27" t="s">
        <v>505</v>
      </c>
      <c r="BO24" s="27" t="s">
        <v>499</v>
      </c>
      <c r="BP24" s="27" t="s">
        <v>488</v>
      </c>
      <c r="BQ24" s="26" t="s">
        <v>489</v>
      </c>
      <c r="BR24" s="40" t="n">
        <f aca="false">IFERROR(INDEX(Campaigns!$L:$L,MATCH(BN24,Campaigns!$A:$A,0)),"")</f>
        <v>10</v>
      </c>
      <c r="BS24" s="51" t="str">
        <f aca="false">IFERROR(INDEX(Inventory!$O:$O,MATCH(BP24,Inventory!$A:$A,0)),"")</f>
        <v>OK</v>
      </c>
      <c r="BT24" s="52" t="n">
        <f aca="false">IFERROR(INDEX(Inventory!$N:$N,MATCH(BP24,Inventory!$A:$A,0)),"")</f>
        <v>67.2295359591037</v>
      </c>
      <c r="BU24" s="27" t="s">
        <v>506</v>
      </c>
      <c r="BV24" s="27" t="s">
        <v>263</v>
      </c>
      <c r="BW24" s="27" t="s">
        <v>507</v>
      </c>
      <c r="BX24" s="27" t="s">
        <v>508</v>
      </c>
      <c r="BY24" s="27" t="s">
        <v>509</v>
      </c>
      <c r="BZ24" s="27" t="s">
        <v>510</v>
      </c>
      <c r="CA24" s="27" t="s">
        <v>496</v>
      </c>
      <c r="CB24" s="27" t="s">
        <v>511</v>
      </c>
      <c r="CC24" s="27" t="s">
        <v>512</v>
      </c>
    </row>
    <row r="25" customFormat="false" ht="120" hidden="false" customHeight="true" outlineLevel="0" collapsed="false">
      <c r="A25" s="24" t="s">
        <v>513</v>
      </c>
      <c r="B25" s="25" t="n">
        <v>1</v>
      </c>
      <c r="C25" s="26" t="s">
        <v>184</v>
      </c>
      <c r="D25" s="26" t="s">
        <v>479</v>
      </c>
      <c r="E25" s="27" t="s">
        <v>371</v>
      </c>
      <c r="F25" s="28" t="n">
        <v>1</v>
      </c>
      <c r="G25" s="27" t="s">
        <v>187</v>
      </c>
      <c r="H25" s="26" t="s">
        <v>188</v>
      </c>
      <c r="I25" s="29" t="n">
        <v>8.5</v>
      </c>
      <c r="J25" s="27" t="s">
        <v>514</v>
      </c>
      <c r="K25" s="30" t="n">
        <v>1216</v>
      </c>
      <c r="L25" s="31" t="n">
        <v>963</v>
      </c>
      <c r="M25" s="32" t="n">
        <f aca="false">L25/30</f>
        <v>32.1</v>
      </c>
      <c r="N25" s="33" t="n">
        <v>0.0351197508323488</v>
      </c>
      <c r="O25" s="27" t="s">
        <v>515</v>
      </c>
      <c r="P25" s="27" t="s">
        <v>516</v>
      </c>
      <c r="Q25" s="27" t="s">
        <v>220</v>
      </c>
      <c r="R25" s="34" t="n">
        <v>3</v>
      </c>
      <c r="S25" s="35" t="n">
        <v>10</v>
      </c>
      <c r="T25" s="36" t="s">
        <v>427</v>
      </c>
      <c r="U25" s="27" t="s">
        <v>517</v>
      </c>
      <c r="V25" s="37" t="n">
        <f aca="false">IFERROR(INDEX(Sleephoria_History!$F$454:$F$2115,MATCH($A25,Sleephoria_History!$A$454:$A$2115,0)),"")</f>
        <v>151</v>
      </c>
      <c r="W25" s="38" t="n">
        <f aca="false">IFERROR(INDEX(Sleephoria_History!$J$454:$J$2115,MATCH($A25,Sleephoria_History!$A$454:$A$2115,0)),"")</f>
        <v>0.1126</v>
      </c>
      <c r="X25" s="39" t="n">
        <f aca="false">IFERROR(INDEX(Sleephoria_History!$H$454:$H$2115,MATCH($A25,Sleephoria_History!$A$454:$A$2115,0)),"")</f>
        <v>3.12</v>
      </c>
      <c r="Y25" s="38" t="n">
        <f aca="false">IFERROR(INDEX(Sleephoria_History!$M$454:$M$2115,MATCH($A25,Sleephoria_History!$A$454:$A$2115,0)),"")</f>
        <v>0.452</v>
      </c>
      <c r="Z25" s="40" t="n">
        <f aca="false">IFERROR(INDEX(Sleephoria_History!$L$454:$L$2115,MATCH($A25,Sleephoria_History!$A$454:$A$2115,0)),"")</f>
        <v>1042.83</v>
      </c>
      <c r="AA25" s="37" t="n">
        <f aca="false">IFERROR(INDEX(Decolure_History!$F$397:$F$709,MATCH($A25,Decolure_History!$A$397:$A$709,0)),"")</f>
        <v>67</v>
      </c>
      <c r="AB25" s="38" t="n">
        <f aca="false">IFERROR(INDEX(Decolure_History!$J$397:$J$709,MATCH($A25,Decolure_History!$A$397:$A$709,0)),"")</f>
        <v>0.0746</v>
      </c>
      <c r="AC25" s="38" t="n">
        <f aca="false">IFERROR(INDEX(Decolure_History!$M$397:$M$709,MATCH($A25,Decolure_History!$A$397:$A$709,0)),"")</f>
        <v>0.476</v>
      </c>
      <c r="AD25" s="41" t="n">
        <v>0.0901</v>
      </c>
      <c r="AE25" s="27" t="s">
        <v>518</v>
      </c>
      <c r="AF25" s="42" t="n">
        <v>0.487</v>
      </c>
      <c r="AG25" s="32" t="n">
        <f aca="false">M25*AF25</f>
        <v>15.6327</v>
      </c>
      <c r="AH25" s="43" t="n">
        <f aca="false">IF(AO25="Brand Defense",0,IFERROR(VLOOKUP(S25,Assumptions!$A$24:$B$28,2,FALSE()),0))</f>
        <v>0.028</v>
      </c>
      <c r="AI25" s="28" t="n">
        <f aca="false">Assumptions!$B$6</f>
        <v>0.66</v>
      </c>
      <c r="AJ25" s="44" t="n">
        <f aca="false">AG25*AH25*AI25</f>
        <v>0.288892296</v>
      </c>
      <c r="AK25" s="44" t="n">
        <f aca="false">AJ25*AD25</f>
        <v>0.0260291958696</v>
      </c>
      <c r="AL25" s="30" t="n">
        <f aca="false">AJ25*56</f>
        <v>16.177968576</v>
      </c>
      <c r="AM25" s="32" t="n">
        <f aca="false">AK25*56</f>
        <v>1.4576349686976</v>
      </c>
      <c r="AN25" s="44" t="n">
        <f aca="false">M25*Assumptions!$B$8</f>
        <v>3.21</v>
      </c>
      <c r="AO25" s="27" t="s">
        <v>430</v>
      </c>
      <c r="AP25" s="27" t="s">
        <v>484</v>
      </c>
      <c r="AQ25" s="26" t="s">
        <v>198</v>
      </c>
      <c r="AR25" s="27" t="s">
        <v>199</v>
      </c>
      <c r="AS25" s="44" t="n">
        <f aca="false">IF(AO25="Ranking — Full Push",MIN(MAX(AJ25,Assumptions!$B$9),AN25),IF(AO25="Brand Defense",MIN(Assumptions!$B$7,AN25),IF(OR(AO25="Ranking — Head Term (Capped)",AO25="Ranking — Capped Entry"),MIN(MAX(AJ25,Assumptions!$B$9),Assumptions!$B$7,AN25),IF(AO25="Ranking — Capped Long-Tail",MIN(AJ25,Assumptions!$B$10,AN25),MIN(AJ25,AN25)))))</f>
        <v>1</v>
      </c>
      <c r="AT25" s="27" t="str">
        <f aca="false">IF(AJ25&lt;=0,"",IF(AS25&gt;=AJ25,IF(AS25&gt;AJ25*1.05,"Floor of "&amp;TEXT(AS25,"0.0")&amp;" click/day to read CVR (rank needs "&amp;TEXT(AJ25,"0.00")&amp;")","Fully funded (100%)"),"Capped at "&amp;TEXT(AS25/AJ25,"0%")&amp;" of required"))</f>
        <v>Floor of 1.0 click/day to read CVR (rank needs 0.29)</v>
      </c>
      <c r="AU25" s="44" t="n">
        <f aca="false">AS25*AD25</f>
        <v>0.0901</v>
      </c>
      <c r="AV25" s="45" t="n">
        <f aca="false">AU25*AY25</f>
        <v>6.125899</v>
      </c>
      <c r="AW25" s="46" t="n">
        <v>3.12</v>
      </c>
      <c r="AX25" s="27" t="s">
        <v>519</v>
      </c>
      <c r="AY25" s="47" t="n">
        <f aca="false">INDEX(Assumptions!$B$33:$B$37,MATCH(IF($D25="","Queen",$D25),Assumptions!$A$33:$A$37,0))</f>
        <v>67.99</v>
      </c>
      <c r="AZ25" s="33" t="n">
        <f aca="false">INDEX(Assumptions!$K$33:$K$37,MATCH(IF($D25="","Queen",$D25),Assumptions!$A$33:$A$37,0))</f>
        <v>0.468852037064274</v>
      </c>
      <c r="BA25" s="33" t="n">
        <f aca="false">INDEX(Assumptions!$H$33:$H$37,MATCH(IF($D25="","Queen",$D25),Assumptions!$A$33:$A$37,0))</f>
        <v>0.312568024709516</v>
      </c>
      <c r="BB25" s="47" t="n">
        <f aca="false">AY25*AZ25*AD25</f>
        <v>2.872140225</v>
      </c>
      <c r="BC25" s="47" t="n">
        <f aca="false">ROUND(MIN(AW25*Assumptions!$B$11,BB25),2)</f>
        <v>2.87</v>
      </c>
      <c r="BD25" s="26" t="s">
        <v>201</v>
      </c>
      <c r="BE25" s="48" t="n">
        <f aca="false">IF(AO25="Ranking — Full Push",MAX(0,MIN(IF(BD25="Yes",Assumptions!$B$12,Assumptions!$B$13),FLOOR(MAX(0,BB25/BC25-1),Assumptions!$B$14))),0)</f>
        <v>0</v>
      </c>
      <c r="BF25" s="49" t="str">
        <f aca="false">IF(AO25="Ranking — Full Push",IF(BE25&gt;=1,"YES — +100% Top of Search. Effective CPC $"&amp;TEXT(BG25,"0.00")&amp;" (= $"&amp;TEXT(BC25,"0.00")&amp;" × 2) stays within the $"&amp;TEXT(BB25,"0.00")&amp;" max ranking CPC"&amp;" (= $"&amp;TEXT(AY25,"0.00")&amp;" price × "&amp;TEXT(AZ25,"0.0%")&amp;" ranking ceiling × "&amp;TEXT(AD25,"0.0%")&amp;" CVR)"&amp;". Sleephoria CVR is proven on this term, so the full push is justified.",IF(AND(BD25="No",BE25&gt;=Assumptions!$B$13),"PARTIAL — +"&amp;TEXT(BE25,"0%")&amp;" Top of Search (limit for terms without proven CVR). Effective CPC $"&amp;TEXT(BG25,"0.00")&amp;" vs $"&amp;TEXT(BB25,"0.00")&amp;" max ranking CPC"&amp;" (= $"&amp;TEXT(AY25,"0.00")&amp;" price × "&amp;TEXT(AZ25,"0.0%")&amp;" ranking ceiling × "&amp;TEXT(AD25,"0.0%")&amp;" CVR)"&amp;". Raise to +100% only after CooLinens converts at ≥ "&amp;TEXT(AD25,"0.0%")&amp;" on 50+ clicks and $"&amp;TEXT(BC25*2,"0.00")&amp;" ≤ the max.",IF(BE25&gt;0,"PARTIAL — +"&amp;TEXT(BE25,"0%")&amp;" Top of Search. Effective CPC $"&amp;TEXT(BG25,"0.00")&amp;" stays within the $"&amp;TEXT(BB25,"0.00")&amp;" max ranking CPC"&amp;" (= $"&amp;TEXT(AY25,"0.00")&amp;" price × "&amp;TEXT(AZ25,"0.0%")&amp;" ranking ceiling × "&amp;TEXT(AD25,"0.0%")&amp;" CVR)"&amp;". +100% would cost $"&amp;TEXT(BC25*2,"0.00")&amp;" per click and push ACoS to "&amp;TEXT(BC25*2/(AY25*AD25),"0.0%")&amp;", above the "&amp;TEXT(AZ25,"0.0%")&amp;" ceiling.","NO — 0%. Base bid $"&amp;TEXT(BC25,"0.00")&amp;" already equals the $"&amp;TEXT(BB25,"0.00")&amp;" max ranking CPC"&amp;" (= $"&amp;TEXT(AY25,"0.00")&amp;" price × "&amp;TEXT(AZ25,"0.0%")&amp;" ranking ceiling × "&amp;TEXT(AD25,"0.0%")&amp;" CVR)"&amp;"; any modifier would push ACoS above the "&amp;TEXT(AZ25,"0.0%")&amp;" ceiling."))),IF(OR(AO25="Ranking — Head Term (Capped)",AO25="Ranking — Capped Entry",AO25="Ranking — Capped Long-Tail"),"NO — 0% (capped ranking entry). Bid $"&amp;TEXT(BC25,"0.00")&amp;" vs $"&amp;TEXT(BB25,"0.00")&amp;" max ranking CPC"&amp;" (= $"&amp;TEXT(AY25,"0.00")&amp;" price × "&amp;TEXT(AZ25,"0.0%")&amp;" ranking ceiling × "&amp;TEXT(AD25,"0.0%")&amp;" CVR)"&amp;". While spend is capped at "&amp;TEXT(AS25,"0.00")&amp;" clicks/day, a placement premium would only raise CPC without buying more rank; the modifier is set when this term moves to a full push.","NO — 0% (support / brand term). Bid $"&amp;TEXT(BC25,"0.00")&amp;" vs $"&amp;TEXT(BB25,"0.00")&amp;" max ranking CPC"&amp;" (= $"&amp;TEXT(AY25,"0.00")&amp;" price × "&amp;TEXT(AZ25,"0.0%")&amp;" ranking ceiling × "&amp;TEXT(AD25,"0.0%")&amp;" CVR)"&amp;"; expected ACoS "&amp;TEXT(BI25,"0.0%")&amp;" vs the "&amp;TEXT(AZ25,"0.0%")&amp;" ceiling."))</f>
        <v>NO — 0% (capped ranking entry). Bid $2.87 vs $2.87 max ranking CPC (= $67.99 price × 46.9% ranking ceiling × 9.0% CVR). While spend is capped at 1.00 clicks/day, a placement premium would only raise CPC without buying more rank; the modifier is set when this term moves to a full push.</v>
      </c>
      <c r="BG25" s="50" t="n">
        <f aca="false">BC25*(1+BE25)</f>
        <v>2.87</v>
      </c>
      <c r="BH25" s="45" t="n">
        <f aca="false">AS25*BG25</f>
        <v>2.87</v>
      </c>
      <c r="BI25" s="33" t="n">
        <f aca="false">IFERROR(BG25/(AY25*AD25),"")</f>
        <v>0.46850266385391</v>
      </c>
      <c r="BJ25" s="27" t="str">
        <f aca="false">IF(BI25="","",IF(BI25&lt;=BA25,"Profitable (≤ break-even)",IF(BI25&lt;=AZ25,"Ranking investment (≤ ceiling)","Above ceiling — reduce bid")))</f>
        <v>Ranking investment (≤ ceiling)</v>
      </c>
      <c r="BK25" s="49" t="str">
        <f aca="false">"Base $"&amp;TEXT(BC25,"0.00")&amp;" × (1 + "&amp;TEXT(BE25,"0%")&amp;" TOS) = $"&amp;TEXT(BG25,"0.00")&amp;" effective CPC [max $"&amp;TEXT(BB25,"0.00")&amp;"]. "&amp;TEXT(AG25,"0.0")&amp;" market clicks/day × "&amp;TEXT(AH25,"0.00%")&amp;" click share × "&amp;TEXT(AI25,"0%")&amp;" paid = "&amp;TEXT(AJ25,"0.00")&amp;" clicks/day needed; "&amp;"planned "&amp;TEXT(AS25,"0.00")&amp;" clicks/day × "&amp;TEXT(AD25,"0.0%")&amp;" CVR = "&amp;TEXT(AU25,"0.00")&amp;" orders/day. "&amp;"Spend $"&amp;TEXT(BH25,"0.00")&amp;"/day, ACoS "&amp;TEXT(BI25,"0.0%")&amp;" (ceiling "&amp;TEXT(AZ25,"0.0%")&amp;", break-even "&amp;TEXT(BA25,"0.0%")&amp;"). "&amp;"Target organic rank #"&amp;S25&amp;" by week 8 ("&amp;T25&amp;")."</f>
        <v>Base $2.87 × (1 + 0% TOS) = $2.87 effective CPC [max $2.87]. 15.6 market clicks/day × 2.80% click share × 66% paid = 0.29 clicks/day needed; planned 1.00 clicks/day × 9.0% CVR = 0.09 orders/day. Spend $2.87/day, ACoS 46.9% (ceiling 46.9%, break-even 31.3%). Target organic rank #10 by week 8 (#40 → #20 → #10 (full push after size assignment)).</v>
      </c>
      <c r="BL25" s="27" t="s">
        <v>486</v>
      </c>
      <c r="BM25" s="27" t="s">
        <v>203</v>
      </c>
      <c r="BN25" s="27" t="s">
        <v>520</v>
      </c>
      <c r="BO25" s="27" t="s">
        <v>513</v>
      </c>
      <c r="BP25" s="27" t="s">
        <v>488</v>
      </c>
      <c r="BQ25" s="26" t="s">
        <v>489</v>
      </c>
      <c r="BR25" s="40" t="n">
        <f aca="false">IFERROR(INDEX(Campaigns!$L:$L,MATCH(BN25,Campaigns!$A:$A,0)),"")</f>
        <v>10</v>
      </c>
      <c r="BS25" s="51" t="str">
        <f aca="false">IFERROR(INDEX(Inventory!$O:$O,MATCH(BP25,Inventory!$A:$A,0)),"")</f>
        <v>OK</v>
      </c>
      <c r="BT25" s="52" t="n">
        <f aca="false">IFERROR(INDEX(Inventory!$N:$N,MATCH(BP25,Inventory!$A:$A,0)),"")</f>
        <v>67.2295359591037</v>
      </c>
      <c r="BU25" s="27" t="s">
        <v>521</v>
      </c>
      <c r="BV25" s="27" t="s">
        <v>522</v>
      </c>
      <c r="BW25" s="27" t="s">
        <v>523</v>
      </c>
      <c r="BX25" s="27" t="s">
        <v>524</v>
      </c>
      <c r="BY25" s="27" t="s">
        <v>525</v>
      </c>
      <c r="BZ25" s="27" t="s">
        <v>526</v>
      </c>
      <c r="CA25" s="27" t="s">
        <v>496</v>
      </c>
      <c r="CB25" s="27" t="s">
        <v>527</v>
      </c>
      <c r="CC25" s="27" t="s">
        <v>528</v>
      </c>
    </row>
    <row r="26" customFormat="false" ht="120" hidden="false" customHeight="true" outlineLevel="0" collapsed="false">
      <c r="A26" s="24" t="s">
        <v>529</v>
      </c>
      <c r="B26" s="25" t="n">
        <v>1</v>
      </c>
      <c r="C26" s="26" t="s">
        <v>184</v>
      </c>
      <c r="D26" s="26" t="s">
        <v>479</v>
      </c>
      <c r="E26" s="27" t="s">
        <v>371</v>
      </c>
      <c r="F26" s="28" t="n">
        <v>1</v>
      </c>
      <c r="G26" s="27" t="s">
        <v>187</v>
      </c>
      <c r="H26" s="26" t="s">
        <v>188</v>
      </c>
      <c r="I26" s="29" t="n">
        <v>9.5</v>
      </c>
      <c r="J26" s="27" t="s">
        <v>530</v>
      </c>
      <c r="K26" s="30" t="n">
        <v>822</v>
      </c>
      <c r="L26" s="31" t="n">
        <v>545</v>
      </c>
      <c r="M26" s="32" t="n">
        <f aca="false">L26/30</f>
        <v>18.1666666666667</v>
      </c>
      <c r="N26" s="33" t="n">
        <v>0.0455537370430987</v>
      </c>
      <c r="O26" s="27" t="s">
        <v>531</v>
      </c>
      <c r="P26" s="27" t="s">
        <v>532</v>
      </c>
      <c r="Q26" s="27" t="s">
        <v>533</v>
      </c>
      <c r="R26" s="34" t="n">
        <v>1</v>
      </c>
      <c r="S26" s="35" t="n">
        <v>10</v>
      </c>
      <c r="T26" s="36" t="s">
        <v>427</v>
      </c>
      <c r="U26" s="27" t="s">
        <v>534</v>
      </c>
      <c r="V26" s="37" t="n">
        <f aca="false">IFERROR(INDEX(Sleephoria_History!$F$454:$F$2115,MATCH($A26,Sleephoria_History!$A$454:$A$2115,0)),"")</f>
        <v>155</v>
      </c>
      <c r="W26" s="38" t="n">
        <f aca="false">IFERROR(INDEX(Sleephoria_History!$J$454:$J$2115,MATCH($A26,Sleephoria_History!$A$454:$A$2115,0)),"")</f>
        <v>0.1097</v>
      </c>
      <c r="X26" s="39" t="n">
        <f aca="false">IFERROR(INDEX(Sleephoria_History!$H$454:$H$2115,MATCH($A26,Sleephoria_History!$A$454:$A$2115,0)),"")</f>
        <v>1.59</v>
      </c>
      <c r="Y26" s="38" t="n">
        <f aca="false">IFERROR(INDEX(Sleephoria_History!$M$454:$M$2115,MATCH($A26,Sleephoria_History!$A$454:$A$2115,0)),"")</f>
        <v>0.26</v>
      </c>
      <c r="Z26" s="40" t="n">
        <f aca="false">IFERROR(INDEX(Sleephoria_History!$L$454:$L$2115,MATCH($A26,Sleephoria_History!$A$454:$A$2115,0)),"")</f>
        <v>948.79</v>
      </c>
      <c r="AA26" s="37" t="n">
        <f aca="false">IFERROR(INDEX(Decolure_History!$F$397:$F$709,MATCH($A26,Decolure_History!$A$397:$A$709,0)),"")</f>
        <v>32</v>
      </c>
      <c r="AB26" s="38" t="n">
        <f aca="false">IFERROR(INDEX(Decolure_History!$J$397:$J$709,MATCH($A26,Decolure_History!$A$397:$A$709,0)),"")</f>
        <v>0.0938</v>
      </c>
      <c r="AC26" s="38" t="n">
        <f aca="false">IFERROR(INDEX(Decolure_History!$M$397:$M$709,MATCH($A26,Decolure_History!$A$397:$A$709,0)),"")</f>
        <v>0.24</v>
      </c>
      <c r="AD26" s="41" t="n">
        <v>0.0878</v>
      </c>
      <c r="AE26" s="27" t="s">
        <v>535</v>
      </c>
      <c r="AF26" s="42" t="n">
        <v>0.479</v>
      </c>
      <c r="AG26" s="32" t="n">
        <f aca="false">M26*AF26</f>
        <v>8.70183333333333</v>
      </c>
      <c r="AH26" s="43" t="n">
        <f aca="false">IF(AO26="Brand Defense",0,IFERROR(VLOOKUP(S26,Assumptions!$A$24:$B$28,2,FALSE()),0))</f>
        <v>0.028</v>
      </c>
      <c r="AI26" s="28" t="n">
        <f aca="false">Assumptions!$B$6</f>
        <v>0.66</v>
      </c>
      <c r="AJ26" s="44" t="n">
        <f aca="false">AG26*AH26*AI26</f>
        <v>0.16080988</v>
      </c>
      <c r="AK26" s="44" t="n">
        <f aca="false">AJ26*AD26</f>
        <v>0.014119107464</v>
      </c>
      <c r="AL26" s="30" t="n">
        <f aca="false">AJ26*56</f>
        <v>9.00535328</v>
      </c>
      <c r="AM26" s="32" t="n">
        <f aca="false">AK26*56</f>
        <v>0.790670017984</v>
      </c>
      <c r="AN26" s="44" t="n">
        <f aca="false">M26*Assumptions!$B$8</f>
        <v>1.81666666666667</v>
      </c>
      <c r="AO26" s="27" t="s">
        <v>430</v>
      </c>
      <c r="AP26" s="27" t="s">
        <v>484</v>
      </c>
      <c r="AQ26" s="26" t="s">
        <v>198</v>
      </c>
      <c r="AR26" s="27" t="s">
        <v>199</v>
      </c>
      <c r="AS26" s="44" t="n">
        <f aca="false">IF(AO26="Ranking — Full Push",MIN(MAX(AJ26,Assumptions!$B$9),AN26),IF(AO26="Brand Defense",MIN(Assumptions!$B$7,AN26),IF(OR(AO26="Ranking — Head Term (Capped)",AO26="Ranking — Capped Entry"),MIN(MAX(AJ26,Assumptions!$B$9),Assumptions!$B$7,AN26),IF(AO26="Ranking — Capped Long-Tail",MIN(AJ26,Assumptions!$B$10,AN26),MIN(AJ26,AN26)))))</f>
        <v>1</v>
      </c>
      <c r="AT26" s="27" t="str">
        <f aca="false">IF(AJ26&lt;=0,"",IF(AS26&gt;=AJ26,IF(AS26&gt;AJ26*1.05,"Floor of "&amp;TEXT(AS26,"0.0")&amp;" click/day to read CVR (rank needs "&amp;TEXT(AJ26,"0.00")&amp;")","Fully funded (100%)"),"Capped at "&amp;TEXT(AS26/AJ26,"0%")&amp;" of required"))</f>
        <v>Floor of 1.0 click/day to read CVR (rank needs 0.16)</v>
      </c>
      <c r="AU26" s="44" t="n">
        <f aca="false">AS26*AD26</f>
        <v>0.0878</v>
      </c>
      <c r="AV26" s="45" t="n">
        <f aca="false">AU26*AY26</f>
        <v>5.969522</v>
      </c>
      <c r="AW26" s="46" t="n">
        <v>1.59</v>
      </c>
      <c r="AX26" s="27" t="s">
        <v>536</v>
      </c>
      <c r="AY26" s="47" t="n">
        <f aca="false">INDEX(Assumptions!$B$33:$B$37,MATCH(IF($D26="","Queen",$D26),Assumptions!$A$33:$A$37,0))</f>
        <v>67.99</v>
      </c>
      <c r="AZ26" s="33" t="n">
        <f aca="false">INDEX(Assumptions!$K$33:$K$37,MATCH(IF($D26="","Queen",$D26),Assumptions!$A$33:$A$37,0))</f>
        <v>0.468852037064274</v>
      </c>
      <c r="BA26" s="33" t="n">
        <f aca="false">INDEX(Assumptions!$H$33:$H$37,MATCH(IF($D26="","Queen",$D26),Assumptions!$A$33:$A$37,0))</f>
        <v>0.312568024709516</v>
      </c>
      <c r="BB26" s="47" t="n">
        <f aca="false">AY26*AZ26*AD26</f>
        <v>2.79882255</v>
      </c>
      <c r="BC26" s="47" t="n">
        <f aca="false">ROUND(MIN(AW26*Assumptions!$B$11,BB26),2)</f>
        <v>1.59</v>
      </c>
      <c r="BD26" s="26" t="s">
        <v>201</v>
      </c>
      <c r="BE26" s="48" t="n">
        <f aca="false">IF(AO26="Ranking — Full Push",MAX(0,MIN(IF(BD26="Yes",Assumptions!$B$12,Assumptions!$B$13),FLOOR(MAX(0,BB26/BC26-1),Assumptions!$B$14))),0)</f>
        <v>0</v>
      </c>
      <c r="BF26" s="49" t="str">
        <f aca="false">IF(AO26="Ranking — Full Push",IF(BE26&gt;=1,"YES — +100% Top of Search. Effective CPC $"&amp;TEXT(BG26,"0.00")&amp;" (= $"&amp;TEXT(BC26,"0.00")&amp;" × 2) stays within the $"&amp;TEXT(BB26,"0.00")&amp;" max ranking CPC"&amp;" (= $"&amp;TEXT(AY26,"0.00")&amp;" price × "&amp;TEXT(AZ26,"0.0%")&amp;" ranking ceiling × "&amp;TEXT(AD26,"0.0%")&amp;" CVR)"&amp;". Sleephoria CVR is proven on this term, so the full push is justified.",IF(AND(BD26="No",BE26&gt;=Assumptions!$B$13),"PARTIAL — +"&amp;TEXT(BE26,"0%")&amp;" Top of Search (limit for terms without proven CVR). Effective CPC $"&amp;TEXT(BG26,"0.00")&amp;" vs $"&amp;TEXT(BB26,"0.00")&amp;" max ranking CPC"&amp;" (= $"&amp;TEXT(AY26,"0.00")&amp;" price × "&amp;TEXT(AZ26,"0.0%")&amp;" ranking ceiling × "&amp;TEXT(AD26,"0.0%")&amp;" CVR)"&amp;". Raise to +100% only after CooLinens converts at ≥ "&amp;TEXT(AD26,"0.0%")&amp;" on 50+ clicks and $"&amp;TEXT(BC26*2,"0.00")&amp;" ≤ the max.",IF(BE26&gt;0,"PARTIAL — +"&amp;TEXT(BE26,"0%")&amp;" Top of Search. Effective CPC $"&amp;TEXT(BG26,"0.00")&amp;" stays within the $"&amp;TEXT(BB26,"0.00")&amp;" max ranking CPC"&amp;" (= $"&amp;TEXT(AY26,"0.00")&amp;" price × "&amp;TEXT(AZ26,"0.0%")&amp;" ranking ceiling × "&amp;TEXT(AD26,"0.0%")&amp;" CVR)"&amp;". +100% would cost $"&amp;TEXT(BC26*2,"0.00")&amp;" per click and push ACoS to "&amp;TEXT(BC26*2/(AY26*AD26),"0.0%")&amp;", above the "&amp;TEXT(AZ26,"0.0%")&amp;" ceiling.","NO — 0%. Base bid $"&amp;TEXT(BC26,"0.00")&amp;" already equals the $"&amp;TEXT(BB26,"0.00")&amp;" max ranking CPC"&amp;" (= $"&amp;TEXT(AY26,"0.00")&amp;" price × "&amp;TEXT(AZ26,"0.0%")&amp;" ranking ceiling × "&amp;TEXT(AD26,"0.0%")&amp;" CVR)"&amp;"; any modifier would push ACoS above the "&amp;TEXT(AZ26,"0.0%")&amp;" ceiling."))),IF(OR(AO26="Ranking — Head Term (Capped)",AO26="Ranking — Capped Entry",AO26="Ranking — Capped Long-Tail"),"NO — 0% (capped ranking entry). Bid $"&amp;TEXT(BC26,"0.00")&amp;" vs $"&amp;TEXT(BB26,"0.00")&amp;" max ranking CPC"&amp;" (= $"&amp;TEXT(AY26,"0.00")&amp;" price × "&amp;TEXT(AZ26,"0.0%")&amp;" ranking ceiling × "&amp;TEXT(AD26,"0.0%")&amp;" CVR)"&amp;". While spend is capped at "&amp;TEXT(AS26,"0.00")&amp;" clicks/day, a placement premium would only raise CPC without buying more rank; the modifier is set when this term moves to a full push.","NO — 0% (support / brand term). Bid $"&amp;TEXT(BC26,"0.00")&amp;" vs $"&amp;TEXT(BB26,"0.00")&amp;" max ranking CPC"&amp;" (= $"&amp;TEXT(AY26,"0.00")&amp;" price × "&amp;TEXT(AZ26,"0.0%")&amp;" ranking ceiling × "&amp;TEXT(AD26,"0.0%")&amp;" CVR)"&amp;"; expected ACoS "&amp;TEXT(BI26,"0.0%")&amp;" vs the "&amp;TEXT(AZ26,"0.0%")&amp;" ceiling."))</f>
        <v>NO — 0% (capped ranking entry). Bid $1.59 vs $2.80 max ranking CPC (= $67.99 price × 46.9% ranking ceiling × 8.8% CVR). While spend is capped at 1.00 clicks/day, a placement premium would only raise CPC without buying more rank; the modifier is set when this term moves to a full push.</v>
      </c>
      <c r="BG26" s="50" t="n">
        <f aca="false">BC26*(1+BE26)</f>
        <v>1.59</v>
      </c>
      <c r="BH26" s="45" t="n">
        <f aca="false">AS26*BG26</f>
        <v>1.59</v>
      </c>
      <c r="BI26" s="33" t="n">
        <f aca="false">IFERROR(BG26/(AY26*AD26),"")</f>
        <v>0.266352984376304</v>
      </c>
      <c r="BJ26" s="27" t="str">
        <f aca="false">IF(BI26="","",IF(BI26&lt;=BA26,"Profitable (≤ break-even)",IF(BI26&lt;=AZ26,"Ranking investment (≤ ceiling)","Above ceiling — reduce bid")))</f>
        <v>Profitable (≤ break-even)</v>
      </c>
      <c r="BK26" s="49" t="str">
        <f aca="false">"Base $"&amp;TEXT(BC26,"0.00")&amp;" × (1 + "&amp;TEXT(BE26,"0%")&amp;" TOS) = $"&amp;TEXT(BG26,"0.00")&amp;" effective CPC [max $"&amp;TEXT(BB26,"0.00")&amp;"]. "&amp;TEXT(AG26,"0.0")&amp;" market clicks/day × "&amp;TEXT(AH26,"0.00%")&amp;" click share × "&amp;TEXT(AI26,"0%")&amp;" paid = "&amp;TEXT(AJ26,"0.00")&amp;" clicks/day needed; "&amp;"planned "&amp;TEXT(AS26,"0.00")&amp;" clicks/day × "&amp;TEXT(AD26,"0.0%")&amp;" CVR = "&amp;TEXT(AU26,"0.00")&amp;" orders/day. "&amp;"Spend $"&amp;TEXT(BH26,"0.00")&amp;"/day, ACoS "&amp;TEXT(BI26,"0.0%")&amp;" (ceiling "&amp;TEXT(AZ26,"0.0%")&amp;", break-even "&amp;TEXT(BA26,"0.0%")&amp;"). "&amp;"Target organic rank #"&amp;S26&amp;" by week 8 ("&amp;T26&amp;")."</f>
        <v>Base $1.59 × (1 + 0% TOS) = $1.59 effective CPC [max $2.80]. 8.7 market clicks/day × 2.80% click share × 66% paid = 0.16 clicks/day needed; planned 1.00 clicks/day × 8.8% CVR = 0.09 orders/day. Spend $1.59/day, ACoS 26.6% (ceiling 46.9%, break-even 31.3%). Target organic rank #10 by week 8 (#40 → #20 → #10 (full push after size assignment)).</v>
      </c>
      <c r="BL26" s="27" t="s">
        <v>486</v>
      </c>
      <c r="BM26" s="27" t="s">
        <v>203</v>
      </c>
      <c r="BN26" s="27" t="s">
        <v>537</v>
      </c>
      <c r="BO26" s="27" t="s">
        <v>529</v>
      </c>
      <c r="BP26" s="27" t="s">
        <v>488</v>
      </c>
      <c r="BQ26" s="26" t="s">
        <v>489</v>
      </c>
      <c r="BR26" s="40" t="n">
        <f aca="false">IFERROR(INDEX(Campaigns!$L:$L,MATCH(BN26,Campaigns!$A:$A,0)),"")</f>
        <v>10</v>
      </c>
      <c r="BS26" s="51" t="str">
        <f aca="false">IFERROR(INDEX(Inventory!$O:$O,MATCH(BP26,Inventory!$A:$A,0)),"")</f>
        <v>OK</v>
      </c>
      <c r="BT26" s="52" t="n">
        <f aca="false">IFERROR(INDEX(Inventory!$N:$N,MATCH(BP26,Inventory!$A:$A,0)),"")</f>
        <v>67.2295359591037</v>
      </c>
      <c r="BU26" s="27" t="s">
        <v>538</v>
      </c>
      <c r="BV26" s="27" t="s">
        <v>539</v>
      </c>
      <c r="BW26" s="27" t="s">
        <v>540</v>
      </c>
      <c r="BX26" s="27" t="s">
        <v>541</v>
      </c>
      <c r="BY26" s="27" t="s">
        <v>542</v>
      </c>
      <c r="BZ26" s="27" t="s">
        <v>543</v>
      </c>
      <c r="CA26" s="27" t="s">
        <v>496</v>
      </c>
      <c r="CB26" s="27" t="s">
        <v>544</v>
      </c>
      <c r="CC26" s="27" t="s">
        <v>545</v>
      </c>
    </row>
    <row r="27" customFormat="false" ht="120" hidden="false" customHeight="true" outlineLevel="0" collapsed="false">
      <c r="A27" s="24" t="s">
        <v>546</v>
      </c>
      <c r="B27" s="25" t="n">
        <v>1</v>
      </c>
      <c r="C27" s="26" t="s">
        <v>184</v>
      </c>
      <c r="D27" s="26" t="s">
        <v>479</v>
      </c>
      <c r="E27" s="27" t="s">
        <v>371</v>
      </c>
      <c r="F27" s="28" t="n">
        <v>1</v>
      </c>
      <c r="G27" s="27" t="s">
        <v>187</v>
      </c>
      <c r="H27" s="26" t="s">
        <v>342</v>
      </c>
      <c r="I27" s="29" t="n">
        <v>6</v>
      </c>
      <c r="J27" s="27" t="s">
        <v>547</v>
      </c>
      <c r="K27" s="30" t="n">
        <v>590</v>
      </c>
      <c r="L27" s="31" t="n">
        <v>337</v>
      </c>
      <c r="M27" s="32" t="n">
        <f aca="false">L27/30</f>
        <v>11.2333333333333</v>
      </c>
      <c r="N27" s="33" t="n">
        <v>0.053988326848249</v>
      </c>
      <c r="O27" s="27" t="s">
        <v>548</v>
      </c>
      <c r="P27" s="27" t="s">
        <v>549</v>
      </c>
      <c r="Q27" s="27" t="s">
        <v>256</v>
      </c>
      <c r="R27" s="34" t="n">
        <v>2</v>
      </c>
      <c r="S27" s="35" t="n">
        <v>20</v>
      </c>
      <c r="T27" s="36" t="s">
        <v>467</v>
      </c>
      <c r="U27" s="27" t="s">
        <v>550</v>
      </c>
      <c r="V27" s="37" t="n">
        <f aca="false">IFERROR(INDEX(Sleephoria_History!$F$454:$F$2115,MATCH($A27,Sleephoria_History!$A$454:$A$2115,0)),"")</f>
        <v>9</v>
      </c>
      <c r="W27" s="38" t="n">
        <f aca="false">IFERROR(INDEX(Sleephoria_History!$J$454:$J$2115,MATCH($A27,Sleephoria_History!$A$454:$A$2115,0)),"")</f>
        <v>0.2222</v>
      </c>
      <c r="X27" s="39" t="n">
        <f aca="false">IFERROR(INDEX(Sleephoria_History!$H$454:$H$2115,MATCH($A27,Sleephoria_History!$A$454:$A$2115,0)),"")</f>
        <v>2.34</v>
      </c>
      <c r="Y27" s="38" t="n">
        <f aca="false">IFERROR(INDEX(Sleephoria_History!$M$454:$M$2115,MATCH($A27,Sleephoria_History!$A$454:$A$2115,0)),"")</f>
        <v>0.124</v>
      </c>
      <c r="Z27" s="40" t="n">
        <f aca="false">IFERROR(INDEX(Sleephoria_History!$L$454:$L$2115,MATCH($A27,Sleephoria_History!$A$454:$A$2115,0)),"")</f>
        <v>169.98</v>
      </c>
      <c r="AA27" s="37" t="str">
        <f aca="false">IFERROR(INDEX(Decolure_History!$F$397:$F$709,MATCH($A27,Decolure_History!$A$397:$A$709,0)),"")</f>
        <v/>
      </c>
      <c r="AB27" s="38" t="str">
        <f aca="false">IFERROR(INDEX(Decolure_History!$J$397:$J$709,MATCH($A27,Decolure_History!$A$397:$A$709,0)),"")</f>
        <v/>
      </c>
      <c r="AC27" s="38" t="str">
        <f aca="false">IFERROR(INDEX(Decolure_History!$M$397:$M$709,MATCH($A27,Decolure_History!$A$397:$A$709,0)),"")</f>
        <v/>
      </c>
      <c r="AD27" s="41" t="n">
        <v>0.064</v>
      </c>
      <c r="AE27" s="27" t="s">
        <v>275</v>
      </c>
      <c r="AF27" s="42" t="n">
        <v>0.488</v>
      </c>
      <c r="AG27" s="32" t="n">
        <f aca="false">M27*AF27</f>
        <v>5.48186666666667</v>
      </c>
      <c r="AH27" s="43" t="n">
        <f aca="false">IF(AO27="Brand Defense",0,IFERROR(VLOOKUP(S27,Assumptions!$A$24:$B$28,2,FALSE()),0))</f>
        <v>0.0124</v>
      </c>
      <c r="AI27" s="28" t="n">
        <f aca="false">Assumptions!$B$6</f>
        <v>0.66</v>
      </c>
      <c r="AJ27" s="44" t="n">
        <f aca="false">AG27*AH27*AI27</f>
        <v>0.0448635968</v>
      </c>
      <c r="AK27" s="44" t="n">
        <f aca="false">AJ27*AD27</f>
        <v>0.0028712701952</v>
      </c>
      <c r="AL27" s="30" t="n">
        <f aca="false">AJ27*56</f>
        <v>2.5123614208</v>
      </c>
      <c r="AM27" s="32" t="n">
        <f aca="false">AK27*56</f>
        <v>0.1607911309312</v>
      </c>
      <c r="AN27" s="44" t="n">
        <f aca="false">M27*Assumptions!$B$8</f>
        <v>1.12333333333333</v>
      </c>
      <c r="AO27" s="27" t="s">
        <v>430</v>
      </c>
      <c r="AP27" s="27" t="s">
        <v>484</v>
      </c>
      <c r="AQ27" s="26" t="s">
        <v>198</v>
      </c>
      <c r="AR27" s="27" t="s">
        <v>199</v>
      </c>
      <c r="AS27" s="44" t="n">
        <f aca="false">IF(AO27="Ranking — Full Push",MIN(MAX(AJ27,Assumptions!$B$9),AN27),IF(AO27="Brand Defense",MIN(Assumptions!$B$7,AN27),IF(OR(AO27="Ranking — Head Term (Capped)",AO27="Ranking — Capped Entry"),MIN(MAX(AJ27,Assumptions!$B$9),Assumptions!$B$7,AN27),IF(AO27="Ranking — Capped Long-Tail",MIN(AJ27,Assumptions!$B$10,AN27),MIN(AJ27,AN27)))))</f>
        <v>1</v>
      </c>
      <c r="AT27" s="27" t="str">
        <f aca="false">IF(AJ27&lt;=0,"",IF(AS27&gt;=AJ27,IF(AS27&gt;AJ27*1.05,"Floor of "&amp;TEXT(AS27,"0.0")&amp;" click/day to read CVR (rank needs "&amp;TEXT(AJ27,"0.00")&amp;")","Fully funded (100%)"),"Capped at "&amp;TEXT(AS27/AJ27,"0%")&amp;" of required"))</f>
        <v>Floor of 1.0 click/day to read CVR (rank needs 0.04)</v>
      </c>
      <c r="AU27" s="44" t="n">
        <f aca="false">AS27*AD27</f>
        <v>0.064</v>
      </c>
      <c r="AV27" s="45" t="n">
        <f aca="false">AU27*AY27</f>
        <v>4.35136</v>
      </c>
      <c r="AW27" s="46" t="n">
        <v>2.42</v>
      </c>
      <c r="AX27" s="27" t="s">
        <v>551</v>
      </c>
      <c r="AY27" s="47" t="n">
        <f aca="false">INDEX(Assumptions!$B$33:$B$37,MATCH(IF($D27="","Queen",$D27),Assumptions!$A$33:$A$37,0))</f>
        <v>67.99</v>
      </c>
      <c r="AZ27" s="33" t="n">
        <f aca="false">INDEX(Assumptions!$K$33:$K$37,MATCH(IF($D27="","Queen",$D27),Assumptions!$A$33:$A$37,0))</f>
        <v>0.468852037064274</v>
      </c>
      <c r="BA27" s="33" t="n">
        <f aca="false">INDEX(Assumptions!$H$33:$H$37,MATCH(IF($D27="","Queen",$D27),Assumptions!$A$33:$A$37,0))</f>
        <v>0.312568024709516</v>
      </c>
      <c r="BB27" s="47" t="n">
        <f aca="false">AY27*AZ27*AD27</f>
        <v>2.040144</v>
      </c>
      <c r="BC27" s="47" t="n">
        <f aca="false">ROUND(MIN(AW27*Assumptions!$B$11,BB27),2)</f>
        <v>2.04</v>
      </c>
      <c r="BD27" s="26" t="s">
        <v>278</v>
      </c>
      <c r="BE27" s="48" t="n">
        <f aca="false">IF(AO27="Ranking — Full Push",MAX(0,MIN(IF(BD27="Yes",Assumptions!$B$12,Assumptions!$B$13),FLOOR(MAX(0,BB27/BC27-1),Assumptions!$B$14))),0)</f>
        <v>0</v>
      </c>
      <c r="BF27" s="49" t="str">
        <f aca="false">IF(AO27="Ranking — Full Push",IF(BE27&gt;=1,"YES — +100% Top of Search. Effective CPC $"&amp;TEXT(BG27,"0.00")&amp;" (= $"&amp;TEXT(BC27,"0.00")&amp;" × 2) stays within the $"&amp;TEXT(BB27,"0.00")&amp;" max ranking CPC"&amp;" (= $"&amp;TEXT(AY27,"0.00")&amp;" price × "&amp;TEXT(AZ27,"0.0%")&amp;" ranking ceiling × "&amp;TEXT(AD27,"0.0%")&amp;" CVR)"&amp;". Sleephoria CVR is proven on this term, so the full push is justified.",IF(AND(BD27="No",BE27&gt;=Assumptions!$B$13),"PARTIAL — +"&amp;TEXT(BE27,"0%")&amp;" Top of Search (limit for terms without proven CVR). Effective CPC $"&amp;TEXT(BG27,"0.00")&amp;" vs $"&amp;TEXT(BB27,"0.00")&amp;" max ranking CPC"&amp;" (= $"&amp;TEXT(AY27,"0.00")&amp;" price × "&amp;TEXT(AZ27,"0.0%")&amp;" ranking ceiling × "&amp;TEXT(AD27,"0.0%")&amp;" CVR)"&amp;". Raise to +100% only after CooLinens converts at ≥ "&amp;TEXT(AD27,"0.0%")&amp;" on 50+ clicks and $"&amp;TEXT(BC27*2,"0.00")&amp;" ≤ the max.",IF(BE27&gt;0,"PARTIAL — +"&amp;TEXT(BE27,"0%")&amp;" Top of Search. Effective CPC $"&amp;TEXT(BG27,"0.00")&amp;" stays within the $"&amp;TEXT(BB27,"0.00")&amp;" max ranking CPC"&amp;" (= $"&amp;TEXT(AY27,"0.00")&amp;" price × "&amp;TEXT(AZ27,"0.0%")&amp;" ranking ceiling × "&amp;TEXT(AD27,"0.0%")&amp;" CVR)"&amp;". +100% would cost $"&amp;TEXT(BC27*2,"0.00")&amp;" per click and push ACoS to "&amp;TEXT(BC27*2/(AY27*AD27),"0.0%")&amp;", above the "&amp;TEXT(AZ27,"0.0%")&amp;" ceiling.","NO — 0%. Base bid $"&amp;TEXT(BC27,"0.00")&amp;" already equals the $"&amp;TEXT(BB27,"0.00")&amp;" max ranking CPC"&amp;" (= $"&amp;TEXT(AY27,"0.00")&amp;" price × "&amp;TEXT(AZ27,"0.0%")&amp;" ranking ceiling × "&amp;TEXT(AD27,"0.0%")&amp;" CVR)"&amp;"; any modifier would push ACoS above the "&amp;TEXT(AZ27,"0.0%")&amp;" ceiling."))),IF(OR(AO27="Ranking — Head Term (Capped)",AO27="Ranking — Capped Entry",AO27="Ranking — Capped Long-Tail"),"NO — 0% (capped ranking entry). Bid $"&amp;TEXT(BC27,"0.00")&amp;" vs $"&amp;TEXT(BB27,"0.00")&amp;" max ranking CPC"&amp;" (= $"&amp;TEXT(AY27,"0.00")&amp;" price × "&amp;TEXT(AZ27,"0.0%")&amp;" ranking ceiling × "&amp;TEXT(AD27,"0.0%")&amp;" CVR)"&amp;". While spend is capped at "&amp;TEXT(AS27,"0.00")&amp;" clicks/day, a placement premium would only raise CPC without buying more rank; the modifier is set when this term moves to a full push.","NO — 0% (support / brand term). Bid $"&amp;TEXT(BC27,"0.00")&amp;" vs $"&amp;TEXT(BB27,"0.00")&amp;" max ranking CPC"&amp;" (= $"&amp;TEXT(AY27,"0.00")&amp;" price × "&amp;TEXT(AZ27,"0.0%")&amp;" ranking ceiling × "&amp;TEXT(AD27,"0.0%")&amp;" CVR)"&amp;"; expected ACoS "&amp;TEXT(BI27,"0.0%")&amp;" vs the "&amp;TEXT(AZ27,"0.0%")&amp;"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G27" s="50" t="n">
        <f aca="false">BC27*(1+BE27)</f>
        <v>2.04</v>
      </c>
      <c r="BH27" s="45" t="n">
        <f aca="false">AS27*BG27</f>
        <v>2.04</v>
      </c>
      <c r="BI27" s="33" t="n">
        <f aca="false">IFERROR(BG27/(AY27*AD27),"")</f>
        <v>0.468818943962347</v>
      </c>
      <c r="BJ27" s="27" t="str">
        <f aca="false">IF(BI27="","",IF(BI27&lt;=BA27,"Profitable (≤ break-even)",IF(BI27&lt;=AZ27,"Ranking investment (≤ ceiling)","Above ceiling — reduce bid")))</f>
        <v>Ranking investment (≤ ceiling)</v>
      </c>
      <c r="BK27" s="49" t="str">
        <f aca="false">"Base $"&amp;TEXT(BC27,"0.00")&amp;" × (1 + "&amp;TEXT(BE27,"0%")&amp;" TOS) = $"&amp;TEXT(BG27,"0.00")&amp;" effective CPC [max $"&amp;TEXT(BB27,"0.00")&amp;"]. "&amp;TEXT(AG27,"0.0")&amp;" market clicks/day × "&amp;TEXT(AH27,"0.00%")&amp;" click share × "&amp;TEXT(AI27,"0%")&amp;" paid = "&amp;TEXT(AJ27,"0.00")&amp;" clicks/day needed; "&amp;"planned "&amp;TEXT(AS27,"0.00")&amp;" clicks/day × "&amp;TEXT(AD27,"0.0%")&amp;" CVR = "&amp;TEXT(AU27,"0.00")&amp;" orders/day. "&amp;"Spend $"&amp;TEXT(BH27,"0.00")&amp;"/day, ACoS "&amp;TEXT(BI27,"0.0%")&amp;" (ceiling "&amp;TEXT(AZ27,"0.0%")&amp;", break-even "&amp;TEXT(BA27,"0.0%")&amp;"). "&amp;"Target organic rank #"&amp;S27&amp;" by week 8 ("&amp;T27&amp;")."</f>
        <v>Base $2.04 × (1 + 0% TOS) = $2.04 effective CPC [max $2.04]. 5.5 market clicks/day × 1.24% click share × 66% paid = 0.04 clicks/day needed; planned 1.00 clicks/day × 6.4% CVR = 0.06 orders/day. Spend $2.04/day, ACoS 46.9% (ceiling 46.9%, break-even 31.3%). Target organic rank #20 by week 8 (#60 → #35 → #20 (full push after size assignment)).</v>
      </c>
      <c r="BL27" s="27" t="s">
        <v>486</v>
      </c>
      <c r="BM27" s="27" t="s">
        <v>203</v>
      </c>
      <c r="BN27" s="27" t="s">
        <v>552</v>
      </c>
      <c r="BO27" s="27" t="s">
        <v>546</v>
      </c>
      <c r="BP27" s="27" t="s">
        <v>488</v>
      </c>
      <c r="BQ27" s="26" t="s">
        <v>489</v>
      </c>
      <c r="BR27" s="40" t="n">
        <f aca="false">IFERROR(INDEX(Campaigns!$L:$L,MATCH(BN27,Campaigns!$A:$A,0)),"")</f>
        <v>10</v>
      </c>
      <c r="BS27" s="51" t="str">
        <f aca="false">IFERROR(INDEX(Inventory!$O:$O,MATCH(BP27,Inventory!$A:$A,0)),"")</f>
        <v>OK</v>
      </c>
      <c r="BT27" s="52" t="n">
        <f aca="false">IFERROR(INDEX(Inventory!$N:$N,MATCH(BP27,Inventory!$A:$A,0)),"")</f>
        <v>67.2295359591037</v>
      </c>
      <c r="BU27" s="27" t="s">
        <v>553</v>
      </c>
      <c r="BV27" s="27" t="s">
        <v>263</v>
      </c>
      <c r="BW27" s="27" t="s">
        <v>554</v>
      </c>
      <c r="BX27" s="27" t="s">
        <v>555</v>
      </c>
      <c r="BY27" s="27" t="s">
        <v>556</v>
      </c>
      <c r="BZ27" s="27" t="s">
        <v>557</v>
      </c>
      <c r="CA27" s="27" t="s">
        <v>496</v>
      </c>
      <c r="CB27" s="27" t="s">
        <v>558</v>
      </c>
      <c r="CC27" s="27" t="s">
        <v>477</v>
      </c>
    </row>
    <row r="28" customFormat="false" ht="120" hidden="false" customHeight="true" outlineLevel="0" collapsed="false">
      <c r="A28" s="24" t="s">
        <v>559</v>
      </c>
      <c r="B28" s="25" t="n">
        <v>1</v>
      </c>
      <c r="C28" s="26" t="s">
        <v>184</v>
      </c>
      <c r="D28" s="26" t="s">
        <v>560</v>
      </c>
      <c r="E28" s="27" t="s">
        <v>371</v>
      </c>
      <c r="F28" s="28" t="n">
        <v>1</v>
      </c>
      <c r="G28" s="27" t="s">
        <v>187</v>
      </c>
      <c r="H28" s="26" t="s">
        <v>188</v>
      </c>
      <c r="I28" s="29" t="n">
        <v>9.5</v>
      </c>
      <c r="J28" s="27" t="s">
        <v>189</v>
      </c>
      <c r="K28" s="30" t="n">
        <v>19413</v>
      </c>
      <c r="L28" s="31" t="n">
        <v>25672</v>
      </c>
      <c r="M28" s="32" t="n">
        <f aca="false">L28/30</f>
        <v>855.733333333333</v>
      </c>
      <c r="N28" s="33" t="n">
        <v>0.0302255377832795</v>
      </c>
      <c r="O28" s="27" t="s">
        <v>561</v>
      </c>
      <c r="P28" s="27" t="s">
        <v>562</v>
      </c>
      <c r="Q28" s="27" t="s">
        <v>192</v>
      </c>
      <c r="R28" s="34" t="n">
        <v>4</v>
      </c>
      <c r="S28" s="35" t="n">
        <v>15</v>
      </c>
      <c r="T28" s="36" t="s">
        <v>450</v>
      </c>
      <c r="U28" s="27" t="s">
        <v>563</v>
      </c>
      <c r="V28" s="37" t="n">
        <f aca="false">IFERROR(INDEX(Sleephoria_History!$F$454:$F$2115,MATCH($A28,Sleephoria_History!$A$454:$A$2115,0)),"")</f>
        <v>651</v>
      </c>
      <c r="W28" s="38" t="n">
        <f aca="false">IFERROR(INDEX(Sleephoria_History!$J$454:$J$2115,MATCH($A28,Sleephoria_History!$A$454:$A$2115,0)),"")</f>
        <v>0.1106</v>
      </c>
      <c r="X28" s="39" t="n">
        <f aca="false">IFERROR(INDEX(Sleephoria_History!$H$454:$H$2115,MATCH($A28,Sleephoria_History!$A$454:$A$2115,0)),"")</f>
        <v>3.28</v>
      </c>
      <c r="Y28" s="38" t="n">
        <f aca="false">IFERROR(INDEX(Sleephoria_History!$M$454:$M$2115,MATCH($A28,Sleephoria_History!$A$454:$A$2115,0)),"")</f>
        <v>0.373</v>
      </c>
      <c r="Z28" s="40" t="n">
        <f aca="false">IFERROR(INDEX(Sleephoria_History!$L$454:$L$2115,MATCH($A28,Sleephoria_History!$A$454:$A$2115,0)),"")</f>
        <v>5728.74</v>
      </c>
      <c r="AA28" s="37" t="n">
        <f aca="false">IFERROR(INDEX(Decolure_History!$F$397:$F$709,MATCH($A28,Decolure_History!$A$397:$A$709,0)),"")</f>
        <v>160</v>
      </c>
      <c r="AB28" s="38" t="n">
        <f aca="false">IFERROR(INDEX(Decolure_History!$J$397:$J$709,MATCH($A28,Decolure_History!$A$397:$A$709,0)),"")</f>
        <v>0.05</v>
      </c>
      <c r="AC28" s="38" t="n">
        <f aca="false">IFERROR(INDEX(Decolure_History!$M$397:$M$709,MATCH($A28,Decolure_History!$A$397:$A$709,0)),"")</f>
        <v>0.602</v>
      </c>
      <c r="AD28" s="41" t="n">
        <v>0.0885</v>
      </c>
      <c r="AE28" s="27" t="s">
        <v>564</v>
      </c>
      <c r="AF28" s="42" t="n">
        <v>0.493</v>
      </c>
      <c r="AG28" s="32" t="n">
        <f aca="false">M28*AF28</f>
        <v>421.876533333333</v>
      </c>
      <c r="AH28" s="43" t="n">
        <f aca="false">IF(AO28="Brand Defense",0,IFERROR(VLOOKUP(S28,Assumptions!$A$24:$B$28,2,FALSE()),0))</f>
        <v>0.0149</v>
      </c>
      <c r="AI28" s="28" t="n">
        <f aca="false">Assumptions!$B$6</f>
        <v>0.66</v>
      </c>
      <c r="AJ28" s="44" t="n">
        <f aca="false">AG28*AH28*AI28</f>
        <v>4.1487338288</v>
      </c>
      <c r="AK28" s="44" t="n">
        <f aca="false">AJ28*AD28</f>
        <v>0.3671629438488</v>
      </c>
      <c r="AL28" s="30" t="n">
        <f aca="false">AJ28*56</f>
        <v>232.3290944128</v>
      </c>
      <c r="AM28" s="32" t="n">
        <f aca="false">AK28*56</f>
        <v>20.5611248555328</v>
      </c>
      <c r="AN28" s="44" t="n">
        <f aca="false">M28*Assumptions!$B$8</f>
        <v>85.5733333333333</v>
      </c>
      <c r="AO28" s="27" t="s">
        <v>430</v>
      </c>
      <c r="AP28" s="27" t="s">
        <v>565</v>
      </c>
      <c r="AQ28" s="26" t="s">
        <v>198</v>
      </c>
      <c r="AR28" s="27" t="s">
        <v>199</v>
      </c>
      <c r="AS28" s="44" t="n">
        <f aca="false">IF(AO28="Ranking — Full Push",MIN(MAX(AJ28,Assumptions!$B$9),AN28),IF(AO28="Brand Defense",MIN(Assumptions!$B$7,AN28),IF(OR(AO28="Ranking — Head Term (Capped)",AO28="Ranking — Capped Entry"),MIN(MAX(AJ28,Assumptions!$B$9),Assumptions!$B$7,AN28),IF(AO28="Ranking — Capped Long-Tail",MIN(AJ28,Assumptions!$B$10,AN28),MIN(AJ28,AN28)))))</f>
        <v>3.57142857142857</v>
      </c>
      <c r="AT28" s="27" t="str">
        <f aca="false">IF(AJ28&lt;=0,"",IF(AS28&gt;=AJ28,IF(AS28&gt;AJ28*1.05,"Floor of "&amp;TEXT(AS28,"0.0")&amp;" click/day to read CVR (rank needs "&amp;TEXT(AJ28,"0.00")&amp;")","Fully funded (100%)"),"Capped at "&amp;TEXT(AS28/AJ28,"0%")&amp;" of required"))</f>
        <v>Capped at 86% of required</v>
      </c>
      <c r="AU28" s="44" t="n">
        <f aca="false">AS28*AD28</f>
        <v>0.316071428571429</v>
      </c>
      <c r="AV28" s="45" t="n">
        <f aca="false">AU28*AY28</f>
        <v>26.8629107142857</v>
      </c>
      <c r="AW28" s="46" t="n">
        <v>3.28</v>
      </c>
      <c r="AX28" s="27" t="s">
        <v>566</v>
      </c>
      <c r="AY28" s="47" t="n">
        <f aca="false">INDEX(Assumptions!$B$33:$B$37,MATCH(IF($D28="","Queen",$D28),Assumptions!$A$33:$A$37,0))</f>
        <v>84.99</v>
      </c>
      <c r="AZ28" s="33" t="n">
        <f aca="false">INDEX(Assumptions!$K$33:$K$37,MATCH(IF($D28="","Queen",$D28),Assumptions!$A$33:$A$37,0))</f>
        <v>0.525970702435581</v>
      </c>
      <c r="BA28" s="33" t="n">
        <f aca="false">INDEX(Assumptions!$H$33:$H$37,MATCH(IF($D28="","Queen",$D28),Assumptions!$A$33:$A$37,0))</f>
        <v>0.350647134957054</v>
      </c>
      <c r="BB28" s="47" t="n">
        <f aca="false">AY28*AZ28*AD28</f>
        <v>3.956149125</v>
      </c>
      <c r="BC28" s="47" t="n">
        <f aca="false">ROUND(MIN(AW28*Assumptions!$B$11,BB28),2)</f>
        <v>3.28</v>
      </c>
      <c r="BD28" s="26" t="s">
        <v>201</v>
      </c>
      <c r="BE28" s="48" t="n">
        <f aca="false">IF(AO28="Ranking — Full Push",MAX(0,MIN(IF(BD28="Yes",Assumptions!$B$12,Assumptions!$B$13),FLOOR(MAX(0,BB28/BC28-1),Assumptions!$B$14))),0)</f>
        <v>0</v>
      </c>
      <c r="BF28" s="49" t="str">
        <f aca="false">IF(AO28="Ranking — Full Push",IF(BE28&gt;=1,"YES — +100% Top of Search. Effective CPC $"&amp;TEXT(BG28,"0.00")&amp;" (= $"&amp;TEXT(BC28,"0.00")&amp;" × 2) stays within the $"&amp;TEXT(BB28,"0.00")&amp;" max ranking CPC"&amp;" (= $"&amp;TEXT(AY28,"0.00")&amp;" price × "&amp;TEXT(AZ28,"0.0%")&amp;" ranking ceiling × "&amp;TEXT(AD28,"0.0%")&amp;" CVR)"&amp;". Sleephoria CVR is proven on this term, so the full push is justified.",IF(AND(BD28="No",BE28&gt;=Assumptions!$B$13),"PARTIAL — +"&amp;TEXT(BE28,"0%")&amp;" Top of Search (limit for terms without proven CVR). Effective CPC $"&amp;TEXT(BG28,"0.00")&amp;" vs $"&amp;TEXT(BB28,"0.00")&amp;" max ranking CPC"&amp;" (= $"&amp;TEXT(AY28,"0.00")&amp;" price × "&amp;TEXT(AZ28,"0.0%")&amp;" ranking ceiling × "&amp;TEXT(AD28,"0.0%")&amp;" CVR)"&amp;". Raise to +100% only after CooLinens converts at ≥ "&amp;TEXT(AD28,"0.0%")&amp;" on 50+ clicks and $"&amp;TEXT(BC28*2,"0.00")&amp;" ≤ the max.",IF(BE28&gt;0,"PARTIAL — +"&amp;TEXT(BE28,"0%")&amp;" Top of Search. Effective CPC $"&amp;TEXT(BG28,"0.00")&amp;" stays within the $"&amp;TEXT(BB28,"0.00")&amp;" max ranking CPC"&amp;" (= $"&amp;TEXT(AY28,"0.00")&amp;" price × "&amp;TEXT(AZ28,"0.0%")&amp;" ranking ceiling × "&amp;TEXT(AD28,"0.0%")&amp;" CVR)"&amp;". +100% would cost $"&amp;TEXT(BC28*2,"0.00")&amp;" per click and push ACoS to "&amp;TEXT(BC28*2/(AY28*AD28),"0.0%")&amp;", above the "&amp;TEXT(AZ28,"0.0%")&amp;" ceiling.","NO — 0%. Base bid $"&amp;TEXT(BC28,"0.00")&amp;" already equals the $"&amp;TEXT(BB28,"0.00")&amp;" max ranking CPC"&amp;" (= $"&amp;TEXT(AY28,"0.00")&amp;" price × "&amp;TEXT(AZ28,"0.0%")&amp;" ranking ceiling × "&amp;TEXT(AD28,"0.0%")&amp;" CVR)"&amp;"; any modifier would push ACoS above the "&amp;TEXT(AZ28,"0.0%")&amp;" ceiling."))),IF(OR(AO28="Ranking — Head Term (Capped)",AO28="Ranking — Capped Entry",AO28="Ranking — Capped Long-Tail"),"NO — 0% (capped ranking entry). Bid $"&amp;TEXT(BC28,"0.00")&amp;" vs $"&amp;TEXT(BB28,"0.00")&amp;" max ranking CPC"&amp;" (= $"&amp;TEXT(AY28,"0.00")&amp;" price × "&amp;TEXT(AZ28,"0.0%")&amp;" ranking ceiling × "&amp;TEXT(AD28,"0.0%")&amp;" CVR)"&amp;". While spend is capped at "&amp;TEXT(AS28,"0.00")&amp;" clicks/day, a placement premium would only raise CPC without buying more rank; the modifier is set when this term moves to a full push.","NO — 0% (support / brand term). Bid $"&amp;TEXT(BC28,"0.00")&amp;" vs $"&amp;TEXT(BB28,"0.00")&amp;" max ranking CPC"&amp;" (= $"&amp;TEXT(AY28,"0.00")&amp;" price × "&amp;TEXT(AZ28,"0.0%")&amp;" ranking ceiling × "&amp;TEXT(AD28,"0.0%")&amp;" CVR)"&amp;"; expected ACoS "&amp;TEXT(BI28,"0.0%")&amp;" vs the "&amp;TEXT(AZ28,"0.0%")&amp;" ceiling."))</f>
        <v>NO — 0% (capped ranking entry). Bid $3.28 vs $3.96 max ranking CPC (= $84.99 price × 52.6% ranking ceiling × 8.9% CVR). While spend is capped at 3.57 clicks/day, a placement premium would only raise CPC without buying more rank; the modifier is set when this term moves to a full push.</v>
      </c>
      <c r="BG28" s="50" t="n">
        <f aca="false">BC28*(1+BE28)</f>
        <v>3.28</v>
      </c>
      <c r="BH28" s="45" t="n">
        <f aca="false">AS28*BG28</f>
        <v>11.7142857142857</v>
      </c>
      <c r="BI28" s="33" t="n">
        <f aca="false">IFERROR(BG28/(AY28*AD28),"")</f>
        <v>0.436076560685438</v>
      </c>
      <c r="BJ28" s="27" t="str">
        <f aca="false">IF(BI28="","",IF(BI28&lt;=BA28,"Profitable (≤ break-even)",IF(BI28&lt;=AZ28,"Ranking investment (≤ ceiling)","Above ceiling — reduce bid")))</f>
        <v>Ranking investment (≤ ceiling)</v>
      </c>
      <c r="BK28" s="49" t="str">
        <f aca="false">"Base $"&amp;TEXT(BC28,"0.00")&amp;" × (1 + "&amp;TEXT(BE28,"0%")&amp;" TOS) = $"&amp;TEXT(BG28,"0.00")&amp;" effective CPC [max $"&amp;TEXT(BB28,"0.00")&amp;"]. "&amp;TEXT(AG28,"0.0")&amp;" market clicks/day × "&amp;TEXT(AH28,"0.00%")&amp;" click share × "&amp;TEXT(AI28,"0%")&amp;" paid = "&amp;TEXT(AJ28,"0.00")&amp;" clicks/day needed; "&amp;"planned "&amp;TEXT(AS28,"0.00")&amp;" clicks/day × "&amp;TEXT(AD28,"0.0%")&amp;" CVR = "&amp;TEXT(AU28,"0.00")&amp;" orders/day. "&amp;"Spend $"&amp;TEXT(BH28,"0.00")&amp;"/day, ACoS "&amp;TEXT(BI28,"0.0%")&amp;" (ceiling "&amp;TEXT(AZ28,"0.0%")&amp;", break-even "&amp;TEXT(BA28,"0.0%")&amp;"). "&amp;"Target organic rank #"&amp;S28&amp;" by week 8 ("&amp;T28&amp;")."</f>
        <v>Base $3.28 × (1 + 0% TOS) = $3.28 effective CPC [max $3.96]. 421.9 market clicks/day × 1.49% click share × 66% paid = 4.15 clicks/day needed; planned 3.57 clicks/day × 8.9% CVR = 0.32 orders/day. Spend $11.71/day, ACoS 43.6% (ceiling 52.6%, break-even 35.1%). Target organic rank #15 by week 8 (#50 → #30 → #15 (full push after size assignment)).</v>
      </c>
      <c r="BL28" s="27" t="s">
        <v>567</v>
      </c>
      <c r="BM28" s="27" t="s">
        <v>203</v>
      </c>
      <c r="BN28" s="27" t="s">
        <v>568</v>
      </c>
      <c r="BO28" s="27" t="s">
        <v>559</v>
      </c>
      <c r="BP28" s="27" t="s">
        <v>569</v>
      </c>
      <c r="BQ28" s="26" t="s">
        <v>570</v>
      </c>
      <c r="BR28" s="40" t="n">
        <f aca="false">IFERROR(INDEX(Campaigns!$L:$L,MATCH(BN28,Campaigns!$A:$A,0)),"")</f>
        <v>15</v>
      </c>
      <c r="BS28" s="51" t="str">
        <f aca="false">IFERROR(INDEX(Inventory!$O:$O,MATCH(BP28,Inventory!$A:$A,0)),"")</f>
        <v>OK</v>
      </c>
      <c r="BT28" s="52" t="n">
        <f aca="false">IFERROR(INDEX(Inventory!$N:$N,MATCH(BP28,Inventory!$A:$A,0)),"")</f>
        <v>63.0533861060951</v>
      </c>
      <c r="BU28" s="27" t="s">
        <v>571</v>
      </c>
      <c r="BV28" s="27" t="s">
        <v>572</v>
      </c>
      <c r="BW28" s="27" t="s">
        <v>573</v>
      </c>
      <c r="BX28" s="27" t="s">
        <v>574</v>
      </c>
      <c r="BY28" s="27" t="s">
        <v>575</v>
      </c>
      <c r="BZ28" s="27" t="s">
        <v>576</v>
      </c>
      <c r="CA28" s="27" t="s">
        <v>577</v>
      </c>
      <c r="CB28" s="27" t="s">
        <v>578</v>
      </c>
      <c r="CC28" s="27" t="s">
        <v>579</v>
      </c>
    </row>
    <row r="29" customFormat="false" ht="120" hidden="false" customHeight="true" outlineLevel="0" collapsed="false">
      <c r="A29" s="24" t="s">
        <v>580</v>
      </c>
      <c r="B29" s="25" t="n">
        <v>1</v>
      </c>
      <c r="C29" s="26" t="s">
        <v>184</v>
      </c>
      <c r="D29" s="26" t="s">
        <v>560</v>
      </c>
      <c r="E29" s="27" t="s">
        <v>371</v>
      </c>
      <c r="F29" s="28" t="n">
        <v>1</v>
      </c>
      <c r="G29" s="27" t="s">
        <v>187</v>
      </c>
      <c r="H29" s="26" t="s">
        <v>188</v>
      </c>
      <c r="I29" s="29" t="n">
        <v>8.5</v>
      </c>
      <c r="J29" s="27" t="s">
        <v>581</v>
      </c>
      <c r="K29" s="30" t="n">
        <v>4967</v>
      </c>
      <c r="L29" s="31" t="n">
        <v>5581</v>
      </c>
      <c r="M29" s="32" t="n">
        <f aca="false">L29/30</f>
        <v>186.033333333333</v>
      </c>
      <c r="N29" s="33" t="n">
        <v>0.0437719738824711</v>
      </c>
      <c r="O29" s="27" t="s">
        <v>582</v>
      </c>
      <c r="P29" s="27" t="s">
        <v>583</v>
      </c>
      <c r="Q29" s="27" t="s">
        <v>192</v>
      </c>
      <c r="R29" s="34" t="n">
        <v>4</v>
      </c>
      <c r="S29" s="35" t="n">
        <v>10</v>
      </c>
      <c r="T29" s="36" t="s">
        <v>427</v>
      </c>
      <c r="U29" s="27" t="s">
        <v>584</v>
      </c>
      <c r="V29" s="37" t="n">
        <f aca="false">IFERROR(INDEX(Sleephoria_History!$F$454:$F$2115,MATCH($A29,Sleephoria_History!$A$454:$A$2115,0)),"")</f>
        <v>1029</v>
      </c>
      <c r="W29" s="38" t="n">
        <f aca="false">IFERROR(INDEX(Sleephoria_History!$J$454:$J$2115,MATCH($A29,Sleephoria_History!$A$454:$A$2115,0)),"")</f>
        <v>0.1584</v>
      </c>
      <c r="X29" s="39" t="n">
        <f aca="false">IFERROR(INDEX(Sleephoria_History!$H$454:$H$2115,MATCH($A29,Sleephoria_History!$A$454:$A$2115,0)),"")</f>
        <v>3.91</v>
      </c>
      <c r="Y29" s="38" t="n">
        <f aca="false">IFERROR(INDEX(Sleephoria_History!$M$454:$M$2115,MATCH($A29,Sleephoria_History!$A$454:$A$2115,0)),"")</f>
        <v>0.333</v>
      </c>
      <c r="Z29" s="40" t="n">
        <f aca="false">IFERROR(INDEX(Sleephoria_History!$L$454:$L$2115,MATCH($A29,Sleephoria_History!$A$454:$A$2115,0)),"")</f>
        <v>12083.33</v>
      </c>
      <c r="AA29" s="37" t="n">
        <f aca="false">IFERROR(INDEX(Decolure_History!$F$397:$F$709,MATCH($A29,Decolure_History!$A$397:$A$709,0)),"")</f>
        <v>38</v>
      </c>
      <c r="AB29" s="38" t="n">
        <f aca="false">IFERROR(INDEX(Decolure_History!$J$397:$J$709,MATCH($A29,Decolure_History!$A$397:$A$709,0)),"")</f>
        <v>0</v>
      </c>
      <c r="AC29" s="38" t="n">
        <f aca="false">IFERROR(INDEX(Decolure_History!$M$397:$M$709,MATCH($A29,Decolure_History!$A$397:$A$709,0)),"")</f>
        <v>0</v>
      </c>
      <c r="AD29" s="41" t="n">
        <v>0.1267</v>
      </c>
      <c r="AE29" s="27" t="s">
        <v>585</v>
      </c>
      <c r="AF29" s="42" t="n">
        <v>0.5</v>
      </c>
      <c r="AG29" s="32" t="n">
        <f aca="false">M29*AF29</f>
        <v>93.0166666666667</v>
      </c>
      <c r="AH29" s="43" t="n">
        <f aca="false">IF(AO29="Brand Defense",0,IFERROR(VLOOKUP(S29,Assumptions!$A$24:$B$28,2,FALSE()),0))</f>
        <v>0.028</v>
      </c>
      <c r="AI29" s="28" t="n">
        <f aca="false">Assumptions!$B$6</f>
        <v>0.66</v>
      </c>
      <c r="AJ29" s="44" t="n">
        <f aca="false">AG29*AH29*AI29</f>
        <v>1.718948</v>
      </c>
      <c r="AK29" s="44" t="n">
        <f aca="false">AJ29*AD29</f>
        <v>0.2177907116</v>
      </c>
      <c r="AL29" s="30" t="n">
        <f aca="false">AJ29*56</f>
        <v>96.261088</v>
      </c>
      <c r="AM29" s="32" t="n">
        <f aca="false">AK29*56</f>
        <v>12.1962798496</v>
      </c>
      <c r="AN29" s="44" t="n">
        <f aca="false">M29*Assumptions!$B$8</f>
        <v>18.6033333333333</v>
      </c>
      <c r="AO29" s="27" t="s">
        <v>430</v>
      </c>
      <c r="AP29" s="27" t="s">
        <v>565</v>
      </c>
      <c r="AQ29" s="26" t="s">
        <v>198</v>
      </c>
      <c r="AR29" s="27" t="s">
        <v>199</v>
      </c>
      <c r="AS29" s="44" t="n">
        <f aca="false">IF(AO29="Ranking — Full Push",MIN(MAX(AJ29,Assumptions!$B$9),AN29),IF(AO29="Brand Defense",MIN(Assumptions!$B$7,AN29),IF(OR(AO29="Ranking — Head Term (Capped)",AO29="Ranking — Capped Entry"),MIN(MAX(AJ29,Assumptions!$B$9),Assumptions!$B$7,AN29),IF(AO29="Ranking — Capped Long-Tail",MIN(AJ29,Assumptions!$B$10,AN29),MIN(AJ29,AN29)))))</f>
        <v>1.718948</v>
      </c>
      <c r="AT29" s="27" t="str">
        <f aca="false">IF(AJ29&lt;=0,"",IF(AS29&gt;=AJ29,IF(AS29&gt;AJ29*1.05,"Floor of "&amp;TEXT(AS29,"0.0")&amp;" click/day to read CVR (rank needs "&amp;TEXT(AJ29,"0.00")&amp;")","Fully funded (100%)"),"Capped at "&amp;TEXT(AS29/AJ29,"0%")&amp;" of required"))</f>
        <v>Fully funded (100%)</v>
      </c>
      <c r="AU29" s="44" t="n">
        <f aca="false">AS29*AD29</f>
        <v>0.2177907116</v>
      </c>
      <c r="AV29" s="45" t="n">
        <f aca="false">AU29*AY29</f>
        <v>18.510032578884</v>
      </c>
      <c r="AW29" s="46" t="n">
        <v>3.91</v>
      </c>
      <c r="AX29" s="27" t="s">
        <v>586</v>
      </c>
      <c r="AY29" s="47" t="n">
        <f aca="false">INDEX(Assumptions!$B$33:$B$37,MATCH(IF($D29="","Queen",$D29),Assumptions!$A$33:$A$37,0))</f>
        <v>84.99</v>
      </c>
      <c r="AZ29" s="33" t="n">
        <f aca="false">INDEX(Assumptions!$K$33:$K$37,MATCH(IF($D29="","Queen",$D29),Assumptions!$A$33:$A$37,0))</f>
        <v>0.525970702435581</v>
      </c>
      <c r="BA29" s="33" t="n">
        <f aca="false">INDEX(Assumptions!$H$33:$H$37,MATCH(IF($D29="","Queen",$D29),Assumptions!$A$33:$A$37,0))</f>
        <v>0.350647134957054</v>
      </c>
      <c r="BB29" s="47" t="n">
        <f aca="false">AY29*AZ29*AD29</f>
        <v>5.663775075</v>
      </c>
      <c r="BC29" s="47" t="n">
        <f aca="false">ROUND(MIN(AW29*Assumptions!$B$11,BB29),2)</f>
        <v>3.91</v>
      </c>
      <c r="BD29" s="26" t="s">
        <v>201</v>
      </c>
      <c r="BE29" s="48" t="n">
        <f aca="false">IF(AO29="Ranking — Full Push",MAX(0,MIN(IF(BD29="Yes",Assumptions!$B$12,Assumptions!$B$13),FLOOR(MAX(0,BB29/BC29-1),Assumptions!$B$14))),0)</f>
        <v>0</v>
      </c>
      <c r="BF29" s="49" t="str">
        <f aca="false">IF(AO29="Ranking — Full Push",IF(BE29&gt;=1,"YES — +100% Top of Search. Effective CPC $"&amp;TEXT(BG29,"0.00")&amp;" (= $"&amp;TEXT(BC29,"0.00")&amp;" × 2) stays within the $"&amp;TEXT(BB29,"0.00")&amp;" max ranking CPC"&amp;" (= $"&amp;TEXT(AY29,"0.00")&amp;" price × "&amp;TEXT(AZ29,"0.0%")&amp;" ranking ceiling × "&amp;TEXT(AD29,"0.0%")&amp;" CVR)"&amp;". Sleephoria CVR is proven on this term, so the full push is justified.",IF(AND(BD29="No",BE29&gt;=Assumptions!$B$13),"PARTIAL — +"&amp;TEXT(BE29,"0%")&amp;" Top of Search (limit for terms without proven CVR). Effective CPC $"&amp;TEXT(BG29,"0.00")&amp;" vs $"&amp;TEXT(BB29,"0.00")&amp;" max ranking CPC"&amp;" (= $"&amp;TEXT(AY29,"0.00")&amp;" price × "&amp;TEXT(AZ29,"0.0%")&amp;" ranking ceiling × "&amp;TEXT(AD29,"0.0%")&amp;" CVR)"&amp;". Raise to +100% only after CooLinens converts at ≥ "&amp;TEXT(AD29,"0.0%")&amp;" on 50+ clicks and $"&amp;TEXT(BC29*2,"0.00")&amp;" ≤ the max.",IF(BE29&gt;0,"PARTIAL — +"&amp;TEXT(BE29,"0%")&amp;" Top of Search. Effective CPC $"&amp;TEXT(BG29,"0.00")&amp;" stays within the $"&amp;TEXT(BB29,"0.00")&amp;" max ranking CPC"&amp;" (= $"&amp;TEXT(AY29,"0.00")&amp;" price × "&amp;TEXT(AZ29,"0.0%")&amp;" ranking ceiling × "&amp;TEXT(AD29,"0.0%")&amp;" CVR)"&amp;". +100% would cost $"&amp;TEXT(BC29*2,"0.00")&amp;" per click and push ACoS to "&amp;TEXT(BC29*2/(AY29*AD29),"0.0%")&amp;", above the "&amp;TEXT(AZ29,"0.0%")&amp;" ceiling.","NO — 0%. Base bid $"&amp;TEXT(BC29,"0.00")&amp;" already equals the $"&amp;TEXT(BB29,"0.00")&amp;" max ranking CPC"&amp;" (= $"&amp;TEXT(AY29,"0.00")&amp;" price × "&amp;TEXT(AZ29,"0.0%")&amp;" ranking ceiling × "&amp;TEXT(AD29,"0.0%")&amp;" CVR)"&amp;"; any modifier would push ACoS above the "&amp;TEXT(AZ29,"0.0%")&amp;" ceiling."))),IF(OR(AO29="Ranking — Head Term (Capped)",AO29="Ranking — Capped Entry",AO29="Ranking — Capped Long-Tail"),"NO — 0% (capped ranking entry). Bid $"&amp;TEXT(BC29,"0.00")&amp;" vs $"&amp;TEXT(BB29,"0.00")&amp;" max ranking CPC"&amp;" (= $"&amp;TEXT(AY29,"0.00")&amp;" price × "&amp;TEXT(AZ29,"0.0%")&amp;" ranking ceiling × "&amp;TEXT(AD29,"0.0%")&amp;" CVR)"&amp;". While spend is capped at "&amp;TEXT(AS29,"0.00")&amp;" clicks/day, a placement premium would only raise CPC without buying more rank; the modifier is set when this term moves to a full push.","NO — 0% (support / brand term). Bid $"&amp;TEXT(BC29,"0.00")&amp;" vs $"&amp;TEXT(BB29,"0.00")&amp;" max ranking CPC"&amp;" (= $"&amp;TEXT(AY29,"0.00")&amp;" price × "&amp;TEXT(AZ29,"0.0%")&amp;" ranking ceiling × "&amp;TEXT(AD29,"0.0%")&amp;" CVR)"&amp;"; expected ACoS "&amp;TEXT(BI29,"0.0%")&amp;" vs the "&amp;TEXT(AZ29,"0.0%")&amp;" ceiling."))</f>
        <v>NO — 0% (capped ranking entry). Bid $3.91 vs $5.66 max ranking CPC (= $84.99 price × 52.6% ranking ceiling × 12.7% CVR). While spend is capped at 1.72 clicks/day, a placement premium would only raise CPC without buying more rank; the modifier is set when this term moves to a full push.</v>
      </c>
      <c r="BG29" s="50" t="n">
        <f aca="false">BC29*(1+BE29)</f>
        <v>3.91</v>
      </c>
      <c r="BH29" s="45" t="n">
        <f aca="false">AS29*BG29</f>
        <v>6.72108668</v>
      </c>
      <c r="BI29" s="33" t="n">
        <f aca="false">IFERROR(BG29/(AY29*AD29),"")</f>
        <v>0.363105070256188</v>
      </c>
      <c r="BJ29" s="27" t="str">
        <f aca="false">IF(BI29="","",IF(BI29&lt;=BA29,"Profitable (≤ break-even)",IF(BI29&lt;=AZ29,"Ranking investment (≤ ceiling)","Above ceiling — reduce bid")))</f>
        <v>Ranking investment (≤ ceiling)</v>
      </c>
      <c r="BK29" s="49" t="str">
        <f aca="false">"Base $"&amp;TEXT(BC29,"0.00")&amp;" × (1 + "&amp;TEXT(BE29,"0%")&amp;" TOS) = $"&amp;TEXT(BG29,"0.00")&amp;" effective CPC [max $"&amp;TEXT(BB29,"0.00")&amp;"]. "&amp;TEXT(AG29,"0.0")&amp;" market clicks/day × "&amp;TEXT(AH29,"0.00%")&amp;" click share × "&amp;TEXT(AI29,"0%")&amp;" paid = "&amp;TEXT(AJ29,"0.00")&amp;" clicks/day needed; "&amp;"planned "&amp;TEXT(AS29,"0.00")&amp;" clicks/day × "&amp;TEXT(AD29,"0.0%")&amp;" CVR = "&amp;TEXT(AU29,"0.00")&amp;" orders/day. "&amp;"Spend $"&amp;TEXT(BH29,"0.00")&amp;"/day, ACoS "&amp;TEXT(BI29,"0.0%")&amp;" (ceiling "&amp;TEXT(AZ29,"0.0%")&amp;", break-even "&amp;TEXT(BA29,"0.0%")&amp;"). "&amp;"Target organic rank #"&amp;S29&amp;" by week 8 ("&amp;T29&amp;")."</f>
        <v>Base $3.91 × (1 + 0% TOS) = $3.91 effective CPC [max $5.66]. 93.0 market clicks/day × 2.80% click share × 66% paid = 1.72 clicks/day needed; planned 1.72 clicks/day × 12.7% CVR = 0.22 orders/day. Spend $6.72/day, ACoS 36.3% (ceiling 52.6%, break-even 35.1%). Target organic rank #10 by week 8 (#40 → #20 → #10 (full push after size assignment)).</v>
      </c>
      <c r="BL29" s="27" t="s">
        <v>567</v>
      </c>
      <c r="BM29" s="27" t="s">
        <v>203</v>
      </c>
      <c r="BN29" s="27" t="s">
        <v>587</v>
      </c>
      <c r="BO29" s="27" t="s">
        <v>580</v>
      </c>
      <c r="BP29" s="27" t="s">
        <v>569</v>
      </c>
      <c r="BQ29" s="26" t="s">
        <v>570</v>
      </c>
      <c r="BR29" s="40" t="n">
        <f aca="false">IFERROR(INDEX(Campaigns!$L:$L,MATCH(BN29,Campaigns!$A:$A,0)),"")</f>
        <v>10</v>
      </c>
      <c r="BS29" s="51" t="str">
        <f aca="false">IFERROR(INDEX(Inventory!$O:$O,MATCH(BP29,Inventory!$A:$A,0)),"")</f>
        <v>OK</v>
      </c>
      <c r="BT29" s="52" t="n">
        <f aca="false">IFERROR(INDEX(Inventory!$N:$N,MATCH(BP29,Inventory!$A:$A,0)),"")</f>
        <v>63.0533861060951</v>
      </c>
      <c r="BU29" s="27" t="s">
        <v>588</v>
      </c>
      <c r="BV29" s="27" t="s">
        <v>589</v>
      </c>
      <c r="BW29" s="27" t="s">
        <v>590</v>
      </c>
      <c r="BX29" s="27" t="s">
        <v>591</v>
      </c>
      <c r="BY29" s="27" t="s">
        <v>592</v>
      </c>
      <c r="BZ29" s="27" t="s">
        <v>593</v>
      </c>
      <c r="CA29" s="27" t="s">
        <v>577</v>
      </c>
      <c r="CB29" s="27" t="s">
        <v>594</v>
      </c>
      <c r="CC29" s="27" t="s">
        <v>595</v>
      </c>
    </row>
    <row r="30" customFormat="false" ht="120" hidden="false" customHeight="true" outlineLevel="0" collapsed="false">
      <c r="A30" s="24" t="s">
        <v>596</v>
      </c>
      <c r="B30" s="25" t="n">
        <v>1</v>
      </c>
      <c r="C30" s="26" t="s">
        <v>184</v>
      </c>
      <c r="D30" s="26" t="s">
        <v>560</v>
      </c>
      <c r="E30" s="27" t="s">
        <v>371</v>
      </c>
      <c r="F30" s="28" t="n">
        <v>1</v>
      </c>
      <c r="G30" s="27" t="s">
        <v>187</v>
      </c>
      <c r="H30" s="26" t="s">
        <v>188</v>
      </c>
      <c r="I30" s="29" t="n">
        <v>7</v>
      </c>
      <c r="J30" s="27" t="s">
        <v>597</v>
      </c>
      <c r="K30" s="30" t="n">
        <v>4954</v>
      </c>
      <c r="L30" s="31" t="n">
        <v>5416</v>
      </c>
      <c r="M30" s="32" t="n">
        <f aca="false">L30/30</f>
        <v>180.533333333333</v>
      </c>
      <c r="N30" s="33" t="n">
        <v>0.0439729540685474</v>
      </c>
      <c r="O30" s="27" t="s">
        <v>598</v>
      </c>
      <c r="P30" s="27" t="s">
        <v>599</v>
      </c>
      <c r="Q30" s="27" t="s">
        <v>192</v>
      </c>
      <c r="R30" s="34" t="n">
        <v>5</v>
      </c>
      <c r="S30" s="35" t="n">
        <v>10</v>
      </c>
      <c r="T30" s="36" t="s">
        <v>427</v>
      </c>
      <c r="U30" s="27" t="s">
        <v>600</v>
      </c>
      <c r="V30" s="37" t="n">
        <f aca="false">IFERROR(INDEX(Sleephoria_History!$F$454:$F$2115,MATCH($A30,Sleephoria_History!$A$454:$A$2115,0)),"")</f>
        <v>27</v>
      </c>
      <c r="W30" s="38" t="n">
        <f aca="false">IFERROR(INDEX(Sleephoria_History!$J$454:$J$2115,MATCH($A30,Sleephoria_History!$A$454:$A$2115,0)),"")</f>
        <v>0.1852</v>
      </c>
      <c r="X30" s="39" t="n">
        <f aca="false">IFERROR(INDEX(Sleephoria_History!$H$454:$H$2115,MATCH($A30,Sleephoria_History!$A$454:$A$2115,0)),"")</f>
        <v>4.68</v>
      </c>
      <c r="Y30" s="38" t="n">
        <f aca="false">IFERROR(INDEX(Sleephoria_History!$M$454:$M$2115,MATCH($A30,Sleephoria_History!$A$454:$A$2115,0)),"")</f>
        <v>0.301</v>
      </c>
      <c r="Z30" s="40" t="n">
        <f aca="false">IFERROR(INDEX(Sleephoria_History!$L$454:$L$2115,MATCH($A30,Sleephoria_History!$A$454:$A$2115,0)),"")</f>
        <v>419.95</v>
      </c>
      <c r="AA30" s="37" t="str">
        <f aca="false">IFERROR(INDEX(Decolure_History!$F$397:$F$709,MATCH($A30,Decolure_History!$A$397:$A$709,0)),"")</f>
        <v/>
      </c>
      <c r="AB30" s="38" t="str">
        <f aca="false">IFERROR(INDEX(Decolure_History!$J$397:$J$709,MATCH($A30,Decolure_History!$A$397:$A$709,0)),"")</f>
        <v/>
      </c>
      <c r="AC30" s="38" t="str">
        <f aca="false">IFERROR(INDEX(Decolure_History!$M$397:$M$709,MATCH($A30,Decolure_History!$A$397:$A$709,0)),"")</f>
        <v/>
      </c>
      <c r="AD30" s="41" t="n">
        <v>0.064</v>
      </c>
      <c r="AE30" s="27" t="s">
        <v>275</v>
      </c>
      <c r="AF30" s="42" t="n">
        <v>0.482</v>
      </c>
      <c r="AG30" s="32" t="n">
        <f aca="false">M30*AF30</f>
        <v>87.0170666666667</v>
      </c>
      <c r="AH30" s="43" t="n">
        <f aca="false">IF(AO30="Brand Defense",0,IFERROR(VLOOKUP(S30,Assumptions!$A$24:$B$28,2,FALSE()),0))</f>
        <v>0.028</v>
      </c>
      <c r="AI30" s="28" t="n">
        <f aca="false">Assumptions!$B$6</f>
        <v>0.66</v>
      </c>
      <c r="AJ30" s="44" t="n">
        <f aca="false">AG30*AH30*AI30</f>
        <v>1.608075392</v>
      </c>
      <c r="AK30" s="44" t="n">
        <f aca="false">AJ30*AD30</f>
        <v>0.102916825088</v>
      </c>
      <c r="AL30" s="30" t="n">
        <f aca="false">AJ30*56</f>
        <v>90.052221952</v>
      </c>
      <c r="AM30" s="32" t="n">
        <f aca="false">AK30*56</f>
        <v>5.763342204928</v>
      </c>
      <c r="AN30" s="44" t="n">
        <f aca="false">M30*Assumptions!$B$8</f>
        <v>18.0533333333333</v>
      </c>
      <c r="AO30" s="27" t="s">
        <v>430</v>
      </c>
      <c r="AP30" s="27" t="s">
        <v>565</v>
      </c>
      <c r="AQ30" s="26" t="s">
        <v>198</v>
      </c>
      <c r="AR30" s="27" t="s">
        <v>199</v>
      </c>
      <c r="AS30" s="44" t="n">
        <f aca="false">IF(AO30="Ranking — Full Push",MIN(MAX(AJ30,Assumptions!$B$9),AN30),IF(AO30="Brand Defense",MIN(Assumptions!$B$7,AN30),IF(OR(AO30="Ranking — Head Term (Capped)",AO30="Ranking — Capped Entry"),MIN(MAX(AJ30,Assumptions!$B$9),Assumptions!$B$7,AN30),IF(AO30="Ranking — Capped Long-Tail",MIN(AJ30,Assumptions!$B$10,AN30),MIN(AJ30,AN30)))))</f>
        <v>1.608075392</v>
      </c>
      <c r="AT30" s="27" t="str">
        <f aca="false">IF(AJ30&lt;=0,"",IF(AS30&gt;=AJ30,IF(AS30&gt;AJ30*1.05,"Floor of "&amp;TEXT(AS30,"0.0")&amp;" click/day to read CVR (rank needs "&amp;TEXT(AJ30,"0.00")&amp;")","Fully funded (100%)"),"Capped at "&amp;TEXT(AS30/AJ30,"0%")&amp;" of required"))</f>
        <v>Fully funded (100%)</v>
      </c>
      <c r="AU30" s="44" t="n">
        <f aca="false">AS30*AD30</f>
        <v>0.102916825088</v>
      </c>
      <c r="AV30" s="45" t="n">
        <f aca="false">AU30*AY30</f>
        <v>8.74690096422912</v>
      </c>
      <c r="AW30" s="46" t="n">
        <v>4.68</v>
      </c>
      <c r="AX30" s="27" t="s">
        <v>601</v>
      </c>
      <c r="AY30" s="47" t="n">
        <f aca="false">INDEX(Assumptions!$B$33:$B$37,MATCH(IF($D30="","Queen",$D30),Assumptions!$A$33:$A$37,0))</f>
        <v>84.99</v>
      </c>
      <c r="AZ30" s="33" t="n">
        <f aca="false">INDEX(Assumptions!$K$33:$K$37,MATCH(IF($D30="","Queen",$D30),Assumptions!$A$33:$A$37,0))</f>
        <v>0.525970702435581</v>
      </c>
      <c r="BA30" s="33" t="n">
        <f aca="false">INDEX(Assumptions!$H$33:$H$37,MATCH(IF($D30="","Queen",$D30),Assumptions!$A$33:$A$37,0))</f>
        <v>0.350647134957054</v>
      </c>
      <c r="BB30" s="47" t="n">
        <f aca="false">AY30*AZ30*AD30</f>
        <v>2.860944</v>
      </c>
      <c r="BC30" s="47" t="n">
        <f aca="false">ROUND(MIN(AW30*Assumptions!$B$11,BB30),2)</f>
        <v>2.86</v>
      </c>
      <c r="BD30" s="26" t="s">
        <v>278</v>
      </c>
      <c r="BE30" s="48" t="n">
        <f aca="false">IF(AO30="Ranking — Full Push",MAX(0,MIN(IF(BD30="Yes",Assumptions!$B$12,Assumptions!$B$13),FLOOR(MAX(0,BB30/BC30-1),Assumptions!$B$14))),0)</f>
        <v>0</v>
      </c>
      <c r="BF30" s="49" t="str">
        <f aca="false">IF(AO30="Ranking — Full Push",IF(BE30&gt;=1,"YES — +100% Top of Search. Effective CPC $"&amp;TEXT(BG30,"0.00")&amp;" (= $"&amp;TEXT(BC30,"0.00")&amp;" × 2) stays within the $"&amp;TEXT(BB30,"0.00")&amp;" max ranking CPC"&amp;" (= $"&amp;TEXT(AY30,"0.00")&amp;" price × "&amp;TEXT(AZ30,"0.0%")&amp;" ranking ceiling × "&amp;TEXT(AD30,"0.0%")&amp;" CVR)"&amp;". Sleephoria CVR is proven on this term, so the full push is justified.",IF(AND(BD30="No",BE30&gt;=Assumptions!$B$13),"PARTIAL — +"&amp;TEXT(BE30,"0%")&amp;" Top of Search (limit for terms without proven CVR). Effective CPC $"&amp;TEXT(BG30,"0.00")&amp;" vs $"&amp;TEXT(BB30,"0.00")&amp;" max ranking CPC"&amp;" (= $"&amp;TEXT(AY30,"0.00")&amp;" price × "&amp;TEXT(AZ30,"0.0%")&amp;" ranking ceiling × "&amp;TEXT(AD30,"0.0%")&amp;" CVR)"&amp;". Raise to +100% only after CooLinens converts at ≥ "&amp;TEXT(AD30,"0.0%")&amp;" on 50+ clicks and $"&amp;TEXT(BC30*2,"0.00")&amp;" ≤ the max.",IF(BE30&gt;0,"PARTIAL — +"&amp;TEXT(BE30,"0%")&amp;" Top of Search. Effective CPC $"&amp;TEXT(BG30,"0.00")&amp;" stays within the $"&amp;TEXT(BB30,"0.00")&amp;" max ranking CPC"&amp;" (= $"&amp;TEXT(AY30,"0.00")&amp;" price × "&amp;TEXT(AZ30,"0.0%")&amp;" ranking ceiling × "&amp;TEXT(AD30,"0.0%")&amp;" CVR)"&amp;". +100% would cost $"&amp;TEXT(BC30*2,"0.00")&amp;" per click and push ACoS to "&amp;TEXT(BC30*2/(AY30*AD30),"0.0%")&amp;", above the "&amp;TEXT(AZ30,"0.0%")&amp;" ceiling.","NO — 0%. Base bid $"&amp;TEXT(BC30,"0.00")&amp;" already equals the $"&amp;TEXT(BB30,"0.00")&amp;" max ranking CPC"&amp;" (= $"&amp;TEXT(AY30,"0.00")&amp;" price × "&amp;TEXT(AZ30,"0.0%")&amp;" ranking ceiling × "&amp;TEXT(AD30,"0.0%")&amp;" CVR)"&amp;"; any modifier would push ACoS above the "&amp;TEXT(AZ30,"0.0%")&amp;" ceiling."))),IF(OR(AO30="Ranking — Head Term (Capped)",AO30="Ranking — Capped Entry",AO30="Ranking — Capped Long-Tail"),"NO — 0% (capped ranking entry). Bid $"&amp;TEXT(BC30,"0.00")&amp;" vs $"&amp;TEXT(BB30,"0.00")&amp;" max ranking CPC"&amp;" (= $"&amp;TEXT(AY30,"0.00")&amp;" price × "&amp;TEXT(AZ30,"0.0%")&amp;" ranking ceiling × "&amp;TEXT(AD30,"0.0%")&amp;" CVR)"&amp;". While spend is capped at "&amp;TEXT(AS30,"0.00")&amp;" clicks/day, a placement premium would only raise CPC without buying more rank; the modifier is set when this term moves to a full push.","NO — 0% (support / brand term). Bid $"&amp;TEXT(BC30,"0.00")&amp;" vs $"&amp;TEXT(BB30,"0.00")&amp;" max ranking CPC"&amp;" (= $"&amp;TEXT(AY30,"0.00")&amp;" price × "&amp;TEXT(AZ30,"0.0%")&amp;" ranking ceiling × "&amp;TEXT(AD30,"0.0%")&amp;" CVR)"&amp;"; expected ACoS "&amp;TEXT(BI30,"0.0%")&amp;" vs the "&amp;TEXT(AZ30,"0.0%")&amp;" ceiling."))</f>
        <v>NO — 0% (capped ranking entry). Bid $2.86 vs $2.86 max ranking CPC (= $84.99 price × 52.6% ranking ceiling × 6.4% CVR). While spend is capped at 1.61 clicks/day, a placement premium would only raise CPC without buying more rank; the modifier is set when this term moves to a full push.</v>
      </c>
      <c r="BG30" s="50" t="n">
        <f aca="false">BC30*(1+BE30)</f>
        <v>2.86</v>
      </c>
      <c r="BH30" s="45" t="n">
        <f aca="false">AS30*BG30</f>
        <v>4.59909562112</v>
      </c>
      <c r="BI30" s="33" t="n">
        <f aca="false">IFERROR(BG30/(AY30*AD30),"")</f>
        <v>0.525797152606189</v>
      </c>
      <c r="BJ30" s="27" t="str">
        <f aca="false">IF(BI30="","",IF(BI30&lt;=BA30,"Profitable (≤ break-even)",IF(BI30&lt;=AZ30,"Ranking investment (≤ ceiling)","Above ceiling — reduce bid")))</f>
        <v>Ranking investment (≤ ceiling)</v>
      </c>
      <c r="BK30" s="49" t="str">
        <f aca="false">"Base $"&amp;TEXT(BC30,"0.00")&amp;" × (1 + "&amp;TEXT(BE30,"0%")&amp;" TOS) = $"&amp;TEXT(BG30,"0.00")&amp;" effective CPC [max $"&amp;TEXT(BB30,"0.00")&amp;"]. "&amp;TEXT(AG30,"0.0")&amp;" market clicks/day × "&amp;TEXT(AH30,"0.00%")&amp;" click share × "&amp;TEXT(AI30,"0%")&amp;" paid = "&amp;TEXT(AJ30,"0.00")&amp;" clicks/day needed; "&amp;"planned "&amp;TEXT(AS30,"0.00")&amp;" clicks/day × "&amp;TEXT(AD30,"0.0%")&amp;" CVR = "&amp;TEXT(AU30,"0.00")&amp;" orders/day. "&amp;"Spend $"&amp;TEXT(BH30,"0.00")&amp;"/day, ACoS "&amp;TEXT(BI30,"0.0%")&amp;" (ceiling "&amp;TEXT(AZ30,"0.0%")&amp;", break-even "&amp;TEXT(BA30,"0.0%")&amp;"). "&amp;"Target organic rank #"&amp;S30&amp;" by week 8 ("&amp;T30&amp;")."</f>
        <v>Base $2.86 × (1 + 0% TOS) = $2.86 effective CPC [max $2.86]. 87.0 market clicks/day × 2.80% click share × 66% paid = 1.61 clicks/day needed; planned 1.61 clicks/day × 6.4% CVR = 0.10 orders/day. Spend $4.60/day, ACoS 52.6% (ceiling 52.6%, break-even 35.1%). Target organic rank #10 by week 8 (#40 → #20 → #10 (full push after size assignment)).</v>
      </c>
      <c r="BL30" s="27" t="s">
        <v>567</v>
      </c>
      <c r="BM30" s="27" t="s">
        <v>203</v>
      </c>
      <c r="BN30" s="27" t="s">
        <v>602</v>
      </c>
      <c r="BO30" s="27" t="s">
        <v>596</v>
      </c>
      <c r="BP30" s="27" t="s">
        <v>569</v>
      </c>
      <c r="BQ30" s="26" t="s">
        <v>570</v>
      </c>
      <c r="BR30" s="40" t="n">
        <f aca="false">IFERROR(INDEX(Campaigns!$L:$L,MATCH(BN30,Campaigns!$A:$A,0)),"")</f>
        <v>10</v>
      </c>
      <c r="BS30" s="51" t="str">
        <f aca="false">IFERROR(INDEX(Inventory!$O:$O,MATCH(BP30,Inventory!$A:$A,0)),"")</f>
        <v>OK</v>
      </c>
      <c r="BT30" s="52" t="n">
        <f aca="false">IFERROR(INDEX(Inventory!$N:$N,MATCH(BP30,Inventory!$A:$A,0)),"")</f>
        <v>63.0533861060951</v>
      </c>
      <c r="BU30" s="27" t="s">
        <v>603</v>
      </c>
      <c r="BV30" s="27" t="s">
        <v>263</v>
      </c>
      <c r="BW30" s="27" t="s">
        <v>604</v>
      </c>
      <c r="BX30" s="27" t="s">
        <v>605</v>
      </c>
      <c r="BY30" s="27" t="s">
        <v>606</v>
      </c>
      <c r="BZ30" s="27" t="s">
        <v>607</v>
      </c>
      <c r="CA30" s="27" t="s">
        <v>577</v>
      </c>
      <c r="CB30" s="27" t="s">
        <v>608</v>
      </c>
      <c r="CC30" s="27" t="s">
        <v>609</v>
      </c>
    </row>
    <row r="31" customFormat="false" ht="120" hidden="false" customHeight="true" outlineLevel="0" collapsed="false">
      <c r="A31" s="24" t="s">
        <v>610</v>
      </c>
      <c r="B31" s="25" t="n">
        <v>1</v>
      </c>
      <c r="C31" s="26" t="s">
        <v>184</v>
      </c>
      <c r="D31" s="26" t="s">
        <v>560</v>
      </c>
      <c r="E31" s="27" t="s">
        <v>371</v>
      </c>
      <c r="F31" s="28" t="n">
        <v>1</v>
      </c>
      <c r="G31" s="27" t="s">
        <v>187</v>
      </c>
      <c r="H31" s="26" t="s">
        <v>188</v>
      </c>
      <c r="I31" s="29" t="n">
        <v>7.5</v>
      </c>
      <c r="J31" s="27" t="s">
        <v>611</v>
      </c>
      <c r="K31" s="30" t="n">
        <v>3492</v>
      </c>
      <c r="L31" s="31" t="n">
        <v>3901</v>
      </c>
      <c r="M31" s="32" t="n">
        <f aca="false">L31/30</f>
        <v>130.033333333333</v>
      </c>
      <c r="N31" s="33" t="n">
        <v>0.0435607952842441</v>
      </c>
      <c r="O31" s="27" t="s">
        <v>612</v>
      </c>
      <c r="P31" s="27" t="s">
        <v>613</v>
      </c>
      <c r="Q31" s="27" t="s">
        <v>614</v>
      </c>
      <c r="R31" s="34" t="n">
        <v>3</v>
      </c>
      <c r="S31" s="35" t="n">
        <v>10</v>
      </c>
      <c r="T31" s="36" t="s">
        <v>427</v>
      </c>
      <c r="U31" s="27" t="s">
        <v>615</v>
      </c>
      <c r="V31" s="37" t="n">
        <f aca="false">IFERROR(INDEX(Sleephoria_History!$F$454:$F$2115,MATCH($A31,Sleephoria_History!$A$454:$A$2115,0)),"")</f>
        <v>30</v>
      </c>
      <c r="W31" s="38" t="n">
        <f aca="false">IFERROR(INDEX(Sleephoria_History!$J$454:$J$2115,MATCH($A31,Sleephoria_History!$A$454:$A$2115,0)),"")</f>
        <v>0.1333</v>
      </c>
      <c r="X31" s="39" t="n">
        <f aca="false">IFERROR(INDEX(Sleephoria_History!$H$454:$H$2115,MATCH($A31,Sleephoria_History!$A$454:$A$2115,0)),"")</f>
        <v>2.59</v>
      </c>
      <c r="Y31" s="38" t="n">
        <f aca="false">IFERROR(INDEX(Sleephoria_History!$M$454:$M$2115,MATCH($A31,Sleephoria_History!$A$454:$A$2115,0)),"")</f>
        <v>0.229</v>
      </c>
      <c r="Z31" s="40" t="n">
        <f aca="false">IFERROR(INDEX(Sleephoria_History!$L$454:$L$2115,MATCH($A31,Sleephoria_History!$A$454:$A$2115,0)),"")</f>
        <v>339.96</v>
      </c>
      <c r="AA31" s="37" t="n">
        <f aca="false">IFERROR(INDEX(Decolure_History!$F$397:$F$709,MATCH($A31,Decolure_History!$A$397:$A$709,0)),"")</f>
        <v>147</v>
      </c>
      <c r="AB31" s="38" t="n">
        <f aca="false">IFERROR(INDEX(Decolure_History!$J$397:$J$709,MATCH($A31,Decolure_History!$A$397:$A$709,0)),"")</f>
        <v>0.0612</v>
      </c>
      <c r="AC31" s="38" t="n">
        <f aca="false">IFERROR(INDEX(Decolure_History!$M$397:$M$709,MATCH($A31,Decolure_History!$A$397:$A$709,0)),"")</f>
        <v>0.96</v>
      </c>
      <c r="AD31" s="41" t="n">
        <v>0.064</v>
      </c>
      <c r="AE31" s="27" t="s">
        <v>275</v>
      </c>
      <c r="AF31" s="42" t="n">
        <v>0.456</v>
      </c>
      <c r="AG31" s="32" t="n">
        <f aca="false">M31*AF31</f>
        <v>59.2952</v>
      </c>
      <c r="AH31" s="43" t="n">
        <f aca="false">IF(AO31="Brand Defense",0,IFERROR(VLOOKUP(S31,Assumptions!$A$24:$B$28,2,FALSE()),0))</f>
        <v>0.028</v>
      </c>
      <c r="AI31" s="28" t="n">
        <f aca="false">Assumptions!$B$6</f>
        <v>0.66</v>
      </c>
      <c r="AJ31" s="44" t="n">
        <f aca="false">AG31*AH31*AI31</f>
        <v>1.095775296</v>
      </c>
      <c r="AK31" s="44" t="n">
        <f aca="false">AJ31*AD31</f>
        <v>0.070129618944</v>
      </c>
      <c r="AL31" s="30" t="n">
        <f aca="false">AJ31*56</f>
        <v>61.363416576</v>
      </c>
      <c r="AM31" s="32" t="n">
        <f aca="false">AK31*56</f>
        <v>3.927258660864</v>
      </c>
      <c r="AN31" s="44" t="n">
        <f aca="false">M31*Assumptions!$B$8</f>
        <v>13.0033333333333</v>
      </c>
      <c r="AO31" s="27" t="s">
        <v>430</v>
      </c>
      <c r="AP31" s="27" t="s">
        <v>565</v>
      </c>
      <c r="AQ31" s="26" t="s">
        <v>198</v>
      </c>
      <c r="AR31" s="27" t="s">
        <v>199</v>
      </c>
      <c r="AS31" s="44" t="n">
        <f aca="false">IF(AO31="Ranking — Full Push",MIN(MAX(AJ31,Assumptions!$B$9),AN31),IF(AO31="Brand Defense",MIN(Assumptions!$B$7,AN31),IF(OR(AO31="Ranking — Head Term (Capped)",AO31="Ranking — Capped Entry"),MIN(MAX(AJ31,Assumptions!$B$9),Assumptions!$B$7,AN31),IF(AO31="Ranking — Capped Long-Tail",MIN(AJ31,Assumptions!$B$10,AN31),MIN(AJ31,AN31)))))</f>
        <v>1.095775296</v>
      </c>
      <c r="AT31" s="27" t="str">
        <f aca="false">IF(AJ31&lt;=0,"",IF(AS31&gt;=AJ31,IF(AS31&gt;AJ31*1.05,"Floor of "&amp;TEXT(AS31,"0.0")&amp;" click/day to read CVR (rank needs "&amp;TEXT(AJ31,"0.00")&amp;")","Fully funded (100%)"),"Capped at "&amp;TEXT(AS31/AJ31,"0%")&amp;" of required"))</f>
        <v>Fully funded (100%)</v>
      </c>
      <c r="AU31" s="44" t="n">
        <f aca="false">AS31*AD31</f>
        <v>0.070129618944</v>
      </c>
      <c r="AV31" s="45" t="n">
        <f aca="false">AU31*AY31</f>
        <v>5.96031631405056</v>
      </c>
      <c r="AW31" s="46" t="n">
        <v>2.59</v>
      </c>
      <c r="AX31" s="27" t="s">
        <v>616</v>
      </c>
      <c r="AY31" s="47" t="n">
        <f aca="false">INDEX(Assumptions!$B$33:$B$37,MATCH(IF($D31="","Queen",$D31),Assumptions!$A$33:$A$37,0))</f>
        <v>84.99</v>
      </c>
      <c r="AZ31" s="33" t="n">
        <f aca="false">INDEX(Assumptions!$K$33:$K$37,MATCH(IF($D31="","Queen",$D31),Assumptions!$A$33:$A$37,0))</f>
        <v>0.525970702435581</v>
      </c>
      <c r="BA31" s="33" t="n">
        <f aca="false">INDEX(Assumptions!$H$33:$H$37,MATCH(IF($D31="","Queen",$D31),Assumptions!$A$33:$A$37,0))</f>
        <v>0.350647134957054</v>
      </c>
      <c r="BB31" s="47" t="n">
        <f aca="false">AY31*AZ31*AD31</f>
        <v>2.860944</v>
      </c>
      <c r="BC31" s="47" t="n">
        <f aca="false">ROUND(MIN(AW31*Assumptions!$B$11,BB31),2)</f>
        <v>2.59</v>
      </c>
      <c r="BD31" s="26" t="s">
        <v>278</v>
      </c>
      <c r="BE31" s="48" t="n">
        <f aca="false">IF(AO31="Ranking — Full Push",MAX(0,MIN(IF(BD31="Yes",Assumptions!$B$12,Assumptions!$B$13),FLOOR(MAX(0,BB31/BC31-1),Assumptions!$B$14))),0)</f>
        <v>0</v>
      </c>
      <c r="BF31" s="49" t="str">
        <f aca="false">IF(AO31="Ranking — Full Push",IF(BE31&gt;=1,"YES — +100% Top of Search. Effective CPC $"&amp;TEXT(BG31,"0.00")&amp;" (= $"&amp;TEXT(BC31,"0.00")&amp;" × 2) stays within the $"&amp;TEXT(BB31,"0.00")&amp;" max ranking CPC"&amp;" (= $"&amp;TEXT(AY31,"0.00")&amp;" price × "&amp;TEXT(AZ31,"0.0%")&amp;" ranking ceiling × "&amp;TEXT(AD31,"0.0%")&amp;" CVR)"&amp;". Sleephoria CVR is proven on this term, so the full push is justified.",IF(AND(BD31="No",BE31&gt;=Assumptions!$B$13),"PARTIAL — +"&amp;TEXT(BE31,"0%")&amp;" Top of Search (limit for terms without proven CVR). Effective CPC $"&amp;TEXT(BG31,"0.00")&amp;" vs $"&amp;TEXT(BB31,"0.00")&amp;" max ranking CPC"&amp;" (= $"&amp;TEXT(AY31,"0.00")&amp;" price × "&amp;TEXT(AZ31,"0.0%")&amp;" ranking ceiling × "&amp;TEXT(AD31,"0.0%")&amp;" CVR)"&amp;". Raise to +100% only after CooLinens converts at ≥ "&amp;TEXT(AD31,"0.0%")&amp;" on 50+ clicks and $"&amp;TEXT(BC31*2,"0.00")&amp;" ≤ the max.",IF(BE31&gt;0,"PARTIAL — +"&amp;TEXT(BE31,"0%")&amp;" Top of Search. Effective CPC $"&amp;TEXT(BG31,"0.00")&amp;" stays within the $"&amp;TEXT(BB31,"0.00")&amp;" max ranking CPC"&amp;" (= $"&amp;TEXT(AY31,"0.00")&amp;" price × "&amp;TEXT(AZ31,"0.0%")&amp;" ranking ceiling × "&amp;TEXT(AD31,"0.0%")&amp;" CVR)"&amp;". +100% would cost $"&amp;TEXT(BC31*2,"0.00")&amp;" per click and push ACoS to "&amp;TEXT(BC31*2/(AY31*AD31),"0.0%")&amp;", above the "&amp;TEXT(AZ31,"0.0%")&amp;" ceiling.","NO — 0%. Base bid $"&amp;TEXT(BC31,"0.00")&amp;" already equals the $"&amp;TEXT(BB31,"0.00")&amp;" max ranking CPC"&amp;" (= $"&amp;TEXT(AY31,"0.00")&amp;" price × "&amp;TEXT(AZ31,"0.0%")&amp;" ranking ceiling × "&amp;TEXT(AD31,"0.0%")&amp;" CVR)"&amp;"; any modifier would push ACoS above the "&amp;TEXT(AZ31,"0.0%")&amp;" ceiling."))),IF(OR(AO31="Ranking — Head Term (Capped)",AO31="Ranking — Capped Entry",AO31="Ranking — Capped Long-Tail"),"NO — 0% (capped ranking entry). Bid $"&amp;TEXT(BC31,"0.00")&amp;" vs $"&amp;TEXT(BB31,"0.00")&amp;" max ranking CPC"&amp;" (= $"&amp;TEXT(AY31,"0.00")&amp;" price × "&amp;TEXT(AZ31,"0.0%")&amp;" ranking ceiling × "&amp;TEXT(AD31,"0.0%")&amp;" CVR)"&amp;". While spend is capped at "&amp;TEXT(AS31,"0.00")&amp;" clicks/day, a placement premium would only raise CPC without buying more rank; the modifier is set when this term moves to a full push.","NO — 0% (support / brand term). Bid $"&amp;TEXT(BC31,"0.00")&amp;" vs $"&amp;TEXT(BB31,"0.00")&amp;" max ranking CPC"&amp;" (= $"&amp;TEXT(AY31,"0.00")&amp;" price × "&amp;TEXT(AZ31,"0.0%")&amp;" ranking ceiling × "&amp;TEXT(AD31,"0.0%")&amp;" CVR)"&amp;"; expected ACoS "&amp;TEXT(BI31,"0.0%")&amp;" vs the "&amp;TEXT(AZ31,"0.0%")&amp;" ceiling."))</f>
        <v>NO — 0% (capped ranking entry). Bid $2.59 vs $2.86 max ranking CPC (= $84.99 price × 52.6% ranking ceiling × 6.4% CVR). While spend is capped at 1.10 clicks/day, a placement premium would only raise CPC without buying more rank; the modifier is set when this term moves to a full push.</v>
      </c>
      <c r="BG31" s="50" t="n">
        <f aca="false">BC31*(1+BE31)</f>
        <v>2.59</v>
      </c>
      <c r="BH31" s="45" t="n">
        <f aca="false">AS31*BG31</f>
        <v>2.83805801664</v>
      </c>
      <c r="BI31" s="33" t="n">
        <f aca="false">IFERROR(BG31/(AY31*AD31),"")</f>
        <v>0.476158959877633</v>
      </c>
      <c r="BJ31" s="27" t="str">
        <f aca="false">IF(BI31="","",IF(BI31&lt;=BA31,"Profitable (≤ break-even)",IF(BI31&lt;=AZ31,"Ranking investment (≤ ceiling)","Above ceiling — reduce bid")))</f>
        <v>Ranking investment (≤ ceiling)</v>
      </c>
      <c r="BK31" s="49" t="str">
        <f aca="false">"Base $"&amp;TEXT(BC31,"0.00")&amp;" × (1 + "&amp;TEXT(BE31,"0%")&amp;" TOS) = $"&amp;TEXT(BG31,"0.00")&amp;" effective CPC [max $"&amp;TEXT(BB31,"0.00")&amp;"]. "&amp;TEXT(AG31,"0.0")&amp;" market clicks/day × "&amp;TEXT(AH31,"0.00%")&amp;" click share × "&amp;TEXT(AI31,"0%")&amp;" paid = "&amp;TEXT(AJ31,"0.00")&amp;" clicks/day needed; "&amp;"planned "&amp;TEXT(AS31,"0.00")&amp;" clicks/day × "&amp;TEXT(AD31,"0.0%")&amp;" CVR = "&amp;TEXT(AU31,"0.00")&amp;" orders/day. "&amp;"Spend $"&amp;TEXT(BH31,"0.00")&amp;"/day, ACoS "&amp;TEXT(BI31,"0.0%")&amp;" (ceiling "&amp;TEXT(AZ31,"0.0%")&amp;", break-even "&amp;TEXT(BA31,"0.0%")&amp;"). "&amp;"Target organic rank #"&amp;S31&amp;" by week 8 ("&amp;T31&amp;")."</f>
        <v>Base $2.59 × (1 + 0% TOS) = $2.59 effective CPC [max $2.86]. 59.3 market clicks/day × 2.80% click share × 66% paid = 1.10 clicks/day needed; planned 1.10 clicks/day × 6.4% CVR = 0.07 orders/day. Spend $2.84/day, ACoS 47.6% (ceiling 52.6%, break-even 35.1%). Target organic rank #10 by week 8 (#40 → #20 → #10 (full push after size assignment)).</v>
      </c>
      <c r="BL31" s="27" t="s">
        <v>617</v>
      </c>
      <c r="BM31" s="27" t="s">
        <v>203</v>
      </c>
      <c r="BN31" s="27" t="s">
        <v>618</v>
      </c>
      <c r="BO31" s="27" t="s">
        <v>610</v>
      </c>
      <c r="BP31" s="27" t="s">
        <v>569</v>
      </c>
      <c r="BQ31" s="26" t="s">
        <v>570</v>
      </c>
      <c r="BR31" s="40" t="n">
        <f aca="false">IFERROR(INDEX(Campaigns!$L:$L,MATCH(BN31,Campaigns!$A:$A,0)),"")</f>
        <v>10</v>
      </c>
      <c r="BS31" s="51" t="str">
        <f aca="false">IFERROR(INDEX(Inventory!$O:$O,MATCH(BP31,Inventory!$A:$A,0)),"")</f>
        <v>OK</v>
      </c>
      <c r="BT31" s="52" t="n">
        <f aca="false">IFERROR(INDEX(Inventory!$N:$N,MATCH(BP31,Inventory!$A:$A,0)),"")</f>
        <v>63.0533861060951</v>
      </c>
      <c r="BU31" s="27" t="s">
        <v>619</v>
      </c>
      <c r="BV31" s="27" t="s">
        <v>620</v>
      </c>
      <c r="BW31" s="27" t="s">
        <v>621</v>
      </c>
      <c r="BX31" s="27" t="s">
        <v>622</v>
      </c>
      <c r="BY31" s="27" t="s">
        <v>623</v>
      </c>
      <c r="BZ31" s="27" t="s">
        <v>624</v>
      </c>
      <c r="CA31" s="27" t="s">
        <v>577</v>
      </c>
      <c r="CB31" s="27" t="s">
        <v>625</v>
      </c>
      <c r="CC31" s="27" t="s">
        <v>626</v>
      </c>
    </row>
    <row r="32" customFormat="false" ht="120" hidden="false" customHeight="true" outlineLevel="0" collapsed="false">
      <c r="A32" s="24" t="s">
        <v>627</v>
      </c>
      <c r="B32" s="25" t="n">
        <v>1</v>
      </c>
      <c r="C32" s="26" t="s">
        <v>184</v>
      </c>
      <c r="D32" s="26" t="s">
        <v>560</v>
      </c>
      <c r="E32" s="27" t="s">
        <v>371</v>
      </c>
      <c r="F32" s="28" t="n">
        <v>1</v>
      </c>
      <c r="G32" s="27" t="s">
        <v>187</v>
      </c>
      <c r="H32" s="26" t="s">
        <v>188</v>
      </c>
      <c r="I32" s="29" t="n">
        <v>7.5</v>
      </c>
      <c r="J32" s="27" t="s">
        <v>628</v>
      </c>
      <c r="K32" s="30" t="n">
        <v>2637</v>
      </c>
      <c r="L32" s="31" t="n">
        <v>3191</v>
      </c>
      <c r="M32" s="32" t="n">
        <f aca="false">L32/30</f>
        <v>106.366666666667</v>
      </c>
      <c r="N32" s="33" t="n">
        <v>0.033500837520938</v>
      </c>
      <c r="O32" s="27" t="s">
        <v>598</v>
      </c>
      <c r="P32" s="27" t="s">
        <v>629</v>
      </c>
      <c r="Q32" s="27" t="s">
        <v>273</v>
      </c>
      <c r="R32" s="34" t="n">
        <v>4</v>
      </c>
      <c r="S32" s="35" t="n">
        <v>10</v>
      </c>
      <c r="T32" s="36" t="s">
        <v>427</v>
      </c>
      <c r="U32" s="27" t="s">
        <v>630</v>
      </c>
      <c r="V32" s="37" t="n">
        <f aca="false">IFERROR(INDEX(Sleephoria_History!$F$454:$F$2115,MATCH($A32,Sleephoria_History!$A$454:$A$2115,0)),"")</f>
        <v>66</v>
      </c>
      <c r="W32" s="38" t="n">
        <f aca="false">IFERROR(INDEX(Sleephoria_History!$J$454:$J$2115,MATCH($A32,Sleephoria_History!$A$454:$A$2115,0)),"")</f>
        <v>0.0909</v>
      </c>
      <c r="X32" s="39" t="n">
        <f aca="false">IFERROR(INDEX(Sleephoria_History!$H$454:$H$2115,MATCH($A32,Sleephoria_History!$A$454:$A$2115,0)),"")</f>
        <v>3.62</v>
      </c>
      <c r="Y32" s="38" t="n">
        <f aca="false">IFERROR(INDEX(Sleephoria_History!$M$454:$M$2115,MATCH($A32,Sleephoria_History!$A$454:$A$2115,0)),"")</f>
        <v>0.514</v>
      </c>
      <c r="Z32" s="40" t="n">
        <f aca="false">IFERROR(INDEX(Sleephoria_History!$L$454:$L$2115,MATCH($A32,Sleephoria_History!$A$454:$A$2115,0)),"")</f>
        <v>464.94</v>
      </c>
      <c r="AA32" s="37" t="str">
        <f aca="false">IFERROR(INDEX(Decolure_History!$F$397:$F$709,MATCH($A32,Decolure_History!$A$397:$A$709,0)),"")</f>
        <v/>
      </c>
      <c r="AB32" s="38" t="str">
        <f aca="false">IFERROR(INDEX(Decolure_History!$J$397:$J$709,MATCH($A32,Decolure_History!$A$397:$A$709,0)),"")</f>
        <v/>
      </c>
      <c r="AC32" s="38" t="str">
        <f aca="false">IFERROR(INDEX(Decolure_History!$M$397:$M$709,MATCH($A32,Decolure_History!$A$397:$A$709,0)),"")</f>
        <v/>
      </c>
      <c r="AD32" s="41" t="n">
        <v>0.0727</v>
      </c>
      <c r="AE32" s="27" t="s">
        <v>631</v>
      </c>
      <c r="AF32" s="42" t="n">
        <v>0.498</v>
      </c>
      <c r="AG32" s="32" t="n">
        <f aca="false">M32*AF32</f>
        <v>52.9706</v>
      </c>
      <c r="AH32" s="43" t="n">
        <f aca="false">IF(AO32="Brand Defense",0,IFERROR(VLOOKUP(S32,Assumptions!$A$24:$B$28,2,FALSE()),0))</f>
        <v>0.028</v>
      </c>
      <c r="AI32" s="28" t="n">
        <f aca="false">Assumptions!$B$6</f>
        <v>0.66</v>
      </c>
      <c r="AJ32" s="44" t="n">
        <f aca="false">AG32*AH32*AI32</f>
        <v>0.978896688</v>
      </c>
      <c r="AK32" s="44" t="n">
        <f aca="false">AJ32*AD32</f>
        <v>0.0711657892176</v>
      </c>
      <c r="AL32" s="30" t="n">
        <f aca="false">AJ32*56</f>
        <v>54.818214528</v>
      </c>
      <c r="AM32" s="32" t="n">
        <f aca="false">AK32*56</f>
        <v>3.9852841961856</v>
      </c>
      <c r="AN32" s="44" t="n">
        <f aca="false">M32*Assumptions!$B$8</f>
        <v>10.6366666666667</v>
      </c>
      <c r="AO32" s="27" t="s">
        <v>430</v>
      </c>
      <c r="AP32" s="27" t="s">
        <v>565</v>
      </c>
      <c r="AQ32" s="26" t="s">
        <v>198</v>
      </c>
      <c r="AR32" s="27" t="s">
        <v>199</v>
      </c>
      <c r="AS32" s="44" t="n">
        <f aca="false">IF(AO32="Ranking — Full Push",MIN(MAX(AJ32,Assumptions!$B$9),AN32),IF(AO32="Brand Defense",MIN(Assumptions!$B$7,AN32),IF(OR(AO32="Ranking — Head Term (Capped)",AO32="Ranking — Capped Entry"),MIN(MAX(AJ32,Assumptions!$B$9),Assumptions!$B$7,AN32),IF(AO32="Ranking — Capped Long-Tail",MIN(AJ32,Assumptions!$B$10,AN32),MIN(AJ32,AN32)))))</f>
        <v>1</v>
      </c>
      <c r="AT32" s="27" t="str">
        <f aca="false">IF(AJ32&lt;=0,"",IF(AS32&gt;=AJ32,IF(AS32&gt;AJ32*1.05,"Floor of "&amp;TEXT(AS32,"0.0")&amp;" click/day to read CVR (rank needs "&amp;TEXT(AJ32,"0.00")&amp;")","Fully funded (100%)"),"Capped at "&amp;TEXT(AS32/AJ32,"0%")&amp;" of required"))</f>
        <v>Fully funded (100%)</v>
      </c>
      <c r="AU32" s="44" t="n">
        <f aca="false">AS32*AD32</f>
        <v>0.0727</v>
      </c>
      <c r="AV32" s="45" t="n">
        <f aca="false">AU32*AY32</f>
        <v>6.178773</v>
      </c>
      <c r="AW32" s="46" t="n">
        <v>3.62</v>
      </c>
      <c r="AX32" s="27" t="s">
        <v>632</v>
      </c>
      <c r="AY32" s="47" t="n">
        <f aca="false">INDEX(Assumptions!$B$33:$B$37,MATCH(IF($D32="","Queen",$D32),Assumptions!$A$33:$A$37,0))</f>
        <v>84.99</v>
      </c>
      <c r="AZ32" s="33" t="n">
        <f aca="false">INDEX(Assumptions!$K$33:$K$37,MATCH(IF($D32="","Queen",$D32),Assumptions!$A$33:$A$37,0))</f>
        <v>0.525970702435581</v>
      </c>
      <c r="BA32" s="33" t="n">
        <f aca="false">INDEX(Assumptions!$H$33:$H$37,MATCH(IF($D32="","Queen",$D32),Assumptions!$A$33:$A$37,0))</f>
        <v>0.350647134957054</v>
      </c>
      <c r="BB32" s="47" t="n">
        <f aca="false">AY32*AZ32*AD32</f>
        <v>3.249853575</v>
      </c>
      <c r="BC32" s="47" t="n">
        <f aca="false">ROUND(MIN(AW32*Assumptions!$B$11,BB32),2)</f>
        <v>3.25</v>
      </c>
      <c r="BD32" s="26" t="s">
        <v>201</v>
      </c>
      <c r="BE32" s="48" t="n">
        <f aca="false">IF(AO32="Ranking — Full Push",MAX(0,MIN(IF(BD32="Yes",Assumptions!$B$12,Assumptions!$B$13),FLOOR(MAX(0,BB32/BC32-1),Assumptions!$B$14))),0)</f>
        <v>0</v>
      </c>
      <c r="BF32" s="49" t="str">
        <f aca="false">IF(AO32="Ranking — Full Push",IF(BE32&gt;=1,"YES — +100% Top of Search. Effective CPC $"&amp;TEXT(BG32,"0.00")&amp;" (= $"&amp;TEXT(BC32,"0.00")&amp;" × 2) stays within the $"&amp;TEXT(BB32,"0.00")&amp;" max ranking CPC"&amp;" (= $"&amp;TEXT(AY32,"0.00")&amp;" price × "&amp;TEXT(AZ32,"0.0%")&amp;" ranking ceiling × "&amp;TEXT(AD32,"0.0%")&amp;" CVR)"&amp;". Sleephoria CVR is proven on this term, so the full push is justified.",IF(AND(BD32="No",BE32&gt;=Assumptions!$B$13),"PARTIAL — +"&amp;TEXT(BE32,"0%")&amp;" Top of Search (limit for terms without proven CVR). Effective CPC $"&amp;TEXT(BG32,"0.00")&amp;" vs $"&amp;TEXT(BB32,"0.00")&amp;" max ranking CPC"&amp;" (= $"&amp;TEXT(AY32,"0.00")&amp;" price × "&amp;TEXT(AZ32,"0.0%")&amp;" ranking ceiling × "&amp;TEXT(AD32,"0.0%")&amp;" CVR)"&amp;". Raise to +100% only after CooLinens converts at ≥ "&amp;TEXT(AD32,"0.0%")&amp;" on 50+ clicks and $"&amp;TEXT(BC32*2,"0.00")&amp;" ≤ the max.",IF(BE32&gt;0,"PARTIAL — +"&amp;TEXT(BE32,"0%")&amp;" Top of Search. Effective CPC $"&amp;TEXT(BG32,"0.00")&amp;" stays within the $"&amp;TEXT(BB32,"0.00")&amp;" max ranking CPC"&amp;" (= $"&amp;TEXT(AY32,"0.00")&amp;" price × "&amp;TEXT(AZ32,"0.0%")&amp;" ranking ceiling × "&amp;TEXT(AD32,"0.0%")&amp;" CVR)"&amp;". +100% would cost $"&amp;TEXT(BC32*2,"0.00")&amp;" per click and push ACoS to "&amp;TEXT(BC32*2/(AY32*AD32),"0.0%")&amp;", above the "&amp;TEXT(AZ32,"0.0%")&amp;" ceiling.","NO — 0%. Base bid $"&amp;TEXT(BC32,"0.00")&amp;" already equals the $"&amp;TEXT(BB32,"0.00")&amp;" max ranking CPC"&amp;" (= $"&amp;TEXT(AY32,"0.00")&amp;" price × "&amp;TEXT(AZ32,"0.0%")&amp;" ranking ceiling × "&amp;TEXT(AD32,"0.0%")&amp;" CVR)"&amp;"; any modifier would push ACoS above the "&amp;TEXT(AZ32,"0.0%")&amp;" ceiling."))),IF(OR(AO32="Ranking — Head Term (Capped)",AO32="Ranking — Capped Entry",AO32="Ranking — Capped Long-Tail"),"NO — 0% (capped ranking entry). Bid $"&amp;TEXT(BC32,"0.00")&amp;" vs $"&amp;TEXT(BB32,"0.00")&amp;" max ranking CPC"&amp;" (= $"&amp;TEXT(AY32,"0.00")&amp;" price × "&amp;TEXT(AZ32,"0.0%")&amp;" ranking ceiling × "&amp;TEXT(AD32,"0.0%")&amp;" CVR)"&amp;". While spend is capped at "&amp;TEXT(AS32,"0.00")&amp;" clicks/day, a placement premium would only raise CPC without buying more rank; the modifier is set when this term moves to a full push.","NO — 0% (support / brand term). Bid $"&amp;TEXT(BC32,"0.00")&amp;" vs $"&amp;TEXT(BB32,"0.00")&amp;" max ranking CPC"&amp;" (= $"&amp;TEXT(AY32,"0.00")&amp;" price × "&amp;TEXT(AZ32,"0.0%")&amp;" ranking ceiling × "&amp;TEXT(AD32,"0.0%")&amp;" CVR)"&amp;"; expected ACoS "&amp;TEXT(BI32,"0.0%")&amp;" vs the "&amp;TEXT(AZ32,"0.0%")&amp;" ceiling."))</f>
        <v>NO — 0% (capped ranking entry). Bid $3.25 vs $3.25 max ranking CPC (= $84.99 price × 52.6% ranking ceiling × 7.3% CVR). While spend is capped at 1.00 clicks/day, a placement premium would only raise CPC without buying more rank; the modifier is set when this term moves to a full push.</v>
      </c>
      <c r="BG32" s="50" t="n">
        <f aca="false">BC32*(1+BE32)</f>
        <v>3.25</v>
      </c>
      <c r="BH32" s="45" t="n">
        <f aca="false">AS32*BG32</f>
        <v>3.25</v>
      </c>
      <c r="BI32" s="33" t="n">
        <f aca="false">IFERROR(BG32/(AY32*AD32),"")</f>
        <v>0.525994400506379</v>
      </c>
      <c r="BJ32" s="27" t="str">
        <f aca="false">IF(BI32="","",IF(BI32&lt;=BA32,"Profitable (≤ break-even)",IF(BI32&lt;=AZ32,"Ranking investment (≤ ceiling)","Above ceiling — reduce bid")))</f>
        <v>Above ceiling — reduce bid</v>
      </c>
      <c r="BK32" s="49" t="str">
        <f aca="false">"Base $"&amp;TEXT(BC32,"0.00")&amp;" × (1 + "&amp;TEXT(BE32,"0%")&amp;" TOS) = $"&amp;TEXT(BG32,"0.00")&amp;" effective CPC [max $"&amp;TEXT(BB32,"0.00")&amp;"]. "&amp;TEXT(AG32,"0.0")&amp;" market clicks/day × "&amp;TEXT(AH32,"0.00%")&amp;" click share × "&amp;TEXT(AI32,"0%")&amp;" paid = "&amp;TEXT(AJ32,"0.00")&amp;" clicks/day needed; "&amp;"planned "&amp;TEXT(AS32,"0.00")&amp;" clicks/day × "&amp;TEXT(AD32,"0.0%")&amp;" CVR = "&amp;TEXT(AU32,"0.00")&amp;" orders/day. "&amp;"Spend $"&amp;TEXT(BH32,"0.00")&amp;"/day, ACoS "&amp;TEXT(BI32,"0.0%")&amp;" (ceiling "&amp;TEXT(AZ32,"0.0%")&amp;", break-even "&amp;TEXT(BA32,"0.0%")&amp;"). "&amp;"Target organic rank #"&amp;S32&amp;" by week 8 ("&amp;T32&amp;")."</f>
        <v>Base $3.25 × (1 + 0% TOS) = $3.25 effective CPC [max $3.25]. 53.0 market clicks/day × 2.80% click share × 66% paid = 0.98 clicks/day needed; planned 1.00 clicks/day × 7.3% CVR = 0.07 orders/day. Spend $3.25/day, ACoS 52.6% (ceiling 52.6%, break-even 35.1%). Target organic rank #10 by week 8 (#40 → #20 → #10 (full push after size assignment)).</v>
      </c>
      <c r="BL32" s="27" t="s">
        <v>567</v>
      </c>
      <c r="BM32" s="27" t="s">
        <v>203</v>
      </c>
      <c r="BN32" s="27" t="s">
        <v>633</v>
      </c>
      <c r="BO32" s="27" t="s">
        <v>627</v>
      </c>
      <c r="BP32" s="27" t="s">
        <v>569</v>
      </c>
      <c r="BQ32" s="26" t="s">
        <v>570</v>
      </c>
      <c r="BR32" s="40" t="n">
        <f aca="false">IFERROR(INDEX(Campaigns!$L:$L,MATCH(BN32,Campaigns!$A:$A,0)),"")</f>
        <v>10</v>
      </c>
      <c r="BS32" s="51" t="str">
        <f aca="false">IFERROR(INDEX(Inventory!$O:$O,MATCH(BP32,Inventory!$A:$A,0)),"")</f>
        <v>OK</v>
      </c>
      <c r="BT32" s="52" t="n">
        <f aca="false">IFERROR(INDEX(Inventory!$N:$N,MATCH(BP32,Inventory!$A:$A,0)),"")</f>
        <v>63.0533861060951</v>
      </c>
      <c r="BU32" s="27" t="s">
        <v>634</v>
      </c>
      <c r="BV32" s="27" t="s">
        <v>263</v>
      </c>
      <c r="BW32" s="27" t="s">
        <v>635</v>
      </c>
      <c r="BX32" s="27" t="s">
        <v>636</v>
      </c>
      <c r="BY32" s="27" t="s">
        <v>637</v>
      </c>
      <c r="BZ32" s="27" t="s">
        <v>593</v>
      </c>
      <c r="CA32" s="27" t="s">
        <v>577</v>
      </c>
      <c r="CB32" s="27" t="s">
        <v>638</v>
      </c>
      <c r="CC32" s="27" t="s">
        <v>639</v>
      </c>
    </row>
    <row r="33" customFormat="false" ht="120" hidden="false" customHeight="true" outlineLevel="0" collapsed="false">
      <c r="A33" s="24" t="s">
        <v>640</v>
      </c>
      <c r="B33" s="25" t="n">
        <v>1</v>
      </c>
      <c r="C33" s="26" t="s">
        <v>184</v>
      </c>
      <c r="D33" s="26" t="s">
        <v>560</v>
      </c>
      <c r="E33" s="27" t="s">
        <v>371</v>
      </c>
      <c r="F33" s="28" t="n">
        <v>1</v>
      </c>
      <c r="G33" s="27" t="s">
        <v>187</v>
      </c>
      <c r="H33" s="26" t="s">
        <v>188</v>
      </c>
      <c r="I33" s="29" t="n">
        <v>8</v>
      </c>
      <c r="J33" s="27" t="s">
        <v>641</v>
      </c>
      <c r="K33" s="30" t="n">
        <v>2630</v>
      </c>
      <c r="L33" s="31" t="n">
        <v>3114</v>
      </c>
      <c r="M33" s="32" t="n">
        <f aca="false">L33/30</f>
        <v>103.8</v>
      </c>
      <c r="N33" s="33" t="n">
        <v>0.0312269226711678</v>
      </c>
      <c r="O33" s="27" t="s">
        <v>642</v>
      </c>
      <c r="P33" s="27" t="s">
        <v>643</v>
      </c>
      <c r="Q33" s="27" t="s">
        <v>192</v>
      </c>
      <c r="R33" s="34" t="n">
        <v>6</v>
      </c>
      <c r="S33" s="35" t="n">
        <v>15</v>
      </c>
      <c r="T33" s="36" t="s">
        <v>450</v>
      </c>
      <c r="U33" s="27" t="s">
        <v>644</v>
      </c>
      <c r="V33" s="37" t="n">
        <f aca="false">IFERROR(INDEX(Sleephoria_History!$F$454:$F$2115,MATCH($A33,Sleephoria_History!$A$454:$A$2115,0)),"")</f>
        <v>115</v>
      </c>
      <c r="W33" s="38" t="n">
        <f aca="false">IFERROR(INDEX(Sleephoria_History!$J$454:$J$2115,MATCH($A33,Sleephoria_History!$A$454:$A$2115,0)),"")</f>
        <v>0.0957</v>
      </c>
      <c r="X33" s="39" t="n">
        <f aca="false">IFERROR(INDEX(Sleephoria_History!$H$454:$H$2115,MATCH($A33,Sleephoria_History!$A$454:$A$2115,0)),"")</f>
        <v>3.27</v>
      </c>
      <c r="Y33" s="38" t="n">
        <f aca="false">IFERROR(INDEX(Sleephoria_History!$M$454:$M$2115,MATCH($A33,Sleephoria_History!$A$454:$A$2115,0)),"")</f>
        <v>0.429</v>
      </c>
      <c r="Z33" s="40" t="n">
        <f aca="false">IFERROR(INDEX(Sleephoria_History!$L$454:$L$2115,MATCH($A33,Sleephoria_History!$A$454:$A$2115,0)),"")</f>
        <v>876.89</v>
      </c>
      <c r="AA33" s="37" t="n">
        <f aca="false">IFERROR(INDEX(Decolure_History!$F$397:$F$709,MATCH($A33,Decolure_History!$A$397:$A$709,0)),"")</f>
        <v>28</v>
      </c>
      <c r="AB33" s="38" t="n">
        <f aca="false">IFERROR(INDEX(Decolure_History!$J$397:$J$709,MATCH($A33,Decolure_History!$A$397:$A$709,0)),"")</f>
        <v>0.1786</v>
      </c>
      <c r="AC33" s="38" t="n">
        <f aca="false">IFERROR(INDEX(Decolure_History!$M$397:$M$709,MATCH($A33,Decolure_History!$A$397:$A$709,0)),"")</f>
        <v>0.236</v>
      </c>
      <c r="AD33" s="41" t="n">
        <v>0.0766</v>
      </c>
      <c r="AE33" s="27" t="s">
        <v>645</v>
      </c>
      <c r="AF33" s="42" t="n">
        <v>0.479</v>
      </c>
      <c r="AG33" s="32" t="n">
        <f aca="false">M33*AF33</f>
        <v>49.7202</v>
      </c>
      <c r="AH33" s="43" t="n">
        <f aca="false">IF(AO33="Brand Defense",0,IFERROR(VLOOKUP(S33,Assumptions!$A$24:$B$28,2,FALSE()),0))</f>
        <v>0.0149</v>
      </c>
      <c r="AI33" s="28" t="n">
        <f aca="false">Assumptions!$B$6</f>
        <v>0.66</v>
      </c>
      <c r="AJ33" s="44" t="n">
        <f aca="false">AG33*AH33*AI33</f>
        <v>0.4889484468</v>
      </c>
      <c r="AK33" s="44" t="n">
        <f aca="false">AJ33*AD33</f>
        <v>0.03745345102488</v>
      </c>
      <c r="AL33" s="30" t="n">
        <f aca="false">AJ33*56</f>
        <v>27.3811130208</v>
      </c>
      <c r="AM33" s="32" t="n">
        <f aca="false">AK33*56</f>
        <v>2.09739325739328</v>
      </c>
      <c r="AN33" s="44" t="n">
        <f aca="false">M33*Assumptions!$B$8</f>
        <v>10.38</v>
      </c>
      <c r="AO33" s="27" t="s">
        <v>430</v>
      </c>
      <c r="AP33" s="27" t="s">
        <v>565</v>
      </c>
      <c r="AQ33" s="26" t="s">
        <v>198</v>
      </c>
      <c r="AR33" s="27" t="s">
        <v>199</v>
      </c>
      <c r="AS33" s="44" t="n">
        <f aca="false">IF(AO33="Ranking — Full Push",MIN(MAX(AJ33,Assumptions!$B$9),AN33),IF(AO33="Brand Defense",MIN(Assumptions!$B$7,AN33),IF(OR(AO33="Ranking — Head Term (Capped)",AO33="Ranking — Capped Entry"),MIN(MAX(AJ33,Assumptions!$B$9),Assumptions!$B$7,AN33),IF(AO33="Ranking — Capped Long-Tail",MIN(AJ33,Assumptions!$B$10,AN33),MIN(AJ33,AN33)))))</f>
        <v>1</v>
      </c>
      <c r="AT33" s="27" t="str">
        <f aca="false">IF(AJ33&lt;=0,"",IF(AS33&gt;=AJ33,IF(AS33&gt;AJ33*1.05,"Floor of "&amp;TEXT(AS33,"0.0")&amp;" click/day to read CVR (rank needs "&amp;TEXT(AJ33,"0.00")&amp;")","Fully funded (100%)"),"Capped at "&amp;TEXT(AS33/AJ33,"0%")&amp;" of required"))</f>
        <v>Floor of 1.0 click/day to read CVR (rank needs 0.49)</v>
      </c>
      <c r="AU33" s="44" t="n">
        <f aca="false">AS33*AD33</f>
        <v>0.0766</v>
      </c>
      <c r="AV33" s="45" t="n">
        <f aca="false">AU33*AY33</f>
        <v>6.510234</v>
      </c>
      <c r="AW33" s="46" t="n">
        <v>3.27</v>
      </c>
      <c r="AX33" s="27" t="s">
        <v>646</v>
      </c>
      <c r="AY33" s="47" t="n">
        <f aca="false">INDEX(Assumptions!$B$33:$B$37,MATCH(IF($D33="","Queen",$D33),Assumptions!$A$33:$A$37,0))</f>
        <v>84.99</v>
      </c>
      <c r="AZ33" s="33" t="n">
        <f aca="false">INDEX(Assumptions!$K$33:$K$37,MATCH(IF($D33="","Queen",$D33),Assumptions!$A$33:$A$37,0))</f>
        <v>0.525970702435581</v>
      </c>
      <c r="BA33" s="33" t="n">
        <f aca="false">INDEX(Assumptions!$H$33:$H$37,MATCH(IF($D33="","Queen",$D33),Assumptions!$A$33:$A$37,0))</f>
        <v>0.350647134957054</v>
      </c>
      <c r="BB33" s="47" t="n">
        <f aca="false">AY33*AZ33*AD33</f>
        <v>3.42419235</v>
      </c>
      <c r="BC33" s="47" t="n">
        <f aca="false">ROUND(MIN(AW33*Assumptions!$B$11,BB33),2)</f>
        <v>3.27</v>
      </c>
      <c r="BD33" s="26" t="s">
        <v>201</v>
      </c>
      <c r="BE33" s="48" t="n">
        <f aca="false">IF(AO33="Ranking — Full Push",MAX(0,MIN(IF(BD33="Yes",Assumptions!$B$12,Assumptions!$B$13),FLOOR(MAX(0,BB33/BC33-1),Assumptions!$B$14))),0)</f>
        <v>0</v>
      </c>
      <c r="BF33" s="49" t="str">
        <f aca="false">IF(AO33="Ranking — Full Push",IF(BE33&gt;=1,"YES — +100% Top of Search. Effective CPC $"&amp;TEXT(BG33,"0.00")&amp;" (= $"&amp;TEXT(BC33,"0.00")&amp;" × 2) stays within the $"&amp;TEXT(BB33,"0.00")&amp;" max ranking CPC"&amp;" (= $"&amp;TEXT(AY33,"0.00")&amp;" price × "&amp;TEXT(AZ33,"0.0%")&amp;" ranking ceiling × "&amp;TEXT(AD33,"0.0%")&amp;" CVR)"&amp;". Sleephoria CVR is proven on this term, so the full push is justified.",IF(AND(BD33="No",BE33&gt;=Assumptions!$B$13),"PARTIAL — +"&amp;TEXT(BE33,"0%")&amp;" Top of Search (limit for terms without proven CVR). Effective CPC $"&amp;TEXT(BG33,"0.00")&amp;" vs $"&amp;TEXT(BB33,"0.00")&amp;" max ranking CPC"&amp;" (= $"&amp;TEXT(AY33,"0.00")&amp;" price × "&amp;TEXT(AZ33,"0.0%")&amp;" ranking ceiling × "&amp;TEXT(AD33,"0.0%")&amp;" CVR)"&amp;". Raise to +100% only after CooLinens converts at ≥ "&amp;TEXT(AD33,"0.0%")&amp;" on 50+ clicks and $"&amp;TEXT(BC33*2,"0.00")&amp;" ≤ the max.",IF(BE33&gt;0,"PARTIAL — +"&amp;TEXT(BE33,"0%")&amp;" Top of Search. Effective CPC $"&amp;TEXT(BG33,"0.00")&amp;" stays within the $"&amp;TEXT(BB33,"0.00")&amp;" max ranking CPC"&amp;" (= $"&amp;TEXT(AY33,"0.00")&amp;" price × "&amp;TEXT(AZ33,"0.0%")&amp;" ranking ceiling × "&amp;TEXT(AD33,"0.0%")&amp;" CVR)"&amp;". +100% would cost $"&amp;TEXT(BC33*2,"0.00")&amp;" per click and push ACoS to "&amp;TEXT(BC33*2/(AY33*AD33),"0.0%")&amp;", above the "&amp;TEXT(AZ33,"0.0%")&amp;" ceiling.","NO — 0%. Base bid $"&amp;TEXT(BC33,"0.00")&amp;" already equals the $"&amp;TEXT(BB33,"0.00")&amp;" max ranking CPC"&amp;" (= $"&amp;TEXT(AY33,"0.00")&amp;" price × "&amp;TEXT(AZ33,"0.0%")&amp;" ranking ceiling × "&amp;TEXT(AD33,"0.0%")&amp;" CVR)"&amp;"; any modifier would push ACoS above the "&amp;TEXT(AZ33,"0.0%")&amp;" ceiling."))),IF(OR(AO33="Ranking — Head Term (Capped)",AO33="Ranking — Capped Entry",AO33="Ranking — Capped Long-Tail"),"NO — 0% (capped ranking entry). Bid $"&amp;TEXT(BC33,"0.00")&amp;" vs $"&amp;TEXT(BB33,"0.00")&amp;" max ranking CPC"&amp;" (= $"&amp;TEXT(AY33,"0.00")&amp;" price × "&amp;TEXT(AZ33,"0.0%")&amp;" ranking ceiling × "&amp;TEXT(AD33,"0.0%")&amp;" CVR)"&amp;". While spend is capped at "&amp;TEXT(AS33,"0.00")&amp;" clicks/day, a placement premium would only raise CPC without buying more rank; the modifier is set when this term moves to a full push.","NO — 0% (support / brand term). Bid $"&amp;TEXT(BC33,"0.00")&amp;" vs $"&amp;TEXT(BB33,"0.00")&amp;" max ranking CPC"&amp;" (= $"&amp;TEXT(AY33,"0.00")&amp;" price × "&amp;TEXT(AZ33,"0.0%")&amp;" ranking ceiling × "&amp;TEXT(AD33,"0.0%")&amp;" CVR)"&amp;"; expected ACoS "&amp;TEXT(BI33,"0.0%")&amp;" vs the "&amp;TEXT(AZ33,"0.0%")&amp;" ceiling."))</f>
        <v>NO — 0% (capped ranking entry). Bid $3.27 vs $3.42 max ranking CPC (= $84.99 price × 52.6% ranking ceiling × 7.7% CVR). While spend is capped at 1.00 clicks/day, a placement premium would only raise CPC without buying more rank; the modifier is set when this term moves to a full push.</v>
      </c>
      <c r="BG33" s="50" t="n">
        <f aca="false">BC33*(1+BE33)</f>
        <v>3.27</v>
      </c>
      <c r="BH33" s="45" t="n">
        <f aca="false">AS33*BG33</f>
        <v>3.27</v>
      </c>
      <c r="BI33" s="33" t="n">
        <f aca="false">IFERROR(BG33/(AY33*AD33),"")</f>
        <v>0.502286092942281</v>
      </c>
      <c r="BJ33" s="27" t="str">
        <f aca="false">IF(BI33="","",IF(BI33&lt;=BA33,"Profitable (≤ break-even)",IF(BI33&lt;=AZ33,"Ranking investment (≤ ceiling)","Above ceiling — reduce bid")))</f>
        <v>Ranking investment (≤ ceiling)</v>
      </c>
      <c r="BK33" s="49" t="str">
        <f aca="false">"Base $"&amp;TEXT(BC33,"0.00")&amp;" × (1 + "&amp;TEXT(BE33,"0%")&amp;" TOS) = $"&amp;TEXT(BG33,"0.00")&amp;" effective CPC [max $"&amp;TEXT(BB33,"0.00")&amp;"]. "&amp;TEXT(AG33,"0.0")&amp;" market clicks/day × "&amp;TEXT(AH33,"0.00%")&amp;" click share × "&amp;TEXT(AI33,"0%")&amp;" paid = "&amp;TEXT(AJ33,"0.00")&amp;" clicks/day needed; "&amp;"planned "&amp;TEXT(AS33,"0.00")&amp;" clicks/day × "&amp;TEXT(AD33,"0.0%")&amp;" CVR = "&amp;TEXT(AU33,"0.00")&amp;" orders/day. "&amp;"Spend $"&amp;TEXT(BH33,"0.00")&amp;"/day, ACoS "&amp;TEXT(BI33,"0.0%")&amp;" (ceiling "&amp;TEXT(AZ33,"0.0%")&amp;", break-even "&amp;TEXT(BA33,"0.0%")&amp;"). "&amp;"Target organic rank #"&amp;S33&amp;" by week 8 ("&amp;T33&amp;")."</f>
        <v>Base $3.27 × (1 + 0% TOS) = $3.27 effective CPC [max $3.42]. 49.7 market clicks/day × 1.49% click share × 66% paid = 0.49 clicks/day needed; planned 1.00 clicks/day × 7.7% CVR = 0.08 orders/day. Spend $3.27/day, ACoS 50.2% (ceiling 52.6%, break-even 35.1%). Target organic rank #15 by week 8 (#50 → #30 → #15 (full push after size assignment)).</v>
      </c>
      <c r="BL33" s="27" t="s">
        <v>567</v>
      </c>
      <c r="BM33" s="27" t="s">
        <v>203</v>
      </c>
      <c r="BN33" s="27" t="s">
        <v>647</v>
      </c>
      <c r="BO33" s="27" t="s">
        <v>640</v>
      </c>
      <c r="BP33" s="27" t="s">
        <v>569</v>
      </c>
      <c r="BQ33" s="26" t="s">
        <v>570</v>
      </c>
      <c r="BR33" s="40" t="n">
        <f aca="false">IFERROR(INDEX(Campaigns!$L:$L,MATCH(BN33,Campaigns!$A:$A,0)),"")</f>
        <v>10</v>
      </c>
      <c r="BS33" s="51" t="str">
        <f aca="false">IFERROR(INDEX(Inventory!$O:$O,MATCH(BP33,Inventory!$A:$A,0)),"")</f>
        <v>OK</v>
      </c>
      <c r="BT33" s="52" t="n">
        <f aca="false">IFERROR(INDEX(Inventory!$N:$N,MATCH(BP33,Inventory!$A:$A,0)),"")</f>
        <v>63.0533861060951</v>
      </c>
      <c r="BU33" s="27" t="s">
        <v>648</v>
      </c>
      <c r="BV33" s="27" t="s">
        <v>649</v>
      </c>
      <c r="BW33" s="27" t="s">
        <v>650</v>
      </c>
      <c r="BX33" s="27" t="s">
        <v>651</v>
      </c>
      <c r="BY33" s="27" t="s">
        <v>652</v>
      </c>
      <c r="BZ33" s="27" t="s">
        <v>593</v>
      </c>
      <c r="CA33" s="27" t="s">
        <v>577</v>
      </c>
      <c r="CB33" s="27" t="s">
        <v>653</v>
      </c>
      <c r="CC33" s="27" t="s">
        <v>654</v>
      </c>
    </row>
    <row r="34" customFormat="false" ht="120" hidden="false" customHeight="true" outlineLevel="0" collapsed="false">
      <c r="A34" s="24" t="s">
        <v>655</v>
      </c>
      <c r="B34" s="25" t="n">
        <v>1</v>
      </c>
      <c r="C34" s="26" t="s">
        <v>184</v>
      </c>
      <c r="D34" s="26" t="s">
        <v>560</v>
      </c>
      <c r="E34" s="27" t="s">
        <v>371</v>
      </c>
      <c r="F34" s="28" t="n">
        <v>1</v>
      </c>
      <c r="G34" s="27" t="s">
        <v>187</v>
      </c>
      <c r="H34" s="26" t="s">
        <v>188</v>
      </c>
      <c r="I34" s="29" t="n">
        <v>8</v>
      </c>
      <c r="J34" s="27" t="s">
        <v>656</v>
      </c>
      <c r="K34" s="30" t="n">
        <v>1961</v>
      </c>
      <c r="L34" s="31" t="n">
        <v>1729</v>
      </c>
      <c r="M34" s="32" t="n">
        <f aca="false">L34/30</f>
        <v>57.6333333333333</v>
      </c>
      <c r="N34" s="33" t="n">
        <v>0.028929503916449</v>
      </c>
      <c r="O34" s="27" t="s">
        <v>657</v>
      </c>
      <c r="P34" s="27" t="s">
        <v>658</v>
      </c>
      <c r="Q34" s="27" t="s">
        <v>273</v>
      </c>
      <c r="R34" s="34" t="n">
        <v>7</v>
      </c>
      <c r="S34" s="35" t="n">
        <v>15</v>
      </c>
      <c r="T34" s="36" t="s">
        <v>450</v>
      </c>
      <c r="U34" s="27" t="s">
        <v>659</v>
      </c>
      <c r="V34" s="37" t="n">
        <f aca="false">IFERROR(INDEX(Sleephoria_History!$F$454:$F$2115,MATCH($A34,Sleephoria_History!$A$454:$A$2115,0)),"")</f>
        <v>69</v>
      </c>
      <c r="W34" s="38" t="n">
        <f aca="false">IFERROR(INDEX(Sleephoria_History!$J$454:$J$2115,MATCH($A34,Sleephoria_History!$A$454:$A$2115,0)),"")</f>
        <v>0.1449</v>
      </c>
      <c r="X34" s="39" t="n">
        <f aca="false">IFERROR(INDEX(Sleephoria_History!$H$454:$H$2115,MATCH($A34,Sleephoria_History!$A$454:$A$2115,0)),"")</f>
        <v>3.39</v>
      </c>
      <c r="Y34" s="38" t="n">
        <f aca="false">IFERROR(INDEX(Sleephoria_History!$M$454:$M$2115,MATCH($A34,Sleephoria_History!$A$454:$A$2115,0)),"")</f>
        <v>0.282</v>
      </c>
      <c r="Z34" s="40" t="n">
        <f aca="false">IFERROR(INDEX(Sleephoria_History!$L$454:$L$2115,MATCH($A34,Sleephoria_History!$A$454:$A$2115,0)),"")</f>
        <v>829.9</v>
      </c>
      <c r="AA34" s="37" t="str">
        <f aca="false">IFERROR(INDEX(Decolure_History!$F$397:$F$709,MATCH($A34,Decolure_History!$A$397:$A$709,0)),"")</f>
        <v/>
      </c>
      <c r="AB34" s="38" t="str">
        <f aca="false">IFERROR(INDEX(Decolure_History!$J$397:$J$709,MATCH($A34,Decolure_History!$A$397:$A$709,0)),"")</f>
        <v/>
      </c>
      <c r="AC34" s="38" t="str">
        <f aca="false">IFERROR(INDEX(Decolure_History!$M$397:$M$709,MATCH($A34,Decolure_History!$A$397:$A$709,0)),"")</f>
        <v/>
      </c>
      <c r="AD34" s="41" t="n">
        <v>0.1159</v>
      </c>
      <c r="AE34" s="27" t="s">
        <v>660</v>
      </c>
      <c r="AF34" s="42" t="n">
        <v>0.426</v>
      </c>
      <c r="AG34" s="32" t="n">
        <f aca="false">M34*AF34</f>
        <v>24.5518</v>
      </c>
      <c r="AH34" s="43" t="n">
        <f aca="false">IF(AO34="Brand Defense",0,IFERROR(VLOOKUP(S34,Assumptions!$A$24:$B$28,2,FALSE()),0))</f>
        <v>0.0149</v>
      </c>
      <c r="AI34" s="28" t="n">
        <f aca="false">Assumptions!$B$6</f>
        <v>0.66</v>
      </c>
      <c r="AJ34" s="44" t="n">
        <f aca="false">AG34*AH34*AI34</f>
        <v>0.2414424012</v>
      </c>
      <c r="AK34" s="44" t="n">
        <f aca="false">AJ34*AD34</f>
        <v>0.02798317429908</v>
      </c>
      <c r="AL34" s="30" t="n">
        <f aca="false">AJ34*56</f>
        <v>13.5207744672</v>
      </c>
      <c r="AM34" s="32" t="n">
        <f aca="false">AK34*56</f>
        <v>1.56705776074848</v>
      </c>
      <c r="AN34" s="44" t="n">
        <f aca="false">M34*Assumptions!$B$8</f>
        <v>5.76333333333333</v>
      </c>
      <c r="AO34" s="27" t="s">
        <v>430</v>
      </c>
      <c r="AP34" s="27" t="s">
        <v>565</v>
      </c>
      <c r="AQ34" s="26" t="s">
        <v>198</v>
      </c>
      <c r="AR34" s="27" t="s">
        <v>199</v>
      </c>
      <c r="AS34" s="44" t="n">
        <f aca="false">IF(AO34="Ranking — Full Push",MIN(MAX(AJ34,Assumptions!$B$9),AN34),IF(AO34="Brand Defense",MIN(Assumptions!$B$7,AN34),IF(OR(AO34="Ranking — Head Term (Capped)",AO34="Ranking — Capped Entry"),MIN(MAX(AJ34,Assumptions!$B$9),Assumptions!$B$7,AN34),IF(AO34="Ranking — Capped Long-Tail",MIN(AJ34,Assumptions!$B$10,AN34),MIN(AJ34,AN34)))))</f>
        <v>1</v>
      </c>
      <c r="AT34" s="27" t="str">
        <f aca="false">IF(AJ34&lt;=0,"",IF(AS34&gt;=AJ34,IF(AS34&gt;AJ34*1.05,"Floor of "&amp;TEXT(AS34,"0.0")&amp;" click/day to read CVR (rank needs "&amp;TEXT(AJ34,"0.00")&amp;")","Fully funded (100%)"),"Capped at "&amp;TEXT(AS34/AJ34,"0%")&amp;" of required"))</f>
        <v>Floor of 1.0 click/day to read CVR (rank needs 0.24)</v>
      </c>
      <c r="AU34" s="44" t="n">
        <f aca="false">AS34*AD34</f>
        <v>0.1159</v>
      </c>
      <c r="AV34" s="45" t="n">
        <f aca="false">AU34*AY34</f>
        <v>9.850341</v>
      </c>
      <c r="AW34" s="46" t="n">
        <v>3.39</v>
      </c>
      <c r="AX34" s="27" t="s">
        <v>661</v>
      </c>
      <c r="AY34" s="47" t="n">
        <f aca="false">INDEX(Assumptions!$B$33:$B$37,MATCH(IF($D34="","Queen",$D34),Assumptions!$A$33:$A$37,0))</f>
        <v>84.99</v>
      </c>
      <c r="AZ34" s="33" t="n">
        <f aca="false">INDEX(Assumptions!$K$33:$K$37,MATCH(IF($D34="","Queen",$D34),Assumptions!$A$33:$A$37,0))</f>
        <v>0.525970702435581</v>
      </c>
      <c r="BA34" s="33" t="n">
        <f aca="false">INDEX(Assumptions!$H$33:$H$37,MATCH(IF($D34="","Queen",$D34),Assumptions!$A$33:$A$37,0))</f>
        <v>0.350647134957054</v>
      </c>
      <c r="BB34" s="47" t="n">
        <f aca="false">AY34*AZ34*AD34</f>
        <v>5.180990775</v>
      </c>
      <c r="BC34" s="47" t="n">
        <f aca="false">ROUND(MIN(AW34*Assumptions!$B$11,BB34),2)</f>
        <v>3.39</v>
      </c>
      <c r="BD34" s="26" t="s">
        <v>201</v>
      </c>
      <c r="BE34" s="48" t="n">
        <f aca="false">IF(AO34="Ranking — Full Push",MAX(0,MIN(IF(BD34="Yes",Assumptions!$B$12,Assumptions!$B$13),FLOOR(MAX(0,BB34/BC34-1),Assumptions!$B$14))),0)</f>
        <v>0</v>
      </c>
      <c r="BF34" s="49" t="str">
        <f aca="false">IF(AO34="Ranking — Full Push",IF(BE34&gt;=1,"YES — +100% Top of Search. Effective CPC $"&amp;TEXT(BG34,"0.00")&amp;" (= $"&amp;TEXT(BC34,"0.00")&amp;" × 2) stays within the $"&amp;TEXT(BB34,"0.00")&amp;" max ranking CPC"&amp;" (= $"&amp;TEXT(AY34,"0.00")&amp;" price × "&amp;TEXT(AZ34,"0.0%")&amp;" ranking ceiling × "&amp;TEXT(AD34,"0.0%")&amp;" CVR)"&amp;". Sleephoria CVR is proven on this term, so the full push is justified.",IF(AND(BD34="No",BE34&gt;=Assumptions!$B$13),"PARTIAL — +"&amp;TEXT(BE34,"0%")&amp;" Top of Search (limit for terms without proven CVR). Effective CPC $"&amp;TEXT(BG34,"0.00")&amp;" vs $"&amp;TEXT(BB34,"0.00")&amp;" max ranking CPC"&amp;" (= $"&amp;TEXT(AY34,"0.00")&amp;" price × "&amp;TEXT(AZ34,"0.0%")&amp;" ranking ceiling × "&amp;TEXT(AD34,"0.0%")&amp;" CVR)"&amp;". Raise to +100% only after CooLinens converts at ≥ "&amp;TEXT(AD34,"0.0%")&amp;" on 50+ clicks and $"&amp;TEXT(BC34*2,"0.00")&amp;" ≤ the max.",IF(BE34&gt;0,"PARTIAL — +"&amp;TEXT(BE34,"0%")&amp;" Top of Search. Effective CPC $"&amp;TEXT(BG34,"0.00")&amp;" stays within the $"&amp;TEXT(BB34,"0.00")&amp;" max ranking CPC"&amp;" (= $"&amp;TEXT(AY34,"0.00")&amp;" price × "&amp;TEXT(AZ34,"0.0%")&amp;" ranking ceiling × "&amp;TEXT(AD34,"0.0%")&amp;" CVR)"&amp;". +100% would cost $"&amp;TEXT(BC34*2,"0.00")&amp;" per click and push ACoS to "&amp;TEXT(BC34*2/(AY34*AD34),"0.0%")&amp;", above the "&amp;TEXT(AZ34,"0.0%")&amp;" ceiling.","NO — 0%. Base bid $"&amp;TEXT(BC34,"0.00")&amp;" already equals the $"&amp;TEXT(BB34,"0.00")&amp;" max ranking CPC"&amp;" (= $"&amp;TEXT(AY34,"0.00")&amp;" price × "&amp;TEXT(AZ34,"0.0%")&amp;" ranking ceiling × "&amp;TEXT(AD34,"0.0%")&amp;" CVR)"&amp;"; any modifier would push ACoS above the "&amp;TEXT(AZ34,"0.0%")&amp;" ceiling."))),IF(OR(AO34="Ranking — Head Term (Capped)",AO34="Ranking — Capped Entry",AO34="Ranking — Capped Long-Tail"),"NO — 0% (capped ranking entry). Bid $"&amp;TEXT(BC34,"0.00")&amp;" vs $"&amp;TEXT(BB34,"0.00")&amp;" max ranking CPC"&amp;" (= $"&amp;TEXT(AY34,"0.00")&amp;" price × "&amp;TEXT(AZ34,"0.0%")&amp;" ranking ceiling × "&amp;TEXT(AD34,"0.0%")&amp;" CVR)"&amp;". While spend is capped at "&amp;TEXT(AS34,"0.00")&amp;" clicks/day, a placement premium would only raise CPC without buying more rank; the modifier is set when this term moves to a full push.","NO — 0% (support / brand term). Bid $"&amp;TEXT(BC34,"0.00")&amp;" vs $"&amp;TEXT(BB34,"0.00")&amp;" max ranking CPC"&amp;" (= $"&amp;TEXT(AY34,"0.00")&amp;" price × "&amp;TEXT(AZ34,"0.0%")&amp;" ranking ceiling × "&amp;TEXT(AD34,"0.0%")&amp;" CVR)"&amp;"; expected ACoS "&amp;TEXT(BI34,"0.0%")&amp;" vs the "&amp;TEXT(AZ34,"0.0%")&amp;" ceiling."))</f>
        <v>NO — 0% (capped ranking entry). Bid $3.39 vs $5.18 max ranking CPC (= $84.99 price × 52.6% ranking ceiling × 11.6% CVR). While spend is capped at 1.00 clicks/day, a placement premium would only raise CPC without buying more rank; the modifier is set when this term moves to a full push.</v>
      </c>
      <c r="BG34" s="50" t="n">
        <f aca="false">BC34*(1+BE34)</f>
        <v>3.39</v>
      </c>
      <c r="BH34" s="45" t="n">
        <f aca="false">AS34*BG34</f>
        <v>3.39</v>
      </c>
      <c r="BI34" s="33" t="n">
        <f aca="false">IFERROR(BG34/(AY34*AD34),"")</f>
        <v>0.344150522301715</v>
      </c>
      <c r="BJ34" s="27" t="str">
        <f aca="false">IF(BI34="","",IF(BI34&lt;=BA34,"Profitable (≤ break-even)",IF(BI34&lt;=AZ34,"Ranking investment (≤ ceiling)","Above ceiling — reduce bid")))</f>
        <v>Profitable (≤ break-even)</v>
      </c>
      <c r="BK34" s="49" t="str">
        <f aca="false">"Base $"&amp;TEXT(BC34,"0.00")&amp;" × (1 + "&amp;TEXT(BE34,"0%")&amp;" TOS) = $"&amp;TEXT(BG34,"0.00")&amp;" effective CPC [max $"&amp;TEXT(BB34,"0.00")&amp;"]. "&amp;TEXT(AG34,"0.0")&amp;" market clicks/day × "&amp;TEXT(AH34,"0.00%")&amp;" click share × "&amp;TEXT(AI34,"0%")&amp;" paid = "&amp;TEXT(AJ34,"0.00")&amp;" clicks/day needed; "&amp;"planned "&amp;TEXT(AS34,"0.00")&amp;" clicks/day × "&amp;TEXT(AD34,"0.0%")&amp;" CVR = "&amp;TEXT(AU34,"0.00")&amp;" orders/day. "&amp;"Spend $"&amp;TEXT(BH34,"0.00")&amp;"/day, ACoS "&amp;TEXT(BI34,"0.0%")&amp;" (ceiling "&amp;TEXT(AZ34,"0.0%")&amp;", break-even "&amp;TEXT(BA34,"0.0%")&amp;"). "&amp;"Target organic rank #"&amp;S34&amp;" by week 8 ("&amp;T34&amp;")."</f>
        <v>Base $3.39 × (1 + 0% TOS) = $3.39 effective CPC [max $5.18]. 24.6 market clicks/day × 1.49% click share × 66% paid = 0.24 clicks/day needed; planned 1.00 clicks/day × 11.6% CVR = 0.12 orders/day. Spend $3.39/day, ACoS 34.4% (ceiling 52.6%, break-even 35.1%). Target organic rank #15 by week 8 (#50 → #30 → #15 (full push after size assignment)).</v>
      </c>
      <c r="BL34" s="27" t="s">
        <v>662</v>
      </c>
      <c r="BM34" s="27" t="s">
        <v>203</v>
      </c>
      <c r="BN34" s="27" t="s">
        <v>663</v>
      </c>
      <c r="BO34" s="27" t="s">
        <v>655</v>
      </c>
      <c r="BP34" s="27" t="s">
        <v>569</v>
      </c>
      <c r="BQ34" s="26" t="s">
        <v>570</v>
      </c>
      <c r="BR34" s="40" t="n">
        <f aca="false">IFERROR(INDEX(Campaigns!$L:$L,MATCH(BN34,Campaigns!$A:$A,0)),"")</f>
        <v>10</v>
      </c>
      <c r="BS34" s="51" t="str">
        <f aca="false">IFERROR(INDEX(Inventory!$O:$O,MATCH(BP34,Inventory!$A:$A,0)),"")</f>
        <v>OK</v>
      </c>
      <c r="BT34" s="52" t="n">
        <f aca="false">IFERROR(INDEX(Inventory!$N:$N,MATCH(BP34,Inventory!$A:$A,0)),"")</f>
        <v>63.0533861060951</v>
      </c>
      <c r="BU34" s="27" t="s">
        <v>664</v>
      </c>
      <c r="BV34" s="27" t="s">
        <v>263</v>
      </c>
      <c r="BW34" s="27" t="s">
        <v>665</v>
      </c>
      <c r="BX34" s="27" t="s">
        <v>666</v>
      </c>
      <c r="BY34" s="27" t="s">
        <v>667</v>
      </c>
      <c r="BZ34" s="27" t="s">
        <v>593</v>
      </c>
      <c r="CA34" s="27" t="s">
        <v>577</v>
      </c>
      <c r="CB34" s="27" t="s">
        <v>668</v>
      </c>
      <c r="CC34" s="27" t="s">
        <v>669</v>
      </c>
    </row>
    <row r="35" customFormat="false" ht="120" hidden="false" customHeight="true" outlineLevel="0" collapsed="false">
      <c r="A35" s="24" t="s">
        <v>670</v>
      </c>
      <c r="B35" s="25" t="n">
        <v>1</v>
      </c>
      <c r="C35" s="26" t="s">
        <v>184</v>
      </c>
      <c r="D35" s="26" t="s">
        <v>560</v>
      </c>
      <c r="E35" s="27" t="s">
        <v>371</v>
      </c>
      <c r="F35" s="28" t="n">
        <v>1</v>
      </c>
      <c r="G35" s="27" t="s">
        <v>187</v>
      </c>
      <c r="H35" s="26" t="s">
        <v>188</v>
      </c>
      <c r="I35" s="29" t="n">
        <v>9</v>
      </c>
      <c r="J35" s="27" t="s">
        <v>304</v>
      </c>
      <c r="K35" s="30" t="n">
        <v>819</v>
      </c>
      <c r="L35" s="31" t="n">
        <v>924</v>
      </c>
      <c r="M35" s="32" t="n">
        <f aca="false">L35/30</f>
        <v>30.8</v>
      </c>
      <c r="N35" s="33" t="n">
        <v>0.0433789954337899</v>
      </c>
      <c r="O35" s="27" t="s">
        <v>218</v>
      </c>
      <c r="P35" s="27" t="s">
        <v>671</v>
      </c>
      <c r="Q35" s="27" t="s">
        <v>273</v>
      </c>
      <c r="R35" s="34" t="n">
        <v>5</v>
      </c>
      <c r="S35" s="35" t="n">
        <v>10</v>
      </c>
      <c r="T35" s="36" t="s">
        <v>427</v>
      </c>
      <c r="U35" s="27" t="s">
        <v>672</v>
      </c>
      <c r="V35" s="37" t="n">
        <f aca="false">IFERROR(INDEX(Sleephoria_History!$F$454:$F$2115,MATCH($A35,Sleephoria_History!$A$454:$A$2115,0)),"")</f>
        <v>50</v>
      </c>
      <c r="W35" s="38" t="n">
        <f aca="false">IFERROR(INDEX(Sleephoria_History!$J$454:$J$2115,MATCH($A35,Sleephoria_History!$A$454:$A$2115,0)),"")</f>
        <v>0.12</v>
      </c>
      <c r="X35" s="39" t="n">
        <f aca="false">IFERROR(INDEX(Sleephoria_History!$H$454:$H$2115,MATCH($A35,Sleephoria_History!$A$454:$A$2115,0)),"")</f>
        <v>2.91</v>
      </c>
      <c r="Y35" s="38" t="n">
        <f aca="false">IFERROR(INDEX(Sleephoria_History!$M$454:$M$2115,MATCH($A35,Sleephoria_History!$A$454:$A$2115,0)),"")</f>
        <v>0.294</v>
      </c>
      <c r="Z35" s="40" t="n">
        <f aca="false">IFERROR(INDEX(Sleephoria_History!$L$454:$L$2115,MATCH($A35,Sleephoria_History!$A$454:$A$2115,0)),"")</f>
        <v>494.94</v>
      </c>
      <c r="AA35" s="37" t="str">
        <f aca="false">IFERROR(INDEX(Decolure_History!$F$397:$F$709,MATCH($A35,Decolure_History!$A$397:$A$709,0)),"")</f>
        <v/>
      </c>
      <c r="AB35" s="38" t="str">
        <f aca="false">IFERROR(INDEX(Decolure_History!$J$397:$J$709,MATCH($A35,Decolure_History!$A$397:$A$709,0)),"")</f>
        <v/>
      </c>
      <c r="AC35" s="38" t="str">
        <f aca="false">IFERROR(INDEX(Decolure_History!$M$397:$M$709,MATCH($A35,Decolure_History!$A$397:$A$709,0)),"")</f>
        <v/>
      </c>
      <c r="AD35" s="41" t="n">
        <v>0.096</v>
      </c>
      <c r="AE35" s="27" t="s">
        <v>673</v>
      </c>
      <c r="AF35" s="42" t="n">
        <v>0.434</v>
      </c>
      <c r="AG35" s="32" t="n">
        <f aca="false">M35*AF35</f>
        <v>13.3672</v>
      </c>
      <c r="AH35" s="43" t="n">
        <f aca="false">IF(AO35="Brand Defense",0,IFERROR(VLOOKUP(S35,Assumptions!$A$24:$B$28,2,FALSE()),0))</f>
        <v>0.028</v>
      </c>
      <c r="AI35" s="28" t="n">
        <f aca="false">Assumptions!$B$6</f>
        <v>0.66</v>
      </c>
      <c r="AJ35" s="44" t="n">
        <f aca="false">AG35*AH35*AI35</f>
        <v>0.247025856</v>
      </c>
      <c r="AK35" s="44" t="n">
        <f aca="false">AJ35*AD35</f>
        <v>0.023714482176</v>
      </c>
      <c r="AL35" s="30" t="n">
        <f aca="false">AJ35*56</f>
        <v>13.833447936</v>
      </c>
      <c r="AM35" s="32" t="n">
        <f aca="false">AK35*56</f>
        <v>1.328011001856</v>
      </c>
      <c r="AN35" s="44" t="n">
        <f aca="false">M35*Assumptions!$B$8</f>
        <v>3.08</v>
      </c>
      <c r="AO35" s="27" t="s">
        <v>430</v>
      </c>
      <c r="AP35" s="27" t="s">
        <v>565</v>
      </c>
      <c r="AQ35" s="26" t="s">
        <v>198</v>
      </c>
      <c r="AR35" s="27" t="s">
        <v>199</v>
      </c>
      <c r="AS35" s="44" t="n">
        <f aca="false">IF(AO35="Ranking — Full Push",MIN(MAX(AJ35,Assumptions!$B$9),AN35),IF(AO35="Brand Defense",MIN(Assumptions!$B$7,AN35),IF(OR(AO35="Ranking — Head Term (Capped)",AO35="Ranking — Capped Entry"),MIN(MAX(AJ35,Assumptions!$B$9),Assumptions!$B$7,AN35),IF(AO35="Ranking — Capped Long-Tail",MIN(AJ35,Assumptions!$B$10,AN35),MIN(AJ35,AN35)))))</f>
        <v>1</v>
      </c>
      <c r="AT35" s="27" t="str">
        <f aca="false">IF(AJ35&lt;=0,"",IF(AS35&gt;=AJ35,IF(AS35&gt;AJ35*1.05,"Floor of "&amp;TEXT(AS35,"0.0")&amp;" click/day to read CVR (rank needs "&amp;TEXT(AJ35,"0.00")&amp;")","Fully funded (100%)"),"Capped at "&amp;TEXT(AS35/AJ35,"0%")&amp;" of required"))</f>
        <v>Floor of 1.0 click/day to read CVR (rank needs 0.25)</v>
      </c>
      <c r="AU35" s="44" t="n">
        <f aca="false">AS35*AD35</f>
        <v>0.096</v>
      </c>
      <c r="AV35" s="45" t="n">
        <f aca="false">AU35*AY35</f>
        <v>8.15904</v>
      </c>
      <c r="AW35" s="46" t="n">
        <v>2.91</v>
      </c>
      <c r="AX35" s="27" t="s">
        <v>674</v>
      </c>
      <c r="AY35" s="47" t="n">
        <f aca="false">INDEX(Assumptions!$B$33:$B$37,MATCH(IF($D35="","Queen",$D35),Assumptions!$A$33:$A$37,0))</f>
        <v>84.99</v>
      </c>
      <c r="AZ35" s="33" t="n">
        <f aca="false">INDEX(Assumptions!$K$33:$K$37,MATCH(IF($D35="","Queen",$D35),Assumptions!$A$33:$A$37,0))</f>
        <v>0.525970702435581</v>
      </c>
      <c r="BA35" s="33" t="n">
        <f aca="false">INDEX(Assumptions!$H$33:$H$37,MATCH(IF($D35="","Queen",$D35),Assumptions!$A$33:$A$37,0))</f>
        <v>0.350647134957054</v>
      </c>
      <c r="BB35" s="47" t="n">
        <f aca="false">AY35*AZ35*AD35</f>
        <v>4.291416</v>
      </c>
      <c r="BC35" s="47" t="n">
        <f aca="false">ROUND(MIN(AW35*Assumptions!$B$11,BB35),2)</f>
        <v>2.91</v>
      </c>
      <c r="BD35" s="26" t="s">
        <v>201</v>
      </c>
      <c r="BE35" s="48" t="n">
        <f aca="false">IF(AO35="Ranking — Full Push",MAX(0,MIN(IF(BD35="Yes",Assumptions!$B$12,Assumptions!$B$13),FLOOR(MAX(0,BB35/BC35-1),Assumptions!$B$14))),0)</f>
        <v>0</v>
      </c>
      <c r="BF35" s="49" t="str">
        <f aca="false">IF(AO35="Ranking — Full Push",IF(BE35&gt;=1,"YES — +100% Top of Search. Effective CPC $"&amp;TEXT(BG35,"0.00")&amp;" (= $"&amp;TEXT(BC35,"0.00")&amp;" × 2) stays within the $"&amp;TEXT(BB35,"0.00")&amp;" max ranking CPC"&amp;" (= $"&amp;TEXT(AY35,"0.00")&amp;" price × "&amp;TEXT(AZ35,"0.0%")&amp;" ranking ceiling × "&amp;TEXT(AD35,"0.0%")&amp;" CVR)"&amp;". Sleephoria CVR is proven on this term, so the full push is justified.",IF(AND(BD35="No",BE35&gt;=Assumptions!$B$13),"PARTIAL — +"&amp;TEXT(BE35,"0%")&amp;" Top of Search (limit for terms without proven CVR). Effective CPC $"&amp;TEXT(BG35,"0.00")&amp;" vs $"&amp;TEXT(BB35,"0.00")&amp;" max ranking CPC"&amp;" (= $"&amp;TEXT(AY35,"0.00")&amp;" price × "&amp;TEXT(AZ35,"0.0%")&amp;" ranking ceiling × "&amp;TEXT(AD35,"0.0%")&amp;" CVR)"&amp;". Raise to +100% only after CooLinens converts at ≥ "&amp;TEXT(AD35,"0.0%")&amp;" on 50+ clicks and $"&amp;TEXT(BC35*2,"0.00")&amp;" ≤ the max.",IF(BE35&gt;0,"PARTIAL — +"&amp;TEXT(BE35,"0%")&amp;" Top of Search. Effective CPC $"&amp;TEXT(BG35,"0.00")&amp;" stays within the $"&amp;TEXT(BB35,"0.00")&amp;" max ranking CPC"&amp;" (= $"&amp;TEXT(AY35,"0.00")&amp;" price × "&amp;TEXT(AZ35,"0.0%")&amp;" ranking ceiling × "&amp;TEXT(AD35,"0.0%")&amp;" CVR)"&amp;". +100% would cost $"&amp;TEXT(BC35*2,"0.00")&amp;" per click and push ACoS to "&amp;TEXT(BC35*2/(AY35*AD35),"0.0%")&amp;", above the "&amp;TEXT(AZ35,"0.0%")&amp;" ceiling.","NO — 0%. Base bid $"&amp;TEXT(BC35,"0.00")&amp;" already equals the $"&amp;TEXT(BB35,"0.00")&amp;" max ranking CPC"&amp;" (= $"&amp;TEXT(AY35,"0.00")&amp;" price × "&amp;TEXT(AZ35,"0.0%")&amp;" ranking ceiling × "&amp;TEXT(AD35,"0.0%")&amp;" CVR)"&amp;"; any modifier would push ACoS above the "&amp;TEXT(AZ35,"0.0%")&amp;" ceiling."))),IF(OR(AO35="Ranking — Head Term (Capped)",AO35="Ranking — Capped Entry",AO35="Ranking — Capped Long-Tail"),"NO — 0% (capped ranking entry). Bid $"&amp;TEXT(BC35,"0.00")&amp;" vs $"&amp;TEXT(BB35,"0.00")&amp;" max ranking CPC"&amp;" (= $"&amp;TEXT(AY35,"0.00")&amp;" price × "&amp;TEXT(AZ35,"0.0%")&amp;" ranking ceiling × "&amp;TEXT(AD35,"0.0%")&amp;" CVR)"&amp;". While spend is capped at "&amp;TEXT(AS35,"0.00")&amp;" clicks/day, a placement premium would only raise CPC without buying more rank; the modifier is set when this term moves to a full push.","NO — 0% (support / brand term). Bid $"&amp;TEXT(BC35,"0.00")&amp;" vs $"&amp;TEXT(BB35,"0.00")&amp;" max ranking CPC"&amp;" (= $"&amp;TEXT(AY35,"0.00")&amp;" price × "&amp;TEXT(AZ35,"0.0%")&amp;" ranking ceiling × "&amp;TEXT(AD35,"0.0%")&amp;" CVR)"&amp;"; expected ACoS "&amp;TEXT(BI35,"0.0%")&amp;" vs the "&amp;TEXT(AZ35,"0.0%")&amp;" ceiling."))</f>
        <v>NO — 0% (capped ranking entry). Bid $2.91 vs $4.29 max ranking CPC (= $84.99 price × 52.6% ranking ceiling × 9.6% CVR). While spend is capped at 1.00 clicks/day, a placement premium would only raise CPC without buying more rank; the modifier is set when this term moves to a full push.</v>
      </c>
      <c r="BG35" s="50" t="n">
        <f aca="false">BC35*(1+BE35)</f>
        <v>2.91</v>
      </c>
      <c r="BH35" s="45" t="n">
        <f aca="false">AS35*BG35</f>
        <v>2.91</v>
      </c>
      <c r="BI35" s="33" t="n">
        <f aca="false">IFERROR(BG35/(AY35*AD35),"")</f>
        <v>0.35665960701259</v>
      </c>
      <c r="BJ35" s="27" t="str">
        <f aca="false">IF(BI35="","",IF(BI35&lt;=BA35,"Profitable (≤ break-even)",IF(BI35&lt;=AZ35,"Ranking investment (≤ ceiling)","Above ceiling — reduce bid")))</f>
        <v>Ranking investment (≤ ceiling)</v>
      </c>
      <c r="BK35" s="49" t="str">
        <f aca="false">"Base $"&amp;TEXT(BC35,"0.00")&amp;" × (1 + "&amp;TEXT(BE35,"0%")&amp;" TOS) = $"&amp;TEXT(BG35,"0.00")&amp;" effective CPC [max $"&amp;TEXT(BB35,"0.00")&amp;"]. "&amp;TEXT(AG35,"0.0")&amp;" market clicks/day × "&amp;TEXT(AH35,"0.00%")&amp;" click share × "&amp;TEXT(AI35,"0%")&amp;" paid = "&amp;TEXT(AJ35,"0.00")&amp;" clicks/day needed; "&amp;"planned "&amp;TEXT(AS35,"0.00")&amp;" clicks/day × "&amp;TEXT(AD35,"0.0%")&amp;" CVR = "&amp;TEXT(AU35,"0.00")&amp;" orders/day. "&amp;"Spend $"&amp;TEXT(BH35,"0.00")&amp;"/day, ACoS "&amp;TEXT(BI35,"0.0%")&amp;" (ceiling "&amp;TEXT(AZ35,"0.0%")&amp;", break-even "&amp;TEXT(BA35,"0.0%")&amp;"). "&amp;"Target organic rank #"&amp;S35&amp;" by week 8 ("&amp;T35&amp;")."</f>
        <v>Base $2.91 × (1 + 0% TOS) = $2.91 effective CPC [max $4.29]. 13.4 market clicks/day × 2.80% click share × 66% paid = 0.25 clicks/day needed; planned 1.00 clicks/day × 9.6% CVR = 0.10 orders/day. Spend $2.91/day, ACoS 35.7% (ceiling 52.6%, break-even 35.1%). Target organic rank #10 by week 8 (#40 → #20 → #10 (full push after size assignment)).</v>
      </c>
      <c r="BL35" s="27" t="s">
        <v>662</v>
      </c>
      <c r="BM35" s="27" t="s">
        <v>203</v>
      </c>
      <c r="BN35" s="27" t="s">
        <v>675</v>
      </c>
      <c r="BO35" s="27" t="s">
        <v>670</v>
      </c>
      <c r="BP35" s="27" t="s">
        <v>569</v>
      </c>
      <c r="BQ35" s="26" t="s">
        <v>570</v>
      </c>
      <c r="BR35" s="40" t="n">
        <f aca="false">IFERROR(INDEX(Campaigns!$L:$L,MATCH(BN35,Campaigns!$A:$A,0)),"")</f>
        <v>10</v>
      </c>
      <c r="BS35" s="51" t="str">
        <f aca="false">IFERROR(INDEX(Inventory!$O:$O,MATCH(BP35,Inventory!$A:$A,0)),"")</f>
        <v>OK</v>
      </c>
      <c r="BT35" s="52" t="n">
        <f aca="false">IFERROR(INDEX(Inventory!$N:$N,MATCH(BP35,Inventory!$A:$A,0)),"")</f>
        <v>63.0533861060951</v>
      </c>
      <c r="BU35" s="27" t="s">
        <v>676</v>
      </c>
      <c r="BV35" s="27" t="s">
        <v>263</v>
      </c>
      <c r="BW35" s="27" t="s">
        <v>677</v>
      </c>
      <c r="BX35" s="27" t="s">
        <v>678</v>
      </c>
      <c r="BY35" s="27" t="s">
        <v>679</v>
      </c>
      <c r="BZ35" s="27" t="s">
        <v>593</v>
      </c>
      <c r="CA35" s="27" t="s">
        <v>577</v>
      </c>
      <c r="CB35" s="27" t="s">
        <v>680</v>
      </c>
      <c r="CC35" s="27" t="s">
        <v>681</v>
      </c>
    </row>
    <row r="36" customFormat="false" ht="120" hidden="false" customHeight="true" outlineLevel="0" collapsed="false">
      <c r="A36" s="24" t="s">
        <v>682</v>
      </c>
      <c r="B36" s="25" t="n">
        <v>1</v>
      </c>
      <c r="C36" s="26" t="s">
        <v>184</v>
      </c>
      <c r="D36" s="26" t="s">
        <v>560</v>
      </c>
      <c r="E36" s="27" t="s">
        <v>371</v>
      </c>
      <c r="F36" s="28" t="n">
        <v>1</v>
      </c>
      <c r="G36" s="27" t="s">
        <v>187</v>
      </c>
      <c r="H36" s="26" t="s">
        <v>342</v>
      </c>
      <c r="I36" s="29" t="n">
        <v>6</v>
      </c>
      <c r="J36" s="27" t="s">
        <v>683</v>
      </c>
      <c r="K36" s="30" t="n">
        <v>1023</v>
      </c>
      <c r="L36" s="31" t="n">
        <v>826</v>
      </c>
      <c r="M36" s="32" t="n">
        <f aca="false">L36/30</f>
        <v>27.5333333333333</v>
      </c>
      <c r="N36" s="33" t="n">
        <v>0.0351109638953295</v>
      </c>
      <c r="O36" s="27" t="s">
        <v>684</v>
      </c>
      <c r="P36" s="27" t="s">
        <v>685</v>
      </c>
      <c r="Q36" s="27" t="s">
        <v>273</v>
      </c>
      <c r="R36" s="34" t="n">
        <v>4</v>
      </c>
      <c r="S36" s="35" t="n">
        <v>20</v>
      </c>
      <c r="T36" s="36" t="s">
        <v>467</v>
      </c>
      <c r="U36" s="27" t="s">
        <v>686</v>
      </c>
      <c r="V36" s="37" t="n">
        <f aca="false">IFERROR(INDEX(Sleephoria_History!$F$454:$F$2115,MATCH($A36,Sleephoria_History!$A$454:$A$2115,0)),"")</f>
        <v>18</v>
      </c>
      <c r="W36" s="38" t="n">
        <f aca="false">IFERROR(INDEX(Sleephoria_History!$J$454:$J$2115,MATCH($A36,Sleephoria_History!$A$454:$A$2115,0)),"")</f>
        <v>0.0556</v>
      </c>
      <c r="X36" s="39" t="n">
        <f aca="false">IFERROR(INDEX(Sleephoria_History!$H$454:$H$2115,MATCH($A36,Sleephoria_History!$A$454:$A$2115,0)),"")</f>
        <v>3.23</v>
      </c>
      <c r="Y36" s="38" t="n">
        <f aca="false">IFERROR(INDEX(Sleephoria_History!$M$454:$M$2115,MATCH($A36,Sleephoria_History!$A$454:$A$2115,0)),"")</f>
        <v>0.684</v>
      </c>
      <c r="Z36" s="40" t="n">
        <f aca="false">IFERROR(INDEX(Sleephoria_History!$L$454:$L$2115,MATCH($A36,Sleephoria_History!$A$454:$A$2115,0)),"")</f>
        <v>84.99</v>
      </c>
      <c r="AA36" s="37" t="str">
        <f aca="false">IFERROR(INDEX(Decolure_History!$F$397:$F$709,MATCH($A36,Decolure_History!$A$397:$A$709,0)),"")</f>
        <v/>
      </c>
      <c r="AB36" s="38" t="str">
        <f aca="false">IFERROR(INDEX(Decolure_History!$J$397:$J$709,MATCH($A36,Decolure_History!$A$397:$A$709,0)),"")</f>
        <v/>
      </c>
      <c r="AC36" s="38" t="str">
        <f aca="false">IFERROR(INDEX(Decolure_History!$M$397:$M$709,MATCH($A36,Decolure_History!$A$397:$A$709,0)),"")</f>
        <v/>
      </c>
      <c r="AD36" s="41" t="n">
        <v>0.064</v>
      </c>
      <c r="AE36" s="27" t="s">
        <v>275</v>
      </c>
      <c r="AF36" s="42" t="n">
        <v>0.478</v>
      </c>
      <c r="AG36" s="32" t="n">
        <f aca="false">M36*AF36</f>
        <v>13.1609333333333</v>
      </c>
      <c r="AH36" s="43" t="n">
        <f aca="false">IF(AO36="Brand Defense",0,IFERROR(VLOOKUP(S36,Assumptions!$A$24:$B$28,2,FALSE()),0))</f>
        <v>0.0124</v>
      </c>
      <c r="AI36" s="28" t="n">
        <f aca="false">Assumptions!$B$6</f>
        <v>0.66</v>
      </c>
      <c r="AJ36" s="44" t="n">
        <f aca="false">AG36*AH36*AI36</f>
        <v>0.1077090784</v>
      </c>
      <c r="AK36" s="44" t="n">
        <f aca="false">AJ36*AD36</f>
        <v>0.0068933810176</v>
      </c>
      <c r="AL36" s="30" t="n">
        <f aca="false">AJ36*56</f>
        <v>6.0317083904</v>
      </c>
      <c r="AM36" s="32" t="n">
        <f aca="false">AK36*56</f>
        <v>0.3860293369856</v>
      </c>
      <c r="AN36" s="44" t="n">
        <f aca="false">M36*Assumptions!$B$8</f>
        <v>2.75333333333333</v>
      </c>
      <c r="AO36" s="27" t="s">
        <v>430</v>
      </c>
      <c r="AP36" s="27" t="s">
        <v>565</v>
      </c>
      <c r="AQ36" s="26" t="s">
        <v>198</v>
      </c>
      <c r="AR36" s="27" t="s">
        <v>199</v>
      </c>
      <c r="AS36" s="44" t="n">
        <f aca="false">IF(AO36="Ranking — Full Push",MIN(MAX(AJ36,Assumptions!$B$9),AN36),IF(AO36="Brand Defense",MIN(Assumptions!$B$7,AN36),IF(OR(AO36="Ranking — Head Term (Capped)",AO36="Ranking — Capped Entry"),MIN(MAX(AJ36,Assumptions!$B$9),Assumptions!$B$7,AN36),IF(AO36="Ranking — Capped Long-Tail",MIN(AJ36,Assumptions!$B$10,AN36),MIN(AJ36,AN36)))))</f>
        <v>1</v>
      </c>
      <c r="AT36" s="27" t="str">
        <f aca="false">IF(AJ36&lt;=0,"",IF(AS36&gt;=AJ36,IF(AS36&gt;AJ36*1.05,"Floor of "&amp;TEXT(AS36,"0.0")&amp;" click/day to read CVR (rank needs "&amp;TEXT(AJ36,"0.00")&amp;")","Fully funded (100%)"),"Capped at "&amp;TEXT(AS36/AJ36,"0%")&amp;" of required"))</f>
        <v>Floor of 1.0 click/day to read CVR (rank needs 0.11)</v>
      </c>
      <c r="AU36" s="44" t="n">
        <f aca="false">AS36*AD36</f>
        <v>0.064</v>
      </c>
      <c r="AV36" s="45" t="n">
        <f aca="false">AU36*AY36</f>
        <v>5.43936</v>
      </c>
      <c r="AW36" s="46" t="n">
        <v>3.68</v>
      </c>
      <c r="AX36" s="27" t="s">
        <v>687</v>
      </c>
      <c r="AY36" s="47" t="n">
        <f aca="false">INDEX(Assumptions!$B$33:$B$37,MATCH(IF($D36="","Queen",$D36),Assumptions!$A$33:$A$37,0))</f>
        <v>84.99</v>
      </c>
      <c r="AZ36" s="33" t="n">
        <f aca="false">INDEX(Assumptions!$K$33:$K$37,MATCH(IF($D36="","Queen",$D36),Assumptions!$A$33:$A$37,0))</f>
        <v>0.525970702435581</v>
      </c>
      <c r="BA36" s="33" t="n">
        <f aca="false">INDEX(Assumptions!$H$33:$H$37,MATCH(IF($D36="","Queen",$D36),Assumptions!$A$33:$A$37,0))</f>
        <v>0.350647134957054</v>
      </c>
      <c r="BB36" s="47" t="n">
        <f aca="false">AY36*AZ36*AD36</f>
        <v>2.860944</v>
      </c>
      <c r="BC36" s="47" t="n">
        <f aca="false">ROUND(MIN(AW36*Assumptions!$B$11,BB36),2)</f>
        <v>2.86</v>
      </c>
      <c r="BD36" s="26" t="s">
        <v>278</v>
      </c>
      <c r="BE36" s="48" t="n">
        <f aca="false">IF(AO36="Ranking — Full Push",MAX(0,MIN(IF(BD36="Yes",Assumptions!$B$12,Assumptions!$B$13),FLOOR(MAX(0,BB36/BC36-1),Assumptions!$B$14))),0)</f>
        <v>0</v>
      </c>
      <c r="BF36" s="49" t="str">
        <f aca="false">IF(AO36="Ranking — Full Push",IF(BE36&gt;=1,"YES — +100% Top of Search. Effective CPC $"&amp;TEXT(BG36,"0.00")&amp;" (= $"&amp;TEXT(BC36,"0.00")&amp;" × 2) stays within the $"&amp;TEXT(BB36,"0.00")&amp;" max ranking CPC"&amp;" (= $"&amp;TEXT(AY36,"0.00")&amp;" price × "&amp;TEXT(AZ36,"0.0%")&amp;" ranking ceiling × "&amp;TEXT(AD36,"0.0%")&amp;" CVR)"&amp;". Sleephoria CVR is proven on this term, so the full push is justified.",IF(AND(BD36="No",BE36&gt;=Assumptions!$B$13),"PARTIAL — +"&amp;TEXT(BE36,"0%")&amp;" Top of Search (limit for terms without proven CVR). Effective CPC $"&amp;TEXT(BG36,"0.00")&amp;" vs $"&amp;TEXT(BB36,"0.00")&amp;" max ranking CPC"&amp;" (= $"&amp;TEXT(AY36,"0.00")&amp;" price × "&amp;TEXT(AZ36,"0.0%")&amp;" ranking ceiling × "&amp;TEXT(AD36,"0.0%")&amp;" CVR)"&amp;". Raise to +100% only after CooLinens converts at ≥ "&amp;TEXT(AD36,"0.0%")&amp;" on 50+ clicks and $"&amp;TEXT(BC36*2,"0.00")&amp;" ≤ the max.",IF(BE36&gt;0,"PARTIAL — +"&amp;TEXT(BE36,"0%")&amp;" Top of Search. Effective CPC $"&amp;TEXT(BG36,"0.00")&amp;" stays within the $"&amp;TEXT(BB36,"0.00")&amp;" max ranking CPC"&amp;" (= $"&amp;TEXT(AY36,"0.00")&amp;" price × "&amp;TEXT(AZ36,"0.0%")&amp;" ranking ceiling × "&amp;TEXT(AD36,"0.0%")&amp;" CVR)"&amp;". +100% would cost $"&amp;TEXT(BC36*2,"0.00")&amp;" per click and push ACoS to "&amp;TEXT(BC36*2/(AY36*AD36),"0.0%")&amp;", above the "&amp;TEXT(AZ36,"0.0%")&amp;" ceiling.","NO — 0%. Base bid $"&amp;TEXT(BC36,"0.00")&amp;" already equals the $"&amp;TEXT(BB36,"0.00")&amp;" max ranking CPC"&amp;" (= $"&amp;TEXT(AY36,"0.00")&amp;" price × "&amp;TEXT(AZ36,"0.0%")&amp;" ranking ceiling × "&amp;TEXT(AD36,"0.0%")&amp;" CVR)"&amp;"; any modifier would push ACoS above the "&amp;TEXT(AZ36,"0.0%")&amp;" ceiling."))),IF(OR(AO36="Ranking — Head Term (Capped)",AO36="Ranking — Capped Entry",AO36="Ranking — Capped Long-Tail"),"NO — 0% (capped ranking entry). Bid $"&amp;TEXT(BC36,"0.00")&amp;" vs $"&amp;TEXT(BB36,"0.00")&amp;" max ranking CPC"&amp;" (= $"&amp;TEXT(AY36,"0.00")&amp;" price × "&amp;TEXT(AZ36,"0.0%")&amp;" ranking ceiling × "&amp;TEXT(AD36,"0.0%")&amp;" CVR)"&amp;". While spend is capped at "&amp;TEXT(AS36,"0.00")&amp;" clicks/day, a placement premium would only raise CPC without buying more rank; the modifier is set when this term moves to a full push.","NO — 0% (support / brand term). Bid $"&amp;TEXT(BC36,"0.00")&amp;" vs $"&amp;TEXT(BB36,"0.00")&amp;" max ranking CPC"&amp;" (= $"&amp;TEXT(AY36,"0.00")&amp;" price × "&amp;TEXT(AZ36,"0.0%")&amp;" ranking ceiling × "&amp;TEXT(AD36,"0.0%")&amp;" CVR)"&amp;"; expected ACoS "&amp;TEXT(BI36,"0.0%")&amp;" vs the "&amp;TEXT(AZ36,"0.0%")&amp;"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36" s="50" t="n">
        <f aca="false">BC36*(1+BE36)</f>
        <v>2.86</v>
      </c>
      <c r="BH36" s="45" t="n">
        <f aca="false">AS36*BG36</f>
        <v>2.86</v>
      </c>
      <c r="BI36" s="33" t="n">
        <f aca="false">IFERROR(BG36/(AY36*AD36),"")</f>
        <v>0.525797152606189</v>
      </c>
      <c r="BJ36" s="27" t="str">
        <f aca="false">IF(BI36="","",IF(BI36&lt;=BA36,"Profitable (≤ break-even)",IF(BI36&lt;=AZ36,"Ranking investment (≤ ceiling)","Above ceiling — reduce bid")))</f>
        <v>Ranking investment (≤ ceiling)</v>
      </c>
      <c r="BK36" s="49" t="str">
        <f aca="false">"Base $"&amp;TEXT(BC36,"0.00")&amp;" × (1 + "&amp;TEXT(BE36,"0%")&amp;" TOS) = $"&amp;TEXT(BG36,"0.00")&amp;" effective CPC [max $"&amp;TEXT(BB36,"0.00")&amp;"]. "&amp;TEXT(AG36,"0.0")&amp;" market clicks/day × "&amp;TEXT(AH36,"0.00%")&amp;" click share × "&amp;TEXT(AI36,"0%")&amp;" paid = "&amp;TEXT(AJ36,"0.00")&amp;" clicks/day needed; "&amp;"planned "&amp;TEXT(AS36,"0.00")&amp;" clicks/day × "&amp;TEXT(AD36,"0.0%")&amp;" CVR = "&amp;TEXT(AU36,"0.00")&amp;" orders/day. "&amp;"Spend $"&amp;TEXT(BH36,"0.00")&amp;"/day, ACoS "&amp;TEXT(BI36,"0.0%")&amp;" (ceiling "&amp;TEXT(AZ36,"0.0%")&amp;", break-even "&amp;TEXT(BA36,"0.0%")&amp;"). "&amp;"Target organic rank #"&amp;S36&amp;" by week 8 ("&amp;T36&amp;")."</f>
        <v>Base $2.86 × (1 + 0% TOS) = $2.86 effective CPC [max $2.86]. 13.2 market clicks/day × 1.24% click share × 66% paid = 0.11 clicks/day needed; planned 1.00 clicks/day × 6.4% CVR = 0.06 orders/day. Spend $2.86/day, ACoS 52.6% (ceiling 52.6%, break-even 35.1%). Target organic rank #20 by week 8 (#60 → #35 → #20 (full push after size assignment)).</v>
      </c>
      <c r="BL36" s="27" t="s">
        <v>567</v>
      </c>
      <c r="BM36" s="27" t="s">
        <v>203</v>
      </c>
      <c r="BN36" s="27" t="s">
        <v>688</v>
      </c>
      <c r="BO36" s="27" t="s">
        <v>682</v>
      </c>
      <c r="BP36" s="27" t="s">
        <v>569</v>
      </c>
      <c r="BQ36" s="26" t="s">
        <v>570</v>
      </c>
      <c r="BR36" s="40" t="n">
        <f aca="false">IFERROR(INDEX(Campaigns!$L:$L,MATCH(BN36,Campaigns!$A:$A,0)),"")</f>
        <v>10</v>
      </c>
      <c r="BS36" s="51" t="str">
        <f aca="false">IFERROR(INDEX(Inventory!$O:$O,MATCH(BP36,Inventory!$A:$A,0)),"")</f>
        <v>OK</v>
      </c>
      <c r="BT36" s="52" t="n">
        <f aca="false">IFERROR(INDEX(Inventory!$N:$N,MATCH(BP36,Inventory!$A:$A,0)),"")</f>
        <v>63.0533861060951</v>
      </c>
      <c r="BU36" s="27" t="s">
        <v>689</v>
      </c>
      <c r="BV36" s="27" t="s">
        <v>263</v>
      </c>
      <c r="BW36" s="27" t="s">
        <v>690</v>
      </c>
      <c r="BX36" s="27" t="s">
        <v>691</v>
      </c>
      <c r="BY36" s="27" t="s">
        <v>692</v>
      </c>
      <c r="BZ36" s="27" t="s">
        <v>693</v>
      </c>
      <c r="CA36" s="27" t="s">
        <v>577</v>
      </c>
      <c r="CB36" s="27" t="s">
        <v>694</v>
      </c>
      <c r="CC36" s="27" t="s">
        <v>477</v>
      </c>
    </row>
    <row r="37" customFormat="false" ht="120" hidden="false" customHeight="true" outlineLevel="0" collapsed="false">
      <c r="A37" s="24" t="s">
        <v>695</v>
      </c>
      <c r="B37" s="25" t="n">
        <v>1</v>
      </c>
      <c r="C37" s="26" t="s">
        <v>184</v>
      </c>
      <c r="D37" s="26" t="s">
        <v>696</v>
      </c>
      <c r="E37" s="27" t="s">
        <v>371</v>
      </c>
      <c r="F37" s="28" t="n">
        <v>1</v>
      </c>
      <c r="G37" s="27" t="s">
        <v>187</v>
      </c>
      <c r="H37" s="26" t="s">
        <v>188</v>
      </c>
      <c r="I37" s="29" t="n">
        <v>9.5</v>
      </c>
      <c r="J37" s="27" t="s">
        <v>697</v>
      </c>
      <c r="K37" s="30" t="n">
        <v>2976</v>
      </c>
      <c r="L37" s="31" t="n">
        <v>2776</v>
      </c>
      <c r="M37" s="32" t="n">
        <f aca="false">L37/30</f>
        <v>92.5333333333333</v>
      </c>
      <c r="N37" s="33" t="n">
        <v>0.0378665154705977</v>
      </c>
      <c r="O37" s="27" t="s">
        <v>698</v>
      </c>
      <c r="P37" s="27" t="s">
        <v>699</v>
      </c>
      <c r="Q37" s="27" t="s">
        <v>700</v>
      </c>
      <c r="R37" s="34" t="n">
        <v>1</v>
      </c>
      <c r="S37" s="35" t="n">
        <v>10</v>
      </c>
      <c r="T37" s="36" t="s">
        <v>427</v>
      </c>
      <c r="U37" s="27" t="s">
        <v>701</v>
      </c>
      <c r="V37" s="37" t="n">
        <f aca="false">IFERROR(INDEX(Sleephoria_History!$F$454:$F$2115,MATCH($A37,Sleephoria_History!$A$454:$A$2115,0)),"")</f>
        <v>172</v>
      </c>
      <c r="W37" s="38" t="n">
        <f aca="false">IFERROR(INDEX(Sleephoria_History!$J$454:$J$2115,MATCH($A37,Sleephoria_History!$A$454:$A$2115,0)),"")</f>
        <v>0.1337</v>
      </c>
      <c r="X37" s="39" t="n">
        <f aca="false">IFERROR(INDEX(Sleephoria_History!$H$454:$H$2115,MATCH($A37,Sleephoria_History!$A$454:$A$2115,0)),"")</f>
        <v>1.71</v>
      </c>
      <c r="Y37" s="38" t="n">
        <f aca="false">IFERROR(INDEX(Sleephoria_History!$M$454:$M$2115,MATCH($A37,Sleephoria_History!$A$454:$A$2115,0)),"")</f>
        <v>0.211</v>
      </c>
      <c r="Z37" s="40" t="n">
        <f aca="false">IFERROR(INDEX(Sleephoria_History!$L$454:$L$2115,MATCH($A37,Sleephoria_History!$A$454:$A$2115,0)),"")</f>
        <v>1392.64</v>
      </c>
      <c r="AA37" s="37" t="n">
        <f aca="false">IFERROR(INDEX(Decolure_History!$F$397:$F$709,MATCH($A37,Decolure_History!$A$397:$A$709,0)),"")</f>
        <v>296</v>
      </c>
      <c r="AB37" s="38" t="n">
        <f aca="false">IFERROR(INDEX(Decolure_History!$J$397:$J$709,MATCH($A37,Decolure_History!$A$397:$A$709,0)),"")</f>
        <v>0.0642</v>
      </c>
      <c r="AC37" s="38" t="n">
        <f aca="false">IFERROR(INDEX(Decolure_History!$M$397:$M$709,MATCH($A37,Decolure_History!$A$397:$A$709,0)),"")</f>
        <v>0.378</v>
      </c>
      <c r="AD37" s="41" t="n">
        <v>0.107</v>
      </c>
      <c r="AE37" s="27" t="s">
        <v>702</v>
      </c>
      <c r="AF37" s="42" t="n">
        <v>0.486</v>
      </c>
      <c r="AG37" s="32" t="n">
        <f aca="false">M37*AF37</f>
        <v>44.9712</v>
      </c>
      <c r="AH37" s="43" t="n">
        <f aca="false">IF(AO37="Brand Defense",0,IFERROR(VLOOKUP(S37,Assumptions!$A$24:$B$28,2,FALSE()),0))</f>
        <v>0.028</v>
      </c>
      <c r="AI37" s="28" t="n">
        <f aca="false">Assumptions!$B$6</f>
        <v>0.66</v>
      </c>
      <c r="AJ37" s="44" t="n">
        <f aca="false">AG37*AH37*AI37</f>
        <v>0.831067776</v>
      </c>
      <c r="AK37" s="44" t="n">
        <f aca="false">AJ37*AD37</f>
        <v>0.088924252032</v>
      </c>
      <c r="AL37" s="30" t="n">
        <f aca="false">AJ37*56</f>
        <v>46.539795456</v>
      </c>
      <c r="AM37" s="32" t="n">
        <f aca="false">AK37*56</f>
        <v>4.979758113792</v>
      </c>
      <c r="AN37" s="44" t="n">
        <f aca="false">M37*Assumptions!$B$8</f>
        <v>9.25333333333333</v>
      </c>
      <c r="AO37" s="27" t="s">
        <v>430</v>
      </c>
      <c r="AP37" s="27" t="s">
        <v>703</v>
      </c>
      <c r="AQ37" s="26" t="s">
        <v>198</v>
      </c>
      <c r="AR37" s="27" t="s">
        <v>199</v>
      </c>
      <c r="AS37" s="44" t="n">
        <f aca="false">IF(AO37="Ranking — Full Push",MIN(MAX(AJ37,Assumptions!$B$9),AN37),IF(AO37="Brand Defense",MIN(Assumptions!$B$7,AN37),IF(OR(AO37="Ranking — Head Term (Capped)",AO37="Ranking — Capped Entry"),MIN(MAX(AJ37,Assumptions!$B$9),Assumptions!$B$7,AN37),IF(AO37="Ranking — Capped Long-Tail",MIN(AJ37,Assumptions!$B$10,AN37),MIN(AJ37,AN37)))))</f>
        <v>1</v>
      </c>
      <c r="AT37" s="27" t="str">
        <f aca="false">IF(AJ37&lt;=0,"",IF(AS37&gt;=AJ37,IF(AS37&gt;AJ37*1.05,"Floor of "&amp;TEXT(AS37,"0.0")&amp;" click/day to read CVR (rank needs "&amp;TEXT(AJ37,"0.00")&amp;")","Fully funded (100%)"),"Capped at "&amp;TEXT(AS37/AJ37,"0%")&amp;" of required"))</f>
        <v>Floor of 1.0 click/day to read CVR (rank needs 0.83)</v>
      </c>
      <c r="AU37" s="44" t="n">
        <f aca="false">AS37*AD37</f>
        <v>0.107</v>
      </c>
      <c r="AV37" s="45" t="n">
        <f aca="false">AU37*AY37</f>
        <v>6.73993</v>
      </c>
      <c r="AW37" s="46" t="n">
        <v>1.71</v>
      </c>
      <c r="AX37" s="27" t="s">
        <v>704</v>
      </c>
      <c r="AY37" s="47" t="n">
        <f aca="false">INDEX(Assumptions!$B$33:$B$37,MATCH(IF($D37="","Queen",$D37),Assumptions!$A$33:$A$37,0))</f>
        <v>62.99</v>
      </c>
      <c r="AZ37" s="33" t="n">
        <f aca="false">INDEX(Assumptions!$K$33:$K$37,MATCH(IF($D37="","Queen",$D37),Assumptions!$A$33:$A$37,0))</f>
        <v>0.508449753929195</v>
      </c>
      <c r="BA37" s="33" t="n">
        <f aca="false">INDEX(Assumptions!$H$33:$H$37,MATCH(IF($D37="","Queen",$D37),Assumptions!$A$33:$A$37,0))</f>
        <v>0.338966502619464</v>
      </c>
      <c r="BB37" s="47" t="n">
        <f aca="false">AY37*AZ37*AD37</f>
        <v>3.42691575</v>
      </c>
      <c r="BC37" s="47" t="n">
        <f aca="false">ROUND(MIN(AW37*Assumptions!$B$11,BB37),2)</f>
        <v>1.71</v>
      </c>
      <c r="BD37" s="26" t="s">
        <v>201</v>
      </c>
      <c r="BE37" s="48" t="n">
        <f aca="false">IF(AO37="Ranking — Full Push",MAX(0,MIN(IF(BD37="Yes",Assumptions!$B$12,Assumptions!$B$13),FLOOR(MAX(0,BB37/BC37-1),Assumptions!$B$14))),0)</f>
        <v>0</v>
      </c>
      <c r="BF37" s="49" t="str">
        <f aca="false">IF(AO37="Ranking — Full Push",IF(BE37&gt;=1,"YES — +100% Top of Search. Effective CPC $"&amp;TEXT(BG37,"0.00")&amp;" (= $"&amp;TEXT(BC37,"0.00")&amp;" × 2) stays within the $"&amp;TEXT(BB37,"0.00")&amp;" max ranking CPC"&amp;" (= $"&amp;TEXT(AY37,"0.00")&amp;" price × "&amp;TEXT(AZ37,"0.0%")&amp;" ranking ceiling × "&amp;TEXT(AD37,"0.0%")&amp;" CVR)"&amp;". Sleephoria CVR is proven on this term, so the full push is justified.",IF(AND(BD37="No",BE37&gt;=Assumptions!$B$13),"PARTIAL — +"&amp;TEXT(BE37,"0%")&amp;" Top of Search (limit for terms without proven CVR). Effective CPC $"&amp;TEXT(BG37,"0.00")&amp;" vs $"&amp;TEXT(BB37,"0.00")&amp;" max ranking CPC"&amp;" (= $"&amp;TEXT(AY37,"0.00")&amp;" price × "&amp;TEXT(AZ37,"0.0%")&amp;" ranking ceiling × "&amp;TEXT(AD37,"0.0%")&amp;" CVR)"&amp;". Raise to +100% only after CooLinens converts at ≥ "&amp;TEXT(AD37,"0.0%")&amp;" on 50+ clicks and $"&amp;TEXT(BC37*2,"0.00")&amp;" ≤ the max.",IF(BE37&gt;0,"PARTIAL — +"&amp;TEXT(BE37,"0%")&amp;" Top of Search. Effective CPC $"&amp;TEXT(BG37,"0.00")&amp;" stays within the $"&amp;TEXT(BB37,"0.00")&amp;" max ranking CPC"&amp;" (= $"&amp;TEXT(AY37,"0.00")&amp;" price × "&amp;TEXT(AZ37,"0.0%")&amp;" ranking ceiling × "&amp;TEXT(AD37,"0.0%")&amp;" CVR)"&amp;". +100% would cost $"&amp;TEXT(BC37*2,"0.00")&amp;" per click and push ACoS to "&amp;TEXT(BC37*2/(AY37*AD37),"0.0%")&amp;", above the "&amp;TEXT(AZ37,"0.0%")&amp;" ceiling.","NO — 0%. Base bid $"&amp;TEXT(BC37,"0.00")&amp;" already equals the $"&amp;TEXT(BB37,"0.00")&amp;" max ranking CPC"&amp;" (= $"&amp;TEXT(AY37,"0.00")&amp;" price × "&amp;TEXT(AZ37,"0.0%")&amp;" ranking ceiling × "&amp;TEXT(AD37,"0.0%")&amp;" CVR)"&amp;"; any modifier would push ACoS above the "&amp;TEXT(AZ37,"0.0%")&amp;" ceiling."))),IF(OR(AO37="Ranking — Head Term (Capped)",AO37="Ranking — Capped Entry",AO37="Ranking — Capped Long-Tail"),"NO — 0% (capped ranking entry). Bid $"&amp;TEXT(BC37,"0.00")&amp;" vs $"&amp;TEXT(BB37,"0.00")&amp;" max ranking CPC"&amp;" (= $"&amp;TEXT(AY37,"0.00")&amp;" price × "&amp;TEXT(AZ37,"0.0%")&amp;" ranking ceiling × "&amp;TEXT(AD37,"0.0%")&amp;" CVR)"&amp;". While spend is capped at "&amp;TEXT(AS37,"0.00")&amp;" clicks/day, a placement premium would only raise CPC without buying more rank; the modifier is set when this term moves to a full push.","NO — 0% (support / brand term). Bid $"&amp;TEXT(BC37,"0.00")&amp;" vs $"&amp;TEXT(BB37,"0.00")&amp;" max ranking CPC"&amp;" (= $"&amp;TEXT(AY37,"0.00")&amp;" price × "&amp;TEXT(AZ37,"0.0%")&amp;" ranking ceiling × "&amp;TEXT(AD37,"0.0%")&amp;" CVR)"&amp;"; expected ACoS "&amp;TEXT(BI37,"0.0%")&amp;" vs the "&amp;TEXT(AZ37,"0.0%")&amp;" ceiling."))</f>
        <v>NO — 0% (capped ranking entry). Bid $1.71 vs $3.43 max ranking CPC (= $62.99 price × 50.8% ranking ceiling × 10.7% CVR). While spend is capped at 1.00 clicks/day, a placement premium would only raise CPC without buying more rank; the modifier is set when this term moves to a full push.</v>
      </c>
      <c r="BG37" s="50" t="n">
        <f aca="false">BC37*(1+BE37)</f>
        <v>1.71</v>
      </c>
      <c r="BH37" s="45" t="n">
        <f aca="false">AS37*BG37</f>
        <v>1.71</v>
      </c>
      <c r="BI37" s="33" t="n">
        <f aca="false">IFERROR(BG37/(AY37*AD37),"")</f>
        <v>0.253711833802428</v>
      </c>
      <c r="BJ37" s="27" t="str">
        <f aca="false">IF(BI37="","",IF(BI37&lt;=BA37,"Profitable (≤ break-even)",IF(BI37&lt;=AZ37,"Ranking investment (≤ ceiling)","Above ceiling — reduce bid")))</f>
        <v>Profitable (≤ break-even)</v>
      </c>
      <c r="BK37" s="49" t="str">
        <f aca="false">"Base $"&amp;TEXT(BC37,"0.00")&amp;" × (1 + "&amp;TEXT(BE37,"0%")&amp;" TOS) = $"&amp;TEXT(BG37,"0.00")&amp;" effective CPC [max $"&amp;TEXT(BB37,"0.00")&amp;"]. "&amp;TEXT(AG37,"0.0")&amp;" market clicks/day × "&amp;TEXT(AH37,"0.00%")&amp;" click share × "&amp;TEXT(AI37,"0%")&amp;" paid = "&amp;TEXT(AJ37,"0.00")&amp;" clicks/day needed; "&amp;"planned "&amp;TEXT(AS37,"0.00")&amp;" clicks/day × "&amp;TEXT(AD37,"0.0%")&amp;" CVR = "&amp;TEXT(AU37,"0.00")&amp;" orders/day. "&amp;"Spend $"&amp;TEXT(BH37,"0.00")&amp;"/day, ACoS "&amp;TEXT(BI37,"0.0%")&amp;" (ceiling "&amp;TEXT(AZ37,"0.0%")&amp;", break-even "&amp;TEXT(BA37,"0.0%")&amp;"). "&amp;"Target organic rank #"&amp;S37&amp;" by week 8 ("&amp;T37&amp;")."</f>
        <v>Base $1.71 × (1 + 0% TOS) = $1.71 effective CPC [max $3.43]. 45.0 market clicks/day × 2.80% click share × 66% paid = 0.83 clicks/day needed; planned 1.00 clicks/day × 10.7% CVR = 0.11 orders/day. Spend $1.71/day, ACoS 25.4% (ceiling 50.8%, break-even 33.9%). Target organic rank #10 by week 8 (#40 → #20 → #10 (full push after size assignment)).</v>
      </c>
      <c r="BL37" s="27" t="s">
        <v>705</v>
      </c>
      <c r="BM37" s="27" t="s">
        <v>203</v>
      </c>
      <c r="BN37" s="27" t="s">
        <v>706</v>
      </c>
      <c r="BO37" s="27" t="s">
        <v>695</v>
      </c>
      <c r="BP37" s="27" t="s">
        <v>707</v>
      </c>
      <c r="BQ37" s="26" t="s">
        <v>708</v>
      </c>
      <c r="BR37" s="40" t="n">
        <f aca="false">IFERROR(INDEX(Campaigns!$L:$L,MATCH(BN37,Campaigns!$A:$A,0)),"")</f>
        <v>10</v>
      </c>
      <c r="BS37" s="51" t="str">
        <f aca="false">IFERROR(INDEX(Inventory!$O:$O,MATCH(BP37,Inventory!$A:$A,0)),"")</f>
        <v>OK</v>
      </c>
      <c r="BT37" s="52" t="n">
        <f aca="false">IFERROR(INDEX(Inventory!$N:$N,MATCH(BP37,Inventory!$A:$A,0)),"")</f>
        <v>71.9637202532498</v>
      </c>
      <c r="BU37" s="27" t="s">
        <v>709</v>
      </c>
      <c r="BV37" s="27" t="s">
        <v>710</v>
      </c>
      <c r="BW37" s="27" t="s">
        <v>711</v>
      </c>
      <c r="BX37" s="27" t="s">
        <v>712</v>
      </c>
      <c r="BY37" s="27" t="s">
        <v>713</v>
      </c>
      <c r="BZ37" s="27" t="s">
        <v>714</v>
      </c>
      <c r="CA37" s="27" t="s">
        <v>715</v>
      </c>
      <c r="CB37" s="27" t="s">
        <v>716</v>
      </c>
      <c r="CC37" s="27" t="s">
        <v>717</v>
      </c>
    </row>
    <row r="38" customFormat="false" ht="120" hidden="false" customHeight="true" outlineLevel="0" collapsed="false">
      <c r="A38" s="24" t="s">
        <v>718</v>
      </c>
      <c r="B38" s="25" t="n">
        <v>1</v>
      </c>
      <c r="C38" s="26" t="s">
        <v>184</v>
      </c>
      <c r="D38" s="26" t="s">
        <v>696</v>
      </c>
      <c r="E38" s="27" t="s">
        <v>371</v>
      </c>
      <c r="F38" s="28" t="n">
        <v>1</v>
      </c>
      <c r="G38" s="27" t="s">
        <v>187</v>
      </c>
      <c r="H38" s="26" t="s">
        <v>188</v>
      </c>
      <c r="I38" s="29" t="n">
        <v>8.5</v>
      </c>
      <c r="J38" s="27" t="s">
        <v>719</v>
      </c>
      <c r="K38" s="30" t="n">
        <v>1305</v>
      </c>
      <c r="L38" s="31" t="n">
        <v>1082</v>
      </c>
      <c r="M38" s="32" t="n">
        <f aca="false">L38/30</f>
        <v>36.0666666666667</v>
      </c>
      <c r="N38" s="33" t="n">
        <v>0.0505287896592244</v>
      </c>
      <c r="O38" s="27" t="s">
        <v>720</v>
      </c>
      <c r="P38" s="27" t="s">
        <v>721</v>
      </c>
      <c r="Q38" s="27" t="s">
        <v>722</v>
      </c>
      <c r="R38" s="34" t="n">
        <v>0</v>
      </c>
      <c r="S38" s="35" t="n">
        <v>10</v>
      </c>
      <c r="T38" s="36" t="s">
        <v>427</v>
      </c>
      <c r="U38" s="27" t="s">
        <v>723</v>
      </c>
      <c r="V38" s="37" t="n">
        <f aca="false">IFERROR(INDEX(Sleephoria_History!$F$454:$F$2115,MATCH($A38,Sleephoria_History!$A$454:$A$2115,0)),"")</f>
        <v>614</v>
      </c>
      <c r="W38" s="38" t="n">
        <f aca="false">IFERROR(INDEX(Sleephoria_History!$J$454:$J$2115,MATCH($A38,Sleephoria_History!$A$454:$A$2115,0)),"")</f>
        <v>0.1075</v>
      </c>
      <c r="X38" s="39" t="n">
        <f aca="false">IFERROR(INDEX(Sleephoria_History!$H$454:$H$2115,MATCH($A38,Sleephoria_History!$A$454:$A$2115,0)),"")</f>
        <v>1.7</v>
      </c>
      <c r="Y38" s="38" t="n">
        <f aca="false">IFERROR(INDEX(Sleephoria_History!$M$454:$M$2115,MATCH($A38,Sleephoria_History!$A$454:$A$2115,0)),"")</f>
        <v>0.293</v>
      </c>
      <c r="Z38" s="40" t="n">
        <f aca="false">IFERROR(INDEX(Sleephoria_History!$L$454:$L$2115,MATCH($A38,Sleephoria_History!$A$454:$A$2115,0)),"")</f>
        <v>3554.99</v>
      </c>
      <c r="AA38" s="37" t="n">
        <f aca="false">IFERROR(INDEX(Decolure_History!$F$397:$F$709,MATCH($A38,Decolure_History!$A$397:$A$709,0)),"")</f>
        <v>26</v>
      </c>
      <c r="AB38" s="38" t="n">
        <f aca="false">IFERROR(INDEX(Decolure_History!$J$397:$J$709,MATCH($A38,Decolure_History!$A$397:$A$709,0)),"")</f>
        <v>0.0769</v>
      </c>
      <c r="AC38" s="38" t="n">
        <f aca="false">IFERROR(INDEX(Decolure_History!$M$397:$M$709,MATCH($A38,Decolure_History!$A$397:$A$709,0)),"")</f>
        <v>0.509</v>
      </c>
      <c r="AD38" s="41" t="n">
        <v>0.086</v>
      </c>
      <c r="AE38" s="27" t="s">
        <v>724</v>
      </c>
      <c r="AF38" s="42" t="n">
        <v>0.492</v>
      </c>
      <c r="AG38" s="32" t="n">
        <f aca="false">M38*AF38</f>
        <v>17.7448</v>
      </c>
      <c r="AH38" s="43" t="n">
        <f aca="false">IF(AO38="Brand Defense",0,IFERROR(VLOOKUP(S38,Assumptions!$A$24:$B$28,2,FALSE()),0))</f>
        <v>0.028</v>
      </c>
      <c r="AI38" s="28" t="n">
        <f aca="false">Assumptions!$B$6</f>
        <v>0.66</v>
      </c>
      <c r="AJ38" s="44" t="n">
        <f aca="false">AG38*AH38*AI38</f>
        <v>0.327923904</v>
      </c>
      <c r="AK38" s="44" t="n">
        <f aca="false">AJ38*AD38</f>
        <v>0.028201455744</v>
      </c>
      <c r="AL38" s="30" t="n">
        <f aca="false">AJ38*56</f>
        <v>18.363738624</v>
      </c>
      <c r="AM38" s="32" t="n">
        <f aca="false">AK38*56</f>
        <v>1.579281521664</v>
      </c>
      <c r="AN38" s="44" t="n">
        <f aca="false">M38*Assumptions!$B$8</f>
        <v>3.60666666666667</v>
      </c>
      <c r="AO38" s="27" t="s">
        <v>430</v>
      </c>
      <c r="AP38" s="27" t="s">
        <v>703</v>
      </c>
      <c r="AQ38" s="26" t="s">
        <v>198</v>
      </c>
      <c r="AR38" s="27" t="s">
        <v>199</v>
      </c>
      <c r="AS38" s="44" t="n">
        <f aca="false">IF(AO38="Ranking — Full Push",MIN(MAX(AJ38,Assumptions!$B$9),AN38),IF(AO38="Brand Defense",MIN(Assumptions!$B$7,AN38),IF(OR(AO38="Ranking — Head Term (Capped)",AO38="Ranking — Capped Entry"),MIN(MAX(AJ38,Assumptions!$B$9),Assumptions!$B$7,AN38),IF(AO38="Ranking — Capped Long-Tail",MIN(AJ38,Assumptions!$B$10,AN38),MIN(AJ38,AN38)))))</f>
        <v>1</v>
      </c>
      <c r="AT38" s="27" t="str">
        <f aca="false">IF(AJ38&lt;=0,"",IF(AS38&gt;=AJ38,IF(AS38&gt;AJ38*1.05,"Floor of "&amp;TEXT(AS38,"0.0")&amp;" click/day to read CVR (rank needs "&amp;TEXT(AJ38,"0.00")&amp;")","Fully funded (100%)"),"Capped at "&amp;TEXT(AS38/AJ38,"0%")&amp;" of required"))</f>
        <v>Floor of 1.0 click/day to read CVR (rank needs 0.33)</v>
      </c>
      <c r="AU38" s="44" t="n">
        <f aca="false">AS38*AD38</f>
        <v>0.086</v>
      </c>
      <c r="AV38" s="45" t="n">
        <f aca="false">AU38*AY38</f>
        <v>5.41714</v>
      </c>
      <c r="AW38" s="46" t="n">
        <v>1.7</v>
      </c>
      <c r="AX38" s="27" t="s">
        <v>725</v>
      </c>
      <c r="AY38" s="47" t="n">
        <f aca="false">INDEX(Assumptions!$B$33:$B$37,MATCH(IF($D38="","Queen",$D38),Assumptions!$A$33:$A$37,0))</f>
        <v>62.99</v>
      </c>
      <c r="AZ38" s="33" t="n">
        <f aca="false">INDEX(Assumptions!$K$33:$K$37,MATCH(IF($D38="","Queen",$D38),Assumptions!$A$33:$A$37,0))</f>
        <v>0.508449753929195</v>
      </c>
      <c r="BA38" s="33" t="n">
        <f aca="false">INDEX(Assumptions!$H$33:$H$37,MATCH(IF($D38="","Queen",$D38),Assumptions!$A$33:$A$37,0))</f>
        <v>0.338966502619464</v>
      </c>
      <c r="BB38" s="47" t="n">
        <f aca="false">AY38*AZ38*AD38</f>
        <v>2.7543435</v>
      </c>
      <c r="BC38" s="47" t="n">
        <f aca="false">ROUND(MIN(AW38*Assumptions!$B$11,BB38),2)</f>
        <v>1.7</v>
      </c>
      <c r="BD38" s="26" t="s">
        <v>201</v>
      </c>
      <c r="BE38" s="48" t="n">
        <f aca="false">IF(AO38="Ranking — Full Push",MAX(0,MIN(IF(BD38="Yes",Assumptions!$B$12,Assumptions!$B$13),FLOOR(MAX(0,BB38/BC38-1),Assumptions!$B$14))),0)</f>
        <v>0</v>
      </c>
      <c r="BF38" s="49" t="str">
        <f aca="false">IF(AO38="Ranking — Full Push",IF(BE38&gt;=1,"YES — +100% Top of Search. Effective CPC $"&amp;TEXT(BG38,"0.00")&amp;" (= $"&amp;TEXT(BC38,"0.00")&amp;" × 2) stays within the $"&amp;TEXT(BB38,"0.00")&amp;" max ranking CPC"&amp;" (= $"&amp;TEXT(AY38,"0.00")&amp;" price × "&amp;TEXT(AZ38,"0.0%")&amp;" ranking ceiling × "&amp;TEXT(AD38,"0.0%")&amp;" CVR)"&amp;". Sleephoria CVR is proven on this term, so the full push is justified.",IF(AND(BD38="No",BE38&gt;=Assumptions!$B$13),"PARTIAL — +"&amp;TEXT(BE38,"0%")&amp;" Top of Search (limit for terms without proven CVR). Effective CPC $"&amp;TEXT(BG38,"0.00")&amp;" vs $"&amp;TEXT(BB38,"0.00")&amp;" max ranking CPC"&amp;" (= $"&amp;TEXT(AY38,"0.00")&amp;" price × "&amp;TEXT(AZ38,"0.0%")&amp;" ranking ceiling × "&amp;TEXT(AD38,"0.0%")&amp;" CVR)"&amp;". Raise to +100% only after CooLinens converts at ≥ "&amp;TEXT(AD38,"0.0%")&amp;" on 50+ clicks and $"&amp;TEXT(BC38*2,"0.00")&amp;" ≤ the max.",IF(BE38&gt;0,"PARTIAL — +"&amp;TEXT(BE38,"0%")&amp;" Top of Search. Effective CPC $"&amp;TEXT(BG38,"0.00")&amp;" stays within the $"&amp;TEXT(BB38,"0.00")&amp;" max ranking CPC"&amp;" (= $"&amp;TEXT(AY38,"0.00")&amp;" price × "&amp;TEXT(AZ38,"0.0%")&amp;" ranking ceiling × "&amp;TEXT(AD38,"0.0%")&amp;" CVR)"&amp;". +100% would cost $"&amp;TEXT(BC38*2,"0.00")&amp;" per click and push ACoS to "&amp;TEXT(BC38*2/(AY38*AD38),"0.0%")&amp;", above the "&amp;TEXT(AZ38,"0.0%")&amp;" ceiling.","NO — 0%. Base bid $"&amp;TEXT(BC38,"0.00")&amp;" already equals the $"&amp;TEXT(BB38,"0.00")&amp;" max ranking CPC"&amp;" (= $"&amp;TEXT(AY38,"0.00")&amp;" price × "&amp;TEXT(AZ38,"0.0%")&amp;" ranking ceiling × "&amp;TEXT(AD38,"0.0%")&amp;" CVR)"&amp;"; any modifier would push ACoS above the "&amp;TEXT(AZ38,"0.0%")&amp;" ceiling."))),IF(OR(AO38="Ranking — Head Term (Capped)",AO38="Ranking — Capped Entry",AO38="Ranking — Capped Long-Tail"),"NO — 0% (capped ranking entry). Bid $"&amp;TEXT(BC38,"0.00")&amp;" vs $"&amp;TEXT(BB38,"0.00")&amp;" max ranking CPC"&amp;" (= $"&amp;TEXT(AY38,"0.00")&amp;" price × "&amp;TEXT(AZ38,"0.0%")&amp;" ranking ceiling × "&amp;TEXT(AD38,"0.0%")&amp;" CVR)"&amp;". While spend is capped at "&amp;TEXT(AS38,"0.00")&amp;" clicks/day, a placement premium would only raise CPC without buying more rank; the modifier is set when this term moves to a full push.","NO — 0% (support / brand term). Bid $"&amp;TEXT(BC38,"0.00")&amp;" vs $"&amp;TEXT(BB38,"0.00")&amp;" max ranking CPC"&amp;" (= $"&amp;TEXT(AY38,"0.00")&amp;" price × "&amp;TEXT(AZ38,"0.0%")&amp;" ranking ceiling × "&amp;TEXT(AD38,"0.0%")&amp;" CVR)"&amp;"; expected ACoS "&amp;TEXT(BI38,"0.0%")&amp;" vs the "&amp;TEXT(AZ38,"0.0%")&amp;" ceiling."))</f>
        <v>NO — 0% (capped ranking entry). Bid $1.70 vs $2.75 max ranking CPC (= $62.99 price × 50.8% ranking ceiling × 8.6% CVR). While spend is capped at 1.00 clicks/day, a placement premium would only raise CPC without buying more rank; the modifier is set when this term moves to a full push.</v>
      </c>
      <c r="BG38" s="50" t="n">
        <f aca="false">BC38*(1+BE38)</f>
        <v>1.7</v>
      </c>
      <c r="BH38" s="45" t="n">
        <f aca="false">AS38*BG38</f>
        <v>1.7</v>
      </c>
      <c r="BI38" s="33" t="n">
        <f aca="false">IFERROR(BG38/(AY38*AD38),"")</f>
        <v>0.313818730917052</v>
      </c>
      <c r="BJ38" s="27" t="str">
        <f aca="false">IF(BI38="","",IF(BI38&lt;=BA38,"Profitable (≤ break-even)",IF(BI38&lt;=AZ38,"Ranking investment (≤ ceiling)","Above ceiling — reduce bid")))</f>
        <v>Profitable (≤ break-even)</v>
      </c>
      <c r="BK38" s="49" t="str">
        <f aca="false">"Base $"&amp;TEXT(BC38,"0.00")&amp;" × (1 + "&amp;TEXT(BE38,"0%")&amp;" TOS) = $"&amp;TEXT(BG38,"0.00")&amp;" effective CPC [max $"&amp;TEXT(BB38,"0.00")&amp;"]. "&amp;TEXT(AG38,"0.0")&amp;" market clicks/day × "&amp;TEXT(AH38,"0.00%")&amp;" click share × "&amp;TEXT(AI38,"0%")&amp;" paid = "&amp;TEXT(AJ38,"0.00")&amp;" clicks/day needed; "&amp;"planned "&amp;TEXT(AS38,"0.00")&amp;" clicks/day × "&amp;TEXT(AD38,"0.0%")&amp;" CVR = "&amp;TEXT(AU38,"0.00")&amp;" orders/day. "&amp;"Spend $"&amp;TEXT(BH38,"0.00")&amp;"/day, ACoS "&amp;TEXT(BI38,"0.0%")&amp;" (ceiling "&amp;TEXT(AZ38,"0.0%")&amp;", break-even "&amp;TEXT(BA38,"0.0%")&amp;"). "&amp;"Target organic rank #"&amp;S38&amp;" by week 8 ("&amp;T38&amp;")."</f>
        <v>Base $1.70 × (1 + 0% TOS) = $1.70 effective CPC [max $2.75]. 17.7 market clicks/day × 2.80% click share × 66% paid = 0.33 clicks/day needed; planned 1.00 clicks/day × 8.6% CVR = 0.09 orders/day. Spend $1.70/day, ACoS 31.4% (ceiling 50.8%, break-even 33.9%). Target organic rank #10 by week 8 (#40 → #20 → #10 (full push after size assignment)).</v>
      </c>
      <c r="BL38" s="27" t="s">
        <v>705</v>
      </c>
      <c r="BM38" s="27" t="s">
        <v>203</v>
      </c>
      <c r="BN38" s="27" t="s">
        <v>726</v>
      </c>
      <c r="BO38" s="27" t="s">
        <v>718</v>
      </c>
      <c r="BP38" s="27" t="s">
        <v>707</v>
      </c>
      <c r="BQ38" s="26" t="s">
        <v>708</v>
      </c>
      <c r="BR38" s="40" t="n">
        <f aca="false">IFERROR(INDEX(Campaigns!$L:$L,MATCH(BN38,Campaigns!$A:$A,0)),"")</f>
        <v>10</v>
      </c>
      <c r="BS38" s="51" t="str">
        <f aca="false">IFERROR(INDEX(Inventory!$O:$O,MATCH(BP38,Inventory!$A:$A,0)),"")</f>
        <v>OK</v>
      </c>
      <c r="BT38" s="52" t="n">
        <f aca="false">IFERROR(INDEX(Inventory!$N:$N,MATCH(BP38,Inventory!$A:$A,0)),"")</f>
        <v>71.9637202532498</v>
      </c>
      <c r="BU38" s="27" t="s">
        <v>727</v>
      </c>
      <c r="BV38" s="27" t="s">
        <v>728</v>
      </c>
      <c r="BW38" s="27" t="s">
        <v>729</v>
      </c>
      <c r="BX38" s="27" t="s">
        <v>730</v>
      </c>
      <c r="BY38" s="27" t="s">
        <v>731</v>
      </c>
      <c r="BZ38" s="27" t="s">
        <v>732</v>
      </c>
      <c r="CA38" s="27" t="s">
        <v>715</v>
      </c>
      <c r="CB38" s="27" t="s">
        <v>733</v>
      </c>
      <c r="CC38" s="27" t="s">
        <v>734</v>
      </c>
    </row>
    <row r="39" customFormat="false" ht="120" hidden="false" customHeight="true" outlineLevel="0" collapsed="false">
      <c r="A39" s="24" t="s">
        <v>735</v>
      </c>
      <c r="B39" s="25" t="n">
        <v>1</v>
      </c>
      <c r="C39" s="26" t="s">
        <v>184</v>
      </c>
      <c r="D39" s="26" t="s">
        <v>696</v>
      </c>
      <c r="E39" s="27" t="s">
        <v>371</v>
      </c>
      <c r="F39" s="28" t="n">
        <v>1</v>
      </c>
      <c r="G39" s="27" t="s">
        <v>187</v>
      </c>
      <c r="H39" s="26" t="s">
        <v>342</v>
      </c>
      <c r="I39" s="29" t="n">
        <v>6</v>
      </c>
      <c r="J39" s="27" t="s">
        <v>736</v>
      </c>
      <c r="K39" s="30" t="n">
        <v>682</v>
      </c>
      <c r="L39" s="31" t="n">
        <v>703</v>
      </c>
      <c r="M39" s="32" t="n">
        <f aca="false">L39/30</f>
        <v>23.4333333333333</v>
      </c>
      <c r="N39" s="33" t="n">
        <v>0.0477241847826086</v>
      </c>
      <c r="O39" s="27" t="s">
        <v>737</v>
      </c>
      <c r="P39" s="27" t="s">
        <v>738</v>
      </c>
      <c r="Q39" s="27" t="s">
        <v>739</v>
      </c>
      <c r="R39" s="34" t="n">
        <v>1</v>
      </c>
      <c r="S39" s="35" t="n">
        <v>20</v>
      </c>
      <c r="T39" s="36" t="s">
        <v>467</v>
      </c>
      <c r="U39" s="27" t="s">
        <v>740</v>
      </c>
      <c r="V39" s="37" t="n">
        <f aca="false">IFERROR(INDEX(Sleephoria_History!$F$454:$F$2115,MATCH($A39,Sleephoria_History!$A$454:$A$2115,0)),"")</f>
        <v>4</v>
      </c>
      <c r="W39" s="38" t="n">
        <f aca="false">IFERROR(INDEX(Sleephoria_History!$J$454:$J$2115,MATCH($A39,Sleephoria_History!$A$454:$A$2115,0)),"")</f>
        <v>0.25</v>
      </c>
      <c r="X39" s="39" t="n">
        <f aca="false">IFERROR(INDEX(Sleephoria_History!$H$454:$H$2115,MATCH($A39,Sleephoria_History!$A$454:$A$2115,0)),"")</f>
        <v>1.62</v>
      </c>
      <c r="Y39" s="38" t="n">
        <f aca="false">IFERROR(INDEX(Sleephoria_History!$M$454:$M$2115,MATCH($A39,Sleephoria_History!$A$454:$A$2115,0)),"")</f>
        <v>0.108</v>
      </c>
      <c r="Z39" s="40" t="n">
        <f aca="false">IFERROR(INDEX(Sleephoria_History!$L$454:$L$2115,MATCH($A39,Sleephoria_History!$A$454:$A$2115,0)),"")</f>
        <v>59.99</v>
      </c>
      <c r="AA39" s="37" t="str">
        <f aca="false">IFERROR(INDEX(Decolure_History!$F$397:$F$709,MATCH($A39,Decolure_History!$A$397:$A$709,0)),"")</f>
        <v/>
      </c>
      <c r="AB39" s="38" t="str">
        <f aca="false">IFERROR(INDEX(Decolure_History!$J$397:$J$709,MATCH($A39,Decolure_History!$A$397:$A$709,0)),"")</f>
        <v/>
      </c>
      <c r="AC39" s="38" t="str">
        <f aca="false">IFERROR(INDEX(Decolure_History!$M$397:$M$709,MATCH($A39,Decolure_History!$A$397:$A$709,0)),"")</f>
        <v/>
      </c>
      <c r="AD39" s="41" t="n">
        <v>0.064</v>
      </c>
      <c r="AE39" s="27" t="s">
        <v>275</v>
      </c>
      <c r="AF39" s="42" t="n">
        <v>0.487</v>
      </c>
      <c r="AG39" s="32" t="n">
        <f aca="false">M39*AF39</f>
        <v>11.4120333333333</v>
      </c>
      <c r="AH39" s="43" t="n">
        <f aca="false">IF(AO39="Brand Defense",0,IFERROR(VLOOKUP(S39,Assumptions!$A$24:$B$28,2,FALSE()),0))</f>
        <v>0.0124</v>
      </c>
      <c r="AI39" s="28" t="n">
        <f aca="false">Assumptions!$B$6</f>
        <v>0.66</v>
      </c>
      <c r="AJ39" s="44" t="n">
        <f aca="false">AG39*AH39*AI39</f>
        <v>0.0933960808</v>
      </c>
      <c r="AK39" s="44" t="n">
        <f aca="false">AJ39*AD39</f>
        <v>0.0059773491712</v>
      </c>
      <c r="AL39" s="30" t="n">
        <f aca="false">AJ39*56</f>
        <v>5.2301805248</v>
      </c>
      <c r="AM39" s="32" t="n">
        <f aca="false">AK39*56</f>
        <v>0.3347315535872</v>
      </c>
      <c r="AN39" s="44" t="n">
        <f aca="false">M39*Assumptions!$B$8</f>
        <v>2.34333333333333</v>
      </c>
      <c r="AO39" s="27" t="s">
        <v>430</v>
      </c>
      <c r="AP39" s="27" t="s">
        <v>703</v>
      </c>
      <c r="AQ39" s="26" t="s">
        <v>198</v>
      </c>
      <c r="AR39" s="27" t="s">
        <v>199</v>
      </c>
      <c r="AS39" s="44" t="n">
        <f aca="false">IF(AO39="Ranking — Full Push",MIN(MAX(AJ39,Assumptions!$B$9),AN39),IF(AO39="Brand Defense",MIN(Assumptions!$B$7,AN39),IF(OR(AO39="Ranking — Head Term (Capped)",AO39="Ranking — Capped Entry"),MIN(MAX(AJ39,Assumptions!$B$9),Assumptions!$B$7,AN39),IF(AO39="Ranking — Capped Long-Tail",MIN(AJ39,Assumptions!$B$10,AN39),MIN(AJ39,AN39)))))</f>
        <v>1</v>
      </c>
      <c r="AT39" s="27" t="str">
        <f aca="false">IF(AJ39&lt;=0,"",IF(AS39&gt;=AJ39,IF(AS39&gt;AJ39*1.05,"Floor of "&amp;TEXT(AS39,"0.0")&amp;" click/day to read CVR (rank needs "&amp;TEXT(AJ39,"0.00")&amp;")","Fully funded (100%)"),"Capped at "&amp;TEXT(AS39/AJ39,"0%")&amp;" of required"))</f>
        <v>Floor of 1.0 click/day to read CVR (rank needs 0.09)</v>
      </c>
      <c r="AU39" s="44" t="n">
        <f aca="false">AS39*AD39</f>
        <v>0.064</v>
      </c>
      <c r="AV39" s="45" t="n">
        <f aca="false">AU39*AY39</f>
        <v>4.03136</v>
      </c>
      <c r="AW39" s="46" t="n">
        <v>1.75</v>
      </c>
      <c r="AX39" s="27" t="s">
        <v>741</v>
      </c>
      <c r="AY39" s="47" t="n">
        <f aca="false">INDEX(Assumptions!$B$33:$B$37,MATCH(IF($D39="","Queen",$D39),Assumptions!$A$33:$A$37,0))</f>
        <v>62.99</v>
      </c>
      <c r="AZ39" s="33" t="n">
        <f aca="false">INDEX(Assumptions!$K$33:$K$37,MATCH(IF($D39="","Queen",$D39),Assumptions!$A$33:$A$37,0))</f>
        <v>0.508449753929195</v>
      </c>
      <c r="BA39" s="33" t="n">
        <f aca="false">INDEX(Assumptions!$H$33:$H$37,MATCH(IF($D39="","Queen",$D39),Assumptions!$A$33:$A$37,0))</f>
        <v>0.338966502619464</v>
      </c>
      <c r="BB39" s="47" t="n">
        <f aca="false">AY39*AZ39*AD39</f>
        <v>2.049744</v>
      </c>
      <c r="BC39" s="47" t="n">
        <f aca="false">ROUND(MIN(AW39*Assumptions!$B$11,BB39),2)</f>
        <v>1.75</v>
      </c>
      <c r="BD39" s="26" t="s">
        <v>278</v>
      </c>
      <c r="BE39" s="48" t="n">
        <f aca="false">IF(AO39="Ranking — Full Push",MAX(0,MIN(IF(BD39="Yes",Assumptions!$B$12,Assumptions!$B$13),FLOOR(MAX(0,BB39/BC39-1),Assumptions!$B$14))),0)</f>
        <v>0</v>
      </c>
      <c r="BF39" s="49" t="str">
        <f aca="false">IF(AO39="Ranking — Full Push",IF(BE39&gt;=1,"YES — +100% Top of Search. Effective CPC $"&amp;TEXT(BG39,"0.00")&amp;" (= $"&amp;TEXT(BC39,"0.00")&amp;" × 2) stays within the $"&amp;TEXT(BB39,"0.00")&amp;" max ranking CPC"&amp;" (= $"&amp;TEXT(AY39,"0.00")&amp;" price × "&amp;TEXT(AZ39,"0.0%")&amp;" ranking ceiling × "&amp;TEXT(AD39,"0.0%")&amp;" CVR)"&amp;". Sleephoria CVR is proven on this term, so the full push is justified.",IF(AND(BD39="No",BE39&gt;=Assumptions!$B$13),"PARTIAL — +"&amp;TEXT(BE39,"0%")&amp;" Top of Search (limit for terms without proven CVR). Effective CPC $"&amp;TEXT(BG39,"0.00")&amp;" vs $"&amp;TEXT(BB39,"0.00")&amp;" max ranking CPC"&amp;" (= $"&amp;TEXT(AY39,"0.00")&amp;" price × "&amp;TEXT(AZ39,"0.0%")&amp;" ranking ceiling × "&amp;TEXT(AD39,"0.0%")&amp;" CVR)"&amp;". Raise to +100% only after CooLinens converts at ≥ "&amp;TEXT(AD39,"0.0%")&amp;" on 50+ clicks and $"&amp;TEXT(BC39*2,"0.00")&amp;" ≤ the max.",IF(BE39&gt;0,"PARTIAL — +"&amp;TEXT(BE39,"0%")&amp;" Top of Search. Effective CPC $"&amp;TEXT(BG39,"0.00")&amp;" stays within the $"&amp;TEXT(BB39,"0.00")&amp;" max ranking CPC"&amp;" (= $"&amp;TEXT(AY39,"0.00")&amp;" price × "&amp;TEXT(AZ39,"0.0%")&amp;" ranking ceiling × "&amp;TEXT(AD39,"0.0%")&amp;" CVR)"&amp;". +100% would cost $"&amp;TEXT(BC39*2,"0.00")&amp;" per click and push ACoS to "&amp;TEXT(BC39*2/(AY39*AD39),"0.0%")&amp;", above the "&amp;TEXT(AZ39,"0.0%")&amp;" ceiling.","NO — 0%. Base bid $"&amp;TEXT(BC39,"0.00")&amp;" already equals the $"&amp;TEXT(BB39,"0.00")&amp;" max ranking CPC"&amp;" (= $"&amp;TEXT(AY39,"0.00")&amp;" price × "&amp;TEXT(AZ39,"0.0%")&amp;" ranking ceiling × "&amp;TEXT(AD39,"0.0%")&amp;" CVR)"&amp;"; any modifier would push ACoS above the "&amp;TEXT(AZ39,"0.0%")&amp;" ceiling."))),IF(OR(AO39="Ranking — Head Term (Capped)",AO39="Ranking — Capped Entry",AO39="Ranking — Capped Long-Tail"),"NO — 0% (capped ranking entry). Bid $"&amp;TEXT(BC39,"0.00")&amp;" vs $"&amp;TEXT(BB39,"0.00")&amp;" max ranking CPC"&amp;" (= $"&amp;TEXT(AY39,"0.00")&amp;" price × "&amp;TEXT(AZ39,"0.0%")&amp;" ranking ceiling × "&amp;TEXT(AD39,"0.0%")&amp;" CVR)"&amp;". While spend is capped at "&amp;TEXT(AS39,"0.00")&amp;" clicks/day, a placement premium would only raise CPC without buying more rank; the modifier is set when this term moves to a full push.","NO — 0% (support / brand term). Bid $"&amp;TEXT(BC39,"0.00")&amp;" vs $"&amp;TEXT(BB39,"0.00")&amp;" max ranking CPC"&amp;" (= $"&amp;TEXT(AY39,"0.00")&amp;" price × "&amp;TEXT(AZ39,"0.0%")&amp;" ranking ceiling × "&amp;TEXT(AD39,"0.0%")&amp;" CVR)"&amp;"; expected ACoS "&amp;TEXT(BI39,"0.0%")&amp;" vs the "&amp;TEXT(AZ39,"0.0%")&amp;"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G39" s="50" t="n">
        <f aca="false">BC39*(1+BE39)</f>
        <v>1.75</v>
      </c>
      <c r="BH39" s="45" t="n">
        <f aca="false">AS39*BG39</f>
        <v>1.75</v>
      </c>
      <c r="BI39" s="33" t="n">
        <f aca="false">IFERROR(BG39/(AY39*AD39),"")</f>
        <v>0.434096682013018</v>
      </c>
      <c r="BJ39" s="27" t="str">
        <f aca="false">IF(BI39="","",IF(BI39&lt;=BA39,"Profitable (≤ break-even)",IF(BI39&lt;=AZ39,"Ranking investment (≤ ceiling)","Above ceiling — reduce bid")))</f>
        <v>Ranking investment (≤ ceiling)</v>
      </c>
      <c r="BK39" s="49" t="str">
        <f aca="false">"Base $"&amp;TEXT(BC39,"0.00")&amp;" × (1 + "&amp;TEXT(BE39,"0%")&amp;" TOS) = $"&amp;TEXT(BG39,"0.00")&amp;" effective CPC [max $"&amp;TEXT(BB39,"0.00")&amp;"]. "&amp;TEXT(AG39,"0.0")&amp;" market clicks/day × "&amp;TEXT(AH39,"0.00%")&amp;" click share × "&amp;TEXT(AI39,"0%")&amp;" paid = "&amp;TEXT(AJ39,"0.00")&amp;" clicks/day needed; "&amp;"planned "&amp;TEXT(AS39,"0.00")&amp;" clicks/day × "&amp;TEXT(AD39,"0.0%")&amp;" CVR = "&amp;TEXT(AU39,"0.00")&amp;" orders/day. "&amp;"Spend $"&amp;TEXT(BH39,"0.00")&amp;"/day, ACoS "&amp;TEXT(BI39,"0.0%")&amp;" (ceiling "&amp;TEXT(AZ39,"0.0%")&amp;", break-even "&amp;TEXT(BA39,"0.0%")&amp;"). "&amp;"Target organic rank #"&amp;S39&amp;" by week 8 ("&amp;T39&amp;")."</f>
        <v>Base $1.75 × (1 + 0% TOS) = $1.75 effective CPC [max $2.05]. 11.4 market clicks/day × 1.24% click share × 66% paid = 0.09 clicks/day needed; planned 1.00 clicks/day × 6.4% CVR = 0.06 orders/day. Spend $1.75/day, ACoS 43.4% (ceiling 50.8%, break-even 33.9%). Target organic rank #20 by week 8 (#60 → #35 → #20 (full push after size assignment)).</v>
      </c>
      <c r="BL39" s="27" t="s">
        <v>705</v>
      </c>
      <c r="BM39" s="27" t="s">
        <v>203</v>
      </c>
      <c r="BN39" s="27" t="s">
        <v>742</v>
      </c>
      <c r="BO39" s="27" t="s">
        <v>735</v>
      </c>
      <c r="BP39" s="27" t="s">
        <v>707</v>
      </c>
      <c r="BQ39" s="26" t="s">
        <v>708</v>
      </c>
      <c r="BR39" s="40" t="n">
        <f aca="false">IFERROR(INDEX(Campaigns!$L:$L,MATCH(BN39,Campaigns!$A:$A,0)),"")</f>
        <v>10</v>
      </c>
      <c r="BS39" s="51" t="str">
        <f aca="false">IFERROR(INDEX(Inventory!$O:$O,MATCH(BP39,Inventory!$A:$A,0)),"")</f>
        <v>OK</v>
      </c>
      <c r="BT39" s="52" t="n">
        <f aca="false">IFERROR(INDEX(Inventory!$N:$N,MATCH(BP39,Inventory!$A:$A,0)),"")</f>
        <v>71.9637202532498</v>
      </c>
      <c r="BU39" s="27" t="s">
        <v>743</v>
      </c>
      <c r="BV39" s="27" t="s">
        <v>263</v>
      </c>
      <c r="BW39" s="27" t="s">
        <v>744</v>
      </c>
      <c r="BX39" s="27" t="s">
        <v>745</v>
      </c>
      <c r="BY39" s="27" t="s">
        <v>746</v>
      </c>
      <c r="BZ39" s="27" t="s">
        <v>747</v>
      </c>
      <c r="CA39" s="27" t="s">
        <v>715</v>
      </c>
      <c r="CB39" s="27" t="s">
        <v>748</v>
      </c>
      <c r="CC39" s="27" t="s">
        <v>477</v>
      </c>
    </row>
    <row r="40" customFormat="false" ht="120" hidden="false" customHeight="true" outlineLevel="0" collapsed="false">
      <c r="A40" s="24" t="s">
        <v>749</v>
      </c>
      <c r="B40" s="25" t="n">
        <v>1</v>
      </c>
      <c r="C40" s="26" t="s">
        <v>184</v>
      </c>
      <c r="D40" s="26"/>
      <c r="E40" s="27" t="s">
        <v>321</v>
      </c>
      <c r="F40" s="28" t="n">
        <v>0.95</v>
      </c>
      <c r="G40" s="27" t="s">
        <v>187</v>
      </c>
      <c r="H40" s="26" t="s">
        <v>342</v>
      </c>
      <c r="I40" s="29" t="n">
        <v>4</v>
      </c>
      <c r="J40" s="27" t="s">
        <v>750</v>
      </c>
      <c r="K40" s="30" t="n">
        <v>651</v>
      </c>
      <c r="L40" s="31" t="n">
        <v>204</v>
      </c>
      <c r="M40" s="32" t="n">
        <f aca="false">L40/30</f>
        <v>6.8</v>
      </c>
      <c r="N40" s="33" t="n">
        <v>0.0201063092211694</v>
      </c>
      <c r="O40" s="27" t="s">
        <v>751</v>
      </c>
      <c r="P40" s="27" t="s">
        <v>752</v>
      </c>
      <c r="Q40" s="27" t="s">
        <v>753</v>
      </c>
      <c r="R40" s="34" t="n">
        <v>4</v>
      </c>
      <c r="S40" s="35" t="n">
        <v>20</v>
      </c>
      <c r="T40" s="36" t="s">
        <v>346</v>
      </c>
      <c r="U40" s="27" t="s">
        <v>754</v>
      </c>
      <c r="V40" s="37" t="n">
        <f aca="false">IFERROR(INDEX(Sleephoria_History!$F$454:$F$2115,MATCH($A40,Sleephoria_History!$A$454:$A$2115,0)),"")</f>
        <v>3</v>
      </c>
      <c r="W40" s="38" t="n">
        <f aca="false">IFERROR(INDEX(Sleephoria_History!$J$454:$J$2115,MATCH($A40,Sleephoria_History!$A$454:$A$2115,0)),"")</f>
        <v>0</v>
      </c>
      <c r="X40" s="39" t="n">
        <f aca="false">IFERROR(INDEX(Sleephoria_History!$H$454:$H$2115,MATCH($A40,Sleephoria_History!$A$454:$A$2115,0)),"")</f>
        <v>3.28</v>
      </c>
      <c r="Y40" s="38" t="n">
        <f aca="false">IFERROR(INDEX(Sleephoria_History!$M$454:$M$2115,MATCH($A40,Sleephoria_History!$A$454:$A$2115,0)),"")</f>
        <v>0</v>
      </c>
      <c r="Z40" s="40" t="n">
        <f aca="false">IFERROR(INDEX(Sleephoria_History!$L$454:$L$2115,MATCH($A40,Sleephoria_History!$A$454:$A$2115,0)),"")</f>
        <v>0</v>
      </c>
      <c r="AA40" s="37" t="str">
        <f aca="false">IFERROR(INDEX(Decolure_History!$F$397:$F$709,MATCH($A40,Decolure_History!$A$397:$A$709,0)),"")</f>
        <v/>
      </c>
      <c r="AB40" s="38" t="str">
        <f aca="false">IFERROR(INDEX(Decolure_History!$J$397:$J$709,MATCH($A40,Decolure_History!$A$397:$A$709,0)),"")</f>
        <v/>
      </c>
      <c r="AC40" s="38" t="str">
        <f aca="false">IFERROR(INDEX(Decolure_History!$M$397:$M$709,MATCH($A40,Decolure_History!$A$397:$A$709,0)),"")</f>
        <v/>
      </c>
      <c r="AD40" s="41" t="n">
        <v>0.064</v>
      </c>
      <c r="AE40" s="27" t="s">
        <v>275</v>
      </c>
      <c r="AF40" s="42" t="n">
        <v>0.297</v>
      </c>
      <c r="AG40" s="32" t="n">
        <f aca="false">M40*AF40</f>
        <v>2.0196</v>
      </c>
      <c r="AH40" s="43" t="n">
        <f aca="false">IF(AO40="Brand Defense",0,IFERROR(VLOOKUP(S40,Assumptions!$A$24:$B$28,2,FALSE()),0))</f>
        <v>0.0124</v>
      </c>
      <c r="AI40" s="28" t="n">
        <f aca="false">Assumptions!$B$6</f>
        <v>0.66</v>
      </c>
      <c r="AJ40" s="44" t="n">
        <f aca="false">AG40*AH40*AI40</f>
        <v>0.0165284064</v>
      </c>
      <c r="AK40" s="44" t="n">
        <f aca="false">AJ40*AD40</f>
        <v>0.0010578180096</v>
      </c>
      <c r="AL40" s="30" t="n">
        <f aca="false">AJ40*56</f>
        <v>0.9255907584</v>
      </c>
      <c r="AM40" s="32" t="n">
        <f aca="false">AK40*56</f>
        <v>0.0592378085376</v>
      </c>
      <c r="AN40" s="44" t="n">
        <f aca="false">M40*Assumptions!$B$8</f>
        <v>0.68</v>
      </c>
      <c r="AO40" s="27" t="s">
        <v>328</v>
      </c>
      <c r="AP40" s="27" t="s">
        <v>755</v>
      </c>
      <c r="AQ40" s="26" t="s">
        <v>198</v>
      </c>
      <c r="AR40" s="27" t="s">
        <v>756</v>
      </c>
      <c r="AS40" s="44" t="n">
        <f aca="false">IF(AO40="Ranking — Full Push",MIN(MAX(AJ40,Assumptions!$B$9),AN40),IF(AO40="Brand Defense",MIN(Assumptions!$B$7,AN40),IF(OR(AO40="Ranking — Head Term (Capped)",AO40="Ranking — Capped Entry"),MIN(MAX(AJ40,Assumptions!$B$9),Assumptions!$B$7,AN40),IF(AO40="Ranking — Capped Long-Tail",MIN(AJ40,Assumptions!$B$10,AN40),MIN(AJ40,AN40)))))</f>
        <v>0.0165284064</v>
      </c>
      <c r="AT40" s="27" t="str">
        <f aca="false">IF(AJ40&lt;=0,"",IF(AS40&gt;=AJ40,IF(AS40&gt;AJ40*1.05,"Floor of "&amp;TEXT(AS40,"0.0")&amp;" click/day to read CVR (rank needs "&amp;TEXT(AJ40,"0.00")&amp;")","Fully funded (100%)"),"Capped at "&amp;TEXT(AS40/AJ40,"0%")&amp;" of required"))</f>
        <v>Fully funded (100%)</v>
      </c>
      <c r="AU40" s="44" t="n">
        <f aca="false">AS40*AD40</f>
        <v>0.0010578180096</v>
      </c>
      <c r="AV40" s="45" t="n">
        <f aca="false">AU40*AY40</f>
        <v>0.084614862587904</v>
      </c>
      <c r="AW40" s="46" t="n">
        <v>2.14</v>
      </c>
      <c r="AX40" s="27" t="s">
        <v>757</v>
      </c>
      <c r="AY40" s="47" t="n">
        <f aca="false">INDEX(Assumptions!$B$33:$B$37,MATCH(IF($D40="","Queen",$D40),Assumptions!$A$33:$A$37,0))</f>
        <v>79.99</v>
      </c>
      <c r="AZ40" s="33" t="n">
        <f aca="false">INDEX(Assumptions!$K$33:$K$37,MATCH(IF($D40="","Queen",$D40),Assumptions!$A$33:$A$37,0))</f>
        <v>0.558660457557195</v>
      </c>
      <c r="BA40" s="33" t="n">
        <f aca="false">INDEX(Assumptions!$H$33:$H$37,MATCH(IF($D40="","Queen",$D40),Assumptions!$A$33:$A$37,0))</f>
        <v>0.37244030503813</v>
      </c>
      <c r="BB40" s="47" t="n">
        <f aca="false">AY40*AZ40*AD40</f>
        <v>2.859984</v>
      </c>
      <c r="BC40" s="47" t="n">
        <f aca="false">ROUND(MIN(AW40*Assumptions!$B$11,BB40),2)</f>
        <v>2.14</v>
      </c>
      <c r="BD40" s="26" t="s">
        <v>278</v>
      </c>
      <c r="BE40" s="48" t="n">
        <f aca="false">IF(AO40="Ranking — Full Push",MAX(0,MIN(IF(BD40="Yes",Assumptions!$B$12,Assumptions!$B$13),FLOOR(MAX(0,BB40/BC40-1),Assumptions!$B$14))),0)</f>
        <v>0</v>
      </c>
      <c r="BF40" s="49" t="str">
        <f aca="false">IF(AO40="Ranking — Full Push",IF(BE40&gt;=1,"YES — +100% Top of Search. Effective CPC $"&amp;TEXT(BG40,"0.00")&amp;" (= $"&amp;TEXT(BC40,"0.00")&amp;" × 2) stays within the $"&amp;TEXT(BB40,"0.00")&amp;" max ranking CPC"&amp;" (= $"&amp;TEXT(AY40,"0.00")&amp;" price × "&amp;TEXT(AZ40,"0.0%")&amp;" ranking ceiling × "&amp;TEXT(AD40,"0.0%")&amp;" CVR)"&amp;". Sleephoria CVR is proven on this term, so the full push is justified.",IF(AND(BD40="No",BE40&gt;=Assumptions!$B$13),"PARTIAL — +"&amp;TEXT(BE40,"0%")&amp;" Top of Search (limit for terms without proven CVR). Effective CPC $"&amp;TEXT(BG40,"0.00")&amp;" vs $"&amp;TEXT(BB40,"0.00")&amp;" max ranking CPC"&amp;" (= $"&amp;TEXT(AY40,"0.00")&amp;" price × "&amp;TEXT(AZ40,"0.0%")&amp;" ranking ceiling × "&amp;TEXT(AD40,"0.0%")&amp;" CVR)"&amp;". Raise to +100% only after CooLinens converts at ≥ "&amp;TEXT(AD40,"0.0%")&amp;" on 50+ clicks and $"&amp;TEXT(BC40*2,"0.00")&amp;" ≤ the max.",IF(BE40&gt;0,"PARTIAL — +"&amp;TEXT(BE40,"0%")&amp;" Top of Search. Effective CPC $"&amp;TEXT(BG40,"0.00")&amp;" stays within the $"&amp;TEXT(BB40,"0.00")&amp;" max ranking CPC"&amp;" (= $"&amp;TEXT(AY40,"0.00")&amp;" price × "&amp;TEXT(AZ40,"0.0%")&amp;" ranking ceiling × "&amp;TEXT(AD40,"0.0%")&amp;" CVR)"&amp;". +100% would cost $"&amp;TEXT(BC40*2,"0.00")&amp;" per click and push ACoS to "&amp;TEXT(BC40*2/(AY40*AD40),"0.0%")&amp;", above the "&amp;TEXT(AZ40,"0.0%")&amp;" ceiling.","NO — 0%. Base bid $"&amp;TEXT(BC40,"0.00")&amp;" already equals the $"&amp;TEXT(BB40,"0.00")&amp;" max ranking CPC"&amp;" (= $"&amp;TEXT(AY40,"0.00")&amp;" price × "&amp;TEXT(AZ40,"0.0%")&amp;" ranking ceiling × "&amp;TEXT(AD40,"0.0%")&amp;" CVR)"&amp;"; any modifier would push ACoS above the "&amp;TEXT(AZ40,"0.0%")&amp;" ceiling."))),IF(OR(AO40="Ranking — Head Term (Capped)",AO40="Ranking — Capped Entry",AO40="Ranking — Capped Long-Tail"),"NO — 0% (capped ranking entry). Bid $"&amp;TEXT(BC40,"0.00")&amp;" vs $"&amp;TEXT(BB40,"0.00")&amp;" max ranking CPC"&amp;" (= $"&amp;TEXT(AY40,"0.00")&amp;" price × "&amp;TEXT(AZ40,"0.0%")&amp;" ranking ceiling × "&amp;TEXT(AD40,"0.0%")&amp;" CVR)"&amp;". While spend is capped at "&amp;TEXT(AS40,"0.00")&amp;" clicks/day, a placement premium would only raise CPC without buying more rank; the modifier is set when this term moves to a full push.","NO — 0% (support / brand term). Bid $"&amp;TEXT(BC40,"0.00")&amp;" vs $"&amp;TEXT(BB40,"0.00")&amp;" max ranking CPC"&amp;" (= $"&amp;TEXT(AY40,"0.00")&amp;" price × "&amp;TEXT(AZ40,"0.0%")&amp;" ranking ceiling × "&amp;TEXT(AD40,"0.0%")&amp;" CVR)"&amp;"; expected ACoS "&amp;TEXT(BI40,"0.0%")&amp;" vs the "&amp;TEXT(AZ40,"0.0%")&amp;" ceiling."))</f>
        <v>NO — 0% (support / brand term). Bid $2.14 vs $2.86 max ranking CPC (= $79.99 price × 55.9% ranking ceiling × 6.4% CVR); expected ACoS 41.8% vs the 55.9% ceiling.</v>
      </c>
      <c r="BG40" s="50" t="n">
        <f aca="false">BC40*(1+BE40)</f>
        <v>2.14</v>
      </c>
      <c r="BH40" s="45" t="n">
        <f aca="false">AS40*BG40</f>
        <v>0.035370789696</v>
      </c>
      <c r="BI40" s="33" t="n">
        <f aca="false">IFERROR(BG40/(AY40*AD40),"")</f>
        <v>0.418021002625328</v>
      </c>
      <c r="BJ40" s="27" t="str">
        <f aca="false">IF(BI40="","",IF(BI40&lt;=BA40,"Profitable (≤ break-even)",IF(BI40&lt;=AZ40,"Ranking investment (≤ ceiling)","Above ceiling — reduce bid")))</f>
        <v>Ranking investment (≤ ceiling)</v>
      </c>
      <c r="BK40" s="49" t="str">
        <f aca="false">"Base $"&amp;TEXT(BC40,"0.00")&amp;" × (1 + "&amp;TEXT(BE40,"0%")&amp;" TOS) = $"&amp;TEXT(BG40,"0.00")&amp;" effective CPC [max $"&amp;TEXT(BB40,"0.00")&amp;"]. "&amp;TEXT(AG40,"0.0")&amp;" market clicks/day × "&amp;TEXT(AH40,"0.00%")&amp;" click share × "&amp;TEXT(AI40,"0%")&amp;" paid = "&amp;TEXT(AJ40,"0.00")&amp;" clicks/day needed; "&amp;"planned "&amp;TEXT(AS40,"0.00")&amp;" clicks/day × "&amp;TEXT(AD40,"0.0%")&amp;" CVR = "&amp;TEXT(AU40,"0.00")&amp;" orders/day. "&amp;"Spend $"&amp;TEXT(BH40,"0.00")&amp;"/day, ACoS "&amp;TEXT(BI40,"0.0%")&amp;" (ceiling "&amp;TEXT(AZ40,"0.0%")&amp;", break-even "&amp;TEXT(BA40,"0.0%")&amp;"). "&amp;"Target organic rank #"&amp;S40&amp;" by week 8 ("&amp;T40&amp;")."</f>
        <v>Base $2.14 × (1 + 0% TOS) = $2.14 effective CPC [max $2.86]. 2.0 market clicks/day × 1.24% click share × 66% paid = 0.02 clicks/day needed; planned 0.02 clicks/day × 6.4% CVR = 0.00 orders/day. Spend $0.04/day, ACoS 41.8% (ceiling 55.9%, break-even 37.2%). Target organic rank #20 by week 8 (#60 → #35 → #20).</v>
      </c>
      <c r="BL40" s="27" t="s">
        <v>398</v>
      </c>
      <c r="BM40" s="27" t="s">
        <v>758</v>
      </c>
      <c r="BN40" s="27" t="s">
        <v>759</v>
      </c>
      <c r="BO40" s="27" t="s">
        <v>760</v>
      </c>
      <c r="BP40" s="27" t="s">
        <v>205</v>
      </c>
      <c r="BQ40" s="26" t="s">
        <v>206</v>
      </c>
      <c r="BR40" s="40" t="n">
        <f aca="false">IFERROR(INDEX(Campaigns!$L:$L,MATCH(BN40,Campaigns!$A:$A,0)),"")</f>
        <v>10</v>
      </c>
      <c r="BS40" s="51" t="str">
        <f aca="false">IFERROR(INDEX(Inventory!$O:$O,MATCH(BP40,Inventory!$A:$A,0)),"")</f>
        <v>OK</v>
      </c>
      <c r="BT40" s="52" t="n">
        <f aca="false">IFERROR(INDEX(Inventory!$N:$N,MATCH(BP40,Inventory!$A:$A,0)),"")</f>
        <v>91.5322601167724</v>
      </c>
      <c r="BU40" s="27" t="s">
        <v>761</v>
      </c>
      <c r="BV40" s="27" t="s">
        <v>263</v>
      </c>
      <c r="BW40" s="27" t="s">
        <v>762</v>
      </c>
      <c r="BX40" s="27" t="s">
        <v>763</v>
      </c>
      <c r="BY40" s="27" t="s">
        <v>764</v>
      </c>
      <c r="BZ40" s="27" t="s">
        <v>765</v>
      </c>
      <c r="CA40" s="27" t="s">
        <v>339</v>
      </c>
      <c r="CB40" s="27" t="s">
        <v>766</v>
      </c>
      <c r="CC40" s="27" t="s">
        <v>358</v>
      </c>
    </row>
    <row r="41" customFormat="false" ht="120" hidden="false" customHeight="true" outlineLevel="0" collapsed="false">
      <c r="A41" s="24" t="s">
        <v>767</v>
      </c>
      <c r="B41" s="25" t="n">
        <v>1</v>
      </c>
      <c r="C41" s="26" t="s">
        <v>184</v>
      </c>
      <c r="D41" s="26"/>
      <c r="E41" s="27" t="s">
        <v>321</v>
      </c>
      <c r="F41" s="28" t="n">
        <v>0.95</v>
      </c>
      <c r="G41" s="27" t="s">
        <v>187</v>
      </c>
      <c r="H41" s="26" t="s">
        <v>342</v>
      </c>
      <c r="I41" s="29" t="n">
        <v>5.5</v>
      </c>
      <c r="J41" s="27" t="s">
        <v>768</v>
      </c>
      <c r="K41" s="30" t="n">
        <v>439</v>
      </c>
      <c r="L41" s="31" t="n">
        <v>183</v>
      </c>
      <c r="M41" s="32" t="n">
        <f aca="false">L41/30</f>
        <v>6.1</v>
      </c>
      <c r="N41" s="33" t="n">
        <v>0.0119737350328312</v>
      </c>
      <c r="O41" s="27" t="s">
        <v>769</v>
      </c>
      <c r="P41" s="27" t="s">
        <v>770</v>
      </c>
      <c r="Q41" s="27" t="s">
        <v>325</v>
      </c>
      <c r="R41" s="34" t="n">
        <v>4</v>
      </c>
      <c r="S41" s="35" t="n">
        <v>20</v>
      </c>
      <c r="T41" s="36" t="s">
        <v>346</v>
      </c>
      <c r="U41" s="27" t="s">
        <v>771</v>
      </c>
      <c r="V41" s="37" t="n">
        <f aca="false">IFERROR(INDEX(Sleephoria_History!$F$454:$F$2115,MATCH($A41,Sleephoria_History!$A$454:$A$2115,0)),"")</f>
        <v>46</v>
      </c>
      <c r="W41" s="38" t="n">
        <f aca="false">IFERROR(INDEX(Sleephoria_History!$J$454:$J$2115,MATCH($A41,Sleephoria_History!$A$454:$A$2115,0)),"")</f>
        <v>0.087</v>
      </c>
      <c r="X41" s="39" t="n">
        <f aca="false">IFERROR(INDEX(Sleephoria_History!$H$454:$H$2115,MATCH($A41,Sleephoria_History!$A$454:$A$2115,0)),"")</f>
        <v>2.33</v>
      </c>
      <c r="Y41" s="38" t="n">
        <f aca="false">IFERROR(INDEX(Sleephoria_History!$M$454:$M$2115,MATCH($A41,Sleephoria_History!$A$454:$A$2115,0)),"")</f>
        <v>0.377</v>
      </c>
      <c r="Z41" s="40" t="n">
        <f aca="false">IFERROR(INDEX(Sleephoria_History!$L$454:$L$2115,MATCH($A41,Sleephoria_History!$A$454:$A$2115,0)),"")</f>
        <v>284.96</v>
      </c>
      <c r="AA41" s="37" t="str">
        <f aca="false">IFERROR(INDEX(Decolure_History!$F$397:$F$709,MATCH($A41,Decolure_History!$A$397:$A$709,0)),"")</f>
        <v/>
      </c>
      <c r="AB41" s="38" t="str">
        <f aca="false">IFERROR(INDEX(Decolure_History!$J$397:$J$709,MATCH($A41,Decolure_History!$A$397:$A$709,0)),"")</f>
        <v/>
      </c>
      <c r="AC41" s="38" t="str">
        <f aca="false">IFERROR(INDEX(Decolure_History!$M$397:$M$709,MATCH($A41,Decolure_History!$A$397:$A$709,0)),"")</f>
        <v/>
      </c>
      <c r="AD41" s="41" t="n">
        <v>0.064</v>
      </c>
      <c r="AE41" s="27" t="s">
        <v>275</v>
      </c>
      <c r="AF41" s="42" t="n">
        <v>0.406</v>
      </c>
      <c r="AG41" s="32" t="n">
        <f aca="false">M41*AF41</f>
        <v>2.4766</v>
      </c>
      <c r="AH41" s="43" t="n">
        <f aca="false">IF(AO41="Brand Defense",0,IFERROR(VLOOKUP(S41,Assumptions!$A$24:$B$28,2,FALSE()),0))</f>
        <v>0.0124</v>
      </c>
      <c r="AI41" s="28" t="n">
        <f aca="false">Assumptions!$B$6</f>
        <v>0.66</v>
      </c>
      <c r="AJ41" s="44" t="n">
        <f aca="false">AG41*AH41*AI41</f>
        <v>0.0202684944</v>
      </c>
      <c r="AK41" s="44" t="n">
        <f aca="false">AJ41*AD41</f>
        <v>0.0012971836416</v>
      </c>
      <c r="AL41" s="30" t="n">
        <f aca="false">AJ41*56</f>
        <v>1.1350356864</v>
      </c>
      <c r="AM41" s="32" t="n">
        <f aca="false">AK41*56</f>
        <v>0.0726422839296</v>
      </c>
      <c r="AN41" s="44" t="n">
        <f aca="false">M41*Assumptions!$B$8</f>
        <v>0.61</v>
      </c>
      <c r="AO41" s="27" t="s">
        <v>328</v>
      </c>
      <c r="AP41" s="27" t="s">
        <v>772</v>
      </c>
      <c r="AQ41" s="26" t="s">
        <v>198</v>
      </c>
      <c r="AR41" s="27" t="s">
        <v>756</v>
      </c>
      <c r="AS41" s="44" t="n">
        <f aca="false">IF(AO41="Ranking — Full Push",MIN(MAX(AJ41,Assumptions!$B$9),AN41),IF(AO41="Brand Defense",MIN(Assumptions!$B$7,AN41),IF(OR(AO41="Ranking — Head Term (Capped)",AO41="Ranking — Capped Entry"),MIN(MAX(AJ41,Assumptions!$B$9),Assumptions!$B$7,AN41),IF(AO41="Ranking — Capped Long-Tail",MIN(AJ41,Assumptions!$B$10,AN41),MIN(AJ41,AN41)))))</f>
        <v>0.0202684944</v>
      </c>
      <c r="AT41" s="27" t="str">
        <f aca="false">IF(AJ41&lt;=0,"",IF(AS41&gt;=AJ41,IF(AS41&gt;AJ41*1.05,"Floor of "&amp;TEXT(AS41,"0.0")&amp;" click/day to read CVR (rank needs "&amp;TEXT(AJ41,"0.00")&amp;")","Fully funded (100%)"),"Capped at "&amp;TEXT(AS41/AJ41,"0%")&amp;" of required"))</f>
        <v>Fully funded (100%)</v>
      </c>
      <c r="AU41" s="44" t="n">
        <f aca="false">AS41*AD41</f>
        <v>0.0012971836416</v>
      </c>
      <c r="AV41" s="45" t="n">
        <f aca="false">AU41*AY41</f>
        <v>0.103761719491584</v>
      </c>
      <c r="AW41" s="46" t="n">
        <v>2.33</v>
      </c>
      <c r="AX41" s="27" t="s">
        <v>773</v>
      </c>
      <c r="AY41" s="47" t="n">
        <f aca="false">INDEX(Assumptions!$B$33:$B$37,MATCH(IF($D41="","Queen",$D41),Assumptions!$A$33:$A$37,0))</f>
        <v>79.99</v>
      </c>
      <c r="AZ41" s="33" t="n">
        <f aca="false">INDEX(Assumptions!$K$33:$K$37,MATCH(IF($D41="","Queen",$D41),Assumptions!$A$33:$A$37,0))</f>
        <v>0.558660457557195</v>
      </c>
      <c r="BA41" s="33" t="n">
        <f aca="false">INDEX(Assumptions!$H$33:$H$37,MATCH(IF($D41="","Queen",$D41),Assumptions!$A$33:$A$37,0))</f>
        <v>0.37244030503813</v>
      </c>
      <c r="BB41" s="47" t="n">
        <f aca="false">AY41*AZ41*AD41</f>
        <v>2.859984</v>
      </c>
      <c r="BC41" s="47" t="n">
        <f aca="false">ROUND(MIN(AW41*Assumptions!$B$11,BB41),2)</f>
        <v>2.33</v>
      </c>
      <c r="BD41" s="26" t="s">
        <v>278</v>
      </c>
      <c r="BE41" s="48" t="n">
        <f aca="false">IF(AO41="Ranking — Full Push",MAX(0,MIN(IF(BD41="Yes",Assumptions!$B$12,Assumptions!$B$13),FLOOR(MAX(0,BB41/BC41-1),Assumptions!$B$14))),0)</f>
        <v>0</v>
      </c>
      <c r="BF41" s="49" t="str">
        <f aca="false">IF(AO41="Ranking — Full Push",IF(BE41&gt;=1,"YES — +100% Top of Search. Effective CPC $"&amp;TEXT(BG41,"0.00")&amp;" (= $"&amp;TEXT(BC41,"0.00")&amp;" × 2) stays within the $"&amp;TEXT(BB41,"0.00")&amp;" max ranking CPC"&amp;" (= $"&amp;TEXT(AY41,"0.00")&amp;" price × "&amp;TEXT(AZ41,"0.0%")&amp;" ranking ceiling × "&amp;TEXT(AD41,"0.0%")&amp;" CVR)"&amp;". Sleephoria CVR is proven on this term, so the full push is justified.",IF(AND(BD41="No",BE41&gt;=Assumptions!$B$13),"PARTIAL — +"&amp;TEXT(BE41,"0%")&amp;" Top of Search (limit for terms without proven CVR). Effective CPC $"&amp;TEXT(BG41,"0.00")&amp;" vs $"&amp;TEXT(BB41,"0.00")&amp;" max ranking CPC"&amp;" (= $"&amp;TEXT(AY41,"0.00")&amp;" price × "&amp;TEXT(AZ41,"0.0%")&amp;" ranking ceiling × "&amp;TEXT(AD41,"0.0%")&amp;" CVR)"&amp;". Raise to +100% only after CooLinens converts at ≥ "&amp;TEXT(AD41,"0.0%")&amp;" on 50+ clicks and $"&amp;TEXT(BC41*2,"0.00")&amp;" ≤ the max.",IF(BE41&gt;0,"PARTIAL — +"&amp;TEXT(BE41,"0%")&amp;" Top of Search. Effective CPC $"&amp;TEXT(BG41,"0.00")&amp;" stays within the $"&amp;TEXT(BB41,"0.00")&amp;" max ranking CPC"&amp;" (= $"&amp;TEXT(AY41,"0.00")&amp;" price × "&amp;TEXT(AZ41,"0.0%")&amp;" ranking ceiling × "&amp;TEXT(AD41,"0.0%")&amp;" CVR)"&amp;". +100% would cost $"&amp;TEXT(BC41*2,"0.00")&amp;" per click and push ACoS to "&amp;TEXT(BC41*2/(AY41*AD41),"0.0%")&amp;", above the "&amp;TEXT(AZ41,"0.0%")&amp;" ceiling.","NO — 0%. Base bid $"&amp;TEXT(BC41,"0.00")&amp;" already equals the $"&amp;TEXT(BB41,"0.00")&amp;" max ranking CPC"&amp;" (= $"&amp;TEXT(AY41,"0.00")&amp;" price × "&amp;TEXT(AZ41,"0.0%")&amp;" ranking ceiling × "&amp;TEXT(AD41,"0.0%")&amp;" CVR)"&amp;"; any modifier would push ACoS above the "&amp;TEXT(AZ41,"0.0%")&amp;" ceiling."))),IF(OR(AO41="Ranking — Head Term (Capped)",AO41="Ranking — Capped Entry",AO41="Ranking — Capped Long-Tail"),"NO — 0% (capped ranking entry). Bid $"&amp;TEXT(BC41,"0.00")&amp;" vs $"&amp;TEXT(BB41,"0.00")&amp;" max ranking CPC"&amp;" (= $"&amp;TEXT(AY41,"0.00")&amp;" price × "&amp;TEXT(AZ41,"0.0%")&amp;" ranking ceiling × "&amp;TEXT(AD41,"0.0%")&amp;" CVR)"&amp;". While spend is capped at "&amp;TEXT(AS41,"0.00")&amp;" clicks/day, a placement premium would only raise CPC without buying more rank; the modifier is set when this term moves to a full push.","NO — 0% (support / brand term). Bid $"&amp;TEXT(BC41,"0.00")&amp;" vs $"&amp;TEXT(BB41,"0.00")&amp;" max ranking CPC"&amp;" (= $"&amp;TEXT(AY41,"0.00")&amp;" price × "&amp;TEXT(AZ41,"0.0%")&amp;" ranking ceiling × "&amp;TEXT(AD41,"0.0%")&amp;" CVR)"&amp;"; expected ACoS "&amp;TEXT(BI41,"0.0%")&amp;" vs the "&amp;TEXT(AZ41,"0.0%")&amp;" ceiling."))</f>
        <v>NO — 0% (support / brand term). Bid $2.33 vs $2.86 max ranking CPC (= $79.99 price × 55.9% ranking ceiling × 6.4% CVR); expected ACoS 45.5% vs the 55.9% ceiling.</v>
      </c>
      <c r="BG41" s="50" t="n">
        <f aca="false">BC41*(1+BE41)</f>
        <v>2.33</v>
      </c>
      <c r="BH41" s="45" t="n">
        <f aca="false">AS41*BG41</f>
        <v>0.047225591952</v>
      </c>
      <c r="BI41" s="33" t="n">
        <f aca="false">IFERROR(BG41/(AY41*AD41),"")</f>
        <v>0.45513501687711</v>
      </c>
      <c r="BJ41" s="27" t="str">
        <f aca="false">IF(BI41="","",IF(BI41&lt;=BA41,"Profitable (≤ break-even)",IF(BI41&lt;=AZ41,"Ranking investment (≤ ceiling)","Above ceiling — reduce bid")))</f>
        <v>Ranking investment (≤ ceiling)</v>
      </c>
      <c r="BK41" s="49" t="str">
        <f aca="false">"Base $"&amp;TEXT(BC41,"0.00")&amp;" × (1 + "&amp;TEXT(BE41,"0%")&amp;" TOS) = $"&amp;TEXT(BG41,"0.00")&amp;" effective CPC [max $"&amp;TEXT(BB41,"0.00")&amp;"]. "&amp;TEXT(AG41,"0.0")&amp;" market clicks/day × "&amp;TEXT(AH41,"0.00%")&amp;" click share × "&amp;TEXT(AI41,"0%")&amp;" paid = "&amp;TEXT(AJ41,"0.00")&amp;" clicks/day needed; "&amp;"planned "&amp;TEXT(AS41,"0.00")&amp;" clicks/day × "&amp;TEXT(AD41,"0.0%")&amp;" CVR = "&amp;TEXT(AU41,"0.00")&amp;" orders/day. "&amp;"Spend $"&amp;TEXT(BH41,"0.00")&amp;"/day, ACoS "&amp;TEXT(BI41,"0.0%")&amp;" (ceiling "&amp;TEXT(AZ41,"0.0%")&amp;", break-even "&amp;TEXT(BA41,"0.0%")&amp;"). "&amp;"Target organic rank #"&amp;S41&amp;" by week 8 ("&amp;T41&amp;")."</f>
        <v>Base $2.33 × (1 + 0% TOS) = $2.33 effective CPC [max $2.86]. 2.5 market clicks/day × 1.24% click share × 66% paid = 0.02 clicks/day needed; planned 0.02 clicks/day × 6.4% CVR = 0.00 orders/day. Spend $0.05/day, ACoS 45.5% (ceiling 55.9%, break-even 37.2%). Target organic rank #20 by week 8 (#60 → #35 → #20).</v>
      </c>
      <c r="BL41" s="27" t="s">
        <v>774</v>
      </c>
      <c r="BM41" s="27" t="s">
        <v>758</v>
      </c>
      <c r="BN41" s="27" t="s">
        <v>759</v>
      </c>
      <c r="BO41" s="27" t="s">
        <v>775</v>
      </c>
      <c r="BP41" s="27" t="s">
        <v>205</v>
      </c>
      <c r="BQ41" s="26" t="s">
        <v>206</v>
      </c>
      <c r="BR41" s="40" t="n">
        <f aca="false">IFERROR(INDEX(Campaigns!$L:$L,MATCH(BN41,Campaigns!$A:$A,0)),"")</f>
        <v>10</v>
      </c>
      <c r="BS41" s="51" t="str">
        <f aca="false">IFERROR(INDEX(Inventory!$O:$O,MATCH(BP41,Inventory!$A:$A,0)),"")</f>
        <v>OK</v>
      </c>
      <c r="BT41" s="52" t="n">
        <f aca="false">IFERROR(INDEX(Inventory!$N:$N,MATCH(BP41,Inventory!$A:$A,0)),"")</f>
        <v>91.5322601167724</v>
      </c>
      <c r="BU41" s="27" t="s">
        <v>776</v>
      </c>
      <c r="BV41" s="27" t="s">
        <v>263</v>
      </c>
      <c r="BW41" s="27" t="s">
        <v>777</v>
      </c>
      <c r="BX41" s="27" t="s">
        <v>778</v>
      </c>
      <c r="BY41" s="27" t="s">
        <v>779</v>
      </c>
      <c r="BZ41" s="27" t="s">
        <v>286</v>
      </c>
      <c r="CA41" s="27" t="s">
        <v>339</v>
      </c>
      <c r="CB41" s="27" t="s">
        <v>780</v>
      </c>
      <c r="CC41" s="27" t="s">
        <v>358</v>
      </c>
    </row>
    <row r="42" customFormat="false" ht="120" hidden="false" customHeight="true" outlineLevel="0" collapsed="false">
      <c r="A42" s="24" t="s">
        <v>781</v>
      </c>
      <c r="B42" s="25" t="n">
        <v>1</v>
      </c>
      <c r="C42" s="26" t="s">
        <v>184</v>
      </c>
      <c r="D42" s="26" t="s">
        <v>185</v>
      </c>
      <c r="E42" s="27" t="s">
        <v>321</v>
      </c>
      <c r="F42" s="28" t="n">
        <v>1</v>
      </c>
      <c r="G42" s="27" t="s">
        <v>187</v>
      </c>
      <c r="H42" s="26" t="s">
        <v>782</v>
      </c>
      <c r="I42" s="29" t="n">
        <v>1.5</v>
      </c>
      <c r="J42" s="27" t="s">
        <v>783</v>
      </c>
      <c r="K42" s="30" t="n">
        <v>374</v>
      </c>
      <c r="L42" s="31" t="n">
        <v>284</v>
      </c>
      <c r="M42" s="32" t="n">
        <f aca="false">L42/30</f>
        <v>9.46666666666667</v>
      </c>
      <c r="N42" s="33"/>
      <c r="O42" s="27" t="s">
        <v>769</v>
      </c>
      <c r="P42" s="27" t="s">
        <v>769</v>
      </c>
      <c r="Q42" s="27" t="s">
        <v>722</v>
      </c>
      <c r="R42" s="34" t="n">
        <v>0</v>
      </c>
      <c r="S42" s="35" t="n">
        <v>20</v>
      </c>
      <c r="T42" s="36" t="s">
        <v>346</v>
      </c>
      <c r="U42" s="27" t="s">
        <v>784</v>
      </c>
      <c r="V42" s="37" t="str">
        <f aca="false">IFERROR(INDEX(Sleephoria_History!$F$454:$F$2115,MATCH($A42,Sleephoria_History!$A$454:$A$2115,0)),"")</f>
        <v/>
      </c>
      <c r="W42" s="38" t="str">
        <f aca="false">IFERROR(INDEX(Sleephoria_History!$J$454:$J$2115,MATCH($A42,Sleephoria_History!$A$454:$A$2115,0)),"")</f>
        <v/>
      </c>
      <c r="X42" s="39" t="str">
        <f aca="false">IFERROR(INDEX(Sleephoria_History!$H$454:$H$2115,MATCH($A42,Sleephoria_History!$A$454:$A$2115,0)),"")</f>
        <v/>
      </c>
      <c r="Y42" s="38" t="str">
        <f aca="false">IFERROR(INDEX(Sleephoria_History!$M$454:$M$2115,MATCH($A42,Sleephoria_History!$A$454:$A$2115,0)),"")</f>
        <v/>
      </c>
      <c r="Z42" s="40" t="str">
        <f aca="false">IFERROR(INDEX(Sleephoria_History!$L$454:$L$2115,MATCH($A42,Sleephoria_History!$A$454:$A$2115,0)),"")</f>
        <v/>
      </c>
      <c r="AA42" s="37" t="str">
        <f aca="false">IFERROR(INDEX(Decolure_History!$F$397:$F$709,MATCH($A42,Decolure_History!$A$397:$A$709,0)),"")</f>
        <v/>
      </c>
      <c r="AB42" s="38" t="str">
        <f aca="false">IFERROR(INDEX(Decolure_History!$J$397:$J$709,MATCH($A42,Decolure_History!$A$397:$A$709,0)),"")</f>
        <v/>
      </c>
      <c r="AC42" s="38" t="str">
        <f aca="false">IFERROR(INDEX(Decolure_History!$M$397:$M$709,MATCH($A42,Decolure_History!$A$397:$A$709,0)),"")</f>
        <v/>
      </c>
      <c r="AD42" s="41" t="n">
        <v>0.064</v>
      </c>
      <c r="AE42" s="27" t="s">
        <v>275</v>
      </c>
      <c r="AF42" s="42" t="n">
        <v>0.478</v>
      </c>
      <c r="AG42" s="32" t="n">
        <f aca="false">M42*AF42</f>
        <v>4.52506666666667</v>
      </c>
      <c r="AH42" s="43" t="n">
        <f aca="false">IF(AO42="Brand Defense",0,IFERROR(VLOOKUP(S42,Assumptions!$A$24:$B$28,2,FALSE()),0))</f>
        <v>0.0124</v>
      </c>
      <c r="AI42" s="28" t="n">
        <f aca="false">Assumptions!$B$6</f>
        <v>0.66</v>
      </c>
      <c r="AJ42" s="44" t="n">
        <f aca="false">AG42*AH42*AI42</f>
        <v>0.0370331456</v>
      </c>
      <c r="AK42" s="44" t="n">
        <f aca="false">AJ42*AD42</f>
        <v>0.0023701213184</v>
      </c>
      <c r="AL42" s="30" t="n">
        <f aca="false">AJ42*56</f>
        <v>2.0738561536</v>
      </c>
      <c r="AM42" s="32" t="n">
        <f aca="false">AK42*56</f>
        <v>0.1327267938304</v>
      </c>
      <c r="AN42" s="44" t="n">
        <f aca="false">M42*Assumptions!$B$8</f>
        <v>0.946666666666667</v>
      </c>
      <c r="AO42" s="27" t="s">
        <v>328</v>
      </c>
      <c r="AP42" s="27" t="s">
        <v>785</v>
      </c>
      <c r="AQ42" s="26" t="s">
        <v>198</v>
      </c>
      <c r="AR42" s="27" t="s">
        <v>756</v>
      </c>
      <c r="AS42" s="44" t="n">
        <f aca="false">IF(AO42="Ranking — Full Push",MIN(MAX(AJ42,Assumptions!$B$9),AN42),IF(AO42="Brand Defense",MIN(Assumptions!$B$7,AN42),IF(OR(AO42="Ranking — Head Term (Capped)",AO42="Ranking — Capped Entry"),MIN(MAX(AJ42,Assumptions!$B$9),Assumptions!$B$7,AN42),IF(AO42="Ranking — Capped Long-Tail",MIN(AJ42,Assumptions!$B$10,AN42),MIN(AJ42,AN42)))))</f>
        <v>0.0370331456</v>
      </c>
      <c r="AT42" s="27" t="str">
        <f aca="false">IF(AJ42&lt;=0,"",IF(AS42&gt;=AJ42,IF(AS42&gt;AJ42*1.05,"Floor of "&amp;TEXT(AS42,"0.0")&amp;" click/day to read CVR (rank needs "&amp;TEXT(AJ42,"0.00")&amp;")","Fully funded (100%)"),"Capped at "&amp;TEXT(AS42/AJ42,"0%")&amp;" of required"))</f>
        <v>Fully funded (100%)</v>
      </c>
      <c r="AU42" s="44" t="n">
        <f aca="false">AS42*AD42</f>
        <v>0.0023701213184</v>
      </c>
      <c r="AV42" s="45" t="n">
        <f aca="false">AU42*AY42</f>
        <v>0.189586004258816</v>
      </c>
      <c r="AW42" s="46" t="n">
        <v>2.18</v>
      </c>
      <c r="AX42" s="27" t="s">
        <v>295</v>
      </c>
      <c r="AY42" s="47" t="n">
        <f aca="false">INDEX(Assumptions!$B$33:$B$37,MATCH(IF($D42="","Queen",$D42),Assumptions!$A$33:$A$37,0))</f>
        <v>79.99</v>
      </c>
      <c r="AZ42" s="33" t="n">
        <f aca="false">INDEX(Assumptions!$K$33:$K$37,MATCH(IF($D42="","Queen",$D42),Assumptions!$A$33:$A$37,0))</f>
        <v>0.558660457557195</v>
      </c>
      <c r="BA42" s="33" t="n">
        <f aca="false">INDEX(Assumptions!$H$33:$H$37,MATCH(IF($D42="","Queen",$D42),Assumptions!$A$33:$A$37,0))</f>
        <v>0.37244030503813</v>
      </c>
      <c r="BB42" s="47" t="n">
        <f aca="false">AY42*AZ42*AD42</f>
        <v>2.859984</v>
      </c>
      <c r="BC42" s="47" t="n">
        <f aca="false">ROUND(MIN(AW42*Assumptions!$B$11,BB42),2)</f>
        <v>2.18</v>
      </c>
      <c r="BD42" s="26" t="s">
        <v>278</v>
      </c>
      <c r="BE42" s="48" t="n">
        <f aca="false">IF(AO42="Ranking — Full Push",MAX(0,MIN(IF(BD42="Yes",Assumptions!$B$12,Assumptions!$B$13),FLOOR(MAX(0,BB42/BC42-1),Assumptions!$B$14))),0)</f>
        <v>0</v>
      </c>
      <c r="BF42" s="49" t="str">
        <f aca="false">IF(AO42="Ranking — Full Push",IF(BE42&gt;=1,"YES — +100% Top of Search. Effective CPC $"&amp;TEXT(BG42,"0.00")&amp;" (= $"&amp;TEXT(BC42,"0.00")&amp;" × 2) stays within the $"&amp;TEXT(BB42,"0.00")&amp;" max ranking CPC"&amp;" (= $"&amp;TEXT(AY42,"0.00")&amp;" price × "&amp;TEXT(AZ42,"0.0%")&amp;" ranking ceiling × "&amp;TEXT(AD42,"0.0%")&amp;" CVR)"&amp;". Sleephoria CVR is proven on this term, so the full push is justified.",IF(AND(BD42="No",BE42&gt;=Assumptions!$B$13),"PARTIAL — +"&amp;TEXT(BE42,"0%")&amp;" Top of Search (limit for terms without proven CVR). Effective CPC $"&amp;TEXT(BG42,"0.00")&amp;" vs $"&amp;TEXT(BB42,"0.00")&amp;" max ranking CPC"&amp;" (= $"&amp;TEXT(AY42,"0.00")&amp;" price × "&amp;TEXT(AZ42,"0.0%")&amp;" ranking ceiling × "&amp;TEXT(AD42,"0.0%")&amp;" CVR)"&amp;". Raise to +100% only after CooLinens converts at ≥ "&amp;TEXT(AD42,"0.0%")&amp;" on 50+ clicks and $"&amp;TEXT(BC42*2,"0.00")&amp;" ≤ the max.",IF(BE42&gt;0,"PARTIAL — +"&amp;TEXT(BE42,"0%")&amp;" Top of Search. Effective CPC $"&amp;TEXT(BG42,"0.00")&amp;" stays within the $"&amp;TEXT(BB42,"0.00")&amp;" max ranking CPC"&amp;" (= $"&amp;TEXT(AY42,"0.00")&amp;" price × "&amp;TEXT(AZ42,"0.0%")&amp;" ranking ceiling × "&amp;TEXT(AD42,"0.0%")&amp;" CVR)"&amp;". +100% would cost $"&amp;TEXT(BC42*2,"0.00")&amp;" per click and push ACoS to "&amp;TEXT(BC42*2/(AY42*AD42),"0.0%")&amp;", above the "&amp;TEXT(AZ42,"0.0%")&amp;" ceiling.","NO — 0%. Base bid $"&amp;TEXT(BC42,"0.00")&amp;" already equals the $"&amp;TEXT(BB42,"0.00")&amp;" max ranking CPC"&amp;" (= $"&amp;TEXT(AY42,"0.00")&amp;" price × "&amp;TEXT(AZ42,"0.0%")&amp;" ranking ceiling × "&amp;TEXT(AD42,"0.0%")&amp;" CVR)"&amp;"; any modifier would push ACoS above the "&amp;TEXT(AZ42,"0.0%")&amp;" ceiling."))),IF(OR(AO42="Ranking — Head Term (Capped)",AO42="Ranking — Capped Entry",AO42="Ranking — Capped Long-Tail"),"NO — 0% (capped ranking entry). Bid $"&amp;TEXT(BC42,"0.00")&amp;" vs $"&amp;TEXT(BB42,"0.00")&amp;" max ranking CPC"&amp;" (= $"&amp;TEXT(AY42,"0.00")&amp;" price × "&amp;TEXT(AZ42,"0.0%")&amp;" ranking ceiling × "&amp;TEXT(AD42,"0.0%")&amp;" CVR)"&amp;". While spend is capped at "&amp;TEXT(AS42,"0.00")&amp;" clicks/day, a placement premium would only raise CPC without buying more rank; the modifier is set when this term moves to a full push.","NO — 0% (support / brand term). Bid $"&amp;TEXT(BC42,"0.00")&amp;" vs $"&amp;TEXT(BB42,"0.00")&amp;" max ranking CPC"&amp;" (= $"&amp;TEXT(AY42,"0.00")&amp;" price × "&amp;TEXT(AZ42,"0.0%")&amp;" ranking ceiling × "&amp;TEXT(AD42,"0.0%")&amp;" CVR)"&amp;"; expected ACoS "&amp;TEXT(BI42,"0.0%")&amp;" vs the "&amp;TEXT(AZ42,"0.0%")&amp;" ceiling."))</f>
        <v>NO — 0% (support / brand term). Bid $2.18 vs $2.86 max ranking CPC (= $79.99 price × 55.9% ranking ceiling × 6.4% CVR); expected ACoS 42.6% vs the 55.9% ceiling.</v>
      </c>
      <c r="BG42" s="50" t="n">
        <f aca="false">BC42*(1+BE42)</f>
        <v>2.18</v>
      </c>
      <c r="BH42" s="45" t="n">
        <f aca="false">AS42*BG42</f>
        <v>0.080732257408</v>
      </c>
      <c r="BI42" s="33" t="n">
        <f aca="false">IFERROR(BG42/(AY42*AD42),"")</f>
        <v>0.425834479309914</v>
      </c>
      <c r="BJ42" s="27" t="str">
        <f aca="false">IF(BI42="","",IF(BI42&lt;=BA42,"Profitable (≤ break-even)",IF(BI42&lt;=AZ42,"Ranking investment (≤ ceiling)","Above ceiling — reduce bid")))</f>
        <v>Ranking investment (≤ ceiling)</v>
      </c>
      <c r="BK42" s="49" t="str">
        <f aca="false">"Base $"&amp;TEXT(BC42,"0.00")&amp;" × (1 + "&amp;TEXT(BE42,"0%")&amp;" TOS) = $"&amp;TEXT(BG42,"0.00")&amp;" effective CPC [max $"&amp;TEXT(BB42,"0.00")&amp;"]. "&amp;TEXT(AG42,"0.0")&amp;" market clicks/day × "&amp;TEXT(AH42,"0.00%")&amp;" click share × "&amp;TEXT(AI42,"0%")&amp;" paid = "&amp;TEXT(AJ42,"0.00")&amp;" clicks/day needed; "&amp;"planned "&amp;TEXT(AS42,"0.00")&amp;" clicks/day × "&amp;TEXT(AD42,"0.0%")&amp;" CVR = "&amp;TEXT(AU42,"0.00")&amp;" orders/day. "&amp;"Spend $"&amp;TEXT(BH42,"0.00")&amp;"/day, ACoS "&amp;TEXT(BI42,"0.0%")&amp;" (ceiling "&amp;TEXT(AZ42,"0.0%")&amp;", break-even "&amp;TEXT(BA42,"0.0%")&amp;"). "&amp;"Target organic rank #"&amp;S42&amp;" by week 8 ("&amp;T42&amp;")."</f>
        <v>Base $2.18 × (1 + 0% TOS) = $2.18 effective CPC [max $2.86]. 4.5 market clicks/day × 1.24% click share × 66% paid = 0.04 clicks/day needed; planned 0.04 clicks/day × 6.4% CVR = 0.00 orders/day. Spend $0.08/day, ACoS 42.6% (ceiling 55.9%, break-even 37.2%). Target organic rank #20 by week 8 (#60 → #35 → #20).</v>
      </c>
      <c r="BL42" s="27" t="s">
        <v>202</v>
      </c>
      <c r="BM42" s="27" t="s">
        <v>758</v>
      </c>
      <c r="BN42" s="27" t="s">
        <v>786</v>
      </c>
      <c r="BO42" s="27" t="s">
        <v>787</v>
      </c>
      <c r="BP42" s="27" t="s">
        <v>788</v>
      </c>
      <c r="BQ42" s="26" t="s">
        <v>789</v>
      </c>
      <c r="BR42" s="40" t="n">
        <f aca="false">IFERROR(INDEX(Campaigns!$L:$L,MATCH(BN42,Campaigns!$A:$A,0)),"")</f>
        <v>10</v>
      </c>
      <c r="BS42" s="51" t="str">
        <f aca="false">IFERROR(INDEX(Inventory!$O:$O,MATCH(BP42,Inventory!$A:$A,0)),"")</f>
        <v>OK</v>
      </c>
      <c r="BT42" s="52" t="n">
        <f aca="false">IFERROR(INDEX(Inventory!$N:$N,MATCH(BP42,Inventory!$A:$A,0)),"")</f>
        <v>999</v>
      </c>
      <c r="BU42" s="27" t="s">
        <v>790</v>
      </c>
      <c r="BV42" s="27" t="s">
        <v>263</v>
      </c>
      <c r="BW42" s="27" t="s">
        <v>791</v>
      </c>
      <c r="BX42" s="27" t="s">
        <v>792</v>
      </c>
      <c r="BY42" s="27" t="s">
        <v>793</v>
      </c>
      <c r="BZ42" s="27" t="s">
        <v>794</v>
      </c>
      <c r="CA42" s="27" t="s">
        <v>213</v>
      </c>
      <c r="CB42" s="27" t="s">
        <v>795</v>
      </c>
      <c r="CC42" s="27" t="s">
        <v>358</v>
      </c>
    </row>
    <row r="43" customFormat="false" ht="120" hidden="false" customHeight="true" outlineLevel="0" collapsed="false">
      <c r="A43" s="24" t="s">
        <v>796</v>
      </c>
      <c r="B43" s="25" t="n">
        <v>1</v>
      </c>
      <c r="C43" s="26" t="s">
        <v>184</v>
      </c>
      <c r="D43" s="26" t="s">
        <v>185</v>
      </c>
      <c r="E43" s="27" t="s">
        <v>321</v>
      </c>
      <c r="F43" s="28" t="n">
        <v>1</v>
      </c>
      <c r="G43" s="27" t="s">
        <v>187</v>
      </c>
      <c r="H43" s="26" t="s">
        <v>782</v>
      </c>
      <c r="I43" s="29" t="n">
        <v>1.5</v>
      </c>
      <c r="J43" s="27" t="s">
        <v>783</v>
      </c>
      <c r="K43" s="30" t="n">
        <v>339</v>
      </c>
      <c r="L43" s="31" t="n">
        <v>258</v>
      </c>
      <c r="M43" s="32" t="n">
        <f aca="false">L43/30</f>
        <v>8.6</v>
      </c>
      <c r="N43" s="33"/>
      <c r="O43" s="27" t="s">
        <v>769</v>
      </c>
      <c r="P43" s="27" t="s">
        <v>769</v>
      </c>
      <c r="Q43" s="27" t="s">
        <v>722</v>
      </c>
      <c r="R43" s="34" t="n">
        <v>0</v>
      </c>
      <c r="S43" s="35" t="n">
        <v>20</v>
      </c>
      <c r="T43" s="36" t="s">
        <v>346</v>
      </c>
      <c r="U43" s="27" t="s">
        <v>784</v>
      </c>
      <c r="V43" s="37" t="n">
        <f aca="false">IFERROR(INDEX(Sleephoria_History!$F$454:$F$2115,MATCH($A43,Sleephoria_History!$A$454:$A$2115,0)),"")</f>
        <v>4</v>
      </c>
      <c r="W43" s="38" t="n">
        <f aca="false">IFERROR(INDEX(Sleephoria_History!$J$454:$J$2115,MATCH($A43,Sleephoria_History!$A$454:$A$2115,0)),"")</f>
        <v>0</v>
      </c>
      <c r="X43" s="39" t="n">
        <f aca="false">IFERROR(INDEX(Sleephoria_History!$H$454:$H$2115,MATCH($A43,Sleephoria_History!$A$454:$A$2115,0)),"")</f>
        <v>1.88</v>
      </c>
      <c r="Y43" s="38" t="n">
        <f aca="false">IFERROR(INDEX(Sleephoria_History!$M$454:$M$2115,MATCH($A43,Sleephoria_History!$A$454:$A$2115,0)),"")</f>
        <v>0</v>
      </c>
      <c r="Z43" s="40" t="n">
        <f aca="false">IFERROR(INDEX(Sleephoria_History!$L$454:$L$2115,MATCH($A43,Sleephoria_History!$A$454:$A$2115,0)),"")</f>
        <v>0</v>
      </c>
      <c r="AA43" s="37" t="str">
        <f aca="false">IFERROR(INDEX(Decolure_History!$F$397:$F$709,MATCH($A43,Decolure_History!$A$397:$A$709,0)),"")</f>
        <v/>
      </c>
      <c r="AB43" s="38" t="str">
        <f aca="false">IFERROR(INDEX(Decolure_History!$J$397:$J$709,MATCH($A43,Decolure_History!$A$397:$A$709,0)),"")</f>
        <v/>
      </c>
      <c r="AC43" s="38" t="str">
        <f aca="false">IFERROR(INDEX(Decolure_History!$M$397:$M$709,MATCH($A43,Decolure_History!$A$397:$A$709,0)),"")</f>
        <v/>
      </c>
      <c r="AD43" s="41" t="n">
        <v>0.064</v>
      </c>
      <c r="AE43" s="27" t="s">
        <v>275</v>
      </c>
      <c r="AF43" s="42" t="n">
        <v>0.478</v>
      </c>
      <c r="AG43" s="32" t="n">
        <f aca="false">M43*AF43</f>
        <v>4.1108</v>
      </c>
      <c r="AH43" s="43" t="n">
        <f aca="false">IF(AO43="Brand Defense",0,IFERROR(VLOOKUP(S43,Assumptions!$A$24:$B$28,2,FALSE()),0))</f>
        <v>0.0124</v>
      </c>
      <c r="AI43" s="28" t="n">
        <f aca="false">Assumptions!$B$6</f>
        <v>0.66</v>
      </c>
      <c r="AJ43" s="44" t="n">
        <f aca="false">AG43*AH43*AI43</f>
        <v>0.0336427872</v>
      </c>
      <c r="AK43" s="44" t="n">
        <f aca="false">AJ43*AD43</f>
        <v>0.0021531383808</v>
      </c>
      <c r="AL43" s="30" t="n">
        <f aca="false">AJ43*56</f>
        <v>1.8839960832</v>
      </c>
      <c r="AM43" s="32" t="n">
        <f aca="false">AK43*56</f>
        <v>0.1205757493248</v>
      </c>
      <c r="AN43" s="44" t="n">
        <f aca="false">M43*Assumptions!$B$8</f>
        <v>0.86</v>
      </c>
      <c r="AO43" s="27" t="s">
        <v>328</v>
      </c>
      <c r="AP43" s="27" t="s">
        <v>785</v>
      </c>
      <c r="AQ43" s="26" t="s">
        <v>198</v>
      </c>
      <c r="AR43" s="27" t="s">
        <v>756</v>
      </c>
      <c r="AS43" s="44" t="n">
        <f aca="false">IF(AO43="Ranking — Full Push",MIN(MAX(AJ43,Assumptions!$B$9),AN43),IF(AO43="Brand Defense",MIN(Assumptions!$B$7,AN43),IF(OR(AO43="Ranking — Head Term (Capped)",AO43="Ranking — Capped Entry"),MIN(MAX(AJ43,Assumptions!$B$9),Assumptions!$B$7,AN43),IF(AO43="Ranking — Capped Long-Tail",MIN(AJ43,Assumptions!$B$10,AN43),MIN(AJ43,AN43)))))</f>
        <v>0.0336427872</v>
      </c>
      <c r="AT43" s="27" t="str">
        <f aca="false">IF(AJ43&lt;=0,"",IF(AS43&gt;=AJ43,IF(AS43&gt;AJ43*1.05,"Floor of "&amp;TEXT(AS43,"0.0")&amp;" click/day to read CVR (rank needs "&amp;TEXT(AJ43,"0.00")&amp;")","Fully funded (100%)"),"Capped at "&amp;TEXT(AS43/AJ43,"0%")&amp;" of required"))</f>
        <v>Fully funded (100%)</v>
      </c>
      <c r="AU43" s="44" t="n">
        <f aca="false">AS43*AD43</f>
        <v>0.0021531383808</v>
      </c>
      <c r="AV43" s="45" t="n">
        <f aca="false">AU43*AY43</f>
        <v>0.172229539080192</v>
      </c>
      <c r="AW43" s="46" t="n">
        <v>2.18</v>
      </c>
      <c r="AX43" s="27" t="s">
        <v>295</v>
      </c>
      <c r="AY43" s="47" t="n">
        <f aca="false">INDEX(Assumptions!$B$33:$B$37,MATCH(IF($D43="","Queen",$D43),Assumptions!$A$33:$A$37,0))</f>
        <v>79.99</v>
      </c>
      <c r="AZ43" s="33" t="n">
        <f aca="false">INDEX(Assumptions!$K$33:$K$37,MATCH(IF($D43="","Queen",$D43),Assumptions!$A$33:$A$37,0))</f>
        <v>0.558660457557195</v>
      </c>
      <c r="BA43" s="33" t="n">
        <f aca="false">INDEX(Assumptions!$H$33:$H$37,MATCH(IF($D43="","Queen",$D43),Assumptions!$A$33:$A$37,0))</f>
        <v>0.37244030503813</v>
      </c>
      <c r="BB43" s="47" t="n">
        <f aca="false">AY43*AZ43*AD43</f>
        <v>2.859984</v>
      </c>
      <c r="BC43" s="47" t="n">
        <f aca="false">ROUND(MIN(AW43*Assumptions!$B$11,BB43),2)</f>
        <v>2.18</v>
      </c>
      <c r="BD43" s="26" t="s">
        <v>278</v>
      </c>
      <c r="BE43" s="48" t="n">
        <f aca="false">IF(AO43="Ranking — Full Push",MAX(0,MIN(IF(BD43="Yes",Assumptions!$B$12,Assumptions!$B$13),FLOOR(MAX(0,BB43/BC43-1),Assumptions!$B$14))),0)</f>
        <v>0</v>
      </c>
      <c r="BF43" s="49" t="str">
        <f aca="false">IF(AO43="Ranking — Full Push",IF(BE43&gt;=1,"YES — +100% Top of Search. Effective CPC $"&amp;TEXT(BG43,"0.00")&amp;" (= $"&amp;TEXT(BC43,"0.00")&amp;" × 2) stays within the $"&amp;TEXT(BB43,"0.00")&amp;" max ranking CPC"&amp;" (= $"&amp;TEXT(AY43,"0.00")&amp;" price × "&amp;TEXT(AZ43,"0.0%")&amp;" ranking ceiling × "&amp;TEXT(AD43,"0.0%")&amp;" CVR)"&amp;". Sleephoria CVR is proven on this term, so the full push is justified.",IF(AND(BD43="No",BE43&gt;=Assumptions!$B$13),"PARTIAL — +"&amp;TEXT(BE43,"0%")&amp;" Top of Search (limit for terms without proven CVR). Effective CPC $"&amp;TEXT(BG43,"0.00")&amp;" vs $"&amp;TEXT(BB43,"0.00")&amp;" max ranking CPC"&amp;" (= $"&amp;TEXT(AY43,"0.00")&amp;" price × "&amp;TEXT(AZ43,"0.0%")&amp;" ranking ceiling × "&amp;TEXT(AD43,"0.0%")&amp;" CVR)"&amp;". Raise to +100% only after CooLinens converts at ≥ "&amp;TEXT(AD43,"0.0%")&amp;" on 50+ clicks and $"&amp;TEXT(BC43*2,"0.00")&amp;" ≤ the max.",IF(BE43&gt;0,"PARTIAL — +"&amp;TEXT(BE43,"0%")&amp;" Top of Search. Effective CPC $"&amp;TEXT(BG43,"0.00")&amp;" stays within the $"&amp;TEXT(BB43,"0.00")&amp;" max ranking CPC"&amp;" (= $"&amp;TEXT(AY43,"0.00")&amp;" price × "&amp;TEXT(AZ43,"0.0%")&amp;" ranking ceiling × "&amp;TEXT(AD43,"0.0%")&amp;" CVR)"&amp;". +100% would cost $"&amp;TEXT(BC43*2,"0.00")&amp;" per click and push ACoS to "&amp;TEXT(BC43*2/(AY43*AD43),"0.0%")&amp;", above the "&amp;TEXT(AZ43,"0.0%")&amp;" ceiling.","NO — 0%. Base bid $"&amp;TEXT(BC43,"0.00")&amp;" already equals the $"&amp;TEXT(BB43,"0.00")&amp;" max ranking CPC"&amp;" (= $"&amp;TEXT(AY43,"0.00")&amp;" price × "&amp;TEXT(AZ43,"0.0%")&amp;" ranking ceiling × "&amp;TEXT(AD43,"0.0%")&amp;" CVR)"&amp;"; any modifier would push ACoS above the "&amp;TEXT(AZ43,"0.0%")&amp;" ceiling."))),IF(OR(AO43="Ranking — Head Term (Capped)",AO43="Ranking — Capped Entry",AO43="Ranking — Capped Long-Tail"),"NO — 0% (capped ranking entry). Bid $"&amp;TEXT(BC43,"0.00")&amp;" vs $"&amp;TEXT(BB43,"0.00")&amp;" max ranking CPC"&amp;" (= $"&amp;TEXT(AY43,"0.00")&amp;" price × "&amp;TEXT(AZ43,"0.0%")&amp;" ranking ceiling × "&amp;TEXT(AD43,"0.0%")&amp;" CVR)"&amp;". While spend is capped at "&amp;TEXT(AS43,"0.00")&amp;" clicks/day, a placement premium would only raise CPC without buying more rank; the modifier is set when this term moves to a full push.","NO — 0% (support / brand term). Bid $"&amp;TEXT(BC43,"0.00")&amp;" vs $"&amp;TEXT(BB43,"0.00")&amp;" max ranking CPC"&amp;" (= $"&amp;TEXT(AY43,"0.00")&amp;" price × "&amp;TEXT(AZ43,"0.0%")&amp;" ranking ceiling × "&amp;TEXT(AD43,"0.0%")&amp;" CVR)"&amp;"; expected ACoS "&amp;TEXT(BI43,"0.0%")&amp;" vs the "&amp;TEXT(AZ43,"0.0%")&amp;" ceiling."))</f>
        <v>NO — 0% (support / brand term). Bid $2.18 vs $2.86 max ranking CPC (= $79.99 price × 55.9% ranking ceiling × 6.4% CVR); expected ACoS 42.6% vs the 55.9% ceiling.</v>
      </c>
      <c r="BG43" s="50" t="n">
        <f aca="false">BC43*(1+BE43)</f>
        <v>2.18</v>
      </c>
      <c r="BH43" s="45" t="n">
        <f aca="false">AS43*BG43</f>
        <v>0.073341276096</v>
      </c>
      <c r="BI43" s="33" t="n">
        <f aca="false">IFERROR(BG43/(AY43*AD43),"")</f>
        <v>0.425834479309914</v>
      </c>
      <c r="BJ43" s="27" t="str">
        <f aca="false">IF(BI43="","",IF(BI43&lt;=BA43,"Profitable (≤ break-even)",IF(BI43&lt;=AZ43,"Ranking investment (≤ ceiling)","Above ceiling — reduce bid")))</f>
        <v>Ranking investment (≤ ceiling)</v>
      </c>
      <c r="BK43" s="49" t="str">
        <f aca="false">"Base $"&amp;TEXT(BC43,"0.00")&amp;" × (1 + "&amp;TEXT(BE43,"0%")&amp;" TOS) = $"&amp;TEXT(BG43,"0.00")&amp;" effective CPC [max $"&amp;TEXT(BB43,"0.00")&amp;"]. "&amp;TEXT(AG43,"0.0")&amp;" market clicks/day × "&amp;TEXT(AH43,"0.00%")&amp;" click share × "&amp;TEXT(AI43,"0%")&amp;" paid = "&amp;TEXT(AJ43,"0.00")&amp;" clicks/day needed; "&amp;"planned "&amp;TEXT(AS43,"0.00")&amp;" clicks/day × "&amp;TEXT(AD43,"0.0%")&amp;" CVR = "&amp;TEXT(AU43,"0.00")&amp;" orders/day. "&amp;"Spend $"&amp;TEXT(BH43,"0.00")&amp;"/day, ACoS "&amp;TEXT(BI43,"0.0%")&amp;" (ceiling "&amp;TEXT(AZ43,"0.0%")&amp;", break-even "&amp;TEXT(BA43,"0.0%")&amp;"). "&amp;"Target organic rank #"&amp;S43&amp;" by week 8 ("&amp;T43&amp;")."</f>
        <v>Base $2.18 × (1 + 0% TOS) = $2.18 effective CPC [max $2.86]. 4.1 market clicks/day × 1.24% click share × 66% paid = 0.03 clicks/day needed; planned 0.03 clicks/day × 6.4% CVR = 0.00 orders/day. Spend $0.07/day, ACoS 42.6% (ceiling 55.9%, break-even 37.2%). Target organic rank #20 by week 8 (#60 → #35 → #20).</v>
      </c>
      <c r="BL43" s="27" t="s">
        <v>202</v>
      </c>
      <c r="BM43" s="27" t="s">
        <v>758</v>
      </c>
      <c r="BN43" s="27" t="s">
        <v>786</v>
      </c>
      <c r="BO43" s="27" t="s">
        <v>797</v>
      </c>
      <c r="BP43" s="27" t="s">
        <v>205</v>
      </c>
      <c r="BQ43" s="26" t="s">
        <v>206</v>
      </c>
      <c r="BR43" s="40" t="n">
        <f aca="false">IFERROR(INDEX(Campaigns!$L:$L,MATCH(BN43,Campaigns!$A:$A,0)),"")</f>
        <v>10</v>
      </c>
      <c r="BS43" s="51" t="str">
        <f aca="false">IFERROR(INDEX(Inventory!$O:$O,MATCH(BP43,Inventory!$A:$A,0)),"")</f>
        <v>OK</v>
      </c>
      <c r="BT43" s="52" t="n">
        <f aca="false">IFERROR(INDEX(Inventory!$N:$N,MATCH(BP43,Inventory!$A:$A,0)),"")</f>
        <v>91.5322601167724</v>
      </c>
      <c r="BU43" s="27" t="s">
        <v>798</v>
      </c>
      <c r="BV43" s="27" t="s">
        <v>263</v>
      </c>
      <c r="BW43" s="27" t="s">
        <v>799</v>
      </c>
      <c r="BX43" s="27" t="s">
        <v>800</v>
      </c>
      <c r="BY43" s="27" t="s">
        <v>793</v>
      </c>
      <c r="BZ43" s="27" t="s">
        <v>794</v>
      </c>
      <c r="CA43" s="27" t="s">
        <v>213</v>
      </c>
      <c r="CB43" s="27" t="s">
        <v>801</v>
      </c>
      <c r="CC43" s="27" t="s">
        <v>358</v>
      </c>
    </row>
    <row r="44" customFormat="false" ht="120" hidden="false" customHeight="true" outlineLevel="0" collapsed="false">
      <c r="A44" s="24" t="s">
        <v>802</v>
      </c>
      <c r="B44" s="25" t="n">
        <v>1</v>
      </c>
      <c r="C44" s="26" t="s">
        <v>184</v>
      </c>
      <c r="D44" s="26" t="s">
        <v>185</v>
      </c>
      <c r="E44" s="27" t="s">
        <v>321</v>
      </c>
      <c r="F44" s="28" t="n">
        <v>1</v>
      </c>
      <c r="G44" s="27" t="s">
        <v>187</v>
      </c>
      <c r="H44" s="26" t="s">
        <v>782</v>
      </c>
      <c r="I44" s="29" t="n">
        <v>1.5</v>
      </c>
      <c r="J44" s="27" t="s">
        <v>783</v>
      </c>
      <c r="K44" s="30" t="n">
        <v>337</v>
      </c>
      <c r="L44" s="31" t="n">
        <v>256</v>
      </c>
      <c r="M44" s="32" t="n">
        <f aca="false">L44/30</f>
        <v>8.53333333333333</v>
      </c>
      <c r="N44" s="33"/>
      <c r="O44" s="27" t="s">
        <v>769</v>
      </c>
      <c r="P44" s="27" t="s">
        <v>769</v>
      </c>
      <c r="Q44" s="27" t="s">
        <v>722</v>
      </c>
      <c r="R44" s="34" t="n">
        <v>0</v>
      </c>
      <c r="S44" s="35" t="n">
        <v>20</v>
      </c>
      <c r="T44" s="36" t="s">
        <v>346</v>
      </c>
      <c r="U44" s="27" t="s">
        <v>784</v>
      </c>
      <c r="V44" s="37" t="n">
        <f aca="false">IFERROR(INDEX(Sleephoria_History!$F$454:$F$2115,MATCH($A44,Sleephoria_History!$A$454:$A$2115,0)),"")</f>
        <v>7</v>
      </c>
      <c r="W44" s="38" t="n">
        <f aca="false">IFERROR(INDEX(Sleephoria_History!$J$454:$J$2115,MATCH($A44,Sleephoria_History!$A$454:$A$2115,0)),"")</f>
        <v>0.2857</v>
      </c>
      <c r="X44" s="39" t="n">
        <f aca="false">IFERROR(INDEX(Sleephoria_History!$H$454:$H$2115,MATCH($A44,Sleephoria_History!$A$454:$A$2115,0)),"")</f>
        <v>2.48</v>
      </c>
      <c r="Y44" s="38" t="n">
        <f aca="false">IFERROR(INDEX(Sleephoria_History!$M$454:$M$2115,MATCH($A44,Sleephoria_History!$A$454:$A$2115,0)),"")</f>
        <v>0.12</v>
      </c>
      <c r="Z44" s="40" t="n">
        <f aca="false">IFERROR(INDEX(Sleephoria_History!$L$454:$L$2115,MATCH($A44,Sleephoria_History!$A$454:$A$2115,0)),"")</f>
        <v>144.98</v>
      </c>
      <c r="AA44" s="37" t="str">
        <f aca="false">IFERROR(INDEX(Decolure_History!$F$397:$F$709,MATCH($A44,Decolure_History!$A$397:$A$709,0)),"")</f>
        <v/>
      </c>
      <c r="AB44" s="38" t="str">
        <f aca="false">IFERROR(INDEX(Decolure_History!$J$397:$J$709,MATCH($A44,Decolure_History!$A$397:$A$709,0)),"")</f>
        <v/>
      </c>
      <c r="AC44" s="38" t="str">
        <f aca="false">IFERROR(INDEX(Decolure_History!$M$397:$M$709,MATCH($A44,Decolure_History!$A$397:$A$709,0)),"")</f>
        <v/>
      </c>
      <c r="AD44" s="41" t="n">
        <v>0.064</v>
      </c>
      <c r="AE44" s="27" t="s">
        <v>275</v>
      </c>
      <c r="AF44" s="42" t="n">
        <v>0.478</v>
      </c>
      <c r="AG44" s="32" t="n">
        <f aca="false">M44*AF44</f>
        <v>4.07893333333333</v>
      </c>
      <c r="AH44" s="43" t="n">
        <f aca="false">IF(AO44="Brand Defense",0,IFERROR(VLOOKUP(S44,Assumptions!$A$24:$B$28,2,FALSE()),0))</f>
        <v>0.0124</v>
      </c>
      <c r="AI44" s="28" t="n">
        <f aca="false">Assumptions!$B$6</f>
        <v>0.66</v>
      </c>
      <c r="AJ44" s="44" t="n">
        <f aca="false">AG44*AH44*AI44</f>
        <v>0.0333819904</v>
      </c>
      <c r="AK44" s="44" t="n">
        <f aca="false">AJ44*AD44</f>
        <v>0.0021364473856</v>
      </c>
      <c r="AL44" s="30" t="n">
        <f aca="false">AJ44*56</f>
        <v>1.8693914624</v>
      </c>
      <c r="AM44" s="32" t="n">
        <f aca="false">AK44*56</f>
        <v>0.1196410535936</v>
      </c>
      <c r="AN44" s="44" t="n">
        <f aca="false">M44*Assumptions!$B$8</f>
        <v>0.853333333333333</v>
      </c>
      <c r="AO44" s="27" t="s">
        <v>328</v>
      </c>
      <c r="AP44" s="27" t="s">
        <v>785</v>
      </c>
      <c r="AQ44" s="26" t="s">
        <v>198</v>
      </c>
      <c r="AR44" s="27" t="s">
        <v>756</v>
      </c>
      <c r="AS44" s="44" t="n">
        <f aca="false">IF(AO44="Ranking — Full Push",MIN(MAX(AJ44,Assumptions!$B$9),AN44),IF(AO44="Brand Defense",MIN(Assumptions!$B$7,AN44),IF(OR(AO44="Ranking — Head Term (Capped)",AO44="Ranking — Capped Entry"),MIN(MAX(AJ44,Assumptions!$B$9),Assumptions!$B$7,AN44),IF(AO44="Ranking — Capped Long-Tail",MIN(AJ44,Assumptions!$B$10,AN44),MIN(AJ44,AN44)))))</f>
        <v>0.0333819904</v>
      </c>
      <c r="AT44" s="27" t="str">
        <f aca="false">IF(AJ44&lt;=0,"",IF(AS44&gt;=AJ44,IF(AS44&gt;AJ44*1.05,"Floor of "&amp;TEXT(AS44,"0.0")&amp;" click/day to read CVR (rank needs "&amp;TEXT(AJ44,"0.00")&amp;")","Fully funded (100%)"),"Capped at "&amp;TEXT(AS44/AJ44,"0%")&amp;" of required"))</f>
        <v>Fully funded (100%)</v>
      </c>
      <c r="AU44" s="44" t="n">
        <f aca="false">AS44*AD44</f>
        <v>0.0021364473856</v>
      </c>
      <c r="AV44" s="45" t="n">
        <f aca="false">AU44*AY44</f>
        <v>0.170894426374144</v>
      </c>
      <c r="AW44" s="46" t="n">
        <v>2.18</v>
      </c>
      <c r="AX44" s="27" t="s">
        <v>295</v>
      </c>
      <c r="AY44" s="47" t="n">
        <f aca="false">INDEX(Assumptions!$B$33:$B$37,MATCH(IF($D44="","Queen",$D44),Assumptions!$A$33:$A$37,0))</f>
        <v>79.99</v>
      </c>
      <c r="AZ44" s="33" t="n">
        <f aca="false">INDEX(Assumptions!$K$33:$K$37,MATCH(IF($D44="","Queen",$D44),Assumptions!$A$33:$A$37,0))</f>
        <v>0.558660457557195</v>
      </c>
      <c r="BA44" s="33" t="n">
        <f aca="false">INDEX(Assumptions!$H$33:$H$37,MATCH(IF($D44="","Queen",$D44),Assumptions!$A$33:$A$37,0))</f>
        <v>0.37244030503813</v>
      </c>
      <c r="BB44" s="47" t="n">
        <f aca="false">AY44*AZ44*AD44</f>
        <v>2.859984</v>
      </c>
      <c r="BC44" s="47" t="n">
        <f aca="false">ROUND(MIN(AW44*Assumptions!$B$11,BB44),2)</f>
        <v>2.18</v>
      </c>
      <c r="BD44" s="26" t="s">
        <v>278</v>
      </c>
      <c r="BE44" s="48" t="n">
        <f aca="false">IF(AO44="Ranking — Full Push",MAX(0,MIN(IF(BD44="Yes",Assumptions!$B$12,Assumptions!$B$13),FLOOR(MAX(0,BB44/BC44-1),Assumptions!$B$14))),0)</f>
        <v>0</v>
      </c>
      <c r="BF44" s="49" t="str">
        <f aca="false">IF(AO44="Ranking — Full Push",IF(BE44&gt;=1,"YES — +100% Top of Search. Effective CPC $"&amp;TEXT(BG44,"0.00")&amp;" (= $"&amp;TEXT(BC44,"0.00")&amp;" × 2) stays within the $"&amp;TEXT(BB44,"0.00")&amp;" max ranking CPC"&amp;" (= $"&amp;TEXT(AY44,"0.00")&amp;" price × "&amp;TEXT(AZ44,"0.0%")&amp;" ranking ceiling × "&amp;TEXT(AD44,"0.0%")&amp;" CVR)"&amp;". Sleephoria CVR is proven on this term, so the full push is justified.",IF(AND(BD44="No",BE44&gt;=Assumptions!$B$13),"PARTIAL — +"&amp;TEXT(BE44,"0%")&amp;" Top of Search (limit for terms without proven CVR). Effective CPC $"&amp;TEXT(BG44,"0.00")&amp;" vs $"&amp;TEXT(BB44,"0.00")&amp;" max ranking CPC"&amp;" (= $"&amp;TEXT(AY44,"0.00")&amp;" price × "&amp;TEXT(AZ44,"0.0%")&amp;" ranking ceiling × "&amp;TEXT(AD44,"0.0%")&amp;" CVR)"&amp;". Raise to +100% only after CooLinens converts at ≥ "&amp;TEXT(AD44,"0.0%")&amp;" on 50+ clicks and $"&amp;TEXT(BC44*2,"0.00")&amp;" ≤ the max.",IF(BE44&gt;0,"PARTIAL — +"&amp;TEXT(BE44,"0%")&amp;" Top of Search. Effective CPC $"&amp;TEXT(BG44,"0.00")&amp;" stays within the $"&amp;TEXT(BB44,"0.00")&amp;" max ranking CPC"&amp;" (= $"&amp;TEXT(AY44,"0.00")&amp;" price × "&amp;TEXT(AZ44,"0.0%")&amp;" ranking ceiling × "&amp;TEXT(AD44,"0.0%")&amp;" CVR)"&amp;". +100% would cost $"&amp;TEXT(BC44*2,"0.00")&amp;" per click and push ACoS to "&amp;TEXT(BC44*2/(AY44*AD44),"0.0%")&amp;", above the "&amp;TEXT(AZ44,"0.0%")&amp;" ceiling.","NO — 0%. Base bid $"&amp;TEXT(BC44,"0.00")&amp;" already equals the $"&amp;TEXT(BB44,"0.00")&amp;" max ranking CPC"&amp;" (= $"&amp;TEXT(AY44,"0.00")&amp;" price × "&amp;TEXT(AZ44,"0.0%")&amp;" ranking ceiling × "&amp;TEXT(AD44,"0.0%")&amp;" CVR)"&amp;"; any modifier would push ACoS above the "&amp;TEXT(AZ44,"0.0%")&amp;" ceiling."))),IF(OR(AO44="Ranking — Head Term (Capped)",AO44="Ranking — Capped Entry",AO44="Ranking — Capped Long-Tail"),"NO — 0% (capped ranking entry). Bid $"&amp;TEXT(BC44,"0.00")&amp;" vs $"&amp;TEXT(BB44,"0.00")&amp;" max ranking CPC"&amp;" (= $"&amp;TEXT(AY44,"0.00")&amp;" price × "&amp;TEXT(AZ44,"0.0%")&amp;" ranking ceiling × "&amp;TEXT(AD44,"0.0%")&amp;" CVR)"&amp;". While spend is capped at "&amp;TEXT(AS44,"0.00")&amp;" clicks/day, a placement premium would only raise CPC without buying more rank; the modifier is set when this term moves to a full push.","NO — 0% (support / brand term). Bid $"&amp;TEXT(BC44,"0.00")&amp;" vs $"&amp;TEXT(BB44,"0.00")&amp;" max ranking CPC"&amp;" (= $"&amp;TEXT(AY44,"0.00")&amp;" price × "&amp;TEXT(AZ44,"0.0%")&amp;" ranking ceiling × "&amp;TEXT(AD44,"0.0%")&amp;" CVR)"&amp;"; expected ACoS "&amp;TEXT(BI44,"0.0%")&amp;" vs the "&amp;TEXT(AZ44,"0.0%")&amp;" ceiling."))</f>
        <v>NO — 0% (support / brand term). Bid $2.18 vs $2.86 max ranking CPC (= $79.99 price × 55.9% ranking ceiling × 6.4% CVR); expected ACoS 42.6% vs the 55.9% ceiling.</v>
      </c>
      <c r="BG44" s="50" t="n">
        <f aca="false">BC44*(1+BE44)</f>
        <v>2.18</v>
      </c>
      <c r="BH44" s="45" t="n">
        <f aca="false">AS44*BG44</f>
        <v>0.072772739072</v>
      </c>
      <c r="BI44" s="33" t="n">
        <f aca="false">IFERROR(BG44/(AY44*AD44),"")</f>
        <v>0.425834479309914</v>
      </c>
      <c r="BJ44" s="27" t="str">
        <f aca="false">IF(BI44="","",IF(BI44&lt;=BA44,"Profitable (≤ break-even)",IF(BI44&lt;=AZ44,"Ranking investment (≤ ceiling)","Above ceiling — reduce bid")))</f>
        <v>Ranking investment (≤ ceiling)</v>
      </c>
      <c r="BK44" s="49" t="str">
        <f aca="false">"Base $"&amp;TEXT(BC44,"0.00")&amp;" × (1 + "&amp;TEXT(BE44,"0%")&amp;" TOS) = $"&amp;TEXT(BG44,"0.00")&amp;" effective CPC [max $"&amp;TEXT(BB44,"0.00")&amp;"]. "&amp;TEXT(AG44,"0.0")&amp;" market clicks/day × "&amp;TEXT(AH44,"0.00%")&amp;" click share × "&amp;TEXT(AI44,"0%")&amp;" paid = "&amp;TEXT(AJ44,"0.00")&amp;" clicks/day needed; "&amp;"planned "&amp;TEXT(AS44,"0.00")&amp;" clicks/day × "&amp;TEXT(AD44,"0.0%")&amp;" CVR = "&amp;TEXT(AU44,"0.00")&amp;" orders/day. "&amp;"Spend $"&amp;TEXT(BH44,"0.00")&amp;"/day, ACoS "&amp;TEXT(BI44,"0.0%")&amp;" (ceiling "&amp;TEXT(AZ44,"0.0%")&amp;", break-even "&amp;TEXT(BA44,"0.0%")&amp;"). "&amp;"Target organic rank #"&amp;S44&amp;" by week 8 ("&amp;T44&amp;")."</f>
        <v>Base $2.18 × (1 + 0% TOS) = $2.18 effective CPC [max $2.86]. 4.1 market clicks/day × 1.24% click share × 66% paid = 0.03 clicks/day needed; planned 0.03 clicks/day × 6.4% CVR = 0.00 orders/day. Spend $0.07/day, ACoS 42.6% (ceiling 55.9%, break-even 37.2%). Target organic rank #20 by week 8 (#60 → #35 → #20).</v>
      </c>
      <c r="BL44" s="27" t="s">
        <v>202</v>
      </c>
      <c r="BM44" s="27" t="s">
        <v>758</v>
      </c>
      <c r="BN44" s="27" t="s">
        <v>786</v>
      </c>
      <c r="BO44" s="27" t="s">
        <v>797</v>
      </c>
      <c r="BP44" s="27" t="s">
        <v>205</v>
      </c>
      <c r="BQ44" s="26" t="s">
        <v>206</v>
      </c>
      <c r="BR44" s="40" t="n">
        <f aca="false">IFERROR(INDEX(Campaigns!$L:$L,MATCH(BN44,Campaigns!$A:$A,0)),"")</f>
        <v>10</v>
      </c>
      <c r="BS44" s="51" t="str">
        <f aca="false">IFERROR(INDEX(Inventory!$O:$O,MATCH(BP44,Inventory!$A:$A,0)),"")</f>
        <v>OK</v>
      </c>
      <c r="BT44" s="52" t="n">
        <f aca="false">IFERROR(INDEX(Inventory!$N:$N,MATCH(BP44,Inventory!$A:$A,0)),"")</f>
        <v>91.5322601167724</v>
      </c>
      <c r="BU44" s="27" t="s">
        <v>803</v>
      </c>
      <c r="BV44" s="27" t="s">
        <v>263</v>
      </c>
      <c r="BW44" s="27" t="s">
        <v>804</v>
      </c>
      <c r="BX44" s="27" t="s">
        <v>805</v>
      </c>
      <c r="BY44" s="27" t="s">
        <v>793</v>
      </c>
      <c r="BZ44" s="27" t="s">
        <v>794</v>
      </c>
      <c r="CA44" s="27" t="s">
        <v>213</v>
      </c>
      <c r="CB44" s="27" t="s">
        <v>806</v>
      </c>
      <c r="CC44" s="27" t="s">
        <v>358</v>
      </c>
    </row>
    <row r="45" customFormat="false" ht="120" hidden="false" customHeight="true" outlineLevel="0" collapsed="false">
      <c r="A45" s="24" t="s">
        <v>807</v>
      </c>
      <c r="B45" s="25" t="n">
        <v>1</v>
      </c>
      <c r="C45" s="26" t="s">
        <v>184</v>
      </c>
      <c r="D45" s="26" t="s">
        <v>185</v>
      </c>
      <c r="E45" s="27" t="s">
        <v>321</v>
      </c>
      <c r="F45" s="28" t="n">
        <v>1</v>
      </c>
      <c r="G45" s="27" t="s">
        <v>187</v>
      </c>
      <c r="H45" s="26" t="s">
        <v>782</v>
      </c>
      <c r="I45" s="29" t="n">
        <v>1.5</v>
      </c>
      <c r="J45" s="27" t="s">
        <v>783</v>
      </c>
      <c r="K45" s="30" t="n">
        <v>282</v>
      </c>
      <c r="L45" s="31" t="n">
        <v>214</v>
      </c>
      <c r="M45" s="32" t="n">
        <f aca="false">L45/30</f>
        <v>7.13333333333333</v>
      </c>
      <c r="N45" s="33"/>
      <c r="O45" s="27" t="s">
        <v>769</v>
      </c>
      <c r="P45" s="27" t="s">
        <v>769</v>
      </c>
      <c r="Q45" s="27" t="s">
        <v>722</v>
      </c>
      <c r="R45" s="34" t="n">
        <v>0</v>
      </c>
      <c r="S45" s="35" t="n">
        <v>20</v>
      </c>
      <c r="T45" s="36" t="s">
        <v>346</v>
      </c>
      <c r="U45" s="27" t="s">
        <v>784</v>
      </c>
      <c r="V45" s="37" t="n">
        <f aca="false">IFERROR(INDEX(Sleephoria_History!$F$454:$F$2115,MATCH($A45,Sleephoria_History!$A$454:$A$2115,0)),"")</f>
        <v>1</v>
      </c>
      <c r="W45" s="38" t="n">
        <f aca="false">IFERROR(INDEX(Sleephoria_History!$J$454:$J$2115,MATCH($A45,Sleephoria_History!$A$454:$A$2115,0)),"")</f>
        <v>0</v>
      </c>
      <c r="X45" s="39" t="n">
        <f aca="false">IFERROR(INDEX(Sleephoria_History!$H$454:$H$2115,MATCH($A45,Sleephoria_History!$A$454:$A$2115,0)),"")</f>
        <v>2.03</v>
      </c>
      <c r="Y45" s="38" t="n">
        <f aca="false">IFERROR(INDEX(Sleephoria_History!$M$454:$M$2115,MATCH($A45,Sleephoria_History!$A$454:$A$2115,0)),"")</f>
        <v>0</v>
      </c>
      <c r="Z45" s="40" t="n">
        <f aca="false">IFERROR(INDEX(Sleephoria_History!$L$454:$L$2115,MATCH($A45,Sleephoria_History!$A$454:$A$2115,0)),"")</f>
        <v>0</v>
      </c>
      <c r="AA45" s="37" t="str">
        <f aca="false">IFERROR(INDEX(Decolure_History!$F$397:$F$709,MATCH($A45,Decolure_History!$A$397:$A$709,0)),"")</f>
        <v/>
      </c>
      <c r="AB45" s="38" t="str">
        <f aca="false">IFERROR(INDEX(Decolure_History!$J$397:$J$709,MATCH($A45,Decolure_History!$A$397:$A$709,0)),"")</f>
        <v/>
      </c>
      <c r="AC45" s="38" t="str">
        <f aca="false">IFERROR(INDEX(Decolure_History!$M$397:$M$709,MATCH($A45,Decolure_History!$A$397:$A$709,0)),"")</f>
        <v/>
      </c>
      <c r="AD45" s="41" t="n">
        <v>0.064</v>
      </c>
      <c r="AE45" s="27" t="s">
        <v>275</v>
      </c>
      <c r="AF45" s="42" t="n">
        <v>0.478</v>
      </c>
      <c r="AG45" s="32" t="n">
        <f aca="false">M45*AF45</f>
        <v>3.40973333333333</v>
      </c>
      <c r="AH45" s="43" t="n">
        <f aca="false">IF(AO45="Brand Defense",0,IFERROR(VLOOKUP(S45,Assumptions!$A$24:$B$28,2,FALSE()),0))</f>
        <v>0.0124</v>
      </c>
      <c r="AI45" s="28" t="n">
        <f aca="false">Assumptions!$B$6</f>
        <v>0.66</v>
      </c>
      <c r="AJ45" s="44" t="n">
        <f aca="false">AG45*AH45*AI45</f>
        <v>0.0279052576</v>
      </c>
      <c r="AK45" s="44" t="n">
        <f aca="false">AJ45*AD45</f>
        <v>0.0017859364864</v>
      </c>
      <c r="AL45" s="30" t="n">
        <f aca="false">AJ45*56</f>
        <v>1.5626944256</v>
      </c>
      <c r="AM45" s="32" t="n">
        <f aca="false">AK45*56</f>
        <v>0.1000124432384</v>
      </c>
      <c r="AN45" s="44" t="n">
        <f aca="false">M45*Assumptions!$B$8</f>
        <v>0.713333333333333</v>
      </c>
      <c r="AO45" s="27" t="s">
        <v>328</v>
      </c>
      <c r="AP45" s="27" t="s">
        <v>785</v>
      </c>
      <c r="AQ45" s="26" t="s">
        <v>198</v>
      </c>
      <c r="AR45" s="27" t="s">
        <v>756</v>
      </c>
      <c r="AS45" s="44" t="n">
        <f aca="false">IF(AO45="Ranking — Full Push",MIN(MAX(AJ45,Assumptions!$B$9),AN45),IF(AO45="Brand Defense",MIN(Assumptions!$B$7,AN45),IF(OR(AO45="Ranking — Head Term (Capped)",AO45="Ranking — Capped Entry"),MIN(MAX(AJ45,Assumptions!$B$9),Assumptions!$B$7,AN45),IF(AO45="Ranking — Capped Long-Tail",MIN(AJ45,Assumptions!$B$10,AN45),MIN(AJ45,AN45)))))</f>
        <v>0.0279052576</v>
      </c>
      <c r="AT45" s="27" t="str">
        <f aca="false">IF(AJ45&lt;=0,"",IF(AS45&gt;=AJ45,IF(AS45&gt;AJ45*1.05,"Floor of "&amp;TEXT(AS45,"0.0")&amp;" click/day to read CVR (rank needs "&amp;TEXT(AJ45,"0.00")&amp;")","Fully funded (100%)"),"Capped at "&amp;TEXT(AS45/AJ45,"0%")&amp;" of required"))</f>
        <v>Fully funded (100%)</v>
      </c>
      <c r="AU45" s="44" t="n">
        <f aca="false">AS45*AD45</f>
        <v>0.0017859364864</v>
      </c>
      <c r="AV45" s="45" t="n">
        <f aca="false">AU45*AY45</f>
        <v>0.142857059547136</v>
      </c>
      <c r="AW45" s="46" t="n">
        <v>2.18</v>
      </c>
      <c r="AX45" s="27" t="s">
        <v>295</v>
      </c>
      <c r="AY45" s="47" t="n">
        <f aca="false">INDEX(Assumptions!$B$33:$B$37,MATCH(IF($D45="","Queen",$D45),Assumptions!$A$33:$A$37,0))</f>
        <v>79.99</v>
      </c>
      <c r="AZ45" s="33" t="n">
        <f aca="false">INDEX(Assumptions!$K$33:$K$37,MATCH(IF($D45="","Queen",$D45),Assumptions!$A$33:$A$37,0))</f>
        <v>0.558660457557195</v>
      </c>
      <c r="BA45" s="33" t="n">
        <f aca="false">INDEX(Assumptions!$H$33:$H$37,MATCH(IF($D45="","Queen",$D45),Assumptions!$A$33:$A$37,0))</f>
        <v>0.37244030503813</v>
      </c>
      <c r="BB45" s="47" t="n">
        <f aca="false">AY45*AZ45*AD45</f>
        <v>2.859984</v>
      </c>
      <c r="BC45" s="47" t="n">
        <f aca="false">ROUND(MIN(AW45*Assumptions!$B$11,BB45),2)</f>
        <v>2.18</v>
      </c>
      <c r="BD45" s="26" t="s">
        <v>278</v>
      </c>
      <c r="BE45" s="48" t="n">
        <f aca="false">IF(AO45="Ranking — Full Push",MAX(0,MIN(IF(BD45="Yes",Assumptions!$B$12,Assumptions!$B$13),FLOOR(MAX(0,BB45/BC45-1),Assumptions!$B$14))),0)</f>
        <v>0</v>
      </c>
      <c r="BF45" s="49" t="str">
        <f aca="false">IF(AO45="Ranking — Full Push",IF(BE45&gt;=1,"YES — +100% Top of Search. Effective CPC $"&amp;TEXT(BG45,"0.00")&amp;" (= $"&amp;TEXT(BC45,"0.00")&amp;" × 2) stays within the $"&amp;TEXT(BB45,"0.00")&amp;" max ranking CPC"&amp;" (= $"&amp;TEXT(AY45,"0.00")&amp;" price × "&amp;TEXT(AZ45,"0.0%")&amp;" ranking ceiling × "&amp;TEXT(AD45,"0.0%")&amp;" CVR)"&amp;". Sleephoria CVR is proven on this term, so the full push is justified.",IF(AND(BD45="No",BE45&gt;=Assumptions!$B$13),"PARTIAL — +"&amp;TEXT(BE45,"0%")&amp;" Top of Search (limit for terms without proven CVR). Effective CPC $"&amp;TEXT(BG45,"0.00")&amp;" vs $"&amp;TEXT(BB45,"0.00")&amp;" max ranking CPC"&amp;" (= $"&amp;TEXT(AY45,"0.00")&amp;" price × "&amp;TEXT(AZ45,"0.0%")&amp;" ranking ceiling × "&amp;TEXT(AD45,"0.0%")&amp;" CVR)"&amp;". Raise to +100% only after CooLinens converts at ≥ "&amp;TEXT(AD45,"0.0%")&amp;" on 50+ clicks and $"&amp;TEXT(BC45*2,"0.00")&amp;" ≤ the max.",IF(BE45&gt;0,"PARTIAL — +"&amp;TEXT(BE45,"0%")&amp;" Top of Search. Effective CPC $"&amp;TEXT(BG45,"0.00")&amp;" stays within the $"&amp;TEXT(BB45,"0.00")&amp;" max ranking CPC"&amp;" (= $"&amp;TEXT(AY45,"0.00")&amp;" price × "&amp;TEXT(AZ45,"0.0%")&amp;" ranking ceiling × "&amp;TEXT(AD45,"0.0%")&amp;" CVR)"&amp;". +100% would cost $"&amp;TEXT(BC45*2,"0.00")&amp;" per click and push ACoS to "&amp;TEXT(BC45*2/(AY45*AD45),"0.0%")&amp;", above the "&amp;TEXT(AZ45,"0.0%")&amp;" ceiling.","NO — 0%. Base bid $"&amp;TEXT(BC45,"0.00")&amp;" already equals the $"&amp;TEXT(BB45,"0.00")&amp;" max ranking CPC"&amp;" (= $"&amp;TEXT(AY45,"0.00")&amp;" price × "&amp;TEXT(AZ45,"0.0%")&amp;" ranking ceiling × "&amp;TEXT(AD45,"0.0%")&amp;" CVR)"&amp;"; any modifier would push ACoS above the "&amp;TEXT(AZ45,"0.0%")&amp;" ceiling."))),IF(OR(AO45="Ranking — Head Term (Capped)",AO45="Ranking — Capped Entry",AO45="Ranking — Capped Long-Tail"),"NO — 0% (capped ranking entry). Bid $"&amp;TEXT(BC45,"0.00")&amp;" vs $"&amp;TEXT(BB45,"0.00")&amp;" max ranking CPC"&amp;" (= $"&amp;TEXT(AY45,"0.00")&amp;" price × "&amp;TEXT(AZ45,"0.0%")&amp;" ranking ceiling × "&amp;TEXT(AD45,"0.0%")&amp;" CVR)"&amp;". While spend is capped at "&amp;TEXT(AS45,"0.00")&amp;" clicks/day, a placement premium would only raise CPC without buying more rank; the modifier is set when this term moves to a full push.","NO — 0% (support / brand term). Bid $"&amp;TEXT(BC45,"0.00")&amp;" vs $"&amp;TEXT(BB45,"0.00")&amp;" max ranking CPC"&amp;" (= $"&amp;TEXT(AY45,"0.00")&amp;" price × "&amp;TEXT(AZ45,"0.0%")&amp;" ranking ceiling × "&amp;TEXT(AD45,"0.0%")&amp;" CVR)"&amp;"; expected ACoS "&amp;TEXT(BI45,"0.0%")&amp;" vs the "&amp;TEXT(AZ45,"0.0%")&amp;" ceiling."))</f>
        <v>NO — 0% (support / brand term). Bid $2.18 vs $2.86 max ranking CPC (= $79.99 price × 55.9% ranking ceiling × 6.4% CVR); expected ACoS 42.6% vs the 55.9% ceiling.</v>
      </c>
      <c r="BG45" s="50" t="n">
        <f aca="false">BC45*(1+BE45)</f>
        <v>2.18</v>
      </c>
      <c r="BH45" s="45" t="n">
        <f aca="false">AS45*BG45</f>
        <v>0.060833461568</v>
      </c>
      <c r="BI45" s="33" t="n">
        <f aca="false">IFERROR(BG45/(AY45*AD45),"")</f>
        <v>0.425834479309914</v>
      </c>
      <c r="BJ45" s="27" t="str">
        <f aca="false">IF(BI45="","",IF(BI45&lt;=BA45,"Profitable (≤ break-even)",IF(BI45&lt;=AZ45,"Ranking investment (≤ ceiling)","Above ceiling — reduce bid")))</f>
        <v>Ranking investment (≤ ceiling)</v>
      </c>
      <c r="BK45" s="49" t="str">
        <f aca="false">"Base $"&amp;TEXT(BC45,"0.00")&amp;" × (1 + "&amp;TEXT(BE45,"0%")&amp;" TOS) = $"&amp;TEXT(BG45,"0.00")&amp;" effective CPC [max $"&amp;TEXT(BB45,"0.00")&amp;"]. "&amp;TEXT(AG45,"0.0")&amp;" market clicks/day × "&amp;TEXT(AH45,"0.00%")&amp;" click share × "&amp;TEXT(AI45,"0%")&amp;" paid = "&amp;TEXT(AJ45,"0.00")&amp;" clicks/day needed; "&amp;"planned "&amp;TEXT(AS45,"0.00")&amp;" clicks/day × "&amp;TEXT(AD45,"0.0%")&amp;" CVR = "&amp;TEXT(AU45,"0.00")&amp;" orders/day. "&amp;"Spend $"&amp;TEXT(BH45,"0.00")&amp;"/day, ACoS "&amp;TEXT(BI45,"0.0%")&amp;" (ceiling "&amp;TEXT(AZ45,"0.0%")&amp;", break-even "&amp;TEXT(BA45,"0.0%")&amp;"). "&amp;"Target organic rank #"&amp;S45&amp;" by week 8 ("&amp;T45&amp;")."</f>
        <v>Base $2.18 × (1 + 0% TOS) = $2.18 effective CPC [max $2.86]. 3.4 market clicks/day × 1.24% click share × 66% paid = 0.03 clicks/day needed; planned 0.03 clicks/day × 6.4% CVR = 0.00 orders/day. Spend $0.06/day, ACoS 42.6% (ceiling 55.9%, break-even 37.2%). Target organic rank #20 by week 8 (#60 → #35 → #20).</v>
      </c>
      <c r="BL45" s="27" t="s">
        <v>202</v>
      </c>
      <c r="BM45" s="27" t="s">
        <v>758</v>
      </c>
      <c r="BN45" s="27" t="s">
        <v>786</v>
      </c>
      <c r="BO45" s="27" t="s">
        <v>797</v>
      </c>
      <c r="BP45" s="27" t="s">
        <v>205</v>
      </c>
      <c r="BQ45" s="26" t="s">
        <v>206</v>
      </c>
      <c r="BR45" s="40" t="n">
        <f aca="false">IFERROR(INDEX(Campaigns!$L:$L,MATCH(BN45,Campaigns!$A:$A,0)),"")</f>
        <v>10</v>
      </c>
      <c r="BS45" s="51" t="str">
        <f aca="false">IFERROR(INDEX(Inventory!$O:$O,MATCH(BP45,Inventory!$A:$A,0)),"")</f>
        <v>OK</v>
      </c>
      <c r="BT45" s="52" t="n">
        <f aca="false">IFERROR(INDEX(Inventory!$N:$N,MATCH(BP45,Inventory!$A:$A,0)),"")</f>
        <v>91.5322601167724</v>
      </c>
      <c r="BU45" s="27" t="s">
        <v>808</v>
      </c>
      <c r="BV45" s="27" t="s">
        <v>263</v>
      </c>
      <c r="BW45" s="27" t="s">
        <v>809</v>
      </c>
      <c r="BX45" s="27" t="s">
        <v>810</v>
      </c>
      <c r="BY45" s="27" t="s">
        <v>793</v>
      </c>
      <c r="BZ45" s="27" t="s">
        <v>794</v>
      </c>
      <c r="CA45" s="27" t="s">
        <v>213</v>
      </c>
      <c r="CB45" s="27" t="s">
        <v>811</v>
      </c>
      <c r="CC45" s="27" t="s">
        <v>358</v>
      </c>
    </row>
    <row r="46" customFormat="false" ht="120" hidden="false" customHeight="true" outlineLevel="0" collapsed="false">
      <c r="A46" s="24" t="s">
        <v>812</v>
      </c>
      <c r="B46" s="25" t="n">
        <v>1</v>
      </c>
      <c r="C46" s="26" t="s">
        <v>184</v>
      </c>
      <c r="D46" s="26" t="s">
        <v>185</v>
      </c>
      <c r="E46" s="27" t="s">
        <v>321</v>
      </c>
      <c r="F46" s="28" t="n">
        <v>1</v>
      </c>
      <c r="G46" s="27" t="s">
        <v>187</v>
      </c>
      <c r="H46" s="26" t="s">
        <v>188</v>
      </c>
      <c r="I46" s="29" t="n">
        <v>6.5</v>
      </c>
      <c r="J46" s="27" t="s">
        <v>289</v>
      </c>
      <c r="K46" s="30" t="n">
        <v>588</v>
      </c>
      <c r="L46" s="31" t="n">
        <v>183</v>
      </c>
      <c r="M46" s="32" t="n">
        <f aca="false">L46/30</f>
        <v>6.1</v>
      </c>
      <c r="N46" s="33" t="n">
        <v>0.0547550432276657</v>
      </c>
      <c r="O46" s="27" t="s">
        <v>769</v>
      </c>
      <c r="P46" s="27" t="s">
        <v>813</v>
      </c>
      <c r="Q46" s="27" t="s">
        <v>374</v>
      </c>
      <c r="R46" s="34" t="n">
        <v>4</v>
      </c>
      <c r="S46" s="35" t="n">
        <v>20</v>
      </c>
      <c r="T46" s="36" t="s">
        <v>346</v>
      </c>
      <c r="U46" s="27" t="s">
        <v>814</v>
      </c>
      <c r="V46" s="37" t="n">
        <f aca="false">IFERROR(INDEX(Sleephoria_History!$F$454:$F$2115,MATCH($A46,Sleephoria_History!$A$454:$A$2115,0)),"")</f>
        <v>13</v>
      </c>
      <c r="W46" s="38" t="n">
        <f aca="false">IFERROR(INDEX(Sleephoria_History!$J$454:$J$2115,MATCH($A46,Sleephoria_History!$A$454:$A$2115,0)),"")</f>
        <v>0</v>
      </c>
      <c r="X46" s="39" t="n">
        <f aca="false">IFERROR(INDEX(Sleephoria_History!$H$454:$H$2115,MATCH($A46,Sleephoria_History!$A$454:$A$2115,0)),"")</f>
        <v>2.45</v>
      </c>
      <c r="Y46" s="38" t="n">
        <f aca="false">IFERROR(INDEX(Sleephoria_History!$M$454:$M$2115,MATCH($A46,Sleephoria_History!$A$454:$A$2115,0)),"")</f>
        <v>0</v>
      </c>
      <c r="Z46" s="40" t="n">
        <f aca="false">IFERROR(INDEX(Sleephoria_History!$L$454:$L$2115,MATCH($A46,Sleephoria_History!$A$454:$A$2115,0)),"")</f>
        <v>0</v>
      </c>
      <c r="AA46" s="37" t="str">
        <f aca="false">IFERROR(INDEX(Decolure_History!$F$397:$F$709,MATCH($A46,Decolure_History!$A$397:$A$709,0)),"")</f>
        <v/>
      </c>
      <c r="AB46" s="38" t="str">
        <f aca="false">IFERROR(INDEX(Decolure_History!$J$397:$J$709,MATCH($A46,Decolure_History!$A$397:$A$709,0)),"")</f>
        <v/>
      </c>
      <c r="AC46" s="38" t="str">
        <f aca="false">IFERROR(INDEX(Decolure_History!$M$397:$M$709,MATCH($A46,Decolure_History!$A$397:$A$709,0)),"")</f>
        <v/>
      </c>
      <c r="AD46" s="41" t="n">
        <v>0.064</v>
      </c>
      <c r="AE46" s="27" t="s">
        <v>275</v>
      </c>
      <c r="AF46" s="42" t="n">
        <v>0.456</v>
      </c>
      <c r="AG46" s="32" t="n">
        <f aca="false">M46*AF46</f>
        <v>2.7816</v>
      </c>
      <c r="AH46" s="43" t="n">
        <f aca="false">IF(AO46="Brand Defense",0,IFERROR(VLOOKUP(S46,Assumptions!$A$24:$B$28,2,FALSE()),0))</f>
        <v>0.0124</v>
      </c>
      <c r="AI46" s="28" t="n">
        <f aca="false">Assumptions!$B$6</f>
        <v>0.66</v>
      </c>
      <c r="AJ46" s="44" t="n">
        <f aca="false">AG46*AH46*AI46</f>
        <v>0.0227646144</v>
      </c>
      <c r="AK46" s="44" t="n">
        <f aca="false">AJ46*AD46</f>
        <v>0.0014569353216</v>
      </c>
      <c r="AL46" s="30" t="n">
        <f aca="false">AJ46*56</f>
        <v>1.2748184064</v>
      </c>
      <c r="AM46" s="32" t="n">
        <f aca="false">AK46*56</f>
        <v>0.0815883780096</v>
      </c>
      <c r="AN46" s="44" t="n">
        <f aca="false">M46*Assumptions!$B$8</f>
        <v>0.61</v>
      </c>
      <c r="AO46" s="27" t="s">
        <v>328</v>
      </c>
      <c r="AP46" s="27" t="s">
        <v>815</v>
      </c>
      <c r="AQ46" s="26" t="s">
        <v>198</v>
      </c>
      <c r="AR46" s="27" t="s">
        <v>756</v>
      </c>
      <c r="AS46" s="44" t="n">
        <f aca="false">IF(AO46="Ranking — Full Push",MIN(MAX(AJ46,Assumptions!$B$9),AN46),IF(AO46="Brand Defense",MIN(Assumptions!$B$7,AN46),IF(OR(AO46="Ranking — Head Term (Capped)",AO46="Ranking — Capped Entry"),MIN(MAX(AJ46,Assumptions!$B$9),Assumptions!$B$7,AN46),IF(AO46="Ranking — Capped Long-Tail",MIN(AJ46,Assumptions!$B$10,AN46),MIN(AJ46,AN46)))))</f>
        <v>0.0227646144</v>
      </c>
      <c r="AT46" s="27" t="str">
        <f aca="false">IF(AJ46&lt;=0,"",IF(AS46&gt;=AJ46,IF(AS46&gt;AJ46*1.05,"Floor of "&amp;TEXT(AS46,"0.0")&amp;" click/day to read CVR (rank needs "&amp;TEXT(AJ46,"0.00")&amp;")","Fully funded (100%)"),"Capped at "&amp;TEXT(AS46/AJ46,"0%")&amp;" of required"))</f>
        <v>Fully funded (100%)</v>
      </c>
      <c r="AU46" s="44" t="n">
        <f aca="false">AS46*AD46</f>
        <v>0.0014569353216</v>
      </c>
      <c r="AV46" s="45" t="n">
        <f aca="false">AU46*AY46</f>
        <v>0.116540256374784</v>
      </c>
      <c r="AW46" s="46" t="n">
        <v>2.18</v>
      </c>
      <c r="AX46" s="27" t="s">
        <v>295</v>
      </c>
      <c r="AY46" s="47" t="n">
        <f aca="false">INDEX(Assumptions!$B$33:$B$37,MATCH(IF($D46="","Queen",$D46),Assumptions!$A$33:$A$37,0))</f>
        <v>79.99</v>
      </c>
      <c r="AZ46" s="33" t="n">
        <f aca="false">INDEX(Assumptions!$K$33:$K$37,MATCH(IF($D46="","Queen",$D46),Assumptions!$A$33:$A$37,0))</f>
        <v>0.558660457557195</v>
      </c>
      <c r="BA46" s="33" t="n">
        <f aca="false">INDEX(Assumptions!$H$33:$H$37,MATCH(IF($D46="","Queen",$D46),Assumptions!$A$33:$A$37,0))</f>
        <v>0.37244030503813</v>
      </c>
      <c r="BB46" s="47" t="n">
        <f aca="false">AY46*AZ46*AD46</f>
        <v>2.859984</v>
      </c>
      <c r="BC46" s="47" t="n">
        <f aca="false">ROUND(MIN(AW46*Assumptions!$B$11,BB46),2)</f>
        <v>2.18</v>
      </c>
      <c r="BD46" s="26" t="s">
        <v>278</v>
      </c>
      <c r="BE46" s="48" t="n">
        <f aca="false">IF(AO46="Ranking — Full Push",MAX(0,MIN(IF(BD46="Yes",Assumptions!$B$12,Assumptions!$B$13),FLOOR(MAX(0,BB46/BC46-1),Assumptions!$B$14))),0)</f>
        <v>0</v>
      </c>
      <c r="BF46" s="49" t="str">
        <f aca="false">IF(AO46="Ranking — Full Push",IF(BE46&gt;=1,"YES — +100% Top of Search. Effective CPC $"&amp;TEXT(BG46,"0.00")&amp;" (= $"&amp;TEXT(BC46,"0.00")&amp;" × 2) stays within the $"&amp;TEXT(BB46,"0.00")&amp;" max ranking CPC"&amp;" (= $"&amp;TEXT(AY46,"0.00")&amp;" price × "&amp;TEXT(AZ46,"0.0%")&amp;" ranking ceiling × "&amp;TEXT(AD46,"0.0%")&amp;" CVR)"&amp;". Sleephoria CVR is proven on this term, so the full push is justified.",IF(AND(BD46="No",BE46&gt;=Assumptions!$B$13),"PARTIAL — +"&amp;TEXT(BE46,"0%")&amp;" Top of Search (limit for terms without proven CVR). Effective CPC $"&amp;TEXT(BG46,"0.00")&amp;" vs $"&amp;TEXT(BB46,"0.00")&amp;" max ranking CPC"&amp;" (= $"&amp;TEXT(AY46,"0.00")&amp;" price × "&amp;TEXT(AZ46,"0.0%")&amp;" ranking ceiling × "&amp;TEXT(AD46,"0.0%")&amp;" CVR)"&amp;". Raise to +100% only after CooLinens converts at ≥ "&amp;TEXT(AD46,"0.0%")&amp;" on 50+ clicks and $"&amp;TEXT(BC46*2,"0.00")&amp;" ≤ the max.",IF(BE46&gt;0,"PARTIAL — +"&amp;TEXT(BE46,"0%")&amp;" Top of Search. Effective CPC $"&amp;TEXT(BG46,"0.00")&amp;" stays within the $"&amp;TEXT(BB46,"0.00")&amp;" max ranking CPC"&amp;" (= $"&amp;TEXT(AY46,"0.00")&amp;" price × "&amp;TEXT(AZ46,"0.0%")&amp;" ranking ceiling × "&amp;TEXT(AD46,"0.0%")&amp;" CVR)"&amp;". +100% would cost $"&amp;TEXT(BC46*2,"0.00")&amp;" per click and push ACoS to "&amp;TEXT(BC46*2/(AY46*AD46),"0.0%")&amp;", above the "&amp;TEXT(AZ46,"0.0%")&amp;" ceiling.","NO — 0%. Base bid $"&amp;TEXT(BC46,"0.00")&amp;" already equals the $"&amp;TEXT(BB46,"0.00")&amp;" max ranking CPC"&amp;" (= $"&amp;TEXT(AY46,"0.00")&amp;" price × "&amp;TEXT(AZ46,"0.0%")&amp;" ranking ceiling × "&amp;TEXT(AD46,"0.0%")&amp;" CVR)"&amp;"; any modifier would push ACoS above the "&amp;TEXT(AZ46,"0.0%")&amp;" ceiling."))),IF(OR(AO46="Ranking — Head Term (Capped)",AO46="Ranking — Capped Entry",AO46="Ranking — Capped Long-Tail"),"NO — 0% (capped ranking entry). Bid $"&amp;TEXT(BC46,"0.00")&amp;" vs $"&amp;TEXT(BB46,"0.00")&amp;" max ranking CPC"&amp;" (= $"&amp;TEXT(AY46,"0.00")&amp;" price × "&amp;TEXT(AZ46,"0.0%")&amp;" ranking ceiling × "&amp;TEXT(AD46,"0.0%")&amp;" CVR)"&amp;". While spend is capped at "&amp;TEXT(AS46,"0.00")&amp;" clicks/day, a placement premium would only raise CPC without buying more rank; the modifier is set when this term moves to a full push.","NO — 0% (support / brand term). Bid $"&amp;TEXT(BC46,"0.00")&amp;" vs $"&amp;TEXT(BB46,"0.00")&amp;" max ranking CPC"&amp;" (= $"&amp;TEXT(AY46,"0.00")&amp;" price × "&amp;TEXT(AZ46,"0.0%")&amp;" ranking ceiling × "&amp;TEXT(AD46,"0.0%")&amp;" CVR)"&amp;"; expected ACoS "&amp;TEXT(BI46,"0.0%")&amp;" vs the "&amp;TEXT(AZ46,"0.0%")&amp;" ceiling."))</f>
        <v>NO — 0% (support / brand term). Bid $2.18 vs $2.86 max ranking CPC (= $79.99 price × 55.9% ranking ceiling × 6.4% CVR); expected ACoS 42.6% vs the 55.9% ceiling.</v>
      </c>
      <c r="BG46" s="50" t="n">
        <f aca="false">BC46*(1+BE46)</f>
        <v>2.18</v>
      </c>
      <c r="BH46" s="45" t="n">
        <f aca="false">AS46*BG46</f>
        <v>0.049626859392</v>
      </c>
      <c r="BI46" s="33" t="n">
        <f aca="false">IFERROR(BG46/(AY46*AD46),"")</f>
        <v>0.425834479309914</v>
      </c>
      <c r="BJ46" s="27" t="str">
        <f aca="false">IF(BI46="","",IF(BI46&lt;=BA46,"Profitable (≤ break-even)",IF(BI46&lt;=AZ46,"Ranking investment (≤ ceiling)","Above ceiling — reduce bid")))</f>
        <v>Ranking investment (≤ ceiling)</v>
      </c>
      <c r="BK46" s="49" t="str">
        <f aca="false">"Base $"&amp;TEXT(BC46,"0.00")&amp;" × (1 + "&amp;TEXT(BE46,"0%")&amp;" TOS) = $"&amp;TEXT(BG46,"0.00")&amp;" effective CPC [max $"&amp;TEXT(BB46,"0.00")&amp;"]. "&amp;TEXT(AG46,"0.0")&amp;" market clicks/day × "&amp;TEXT(AH46,"0.00%")&amp;" click share × "&amp;TEXT(AI46,"0%")&amp;" paid = "&amp;TEXT(AJ46,"0.00")&amp;" clicks/day needed; "&amp;"planned "&amp;TEXT(AS46,"0.00")&amp;" clicks/day × "&amp;TEXT(AD46,"0.0%")&amp;" CVR = "&amp;TEXT(AU46,"0.00")&amp;" orders/day. "&amp;"Spend $"&amp;TEXT(BH46,"0.00")&amp;"/day, ACoS "&amp;TEXT(BI46,"0.0%")&amp;" (ceiling "&amp;TEXT(AZ46,"0.0%")&amp;", break-even "&amp;TEXT(BA46,"0.0%")&amp;"). "&amp;"Target organic rank #"&amp;S46&amp;" by week 8 ("&amp;T46&amp;")."</f>
        <v>Base $2.18 × (1 + 0% TOS) = $2.18 effective CPC [max $2.86]. 2.8 market clicks/day × 1.24% click share × 66% paid = 0.02 clicks/day needed; planned 0.02 clicks/day × 6.4% CVR = 0.00 orders/day. Spend $0.05/day, ACoS 42.6% (ceiling 55.9%, break-even 37.2%). Target organic rank #20 by week 8 (#60 → #35 → #20).</v>
      </c>
      <c r="BL46" s="27" t="s">
        <v>202</v>
      </c>
      <c r="BM46" s="27" t="s">
        <v>758</v>
      </c>
      <c r="BN46" s="27" t="s">
        <v>786</v>
      </c>
      <c r="BO46" s="27" t="s">
        <v>797</v>
      </c>
      <c r="BP46" s="27" t="s">
        <v>205</v>
      </c>
      <c r="BQ46" s="26" t="s">
        <v>206</v>
      </c>
      <c r="BR46" s="40" t="n">
        <f aca="false">IFERROR(INDEX(Campaigns!$L:$L,MATCH(BN46,Campaigns!$A:$A,0)),"")</f>
        <v>10</v>
      </c>
      <c r="BS46" s="51" t="str">
        <f aca="false">IFERROR(INDEX(Inventory!$O:$O,MATCH(BP46,Inventory!$A:$A,0)),"")</f>
        <v>OK</v>
      </c>
      <c r="BT46" s="52" t="n">
        <f aca="false">IFERROR(INDEX(Inventory!$N:$N,MATCH(BP46,Inventory!$A:$A,0)),"")</f>
        <v>91.5322601167724</v>
      </c>
      <c r="BU46" s="27" t="s">
        <v>816</v>
      </c>
      <c r="BV46" s="27" t="s">
        <v>263</v>
      </c>
      <c r="BW46" s="27" t="s">
        <v>817</v>
      </c>
      <c r="BX46" s="27" t="s">
        <v>818</v>
      </c>
      <c r="BY46" s="27" t="s">
        <v>819</v>
      </c>
      <c r="BZ46" s="27" t="s">
        <v>286</v>
      </c>
      <c r="CA46" s="27" t="s">
        <v>213</v>
      </c>
      <c r="CB46" s="27" t="s">
        <v>820</v>
      </c>
      <c r="CC46" s="27" t="s">
        <v>358</v>
      </c>
    </row>
    <row r="47" customFormat="false" ht="120" hidden="false" customHeight="true" outlineLevel="0" collapsed="false">
      <c r="A47" s="24" t="s">
        <v>821</v>
      </c>
      <c r="B47" s="25" t="n">
        <v>1</v>
      </c>
      <c r="C47" s="26" t="s">
        <v>184</v>
      </c>
      <c r="D47" s="26" t="s">
        <v>422</v>
      </c>
      <c r="E47" s="27" t="s">
        <v>371</v>
      </c>
      <c r="F47" s="28" t="n">
        <v>1</v>
      </c>
      <c r="G47" s="27" t="s">
        <v>187</v>
      </c>
      <c r="H47" s="26" t="s">
        <v>342</v>
      </c>
      <c r="I47" s="29" t="n">
        <v>4.5</v>
      </c>
      <c r="J47" s="27" t="s">
        <v>822</v>
      </c>
      <c r="K47" s="30" t="n">
        <v>682</v>
      </c>
      <c r="L47" s="31" t="n">
        <v>295</v>
      </c>
      <c r="M47" s="32" t="n">
        <f aca="false">L47/30</f>
        <v>9.83333333333333</v>
      </c>
      <c r="N47" s="33" t="n">
        <v>0.0392776523702031</v>
      </c>
      <c r="O47" s="27" t="s">
        <v>465</v>
      </c>
      <c r="P47" s="27" t="s">
        <v>823</v>
      </c>
      <c r="Q47" s="27" t="s">
        <v>273</v>
      </c>
      <c r="R47" s="34" t="n">
        <v>4</v>
      </c>
      <c r="S47" s="35" t="n">
        <v>20</v>
      </c>
      <c r="T47" s="36" t="s">
        <v>467</v>
      </c>
      <c r="U47" s="27" t="s">
        <v>824</v>
      </c>
      <c r="V47" s="37" t="n">
        <f aca="false">IFERROR(INDEX(Sleephoria_History!$F$454:$F$2115,MATCH($A47,Sleephoria_History!$A$454:$A$2115,0)),"")</f>
        <v>12</v>
      </c>
      <c r="W47" s="38" t="n">
        <f aca="false">IFERROR(INDEX(Sleephoria_History!$J$454:$J$2115,MATCH($A47,Sleephoria_History!$A$454:$A$2115,0)),"")</f>
        <v>0.0833</v>
      </c>
      <c r="X47" s="39" t="n">
        <f aca="false">IFERROR(INDEX(Sleephoria_History!$H$454:$H$2115,MATCH($A47,Sleephoria_History!$A$454:$A$2115,0)),"")</f>
        <v>3.15</v>
      </c>
      <c r="Y47" s="38" t="n">
        <f aca="false">IFERROR(INDEX(Sleephoria_History!$M$454:$M$2115,MATCH($A47,Sleephoria_History!$A$454:$A$2115,0)),"")</f>
        <v>0.223</v>
      </c>
      <c r="Z47" s="40" t="n">
        <f aca="false">IFERROR(INDEX(Sleephoria_History!$L$454:$L$2115,MATCH($A47,Sleephoria_History!$A$454:$A$2115,0)),"")</f>
        <v>169.98</v>
      </c>
      <c r="AA47" s="37" t="str">
        <f aca="false">IFERROR(INDEX(Decolure_History!$F$397:$F$709,MATCH($A47,Decolure_History!$A$397:$A$709,0)),"")</f>
        <v/>
      </c>
      <c r="AB47" s="38" t="str">
        <f aca="false">IFERROR(INDEX(Decolure_History!$J$397:$J$709,MATCH($A47,Decolure_History!$A$397:$A$709,0)),"")</f>
        <v/>
      </c>
      <c r="AC47" s="38" t="str">
        <f aca="false">IFERROR(INDEX(Decolure_History!$M$397:$M$709,MATCH($A47,Decolure_History!$A$397:$A$709,0)),"")</f>
        <v/>
      </c>
      <c r="AD47" s="41" t="n">
        <v>0.064</v>
      </c>
      <c r="AE47" s="27" t="s">
        <v>275</v>
      </c>
      <c r="AF47" s="42" t="n">
        <v>0.469</v>
      </c>
      <c r="AG47" s="32" t="n">
        <f aca="false">M47*AF47</f>
        <v>4.61183333333333</v>
      </c>
      <c r="AH47" s="43" t="n">
        <f aca="false">IF(AO47="Brand Defense",0,IFERROR(VLOOKUP(S47,Assumptions!$A$24:$B$28,2,FALSE()),0))</f>
        <v>0.0124</v>
      </c>
      <c r="AI47" s="28" t="n">
        <f aca="false">Assumptions!$B$6</f>
        <v>0.66</v>
      </c>
      <c r="AJ47" s="44" t="n">
        <f aca="false">AG47*AH47*AI47</f>
        <v>0.037743244</v>
      </c>
      <c r="AK47" s="44" t="n">
        <f aca="false">AJ47*AD47</f>
        <v>0.002415567616</v>
      </c>
      <c r="AL47" s="30" t="n">
        <f aca="false">AJ47*56</f>
        <v>2.113621664</v>
      </c>
      <c r="AM47" s="32" t="n">
        <f aca="false">AK47*56</f>
        <v>0.135271786496</v>
      </c>
      <c r="AN47" s="44" t="n">
        <f aca="false">M47*Assumptions!$B$8</f>
        <v>0.983333333333333</v>
      </c>
      <c r="AO47" s="27" t="s">
        <v>825</v>
      </c>
      <c r="AP47" s="27" t="s">
        <v>826</v>
      </c>
      <c r="AQ47" s="26" t="s">
        <v>198</v>
      </c>
      <c r="AR47" s="27" t="s">
        <v>756</v>
      </c>
      <c r="AS47" s="44" t="n">
        <f aca="false">IF(AO47="Ranking — Full Push",MIN(MAX(AJ47,Assumptions!$B$9),AN47),IF(AO47="Brand Defense",MIN(Assumptions!$B$7,AN47),IF(OR(AO47="Ranking — Head Term (Capped)",AO47="Ranking — Capped Entry"),MIN(MAX(AJ47,Assumptions!$B$9),Assumptions!$B$7,AN47),IF(AO47="Ranking — Capped Long-Tail",MIN(AJ47,Assumptions!$B$10,AN47),MIN(AJ47,AN47)))))</f>
        <v>0.037743244</v>
      </c>
      <c r="AT47" s="27" t="str">
        <f aca="false">IF(AJ47&lt;=0,"",IF(AS47&gt;=AJ47,IF(AS47&gt;AJ47*1.05,"Floor of "&amp;TEXT(AS47,"0.0")&amp;" click/day to read CVR (rank needs "&amp;TEXT(AJ47,"0.00")&amp;")","Fully funded (100%)"),"Capped at "&amp;TEXT(AS47/AJ47,"0%")&amp;" of required"))</f>
        <v>Fully funded (100%)</v>
      </c>
      <c r="AU47" s="44" t="n">
        <f aca="false">AS47*AD47</f>
        <v>0.002415567616</v>
      </c>
      <c r="AV47" s="45" t="n">
        <f aca="false">AU47*AY47</f>
        <v>0.21013022691584</v>
      </c>
      <c r="AW47" s="46" t="n">
        <v>3.66</v>
      </c>
      <c r="AX47" s="27" t="s">
        <v>469</v>
      </c>
      <c r="AY47" s="47" t="n">
        <f aca="false">INDEX(Assumptions!$B$33:$B$37,MATCH(IF($D47="","Queen",$D47),Assumptions!$A$33:$A$37,0))</f>
        <v>86.99</v>
      </c>
      <c r="AZ47" s="33" t="n">
        <f aca="false">INDEX(Assumptions!$K$33:$K$37,MATCH(IF($D47="","Queen",$D47),Assumptions!$A$33:$A$37,0))</f>
        <v>0.531293826876653</v>
      </c>
      <c r="BA47" s="33" t="n">
        <f aca="false">INDEX(Assumptions!$H$33:$H$37,MATCH(IF($D47="","Queen",$D47),Assumptions!$A$33:$A$37,0))</f>
        <v>0.354195884584435</v>
      </c>
      <c r="BB47" s="47" t="n">
        <f aca="false">AY47*AZ47*AD47</f>
        <v>2.957904</v>
      </c>
      <c r="BC47" s="47" t="n">
        <f aca="false">ROUND(MIN(AW47*Assumptions!$B$11,BB47),2)</f>
        <v>2.96</v>
      </c>
      <c r="BD47" s="26" t="s">
        <v>278</v>
      </c>
      <c r="BE47" s="48" t="n">
        <f aca="false">IF(AO47="Ranking — Full Push",MAX(0,MIN(IF(BD47="Yes",Assumptions!$B$12,Assumptions!$B$13),FLOOR(MAX(0,BB47/BC47-1),Assumptions!$B$14))),0)</f>
        <v>0</v>
      </c>
      <c r="BF47" s="49" t="str">
        <f aca="false">IF(AO47="Ranking — Full Push",IF(BE47&gt;=1,"YES — +100% Top of Search. Effective CPC $"&amp;TEXT(BG47,"0.00")&amp;" (= $"&amp;TEXT(BC47,"0.00")&amp;" × 2) stays within the $"&amp;TEXT(BB47,"0.00")&amp;" max ranking CPC"&amp;" (= $"&amp;TEXT(AY47,"0.00")&amp;" price × "&amp;TEXT(AZ47,"0.0%")&amp;" ranking ceiling × "&amp;TEXT(AD47,"0.0%")&amp;" CVR)"&amp;". Sleephoria CVR is proven on this term, so the full push is justified.",IF(AND(BD47="No",BE47&gt;=Assumptions!$B$13),"PARTIAL — +"&amp;TEXT(BE47,"0%")&amp;" Top of Search (limit for terms without proven CVR). Effective CPC $"&amp;TEXT(BG47,"0.00")&amp;" vs $"&amp;TEXT(BB47,"0.00")&amp;" max ranking CPC"&amp;" (= $"&amp;TEXT(AY47,"0.00")&amp;" price × "&amp;TEXT(AZ47,"0.0%")&amp;" ranking ceiling × "&amp;TEXT(AD47,"0.0%")&amp;" CVR)"&amp;". Raise to +100% only after CooLinens converts at ≥ "&amp;TEXT(AD47,"0.0%")&amp;" on 50+ clicks and $"&amp;TEXT(BC47*2,"0.00")&amp;" ≤ the max.",IF(BE47&gt;0,"PARTIAL — +"&amp;TEXT(BE47,"0%")&amp;" Top of Search. Effective CPC $"&amp;TEXT(BG47,"0.00")&amp;" stays within the $"&amp;TEXT(BB47,"0.00")&amp;" max ranking CPC"&amp;" (= $"&amp;TEXT(AY47,"0.00")&amp;" price × "&amp;TEXT(AZ47,"0.0%")&amp;" ranking ceiling × "&amp;TEXT(AD47,"0.0%")&amp;" CVR)"&amp;". +100% would cost $"&amp;TEXT(BC47*2,"0.00")&amp;" per click and push ACoS to "&amp;TEXT(BC47*2/(AY47*AD47),"0.0%")&amp;", above the "&amp;TEXT(AZ47,"0.0%")&amp;" ceiling.","NO — 0%. Base bid $"&amp;TEXT(BC47,"0.00")&amp;" already equals the $"&amp;TEXT(BB47,"0.00")&amp;" max ranking CPC"&amp;" (= $"&amp;TEXT(AY47,"0.00")&amp;" price × "&amp;TEXT(AZ47,"0.0%")&amp;" ranking ceiling × "&amp;TEXT(AD47,"0.0%")&amp;" CVR)"&amp;"; any modifier would push ACoS above the "&amp;TEXT(AZ47,"0.0%")&amp;" ceiling."))),IF(OR(AO47="Ranking — Head Term (Capped)",AO47="Ranking — Capped Entry",AO47="Ranking — Capped Long-Tail"),"NO — 0% (capped ranking entry). Bid $"&amp;TEXT(BC47,"0.00")&amp;" vs $"&amp;TEXT(BB47,"0.00")&amp;" max ranking CPC"&amp;" (= $"&amp;TEXT(AY47,"0.00")&amp;" price × "&amp;TEXT(AZ47,"0.0%")&amp;" ranking ceiling × "&amp;TEXT(AD47,"0.0%")&amp;" CVR)"&amp;". While spend is capped at "&amp;TEXT(AS47,"0.00")&amp;" clicks/day, a placement premium would only raise CPC without buying more rank; the modifier is set when this term moves to a full push.","NO — 0% (support / brand term). Bid $"&amp;TEXT(BC47,"0.00")&amp;" vs $"&amp;TEXT(BB47,"0.00")&amp;" max ranking CPC"&amp;" (= $"&amp;TEXT(AY47,"0.00")&amp;" price × "&amp;TEXT(AZ47,"0.0%")&amp;" ranking ceiling × "&amp;TEXT(AD47,"0.0%")&amp;" CVR)"&amp;"; expected ACoS "&amp;TEXT(BI47,"0.0%")&amp;" vs the "&amp;TEXT(AZ47,"0.0%")&amp;" ceiling."))</f>
        <v>NO — 0% (capped ranking entry). Bid $2.96 vs $2.96 max ranking CPC (= $86.99 price × 53.1% ranking ceiling × 6.4% CVR). While spend is capped at 0.04 clicks/day, a placement premium would only raise CPC without buying more rank; the modifier is set when this term moves to a full push.</v>
      </c>
      <c r="BG47" s="50" t="n">
        <f aca="false">BC47*(1+BE47)</f>
        <v>2.96</v>
      </c>
      <c r="BH47" s="45" t="n">
        <f aca="false">AS47*BG47</f>
        <v>0.11172000224</v>
      </c>
      <c r="BI47" s="33" t="n">
        <f aca="false">IFERROR(BG47/(AY47*AD47),"")</f>
        <v>0.531670306931831</v>
      </c>
      <c r="BJ47" s="27" t="str">
        <f aca="false">IF(BI47="","",IF(BI47&lt;=BA47,"Profitable (≤ break-even)",IF(BI47&lt;=AZ47,"Ranking investment (≤ ceiling)","Above ceiling — reduce bid")))</f>
        <v>Above ceiling — reduce bid</v>
      </c>
      <c r="BK47" s="49" t="str">
        <f aca="false">"Base $"&amp;TEXT(BC47,"0.00")&amp;" × (1 + "&amp;TEXT(BE47,"0%")&amp;" TOS) = $"&amp;TEXT(BG47,"0.00")&amp;" effective CPC [max $"&amp;TEXT(BB47,"0.00")&amp;"]. "&amp;TEXT(AG47,"0.0")&amp;" market clicks/day × "&amp;TEXT(AH47,"0.00%")&amp;" click share × "&amp;TEXT(AI47,"0%")&amp;" paid = "&amp;TEXT(AJ47,"0.00")&amp;" clicks/day needed; "&amp;"planned "&amp;TEXT(AS47,"0.00")&amp;" clicks/day × "&amp;TEXT(AD47,"0.0%")&amp;" CVR = "&amp;TEXT(AU47,"0.00")&amp;" orders/day. "&amp;"Spend $"&amp;TEXT(BH47,"0.00")&amp;"/day, ACoS "&amp;TEXT(BI47,"0.0%")&amp;" (ceiling "&amp;TEXT(AZ47,"0.0%")&amp;", break-even "&amp;TEXT(BA47,"0.0%")&amp;"). "&amp;"Target organic rank #"&amp;S47&amp;" by week 8 ("&amp;T47&amp;")."</f>
        <v>Base $2.96 × (1 + 0% TOS) = $2.96 effective CPC [max $2.96]. 4.6 market clicks/day × 1.24% click share × 66% paid = 0.04 clicks/day needed; planned 0.04 clicks/day × 6.4% CVR = 0.00 orders/day. Spend $0.11/day, ACoS 53.2% (ceiling 53.1%, break-even 35.4%). Target organic rank #20 by week 8 (#60 → #35 → #20 (full push after size assignment)).</v>
      </c>
      <c r="BL47" s="27" t="s">
        <v>827</v>
      </c>
      <c r="BM47" s="27" t="s">
        <v>758</v>
      </c>
      <c r="BN47" s="27" t="s">
        <v>828</v>
      </c>
      <c r="BO47" s="27" t="s">
        <v>829</v>
      </c>
      <c r="BP47" s="27" t="s">
        <v>435</v>
      </c>
      <c r="BQ47" s="26" t="s">
        <v>436</v>
      </c>
      <c r="BR47" s="40" t="n">
        <f aca="false">IFERROR(INDEX(Campaigns!$L:$L,MATCH(BN47,Campaigns!$A:$A,0)),"")</f>
        <v>10</v>
      </c>
      <c r="BS47" s="51" t="str">
        <f aca="false">IFERROR(INDEX(Inventory!$O:$O,MATCH(BP47,Inventory!$A:$A,0)),"")</f>
        <v>OK</v>
      </c>
      <c r="BT47" s="52" t="n">
        <f aca="false">IFERROR(INDEX(Inventory!$N:$N,MATCH(BP47,Inventory!$A:$A,0)),"")</f>
        <v>77.9698137852892</v>
      </c>
      <c r="BU47" s="27" t="s">
        <v>830</v>
      </c>
      <c r="BV47" s="27" t="s">
        <v>263</v>
      </c>
      <c r="BW47" s="27" t="s">
        <v>831</v>
      </c>
      <c r="BX47" s="27" t="s">
        <v>832</v>
      </c>
      <c r="BY47" s="27" t="s">
        <v>833</v>
      </c>
      <c r="BZ47" s="27" t="s">
        <v>834</v>
      </c>
      <c r="CA47" s="27" t="s">
        <v>442</v>
      </c>
      <c r="CB47" s="27" t="s">
        <v>835</v>
      </c>
      <c r="CC47" s="27" t="s">
        <v>477</v>
      </c>
    </row>
    <row r="48" customFormat="false" ht="120" hidden="false" customHeight="true" outlineLevel="0" collapsed="false">
      <c r="A48" s="24" t="s">
        <v>836</v>
      </c>
      <c r="B48" s="25" t="n">
        <v>1</v>
      </c>
      <c r="C48" s="26" t="s">
        <v>184</v>
      </c>
      <c r="D48" s="26" t="s">
        <v>422</v>
      </c>
      <c r="E48" s="27" t="s">
        <v>371</v>
      </c>
      <c r="F48" s="28" t="n">
        <v>1</v>
      </c>
      <c r="G48" s="27" t="s">
        <v>187</v>
      </c>
      <c r="H48" s="26" t="s">
        <v>782</v>
      </c>
      <c r="I48" s="29" t="n">
        <v>1.5</v>
      </c>
      <c r="J48" s="27" t="s">
        <v>837</v>
      </c>
      <c r="K48" s="30" t="n">
        <v>217</v>
      </c>
      <c r="L48" s="31" t="n">
        <v>165</v>
      </c>
      <c r="M48" s="32" t="n">
        <f aca="false">L48/30</f>
        <v>5.5</v>
      </c>
      <c r="N48" s="33"/>
      <c r="O48" s="27" t="s">
        <v>769</v>
      </c>
      <c r="P48" s="27" t="s">
        <v>769</v>
      </c>
      <c r="Q48" s="27" t="s">
        <v>722</v>
      </c>
      <c r="R48" s="34" t="n">
        <v>0</v>
      </c>
      <c r="S48" s="35" t="n">
        <v>20</v>
      </c>
      <c r="T48" s="36" t="s">
        <v>467</v>
      </c>
      <c r="U48" s="27" t="s">
        <v>784</v>
      </c>
      <c r="V48" s="37" t="str">
        <f aca="false">IFERROR(INDEX(Sleephoria_History!$F$454:$F$2115,MATCH($A48,Sleephoria_History!$A$454:$A$2115,0)),"")</f>
        <v/>
      </c>
      <c r="W48" s="38" t="str">
        <f aca="false">IFERROR(INDEX(Sleephoria_History!$J$454:$J$2115,MATCH($A48,Sleephoria_History!$A$454:$A$2115,0)),"")</f>
        <v/>
      </c>
      <c r="X48" s="39" t="str">
        <f aca="false">IFERROR(INDEX(Sleephoria_History!$H$454:$H$2115,MATCH($A48,Sleephoria_History!$A$454:$A$2115,0)),"")</f>
        <v/>
      </c>
      <c r="Y48" s="38" t="str">
        <f aca="false">IFERROR(INDEX(Sleephoria_History!$M$454:$M$2115,MATCH($A48,Sleephoria_History!$A$454:$A$2115,0)),"")</f>
        <v/>
      </c>
      <c r="Z48" s="40" t="str">
        <f aca="false">IFERROR(INDEX(Sleephoria_History!$L$454:$L$2115,MATCH($A48,Sleephoria_History!$A$454:$A$2115,0)),"")</f>
        <v/>
      </c>
      <c r="AA48" s="37" t="str">
        <f aca="false">IFERROR(INDEX(Decolure_History!$F$397:$F$709,MATCH($A48,Decolure_History!$A$397:$A$709,0)),"")</f>
        <v/>
      </c>
      <c r="AB48" s="38" t="str">
        <f aca="false">IFERROR(INDEX(Decolure_History!$J$397:$J$709,MATCH($A48,Decolure_History!$A$397:$A$709,0)),"")</f>
        <v/>
      </c>
      <c r="AC48" s="38" t="str">
        <f aca="false">IFERROR(INDEX(Decolure_History!$M$397:$M$709,MATCH($A48,Decolure_History!$A$397:$A$709,0)),"")</f>
        <v/>
      </c>
      <c r="AD48" s="41" t="n">
        <v>0.064</v>
      </c>
      <c r="AE48" s="27" t="s">
        <v>275</v>
      </c>
      <c r="AF48" s="42" t="n">
        <v>0.478</v>
      </c>
      <c r="AG48" s="32" t="n">
        <f aca="false">M48*AF48</f>
        <v>2.629</v>
      </c>
      <c r="AH48" s="43" t="n">
        <f aca="false">IF(AO48="Brand Defense",0,IFERROR(VLOOKUP(S48,Assumptions!$A$24:$B$28,2,FALSE()),0))</f>
        <v>0.0124</v>
      </c>
      <c r="AI48" s="28" t="n">
        <f aca="false">Assumptions!$B$6</f>
        <v>0.66</v>
      </c>
      <c r="AJ48" s="44" t="n">
        <f aca="false">AG48*AH48*AI48</f>
        <v>0.021515736</v>
      </c>
      <c r="AK48" s="44" t="n">
        <f aca="false">AJ48*AD48</f>
        <v>0.001377007104</v>
      </c>
      <c r="AL48" s="30" t="n">
        <f aca="false">AJ48*56</f>
        <v>1.204881216</v>
      </c>
      <c r="AM48" s="32" t="n">
        <f aca="false">AK48*56</f>
        <v>0.077112397824</v>
      </c>
      <c r="AN48" s="44" t="n">
        <f aca="false">M48*Assumptions!$B$8</f>
        <v>0.55</v>
      </c>
      <c r="AO48" s="27" t="s">
        <v>825</v>
      </c>
      <c r="AP48" s="27" t="s">
        <v>826</v>
      </c>
      <c r="AQ48" s="26" t="s">
        <v>198</v>
      </c>
      <c r="AR48" s="27" t="s">
        <v>756</v>
      </c>
      <c r="AS48" s="44" t="n">
        <f aca="false">IF(AO48="Ranking — Full Push",MIN(MAX(AJ48,Assumptions!$B$9),AN48),IF(AO48="Brand Defense",MIN(Assumptions!$B$7,AN48),IF(OR(AO48="Ranking — Head Term (Capped)",AO48="Ranking — Capped Entry"),MIN(MAX(AJ48,Assumptions!$B$9),Assumptions!$B$7,AN48),IF(AO48="Ranking — Capped Long-Tail",MIN(AJ48,Assumptions!$B$10,AN48),MIN(AJ48,AN48)))))</f>
        <v>0.021515736</v>
      </c>
      <c r="AT48" s="27" t="str">
        <f aca="false">IF(AJ48&lt;=0,"",IF(AS48&gt;=AJ48,IF(AS48&gt;AJ48*1.05,"Floor of "&amp;TEXT(AS48,"0.0")&amp;" click/day to read CVR (rank needs "&amp;TEXT(AJ48,"0.00")&amp;")","Fully funded (100%)"),"Capped at "&amp;TEXT(AS48/AJ48,"0%")&amp;" of required"))</f>
        <v>Fully funded (100%)</v>
      </c>
      <c r="AU48" s="44" t="n">
        <f aca="false">AS48*AD48</f>
        <v>0.001377007104</v>
      </c>
      <c r="AV48" s="45" t="n">
        <f aca="false">AU48*AY48</f>
        <v>0.11978584797696</v>
      </c>
      <c r="AW48" s="46" t="n">
        <v>3.66</v>
      </c>
      <c r="AX48" s="27" t="s">
        <v>469</v>
      </c>
      <c r="AY48" s="47" t="n">
        <f aca="false">INDEX(Assumptions!$B$33:$B$37,MATCH(IF($D48="","Queen",$D48),Assumptions!$A$33:$A$37,0))</f>
        <v>86.99</v>
      </c>
      <c r="AZ48" s="33" t="n">
        <f aca="false">INDEX(Assumptions!$K$33:$K$37,MATCH(IF($D48="","Queen",$D48),Assumptions!$A$33:$A$37,0))</f>
        <v>0.531293826876653</v>
      </c>
      <c r="BA48" s="33" t="n">
        <f aca="false">INDEX(Assumptions!$H$33:$H$37,MATCH(IF($D48="","Queen",$D48),Assumptions!$A$33:$A$37,0))</f>
        <v>0.354195884584435</v>
      </c>
      <c r="BB48" s="47" t="n">
        <f aca="false">AY48*AZ48*AD48</f>
        <v>2.957904</v>
      </c>
      <c r="BC48" s="47" t="n">
        <f aca="false">ROUND(MIN(AW48*Assumptions!$B$11,BB48),2)</f>
        <v>2.96</v>
      </c>
      <c r="BD48" s="26" t="s">
        <v>278</v>
      </c>
      <c r="BE48" s="48" t="n">
        <f aca="false">IF(AO48="Ranking — Full Push",MAX(0,MIN(IF(BD48="Yes",Assumptions!$B$12,Assumptions!$B$13),FLOOR(MAX(0,BB48/BC48-1),Assumptions!$B$14))),0)</f>
        <v>0</v>
      </c>
      <c r="BF48" s="49" t="str">
        <f aca="false">IF(AO48="Ranking — Full Push",IF(BE48&gt;=1,"YES — +100% Top of Search. Effective CPC $"&amp;TEXT(BG48,"0.00")&amp;" (= $"&amp;TEXT(BC48,"0.00")&amp;" × 2) stays within the $"&amp;TEXT(BB48,"0.00")&amp;" max ranking CPC"&amp;" (= $"&amp;TEXT(AY48,"0.00")&amp;" price × "&amp;TEXT(AZ48,"0.0%")&amp;" ranking ceiling × "&amp;TEXT(AD48,"0.0%")&amp;" CVR)"&amp;". Sleephoria CVR is proven on this term, so the full push is justified.",IF(AND(BD48="No",BE48&gt;=Assumptions!$B$13),"PARTIAL — +"&amp;TEXT(BE48,"0%")&amp;" Top of Search (limit for terms without proven CVR). Effective CPC $"&amp;TEXT(BG48,"0.00")&amp;" vs $"&amp;TEXT(BB48,"0.00")&amp;" max ranking CPC"&amp;" (= $"&amp;TEXT(AY48,"0.00")&amp;" price × "&amp;TEXT(AZ48,"0.0%")&amp;" ranking ceiling × "&amp;TEXT(AD48,"0.0%")&amp;" CVR)"&amp;". Raise to +100% only after CooLinens converts at ≥ "&amp;TEXT(AD48,"0.0%")&amp;" on 50+ clicks and $"&amp;TEXT(BC48*2,"0.00")&amp;" ≤ the max.",IF(BE48&gt;0,"PARTIAL — +"&amp;TEXT(BE48,"0%")&amp;" Top of Search. Effective CPC $"&amp;TEXT(BG48,"0.00")&amp;" stays within the $"&amp;TEXT(BB48,"0.00")&amp;" max ranking CPC"&amp;" (= $"&amp;TEXT(AY48,"0.00")&amp;" price × "&amp;TEXT(AZ48,"0.0%")&amp;" ranking ceiling × "&amp;TEXT(AD48,"0.0%")&amp;" CVR)"&amp;". +100% would cost $"&amp;TEXT(BC48*2,"0.00")&amp;" per click and push ACoS to "&amp;TEXT(BC48*2/(AY48*AD48),"0.0%")&amp;", above the "&amp;TEXT(AZ48,"0.0%")&amp;" ceiling.","NO — 0%. Base bid $"&amp;TEXT(BC48,"0.00")&amp;" already equals the $"&amp;TEXT(BB48,"0.00")&amp;" max ranking CPC"&amp;" (= $"&amp;TEXT(AY48,"0.00")&amp;" price × "&amp;TEXT(AZ48,"0.0%")&amp;" ranking ceiling × "&amp;TEXT(AD48,"0.0%")&amp;" CVR)"&amp;"; any modifier would push ACoS above the "&amp;TEXT(AZ48,"0.0%")&amp;" ceiling."))),IF(OR(AO48="Ranking — Head Term (Capped)",AO48="Ranking — Capped Entry",AO48="Ranking — Capped Long-Tail"),"NO — 0% (capped ranking entry). Bid $"&amp;TEXT(BC48,"0.00")&amp;" vs $"&amp;TEXT(BB48,"0.00")&amp;" max ranking CPC"&amp;" (= $"&amp;TEXT(AY48,"0.00")&amp;" price × "&amp;TEXT(AZ48,"0.0%")&amp;" ranking ceiling × "&amp;TEXT(AD48,"0.0%")&amp;" CVR)"&amp;". While spend is capped at "&amp;TEXT(AS48,"0.00")&amp;" clicks/day, a placement premium would only raise CPC without buying more rank; the modifier is set when this term moves to a full push.","NO — 0% (support / brand term). Bid $"&amp;TEXT(BC48,"0.00")&amp;" vs $"&amp;TEXT(BB48,"0.00")&amp;" max ranking CPC"&amp;" (= $"&amp;TEXT(AY48,"0.00")&amp;" price × "&amp;TEXT(AZ48,"0.0%")&amp;" ranking ceiling × "&amp;TEXT(AD48,"0.0%")&amp;" CVR)"&amp;"; expected ACoS "&amp;TEXT(BI48,"0.0%")&amp;" vs the "&amp;TEXT(AZ48,"0.0%")&amp;" ceiling."))</f>
        <v>NO — 0% (capped ranking entry). Bid $2.96 vs $2.96 max ranking CPC (= $86.99 price × 53.1% ranking ceiling × 6.4% CVR). While spend is capped at 0.02 clicks/day, a placement premium would only raise CPC without buying more rank; the modifier is set when this term moves to a full push.</v>
      </c>
      <c r="BG48" s="50" t="n">
        <f aca="false">BC48*(1+BE48)</f>
        <v>2.96</v>
      </c>
      <c r="BH48" s="45" t="n">
        <f aca="false">AS48*BG48</f>
        <v>0.06368657856</v>
      </c>
      <c r="BI48" s="33" t="n">
        <f aca="false">IFERROR(BG48/(AY48*AD48),"")</f>
        <v>0.531670306931831</v>
      </c>
      <c r="BJ48" s="27" t="str">
        <f aca="false">IF(BI48="","",IF(BI48&lt;=BA48,"Profitable (≤ break-even)",IF(BI48&lt;=AZ48,"Ranking investment (≤ ceiling)","Above ceiling — reduce bid")))</f>
        <v>Above ceiling — reduce bid</v>
      </c>
      <c r="BK48" s="49" t="str">
        <f aca="false">"Base $"&amp;TEXT(BC48,"0.00")&amp;" × (1 + "&amp;TEXT(BE48,"0%")&amp;" TOS) = $"&amp;TEXT(BG48,"0.00")&amp;" effective CPC [max $"&amp;TEXT(BB48,"0.00")&amp;"]. "&amp;TEXT(AG48,"0.0")&amp;" market clicks/day × "&amp;TEXT(AH48,"0.00%")&amp;" click share × "&amp;TEXT(AI48,"0%")&amp;" paid = "&amp;TEXT(AJ48,"0.00")&amp;" clicks/day needed; "&amp;"planned "&amp;TEXT(AS48,"0.00")&amp;" clicks/day × "&amp;TEXT(AD48,"0.0%")&amp;" CVR = "&amp;TEXT(AU48,"0.00")&amp;" orders/day. "&amp;"Spend $"&amp;TEXT(BH48,"0.00")&amp;"/day, ACoS "&amp;TEXT(BI48,"0.0%")&amp;" (ceiling "&amp;TEXT(AZ48,"0.0%")&amp;", break-even "&amp;TEXT(BA48,"0.0%")&amp;"). "&amp;"Target organic rank #"&amp;S48&amp;" by week 8 ("&amp;T48&amp;")."</f>
        <v>Base $2.96 × (1 + 0% TOS) = $2.96 effective CPC [max $2.96]. 2.6 market clicks/day × 1.24% click share × 66% paid = 0.02 clicks/day needed; planned 0.02 clicks/day × 6.4% CVR = 0.00 orders/day. Spend $0.06/day, ACoS 53.2% (ceiling 53.1%, break-even 35.4%). Target organic rank #20 by week 8 (#60 → #35 → #20 (full push after size assignment)).</v>
      </c>
      <c r="BL48" s="27" t="s">
        <v>433</v>
      </c>
      <c r="BM48" s="27" t="s">
        <v>758</v>
      </c>
      <c r="BN48" s="27" t="s">
        <v>828</v>
      </c>
      <c r="BO48" s="27" t="s">
        <v>838</v>
      </c>
      <c r="BP48" s="27" t="s">
        <v>435</v>
      </c>
      <c r="BQ48" s="26" t="s">
        <v>436</v>
      </c>
      <c r="BR48" s="40" t="n">
        <f aca="false">IFERROR(INDEX(Campaigns!$L:$L,MATCH(BN48,Campaigns!$A:$A,0)),"")</f>
        <v>10</v>
      </c>
      <c r="BS48" s="51" t="str">
        <f aca="false">IFERROR(INDEX(Inventory!$O:$O,MATCH(BP48,Inventory!$A:$A,0)),"")</f>
        <v>OK</v>
      </c>
      <c r="BT48" s="52" t="n">
        <f aca="false">IFERROR(INDEX(Inventory!$N:$N,MATCH(BP48,Inventory!$A:$A,0)),"")</f>
        <v>77.9698137852892</v>
      </c>
      <c r="BU48" s="27" t="s">
        <v>839</v>
      </c>
      <c r="BV48" s="27" t="s">
        <v>263</v>
      </c>
      <c r="BW48" s="27" t="s">
        <v>791</v>
      </c>
      <c r="BX48" s="27" t="s">
        <v>840</v>
      </c>
      <c r="BY48" s="27" t="s">
        <v>793</v>
      </c>
      <c r="BZ48" s="27" t="s">
        <v>794</v>
      </c>
      <c r="CA48" s="27" t="s">
        <v>442</v>
      </c>
      <c r="CB48" s="27" t="s">
        <v>841</v>
      </c>
      <c r="CC48" s="27" t="s">
        <v>477</v>
      </c>
    </row>
    <row r="49" customFormat="false" ht="120" hidden="false" customHeight="true" outlineLevel="0" collapsed="false">
      <c r="A49" s="24" t="s">
        <v>842</v>
      </c>
      <c r="B49" s="25" t="n">
        <v>1</v>
      </c>
      <c r="C49" s="26" t="s">
        <v>184</v>
      </c>
      <c r="D49" s="26" t="s">
        <v>479</v>
      </c>
      <c r="E49" s="27" t="s">
        <v>371</v>
      </c>
      <c r="F49" s="28" t="n">
        <v>1</v>
      </c>
      <c r="G49" s="27" t="s">
        <v>187</v>
      </c>
      <c r="H49" s="26" t="s">
        <v>342</v>
      </c>
      <c r="I49" s="29" t="n">
        <v>6</v>
      </c>
      <c r="J49" s="27" t="s">
        <v>547</v>
      </c>
      <c r="K49" s="30" t="n">
        <v>649</v>
      </c>
      <c r="L49" s="31" t="n">
        <v>267</v>
      </c>
      <c r="M49" s="32" t="n">
        <f aca="false">L49/30</f>
        <v>8.9</v>
      </c>
      <c r="N49" s="33" t="n">
        <v>0.0555555555555555</v>
      </c>
      <c r="O49" s="27" t="s">
        <v>843</v>
      </c>
      <c r="P49" s="27" t="s">
        <v>844</v>
      </c>
      <c r="Q49" s="27" t="s">
        <v>533</v>
      </c>
      <c r="R49" s="34" t="n">
        <v>1</v>
      </c>
      <c r="S49" s="35" t="n">
        <v>20</v>
      </c>
      <c r="T49" s="36" t="s">
        <v>467</v>
      </c>
      <c r="U49" s="27" t="s">
        <v>845</v>
      </c>
      <c r="V49" s="37" t="n">
        <f aca="false">IFERROR(INDEX(Sleephoria_History!$F$454:$F$2115,MATCH($A49,Sleephoria_History!$A$454:$A$2115,0)),"")</f>
        <v>5</v>
      </c>
      <c r="W49" s="38" t="n">
        <f aca="false">IFERROR(INDEX(Sleephoria_History!$J$454:$J$2115,MATCH($A49,Sleephoria_History!$A$454:$A$2115,0)),"")</f>
        <v>0</v>
      </c>
      <c r="X49" s="39" t="n">
        <f aca="false">IFERROR(INDEX(Sleephoria_History!$H$454:$H$2115,MATCH($A49,Sleephoria_History!$A$454:$A$2115,0)),"")</f>
        <v>2.08</v>
      </c>
      <c r="Y49" s="38" t="n">
        <f aca="false">IFERROR(INDEX(Sleephoria_History!$M$454:$M$2115,MATCH($A49,Sleephoria_History!$A$454:$A$2115,0)),"")</f>
        <v>0</v>
      </c>
      <c r="Z49" s="40" t="n">
        <f aca="false">IFERROR(INDEX(Sleephoria_History!$L$454:$L$2115,MATCH($A49,Sleephoria_History!$A$454:$A$2115,0)),"")</f>
        <v>0</v>
      </c>
      <c r="AA49" s="37" t="str">
        <f aca="false">IFERROR(INDEX(Decolure_History!$F$397:$F$709,MATCH($A49,Decolure_History!$A$397:$A$709,0)),"")</f>
        <v/>
      </c>
      <c r="AB49" s="38" t="str">
        <f aca="false">IFERROR(INDEX(Decolure_History!$J$397:$J$709,MATCH($A49,Decolure_History!$A$397:$A$709,0)),"")</f>
        <v/>
      </c>
      <c r="AC49" s="38" t="str">
        <f aca="false">IFERROR(INDEX(Decolure_History!$M$397:$M$709,MATCH($A49,Decolure_History!$A$397:$A$709,0)),"")</f>
        <v/>
      </c>
      <c r="AD49" s="41" t="n">
        <v>0.064</v>
      </c>
      <c r="AE49" s="27" t="s">
        <v>275</v>
      </c>
      <c r="AF49" s="42" t="n">
        <v>0.494</v>
      </c>
      <c r="AG49" s="32" t="n">
        <f aca="false">M49*AF49</f>
        <v>4.3966</v>
      </c>
      <c r="AH49" s="43" t="n">
        <f aca="false">IF(AO49="Brand Defense",0,IFERROR(VLOOKUP(S49,Assumptions!$A$24:$B$28,2,FALSE()),0))</f>
        <v>0.0124</v>
      </c>
      <c r="AI49" s="28" t="n">
        <f aca="false">Assumptions!$B$6</f>
        <v>0.66</v>
      </c>
      <c r="AJ49" s="44" t="n">
        <f aca="false">AG49*AH49*AI49</f>
        <v>0.0359817744</v>
      </c>
      <c r="AK49" s="44" t="n">
        <f aca="false">AJ49*AD49</f>
        <v>0.0023028335616</v>
      </c>
      <c r="AL49" s="30" t="n">
        <f aca="false">AJ49*56</f>
        <v>2.0149793664</v>
      </c>
      <c r="AM49" s="32" t="n">
        <f aca="false">AK49*56</f>
        <v>0.1289586794496</v>
      </c>
      <c r="AN49" s="44" t="n">
        <f aca="false">M49*Assumptions!$B$8</f>
        <v>0.89</v>
      </c>
      <c r="AO49" s="27" t="s">
        <v>825</v>
      </c>
      <c r="AP49" s="27" t="s">
        <v>846</v>
      </c>
      <c r="AQ49" s="26" t="s">
        <v>198</v>
      </c>
      <c r="AR49" s="27" t="s">
        <v>756</v>
      </c>
      <c r="AS49" s="44" t="n">
        <f aca="false">IF(AO49="Ranking — Full Push",MIN(MAX(AJ49,Assumptions!$B$9),AN49),IF(AO49="Brand Defense",MIN(Assumptions!$B$7,AN49),IF(OR(AO49="Ranking — Head Term (Capped)",AO49="Ranking — Capped Entry"),MIN(MAX(AJ49,Assumptions!$B$9),Assumptions!$B$7,AN49),IF(AO49="Ranking — Capped Long-Tail",MIN(AJ49,Assumptions!$B$10,AN49),MIN(AJ49,AN49)))))</f>
        <v>0.0359817744</v>
      </c>
      <c r="AT49" s="27" t="str">
        <f aca="false">IF(AJ49&lt;=0,"",IF(AS49&gt;=AJ49,IF(AS49&gt;AJ49*1.05,"Floor of "&amp;TEXT(AS49,"0.0")&amp;" click/day to read CVR (rank needs "&amp;TEXT(AJ49,"0.00")&amp;")","Fully funded (100%)"),"Capped at "&amp;TEXT(AS49/AJ49,"0%")&amp;" of required"))</f>
        <v>Fully funded (100%)</v>
      </c>
      <c r="AU49" s="44" t="n">
        <f aca="false">AS49*AD49</f>
        <v>0.0023028335616</v>
      </c>
      <c r="AV49" s="45" t="n">
        <f aca="false">AU49*AY49</f>
        <v>0.156569653853184</v>
      </c>
      <c r="AW49" s="46" t="n">
        <v>2.42</v>
      </c>
      <c r="AX49" s="27" t="s">
        <v>551</v>
      </c>
      <c r="AY49" s="47" t="n">
        <f aca="false">INDEX(Assumptions!$B$33:$B$37,MATCH(IF($D49="","Queen",$D49),Assumptions!$A$33:$A$37,0))</f>
        <v>67.99</v>
      </c>
      <c r="AZ49" s="33" t="n">
        <f aca="false">INDEX(Assumptions!$K$33:$K$37,MATCH(IF($D49="","Queen",$D49),Assumptions!$A$33:$A$37,0))</f>
        <v>0.468852037064274</v>
      </c>
      <c r="BA49" s="33" t="n">
        <f aca="false">INDEX(Assumptions!$H$33:$H$37,MATCH(IF($D49="","Queen",$D49),Assumptions!$A$33:$A$37,0))</f>
        <v>0.312568024709516</v>
      </c>
      <c r="BB49" s="47" t="n">
        <f aca="false">AY49*AZ49*AD49</f>
        <v>2.040144</v>
      </c>
      <c r="BC49" s="47" t="n">
        <f aca="false">ROUND(MIN(AW49*Assumptions!$B$11,BB49),2)</f>
        <v>2.04</v>
      </c>
      <c r="BD49" s="26" t="s">
        <v>278</v>
      </c>
      <c r="BE49" s="48" t="n">
        <f aca="false">IF(AO49="Ranking — Full Push",MAX(0,MIN(IF(BD49="Yes",Assumptions!$B$12,Assumptions!$B$13),FLOOR(MAX(0,BB49/BC49-1),Assumptions!$B$14))),0)</f>
        <v>0</v>
      </c>
      <c r="BF49" s="49" t="str">
        <f aca="false">IF(AO49="Ranking — Full Push",IF(BE49&gt;=1,"YES — +100% Top of Search. Effective CPC $"&amp;TEXT(BG49,"0.00")&amp;" (= $"&amp;TEXT(BC49,"0.00")&amp;" × 2) stays within the $"&amp;TEXT(BB49,"0.00")&amp;" max ranking CPC"&amp;" (= $"&amp;TEXT(AY49,"0.00")&amp;" price × "&amp;TEXT(AZ49,"0.0%")&amp;" ranking ceiling × "&amp;TEXT(AD49,"0.0%")&amp;" CVR)"&amp;". Sleephoria CVR is proven on this term, so the full push is justified.",IF(AND(BD49="No",BE49&gt;=Assumptions!$B$13),"PARTIAL — +"&amp;TEXT(BE49,"0%")&amp;" Top of Search (limit for terms without proven CVR). Effective CPC $"&amp;TEXT(BG49,"0.00")&amp;" vs $"&amp;TEXT(BB49,"0.00")&amp;" max ranking CPC"&amp;" (= $"&amp;TEXT(AY49,"0.00")&amp;" price × "&amp;TEXT(AZ49,"0.0%")&amp;" ranking ceiling × "&amp;TEXT(AD49,"0.0%")&amp;" CVR)"&amp;". Raise to +100% only after CooLinens converts at ≥ "&amp;TEXT(AD49,"0.0%")&amp;" on 50+ clicks and $"&amp;TEXT(BC49*2,"0.00")&amp;" ≤ the max.",IF(BE49&gt;0,"PARTIAL — +"&amp;TEXT(BE49,"0%")&amp;" Top of Search. Effective CPC $"&amp;TEXT(BG49,"0.00")&amp;" stays within the $"&amp;TEXT(BB49,"0.00")&amp;" max ranking CPC"&amp;" (= $"&amp;TEXT(AY49,"0.00")&amp;" price × "&amp;TEXT(AZ49,"0.0%")&amp;" ranking ceiling × "&amp;TEXT(AD49,"0.0%")&amp;" CVR)"&amp;". +100% would cost $"&amp;TEXT(BC49*2,"0.00")&amp;" per click and push ACoS to "&amp;TEXT(BC49*2/(AY49*AD49),"0.0%")&amp;", above the "&amp;TEXT(AZ49,"0.0%")&amp;" ceiling.","NO — 0%. Base bid $"&amp;TEXT(BC49,"0.00")&amp;" already equals the $"&amp;TEXT(BB49,"0.00")&amp;" max ranking CPC"&amp;" (= $"&amp;TEXT(AY49,"0.00")&amp;" price × "&amp;TEXT(AZ49,"0.0%")&amp;" ranking ceiling × "&amp;TEXT(AD49,"0.0%")&amp;" CVR)"&amp;"; any modifier would push ACoS above the "&amp;TEXT(AZ49,"0.0%")&amp;" ceiling."))),IF(OR(AO49="Ranking — Head Term (Capped)",AO49="Ranking — Capped Entry",AO49="Ranking — Capped Long-Tail"),"NO — 0% (capped ranking entry). Bid $"&amp;TEXT(BC49,"0.00")&amp;" vs $"&amp;TEXT(BB49,"0.00")&amp;" max ranking CPC"&amp;" (= $"&amp;TEXT(AY49,"0.00")&amp;" price × "&amp;TEXT(AZ49,"0.0%")&amp;" ranking ceiling × "&amp;TEXT(AD49,"0.0%")&amp;" CVR)"&amp;". While spend is capped at "&amp;TEXT(AS49,"0.00")&amp;" clicks/day, a placement premium would only raise CPC without buying more rank; the modifier is set when this term moves to a full push.","NO — 0% (support / brand term). Bid $"&amp;TEXT(BC49,"0.00")&amp;" vs $"&amp;TEXT(BB49,"0.00")&amp;" max ranking CPC"&amp;" (= $"&amp;TEXT(AY49,"0.00")&amp;" price × "&amp;TEXT(AZ49,"0.0%")&amp;" ranking ceiling × "&amp;TEXT(AD49,"0.0%")&amp;" CVR)"&amp;"; expected ACoS "&amp;TEXT(BI49,"0.0%")&amp;" vs the "&amp;TEXT(AZ49,"0.0%")&amp;" ceiling."))</f>
        <v>NO — 0% (capped ranking entry). Bid $2.04 vs $2.04 max ranking CPC (= $67.99 price × 46.9% ranking ceiling × 6.4% CVR). While spend is capped at 0.04 clicks/day, a placement premium would only raise CPC without buying more rank; the modifier is set when this term moves to a full push.</v>
      </c>
      <c r="BG49" s="50" t="n">
        <f aca="false">BC49*(1+BE49)</f>
        <v>2.04</v>
      </c>
      <c r="BH49" s="45" t="n">
        <f aca="false">AS49*BG49</f>
        <v>0.073402819776</v>
      </c>
      <c r="BI49" s="33" t="n">
        <f aca="false">IFERROR(BG49/(AY49*AD49),"")</f>
        <v>0.468818943962347</v>
      </c>
      <c r="BJ49" s="27" t="str">
        <f aca="false">IF(BI49="","",IF(BI49&lt;=BA49,"Profitable (≤ break-even)",IF(BI49&lt;=AZ49,"Ranking investment (≤ ceiling)","Above ceiling — reduce bid")))</f>
        <v>Ranking investment (≤ ceiling)</v>
      </c>
      <c r="BK49" s="49" t="str">
        <f aca="false">"Base $"&amp;TEXT(BC49,"0.00")&amp;" × (1 + "&amp;TEXT(BE49,"0%")&amp;" TOS) = $"&amp;TEXT(BG49,"0.00")&amp;" effective CPC [max $"&amp;TEXT(BB49,"0.00")&amp;"]. "&amp;TEXT(AG49,"0.0")&amp;" market clicks/day × "&amp;TEXT(AH49,"0.00%")&amp;" click share × "&amp;TEXT(AI49,"0%")&amp;" paid = "&amp;TEXT(AJ49,"0.00")&amp;" clicks/day needed; "&amp;"planned "&amp;TEXT(AS49,"0.00")&amp;" clicks/day × "&amp;TEXT(AD49,"0.0%")&amp;" CVR = "&amp;TEXT(AU49,"0.00")&amp;" orders/day. "&amp;"Spend $"&amp;TEXT(BH49,"0.00")&amp;"/day, ACoS "&amp;TEXT(BI49,"0.0%")&amp;" (ceiling "&amp;TEXT(AZ49,"0.0%")&amp;", break-even "&amp;TEXT(BA49,"0.0%")&amp;"). "&amp;"Target organic rank #"&amp;S49&amp;" by week 8 ("&amp;T49&amp;")."</f>
        <v>Base $2.04 × (1 + 0% TOS) = $2.04 effective CPC [max $2.04]. 4.4 market clicks/day × 1.24% click share × 66% paid = 0.04 clicks/day needed; planned 0.04 clicks/day × 6.4% CVR = 0.00 orders/day. Spend $0.07/day, ACoS 46.9% (ceiling 46.9%, break-even 31.3%). Target organic rank #20 by week 8 (#60 → #35 → #20 (full push after size assignment)).</v>
      </c>
      <c r="BL49" s="27" t="s">
        <v>486</v>
      </c>
      <c r="BM49" s="27" t="s">
        <v>758</v>
      </c>
      <c r="BN49" s="27" t="s">
        <v>847</v>
      </c>
      <c r="BO49" s="27" t="s">
        <v>797</v>
      </c>
      <c r="BP49" s="27" t="s">
        <v>488</v>
      </c>
      <c r="BQ49" s="26" t="s">
        <v>489</v>
      </c>
      <c r="BR49" s="40" t="n">
        <f aca="false">IFERROR(INDEX(Campaigns!$L:$L,MATCH(BN49,Campaigns!$A:$A,0)),"")</f>
        <v>10</v>
      </c>
      <c r="BS49" s="51" t="str">
        <f aca="false">IFERROR(INDEX(Inventory!$O:$O,MATCH(BP49,Inventory!$A:$A,0)),"")</f>
        <v>OK</v>
      </c>
      <c r="BT49" s="52" t="n">
        <f aca="false">IFERROR(INDEX(Inventory!$N:$N,MATCH(BP49,Inventory!$A:$A,0)),"")</f>
        <v>67.2295359591037</v>
      </c>
      <c r="BU49" s="27" t="s">
        <v>848</v>
      </c>
      <c r="BV49" s="27" t="s">
        <v>263</v>
      </c>
      <c r="BW49" s="27" t="s">
        <v>849</v>
      </c>
      <c r="BX49" s="27" t="s">
        <v>850</v>
      </c>
      <c r="BY49" s="27" t="s">
        <v>851</v>
      </c>
      <c r="BZ49" s="27" t="s">
        <v>543</v>
      </c>
      <c r="CA49" s="27" t="s">
        <v>496</v>
      </c>
      <c r="CB49" s="27" t="s">
        <v>852</v>
      </c>
      <c r="CC49" s="27" t="s">
        <v>477</v>
      </c>
    </row>
    <row r="50" customFormat="false" ht="120" hidden="false" customHeight="true" outlineLevel="0" collapsed="false">
      <c r="A50" s="24" t="s">
        <v>853</v>
      </c>
      <c r="B50" s="25" t="n">
        <v>1</v>
      </c>
      <c r="C50" s="26" t="s">
        <v>184</v>
      </c>
      <c r="D50" s="26" t="s">
        <v>479</v>
      </c>
      <c r="E50" s="27" t="s">
        <v>371</v>
      </c>
      <c r="F50" s="28" t="n">
        <v>1</v>
      </c>
      <c r="G50" s="27" t="s">
        <v>187</v>
      </c>
      <c r="H50" s="26" t="s">
        <v>782</v>
      </c>
      <c r="I50" s="29" t="n">
        <v>2</v>
      </c>
      <c r="J50" s="27" t="s">
        <v>854</v>
      </c>
      <c r="K50" s="30" t="n">
        <v>529</v>
      </c>
      <c r="L50" s="31" t="n">
        <v>225</v>
      </c>
      <c r="M50" s="32" t="n">
        <f aca="false">L50/30</f>
        <v>7.5</v>
      </c>
      <c r="N50" s="33"/>
      <c r="O50" s="27" t="s">
        <v>769</v>
      </c>
      <c r="P50" s="27" t="s">
        <v>855</v>
      </c>
      <c r="Q50" s="27" t="s">
        <v>273</v>
      </c>
      <c r="R50" s="34" t="n">
        <v>2</v>
      </c>
      <c r="S50" s="35" t="n">
        <v>20</v>
      </c>
      <c r="T50" s="36" t="s">
        <v>467</v>
      </c>
      <c r="U50" s="27" t="s">
        <v>856</v>
      </c>
      <c r="V50" s="37" t="n">
        <f aca="false">IFERROR(INDEX(Sleephoria_History!$F$454:$F$2115,MATCH($A50,Sleephoria_History!$A$454:$A$2115,0)),"")</f>
        <v>4</v>
      </c>
      <c r="W50" s="38" t="n">
        <f aca="false">IFERROR(INDEX(Sleephoria_History!$J$454:$J$2115,MATCH($A50,Sleephoria_History!$A$454:$A$2115,0)),"")</f>
        <v>0.25</v>
      </c>
      <c r="X50" s="39" t="n">
        <f aca="false">IFERROR(INDEX(Sleephoria_History!$H$454:$H$2115,MATCH($A50,Sleephoria_History!$A$454:$A$2115,0)),"")</f>
        <v>2.44</v>
      </c>
      <c r="Y50" s="38" t="n">
        <f aca="false">IFERROR(INDEX(Sleephoria_History!$M$454:$M$2115,MATCH($A50,Sleephoria_History!$A$454:$A$2115,0)),"")</f>
        <v>0.15</v>
      </c>
      <c r="Z50" s="40" t="n">
        <f aca="false">IFERROR(INDEX(Sleephoria_History!$L$454:$L$2115,MATCH($A50,Sleephoria_History!$A$454:$A$2115,0)),"")</f>
        <v>64.99</v>
      </c>
      <c r="AA50" s="37" t="str">
        <f aca="false">IFERROR(INDEX(Decolure_History!$F$397:$F$709,MATCH($A50,Decolure_History!$A$397:$A$709,0)),"")</f>
        <v/>
      </c>
      <c r="AB50" s="38" t="str">
        <f aca="false">IFERROR(INDEX(Decolure_History!$J$397:$J$709,MATCH($A50,Decolure_History!$A$397:$A$709,0)),"")</f>
        <v/>
      </c>
      <c r="AC50" s="38" t="str">
        <f aca="false">IFERROR(INDEX(Decolure_History!$M$397:$M$709,MATCH($A50,Decolure_History!$A$397:$A$709,0)),"")</f>
        <v/>
      </c>
      <c r="AD50" s="41" t="n">
        <v>0.064</v>
      </c>
      <c r="AE50" s="27" t="s">
        <v>275</v>
      </c>
      <c r="AF50" s="42" t="n">
        <v>0.478</v>
      </c>
      <c r="AG50" s="32" t="n">
        <f aca="false">M50*AF50</f>
        <v>3.585</v>
      </c>
      <c r="AH50" s="43" t="n">
        <f aca="false">IF(AO50="Brand Defense",0,IFERROR(VLOOKUP(S50,Assumptions!$A$24:$B$28,2,FALSE()),0))</f>
        <v>0.0124</v>
      </c>
      <c r="AI50" s="28" t="n">
        <f aca="false">Assumptions!$B$6</f>
        <v>0.66</v>
      </c>
      <c r="AJ50" s="44" t="n">
        <f aca="false">AG50*AH50*AI50</f>
        <v>0.02933964</v>
      </c>
      <c r="AK50" s="44" t="n">
        <f aca="false">AJ50*AD50</f>
        <v>0.00187773696</v>
      </c>
      <c r="AL50" s="30" t="n">
        <f aca="false">AJ50*56</f>
        <v>1.64301984</v>
      </c>
      <c r="AM50" s="32" t="n">
        <f aca="false">AK50*56</f>
        <v>0.10515326976</v>
      </c>
      <c r="AN50" s="44" t="n">
        <f aca="false">M50*Assumptions!$B$8</f>
        <v>0.75</v>
      </c>
      <c r="AO50" s="27" t="s">
        <v>825</v>
      </c>
      <c r="AP50" s="27" t="s">
        <v>846</v>
      </c>
      <c r="AQ50" s="26" t="s">
        <v>198</v>
      </c>
      <c r="AR50" s="27" t="s">
        <v>756</v>
      </c>
      <c r="AS50" s="44" t="n">
        <f aca="false">IF(AO50="Ranking — Full Push",MIN(MAX(AJ50,Assumptions!$B$9),AN50),IF(AO50="Brand Defense",MIN(Assumptions!$B$7,AN50),IF(OR(AO50="Ranking — Head Term (Capped)",AO50="Ranking — Capped Entry"),MIN(MAX(AJ50,Assumptions!$B$9),Assumptions!$B$7,AN50),IF(AO50="Ranking — Capped Long-Tail",MIN(AJ50,Assumptions!$B$10,AN50),MIN(AJ50,AN50)))))</f>
        <v>0.02933964</v>
      </c>
      <c r="AT50" s="27" t="str">
        <f aca="false">IF(AJ50&lt;=0,"",IF(AS50&gt;=AJ50,IF(AS50&gt;AJ50*1.05,"Floor of "&amp;TEXT(AS50,"0.0")&amp;" click/day to read CVR (rank needs "&amp;TEXT(AJ50,"0.00")&amp;")","Fully funded (100%)"),"Capped at "&amp;TEXT(AS50/AJ50,"0%")&amp;" of required"))</f>
        <v>Fully funded (100%)</v>
      </c>
      <c r="AU50" s="44" t="n">
        <f aca="false">AS50*AD50</f>
        <v>0.00187773696</v>
      </c>
      <c r="AV50" s="45" t="n">
        <f aca="false">AU50*AY50</f>
        <v>0.1276673359104</v>
      </c>
      <c r="AW50" s="46" t="n">
        <v>2.42</v>
      </c>
      <c r="AX50" s="27" t="s">
        <v>551</v>
      </c>
      <c r="AY50" s="47" t="n">
        <f aca="false">INDEX(Assumptions!$B$33:$B$37,MATCH(IF($D50="","Queen",$D50),Assumptions!$A$33:$A$37,0))</f>
        <v>67.99</v>
      </c>
      <c r="AZ50" s="33" t="n">
        <f aca="false">INDEX(Assumptions!$K$33:$K$37,MATCH(IF($D50="","Queen",$D50),Assumptions!$A$33:$A$37,0))</f>
        <v>0.468852037064274</v>
      </c>
      <c r="BA50" s="33" t="n">
        <f aca="false">INDEX(Assumptions!$H$33:$H$37,MATCH(IF($D50="","Queen",$D50),Assumptions!$A$33:$A$37,0))</f>
        <v>0.312568024709516</v>
      </c>
      <c r="BB50" s="47" t="n">
        <f aca="false">AY50*AZ50*AD50</f>
        <v>2.040144</v>
      </c>
      <c r="BC50" s="47" t="n">
        <f aca="false">ROUND(MIN(AW50*Assumptions!$B$11,BB50),2)</f>
        <v>2.04</v>
      </c>
      <c r="BD50" s="26" t="s">
        <v>278</v>
      </c>
      <c r="BE50" s="48" t="n">
        <f aca="false">IF(AO50="Ranking — Full Push",MAX(0,MIN(IF(BD50="Yes",Assumptions!$B$12,Assumptions!$B$13),FLOOR(MAX(0,BB50/BC50-1),Assumptions!$B$14))),0)</f>
        <v>0</v>
      </c>
      <c r="BF50" s="49" t="str">
        <f aca="false">IF(AO50="Ranking — Full Push",IF(BE50&gt;=1,"YES — +100% Top of Search. Effective CPC $"&amp;TEXT(BG50,"0.00")&amp;" (= $"&amp;TEXT(BC50,"0.00")&amp;" × 2) stays within the $"&amp;TEXT(BB50,"0.00")&amp;" max ranking CPC"&amp;" (= $"&amp;TEXT(AY50,"0.00")&amp;" price × "&amp;TEXT(AZ50,"0.0%")&amp;" ranking ceiling × "&amp;TEXT(AD50,"0.0%")&amp;" CVR)"&amp;". Sleephoria CVR is proven on this term, so the full push is justified.",IF(AND(BD50="No",BE50&gt;=Assumptions!$B$13),"PARTIAL — +"&amp;TEXT(BE50,"0%")&amp;" Top of Search (limit for terms without proven CVR). Effective CPC $"&amp;TEXT(BG50,"0.00")&amp;" vs $"&amp;TEXT(BB50,"0.00")&amp;" max ranking CPC"&amp;" (= $"&amp;TEXT(AY50,"0.00")&amp;" price × "&amp;TEXT(AZ50,"0.0%")&amp;" ranking ceiling × "&amp;TEXT(AD50,"0.0%")&amp;" CVR)"&amp;". Raise to +100% only after CooLinens converts at ≥ "&amp;TEXT(AD50,"0.0%")&amp;" on 50+ clicks and $"&amp;TEXT(BC50*2,"0.00")&amp;" ≤ the max.",IF(BE50&gt;0,"PARTIAL — +"&amp;TEXT(BE50,"0%")&amp;" Top of Search. Effective CPC $"&amp;TEXT(BG50,"0.00")&amp;" stays within the $"&amp;TEXT(BB50,"0.00")&amp;" max ranking CPC"&amp;" (= $"&amp;TEXT(AY50,"0.00")&amp;" price × "&amp;TEXT(AZ50,"0.0%")&amp;" ranking ceiling × "&amp;TEXT(AD50,"0.0%")&amp;" CVR)"&amp;". +100% would cost $"&amp;TEXT(BC50*2,"0.00")&amp;" per click and push ACoS to "&amp;TEXT(BC50*2/(AY50*AD50),"0.0%")&amp;", above the "&amp;TEXT(AZ50,"0.0%")&amp;" ceiling.","NO — 0%. Base bid $"&amp;TEXT(BC50,"0.00")&amp;" already equals the $"&amp;TEXT(BB50,"0.00")&amp;" max ranking CPC"&amp;" (= $"&amp;TEXT(AY50,"0.00")&amp;" price × "&amp;TEXT(AZ50,"0.0%")&amp;" ranking ceiling × "&amp;TEXT(AD50,"0.0%")&amp;" CVR)"&amp;"; any modifier would push ACoS above the "&amp;TEXT(AZ50,"0.0%")&amp;" ceiling."))),IF(OR(AO50="Ranking — Head Term (Capped)",AO50="Ranking — Capped Entry",AO50="Ranking — Capped Long-Tail"),"NO — 0% (capped ranking entry). Bid $"&amp;TEXT(BC50,"0.00")&amp;" vs $"&amp;TEXT(BB50,"0.00")&amp;" max ranking CPC"&amp;" (= $"&amp;TEXT(AY50,"0.00")&amp;" price × "&amp;TEXT(AZ50,"0.0%")&amp;" ranking ceiling × "&amp;TEXT(AD50,"0.0%")&amp;" CVR)"&amp;". While spend is capped at "&amp;TEXT(AS50,"0.00")&amp;" clicks/day, a placement premium would only raise CPC without buying more rank; the modifier is set when this term moves to a full push.","NO — 0% (support / brand term). Bid $"&amp;TEXT(BC50,"0.00")&amp;" vs $"&amp;TEXT(BB50,"0.00")&amp;" max ranking CPC"&amp;" (= $"&amp;TEXT(AY50,"0.00")&amp;" price × "&amp;TEXT(AZ50,"0.0%")&amp;" ranking ceiling × "&amp;TEXT(AD50,"0.0%")&amp;" CVR)"&amp;"; expected ACoS "&amp;TEXT(BI50,"0.0%")&amp;" vs the "&amp;TEXT(AZ50,"0.0%")&amp;" ceiling."))</f>
        <v>NO — 0% (capped ranking entry). Bid $2.04 vs $2.04 max ranking CPC (= $67.99 price × 46.9% ranking ceiling × 6.4% CVR). While spend is capped at 0.03 clicks/day, a placement premium would only raise CPC without buying more rank; the modifier is set when this term moves to a full push.</v>
      </c>
      <c r="BG50" s="50" t="n">
        <f aca="false">BC50*(1+BE50)</f>
        <v>2.04</v>
      </c>
      <c r="BH50" s="45" t="n">
        <f aca="false">AS50*BG50</f>
        <v>0.0598528656</v>
      </c>
      <c r="BI50" s="33" t="n">
        <f aca="false">IFERROR(BG50/(AY50*AD50),"")</f>
        <v>0.468818943962347</v>
      </c>
      <c r="BJ50" s="27" t="str">
        <f aca="false">IF(BI50="","",IF(BI50&lt;=BA50,"Profitable (≤ break-even)",IF(BI50&lt;=AZ50,"Ranking investment (≤ ceiling)","Above ceiling — reduce bid")))</f>
        <v>Ranking investment (≤ ceiling)</v>
      </c>
      <c r="BK50" s="49" t="str">
        <f aca="false">"Base $"&amp;TEXT(BC50,"0.00")&amp;" × (1 + "&amp;TEXT(BE50,"0%")&amp;" TOS) = $"&amp;TEXT(BG50,"0.00")&amp;" effective CPC [max $"&amp;TEXT(BB50,"0.00")&amp;"]. "&amp;TEXT(AG50,"0.0")&amp;" market clicks/day × "&amp;TEXT(AH50,"0.00%")&amp;" click share × "&amp;TEXT(AI50,"0%")&amp;" paid = "&amp;TEXT(AJ50,"0.00")&amp;" clicks/day needed; "&amp;"planned "&amp;TEXT(AS50,"0.00")&amp;" clicks/day × "&amp;TEXT(AD50,"0.0%")&amp;" CVR = "&amp;TEXT(AU50,"0.00")&amp;" orders/day. "&amp;"Spend $"&amp;TEXT(BH50,"0.00")&amp;"/day, ACoS "&amp;TEXT(BI50,"0.0%")&amp;" (ceiling "&amp;TEXT(AZ50,"0.0%")&amp;", break-even "&amp;TEXT(BA50,"0.0%")&amp;"). "&amp;"Target organic rank #"&amp;S50&amp;" by week 8 ("&amp;T50&amp;")."</f>
        <v>Base $2.04 × (1 + 0% TOS) = $2.04 effective CPC [max $2.04]. 3.6 market clicks/day × 1.24% click share × 66% paid = 0.03 clicks/day needed; planned 0.03 clicks/day × 6.4% CVR = 0.00 orders/day. Spend $0.06/day, ACoS 46.9% (ceiling 46.9%, break-even 31.3%). Target organic rank #20 by week 8 (#60 → #35 → #20 (full push after size assignment)).</v>
      </c>
      <c r="BL50" s="27" t="s">
        <v>486</v>
      </c>
      <c r="BM50" s="27" t="s">
        <v>758</v>
      </c>
      <c r="BN50" s="27" t="s">
        <v>847</v>
      </c>
      <c r="BO50" s="27" t="s">
        <v>797</v>
      </c>
      <c r="BP50" s="27" t="s">
        <v>488</v>
      </c>
      <c r="BQ50" s="26" t="s">
        <v>489</v>
      </c>
      <c r="BR50" s="40" t="n">
        <f aca="false">IFERROR(INDEX(Campaigns!$L:$L,MATCH(BN50,Campaigns!$A:$A,0)),"")</f>
        <v>10</v>
      </c>
      <c r="BS50" s="51" t="str">
        <f aca="false">IFERROR(INDEX(Inventory!$O:$O,MATCH(BP50,Inventory!$A:$A,0)),"")</f>
        <v>OK</v>
      </c>
      <c r="BT50" s="52" t="n">
        <f aca="false">IFERROR(INDEX(Inventory!$N:$N,MATCH(BP50,Inventory!$A:$A,0)),"")</f>
        <v>67.2295359591037</v>
      </c>
      <c r="BU50" s="27" t="s">
        <v>857</v>
      </c>
      <c r="BV50" s="27" t="s">
        <v>263</v>
      </c>
      <c r="BW50" s="27" t="s">
        <v>858</v>
      </c>
      <c r="BX50" s="27" t="s">
        <v>859</v>
      </c>
      <c r="BY50" s="27" t="s">
        <v>860</v>
      </c>
      <c r="BZ50" s="27" t="s">
        <v>861</v>
      </c>
      <c r="CA50" s="27" t="s">
        <v>496</v>
      </c>
      <c r="CB50" s="27" t="s">
        <v>862</v>
      </c>
      <c r="CC50" s="27" t="s">
        <v>477</v>
      </c>
    </row>
    <row r="51" customFormat="false" ht="120" hidden="false" customHeight="true" outlineLevel="0" collapsed="false">
      <c r="A51" s="24" t="s">
        <v>863</v>
      </c>
      <c r="B51" s="25" t="n">
        <v>1</v>
      </c>
      <c r="C51" s="26" t="s">
        <v>184</v>
      </c>
      <c r="D51" s="26" t="s">
        <v>560</v>
      </c>
      <c r="E51" s="27" t="s">
        <v>371</v>
      </c>
      <c r="F51" s="28" t="n">
        <v>1</v>
      </c>
      <c r="G51" s="27" t="s">
        <v>187</v>
      </c>
      <c r="H51" s="26" t="s">
        <v>782</v>
      </c>
      <c r="I51" s="29" t="n">
        <v>1.5</v>
      </c>
      <c r="J51" s="27" t="s">
        <v>864</v>
      </c>
      <c r="K51" s="30" t="n">
        <v>384</v>
      </c>
      <c r="L51" s="31" t="n">
        <v>292</v>
      </c>
      <c r="M51" s="32" t="n">
        <f aca="false">L51/30</f>
        <v>9.73333333333333</v>
      </c>
      <c r="N51" s="33"/>
      <c r="O51" s="27" t="s">
        <v>769</v>
      </c>
      <c r="P51" s="27" t="s">
        <v>769</v>
      </c>
      <c r="Q51" s="27" t="s">
        <v>722</v>
      </c>
      <c r="R51" s="34" t="n">
        <v>0</v>
      </c>
      <c r="S51" s="35" t="n">
        <v>20</v>
      </c>
      <c r="T51" s="36" t="s">
        <v>467</v>
      </c>
      <c r="U51" s="27" t="s">
        <v>784</v>
      </c>
      <c r="V51" s="37" t="n">
        <f aca="false">IFERROR(INDEX(Sleephoria_History!$F$454:$F$2115,MATCH($A51,Sleephoria_History!$A$454:$A$2115,0)),"")</f>
        <v>1</v>
      </c>
      <c r="W51" s="38" t="n">
        <f aca="false">IFERROR(INDEX(Sleephoria_History!$J$454:$J$2115,MATCH($A51,Sleephoria_History!$A$454:$A$2115,0)),"")</f>
        <v>0</v>
      </c>
      <c r="X51" s="39" t="n">
        <f aca="false">IFERROR(INDEX(Sleephoria_History!$H$454:$H$2115,MATCH($A51,Sleephoria_History!$A$454:$A$2115,0)),"")</f>
        <v>3</v>
      </c>
      <c r="Y51" s="38" t="n">
        <f aca="false">IFERROR(INDEX(Sleephoria_History!$M$454:$M$2115,MATCH($A51,Sleephoria_History!$A$454:$A$2115,0)),"")</f>
        <v>0</v>
      </c>
      <c r="Z51" s="40" t="n">
        <f aca="false">IFERROR(INDEX(Sleephoria_History!$L$454:$L$2115,MATCH($A51,Sleephoria_History!$A$454:$A$2115,0)),"")</f>
        <v>0</v>
      </c>
      <c r="AA51" s="37" t="str">
        <f aca="false">IFERROR(INDEX(Decolure_History!$F$397:$F$709,MATCH($A51,Decolure_History!$A$397:$A$709,0)),"")</f>
        <v/>
      </c>
      <c r="AB51" s="38" t="str">
        <f aca="false">IFERROR(INDEX(Decolure_History!$J$397:$J$709,MATCH($A51,Decolure_History!$A$397:$A$709,0)),"")</f>
        <v/>
      </c>
      <c r="AC51" s="38" t="str">
        <f aca="false">IFERROR(INDEX(Decolure_History!$M$397:$M$709,MATCH($A51,Decolure_History!$A$397:$A$709,0)),"")</f>
        <v/>
      </c>
      <c r="AD51" s="41" t="n">
        <v>0.064</v>
      </c>
      <c r="AE51" s="27" t="s">
        <v>275</v>
      </c>
      <c r="AF51" s="42" t="n">
        <v>0.478</v>
      </c>
      <c r="AG51" s="32" t="n">
        <f aca="false">M51*AF51</f>
        <v>4.65253333333333</v>
      </c>
      <c r="AH51" s="43" t="n">
        <f aca="false">IF(AO51="Brand Defense",0,IFERROR(VLOOKUP(S51,Assumptions!$A$24:$B$28,2,FALSE()),0))</f>
        <v>0.0124</v>
      </c>
      <c r="AI51" s="28" t="n">
        <f aca="false">Assumptions!$B$6</f>
        <v>0.66</v>
      </c>
      <c r="AJ51" s="44" t="n">
        <f aca="false">AG51*AH51*AI51</f>
        <v>0.0380763328</v>
      </c>
      <c r="AK51" s="44" t="n">
        <f aca="false">AJ51*AD51</f>
        <v>0.0024368852992</v>
      </c>
      <c r="AL51" s="30" t="n">
        <f aca="false">AJ51*56</f>
        <v>2.1322746368</v>
      </c>
      <c r="AM51" s="32" t="n">
        <f aca="false">AK51*56</f>
        <v>0.1364655767552</v>
      </c>
      <c r="AN51" s="44" t="n">
        <f aca="false">M51*Assumptions!$B$8</f>
        <v>0.973333333333333</v>
      </c>
      <c r="AO51" s="27" t="s">
        <v>825</v>
      </c>
      <c r="AP51" s="27" t="s">
        <v>865</v>
      </c>
      <c r="AQ51" s="26" t="s">
        <v>198</v>
      </c>
      <c r="AR51" s="27" t="s">
        <v>756</v>
      </c>
      <c r="AS51" s="44" t="n">
        <f aca="false">IF(AO51="Ranking — Full Push",MIN(MAX(AJ51,Assumptions!$B$9),AN51),IF(AO51="Brand Defense",MIN(Assumptions!$B$7,AN51),IF(OR(AO51="Ranking — Head Term (Capped)",AO51="Ranking — Capped Entry"),MIN(MAX(AJ51,Assumptions!$B$9),Assumptions!$B$7,AN51),IF(AO51="Ranking — Capped Long-Tail",MIN(AJ51,Assumptions!$B$10,AN51),MIN(AJ51,AN51)))))</f>
        <v>0.0380763328</v>
      </c>
      <c r="AT51" s="27" t="str">
        <f aca="false">IF(AJ51&lt;=0,"",IF(AS51&gt;=AJ51,IF(AS51&gt;AJ51*1.05,"Floor of "&amp;TEXT(AS51,"0.0")&amp;" click/day to read CVR (rank needs "&amp;TEXT(AJ51,"0.00")&amp;")","Fully funded (100%)"),"Capped at "&amp;TEXT(AS51/AJ51,"0%")&amp;" of required"))</f>
        <v>Fully funded (100%)</v>
      </c>
      <c r="AU51" s="44" t="n">
        <f aca="false">AS51*AD51</f>
        <v>0.0024368852992</v>
      </c>
      <c r="AV51" s="45" t="n">
        <f aca="false">AU51*AY51</f>
        <v>0.207110881579008</v>
      </c>
      <c r="AW51" s="46" t="n">
        <v>3.68</v>
      </c>
      <c r="AX51" s="27" t="s">
        <v>687</v>
      </c>
      <c r="AY51" s="47" t="n">
        <f aca="false">INDEX(Assumptions!$B$33:$B$37,MATCH(IF($D51="","Queen",$D51),Assumptions!$A$33:$A$37,0))</f>
        <v>84.99</v>
      </c>
      <c r="AZ51" s="33" t="n">
        <f aca="false">INDEX(Assumptions!$K$33:$K$37,MATCH(IF($D51="","Queen",$D51),Assumptions!$A$33:$A$37,0))</f>
        <v>0.525970702435581</v>
      </c>
      <c r="BA51" s="33" t="n">
        <f aca="false">INDEX(Assumptions!$H$33:$H$37,MATCH(IF($D51="","Queen",$D51),Assumptions!$A$33:$A$37,0))</f>
        <v>0.350647134957054</v>
      </c>
      <c r="BB51" s="47" t="n">
        <f aca="false">AY51*AZ51*AD51</f>
        <v>2.860944</v>
      </c>
      <c r="BC51" s="47" t="n">
        <f aca="false">ROUND(MIN(AW51*Assumptions!$B$11,BB51),2)</f>
        <v>2.86</v>
      </c>
      <c r="BD51" s="26" t="s">
        <v>278</v>
      </c>
      <c r="BE51" s="48" t="n">
        <f aca="false">IF(AO51="Ranking — Full Push",MAX(0,MIN(IF(BD51="Yes",Assumptions!$B$12,Assumptions!$B$13),FLOOR(MAX(0,BB51/BC51-1),Assumptions!$B$14))),0)</f>
        <v>0</v>
      </c>
      <c r="BF51" s="49" t="str">
        <f aca="false">IF(AO51="Ranking — Full Push",IF(BE51&gt;=1,"YES — +100% Top of Search. Effective CPC $"&amp;TEXT(BG51,"0.00")&amp;" (= $"&amp;TEXT(BC51,"0.00")&amp;" × 2) stays within the $"&amp;TEXT(BB51,"0.00")&amp;" max ranking CPC"&amp;" (= $"&amp;TEXT(AY51,"0.00")&amp;" price × "&amp;TEXT(AZ51,"0.0%")&amp;" ranking ceiling × "&amp;TEXT(AD51,"0.0%")&amp;" CVR)"&amp;". Sleephoria CVR is proven on this term, so the full push is justified.",IF(AND(BD51="No",BE51&gt;=Assumptions!$B$13),"PARTIAL — +"&amp;TEXT(BE51,"0%")&amp;" Top of Search (limit for terms without proven CVR). Effective CPC $"&amp;TEXT(BG51,"0.00")&amp;" vs $"&amp;TEXT(BB51,"0.00")&amp;" max ranking CPC"&amp;" (= $"&amp;TEXT(AY51,"0.00")&amp;" price × "&amp;TEXT(AZ51,"0.0%")&amp;" ranking ceiling × "&amp;TEXT(AD51,"0.0%")&amp;" CVR)"&amp;". Raise to +100% only after CooLinens converts at ≥ "&amp;TEXT(AD51,"0.0%")&amp;" on 50+ clicks and $"&amp;TEXT(BC51*2,"0.00")&amp;" ≤ the max.",IF(BE51&gt;0,"PARTIAL — +"&amp;TEXT(BE51,"0%")&amp;" Top of Search. Effective CPC $"&amp;TEXT(BG51,"0.00")&amp;" stays within the $"&amp;TEXT(BB51,"0.00")&amp;" max ranking CPC"&amp;" (= $"&amp;TEXT(AY51,"0.00")&amp;" price × "&amp;TEXT(AZ51,"0.0%")&amp;" ranking ceiling × "&amp;TEXT(AD51,"0.0%")&amp;" CVR)"&amp;". +100% would cost $"&amp;TEXT(BC51*2,"0.00")&amp;" per click and push ACoS to "&amp;TEXT(BC51*2/(AY51*AD51),"0.0%")&amp;", above the "&amp;TEXT(AZ51,"0.0%")&amp;" ceiling.","NO — 0%. Base bid $"&amp;TEXT(BC51,"0.00")&amp;" already equals the $"&amp;TEXT(BB51,"0.00")&amp;" max ranking CPC"&amp;" (= $"&amp;TEXT(AY51,"0.00")&amp;" price × "&amp;TEXT(AZ51,"0.0%")&amp;" ranking ceiling × "&amp;TEXT(AD51,"0.0%")&amp;" CVR)"&amp;"; any modifier would push ACoS above the "&amp;TEXT(AZ51,"0.0%")&amp;" ceiling."))),IF(OR(AO51="Ranking — Head Term (Capped)",AO51="Ranking — Capped Entry",AO51="Ranking — Capped Long-Tail"),"NO — 0% (capped ranking entry). Bid $"&amp;TEXT(BC51,"0.00")&amp;" vs $"&amp;TEXT(BB51,"0.00")&amp;" max ranking CPC"&amp;" (= $"&amp;TEXT(AY51,"0.00")&amp;" price × "&amp;TEXT(AZ51,"0.0%")&amp;" ranking ceiling × "&amp;TEXT(AD51,"0.0%")&amp;" CVR)"&amp;". While spend is capped at "&amp;TEXT(AS51,"0.00")&amp;" clicks/day, a placement premium would only raise CPC without buying more rank; the modifier is set when this term moves to a full push.","NO — 0% (support / brand term). Bid $"&amp;TEXT(BC51,"0.00")&amp;" vs $"&amp;TEXT(BB51,"0.00")&amp;" max ranking CPC"&amp;" (= $"&amp;TEXT(AY51,"0.00")&amp;" price × "&amp;TEXT(AZ51,"0.0%")&amp;" ranking ceiling × "&amp;TEXT(AD51,"0.0%")&amp;" CVR)"&amp;"; expected ACoS "&amp;TEXT(BI51,"0.0%")&amp;" vs the "&amp;TEXT(AZ51,"0.0%")&amp;" ceiling."))</f>
        <v>NO — 0% (capped ranking entry). Bid $2.86 vs $2.86 max ranking CPC (= $84.99 price × 52.6% ranking ceiling × 6.4% CVR). While spend is capped at 0.04 clicks/day, a placement premium would only raise CPC without buying more rank; the modifier is set when this term moves to a full push.</v>
      </c>
      <c r="BG51" s="50" t="n">
        <f aca="false">BC51*(1+BE51)</f>
        <v>2.86</v>
      </c>
      <c r="BH51" s="45" t="n">
        <f aca="false">AS51*BG51</f>
        <v>0.108898311808</v>
      </c>
      <c r="BI51" s="33" t="n">
        <f aca="false">IFERROR(BG51/(AY51*AD51),"")</f>
        <v>0.525797152606189</v>
      </c>
      <c r="BJ51" s="27" t="str">
        <f aca="false">IF(BI51="","",IF(BI51&lt;=BA51,"Profitable (≤ break-even)",IF(BI51&lt;=AZ51,"Ranking investment (≤ ceiling)","Above ceiling — reduce bid")))</f>
        <v>Ranking investment (≤ ceiling)</v>
      </c>
      <c r="BK51" s="49" t="str">
        <f aca="false">"Base $"&amp;TEXT(BC51,"0.00")&amp;" × (1 + "&amp;TEXT(BE51,"0%")&amp;" TOS) = $"&amp;TEXT(BG51,"0.00")&amp;" effective CPC [max $"&amp;TEXT(BB51,"0.00")&amp;"]. "&amp;TEXT(AG51,"0.0")&amp;" market clicks/day × "&amp;TEXT(AH51,"0.00%")&amp;" click share × "&amp;TEXT(AI51,"0%")&amp;" paid = "&amp;TEXT(AJ51,"0.00")&amp;" clicks/day needed; "&amp;"planned "&amp;TEXT(AS51,"0.00")&amp;" clicks/day × "&amp;TEXT(AD51,"0.0%")&amp;" CVR = "&amp;TEXT(AU51,"0.00")&amp;" orders/day. "&amp;"Spend $"&amp;TEXT(BH51,"0.00")&amp;"/day, ACoS "&amp;TEXT(BI51,"0.0%")&amp;" (ceiling "&amp;TEXT(AZ51,"0.0%")&amp;", break-even "&amp;TEXT(BA51,"0.0%")&amp;"). "&amp;"Target organic rank #"&amp;S51&amp;" by week 8 ("&amp;T51&amp;")."</f>
        <v>Base $2.86 × (1 + 0% TOS) = $2.86 effective CPC [max $2.86]. 4.7 market clicks/day × 1.24% click share × 66% paid = 0.04 clicks/day needed; planned 0.04 clicks/day × 6.4% CVR = 0.00 orders/day. Spend $0.11/day, ACoS 52.6% (ceiling 52.6%, break-even 35.1%). Target organic rank #20 by week 8 (#60 → #35 → #20 (full push after size assignment)).</v>
      </c>
      <c r="BL51" s="27" t="s">
        <v>567</v>
      </c>
      <c r="BM51" s="27" t="s">
        <v>758</v>
      </c>
      <c r="BN51" s="27" t="s">
        <v>866</v>
      </c>
      <c r="BO51" s="27" t="s">
        <v>797</v>
      </c>
      <c r="BP51" s="27" t="s">
        <v>569</v>
      </c>
      <c r="BQ51" s="26" t="s">
        <v>570</v>
      </c>
      <c r="BR51" s="40" t="n">
        <f aca="false">IFERROR(INDEX(Campaigns!$L:$L,MATCH(BN51,Campaigns!$A:$A,0)),"")</f>
        <v>10</v>
      </c>
      <c r="BS51" s="51" t="str">
        <f aca="false">IFERROR(INDEX(Inventory!$O:$O,MATCH(BP51,Inventory!$A:$A,0)),"")</f>
        <v>OK</v>
      </c>
      <c r="BT51" s="52" t="n">
        <f aca="false">IFERROR(INDEX(Inventory!$N:$N,MATCH(BP51,Inventory!$A:$A,0)),"")</f>
        <v>63.0533861060951</v>
      </c>
      <c r="BU51" s="27" t="s">
        <v>867</v>
      </c>
      <c r="BV51" s="27" t="s">
        <v>263</v>
      </c>
      <c r="BW51" s="27" t="s">
        <v>809</v>
      </c>
      <c r="BX51" s="27" t="s">
        <v>868</v>
      </c>
      <c r="BY51" s="27" t="s">
        <v>793</v>
      </c>
      <c r="BZ51" s="27" t="s">
        <v>794</v>
      </c>
      <c r="CA51" s="27" t="s">
        <v>577</v>
      </c>
      <c r="CB51" s="27" t="s">
        <v>869</v>
      </c>
      <c r="CC51" s="27" t="s">
        <v>477</v>
      </c>
    </row>
    <row r="52" customFormat="false" ht="120" hidden="false" customHeight="true" outlineLevel="0" collapsed="false">
      <c r="A52" s="24" t="s">
        <v>870</v>
      </c>
      <c r="B52" s="25" t="n">
        <v>1</v>
      </c>
      <c r="C52" s="26" t="s">
        <v>184</v>
      </c>
      <c r="D52" s="26" t="s">
        <v>560</v>
      </c>
      <c r="E52" s="27" t="s">
        <v>371</v>
      </c>
      <c r="F52" s="28" t="n">
        <v>1</v>
      </c>
      <c r="G52" s="27" t="s">
        <v>187</v>
      </c>
      <c r="H52" s="26" t="s">
        <v>782</v>
      </c>
      <c r="I52" s="29" t="n">
        <v>1.5</v>
      </c>
      <c r="J52" s="27" t="s">
        <v>864</v>
      </c>
      <c r="K52" s="30" t="n">
        <v>369</v>
      </c>
      <c r="L52" s="31" t="n">
        <v>280</v>
      </c>
      <c r="M52" s="32" t="n">
        <f aca="false">L52/30</f>
        <v>9.33333333333333</v>
      </c>
      <c r="N52" s="33"/>
      <c r="O52" s="27" t="s">
        <v>769</v>
      </c>
      <c r="P52" s="27" t="s">
        <v>769</v>
      </c>
      <c r="Q52" s="27" t="s">
        <v>722</v>
      </c>
      <c r="R52" s="34" t="n">
        <v>0</v>
      </c>
      <c r="S52" s="35" t="n">
        <v>20</v>
      </c>
      <c r="T52" s="36" t="s">
        <v>467</v>
      </c>
      <c r="U52" s="27" t="s">
        <v>784</v>
      </c>
      <c r="V52" s="37" t="str">
        <f aca="false">IFERROR(INDEX(Sleephoria_History!$F$454:$F$2115,MATCH($A52,Sleephoria_History!$A$454:$A$2115,0)),"")</f>
        <v/>
      </c>
      <c r="W52" s="38" t="str">
        <f aca="false">IFERROR(INDEX(Sleephoria_History!$J$454:$J$2115,MATCH($A52,Sleephoria_History!$A$454:$A$2115,0)),"")</f>
        <v/>
      </c>
      <c r="X52" s="39" t="str">
        <f aca="false">IFERROR(INDEX(Sleephoria_History!$H$454:$H$2115,MATCH($A52,Sleephoria_History!$A$454:$A$2115,0)),"")</f>
        <v/>
      </c>
      <c r="Y52" s="38" t="str">
        <f aca="false">IFERROR(INDEX(Sleephoria_History!$M$454:$M$2115,MATCH($A52,Sleephoria_History!$A$454:$A$2115,0)),"")</f>
        <v/>
      </c>
      <c r="Z52" s="40" t="str">
        <f aca="false">IFERROR(INDEX(Sleephoria_History!$L$454:$L$2115,MATCH($A52,Sleephoria_History!$A$454:$A$2115,0)),"")</f>
        <v/>
      </c>
      <c r="AA52" s="37" t="n">
        <f aca="false">IFERROR(INDEX(Decolure_History!$F$397:$F$709,MATCH($A52,Decolure_History!$A$397:$A$709,0)),"")</f>
        <v>11</v>
      </c>
      <c r="AB52" s="38" t="n">
        <f aca="false">IFERROR(INDEX(Decolure_History!$J$397:$J$709,MATCH($A52,Decolure_History!$A$397:$A$709,0)),"")</f>
        <v>0.0909</v>
      </c>
      <c r="AC52" s="38" t="n">
        <f aca="false">IFERROR(INDEX(Decolure_History!$M$397:$M$709,MATCH($A52,Decolure_History!$A$397:$A$709,0)),"")</f>
        <v>1.023</v>
      </c>
      <c r="AD52" s="41" t="n">
        <v>0.064</v>
      </c>
      <c r="AE52" s="27" t="s">
        <v>275</v>
      </c>
      <c r="AF52" s="42" t="n">
        <v>0.478</v>
      </c>
      <c r="AG52" s="32" t="n">
        <f aca="false">M52*AF52</f>
        <v>4.46133333333333</v>
      </c>
      <c r="AH52" s="43" t="n">
        <f aca="false">IF(AO52="Brand Defense",0,IFERROR(VLOOKUP(S52,Assumptions!$A$24:$B$28,2,FALSE()),0))</f>
        <v>0.0124</v>
      </c>
      <c r="AI52" s="28" t="n">
        <f aca="false">Assumptions!$B$6</f>
        <v>0.66</v>
      </c>
      <c r="AJ52" s="44" t="n">
        <f aca="false">AG52*AH52*AI52</f>
        <v>0.036511552</v>
      </c>
      <c r="AK52" s="44" t="n">
        <f aca="false">AJ52*AD52</f>
        <v>0.002336739328</v>
      </c>
      <c r="AL52" s="30" t="n">
        <f aca="false">AJ52*56</f>
        <v>2.044646912</v>
      </c>
      <c r="AM52" s="32" t="n">
        <f aca="false">AK52*56</f>
        <v>0.130857402368</v>
      </c>
      <c r="AN52" s="44" t="n">
        <f aca="false">M52*Assumptions!$B$8</f>
        <v>0.933333333333334</v>
      </c>
      <c r="AO52" s="27" t="s">
        <v>825</v>
      </c>
      <c r="AP52" s="27" t="s">
        <v>865</v>
      </c>
      <c r="AQ52" s="26" t="s">
        <v>198</v>
      </c>
      <c r="AR52" s="27" t="s">
        <v>756</v>
      </c>
      <c r="AS52" s="44" t="n">
        <f aca="false">IF(AO52="Ranking — Full Push",MIN(MAX(AJ52,Assumptions!$B$9),AN52),IF(AO52="Brand Defense",MIN(Assumptions!$B$7,AN52),IF(OR(AO52="Ranking — Head Term (Capped)",AO52="Ranking — Capped Entry"),MIN(MAX(AJ52,Assumptions!$B$9),Assumptions!$B$7,AN52),IF(AO52="Ranking — Capped Long-Tail",MIN(AJ52,Assumptions!$B$10,AN52),MIN(AJ52,AN52)))))</f>
        <v>0.036511552</v>
      </c>
      <c r="AT52" s="27" t="str">
        <f aca="false">IF(AJ52&lt;=0,"",IF(AS52&gt;=AJ52,IF(AS52&gt;AJ52*1.05,"Floor of "&amp;TEXT(AS52,"0.0")&amp;" click/day to read CVR (rank needs "&amp;TEXT(AJ52,"0.00")&amp;")","Fully funded (100%)"),"Capped at "&amp;TEXT(AS52/AJ52,"0%")&amp;" of required"))</f>
        <v>Fully funded (100%)</v>
      </c>
      <c r="AU52" s="44" t="n">
        <f aca="false">AS52*AD52</f>
        <v>0.002336739328</v>
      </c>
      <c r="AV52" s="45" t="n">
        <f aca="false">AU52*AY52</f>
        <v>0.19859947548672</v>
      </c>
      <c r="AW52" s="46" t="n">
        <v>3.68</v>
      </c>
      <c r="AX52" s="27" t="s">
        <v>687</v>
      </c>
      <c r="AY52" s="47" t="n">
        <f aca="false">INDEX(Assumptions!$B$33:$B$37,MATCH(IF($D52="","Queen",$D52),Assumptions!$A$33:$A$37,0))</f>
        <v>84.99</v>
      </c>
      <c r="AZ52" s="33" t="n">
        <f aca="false">INDEX(Assumptions!$K$33:$K$37,MATCH(IF($D52="","Queen",$D52),Assumptions!$A$33:$A$37,0))</f>
        <v>0.525970702435581</v>
      </c>
      <c r="BA52" s="33" t="n">
        <f aca="false">INDEX(Assumptions!$H$33:$H$37,MATCH(IF($D52="","Queen",$D52),Assumptions!$A$33:$A$37,0))</f>
        <v>0.350647134957054</v>
      </c>
      <c r="BB52" s="47" t="n">
        <f aca="false">AY52*AZ52*AD52</f>
        <v>2.860944</v>
      </c>
      <c r="BC52" s="47" t="n">
        <f aca="false">ROUND(MIN(AW52*Assumptions!$B$11,BB52),2)</f>
        <v>2.86</v>
      </c>
      <c r="BD52" s="26" t="s">
        <v>278</v>
      </c>
      <c r="BE52" s="48" t="n">
        <f aca="false">IF(AO52="Ranking — Full Push",MAX(0,MIN(IF(BD52="Yes",Assumptions!$B$12,Assumptions!$B$13),FLOOR(MAX(0,BB52/BC52-1),Assumptions!$B$14))),0)</f>
        <v>0</v>
      </c>
      <c r="BF52" s="49" t="str">
        <f aca="false">IF(AO52="Ranking — Full Push",IF(BE52&gt;=1,"YES — +100% Top of Search. Effective CPC $"&amp;TEXT(BG52,"0.00")&amp;" (= $"&amp;TEXT(BC52,"0.00")&amp;" × 2) stays within the $"&amp;TEXT(BB52,"0.00")&amp;" max ranking CPC"&amp;" (= $"&amp;TEXT(AY52,"0.00")&amp;" price × "&amp;TEXT(AZ52,"0.0%")&amp;" ranking ceiling × "&amp;TEXT(AD52,"0.0%")&amp;" CVR)"&amp;". Sleephoria CVR is proven on this term, so the full push is justified.",IF(AND(BD52="No",BE52&gt;=Assumptions!$B$13),"PARTIAL — +"&amp;TEXT(BE52,"0%")&amp;" Top of Search (limit for terms without proven CVR). Effective CPC $"&amp;TEXT(BG52,"0.00")&amp;" vs $"&amp;TEXT(BB52,"0.00")&amp;" max ranking CPC"&amp;" (= $"&amp;TEXT(AY52,"0.00")&amp;" price × "&amp;TEXT(AZ52,"0.0%")&amp;" ranking ceiling × "&amp;TEXT(AD52,"0.0%")&amp;" CVR)"&amp;". Raise to +100% only after CooLinens converts at ≥ "&amp;TEXT(AD52,"0.0%")&amp;" on 50+ clicks and $"&amp;TEXT(BC52*2,"0.00")&amp;" ≤ the max.",IF(BE52&gt;0,"PARTIAL — +"&amp;TEXT(BE52,"0%")&amp;" Top of Search. Effective CPC $"&amp;TEXT(BG52,"0.00")&amp;" stays within the $"&amp;TEXT(BB52,"0.00")&amp;" max ranking CPC"&amp;" (= $"&amp;TEXT(AY52,"0.00")&amp;" price × "&amp;TEXT(AZ52,"0.0%")&amp;" ranking ceiling × "&amp;TEXT(AD52,"0.0%")&amp;" CVR)"&amp;". +100% would cost $"&amp;TEXT(BC52*2,"0.00")&amp;" per click and push ACoS to "&amp;TEXT(BC52*2/(AY52*AD52),"0.0%")&amp;", above the "&amp;TEXT(AZ52,"0.0%")&amp;" ceiling.","NO — 0%. Base bid $"&amp;TEXT(BC52,"0.00")&amp;" already equals the $"&amp;TEXT(BB52,"0.00")&amp;" max ranking CPC"&amp;" (= $"&amp;TEXT(AY52,"0.00")&amp;" price × "&amp;TEXT(AZ52,"0.0%")&amp;" ranking ceiling × "&amp;TEXT(AD52,"0.0%")&amp;" CVR)"&amp;"; any modifier would push ACoS above the "&amp;TEXT(AZ52,"0.0%")&amp;" ceiling."))),IF(OR(AO52="Ranking — Head Term (Capped)",AO52="Ranking — Capped Entry",AO52="Ranking — Capped Long-Tail"),"NO — 0% (capped ranking entry). Bid $"&amp;TEXT(BC52,"0.00")&amp;" vs $"&amp;TEXT(BB52,"0.00")&amp;" max ranking CPC"&amp;" (= $"&amp;TEXT(AY52,"0.00")&amp;" price × "&amp;TEXT(AZ52,"0.0%")&amp;" ranking ceiling × "&amp;TEXT(AD52,"0.0%")&amp;" CVR)"&amp;". While spend is capped at "&amp;TEXT(AS52,"0.00")&amp;" clicks/day, a placement premium would only raise CPC without buying more rank; the modifier is set when this term moves to a full push.","NO — 0% (support / brand term). Bid $"&amp;TEXT(BC52,"0.00")&amp;" vs $"&amp;TEXT(BB52,"0.00")&amp;" max ranking CPC"&amp;" (= $"&amp;TEXT(AY52,"0.00")&amp;" price × "&amp;TEXT(AZ52,"0.0%")&amp;" ranking ceiling × "&amp;TEXT(AD52,"0.0%")&amp;" CVR)"&amp;"; expected ACoS "&amp;TEXT(BI52,"0.0%")&amp;" vs the "&amp;TEXT(AZ52,"0.0%")&amp;" ceiling."))</f>
        <v>NO — 0% (capped ranking entry). Bid $2.86 vs $2.86 max ranking CPC (= $84.99 price × 52.6% ranking ceiling × 6.4% CVR). While spend is capped at 0.04 clicks/day, a placement premium would only raise CPC without buying more rank; the modifier is set when this term moves to a full push.</v>
      </c>
      <c r="BG52" s="50" t="n">
        <f aca="false">BC52*(1+BE52)</f>
        <v>2.86</v>
      </c>
      <c r="BH52" s="45" t="n">
        <f aca="false">AS52*BG52</f>
        <v>0.10442303872</v>
      </c>
      <c r="BI52" s="33" t="n">
        <f aca="false">IFERROR(BG52/(AY52*AD52),"")</f>
        <v>0.525797152606189</v>
      </c>
      <c r="BJ52" s="27" t="str">
        <f aca="false">IF(BI52="","",IF(BI52&lt;=BA52,"Profitable (≤ break-even)",IF(BI52&lt;=AZ52,"Ranking investment (≤ ceiling)","Above ceiling — reduce bid")))</f>
        <v>Ranking investment (≤ ceiling)</v>
      </c>
      <c r="BK52" s="49" t="str">
        <f aca="false">"Base $"&amp;TEXT(BC52,"0.00")&amp;" × (1 + "&amp;TEXT(BE52,"0%")&amp;" TOS) = $"&amp;TEXT(BG52,"0.00")&amp;" effective CPC [max $"&amp;TEXT(BB52,"0.00")&amp;"]. "&amp;TEXT(AG52,"0.0")&amp;" market clicks/day × "&amp;TEXT(AH52,"0.00%")&amp;" click share × "&amp;TEXT(AI52,"0%")&amp;" paid = "&amp;TEXT(AJ52,"0.00")&amp;" clicks/day needed; "&amp;"planned "&amp;TEXT(AS52,"0.00")&amp;" clicks/day × "&amp;TEXT(AD52,"0.0%")&amp;" CVR = "&amp;TEXT(AU52,"0.00")&amp;" orders/day. "&amp;"Spend $"&amp;TEXT(BH52,"0.00")&amp;"/day, ACoS "&amp;TEXT(BI52,"0.0%")&amp;" (ceiling "&amp;TEXT(AZ52,"0.0%")&amp;", break-even "&amp;TEXT(BA52,"0.0%")&amp;"). "&amp;"Target organic rank #"&amp;S52&amp;" by week 8 ("&amp;T52&amp;")."</f>
        <v>Base $2.86 × (1 + 0% TOS) = $2.86 effective CPC [max $2.86]. 4.5 market clicks/day × 1.24% click share × 66% paid = 0.04 clicks/day needed; planned 0.04 clicks/day × 6.4% CVR = 0.00 orders/day. Spend $0.10/day, ACoS 52.6% (ceiling 52.6%, break-even 35.1%). Target organic rank #20 by week 8 (#60 → #35 → #20 (full push after size assignment)).</v>
      </c>
      <c r="BL52" s="27" t="s">
        <v>567</v>
      </c>
      <c r="BM52" s="27" t="s">
        <v>758</v>
      </c>
      <c r="BN52" s="27" t="s">
        <v>866</v>
      </c>
      <c r="BO52" s="27" t="s">
        <v>797</v>
      </c>
      <c r="BP52" s="27" t="s">
        <v>569</v>
      </c>
      <c r="BQ52" s="26" t="s">
        <v>570</v>
      </c>
      <c r="BR52" s="40" t="n">
        <f aca="false">IFERROR(INDEX(Campaigns!$L:$L,MATCH(BN52,Campaigns!$A:$A,0)),"")</f>
        <v>10</v>
      </c>
      <c r="BS52" s="51" t="str">
        <f aca="false">IFERROR(INDEX(Inventory!$O:$O,MATCH(BP52,Inventory!$A:$A,0)),"")</f>
        <v>OK</v>
      </c>
      <c r="BT52" s="52" t="n">
        <f aca="false">IFERROR(INDEX(Inventory!$N:$N,MATCH(BP52,Inventory!$A:$A,0)),"")</f>
        <v>63.0533861060951</v>
      </c>
      <c r="BU52" s="27" t="s">
        <v>871</v>
      </c>
      <c r="BV52" s="27" t="s">
        <v>872</v>
      </c>
      <c r="BW52" s="27" t="s">
        <v>791</v>
      </c>
      <c r="BX52" s="27" t="s">
        <v>873</v>
      </c>
      <c r="BY52" s="27" t="s">
        <v>793</v>
      </c>
      <c r="BZ52" s="27" t="s">
        <v>794</v>
      </c>
      <c r="CA52" s="27" t="s">
        <v>577</v>
      </c>
      <c r="CB52" s="27" t="s">
        <v>874</v>
      </c>
      <c r="CC52" s="27" t="s">
        <v>477</v>
      </c>
    </row>
    <row r="53" customFormat="false" ht="120" hidden="false" customHeight="true" outlineLevel="0" collapsed="false">
      <c r="A53" s="24" t="s">
        <v>875</v>
      </c>
      <c r="B53" s="25" t="n">
        <v>1</v>
      </c>
      <c r="C53" s="26" t="s">
        <v>184</v>
      </c>
      <c r="D53" s="26" t="s">
        <v>560</v>
      </c>
      <c r="E53" s="27" t="s">
        <v>371</v>
      </c>
      <c r="F53" s="28" t="n">
        <v>1</v>
      </c>
      <c r="G53" s="27" t="s">
        <v>187</v>
      </c>
      <c r="H53" s="26" t="s">
        <v>782</v>
      </c>
      <c r="I53" s="29" t="n">
        <v>1.5</v>
      </c>
      <c r="J53" s="27" t="s">
        <v>864</v>
      </c>
      <c r="K53" s="30" t="n">
        <v>277</v>
      </c>
      <c r="L53" s="31" t="n">
        <v>211</v>
      </c>
      <c r="M53" s="32" t="n">
        <f aca="false">L53/30</f>
        <v>7.03333333333333</v>
      </c>
      <c r="N53" s="33"/>
      <c r="O53" s="27" t="s">
        <v>769</v>
      </c>
      <c r="P53" s="27" t="s">
        <v>769</v>
      </c>
      <c r="Q53" s="27" t="s">
        <v>722</v>
      </c>
      <c r="R53" s="34" t="n">
        <v>0</v>
      </c>
      <c r="S53" s="35" t="n">
        <v>20</v>
      </c>
      <c r="T53" s="36" t="s">
        <v>467</v>
      </c>
      <c r="U53" s="27" t="s">
        <v>784</v>
      </c>
      <c r="V53" s="37" t="n">
        <f aca="false">IFERROR(INDEX(Sleephoria_History!$F$454:$F$2115,MATCH($A53,Sleephoria_History!$A$454:$A$2115,0)),"")</f>
        <v>1</v>
      </c>
      <c r="W53" s="38" t="n">
        <f aca="false">IFERROR(INDEX(Sleephoria_History!$J$454:$J$2115,MATCH($A53,Sleephoria_History!$A$454:$A$2115,0)),"")</f>
        <v>0</v>
      </c>
      <c r="X53" s="39" t="n">
        <f aca="false">IFERROR(INDEX(Sleephoria_History!$H$454:$H$2115,MATCH($A53,Sleephoria_History!$A$454:$A$2115,0)),"")</f>
        <v>2.36</v>
      </c>
      <c r="Y53" s="38" t="n">
        <f aca="false">IFERROR(INDEX(Sleephoria_History!$M$454:$M$2115,MATCH($A53,Sleephoria_History!$A$454:$A$2115,0)),"")</f>
        <v>0</v>
      </c>
      <c r="Z53" s="40" t="n">
        <f aca="false">IFERROR(INDEX(Sleephoria_History!$L$454:$L$2115,MATCH($A53,Sleephoria_History!$A$454:$A$2115,0)),"")</f>
        <v>0</v>
      </c>
      <c r="AA53" s="37" t="str">
        <f aca="false">IFERROR(INDEX(Decolure_History!$F$397:$F$709,MATCH($A53,Decolure_History!$A$397:$A$709,0)),"")</f>
        <v/>
      </c>
      <c r="AB53" s="38" t="str">
        <f aca="false">IFERROR(INDEX(Decolure_History!$J$397:$J$709,MATCH($A53,Decolure_History!$A$397:$A$709,0)),"")</f>
        <v/>
      </c>
      <c r="AC53" s="38" t="str">
        <f aca="false">IFERROR(INDEX(Decolure_History!$M$397:$M$709,MATCH($A53,Decolure_History!$A$397:$A$709,0)),"")</f>
        <v/>
      </c>
      <c r="AD53" s="41" t="n">
        <v>0.064</v>
      </c>
      <c r="AE53" s="27" t="s">
        <v>275</v>
      </c>
      <c r="AF53" s="42" t="n">
        <v>0.478</v>
      </c>
      <c r="AG53" s="32" t="n">
        <f aca="false">M53*AF53</f>
        <v>3.36193333333333</v>
      </c>
      <c r="AH53" s="43" t="n">
        <f aca="false">IF(AO53="Brand Defense",0,IFERROR(VLOOKUP(S53,Assumptions!$A$24:$B$28,2,FALSE()),0))</f>
        <v>0.0124</v>
      </c>
      <c r="AI53" s="28" t="n">
        <f aca="false">Assumptions!$B$6</f>
        <v>0.66</v>
      </c>
      <c r="AJ53" s="44" t="n">
        <f aca="false">AG53*AH53*AI53</f>
        <v>0.0275140624</v>
      </c>
      <c r="AK53" s="44" t="n">
        <f aca="false">AJ53*AD53</f>
        <v>0.0017608999936</v>
      </c>
      <c r="AL53" s="30" t="n">
        <f aca="false">AJ53*56</f>
        <v>1.5407874944</v>
      </c>
      <c r="AM53" s="32" t="n">
        <f aca="false">AK53*56</f>
        <v>0.0986103996416</v>
      </c>
      <c r="AN53" s="44" t="n">
        <f aca="false">M53*Assumptions!$B$8</f>
        <v>0.703333333333333</v>
      </c>
      <c r="AO53" s="27" t="s">
        <v>825</v>
      </c>
      <c r="AP53" s="27" t="s">
        <v>865</v>
      </c>
      <c r="AQ53" s="26" t="s">
        <v>198</v>
      </c>
      <c r="AR53" s="27" t="s">
        <v>756</v>
      </c>
      <c r="AS53" s="44" t="n">
        <f aca="false">IF(AO53="Ranking — Full Push",MIN(MAX(AJ53,Assumptions!$B$9),AN53),IF(AO53="Brand Defense",MIN(Assumptions!$B$7,AN53),IF(OR(AO53="Ranking — Head Term (Capped)",AO53="Ranking — Capped Entry"),MIN(MAX(AJ53,Assumptions!$B$9),Assumptions!$B$7,AN53),IF(AO53="Ranking — Capped Long-Tail",MIN(AJ53,Assumptions!$B$10,AN53),MIN(AJ53,AN53)))))</f>
        <v>0.0275140624</v>
      </c>
      <c r="AT53" s="27" t="str">
        <f aca="false">IF(AJ53&lt;=0,"",IF(AS53&gt;=AJ53,IF(AS53&gt;AJ53*1.05,"Floor of "&amp;TEXT(AS53,"0.0")&amp;" click/day to read CVR (rank needs "&amp;TEXT(AJ53,"0.00")&amp;")","Fully funded (100%)"),"Capped at "&amp;TEXT(AS53/AJ53,"0%")&amp;" of required"))</f>
        <v>Fully funded (100%)</v>
      </c>
      <c r="AU53" s="44" t="n">
        <f aca="false">AS53*AD53</f>
        <v>0.0017608999936</v>
      </c>
      <c r="AV53" s="45" t="n">
        <f aca="false">AU53*AY53</f>
        <v>0.149658890456064</v>
      </c>
      <c r="AW53" s="46" t="n">
        <v>3.68</v>
      </c>
      <c r="AX53" s="27" t="s">
        <v>687</v>
      </c>
      <c r="AY53" s="47" t="n">
        <f aca="false">INDEX(Assumptions!$B$33:$B$37,MATCH(IF($D53="","Queen",$D53),Assumptions!$A$33:$A$37,0))</f>
        <v>84.99</v>
      </c>
      <c r="AZ53" s="33" t="n">
        <f aca="false">INDEX(Assumptions!$K$33:$K$37,MATCH(IF($D53="","Queen",$D53),Assumptions!$A$33:$A$37,0))</f>
        <v>0.525970702435581</v>
      </c>
      <c r="BA53" s="33" t="n">
        <f aca="false">INDEX(Assumptions!$H$33:$H$37,MATCH(IF($D53="","Queen",$D53),Assumptions!$A$33:$A$37,0))</f>
        <v>0.350647134957054</v>
      </c>
      <c r="BB53" s="47" t="n">
        <f aca="false">AY53*AZ53*AD53</f>
        <v>2.860944</v>
      </c>
      <c r="BC53" s="47" t="n">
        <f aca="false">ROUND(MIN(AW53*Assumptions!$B$11,BB53),2)</f>
        <v>2.86</v>
      </c>
      <c r="BD53" s="26" t="s">
        <v>278</v>
      </c>
      <c r="BE53" s="48" t="n">
        <f aca="false">IF(AO53="Ranking — Full Push",MAX(0,MIN(IF(BD53="Yes",Assumptions!$B$12,Assumptions!$B$13),FLOOR(MAX(0,BB53/BC53-1),Assumptions!$B$14))),0)</f>
        <v>0</v>
      </c>
      <c r="BF53" s="49" t="str">
        <f aca="false">IF(AO53="Ranking — Full Push",IF(BE53&gt;=1,"YES — +100% Top of Search. Effective CPC $"&amp;TEXT(BG53,"0.00")&amp;" (= $"&amp;TEXT(BC53,"0.00")&amp;" × 2) stays within the $"&amp;TEXT(BB53,"0.00")&amp;" max ranking CPC"&amp;" (= $"&amp;TEXT(AY53,"0.00")&amp;" price × "&amp;TEXT(AZ53,"0.0%")&amp;" ranking ceiling × "&amp;TEXT(AD53,"0.0%")&amp;" CVR)"&amp;". Sleephoria CVR is proven on this term, so the full push is justified.",IF(AND(BD53="No",BE53&gt;=Assumptions!$B$13),"PARTIAL — +"&amp;TEXT(BE53,"0%")&amp;" Top of Search (limit for terms without proven CVR). Effective CPC $"&amp;TEXT(BG53,"0.00")&amp;" vs $"&amp;TEXT(BB53,"0.00")&amp;" max ranking CPC"&amp;" (= $"&amp;TEXT(AY53,"0.00")&amp;" price × "&amp;TEXT(AZ53,"0.0%")&amp;" ranking ceiling × "&amp;TEXT(AD53,"0.0%")&amp;" CVR)"&amp;". Raise to +100% only after CooLinens converts at ≥ "&amp;TEXT(AD53,"0.0%")&amp;" on 50+ clicks and $"&amp;TEXT(BC53*2,"0.00")&amp;" ≤ the max.",IF(BE53&gt;0,"PARTIAL — +"&amp;TEXT(BE53,"0%")&amp;" Top of Search. Effective CPC $"&amp;TEXT(BG53,"0.00")&amp;" stays within the $"&amp;TEXT(BB53,"0.00")&amp;" max ranking CPC"&amp;" (= $"&amp;TEXT(AY53,"0.00")&amp;" price × "&amp;TEXT(AZ53,"0.0%")&amp;" ranking ceiling × "&amp;TEXT(AD53,"0.0%")&amp;" CVR)"&amp;". +100% would cost $"&amp;TEXT(BC53*2,"0.00")&amp;" per click and push ACoS to "&amp;TEXT(BC53*2/(AY53*AD53),"0.0%")&amp;", above the "&amp;TEXT(AZ53,"0.0%")&amp;" ceiling.","NO — 0%. Base bid $"&amp;TEXT(BC53,"0.00")&amp;" already equals the $"&amp;TEXT(BB53,"0.00")&amp;" max ranking CPC"&amp;" (= $"&amp;TEXT(AY53,"0.00")&amp;" price × "&amp;TEXT(AZ53,"0.0%")&amp;" ranking ceiling × "&amp;TEXT(AD53,"0.0%")&amp;" CVR)"&amp;"; any modifier would push ACoS above the "&amp;TEXT(AZ53,"0.0%")&amp;" ceiling."))),IF(OR(AO53="Ranking — Head Term (Capped)",AO53="Ranking — Capped Entry",AO53="Ranking — Capped Long-Tail"),"NO — 0% (capped ranking entry). Bid $"&amp;TEXT(BC53,"0.00")&amp;" vs $"&amp;TEXT(BB53,"0.00")&amp;" max ranking CPC"&amp;" (= $"&amp;TEXT(AY53,"0.00")&amp;" price × "&amp;TEXT(AZ53,"0.0%")&amp;" ranking ceiling × "&amp;TEXT(AD53,"0.0%")&amp;" CVR)"&amp;". While spend is capped at "&amp;TEXT(AS53,"0.00")&amp;" clicks/day, a placement premium would only raise CPC without buying more rank; the modifier is set when this term moves to a full push.","NO — 0% (support / brand term). Bid $"&amp;TEXT(BC53,"0.00")&amp;" vs $"&amp;TEXT(BB53,"0.00")&amp;" max ranking CPC"&amp;" (= $"&amp;TEXT(AY53,"0.00")&amp;" price × "&amp;TEXT(AZ53,"0.0%")&amp;" ranking ceiling × "&amp;TEXT(AD53,"0.0%")&amp;" CVR)"&amp;"; expected ACoS "&amp;TEXT(BI53,"0.0%")&amp;" vs the "&amp;TEXT(AZ53,"0.0%")&amp;" ceiling."))</f>
        <v>NO — 0% (capped ranking entry). Bid $2.86 vs $2.86 max ranking CPC (= $84.99 price × 52.6% ranking ceiling × 6.4% CVR). While spend is capped at 0.03 clicks/day, a placement premium would only raise CPC without buying more rank; the modifier is set when this term moves to a full push.</v>
      </c>
      <c r="BG53" s="50" t="n">
        <f aca="false">BC53*(1+BE53)</f>
        <v>2.86</v>
      </c>
      <c r="BH53" s="45" t="n">
        <f aca="false">AS53*BG53</f>
        <v>0.078690218464</v>
      </c>
      <c r="BI53" s="33" t="n">
        <f aca="false">IFERROR(BG53/(AY53*AD53),"")</f>
        <v>0.525797152606189</v>
      </c>
      <c r="BJ53" s="27" t="str">
        <f aca="false">IF(BI53="","",IF(BI53&lt;=BA53,"Profitable (≤ break-even)",IF(BI53&lt;=AZ53,"Ranking investment (≤ ceiling)","Above ceiling — reduce bid")))</f>
        <v>Ranking investment (≤ ceiling)</v>
      </c>
      <c r="BK53" s="49" t="str">
        <f aca="false">"Base $"&amp;TEXT(BC53,"0.00")&amp;" × (1 + "&amp;TEXT(BE53,"0%")&amp;" TOS) = $"&amp;TEXT(BG53,"0.00")&amp;" effective CPC [max $"&amp;TEXT(BB53,"0.00")&amp;"]. "&amp;TEXT(AG53,"0.0")&amp;" market clicks/day × "&amp;TEXT(AH53,"0.00%")&amp;" click share × "&amp;TEXT(AI53,"0%")&amp;" paid = "&amp;TEXT(AJ53,"0.00")&amp;" clicks/day needed; "&amp;"planned "&amp;TEXT(AS53,"0.00")&amp;" clicks/day × "&amp;TEXT(AD53,"0.0%")&amp;" CVR = "&amp;TEXT(AU53,"0.00")&amp;" orders/day. "&amp;"Spend $"&amp;TEXT(BH53,"0.00")&amp;"/day, ACoS "&amp;TEXT(BI53,"0.0%")&amp;" (ceiling "&amp;TEXT(AZ53,"0.0%")&amp;", break-even "&amp;TEXT(BA53,"0.0%")&amp;"). "&amp;"Target organic rank #"&amp;S53&amp;" by week 8 ("&amp;T53&amp;")."</f>
        <v>Base $2.86 × (1 + 0% TOS) = $2.86 effective CPC [max $2.86]. 3.4 market clicks/day × 1.24% click share × 66% paid = 0.03 clicks/day needed; planned 0.03 clicks/day × 6.4% CVR = 0.00 orders/day. Spend $0.08/day, ACoS 52.6% (ceiling 52.6%, break-even 35.1%). Target organic rank #20 by week 8 (#60 → #35 → #20 (full push after size assignment)).</v>
      </c>
      <c r="BL53" s="27" t="s">
        <v>567</v>
      </c>
      <c r="BM53" s="27" t="s">
        <v>758</v>
      </c>
      <c r="BN53" s="27" t="s">
        <v>866</v>
      </c>
      <c r="BO53" s="27" t="s">
        <v>797</v>
      </c>
      <c r="BP53" s="27" t="s">
        <v>569</v>
      </c>
      <c r="BQ53" s="26" t="s">
        <v>570</v>
      </c>
      <c r="BR53" s="40" t="n">
        <f aca="false">IFERROR(INDEX(Campaigns!$L:$L,MATCH(BN53,Campaigns!$A:$A,0)),"")</f>
        <v>10</v>
      </c>
      <c r="BS53" s="51" t="str">
        <f aca="false">IFERROR(INDEX(Inventory!$O:$O,MATCH(BP53,Inventory!$A:$A,0)),"")</f>
        <v>OK</v>
      </c>
      <c r="BT53" s="52" t="n">
        <f aca="false">IFERROR(INDEX(Inventory!$N:$N,MATCH(BP53,Inventory!$A:$A,0)),"")</f>
        <v>63.0533861060951</v>
      </c>
      <c r="BU53" s="27" t="s">
        <v>876</v>
      </c>
      <c r="BV53" s="27" t="s">
        <v>263</v>
      </c>
      <c r="BW53" s="27" t="s">
        <v>809</v>
      </c>
      <c r="BX53" s="27" t="s">
        <v>877</v>
      </c>
      <c r="BY53" s="27" t="s">
        <v>793</v>
      </c>
      <c r="BZ53" s="27" t="s">
        <v>794</v>
      </c>
      <c r="CA53" s="27" t="s">
        <v>577</v>
      </c>
      <c r="CB53" s="27" t="s">
        <v>878</v>
      </c>
      <c r="CC53" s="27" t="s">
        <v>477</v>
      </c>
    </row>
    <row r="54" customFormat="false" ht="120" hidden="false" customHeight="true" outlineLevel="0" collapsed="false">
      <c r="A54" s="24" t="s">
        <v>879</v>
      </c>
      <c r="B54" s="25" t="n">
        <v>1</v>
      </c>
      <c r="C54" s="26" t="s">
        <v>184</v>
      </c>
      <c r="D54" s="26" t="s">
        <v>560</v>
      </c>
      <c r="E54" s="27" t="s">
        <v>371</v>
      </c>
      <c r="F54" s="28" t="n">
        <v>1</v>
      </c>
      <c r="G54" s="27" t="s">
        <v>187</v>
      </c>
      <c r="H54" s="26" t="s">
        <v>782</v>
      </c>
      <c r="I54" s="29" t="n">
        <v>1.5</v>
      </c>
      <c r="J54" s="27" t="s">
        <v>864</v>
      </c>
      <c r="K54" s="30" t="n">
        <v>271</v>
      </c>
      <c r="L54" s="31" t="n">
        <v>206</v>
      </c>
      <c r="M54" s="32" t="n">
        <f aca="false">L54/30</f>
        <v>6.86666666666667</v>
      </c>
      <c r="N54" s="33"/>
      <c r="O54" s="27" t="s">
        <v>769</v>
      </c>
      <c r="P54" s="27" t="s">
        <v>769</v>
      </c>
      <c r="Q54" s="27" t="s">
        <v>722</v>
      </c>
      <c r="R54" s="34" t="n">
        <v>0</v>
      </c>
      <c r="S54" s="35" t="n">
        <v>20</v>
      </c>
      <c r="T54" s="36" t="s">
        <v>467</v>
      </c>
      <c r="U54" s="27" t="s">
        <v>784</v>
      </c>
      <c r="V54" s="37" t="n">
        <f aca="false">IFERROR(INDEX(Sleephoria_History!$F$454:$F$2115,MATCH($A54,Sleephoria_History!$A$454:$A$2115,0)),"")</f>
        <v>1</v>
      </c>
      <c r="W54" s="38" t="n">
        <f aca="false">IFERROR(INDEX(Sleephoria_History!$J$454:$J$2115,MATCH($A54,Sleephoria_History!$A$454:$A$2115,0)),"")</f>
        <v>0</v>
      </c>
      <c r="X54" s="39" t="n">
        <f aca="false">IFERROR(INDEX(Sleephoria_History!$H$454:$H$2115,MATCH($A54,Sleephoria_History!$A$454:$A$2115,0)),"")</f>
        <v>4.04</v>
      </c>
      <c r="Y54" s="38" t="n">
        <f aca="false">IFERROR(INDEX(Sleephoria_History!$M$454:$M$2115,MATCH($A54,Sleephoria_History!$A$454:$A$2115,0)),"")</f>
        <v>0</v>
      </c>
      <c r="Z54" s="40" t="n">
        <f aca="false">IFERROR(INDEX(Sleephoria_History!$L$454:$L$2115,MATCH($A54,Sleephoria_History!$A$454:$A$2115,0)),"")</f>
        <v>0</v>
      </c>
      <c r="AA54" s="37" t="str">
        <f aca="false">IFERROR(INDEX(Decolure_History!$F$397:$F$709,MATCH($A54,Decolure_History!$A$397:$A$709,0)),"")</f>
        <v/>
      </c>
      <c r="AB54" s="38" t="str">
        <f aca="false">IFERROR(INDEX(Decolure_History!$J$397:$J$709,MATCH($A54,Decolure_History!$A$397:$A$709,0)),"")</f>
        <v/>
      </c>
      <c r="AC54" s="38" t="str">
        <f aca="false">IFERROR(INDEX(Decolure_History!$M$397:$M$709,MATCH($A54,Decolure_History!$A$397:$A$709,0)),"")</f>
        <v/>
      </c>
      <c r="AD54" s="41" t="n">
        <v>0.064</v>
      </c>
      <c r="AE54" s="27" t="s">
        <v>275</v>
      </c>
      <c r="AF54" s="42" t="n">
        <v>0.478</v>
      </c>
      <c r="AG54" s="32" t="n">
        <f aca="false">M54*AF54</f>
        <v>3.28226666666667</v>
      </c>
      <c r="AH54" s="43" t="n">
        <f aca="false">IF(AO54="Brand Defense",0,IFERROR(VLOOKUP(S54,Assumptions!$A$24:$B$28,2,FALSE()),0))</f>
        <v>0.0124</v>
      </c>
      <c r="AI54" s="28" t="n">
        <f aca="false">Assumptions!$B$6</f>
        <v>0.66</v>
      </c>
      <c r="AJ54" s="44" t="n">
        <f aca="false">AG54*AH54*AI54</f>
        <v>0.0268620704</v>
      </c>
      <c r="AK54" s="44" t="n">
        <f aca="false">AJ54*AD54</f>
        <v>0.0017191725056</v>
      </c>
      <c r="AL54" s="30" t="n">
        <f aca="false">AJ54*56</f>
        <v>1.5042759424</v>
      </c>
      <c r="AM54" s="32" t="n">
        <f aca="false">AK54*56</f>
        <v>0.0962736603136</v>
      </c>
      <c r="AN54" s="44" t="n">
        <f aca="false">M54*Assumptions!$B$8</f>
        <v>0.686666666666667</v>
      </c>
      <c r="AO54" s="27" t="s">
        <v>825</v>
      </c>
      <c r="AP54" s="27" t="s">
        <v>865</v>
      </c>
      <c r="AQ54" s="26" t="s">
        <v>198</v>
      </c>
      <c r="AR54" s="27" t="s">
        <v>756</v>
      </c>
      <c r="AS54" s="44" t="n">
        <f aca="false">IF(AO54="Ranking — Full Push",MIN(MAX(AJ54,Assumptions!$B$9),AN54),IF(AO54="Brand Defense",MIN(Assumptions!$B$7,AN54),IF(OR(AO54="Ranking — Head Term (Capped)",AO54="Ranking — Capped Entry"),MIN(MAX(AJ54,Assumptions!$B$9),Assumptions!$B$7,AN54),IF(AO54="Ranking — Capped Long-Tail",MIN(AJ54,Assumptions!$B$10,AN54),MIN(AJ54,AN54)))))</f>
        <v>0.0268620704</v>
      </c>
      <c r="AT54" s="27" t="str">
        <f aca="false">IF(AJ54&lt;=0,"",IF(AS54&gt;=AJ54,IF(AS54&gt;AJ54*1.05,"Floor of "&amp;TEXT(AS54,"0.0")&amp;" click/day to read CVR (rank needs "&amp;TEXT(AJ54,"0.00")&amp;")","Fully funded (100%)"),"Capped at "&amp;TEXT(AS54/AJ54,"0%")&amp;" of required"))</f>
        <v>Fully funded (100%)</v>
      </c>
      <c r="AU54" s="44" t="n">
        <f aca="false">AS54*AD54</f>
        <v>0.0017191725056</v>
      </c>
      <c r="AV54" s="45" t="n">
        <f aca="false">AU54*AY54</f>
        <v>0.146112471250944</v>
      </c>
      <c r="AW54" s="46" t="n">
        <v>3.68</v>
      </c>
      <c r="AX54" s="27" t="s">
        <v>687</v>
      </c>
      <c r="AY54" s="47" t="n">
        <f aca="false">INDEX(Assumptions!$B$33:$B$37,MATCH(IF($D54="","Queen",$D54),Assumptions!$A$33:$A$37,0))</f>
        <v>84.99</v>
      </c>
      <c r="AZ54" s="33" t="n">
        <f aca="false">INDEX(Assumptions!$K$33:$K$37,MATCH(IF($D54="","Queen",$D54),Assumptions!$A$33:$A$37,0))</f>
        <v>0.525970702435581</v>
      </c>
      <c r="BA54" s="33" t="n">
        <f aca="false">INDEX(Assumptions!$H$33:$H$37,MATCH(IF($D54="","Queen",$D54),Assumptions!$A$33:$A$37,0))</f>
        <v>0.350647134957054</v>
      </c>
      <c r="BB54" s="47" t="n">
        <f aca="false">AY54*AZ54*AD54</f>
        <v>2.860944</v>
      </c>
      <c r="BC54" s="47" t="n">
        <f aca="false">ROUND(MIN(AW54*Assumptions!$B$11,BB54),2)</f>
        <v>2.86</v>
      </c>
      <c r="BD54" s="26" t="s">
        <v>278</v>
      </c>
      <c r="BE54" s="48" t="n">
        <f aca="false">IF(AO54="Ranking — Full Push",MAX(0,MIN(IF(BD54="Yes",Assumptions!$B$12,Assumptions!$B$13),FLOOR(MAX(0,BB54/BC54-1),Assumptions!$B$14))),0)</f>
        <v>0</v>
      </c>
      <c r="BF54" s="49" t="str">
        <f aca="false">IF(AO54="Ranking — Full Push",IF(BE54&gt;=1,"YES — +100% Top of Search. Effective CPC $"&amp;TEXT(BG54,"0.00")&amp;" (= $"&amp;TEXT(BC54,"0.00")&amp;" × 2) stays within the $"&amp;TEXT(BB54,"0.00")&amp;" max ranking CPC"&amp;" (= $"&amp;TEXT(AY54,"0.00")&amp;" price × "&amp;TEXT(AZ54,"0.0%")&amp;" ranking ceiling × "&amp;TEXT(AD54,"0.0%")&amp;" CVR)"&amp;". Sleephoria CVR is proven on this term, so the full push is justified.",IF(AND(BD54="No",BE54&gt;=Assumptions!$B$13),"PARTIAL — +"&amp;TEXT(BE54,"0%")&amp;" Top of Search (limit for terms without proven CVR). Effective CPC $"&amp;TEXT(BG54,"0.00")&amp;" vs $"&amp;TEXT(BB54,"0.00")&amp;" max ranking CPC"&amp;" (= $"&amp;TEXT(AY54,"0.00")&amp;" price × "&amp;TEXT(AZ54,"0.0%")&amp;" ranking ceiling × "&amp;TEXT(AD54,"0.0%")&amp;" CVR)"&amp;". Raise to +100% only after CooLinens converts at ≥ "&amp;TEXT(AD54,"0.0%")&amp;" on 50+ clicks and $"&amp;TEXT(BC54*2,"0.00")&amp;" ≤ the max.",IF(BE54&gt;0,"PARTIAL — +"&amp;TEXT(BE54,"0%")&amp;" Top of Search. Effective CPC $"&amp;TEXT(BG54,"0.00")&amp;" stays within the $"&amp;TEXT(BB54,"0.00")&amp;" max ranking CPC"&amp;" (= $"&amp;TEXT(AY54,"0.00")&amp;" price × "&amp;TEXT(AZ54,"0.0%")&amp;" ranking ceiling × "&amp;TEXT(AD54,"0.0%")&amp;" CVR)"&amp;". +100% would cost $"&amp;TEXT(BC54*2,"0.00")&amp;" per click and push ACoS to "&amp;TEXT(BC54*2/(AY54*AD54),"0.0%")&amp;", above the "&amp;TEXT(AZ54,"0.0%")&amp;" ceiling.","NO — 0%. Base bid $"&amp;TEXT(BC54,"0.00")&amp;" already equals the $"&amp;TEXT(BB54,"0.00")&amp;" max ranking CPC"&amp;" (= $"&amp;TEXT(AY54,"0.00")&amp;" price × "&amp;TEXT(AZ54,"0.0%")&amp;" ranking ceiling × "&amp;TEXT(AD54,"0.0%")&amp;" CVR)"&amp;"; any modifier would push ACoS above the "&amp;TEXT(AZ54,"0.0%")&amp;" ceiling."))),IF(OR(AO54="Ranking — Head Term (Capped)",AO54="Ranking — Capped Entry",AO54="Ranking — Capped Long-Tail"),"NO — 0% (capped ranking entry). Bid $"&amp;TEXT(BC54,"0.00")&amp;" vs $"&amp;TEXT(BB54,"0.00")&amp;" max ranking CPC"&amp;" (= $"&amp;TEXT(AY54,"0.00")&amp;" price × "&amp;TEXT(AZ54,"0.0%")&amp;" ranking ceiling × "&amp;TEXT(AD54,"0.0%")&amp;" CVR)"&amp;". While spend is capped at "&amp;TEXT(AS54,"0.00")&amp;" clicks/day, a placement premium would only raise CPC without buying more rank; the modifier is set when this term moves to a full push.","NO — 0% (support / brand term). Bid $"&amp;TEXT(BC54,"0.00")&amp;" vs $"&amp;TEXT(BB54,"0.00")&amp;" max ranking CPC"&amp;" (= $"&amp;TEXT(AY54,"0.00")&amp;" price × "&amp;TEXT(AZ54,"0.0%")&amp;" ranking ceiling × "&amp;TEXT(AD54,"0.0%")&amp;" CVR)"&amp;"; expected ACoS "&amp;TEXT(BI54,"0.0%")&amp;" vs the "&amp;TEXT(AZ54,"0.0%")&amp;" ceiling."))</f>
        <v>NO — 0% (capped ranking entry). Bid $2.86 vs $2.86 max ranking CPC (= $84.99 price × 52.6% ranking ceiling × 6.4% CVR). While spend is capped at 0.03 clicks/day, a placement premium would only raise CPC without buying more rank; the modifier is set when this term moves to a full push.</v>
      </c>
      <c r="BG54" s="50" t="n">
        <f aca="false">BC54*(1+BE54)</f>
        <v>2.86</v>
      </c>
      <c r="BH54" s="45" t="n">
        <f aca="false">AS54*BG54</f>
        <v>0.076825521344</v>
      </c>
      <c r="BI54" s="33" t="n">
        <f aca="false">IFERROR(BG54/(AY54*AD54),"")</f>
        <v>0.525797152606189</v>
      </c>
      <c r="BJ54" s="27" t="str">
        <f aca="false">IF(BI54="","",IF(BI54&lt;=BA54,"Profitable (≤ break-even)",IF(BI54&lt;=AZ54,"Ranking investment (≤ ceiling)","Above ceiling — reduce bid")))</f>
        <v>Ranking investment (≤ ceiling)</v>
      </c>
      <c r="BK54" s="49" t="str">
        <f aca="false">"Base $"&amp;TEXT(BC54,"0.00")&amp;" × (1 + "&amp;TEXT(BE54,"0%")&amp;" TOS) = $"&amp;TEXT(BG54,"0.00")&amp;" effective CPC [max $"&amp;TEXT(BB54,"0.00")&amp;"]. "&amp;TEXT(AG54,"0.0")&amp;" market clicks/day × "&amp;TEXT(AH54,"0.00%")&amp;" click share × "&amp;TEXT(AI54,"0%")&amp;" paid = "&amp;TEXT(AJ54,"0.00")&amp;" clicks/day needed; "&amp;"planned "&amp;TEXT(AS54,"0.00")&amp;" clicks/day × "&amp;TEXT(AD54,"0.0%")&amp;" CVR = "&amp;TEXT(AU54,"0.00")&amp;" orders/day. "&amp;"Spend $"&amp;TEXT(BH54,"0.00")&amp;"/day, ACoS "&amp;TEXT(BI54,"0.0%")&amp;" (ceiling "&amp;TEXT(AZ54,"0.0%")&amp;", break-even "&amp;TEXT(BA54,"0.0%")&amp;"). "&amp;"Target organic rank #"&amp;S54&amp;" by week 8 ("&amp;T54&amp;")."</f>
        <v>Base $2.86 × (1 + 0% TOS) = $2.86 effective CPC [max $2.86]. 3.3 market clicks/day × 1.24% click share × 66% paid = 0.03 clicks/day needed; planned 0.03 clicks/day × 6.4% CVR = 0.00 orders/day. Spend $0.08/day, ACoS 52.6% (ceiling 52.6%, break-even 35.1%). Target organic rank #20 by week 8 (#60 → #35 → #20 (full push after size assignment)).</v>
      </c>
      <c r="BL54" s="27" t="s">
        <v>567</v>
      </c>
      <c r="BM54" s="27" t="s">
        <v>758</v>
      </c>
      <c r="BN54" s="27" t="s">
        <v>866</v>
      </c>
      <c r="BO54" s="27" t="s">
        <v>797</v>
      </c>
      <c r="BP54" s="27" t="s">
        <v>569</v>
      </c>
      <c r="BQ54" s="26" t="s">
        <v>570</v>
      </c>
      <c r="BR54" s="40" t="n">
        <f aca="false">IFERROR(INDEX(Campaigns!$L:$L,MATCH(BN54,Campaigns!$A:$A,0)),"")</f>
        <v>10</v>
      </c>
      <c r="BS54" s="51" t="str">
        <f aca="false">IFERROR(INDEX(Inventory!$O:$O,MATCH(BP54,Inventory!$A:$A,0)),"")</f>
        <v>OK</v>
      </c>
      <c r="BT54" s="52" t="n">
        <f aca="false">IFERROR(INDEX(Inventory!$N:$N,MATCH(BP54,Inventory!$A:$A,0)),"")</f>
        <v>63.0533861060951</v>
      </c>
      <c r="BU54" s="27" t="s">
        <v>880</v>
      </c>
      <c r="BV54" s="27" t="s">
        <v>263</v>
      </c>
      <c r="BW54" s="27" t="s">
        <v>809</v>
      </c>
      <c r="BX54" s="27" t="s">
        <v>881</v>
      </c>
      <c r="BY54" s="27" t="s">
        <v>793</v>
      </c>
      <c r="BZ54" s="27" t="s">
        <v>794</v>
      </c>
      <c r="CA54" s="27" t="s">
        <v>577</v>
      </c>
      <c r="CB54" s="27" t="s">
        <v>882</v>
      </c>
      <c r="CC54" s="27" t="s">
        <v>477</v>
      </c>
    </row>
    <row r="55" customFormat="false" ht="120" hidden="false" customHeight="true" outlineLevel="0" collapsed="false">
      <c r="A55" s="24" t="s">
        <v>883</v>
      </c>
      <c r="B55" s="25" t="n">
        <v>1</v>
      </c>
      <c r="C55" s="26" t="s">
        <v>184</v>
      </c>
      <c r="D55" s="26" t="s">
        <v>560</v>
      </c>
      <c r="E55" s="27" t="s">
        <v>371</v>
      </c>
      <c r="F55" s="28" t="n">
        <v>1</v>
      </c>
      <c r="G55" s="27" t="s">
        <v>187</v>
      </c>
      <c r="H55" s="26" t="s">
        <v>782</v>
      </c>
      <c r="I55" s="29" t="n">
        <v>1.5</v>
      </c>
      <c r="J55" s="27" t="s">
        <v>864</v>
      </c>
      <c r="K55" s="30" t="n">
        <v>241</v>
      </c>
      <c r="L55" s="31" t="n">
        <v>183</v>
      </c>
      <c r="M55" s="32" t="n">
        <f aca="false">L55/30</f>
        <v>6.1</v>
      </c>
      <c r="N55" s="33"/>
      <c r="O55" s="27" t="s">
        <v>769</v>
      </c>
      <c r="P55" s="27" t="s">
        <v>769</v>
      </c>
      <c r="Q55" s="27" t="s">
        <v>722</v>
      </c>
      <c r="R55" s="34" t="n">
        <v>0</v>
      </c>
      <c r="S55" s="35" t="n">
        <v>20</v>
      </c>
      <c r="T55" s="36" t="s">
        <v>467</v>
      </c>
      <c r="U55" s="27" t="s">
        <v>784</v>
      </c>
      <c r="V55" s="37" t="str">
        <f aca="false">IFERROR(INDEX(Sleephoria_History!$F$454:$F$2115,MATCH($A55,Sleephoria_History!$A$454:$A$2115,0)),"")</f>
        <v/>
      </c>
      <c r="W55" s="38" t="str">
        <f aca="false">IFERROR(INDEX(Sleephoria_History!$J$454:$J$2115,MATCH($A55,Sleephoria_History!$A$454:$A$2115,0)),"")</f>
        <v/>
      </c>
      <c r="X55" s="39" t="str">
        <f aca="false">IFERROR(INDEX(Sleephoria_History!$H$454:$H$2115,MATCH($A55,Sleephoria_History!$A$454:$A$2115,0)),"")</f>
        <v/>
      </c>
      <c r="Y55" s="38" t="str">
        <f aca="false">IFERROR(INDEX(Sleephoria_History!$M$454:$M$2115,MATCH($A55,Sleephoria_History!$A$454:$A$2115,0)),"")</f>
        <v/>
      </c>
      <c r="Z55" s="40" t="str">
        <f aca="false">IFERROR(INDEX(Sleephoria_History!$L$454:$L$2115,MATCH($A55,Sleephoria_History!$A$454:$A$2115,0)),"")</f>
        <v/>
      </c>
      <c r="AA55" s="37" t="str">
        <f aca="false">IFERROR(INDEX(Decolure_History!$F$397:$F$709,MATCH($A55,Decolure_History!$A$397:$A$709,0)),"")</f>
        <v/>
      </c>
      <c r="AB55" s="38" t="str">
        <f aca="false">IFERROR(INDEX(Decolure_History!$J$397:$J$709,MATCH($A55,Decolure_History!$A$397:$A$709,0)),"")</f>
        <v/>
      </c>
      <c r="AC55" s="38" t="str">
        <f aca="false">IFERROR(INDEX(Decolure_History!$M$397:$M$709,MATCH($A55,Decolure_History!$A$397:$A$709,0)),"")</f>
        <v/>
      </c>
      <c r="AD55" s="41" t="n">
        <v>0.064</v>
      </c>
      <c r="AE55" s="27" t="s">
        <v>275</v>
      </c>
      <c r="AF55" s="42" t="n">
        <v>0.478</v>
      </c>
      <c r="AG55" s="32" t="n">
        <f aca="false">M55*AF55</f>
        <v>2.9158</v>
      </c>
      <c r="AH55" s="43" t="n">
        <f aca="false">IF(AO55="Brand Defense",0,IFERROR(VLOOKUP(S55,Assumptions!$A$24:$B$28,2,FALSE()),0))</f>
        <v>0.0124</v>
      </c>
      <c r="AI55" s="28" t="n">
        <f aca="false">Assumptions!$B$6</f>
        <v>0.66</v>
      </c>
      <c r="AJ55" s="44" t="n">
        <f aca="false">AG55*AH55*AI55</f>
        <v>0.0238629072</v>
      </c>
      <c r="AK55" s="44" t="n">
        <f aca="false">AJ55*AD55</f>
        <v>0.0015272260608</v>
      </c>
      <c r="AL55" s="30" t="n">
        <f aca="false">AJ55*56</f>
        <v>1.3363228032</v>
      </c>
      <c r="AM55" s="32" t="n">
        <f aca="false">AK55*56</f>
        <v>0.0855246594048</v>
      </c>
      <c r="AN55" s="44" t="n">
        <f aca="false">M55*Assumptions!$B$8</f>
        <v>0.61</v>
      </c>
      <c r="AO55" s="27" t="s">
        <v>825</v>
      </c>
      <c r="AP55" s="27" t="s">
        <v>865</v>
      </c>
      <c r="AQ55" s="26" t="s">
        <v>198</v>
      </c>
      <c r="AR55" s="27" t="s">
        <v>756</v>
      </c>
      <c r="AS55" s="44" t="n">
        <f aca="false">IF(AO55="Ranking — Full Push",MIN(MAX(AJ55,Assumptions!$B$9),AN55),IF(AO55="Brand Defense",MIN(Assumptions!$B$7,AN55),IF(OR(AO55="Ranking — Head Term (Capped)",AO55="Ranking — Capped Entry"),MIN(MAX(AJ55,Assumptions!$B$9),Assumptions!$B$7,AN55),IF(AO55="Ranking — Capped Long-Tail",MIN(AJ55,Assumptions!$B$10,AN55),MIN(AJ55,AN55)))))</f>
        <v>0.0238629072</v>
      </c>
      <c r="AT55" s="27" t="str">
        <f aca="false">IF(AJ55&lt;=0,"",IF(AS55&gt;=AJ55,IF(AS55&gt;AJ55*1.05,"Floor of "&amp;TEXT(AS55,"0.0")&amp;" click/day to read CVR (rank needs "&amp;TEXT(AJ55,"0.00")&amp;")","Fully funded (100%)"),"Capped at "&amp;TEXT(AS55/AJ55,"0%")&amp;" of required"))</f>
        <v>Fully funded (100%)</v>
      </c>
      <c r="AU55" s="44" t="n">
        <f aca="false">AS55*AD55</f>
        <v>0.0015272260608</v>
      </c>
      <c r="AV55" s="45" t="n">
        <f aca="false">AU55*AY55</f>
        <v>0.129798942907392</v>
      </c>
      <c r="AW55" s="46" t="n">
        <v>3.68</v>
      </c>
      <c r="AX55" s="27" t="s">
        <v>687</v>
      </c>
      <c r="AY55" s="47" t="n">
        <f aca="false">INDEX(Assumptions!$B$33:$B$37,MATCH(IF($D55="","Queen",$D55),Assumptions!$A$33:$A$37,0))</f>
        <v>84.99</v>
      </c>
      <c r="AZ55" s="33" t="n">
        <f aca="false">INDEX(Assumptions!$K$33:$K$37,MATCH(IF($D55="","Queen",$D55),Assumptions!$A$33:$A$37,0))</f>
        <v>0.525970702435581</v>
      </c>
      <c r="BA55" s="33" t="n">
        <f aca="false">INDEX(Assumptions!$H$33:$H$37,MATCH(IF($D55="","Queen",$D55),Assumptions!$A$33:$A$37,0))</f>
        <v>0.350647134957054</v>
      </c>
      <c r="BB55" s="47" t="n">
        <f aca="false">AY55*AZ55*AD55</f>
        <v>2.860944</v>
      </c>
      <c r="BC55" s="47" t="n">
        <f aca="false">ROUND(MIN(AW55*Assumptions!$B$11,BB55),2)</f>
        <v>2.86</v>
      </c>
      <c r="BD55" s="26" t="s">
        <v>278</v>
      </c>
      <c r="BE55" s="48" t="n">
        <f aca="false">IF(AO55="Ranking — Full Push",MAX(0,MIN(IF(BD55="Yes",Assumptions!$B$12,Assumptions!$B$13),FLOOR(MAX(0,BB55/BC55-1),Assumptions!$B$14))),0)</f>
        <v>0</v>
      </c>
      <c r="BF55" s="49" t="str">
        <f aca="false">IF(AO55="Ranking — Full Push",IF(BE55&gt;=1,"YES — +100% Top of Search. Effective CPC $"&amp;TEXT(BG55,"0.00")&amp;" (= $"&amp;TEXT(BC55,"0.00")&amp;" × 2) stays within the $"&amp;TEXT(BB55,"0.00")&amp;" max ranking CPC"&amp;" (= $"&amp;TEXT(AY55,"0.00")&amp;" price × "&amp;TEXT(AZ55,"0.0%")&amp;" ranking ceiling × "&amp;TEXT(AD55,"0.0%")&amp;" CVR)"&amp;". Sleephoria CVR is proven on this term, so the full push is justified.",IF(AND(BD55="No",BE55&gt;=Assumptions!$B$13),"PARTIAL — +"&amp;TEXT(BE55,"0%")&amp;" Top of Search (limit for terms without proven CVR). Effective CPC $"&amp;TEXT(BG55,"0.00")&amp;" vs $"&amp;TEXT(BB55,"0.00")&amp;" max ranking CPC"&amp;" (= $"&amp;TEXT(AY55,"0.00")&amp;" price × "&amp;TEXT(AZ55,"0.0%")&amp;" ranking ceiling × "&amp;TEXT(AD55,"0.0%")&amp;" CVR)"&amp;". Raise to +100% only after CooLinens converts at ≥ "&amp;TEXT(AD55,"0.0%")&amp;" on 50+ clicks and $"&amp;TEXT(BC55*2,"0.00")&amp;" ≤ the max.",IF(BE55&gt;0,"PARTIAL — +"&amp;TEXT(BE55,"0%")&amp;" Top of Search. Effective CPC $"&amp;TEXT(BG55,"0.00")&amp;" stays within the $"&amp;TEXT(BB55,"0.00")&amp;" max ranking CPC"&amp;" (= $"&amp;TEXT(AY55,"0.00")&amp;" price × "&amp;TEXT(AZ55,"0.0%")&amp;" ranking ceiling × "&amp;TEXT(AD55,"0.0%")&amp;" CVR)"&amp;". +100% would cost $"&amp;TEXT(BC55*2,"0.00")&amp;" per click and push ACoS to "&amp;TEXT(BC55*2/(AY55*AD55),"0.0%")&amp;", above the "&amp;TEXT(AZ55,"0.0%")&amp;" ceiling.","NO — 0%. Base bid $"&amp;TEXT(BC55,"0.00")&amp;" already equals the $"&amp;TEXT(BB55,"0.00")&amp;" max ranking CPC"&amp;" (= $"&amp;TEXT(AY55,"0.00")&amp;" price × "&amp;TEXT(AZ55,"0.0%")&amp;" ranking ceiling × "&amp;TEXT(AD55,"0.0%")&amp;" CVR)"&amp;"; any modifier would push ACoS above the "&amp;TEXT(AZ55,"0.0%")&amp;" ceiling."))),IF(OR(AO55="Ranking — Head Term (Capped)",AO55="Ranking — Capped Entry",AO55="Ranking — Capped Long-Tail"),"NO — 0% (capped ranking entry). Bid $"&amp;TEXT(BC55,"0.00")&amp;" vs $"&amp;TEXT(BB55,"0.00")&amp;" max ranking CPC"&amp;" (= $"&amp;TEXT(AY55,"0.00")&amp;" price × "&amp;TEXT(AZ55,"0.0%")&amp;" ranking ceiling × "&amp;TEXT(AD55,"0.0%")&amp;" CVR)"&amp;". While spend is capped at "&amp;TEXT(AS55,"0.00")&amp;" clicks/day, a placement premium would only raise CPC without buying more rank; the modifier is set when this term moves to a full push.","NO — 0% (support / brand term). Bid $"&amp;TEXT(BC55,"0.00")&amp;" vs $"&amp;TEXT(BB55,"0.00")&amp;" max ranking CPC"&amp;" (= $"&amp;TEXT(AY55,"0.00")&amp;" price × "&amp;TEXT(AZ55,"0.0%")&amp;" ranking ceiling × "&amp;TEXT(AD55,"0.0%")&amp;" CVR)"&amp;"; expected ACoS "&amp;TEXT(BI55,"0.0%")&amp;" vs the "&amp;TEXT(AZ55,"0.0%")&amp;" ceiling."))</f>
        <v>NO — 0% (capped ranking entry). Bid $2.86 vs $2.86 max ranking CPC (= $84.99 price × 52.6% ranking ceiling × 6.4% CVR). While spend is capped at 0.02 clicks/day, a placement premium would only raise CPC without buying more rank; the modifier is set when this term moves to a full push.</v>
      </c>
      <c r="BG55" s="50" t="n">
        <f aca="false">BC55*(1+BE55)</f>
        <v>2.86</v>
      </c>
      <c r="BH55" s="45" t="n">
        <f aca="false">AS55*BG55</f>
        <v>0.068247914592</v>
      </c>
      <c r="BI55" s="33" t="n">
        <f aca="false">IFERROR(BG55/(AY55*AD55),"")</f>
        <v>0.525797152606189</v>
      </c>
      <c r="BJ55" s="27" t="str">
        <f aca="false">IF(BI55="","",IF(BI55&lt;=BA55,"Profitable (≤ break-even)",IF(BI55&lt;=AZ55,"Ranking investment (≤ ceiling)","Above ceiling — reduce bid")))</f>
        <v>Ranking investment (≤ ceiling)</v>
      </c>
      <c r="BK55" s="49" t="str">
        <f aca="false">"Base $"&amp;TEXT(BC55,"0.00")&amp;" × (1 + "&amp;TEXT(BE55,"0%")&amp;" TOS) = $"&amp;TEXT(BG55,"0.00")&amp;" effective CPC [max $"&amp;TEXT(BB55,"0.00")&amp;"]. "&amp;TEXT(AG55,"0.0")&amp;" market clicks/day × "&amp;TEXT(AH55,"0.00%")&amp;" click share × "&amp;TEXT(AI55,"0%")&amp;" paid = "&amp;TEXT(AJ55,"0.00")&amp;" clicks/day needed; "&amp;"planned "&amp;TEXT(AS55,"0.00")&amp;" clicks/day × "&amp;TEXT(AD55,"0.0%")&amp;" CVR = "&amp;TEXT(AU55,"0.00")&amp;" orders/day. "&amp;"Spend $"&amp;TEXT(BH55,"0.00")&amp;"/day, ACoS "&amp;TEXT(BI55,"0.0%")&amp;" (ceiling "&amp;TEXT(AZ55,"0.0%")&amp;", break-even "&amp;TEXT(BA55,"0.0%")&amp;"). "&amp;"Target organic rank #"&amp;S55&amp;" by week 8 ("&amp;T55&amp;")."</f>
        <v>Base $2.86 × (1 + 0% TOS) = $2.86 effective CPC [max $2.86]. 2.9 market clicks/day × 1.24% click share × 66% paid = 0.02 clicks/day needed; planned 0.02 clicks/day × 6.4% CVR = 0.00 orders/day. Spend $0.07/day, ACoS 52.6% (ceiling 52.6%, break-even 35.1%). Target organic rank #20 by week 8 (#60 → #35 → #20 (full push after size assignment)).</v>
      </c>
      <c r="BL55" s="27" t="s">
        <v>567</v>
      </c>
      <c r="BM55" s="27" t="s">
        <v>758</v>
      </c>
      <c r="BN55" s="27" t="s">
        <v>866</v>
      </c>
      <c r="BO55" s="27" t="s">
        <v>797</v>
      </c>
      <c r="BP55" s="27" t="s">
        <v>569</v>
      </c>
      <c r="BQ55" s="26" t="s">
        <v>570</v>
      </c>
      <c r="BR55" s="40" t="n">
        <f aca="false">IFERROR(INDEX(Campaigns!$L:$L,MATCH(BN55,Campaigns!$A:$A,0)),"")</f>
        <v>10</v>
      </c>
      <c r="BS55" s="51" t="str">
        <f aca="false">IFERROR(INDEX(Inventory!$O:$O,MATCH(BP55,Inventory!$A:$A,0)),"")</f>
        <v>OK</v>
      </c>
      <c r="BT55" s="52" t="n">
        <f aca="false">IFERROR(INDEX(Inventory!$N:$N,MATCH(BP55,Inventory!$A:$A,0)),"")</f>
        <v>63.0533861060951</v>
      </c>
      <c r="BU55" s="27" t="s">
        <v>884</v>
      </c>
      <c r="BV55" s="27" t="s">
        <v>263</v>
      </c>
      <c r="BW55" s="27" t="s">
        <v>791</v>
      </c>
      <c r="BX55" s="27" t="s">
        <v>885</v>
      </c>
      <c r="BY55" s="27" t="s">
        <v>793</v>
      </c>
      <c r="BZ55" s="27" t="s">
        <v>794</v>
      </c>
      <c r="CA55" s="27" t="s">
        <v>577</v>
      </c>
      <c r="CB55" s="27" t="s">
        <v>886</v>
      </c>
      <c r="CC55" s="27" t="s">
        <v>477</v>
      </c>
    </row>
    <row r="56" customFormat="false" ht="120" hidden="false" customHeight="true" outlineLevel="0" collapsed="false">
      <c r="A56" s="24" t="s">
        <v>887</v>
      </c>
      <c r="B56" s="25" t="n">
        <v>1</v>
      </c>
      <c r="C56" s="26" t="s">
        <v>184</v>
      </c>
      <c r="D56" s="26" t="s">
        <v>696</v>
      </c>
      <c r="E56" s="27" t="s">
        <v>371</v>
      </c>
      <c r="F56" s="28" t="n">
        <v>1</v>
      </c>
      <c r="G56" s="27" t="s">
        <v>187</v>
      </c>
      <c r="H56" s="26" t="s">
        <v>782</v>
      </c>
      <c r="I56" s="29" t="n">
        <v>1.5</v>
      </c>
      <c r="J56" s="27" t="s">
        <v>888</v>
      </c>
      <c r="K56" s="30" t="n">
        <v>392</v>
      </c>
      <c r="L56" s="31" t="n">
        <v>298</v>
      </c>
      <c r="M56" s="32" t="n">
        <f aca="false">L56/30</f>
        <v>9.93333333333333</v>
      </c>
      <c r="N56" s="33"/>
      <c r="O56" s="27" t="s">
        <v>769</v>
      </c>
      <c r="P56" s="27" t="s">
        <v>769</v>
      </c>
      <c r="Q56" s="27" t="s">
        <v>722</v>
      </c>
      <c r="R56" s="34" t="n">
        <v>0</v>
      </c>
      <c r="S56" s="35" t="n">
        <v>20</v>
      </c>
      <c r="T56" s="36" t="s">
        <v>467</v>
      </c>
      <c r="U56" s="27" t="s">
        <v>784</v>
      </c>
      <c r="V56" s="37" t="n">
        <f aca="false">IFERROR(INDEX(Sleephoria_History!$F$454:$F$2115,MATCH($A56,Sleephoria_History!$A$454:$A$2115,0)),"")</f>
        <v>2</v>
      </c>
      <c r="W56" s="38" t="n">
        <f aca="false">IFERROR(INDEX(Sleephoria_History!$J$454:$J$2115,MATCH($A56,Sleephoria_History!$A$454:$A$2115,0)),"")</f>
        <v>0</v>
      </c>
      <c r="X56" s="39" t="n">
        <f aca="false">IFERROR(INDEX(Sleephoria_History!$H$454:$H$2115,MATCH($A56,Sleephoria_History!$A$454:$A$2115,0)),"")</f>
        <v>1.21</v>
      </c>
      <c r="Y56" s="38" t="n">
        <f aca="false">IFERROR(INDEX(Sleephoria_History!$M$454:$M$2115,MATCH($A56,Sleephoria_History!$A$454:$A$2115,0)),"")</f>
        <v>0</v>
      </c>
      <c r="Z56" s="40" t="n">
        <f aca="false">IFERROR(INDEX(Sleephoria_History!$L$454:$L$2115,MATCH($A56,Sleephoria_History!$A$454:$A$2115,0)),"")</f>
        <v>0</v>
      </c>
      <c r="AA56" s="37" t="str">
        <f aca="false">IFERROR(INDEX(Decolure_History!$F$397:$F$709,MATCH($A56,Decolure_History!$A$397:$A$709,0)),"")</f>
        <v/>
      </c>
      <c r="AB56" s="38" t="str">
        <f aca="false">IFERROR(INDEX(Decolure_History!$J$397:$J$709,MATCH($A56,Decolure_History!$A$397:$A$709,0)),"")</f>
        <v/>
      </c>
      <c r="AC56" s="38" t="str">
        <f aca="false">IFERROR(INDEX(Decolure_History!$M$397:$M$709,MATCH($A56,Decolure_History!$A$397:$A$709,0)),"")</f>
        <v/>
      </c>
      <c r="AD56" s="41" t="n">
        <v>0.064</v>
      </c>
      <c r="AE56" s="27" t="s">
        <v>275</v>
      </c>
      <c r="AF56" s="42" t="n">
        <v>0.478</v>
      </c>
      <c r="AG56" s="32" t="n">
        <f aca="false">M56*AF56</f>
        <v>4.74813333333333</v>
      </c>
      <c r="AH56" s="43" t="n">
        <f aca="false">IF(AO56="Brand Defense",0,IFERROR(VLOOKUP(S56,Assumptions!$A$24:$B$28,2,FALSE()),0))</f>
        <v>0.0124</v>
      </c>
      <c r="AI56" s="28" t="n">
        <f aca="false">Assumptions!$B$6</f>
        <v>0.66</v>
      </c>
      <c r="AJ56" s="44" t="n">
        <f aca="false">AG56*AH56*AI56</f>
        <v>0.0388587232</v>
      </c>
      <c r="AK56" s="44" t="n">
        <f aca="false">AJ56*AD56</f>
        <v>0.0024869582848</v>
      </c>
      <c r="AL56" s="30" t="n">
        <f aca="false">AJ56*56</f>
        <v>2.1760884992</v>
      </c>
      <c r="AM56" s="32" t="n">
        <f aca="false">AK56*56</f>
        <v>0.1392696639488</v>
      </c>
      <c r="AN56" s="44" t="n">
        <f aca="false">M56*Assumptions!$B$8</f>
        <v>0.993333333333333</v>
      </c>
      <c r="AO56" s="27" t="s">
        <v>825</v>
      </c>
      <c r="AP56" s="27" t="s">
        <v>889</v>
      </c>
      <c r="AQ56" s="26" t="s">
        <v>198</v>
      </c>
      <c r="AR56" s="27" t="s">
        <v>756</v>
      </c>
      <c r="AS56" s="44" t="n">
        <f aca="false">IF(AO56="Ranking — Full Push",MIN(MAX(AJ56,Assumptions!$B$9),AN56),IF(AO56="Brand Defense",MIN(Assumptions!$B$7,AN56),IF(OR(AO56="Ranking — Head Term (Capped)",AO56="Ranking — Capped Entry"),MIN(MAX(AJ56,Assumptions!$B$9),Assumptions!$B$7,AN56),IF(AO56="Ranking — Capped Long-Tail",MIN(AJ56,Assumptions!$B$10,AN56),MIN(AJ56,AN56)))))</f>
        <v>0.0388587232</v>
      </c>
      <c r="AT56" s="27" t="str">
        <f aca="false">IF(AJ56&lt;=0,"",IF(AS56&gt;=AJ56,IF(AS56&gt;AJ56*1.05,"Floor of "&amp;TEXT(AS56,"0.0")&amp;" click/day to read CVR (rank needs "&amp;TEXT(AJ56,"0.00")&amp;")","Fully funded (100%)"),"Capped at "&amp;TEXT(AS56/AJ56,"0%")&amp;" of required"))</f>
        <v>Fully funded (100%)</v>
      </c>
      <c r="AU56" s="44" t="n">
        <f aca="false">AS56*AD56</f>
        <v>0.0024869582848</v>
      </c>
      <c r="AV56" s="45" t="n">
        <f aca="false">AU56*AY56</f>
        <v>0.156653502359552</v>
      </c>
      <c r="AW56" s="46" t="n">
        <v>1.75</v>
      </c>
      <c r="AX56" s="27" t="s">
        <v>741</v>
      </c>
      <c r="AY56" s="47" t="n">
        <f aca="false">INDEX(Assumptions!$B$33:$B$37,MATCH(IF($D56="","Queen",$D56),Assumptions!$A$33:$A$37,0))</f>
        <v>62.99</v>
      </c>
      <c r="AZ56" s="33" t="n">
        <f aca="false">INDEX(Assumptions!$K$33:$K$37,MATCH(IF($D56="","Queen",$D56),Assumptions!$A$33:$A$37,0))</f>
        <v>0.508449753929195</v>
      </c>
      <c r="BA56" s="33" t="n">
        <f aca="false">INDEX(Assumptions!$H$33:$H$37,MATCH(IF($D56="","Queen",$D56),Assumptions!$A$33:$A$37,0))</f>
        <v>0.338966502619464</v>
      </c>
      <c r="BB56" s="47" t="n">
        <f aca="false">AY56*AZ56*AD56</f>
        <v>2.049744</v>
      </c>
      <c r="BC56" s="47" t="n">
        <f aca="false">ROUND(MIN(AW56*Assumptions!$B$11,BB56),2)</f>
        <v>1.75</v>
      </c>
      <c r="BD56" s="26" t="s">
        <v>278</v>
      </c>
      <c r="BE56" s="48" t="n">
        <f aca="false">IF(AO56="Ranking — Full Push",MAX(0,MIN(IF(BD56="Yes",Assumptions!$B$12,Assumptions!$B$13),FLOOR(MAX(0,BB56/BC56-1),Assumptions!$B$14))),0)</f>
        <v>0</v>
      </c>
      <c r="BF56" s="49" t="str">
        <f aca="false">IF(AO56="Ranking — Full Push",IF(BE56&gt;=1,"YES — +100% Top of Search. Effective CPC $"&amp;TEXT(BG56,"0.00")&amp;" (= $"&amp;TEXT(BC56,"0.00")&amp;" × 2) stays within the $"&amp;TEXT(BB56,"0.00")&amp;" max ranking CPC"&amp;" (= $"&amp;TEXT(AY56,"0.00")&amp;" price × "&amp;TEXT(AZ56,"0.0%")&amp;" ranking ceiling × "&amp;TEXT(AD56,"0.0%")&amp;" CVR)"&amp;". Sleephoria CVR is proven on this term, so the full push is justified.",IF(AND(BD56="No",BE56&gt;=Assumptions!$B$13),"PARTIAL — +"&amp;TEXT(BE56,"0%")&amp;" Top of Search (limit for terms without proven CVR). Effective CPC $"&amp;TEXT(BG56,"0.00")&amp;" vs $"&amp;TEXT(BB56,"0.00")&amp;" max ranking CPC"&amp;" (= $"&amp;TEXT(AY56,"0.00")&amp;" price × "&amp;TEXT(AZ56,"0.0%")&amp;" ranking ceiling × "&amp;TEXT(AD56,"0.0%")&amp;" CVR)"&amp;". Raise to +100% only after CooLinens converts at ≥ "&amp;TEXT(AD56,"0.0%")&amp;" on 50+ clicks and $"&amp;TEXT(BC56*2,"0.00")&amp;" ≤ the max.",IF(BE56&gt;0,"PARTIAL — +"&amp;TEXT(BE56,"0%")&amp;" Top of Search. Effective CPC $"&amp;TEXT(BG56,"0.00")&amp;" stays within the $"&amp;TEXT(BB56,"0.00")&amp;" max ranking CPC"&amp;" (= $"&amp;TEXT(AY56,"0.00")&amp;" price × "&amp;TEXT(AZ56,"0.0%")&amp;" ranking ceiling × "&amp;TEXT(AD56,"0.0%")&amp;" CVR)"&amp;". +100% would cost $"&amp;TEXT(BC56*2,"0.00")&amp;" per click and push ACoS to "&amp;TEXT(BC56*2/(AY56*AD56),"0.0%")&amp;", above the "&amp;TEXT(AZ56,"0.0%")&amp;" ceiling.","NO — 0%. Base bid $"&amp;TEXT(BC56,"0.00")&amp;" already equals the $"&amp;TEXT(BB56,"0.00")&amp;" max ranking CPC"&amp;" (= $"&amp;TEXT(AY56,"0.00")&amp;" price × "&amp;TEXT(AZ56,"0.0%")&amp;" ranking ceiling × "&amp;TEXT(AD56,"0.0%")&amp;" CVR)"&amp;"; any modifier would push ACoS above the "&amp;TEXT(AZ56,"0.0%")&amp;" ceiling."))),IF(OR(AO56="Ranking — Head Term (Capped)",AO56="Ranking — Capped Entry",AO56="Ranking — Capped Long-Tail"),"NO — 0% (capped ranking entry). Bid $"&amp;TEXT(BC56,"0.00")&amp;" vs $"&amp;TEXT(BB56,"0.00")&amp;" max ranking CPC"&amp;" (= $"&amp;TEXT(AY56,"0.00")&amp;" price × "&amp;TEXT(AZ56,"0.0%")&amp;" ranking ceiling × "&amp;TEXT(AD56,"0.0%")&amp;" CVR)"&amp;". While spend is capped at "&amp;TEXT(AS56,"0.00")&amp;" clicks/day, a placement premium would only raise CPC without buying more rank; the modifier is set when this term moves to a full push.","NO — 0% (support / brand term). Bid $"&amp;TEXT(BC56,"0.00")&amp;" vs $"&amp;TEXT(BB56,"0.00")&amp;" max ranking CPC"&amp;" (= $"&amp;TEXT(AY56,"0.00")&amp;" price × "&amp;TEXT(AZ56,"0.0%")&amp;" ranking ceiling × "&amp;TEXT(AD56,"0.0%")&amp;" CVR)"&amp;"; expected ACoS "&amp;TEXT(BI56,"0.0%")&amp;" vs the "&amp;TEXT(AZ56,"0.0%")&amp;" ceiling."))</f>
        <v>NO — 0% (capped ranking entry). Bid $1.75 vs $2.05 max ranking CPC (= $62.99 price × 50.8% ranking ceiling × 6.4% CVR). While spend is capped at 0.04 clicks/day, a placement premium would only raise CPC without buying more rank; the modifier is set when this term moves to a full push.</v>
      </c>
      <c r="BG56" s="50" t="n">
        <f aca="false">BC56*(1+BE56)</f>
        <v>1.75</v>
      </c>
      <c r="BH56" s="45" t="n">
        <f aca="false">AS56*BG56</f>
        <v>0.0680027656</v>
      </c>
      <c r="BI56" s="33" t="n">
        <f aca="false">IFERROR(BG56/(AY56*AD56),"")</f>
        <v>0.434096682013018</v>
      </c>
      <c r="BJ56" s="27" t="str">
        <f aca="false">IF(BI56="","",IF(BI56&lt;=BA56,"Profitable (≤ break-even)",IF(BI56&lt;=AZ56,"Ranking investment (≤ ceiling)","Above ceiling — reduce bid")))</f>
        <v>Ranking investment (≤ ceiling)</v>
      </c>
      <c r="BK56" s="49" t="str">
        <f aca="false">"Base $"&amp;TEXT(BC56,"0.00")&amp;" × (1 + "&amp;TEXT(BE56,"0%")&amp;" TOS) = $"&amp;TEXT(BG56,"0.00")&amp;" effective CPC [max $"&amp;TEXT(BB56,"0.00")&amp;"]. "&amp;TEXT(AG56,"0.0")&amp;" market clicks/day × "&amp;TEXT(AH56,"0.00%")&amp;" click share × "&amp;TEXT(AI56,"0%")&amp;" paid = "&amp;TEXT(AJ56,"0.00")&amp;" clicks/day needed; "&amp;"planned "&amp;TEXT(AS56,"0.00")&amp;" clicks/day × "&amp;TEXT(AD56,"0.0%")&amp;" CVR = "&amp;TEXT(AU56,"0.00")&amp;" orders/day. "&amp;"Spend $"&amp;TEXT(BH56,"0.00")&amp;"/day, ACoS "&amp;TEXT(BI56,"0.0%")&amp;" (ceiling "&amp;TEXT(AZ56,"0.0%")&amp;", break-even "&amp;TEXT(BA56,"0.0%")&amp;"). "&amp;"Target organic rank #"&amp;S56&amp;" by week 8 ("&amp;T56&amp;")."</f>
        <v>Base $1.75 × (1 + 0% TOS) = $1.75 effective CPC [max $2.05]. 4.7 market clicks/day × 1.24% click share × 66% paid = 0.04 clicks/day needed; planned 0.04 clicks/day × 6.4% CVR = 0.00 orders/day. Spend $0.07/day, ACoS 43.4% (ceiling 50.8%, break-even 33.9%). Target organic rank #20 by week 8 (#60 → #35 → #20 (full push after size assignment)).</v>
      </c>
      <c r="BL56" s="27" t="s">
        <v>705</v>
      </c>
      <c r="BM56" s="27" t="s">
        <v>758</v>
      </c>
      <c r="BN56" s="27" t="s">
        <v>828</v>
      </c>
      <c r="BO56" s="27" t="s">
        <v>890</v>
      </c>
      <c r="BP56" s="27" t="s">
        <v>707</v>
      </c>
      <c r="BQ56" s="26" t="s">
        <v>708</v>
      </c>
      <c r="BR56" s="40" t="n">
        <f aca="false">IFERROR(INDEX(Campaigns!$L:$L,MATCH(BN56,Campaigns!$A:$A,0)),"")</f>
        <v>10</v>
      </c>
      <c r="BS56" s="51" t="str">
        <f aca="false">IFERROR(INDEX(Inventory!$O:$O,MATCH(BP56,Inventory!$A:$A,0)),"")</f>
        <v>OK</v>
      </c>
      <c r="BT56" s="52" t="n">
        <f aca="false">IFERROR(INDEX(Inventory!$N:$N,MATCH(BP56,Inventory!$A:$A,0)),"")</f>
        <v>71.9637202532498</v>
      </c>
      <c r="BU56" s="27" t="s">
        <v>891</v>
      </c>
      <c r="BV56" s="27" t="s">
        <v>263</v>
      </c>
      <c r="BW56" s="27" t="s">
        <v>892</v>
      </c>
      <c r="BX56" s="27" t="s">
        <v>893</v>
      </c>
      <c r="BY56" s="27" t="s">
        <v>793</v>
      </c>
      <c r="BZ56" s="27" t="s">
        <v>794</v>
      </c>
      <c r="CA56" s="27" t="s">
        <v>715</v>
      </c>
      <c r="CB56" s="27" t="s">
        <v>894</v>
      </c>
      <c r="CC56" s="27" t="s">
        <v>477</v>
      </c>
    </row>
    <row r="57" customFormat="false" ht="120" hidden="false" customHeight="true" outlineLevel="0" collapsed="false">
      <c r="A57" s="24" t="s">
        <v>895</v>
      </c>
      <c r="B57" s="25" t="n">
        <v>1</v>
      </c>
      <c r="C57" s="26" t="s">
        <v>184</v>
      </c>
      <c r="D57" s="26" t="s">
        <v>696</v>
      </c>
      <c r="E57" s="27" t="s">
        <v>371</v>
      </c>
      <c r="F57" s="28" t="n">
        <v>1</v>
      </c>
      <c r="G57" s="27" t="s">
        <v>187</v>
      </c>
      <c r="H57" s="26" t="s">
        <v>342</v>
      </c>
      <c r="I57" s="29" t="n">
        <v>4</v>
      </c>
      <c r="J57" s="27" t="s">
        <v>896</v>
      </c>
      <c r="K57" s="30" t="n">
        <v>248</v>
      </c>
      <c r="L57" s="31" t="n">
        <v>267</v>
      </c>
      <c r="M57" s="32" t="n">
        <f aca="false">L57/30</f>
        <v>8.9</v>
      </c>
      <c r="N57" s="33" t="n">
        <v>0.0700757575757575</v>
      </c>
      <c r="O57" s="27" t="s">
        <v>769</v>
      </c>
      <c r="P57" s="27" t="s">
        <v>897</v>
      </c>
      <c r="Q57" s="27" t="s">
        <v>722</v>
      </c>
      <c r="R57" s="34" t="n">
        <v>0</v>
      </c>
      <c r="S57" s="35" t="n">
        <v>20</v>
      </c>
      <c r="T57" s="36" t="s">
        <v>467</v>
      </c>
      <c r="U57" s="27" t="s">
        <v>784</v>
      </c>
      <c r="V57" s="37" t="n">
        <f aca="false">IFERROR(INDEX(Sleephoria_History!$F$454:$F$2115,MATCH($A57,Sleephoria_History!$A$454:$A$2115,0)),"")</f>
        <v>1</v>
      </c>
      <c r="W57" s="38" t="n">
        <f aca="false">IFERROR(INDEX(Sleephoria_History!$J$454:$J$2115,MATCH($A57,Sleephoria_History!$A$454:$A$2115,0)),"")</f>
        <v>0</v>
      </c>
      <c r="X57" s="39" t="n">
        <f aca="false">IFERROR(INDEX(Sleephoria_History!$H$454:$H$2115,MATCH($A57,Sleephoria_History!$A$454:$A$2115,0)),"")</f>
        <v>3</v>
      </c>
      <c r="Y57" s="38" t="n">
        <f aca="false">IFERROR(INDEX(Sleephoria_History!$M$454:$M$2115,MATCH($A57,Sleephoria_History!$A$454:$A$2115,0)),"")</f>
        <v>0</v>
      </c>
      <c r="Z57" s="40" t="n">
        <f aca="false">IFERROR(INDEX(Sleephoria_History!$L$454:$L$2115,MATCH($A57,Sleephoria_History!$A$454:$A$2115,0)),"")</f>
        <v>0</v>
      </c>
      <c r="AA57" s="37" t="str">
        <f aca="false">IFERROR(INDEX(Decolure_History!$F$397:$F$709,MATCH($A57,Decolure_History!$A$397:$A$709,0)),"")</f>
        <v/>
      </c>
      <c r="AB57" s="38" t="str">
        <f aca="false">IFERROR(INDEX(Decolure_History!$J$397:$J$709,MATCH($A57,Decolure_History!$A$397:$A$709,0)),"")</f>
        <v/>
      </c>
      <c r="AC57" s="38" t="str">
        <f aca="false">IFERROR(INDEX(Decolure_History!$M$397:$M$709,MATCH($A57,Decolure_History!$A$397:$A$709,0)),"")</f>
        <v/>
      </c>
      <c r="AD57" s="41" t="n">
        <v>0.064</v>
      </c>
      <c r="AE57" s="27" t="s">
        <v>275</v>
      </c>
      <c r="AF57" s="42" t="n">
        <v>0.502</v>
      </c>
      <c r="AG57" s="32" t="n">
        <f aca="false">M57*AF57</f>
        <v>4.4678</v>
      </c>
      <c r="AH57" s="43" t="n">
        <f aca="false">IF(AO57="Brand Defense",0,IFERROR(VLOOKUP(S57,Assumptions!$A$24:$B$28,2,FALSE()),0))</f>
        <v>0.0124</v>
      </c>
      <c r="AI57" s="28" t="n">
        <f aca="false">Assumptions!$B$6</f>
        <v>0.66</v>
      </c>
      <c r="AJ57" s="44" t="n">
        <f aca="false">AG57*AH57*AI57</f>
        <v>0.0365644752</v>
      </c>
      <c r="AK57" s="44" t="n">
        <f aca="false">AJ57*AD57</f>
        <v>0.0023401264128</v>
      </c>
      <c r="AL57" s="30" t="n">
        <f aca="false">AJ57*56</f>
        <v>2.0476106112</v>
      </c>
      <c r="AM57" s="32" t="n">
        <f aca="false">AK57*56</f>
        <v>0.1310470791168</v>
      </c>
      <c r="AN57" s="44" t="n">
        <f aca="false">M57*Assumptions!$B$8</f>
        <v>0.89</v>
      </c>
      <c r="AO57" s="27" t="s">
        <v>825</v>
      </c>
      <c r="AP57" s="27" t="s">
        <v>889</v>
      </c>
      <c r="AQ57" s="26" t="s">
        <v>198</v>
      </c>
      <c r="AR57" s="27" t="s">
        <v>756</v>
      </c>
      <c r="AS57" s="44" t="n">
        <f aca="false">IF(AO57="Ranking — Full Push",MIN(MAX(AJ57,Assumptions!$B$9),AN57),IF(AO57="Brand Defense",MIN(Assumptions!$B$7,AN57),IF(OR(AO57="Ranking — Head Term (Capped)",AO57="Ranking — Capped Entry"),MIN(MAX(AJ57,Assumptions!$B$9),Assumptions!$B$7,AN57),IF(AO57="Ranking — Capped Long-Tail",MIN(AJ57,Assumptions!$B$10,AN57),MIN(AJ57,AN57)))))</f>
        <v>0.0365644752</v>
      </c>
      <c r="AT57" s="27" t="str">
        <f aca="false">IF(AJ57&lt;=0,"",IF(AS57&gt;=AJ57,IF(AS57&gt;AJ57*1.05,"Floor of "&amp;TEXT(AS57,"0.0")&amp;" click/day to read CVR (rank needs "&amp;TEXT(AJ57,"0.00")&amp;")","Fully funded (100%)"),"Capped at "&amp;TEXT(AS57/AJ57,"0%")&amp;" of required"))</f>
        <v>Fully funded (100%)</v>
      </c>
      <c r="AU57" s="44" t="n">
        <f aca="false">AS57*AD57</f>
        <v>0.0023401264128</v>
      </c>
      <c r="AV57" s="45" t="n">
        <f aca="false">AU57*AY57</f>
        <v>0.147404562742272</v>
      </c>
      <c r="AW57" s="46" t="n">
        <v>1.75</v>
      </c>
      <c r="AX57" s="27" t="s">
        <v>741</v>
      </c>
      <c r="AY57" s="47" t="n">
        <f aca="false">INDEX(Assumptions!$B$33:$B$37,MATCH(IF($D57="","Queen",$D57),Assumptions!$A$33:$A$37,0))</f>
        <v>62.99</v>
      </c>
      <c r="AZ57" s="33" t="n">
        <f aca="false">INDEX(Assumptions!$K$33:$K$37,MATCH(IF($D57="","Queen",$D57),Assumptions!$A$33:$A$37,0))</f>
        <v>0.508449753929195</v>
      </c>
      <c r="BA57" s="33" t="n">
        <f aca="false">INDEX(Assumptions!$H$33:$H$37,MATCH(IF($D57="","Queen",$D57),Assumptions!$A$33:$A$37,0))</f>
        <v>0.338966502619464</v>
      </c>
      <c r="BB57" s="47" t="n">
        <f aca="false">AY57*AZ57*AD57</f>
        <v>2.049744</v>
      </c>
      <c r="BC57" s="47" t="n">
        <f aca="false">ROUND(MIN(AW57*Assumptions!$B$11,BB57),2)</f>
        <v>1.75</v>
      </c>
      <c r="BD57" s="26" t="s">
        <v>278</v>
      </c>
      <c r="BE57" s="48" t="n">
        <f aca="false">IF(AO57="Ranking — Full Push",MAX(0,MIN(IF(BD57="Yes",Assumptions!$B$12,Assumptions!$B$13),FLOOR(MAX(0,BB57/BC57-1),Assumptions!$B$14))),0)</f>
        <v>0</v>
      </c>
      <c r="BF57" s="49" t="str">
        <f aca="false">IF(AO57="Ranking — Full Push",IF(BE57&gt;=1,"YES — +100% Top of Search. Effective CPC $"&amp;TEXT(BG57,"0.00")&amp;" (= $"&amp;TEXT(BC57,"0.00")&amp;" × 2) stays within the $"&amp;TEXT(BB57,"0.00")&amp;" max ranking CPC"&amp;" (= $"&amp;TEXT(AY57,"0.00")&amp;" price × "&amp;TEXT(AZ57,"0.0%")&amp;" ranking ceiling × "&amp;TEXT(AD57,"0.0%")&amp;" CVR)"&amp;". Sleephoria CVR is proven on this term, so the full push is justified.",IF(AND(BD57="No",BE57&gt;=Assumptions!$B$13),"PARTIAL — +"&amp;TEXT(BE57,"0%")&amp;" Top of Search (limit for terms without proven CVR). Effective CPC $"&amp;TEXT(BG57,"0.00")&amp;" vs $"&amp;TEXT(BB57,"0.00")&amp;" max ranking CPC"&amp;" (= $"&amp;TEXT(AY57,"0.00")&amp;" price × "&amp;TEXT(AZ57,"0.0%")&amp;" ranking ceiling × "&amp;TEXT(AD57,"0.0%")&amp;" CVR)"&amp;". Raise to +100% only after CooLinens converts at ≥ "&amp;TEXT(AD57,"0.0%")&amp;" on 50+ clicks and $"&amp;TEXT(BC57*2,"0.00")&amp;" ≤ the max.",IF(BE57&gt;0,"PARTIAL — +"&amp;TEXT(BE57,"0%")&amp;" Top of Search. Effective CPC $"&amp;TEXT(BG57,"0.00")&amp;" stays within the $"&amp;TEXT(BB57,"0.00")&amp;" max ranking CPC"&amp;" (= $"&amp;TEXT(AY57,"0.00")&amp;" price × "&amp;TEXT(AZ57,"0.0%")&amp;" ranking ceiling × "&amp;TEXT(AD57,"0.0%")&amp;" CVR)"&amp;". +100% would cost $"&amp;TEXT(BC57*2,"0.00")&amp;" per click and push ACoS to "&amp;TEXT(BC57*2/(AY57*AD57),"0.0%")&amp;", above the "&amp;TEXT(AZ57,"0.0%")&amp;" ceiling.","NO — 0%. Base bid $"&amp;TEXT(BC57,"0.00")&amp;" already equals the $"&amp;TEXT(BB57,"0.00")&amp;" max ranking CPC"&amp;" (= $"&amp;TEXT(AY57,"0.00")&amp;" price × "&amp;TEXT(AZ57,"0.0%")&amp;" ranking ceiling × "&amp;TEXT(AD57,"0.0%")&amp;" CVR)"&amp;"; any modifier would push ACoS above the "&amp;TEXT(AZ57,"0.0%")&amp;" ceiling."))),IF(OR(AO57="Ranking — Head Term (Capped)",AO57="Ranking — Capped Entry",AO57="Ranking — Capped Long-Tail"),"NO — 0% (capped ranking entry). Bid $"&amp;TEXT(BC57,"0.00")&amp;" vs $"&amp;TEXT(BB57,"0.00")&amp;" max ranking CPC"&amp;" (= $"&amp;TEXT(AY57,"0.00")&amp;" price × "&amp;TEXT(AZ57,"0.0%")&amp;" ranking ceiling × "&amp;TEXT(AD57,"0.0%")&amp;" CVR)"&amp;". While spend is capped at "&amp;TEXT(AS57,"0.00")&amp;" clicks/day, a placement premium would only raise CPC without buying more rank; the modifier is set when this term moves to a full push.","NO — 0% (support / brand term). Bid $"&amp;TEXT(BC57,"0.00")&amp;" vs $"&amp;TEXT(BB57,"0.00")&amp;" max ranking CPC"&amp;" (= $"&amp;TEXT(AY57,"0.00")&amp;" price × "&amp;TEXT(AZ57,"0.0%")&amp;" ranking ceiling × "&amp;TEXT(AD57,"0.0%")&amp;" CVR)"&amp;"; expected ACoS "&amp;TEXT(BI57,"0.0%")&amp;" vs the "&amp;TEXT(AZ57,"0.0%")&amp;" ceiling."))</f>
        <v>NO — 0% (capped ranking entry). Bid $1.75 vs $2.05 max ranking CPC (= $62.99 price × 50.8% ranking ceiling × 6.4% CVR). While spend is capped at 0.04 clicks/day, a placement premium would only raise CPC without buying more rank; the modifier is set when this term moves to a full push.</v>
      </c>
      <c r="BG57" s="50" t="n">
        <f aca="false">BC57*(1+BE57)</f>
        <v>1.75</v>
      </c>
      <c r="BH57" s="45" t="n">
        <f aca="false">AS57*BG57</f>
        <v>0.0639878316</v>
      </c>
      <c r="BI57" s="33" t="n">
        <f aca="false">IFERROR(BG57/(AY57*AD57),"")</f>
        <v>0.434096682013018</v>
      </c>
      <c r="BJ57" s="27" t="str">
        <f aca="false">IF(BI57="","",IF(BI57&lt;=BA57,"Profitable (≤ break-even)",IF(BI57&lt;=AZ57,"Ranking investment (≤ ceiling)","Above ceiling — reduce bid")))</f>
        <v>Ranking investment (≤ ceiling)</v>
      </c>
      <c r="BK57" s="49" t="str">
        <f aca="false">"Base $"&amp;TEXT(BC57,"0.00")&amp;" × (1 + "&amp;TEXT(BE57,"0%")&amp;" TOS) = $"&amp;TEXT(BG57,"0.00")&amp;" effective CPC [max $"&amp;TEXT(BB57,"0.00")&amp;"]. "&amp;TEXT(AG57,"0.0")&amp;" market clicks/day × "&amp;TEXT(AH57,"0.00%")&amp;" click share × "&amp;TEXT(AI57,"0%")&amp;" paid = "&amp;TEXT(AJ57,"0.00")&amp;" clicks/day needed; "&amp;"planned "&amp;TEXT(AS57,"0.00")&amp;" clicks/day × "&amp;TEXT(AD57,"0.0%")&amp;" CVR = "&amp;TEXT(AU57,"0.00")&amp;" orders/day. "&amp;"Spend $"&amp;TEXT(BH57,"0.00")&amp;"/day, ACoS "&amp;TEXT(BI57,"0.0%")&amp;" (ceiling "&amp;TEXT(AZ57,"0.0%")&amp;", break-even "&amp;TEXT(BA57,"0.0%")&amp;"). "&amp;"Target organic rank #"&amp;S57&amp;" by week 8 ("&amp;T57&amp;")."</f>
        <v>Base $1.75 × (1 + 0% TOS) = $1.75 effective CPC [max $2.05]. 4.5 market clicks/day × 1.24% click share × 66% paid = 0.04 clicks/day needed; planned 0.04 clicks/day × 6.4% CVR = 0.00 orders/day. Spend $0.06/day, ACoS 43.4% (ceiling 50.8%, break-even 33.9%). Target organic rank #20 by week 8 (#60 → #35 → #20 (full push after size assignment)).</v>
      </c>
      <c r="BL57" s="27" t="s">
        <v>898</v>
      </c>
      <c r="BM57" s="27" t="s">
        <v>758</v>
      </c>
      <c r="BN57" s="27" t="s">
        <v>828</v>
      </c>
      <c r="BO57" s="27" t="s">
        <v>899</v>
      </c>
      <c r="BP57" s="27" t="s">
        <v>707</v>
      </c>
      <c r="BQ57" s="26" t="s">
        <v>708</v>
      </c>
      <c r="BR57" s="40" t="n">
        <f aca="false">IFERROR(INDEX(Campaigns!$L:$L,MATCH(BN57,Campaigns!$A:$A,0)),"")</f>
        <v>10</v>
      </c>
      <c r="BS57" s="51" t="str">
        <f aca="false">IFERROR(INDEX(Inventory!$O:$O,MATCH(BP57,Inventory!$A:$A,0)),"")</f>
        <v>OK</v>
      </c>
      <c r="BT57" s="52" t="n">
        <f aca="false">IFERROR(INDEX(Inventory!$N:$N,MATCH(BP57,Inventory!$A:$A,0)),"")</f>
        <v>71.9637202532498</v>
      </c>
      <c r="BU57" s="27" t="s">
        <v>900</v>
      </c>
      <c r="BV57" s="27" t="s">
        <v>263</v>
      </c>
      <c r="BW57" s="27" t="s">
        <v>901</v>
      </c>
      <c r="BX57" s="27" t="s">
        <v>902</v>
      </c>
      <c r="BY57" s="27" t="s">
        <v>793</v>
      </c>
      <c r="BZ57" s="27" t="s">
        <v>794</v>
      </c>
      <c r="CA57" s="27" t="s">
        <v>715</v>
      </c>
      <c r="CB57" s="27" t="s">
        <v>903</v>
      </c>
      <c r="CC57" s="27" t="s">
        <v>477</v>
      </c>
    </row>
    <row r="58" customFormat="false" ht="120" hidden="false" customHeight="true" outlineLevel="0" collapsed="false">
      <c r="A58" s="24" t="s">
        <v>904</v>
      </c>
      <c r="B58" s="25" t="n">
        <v>1</v>
      </c>
      <c r="C58" s="26" t="s">
        <v>184</v>
      </c>
      <c r="D58" s="26" t="s">
        <v>696</v>
      </c>
      <c r="E58" s="27" t="s">
        <v>371</v>
      </c>
      <c r="F58" s="28" t="n">
        <v>1</v>
      </c>
      <c r="G58" s="27" t="s">
        <v>187</v>
      </c>
      <c r="H58" s="26" t="s">
        <v>342</v>
      </c>
      <c r="I58" s="29" t="n">
        <v>4</v>
      </c>
      <c r="J58" s="27" t="s">
        <v>905</v>
      </c>
      <c r="K58" s="30" t="n">
        <v>501</v>
      </c>
      <c r="L58" s="31" t="n">
        <v>246</v>
      </c>
      <c r="M58" s="32" t="n">
        <f aca="false">L58/30</f>
        <v>8.2</v>
      </c>
      <c r="N58" s="33" t="n">
        <v>0.0327740928599297</v>
      </c>
      <c r="O58" s="27" t="s">
        <v>906</v>
      </c>
      <c r="P58" s="27" t="s">
        <v>907</v>
      </c>
      <c r="Q58" s="27" t="s">
        <v>908</v>
      </c>
      <c r="R58" s="34" t="n">
        <v>2</v>
      </c>
      <c r="S58" s="35" t="n">
        <v>20</v>
      </c>
      <c r="T58" s="36" t="s">
        <v>467</v>
      </c>
      <c r="U58" s="27" t="s">
        <v>909</v>
      </c>
      <c r="V58" s="37" t="n">
        <f aca="false">IFERROR(INDEX(Sleephoria_History!$F$454:$F$2115,MATCH($A58,Sleephoria_History!$A$454:$A$2115,0)),"")</f>
        <v>2</v>
      </c>
      <c r="W58" s="38" t="n">
        <f aca="false">IFERROR(INDEX(Sleephoria_History!$J$454:$J$2115,MATCH($A58,Sleephoria_History!$A$454:$A$2115,0)),"")</f>
        <v>0</v>
      </c>
      <c r="X58" s="39" t="n">
        <f aca="false">IFERROR(INDEX(Sleephoria_History!$H$454:$H$2115,MATCH($A58,Sleephoria_History!$A$454:$A$2115,0)),"")</f>
        <v>2.1</v>
      </c>
      <c r="Y58" s="38" t="n">
        <f aca="false">IFERROR(INDEX(Sleephoria_History!$M$454:$M$2115,MATCH($A58,Sleephoria_History!$A$454:$A$2115,0)),"")</f>
        <v>0</v>
      </c>
      <c r="Z58" s="40" t="n">
        <f aca="false">IFERROR(INDEX(Sleephoria_History!$L$454:$L$2115,MATCH($A58,Sleephoria_History!$A$454:$A$2115,0)),"")</f>
        <v>0</v>
      </c>
      <c r="AA58" s="37" t="str">
        <f aca="false">IFERROR(INDEX(Decolure_History!$F$397:$F$709,MATCH($A58,Decolure_History!$A$397:$A$709,0)),"")</f>
        <v/>
      </c>
      <c r="AB58" s="38" t="str">
        <f aca="false">IFERROR(INDEX(Decolure_History!$J$397:$J$709,MATCH($A58,Decolure_History!$A$397:$A$709,0)),"")</f>
        <v/>
      </c>
      <c r="AC58" s="38" t="str">
        <f aca="false">IFERROR(INDEX(Decolure_History!$M$397:$M$709,MATCH($A58,Decolure_History!$A$397:$A$709,0)),"")</f>
        <v/>
      </c>
      <c r="AD58" s="41" t="n">
        <v>0.064</v>
      </c>
      <c r="AE58" s="27" t="s">
        <v>275</v>
      </c>
      <c r="AF58" s="42" t="n">
        <v>0.49</v>
      </c>
      <c r="AG58" s="32" t="n">
        <f aca="false">M58*AF58</f>
        <v>4.018</v>
      </c>
      <c r="AH58" s="43" t="n">
        <f aca="false">IF(AO58="Brand Defense",0,IFERROR(VLOOKUP(S58,Assumptions!$A$24:$B$28,2,FALSE()),0))</f>
        <v>0.0124</v>
      </c>
      <c r="AI58" s="28" t="n">
        <f aca="false">Assumptions!$B$6</f>
        <v>0.66</v>
      </c>
      <c r="AJ58" s="44" t="n">
        <f aca="false">AG58*AH58*AI58</f>
        <v>0.032883312</v>
      </c>
      <c r="AK58" s="44" t="n">
        <f aca="false">AJ58*AD58</f>
        <v>0.002104531968</v>
      </c>
      <c r="AL58" s="30" t="n">
        <f aca="false">AJ58*56</f>
        <v>1.841465472</v>
      </c>
      <c r="AM58" s="32" t="n">
        <f aca="false">AK58*56</f>
        <v>0.117853790208</v>
      </c>
      <c r="AN58" s="44" t="n">
        <f aca="false">M58*Assumptions!$B$8</f>
        <v>0.82</v>
      </c>
      <c r="AO58" s="27" t="s">
        <v>825</v>
      </c>
      <c r="AP58" s="27" t="s">
        <v>889</v>
      </c>
      <c r="AQ58" s="26" t="s">
        <v>198</v>
      </c>
      <c r="AR58" s="27" t="s">
        <v>756</v>
      </c>
      <c r="AS58" s="44" t="n">
        <f aca="false">IF(AO58="Ranking — Full Push",MIN(MAX(AJ58,Assumptions!$B$9),AN58),IF(AO58="Brand Defense",MIN(Assumptions!$B$7,AN58),IF(OR(AO58="Ranking — Head Term (Capped)",AO58="Ranking — Capped Entry"),MIN(MAX(AJ58,Assumptions!$B$9),Assumptions!$B$7,AN58),IF(AO58="Ranking — Capped Long-Tail",MIN(AJ58,Assumptions!$B$10,AN58),MIN(AJ58,AN58)))))</f>
        <v>0.032883312</v>
      </c>
      <c r="AT58" s="27" t="str">
        <f aca="false">IF(AJ58&lt;=0,"",IF(AS58&gt;=AJ58,IF(AS58&gt;AJ58*1.05,"Floor of "&amp;TEXT(AS58,"0.0")&amp;" click/day to read CVR (rank needs "&amp;TEXT(AJ58,"0.00")&amp;")","Fully funded (100%)"),"Capped at "&amp;TEXT(AS58/AJ58,"0%")&amp;" of required"))</f>
        <v>Fully funded (100%)</v>
      </c>
      <c r="AU58" s="44" t="n">
        <f aca="false">AS58*AD58</f>
        <v>0.002104531968</v>
      </c>
      <c r="AV58" s="45" t="n">
        <f aca="false">AU58*AY58</f>
        <v>0.13256446866432</v>
      </c>
      <c r="AW58" s="46" t="n">
        <v>1.75</v>
      </c>
      <c r="AX58" s="27" t="s">
        <v>741</v>
      </c>
      <c r="AY58" s="47" t="n">
        <f aca="false">INDEX(Assumptions!$B$33:$B$37,MATCH(IF($D58="","Queen",$D58),Assumptions!$A$33:$A$37,0))</f>
        <v>62.99</v>
      </c>
      <c r="AZ58" s="33" t="n">
        <f aca="false">INDEX(Assumptions!$K$33:$K$37,MATCH(IF($D58="","Queen",$D58),Assumptions!$A$33:$A$37,0))</f>
        <v>0.508449753929195</v>
      </c>
      <c r="BA58" s="33" t="n">
        <f aca="false">INDEX(Assumptions!$H$33:$H$37,MATCH(IF($D58="","Queen",$D58),Assumptions!$A$33:$A$37,0))</f>
        <v>0.338966502619464</v>
      </c>
      <c r="BB58" s="47" t="n">
        <f aca="false">AY58*AZ58*AD58</f>
        <v>2.049744</v>
      </c>
      <c r="BC58" s="47" t="n">
        <f aca="false">ROUND(MIN(AW58*Assumptions!$B$11,BB58),2)</f>
        <v>1.75</v>
      </c>
      <c r="BD58" s="26" t="s">
        <v>278</v>
      </c>
      <c r="BE58" s="48" t="n">
        <f aca="false">IF(AO58="Ranking — Full Push",MAX(0,MIN(IF(BD58="Yes",Assumptions!$B$12,Assumptions!$B$13),FLOOR(MAX(0,BB58/BC58-1),Assumptions!$B$14))),0)</f>
        <v>0</v>
      </c>
      <c r="BF58" s="49" t="str">
        <f aca="false">IF(AO58="Ranking — Full Push",IF(BE58&gt;=1,"YES — +100% Top of Search. Effective CPC $"&amp;TEXT(BG58,"0.00")&amp;" (= $"&amp;TEXT(BC58,"0.00")&amp;" × 2) stays within the $"&amp;TEXT(BB58,"0.00")&amp;" max ranking CPC"&amp;" (= $"&amp;TEXT(AY58,"0.00")&amp;" price × "&amp;TEXT(AZ58,"0.0%")&amp;" ranking ceiling × "&amp;TEXT(AD58,"0.0%")&amp;" CVR)"&amp;". Sleephoria CVR is proven on this term, so the full push is justified.",IF(AND(BD58="No",BE58&gt;=Assumptions!$B$13),"PARTIAL — +"&amp;TEXT(BE58,"0%")&amp;" Top of Search (limit for terms without proven CVR). Effective CPC $"&amp;TEXT(BG58,"0.00")&amp;" vs $"&amp;TEXT(BB58,"0.00")&amp;" max ranking CPC"&amp;" (= $"&amp;TEXT(AY58,"0.00")&amp;" price × "&amp;TEXT(AZ58,"0.0%")&amp;" ranking ceiling × "&amp;TEXT(AD58,"0.0%")&amp;" CVR)"&amp;". Raise to +100% only after CooLinens converts at ≥ "&amp;TEXT(AD58,"0.0%")&amp;" on 50+ clicks and $"&amp;TEXT(BC58*2,"0.00")&amp;" ≤ the max.",IF(BE58&gt;0,"PARTIAL — +"&amp;TEXT(BE58,"0%")&amp;" Top of Search. Effective CPC $"&amp;TEXT(BG58,"0.00")&amp;" stays within the $"&amp;TEXT(BB58,"0.00")&amp;" max ranking CPC"&amp;" (= $"&amp;TEXT(AY58,"0.00")&amp;" price × "&amp;TEXT(AZ58,"0.0%")&amp;" ranking ceiling × "&amp;TEXT(AD58,"0.0%")&amp;" CVR)"&amp;". +100% would cost $"&amp;TEXT(BC58*2,"0.00")&amp;" per click and push ACoS to "&amp;TEXT(BC58*2/(AY58*AD58),"0.0%")&amp;", above the "&amp;TEXT(AZ58,"0.0%")&amp;" ceiling.","NO — 0%. Base bid $"&amp;TEXT(BC58,"0.00")&amp;" already equals the $"&amp;TEXT(BB58,"0.00")&amp;" max ranking CPC"&amp;" (= $"&amp;TEXT(AY58,"0.00")&amp;" price × "&amp;TEXT(AZ58,"0.0%")&amp;" ranking ceiling × "&amp;TEXT(AD58,"0.0%")&amp;" CVR)"&amp;"; any modifier would push ACoS above the "&amp;TEXT(AZ58,"0.0%")&amp;" ceiling."))),IF(OR(AO58="Ranking — Head Term (Capped)",AO58="Ranking — Capped Entry",AO58="Ranking — Capped Long-Tail"),"NO — 0% (capped ranking entry). Bid $"&amp;TEXT(BC58,"0.00")&amp;" vs $"&amp;TEXT(BB58,"0.00")&amp;" max ranking CPC"&amp;" (= $"&amp;TEXT(AY58,"0.00")&amp;" price × "&amp;TEXT(AZ58,"0.0%")&amp;" ranking ceiling × "&amp;TEXT(AD58,"0.0%")&amp;" CVR)"&amp;". While spend is capped at "&amp;TEXT(AS58,"0.00")&amp;" clicks/day, a placement premium would only raise CPC without buying more rank; the modifier is set when this term moves to a full push.","NO — 0% (support / brand term). Bid $"&amp;TEXT(BC58,"0.00")&amp;" vs $"&amp;TEXT(BB58,"0.00")&amp;" max ranking CPC"&amp;" (= $"&amp;TEXT(AY58,"0.00")&amp;" price × "&amp;TEXT(AZ58,"0.0%")&amp;" ranking ceiling × "&amp;TEXT(AD58,"0.0%")&amp;" CVR)"&amp;"; expected ACoS "&amp;TEXT(BI58,"0.0%")&amp;" vs the "&amp;TEXT(AZ58,"0.0%")&amp;" ceiling."))</f>
        <v>NO — 0% (capped ranking entry). Bid $1.75 vs $2.05 max ranking CPC (= $62.99 price × 50.8% ranking ceiling × 6.4% CVR). While spend is capped at 0.03 clicks/day, a placement premium would only raise CPC without buying more rank; the modifier is set when this term moves to a full push.</v>
      </c>
      <c r="BG58" s="50" t="n">
        <f aca="false">BC58*(1+BE58)</f>
        <v>1.75</v>
      </c>
      <c r="BH58" s="45" t="n">
        <f aca="false">AS58*BG58</f>
        <v>0.057545796</v>
      </c>
      <c r="BI58" s="33" t="n">
        <f aca="false">IFERROR(BG58/(AY58*AD58),"")</f>
        <v>0.434096682013018</v>
      </c>
      <c r="BJ58" s="27" t="str">
        <f aca="false">IF(BI58="","",IF(BI58&lt;=BA58,"Profitable (≤ break-even)",IF(BI58&lt;=AZ58,"Ranking investment (≤ ceiling)","Above ceiling — reduce bid")))</f>
        <v>Ranking investment (≤ ceiling)</v>
      </c>
      <c r="BK58" s="49" t="str">
        <f aca="false">"Base $"&amp;TEXT(BC58,"0.00")&amp;" × (1 + "&amp;TEXT(BE58,"0%")&amp;" TOS) = $"&amp;TEXT(BG58,"0.00")&amp;" effective CPC [max $"&amp;TEXT(BB58,"0.00")&amp;"]. "&amp;TEXT(AG58,"0.0")&amp;" market clicks/day × "&amp;TEXT(AH58,"0.00%")&amp;" click share × "&amp;TEXT(AI58,"0%")&amp;" paid = "&amp;TEXT(AJ58,"0.00")&amp;" clicks/day needed; "&amp;"planned "&amp;TEXT(AS58,"0.00")&amp;" clicks/day × "&amp;TEXT(AD58,"0.0%")&amp;" CVR = "&amp;TEXT(AU58,"0.00")&amp;" orders/day. "&amp;"Spend $"&amp;TEXT(BH58,"0.00")&amp;"/day, ACoS "&amp;TEXT(BI58,"0.0%")&amp;" (ceiling "&amp;TEXT(AZ58,"0.0%")&amp;", break-even "&amp;TEXT(BA58,"0.0%")&amp;"). "&amp;"Target organic rank #"&amp;S58&amp;" by week 8 ("&amp;T58&amp;")."</f>
        <v>Base $1.75 × (1 + 0% TOS) = $1.75 effective CPC [max $2.05]. 4.0 market clicks/day × 1.24% click share × 66% paid = 0.03 clicks/day needed; planned 0.03 clicks/day × 6.4% CVR = 0.00 orders/day. Spend $0.06/day, ACoS 43.4% (ceiling 50.8%, break-even 33.9%). Target organic rank #20 by week 8 (#60 → #35 → #20 (full push after size assignment)).</v>
      </c>
      <c r="BL58" s="27" t="s">
        <v>910</v>
      </c>
      <c r="BM58" s="27" t="s">
        <v>758</v>
      </c>
      <c r="BN58" s="27" t="s">
        <v>828</v>
      </c>
      <c r="BO58" s="27" t="s">
        <v>911</v>
      </c>
      <c r="BP58" s="27" t="s">
        <v>707</v>
      </c>
      <c r="BQ58" s="26" t="s">
        <v>708</v>
      </c>
      <c r="BR58" s="40" t="n">
        <f aca="false">IFERROR(INDEX(Campaigns!$L:$L,MATCH(BN58,Campaigns!$A:$A,0)),"")</f>
        <v>10</v>
      </c>
      <c r="BS58" s="51" t="str">
        <f aca="false">IFERROR(INDEX(Inventory!$O:$O,MATCH(BP58,Inventory!$A:$A,0)),"")</f>
        <v>OK</v>
      </c>
      <c r="BT58" s="52" t="n">
        <f aca="false">IFERROR(INDEX(Inventory!$N:$N,MATCH(BP58,Inventory!$A:$A,0)),"")</f>
        <v>71.9637202532498</v>
      </c>
      <c r="BU58" s="27" t="s">
        <v>912</v>
      </c>
      <c r="BV58" s="27" t="s">
        <v>263</v>
      </c>
      <c r="BW58" s="27" t="s">
        <v>913</v>
      </c>
      <c r="BX58" s="27" t="s">
        <v>914</v>
      </c>
      <c r="BY58" s="27" t="s">
        <v>915</v>
      </c>
      <c r="BZ58" s="27" t="s">
        <v>916</v>
      </c>
      <c r="CA58" s="27" t="s">
        <v>715</v>
      </c>
      <c r="CB58" s="27" t="s">
        <v>917</v>
      </c>
      <c r="CC58" s="27" t="s">
        <v>477</v>
      </c>
    </row>
    <row r="59" customFormat="false" ht="120" hidden="false" customHeight="true" outlineLevel="0" collapsed="false">
      <c r="A59" s="24" t="s">
        <v>918</v>
      </c>
      <c r="B59" s="25" t="n">
        <v>1</v>
      </c>
      <c r="C59" s="26" t="s">
        <v>184</v>
      </c>
      <c r="D59" s="26" t="s">
        <v>696</v>
      </c>
      <c r="E59" s="27" t="s">
        <v>371</v>
      </c>
      <c r="F59" s="28" t="n">
        <v>1</v>
      </c>
      <c r="G59" s="27" t="s">
        <v>187</v>
      </c>
      <c r="H59" s="26" t="s">
        <v>188</v>
      </c>
      <c r="I59" s="29" t="n">
        <v>7</v>
      </c>
      <c r="J59" s="27" t="s">
        <v>919</v>
      </c>
      <c r="K59" s="30" t="n">
        <v>319</v>
      </c>
      <c r="L59" s="31" t="n">
        <v>240</v>
      </c>
      <c r="M59" s="32" t="n">
        <f aca="false">L59/30</f>
        <v>8</v>
      </c>
      <c r="N59" s="33" t="n">
        <v>0.0512557662737057</v>
      </c>
      <c r="O59" s="27" t="s">
        <v>769</v>
      </c>
      <c r="P59" s="27" t="s">
        <v>920</v>
      </c>
      <c r="Q59" s="27" t="s">
        <v>722</v>
      </c>
      <c r="R59" s="34" t="n">
        <v>0</v>
      </c>
      <c r="S59" s="35" t="n">
        <v>20</v>
      </c>
      <c r="T59" s="36" t="s">
        <v>467</v>
      </c>
      <c r="U59" s="27" t="s">
        <v>784</v>
      </c>
      <c r="V59" s="37" t="n">
        <f aca="false">IFERROR(INDEX(Sleephoria_History!$F$454:$F$2115,MATCH($A59,Sleephoria_History!$A$454:$A$2115,0)),"")</f>
        <v>54</v>
      </c>
      <c r="W59" s="38" t="n">
        <f aca="false">IFERROR(INDEX(Sleephoria_History!$J$454:$J$2115,MATCH($A59,Sleephoria_History!$A$454:$A$2115,0)),"")</f>
        <v>0.1111</v>
      </c>
      <c r="X59" s="39" t="n">
        <f aca="false">IFERROR(INDEX(Sleephoria_History!$H$454:$H$2115,MATCH($A59,Sleephoria_History!$A$454:$A$2115,0)),"")</f>
        <v>2.49</v>
      </c>
      <c r="Y59" s="38" t="n">
        <f aca="false">IFERROR(INDEX(Sleephoria_History!$M$454:$M$2115,MATCH($A59,Sleephoria_History!$A$454:$A$2115,0)),"")</f>
        <v>0.447</v>
      </c>
      <c r="Z59" s="40" t="n">
        <f aca="false">IFERROR(INDEX(Sleephoria_History!$L$454:$L$2115,MATCH($A59,Sleephoria_History!$A$454:$A$2115,0)),"")</f>
        <v>299.94</v>
      </c>
      <c r="AA59" s="37" t="str">
        <f aca="false">IFERROR(INDEX(Decolure_History!$F$397:$F$709,MATCH($A59,Decolure_History!$A$397:$A$709,0)),"")</f>
        <v/>
      </c>
      <c r="AB59" s="38" t="str">
        <f aca="false">IFERROR(INDEX(Decolure_History!$J$397:$J$709,MATCH($A59,Decolure_History!$A$397:$A$709,0)),"")</f>
        <v/>
      </c>
      <c r="AC59" s="38" t="str">
        <f aca="false">IFERROR(INDEX(Decolure_History!$M$397:$M$709,MATCH($A59,Decolure_History!$A$397:$A$709,0)),"")</f>
        <v/>
      </c>
      <c r="AD59" s="41" t="n">
        <v>0.0889</v>
      </c>
      <c r="AE59" s="27" t="s">
        <v>921</v>
      </c>
      <c r="AF59" s="42" t="n">
        <v>0.493</v>
      </c>
      <c r="AG59" s="32" t="n">
        <f aca="false">M59*AF59</f>
        <v>3.944</v>
      </c>
      <c r="AH59" s="43" t="n">
        <f aca="false">IF(AO59="Brand Defense",0,IFERROR(VLOOKUP(S59,Assumptions!$A$24:$B$28,2,FALSE()),0))</f>
        <v>0.0124</v>
      </c>
      <c r="AI59" s="28" t="n">
        <f aca="false">Assumptions!$B$6</f>
        <v>0.66</v>
      </c>
      <c r="AJ59" s="44" t="n">
        <f aca="false">AG59*AH59*AI59</f>
        <v>0.032277696</v>
      </c>
      <c r="AK59" s="44" t="n">
        <f aca="false">AJ59*AD59</f>
        <v>0.0028694871744</v>
      </c>
      <c r="AL59" s="30" t="n">
        <f aca="false">AJ59*56</f>
        <v>1.807550976</v>
      </c>
      <c r="AM59" s="32" t="n">
        <f aca="false">AK59*56</f>
        <v>0.1606912817664</v>
      </c>
      <c r="AN59" s="44" t="n">
        <f aca="false">M59*Assumptions!$B$8</f>
        <v>0.8</v>
      </c>
      <c r="AO59" s="27" t="s">
        <v>825</v>
      </c>
      <c r="AP59" s="27" t="s">
        <v>889</v>
      </c>
      <c r="AQ59" s="26" t="s">
        <v>198</v>
      </c>
      <c r="AR59" s="27" t="s">
        <v>756</v>
      </c>
      <c r="AS59" s="44" t="n">
        <f aca="false">IF(AO59="Ranking — Full Push",MIN(MAX(AJ59,Assumptions!$B$9),AN59),IF(AO59="Brand Defense",MIN(Assumptions!$B$7,AN59),IF(OR(AO59="Ranking — Head Term (Capped)",AO59="Ranking — Capped Entry"),MIN(MAX(AJ59,Assumptions!$B$9),Assumptions!$B$7,AN59),IF(AO59="Ranking — Capped Long-Tail",MIN(AJ59,Assumptions!$B$10,AN59),MIN(AJ59,AN59)))))</f>
        <v>0.032277696</v>
      </c>
      <c r="AT59" s="27" t="str">
        <f aca="false">IF(AJ59&lt;=0,"",IF(AS59&gt;=AJ59,IF(AS59&gt;AJ59*1.05,"Floor of "&amp;TEXT(AS59,"0.0")&amp;" click/day to read CVR (rank needs "&amp;TEXT(AJ59,"0.00")&amp;")","Fully funded (100%)"),"Capped at "&amp;TEXT(AS59/AJ59,"0%")&amp;" of required"))</f>
        <v>Fully funded (100%)</v>
      </c>
      <c r="AU59" s="44" t="n">
        <f aca="false">AS59*AD59</f>
        <v>0.0028694871744</v>
      </c>
      <c r="AV59" s="45" t="n">
        <f aca="false">AU59*AY59</f>
        <v>0.180748997115456</v>
      </c>
      <c r="AW59" s="46" t="n">
        <v>2.49</v>
      </c>
      <c r="AX59" s="27" t="s">
        <v>922</v>
      </c>
      <c r="AY59" s="47" t="n">
        <f aca="false">INDEX(Assumptions!$B$33:$B$37,MATCH(IF($D59="","Queen",$D59),Assumptions!$A$33:$A$37,0))</f>
        <v>62.99</v>
      </c>
      <c r="AZ59" s="33" t="n">
        <f aca="false">INDEX(Assumptions!$K$33:$K$37,MATCH(IF($D59="","Queen",$D59),Assumptions!$A$33:$A$37,0))</f>
        <v>0.508449753929195</v>
      </c>
      <c r="BA59" s="33" t="n">
        <f aca="false">INDEX(Assumptions!$H$33:$H$37,MATCH(IF($D59="","Queen",$D59),Assumptions!$A$33:$A$37,0))</f>
        <v>0.338966502619464</v>
      </c>
      <c r="BB59" s="47" t="n">
        <f aca="false">AY59*AZ59*AD59</f>
        <v>2.847222525</v>
      </c>
      <c r="BC59" s="47" t="n">
        <f aca="false">ROUND(MIN(AW59*Assumptions!$B$11,BB59),2)</f>
        <v>2.49</v>
      </c>
      <c r="BD59" s="26" t="s">
        <v>201</v>
      </c>
      <c r="BE59" s="48" t="n">
        <f aca="false">IF(AO59="Ranking — Full Push",MAX(0,MIN(IF(BD59="Yes",Assumptions!$B$12,Assumptions!$B$13),FLOOR(MAX(0,BB59/BC59-1),Assumptions!$B$14))),0)</f>
        <v>0</v>
      </c>
      <c r="BF59" s="49" t="str">
        <f aca="false">IF(AO59="Ranking — Full Push",IF(BE59&gt;=1,"YES — +100% Top of Search. Effective CPC $"&amp;TEXT(BG59,"0.00")&amp;" (= $"&amp;TEXT(BC59,"0.00")&amp;" × 2) stays within the $"&amp;TEXT(BB59,"0.00")&amp;" max ranking CPC"&amp;" (= $"&amp;TEXT(AY59,"0.00")&amp;" price × "&amp;TEXT(AZ59,"0.0%")&amp;" ranking ceiling × "&amp;TEXT(AD59,"0.0%")&amp;" CVR)"&amp;". Sleephoria CVR is proven on this term, so the full push is justified.",IF(AND(BD59="No",BE59&gt;=Assumptions!$B$13),"PARTIAL — +"&amp;TEXT(BE59,"0%")&amp;" Top of Search (limit for terms without proven CVR). Effective CPC $"&amp;TEXT(BG59,"0.00")&amp;" vs $"&amp;TEXT(BB59,"0.00")&amp;" max ranking CPC"&amp;" (= $"&amp;TEXT(AY59,"0.00")&amp;" price × "&amp;TEXT(AZ59,"0.0%")&amp;" ranking ceiling × "&amp;TEXT(AD59,"0.0%")&amp;" CVR)"&amp;". Raise to +100% only after CooLinens converts at ≥ "&amp;TEXT(AD59,"0.0%")&amp;" on 50+ clicks and $"&amp;TEXT(BC59*2,"0.00")&amp;" ≤ the max.",IF(BE59&gt;0,"PARTIAL — +"&amp;TEXT(BE59,"0%")&amp;" Top of Search. Effective CPC $"&amp;TEXT(BG59,"0.00")&amp;" stays within the $"&amp;TEXT(BB59,"0.00")&amp;" max ranking CPC"&amp;" (= $"&amp;TEXT(AY59,"0.00")&amp;" price × "&amp;TEXT(AZ59,"0.0%")&amp;" ranking ceiling × "&amp;TEXT(AD59,"0.0%")&amp;" CVR)"&amp;". +100% would cost $"&amp;TEXT(BC59*2,"0.00")&amp;" per click and push ACoS to "&amp;TEXT(BC59*2/(AY59*AD59),"0.0%")&amp;", above the "&amp;TEXT(AZ59,"0.0%")&amp;" ceiling.","NO — 0%. Base bid $"&amp;TEXT(BC59,"0.00")&amp;" already equals the $"&amp;TEXT(BB59,"0.00")&amp;" max ranking CPC"&amp;" (= $"&amp;TEXT(AY59,"0.00")&amp;" price × "&amp;TEXT(AZ59,"0.0%")&amp;" ranking ceiling × "&amp;TEXT(AD59,"0.0%")&amp;" CVR)"&amp;"; any modifier would push ACoS above the "&amp;TEXT(AZ59,"0.0%")&amp;" ceiling."))),IF(OR(AO59="Ranking — Head Term (Capped)",AO59="Ranking — Capped Entry",AO59="Ranking — Capped Long-Tail"),"NO — 0% (capped ranking entry). Bid $"&amp;TEXT(BC59,"0.00")&amp;" vs $"&amp;TEXT(BB59,"0.00")&amp;" max ranking CPC"&amp;" (= $"&amp;TEXT(AY59,"0.00")&amp;" price × "&amp;TEXT(AZ59,"0.0%")&amp;" ranking ceiling × "&amp;TEXT(AD59,"0.0%")&amp;" CVR)"&amp;". While spend is capped at "&amp;TEXT(AS59,"0.00")&amp;" clicks/day, a placement premium would only raise CPC without buying more rank; the modifier is set when this term moves to a full push.","NO — 0% (support / brand term). Bid $"&amp;TEXT(BC59,"0.00")&amp;" vs $"&amp;TEXT(BB59,"0.00")&amp;" max ranking CPC"&amp;" (= $"&amp;TEXT(AY59,"0.00")&amp;" price × "&amp;TEXT(AZ59,"0.0%")&amp;" ranking ceiling × "&amp;TEXT(AD59,"0.0%")&amp;" CVR)"&amp;"; expected ACoS "&amp;TEXT(BI59,"0.0%")&amp;" vs the "&amp;TEXT(AZ59,"0.0%")&amp;" ceiling."))</f>
        <v>NO — 0% (capped ranking entry). Bid $2.49 vs $2.85 max ranking CPC (= $62.99 price × 50.8% ranking ceiling × 8.9% CVR). While spend is capped at 0.03 clicks/day, a placement premium would only raise CPC without buying more rank; the modifier is set when this term moves to a full push.</v>
      </c>
      <c r="BG59" s="50" t="n">
        <f aca="false">BC59*(1+BE59)</f>
        <v>2.49</v>
      </c>
      <c r="BH59" s="45" t="n">
        <f aca="false">AS59*BG59</f>
        <v>0.08037146304</v>
      </c>
      <c r="BI59" s="33" t="n">
        <f aca="false">IFERROR(BG59/(AY59*AD59),"")</f>
        <v>0.444657864345779</v>
      </c>
      <c r="BJ59" s="27" t="str">
        <f aca="false">IF(BI59="","",IF(BI59&lt;=BA59,"Profitable (≤ break-even)",IF(BI59&lt;=AZ59,"Ranking investment (≤ ceiling)","Above ceiling — reduce bid")))</f>
        <v>Ranking investment (≤ ceiling)</v>
      </c>
      <c r="BK59" s="49" t="str">
        <f aca="false">"Base $"&amp;TEXT(BC59,"0.00")&amp;" × (1 + "&amp;TEXT(BE59,"0%")&amp;" TOS) = $"&amp;TEXT(BG59,"0.00")&amp;" effective CPC [max $"&amp;TEXT(BB59,"0.00")&amp;"]. "&amp;TEXT(AG59,"0.0")&amp;" market clicks/day × "&amp;TEXT(AH59,"0.00%")&amp;" click share × "&amp;TEXT(AI59,"0%")&amp;" paid = "&amp;TEXT(AJ59,"0.00")&amp;" clicks/day needed; "&amp;"planned "&amp;TEXT(AS59,"0.00")&amp;" clicks/day × "&amp;TEXT(AD59,"0.0%")&amp;" CVR = "&amp;TEXT(AU59,"0.00")&amp;" orders/day. "&amp;"Spend $"&amp;TEXT(BH59,"0.00")&amp;"/day, ACoS "&amp;TEXT(BI59,"0.0%")&amp;" (ceiling "&amp;TEXT(AZ59,"0.0%")&amp;", break-even "&amp;TEXT(BA59,"0.0%")&amp;"). "&amp;"Target organic rank #"&amp;S59&amp;" by week 8 ("&amp;T59&amp;")."</f>
        <v>Base $2.49 × (1 + 0% TOS) = $2.49 effective CPC [max $2.85]. 3.9 market clicks/day × 1.24% click share × 66% paid = 0.03 clicks/day needed; planned 0.03 clicks/day × 8.9% CVR = 0.00 orders/day. Spend $0.08/day, ACoS 44.5% (ceiling 50.8%, break-even 33.9%). Target organic rank #20 by week 8 (#60 → #35 → #20 (full push after size assignment)).</v>
      </c>
      <c r="BL59" s="27" t="s">
        <v>705</v>
      </c>
      <c r="BM59" s="27" t="s">
        <v>758</v>
      </c>
      <c r="BN59" s="27" t="s">
        <v>828</v>
      </c>
      <c r="BO59" s="27" t="s">
        <v>890</v>
      </c>
      <c r="BP59" s="27" t="s">
        <v>707</v>
      </c>
      <c r="BQ59" s="26" t="s">
        <v>708</v>
      </c>
      <c r="BR59" s="40" t="n">
        <f aca="false">IFERROR(INDEX(Campaigns!$L:$L,MATCH(BN59,Campaigns!$A:$A,0)),"")</f>
        <v>10</v>
      </c>
      <c r="BS59" s="51" t="str">
        <f aca="false">IFERROR(INDEX(Inventory!$O:$O,MATCH(BP59,Inventory!$A:$A,0)),"")</f>
        <v>OK</v>
      </c>
      <c r="BT59" s="52" t="n">
        <f aca="false">IFERROR(INDEX(Inventory!$N:$N,MATCH(BP59,Inventory!$A:$A,0)),"")</f>
        <v>71.9637202532498</v>
      </c>
      <c r="BU59" s="27" t="s">
        <v>923</v>
      </c>
      <c r="BV59" s="27" t="s">
        <v>263</v>
      </c>
      <c r="BW59" s="27" t="s">
        <v>924</v>
      </c>
      <c r="BX59" s="27" t="s">
        <v>925</v>
      </c>
      <c r="BY59" s="27" t="s">
        <v>793</v>
      </c>
      <c r="BZ59" s="27" t="s">
        <v>794</v>
      </c>
      <c r="CA59" s="27" t="s">
        <v>715</v>
      </c>
      <c r="CB59" s="27" t="s">
        <v>926</v>
      </c>
      <c r="CC59" s="27" t="s">
        <v>477</v>
      </c>
    </row>
    <row r="60" customFormat="false" ht="120" hidden="false" customHeight="true" outlineLevel="0" collapsed="false">
      <c r="A60" s="53" t="s">
        <v>927</v>
      </c>
      <c r="B60" s="54" t="n">
        <v>2</v>
      </c>
      <c r="C60" s="26" t="s">
        <v>928</v>
      </c>
      <c r="D60" s="26"/>
      <c r="E60" s="27" t="s">
        <v>929</v>
      </c>
      <c r="F60" s="28" t="n">
        <v>0.95</v>
      </c>
      <c r="G60" s="27" t="s">
        <v>187</v>
      </c>
      <c r="H60" s="26" t="s">
        <v>342</v>
      </c>
      <c r="I60" s="29" t="n">
        <v>5.5</v>
      </c>
      <c r="J60" s="27" t="s">
        <v>930</v>
      </c>
      <c r="K60" s="30" t="n">
        <v>924</v>
      </c>
      <c r="L60" s="31" t="n">
        <v>843</v>
      </c>
      <c r="M60" s="32" t="n">
        <f aca="false">L60/30</f>
        <v>28.1</v>
      </c>
      <c r="N60" s="33" t="n">
        <v>0.0551301684532924</v>
      </c>
      <c r="O60" s="27" t="s">
        <v>465</v>
      </c>
      <c r="P60" s="27" t="s">
        <v>931</v>
      </c>
      <c r="Q60" s="27" t="s">
        <v>932</v>
      </c>
      <c r="R60" s="34" t="n">
        <v>2</v>
      </c>
      <c r="S60" s="35" t="n">
        <v>20</v>
      </c>
      <c r="T60" s="36" t="s">
        <v>346</v>
      </c>
      <c r="U60" s="27" t="s">
        <v>933</v>
      </c>
      <c r="V60" s="37" t="n">
        <f aca="false">IFERROR(INDEX(Sleephoria_History!$F$454:$F$2115,MATCH($A60,Sleephoria_History!$A$454:$A$2115,0)),"")</f>
        <v>48</v>
      </c>
      <c r="W60" s="38" t="n">
        <f aca="false">IFERROR(INDEX(Sleephoria_History!$J$454:$J$2115,MATCH($A60,Sleephoria_History!$A$454:$A$2115,0)),"")</f>
        <v>0.0625</v>
      </c>
      <c r="X60" s="39" t="n">
        <f aca="false">IFERROR(INDEX(Sleephoria_History!$H$454:$H$2115,MATCH($A60,Sleephoria_History!$A$454:$A$2115,0)),"")</f>
        <v>2.7</v>
      </c>
      <c r="Y60" s="38" t="n">
        <f aca="false">IFERROR(INDEX(Sleephoria_History!$M$454:$M$2115,MATCH($A60,Sleephoria_History!$A$454:$A$2115,0)),"")</f>
        <v>0.618</v>
      </c>
      <c r="Z60" s="40" t="n">
        <f aca="false">IFERROR(INDEX(Sleephoria_History!$L$454:$L$2115,MATCH($A60,Sleephoria_History!$A$454:$A$2115,0)),"")</f>
        <v>209.97</v>
      </c>
      <c r="AA60" s="37" t="n">
        <f aca="false">IFERROR(INDEX(Decolure_History!$F$397:$F$709,MATCH($A60,Decolure_History!$A$397:$A$709,0)),"")</f>
        <v>23</v>
      </c>
      <c r="AB60" s="38" t="n">
        <f aca="false">IFERROR(INDEX(Decolure_History!$J$397:$J$709,MATCH($A60,Decolure_History!$A$397:$A$709,0)),"")</f>
        <v>0</v>
      </c>
      <c r="AC60" s="38" t="n">
        <f aca="false">IFERROR(INDEX(Decolure_History!$M$397:$M$709,MATCH($A60,Decolure_History!$A$397:$A$709,0)),"")</f>
        <v>0</v>
      </c>
      <c r="AD60" s="41" t="n">
        <v>0.064</v>
      </c>
      <c r="AE60" s="27" t="s">
        <v>275</v>
      </c>
      <c r="AF60" s="42" t="n">
        <v>0.481</v>
      </c>
      <c r="AG60" s="32" t="n">
        <f aca="false">M60*AF60</f>
        <v>13.5161</v>
      </c>
      <c r="AH60" s="43" t="n">
        <f aca="false">IF(AO60="Brand Defense",0,IFERROR(VLOOKUP(S60,Assumptions!$A$24:$B$28,2,FALSE()),0))</f>
        <v>0.0124</v>
      </c>
      <c r="AI60" s="28" t="n">
        <f aca="false">Assumptions!$B$6</f>
        <v>0.66</v>
      </c>
      <c r="AJ60" s="44" t="n">
        <f aca="false">AG60*AH60*AI60</f>
        <v>0.1106157624</v>
      </c>
      <c r="AK60" s="44" t="n">
        <f aca="false">AJ60*AD60</f>
        <v>0.0070794087936</v>
      </c>
      <c r="AL60" s="30" t="n">
        <f aca="false">AJ60*56</f>
        <v>6.1944826944</v>
      </c>
      <c r="AM60" s="32" t="n">
        <f aca="false">AK60*56</f>
        <v>0.3964468924416</v>
      </c>
      <c r="AN60" s="44" t="n">
        <f aca="false">M60*Assumptions!$B$8</f>
        <v>2.81</v>
      </c>
      <c r="AO60" s="27" t="s">
        <v>328</v>
      </c>
      <c r="AP60" s="27" t="s">
        <v>772</v>
      </c>
      <c r="AQ60" s="26" t="s">
        <v>198</v>
      </c>
      <c r="AR60" s="27" t="s">
        <v>199</v>
      </c>
      <c r="AS60" s="44" t="n">
        <f aca="false">IF(AO60="Ranking — Full Push",MIN(MAX(AJ60,Assumptions!$B$9),AN60),IF(AO60="Brand Defense",MIN(Assumptions!$B$7,AN60),IF(OR(AO60="Ranking — Head Term (Capped)",AO60="Ranking — Capped Entry"),MIN(MAX(AJ60,Assumptions!$B$9),Assumptions!$B$7,AN60),IF(AO60="Ranking — Capped Long-Tail",MIN(AJ60,Assumptions!$B$10,AN60),MIN(AJ60,AN60)))))</f>
        <v>0.1106157624</v>
      </c>
      <c r="AT60" s="27" t="str">
        <f aca="false">IF(AJ60&lt;=0,"",IF(AS60&gt;=AJ60,IF(AS60&gt;AJ60*1.05,"Floor of "&amp;TEXT(AS60,"0.0")&amp;" click/day to read CVR (rank needs "&amp;TEXT(AJ60,"0.00")&amp;")","Fully funded (100%)"),"Capped at "&amp;TEXT(AS60/AJ60,"0%")&amp;" of required"))</f>
        <v>Fully funded (100%)</v>
      </c>
      <c r="AU60" s="44" t="n">
        <f aca="false">AS60*AD60</f>
        <v>0.0070794087936</v>
      </c>
      <c r="AV60" s="45" t="n">
        <f aca="false">AU60*AY60</f>
        <v>0.566281909400064</v>
      </c>
      <c r="AW60" s="46" t="n">
        <v>2.7</v>
      </c>
      <c r="AX60" s="27" t="s">
        <v>934</v>
      </c>
      <c r="AY60" s="47" t="n">
        <f aca="false">INDEX(Assumptions!$B$33:$B$37,MATCH(IF($D60="","Queen",$D60),Assumptions!$A$33:$A$37,0))</f>
        <v>79.99</v>
      </c>
      <c r="AZ60" s="33" t="n">
        <f aca="false">INDEX(Assumptions!$K$33:$K$37,MATCH(IF($D60="","Queen",$D60),Assumptions!$A$33:$A$37,0))</f>
        <v>0.558660457557195</v>
      </c>
      <c r="BA60" s="33" t="n">
        <f aca="false">INDEX(Assumptions!$H$33:$H$37,MATCH(IF($D60="","Queen",$D60),Assumptions!$A$33:$A$37,0))</f>
        <v>0.37244030503813</v>
      </c>
      <c r="BB60" s="47" t="n">
        <f aca="false">AY60*AZ60*AD60</f>
        <v>2.859984</v>
      </c>
      <c r="BC60" s="47" t="n">
        <f aca="false">ROUND(MIN(AW60*Assumptions!$B$11,BB60),2)</f>
        <v>2.7</v>
      </c>
      <c r="BD60" s="26" t="s">
        <v>278</v>
      </c>
      <c r="BE60" s="48" t="n">
        <f aca="false">IF(AO60="Ranking — Full Push",MAX(0,MIN(IF(BD60="Yes",Assumptions!$B$12,Assumptions!$B$13),FLOOR(MAX(0,BB60/BC60-1),Assumptions!$B$14))),0)</f>
        <v>0</v>
      </c>
      <c r="BF60" s="49" t="str">
        <f aca="false">IF(AO60="Ranking — Full Push",IF(BE60&gt;=1,"YES — +100% Top of Search. Effective CPC $"&amp;TEXT(BG60,"0.00")&amp;" (= $"&amp;TEXT(BC60,"0.00")&amp;" × 2) stays within the $"&amp;TEXT(BB60,"0.00")&amp;" max ranking CPC"&amp;" (= $"&amp;TEXT(AY60,"0.00")&amp;" price × "&amp;TEXT(AZ60,"0.0%")&amp;" ranking ceiling × "&amp;TEXT(AD60,"0.0%")&amp;" CVR)"&amp;". Sleephoria CVR is proven on this term, so the full push is justified.",IF(AND(BD60="No",BE60&gt;=Assumptions!$B$13),"PARTIAL — +"&amp;TEXT(BE60,"0%")&amp;" Top of Search (limit for terms without proven CVR). Effective CPC $"&amp;TEXT(BG60,"0.00")&amp;" vs $"&amp;TEXT(BB60,"0.00")&amp;" max ranking CPC"&amp;" (= $"&amp;TEXT(AY60,"0.00")&amp;" price × "&amp;TEXT(AZ60,"0.0%")&amp;" ranking ceiling × "&amp;TEXT(AD60,"0.0%")&amp;" CVR)"&amp;". Raise to +100% only after CooLinens converts at ≥ "&amp;TEXT(AD60,"0.0%")&amp;" on 50+ clicks and $"&amp;TEXT(BC60*2,"0.00")&amp;" ≤ the max.",IF(BE60&gt;0,"PARTIAL — +"&amp;TEXT(BE60,"0%")&amp;" Top of Search. Effective CPC $"&amp;TEXT(BG60,"0.00")&amp;" stays within the $"&amp;TEXT(BB60,"0.00")&amp;" max ranking CPC"&amp;" (= $"&amp;TEXT(AY60,"0.00")&amp;" price × "&amp;TEXT(AZ60,"0.0%")&amp;" ranking ceiling × "&amp;TEXT(AD60,"0.0%")&amp;" CVR)"&amp;". +100% would cost $"&amp;TEXT(BC60*2,"0.00")&amp;" per click and push ACoS to "&amp;TEXT(BC60*2/(AY60*AD60),"0.0%")&amp;", above the "&amp;TEXT(AZ60,"0.0%")&amp;" ceiling.","NO — 0%. Base bid $"&amp;TEXT(BC60,"0.00")&amp;" already equals the $"&amp;TEXT(BB60,"0.00")&amp;" max ranking CPC"&amp;" (= $"&amp;TEXT(AY60,"0.00")&amp;" price × "&amp;TEXT(AZ60,"0.0%")&amp;" ranking ceiling × "&amp;TEXT(AD60,"0.0%")&amp;" CVR)"&amp;"; any modifier would push ACoS above the "&amp;TEXT(AZ60,"0.0%")&amp;" ceiling."))),IF(OR(AO60="Ranking — Head Term (Capped)",AO60="Ranking — Capped Entry",AO60="Ranking — Capped Long-Tail"),"NO — 0% (capped ranking entry). Bid $"&amp;TEXT(BC60,"0.00")&amp;" vs $"&amp;TEXT(BB60,"0.00")&amp;" max ranking CPC"&amp;" (= $"&amp;TEXT(AY60,"0.00")&amp;" price × "&amp;TEXT(AZ60,"0.0%")&amp;" ranking ceiling × "&amp;TEXT(AD60,"0.0%")&amp;" CVR)"&amp;". While spend is capped at "&amp;TEXT(AS60,"0.00")&amp;" clicks/day, a placement premium would only raise CPC without buying more rank; the modifier is set when this term moves to a full push.","NO — 0% (support / brand term). Bid $"&amp;TEXT(BC60,"0.00")&amp;" vs $"&amp;TEXT(BB60,"0.00")&amp;" max ranking CPC"&amp;" (= $"&amp;TEXT(AY60,"0.00")&amp;" price × "&amp;TEXT(AZ60,"0.0%")&amp;" ranking ceiling × "&amp;TEXT(AD60,"0.0%")&amp;" CVR)"&amp;"; expected ACoS "&amp;TEXT(BI60,"0.0%")&amp;" vs the "&amp;TEXT(AZ60,"0.0%")&amp;" ceiling."))</f>
        <v>NO — 0% (support / brand term). Bid $2.70 vs $2.86 max ranking CPC (= $79.99 price × 55.9% ranking ceiling × 6.4% CVR); expected ACoS 52.7% vs the 55.9% ceiling.</v>
      </c>
      <c r="BG60" s="50" t="n">
        <f aca="false">BC60*(1+BE60)</f>
        <v>2.7</v>
      </c>
      <c r="BH60" s="45" t="n">
        <f aca="false">AS60*BG60</f>
        <v>0.29866255848</v>
      </c>
      <c r="BI60" s="33" t="n">
        <f aca="false">IFERROR(BG60/(AY60*AD60),"")</f>
        <v>0.527409676209526</v>
      </c>
      <c r="BJ60" s="27" t="str">
        <f aca="false">IF(BI60="","",IF(BI60&lt;=BA60,"Profitable (≤ break-even)",IF(BI60&lt;=AZ60,"Ranking investment (≤ ceiling)","Above ceiling — reduce bid")))</f>
        <v>Ranking investment (≤ ceiling)</v>
      </c>
      <c r="BK60" s="49" t="str">
        <f aca="false">"Base $"&amp;TEXT(BC60,"0.00")&amp;" × (1 + "&amp;TEXT(BE60,"0%")&amp;" TOS) = $"&amp;TEXT(BG60,"0.00")&amp;" effective CPC [max $"&amp;TEXT(BB60,"0.00")&amp;"]. "&amp;TEXT(AG60,"0.0")&amp;" market clicks/day × "&amp;TEXT(AH60,"0.00%")&amp;" click share × "&amp;TEXT(AI60,"0%")&amp;" paid = "&amp;TEXT(AJ60,"0.00")&amp;" clicks/day needed; "&amp;"planned "&amp;TEXT(AS60,"0.00")&amp;" clicks/day × "&amp;TEXT(AD60,"0.0%")&amp;" CVR = "&amp;TEXT(AU60,"0.00")&amp;" orders/day. "&amp;"Spend $"&amp;TEXT(BH60,"0.00")&amp;"/day, ACoS "&amp;TEXT(BI60,"0.0%")&amp;" (ceiling "&amp;TEXT(AZ60,"0.0%")&amp;", break-even "&amp;TEXT(BA60,"0.0%")&amp;"). "&amp;"Target organic rank #"&amp;S60&amp;" by week 8 ("&amp;T60&amp;")."</f>
        <v>Base $2.70 × (1 + 0% TOS) = $2.70 effective CPC [max $2.86]. 13.5 market clicks/day × 1.24% click share × 66% paid = 0.11 clicks/day needed; planned 0.11 clicks/day × 6.4% CVR = 0.01 orders/day. Spend $0.30/day, ACoS 52.7% (ceiling 55.9%, break-even 37.2%). Target organic rank #20 by week 8 (#60 → #35 → #20).</v>
      </c>
      <c r="BL60" s="27" t="s">
        <v>380</v>
      </c>
      <c r="BM60" s="27" t="s">
        <v>203</v>
      </c>
      <c r="BN60" s="27" t="s">
        <v>935</v>
      </c>
      <c r="BO60" s="27" t="s">
        <v>927</v>
      </c>
      <c r="BP60" s="27" t="s">
        <v>788</v>
      </c>
      <c r="BQ60" s="26" t="s">
        <v>789</v>
      </c>
      <c r="BR60" s="40" t="n">
        <f aca="false">IFERROR(INDEX(Campaigns!$L:$L,MATCH(BN60,Campaigns!$A:$A,0)),"")</f>
        <v>10</v>
      </c>
      <c r="BS60" s="51" t="str">
        <f aca="false">IFERROR(INDEX(Inventory!$O:$O,MATCH(BP60,Inventory!$A:$A,0)),"")</f>
        <v>OK</v>
      </c>
      <c r="BT60" s="52" t="n">
        <f aca="false">IFERROR(INDEX(Inventory!$N:$N,MATCH(BP60,Inventory!$A:$A,0)),"")</f>
        <v>999</v>
      </c>
      <c r="BU60" s="27" t="s">
        <v>936</v>
      </c>
      <c r="BV60" s="27" t="s">
        <v>937</v>
      </c>
      <c r="BW60" s="27" t="s">
        <v>938</v>
      </c>
      <c r="BX60" s="27" t="s">
        <v>939</v>
      </c>
      <c r="BY60" s="27" t="s">
        <v>940</v>
      </c>
      <c r="BZ60" s="27" t="s">
        <v>249</v>
      </c>
      <c r="CA60" s="27" t="s">
        <v>941</v>
      </c>
      <c r="CB60" s="27" t="s">
        <v>942</v>
      </c>
      <c r="CC60" s="27" t="s">
        <v>358</v>
      </c>
    </row>
    <row r="61" customFormat="false" ht="120" hidden="false" customHeight="true" outlineLevel="0" collapsed="false">
      <c r="A61" s="53" t="s">
        <v>943</v>
      </c>
      <c r="B61" s="54" t="n">
        <v>2</v>
      </c>
      <c r="C61" s="26" t="s">
        <v>928</v>
      </c>
      <c r="D61" s="26"/>
      <c r="E61" s="27" t="s">
        <v>929</v>
      </c>
      <c r="F61" s="28" t="n">
        <v>0.95</v>
      </c>
      <c r="G61" s="27" t="s">
        <v>187</v>
      </c>
      <c r="H61" s="26" t="s">
        <v>342</v>
      </c>
      <c r="I61" s="29" t="n">
        <v>4.5</v>
      </c>
      <c r="J61" s="27" t="s">
        <v>944</v>
      </c>
      <c r="K61" s="30" t="n">
        <v>822</v>
      </c>
      <c r="L61" s="31" t="n">
        <v>752</v>
      </c>
      <c r="M61" s="32" t="n">
        <f aca="false">L61/30</f>
        <v>25.0666666666667</v>
      </c>
      <c r="N61" s="33" t="n">
        <v>0.0176129779837775</v>
      </c>
      <c r="O61" s="27" t="s">
        <v>945</v>
      </c>
      <c r="P61" s="27" t="s">
        <v>946</v>
      </c>
      <c r="Q61" s="27" t="s">
        <v>325</v>
      </c>
      <c r="R61" s="34" t="n">
        <v>4</v>
      </c>
      <c r="S61" s="35" t="n">
        <v>20</v>
      </c>
      <c r="T61" s="36" t="s">
        <v>346</v>
      </c>
      <c r="U61" s="27" t="s">
        <v>947</v>
      </c>
      <c r="V61" s="37" t="n">
        <f aca="false">IFERROR(INDEX(Sleephoria_History!$F$454:$F$2115,MATCH($A61,Sleephoria_History!$A$454:$A$2115,0)),"")</f>
        <v>103</v>
      </c>
      <c r="W61" s="38" t="n">
        <f aca="false">IFERROR(INDEX(Sleephoria_History!$J$454:$J$2115,MATCH($A61,Sleephoria_History!$A$454:$A$2115,0)),"")</f>
        <v>0.0777</v>
      </c>
      <c r="X61" s="39" t="n">
        <f aca="false">IFERROR(INDEX(Sleephoria_History!$H$454:$H$2115,MATCH($A61,Sleephoria_History!$A$454:$A$2115,0)),"")</f>
        <v>2.34</v>
      </c>
      <c r="Y61" s="38" t="n">
        <f aca="false">IFERROR(INDEX(Sleephoria_History!$M$454:$M$2115,MATCH($A61,Sleephoria_History!$A$454:$A$2115,0)),"")</f>
        <v>0.374</v>
      </c>
      <c r="Z61" s="40" t="n">
        <f aca="false">IFERROR(INDEX(Sleephoria_History!$L$454:$L$2115,MATCH($A61,Sleephoria_History!$A$454:$A$2115,0)),"")</f>
        <v>644.92</v>
      </c>
      <c r="AA61" s="37" t="str">
        <f aca="false">IFERROR(INDEX(Decolure_History!$F$397:$F$709,MATCH($A61,Decolure_History!$A$397:$A$709,0)),"")</f>
        <v/>
      </c>
      <c r="AB61" s="38" t="str">
        <f aca="false">IFERROR(INDEX(Decolure_History!$J$397:$J$709,MATCH($A61,Decolure_History!$A$397:$A$709,0)),"")</f>
        <v/>
      </c>
      <c r="AC61" s="38" t="str">
        <f aca="false">IFERROR(INDEX(Decolure_History!$M$397:$M$709,MATCH($A61,Decolure_History!$A$397:$A$709,0)),"")</f>
        <v/>
      </c>
      <c r="AD61" s="41" t="n">
        <v>0.0622</v>
      </c>
      <c r="AE61" s="27" t="s">
        <v>948</v>
      </c>
      <c r="AF61" s="42" t="n">
        <v>0.42</v>
      </c>
      <c r="AG61" s="32" t="n">
        <f aca="false">M61*AF61</f>
        <v>10.528</v>
      </c>
      <c r="AH61" s="43" t="n">
        <f aca="false">IF(AO61="Brand Defense",0,IFERROR(VLOOKUP(S61,Assumptions!$A$24:$B$28,2,FALSE()),0))</f>
        <v>0.0124</v>
      </c>
      <c r="AI61" s="28" t="n">
        <f aca="false">Assumptions!$B$6</f>
        <v>0.66</v>
      </c>
      <c r="AJ61" s="44" t="n">
        <f aca="false">AG61*AH61*AI61</f>
        <v>0.086161152</v>
      </c>
      <c r="AK61" s="44" t="n">
        <f aca="false">AJ61*AD61</f>
        <v>0.0053592236544</v>
      </c>
      <c r="AL61" s="30" t="n">
        <f aca="false">AJ61*56</f>
        <v>4.825024512</v>
      </c>
      <c r="AM61" s="32" t="n">
        <f aca="false">AK61*56</f>
        <v>0.3001165246464</v>
      </c>
      <c r="AN61" s="44" t="n">
        <f aca="false">M61*Assumptions!$B$8</f>
        <v>2.50666666666667</v>
      </c>
      <c r="AO61" s="27" t="s">
        <v>328</v>
      </c>
      <c r="AP61" s="27" t="s">
        <v>949</v>
      </c>
      <c r="AQ61" s="26" t="s">
        <v>198</v>
      </c>
      <c r="AR61" s="27" t="s">
        <v>199</v>
      </c>
      <c r="AS61" s="44" t="n">
        <f aca="false">IF(AO61="Ranking — Full Push",MIN(MAX(AJ61,Assumptions!$B$9),AN61),IF(AO61="Brand Defense",MIN(Assumptions!$B$7,AN61),IF(OR(AO61="Ranking — Head Term (Capped)",AO61="Ranking — Capped Entry"),MIN(MAX(AJ61,Assumptions!$B$9),Assumptions!$B$7,AN61),IF(AO61="Ranking — Capped Long-Tail",MIN(AJ61,Assumptions!$B$10,AN61),MIN(AJ61,AN61)))))</f>
        <v>0.086161152</v>
      </c>
      <c r="AT61" s="27" t="str">
        <f aca="false">IF(AJ61&lt;=0,"",IF(AS61&gt;=AJ61,IF(AS61&gt;AJ61*1.05,"Floor of "&amp;TEXT(AS61,"0.0")&amp;" click/day to read CVR (rank needs "&amp;TEXT(AJ61,"0.00")&amp;")","Fully funded (100%)"),"Capped at "&amp;TEXT(AS61/AJ61,"0%")&amp;" of required"))</f>
        <v>Fully funded (100%)</v>
      </c>
      <c r="AU61" s="44" t="n">
        <f aca="false">AS61*AD61</f>
        <v>0.0053592236544</v>
      </c>
      <c r="AV61" s="45" t="n">
        <f aca="false">AU61*AY61</f>
        <v>0.428684300115456</v>
      </c>
      <c r="AW61" s="46" t="n">
        <v>2.34</v>
      </c>
      <c r="AX61" s="27" t="s">
        <v>950</v>
      </c>
      <c r="AY61" s="47" t="n">
        <f aca="false">INDEX(Assumptions!$B$33:$B$37,MATCH(IF($D61="","Queen",$D61),Assumptions!$A$33:$A$37,0))</f>
        <v>79.99</v>
      </c>
      <c r="AZ61" s="33" t="n">
        <f aca="false">INDEX(Assumptions!$K$33:$K$37,MATCH(IF($D61="","Queen",$D61),Assumptions!$A$33:$A$37,0))</f>
        <v>0.558660457557195</v>
      </c>
      <c r="BA61" s="33" t="n">
        <f aca="false">INDEX(Assumptions!$H$33:$H$37,MATCH(IF($D61="","Queen",$D61),Assumptions!$A$33:$A$37,0))</f>
        <v>0.37244030503813</v>
      </c>
      <c r="BB61" s="47" t="n">
        <f aca="false">AY61*AZ61*AD61</f>
        <v>2.77954695</v>
      </c>
      <c r="BC61" s="47" t="n">
        <f aca="false">ROUND(MIN(AW61*Assumptions!$B$11,BB61),2)</f>
        <v>2.34</v>
      </c>
      <c r="BD61" s="26" t="s">
        <v>278</v>
      </c>
      <c r="BE61" s="48" t="n">
        <f aca="false">IF(AO61="Ranking — Full Push",MAX(0,MIN(IF(BD61="Yes",Assumptions!$B$12,Assumptions!$B$13),FLOOR(MAX(0,BB61/BC61-1),Assumptions!$B$14))),0)</f>
        <v>0</v>
      </c>
      <c r="BF61" s="49" t="str">
        <f aca="false">IF(AO61="Ranking — Full Push",IF(BE61&gt;=1,"YES — +100% Top of Search. Effective CPC $"&amp;TEXT(BG61,"0.00")&amp;" (= $"&amp;TEXT(BC61,"0.00")&amp;" × 2) stays within the $"&amp;TEXT(BB61,"0.00")&amp;" max ranking CPC"&amp;" (= $"&amp;TEXT(AY61,"0.00")&amp;" price × "&amp;TEXT(AZ61,"0.0%")&amp;" ranking ceiling × "&amp;TEXT(AD61,"0.0%")&amp;" CVR)"&amp;". Sleephoria CVR is proven on this term, so the full push is justified.",IF(AND(BD61="No",BE61&gt;=Assumptions!$B$13),"PARTIAL — +"&amp;TEXT(BE61,"0%")&amp;" Top of Search (limit for terms without proven CVR). Effective CPC $"&amp;TEXT(BG61,"0.00")&amp;" vs $"&amp;TEXT(BB61,"0.00")&amp;" max ranking CPC"&amp;" (= $"&amp;TEXT(AY61,"0.00")&amp;" price × "&amp;TEXT(AZ61,"0.0%")&amp;" ranking ceiling × "&amp;TEXT(AD61,"0.0%")&amp;" CVR)"&amp;". Raise to +100% only after CooLinens converts at ≥ "&amp;TEXT(AD61,"0.0%")&amp;" on 50+ clicks and $"&amp;TEXT(BC61*2,"0.00")&amp;" ≤ the max.",IF(BE61&gt;0,"PARTIAL — +"&amp;TEXT(BE61,"0%")&amp;" Top of Search. Effective CPC $"&amp;TEXT(BG61,"0.00")&amp;" stays within the $"&amp;TEXT(BB61,"0.00")&amp;" max ranking CPC"&amp;" (= $"&amp;TEXT(AY61,"0.00")&amp;" price × "&amp;TEXT(AZ61,"0.0%")&amp;" ranking ceiling × "&amp;TEXT(AD61,"0.0%")&amp;" CVR)"&amp;". +100% would cost $"&amp;TEXT(BC61*2,"0.00")&amp;" per click and push ACoS to "&amp;TEXT(BC61*2/(AY61*AD61),"0.0%")&amp;", above the "&amp;TEXT(AZ61,"0.0%")&amp;" ceiling.","NO — 0%. Base bid $"&amp;TEXT(BC61,"0.00")&amp;" already equals the $"&amp;TEXT(BB61,"0.00")&amp;" max ranking CPC"&amp;" (= $"&amp;TEXT(AY61,"0.00")&amp;" price × "&amp;TEXT(AZ61,"0.0%")&amp;" ranking ceiling × "&amp;TEXT(AD61,"0.0%")&amp;" CVR)"&amp;"; any modifier would push ACoS above the "&amp;TEXT(AZ61,"0.0%")&amp;" ceiling."))),IF(OR(AO61="Ranking — Head Term (Capped)",AO61="Ranking — Capped Entry",AO61="Ranking — Capped Long-Tail"),"NO — 0% (capped ranking entry). Bid $"&amp;TEXT(BC61,"0.00")&amp;" vs $"&amp;TEXT(BB61,"0.00")&amp;" max ranking CPC"&amp;" (= $"&amp;TEXT(AY61,"0.00")&amp;" price × "&amp;TEXT(AZ61,"0.0%")&amp;" ranking ceiling × "&amp;TEXT(AD61,"0.0%")&amp;" CVR)"&amp;". While spend is capped at "&amp;TEXT(AS61,"0.00")&amp;" clicks/day, a placement premium would only raise CPC without buying more rank; the modifier is set when this term moves to a full push.","NO — 0% (support / brand term). Bid $"&amp;TEXT(BC61,"0.00")&amp;" vs $"&amp;TEXT(BB61,"0.00")&amp;" max ranking CPC"&amp;" (= $"&amp;TEXT(AY61,"0.00")&amp;" price × "&amp;TEXT(AZ61,"0.0%")&amp;" ranking ceiling × "&amp;TEXT(AD61,"0.0%")&amp;" CVR)"&amp;"; expected ACoS "&amp;TEXT(BI61,"0.0%")&amp;" vs the "&amp;TEXT(AZ61,"0.0%")&amp;" ceiling."))</f>
        <v>NO — 0% (support / brand term). Bid $2.34 vs $2.78 max ranking CPC (= $79.99 price × 55.9% ranking ceiling × 6.2% CVR); expected ACoS 47.0% vs the 55.9% ceiling.</v>
      </c>
      <c r="BG61" s="50" t="n">
        <f aca="false">BC61*(1+BE61)</f>
        <v>2.34</v>
      </c>
      <c r="BH61" s="45" t="n">
        <f aca="false">AS61*BG61</f>
        <v>0.20161709568</v>
      </c>
      <c r="BI61" s="33" t="n">
        <f aca="false">IFERROR(BG61/(AY61*AD61),"")</f>
        <v>0.470316024229717</v>
      </c>
      <c r="BJ61" s="27" t="str">
        <f aca="false">IF(BI61="","",IF(BI61&lt;=BA61,"Profitable (≤ break-even)",IF(BI61&lt;=AZ61,"Ranking investment (≤ ceiling)","Above ceiling — reduce bid")))</f>
        <v>Ranking investment (≤ ceiling)</v>
      </c>
      <c r="BK61" s="49" t="str">
        <f aca="false">"Base $"&amp;TEXT(BC61,"0.00")&amp;" × (1 + "&amp;TEXT(BE61,"0%")&amp;" TOS) = $"&amp;TEXT(BG61,"0.00")&amp;" effective CPC [max $"&amp;TEXT(BB61,"0.00")&amp;"]. "&amp;TEXT(AG61,"0.0")&amp;" market clicks/day × "&amp;TEXT(AH61,"0.00%")&amp;" click share × "&amp;TEXT(AI61,"0%")&amp;" paid = "&amp;TEXT(AJ61,"0.00")&amp;" clicks/day needed; "&amp;"planned "&amp;TEXT(AS61,"0.00")&amp;" clicks/day × "&amp;TEXT(AD61,"0.0%")&amp;" CVR = "&amp;TEXT(AU61,"0.00")&amp;" orders/day. "&amp;"Spend $"&amp;TEXT(BH61,"0.00")&amp;"/day, ACoS "&amp;TEXT(BI61,"0.0%")&amp;" (ceiling "&amp;TEXT(AZ61,"0.0%")&amp;", break-even "&amp;TEXT(BA61,"0.0%")&amp;"). "&amp;"Target organic rank #"&amp;S61&amp;" by week 8 ("&amp;T61&amp;")."</f>
        <v>Base $2.34 × (1 + 0% TOS) = $2.34 effective CPC [max $2.78]. 10.5 market clicks/day × 1.24% click share × 66% paid = 0.09 clicks/day needed; planned 0.09 clicks/day × 6.2% CVR = 0.01 orders/day. Spend $0.20/day, ACoS 47.0% (ceiling 55.9%, break-even 37.2%). Target organic rank #20 by week 8 (#60 → #35 → #20).</v>
      </c>
      <c r="BL61" s="27" t="s">
        <v>951</v>
      </c>
      <c r="BM61" s="27" t="s">
        <v>203</v>
      </c>
      <c r="BN61" s="27" t="s">
        <v>952</v>
      </c>
      <c r="BO61" s="27" t="s">
        <v>943</v>
      </c>
      <c r="BP61" s="27" t="s">
        <v>205</v>
      </c>
      <c r="BQ61" s="26" t="s">
        <v>206</v>
      </c>
      <c r="BR61" s="40" t="n">
        <f aca="false">IFERROR(INDEX(Campaigns!$L:$L,MATCH(BN61,Campaigns!$A:$A,0)),"")</f>
        <v>10</v>
      </c>
      <c r="BS61" s="51" t="str">
        <f aca="false">IFERROR(INDEX(Inventory!$O:$O,MATCH(BP61,Inventory!$A:$A,0)),"")</f>
        <v>OK</v>
      </c>
      <c r="BT61" s="52" t="n">
        <f aca="false">IFERROR(INDEX(Inventory!$N:$N,MATCH(BP61,Inventory!$A:$A,0)),"")</f>
        <v>91.5322601167724</v>
      </c>
      <c r="BU61" s="27" t="s">
        <v>953</v>
      </c>
      <c r="BV61" s="27" t="s">
        <v>263</v>
      </c>
      <c r="BW61" s="27" t="s">
        <v>954</v>
      </c>
      <c r="BX61" s="27" t="s">
        <v>955</v>
      </c>
      <c r="BY61" s="27" t="s">
        <v>956</v>
      </c>
      <c r="BZ61" s="27" t="s">
        <v>957</v>
      </c>
      <c r="CA61" s="27" t="s">
        <v>941</v>
      </c>
      <c r="CB61" s="27" t="s">
        <v>958</v>
      </c>
      <c r="CC61" s="27" t="s">
        <v>358</v>
      </c>
    </row>
    <row r="62" customFormat="false" ht="120" hidden="false" customHeight="true" outlineLevel="0" collapsed="false">
      <c r="A62" s="53" t="s">
        <v>959</v>
      </c>
      <c r="B62" s="54" t="n">
        <v>2</v>
      </c>
      <c r="C62" s="26" t="s">
        <v>928</v>
      </c>
      <c r="D62" s="26"/>
      <c r="E62" s="27" t="s">
        <v>929</v>
      </c>
      <c r="F62" s="28" t="n">
        <v>0.95</v>
      </c>
      <c r="G62" s="27" t="s">
        <v>187</v>
      </c>
      <c r="H62" s="26" t="s">
        <v>342</v>
      </c>
      <c r="I62" s="29" t="n">
        <v>4.5</v>
      </c>
      <c r="J62" s="27" t="s">
        <v>944</v>
      </c>
      <c r="K62" s="30" t="n">
        <v>924</v>
      </c>
      <c r="L62" s="31" t="n">
        <v>724</v>
      </c>
      <c r="M62" s="32" t="n">
        <f aca="false">L62/30</f>
        <v>24.1333333333333</v>
      </c>
      <c r="N62" s="33" t="n">
        <v>0.0166959578207381</v>
      </c>
      <c r="O62" s="27" t="s">
        <v>960</v>
      </c>
      <c r="P62" s="27" t="s">
        <v>961</v>
      </c>
      <c r="Q62" s="27" t="s">
        <v>325</v>
      </c>
      <c r="R62" s="34" t="n">
        <v>5</v>
      </c>
      <c r="S62" s="35" t="n">
        <v>20</v>
      </c>
      <c r="T62" s="36" t="s">
        <v>346</v>
      </c>
      <c r="U62" s="27" t="s">
        <v>962</v>
      </c>
      <c r="V62" s="37" t="n">
        <f aca="false">IFERROR(INDEX(Sleephoria_History!$F$454:$F$2115,MATCH($A62,Sleephoria_History!$A$454:$A$2115,0)),"")</f>
        <v>37</v>
      </c>
      <c r="W62" s="38" t="n">
        <f aca="false">IFERROR(INDEX(Sleephoria_History!$J$454:$J$2115,MATCH($A62,Sleephoria_History!$A$454:$A$2115,0)),"")</f>
        <v>0.0541</v>
      </c>
      <c r="X62" s="39" t="n">
        <f aca="false">IFERROR(INDEX(Sleephoria_History!$H$454:$H$2115,MATCH($A62,Sleephoria_History!$A$454:$A$2115,0)),"")</f>
        <v>2.72</v>
      </c>
      <c r="Y62" s="38" t="n">
        <f aca="false">IFERROR(INDEX(Sleephoria_History!$M$454:$M$2115,MATCH($A62,Sleephoria_History!$A$454:$A$2115,0)),"")</f>
        <v>0.649</v>
      </c>
      <c r="Z62" s="40" t="n">
        <f aca="false">IFERROR(INDEX(Sleephoria_History!$L$454:$L$2115,MATCH($A62,Sleephoria_History!$A$454:$A$2115,0)),"")</f>
        <v>154.98</v>
      </c>
      <c r="AA62" s="37" t="str">
        <f aca="false">IFERROR(INDEX(Decolure_History!$F$397:$F$709,MATCH($A62,Decolure_History!$A$397:$A$709,0)),"")</f>
        <v/>
      </c>
      <c r="AB62" s="38" t="str">
        <f aca="false">IFERROR(INDEX(Decolure_History!$J$397:$J$709,MATCH($A62,Decolure_History!$A$397:$A$709,0)),"")</f>
        <v/>
      </c>
      <c r="AC62" s="38" t="str">
        <f aca="false">IFERROR(INDEX(Decolure_History!$M$397:$M$709,MATCH($A62,Decolure_History!$A$397:$A$709,0)),"")</f>
        <v/>
      </c>
      <c r="AD62" s="41" t="n">
        <v>0.064</v>
      </c>
      <c r="AE62" s="27" t="s">
        <v>275</v>
      </c>
      <c r="AF62" s="42" t="n">
        <v>0.383</v>
      </c>
      <c r="AG62" s="32" t="n">
        <f aca="false">M62*AF62</f>
        <v>9.24306666666667</v>
      </c>
      <c r="AH62" s="43" t="n">
        <f aca="false">IF(AO62="Brand Defense",0,IFERROR(VLOOKUP(S62,Assumptions!$A$24:$B$28,2,FALSE()),0))</f>
        <v>0.0124</v>
      </c>
      <c r="AI62" s="28" t="n">
        <f aca="false">Assumptions!$B$6</f>
        <v>0.66</v>
      </c>
      <c r="AJ62" s="44" t="n">
        <f aca="false">AG62*AH62*AI62</f>
        <v>0.0756452576</v>
      </c>
      <c r="AK62" s="44" t="n">
        <f aca="false">AJ62*AD62</f>
        <v>0.0048412964864</v>
      </c>
      <c r="AL62" s="30" t="n">
        <f aca="false">AJ62*56</f>
        <v>4.2361344256</v>
      </c>
      <c r="AM62" s="32" t="n">
        <f aca="false">AK62*56</f>
        <v>0.2711126032384</v>
      </c>
      <c r="AN62" s="44" t="n">
        <f aca="false">M62*Assumptions!$B$8</f>
        <v>2.41333333333333</v>
      </c>
      <c r="AO62" s="27" t="s">
        <v>328</v>
      </c>
      <c r="AP62" s="27" t="s">
        <v>949</v>
      </c>
      <c r="AQ62" s="26" t="s">
        <v>198</v>
      </c>
      <c r="AR62" s="27" t="s">
        <v>199</v>
      </c>
      <c r="AS62" s="44" t="n">
        <f aca="false">IF(AO62="Ranking — Full Push",MIN(MAX(AJ62,Assumptions!$B$9),AN62),IF(AO62="Brand Defense",MIN(Assumptions!$B$7,AN62),IF(OR(AO62="Ranking — Head Term (Capped)",AO62="Ranking — Capped Entry"),MIN(MAX(AJ62,Assumptions!$B$9),Assumptions!$B$7,AN62),IF(AO62="Ranking — Capped Long-Tail",MIN(AJ62,Assumptions!$B$10,AN62),MIN(AJ62,AN62)))))</f>
        <v>0.0756452576</v>
      </c>
      <c r="AT62" s="27" t="str">
        <f aca="false">IF(AJ62&lt;=0,"",IF(AS62&gt;=AJ62,IF(AS62&gt;AJ62*1.05,"Floor of "&amp;TEXT(AS62,"0.0")&amp;" click/day to read CVR (rank needs "&amp;TEXT(AJ62,"0.00")&amp;")","Fully funded (100%)"),"Capped at "&amp;TEXT(AS62/AJ62,"0%")&amp;" of required"))</f>
        <v>Fully funded (100%)</v>
      </c>
      <c r="AU62" s="44" t="n">
        <f aca="false">AS62*AD62</f>
        <v>0.0048412964864</v>
      </c>
      <c r="AV62" s="45" t="n">
        <f aca="false">AU62*AY62</f>
        <v>0.387255305947136</v>
      </c>
      <c r="AW62" s="46" t="n">
        <v>2.72</v>
      </c>
      <c r="AX62" s="27" t="s">
        <v>963</v>
      </c>
      <c r="AY62" s="47" t="n">
        <f aca="false">INDEX(Assumptions!$B$33:$B$37,MATCH(IF($D62="","Queen",$D62),Assumptions!$A$33:$A$37,0))</f>
        <v>79.99</v>
      </c>
      <c r="AZ62" s="33" t="n">
        <f aca="false">INDEX(Assumptions!$K$33:$K$37,MATCH(IF($D62="","Queen",$D62),Assumptions!$A$33:$A$37,0))</f>
        <v>0.558660457557195</v>
      </c>
      <c r="BA62" s="33" t="n">
        <f aca="false">INDEX(Assumptions!$H$33:$H$37,MATCH(IF($D62="","Queen",$D62),Assumptions!$A$33:$A$37,0))</f>
        <v>0.37244030503813</v>
      </c>
      <c r="BB62" s="47" t="n">
        <f aca="false">AY62*AZ62*AD62</f>
        <v>2.859984</v>
      </c>
      <c r="BC62" s="47" t="n">
        <f aca="false">ROUND(MIN(AW62*Assumptions!$B$11,BB62),2)</f>
        <v>2.72</v>
      </c>
      <c r="BD62" s="26" t="s">
        <v>278</v>
      </c>
      <c r="BE62" s="48" t="n">
        <f aca="false">IF(AO62="Ranking — Full Push",MAX(0,MIN(IF(BD62="Yes",Assumptions!$B$12,Assumptions!$B$13),FLOOR(MAX(0,BB62/BC62-1),Assumptions!$B$14))),0)</f>
        <v>0</v>
      </c>
      <c r="BF62" s="49" t="str">
        <f aca="false">IF(AO62="Ranking — Full Push",IF(BE62&gt;=1,"YES — +100% Top of Search. Effective CPC $"&amp;TEXT(BG62,"0.00")&amp;" (= $"&amp;TEXT(BC62,"0.00")&amp;" × 2) stays within the $"&amp;TEXT(BB62,"0.00")&amp;" max ranking CPC"&amp;" (= $"&amp;TEXT(AY62,"0.00")&amp;" price × "&amp;TEXT(AZ62,"0.0%")&amp;" ranking ceiling × "&amp;TEXT(AD62,"0.0%")&amp;" CVR)"&amp;". Sleephoria CVR is proven on this term, so the full push is justified.",IF(AND(BD62="No",BE62&gt;=Assumptions!$B$13),"PARTIAL — +"&amp;TEXT(BE62,"0%")&amp;" Top of Search (limit for terms without proven CVR). Effective CPC $"&amp;TEXT(BG62,"0.00")&amp;" vs $"&amp;TEXT(BB62,"0.00")&amp;" max ranking CPC"&amp;" (= $"&amp;TEXT(AY62,"0.00")&amp;" price × "&amp;TEXT(AZ62,"0.0%")&amp;" ranking ceiling × "&amp;TEXT(AD62,"0.0%")&amp;" CVR)"&amp;". Raise to +100% only after CooLinens converts at ≥ "&amp;TEXT(AD62,"0.0%")&amp;" on 50+ clicks and $"&amp;TEXT(BC62*2,"0.00")&amp;" ≤ the max.",IF(BE62&gt;0,"PARTIAL — +"&amp;TEXT(BE62,"0%")&amp;" Top of Search. Effective CPC $"&amp;TEXT(BG62,"0.00")&amp;" stays within the $"&amp;TEXT(BB62,"0.00")&amp;" max ranking CPC"&amp;" (= $"&amp;TEXT(AY62,"0.00")&amp;" price × "&amp;TEXT(AZ62,"0.0%")&amp;" ranking ceiling × "&amp;TEXT(AD62,"0.0%")&amp;" CVR)"&amp;". +100% would cost $"&amp;TEXT(BC62*2,"0.00")&amp;" per click and push ACoS to "&amp;TEXT(BC62*2/(AY62*AD62),"0.0%")&amp;", above the "&amp;TEXT(AZ62,"0.0%")&amp;" ceiling.","NO — 0%. Base bid $"&amp;TEXT(BC62,"0.00")&amp;" already equals the $"&amp;TEXT(BB62,"0.00")&amp;" max ranking CPC"&amp;" (= $"&amp;TEXT(AY62,"0.00")&amp;" price × "&amp;TEXT(AZ62,"0.0%")&amp;" ranking ceiling × "&amp;TEXT(AD62,"0.0%")&amp;" CVR)"&amp;"; any modifier would push ACoS above the "&amp;TEXT(AZ62,"0.0%")&amp;" ceiling."))),IF(OR(AO62="Ranking — Head Term (Capped)",AO62="Ranking — Capped Entry",AO62="Ranking — Capped Long-Tail"),"NO — 0% (capped ranking entry). Bid $"&amp;TEXT(BC62,"0.00")&amp;" vs $"&amp;TEXT(BB62,"0.00")&amp;" max ranking CPC"&amp;" (= $"&amp;TEXT(AY62,"0.00")&amp;" price × "&amp;TEXT(AZ62,"0.0%")&amp;" ranking ceiling × "&amp;TEXT(AD62,"0.0%")&amp;" CVR)"&amp;". While spend is capped at "&amp;TEXT(AS62,"0.00")&amp;" clicks/day, a placement premium would only raise CPC without buying more rank; the modifier is set when this term moves to a full push.","NO — 0% (support / brand term). Bid $"&amp;TEXT(BC62,"0.00")&amp;" vs $"&amp;TEXT(BB62,"0.00")&amp;" max ranking CPC"&amp;" (= $"&amp;TEXT(AY62,"0.00")&amp;" price × "&amp;TEXT(AZ62,"0.0%")&amp;" ranking ceiling × "&amp;TEXT(AD62,"0.0%")&amp;" CVR)"&amp;"; expected ACoS "&amp;TEXT(BI62,"0.0%")&amp;" vs the "&amp;TEXT(AZ62,"0.0%")&amp;" ceiling."))</f>
        <v>NO — 0% (support / brand term). Bid $2.72 vs $2.86 max ranking CPC (= $79.99 price × 55.9% ranking ceiling × 6.4% CVR); expected ACoS 53.1% vs the 55.9% ceiling.</v>
      </c>
      <c r="BG62" s="50" t="n">
        <f aca="false">BC62*(1+BE62)</f>
        <v>2.72</v>
      </c>
      <c r="BH62" s="45" t="n">
        <f aca="false">AS62*BG62</f>
        <v>0.205755100672</v>
      </c>
      <c r="BI62" s="33" t="n">
        <f aca="false">IFERROR(BG62/(AY62*AD62),"")</f>
        <v>0.531316414551819</v>
      </c>
      <c r="BJ62" s="27" t="str">
        <f aca="false">IF(BI62="","",IF(BI62&lt;=BA62,"Profitable (≤ break-even)",IF(BI62&lt;=AZ62,"Ranking investment (≤ ceiling)","Above ceiling — reduce bid")))</f>
        <v>Ranking investment (≤ ceiling)</v>
      </c>
      <c r="BK62" s="49" t="str">
        <f aca="false">"Base $"&amp;TEXT(BC62,"0.00")&amp;" × (1 + "&amp;TEXT(BE62,"0%")&amp;" TOS) = $"&amp;TEXT(BG62,"0.00")&amp;" effective CPC [max $"&amp;TEXT(BB62,"0.00")&amp;"]. "&amp;TEXT(AG62,"0.0")&amp;" market clicks/day × "&amp;TEXT(AH62,"0.00%")&amp;" click share × "&amp;TEXT(AI62,"0%")&amp;" paid = "&amp;TEXT(AJ62,"0.00")&amp;" clicks/day needed; "&amp;"planned "&amp;TEXT(AS62,"0.00")&amp;" clicks/day × "&amp;TEXT(AD62,"0.0%")&amp;" CVR = "&amp;TEXT(AU62,"0.00")&amp;" orders/day. "&amp;"Spend $"&amp;TEXT(BH62,"0.00")&amp;"/day, ACoS "&amp;TEXT(BI62,"0.0%")&amp;" (ceiling "&amp;TEXT(AZ62,"0.0%")&amp;", break-even "&amp;TEXT(BA62,"0.0%")&amp;"). "&amp;"Target organic rank #"&amp;S62&amp;" by week 8 ("&amp;T62&amp;")."</f>
        <v>Base $2.72 × (1 + 0% TOS) = $2.72 effective CPC [max $2.86]. 9.2 market clicks/day × 1.24% click share × 66% paid = 0.08 clicks/day needed; planned 0.08 clicks/day × 6.4% CVR = 0.00 orders/day. Spend $0.21/day, ACoS 53.1% (ceiling 55.9%, break-even 37.2%). Target organic rank #20 by week 8 (#60 → #35 → #20).</v>
      </c>
      <c r="BL62" s="27" t="s">
        <v>398</v>
      </c>
      <c r="BM62" s="27" t="s">
        <v>203</v>
      </c>
      <c r="BN62" s="27" t="s">
        <v>964</v>
      </c>
      <c r="BO62" s="27" t="s">
        <v>959</v>
      </c>
      <c r="BP62" s="27" t="s">
        <v>205</v>
      </c>
      <c r="BQ62" s="26" t="s">
        <v>206</v>
      </c>
      <c r="BR62" s="40" t="n">
        <f aca="false">IFERROR(INDEX(Campaigns!$L:$L,MATCH(BN62,Campaigns!$A:$A,0)),"")</f>
        <v>10</v>
      </c>
      <c r="BS62" s="51" t="str">
        <f aca="false">IFERROR(INDEX(Inventory!$O:$O,MATCH(BP62,Inventory!$A:$A,0)),"")</f>
        <v>OK</v>
      </c>
      <c r="BT62" s="52" t="n">
        <f aca="false">IFERROR(INDEX(Inventory!$N:$N,MATCH(BP62,Inventory!$A:$A,0)),"")</f>
        <v>91.5322601167724</v>
      </c>
      <c r="BU62" s="27" t="s">
        <v>965</v>
      </c>
      <c r="BV62" s="27" t="s">
        <v>263</v>
      </c>
      <c r="BW62" s="27" t="s">
        <v>966</v>
      </c>
      <c r="BX62" s="27" t="s">
        <v>967</v>
      </c>
      <c r="BY62" s="27" t="s">
        <v>968</v>
      </c>
      <c r="BZ62" s="27" t="s">
        <v>419</v>
      </c>
      <c r="CA62" s="27" t="s">
        <v>941</v>
      </c>
      <c r="CB62" s="27" t="s">
        <v>958</v>
      </c>
      <c r="CC62" s="27" t="s">
        <v>358</v>
      </c>
    </row>
    <row r="63" customFormat="false" ht="120" hidden="false" customHeight="true" outlineLevel="0" collapsed="false">
      <c r="A63" s="53" t="s">
        <v>969</v>
      </c>
      <c r="B63" s="54" t="n">
        <v>2</v>
      </c>
      <c r="C63" s="26" t="s">
        <v>928</v>
      </c>
      <c r="D63" s="26"/>
      <c r="E63" s="27" t="s">
        <v>929</v>
      </c>
      <c r="F63" s="28" t="n">
        <v>0.95</v>
      </c>
      <c r="G63" s="27" t="s">
        <v>187</v>
      </c>
      <c r="H63" s="26" t="s">
        <v>342</v>
      </c>
      <c r="I63" s="29" t="n">
        <v>5</v>
      </c>
      <c r="J63" s="27" t="s">
        <v>970</v>
      </c>
      <c r="K63" s="30" t="n">
        <v>644</v>
      </c>
      <c r="L63" s="31" t="n">
        <v>467</v>
      </c>
      <c r="M63" s="32" t="n">
        <f aca="false">L63/30</f>
        <v>15.5666666666667</v>
      </c>
      <c r="N63" s="33" t="n">
        <v>0.0517857142857142</v>
      </c>
      <c r="O63" s="27" t="s">
        <v>971</v>
      </c>
      <c r="P63" s="27" t="s">
        <v>972</v>
      </c>
      <c r="Q63" s="27" t="s">
        <v>374</v>
      </c>
      <c r="R63" s="34" t="n">
        <v>4</v>
      </c>
      <c r="S63" s="35" t="n">
        <v>20</v>
      </c>
      <c r="T63" s="36" t="s">
        <v>346</v>
      </c>
      <c r="U63" s="27" t="s">
        <v>973</v>
      </c>
      <c r="V63" s="37" t="n">
        <f aca="false">IFERROR(INDEX(Sleephoria_History!$F$454:$F$2115,MATCH($A63,Sleephoria_History!$A$454:$A$2115,0)),"")</f>
        <v>4</v>
      </c>
      <c r="W63" s="38" t="n">
        <f aca="false">IFERROR(INDEX(Sleephoria_History!$J$454:$J$2115,MATCH($A63,Sleephoria_History!$A$454:$A$2115,0)),"")</f>
        <v>0</v>
      </c>
      <c r="X63" s="39" t="n">
        <f aca="false">IFERROR(INDEX(Sleephoria_History!$H$454:$H$2115,MATCH($A63,Sleephoria_History!$A$454:$A$2115,0)),"")</f>
        <v>2.67</v>
      </c>
      <c r="Y63" s="38" t="n">
        <f aca="false">IFERROR(INDEX(Sleephoria_History!$M$454:$M$2115,MATCH($A63,Sleephoria_History!$A$454:$A$2115,0)),"")</f>
        <v>0</v>
      </c>
      <c r="Z63" s="40" t="n">
        <f aca="false">IFERROR(INDEX(Sleephoria_History!$L$454:$L$2115,MATCH($A63,Sleephoria_History!$A$454:$A$2115,0)),"")</f>
        <v>0</v>
      </c>
      <c r="AA63" s="37" t="str">
        <f aca="false">IFERROR(INDEX(Decolure_History!$F$397:$F$709,MATCH($A63,Decolure_History!$A$397:$A$709,0)),"")</f>
        <v/>
      </c>
      <c r="AB63" s="38" t="str">
        <f aca="false">IFERROR(INDEX(Decolure_History!$J$397:$J$709,MATCH($A63,Decolure_History!$A$397:$A$709,0)),"")</f>
        <v/>
      </c>
      <c r="AC63" s="38" t="str">
        <f aca="false">IFERROR(INDEX(Decolure_History!$M$397:$M$709,MATCH($A63,Decolure_History!$A$397:$A$709,0)),"")</f>
        <v/>
      </c>
      <c r="AD63" s="41" t="n">
        <v>0.064</v>
      </c>
      <c r="AE63" s="27" t="s">
        <v>275</v>
      </c>
      <c r="AF63" s="42" t="n">
        <v>0.463</v>
      </c>
      <c r="AG63" s="32" t="n">
        <f aca="false">M63*AF63</f>
        <v>7.20736666666667</v>
      </c>
      <c r="AH63" s="43" t="n">
        <f aca="false">IF(AO63="Brand Defense",0,IFERROR(VLOOKUP(S63,Assumptions!$A$24:$B$28,2,FALSE()),0))</f>
        <v>0.0124</v>
      </c>
      <c r="AI63" s="28" t="n">
        <f aca="false">Assumptions!$B$6</f>
        <v>0.66</v>
      </c>
      <c r="AJ63" s="44" t="n">
        <f aca="false">AG63*AH63*AI63</f>
        <v>0.0589850888</v>
      </c>
      <c r="AK63" s="44" t="n">
        <f aca="false">AJ63*AD63</f>
        <v>0.0037750456832</v>
      </c>
      <c r="AL63" s="30" t="n">
        <f aca="false">AJ63*56</f>
        <v>3.3031649728</v>
      </c>
      <c r="AM63" s="32" t="n">
        <f aca="false">AK63*56</f>
        <v>0.2114025582592</v>
      </c>
      <c r="AN63" s="44" t="n">
        <f aca="false">M63*Assumptions!$B$8</f>
        <v>1.55666666666667</v>
      </c>
      <c r="AO63" s="27" t="s">
        <v>328</v>
      </c>
      <c r="AP63" s="27" t="s">
        <v>974</v>
      </c>
      <c r="AQ63" s="26" t="s">
        <v>198</v>
      </c>
      <c r="AR63" s="27" t="s">
        <v>199</v>
      </c>
      <c r="AS63" s="44" t="n">
        <f aca="false">IF(AO63="Ranking — Full Push",MIN(MAX(AJ63,Assumptions!$B$9),AN63),IF(AO63="Brand Defense",MIN(Assumptions!$B$7,AN63),IF(OR(AO63="Ranking — Head Term (Capped)",AO63="Ranking — Capped Entry"),MIN(MAX(AJ63,Assumptions!$B$9),Assumptions!$B$7,AN63),IF(AO63="Ranking — Capped Long-Tail",MIN(AJ63,Assumptions!$B$10,AN63),MIN(AJ63,AN63)))))</f>
        <v>0.0589850888</v>
      </c>
      <c r="AT63" s="27" t="str">
        <f aca="false">IF(AJ63&lt;=0,"",IF(AS63&gt;=AJ63,IF(AS63&gt;AJ63*1.05,"Floor of "&amp;TEXT(AS63,"0.0")&amp;" click/day to read CVR (rank needs "&amp;TEXT(AJ63,"0.00")&amp;")","Fully funded (100%)"),"Capped at "&amp;TEXT(AS63/AJ63,"0%")&amp;" of required"))</f>
        <v>Fully funded (100%)</v>
      </c>
      <c r="AU63" s="44" t="n">
        <f aca="false">AS63*AD63</f>
        <v>0.0037750456832</v>
      </c>
      <c r="AV63" s="45" t="n">
        <f aca="false">AU63*AY63</f>
        <v>0.301965904199168</v>
      </c>
      <c r="AW63" s="46" t="n">
        <v>2.14</v>
      </c>
      <c r="AX63" s="27" t="s">
        <v>757</v>
      </c>
      <c r="AY63" s="47" t="n">
        <f aca="false">INDEX(Assumptions!$B$33:$B$37,MATCH(IF($D63="","Queen",$D63),Assumptions!$A$33:$A$37,0))</f>
        <v>79.99</v>
      </c>
      <c r="AZ63" s="33" t="n">
        <f aca="false">INDEX(Assumptions!$K$33:$K$37,MATCH(IF($D63="","Queen",$D63),Assumptions!$A$33:$A$37,0))</f>
        <v>0.558660457557195</v>
      </c>
      <c r="BA63" s="33" t="n">
        <f aca="false">INDEX(Assumptions!$H$33:$H$37,MATCH(IF($D63="","Queen",$D63),Assumptions!$A$33:$A$37,0))</f>
        <v>0.37244030503813</v>
      </c>
      <c r="BB63" s="47" t="n">
        <f aca="false">AY63*AZ63*AD63</f>
        <v>2.859984</v>
      </c>
      <c r="BC63" s="47" t="n">
        <f aca="false">ROUND(MIN(AW63*Assumptions!$B$11,BB63),2)</f>
        <v>2.14</v>
      </c>
      <c r="BD63" s="26" t="s">
        <v>278</v>
      </c>
      <c r="BE63" s="48" t="n">
        <f aca="false">IF(AO63="Ranking — Full Push",MAX(0,MIN(IF(BD63="Yes",Assumptions!$B$12,Assumptions!$B$13),FLOOR(MAX(0,BB63/BC63-1),Assumptions!$B$14))),0)</f>
        <v>0</v>
      </c>
      <c r="BF63" s="49" t="str">
        <f aca="false">IF(AO63="Ranking — Full Push",IF(BE63&gt;=1,"YES — +100% Top of Search. Effective CPC $"&amp;TEXT(BG63,"0.00")&amp;" (= $"&amp;TEXT(BC63,"0.00")&amp;" × 2) stays within the $"&amp;TEXT(BB63,"0.00")&amp;" max ranking CPC"&amp;" (= $"&amp;TEXT(AY63,"0.00")&amp;" price × "&amp;TEXT(AZ63,"0.0%")&amp;" ranking ceiling × "&amp;TEXT(AD63,"0.0%")&amp;" CVR)"&amp;". Sleephoria CVR is proven on this term, so the full push is justified.",IF(AND(BD63="No",BE63&gt;=Assumptions!$B$13),"PARTIAL — +"&amp;TEXT(BE63,"0%")&amp;" Top of Search (limit for terms without proven CVR). Effective CPC $"&amp;TEXT(BG63,"0.00")&amp;" vs $"&amp;TEXT(BB63,"0.00")&amp;" max ranking CPC"&amp;" (= $"&amp;TEXT(AY63,"0.00")&amp;" price × "&amp;TEXT(AZ63,"0.0%")&amp;" ranking ceiling × "&amp;TEXT(AD63,"0.0%")&amp;" CVR)"&amp;". Raise to +100% only after CooLinens converts at ≥ "&amp;TEXT(AD63,"0.0%")&amp;" on 50+ clicks and $"&amp;TEXT(BC63*2,"0.00")&amp;" ≤ the max.",IF(BE63&gt;0,"PARTIAL — +"&amp;TEXT(BE63,"0%")&amp;" Top of Search. Effective CPC $"&amp;TEXT(BG63,"0.00")&amp;" stays within the $"&amp;TEXT(BB63,"0.00")&amp;" max ranking CPC"&amp;" (= $"&amp;TEXT(AY63,"0.00")&amp;" price × "&amp;TEXT(AZ63,"0.0%")&amp;" ranking ceiling × "&amp;TEXT(AD63,"0.0%")&amp;" CVR)"&amp;". +100% would cost $"&amp;TEXT(BC63*2,"0.00")&amp;" per click and push ACoS to "&amp;TEXT(BC63*2/(AY63*AD63),"0.0%")&amp;", above the "&amp;TEXT(AZ63,"0.0%")&amp;" ceiling.","NO — 0%. Base bid $"&amp;TEXT(BC63,"0.00")&amp;" already equals the $"&amp;TEXT(BB63,"0.00")&amp;" max ranking CPC"&amp;" (= $"&amp;TEXT(AY63,"0.00")&amp;" price × "&amp;TEXT(AZ63,"0.0%")&amp;" ranking ceiling × "&amp;TEXT(AD63,"0.0%")&amp;" CVR)"&amp;"; any modifier would push ACoS above the "&amp;TEXT(AZ63,"0.0%")&amp;" ceiling."))),IF(OR(AO63="Ranking — Head Term (Capped)",AO63="Ranking — Capped Entry",AO63="Ranking — Capped Long-Tail"),"NO — 0% (capped ranking entry). Bid $"&amp;TEXT(BC63,"0.00")&amp;" vs $"&amp;TEXT(BB63,"0.00")&amp;" max ranking CPC"&amp;" (= $"&amp;TEXT(AY63,"0.00")&amp;" price × "&amp;TEXT(AZ63,"0.0%")&amp;" ranking ceiling × "&amp;TEXT(AD63,"0.0%")&amp;" CVR)"&amp;". While spend is capped at "&amp;TEXT(AS63,"0.00")&amp;" clicks/day, a placement premium would only raise CPC without buying more rank; the modifier is set when this term moves to a full push.","NO — 0% (support / brand term). Bid $"&amp;TEXT(BC63,"0.00")&amp;" vs $"&amp;TEXT(BB63,"0.00")&amp;" max ranking CPC"&amp;" (= $"&amp;TEXT(AY63,"0.00")&amp;" price × "&amp;TEXT(AZ63,"0.0%")&amp;" ranking ceiling × "&amp;TEXT(AD63,"0.0%")&amp;" CVR)"&amp;"; expected ACoS "&amp;TEXT(BI63,"0.0%")&amp;" vs the "&amp;TEXT(AZ63,"0.0%")&amp;" ceiling."))</f>
        <v>NO — 0% (support / brand term). Bid $2.14 vs $2.86 max ranking CPC (= $79.99 price × 55.9% ranking ceiling × 6.4% CVR); expected ACoS 41.8% vs the 55.9% ceiling.</v>
      </c>
      <c r="BG63" s="50" t="n">
        <f aca="false">BC63*(1+BE63)</f>
        <v>2.14</v>
      </c>
      <c r="BH63" s="45" t="n">
        <f aca="false">AS63*BG63</f>
        <v>0.126228090032</v>
      </c>
      <c r="BI63" s="33" t="n">
        <f aca="false">IFERROR(BG63/(AY63*AD63),"")</f>
        <v>0.418021002625328</v>
      </c>
      <c r="BJ63" s="27" t="str">
        <f aca="false">IF(BI63="","",IF(BI63&lt;=BA63,"Profitable (≤ break-even)",IF(BI63&lt;=AZ63,"Ranking investment (≤ ceiling)","Above ceiling — reduce bid")))</f>
        <v>Ranking investment (≤ ceiling)</v>
      </c>
      <c r="BK63" s="49" t="str">
        <f aca="false">"Base $"&amp;TEXT(BC63,"0.00")&amp;" × (1 + "&amp;TEXT(BE63,"0%")&amp;" TOS) = $"&amp;TEXT(BG63,"0.00")&amp;" effective CPC [max $"&amp;TEXT(BB63,"0.00")&amp;"]. "&amp;TEXT(AG63,"0.0")&amp;" market clicks/day × "&amp;TEXT(AH63,"0.00%")&amp;" click share × "&amp;TEXT(AI63,"0%")&amp;" paid = "&amp;TEXT(AJ63,"0.00")&amp;" clicks/day needed; "&amp;"planned "&amp;TEXT(AS63,"0.00")&amp;" clicks/day × "&amp;TEXT(AD63,"0.0%")&amp;" CVR = "&amp;TEXT(AU63,"0.00")&amp;" orders/day. "&amp;"Spend $"&amp;TEXT(BH63,"0.00")&amp;"/day, ACoS "&amp;TEXT(BI63,"0.0%")&amp;" (ceiling "&amp;TEXT(AZ63,"0.0%")&amp;", break-even "&amp;TEXT(BA63,"0.0%")&amp;"). "&amp;"Target organic rank #"&amp;S63&amp;" by week 8 ("&amp;T63&amp;")."</f>
        <v>Base $2.14 × (1 + 0% TOS) = $2.14 effective CPC [max $2.86]. 7.2 market clicks/day × 1.24% click share × 66% paid = 0.06 clicks/day needed; planned 0.06 clicks/day × 6.4% CVR = 0.00 orders/day. Spend $0.13/day, ACoS 41.8% (ceiling 55.9%, break-even 37.2%). Target organic rank #20 by week 8 (#60 → #35 → #20).</v>
      </c>
      <c r="BL63" s="27" t="s">
        <v>380</v>
      </c>
      <c r="BM63" s="27" t="s">
        <v>203</v>
      </c>
      <c r="BN63" s="27" t="s">
        <v>975</v>
      </c>
      <c r="BO63" s="27" t="s">
        <v>969</v>
      </c>
      <c r="BP63" s="27" t="s">
        <v>976</v>
      </c>
      <c r="BQ63" s="26" t="s">
        <v>977</v>
      </c>
      <c r="BR63" s="40" t="n">
        <f aca="false">IFERROR(INDEX(Campaigns!$L:$L,MATCH(BN63,Campaigns!$A:$A,0)),"")</f>
        <v>10</v>
      </c>
      <c r="BS63" s="51" t="str">
        <f aca="false">IFERROR(INDEX(Inventory!$O:$O,MATCH(BP63,Inventory!$A:$A,0)),"")</f>
        <v>OK</v>
      </c>
      <c r="BT63" s="52" t="n">
        <f aca="false">IFERROR(INDEX(Inventory!$N:$N,MATCH(BP63,Inventory!$A:$A,0)),"")</f>
        <v>999</v>
      </c>
      <c r="BU63" s="27" t="s">
        <v>978</v>
      </c>
      <c r="BV63" s="27" t="s">
        <v>263</v>
      </c>
      <c r="BW63" s="27" t="s">
        <v>979</v>
      </c>
      <c r="BX63" s="27" t="s">
        <v>980</v>
      </c>
      <c r="BY63" s="27" t="s">
        <v>981</v>
      </c>
      <c r="BZ63" s="27" t="s">
        <v>982</v>
      </c>
      <c r="CA63" s="27" t="s">
        <v>941</v>
      </c>
      <c r="CB63" s="27" t="s">
        <v>983</v>
      </c>
      <c r="CC63" s="27" t="s">
        <v>358</v>
      </c>
    </row>
    <row r="64" customFormat="false" ht="120" hidden="false" customHeight="true" outlineLevel="0" collapsed="false">
      <c r="A64" s="53" t="s">
        <v>984</v>
      </c>
      <c r="B64" s="54" t="n">
        <v>2</v>
      </c>
      <c r="C64" s="26" t="s">
        <v>928</v>
      </c>
      <c r="D64" s="26"/>
      <c r="E64" s="27" t="s">
        <v>929</v>
      </c>
      <c r="F64" s="28" t="n">
        <v>0.9</v>
      </c>
      <c r="G64" s="27" t="s">
        <v>187</v>
      </c>
      <c r="H64" s="26" t="s">
        <v>342</v>
      </c>
      <c r="I64" s="29" t="n">
        <v>5.5</v>
      </c>
      <c r="J64" s="27" t="s">
        <v>768</v>
      </c>
      <c r="K64" s="30" t="n">
        <v>575</v>
      </c>
      <c r="L64" s="31" t="n">
        <v>376</v>
      </c>
      <c r="M64" s="32" t="n">
        <f aca="false">L64/30</f>
        <v>12.5333333333333</v>
      </c>
      <c r="N64" s="33" t="n">
        <v>0.0128893662728249</v>
      </c>
      <c r="O64" s="27" t="s">
        <v>985</v>
      </c>
      <c r="P64" s="27" t="s">
        <v>986</v>
      </c>
      <c r="Q64" s="27" t="s">
        <v>325</v>
      </c>
      <c r="R64" s="34" t="n">
        <v>5</v>
      </c>
      <c r="S64" s="35" t="n">
        <v>20</v>
      </c>
      <c r="T64" s="36" t="s">
        <v>346</v>
      </c>
      <c r="U64" s="27" t="s">
        <v>987</v>
      </c>
      <c r="V64" s="37" t="n">
        <f aca="false">IFERROR(INDEX(Sleephoria_History!$F$454:$F$2115,MATCH($A64,Sleephoria_History!$A$454:$A$2115,0)),"")</f>
        <v>44</v>
      </c>
      <c r="W64" s="38" t="n">
        <f aca="false">IFERROR(INDEX(Sleephoria_History!$J$454:$J$2115,MATCH($A64,Sleephoria_History!$A$454:$A$2115,0)),"")</f>
        <v>0.1136</v>
      </c>
      <c r="X64" s="39" t="n">
        <f aca="false">IFERROR(INDEX(Sleephoria_History!$H$454:$H$2115,MATCH($A64,Sleephoria_History!$A$454:$A$2115,0)),"")</f>
        <v>2.5</v>
      </c>
      <c r="Y64" s="38" t="n">
        <f aca="false">IFERROR(INDEX(Sleephoria_History!$M$454:$M$2115,MATCH($A64,Sleephoria_History!$A$454:$A$2115,0)),"")</f>
        <v>0.302</v>
      </c>
      <c r="Z64" s="40" t="n">
        <f aca="false">IFERROR(INDEX(Sleephoria_History!$L$454:$L$2115,MATCH($A64,Sleephoria_History!$A$454:$A$2115,0)),"")</f>
        <v>363.95</v>
      </c>
      <c r="AA64" s="37" t="n">
        <f aca="false">IFERROR(INDEX(Decolure_History!$F$397:$F$709,MATCH($A64,Decolure_History!$A$397:$A$709,0)),"")</f>
        <v>18</v>
      </c>
      <c r="AB64" s="38" t="n">
        <f aca="false">IFERROR(INDEX(Decolure_History!$J$397:$J$709,MATCH($A64,Decolure_History!$A$397:$A$709,0)),"")</f>
        <v>0</v>
      </c>
      <c r="AC64" s="38" t="n">
        <f aca="false">IFERROR(INDEX(Decolure_History!$M$397:$M$709,MATCH($A64,Decolure_History!$A$397:$A$709,0)),"")</f>
        <v>0</v>
      </c>
      <c r="AD64" s="41" t="n">
        <v>0.064</v>
      </c>
      <c r="AE64" s="27" t="s">
        <v>275</v>
      </c>
      <c r="AF64" s="42" t="n">
        <v>0.445</v>
      </c>
      <c r="AG64" s="32" t="n">
        <f aca="false">M64*AF64</f>
        <v>5.57733333333333</v>
      </c>
      <c r="AH64" s="43" t="n">
        <f aca="false">IF(AO64="Brand Defense",0,IFERROR(VLOOKUP(S64,Assumptions!$A$24:$B$28,2,FALSE()),0))</f>
        <v>0.0124</v>
      </c>
      <c r="AI64" s="28" t="n">
        <f aca="false">Assumptions!$B$6</f>
        <v>0.66</v>
      </c>
      <c r="AJ64" s="44" t="n">
        <f aca="false">AG64*AH64*AI64</f>
        <v>0.045644896</v>
      </c>
      <c r="AK64" s="44" t="n">
        <f aca="false">AJ64*AD64</f>
        <v>0.002921273344</v>
      </c>
      <c r="AL64" s="30" t="n">
        <f aca="false">AJ64*56</f>
        <v>2.556114176</v>
      </c>
      <c r="AM64" s="32" t="n">
        <f aca="false">AK64*56</f>
        <v>0.163591307264</v>
      </c>
      <c r="AN64" s="44" t="n">
        <f aca="false">M64*Assumptions!$B$8</f>
        <v>1.25333333333333</v>
      </c>
      <c r="AO64" s="27" t="s">
        <v>328</v>
      </c>
      <c r="AP64" s="27" t="s">
        <v>772</v>
      </c>
      <c r="AQ64" s="26" t="s">
        <v>198</v>
      </c>
      <c r="AR64" s="27" t="s">
        <v>199</v>
      </c>
      <c r="AS64" s="44" t="n">
        <f aca="false">IF(AO64="Ranking — Full Push",MIN(MAX(AJ64,Assumptions!$B$9),AN64),IF(AO64="Brand Defense",MIN(Assumptions!$B$7,AN64),IF(OR(AO64="Ranking — Head Term (Capped)",AO64="Ranking — Capped Entry"),MIN(MAX(AJ64,Assumptions!$B$9),Assumptions!$B$7,AN64),IF(AO64="Ranking — Capped Long-Tail",MIN(AJ64,Assumptions!$B$10,AN64),MIN(AJ64,AN64)))))</f>
        <v>0.045644896</v>
      </c>
      <c r="AT64" s="27" t="str">
        <f aca="false">IF(AJ64&lt;=0,"",IF(AS64&gt;=AJ64,IF(AS64&gt;AJ64*1.05,"Floor of "&amp;TEXT(AS64,"0.0")&amp;" click/day to read CVR (rank needs "&amp;TEXT(AJ64,"0.00")&amp;")","Fully funded (100%)"),"Capped at "&amp;TEXT(AS64/AJ64,"0%")&amp;" of required"))</f>
        <v>Fully funded (100%)</v>
      </c>
      <c r="AU64" s="44" t="n">
        <f aca="false">AS64*AD64</f>
        <v>0.002921273344</v>
      </c>
      <c r="AV64" s="45" t="n">
        <f aca="false">AU64*AY64</f>
        <v>0.23367265478656</v>
      </c>
      <c r="AW64" s="46" t="n">
        <v>2.5</v>
      </c>
      <c r="AX64" s="27" t="s">
        <v>988</v>
      </c>
      <c r="AY64" s="47" t="n">
        <f aca="false">INDEX(Assumptions!$B$33:$B$37,MATCH(IF($D64="","Queen",$D64),Assumptions!$A$33:$A$37,0))</f>
        <v>79.99</v>
      </c>
      <c r="AZ64" s="33" t="n">
        <f aca="false">INDEX(Assumptions!$K$33:$K$37,MATCH(IF($D64="","Queen",$D64),Assumptions!$A$33:$A$37,0))</f>
        <v>0.558660457557195</v>
      </c>
      <c r="BA64" s="33" t="n">
        <f aca="false">INDEX(Assumptions!$H$33:$H$37,MATCH(IF($D64="","Queen",$D64),Assumptions!$A$33:$A$37,0))</f>
        <v>0.37244030503813</v>
      </c>
      <c r="BB64" s="47" t="n">
        <f aca="false">AY64*AZ64*AD64</f>
        <v>2.859984</v>
      </c>
      <c r="BC64" s="47" t="n">
        <f aca="false">ROUND(MIN(AW64*Assumptions!$B$11,BB64),2)</f>
        <v>2.5</v>
      </c>
      <c r="BD64" s="26" t="s">
        <v>278</v>
      </c>
      <c r="BE64" s="48" t="n">
        <f aca="false">IF(AO64="Ranking — Full Push",MAX(0,MIN(IF(BD64="Yes",Assumptions!$B$12,Assumptions!$B$13),FLOOR(MAX(0,BB64/BC64-1),Assumptions!$B$14))),0)</f>
        <v>0</v>
      </c>
      <c r="BF64" s="49" t="str">
        <f aca="false">IF(AO64="Ranking — Full Push",IF(BE64&gt;=1,"YES — +100% Top of Search. Effective CPC $"&amp;TEXT(BG64,"0.00")&amp;" (= $"&amp;TEXT(BC64,"0.00")&amp;" × 2) stays within the $"&amp;TEXT(BB64,"0.00")&amp;" max ranking CPC"&amp;" (= $"&amp;TEXT(AY64,"0.00")&amp;" price × "&amp;TEXT(AZ64,"0.0%")&amp;" ranking ceiling × "&amp;TEXT(AD64,"0.0%")&amp;" CVR)"&amp;". Sleephoria CVR is proven on this term, so the full push is justified.",IF(AND(BD64="No",BE64&gt;=Assumptions!$B$13),"PARTIAL — +"&amp;TEXT(BE64,"0%")&amp;" Top of Search (limit for terms without proven CVR). Effective CPC $"&amp;TEXT(BG64,"0.00")&amp;" vs $"&amp;TEXT(BB64,"0.00")&amp;" max ranking CPC"&amp;" (= $"&amp;TEXT(AY64,"0.00")&amp;" price × "&amp;TEXT(AZ64,"0.0%")&amp;" ranking ceiling × "&amp;TEXT(AD64,"0.0%")&amp;" CVR)"&amp;". Raise to +100% only after CooLinens converts at ≥ "&amp;TEXT(AD64,"0.0%")&amp;" on 50+ clicks and $"&amp;TEXT(BC64*2,"0.00")&amp;" ≤ the max.",IF(BE64&gt;0,"PARTIAL — +"&amp;TEXT(BE64,"0%")&amp;" Top of Search. Effective CPC $"&amp;TEXT(BG64,"0.00")&amp;" stays within the $"&amp;TEXT(BB64,"0.00")&amp;" max ranking CPC"&amp;" (= $"&amp;TEXT(AY64,"0.00")&amp;" price × "&amp;TEXT(AZ64,"0.0%")&amp;" ranking ceiling × "&amp;TEXT(AD64,"0.0%")&amp;" CVR)"&amp;". +100% would cost $"&amp;TEXT(BC64*2,"0.00")&amp;" per click and push ACoS to "&amp;TEXT(BC64*2/(AY64*AD64),"0.0%")&amp;", above the "&amp;TEXT(AZ64,"0.0%")&amp;" ceiling.","NO — 0%. Base bid $"&amp;TEXT(BC64,"0.00")&amp;" already equals the $"&amp;TEXT(BB64,"0.00")&amp;" max ranking CPC"&amp;" (= $"&amp;TEXT(AY64,"0.00")&amp;" price × "&amp;TEXT(AZ64,"0.0%")&amp;" ranking ceiling × "&amp;TEXT(AD64,"0.0%")&amp;" CVR)"&amp;"; any modifier would push ACoS above the "&amp;TEXT(AZ64,"0.0%")&amp;" ceiling."))),IF(OR(AO64="Ranking — Head Term (Capped)",AO64="Ranking — Capped Entry",AO64="Ranking — Capped Long-Tail"),"NO — 0% (capped ranking entry). Bid $"&amp;TEXT(BC64,"0.00")&amp;" vs $"&amp;TEXT(BB64,"0.00")&amp;" max ranking CPC"&amp;" (= $"&amp;TEXT(AY64,"0.00")&amp;" price × "&amp;TEXT(AZ64,"0.0%")&amp;" ranking ceiling × "&amp;TEXT(AD64,"0.0%")&amp;" CVR)"&amp;". While spend is capped at "&amp;TEXT(AS64,"0.00")&amp;" clicks/day, a placement premium would only raise CPC without buying more rank; the modifier is set when this term moves to a full push.","NO — 0% (support / brand term). Bid $"&amp;TEXT(BC64,"0.00")&amp;" vs $"&amp;TEXT(BB64,"0.00")&amp;" max ranking CPC"&amp;" (= $"&amp;TEXT(AY64,"0.00")&amp;" price × "&amp;TEXT(AZ64,"0.0%")&amp;" ranking ceiling × "&amp;TEXT(AD64,"0.0%")&amp;" CVR)"&amp;"; expected ACoS "&amp;TEXT(BI64,"0.0%")&amp;" vs the "&amp;TEXT(AZ64,"0.0%")&amp;" ceiling."))</f>
        <v>NO — 0% (support / brand term). Bid $2.50 vs $2.86 max ranking CPC (= $79.99 price × 55.9% ranking ceiling × 6.4% CVR); expected ACoS 48.8% vs the 55.9% ceiling.</v>
      </c>
      <c r="BG64" s="50" t="n">
        <f aca="false">BC64*(1+BE64)</f>
        <v>2.5</v>
      </c>
      <c r="BH64" s="45" t="n">
        <f aca="false">AS64*BG64</f>
        <v>0.11411224</v>
      </c>
      <c r="BI64" s="33" t="n">
        <f aca="false">IFERROR(BG64/(AY64*AD64),"")</f>
        <v>0.488342292786598</v>
      </c>
      <c r="BJ64" s="27" t="str">
        <f aca="false">IF(BI64="","",IF(BI64&lt;=BA64,"Profitable (≤ break-even)",IF(BI64&lt;=AZ64,"Ranking investment (≤ ceiling)","Above ceiling — reduce bid")))</f>
        <v>Ranking investment (≤ ceiling)</v>
      </c>
      <c r="BK64" s="49" t="str">
        <f aca="false">"Base $"&amp;TEXT(BC64,"0.00")&amp;" × (1 + "&amp;TEXT(BE64,"0%")&amp;" TOS) = $"&amp;TEXT(BG64,"0.00")&amp;" effective CPC [max $"&amp;TEXT(BB64,"0.00")&amp;"]. "&amp;TEXT(AG64,"0.0")&amp;" market clicks/day × "&amp;TEXT(AH64,"0.00%")&amp;" click share × "&amp;TEXT(AI64,"0%")&amp;" paid = "&amp;TEXT(AJ64,"0.00")&amp;" clicks/day needed; "&amp;"planned "&amp;TEXT(AS64,"0.00")&amp;" clicks/day × "&amp;TEXT(AD64,"0.0%")&amp;" CVR = "&amp;TEXT(AU64,"0.00")&amp;" orders/day. "&amp;"Spend $"&amp;TEXT(BH64,"0.00")&amp;"/day, ACoS "&amp;TEXT(BI64,"0.0%")&amp;" (ceiling "&amp;TEXT(AZ64,"0.0%")&amp;", break-even "&amp;TEXT(BA64,"0.0%")&amp;"). "&amp;"Target organic rank #"&amp;S64&amp;" by week 8 ("&amp;T64&amp;")."</f>
        <v>Base $2.50 × (1 + 0% TOS) = $2.50 effective CPC [max $2.86]. 5.6 market clicks/day × 1.24% click share × 66% paid = 0.05 clicks/day needed; planned 0.05 clicks/day × 6.4% CVR = 0.00 orders/day. Spend $0.11/day, ACoS 48.8% (ceiling 55.9%, break-even 37.2%). Target organic rank #20 by week 8 (#60 → #35 → #20).</v>
      </c>
      <c r="BL64" s="27" t="s">
        <v>774</v>
      </c>
      <c r="BM64" s="27" t="s">
        <v>203</v>
      </c>
      <c r="BN64" s="27" t="s">
        <v>989</v>
      </c>
      <c r="BO64" s="27" t="s">
        <v>984</v>
      </c>
      <c r="BP64" s="27" t="s">
        <v>205</v>
      </c>
      <c r="BQ64" s="26" t="s">
        <v>206</v>
      </c>
      <c r="BR64" s="40" t="n">
        <f aca="false">IFERROR(INDEX(Campaigns!$L:$L,MATCH(BN64,Campaigns!$A:$A,0)),"")</f>
        <v>10</v>
      </c>
      <c r="BS64" s="51" t="str">
        <f aca="false">IFERROR(INDEX(Inventory!$O:$O,MATCH(BP64,Inventory!$A:$A,0)),"")</f>
        <v>OK</v>
      </c>
      <c r="BT64" s="52" t="n">
        <f aca="false">IFERROR(INDEX(Inventory!$N:$N,MATCH(BP64,Inventory!$A:$A,0)),"")</f>
        <v>91.5322601167724</v>
      </c>
      <c r="BU64" s="27" t="s">
        <v>990</v>
      </c>
      <c r="BV64" s="27" t="s">
        <v>991</v>
      </c>
      <c r="BW64" s="27" t="s">
        <v>992</v>
      </c>
      <c r="BX64" s="27" t="s">
        <v>993</v>
      </c>
      <c r="BY64" s="27" t="s">
        <v>994</v>
      </c>
      <c r="BZ64" s="27" t="s">
        <v>338</v>
      </c>
      <c r="CA64" s="27" t="s">
        <v>941</v>
      </c>
      <c r="CB64" s="27" t="s">
        <v>995</v>
      </c>
      <c r="CC64" s="27" t="s">
        <v>358</v>
      </c>
    </row>
    <row r="65" customFormat="false" ht="120" hidden="false" customHeight="true" outlineLevel="0" collapsed="false">
      <c r="A65" s="53" t="s">
        <v>996</v>
      </c>
      <c r="B65" s="54" t="n">
        <v>2</v>
      </c>
      <c r="C65" s="26" t="s">
        <v>928</v>
      </c>
      <c r="D65" s="26" t="s">
        <v>185</v>
      </c>
      <c r="E65" s="27" t="s">
        <v>929</v>
      </c>
      <c r="F65" s="28" t="n">
        <v>1</v>
      </c>
      <c r="G65" s="27" t="s">
        <v>187</v>
      </c>
      <c r="H65" s="26" t="s">
        <v>342</v>
      </c>
      <c r="I65" s="29" t="n">
        <v>5.5</v>
      </c>
      <c r="J65" s="27" t="s">
        <v>997</v>
      </c>
      <c r="K65" s="30" t="n">
        <v>1023</v>
      </c>
      <c r="L65" s="31" t="n">
        <v>1434</v>
      </c>
      <c r="M65" s="32" t="n">
        <f aca="false">L65/30</f>
        <v>47.8</v>
      </c>
      <c r="N65" s="33" t="n">
        <v>0.0436456996148908</v>
      </c>
      <c r="O65" s="27" t="s">
        <v>998</v>
      </c>
      <c r="P65" s="27" t="s">
        <v>999</v>
      </c>
      <c r="Q65" s="27" t="s">
        <v>220</v>
      </c>
      <c r="R65" s="34" t="n">
        <v>3</v>
      </c>
      <c r="S65" s="35" t="n">
        <v>20</v>
      </c>
      <c r="T65" s="36" t="s">
        <v>346</v>
      </c>
      <c r="U65" s="27" t="s">
        <v>1000</v>
      </c>
      <c r="V65" s="37" t="n">
        <f aca="false">IFERROR(INDEX(Sleephoria_History!$F$454:$F$2115,MATCH($A65,Sleephoria_History!$A$454:$A$2115,0)),"")</f>
        <v>8</v>
      </c>
      <c r="W65" s="38" t="n">
        <f aca="false">IFERROR(INDEX(Sleephoria_History!$J$454:$J$2115,MATCH($A65,Sleephoria_History!$A$454:$A$2115,0)),"")</f>
        <v>0.375</v>
      </c>
      <c r="X65" s="39" t="n">
        <f aca="false">IFERROR(INDEX(Sleephoria_History!$H$454:$H$2115,MATCH($A65,Sleephoria_History!$A$454:$A$2115,0)),"")</f>
        <v>2.11</v>
      </c>
      <c r="Y65" s="38" t="n">
        <f aca="false">IFERROR(INDEX(Sleephoria_History!$M$454:$M$2115,MATCH($A65,Sleephoria_History!$A$454:$A$2115,0)),"")</f>
        <v>0.085</v>
      </c>
      <c r="Z65" s="40" t="n">
        <f aca="false">IFERROR(INDEX(Sleephoria_History!$L$454:$L$2115,MATCH($A65,Sleephoria_History!$A$454:$A$2115,0)),"")</f>
        <v>197.93</v>
      </c>
      <c r="AA65" s="37" t="n">
        <f aca="false">IFERROR(INDEX(Decolure_History!$F$397:$F$709,MATCH($A65,Decolure_History!$A$397:$A$709,0)),"")</f>
        <v>33</v>
      </c>
      <c r="AB65" s="38" t="n">
        <f aca="false">IFERROR(INDEX(Decolure_History!$J$397:$J$709,MATCH($A65,Decolure_History!$A$397:$A$709,0)),"")</f>
        <v>0.2121</v>
      </c>
      <c r="AC65" s="38" t="n">
        <f aca="false">IFERROR(INDEX(Decolure_History!$M$397:$M$709,MATCH($A65,Decolure_History!$A$397:$A$709,0)),"")</f>
        <v>0.524</v>
      </c>
      <c r="AD65" s="41" t="n">
        <v>0.064</v>
      </c>
      <c r="AE65" s="27" t="s">
        <v>275</v>
      </c>
      <c r="AF65" s="42" t="n">
        <v>0.485</v>
      </c>
      <c r="AG65" s="32" t="n">
        <f aca="false">M65*AF65</f>
        <v>23.183</v>
      </c>
      <c r="AH65" s="43" t="n">
        <f aca="false">IF(AO65="Brand Defense",0,IFERROR(VLOOKUP(S65,Assumptions!$A$24:$B$28,2,FALSE()),0))</f>
        <v>0.0124</v>
      </c>
      <c r="AI65" s="28" t="n">
        <f aca="false">Assumptions!$B$6</f>
        <v>0.66</v>
      </c>
      <c r="AJ65" s="44" t="n">
        <f aca="false">AG65*AH65*AI65</f>
        <v>0.189729672</v>
      </c>
      <c r="AK65" s="44" t="n">
        <f aca="false">AJ65*AD65</f>
        <v>0.012142699008</v>
      </c>
      <c r="AL65" s="30" t="n">
        <f aca="false">AJ65*56</f>
        <v>10.624861632</v>
      </c>
      <c r="AM65" s="32" t="n">
        <f aca="false">AK65*56</f>
        <v>0.679991144448</v>
      </c>
      <c r="AN65" s="44" t="n">
        <f aca="false">M65*Assumptions!$B$8</f>
        <v>4.78</v>
      </c>
      <c r="AO65" s="27" t="s">
        <v>328</v>
      </c>
      <c r="AP65" s="27" t="s">
        <v>1001</v>
      </c>
      <c r="AQ65" s="26" t="s">
        <v>198</v>
      </c>
      <c r="AR65" s="27" t="s">
        <v>199</v>
      </c>
      <c r="AS65" s="44" t="n">
        <f aca="false">IF(AO65="Ranking — Full Push",MIN(MAX(AJ65,Assumptions!$B$9),AN65),IF(AO65="Brand Defense",MIN(Assumptions!$B$7,AN65),IF(OR(AO65="Ranking — Head Term (Capped)",AO65="Ranking — Capped Entry"),MIN(MAX(AJ65,Assumptions!$B$9),Assumptions!$B$7,AN65),IF(AO65="Ranking — Capped Long-Tail",MIN(AJ65,Assumptions!$B$10,AN65),MIN(AJ65,AN65)))))</f>
        <v>0.189729672</v>
      </c>
      <c r="AT65" s="27" t="str">
        <f aca="false">IF(AJ65&lt;=0,"",IF(AS65&gt;=AJ65,IF(AS65&gt;AJ65*1.05,"Floor of "&amp;TEXT(AS65,"0.0")&amp;" click/day to read CVR (rank needs "&amp;TEXT(AJ65,"0.00")&amp;")","Fully funded (100%)"),"Capped at "&amp;TEXT(AS65/AJ65,"0%")&amp;" of required"))</f>
        <v>Fully funded (100%)</v>
      </c>
      <c r="AU65" s="44" t="n">
        <f aca="false">AS65*AD65</f>
        <v>0.012142699008</v>
      </c>
      <c r="AV65" s="45" t="n">
        <f aca="false">AU65*AY65</f>
        <v>0.97129449364992</v>
      </c>
      <c r="AW65" s="46" t="n">
        <v>2.18</v>
      </c>
      <c r="AX65" s="27" t="s">
        <v>295</v>
      </c>
      <c r="AY65" s="47" t="n">
        <f aca="false">INDEX(Assumptions!$B$33:$B$37,MATCH(IF($D65="","Queen",$D65),Assumptions!$A$33:$A$37,0))</f>
        <v>79.99</v>
      </c>
      <c r="AZ65" s="33" t="n">
        <f aca="false">INDEX(Assumptions!$K$33:$K$37,MATCH(IF($D65="","Queen",$D65),Assumptions!$A$33:$A$37,0))</f>
        <v>0.558660457557195</v>
      </c>
      <c r="BA65" s="33" t="n">
        <f aca="false">INDEX(Assumptions!$H$33:$H$37,MATCH(IF($D65="","Queen",$D65),Assumptions!$A$33:$A$37,0))</f>
        <v>0.37244030503813</v>
      </c>
      <c r="BB65" s="47" t="n">
        <f aca="false">AY65*AZ65*AD65</f>
        <v>2.859984</v>
      </c>
      <c r="BC65" s="47" t="n">
        <f aca="false">ROUND(MIN(AW65*Assumptions!$B$11,BB65),2)</f>
        <v>2.18</v>
      </c>
      <c r="BD65" s="26" t="s">
        <v>278</v>
      </c>
      <c r="BE65" s="48" t="n">
        <f aca="false">IF(AO65="Ranking — Full Push",MAX(0,MIN(IF(BD65="Yes",Assumptions!$B$12,Assumptions!$B$13),FLOOR(MAX(0,BB65/BC65-1),Assumptions!$B$14))),0)</f>
        <v>0</v>
      </c>
      <c r="BF65" s="49" t="str">
        <f aca="false">IF(AO65="Ranking — Full Push",IF(BE65&gt;=1,"YES — +100% Top of Search. Effective CPC $"&amp;TEXT(BG65,"0.00")&amp;" (= $"&amp;TEXT(BC65,"0.00")&amp;" × 2) stays within the $"&amp;TEXT(BB65,"0.00")&amp;" max ranking CPC"&amp;" (= $"&amp;TEXT(AY65,"0.00")&amp;" price × "&amp;TEXT(AZ65,"0.0%")&amp;" ranking ceiling × "&amp;TEXT(AD65,"0.0%")&amp;" CVR)"&amp;". Sleephoria CVR is proven on this term, so the full push is justified.",IF(AND(BD65="No",BE65&gt;=Assumptions!$B$13),"PARTIAL — +"&amp;TEXT(BE65,"0%")&amp;" Top of Search (limit for terms without proven CVR). Effective CPC $"&amp;TEXT(BG65,"0.00")&amp;" vs $"&amp;TEXT(BB65,"0.00")&amp;" max ranking CPC"&amp;" (= $"&amp;TEXT(AY65,"0.00")&amp;" price × "&amp;TEXT(AZ65,"0.0%")&amp;" ranking ceiling × "&amp;TEXT(AD65,"0.0%")&amp;" CVR)"&amp;". Raise to +100% only after CooLinens converts at ≥ "&amp;TEXT(AD65,"0.0%")&amp;" on 50+ clicks and $"&amp;TEXT(BC65*2,"0.00")&amp;" ≤ the max.",IF(BE65&gt;0,"PARTIAL — +"&amp;TEXT(BE65,"0%")&amp;" Top of Search. Effective CPC $"&amp;TEXT(BG65,"0.00")&amp;" stays within the $"&amp;TEXT(BB65,"0.00")&amp;" max ranking CPC"&amp;" (= $"&amp;TEXT(AY65,"0.00")&amp;" price × "&amp;TEXT(AZ65,"0.0%")&amp;" ranking ceiling × "&amp;TEXT(AD65,"0.0%")&amp;" CVR)"&amp;". +100% would cost $"&amp;TEXT(BC65*2,"0.00")&amp;" per click and push ACoS to "&amp;TEXT(BC65*2/(AY65*AD65),"0.0%")&amp;", above the "&amp;TEXT(AZ65,"0.0%")&amp;" ceiling.","NO — 0%. Base bid $"&amp;TEXT(BC65,"0.00")&amp;" already equals the $"&amp;TEXT(BB65,"0.00")&amp;" max ranking CPC"&amp;" (= $"&amp;TEXT(AY65,"0.00")&amp;" price × "&amp;TEXT(AZ65,"0.0%")&amp;" ranking ceiling × "&amp;TEXT(AD65,"0.0%")&amp;" CVR)"&amp;"; any modifier would push ACoS above the "&amp;TEXT(AZ65,"0.0%")&amp;" ceiling."))),IF(OR(AO65="Ranking — Head Term (Capped)",AO65="Ranking — Capped Entry",AO65="Ranking — Capped Long-Tail"),"NO — 0% (capped ranking entry). Bid $"&amp;TEXT(BC65,"0.00")&amp;" vs $"&amp;TEXT(BB65,"0.00")&amp;" max ranking CPC"&amp;" (= $"&amp;TEXT(AY65,"0.00")&amp;" price × "&amp;TEXT(AZ65,"0.0%")&amp;" ranking ceiling × "&amp;TEXT(AD65,"0.0%")&amp;" CVR)"&amp;". While spend is capped at "&amp;TEXT(AS65,"0.00")&amp;" clicks/day, a placement premium would only raise CPC without buying more rank; the modifier is set when this term moves to a full push.","NO — 0% (support / brand term). Bid $"&amp;TEXT(BC65,"0.00")&amp;" vs $"&amp;TEXT(BB65,"0.00")&amp;" max ranking CPC"&amp;" (= $"&amp;TEXT(AY65,"0.00")&amp;" price × "&amp;TEXT(AZ65,"0.0%")&amp;" ranking ceiling × "&amp;TEXT(AD65,"0.0%")&amp;" CVR)"&amp;"; expected ACoS "&amp;TEXT(BI65,"0.0%")&amp;" vs the "&amp;TEXT(AZ65,"0.0%")&amp;" ceiling."))</f>
        <v>NO — 0% (support / brand term). Bid $2.18 vs $2.86 max ranking CPC (= $79.99 price × 55.9% ranking ceiling × 6.4% CVR); expected ACoS 42.6% vs the 55.9% ceiling.</v>
      </c>
      <c r="BG65" s="50" t="n">
        <f aca="false">BC65*(1+BE65)</f>
        <v>2.18</v>
      </c>
      <c r="BH65" s="45" t="n">
        <f aca="false">AS65*BG65</f>
        <v>0.41361068496</v>
      </c>
      <c r="BI65" s="33" t="n">
        <f aca="false">IFERROR(BG65/(AY65*AD65),"")</f>
        <v>0.425834479309914</v>
      </c>
      <c r="BJ65" s="27" t="str">
        <f aca="false">IF(BI65="","",IF(BI65&lt;=BA65,"Profitable (≤ break-even)",IF(BI65&lt;=AZ65,"Ranking investment (≤ ceiling)","Above ceiling — reduce bid")))</f>
        <v>Ranking investment (≤ ceiling)</v>
      </c>
      <c r="BK65" s="49" t="str">
        <f aca="false">"Base $"&amp;TEXT(BC65,"0.00")&amp;" × (1 + "&amp;TEXT(BE65,"0%")&amp;" TOS) = $"&amp;TEXT(BG65,"0.00")&amp;" effective CPC [max $"&amp;TEXT(BB65,"0.00")&amp;"]. "&amp;TEXT(AG65,"0.0")&amp;" market clicks/day × "&amp;TEXT(AH65,"0.00%")&amp;" click share × "&amp;TEXT(AI65,"0%")&amp;" paid = "&amp;TEXT(AJ65,"0.00")&amp;" clicks/day needed; "&amp;"planned "&amp;TEXT(AS65,"0.00")&amp;" clicks/day × "&amp;TEXT(AD65,"0.0%")&amp;" CVR = "&amp;TEXT(AU65,"0.00")&amp;" orders/day. "&amp;"Spend $"&amp;TEXT(BH65,"0.00")&amp;"/day, ACoS "&amp;TEXT(BI65,"0.0%")&amp;" (ceiling "&amp;TEXT(AZ65,"0.0%")&amp;", break-even "&amp;TEXT(BA65,"0.0%")&amp;"). "&amp;"Target organic rank #"&amp;S65&amp;" by week 8 ("&amp;T65&amp;")."</f>
        <v>Base $2.18 × (1 + 0% TOS) = $2.18 effective CPC [max $2.86]. 23.2 market clicks/day × 1.24% click share × 66% paid = 0.19 clicks/day needed; planned 0.19 clicks/day × 6.4% CVR = 0.01 orders/day. Spend $0.41/day, ACoS 42.6% (ceiling 55.9%, break-even 37.2%). Target organic rank #20 by week 8 (#60 → #35 → #20).</v>
      </c>
      <c r="BL65" s="27" t="s">
        <v>1002</v>
      </c>
      <c r="BM65" s="27" t="s">
        <v>203</v>
      </c>
      <c r="BN65" s="27" t="s">
        <v>1003</v>
      </c>
      <c r="BO65" s="27" t="s">
        <v>996</v>
      </c>
      <c r="BP65" s="27" t="s">
        <v>205</v>
      </c>
      <c r="BQ65" s="26" t="s">
        <v>206</v>
      </c>
      <c r="BR65" s="40" t="n">
        <f aca="false">IFERROR(INDEX(Campaigns!$L:$L,MATCH(BN65,Campaigns!$A:$A,0)),"")</f>
        <v>10</v>
      </c>
      <c r="BS65" s="51" t="str">
        <f aca="false">IFERROR(INDEX(Inventory!$O:$O,MATCH(BP65,Inventory!$A:$A,0)),"")</f>
        <v>OK</v>
      </c>
      <c r="BT65" s="52" t="n">
        <f aca="false">IFERROR(INDEX(Inventory!$N:$N,MATCH(BP65,Inventory!$A:$A,0)),"")</f>
        <v>91.5322601167724</v>
      </c>
      <c r="BU65" s="27" t="s">
        <v>1004</v>
      </c>
      <c r="BV65" s="27" t="s">
        <v>1005</v>
      </c>
      <c r="BW65" s="27" t="s">
        <v>1006</v>
      </c>
      <c r="BX65" s="27" t="s">
        <v>1007</v>
      </c>
      <c r="BY65" s="27" t="s">
        <v>1008</v>
      </c>
      <c r="BZ65" s="27" t="s">
        <v>1009</v>
      </c>
      <c r="CA65" s="27" t="s">
        <v>941</v>
      </c>
      <c r="CB65" s="27" t="s">
        <v>1010</v>
      </c>
      <c r="CC65" s="27" t="s">
        <v>358</v>
      </c>
    </row>
    <row r="66" customFormat="false" ht="120" hidden="false" customHeight="true" outlineLevel="0" collapsed="false">
      <c r="A66" s="53" t="s">
        <v>1011</v>
      </c>
      <c r="B66" s="54" t="n">
        <v>2</v>
      </c>
      <c r="C66" s="26" t="s">
        <v>928</v>
      </c>
      <c r="D66" s="26" t="s">
        <v>185</v>
      </c>
      <c r="E66" s="27" t="s">
        <v>929</v>
      </c>
      <c r="F66" s="28" t="n">
        <v>1</v>
      </c>
      <c r="G66" s="27" t="s">
        <v>187</v>
      </c>
      <c r="H66" s="26" t="s">
        <v>342</v>
      </c>
      <c r="I66" s="29" t="n">
        <v>5</v>
      </c>
      <c r="J66" s="27" t="s">
        <v>970</v>
      </c>
      <c r="K66" s="30" t="n">
        <v>766</v>
      </c>
      <c r="L66" s="31" t="n">
        <v>696</v>
      </c>
      <c r="M66" s="32" t="n">
        <f aca="false">L66/30</f>
        <v>23.2</v>
      </c>
      <c r="N66" s="33" t="n">
        <v>0.0404444444444444</v>
      </c>
      <c r="O66" s="27" t="s">
        <v>290</v>
      </c>
      <c r="P66" s="27" t="s">
        <v>1012</v>
      </c>
      <c r="Q66" s="27" t="s">
        <v>307</v>
      </c>
      <c r="R66" s="34" t="n">
        <v>3</v>
      </c>
      <c r="S66" s="35" t="n">
        <v>20</v>
      </c>
      <c r="T66" s="36" t="s">
        <v>346</v>
      </c>
      <c r="U66" s="27" t="s">
        <v>1013</v>
      </c>
      <c r="V66" s="37" t="n">
        <f aca="false">IFERROR(INDEX(Sleephoria_History!$F$454:$F$2115,MATCH($A66,Sleephoria_History!$A$454:$A$2115,0)),"")</f>
        <v>3</v>
      </c>
      <c r="W66" s="38" t="n">
        <f aca="false">IFERROR(INDEX(Sleephoria_History!$J$454:$J$2115,MATCH($A66,Sleephoria_History!$A$454:$A$2115,0)),"")</f>
        <v>0</v>
      </c>
      <c r="X66" s="39" t="n">
        <f aca="false">IFERROR(INDEX(Sleephoria_History!$H$454:$H$2115,MATCH($A66,Sleephoria_History!$A$454:$A$2115,0)),"")</f>
        <v>2.84</v>
      </c>
      <c r="Y66" s="38" t="n">
        <f aca="false">IFERROR(INDEX(Sleephoria_History!$M$454:$M$2115,MATCH($A66,Sleephoria_History!$A$454:$A$2115,0)),"")</f>
        <v>0</v>
      </c>
      <c r="Z66" s="40" t="n">
        <f aca="false">IFERROR(INDEX(Sleephoria_History!$L$454:$L$2115,MATCH($A66,Sleephoria_History!$A$454:$A$2115,0)),"")</f>
        <v>0</v>
      </c>
      <c r="AA66" s="37" t="str">
        <f aca="false">IFERROR(INDEX(Decolure_History!$F$397:$F$709,MATCH($A66,Decolure_History!$A$397:$A$709,0)),"")</f>
        <v/>
      </c>
      <c r="AB66" s="38" t="str">
        <f aca="false">IFERROR(INDEX(Decolure_History!$J$397:$J$709,MATCH($A66,Decolure_History!$A$397:$A$709,0)),"")</f>
        <v/>
      </c>
      <c r="AC66" s="38" t="str">
        <f aca="false">IFERROR(INDEX(Decolure_History!$M$397:$M$709,MATCH($A66,Decolure_History!$A$397:$A$709,0)),"")</f>
        <v/>
      </c>
      <c r="AD66" s="41" t="n">
        <v>0.064</v>
      </c>
      <c r="AE66" s="27" t="s">
        <v>275</v>
      </c>
      <c r="AF66" s="42" t="n">
        <v>0.467</v>
      </c>
      <c r="AG66" s="32" t="n">
        <f aca="false">M66*AF66</f>
        <v>10.8344</v>
      </c>
      <c r="AH66" s="43" t="n">
        <f aca="false">IF(AO66="Brand Defense",0,IFERROR(VLOOKUP(S66,Assumptions!$A$24:$B$28,2,FALSE()),0))</f>
        <v>0.0124</v>
      </c>
      <c r="AI66" s="28" t="n">
        <f aca="false">Assumptions!$B$6</f>
        <v>0.66</v>
      </c>
      <c r="AJ66" s="44" t="n">
        <f aca="false">AG66*AH66*AI66</f>
        <v>0.0886687296</v>
      </c>
      <c r="AK66" s="44" t="n">
        <f aca="false">AJ66*AD66</f>
        <v>0.0056747986944</v>
      </c>
      <c r="AL66" s="30" t="n">
        <f aca="false">AJ66*56</f>
        <v>4.9654488576</v>
      </c>
      <c r="AM66" s="32" t="n">
        <f aca="false">AK66*56</f>
        <v>0.3177887268864</v>
      </c>
      <c r="AN66" s="44" t="n">
        <f aca="false">M66*Assumptions!$B$8</f>
        <v>2.32</v>
      </c>
      <c r="AO66" s="27" t="s">
        <v>328</v>
      </c>
      <c r="AP66" s="27" t="s">
        <v>1014</v>
      </c>
      <c r="AQ66" s="26" t="s">
        <v>198</v>
      </c>
      <c r="AR66" s="27" t="s">
        <v>199</v>
      </c>
      <c r="AS66" s="44" t="n">
        <f aca="false">IF(AO66="Ranking — Full Push",MIN(MAX(AJ66,Assumptions!$B$9),AN66),IF(AO66="Brand Defense",MIN(Assumptions!$B$7,AN66),IF(OR(AO66="Ranking — Head Term (Capped)",AO66="Ranking — Capped Entry"),MIN(MAX(AJ66,Assumptions!$B$9),Assumptions!$B$7,AN66),IF(AO66="Ranking — Capped Long-Tail",MIN(AJ66,Assumptions!$B$10,AN66),MIN(AJ66,AN66)))))</f>
        <v>0.0886687296</v>
      </c>
      <c r="AT66" s="27" t="str">
        <f aca="false">IF(AJ66&lt;=0,"",IF(AS66&gt;=AJ66,IF(AS66&gt;AJ66*1.05,"Floor of "&amp;TEXT(AS66,"0.0")&amp;" click/day to read CVR (rank needs "&amp;TEXT(AJ66,"0.00")&amp;")","Fully funded (100%)"),"Capped at "&amp;TEXT(AS66/AJ66,"0%")&amp;" of required"))</f>
        <v>Fully funded (100%)</v>
      </c>
      <c r="AU66" s="44" t="n">
        <f aca="false">AS66*AD66</f>
        <v>0.0056747986944</v>
      </c>
      <c r="AV66" s="45" t="n">
        <f aca="false">AU66*AY66</f>
        <v>0.453927147565056</v>
      </c>
      <c r="AW66" s="46" t="n">
        <v>2.18</v>
      </c>
      <c r="AX66" s="27" t="s">
        <v>295</v>
      </c>
      <c r="AY66" s="47" t="n">
        <f aca="false">INDEX(Assumptions!$B$33:$B$37,MATCH(IF($D66="","Queen",$D66),Assumptions!$A$33:$A$37,0))</f>
        <v>79.99</v>
      </c>
      <c r="AZ66" s="33" t="n">
        <f aca="false">INDEX(Assumptions!$K$33:$K$37,MATCH(IF($D66="","Queen",$D66),Assumptions!$A$33:$A$37,0))</f>
        <v>0.558660457557195</v>
      </c>
      <c r="BA66" s="33" t="n">
        <f aca="false">INDEX(Assumptions!$H$33:$H$37,MATCH(IF($D66="","Queen",$D66),Assumptions!$A$33:$A$37,0))</f>
        <v>0.37244030503813</v>
      </c>
      <c r="BB66" s="47" t="n">
        <f aca="false">AY66*AZ66*AD66</f>
        <v>2.859984</v>
      </c>
      <c r="BC66" s="47" t="n">
        <f aca="false">ROUND(MIN(AW66*Assumptions!$B$11,BB66),2)</f>
        <v>2.18</v>
      </c>
      <c r="BD66" s="26" t="s">
        <v>278</v>
      </c>
      <c r="BE66" s="48" t="n">
        <f aca="false">IF(AO66="Ranking — Full Push",MAX(0,MIN(IF(BD66="Yes",Assumptions!$B$12,Assumptions!$B$13),FLOOR(MAX(0,BB66/BC66-1),Assumptions!$B$14))),0)</f>
        <v>0</v>
      </c>
      <c r="BF66" s="49" t="str">
        <f aca="false">IF(AO66="Ranking — Full Push",IF(BE66&gt;=1,"YES — +100% Top of Search. Effective CPC $"&amp;TEXT(BG66,"0.00")&amp;" (= $"&amp;TEXT(BC66,"0.00")&amp;" × 2) stays within the $"&amp;TEXT(BB66,"0.00")&amp;" max ranking CPC"&amp;" (= $"&amp;TEXT(AY66,"0.00")&amp;" price × "&amp;TEXT(AZ66,"0.0%")&amp;" ranking ceiling × "&amp;TEXT(AD66,"0.0%")&amp;" CVR)"&amp;". Sleephoria CVR is proven on this term, so the full push is justified.",IF(AND(BD66="No",BE66&gt;=Assumptions!$B$13),"PARTIAL — +"&amp;TEXT(BE66,"0%")&amp;" Top of Search (limit for terms without proven CVR). Effective CPC $"&amp;TEXT(BG66,"0.00")&amp;" vs $"&amp;TEXT(BB66,"0.00")&amp;" max ranking CPC"&amp;" (= $"&amp;TEXT(AY66,"0.00")&amp;" price × "&amp;TEXT(AZ66,"0.0%")&amp;" ranking ceiling × "&amp;TEXT(AD66,"0.0%")&amp;" CVR)"&amp;". Raise to +100% only after CooLinens converts at ≥ "&amp;TEXT(AD66,"0.0%")&amp;" on 50+ clicks and $"&amp;TEXT(BC66*2,"0.00")&amp;" ≤ the max.",IF(BE66&gt;0,"PARTIAL — +"&amp;TEXT(BE66,"0%")&amp;" Top of Search. Effective CPC $"&amp;TEXT(BG66,"0.00")&amp;" stays within the $"&amp;TEXT(BB66,"0.00")&amp;" max ranking CPC"&amp;" (= $"&amp;TEXT(AY66,"0.00")&amp;" price × "&amp;TEXT(AZ66,"0.0%")&amp;" ranking ceiling × "&amp;TEXT(AD66,"0.0%")&amp;" CVR)"&amp;". +100% would cost $"&amp;TEXT(BC66*2,"0.00")&amp;" per click and push ACoS to "&amp;TEXT(BC66*2/(AY66*AD66),"0.0%")&amp;", above the "&amp;TEXT(AZ66,"0.0%")&amp;" ceiling.","NO — 0%. Base bid $"&amp;TEXT(BC66,"0.00")&amp;" already equals the $"&amp;TEXT(BB66,"0.00")&amp;" max ranking CPC"&amp;" (= $"&amp;TEXT(AY66,"0.00")&amp;" price × "&amp;TEXT(AZ66,"0.0%")&amp;" ranking ceiling × "&amp;TEXT(AD66,"0.0%")&amp;" CVR)"&amp;"; any modifier would push ACoS above the "&amp;TEXT(AZ66,"0.0%")&amp;" ceiling."))),IF(OR(AO66="Ranking — Head Term (Capped)",AO66="Ranking — Capped Entry",AO66="Ranking — Capped Long-Tail"),"NO — 0% (capped ranking entry). Bid $"&amp;TEXT(BC66,"0.00")&amp;" vs $"&amp;TEXT(BB66,"0.00")&amp;" max ranking CPC"&amp;" (= $"&amp;TEXT(AY66,"0.00")&amp;" price × "&amp;TEXT(AZ66,"0.0%")&amp;" ranking ceiling × "&amp;TEXT(AD66,"0.0%")&amp;" CVR)"&amp;". While spend is capped at "&amp;TEXT(AS66,"0.00")&amp;" clicks/day, a placement premium would only raise CPC without buying more rank; the modifier is set when this term moves to a full push.","NO — 0% (support / brand term). Bid $"&amp;TEXT(BC66,"0.00")&amp;" vs $"&amp;TEXT(BB66,"0.00")&amp;" max ranking CPC"&amp;" (= $"&amp;TEXT(AY66,"0.00")&amp;" price × "&amp;TEXT(AZ66,"0.0%")&amp;" ranking ceiling × "&amp;TEXT(AD66,"0.0%")&amp;" CVR)"&amp;"; expected ACoS "&amp;TEXT(BI66,"0.0%")&amp;" vs the "&amp;TEXT(AZ66,"0.0%")&amp;" ceiling."))</f>
        <v>NO — 0% (support / brand term). Bid $2.18 vs $2.86 max ranking CPC (= $79.99 price × 55.9% ranking ceiling × 6.4% CVR); expected ACoS 42.6% vs the 55.9% ceiling.</v>
      </c>
      <c r="BG66" s="50" t="n">
        <f aca="false">BC66*(1+BE66)</f>
        <v>2.18</v>
      </c>
      <c r="BH66" s="45" t="n">
        <f aca="false">AS66*BG66</f>
        <v>0.193297830528</v>
      </c>
      <c r="BI66" s="33" t="n">
        <f aca="false">IFERROR(BG66/(AY66*AD66),"")</f>
        <v>0.425834479309914</v>
      </c>
      <c r="BJ66" s="27" t="str">
        <f aca="false">IF(BI66="","",IF(BI66&lt;=BA66,"Profitable (≤ break-even)",IF(BI66&lt;=AZ66,"Ranking investment (≤ ceiling)","Above ceiling — reduce bid")))</f>
        <v>Ranking investment (≤ ceiling)</v>
      </c>
      <c r="BK66" s="49" t="str">
        <f aca="false">"Base $"&amp;TEXT(BC66,"0.00")&amp;" × (1 + "&amp;TEXT(BE66,"0%")&amp;" TOS) = $"&amp;TEXT(BG66,"0.00")&amp;" effective CPC [max $"&amp;TEXT(BB66,"0.00")&amp;"]. "&amp;TEXT(AG66,"0.0")&amp;" market clicks/day × "&amp;TEXT(AH66,"0.00%")&amp;" click share × "&amp;TEXT(AI66,"0%")&amp;" paid = "&amp;TEXT(AJ66,"0.00")&amp;" clicks/day needed; "&amp;"planned "&amp;TEXT(AS66,"0.00")&amp;" clicks/day × "&amp;TEXT(AD66,"0.0%")&amp;" CVR = "&amp;TEXT(AU66,"0.00")&amp;" orders/day. "&amp;"Spend $"&amp;TEXT(BH66,"0.00")&amp;"/day, ACoS "&amp;TEXT(BI66,"0.0%")&amp;" (ceiling "&amp;TEXT(AZ66,"0.0%")&amp;", break-even "&amp;TEXT(BA66,"0.0%")&amp;"). "&amp;"Target organic rank #"&amp;S66&amp;" by week 8 ("&amp;T66&amp;")."</f>
        <v>Base $2.18 × (1 + 0% TOS) = $2.18 effective CPC [max $2.86]. 10.8 market clicks/day × 1.24% click share × 66% paid = 0.09 clicks/day needed; planned 0.09 clicks/day × 6.4% CVR = 0.01 orders/day. Spend $0.19/day, ACoS 42.6% (ceiling 55.9%, break-even 37.2%). Target organic rank #20 by week 8 (#60 → #35 → #20).</v>
      </c>
      <c r="BL66" s="27" t="s">
        <v>1002</v>
      </c>
      <c r="BM66" s="27" t="s">
        <v>203</v>
      </c>
      <c r="BN66" s="27" t="s">
        <v>1015</v>
      </c>
      <c r="BO66" s="27" t="s">
        <v>1011</v>
      </c>
      <c r="BP66" s="27" t="s">
        <v>205</v>
      </c>
      <c r="BQ66" s="26" t="s">
        <v>206</v>
      </c>
      <c r="BR66" s="40" t="n">
        <f aca="false">IFERROR(INDEX(Campaigns!$L:$L,MATCH(BN66,Campaigns!$A:$A,0)),"")</f>
        <v>10</v>
      </c>
      <c r="BS66" s="51" t="str">
        <f aca="false">IFERROR(INDEX(Inventory!$O:$O,MATCH(BP66,Inventory!$A:$A,0)),"")</f>
        <v>OK</v>
      </c>
      <c r="BT66" s="52" t="n">
        <f aca="false">IFERROR(INDEX(Inventory!$N:$N,MATCH(BP66,Inventory!$A:$A,0)),"")</f>
        <v>91.5322601167724</v>
      </c>
      <c r="BU66" s="27" t="s">
        <v>1016</v>
      </c>
      <c r="BV66" s="27" t="s">
        <v>263</v>
      </c>
      <c r="BW66" s="27" t="s">
        <v>1017</v>
      </c>
      <c r="BX66" s="27" t="s">
        <v>1018</v>
      </c>
      <c r="BY66" s="27" t="s">
        <v>1019</v>
      </c>
      <c r="BZ66" s="27" t="s">
        <v>286</v>
      </c>
      <c r="CA66" s="27" t="s">
        <v>941</v>
      </c>
      <c r="CB66" s="27" t="s">
        <v>983</v>
      </c>
      <c r="CC66" s="27" t="s">
        <v>358</v>
      </c>
    </row>
    <row r="67" customFormat="false" ht="120" hidden="false" customHeight="true" outlineLevel="0" collapsed="false">
      <c r="A67" s="53" t="s">
        <v>1020</v>
      </c>
      <c r="B67" s="54" t="n">
        <v>2</v>
      </c>
      <c r="C67" s="26" t="s">
        <v>928</v>
      </c>
      <c r="D67" s="26" t="s">
        <v>185</v>
      </c>
      <c r="E67" s="27" t="s">
        <v>929</v>
      </c>
      <c r="F67" s="28" t="n">
        <v>1</v>
      </c>
      <c r="G67" s="27" t="s">
        <v>187</v>
      </c>
      <c r="H67" s="26" t="s">
        <v>342</v>
      </c>
      <c r="I67" s="29" t="n">
        <v>5.5</v>
      </c>
      <c r="J67" s="27" t="s">
        <v>1021</v>
      </c>
      <c r="K67" s="30" t="n">
        <v>766</v>
      </c>
      <c r="L67" s="31" t="n">
        <v>664</v>
      </c>
      <c r="M67" s="32" t="n">
        <f aca="false">L67/30</f>
        <v>22.1333333333333</v>
      </c>
      <c r="N67" s="33" t="n">
        <v>0.0343661971830985</v>
      </c>
      <c r="O67" s="27" t="s">
        <v>1022</v>
      </c>
      <c r="P67" s="27" t="s">
        <v>1023</v>
      </c>
      <c r="Q67" s="27" t="s">
        <v>1024</v>
      </c>
      <c r="R67" s="34" t="n">
        <v>2</v>
      </c>
      <c r="S67" s="35" t="n">
        <v>20</v>
      </c>
      <c r="T67" s="36" t="s">
        <v>346</v>
      </c>
      <c r="U67" s="27" t="s">
        <v>1025</v>
      </c>
      <c r="V67" s="37" t="n">
        <f aca="false">IFERROR(INDEX(Sleephoria_History!$F$454:$F$2115,MATCH($A67,Sleephoria_History!$A$454:$A$2115,0)),"")</f>
        <v>34</v>
      </c>
      <c r="W67" s="38" t="n">
        <f aca="false">IFERROR(INDEX(Sleephoria_History!$J$454:$J$2115,MATCH($A67,Sleephoria_History!$A$454:$A$2115,0)),"")</f>
        <v>0.0588</v>
      </c>
      <c r="X67" s="39" t="n">
        <f aca="false">IFERROR(INDEX(Sleephoria_History!$H$454:$H$2115,MATCH($A67,Sleephoria_History!$A$454:$A$2115,0)),"")</f>
        <v>1.83</v>
      </c>
      <c r="Y67" s="38" t="n">
        <f aca="false">IFERROR(INDEX(Sleephoria_History!$M$454:$M$2115,MATCH($A67,Sleephoria_History!$A$454:$A$2115,0)),"")</f>
        <v>0.389</v>
      </c>
      <c r="Z67" s="40" t="n">
        <f aca="false">IFERROR(INDEX(Sleephoria_History!$L$454:$L$2115,MATCH($A67,Sleephoria_History!$A$454:$A$2115,0)),"")</f>
        <v>159.98</v>
      </c>
      <c r="AA67" s="37" t="n">
        <f aca="false">IFERROR(INDEX(Decolure_History!$F$397:$F$709,MATCH($A67,Decolure_History!$A$397:$A$709,0)),"")</f>
        <v>37</v>
      </c>
      <c r="AB67" s="38" t="n">
        <f aca="false">IFERROR(INDEX(Decolure_History!$J$397:$J$709,MATCH($A67,Decolure_History!$A$397:$A$709,0)),"")</f>
        <v>0.1351</v>
      </c>
      <c r="AC67" s="38" t="n">
        <f aca="false">IFERROR(INDEX(Decolure_History!$M$397:$M$709,MATCH($A67,Decolure_History!$A$397:$A$709,0)),"")</f>
        <v>0.576</v>
      </c>
      <c r="AD67" s="41" t="n">
        <v>0.064</v>
      </c>
      <c r="AE67" s="27" t="s">
        <v>275</v>
      </c>
      <c r="AF67" s="42" t="n">
        <v>0.514</v>
      </c>
      <c r="AG67" s="32" t="n">
        <f aca="false">M67*AF67</f>
        <v>11.3765333333333</v>
      </c>
      <c r="AH67" s="43" t="n">
        <f aca="false">IF(AO67="Brand Defense",0,IFERROR(VLOOKUP(S67,Assumptions!$A$24:$B$28,2,FALSE()),0))</f>
        <v>0.0124</v>
      </c>
      <c r="AI67" s="28" t="n">
        <f aca="false">Assumptions!$B$6</f>
        <v>0.66</v>
      </c>
      <c r="AJ67" s="44" t="n">
        <f aca="false">AG67*AH67*AI67</f>
        <v>0.0931055488</v>
      </c>
      <c r="AK67" s="44" t="n">
        <f aca="false">AJ67*AD67</f>
        <v>0.0059587551232</v>
      </c>
      <c r="AL67" s="30" t="n">
        <f aca="false">AJ67*56</f>
        <v>5.2139107328</v>
      </c>
      <c r="AM67" s="32" t="n">
        <f aca="false">AK67*56</f>
        <v>0.3336902868992</v>
      </c>
      <c r="AN67" s="44" t="n">
        <f aca="false">M67*Assumptions!$B$8</f>
        <v>2.21333333333333</v>
      </c>
      <c r="AO67" s="27" t="s">
        <v>328</v>
      </c>
      <c r="AP67" s="27" t="s">
        <v>1001</v>
      </c>
      <c r="AQ67" s="26" t="s">
        <v>198</v>
      </c>
      <c r="AR67" s="27" t="s">
        <v>199</v>
      </c>
      <c r="AS67" s="44" t="n">
        <f aca="false">IF(AO67="Ranking — Full Push",MIN(MAX(AJ67,Assumptions!$B$9),AN67),IF(AO67="Brand Defense",MIN(Assumptions!$B$7,AN67),IF(OR(AO67="Ranking — Head Term (Capped)",AO67="Ranking — Capped Entry"),MIN(MAX(AJ67,Assumptions!$B$9),Assumptions!$B$7,AN67),IF(AO67="Ranking — Capped Long-Tail",MIN(AJ67,Assumptions!$B$10,AN67),MIN(AJ67,AN67)))))</f>
        <v>0.0931055488</v>
      </c>
      <c r="AT67" s="27" t="str">
        <f aca="false">IF(AJ67&lt;=0,"",IF(AS67&gt;=AJ67,IF(AS67&gt;AJ67*1.05,"Floor of "&amp;TEXT(AS67,"0.0")&amp;" click/day to read CVR (rank needs "&amp;TEXT(AJ67,"0.00")&amp;")","Fully funded (100%)"),"Capped at "&amp;TEXT(AS67/AJ67,"0%")&amp;" of required"))</f>
        <v>Fully funded (100%)</v>
      </c>
      <c r="AU67" s="44" t="n">
        <f aca="false">AS67*AD67</f>
        <v>0.0059587551232</v>
      </c>
      <c r="AV67" s="45" t="n">
        <f aca="false">AU67*AY67</f>
        <v>0.476640822304768</v>
      </c>
      <c r="AW67" s="46" t="n">
        <v>1.83</v>
      </c>
      <c r="AX67" s="27" t="s">
        <v>1026</v>
      </c>
      <c r="AY67" s="47" t="n">
        <f aca="false">INDEX(Assumptions!$B$33:$B$37,MATCH(IF($D67="","Queen",$D67),Assumptions!$A$33:$A$37,0))</f>
        <v>79.99</v>
      </c>
      <c r="AZ67" s="33" t="n">
        <f aca="false">INDEX(Assumptions!$K$33:$K$37,MATCH(IF($D67="","Queen",$D67),Assumptions!$A$33:$A$37,0))</f>
        <v>0.558660457557195</v>
      </c>
      <c r="BA67" s="33" t="n">
        <f aca="false">INDEX(Assumptions!$H$33:$H$37,MATCH(IF($D67="","Queen",$D67),Assumptions!$A$33:$A$37,0))</f>
        <v>0.37244030503813</v>
      </c>
      <c r="BB67" s="47" t="n">
        <f aca="false">AY67*AZ67*AD67</f>
        <v>2.859984</v>
      </c>
      <c r="BC67" s="47" t="n">
        <f aca="false">ROUND(MIN(AW67*Assumptions!$B$11,BB67),2)</f>
        <v>1.83</v>
      </c>
      <c r="BD67" s="26" t="s">
        <v>278</v>
      </c>
      <c r="BE67" s="48" t="n">
        <f aca="false">IF(AO67="Ranking — Full Push",MAX(0,MIN(IF(BD67="Yes",Assumptions!$B$12,Assumptions!$B$13),FLOOR(MAX(0,BB67/BC67-1),Assumptions!$B$14))),0)</f>
        <v>0</v>
      </c>
      <c r="BF67" s="49" t="str">
        <f aca="false">IF(AO67="Ranking — Full Push",IF(BE67&gt;=1,"YES — +100% Top of Search. Effective CPC $"&amp;TEXT(BG67,"0.00")&amp;" (= $"&amp;TEXT(BC67,"0.00")&amp;" × 2) stays within the $"&amp;TEXT(BB67,"0.00")&amp;" max ranking CPC"&amp;" (= $"&amp;TEXT(AY67,"0.00")&amp;" price × "&amp;TEXT(AZ67,"0.0%")&amp;" ranking ceiling × "&amp;TEXT(AD67,"0.0%")&amp;" CVR)"&amp;". Sleephoria CVR is proven on this term, so the full push is justified.",IF(AND(BD67="No",BE67&gt;=Assumptions!$B$13),"PARTIAL — +"&amp;TEXT(BE67,"0%")&amp;" Top of Search (limit for terms without proven CVR). Effective CPC $"&amp;TEXT(BG67,"0.00")&amp;" vs $"&amp;TEXT(BB67,"0.00")&amp;" max ranking CPC"&amp;" (= $"&amp;TEXT(AY67,"0.00")&amp;" price × "&amp;TEXT(AZ67,"0.0%")&amp;" ranking ceiling × "&amp;TEXT(AD67,"0.0%")&amp;" CVR)"&amp;". Raise to +100% only after CooLinens converts at ≥ "&amp;TEXT(AD67,"0.0%")&amp;" on 50+ clicks and $"&amp;TEXT(BC67*2,"0.00")&amp;" ≤ the max.",IF(BE67&gt;0,"PARTIAL — +"&amp;TEXT(BE67,"0%")&amp;" Top of Search. Effective CPC $"&amp;TEXT(BG67,"0.00")&amp;" stays within the $"&amp;TEXT(BB67,"0.00")&amp;" max ranking CPC"&amp;" (= $"&amp;TEXT(AY67,"0.00")&amp;" price × "&amp;TEXT(AZ67,"0.0%")&amp;" ranking ceiling × "&amp;TEXT(AD67,"0.0%")&amp;" CVR)"&amp;". +100% would cost $"&amp;TEXT(BC67*2,"0.00")&amp;" per click and push ACoS to "&amp;TEXT(BC67*2/(AY67*AD67),"0.0%")&amp;", above the "&amp;TEXT(AZ67,"0.0%")&amp;" ceiling.","NO — 0%. Base bid $"&amp;TEXT(BC67,"0.00")&amp;" already equals the $"&amp;TEXT(BB67,"0.00")&amp;" max ranking CPC"&amp;" (= $"&amp;TEXT(AY67,"0.00")&amp;" price × "&amp;TEXT(AZ67,"0.0%")&amp;" ranking ceiling × "&amp;TEXT(AD67,"0.0%")&amp;" CVR)"&amp;"; any modifier would push ACoS above the "&amp;TEXT(AZ67,"0.0%")&amp;" ceiling."))),IF(OR(AO67="Ranking — Head Term (Capped)",AO67="Ranking — Capped Entry",AO67="Ranking — Capped Long-Tail"),"NO — 0% (capped ranking entry). Bid $"&amp;TEXT(BC67,"0.00")&amp;" vs $"&amp;TEXT(BB67,"0.00")&amp;" max ranking CPC"&amp;" (= $"&amp;TEXT(AY67,"0.00")&amp;" price × "&amp;TEXT(AZ67,"0.0%")&amp;" ranking ceiling × "&amp;TEXT(AD67,"0.0%")&amp;" CVR)"&amp;". While spend is capped at "&amp;TEXT(AS67,"0.00")&amp;" clicks/day, a placement premium would only raise CPC without buying more rank; the modifier is set when this term moves to a full push.","NO — 0% (support / brand term). Bid $"&amp;TEXT(BC67,"0.00")&amp;" vs $"&amp;TEXT(BB67,"0.00")&amp;" max ranking CPC"&amp;" (= $"&amp;TEXT(AY67,"0.00")&amp;" price × "&amp;TEXT(AZ67,"0.0%")&amp;" ranking ceiling × "&amp;TEXT(AD67,"0.0%")&amp;" CVR)"&amp;"; expected ACoS "&amp;TEXT(BI67,"0.0%")&amp;" vs the "&amp;TEXT(AZ67,"0.0%")&amp;" ceiling."))</f>
        <v>NO — 0% (support / brand term). Bid $1.83 vs $2.86 max ranking CPC (= $79.99 price × 55.9% ranking ceiling × 6.4% CVR); expected ACoS 35.7% vs the 55.9% ceiling.</v>
      </c>
      <c r="BG67" s="50" t="n">
        <f aca="false">BC67*(1+BE67)</f>
        <v>1.83</v>
      </c>
      <c r="BH67" s="45" t="n">
        <f aca="false">AS67*BG67</f>
        <v>0.170383154304</v>
      </c>
      <c r="BI67" s="33" t="n">
        <f aca="false">IFERROR(BG67/(AY67*AD67),"")</f>
        <v>0.35746655831979</v>
      </c>
      <c r="BJ67" s="27" t="str">
        <f aca="false">IF(BI67="","",IF(BI67&lt;=BA67,"Profitable (≤ break-even)",IF(BI67&lt;=AZ67,"Ranking investment (≤ ceiling)","Above ceiling — reduce bid")))</f>
        <v>Profitable (≤ break-even)</v>
      </c>
      <c r="BK67" s="49" t="str">
        <f aca="false">"Base $"&amp;TEXT(BC67,"0.00")&amp;" × (1 + "&amp;TEXT(BE67,"0%")&amp;" TOS) = $"&amp;TEXT(BG67,"0.00")&amp;" effective CPC [max $"&amp;TEXT(BB67,"0.00")&amp;"]. "&amp;TEXT(AG67,"0.0")&amp;" market clicks/day × "&amp;TEXT(AH67,"0.00%")&amp;" click share × "&amp;TEXT(AI67,"0%")&amp;" paid = "&amp;TEXT(AJ67,"0.00")&amp;" clicks/day needed; "&amp;"planned "&amp;TEXT(AS67,"0.00")&amp;" clicks/day × "&amp;TEXT(AD67,"0.0%")&amp;" CVR = "&amp;TEXT(AU67,"0.00")&amp;" orders/day. "&amp;"Spend $"&amp;TEXT(BH67,"0.00")&amp;"/day, ACoS "&amp;TEXT(BI67,"0.0%")&amp;" (ceiling "&amp;TEXT(AZ67,"0.0%")&amp;", break-even "&amp;TEXT(BA67,"0.0%")&amp;"). "&amp;"Target organic rank #"&amp;S67&amp;" by week 8 ("&amp;T67&amp;")."</f>
        <v>Base $1.83 × (1 + 0% TOS) = $1.83 effective CPC [max $2.86]. 11.4 market clicks/day × 1.24% click share × 66% paid = 0.09 clicks/day needed; planned 0.09 clicks/day × 6.4% CVR = 0.01 orders/day. Spend $0.17/day, ACoS 35.7% (ceiling 55.9%, break-even 37.2%). Target organic rank #20 by week 8 (#60 → #35 → #20).</v>
      </c>
      <c r="BL67" s="27" t="s">
        <v>1027</v>
      </c>
      <c r="BM67" s="27" t="s">
        <v>203</v>
      </c>
      <c r="BN67" s="27" t="s">
        <v>1028</v>
      </c>
      <c r="BO67" s="27" t="s">
        <v>1020</v>
      </c>
      <c r="BP67" s="27" t="s">
        <v>205</v>
      </c>
      <c r="BQ67" s="26" t="s">
        <v>206</v>
      </c>
      <c r="BR67" s="40" t="n">
        <f aca="false">IFERROR(INDEX(Campaigns!$L:$L,MATCH(BN67,Campaigns!$A:$A,0)),"")</f>
        <v>10</v>
      </c>
      <c r="BS67" s="51" t="str">
        <f aca="false">IFERROR(INDEX(Inventory!$O:$O,MATCH(BP67,Inventory!$A:$A,0)),"")</f>
        <v>OK</v>
      </c>
      <c r="BT67" s="52" t="n">
        <f aca="false">IFERROR(INDEX(Inventory!$N:$N,MATCH(BP67,Inventory!$A:$A,0)),"")</f>
        <v>91.5322601167724</v>
      </c>
      <c r="BU67" s="27" t="s">
        <v>1029</v>
      </c>
      <c r="BV67" s="27" t="s">
        <v>1030</v>
      </c>
      <c r="BW67" s="27" t="s">
        <v>1031</v>
      </c>
      <c r="BX67" s="27" t="s">
        <v>1032</v>
      </c>
      <c r="BY67" s="27" t="s">
        <v>1033</v>
      </c>
      <c r="BZ67" s="27" t="s">
        <v>1034</v>
      </c>
      <c r="CA67" s="27" t="s">
        <v>941</v>
      </c>
      <c r="CB67" s="27" t="s">
        <v>1035</v>
      </c>
      <c r="CC67" s="27" t="s">
        <v>358</v>
      </c>
    </row>
    <row r="68" customFormat="false" ht="120" hidden="false" customHeight="true" outlineLevel="0" collapsed="false">
      <c r="A68" s="53" t="s">
        <v>1036</v>
      </c>
      <c r="B68" s="54" t="n">
        <v>2</v>
      </c>
      <c r="C68" s="26" t="s">
        <v>928</v>
      </c>
      <c r="D68" s="26" t="s">
        <v>185</v>
      </c>
      <c r="E68" s="27" t="s">
        <v>929</v>
      </c>
      <c r="F68" s="28" t="n">
        <v>1</v>
      </c>
      <c r="G68" s="27" t="s">
        <v>187</v>
      </c>
      <c r="H68" s="26" t="s">
        <v>342</v>
      </c>
      <c r="I68" s="29" t="n">
        <v>5</v>
      </c>
      <c r="J68" s="27" t="s">
        <v>970</v>
      </c>
      <c r="K68" s="30" t="n">
        <v>1213</v>
      </c>
      <c r="L68" s="31" t="n">
        <v>615</v>
      </c>
      <c r="M68" s="32" t="n">
        <f aca="false">L68/30</f>
        <v>20.5</v>
      </c>
      <c r="N68" s="33" t="n">
        <v>0.050036791758646</v>
      </c>
      <c r="O68" s="27" t="s">
        <v>769</v>
      </c>
      <c r="P68" s="27" t="s">
        <v>1037</v>
      </c>
      <c r="Q68" s="27" t="s">
        <v>307</v>
      </c>
      <c r="R68" s="34" t="n">
        <v>3</v>
      </c>
      <c r="S68" s="35" t="n">
        <v>20</v>
      </c>
      <c r="T68" s="36" t="s">
        <v>346</v>
      </c>
      <c r="U68" s="27" t="s">
        <v>1038</v>
      </c>
      <c r="V68" s="37" t="n">
        <f aca="false">IFERROR(INDEX(Sleephoria_History!$F$454:$F$2115,MATCH($A68,Sleephoria_History!$A$454:$A$2115,0)),"")</f>
        <v>2</v>
      </c>
      <c r="W68" s="38" t="n">
        <f aca="false">IFERROR(INDEX(Sleephoria_History!$J$454:$J$2115,MATCH($A68,Sleephoria_History!$A$454:$A$2115,0)),"")</f>
        <v>0</v>
      </c>
      <c r="X68" s="39" t="n">
        <f aca="false">IFERROR(INDEX(Sleephoria_History!$H$454:$H$2115,MATCH($A68,Sleephoria_History!$A$454:$A$2115,0)),"")</f>
        <v>2.84</v>
      </c>
      <c r="Y68" s="38" t="n">
        <f aca="false">IFERROR(INDEX(Sleephoria_History!$M$454:$M$2115,MATCH($A68,Sleephoria_History!$A$454:$A$2115,0)),"")</f>
        <v>0</v>
      </c>
      <c r="Z68" s="40" t="n">
        <f aca="false">IFERROR(INDEX(Sleephoria_History!$L$454:$L$2115,MATCH($A68,Sleephoria_History!$A$454:$A$2115,0)),"")</f>
        <v>0</v>
      </c>
      <c r="AA68" s="37" t="str">
        <f aca="false">IFERROR(INDEX(Decolure_History!$F$397:$F$709,MATCH($A68,Decolure_History!$A$397:$A$709,0)),"")</f>
        <v/>
      </c>
      <c r="AB68" s="38" t="str">
        <f aca="false">IFERROR(INDEX(Decolure_History!$J$397:$J$709,MATCH($A68,Decolure_History!$A$397:$A$709,0)),"")</f>
        <v/>
      </c>
      <c r="AC68" s="38" t="str">
        <f aca="false">IFERROR(INDEX(Decolure_History!$M$397:$M$709,MATCH($A68,Decolure_History!$A$397:$A$709,0)),"")</f>
        <v/>
      </c>
      <c r="AD68" s="41" t="n">
        <v>0.064</v>
      </c>
      <c r="AE68" s="27" t="s">
        <v>275</v>
      </c>
      <c r="AF68" s="42" t="n">
        <v>0.44</v>
      </c>
      <c r="AG68" s="32" t="n">
        <f aca="false">M68*AF68</f>
        <v>9.02</v>
      </c>
      <c r="AH68" s="43" t="n">
        <f aca="false">IF(AO68="Brand Defense",0,IFERROR(VLOOKUP(S68,Assumptions!$A$24:$B$28,2,FALSE()),0))</f>
        <v>0.0124</v>
      </c>
      <c r="AI68" s="28" t="n">
        <f aca="false">Assumptions!$B$6</f>
        <v>0.66</v>
      </c>
      <c r="AJ68" s="44" t="n">
        <f aca="false">AG68*AH68*AI68</f>
        <v>0.07381968</v>
      </c>
      <c r="AK68" s="44" t="n">
        <f aca="false">AJ68*AD68</f>
        <v>0.00472445952</v>
      </c>
      <c r="AL68" s="30" t="n">
        <f aca="false">AJ68*56</f>
        <v>4.13390208</v>
      </c>
      <c r="AM68" s="32" t="n">
        <f aca="false">AK68*56</f>
        <v>0.26456973312</v>
      </c>
      <c r="AN68" s="44" t="n">
        <f aca="false">M68*Assumptions!$B$8</f>
        <v>2.05</v>
      </c>
      <c r="AO68" s="27" t="s">
        <v>328</v>
      </c>
      <c r="AP68" s="27" t="s">
        <v>1014</v>
      </c>
      <c r="AQ68" s="26" t="s">
        <v>198</v>
      </c>
      <c r="AR68" s="27" t="s">
        <v>199</v>
      </c>
      <c r="AS68" s="44" t="n">
        <f aca="false">IF(AO68="Ranking — Full Push",MIN(MAX(AJ68,Assumptions!$B$9),AN68),IF(AO68="Brand Defense",MIN(Assumptions!$B$7,AN68),IF(OR(AO68="Ranking — Head Term (Capped)",AO68="Ranking — Capped Entry"),MIN(MAX(AJ68,Assumptions!$B$9),Assumptions!$B$7,AN68),IF(AO68="Ranking — Capped Long-Tail",MIN(AJ68,Assumptions!$B$10,AN68),MIN(AJ68,AN68)))))</f>
        <v>0.07381968</v>
      </c>
      <c r="AT68" s="27" t="str">
        <f aca="false">IF(AJ68&lt;=0,"",IF(AS68&gt;=AJ68,IF(AS68&gt;AJ68*1.05,"Floor of "&amp;TEXT(AS68,"0.0")&amp;" click/day to read CVR (rank needs "&amp;TEXT(AJ68,"0.00")&amp;")","Fully funded (100%)"),"Capped at "&amp;TEXT(AS68/AJ68,"0%")&amp;" of required"))</f>
        <v>Fully funded (100%)</v>
      </c>
      <c r="AU68" s="44" t="n">
        <f aca="false">AS68*AD68</f>
        <v>0.00472445952</v>
      </c>
      <c r="AV68" s="45" t="n">
        <f aca="false">AU68*AY68</f>
        <v>0.3779095170048</v>
      </c>
      <c r="AW68" s="46" t="n">
        <v>2.18</v>
      </c>
      <c r="AX68" s="27" t="s">
        <v>295</v>
      </c>
      <c r="AY68" s="47" t="n">
        <f aca="false">INDEX(Assumptions!$B$33:$B$37,MATCH(IF($D68="","Queen",$D68),Assumptions!$A$33:$A$37,0))</f>
        <v>79.99</v>
      </c>
      <c r="AZ68" s="33" t="n">
        <f aca="false">INDEX(Assumptions!$K$33:$K$37,MATCH(IF($D68="","Queen",$D68),Assumptions!$A$33:$A$37,0))</f>
        <v>0.558660457557195</v>
      </c>
      <c r="BA68" s="33" t="n">
        <f aca="false">INDEX(Assumptions!$H$33:$H$37,MATCH(IF($D68="","Queen",$D68),Assumptions!$A$33:$A$37,0))</f>
        <v>0.37244030503813</v>
      </c>
      <c r="BB68" s="47" t="n">
        <f aca="false">AY68*AZ68*AD68</f>
        <v>2.859984</v>
      </c>
      <c r="BC68" s="47" t="n">
        <f aca="false">ROUND(MIN(AW68*Assumptions!$B$11,BB68),2)</f>
        <v>2.18</v>
      </c>
      <c r="BD68" s="26" t="s">
        <v>278</v>
      </c>
      <c r="BE68" s="48" t="n">
        <f aca="false">IF(AO68="Ranking — Full Push",MAX(0,MIN(IF(BD68="Yes",Assumptions!$B$12,Assumptions!$B$13),FLOOR(MAX(0,BB68/BC68-1),Assumptions!$B$14))),0)</f>
        <v>0</v>
      </c>
      <c r="BF68" s="49" t="str">
        <f aca="false">IF(AO68="Ranking — Full Push",IF(BE68&gt;=1,"YES — +100% Top of Search. Effective CPC $"&amp;TEXT(BG68,"0.00")&amp;" (= $"&amp;TEXT(BC68,"0.00")&amp;" × 2) stays within the $"&amp;TEXT(BB68,"0.00")&amp;" max ranking CPC"&amp;" (= $"&amp;TEXT(AY68,"0.00")&amp;" price × "&amp;TEXT(AZ68,"0.0%")&amp;" ranking ceiling × "&amp;TEXT(AD68,"0.0%")&amp;" CVR)"&amp;". Sleephoria CVR is proven on this term, so the full push is justified.",IF(AND(BD68="No",BE68&gt;=Assumptions!$B$13),"PARTIAL — +"&amp;TEXT(BE68,"0%")&amp;" Top of Search (limit for terms without proven CVR). Effective CPC $"&amp;TEXT(BG68,"0.00")&amp;" vs $"&amp;TEXT(BB68,"0.00")&amp;" max ranking CPC"&amp;" (= $"&amp;TEXT(AY68,"0.00")&amp;" price × "&amp;TEXT(AZ68,"0.0%")&amp;" ranking ceiling × "&amp;TEXT(AD68,"0.0%")&amp;" CVR)"&amp;". Raise to +100% only after CooLinens converts at ≥ "&amp;TEXT(AD68,"0.0%")&amp;" on 50+ clicks and $"&amp;TEXT(BC68*2,"0.00")&amp;" ≤ the max.",IF(BE68&gt;0,"PARTIAL — +"&amp;TEXT(BE68,"0%")&amp;" Top of Search. Effective CPC $"&amp;TEXT(BG68,"0.00")&amp;" stays within the $"&amp;TEXT(BB68,"0.00")&amp;" max ranking CPC"&amp;" (= $"&amp;TEXT(AY68,"0.00")&amp;" price × "&amp;TEXT(AZ68,"0.0%")&amp;" ranking ceiling × "&amp;TEXT(AD68,"0.0%")&amp;" CVR)"&amp;". +100% would cost $"&amp;TEXT(BC68*2,"0.00")&amp;" per click and push ACoS to "&amp;TEXT(BC68*2/(AY68*AD68),"0.0%")&amp;", above the "&amp;TEXT(AZ68,"0.0%")&amp;" ceiling.","NO — 0%. Base bid $"&amp;TEXT(BC68,"0.00")&amp;" already equals the $"&amp;TEXT(BB68,"0.00")&amp;" max ranking CPC"&amp;" (= $"&amp;TEXT(AY68,"0.00")&amp;" price × "&amp;TEXT(AZ68,"0.0%")&amp;" ranking ceiling × "&amp;TEXT(AD68,"0.0%")&amp;" CVR)"&amp;"; any modifier would push ACoS above the "&amp;TEXT(AZ68,"0.0%")&amp;" ceiling."))),IF(OR(AO68="Ranking — Head Term (Capped)",AO68="Ranking — Capped Entry",AO68="Ranking — Capped Long-Tail"),"NO — 0% (capped ranking entry). Bid $"&amp;TEXT(BC68,"0.00")&amp;" vs $"&amp;TEXT(BB68,"0.00")&amp;" max ranking CPC"&amp;" (= $"&amp;TEXT(AY68,"0.00")&amp;" price × "&amp;TEXT(AZ68,"0.0%")&amp;" ranking ceiling × "&amp;TEXT(AD68,"0.0%")&amp;" CVR)"&amp;". While spend is capped at "&amp;TEXT(AS68,"0.00")&amp;" clicks/day, a placement premium would only raise CPC without buying more rank; the modifier is set when this term moves to a full push.","NO — 0% (support / brand term). Bid $"&amp;TEXT(BC68,"0.00")&amp;" vs $"&amp;TEXT(BB68,"0.00")&amp;" max ranking CPC"&amp;" (= $"&amp;TEXT(AY68,"0.00")&amp;" price × "&amp;TEXT(AZ68,"0.0%")&amp;" ranking ceiling × "&amp;TEXT(AD68,"0.0%")&amp;" CVR)"&amp;"; expected ACoS "&amp;TEXT(BI68,"0.0%")&amp;" vs the "&amp;TEXT(AZ68,"0.0%")&amp;" ceiling."))</f>
        <v>NO — 0% (support / brand term). Bid $2.18 vs $2.86 max ranking CPC (= $79.99 price × 55.9% ranking ceiling × 6.4% CVR); expected ACoS 42.6% vs the 55.9% ceiling.</v>
      </c>
      <c r="BG68" s="50" t="n">
        <f aca="false">BC68*(1+BE68)</f>
        <v>2.18</v>
      </c>
      <c r="BH68" s="45" t="n">
        <f aca="false">AS68*BG68</f>
        <v>0.1609269024</v>
      </c>
      <c r="BI68" s="33" t="n">
        <f aca="false">IFERROR(BG68/(AY68*AD68),"")</f>
        <v>0.425834479309914</v>
      </c>
      <c r="BJ68" s="27" t="str">
        <f aca="false">IF(BI68="","",IF(BI68&lt;=BA68,"Profitable (≤ break-even)",IF(BI68&lt;=AZ68,"Ranking investment (≤ ceiling)","Above ceiling — reduce bid")))</f>
        <v>Ranking investment (≤ ceiling)</v>
      </c>
      <c r="BK68" s="49" t="str">
        <f aca="false">"Base $"&amp;TEXT(BC68,"0.00")&amp;" × (1 + "&amp;TEXT(BE68,"0%")&amp;" TOS) = $"&amp;TEXT(BG68,"0.00")&amp;" effective CPC [max $"&amp;TEXT(BB68,"0.00")&amp;"]. "&amp;TEXT(AG68,"0.0")&amp;" market clicks/day × "&amp;TEXT(AH68,"0.00%")&amp;" click share × "&amp;TEXT(AI68,"0%")&amp;" paid = "&amp;TEXT(AJ68,"0.00")&amp;" clicks/day needed; "&amp;"planned "&amp;TEXT(AS68,"0.00")&amp;" clicks/day × "&amp;TEXT(AD68,"0.0%")&amp;" CVR = "&amp;TEXT(AU68,"0.00")&amp;" orders/day. "&amp;"Spend $"&amp;TEXT(BH68,"0.00")&amp;"/day, ACoS "&amp;TEXT(BI68,"0.0%")&amp;" (ceiling "&amp;TEXT(AZ68,"0.0%")&amp;", break-even "&amp;TEXT(BA68,"0.0%")&amp;"). "&amp;"Target organic rank #"&amp;S68&amp;" by week 8 ("&amp;T68&amp;")."</f>
        <v>Base $2.18 × (1 + 0% TOS) = $2.18 effective CPC [max $2.86]. 9.0 market clicks/day × 1.24% click share × 66% paid = 0.07 clicks/day needed; planned 0.07 clicks/day × 6.4% CVR = 0.00 orders/day. Spend $0.16/day, ACoS 42.6% (ceiling 55.9%, break-even 37.2%). Target organic rank #20 by week 8 (#60 → #35 → #20).</v>
      </c>
      <c r="BL68" s="27" t="s">
        <v>1002</v>
      </c>
      <c r="BM68" s="27" t="s">
        <v>203</v>
      </c>
      <c r="BN68" s="27" t="s">
        <v>1039</v>
      </c>
      <c r="BO68" s="27" t="s">
        <v>1036</v>
      </c>
      <c r="BP68" s="27" t="s">
        <v>205</v>
      </c>
      <c r="BQ68" s="26" t="s">
        <v>206</v>
      </c>
      <c r="BR68" s="40" t="n">
        <f aca="false">IFERROR(INDEX(Campaigns!$L:$L,MATCH(BN68,Campaigns!$A:$A,0)),"")</f>
        <v>10</v>
      </c>
      <c r="BS68" s="51" t="str">
        <f aca="false">IFERROR(INDEX(Inventory!$O:$O,MATCH(BP68,Inventory!$A:$A,0)),"")</f>
        <v>OK</v>
      </c>
      <c r="BT68" s="52" t="n">
        <f aca="false">IFERROR(INDEX(Inventory!$N:$N,MATCH(BP68,Inventory!$A:$A,0)),"")</f>
        <v>91.5322601167724</v>
      </c>
      <c r="BU68" s="27" t="s">
        <v>1040</v>
      </c>
      <c r="BV68" s="27" t="s">
        <v>263</v>
      </c>
      <c r="BW68" s="27" t="s">
        <v>1041</v>
      </c>
      <c r="BX68" s="27" t="s">
        <v>1042</v>
      </c>
      <c r="BY68" s="27" t="s">
        <v>1043</v>
      </c>
      <c r="BZ68" s="27" t="s">
        <v>1044</v>
      </c>
      <c r="CA68" s="27" t="s">
        <v>941</v>
      </c>
      <c r="CB68" s="27" t="s">
        <v>983</v>
      </c>
      <c r="CC68" s="27" t="s">
        <v>358</v>
      </c>
    </row>
    <row r="69" customFormat="false" ht="120" hidden="false" customHeight="true" outlineLevel="0" collapsed="false">
      <c r="A69" s="53" t="s">
        <v>1045</v>
      </c>
      <c r="B69" s="54" t="n">
        <v>2</v>
      </c>
      <c r="C69" s="26" t="s">
        <v>928</v>
      </c>
      <c r="D69" s="26" t="s">
        <v>185</v>
      </c>
      <c r="E69" s="27" t="s">
        <v>929</v>
      </c>
      <c r="F69" s="28" t="n">
        <v>1</v>
      </c>
      <c r="G69" s="27" t="s">
        <v>187</v>
      </c>
      <c r="H69" s="26" t="s">
        <v>342</v>
      </c>
      <c r="I69" s="29" t="n">
        <v>4</v>
      </c>
      <c r="J69" s="27" t="s">
        <v>750</v>
      </c>
      <c r="K69" s="30" t="n">
        <v>766</v>
      </c>
      <c r="L69" s="31" t="n">
        <v>496</v>
      </c>
      <c r="M69" s="32" t="n">
        <f aca="false">L69/30</f>
        <v>16.5333333333333</v>
      </c>
      <c r="N69" s="33" t="n">
        <v>0.0261207200847158</v>
      </c>
      <c r="O69" s="27" t="s">
        <v>1046</v>
      </c>
      <c r="P69" s="27" t="s">
        <v>1047</v>
      </c>
      <c r="Q69" s="27" t="s">
        <v>307</v>
      </c>
      <c r="R69" s="34" t="n">
        <v>4</v>
      </c>
      <c r="S69" s="35" t="n">
        <v>20</v>
      </c>
      <c r="T69" s="36" t="s">
        <v>346</v>
      </c>
      <c r="U69" s="27" t="s">
        <v>1048</v>
      </c>
      <c r="V69" s="37" t="n">
        <f aca="false">IFERROR(INDEX(Sleephoria_History!$F$454:$F$2115,MATCH($A69,Sleephoria_History!$A$454:$A$2115,0)),"")</f>
        <v>7</v>
      </c>
      <c r="W69" s="38" t="n">
        <f aca="false">IFERROR(INDEX(Sleephoria_History!$J$454:$J$2115,MATCH($A69,Sleephoria_History!$A$454:$A$2115,0)),"")</f>
        <v>0.2857</v>
      </c>
      <c r="X69" s="39" t="n">
        <f aca="false">IFERROR(INDEX(Sleephoria_History!$H$454:$H$2115,MATCH($A69,Sleephoria_History!$A$454:$A$2115,0)),"")</f>
        <v>2.08</v>
      </c>
      <c r="Y69" s="38" t="n">
        <f aca="false">IFERROR(INDEX(Sleephoria_History!$M$454:$M$2115,MATCH($A69,Sleephoria_History!$A$454:$A$2115,0)),"")</f>
        <v>0.125</v>
      </c>
      <c r="Z69" s="40" t="n">
        <f aca="false">IFERROR(INDEX(Sleephoria_History!$L$454:$L$2115,MATCH($A69,Sleephoria_History!$A$454:$A$2115,0)),"")</f>
        <v>115.98</v>
      </c>
      <c r="AA69" s="37" t="str">
        <f aca="false">IFERROR(INDEX(Decolure_History!$F$397:$F$709,MATCH($A69,Decolure_History!$A$397:$A$709,0)),"")</f>
        <v/>
      </c>
      <c r="AB69" s="38" t="str">
        <f aca="false">IFERROR(INDEX(Decolure_History!$J$397:$J$709,MATCH($A69,Decolure_History!$A$397:$A$709,0)),"")</f>
        <v/>
      </c>
      <c r="AC69" s="38" t="str">
        <f aca="false">IFERROR(INDEX(Decolure_History!$M$397:$M$709,MATCH($A69,Decolure_History!$A$397:$A$709,0)),"")</f>
        <v/>
      </c>
      <c r="AD69" s="41" t="n">
        <v>0.064</v>
      </c>
      <c r="AE69" s="27" t="s">
        <v>275</v>
      </c>
      <c r="AF69" s="42" t="n">
        <v>0.445</v>
      </c>
      <c r="AG69" s="32" t="n">
        <f aca="false">M69*AF69</f>
        <v>7.35733333333333</v>
      </c>
      <c r="AH69" s="43" t="n">
        <f aca="false">IF(AO69="Brand Defense",0,IFERROR(VLOOKUP(S69,Assumptions!$A$24:$B$28,2,FALSE()),0))</f>
        <v>0.0124</v>
      </c>
      <c r="AI69" s="28" t="n">
        <f aca="false">Assumptions!$B$6</f>
        <v>0.66</v>
      </c>
      <c r="AJ69" s="44" t="n">
        <f aca="false">AG69*AH69*AI69</f>
        <v>0.060212416</v>
      </c>
      <c r="AK69" s="44" t="n">
        <f aca="false">AJ69*AD69</f>
        <v>0.003853594624</v>
      </c>
      <c r="AL69" s="30" t="n">
        <f aca="false">AJ69*56</f>
        <v>3.371895296</v>
      </c>
      <c r="AM69" s="32" t="n">
        <f aca="false">AK69*56</f>
        <v>0.215801298944</v>
      </c>
      <c r="AN69" s="44" t="n">
        <f aca="false">M69*Assumptions!$B$8</f>
        <v>1.65333333333333</v>
      </c>
      <c r="AO69" s="27" t="s">
        <v>328</v>
      </c>
      <c r="AP69" s="27" t="s">
        <v>1049</v>
      </c>
      <c r="AQ69" s="26" t="s">
        <v>198</v>
      </c>
      <c r="AR69" s="27" t="s">
        <v>199</v>
      </c>
      <c r="AS69" s="44" t="n">
        <f aca="false">IF(AO69="Ranking — Full Push",MIN(MAX(AJ69,Assumptions!$B$9),AN69),IF(AO69="Brand Defense",MIN(Assumptions!$B$7,AN69),IF(OR(AO69="Ranking — Head Term (Capped)",AO69="Ranking — Capped Entry"),MIN(MAX(AJ69,Assumptions!$B$9),Assumptions!$B$7,AN69),IF(AO69="Ranking — Capped Long-Tail",MIN(AJ69,Assumptions!$B$10,AN69),MIN(AJ69,AN69)))))</f>
        <v>0.060212416</v>
      </c>
      <c r="AT69" s="27" t="str">
        <f aca="false">IF(AJ69&lt;=0,"",IF(AS69&gt;=AJ69,IF(AS69&gt;AJ69*1.05,"Floor of "&amp;TEXT(AS69,"0.0")&amp;" click/day to read CVR (rank needs "&amp;TEXT(AJ69,"0.00")&amp;")","Fully funded (100%)"),"Capped at "&amp;TEXT(AS69/AJ69,"0%")&amp;" of required"))</f>
        <v>Fully funded (100%)</v>
      </c>
      <c r="AU69" s="44" t="n">
        <f aca="false">AS69*AD69</f>
        <v>0.003853594624</v>
      </c>
      <c r="AV69" s="45" t="n">
        <f aca="false">AU69*AY69</f>
        <v>0.30824903397376</v>
      </c>
      <c r="AW69" s="46" t="n">
        <v>2.18</v>
      </c>
      <c r="AX69" s="27" t="s">
        <v>295</v>
      </c>
      <c r="AY69" s="47" t="n">
        <f aca="false">INDEX(Assumptions!$B$33:$B$37,MATCH(IF($D69="","Queen",$D69),Assumptions!$A$33:$A$37,0))</f>
        <v>79.99</v>
      </c>
      <c r="AZ69" s="33" t="n">
        <f aca="false">INDEX(Assumptions!$K$33:$K$37,MATCH(IF($D69="","Queen",$D69),Assumptions!$A$33:$A$37,0))</f>
        <v>0.558660457557195</v>
      </c>
      <c r="BA69" s="33" t="n">
        <f aca="false">INDEX(Assumptions!$H$33:$H$37,MATCH(IF($D69="","Queen",$D69),Assumptions!$A$33:$A$37,0))</f>
        <v>0.37244030503813</v>
      </c>
      <c r="BB69" s="47" t="n">
        <f aca="false">AY69*AZ69*AD69</f>
        <v>2.859984</v>
      </c>
      <c r="BC69" s="47" t="n">
        <f aca="false">ROUND(MIN(AW69*Assumptions!$B$11,BB69),2)</f>
        <v>2.18</v>
      </c>
      <c r="BD69" s="26" t="s">
        <v>278</v>
      </c>
      <c r="BE69" s="48" t="n">
        <f aca="false">IF(AO69="Ranking — Full Push",MAX(0,MIN(IF(BD69="Yes",Assumptions!$B$12,Assumptions!$B$13),FLOOR(MAX(0,BB69/BC69-1),Assumptions!$B$14))),0)</f>
        <v>0</v>
      </c>
      <c r="BF69" s="49" t="str">
        <f aca="false">IF(AO69="Ranking — Full Push",IF(BE69&gt;=1,"YES — +100% Top of Search. Effective CPC $"&amp;TEXT(BG69,"0.00")&amp;" (= $"&amp;TEXT(BC69,"0.00")&amp;" × 2) stays within the $"&amp;TEXT(BB69,"0.00")&amp;" max ranking CPC"&amp;" (= $"&amp;TEXT(AY69,"0.00")&amp;" price × "&amp;TEXT(AZ69,"0.0%")&amp;" ranking ceiling × "&amp;TEXT(AD69,"0.0%")&amp;" CVR)"&amp;". Sleephoria CVR is proven on this term, so the full push is justified.",IF(AND(BD69="No",BE69&gt;=Assumptions!$B$13),"PARTIAL — +"&amp;TEXT(BE69,"0%")&amp;" Top of Search (limit for terms without proven CVR). Effective CPC $"&amp;TEXT(BG69,"0.00")&amp;" vs $"&amp;TEXT(BB69,"0.00")&amp;" max ranking CPC"&amp;" (= $"&amp;TEXT(AY69,"0.00")&amp;" price × "&amp;TEXT(AZ69,"0.0%")&amp;" ranking ceiling × "&amp;TEXT(AD69,"0.0%")&amp;" CVR)"&amp;". Raise to +100% only after CooLinens converts at ≥ "&amp;TEXT(AD69,"0.0%")&amp;" on 50+ clicks and $"&amp;TEXT(BC69*2,"0.00")&amp;" ≤ the max.",IF(BE69&gt;0,"PARTIAL — +"&amp;TEXT(BE69,"0%")&amp;" Top of Search. Effective CPC $"&amp;TEXT(BG69,"0.00")&amp;" stays within the $"&amp;TEXT(BB69,"0.00")&amp;" max ranking CPC"&amp;" (= $"&amp;TEXT(AY69,"0.00")&amp;" price × "&amp;TEXT(AZ69,"0.0%")&amp;" ranking ceiling × "&amp;TEXT(AD69,"0.0%")&amp;" CVR)"&amp;". +100% would cost $"&amp;TEXT(BC69*2,"0.00")&amp;" per click and push ACoS to "&amp;TEXT(BC69*2/(AY69*AD69),"0.0%")&amp;", above the "&amp;TEXT(AZ69,"0.0%")&amp;" ceiling.","NO — 0%. Base bid $"&amp;TEXT(BC69,"0.00")&amp;" already equals the $"&amp;TEXT(BB69,"0.00")&amp;" max ranking CPC"&amp;" (= $"&amp;TEXT(AY69,"0.00")&amp;" price × "&amp;TEXT(AZ69,"0.0%")&amp;" ranking ceiling × "&amp;TEXT(AD69,"0.0%")&amp;" CVR)"&amp;"; any modifier would push ACoS above the "&amp;TEXT(AZ69,"0.0%")&amp;" ceiling."))),IF(OR(AO69="Ranking — Head Term (Capped)",AO69="Ranking — Capped Entry",AO69="Ranking — Capped Long-Tail"),"NO — 0% (capped ranking entry). Bid $"&amp;TEXT(BC69,"0.00")&amp;" vs $"&amp;TEXT(BB69,"0.00")&amp;" max ranking CPC"&amp;" (= $"&amp;TEXT(AY69,"0.00")&amp;" price × "&amp;TEXT(AZ69,"0.0%")&amp;" ranking ceiling × "&amp;TEXT(AD69,"0.0%")&amp;" CVR)"&amp;". While spend is capped at "&amp;TEXT(AS69,"0.00")&amp;" clicks/day, a placement premium would only raise CPC without buying more rank; the modifier is set when this term moves to a full push.","NO — 0% (support / brand term). Bid $"&amp;TEXT(BC69,"0.00")&amp;" vs $"&amp;TEXT(BB69,"0.00")&amp;" max ranking CPC"&amp;" (= $"&amp;TEXT(AY69,"0.00")&amp;" price × "&amp;TEXT(AZ69,"0.0%")&amp;" ranking ceiling × "&amp;TEXT(AD69,"0.0%")&amp;" CVR)"&amp;"; expected ACoS "&amp;TEXT(BI69,"0.0%")&amp;" vs the "&amp;TEXT(AZ69,"0.0%")&amp;" ceiling."))</f>
        <v>NO — 0% (support / brand term). Bid $2.18 vs $2.86 max ranking CPC (= $79.99 price × 55.9% ranking ceiling × 6.4% CVR); expected ACoS 42.6% vs the 55.9% ceiling.</v>
      </c>
      <c r="BG69" s="50" t="n">
        <f aca="false">BC69*(1+BE69)</f>
        <v>2.18</v>
      </c>
      <c r="BH69" s="45" t="n">
        <f aca="false">AS69*BG69</f>
        <v>0.13126306688</v>
      </c>
      <c r="BI69" s="33" t="n">
        <f aca="false">IFERROR(BG69/(AY69*AD69),"")</f>
        <v>0.425834479309914</v>
      </c>
      <c r="BJ69" s="27" t="str">
        <f aca="false">IF(BI69="","",IF(BI69&lt;=BA69,"Profitable (≤ break-even)",IF(BI69&lt;=AZ69,"Ranking investment (≤ ceiling)","Above ceiling — reduce bid")))</f>
        <v>Ranking investment (≤ ceiling)</v>
      </c>
      <c r="BK69" s="49" t="str">
        <f aca="false">"Base $"&amp;TEXT(BC69,"0.00")&amp;" × (1 + "&amp;TEXT(BE69,"0%")&amp;" TOS) = $"&amp;TEXT(BG69,"0.00")&amp;" effective CPC [max $"&amp;TEXT(BB69,"0.00")&amp;"]. "&amp;TEXT(AG69,"0.0")&amp;" market clicks/day × "&amp;TEXT(AH69,"0.00%")&amp;" click share × "&amp;TEXT(AI69,"0%")&amp;" paid = "&amp;TEXT(AJ69,"0.00")&amp;" clicks/day needed; "&amp;"planned "&amp;TEXT(AS69,"0.00")&amp;" clicks/day × "&amp;TEXT(AD69,"0.0%")&amp;" CVR = "&amp;TEXT(AU69,"0.00")&amp;" orders/day. "&amp;"Spend $"&amp;TEXT(BH69,"0.00")&amp;"/day, ACoS "&amp;TEXT(BI69,"0.0%")&amp;" (ceiling "&amp;TEXT(AZ69,"0.0%")&amp;", break-even "&amp;TEXT(BA69,"0.0%")&amp;"). "&amp;"Target organic rank #"&amp;S69&amp;" by week 8 ("&amp;T69&amp;")."</f>
        <v>Base $2.18 × (1 + 0% TOS) = $2.18 effective CPC [max $2.86]. 7.4 market clicks/day × 1.24% click share × 66% paid = 0.06 clicks/day needed; planned 0.06 clicks/day × 6.4% CVR = 0.00 orders/day. Spend $0.13/day, ACoS 42.6% (ceiling 55.9%, break-even 37.2%). Target organic rank #20 by week 8 (#60 → #35 → #20).</v>
      </c>
      <c r="BL69" s="27" t="s">
        <v>1002</v>
      </c>
      <c r="BM69" s="27" t="s">
        <v>203</v>
      </c>
      <c r="BN69" s="27" t="s">
        <v>1050</v>
      </c>
      <c r="BO69" s="27" t="s">
        <v>1045</v>
      </c>
      <c r="BP69" s="27" t="s">
        <v>205</v>
      </c>
      <c r="BQ69" s="26" t="s">
        <v>206</v>
      </c>
      <c r="BR69" s="40" t="n">
        <f aca="false">IFERROR(INDEX(Campaigns!$L:$L,MATCH(BN69,Campaigns!$A:$A,0)),"")</f>
        <v>10</v>
      </c>
      <c r="BS69" s="51" t="str">
        <f aca="false">IFERROR(INDEX(Inventory!$O:$O,MATCH(BP69,Inventory!$A:$A,0)),"")</f>
        <v>OK</v>
      </c>
      <c r="BT69" s="52" t="n">
        <f aca="false">IFERROR(INDEX(Inventory!$N:$N,MATCH(BP69,Inventory!$A:$A,0)),"")</f>
        <v>91.5322601167724</v>
      </c>
      <c r="BU69" s="27" t="s">
        <v>1051</v>
      </c>
      <c r="BV69" s="27" t="s">
        <v>263</v>
      </c>
      <c r="BW69" s="27" t="s">
        <v>1052</v>
      </c>
      <c r="BX69" s="27" t="s">
        <v>1053</v>
      </c>
      <c r="BY69" s="27" t="s">
        <v>1054</v>
      </c>
      <c r="BZ69" s="27" t="s">
        <v>1055</v>
      </c>
      <c r="CA69" s="27" t="s">
        <v>941</v>
      </c>
      <c r="CB69" s="27" t="s">
        <v>1056</v>
      </c>
      <c r="CC69" s="27" t="s">
        <v>358</v>
      </c>
    </row>
    <row r="70" customFormat="false" ht="120" hidden="false" customHeight="true" outlineLevel="0" collapsed="false">
      <c r="A70" s="53" t="s">
        <v>1057</v>
      </c>
      <c r="B70" s="54" t="n">
        <v>2</v>
      </c>
      <c r="C70" s="26" t="s">
        <v>928</v>
      </c>
      <c r="D70" s="26" t="s">
        <v>185</v>
      </c>
      <c r="E70" s="27" t="s">
        <v>929</v>
      </c>
      <c r="F70" s="28" t="n">
        <v>1</v>
      </c>
      <c r="G70" s="27" t="s">
        <v>187</v>
      </c>
      <c r="H70" s="26" t="s">
        <v>342</v>
      </c>
      <c r="I70" s="29" t="n">
        <v>5</v>
      </c>
      <c r="J70" s="27" t="s">
        <v>970</v>
      </c>
      <c r="K70" s="30" t="n">
        <v>697</v>
      </c>
      <c r="L70" s="31" t="n">
        <v>485</v>
      </c>
      <c r="M70" s="32" t="n">
        <f aca="false">L70/30</f>
        <v>16.1666666666667</v>
      </c>
      <c r="N70" s="33" t="n">
        <v>0.0420215786484951</v>
      </c>
      <c r="O70" s="27" t="s">
        <v>1058</v>
      </c>
      <c r="P70" s="27" t="s">
        <v>1059</v>
      </c>
      <c r="Q70" s="27" t="s">
        <v>307</v>
      </c>
      <c r="R70" s="34" t="n">
        <v>5</v>
      </c>
      <c r="S70" s="35" t="n">
        <v>20</v>
      </c>
      <c r="T70" s="36" t="s">
        <v>346</v>
      </c>
      <c r="U70" s="27" t="s">
        <v>1060</v>
      </c>
      <c r="V70" s="37" t="n">
        <f aca="false">IFERROR(INDEX(Sleephoria_History!$F$454:$F$2115,MATCH($A70,Sleephoria_History!$A$454:$A$2115,0)),"")</f>
        <v>7</v>
      </c>
      <c r="W70" s="38" t="n">
        <f aca="false">IFERROR(INDEX(Sleephoria_History!$J$454:$J$2115,MATCH($A70,Sleephoria_History!$A$454:$A$2115,0)),"")</f>
        <v>0.1429</v>
      </c>
      <c r="X70" s="39" t="n">
        <f aca="false">IFERROR(INDEX(Sleephoria_History!$H$454:$H$2115,MATCH($A70,Sleephoria_History!$A$454:$A$2115,0)),"")</f>
        <v>2.95</v>
      </c>
      <c r="Y70" s="38" t="n">
        <f aca="false">IFERROR(INDEX(Sleephoria_History!$M$454:$M$2115,MATCH($A70,Sleephoria_History!$A$454:$A$2115,0)),"")</f>
        <v>0.259</v>
      </c>
      <c r="Z70" s="40" t="n">
        <f aca="false">IFERROR(INDEX(Sleephoria_History!$L$454:$L$2115,MATCH($A70,Sleephoria_History!$A$454:$A$2115,0)),"")</f>
        <v>79.99</v>
      </c>
      <c r="AA70" s="37" t="str">
        <f aca="false">IFERROR(INDEX(Decolure_History!$F$397:$F$709,MATCH($A70,Decolure_History!$A$397:$A$709,0)),"")</f>
        <v/>
      </c>
      <c r="AB70" s="38" t="str">
        <f aca="false">IFERROR(INDEX(Decolure_History!$J$397:$J$709,MATCH($A70,Decolure_History!$A$397:$A$709,0)),"")</f>
        <v/>
      </c>
      <c r="AC70" s="38" t="str">
        <f aca="false">IFERROR(INDEX(Decolure_History!$M$397:$M$709,MATCH($A70,Decolure_History!$A$397:$A$709,0)),"")</f>
        <v/>
      </c>
      <c r="AD70" s="41" t="n">
        <v>0.064</v>
      </c>
      <c r="AE70" s="27" t="s">
        <v>275</v>
      </c>
      <c r="AF70" s="42" t="n">
        <v>0.403</v>
      </c>
      <c r="AG70" s="32" t="n">
        <f aca="false">M70*AF70</f>
        <v>6.51516666666667</v>
      </c>
      <c r="AH70" s="43" t="n">
        <f aca="false">IF(AO70="Brand Defense",0,IFERROR(VLOOKUP(S70,Assumptions!$A$24:$B$28,2,FALSE()),0))</f>
        <v>0.0124</v>
      </c>
      <c r="AI70" s="28" t="n">
        <f aca="false">Assumptions!$B$6</f>
        <v>0.66</v>
      </c>
      <c r="AJ70" s="44" t="n">
        <f aca="false">AG70*AH70*AI70</f>
        <v>0.053320124</v>
      </c>
      <c r="AK70" s="44" t="n">
        <f aca="false">AJ70*AD70</f>
        <v>0.003412487936</v>
      </c>
      <c r="AL70" s="30" t="n">
        <f aca="false">AJ70*56</f>
        <v>2.985926944</v>
      </c>
      <c r="AM70" s="32" t="n">
        <f aca="false">AK70*56</f>
        <v>0.191099324416</v>
      </c>
      <c r="AN70" s="44" t="n">
        <f aca="false">M70*Assumptions!$B$8</f>
        <v>1.61666666666667</v>
      </c>
      <c r="AO70" s="27" t="s">
        <v>328</v>
      </c>
      <c r="AP70" s="27" t="s">
        <v>1014</v>
      </c>
      <c r="AQ70" s="26" t="s">
        <v>198</v>
      </c>
      <c r="AR70" s="27" t="s">
        <v>199</v>
      </c>
      <c r="AS70" s="44" t="n">
        <f aca="false">IF(AO70="Ranking — Full Push",MIN(MAX(AJ70,Assumptions!$B$9),AN70),IF(AO70="Brand Defense",MIN(Assumptions!$B$7,AN70),IF(OR(AO70="Ranking — Head Term (Capped)",AO70="Ranking — Capped Entry"),MIN(MAX(AJ70,Assumptions!$B$9),Assumptions!$B$7,AN70),IF(AO70="Ranking — Capped Long-Tail",MIN(AJ70,Assumptions!$B$10,AN70),MIN(AJ70,AN70)))))</f>
        <v>0.053320124</v>
      </c>
      <c r="AT70" s="27" t="str">
        <f aca="false">IF(AJ70&lt;=0,"",IF(AS70&gt;=AJ70,IF(AS70&gt;AJ70*1.05,"Floor of "&amp;TEXT(AS70,"0.0")&amp;" click/day to read CVR (rank needs "&amp;TEXT(AJ70,"0.00")&amp;")","Fully funded (100%)"),"Capped at "&amp;TEXT(AS70/AJ70,"0%")&amp;" of required"))</f>
        <v>Fully funded (100%)</v>
      </c>
      <c r="AU70" s="44" t="n">
        <f aca="false">AS70*AD70</f>
        <v>0.003412487936</v>
      </c>
      <c r="AV70" s="45" t="n">
        <f aca="false">AU70*AY70</f>
        <v>0.27296491000064</v>
      </c>
      <c r="AW70" s="46" t="n">
        <v>2.18</v>
      </c>
      <c r="AX70" s="27" t="s">
        <v>295</v>
      </c>
      <c r="AY70" s="47" t="n">
        <f aca="false">INDEX(Assumptions!$B$33:$B$37,MATCH(IF($D70="","Queen",$D70),Assumptions!$A$33:$A$37,0))</f>
        <v>79.99</v>
      </c>
      <c r="AZ70" s="33" t="n">
        <f aca="false">INDEX(Assumptions!$K$33:$K$37,MATCH(IF($D70="","Queen",$D70),Assumptions!$A$33:$A$37,0))</f>
        <v>0.558660457557195</v>
      </c>
      <c r="BA70" s="33" t="n">
        <f aca="false">INDEX(Assumptions!$H$33:$H$37,MATCH(IF($D70="","Queen",$D70),Assumptions!$A$33:$A$37,0))</f>
        <v>0.37244030503813</v>
      </c>
      <c r="BB70" s="47" t="n">
        <f aca="false">AY70*AZ70*AD70</f>
        <v>2.859984</v>
      </c>
      <c r="BC70" s="47" t="n">
        <f aca="false">ROUND(MIN(AW70*Assumptions!$B$11,BB70),2)</f>
        <v>2.18</v>
      </c>
      <c r="BD70" s="26" t="s">
        <v>278</v>
      </c>
      <c r="BE70" s="48" t="n">
        <f aca="false">IF(AO70="Ranking — Full Push",MAX(0,MIN(IF(BD70="Yes",Assumptions!$B$12,Assumptions!$B$13),FLOOR(MAX(0,BB70/BC70-1),Assumptions!$B$14))),0)</f>
        <v>0</v>
      </c>
      <c r="BF70" s="49" t="str">
        <f aca="false">IF(AO70="Ranking — Full Push",IF(BE70&gt;=1,"YES — +100% Top of Search. Effective CPC $"&amp;TEXT(BG70,"0.00")&amp;" (= $"&amp;TEXT(BC70,"0.00")&amp;" × 2) stays within the $"&amp;TEXT(BB70,"0.00")&amp;" max ranking CPC"&amp;" (= $"&amp;TEXT(AY70,"0.00")&amp;" price × "&amp;TEXT(AZ70,"0.0%")&amp;" ranking ceiling × "&amp;TEXT(AD70,"0.0%")&amp;" CVR)"&amp;". Sleephoria CVR is proven on this term, so the full push is justified.",IF(AND(BD70="No",BE70&gt;=Assumptions!$B$13),"PARTIAL — +"&amp;TEXT(BE70,"0%")&amp;" Top of Search (limit for terms without proven CVR). Effective CPC $"&amp;TEXT(BG70,"0.00")&amp;" vs $"&amp;TEXT(BB70,"0.00")&amp;" max ranking CPC"&amp;" (= $"&amp;TEXT(AY70,"0.00")&amp;" price × "&amp;TEXT(AZ70,"0.0%")&amp;" ranking ceiling × "&amp;TEXT(AD70,"0.0%")&amp;" CVR)"&amp;". Raise to +100% only after CooLinens converts at ≥ "&amp;TEXT(AD70,"0.0%")&amp;" on 50+ clicks and $"&amp;TEXT(BC70*2,"0.00")&amp;" ≤ the max.",IF(BE70&gt;0,"PARTIAL — +"&amp;TEXT(BE70,"0%")&amp;" Top of Search. Effective CPC $"&amp;TEXT(BG70,"0.00")&amp;" stays within the $"&amp;TEXT(BB70,"0.00")&amp;" max ranking CPC"&amp;" (= $"&amp;TEXT(AY70,"0.00")&amp;" price × "&amp;TEXT(AZ70,"0.0%")&amp;" ranking ceiling × "&amp;TEXT(AD70,"0.0%")&amp;" CVR)"&amp;". +100% would cost $"&amp;TEXT(BC70*2,"0.00")&amp;" per click and push ACoS to "&amp;TEXT(BC70*2/(AY70*AD70),"0.0%")&amp;", above the "&amp;TEXT(AZ70,"0.0%")&amp;" ceiling.","NO — 0%. Base bid $"&amp;TEXT(BC70,"0.00")&amp;" already equals the $"&amp;TEXT(BB70,"0.00")&amp;" max ranking CPC"&amp;" (= $"&amp;TEXT(AY70,"0.00")&amp;" price × "&amp;TEXT(AZ70,"0.0%")&amp;" ranking ceiling × "&amp;TEXT(AD70,"0.0%")&amp;" CVR)"&amp;"; any modifier would push ACoS above the "&amp;TEXT(AZ70,"0.0%")&amp;" ceiling."))),IF(OR(AO70="Ranking — Head Term (Capped)",AO70="Ranking — Capped Entry",AO70="Ranking — Capped Long-Tail"),"NO — 0% (capped ranking entry). Bid $"&amp;TEXT(BC70,"0.00")&amp;" vs $"&amp;TEXT(BB70,"0.00")&amp;" max ranking CPC"&amp;" (= $"&amp;TEXT(AY70,"0.00")&amp;" price × "&amp;TEXT(AZ70,"0.0%")&amp;" ranking ceiling × "&amp;TEXT(AD70,"0.0%")&amp;" CVR)"&amp;". While spend is capped at "&amp;TEXT(AS70,"0.00")&amp;" clicks/day, a placement premium would only raise CPC without buying more rank; the modifier is set when this term moves to a full push.","NO — 0% (support / brand term). Bid $"&amp;TEXT(BC70,"0.00")&amp;" vs $"&amp;TEXT(BB70,"0.00")&amp;" max ranking CPC"&amp;" (= $"&amp;TEXT(AY70,"0.00")&amp;" price × "&amp;TEXT(AZ70,"0.0%")&amp;" ranking ceiling × "&amp;TEXT(AD70,"0.0%")&amp;" CVR)"&amp;"; expected ACoS "&amp;TEXT(BI70,"0.0%")&amp;" vs the "&amp;TEXT(AZ70,"0.0%")&amp;" ceiling."))</f>
        <v>NO — 0% (support / brand term). Bid $2.18 vs $2.86 max ranking CPC (= $79.99 price × 55.9% ranking ceiling × 6.4% CVR); expected ACoS 42.6% vs the 55.9% ceiling.</v>
      </c>
      <c r="BG70" s="50" t="n">
        <f aca="false">BC70*(1+BE70)</f>
        <v>2.18</v>
      </c>
      <c r="BH70" s="45" t="n">
        <f aca="false">AS70*BG70</f>
        <v>0.11623787032</v>
      </c>
      <c r="BI70" s="33" t="n">
        <f aca="false">IFERROR(BG70/(AY70*AD70),"")</f>
        <v>0.425834479309914</v>
      </c>
      <c r="BJ70" s="27" t="str">
        <f aca="false">IF(BI70="","",IF(BI70&lt;=BA70,"Profitable (≤ break-even)",IF(BI70&lt;=AZ70,"Ranking investment (≤ ceiling)","Above ceiling — reduce bid")))</f>
        <v>Ranking investment (≤ ceiling)</v>
      </c>
      <c r="BK70" s="49" t="str">
        <f aca="false">"Base $"&amp;TEXT(BC70,"0.00")&amp;" × (1 + "&amp;TEXT(BE70,"0%")&amp;" TOS) = $"&amp;TEXT(BG70,"0.00")&amp;" effective CPC [max $"&amp;TEXT(BB70,"0.00")&amp;"]. "&amp;TEXT(AG70,"0.0")&amp;" market clicks/day × "&amp;TEXT(AH70,"0.00%")&amp;" click share × "&amp;TEXT(AI70,"0%")&amp;" paid = "&amp;TEXT(AJ70,"0.00")&amp;" clicks/day needed; "&amp;"planned "&amp;TEXT(AS70,"0.00")&amp;" clicks/day × "&amp;TEXT(AD70,"0.0%")&amp;" CVR = "&amp;TEXT(AU70,"0.00")&amp;" orders/day. "&amp;"Spend $"&amp;TEXT(BH70,"0.00")&amp;"/day, ACoS "&amp;TEXT(BI70,"0.0%")&amp;" (ceiling "&amp;TEXT(AZ70,"0.0%")&amp;", break-even "&amp;TEXT(BA70,"0.0%")&amp;"). "&amp;"Target organic rank #"&amp;S70&amp;" by week 8 ("&amp;T70&amp;")."</f>
        <v>Base $2.18 × (1 + 0% TOS) = $2.18 effective CPC [max $2.86]. 6.5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L70" s="27" t="s">
        <v>279</v>
      </c>
      <c r="BM70" s="27" t="s">
        <v>203</v>
      </c>
      <c r="BN70" s="27" t="s">
        <v>1061</v>
      </c>
      <c r="BO70" s="27" t="s">
        <v>1057</v>
      </c>
      <c r="BP70" s="27" t="s">
        <v>205</v>
      </c>
      <c r="BQ70" s="26" t="s">
        <v>206</v>
      </c>
      <c r="BR70" s="40" t="n">
        <f aca="false">IFERROR(INDEX(Campaigns!$L:$L,MATCH(BN70,Campaigns!$A:$A,0)),"")</f>
        <v>10</v>
      </c>
      <c r="BS70" s="51" t="str">
        <f aca="false">IFERROR(INDEX(Inventory!$O:$O,MATCH(BP70,Inventory!$A:$A,0)),"")</f>
        <v>OK</v>
      </c>
      <c r="BT70" s="52" t="n">
        <f aca="false">IFERROR(INDEX(Inventory!$N:$N,MATCH(BP70,Inventory!$A:$A,0)),"")</f>
        <v>91.5322601167724</v>
      </c>
      <c r="BU70" s="27" t="s">
        <v>1062</v>
      </c>
      <c r="BV70" s="27" t="s">
        <v>263</v>
      </c>
      <c r="BW70" s="27" t="s">
        <v>1063</v>
      </c>
      <c r="BX70" s="27" t="s">
        <v>1064</v>
      </c>
      <c r="BY70" s="27" t="s">
        <v>1065</v>
      </c>
      <c r="BZ70" s="27" t="s">
        <v>286</v>
      </c>
      <c r="CA70" s="27" t="s">
        <v>941</v>
      </c>
      <c r="CB70" s="27" t="s">
        <v>983</v>
      </c>
      <c r="CC70" s="27" t="s">
        <v>358</v>
      </c>
    </row>
    <row r="71" customFormat="false" ht="120" hidden="false" customHeight="true" outlineLevel="0" collapsed="false">
      <c r="A71" s="53" t="s">
        <v>1066</v>
      </c>
      <c r="B71" s="54" t="n">
        <v>2</v>
      </c>
      <c r="C71" s="26" t="s">
        <v>928</v>
      </c>
      <c r="D71" s="26" t="s">
        <v>185</v>
      </c>
      <c r="E71" s="27" t="s">
        <v>929</v>
      </c>
      <c r="F71" s="28" t="n">
        <v>1</v>
      </c>
      <c r="G71" s="27" t="s">
        <v>187</v>
      </c>
      <c r="H71" s="26" t="s">
        <v>342</v>
      </c>
      <c r="I71" s="29" t="n">
        <v>5</v>
      </c>
      <c r="J71" s="27" t="s">
        <v>1067</v>
      </c>
      <c r="K71" s="30" t="n">
        <v>1023</v>
      </c>
      <c r="L71" s="31" t="n">
        <v>474</v>
      </c>
      <c r="M71" s="32" t="n">
        <f aca="false">L71/30</f>
        <v>15.8</v>
      </c>
      <c r="N71" s="33" t="n">
        <v>0.0368447082096933</v>
      </c>
      <c r="O71" s="27" t="s">
        <v>1068</v>
      </c>
      <c r="P71" s="27" t="s">
        <v>1069</v>
      </c>
      <c r="Q71" s="27" t="s">
        <v>238</v>
      </c>
      <c r="R71" s="34" t="n">
        <v>3</v>
      </c>
      <c r="S71" s="35" t="n">
        <v>20</v>
      </c>
      <c r="T71" s="36" t="s">
        <v>346</v>
      </c>
      <c r="U71" s="27" t="s">
        <v>1070</v>
      </c>
      <c r="V71" s="37" t="n">
        <f aca="false">IFERROR(INDEX(Sleephoria_History!$F$454:$F$2115,MATCH($A71,Sleephoria_History!$A$454:$A$2115,0)),"")</f>
        <v>1</v>
      </c>
      <c r="W71" s="38" t="n">
        <f aca="false">IFERROR(INDEX(Sleephoria_History!$J$454:$J$2115,MATCH($A71,Sleephoria_History!$A$454:$A$2115,0)),"")</f>
        <v>1</v>
      </c>
      <c r="X71" s="39" t="n">
        <f aca="false">IFERROR(INDEX(Sleephoria_History!$H$454:$H$2115,MATCH($A71,Sleephoria_History!$A$454:$A$2115,0)),"")</f>
        <v>2.84</v>
      </c>
      <c r="Y71" s="38" t="n">
        <f aca="false">IFERROR(INDEX(Sleephoria_History!$M$454:$M$2115,MATCH($A71,Sleephoria_History!$A$454:$A$2115,0)),"")</f>
        <v>0.038</v>
      </c>
      <c r="Z71" s="40" t="n">
        <f aca="false">IFERROR(INDEX(Sleephoria_History!$L$454:$L$2115,MATCH($A71,Sleephoria_History!$A$454:$A$2115,0)),"")</f>
        <v>74.99</v>
      </c>
      <c r="AA71" s="37" t="n">
        <f aca="false">IFERROR(INDEX(Decolure_History!$F$397:$F$709,MATCH($A71,Decolure_History!$A$397:$A$709,0)),"")</f>
        <v>40</v>
      </c>
      <c r="AB71" s="38" t="n">
        <f aca="false">IFERROR(INDEX(Decolure_History!$J$397:$J$709,MATCH($A71,Decolure_History!$A$397:$A$709,0)),"")</f>
        <v>0.05</v>
      </c>
      <c r="AC71" s="38" t="n">
        <f aca="false">IFERROR(INDEX(Decolure_History!$M$397:$M$709,MATCH($A71,Decolure_History!$A$397:$A$709,0)),"")</f>
        <v>0.842</v>
      </c>
      <c r="AD71" s="41" t="n">
        <v>0.064</v>
      </c>
      <c r="AE71" s="27" t="s">
        <v>275</v>
      </c>
      <c r="AF71" s="42" t="n">
        <v>0.465</v>
      </c>
      <c r="AG71" s="32" t="n">
        <f aca="false">M71*AF71</f>
        <v>7.347</v>
      </c>
      <c r="AH71" s="43" t="n">
        <f aca="false">IF(AO71="Brand Defense",0,IFERROR(VLOOKUP(S71,Assumptions!$A$24:$B$28,2,FALSE()),0))</f>
        <v>0.0124</v>
      </c>
      <c r="AI71" s="28" t="n">
        <f aca="false">Assumptions!$B$6</f>
        <v>0.66</v>
      </c>
      <c r="AJ71" s="44" t="n">
        <f aca="false">AG71*AH71*AI71</f>
        <v>0.060127848</v>
      </c>
      <c r="AK71" s="44" t="n">
        <f aca="false">AJ71*AD71</f>
        <v>0.003848182272</v>
      </c>
      <c r="AL71" s="30" t="n">
        <f aca="false">AJ71*56</f>
        <v>3.367159488</v>
      </c>
      <c r="AM71" s="32" t="n">
        <f aca="false">AK71*56</f>
        <v>0.215498207232</v>
      </c>
      <c r="AN71" s="44" t="n">
        <f aca="false">M71*Assumptions!$B$8</f>
        <v>1.58</v>
      </c>
      <c r="AO71" s="27" t="s">
        <v>328</v>
      </c>
      <c r="AP71" s="27" t="s">
        <v>1014</v>
      </c>
      <c r="AQ71" s="26" t="s">
        <v>198</v>
      </c>
      <c r="AR71" s="27" t="s">
        <v>199</v>
      </c>
      <c r="AS71" s="44" t="n">
        <f aca="false">IF(AO71="Ranking — Full Push",MIN(MAX(AJ71,Assumptions!$B$9),AN71),IF(AO71="Brand Defense",MIN(Assumptions!$B$7,AN71),IF(OR(AO71="Ranking — Head Term (Capped)",AO71="Ranking — Capped Entry"),MIN(MAX(AJ71,Assumptions!$B$9),Assumptions!$B$7,AN71),IF(AO71="Ranking — Capped Long-Tail",MIN(AJ71,Assumptions!$B$10,AN71),MIN(AJ71,AN71)))))</f>
        <v>0.060127848</v>
      </c>
      <c r="AT71" s="27" t="str">
        <f aca="false">IF(AJ71&lt;=0,"",IF(AS71&gt;=AJ71,IF(AS71&gt;AJ71*1.05,"Floor of "&amp;TEXT(AS71,"0.0")&amp;" click/day to read CVR (rank needs "&amp;TEXT(AJ71,"0.00")&amp;")","Fully funded (100%)"),"Capped at "&amp;TEXT(AS71/AJ71,"0%")&amp;" of required"))</f>
        <v>Fully funded (100%)</v>
      </c>
      <c r="AU71" s="44" t="n">
        <f aca="false">AS71*AD71</f>
        <v>0.003848182272</v>
      </c>
      <c r="AV71" s="45" t="n">
        <f aca="false">AU71*AY71</f>
        <v>0.30781609993728</v>
      </c>
      <c r="AW71" s="46" t="n">
        <v>2.18</v>
      </c>
      <c r="AX71" s="27" t="s">
        <v>295</v>
      </c>
      <c r="AY71" s="47" t="n">
        <f aca="false">INDEX(Assumptions!$B$33:$B$37,MATCH(IF($D71="","Queen",$D71),Assumptions!$A$33:$A$37,0))</f>
        <v>79.99</v>
      </c>
      <c r="AZ71" s="33" t="n">
        <f aca="false">INDEX(Assumptions!$K$33:$K$37,MATCH(IF($D71="","Queen",$D71),Assumptions!$A$33:$A$37,0))</f>
        <v>0.558660457557195</v>
      </c>
      <c r="BA71" s="33" t="n">
        <f aca="false">INDEX(Assumptions!$H$33:$H$37,MATCH(IF($D71="","Queen",$D71),Assumptions!$A$33:$A$37,0))</f>
        <v>0.37244030503813</v>
      </c>
      <c r="BB71" s="47" t="n">
        <f aca="false">AY71*AZ71*AD71</f>
        <v>2.859984</v>
      </c>
      <c r="BC71" s="47" t="n">
        <f aca="false">ROUND(MIN(AW71*Assumptions!$B$11,BB71),2)</f>
        <v>2.18</v>
      </c>
      <c r="BD71" s="26" t="s">
        <v>278</v>
      </c>
      <c r="BE71" s="48" t="n">
        <f aca="false">IF(AO71="Ranking — Full Push",MAX(0,MIN(IF(BD71="Yes",Assumptions!$B$12,Assumptions!$B$13),FLOOR(MAX(0,BB71/BC71-1),Assumptions!$B$14))),0)</f>
        <v>0</v>
      </c>
      <c r="BF71" s="49" t="str">
        <f aca="false">IF(AO71="Ranking — Full Push",IF(BE71&gt;=1,"YES — +100% Top of Search. Effective CPC $"&amp;TEXT(BG71,"0.00")&amp;" (= $"&amp;TEXT(BC71,"0.00")&amp;" × 2) stays within the $"&amp;TEXT(BB71,"0.00")&amp;" max ranking CPC"&amp;" (= $"&amp;TEXT(AY71,"0.00")&amp;" price × "&amp;TEXT(AZ71,"0.0%")&amp;" ranking ceiling × "&amp;TEXT(AD71,"0.0%")&amp;" CVR)"&amp;". Sleephoria CVR is proven on this term, so the full push is justified.",IF(AND(BD71="No",BE71&gt;=Assumptions!$B$13),"PARTIAL — +"&amp;TEXT(BE71,"0%")&amp;" Top of Search (limit for terms without proven CVR). Effective CPC $"&amp;TEXT(BG71,"0.00")&amp;" vs $"&amp;TEXT(BB71,"0.00")&amp;" max ranking CPC"&amp;" (= $"&amp;TEXT(AY71,"0.00")&amp;" price × "&amp;TEXT(AZ71,"0.0%")&amp;" ranking ceiling × "&amp;TEXT(AD71,"0.0%")&amp;" CVR)"&amp;". Raise to +100% only after CooLinens converts at ≥ "&amp;TEXT(AD71,"0.0%")&amp;" on 50+ clicks and $"&amp;TEXT(BC71*2,"0.00")&amp;" ≤ the max.",IF(BE71&gt;0,"PARTIAL — +"&amp;TEXT(BE71,"0%")&amp;" Top of Search. Effective CPC $"&amp;TEXT(BG71,"0.00")&amp;" stays within the $"&amp;TEXT(BB71,"0.00")&amp;" max ranking CPC"&amp;" (= $"&amp;TEXT(AY71,"0.00")&amp;" price × "&amp;TEXT(AZ71,"0.0%")&amp;" ranking ceiling × "&amp;TEXT(AD71,"0.0%")&amp;" CVR)"&amp;". +100% would cost $"&amp;TEXT(BC71*2,"0.00")&amp;" per click and push ACoS to "&amp;TEXT(BC71*2/(AY71*AD71),"0.0%")&amp;", above the "&amp;TEXT(AZ71,"0.0%")&amp;" ceiling.","NO — 0%. Base bid $"&amp;TEXT(BC71,"0.00")&amp;" already equals the $"&amp;TEXT(BB71,"0.00")&amp;" max ranking CPC"&amp;" (= $"&amp;TEXT(AY71,"0.00")&amp;" price × "&amp;TEXT(AZ71,"0.0%")&amp;" ranking ceiling × "&amp;TEXT(AD71,"0.0%")&amp;" CVR)"&amp;"; any modifier would push ACoS above the "&amp;TEXT(AZ71,"0.0%")&amp;" ceiling."))),IF(OR(AO71="Ranking — Head Term (Capped)",AO71="Ranking — Capped Entry",AO71="Ranking — Capped Long-Tail"),"NO — 0% (capped ranking entry). Bid $"&amp;TEXT(BC71,"0.00")&amp;" vs $"&amp;TEXT(BB71,"0.00")&amp;" max ranking CPC"&amp;" (= $"&amp;TEXT(AY71,"0.00")&amp;" price × "&amp;TEXT(AZ71,"0.0%")&amp;" ranking ceiling × "&amp;TEXT(AD71,"0.0%")&amp;" CVR)"&amp;". While spend is capped at "&amp;TEXT(AS71,"0.00")&amp;" clicks/day, a placement premium would only raise CPC without buying more rank; the modifier is set when this term moves to a full push.","NO — 0% (support / brand term). Bid $"&amp;TEXT(BC71,"0.00")&amp;" vs $"&amp;TEXT(BB71,"0.00")&amp;" max ranking CPC"&amp;" (= $"&amp;TEXT(AY71,"0.00")&amp;" price × "&amp;TEXT(AZ71,"0.0%")&amp;" ranking ceiling × "&amp;TEXT(AD71,"0.0%")&amp;" CVR)"&amp;"; expected ACoS "&amp;TEXT(BI71,"0.0%")&amp;" vs the "&amp;TEXT(AZ71,"0.0%")&amp;" ceiling."))</f>
        <v>NO — 0% (support / brand term). Bid $2.18 vs $2.86 max ranking CPC (= $79.99 price × 55.9% ranking ceiling × 6.4% CVR); expected ACoS 42.6% vs the 55.9% ceiling.</v>
      </c>
      <c r="BG71" s="50" t="n">
        <f aca="false">BC71*(1+BE71)</f>
        <v>2.18</v>
      </c>
      <c r="BH71" s="45" t="n">
        <f aca="false">AS71*BG71</f>
        <v>0.13107870864</v>
      </c>
      <c r="BI71" s="33" t="n">
        <f aca="false">IFERROR(BG71/(AY71*AD71),"")</f>
        <v>0.425834479309914</v>
      </c>
      <c r="BJ71" s="27" t="str">
        <f aca="false">IF(BI71="","",IF(BI71&lt;=BA71,"Profitable (≤ break-even)",IF(BI71&lt;=AZ71,"Ranking investment (≤ ceiling)","Above ceiling — reduce bid")))</f>
        <v>Ranking investment (≤ ceiling)</v>
      </c>
      <c r="BK71" s="49" t="str">
        <f aca="false">"Base $"&amp;TEXT(BC71,"0.00")&amp;" × (1 + "&amp;TEXT(BE71,"0%")&amp;" TOS) = $"&amp;TEXT(BG71,"0.00")&amp;" effective CPC [max $"&amp;TEXT(BB71,"0.00")&amp;"]. "&amp;TEXT(AG71,"0.0")&amp;" market clicks/day × "&amp;TEXT(AH71,"0.00%")&amp;" click share × "&amp;TEXT(AI71,"0%")&amp;" paid = "&amp;TEXT(AJ71,"0.00")&amp;" clicks/day needed; "&amp;"planned "&amp;TEXT(AS71,"0.00")&amp;" clicks/day × "&amp;TEXT(AD71,"0.0%")&amp;" CVR = "&amp;TEXT(AU71,"0.00")&amp;" orders/day. "&amp;"Spend $"&amp;TEXT(BH71,"0.00")&amp;"/day, ACoS "&amp;TEXT(BI71,"0.0%")&amp;" (ceiling "&amp;TEXT(AZ71,"0.0%")&amp;", break-even "&amp;TEXT(BA71,"0.0%")&amp;"). "&amp;"Target organic rank #"&amp;S71&amp;" by week 8 ("&amp;T71&amp;")."</f>
        <v>Base $2.18 × (1 + 0% TOS) = $2.18 effective CPC [max $2.86]. 7.3 market clicks/day × 1.24% click share × 66% paid = 0.06 clicks/day needed; planned 0.06 clicks/day × 6.4% CVR = 0.00 orders/day. Spend $0.13/day, ACoS 42.6% (ceiling 55.9%, break-even 37.2%). Target organic rank #20 by week 8 (#60 → #35 → #20).</v>
      </c>
      <c r="BL71" s="27" t="s">
        <v>1002</v>
      </c>
      <c r="BM71" s="27" t="s">
        <v>203</v>
      </c>
      <c r="BN71" s="27" t="s">
        <v>1071</v>
      </c>
      <c r="BO71" s="27" t="s">
        <v>1066</v>
      </c>
      <c r="BP71" s="27" t="s">
        <v>205</v>
      </c>
      <c r="BQ71" s="26" t="s">
        <v>206</v>
      </c>
      <c r="BR71" s="40" t="n">
        <f aca="false">IFERROR(INDEX(Campaigns!$L:$L,MATCH(BN71,Campaigns!$A:$A,0)),"")</f>
        <v>10</v>
      </c>
      <c r="BS71" s="51" t="str">
        <f aca="false">IFERROR(INDEX(Inventory!$O:$O,MATCH(BP71,Inventory!$A:$A,0)),"")</f>
        <v>OK</v>
      </c>
      <c r="BT71" s="52" t="n">
        <f aca="false">IFERROR(INDEX(Inventory!$N:$N,MATCH(BP71,Inventory!$A:$A,0)),"")</f>
        <v>91.5322601167724</v>
      </c>
      <c r="BU71" s="27" t="s">
        <v>1072</v>
      </c>
      <c r="BV71" s="27" t="s">
        <v>1073</v>
      </c>
      <c r="BW71" s="27" t="s">
        <v>1074</v>
      </c>
      <c r="BX71" s="27" t="s">
        <v>1075</v>
      </c>
      <c r="BY71" s="27" t="s">
        <v>1076</v>
      </c>
      <c r="BZ71" s="27" t="s">
        <v>1077</v>
      </c>
      <c r="CA71" s="27" t="s">
        <v>941</v>
      </c>
      <c r="CB71" s="27" t="s">
        <v>1078</v>
      </c>
      <c r="CC71" s="27" t="s">
        <v>358</v>
      </c>
    </row>
    <row r="72" customFormat="false" ht="120" hidden="false" customHeight="true" outlineLevel="0" collapsed="false">
      <c r="A72" s="53" t="s">
        <v>1079</v>
      </c>
      <c r="B72" s="54" t="n">
        <v>2</v>
      </c>
      <c r="C72" s="26" t="s">
        <v>928</v>
      </c>
      <c r="D72" s="26" t="s">
        <v>185</v>
      </c>
      <c r="E72" s="27" t="s">
        <v>929</v>
      </c>
      <c r="F72" s="28" t="n">
        <v>1</v>
      </c>
      <c r="G72" s="27" t="s">
        <v>187</v>
      </c>
      <c r="H72" s="26" t="s">
        <v>342</v>
      </c>
      <c r="I72" s="29" t="n">
        <v>4</v>
      </c>
      <c r="J72" s="27" t="s">
        <v>1080</v>
      </c>
      <c r="K72" s="30" t="n">
        <v>695</v>
      </c>
      <c r="L72" s="31" t="n">
        <v>467</v>
      </c>
      <c r="M72" s="32" t="n">
        <f aca="false">L72/30</f>
        <v>15.5666666666667</v>
      </c>
      <c r="N72" s="33" t="n">
        <v>0.0347874102705687</v>
      </c>
      <c r="O72" s="27" t="s">
        <v>1081</v>
      </c>
      <c r="P72" s="27" t="s">
        <v>1082</v>
      </c>
      <c r="Q72" s="27" t="s">
        <v>1024</v>
      </c>
      <c r="R72" s="34" t="n">
        <v>3</v>
      </c>
      <c r="S72" s="35" t="n">
        <v>20</v>
      </c>
      <c r="T72" s="36" t="s">
        <v>346</v>
      </c>
      <c r="U72" s="27" t="s">
        <v>1083</v>
      </c>
      <c r="V72" s="37" t="n">
        <f aca="false">IFERROR(INDEX(Sleephoria_History!$F$454:$F$2115,MATCH($A72,Sleephoria_History!$A$454:$A$2115,0)),"")</f>
        <v>3</v>
      </c>
      <c r="W72" s="38" t="n">
        <f aca="false">IFERROR(INDEX(Sleephoria_History!$J$454:$J$2115,MATCH($A72,Sleephoria_History!$A$454:$A$2115,0)),"")</f>
        <v>0</v>
      </c>
      <c r="X72" s="39" t="n">
        <f aca="false">IFERROR(INDEX(Sleephoria_History!$H$454:$H$2115,MATCH($A72,Sleephoria_History!$A$454:$A$2115,0)),"")</f>
        <v>2.28</v>
      </c>
      <c r="Y72" s="38" t="n">
        <f aca="false">IFERROR(INDEX(Sleephoria_History!$M$454:$M$2115,MATCH($A72,Sleephoria_History!$A$454:$A$2115,0)),"")</f>
        <v>0</v>
      </c>
      <c r="Z72" s="40" t="n">
        <f aca="false">IFERROR(INDEX(Sleephoria_History!$L$454:$L$2115,MATCH($A72,Sleephoria_History!$A$454:$A$2115,0)),"")</f>
        <v>0</v>
      </c>
      <c r="AA72" s="37" t="n">
        <f aca="false">IFERROR(INDEX(Decolure_History!$F$397:$F$709,MATCH($A72,Decolure_History!$A$397:$A$709,0)),"")</f>
        <v>32</v>
      </c>
      <c r="AB72" s="38" t="n">
        <f aca="false">IFERROR(INDEX(Decolure_History!$J$397:$J$709,MATCH($A72,Decolure_History!$A$397:$A$709,0)),"")</f>
        <v>0</v>
      </c>
      <c r="AC72" s="38" t="n">
        <f aca="false">IFERROR(INDEX(Decolure_History!$M$397:$M$709,MATCH($A72,Decolure_History!$A$397:$A$709,0)),"")</f>
        <v>0</v>
      </c>
      <c r="AD72" s="41" t="n">
        <v>0.064</v>
      </c>
      <c r="AE72" s="27" t="s">
        <v>275</v>
      </c>
      <c r="AF72" s="42" t="n">
        <v>0.504</v>
      </c>
      <c r="AG72" s="32" t="n">
        <f aca="false">M72*AF72</f>
        <v>7.8456</v>
      </c>
      <c r="AH72" s="43" t="n">
        <f aca="false">IF(AO72="Brand Defense",0,IFERROR(VLOOKUP(S72,Assumptions!$A$24:$B$28,2,FALSE()),0))</f>
        <v>0.0124</v>
      </c>
      <c r="AI72" s="28" t="n">
        <f aca="false">Assumptions!$B$6</f>
        <v>0.66</v>
      </c>
      <c r="AJ72" s="44" t="n">
        <f aca="false">AG72*AH72*AI72</f>
        <v>0.0642083904</v>
      </c>
      <c r="AK72" s="44" t="n">
        <f aca="false">AJ72*AD72</f>
        <v>0.0041093369856</v>
      </c>
      <c r="AL72" s="30" t="n">
        <f aca="false">AJ72*56</f>
        <v>3.5956698624</v>
      </c>
      <c r="AM72" s="32" t="n">
        <f aca="false">AK72*56</f>
        <v>0.2301228711936</v>
      </c>
      <c r="AN72" s="44" t="n">
        <f aca="false">M72*Assumptions!$B$8</f>
        <v>1.55666666666667</v>
      </c>
      <c r="AO72" s="27" t="s">
        <v>328</v>
      </c>
      <c r="AP72" s="27" t="s">
        <v>1049</v>
      </c>
      <c r="AQ72" s="26" t="s">
        <v>198</v>
      </c>
      <c r="AR72" s="27" t="s">
        <v>199</v>
      </c>
      <c r="AS72" s="44" t="n">
        <f aca="false">IF(AO72="Ranking — Full Push",MIN(MAX(AJ72,Assumptions!$B$9),AN72),IF(AO72="Brand Defense",MIN(Assumptions!$B$7,AN72),IF(OR(AO72="Ranking — Head Term (Capped)",AO72="Ranking — Capped Entry"),MIN(MAX(AJ72,Assumptions!$B$9),Assumptions!$B$7,AN72),IF(AO72="Ranking — Capped Long-Tail",MIN(AJ72,Assumptions!$B$10,AN72),MIN(AJ72,AN72)))))</f>
        <v>0.0642083904</v>
      </c>
      <c r="AT72" s="27" t="str">
        <f aca="false">IF(AJ72&lt;=0,"",IF(AS72&gt;=AJ72,IF(AS72&gt;AJ72*1.05,"Floor of "&amp;TEXT(AS72,"0.0")&amp;" click/day to read CVR (rank needs "&amp;TEXT(AJ72,"0.00")&amp;")","Fully funded (100%)"),"Capped at "&amp;TEXT(AS72/AJ72,"0%")&amp;" of required"))</f>
        <v>Fully funded (100%)</v>
      </c>
      <c r="AU72" s="44" t="n">
        <f aca="false">AS72*AD72</f>
        <v>0.0041093369856</v>
      </c>
      <c r="AV72" s="45" t="n">
        <f aca="false">AU72*AY72</f>
        <v>0.328705865478144</v>
      </c>
      <c r="AW72" s="46" t="n">
        <v>2.18</v>
      </c>
      <c r="AX72" s="27" t="s">
        <v>295</v>
      </c>
      <c r="AY72" s="47" t="n">
        <f aca="false">INDEX(Assumptions!$B$33:$B$37,MATCH(IF($D72="","Queen",$D72),Assumptions!$A$33:$A$37,0))</f>
        <v>79.99</v>
      </c>
      <c r="AZ72" s="33" t="n">
        <f aca="false">INDEX(Assumptions!$K$33:$K$37,MATCH(IF($D72="","Queen",$D72),Assumptions!$A$33:$A$37,0))</f>
        <v>0.558660457557195</v>
      </c>
      <c r="BA72" s="33" t="n">
        <f aca="false">INDEX(Assumptions!$H$33:$H$37,MATCH(IF($D72="","Queen",$D72),Assumptions!$A$33:$A$37,0))</f>
        <v>0.37244030503813</v>
      </c>
      <c r="BB72" s="47" t="n">
        <f aca="false">AY72*AZ72*AD72</f>
        <v>2.859984</v>
      </c>
      <c r="BC72" s="47" t="n">
        <f aca="false">ROUND(MIN(AW72*Assumptions!$B$11,BB72),2)</f>
        <v>2.18</v>
      </c>
      <c r="BD72" s="26" t="s">
        <v>278</v>
      </c>
      <c r="BE72" s="48" t="n">
        <f aca="false">IF(AO72="Ranking — Full Push",MAX(0,MIN(IF(BD72="Yes",Assumptions!$B$12,Assumptions!$B$13),FLOOR(MAX(0,BB72/BC72-1),Assumptions!$B$14))),0)</f>
        <v>0</v>
      </c>
      <c r="BF72" s="49" t="str">
        <f aca="false">IF(AO72="Ranking — Full Push",IF(BE72&gt;=1,"YES — +100% Top of Search. Effective CPC $"&amp;TEXT(BG72,"0.00")&amp;" (= $"&amp;TEXT(BC72,"0.00")&amp;" × 2) stays within the $"&amp;TEXT(BB72,"0.00")&amp;" max ranking CPC"&amp;" (= $"&amp;TEXT(AY72,"0.00")&amp;" price × "&amp;TEXT(AZ72,"0.0%")&amp;" ranking ceiling × "&amp;TEXT(AD72,"0.0%")&amp;" CVR)"&amp;". Sleephoria CVR is proven on this term, so the full push is justified.",IF(AND(BD72="No",BE72&gt;=Assumptions!$B$13),"PARTIAL — +"&amp;TEXT(BE72,"0%")&amp;" Top of Search (limit for terms without proven CVR). Effective CPC $"&amp;TEXT(BG72,"0.00")&amp;" vs $"&amp;TEXT(BB72,"0.00")&amp;" max ranking CPC"&amp;" (= $"&amp;TEXT(AY72,"0.00")&amp;" price × "&amp;TEXT(AZ72,"0.0%")&amp;" ranking ceiling × "&amp;TEXT(AD72,"0.0%")&amp;" CVR)"&amp;". Raise to +100% only after CooLinens converts at ≥ "&amp;TEXT(AD72,"0.0%")&amp;" on 50+ clicks and $"&amp;TEXT(BC72*2,"0.00")&amp;" ≤ the max.",IF(BE72&gt;0,"PARTIAL — +"&amp;TEXT(BE72,"0%")&amp;" Top of Search. Effective CPC $"&amp;TEXT(BG72,"0.00")&amp;" stays within the $"&amp;TEXT(BB72,"0.00")&amp;" max ranking CPC"&amp;" (= $"&amp;TEXT(AY72,"0.00")&amp;" price × "&amp;TEXT(AZ72,"0.0%")&amp;" ranking ceiling × "&amp;TEXT(AD72,"0.0%")&amp;" CVR)"&amp;". +100% would cost $"&amp;TEXT(BC72*2,"0.00")&amp;" per click and push ACoS to "&amp;TEXT(BC72*2/(AY72*AD72),"0.0%")&amp;", above the "&amp;TEXT(AZ72,"0.0%")&amp;" ceiling.","NO — 0%. Base bid $"&amp;TEXT(BC72,"0.00")&amp;" already equals the $"&amp;TEXT(BB72,"0.00")&amp;" max ranking CPC"&amp;" (= $"&amp;TEXT(AY72,"0.00")&amp;" price × "&amp;TEXT(AZ72,"0.0%")&amp;" ranking ceiling × "&amp;TEXT(AD72,"0.0%")&amp;" CVR)"&amp;"; any modifier would push ACoS above the "&amp;TEXT(AZ72,"0.0%")&amp;" ceiling."))),IF(OR(AO72="Ranking — Head Term (Capped)",AO72="Ranking — Capped Entry",AO72="Ranking — Capped Long-Tail"),"NO — 0% (capped ranking entry). Bid $"&amp;TEXT(BC72,"0.00")&amp;" vs $"&amp;TEXT(BB72,"0.00")&amp;" max ranking CPC"&amp;" (= $"&amp;TEXT(AY72,"0.00")&amp;" price × "&amp;TEXT(AZ72,"0.0%")&amp;" ranking ceiling × "&amp;TEXT(AD72,"0.0%")&amp;" CVR)"&amp;". While spend is capped at "&amp;TEXT(AS72,"0.00")&amp;" clicks/day, a placement premium would only raise CPC without buying more rank; the modifier is set when this term moves to a full push.","NO — 0% (support / brand term). Bid $"&amp;TEXT(BC72,"0.00")&amp;" vs $"&amp;TEXT(BB72,"0.00")&amp;" max ranking CPC"&amp;" (= $"&amp;TEXT(AY72,"0.00")&amp;" price × "&amp;TEXT(AZ72,"0.0%")&amp;" ranking ceiling × "&amp;TEXT(AD72,"0.0%")&amp;" CVR)"&amp;"; expected ACoS "&amp;TEXT(BI72,"0.0%")&amp;" vs the "&amp;TEXT(AZ72,"0.0%")&amp;" ceiling."))</f>
        <v>NO — 0% (support / brand term). Bid $2.18 vs $2.86 max ranking CPC (= $79.99 price × 55.9% ranking ceiling × 6.4% CVR); expected ACoS 42.6% vs the 55.9% ceiling.</v>
      </c>
      <c r="BG72" s="50" t="n">
        <f aca="false">BC72*(1+BE72)</f>
        <v>2.18</v>
      </c>
      <c r="BH72" s="45" t="n">
        <f aca="false">AS72*BG72</f>
        <v>0.139974291072</v>
      </c>
      <c r="BI72" s="33" t="n">
        <f aca="false">IFERROR(BG72/(AY72*AD72),"")</f>
        <v>0.425834479309914</v>
      </c>
      <c r="BJ72" s="27" t="str">
        <f aca="false">IF(BI72="","",IF(BI72&lt;=BA72,"Profitable (≤ break-even)",IF(BI72&lt;=AZ72,"Ranking investment (≤ ceiling)","Above ceiling — reduce bid")))</f>
        <v>Ranking investment (≤ ceiling)</v>
      </c>
      <c r="BK72" s="49" t="str">
        <f aca="false">"Base $"&amp;TEXT(BC72,"0.00")&amp;" × (1 + "&amp;TEXT(BE72,"0%")&amp;" TOS) = $"&amp;TEXT(BG72,"0.00")&amp;" effective CPC [max $"&amp;TEXT(BB72,"0.00")&amp;"]. "&amp;TEXT(AG72,"0.0")&amp;" market clicks/day × "&amp;TEXT(AH72,"0.00%")&amp;" click share × "&amp;TEXT(AI72,"0%")&amp;" paid = "&amp;TEXT(AJ72,"0.00")&amp;" clicks/day needed; "&amp;"planned "&amp;TEXT(AS72,"0.00")&amp;" clicks/day × "&amp;TEXT(AD72,"0.0%")&amp;" CVR = "&amp;TEXT(AU72,"0.00")&amp;" orders/day. "&amp;"Spend $"&amp;TEXT(BH72,"0.00")&amp;"/day, ACoS "&amp;TEXT(BI72,"0.0%")&amp;" (ceiling "&amp;TEXT(AZ72,"0.0%")&amp;", break-even "&amp;TEXT(BA72,"0.0%")&amp;"). "&amp;"Target organic rank #"&amp;S72&amp;" by week 8 ("&amp;T72&amp;")."</f>
        <v>Base $2.18 × (1 + 0% TOS) = $2.18 effective CPC [max $2.86]. 7.8 market clicks/day × 1.24% click share × 66% paid = 0.06 clicks/day needed; planned 0.06 clicks/day × 6.4% CVR = 0.00 orders/day. Spend $0.14/day, ACoS 42.6% (ceiling 55.9%, break-even 37.2%). Target organic rank #20 by week 8 (#60 → #35 → #20).</v>
      </c>
      <c r="BL72" s="27" t="s">
        <v>1027</v>
      </c>
      <c r="BM72" s="27" t="s">
        <v>203</v>
      </c>
      <c r="BN72" s="27" t="s">
        <v>1084</v>
      </c>
      <c r="BO72" s="27" t="s">
        <v>1079</v>
      </c>
      <c r="BP72" s="27" t="s">
        <v>205</v>
      </c>
      <c r="BQ72" s="26" t="s">
        <v>206</v>
      </c>
      <c r="BR72" s="40" t="n">
        <f aca="false">IFERROR(INDEX(Campaigns!$L:$L,MATCH(BN72,Campaigns!$A:$A,0)),"")</f>
        <v>10</v>
      </c>
      <c r="BS72" s="51" t="str">
        <f aca="false">IFERROR(INDEX(Inventory!$O:$O,MATCH(BP72,Inventory!$A:$A,0)),"")</f>
        <v>OK</v>
      </c>
      <c r="BT72" s="52" t="n">
        <f aca="false">IFERROR(INDEX(Inventory!$N:$N,MATCH(BP72,Inventory!$A:$A,0)),"")</f>
        <v>91.5322601167724</v>
      </c>
      <c r="BU72" s="27" t="s">
        <v>1085</v>
      </c>
      <c r="BV72" s="27" t="s">
        <v>1086</v>
      </c>
      <c r="BW72" s="27" t="s">
        <v>1087</v>
      </c>
      <c r="BX72" s="27" t="s">
        <v>1088</v>
      </c>
      <c r="BY72" s="27" t="s">
        <v>1089</v>
      </c>
      <c r="BZ72" s="27" t="s">
        <v>1090</v>
      </c>
      <c r="CA72" s="27" t="s">
        <v>941</v>
      </c>
      <c r="CB72" s="27" t="s">
        <v>1091</v>
      </c>
      <c r="CC72" s="27" t="s">
        <v>358</v>
      </c>
    </row>
    <row r="73" customFormat="false" ht="120" hidden="false" customHeight="true" outlineLevel="0" collapsed="false">
      <c r="A73" s="53" t="s">
        <v>1092</v>
      </c>
      <c r="B73" s="54" t="n">
        <v>2</v>
      </c>
      <c r="C73" s="26" t="s">
        <v>928</v>
      </c>
      <c r="D73" s="26" t="s">
        <v>185</v>
      </c>
      <c r="E73" s="27" t="s">
        <v>929</v>
      </c>
      <c r="F73" s="28" t="n">
        <v>1</v>
      </c>
      <c r="G73" s="27" t="s">
        <v>187</v>
      </c>
      <c r="H73" s="26" t="s">
        <v>342</v>
      </c>
      <c r="I73" s="29" t="n">
        <v>4.5</v>
      </c>
      <c r="J73" s="27" t="s">
        <v>822</v>
      </c>
      <c r="K73" s="30" t="n">
        <v>677</v>
      </c>
      <c r="L73" s="31" t="n">
        <v>376</v>
      </c>
      <c r="M73" s="32" t="n">
        <f aca="false">L73/30</f>
        <v>12.5333333333333</v>
      </c>
      <c r="N73" s="33" t="n">
        <v>0.0327365728900255</v>
      </c>
      <c r="O73" s="27" t="s">
        <v>1093</v>
      </c>
      <c r="P73" s="27" t="s">
        <v>1094</v>
      </c>
      <c r="Q73" s="27" t="s">
        <v>1095</v>
      </c>
      <c r="R73" s="34" t="n">
        <v>4</v>
      </c>
      <c r="S73" s="35" t="n">
        <v>20</v>
      </c>
      <c r="T73" s="36" t="s">
        <v>346</v>
      </c>
      <c r="U73" s="27" t="s">
        <v>1096</v>
      </c>
      <c r="V73" s="37" t="n">
        <f aca="false">IFERROR(INDEX(Sleephoria_History!$F$454:$F$2115,MATCH($A73,Sleephoria_History!$A$454:$A$2115,0)),"")</f>
        <v>14</v>
      </c>
      <c r="W73" s="38" t="n">
        <f aca="false">IFERROR(INDEX(Sleephoria_History!$J$454:$J$2115,MATCH($A73,Sleephoria_History!$A$454:$A$2115,0)),"")</f>
        <v>0</v>
      </c>
      <c r="X73" s="39" t="n">
        <f aca="false">IFERROR(INDEX(Sleephoria_History!$H$454:$H$2115,MATCH($A73,Sleephoria_History!$A$454:$A$2115,0)),"")</f>
        <v>2.25</v>
      </c>
      <c r="Y73" s="38" t="n">
        <f aca="false">IFERROR(INDEX(Sleephoria_History!$M$454:$M$2115,MATCH($A73,Sleephoria_History!$A$454:$A$2115,0)),"")</f>
        <v>0</v>
      </c>
      <c r="Z73" s="40" t="n">
        <f aca="false">IFERROR(INDEX(Sleephoria_History!$L$454:$L$2115,MATCH($A73,Sleephoria_History!$A$454:$A$2115,0)),"")</f>
        <v>0</v>
      </c>
      <c r="AA73" s="37" t="n">
        <f aca="false">IFERROR(INDEX(Decolure_History!$F$397:$F$709,MATCH($A73,Decolure_History!$A$397:$A$709,0)),"")</f>
        <v>20</v>
      </c>
      <c r="AB73" s="38" t="n">
        <f aca="false">IFERROR(INDEX(Decolure_History!$J$397:$J$709,MATCH($A73,Decolure_History!$A$397:$A$709,0)),"")</f>
        <v>0</v>
      </c>
      <c r="AC73" s="38" t="n">
        <f aca="false">IFERROR(INDEX(Decolure_History!$M$397:$M$709,MATCH($A73,Decolure_History!$A$397:$A$709,0)),"")</f>
        <v>0</v>
      </c>
      <c r="AD73" s="41" t="n">
        <v>0.064</v>
      </c>
      <c r="AE73" s="27" t="s">
        <v>275</v>
      </c>
      <c r="AF73" s="42" t="n">
        <v>0.52</v>
      </c>
      <c r="AG73" s="32" t="n">
        <f aca="false">M73*AF73</f>
        <v>6.51733333333333</v>
      </c>
      <c r="AH73" s="43" t="n">
        <f aca="false">IF(AO73="Brand Defense",0,IFERROR(VLOOKUP(S73,Assumptions!$A$24:$B$28,2,FALSE()),0))</f>
        <v>0.0124</v>
      </c>
      <c r="AI73" s="28" t="n">
        <f aca="false">Assumptions!$B$6</f>
        <v>0.66</v>
      </c>
      <c r="AJ73" s="44" t="n">
        <f aca="false">AG73*AH73*AI73</f>
        <v>0.053337856</v>
      </c>
      <c r="AK73" s="44" t="n">
        <f aca="false">AJ73*AD73</f>
        <v>0.003413622784</v>
      </c>
      <c r="AL73" s="30" t="n">
        <f aca="false">AJ73*56</f>
        <v>2.986919936</v>
      </c>
      <c r="AM73" s="32" t="n">
        <f aca="false">AK73*56</f>
        <v>0.191162875904</v>
      </c>
      <c r="AN73" s="44" t="n">
        <f aca="false">M73*Assumptions!$B$8</f>
        <v>1.25333333333333</v>
      </c>
      <c r="AO73" s="27" t="s">
        <v>328</v>
      </c>
      <c r="AP73" s="27" t="s">
        <v>1097</v>
      </c>
      <c r="AQ73" s="26" t="s">
        <v>198</v>
      </c>
      <c r="AR73" s="27" t="s">
        <v>199</v>
      </c>
      <c r="AS73" s="44" t="n">
        <f aca="false">IF(AO73="Ranking — Full Push",MIN(MAX(AJ73,Assumptions!$B$9),AN73),IF(AO73="Brand Defense",MIN(Assumptions!$B$7,AN73),IF(OR(AO73="Ranking — Head Term (Capped)",AO73="Ranking — Capped Entry"),MIN(MAX(AJ73,Assumptions!$B$9),Assumptions!$B$7,AN73),IF(AO73="Ranking — Capped Long-Tail",MIN(AJ73,Assumptions!$B$10,AN73),MIN(AJ73,AN73)))))</f>
        <v>0.053337856</v>
      </c>
      <c r="AT73" s="27" t="str">
        <f aca="false">IF(AJ73&lt;=0,"",IF(AS73&gt;=AJ73,IF(AS73&gt;AJ73*1.05,"Floor of "&amp;TEXT(AS73,"0.0")&amp;" click/day to read CVR (rank needs "&amp;TEXT(AJ73,"0.00")&amp;")","Fully funded (100%)"),"Capped at "&amp;TEXT(AS73/AJ73,"0%")&amp;" of required"))</f>
        <v>Fully funded (100%)</v>
      </c>
      <c r="AU73" s="44" t="n">
        <f aca="false">AS73*AD73</f>
        <v>0.003413622784</v>
      </c>
      <c r="AV73" s="45" t="n">
        <f aca="false">AU73*AY73</f>
        <v>0.27305568649216</v>
      </c>
      <c r="AW73" s="46" t="n">
        <v>2.18</v>
      </c>
      <c r="AX73" s="27" t="s">
        <v>295</v>
      </c>
      <c r="AY73" s="47" t="n">
        <f aca="false">INDEX(Assumptions!$B$33:$B$37,MATCH(IF($D73="","Queen",$D73),Assumptions!$A$33:$A$37,0))</f>
        <v>79.99</v>
      </c>
      <c r="AZ73" s="33" t="n">
        <f aca="false">INDEX(Assumptions!$K$33:$K$37,MATCH(IF($D73="","Queen",$D73),Assumptions!$A$33:$A$37,0))</f>
        <v>0.558660457557195</v>
      </c>
      <c r="BA73" s="33" t="n">
        <f aca="false">INDEX(Assumptions!$H$33:$H$37,MATCH(IF($D73="","Queen",$D73),Assumptions!$A$33:$A$37,0))</f>
        <v>0.37244030503813</v>
      </c>
      <c r="BB73" s="47" t="n">
        <f aca="false">AY73*AZ73*AD73</f>
        <v>2.859984</v>
      </c>
      <c r="BC73" s="47" t="n">
        <f aca="false">ROUND(MIN(AW73*Assumptions!$B$11,BB73),2)</f>
        <v>2.18</v>
      </c>
      <c r="BD73" s="26" t="s">
        <v>278</v>
      </c>
      <c r="BE73" s="48" t="n">
        <f aca="false">IF(AO73="Ranking — Full Push",MAX(0,MIN(IF(BD73="Yes",Assumptions!$B$12,Assumptions!$B$13),FLOOR(MAX(0,BB73/BC73-1),Assumptions!$B$14))),0)</f>
        <v>0</v>
      </c>
      <c r="BF73" s="49" t="str">
        <f aca="false">IF(AO73="Ranking — Full Push",IF(BE73&gt;=1,"YES — +100% Top of Search. Effective CPC $"&amp;TEXT(BG73,"0.00")&amp;" (= $"&amp;TEXT(BC73,"0.00")&amp;" × 2) stays within the $"&amp;TEXT(BB73,"0.00")&amp;" max ranking CPC"&amp;" (= $"&amp;TEXT(AY73,"0.00")&amp;" price × "&amp;TEXT(AZ73,"0.0%")&amp;" ranking ceiling × "&amp;TEXT(AD73,"0.0%")&amp;" CVR)"&amp;". Sleephoria CVR is proven on this term, so the full push is justified.",IF(AND(BD73="No",BE73&gt;=Assumptions!$B$13),"PARTIAL — +"&amp;TEXT(BE73,"0%")&amp;" Top of Search (limit for terms without proven CVR). Effective CPC $"&amp;TEXT(BG73,"0.00")&amp;" vs $"&amp;TEXT(BB73,"0.00")&amp;" max ranking CPC"&amp;" (= $"&amp;TEXT(AY73,"0.00")&amp;" price × "&amp;TEXT(AZ73,"0.0%")&amp;" ranking ceiling × "&amp;TEXT(AD73,"0.0%")&amp;" CVR)"&amp;". Raise to +100% only after CooLinens converts at ≥ "&amp;TEXT(AD73,"0.0%")&amp;" on 50+ clicks and $"&amp;TEXT(BC73*2,"0.00")&amp;" ≤ the max.",IF(BE73&gt;0,"PARTIAL — +"&amp;TEXT(BE73,"0%")&amp;" Top of Search. Effective CPC $"&amp;TEXT(BG73,"0.00")&amp;" stays within the $"&amp;TEXT(BB73,"0.00")&amp;" max ranking CPC"&amp;" (= $"&amp;TEXT(AY73,"0.00")&amp;" price × "&amp;TEXT(AZ73,"0.0%")&amp;" ranking ceiling × "&amp;TEXT(AD73,"0.0%")&amp;" CVR)"&amp;". +100% would cost $"&amp;TEXT(BC73*2,"0.00")&amp;" per click and push ACoS to "&amp;TEXT(BC73*2/(AY73*AD73),"0.0%")&amp;", above the "&amp;TEXT(AZ73,"0.0%")&amp;" ceiling.","NO — 0%. Base bid $"&amp;TEXT(BC73,"0.00")&amp;" already equals the $"&amp;TEXT(BB73,"0.00")&amp;" max ranking CPC"&amp;" (= $"&amp;TEXT(AY73,"0.00")&amp;" price × "&amp;TEXT(AZ73,"0.0%")&amp;" ranking ceiling × "&amp;TEXT(AD73,"0.0%")&amp;" CVR)"&amp;"; any modifier would push ACoS above the "&amp;TEXT(AZ73,"0.0%")&amp;" ceiling."))),IF(OR(AO73="Ranking — Head Term (Capped)",AO73="Ranking — Capped Entry",AO73="Ranking — Capped Long-Tail"),"NO — 0% (capped ranking entry). Bid $"&amp;TEXT(BC73,"0.00")&amp;" vs $"&amp;TEXT(BB73,"0.00")&amp;" max ranking CPC"&amp;" (= $"&amp;TEXT(AY73,"0.00")&amp;" price × "&amp;TEXT(AZ73,"0.0%")&amp;" ranking ceiling × "&amp;TEXT(AD73,"0.0%")&amp;" CVR)"&amp;". While spend is capped at "&amp;TEXT(AS73,"0.00")&amp;" clicks/day, a placement premium would only raise CPC without buying more rank; the modifier is set when this term moves to a full push.","NO — 0% (support / brand term). Bid $"&amp;TEXT(BC73,"0.00")&amp;" vs $"&amp;TEXT(BB73,"0.00")&amp;" max ranking CPC"&amp;" (= $"&amp;TEXT(AY73,"0.00")&amp;" price × "&amp;TEXT(AZ73,"0.0%")&amp;" ranking ceiling × "&amp;TEXT(AD73,"0.0%")&amp;" CVR)"&amp;"; expected ACoS "&amp;TEXT(BI73,"0.0%")&amp;" vs the "&amp;TEXT(AZ73,"0.0%")&amp;" ceiling."))</f>
        <v>NO — 0% (support / brand term). Bid $2.18 vs $2.86 max ranking CPC (= $79.99 price × 55.9% ranking ceiling × 6.4% CVR); expected ACoS 42.6% vs the 55.9% ceiling.</v>
      </c>
      <c r="BG73" s="50" t="n">
        <f aca="false">BC73*(1+BE73)</f>
        <v>2.18</v>
      </c>
      <c r="BH73" s="45" t="n">
        <f aca="false">AS73*BG73</f>
        <v>0.11627652608</v>
      </c>
      <c r="BI73" s="33" t="n">
        <f aca="false">IFERROR(BG73/(AY73*AD73),"")</f>
        <v>0.425834479309914</v>
      </c>
      <c r="BJ73" s="27" t="str">
        <f aca="false">IF(BI73="","",IF(BI73&lt;=BA73,"Profitable (≤ break-even)",IF(BI73&lt;=AZ73,"Ranking investment (≤ ceiling)","Above ceiling — reduce bid")))</f>
        <v>Ranking investment (≤ ceiling)</v>
      </c>
      <c r="BK73" s="49" t="str">
        <f aca="false">"Base $"&amp;TEXT(BC73,"0.00")&amp;" × (1 + "&amp;TEXT(BE73,"0%")&amp;" TOS) = $"&amp;TEXT(BG73,"0.00")&amp;" effective CPC [max $"&amp;TEXT(BB73,"0.00")&amp;"]. "&amp;TEXT(AG73,"0.0")&amp;" market clicks/day × "&amp;TEXT(AH73,"0.00%")&amp;" click share × "&amp;TEXT(AI73,"0%")&amp;" paid = "&amp;TEXT(AJ73,"0.00")&amp;" clicks/day needed; "&amp;"planned "&amp;TEXT(AS73,"0.00")&amp;" clicks/day × "&amp;TEXT(AD73,"0.0%")&amp;" CVR = "&amp;TEXT(AU73,"0.00")&amp;" orders/day. "&amp;"Spend $"&amp;TEXT(BH73,"0.00")&amp;"/day, ACoS "&amp;TEXT(BI73,"0.0%")&amp;" (ceiling "&amp;TEXT(AZ73,"0.0%")&amp;", break-even "&amp;TEXT(BA73,"0.0%")&amp;"). "&amp;"Target organic rank #"&amp;S73&amp;" by week 8 ("&amp;T73&amp;")."</f>
        <v>Base $2.18 × (1 + 0% TOS) = $2.18 effective CPC [max $2.86]. 6.5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L73" s="27" t="s">
        <v>1027</v>
      </c>
      <c r="BM73" s="27" t="s">
        <v>203</v>
      </c>
      <c r="BN73" s="27" t="s">
        <v>1098</v>
      </c>
      <c r="BO73" s="27" t="s">
        <v>1092</v>
      </c>
      <c r="BP73" s="27" t="s">
        <v>205</v>
      </c>
      <c r="BQ73" s="26" t="s">
        <v>206</v>
      </c>
      <c r="BR73" s="40" t="n">
        <f aca="false">IFERROR(INDEX(Campaigns!$L:$L,MATCH(BN73,Campaigns!$A:$A,0)),"")</f>
        <v>10</v>
      </c>
      <c r="BS73" s="51" t="str">
        <f aca="false">IFERROR(INDEX(Inventory!$O:$O,MATCH(BP73,Inventory!$A:$A,0)),"")</f>
        <v>OK</v>
      </c>
      <c r="BT73" s="52" t="n">
        <f aca="false">IFERROR(INDEX(Inventory!$N:$N,MATCH(BP73,Inventory!$A:$A,0)),"")</f>
        <v>91.5322601167724</v>
      </c>
      <c r="BU73" s="27" t="s">
        <v>1099</v>
      </c>
      <c r="BV73" s="27" t="s">
        <v>1100</v>
      </c>
      <c r="BW73" s="27" t="s">
        <v>1101</v>
      </c>
      <c r="BX73" s="27" t="s">
        <v>1102</v>
      </c>
      <c r="BY73" s="27" t="s">
        <v>1103</v>
      </c>
      <c r="BZ73" s="27" t="s">
        <v>1104</v>
      </c>
      <c r="CA73" s="27" t="s">
        <v>941</v>
      </c>
      <c r="CB73" s="27" t="s">
        <v>1105</v>
      </c>
      <c r="CC73" s="27" t="s">
        <v>358</v>
      </c>
    </row>
    <row r="74" customFormat="false" ht="120" hidden="false" customHeight="true" outlineLevel="0" collapsed="false">
      <c r="A74" s="53" t="s">
        <v>1106</v>
      </c>
      <c r="B74" s="54" t="n">
        <v>2</v>
      </c>
      <c r="C74" s="26" t="s">
        <v>928</v>
      </c>
      <c r="D74" s="26" t="s">
        <v>185</v>
      </c>
      <c r="E74" s="27" t="s">
        <v>929</v>
      </c>
      <c r="F74" s="28" t="n">
        <v>1</v>
      </c>
      <c r="G74" s="27" t="s">
        <v>187</v>
      </c>
      <c r="H74" s="26" t="s">
        <v>342</v>
      </c>
      <c r="I74" s="29" t="n">
        <v>5</v>
      </c>
      <c r="J74" s="27" t="s">
        <v>970</v>
      </c>
      <c r="K74" s="30" t="n">
        <v>649</v>
      </c>
      <c r="L74" s="31" t="n">
        <v>365</v>
      </c>
      <c r="M74" s="32" t="n">
        <f aca="false">L74/30</f>
        <v>12.1666666666667</v>
      </c>
      <c r="N74" s="33" t="n">
        <v>0.059182428309945</v>
      </c>
      <c r="O74" s="27" t="s">
        <v>1107</v>
      </c>
      <c r="P74" s="27" t="s">
        <v>1108</v>
      </c>
      <c r="Q74" s="27" t="s">
        <v>273</v>
      </c>
      <c r="R74" s="34" t="n">
        <v>3</v>
      </c>
      <c r="S74" s="35" t="n">
        <v>20</v>
      </c>
      <c r="T74" s="36" t="s">
        <v>346</v>
      </c>
      <c r="U74" s="27" t="s">
        <v>1109</v>
      </c>
      <c r="V74" s="37" t="n">
        <f aca="false">IFERROR(INDEX(Sleephoria_History!$F$454:$F$2115,MATCH($A74,Sleephoria_History!$A$454:$A$2115,0)),"")</f>
        <v>1</v>
      </c>
      <c r="W74" s="38" t="n">
        <f aca="false">IFERROR(INDEX(Sleephoria_History!$J$454:$J$2115,MATCH($A74,Sleephoria_History!$A$454:$A$2115,0)),"")</f>
        <v>0</v>
      </c>
      <c r="X74" s="39" t="n">
        <f aca="false">IFERROR(INDEX(Sleephoria_History!$H$454:$H$2115,MATCH($A74,Sleephoria_History!$A$454:$A$2115,0)),"")</f>
        <v>4.17</v>
      </c>
      <c r="Y74" s="38" t="n">
        <f aca="false">IFERROR(INDEX(Sleephoria_History!$M$454:$M$2115,MATCH($A74,Sleephoria_History!$A$454:$A$2115,0)),"")</f>
        <v>0</v>
      </c>
      <c r="Z74" s="40" t="n">
        <f aca="false">IFERROR(INDEX(Sleephoria_History!$L$454:$L$2115,MATCH($A74,Sleephoria_History!$A$454:$A$2115,0)),"")</f>
        <v>0</v>
      </c>
      <c r="AA74" s="37" t="n">
        <f aca="false">IFERROR(INDEX(Decolure_History!$F$397:$F$709,MATCH($A74,Decolure_History!$A$397:$A$709,0)),"")</f>
        <v>15</v>
      </c>
      <c r="AB74" s="38" t="n">
        <f aca="false">IFERROR(INDEX(Decolure_History!$J$397:$J$709,MATCH($A74,Decolure_History!$A$397:$A$709,0)),"")</f>
        <v>0.2</v>
      </c>
      <c r="AC74" s="38" t="n">
        <f aca="false">IFERROR(INDEX(Decolure_History!$M$397:$M$709,MATCH($A74,Decolure_History!$A$397:$A$709,0)),"")</f>
        <v>0.183</v>
      </c>
      <c r="AD74" s="41" t="n">
        <v>0.064</v>
      </c>
      <c r="AE74" s="27" t="s">
        <v>275</v>
      </c>
      <c r="AF74" s="42" t="n">
        <v>0.418</v>
      </c>
      <c r="AG74" s="32" t="n">
        <f aca="false">M74*AF74</f>
        <v>5.08566666666667</v>
      </c>
      <c r="AH74" s="43" t="n">
        <f aca="false">IF(AO74="Brand Defense",0,IFERROR(VLOOKUP(S74,Assumptions!$A$24:$B$28,2,FALSE()),0))</f>
        <v>0.0124</v>
      </c>
      <c r="AI74" s="28" t="n">
        <f aca="false">Assumptions!$B$6</f>
        <v>0.66</v>
      </c>
      <c r="AJ74" s="44" t="n">
        <f aca="false">AG74*AH74*AI74</f>
        <v>0.041621096</v>
      </c>
      <c r="AK74" s="44" t="n">
        <f aca="false">AJ74*AD74</f>
        <v>0.002663750144</v>
      </c>
      <c r="AL74" s="30" t="n">
        <f aca="false">AJ74*56</f>
        <v>2.330781376</v>
      </c>
      <c r="AM74" s="32" t="n">
        <f aca="false">AK74*56</f>
        <v>0.149170008064</v>
      </c>
      <c r="AN74" s="44" t="n">
        <f aca="false">M74*Assumptions!$B$8</f>
        <v>1.21666666666667</v>
      </c>
      <c r="AO74" s="27" t="s">
        <v>328</v>
      </c>
      <c r="AP74" s="27" t="s">
        <v>1014</v>
      </c>
      <c r="AQ74" s="26" t="s">
        <v>198</v>
      </c>
      <c r="AR74" s="27" t="s">
        <v>199</v>
      </c>
      <c r="AS74" s="44" t="n">
        <f aca="false">IF(AO74="Ranking — Full Push",MIN(MAX(AJ74,Assumptions!$B$9),AN74),IF(AO74="Brand Defense",MIN(Assumptions!$B$7,AN74),IF(OR(AO74="Ranking — Head Term (Capped)",AO74="Ranking — Capped Entry"),MIN(MAX(AJ74,Assumptions!$B$9),Assumptions!$B$7,AN74),IF(AO74="Ranking — Capped Long-Tail",MIN(AJ74,Assumptions!$B$10,AN74),MIN(AJ74,AN74)))))</f>
        <v>0.041621096</v>
      </c>
      <c r="AT74" s="27" t="str">
        <f aca="false">IF(AJ74&lt;=0,"",IF(AS74&gt;=AJ74,IF(AS74&gt;AJ74*1.05,"Floor of "&amp;TEXT(AS74,"0.0")&amp;" click/day to read CVR (rank needs "&amp;TEXT(AJ74,"0.00")&amp;")","Fully funded (100%)"),"Capped at "&amp;TEXT(AS74/AJ74,"0%")&amp;" of required"))</f>
        <v>Fully funded (100%)</v>
      </c>
      <c r="AU74" s="44" t="n">
        <f aca="false">AS74*AD74</f>
        <v>0.002663750144</v>
      </c>
      <c r="AV74" s="45" t="n">
        <f aca="false">AU74*AY74</f>
        <v>0.21307337401856</v>
      </c>
      <c r="AW74" s="46" t="n">
        <v>2.18</v>
      </c>
      <c r="AX74" s="27" t="s">
        <v>295</v>
      </c>
      <c r="AY74" s="47" t="n">
        <f aca="false">INDEX(Assumptions!$B$33:$B$37,MATCH(IF($D74="","Queen",$D74),Assumptions!$A$33:$A$37,0))</f>
        <v>79.99</v>
      </c>
      <c r="AZ74" s="33" t="n">
        <f aca="false">INDEX(Assumptions!$K$33:$K$37,MATCH(IF($D74="","Queen",$D74),Assumptions!$A$33:$A$37,0))</f>
        <v>0.558660457557195</v>
      </c>
      <c r="BA74" s="33" t="n">
        <f aca="false">INDEX(Assumptions!$H$33:$H$37,MATCH(IF($D74="","Queen",$D74),Assumptions!$A$33:$A$37,0))</f>
        <v>0.37244030503813</v>
      </c>
      <c r="BB74" s="47" t="n">
        <f aca="false">AY74*AZ74*AD74</f>
        <v>2.859984</v>
      </c>
      <c r="BC74" s="47" t="n">
        <f aca="false">ROUND(MIN(AW74*Assumptions!$B$11,BB74),2)</f>
        <v>2.18</v>
      </c>
      <c r="BD74" s="26" t="s">
        <v>278</v>
      </c>
      <c r="BE74" s="48" t="n">
        <f aca="false">IF(AO74="Ranking — Full Push",MAX(0,MIN(IF(BD74="Yes",Assumptions!$B$12,Assumptions!$B$13),FLOOR(MAX(0,BB74/BC74-1),Assumptions!$B$14))),0)</f>
        <v>0</v>
      </c>
      <c r="BF74" s="49" t="str">
        <f aca="false">IF(AO74="Ranking — Full Push",IF(BE74&gt;=1,"YES — +100% Top of Search. Effective CPC $"&amp;TEXT(BG74,"0.00")&amp;" (= $"&amp;TEXT(BC74,"0.00")&amp;" × 2) stays within the $"&amp;TEXT(BB74,"0.00")&amp;" max ranking CPC"&amp;" (= $"&amp;TEXT(AY74,"0.00")&amp;" price × "&amp;TEXT(AZ74,"0.0%")&amp;" ranking ceiling × "&amp;TEXT(AD74,"0.0%")&amp;" CVR)"&amp;". Sleephoria CVR is proven on this term, so the full push is justified.",IF(AND(BD74="No",BE74&gt;=Assumptions!$B$13),"PARTIAL — +"&amp;TEXT(BE74,"0%")&amp;" Top of Search (limit for terms without proven CVR). Effective CPC $"&amp;TEXT(BG74,"0.00")&amp;" vs $"&amp;TEXT(BB74,"0.00")&amp;" max ranking CPC"&amp;" (= $"&amp;TEXT(AY74,"0.00")&amp;" price × "&amp;TEXT(AZ74,"0.0%")&amp;" ranking ceiling × "&amp;TEXT(AD74,"0.0%")&amp;" CVR)"&amp;". Raise to +100% only after CooLinens converts at ≥ "&amp;TEXT(AD74,"0.0%")&amp;" on 50+ clicks and $"&amp;TEXT(BC74*2,"0.00")&amp;" ≤ the max.",IF(BE74&gt;0,"PARTIAL — +"&amp;TEXT(BE74,"0%")&amp;" Top of Search. Effective CPC $"&amp;TEXT(BG74,"0.00")&amp;" stays within the $"&amp;TEXT(BB74,"0.00")&amp;" max ranking CPC"&amp;" (= $"&amp;TEXT(AY74,"0.00")&amp;" price × "&amp;TEXT(AZ74,"0.0%")&amp;" ranking ceiling × "&amp;TEXT(AD74,"0.0%")&amp;" CVR)"&amp;". +100% would cost $"&amp;TEXT(BC74*2,"0.00")&amp;" per click and push ACoS to "&amp;TEXT(BC74*2/(AY74*AD74),"0.0%")&amp;", above the "&amp;TEXT(AZ74,"0.0%")&amp;" ceiling.","NO — 0%. Base bid $"&amp;TEXT(BC74,"0.00")&amp;" already equals the $"&amp;TEXT(BB74,"0.00")&amp;" max ranking CPC"&amp;" (= $"&amp;TEXT(AY74,"0.00")&amp;" price × "&amp;TEXT(AZ74,"0.0%")&amp;" ranking ceiling × "&amp;TEXT(AD74,"0.0%")&amp;" CVR)"&amp;"; any modifier would push ACoS above the "&amp;TEXT(AZ74,"0.0%")&amp;" ceiling."))),IF(OR(AO74="Ranking — Head Term (Capped)",AO74="Ranking — Capped Entry",AO74="Ranking — Capped Long-Tail"),"NO — 0% (capped ranking entry). Bid $"&amp;TEXT(BC74,"0.00")&amp;" vs $"&amp;TEXT(BB74,"0.00")&amp;" max ranking CPC"&amp;" (= $"&amp;TEXT(AY74,"0.00")&amp;" price × "&amp;TEXT(AZ74,"0.0%")&amp;" ranking ceiling × "&amp;TEXT(AD74,"0.0%")&amp;" CVR)"&amp;". While spend is capped at "&amp;TEXT(AS74,"0.00")&amp;" clicks/day, a placement premium would only raise CPC without buying more rank; the modifier is set when this term moves to a full push.","NO — 0% (support / brand term). Bid $"&amp;TEXT(BC74,"0.00")&amp;" vs $"&amp;TEXT(BB74,"0.00")&amp;" max ranking CPC"&amp;" (= $"&amp;TEXT(AY74,"0.00")&amp;" price × "&amp;TEXT(AZ74,"0.0%")&amp;" ranking ceiling × "&amp;TEXT(AD74,"0.0%")&amp;" CVR)"&amp;"; expected ACoS "&amp;TEXT(BI74,"0.0%")&amp;" vs the "&amp;TEXT(AZ74,"0.0%")&amp;" ceiling."))</f>
        <v>NO — 0% (support / brand term). Bid $2.18 vs $2.86 max ranking CPC (= $79.99 price × 55.9% ranking ceiling × 6.4% CVR); expected ACoS 42.6% vs the 55.9% ceiling.</v>
      </c>
      <c r="BG74" s="50" t="n">
        <f aca="false">BC74*(1+BE74)</f>
        <v>2.18</v>
      </c>
      <c r="BH74" s="45" t="n">
        <f aca="false">AS74*BG74</f>
        <v>0.09073398928</v>
      </c>
      <c r="BI74" s="33" t="n">
        <f aca="false">IFERROR(BG74/(AY74*AD74),"")</f>
        <v>0.425834479309914</v>
      </c>
      <c r="BJ74" s="27" t="str">
        <f aca="false">IF(BI74="","",IF(BI74&lt;=BA74,"Profitable (≤ break-even)",IF(BI74&lt;=AZ74,"Ranking investment (≤ ceiling)","Above ceiling — reduce bid")))</f>
        <v>Ranking investment (≤ ceiling)</v>
      </c>
      <c r="BK74" s="49" t="str">
        <f aca="false">"Base $"&amp;TEXT(BC74,"0.00")&amp;" × (1 + "&amp;TEXT(BE74,"0%")&amp;" TOS) = $"&amp;TEXT(BG74,"0.00")&amp;" effective CPC [max $"&amp;TEXT(BB74,"0.00")&amp;"]. "&amp;TEXT(AG74,"0.0")&amp;" market clicks/day × "&amp;TEXT(AH74,"0.00%")&amp;" click share × "&amp;TEXT(AI74,"0%")&amp;" paid = "&amp;TEXT(AJ74,"0.00")&amp;" clicks/day needed; "&amp;"planned "&amp;TEXT(AS74,"0.00")&amp;" clicks/day × "&amp;TEXT(AD74,"0.0%")&amp;" CVR = "&amp;TEXT(AU74,"0.00")&amp;" orders/day. "&amp;"Spend $"&amp;TEXT(BH74,"0.00")&amp;"/day, ACoS "&amp;TEXT(BI74,"0.0%")&amp;" (ceiling "&amp;TEXT(AZ74,"0.0%")&amp;", break-even "&amp;TEXT(BA74,"0.0%")&amp;"). "&amp;"Target organic rank #"&amp;S74&amp;" by week 8 ("&amp;T74&amp;")."</f>
        <v>Base $2.18 × (1 + 0% TOS) = $2.18 effective CPC [max $2.86]. 5.1 market clicks/day × 1.24% click share × 66% paid = 0.04 clicks/day needed; planned 0.04 clicks/day × 6.4% CVR = 0.00 orders/day. Spend $0.09/day, ACoS 42.6% (ceiling 55.9%, break-even 37.2%). Target organic rank #20 by week 8 (#60 → #35 → #20).</v>
      </c>
      <c r="BL74" s="27" t="s">
        <v>279</v>
      </c>
      <c r="BM74" s="27" t="s">
        <v>203</v>
      </c>
      <c r="BN74" s="27" t="s">
        <v>1110</v>
      </c>
      <c r="BO74" s="27" t="s">
        <v>1106</v>
      </c>
      <c r="BP74" s="27" t="s">
        <v>205</v>
      </c>
      <c r="BQ74" s="26" t="s">
        <v>206</v>
      </c>
      <c r="BR74" s="40" t="n">
        <f aca="false">IFERROR(INDEX(Campaigns!$L:$L,MATCH(BN74,Campaigns!$A:$A,0)),"")</f>
        <v>10</v>
      </c>
      <c r="BS74" s="51" t="str">
        <f aca="false">IFERROR(INDEX(Inventory!$O:$O,MATCH(BP74,Inventory!$A:$A,0)),"")</f>
        <v>OK</v>
      </c>
      <c r="BT74" s="52" t="n">
        <f aca="false">IFERROR(INDEX(Inventory!$N:$N,MATCH(BP74,Inventory!$A:$A,0)),"")</f>
        <v>91.5322601167724</v>
      </c>
      <c r="BU74" s="27" t="s">
        <v>1111</v>
      </c>
      <c r="BV74" s="27" t="s">
        <v>1112</v>
      </c>
      <c r="BW74" s="27" t="s">
        <v>1113</v>
      </c>
      <c r="BX74" s="27" t="s">
        <v>1114</v>
      </c>
      <c r="BY74" s="27" t="s">
        <v>1115</v>
      </c>
      <c r="BZ74" s="27" t="s">
        <v>286</v>
      </c>
      <c r="CA74" s="27" t="s">
        <v>941</v>
      </c>
      <c r="CB74" s="27" t="s">
        <v>983</v>
      </c>
      <c r="CC74" s="27" t="s">
        <v>358</v>
      </c>
    </row>
    <row r="75" customFormat="false" ht="120" hidden="false" customHeight="true" outlineLevel="0" collapsed="false">
      <c r="A75" s="53" t="s">
        <v>1116</v>
      </c>
      <c r="B75" s="54" t="n">
        <v>2</v>
      </c>
      <c r="C75" s="26" t="s">
        <v>928</v>
      </c>
      <c r="D75" s="26" t="s">
        <v>185</v>
      </c>
      <c r="E75" s="27" t="s">
        <v>929</v>
      </c>
      <c r="F75" s="28" t="n">
        <v>1</v>
      </c>
      <c r="G75" s="27" t="s">
        <v>187</v>
      </c>
      <c r="H75" s="26" t="s">
        <v>342</v>
      </c>
      <c r="I75" s="29" t="n">
        <v>4.5</v>
      </c>
      <c r="J75" s="27" t="s">
        <v>822</v>
      </c>
      <c r="K75" s="30" t="n">
        <v>659</v>
      </c>
      <c r="L75" s="31" t="n">
        <v>355</v>
      </c>
      <c r="M75" s="32" t="n">
        <f aca="false">L75/30</f>
        <v>11.8333333333333</v>
      </c>
      <c r="N75" s="33" t="n">
        <v>0.0363143631436314</v>
      </c>
      <c r="O75" s="27" t="s">
        <v>1117</v>
      </c>
      <c r="P75" s="27" t="s">
        <v>1118</v>
      </c>
      <c r="Q75" s="27" t="s">
        <v>374</v>
      </c>
      <c r="R75" s="34" t="n">
        <v>5</v>
      </c>
      <c r="S75" s="35" t="n">
        <v>20</v>
      </c>
      <c r="T75" s="36" t="s">
        <v>346</v>
      </c>
      <c r="U75" s="27" t="s">
        <v>1119</v>
      </c>
      <c r="V75" s="37" t="n">
        <f aca="false">IFERROR(INDEX(Sleephoria_History!$F$454:$F$2115,MATCH($A75,Sleephoria_History!$A$454:$A$2115,0)),"")</f>
        <v>3</v>
      </c>
      <c r="W75" s="38" t="n">
        <f aca="false">IFERROR(INDEX(Sleephoria_History!$J$454:$J$2115,MATCH($A75,Sleephoria_History!$A$454:$A$2115,0)),"")</f>
        <v>0</v>
      </c>
      <c r="X75" s="39" t="n">
        <f aca="false">IFERROR(INDEX(Sleephoria_History!$H$454:$H$2115,MATCH($A75,Sleephoria_History!$A$454:$A$2115,0)),"")</f>
        <v>2.95</v>
      </c>
      <c r="Y75" s="38" t="n">
        <f aca="false">IFERROR(INDEX(Sleephoria_History!$M$454:$M$2115,MATCH($A75,Sleephoria_History!$A$454:$A$2115,0)),"")</f>
        <v>0</v>
      </c>
      <c r="Z75" s="40" t="n">
        <f aca="false">IFERROR(INDEX(Sleephoria_History!$L$454:$L$2115,MATCH($A75,Sleephoria_History!$A$454:$A$2115,0)),"")</f>
        <v>0</v>
      </c>
      <c r="AA75" s="37" t="str">
        <f aca="false">IFERROR(INDEX(Decolure_History!$F$397:$F$709,MATCH($A75,Decolure_History!$A$397:$A$709,0)),"")</f>
        <v/>
      </c>
      <c r="AB75" s="38" t="str">
        <f aca="false">IFERROR(INDEX(Decolure_History!$J$397:$J$709,MATCH($A75,Decolure_History!$A$397:$A$709,0)),"")</f>
        <v/>
      </c>
      <c r="AC75" s="38" t="str">
        <f aca="false">IFERROR(INDEX(Decolure_History!$M$397:$M$709,MATCH($A75,Decolure_History!$A$397:$A$709,0)),"")</f>
        <v/>
      </c>
      <c r="AD75" s="41" t="n">
        <v>0.064</v>
      </c>
      <c r="AE75" s="27" t="s">
        <v>275</v>
      </c>
      <c r="AF75" s="42" t="n">
        <v>0.47</v>
      </c>
      <c r="AG75" s="32" t="n">
        <f aca="false">M75*AF75</f>
        <v>5.56166666666667</v>
      </c>
      <c r="AH75" s="43" t="n">
        <f aca="false">IF(AO75="Brand Defense",0,IFERROR(VLOOKUP(S75,Assumptions!$A$24:$B$28,2,FALSE()),0))</f>
        <v>0.0124</v>
      </c>
      <c r="AI75" s="28" t="n">
        <f aca="false">Assumptions!$B$6</f>
        <v>0.66</v>
      </c>
      <c r="AJ75" s="44" t="n">
        <f aca="false">AG75*AH75*AI75</f>
        <v>0.04551668</v>
      </c>
      <c r="AK75" s="44" t="n">
        <f aca="false">AJ75*AD75</f>
        <v>0.00291306752</v>
      </c>
      <c r="AL75" s="30" t="n">
        <f aca="false">AJ75*56</f>
        <v>2.54893408</v>
      </c>
      <c r="AM75" s="32" t="n">
        <f aca="false">AK75*56</f>
        <v>0.16313178112</v>
      </c>
      <c r="AN75" s="44" t="n">
        <f aca="false">M75*Assumptions!$B$8</f>
        <v>1.18333333333333</v>
      </c>
      <c r="AO75" s="27" t="s">
        <v>328</v>
      </c>
      <c r="AP75" s="27" t="s">
        <v>1097</v>
      </c>
      <c r="AQ75" s="26" t="s">
        <v>198</v>
      </c>
      <c r="AR75" s="27" t="s">
        <v>199</v>
      </c>
      <c r="AS75" s="44" t="n">
        <f aca="false">IF(AO75="Ranking — Full Push",MIN(MAX(AJ75,Assumptions!$B$9),AN75),IF(AO75="Brand Defense",MIN(Assumptions!$B$7,AN75),IF(OR(AO75="Ranking — Head Term (Capped)",AO75="Ranking — Capped Entry"),MIN(MAX(AJ75,Assumptions!$B$9),Assumptions!$B$7,AN75),IF(AO75="Ranking — Capped Long-Tail",MIN(AJ75,Assumptions!$B$10,AN75),MIN(AJ75,AN75)))))</f>
        <v>0.04551668</v>
      </c>
      <c r="AT75" s="27" t="str">
        <f aca="false">IF(AJ75&lt;=0,"",IF(AS75&gt;=AJ75,IF(AS75&gt;AJ75*1.05,"Floor of "&amp;TEXT(AS75,"0.0")&amp;" click/day to read CVR (rank needs "&amp;TEXT(AJ75,"0.00")&amp;")","Fully funded (100%)"),"Capped at "&amp;TEXT(AS75/AJ75,"0%")&amp;" of required"))</f>
        <v>Fully funded (100%)</v>
      </c>
      <c r="AU75" s="44" t="n">
        <f aca="false">AS75*AD75</f>
        <v>0.00291306752</v>
      </c>
      <c r="AV75" s="45" t="n">
        <f aca="false">AU75*AY75</f>
        <v>0.2330162709248</v>
      </c>
      <c r="AW75" s="46" t="n">
        <v>2.18</v>
      </c>
      <c r="AX75" s="27" t="s">
        <v>295</v>
      </c>
      <c r="AY75" s="47" t="n">
        <f aca="false">INDEX(Assumptions!$B$33:$B$37,MATCH(IF($D75="","Queen",$D75),Assumptions!$A$33:$A$37,0))</f>
        <v>79.99</v>
      </c>
      <c r="AZ75" s="33" t="n">
        <f aca="false">INDEX(Assumptions!$K$33:$K$37,MATCH(IF($D75="","Queen",$D75),Assumptions!$A$33:$A$37,0))</f>
        <v>0.558660457557195</v>
      </c>
      <c r="BA75" s="33" t="n">
        <f aca="false">INDEX(Assumptions!$H$33:$H$37,MATCH(IF($D75="","Queen",$D75),Assumptions!$A$33:$A$37,0))</f>
        <v>0.37244030503813</v>
      </c>
      <c r="BB75" s="47" t="n">
        <f aca="false">AY75*AZ75*AD75</f>
        <v>2.859984</v>
      </c>
      <c r="BC75" s="47" t="n">
        <f aca="false">ROUND(MIN(AW75*Assumptions!$B$11,BB75),2)</f>
        <v>2.18</v>
      </c>
      <c r="BD75" s="26" t="s">
        <v>278</v>
      </c>
      <c r="BE75" s="48" t="n">
        <f aca="false">IF(AO75="Ranking — Full Push",MAX(0,MIN(IF(BD75="Yes",Assumptions!$B$12,Assumptions!$B$13),FLOOR(MAX(0,BB75/BC75-1),Assumptions!$B$14))),0)</f>
        <v>0</v>
      </c>
      <c r="BF75" s="49" t="str">
        <f aca="false">IF(AO75="Ranking — Full Push",IF(BE75&gt;=1,"YES — +100% Top of Search. Effective CPC $"&amp;TEXT(BG75,"0.00")&amp;" (= $"&amp;TEXT(BC75,"0.00")&amp;" × 2) stays within the $"&amp;TEXT(BB75,"0.00")&amp;" max ranking CPC"&amp;" (= $"&amp;TEXT(AY75,"0.00")&amp;" price × "&amp;TEXT(AZ75,"0.0%")&amp;" ranking ceiling × "&amp;TEXT(AD75,"0.0%")&amp;" CVR)"&amp;". Sleephoria CVR is proven on this term, so the full push is justified.",IF(AND(BD75="No",BE75&gt;=Assumptions!$B$13),"PARTIAL — +"&amp;TEXT(BE75,"0%")&amp;" Top of Search (limit for terms without proven CVR). Effective CPC $"&amp;TEXT(BG75,"0.00")&amp;" vs $"&amp;TEXT(BB75,"0.00")&amp;" max ranking CPC"&amp;" (= $"&amp;TEXT(AY75,"0.00")&amp;" price × "&amp;TEXT(AZ75,"0.0%")&amp;" ranking ceiling × "&amp;TEXT(AD75,"0.0%")&amp;" CVR)"&amp;". Raise to +100% only after CooLinens converts at ≥ "&amp;TEXT(AD75,"0.0%")&amp;" on 50+ clicks and $"&amp;TEXT(BC75*2,"0.00")&amp;" ≤ the max.",IF(BE75&gt;0,"PARTIAL — +"&amp;TEXT(BE75,"0%")&amp;" Top of Search. Effective CPC $"&amp;TEXT(BG75,"0.00")&amp;" stays within the $"&amp;TEXT(BB75,"0.00")&amp;" max ranking CPC"&amp;" (= $"&amp;TEXT(AY75,"0.00")&amp;" price × "&amp;TEXT(AZ75,"0.0%")&amp;" ranking ceiling × "&amp;TEXT(AD75,"0.0%")&amp;" CVR)"&amp;". +100% would cost $"&amp;TEXT(BC75*2,"0.00")&amp;" per click and push ACoS to "&amp;TEXT(BC75*2/(AY75*AD75),"0.0%")&amp;", above the "&amp;TEXT(AZ75,"0.0%")&amp;" ceiling.","NO — 0%. Base bid $"&amp;TEXT(BC75,"0.00")&amp;" already equals the $"&amp;TEXT(BB75,"0.00")&amp;" max ranking CPC"&amp;" (= $"&amp;TEXT(AY75,"0.00")&amp;" price × "&amp;TEXT(AZ75,"0.0%")&amp;" ranking ceiling × "&amp;TEXT(AD75,"0.0%")&amp;" CVR)"&amp;"; any modifier would push ACoS above the "&amp;TEXT(AZ75,"0.0%")&amp;" ceiling."))),IF(OR(AO75="Ranking — Head Term (Capped)",AO75="Ranking — Capped Entry",AO75="Ranking — Capped Long-Tail"),"NO — 0% (capped ranking entry). Bid $"&amp;TEXT(BC75,"0.00")&amp;" vs $"&amp;TEXT(BB75,"0.00")&amp;" max ranking CPC"&amp;" (= $"&amp;TEXT(AY75,"0.00")&amp;" price × "&amp;TEXT(AZ75,"0.0%")&amp;" ranking ceiling × "&amp;TEXT(AD75,"0.0%")&amp;" CVR)"&amp;". While spend is capped at "&amp;TEXT(AS75,"0.00")&amp;" clicks/day, a placement premium would only raise CPC without buying more rank; the modifier is set when this term moves to a full push.","NO — 0% (support / brand term). Bid $"&amp;TEXT(BC75,"0.00")&amp;" vs $"&amp;TEXT(BB75,"0.00")&amp;" max ranking CPC"&amp;" (= $"&amp;TEXT(AY75,"0.00")&amp;" price × "&amp;TEXT(AZ75,"0.0%")&amp;" ranking ceiling × "&amp;TEXT(AD75,"0.0%")&amp;" CVR)"&amp;"; expected ACoS "&amp;TEXT(BI75,"0.0%")&amp;" vs the "&amp;TEXT(AZ75,"0.0%")&amp;" ceiling."))</f>
        <v>NO — 0% (support / brand term). Bid $2.18 vs $2.86 max ranking CPC (= $79.99 price × 55.9% ranking ceiling × 6.4% CVR); expected ACoS 42.6% vs the 55.9% ceiling.</v>
      </c>
      <c r="BG75" s="50" t="n">
        <f aca="false">BC75*(1+BE75)</f>
        <v>2.18</v>
      </c>
      <c r="BH75" s="45" t="n">
        <f aca="false">AS75*BG75</f>
        <v>0.0992263624</v>
      </c>
      <c r="BI75" s="33" t="n">
        <f aca="false">IFERROR(BG75/(AY75*AD75),"")</f>
        <v>0.425834479309914</v>
      </c>
      <c r="BJ75" s="27" t="str">
        <f aca="false">IF(BI75="","",IF(BI75&lt;=BA75,"Profitable (≤ break-even)",IF(BI75&lt;=AZ75,"Ranking investment (≤ ceiling)","Above ceiling — reduce bid")))</f>
        <v>Ranking investment (≤ ceiling)</v>
      </c>
      <c r="BK75" s="49" t="str">
        <f aca="false">"Base $"&amp;TEXT(BC75,"0.00")&amp;" × (1 + "&amp;TEXT(BE75,"0%")&amp;" TOS) = $"&amp;TEXT(BG75,"0.00")&amp;" effective CPC [max $"&amp;TEXT(BB75,"0.00")&amp;"]. "&amp;TEXT(AG75,"0.0")&amp;" market clicks/day × "&amp;TEXT(AH75,"0.00%")&amp;" click share × "&amp;TEXT(AI75,"0%")&amp;" paid = "&amp;TEXT(AJ75,"0.00")&amp;" clicks/day needed; "&amp;"planned "&amp;TEXT(AS75,"0.00")&amp;" clicks/day × "&amp;TEXT(AD75,"0.0%")&amp;" CVR = "&amp;TEXT(AU75,"0.00")&amp;" orders/day. "&amp;"Spend $"&amp;TEXT(BH75,"0.00")&amp;"/day, ACoS "&amp;TEXT(BI75,"0.0%")&amp;" (ceiling "&amp;TEXT(AZ75,"0.0%")&amp;", break-even "&amp;TEXT(BA75,"0.0%")&amp;"). "&amp;"Target organic rank #"&amp;S75&amp;" by week 8 ("&amp;T75&amp;")."</f>
        <v>Base $2.18 × (1 + 0% TOS) = $2.18 effective CPC [max $2.86]. 5.6 market clicks/day × 1.24% click share × 66% paid = 0.05 clicks/day needed; planned 0.05 clicks/day × 6.4% CVR = 0.00 orders/day. Spend $0.10/day, ACoS 42.6% (ceiling 55.9%, break-even 37.2%). Target organic rank #20 by week 8 (#60 → #35 → #20).</v>
      </c>
      <c r="BL75" s="27" t="s">
        <v>279</v>
      </c>
      <c r="BM75" s="27" t="s">
        <v>203</v>
      </c>
      <c r="BN75" s="27" t="s">
        <v>1120</v>
      </c>
      <c r="BO75" s="27" t="s">
        <v>1116</v>
      </c>
      <c r="BP75" s="27" t="s">
        <v>205</v>
      </c>
      <c r="BQ75" s="26" t="s">
        <v>206</v>
      </c>
      <c r="BR75" s="40" t="n">
        <f aca="false">IFERROR(INDEX(Campaigns!$L:$L,MATCH(BN75,Campaigns!$A:$A,0)),"")</f>
        <v>10</v>
      </c>
      <c r="BS75" s="51" t="str">
        <f aca="false">IFERROR(INDEX(Inventory!$O:$O,MATCH(BP75,Inventory!$A:$A,0)),"")</f>
        <v>OK</v>
      </c>
      <c r="BT75" s="52" t="n">
        <f aca="false">IFERROR(INDEX(Inventory!$N:$N,MATCH(BP75,Inventory!$A:$A,0)),"")</f>
        <v>91.5322601167724</v>
      </c>
      <c r="BU75" s="27" t="s">
        <v>1121</v>
      </c>
      <c r="BV75" s="27" t="s">
        <v>263</v>
      </c>
      <c r="BW75" s="27" t="s">
        <v>1122</v>
      </c>
      <c r="BX75" s="27" t="s">
        <v>1123</v>
      </c>
      <c r="BY75" s="27" t="s">
        <v>1124</v>
      </c>
      <c r="BZ75" s="27" t="s">
        <v>286</v>
      </c>
      <c r="CA75" s="27" t="s">
        <v>941</v>
      </c>
      <c r="CB75" s="27" t="s">
        <v>1105</v>
      </c>
      <c r="CC75" s="27" t="s">
        <v>358</v>
      </c>
    </row>
    <row r="76" customFormat="false" ht="120" hidden="false" customHeight="true" outlineLevel="0" collapsed="false">
      <c r="A76" s="53" t="s">
        <v>1125</v>
      </c>
      <c r="B76" s="54" t="n">
        <v>2</v>
      </c>
      <c r="C76" s="26" t="s">
        <v>928</v>
      </c>
      <c r="D76" s="26" t="s">
        <v>185</v>
      </c>
      <c r="E76" s="27" t="s">
        <v>929</v>
      </c>
      <c r="F76" s="28" t="n">
        <v>1</v>
      </c>
      <c r="G76" s="27" t="s">
        <v>187</v>
      </c>
      <c r="H76" s="26" t="s">
        <v>342</v>
      </c>
      <c r="I76" s="29" t="n">
        <v>4.5</v>
      </c>
      <c r="J76" s="27" t="s">
        <v>1126</v>
      </c>
      <c r="K76" s="30" t="n">
        <v>616</v>
      </c>
      <c r="L76" s="31" t="n">
        <v>337</v>
      </c>
      <c r="M76" s="32" t="n">
        <f aca="false">L76/30</f>
        <v>11.2333333333333</v>
      </c>
      <c r="N76" s="33" t="n">
        <v>0.0505050505050505</v>
      </c>
      <c r="O76" s="27" t="s">
        <v>1127</v>
      </c>
      <c r="P76" s="27" t="s">
        <v>1128</v>
      </c>
      <c r="Q76" s="27" t="s">
        <v>1024</v>
      </c>
      <c r="R76" s="34" t="n">
        <v>3</v>
      </c>
      <c r="S76" s="35" t="n">
        <v>20</v>
      </c>
      <c r="T76" s="36" t="s">
        <v>346</v>
      </c>
      <c r="U76" s="27" t="s">
        <v>1129</v>
      </c>
      <c r="V76" s="37" t="n">
        <f aca="false">IFERROR(INDEX(Sleephoria_History!$F$454:$F$2115,MATCH($A76,Sleephoria_History!$A$454:$A$2115,0)),"")</f>
        <v>3</v>
      </c>
      <c r="W76" s="38" t="n">
        <f aca="false">IFERROR(INDEX(Sleephoria_History!$J$454:$J$2115,MATCH($A76,Sleephoria_History!$A$454:$A$2115,0)),"")</f>
        <v>0</v>
      </c>
      <c r="X76" s="39" t="n">
        <f aca="false">IFERROR(INDEX(Sleephoria_History!$H$454:$H$2115,MATCH($A76,Sleephoria_History!$A$454:$A$2115,0)),"")</f>
        <v>1.44</v>
      </c>
      <c r="Y76" s="38" t="n">
        <f aca="false">IFERROR(INDEX(Sleephoria_History!$M$454:$M$2115,MATCH($A76,Sleephoria_History!$A$454:$A$2115,0)),"")</f>
        <v>0</v>
      </c>
      <c r="Z76" s="40" t="n">
        <f aca="false">IFERROR(INDEX(Sleephoria_History!$L$454:$L$2115,MATCH($A76,Sleephoria_History!$A$454:$A$2115,0)),"")</f>
        <v>0</v>
      </c>
      <c r="AA76" s="37" t="str">
        <f aca="false">IFERROR(INDEX(Decolure_History!$F$397:$F$709,MATCH($A76,Decolure_History!$A$397:$A$709,0)),"")</f>
        <v/>
      </c>
      <c r="AB76" s="38" t="str">
        <f aca="false">IFERROR(INDEX(Decolure_History!$J$397:$J$709,MATCH($A76,Decolure_History!$A$397:$A$709,0)),"")</f>
        <v/>
      </c>
      <c r="AC76" s="38" t="str">
        <f aca="false">IFERROR(INDEX(Decolure_History!$M$397:$M$709,MATCH($A76,Decolure_History!$A$397:$A$709,0)),"")</f>
        <v/>
      </c>
      <c r="AD76" s="41" t="n">
        <v>0.064</v>
      </c>
      <c r="AE76" s="27" t="s">
        <v>275</v>
      </c>
      <c r="AF76" s="42" t="n">
        <v>0.499</v>
      </c>
      <c r="AG76" s="32" t="n">
        <f aca="false">M76*AF76</f>
        <v>5.60543333333333</v>
      </c>
      <c r="AH76" s="43" t="n">
        <f aca="false">IF(AO76="Brand Defense",0,IFERROR(VLOOKUP(S76,Assumptions!$A$24:$B$28,2,FALSE()),0))</f>
        <v>0.0124</v>
      </c>
      <c r="AI76" s="28" t="n">
        <f aca="false">Assumptions!$B$6</f>
        <v>0.66</v>
      </c>
      <c r="AJ76" s="44" t="n">
        <f aca="false">AG76*AH76*AI76</f>
        <v>0.0458748664</v>
      </c>
      <c r="AK76" s="44" t="n">
        <f aca="false">AJ76*AD76</f>
        <v>0.0029359914496</v>
      </c>
      <c r="AL76" s="30" t="n">
        <f aca="false">AJ76*56</f>
        <v>2.5689925184</v>
      </c>
      <c r="AM76" s="32" t="n">
        <f aca="false">AK76*56</f>
        <v>0.1644155211776</v>
      </c>
      <c r="AN76" s="44" t="n">
        <f aca="false">M76*Assumptions!$B$8</f>
        <v>1.12333333333333</v>
      </c>
      <c r="AO76" s="27" t="s">
        <v>328</v>
      </c>
      <c r="AP76" s="27" t="s">
        <v>1097</v>
      </c>
      <c r="AQ76" s="26" t="s">
        <v>198</v>
      </c>
      <c r="AR76" s="27" t="s">
        <v>199</v>
      </c>
      <c r="AS76" s="44" t="n">
        <f aca="false">IF(AO76="Ranking — Full Push",MIN(MAX(AJ76,Assumptions!$B$9),AN76),IF(AO76="Brand Defense",MIN(Assumptions!$B$7,AN76),IF(OR(AO76="Ranking — Head Term (Capped)",AO76="Ranking — Capped Entry"),MIN(MAX(AJ76,Assumptions!$B$9),Assumptions!$B$7,AN76),IF(AO76="Ranking — Capped Long-Tail",MIN(AJ76,Assumptions!$B$10,AN76),MIN(AJ76,AN76)))))</f>
        <v>0.0458748664</v>
      </c>
      <c r="AT76" s="27" t="str">
        <f aca="false">IF(AJ76&lt;=0,"",IF(AS76&gt;=AJ76,IF(AS76&gt;AJ76*1.05,"Floor of "&amp;TEXT(AS76,"0.0")&amp;" click/day to read CVR (rank needs "&amp;TEXT(AJ76,"0.00")&amp;")","Fully funded (100%)"),"Capped at "&amp;TEXT(AS76/AJ76,"0%")&amp;" of required"))</f>
        <v>Fully funded (100%)</v>
      </c>
      <c r="AU76" s="44" t="n">
        <f aca="false">AS76*AD76</f>
        <v>0.0029359914496</v>
      </c>
      <c r="AV76" s="45" t="n">
        <f aca="false">AU76*AY76</f>
        <v>0.234849956053504</v>
      </c>
      <c r="AW76" s="46" t="n">
        <v>2.18</v>
      </c>
      <c r="AX76" s="27" t="s">
        <v>295</v>
      </c>
      <c r="AY76" s="47" t="n">
        <f aca="false">INDEX(Assumptions!$B$33:$B$37,MATCH(IF($D76="","Queen",$D76),Assumptions!$A$33:$A$37,0))</f>
        <v>79.99</v>
      </c>
      <c r="AZ76" s="33" t="n">
        <f aca="false">INDEX(Assumptions!$K$33:$K$37,MATCH(IF($D76="","Queen",$D76),Assumptions!$A$33:$A$37,0))</f>
        <v>0.558660457557195</v>
      </c>
      <c r="BA76" s="33" t="n">
        <f aca="false">INDEX(Assumptions!$H$33:$H$37,MATCH(IF($D76="","Queen",$D76),Assumptions!$A$33:$A$37,0))</f>
        <v>0.37244030503813</v>
      </c>
      <c r="BB76" s="47" t="n">
        <f aca="false">AY76*AZ76*AD76</f>
        <v>2.859984</v>
      </c>
      <c r="BC76" s="47" t="n">
        <f aca="false">ROUND(MIN(AW76*Assumptions!$B$11,BB76),2)</f>
        <v>2.18</v>
      </c>
      <c r="BD76" s="26" t="s">
        <v>278</v>
      </c>
      <c r="BE76" s="48" t="n">
        <f aca="false">IF(AO76="Ranking — Full Push",MAX(0,MIN(IF(BD76="Yes",Assumptions!$B$12,Assumptions!$B$13),FLOOR(MAX(0,BB76/BC76-1),Assumptions!$B$14))),0)</f>
        <v>0</v>
      </c>
      <c r="BF76" s="49" t="str">
        <f aca="false">IF(AO76="Ranking — Full Push",IF(BE76&gt;=1,"YES — +100% Top of Search. Effective CPC $"&amp;TEXT(BG76,"0.00")&amp;" (= $"&amp;TEXT(BC76,"0.00")&amp;" × 2) stays within the $"&amp;TEXT(BB76,"0.00")&amp;" max ranking CPC"&amp;" (= $"&amp;TEXT(AY76,"0.00")&amp;" price × "&amp;TEXT(AZ76,"0.0%")&amp;" ranking ceiling × "&amp;TEXT(AD76,"0.0%")&amp;" CVR)"&amp;". Sleephoria CVR is proven on this term, so the full push is justified.",IF(AND(BD76="No",BE76&gt;=Assumptions!$B$13),"PARTIAL — +"&amp;TEXT(BE76,"0%")&amp;" Top of Search (limit for terms without proven CVR). Effective CPC $"&amp;TEXT(BG76,"0.00")&amp;" vs $"&amp;TEXT(BB76,"0.00")&amp;" max ranking CPC"&amp;" (= $"&amp;TEXT(AY76,"0.00")&amp;" price × "&amp;TEXT(AZ76,"0.0%")&amp;" ranking ceiling × "&amp;TEXT(AD76,"0.0%")&amp;" CVR)"&amp;". Raise to +100% only after CooLinens converts at ≥ "&amp;TEXT(AD76,"0.0%")&amp;" on 50+ clicks and $"&amp;TEXT(BC76*2,"0.00")&amp;" ≤ the max.",IF(BE76&gt;0,"PARTIAL — +"&amp;TEXT(BE76,"0%")&amp;" Top of Search. Effective CPC $"&amp;TEXT(BG76,"0.00")&amp;" stays within the $"&amp;TEXT(BB76,"0.00")&amp;" max ranking CPC"&amp;" (= $"&amp;TEXT(AY76,"0.00")&amp;" price × "&amp;TEXT(AZ76,"0.0%")&amp;" ranking ceiling × "&amp;TEXT(AD76,"0.0%")&amp;" CVR)"&amp;". +100% would cost $"&amp;TEXT(BC76*2,"0.00")&amp;" per click and push ACoS to "&amp;TEXT(BC76*2/(AY76*AD76),"0.0%")&amp;", above the "&amp;TEXT(AZ76,"0.0%")&amp;" ceiling.","NO — 0%. Base bid $"&amp;TEXT(BC76,"0.00")&amp;" already equals the $"&amp;TEXT(BB76,"0.00")&amp;" max ranking CPC"&amp;" (= $"&amp;TEXT(AY76,"0.00")&amp;" price × "&amp;TEXT(AZ76,"0.0%")&amp;" ranking ceiling × "&amp;TEXT(AD76,"0.0%")&amp;" CVR)"&amp;"; any modifier would push ACoS above the "&amp;TEXT(AZ76,"0.0%")&amp;" ceiling."))),IF(OR(AO76="Ranking — Head Term (Capped)",AO76="Ranking — Capped Entry",AO76="Ranking — Capped Long-Tail"),"NO — 0% (capped ranking entry). Bid $"&amp;TEXT(BC76,"0.00")&amp;" vs $"&amp;TEXT(BB76,"0.00")&amp;" max ranking CPC"&amp;" (= $"&amp;TEXT(AY76,"0.00")&amp;" price × "&amp;TEXT(AZ76,"0.0%")&amp;" ranking ceiling × "&amp;TEXT(AD76,"0.0%")&amp;" CVR)"&amp;". While spend is capped at "&amp;TEXT(AS76,"0.00")&amp;" clicks/day, a placement premium would only raise CPC without buying more rank; the modifier is set when this term moves to a full push.","NO — 0% (support / brand term). Bid $"&amp;TEXT(BC76,"0.00")&amp;" vs $"&amp;TEXT(BB76,"0.00")&amp;" max ranking CPC"&amp;" (= $"&amp;TEXT(AY76,"0.00")&amp;" price × "&amp;TEXT(AZ76,"0.0%")&amp;" ranking ceiling × "&amp;TEXT(AD76,"0.0%")&amp;" CVR)"&amp;"; expected ACoS "&amp;TEXT(BI76,"0.0%")&amp;" vs the "&amp;TEXT(AZ76,"0.0%")&amp;" ceiling."))</f>
        <v>NO — 0% (support / brand term). Bid $2.18 vs $2.86 max ranking CPC (= $79.99 price × 55.9% ranking ceiling × 6.4% CVR); expected ACoS 42.6% vs the 55.9% ceiling.</v>
      </c>
      <c r="BG76" s="50" t="n">
        <f aca="false">BC76*(1+BE76)</f>
        <v>2.18</v>
      </c>
      <c r="BH76" s="45" t="n">
        <f aca="false">AS76*BG76</f>
        <v>0.100007208752</v>
      </c>
      <c r="BI76" s="33" t="n">
        <f aca="false">IFERROR(BG76/(AY76*AD76),"")</f>
        <v>0.425834479309914</v>
      </c>
      <c r="BJ76" s="27" t="str">
        <f aca="false">IF(BI76="","",IF(BI76&lt;=BA76,"Profitable (≤ break-even)",IF(BI76&lt;=AZ76,"Ranking investment (≤ ceiling)","Above ceiling — reduce bid")))</f>
        <v>Ranking investment (≤ ceiling)</v>
      </c>
      <c r="BK76" s="49" t="str">
        <f aca="false">"Base $"&amp;TEXT(BC76,"0.00")&amp;" × (1 + "&amp;TEXT(BE76,"0%")&amp;" TOS) = $"&amp;TEXT(BG76,"0.00")&amp;" effective CPC [max $"&amp;TEXT(BB76,"0.00")&amp;"]. "&amp;TEXT(AG76,"0.0")&amp;" market clicks/day × "&amp;TEXT(AH76,"0.00%")&amp;" click share × "&amp;TEXT(AI76,"0%")&amp;" paid = "&amp;TEXT(AJ76,"0.00")&amp;" clicks/day needed; "&amp;"planned "&amp;TEXT(AS76,"0.00")&amp;" clicks/day × "&amp;TEXT(AD76,"0.0%")&amp;" CVR = "&amp;TEXT(AU76,"0.00")&amp;" orders/day. "&amp;"Spend $"&amp;TEXT(BH76,"0.00")&amp;"/day, ACoS "&amp;TEXT(BI76,"0.0%")&amp;" (ceiling "&amp;TEXT(AZ76,"0.0%")&amp;", break-even "&amp;TEXT(BA76,"0.0%")&amp;"). "&amp;"Target organic rank #"&amp;S76&amp;" by week 8 ("&amp;T76&amp;")."</f>
        <v>Base $2.18 × (1 + 0% TOS) = $2.18 effective CPC [max $2.86]. 5.6 market clicks/day × 1.24% click share × 66% paid = 0.05 clicks/day needed; planned 0.05 clicks/day × 6.4% CVR = 0.00 orders/day. Spend $0.10/day, ACoS 42.6% (ceiling 55.9%, break-even 37.2%). Target organic rank #20 by week 8 (#60 → #35 → #20).</v>
      </c>
      <c r="BL76" s="27" t="s">
        <v>1027</v>
      </c>
      <c r="BM76" s="27" t="s">
        <v>203</v>
      </c>
      <c r="BN76" s="27" t="s">
        <v>1130</v>
      </c>
      <c r="BO76" s="27" t="s">
        <v>1125</v>
      </c>
      <c r="BP76" s="27" t="s">
        <v>205</v>
      </c>
      <c r="BQ76" s="26" t="s">
        <v>206</v>
      </c>
      <c r="BR76" s="40" t="n">
        <f aca="false">IFERROR(INDEX(Campaigns!$L:$L,MATCH(BN76,Campaigns!$A:$A,0)),"")</f>
        <v>10</v>
      </c>
      <c r="BS76" s="51" t="str">
        <f aca="false">IFERROR(INDEX(Inventory!$O:$O,MATCH(BP76,Inventory!$A:$A,0)),"")</f>
        <v>OK</v>
      </c>
      <c r="BT76" s="52" t="n">
        <f aca="false">IFERROR(INDEX(Inventory!$N:$N,MATCH(BP76,Inventory!$A:$A,0)),"")</f>
        <v>91.5322601167724</v>
      </c>
      <c r="BU76" s="27" t="s">
        <v>1131</v>
      </c>
      <c r="BV76" s="27" t="s">
        <v>263</v>
      </c>
      <c r="BW76" s="27" t="s">
        <v>1132</v>
      </c>
      <c r="BX76" s="27" t="s">
        <v>1133</v>
      </c>
      <c r="BY76" s="27" t="s">
        <v>1134</v>
      </c>
      <c r="BZ76" s="27" t="s">
        <v>1104</v>
      </c>
      <c r="CA76" s="27" t="s">
        <v>941</v>
      </c>
      <c r="CB76" s="27" t="s">
        <v>1135</v>
      </c>
      <c r="CC76" s="27" t="s">
        <v>358</v>
      </c>
    </row>
    <row r="77" customFormat="false" ht="120" hidden="false" customHeight="true" outlineLevel="0" collapsed="false">
      <c r="A77" s="53" t="s">
        <v>1136</v>
      </c>
      <c r="B77" s="54" t="n">
        <v>2</v>
      </c>
      <c r="C77" s="26" t="s">
        <v>928</v>
      </c>
      <c r="D77" s="26"/>
      <c r="E77" s="27" t="s">
        <v>929</v>
      </c>
      <c r="F77" s="28" t="n">
        <v>0.95</v>
      </c>
      <c r="G77" s="27" t="s">
        <v>187</v>
      </c>
      <c r="H77" s="26" t="s">
        <v>342</v>
      </c>
      <c r="I77" s="29" t="n">
        <v>4</v>
      </c>
      <c r="J77" s="27" t="s">
        <v>750</v>
      </c>
      <c r="K77" s="30" t="n">
        <v>2203</v>
      </c>
      <c r="L77" s="31" t="n">
        <v>1771</v>
      </c>
      <c r="M77" s="32" t="n">
        <f aca="false">L77/30</f>
        <v>59.0333333333333</v>
      </c>
      <c r="N77" s="33" t="n">
        <v>0.0213283235716653</v>
      </c>
      <c r="O77" s="27" t="s">
        <v>657</v>
      </c>
      <c r="P77" s="27" t="s">
        <v>1137</v>
      </c>
      <c r="Q77" s="27" t="s">
        <v>325</v>
      </c>
      <c r="R77" s="34" t="n">
        <v>5</v>
      </c>
      <c r="S77" s="35" t="n">
        <v>20</v>
      </c>
      <c r="T77" s="36" t="s">
        <v>346</v>
      </c>
      <c r="U77" s="27" t="s">
        <v>1138</v>
      </c>
      <c r="V77" s="37" t="n">
        <f aca="false">IFERROR(INDEX(Sleephoria_History!$F$454:$F$2115,MATCH($A77,Sleephoria_History!$A$454:$A$2115,0)),"")</f>
        <v>9</v>
      </c>
      <c r="W77" s="38" t="n">
        <f aca="false">IFERROR(INDEX(Sleephoria_History!$J$454:$J$2115,MATCH($A77,Sleephoria_History!$A$454:$A$2115,0)),"")</f>
        <v>0</v>
      </c>
      <c r="X77" s="39" t="n">
        <f aca="false">IFERROR(INDEX(Sleephoria_History!$H$454:$H$2115,MATCH($A77,Sleephoria_History!$A$454:$A$2115,0)),"")</f>
        <v>2.53</v>
      </c>
      <c r="Y77" s="38" t="n">
        <f aca="false">IFERROR(INDEX(Sleephoria_History!$M$454:$M$2115,MATCH($A77,Sleephoria_History!$A$454:$A$2115,0)),"")</f>
        <v>0</v>
      </c>
      <c r="Z77" s="40" t="n">
        <f aca="false">IFERROR(INDEX(Sleephoria_History!$L$454:$L$2115,MATCH($A77,Sleephoria_History!$A$454:$A$2115,0)),"")</f>
        <v>0</v>
      </c>
      <c r="AA77" s="37" t="str">
        <f aca="false">IFERROR(INDEX(Decolure_History!$F$397:$F$709,MATCH($A77,Decolure_History!$A$397:$A$709,0)),"")</f>
        <v/>
      </c>
      <c r="AB77" s="38" t="str">
        <f aca="false">IFERROR(INDEX(Decolure_History!$J$397:$J$709,MATCH($A77,Decolure_History!$A$397:$A$709,0)),"")</f>
        <v/>
      </c>
      <c r="AC77" s="38" t="str">
        <f aca="false">IFERROR(INDEX(Decolure_History!$M$397:$M$709,MATCH($A77,Decolure_History!$A$397:$A$709,0)),"")</f>
        <v/>
      </c>
      <c r="AD77" s="41" t="n">
        <v>0.064</v>
      </c>
      <c r="AE77" s="27" t="s">
        <v>275</v>
      </c>
      <c r="AF77" s="42" t="n">
        <v>0.365</v>
      </c>
      <c r="AG77" s="32" t="n">
        <f aca="false">M77*AF77</f>
        <v>21.5471666666667</v>
      </c>
      <c r="AH77" s="43" t="n">
        <f aca="false">IF(AO77="Brand Defense",0,IFERROR(VLOOKUP(S77,Assumptions!$A$24:$B$28,2,FALSE()),0))</f>
        <v>0.0124</v>
      </c>
      <c r="AI77" s="28" t="n">
        <f aca="false">Assumptions!$B$6</f>
        <v>0.66</v>
      </c>
      <c r="AJ77" s="44" t="n">
        <f aca="false">AG77*AH77*AI77</f>
        <v>0.176342012</v>
      </c>
      <c r="AK77" s="44" t="n">
        <f aca="false">AJ77*AD77</f>
        <v>0.011285888768</v>
      </c>
      <c r="AL77" s="30" t="n">
        <f aca="false">AJ77*56</f>
        <v>9.875152672</v>
      </c>
      <c r="AM77" s="32" t="n">
        <f aca="false">AK77*56</f>
        <v>0.632009771008</v>
      </c>
      <c r="AN77" s="44" t="n">
        <f aca="false">M77*Assumptions!$B$8</f>
        <v>5.90333333333333</v>
      </c>
      <c r="AO77" s="27" t="s">
        <v>377</v>
      </c>
      <c r="AP77" s="27" t="s">
        <v>378</v>
      </c>
      <c r="AQ77" s="26" t="s">
        <v>198</v>
      </c>
      <c r="AR77" s="27" t="s">
        <v>199</v>
      </c>
      <c r="AS77" s="44" t="n">
        <f aca="false">IF(AO77="Ranking — Full Push",MIN(MAX(AJ77,Assumptions!$B$9),AN77),IF(AO77="Brand Defense",MIN(Assumptions!$B$7,AN77),IF(OR(AO77="Ranking — Head Term (Capped)",AO77="Ranking — Capped Entry"),MIN(MAX(AJ77,Assumptions!$B$9),Assumptions!$B$7,AN77),IF(AO77="Ranking — Capped Long-Tail",MIN(AJ77,Assumptions!$B$10,AN77),MIN(AJ77,AN77)))))</f>
        <v>1</v>
      </c>
      <c r="AT77" s="27" t="str">
        <f aca="false">IF(AJ77&lt;=0,"",IF(AS77&gt;=AJ77,IF(AS77&gt;AJ77*1.05,"Floor of "&amp;TEXT(AS77,"0.0")&amp;" click/day to read CVR (rank needs "&amp;TEXT(AJ77,"0.00")&amp;")","Fully funded (100%)"),"Capped at "&amp;TEXT(AS77/AJ77,"0%")&amp;" of required"))</f>
        <v>Floor of 1.0 click/day to read CVR (rank needs 0.18)</v>
      </c>
      <c r="AU77" s="44" t="n">
        <f aca="false">AS77*AD77</f>
        <v>0.064</v>
      </c>
      <c r="AV77" s="45" t="n">
        <f aca="false">AU77*AY77</f>
        <v>5.11936</v>
      </c>
      <c r="AW77" s="46" t="n">
        <v>2.14</v>
      </c>
      <c r="AX77" s="27" t="s">
        <v>757</v>
      </c>
      <c r="AY77" s="47" t="n">
        <f aca="false">INDEX(Assumptions!$B$33:$B$37,MATCH(IF($D77="","Queen",$D77),Assumptions!$A$33:$A$37,0))</f>
        <v>79.99</v>
      </c>
      <c r="AZ77" s="33" t="n">
        <f aca="false">INDEX(Assumptions!$K$33:$K$37,MATCH(IF($D77="","Queen",$D77),Assumptions!$A$33:$A$37,0))</f>
        <v>0.558660457557195</v>
      </c>
      <c r="BA77" s="33" t="n">
        <f aca="false">INDEX(Assumptions!$H$33:$H$37,MATCH(IF($D77="","Queen",$D77),Assumptions!$A$33:$A$37,0))</f>
        <v>0.37244030503813</v>
      </c>
      <c r="BB77" s="47" t="n">
        <f aca="false">AY77*AZ77*AD77</f>
        <v>2.859984</v>
      </c>
      <c r="BC77" s="47" t="n">
        <f aca="false">ROUND(MIN(AW77*Assumptions!$B$11,BB77),2)</f>
        <v>2.14</v>
      </c>
      <c r="BD77" s="26" t="s">
        <v>278</v>
      </c>
      <c r="BE77" s="48" t="n">
        <f aca="false">IF(AO77="Ranking — Full Push",MAX(0,MIN(IF(BD77="Yes",Assumptions!$B$12,Assumptions!$B$13),FLOOR(MAX(0,BB77/BC77-1),Assumptions!$B$14))),0)</f>
        <v>0</v>
      </c>
      <c r="BF77" s="49" t="str">
        <f aca="false">IF(AO77="Ranking — Full Push",IF(BE77&gt;=1,"YES — +100% Top of Search. Effective CPC $"&amp;TEXT(BG77,"0.00")&amp;" (= $"&amp;TEXT(BC77,"0.00")&amp;" × 2) stays within the $"&amp;TEXT(BB77,"0.00")&amp;" max ranking CPC"&amp;" (= $"&amp;TEXT(AY77,"0.00")&amp;" price × "&amp;TEXT(AZ77,"0.0%")&amp;" ranking ceiling × "&amp;TEXT(AD77,"0.0%")&amp;" CVR)"&amp;". Sleephoria CVR is proven on this term, so the full push is justified.",IF(AND(BD77="No",BE77&gt;=Assumptions!$B$13),"PARTIAL — +"&amp;TEXT(BE77,"0%")&amp;" Top of Search (limit for terms without proven CVR). Effective CPC $"&amp;TEXT(BG77,"0.00")&amp;" vs $"&amp;TEXT(BB77,"0.00")&amp;" max ranking CPC"&amp;" (= $"&amp;TEXT(AY77,"0.00")&amp;" price × "&amp;TEXT(AZ77,"0.0%")&amp;" ranking ceiling × "&amp;TEXT(AD77,"0.0%")&amp;" CVR)"&amp;". Raise to +100% only after CooLinens converts at ≥ "&amp;TEXT(AD77,"0.0%")&amp;" on 50+ clicks and $"&amp;TEXT(BC77*2,"0.00")&amp;" ≤ the max.",IF(BE77&gt;0,"PARTIAL — +"&amp;TEXT(BE77,"0%")&amp;" Top of Search. Effective CPC $"&amp;TEXT(BG77,"0.00")&amp;" stays within the $"&amp;TEXT(BB77,"0.00")&amp;" max ranking CPC"&amp;" (= $"&amp;TEXT(AY77,"0.00")&amp;" price × "&amp;TEXT(AZ77,"0.0%")&amp;" ranking ceiling × "&amp;TEXT(AD77,"0.0%")&amp;" CVR)"&amp;". +100% would cost $"&amp;TEXT(BC77*2,"0.00")&amp;" per click and push ACoS to "&amp;TEXT(BC77*2/(AY77*AD77),"0.0%")&amp;", above the "&amp;TEXT(AZ77,"0.0%")&amp;" ceiling.","NO — 0%. Base bid $"&amp;TEXT(BC77,"0.00")&amp;" already equals the $"&amp;TEXT(BB77,"0.00")&amp;" max ranking CPC"&amp;" (= $"&amp;TEXT(AY77,"0.00")&amp;" price × "&amp;TEXT(AZ77,"0.0%")&amp;" ranking ceiling × "&amp;TEXT(AD77,"0.0%")&amp;" CVR)"&amp;"; any modifier would push ACoS above the "&amp;TEXT(AZ77,"0.0%")&amp;" ceiling."))),IF(OR(AO77="Ranking — Head Term (Capped)",AO77="Ranking — Capped Entry",AO77="Ranking — Capped Long-Tail"),"NO — 0% (capped ranking entry). Bid $"&amp;TEXT(BC77,"0.00")&amp;" vs $"&amp;TEXT(BB77,"0.00")&amp;" max ranking CPC"&amp;" (= $"&amp;TEXT(AY77,"0.00")&amp;" price × "&amp;TEXT(AZ77,"0.0%")&amp;" ranking ceiling × "&amp;TEXT(AD77,"0.0%")&amp;" CVR)"&amp;". While spend is capped at "&amp;TEXT(AS77,"0.00")&amp;" clicks/day, a placement premium would only raise CPC without buying more rank; the modifier is set when this term moves to a full push.","NO — 0% (support / brand term). Bid $"&amp;TEXT(BC77,"0.00")&amp;" vs $"&amp;TEXT(BB77,"0.00")&amp;" max ranking CPC"&amp;" (= $"&amp;TEXT(AY77,"0.00")&amp;" price × "&amp;TEXT(AZ77,"0.0%")&amp;" ranking ceiling × "&amp;TEXT(AD77,"0.0%")&amp;" CVR)"&amp;"; expected ACoS "&amp;TEXT(BI77,"0.0%")&amp;" vs the "&amp;TEXT(AZ77,"0.0%")&amp;"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G77" s="50" t="n">
        <f aca="false">BC77*(1+BE77)</f>
        <v>2.14</v>
      </c>
      <c r="BH77" s="45" t="n">
        <f aca="false">AS77*BG77</f>
        <v>2.14</v>
      </c>
      <c r="BI77" s="33" t="n">
        <f aca="false">IFERROR(BG77/(AY77*AD77),"")</f>
        <v>0.418021002625328</v>
      </c>
      <c r="BJ77" s="27" t="str">
        <f aca="false">IF(BI77="","",IF(BI77&lt;=BA77,"Profitable (≤ break-even)",IF(BI77&lt;=AZ77,"Ranking investment (≤ ceiling)","Above ceiling — reduce bid")))</f>
        <v>Ranking investment (≤ ceiling)</v>
      </c>
      <c r="BK77" s="49" t="str">
        <f aca="false">"Base $"&amp;TEXT(BC77,"0.00")&amp;" × (1 + "&amp;TEXT(BE77,"0%")&amp;" TOS) = $"&amp;TEXT(BG77,"0.00")&amp;" effective CPC [max $"&amp;TEXT(BB77,"0.00")&amp;"]. "&amp;TEXT(AG77,"0.0")&amp;" market clicks/day × "&amp;TEXT(AH77,"0.00%")&amp;" click share × "&amp;TEXT(AI77,"0%")&amp;" paid = "&amp;TEXT(AJ77,"0.00")&amp;" clicks/day needed; "&amp;"planned "&amp;TEXT(AS77,"0.00")&amp;" clicks/day × "&amp;TEXT(AD77,"0.0%")&amp;" CVR = "&amp;TEXT(AU77,"0.00")&amp;" orders/day. "&amp;"Spend $"&amp;TEXT(BH77,"0.00")&amp;"/day, ACoS "&amp;TEXT(BI77,"0.0%")&amp;" (ceiling "&amp;TEXT(AZ77,"0.0%")&amp;", break-even "&amp;TEXT(BA77,"0.0%")&amp;"). "&amp;"Target organic rank #"&amp;S77&amp;" by week 8 ("&amp;T77&amp;")."</f>
        <v>Base $2.14 × (1 + 0% TOS) = $2.14 effective CPC [max $2.86]. 21.5 market clicks/day × 1.24% click share × 66% paid = 0.18 clicks/day needed; planned 1.00 clicks/day × 6.4% CVR = 0.06 orders/day. Spend $2.14/day, ACoS 41.8% (ceiling 55.9%, break-even 37.2%). Target organic rank #20 by week 8 (#60 → #35 → #20).</v>
      </c>
      <c r="BL77" s="27" t="s">
        <v>331</v>
      </c>
      <c r="BM77" s="27" t="s">
        <v>203</v>
      </c>
      <c r="BN77" s="27" t="s">
        <v>1139</v>
      </c>
      <c r="BO77" s="27" t="s">
        <v>1136</v>
      </c>
      <c r="BP77" s="27" t="s">
        <v>205</v>
      </c>
      <c r="BQ77" s="26" t="s">
        <v>206</v>
      </c>
      <c r="BR77" s="40" t="n">
        <f aca="false">IFERROR(INDEX(Campaigns!$L:$L,MATCH(BN77,Campaigns!$A:$A,0)),"")</f>
        <v>10</v>
      </c>
      <c r="BS77" s="51" t="str">
        <f aca="false">IFERROR(INDEX(Inventory!$O:$O,MATCH(BP77,Inventory!$A:$A,0)),"")</f>
        <v>OK</v>
      </c>
      <c r="BT77" s="52" t="n">
        <f aca="false">IFERROR(INDEX(Inventory!$N:$N,MATCH(BP77,Inventory!$A:$A,0)),"")</f>
        <v>91.5322601167724</v>
      </c>
      <c r="BU77" s="27" t="s">
        <v>1140</v>
      </c>
      <c r="BV77" s="27" t="s">
        <v>263</v>
      </c>
      <c r="BW77" s="27" t="s">
        <v>1141</v>
      </c>
      <c r="BX77" s="27" t="s">
        <v>1142</v>
      </c>
      <c r="BY77" s="27" t="s">
        <v>1143</v>
      </c>
      <c r="BZ77" s="27" t="s">
        <v>419</v>
      </c>
      <c r="CA77" s="27" t="s">
        <v>941</v>
      </c>
      <c r="CB77" s="27" t="s">
        <v>1056</v>
      </c>
      <c r="CC77" s="27" t="s">
        <v>390</v>
      </c>
    </row>
    <row r="78" customFormat="false" ht="120" hidden="false" customHeight="true" outlineLevel="0" collapsed="false">
      <c r="A78" s="53" t="s">
        <v>1144</v>
      </c>
      <c r="B78" s="54" t="n">
        <v>2</v>
      </c>
      <c r="C78" s="26" t="s">
        <v>928</v>
      </c>
      <c r="D78" s="26"/>
      <c r="E78" s="27" t="s">
        <v>929</v>
      </c>
      <c r="F78" s="28" t="n">
        <v>0.9</v>
      </c>
      <c r="G78" s="27" t="s">
        <v>187</v>
      </c>
      <c r="H78" s="26" t="s">
        <v>342</v>
      </c>
      <c r="I78" s="29" t="n">
        <v>4.5</v>
      </c>
      <c r="J78" s="27" t="s">
        <v>944</v>
      </c>
      <c r="K78" s="30" t="n">
        <v>1023</v>
      </c>
      <c r="L78" s="31" t="n">
        <v>1557</v>
      </c>
      <c r="M78" s="32" t="n">
        <f aca="false">L78/30</f>
        <v>51.9</v>
      </c>
      <c r="N78" s="33" t="n">
        <v>0.0138254858484413</v>
      </c>
      <c r="O78" s="27" t="s">
        <v>1145</v>
      </c>
      <c r="P78" s="27" t="s">
        <v>1146</v>
      </c>
      <c r="Q78" s="27" t="s">
        <v>325</v>
      </c>
      <c r="R78" s="34" t="n">
        <v>6</v>
      </c>
      <c r="S78" s="35" t="n">
        <v>20</v>
      </c>
      <c r="T78" s="36" t="s">
        <v>346</v>
      </c>
      <c r="U78" s="27" t="s">
        <v>1147</v>
      </c>
      <c r="V78" s="37" t="n">
        <f aca="false">IFERROR(INDEX(Sleephoria_History!$F$454:$F$2115,MATCH($A78,Sleephoria_History!$A$454:$A$2115,0)),"")</f>
        <v>211</v>
      </c>
      <c r="W78" s="38" t="n">
        <f aca="false">IFERROR(INDEX(Sleephoria_History!$J$454:$J$2115,MATCH($A78,Sleephoria_History!$A$454:$A$2115,0)),"")</f>
        <v>0.0521</v>
      </c>
      <c r="X78" s="39" t="n">
        <f aca="false">IFERROR(INDEX(Sleephoria_History!$H$454:$H$2115,MATCH($A78,Sleephoria_History!$A$454:$A$2115,0)),"")</f>
        <v>1.32</v>
      </c>
      <c r="Y78" s="38" t="n">
        <f aca="false">IFERROR(INDEX(Sleephoria_History!$M$454:$M$2115,MATCH($A78,Sleephoria_History!$A$454:$A$2115,0)),"")</f>
        <v>0.373</v>
      </c>
      <c r="Z78" s="40" t="n">
        <f aca="false">IFERROR(INDEX(Sleephoria_History!$L$454:$L$2115,MATCH($A78,Sleephoria_History!$A$454:$A$2115,0)),"")</f>
        <v>747.89</v>
      </c>
      <c r="AA78" s="37" t="str">
        <f aca="false">IFERROR(INDEX(Decolure_History!$F$397:$F$709,MATCH($A78,Decolure_History!$A$397:$A$709,0)),"")</f>
        <v/>
      </c>
      <c r="AB78" s="38" t="str">
        <f aca="false">IFERROR(INDEX(Decolure_History!$J$397:$J$709,MATCH($A78,Decolure_History!$A$397:$A$709,0)),"")</f>
        <v/>
      </c>
      <c r="AC78" s="38" t="str">
        <f aca="false">IFERROR(INDEX(Decolure_History!$M$397:$M$709,MATCH($A78,Decolure_History!$A$397:$A$709,0)),"")</f>
        <v/>
      </c>
      <c r="AD78" s="41" t="n">
        <v>0.0417</v>
      </c>
      <c r="AE78" s="27" t="s">
        <v>1148</v>
      </c>
      <c r="AF78" s="42" t="n">
        <v>0.412</v>
      </c>
      <c r="AG78" s="32" t="n">
        <f aca="false">M78*AF78</f>
        <v>21.3828</v>
      </c>
      <c r="AH78" s="43" t="n">
        <f aca="false">IF(AO78="Brand Defense",0,IFERROR(VLOOKUP(S78,Assumptions!$A$24:$B$28,2,FALSE()),0))</f>
        <v>0.0124</v>
      </c>
      <c r="AI78" s="28" t="n">
        <f aca="false">Assumptions!$B$6</f>
        <v>0.66</v>
      </c>
      <c r="AJ78" s="44" t="n">
        <f aca="false">AG78*AH78*AI78</f>
        <v>0.1749968352</v>
      </c>
      <c r="AK78" s="44" t="n">
        <f aca="false">AJ78*AD78</f>
        <v>0.00729736802784</v>
      </c>
      <c r="AL78" s="30" t="n">
        <f aca="false">AJ78*56</f>
        <v>9.7998227712</v>
      </c>
      <c r="AM78" s="32" t="n">
        <f aca="false">AK78*56</f>
        <v>0.40865260955904</v>
      </c>
      <c r="AN78" s="44" t="n">
        <f aca="false">M78*Assumptions!$B$8</f>
        <v>5.19</v>
      </c>
      <c r="AO78" s="27" t="s">
        <v>377</v>
      </c>
      <c r="AP78" s="27" t="s">
        <v>378</v>
      </c>
      <c r="AQ78" s="26" t="s">
        <v>198</v>
      </c>
      <c r="AR78" s="27" t="s">
        <v>199</v>
      </c>
      <c r="AS78" s="44" t="n">
        <f aca="false">IF(AO78="Ranking — Full Push",MIN(MAX(AJ78,Assumptions!$B$9),AN78),IF(AO78="Brand Defense",MIN(Assumptions!$B$7,AN78),IF(OR(AO78="Ranking — Head Term (Capped)",AO78="Ranking — Capped Entry"),MIN(MAX(AJ78,Assumptions!$B$9),Assumptions!$B$7,AN78),IF(AO78="Ranking — Capped Long-Tail",MIN(AJ78,Assumptions!$B$10,AN78),MIN(AJ78,AN78)))))</f>
        <v>1</v>
      </c>
      <c r="AT78" s="27" t="str">
        <f aca="false">IF(AJ78&lt;=0,"",IF(AS78&gt;=AJ78,IF(AS78&gt;AJ78*1.05,"Floor of "&amp;TEXT(AS78,"0.0")&amp;" click/day to read CVR (rank needs "&amp;TEXT(AJ78,"0.00")&amp;")","Fully funded (100%)"),"Capped at "&amp;TEXT(AS78/AJ78,"0%")&amp;" of required"))</f>
        <v>Floor of 1.0 click/day to read CVR (rank needs 0.17)</v>
      </c>
      <c r="AU78" s="44" t="n">
        <f aca="false">AS78*AD78</f>
        <v>0.0417</v>
      </c>
      <c r="AV78" s="45" t="n">
        <f aca="false">AU78*AY78</f>
        <v>3.335583</v>
      </c>
      <c r="AW78" s="46" t="n">
        <v>1.32</v>
      </c>
      <c r="AX78" s="27" t="s">
        <v>1149</v>
      </c>
      <c r="AY78" s="47" t="n">
        <f aca="false">INDEX(Assumptions!$B$33:$B$37,MATCH(IF($D78="","Queen",$D78),Assumptions!$A$33:$A$37,0))</f>
        <v>79.99</v>
      </c>
      <c r="AZ78" s="33" t="n">
        <f aca="false">INDEX(Assumptions!$K$33:$K$37,MATCH(IF($D78="","Queen",$D78),Assumptions!$A$33:$A$37,0))</f>
        <v>0.558660457557195</v>
      </c>
      <c r="BA78" s="33" t="n">
        <f aca="false">INDEX(Assumptions!$H$33:$H$37,MATCH(IF($D78="","Queen",$D78),Assumptions!$A$33:$A$37,0))</f>
        <v>0.37244030503813</v>
      </c>
      <c r="BB78" s="47" t="n">
        <f aca="false">AY78*AZ78*AD78</f>
        <v>1.863458325</v>
      </c>
      <c r="BC78" s="47" t="n">
        <f aca="false">ROUND(MIN(AW78*Assumptions!$B$11,BB78),2)</f>
        <v>1.32</v>
      </c>
      <c r="BD78" s="26" t="s">
        <v>278</v>
      </c>
      <c r="BE78" s="48" t="n">
        <f aca="false">IF(AO78="Ranking — Full Push",MAX(0,MIN(IF(BD78="Yes",Assumptions!$B$12,Assumptions!$B$13),FLOOR(MAX(0,BB78/BC78-1),Assumptions!$B$14))),0)</f>
        <v>0</v>
      </c>
      <c r="BF78" s="49" t="str">
        <f aca="false">IF(AO78="Ranking — Full Push",IF(BE78&gt;=1,"YES — +100% Top of Search. Effective CPC $"&amp;TEXT(BG78,"0.00")&amp;" (= $"&amp;TEXT(BC78,"0.00")&amp;" × 2) stays within the $"&amp;TEXT(BB78,"0.00")&amp;" max ranking CPC"&amp;" (= $"&amp;TEXT(AY78,"0.00")&amp;" price × "&amp;TEXT(AZ78,"0.0%")&amp;" ranking ceiling × "&amp;TEXT(AD78,"0.0%")&amp;" CVR)"&amp;". Sleephoria CVR is proven on this term, so the full push is justified.",IF(AND(BD78="No",BE78&gt;=Assumptions!$B$13),"PARTIAL — +"&amp;TEXT(BE78,"0%")&amp;" Top of Search (limit for terms without proven CVR). Effective CPC $"&amp;TEXT(BG78,"0.00")&amp;" vs $"&amp;TEXT(BB78,"0.00")&amp;" max ranking CPC"&amp;" (= $"&amp;TEXT(AY78,"0.00")&amp;" price × "&amp;TEXT(AZ78,"0.0%")&amp;" ranking ceiling × "&amp;TEXT(AD78,"0.0%")&amp;" CVR)"&amp;". Raise to +100% only after CooLinens converts at ≥ "&amp;TEXT(AD78,"0.0%")&amp;" on 50+ clicks and $"&amp;TEXT(BC78*2,"0.00")&amp;" ≤ the max.",IF(BE78&gt;0,"PARTIAL — +"&amp;TEXT(BE78,"0%")&amp;" Top of Search. Effective CPC $"&amp;TEXT(BG78,"0.00")&amp;" stays within the $"&amp;TEXT(BB78,"0.00")&amp;" max ranking CPC"&amp;" (= $"&amp;TEXT(AY78,"0.00")&amp;" price × "&amp;TEXT(AZ78,"0.0%")&amp;" ranking ceiling × "&amp;TEXT(AD78,"0.0%")&amp;" CVR)"&amp;". +100% would cost $"&amp;TEXT(BC78*2,"0.00")&amp;" per click and push ACoS to "&amp;TEXT(BC78*2/(AY78*AD78),"0.0%")&amp;", above the "&amp;TEXT(AZ78,"0.0%")&amp;" ceiling.","NO — 0%. Base bid $"&amp;TEXT(BC78,"0.00")&amp;" already equals the $"&amp;TEXT(BB78,"0.00")&amp;" max ranking CPC"&amp;" (= $"&amp;TEXT(AY78,"0.00")&amp;" price × "&amp;TEXT(AZ78,"0.0%")&amp;" ranking ceiling × "&amp;TEXT(AD78,"0.0%")&amp;" CVR)"&amp;"; any modifier would push ACoS above the "&amp;TEXT(AZ78,"0.0%")&amp;" ceiling."))),IF(OR(AO78="Ranking — Head Term (Capped)",AO78="Ranking — Capped Entry",AO78="Ranking — Capped Long-Tail"),"NO — 0% (capped ranking entry). Bid $"&amp;TEXT(BC78,"0.00")&amp;" vs $"&amp;TEXT(BB78,"0.00")&amp;" max ranking CPC"&amp;" (= $"&amp;TEXT(AY78,"0.00")&amp;" price × "&amp;TEXT(AZ78,"0.0%")&amp;" ranking ceiling × "&amp;TEXT(AD78,"0.0%")&amp;" CVR)"&amp;". While spend is capped at "&amp;TEXT(AS78,"0.00")&amp;" clicks/day, a placement premium would only raise CPC without buying more rank; the modifier is set when this term moves to a full push.","NO — 0% (support / brand term). Bid $"&amp;TEXT(BC78,"0.00")&amp;" vs $"&amp;TEXT(BB78,"0.00")&amp;" max ranking CPC"&amp;" (= $"&amp;TEXT(AY78,"0.00")&amp;" price × "&amp;TEXT(AZ78,"0.0%")&amp;" ranking ceiling × "&amp;TEXT(AD78,"0.0%")&amp;" CVR)"&amp;"; expected ACoS "&amp;TEXT(BI78,"0.0%")&amp;" vs the "&amp;TEXT(AZ78,"0.0%")&amp;" ceiling."))</f>
        <v>NO — 0% (capped ranking entry). Bid $1.32 vs $1.86 max ranking CPC (= $79.99 price × 55.9% ranking ceiling × 4.2% CVR). While spend is capped at 1.00 clicks/day, a placement premium would only raise CPC without buying more rank; the modifier is set when this term moves to a full push.</v>
      </c>
      <c r="BG78" s="50" t="n">
        <f aca="false">BC78*(1+BE78)</f>
        <v>1.32</v>
      </c>
      <c r="BH78" s="45" t="n">
        <f aca="false">AS78*BG78</f>
        <v>1.32</v>
      </c>
      <c r="BI78" s="33" t="n">
        <f aca="false">IFERROR(BG78/(AY78*AD78),"")</f>
        <v>0.395732919852392</v>
      </c>
      <c r="BJ78" s="27" t="str">
        <f aca="false">IF(BI78="","",IF(BI78&lt;=BA78,"Profitable (≤ break-even)",IF(BI78&lt;=AZ78,"Ranking investment (≤ ceiling)","Above ceiling — reduce bid")))</f>
        <v>Ranking investment (≤ ceiling)</v>
      </c>
      <c r="BK78" s="49" t="str">
        <f aca="false">"Base $"&amp;TEXT(BC78,"0.00")&amp;" × (1 + "&amp;TEXT(BE78,"0%")&amp;" TOS) = $"&amp;TEXT(BG78,"0.00")&amp;" effective CPC [max $"&amp;TEXT(BB78,"0.00")&amp;"]. "&amp;TEXT(AG78,"0.0")&amp;" market clicks/day × "&amp;TEXT(AH78,"0.00%")&amp;" click share × "&amp;TEXT(AI78,"0%")&amp;" paid = "&amp;TEXT(AJ78,"0.00")&amp;" clicks/day needed; "&amp;"planned "&amp;TEXT(AS78,"0.00")&amp;" clicks/day × "&amp;TEXT(AD78,"0.0%")&amp;" CVR = "&amp;TEXT(AU78,"0.00")&amp;" orders/day. "&amp;"Spend $"&amp;TEXT(BH78,"0.00")&amp;"/day, ACoS "&amp;TEXT(BI78,"0.0%")&amp;" (ceiling "&amp;TEXT(AZ78,"0.0%")&amp;", break-even "&amp;TEXT(BA78,"0.0%")&amp;"). "&amp;"Target organic rank #"&amp;S78&amp;" by week 8 ("&amp;T78&amp;")."</f>
        <v>Base $1.32 × (1 + 0% TOS) = $1.32 effective CPC [max $1.86]. 21.4 market clicks/day × 1.24% click share × 66% paid = 0.17 clicks/day needed; planned 1.00 clicks/day × 4.2% CVR = 0.04 orders/day. Spend $1.32/day, ACoS 39.6% (ceiling 55.9%, break-even 37.2%). Target organic rank #20 by week 8 (#60 → #35 → #20).</v>
      </c>
      <c r="BL78" s="27" t="s">
        <v>380</v>
      </c>
      <c r="BM78" s="27" t="s">
        <v>203</v>
      </c>
      <c r="BN78" s="27" t="s">
        <v>1150</v>
      </c>
      <c r="BO78" s="27" t="s">
        <v>1144</v>
      </c>
      <c r="BP78" s="27" t="s">
        <v>205</v>
      </c>
      <c r="BQ78" s="26" t="s">
        <v>206</v>
      </c>
      <c r="BR78" s="40" t="n">
        <f aca="false">IFERROR(INDEX(Campaigns!$L:$L,MATCH(BN78,Campaigns!$A:$A,0)),"")</f>
        <v>10</v>
      </c>
      <c r="BS78" s="51" t="str">
        <f aca="false">IFERROR(INDEX(Inventory!$O:$O,MATCH(BP78,Inventory!$A:$A,0)),"")</f>
        <v>OK</v>
      </c>
      <c r="BT78" s="52" t="n">
        <f aca="false">IFERROR(INDEX(Inventory!$N:$N,MATCH(BP78,Inventory!$A:$A,0)),"")</f>
        <v>91.5322601167724</v>
      </c>
      <c r="BU78" s="27" t="s">
        <v>1151</v>
      </c>
      <c r="BV78" s="27" t="s">
        <v>263</v>
      </c>
      <c r="BW78" s="27" t="s">
        <v>1152</v>
      </c>
      <c r="BX78" s="27" t="s">
        <v>1153</v>
      </c>
      <c r="BY78" s="27" t="s">
        <v>1154</v>
      </c>
      <c r="BZ78" s="27" t="s">
        <v>1155</v>
      </c>
      <c r="CA78" s="27" t="s">
        <v>941</v>
      </c>
      <c r="CB78" s="27" t="s">
        <v>958</v>
      </c>
      <c r="CC78" s="27" t="s">
        <v>390</v>
      </c>
    </row>
    <row r="79" customFormat="false" ht="120" hidden="false" customHeight="true" outlineLevel="0" collapsed="false">
      <c r="A79" s="53" t="s">
        <v>1156</v>
      </c>
      <c r="B79" s="54" t="n">
        <v>2</v>
      </c>
      <c r="C79" s="26" t="s">
        <v>928</v>
      </c>
      <c r="D79" s="26"/>
      <c r="E79" s="27" t="s">
        <v>929</v>
      </c>
      <c r="F79" s="28" t="n">
        <v>0.95</v>
      </c>
      <c r="G79" s="27" t="s">
        <v>187</v>
      </c>
      <c r="H79" s="26" t="s">
        <v>342</v>
      </c>
      <c r="I79" s="29" t="n">
        <v>4.5</v>
      </c>
      <c r="J79" s="27" t="s">
        <v>822</v>
      </c>
      <c r="K79" s="30" t="n">
        <v>1211</v>
      </c>
      <c r="L79" s="31" t="n">
        <v>984</v>
      </c>
      <c r="M79" s="32" t="n">
        <f aca="false">L79/30</f>
        <v>32.8</v>
      </c>
      <c r="N79" s="33" t="n">
        <v>0.0312177297640797</v>
      </c>
      <c r="O79" s="27" t="s">
        <v>769</v>
      </c>
      <c r="P79" s="27" t="s">
        <v>1157</v>
      </c>
      <c r="Q79" s="27" t="s">
        <v>273</v>
      </c>
      <c r="R79" s="34" t="n">
        <v>5</v>
      </c>
      <c r="S79" s="35" t="n">
        <v>20</v>
      </c>
      <c r="T79" s="36" t="s">
        <v>346</v>
      </c>
      <c r="U79" s="27" t="s">
        <v>1158</v>
      </c>
      <c r="V79" s="37" t="n">
        <f aca="false">IFERROR(INDEX(Sleephoria_History!$F$454:$F$2115,MATCH($A79,Sleephoria_History!$A$454:$A$2115,0)),"")</f>
        <v>3</v>
      </c>
      <c r="W79" s="38" t="n">
        <f aca="false">IFERROR(INDEX(Sleephoria_History!$J$454:$J$2115,MATCH($A79,Sleephoria_History!$A$454:$A$2115,0)),"")</f>
        <v>0</v>
      </c>
      <c r="X79" s="39" t="n">
        <f aca="false">IFERROR(INDEX(Sleephoria_History!$H$454:$H$2115,MATCH($A79,Sleephoria_History!$A$454:$A$2115,0)),"")</f>
        <v>2.63</v>
      </c>
      <c r="Y79" s="38" t="n">
        <f aca="false">IFERROR(INDEX(Sleephoria_History!$M$454:$M$2115,MATCH($A79,Sleephoria_History!$A$454:$A$2115,0)),"")</f>
        <v>0</v>
      </c>
      <c r="Z79" s="40" t="n">
        <f aca="false">IFERROR(INDEX(Sleephoria_History!$L$454:$L$2115,MATCH($A79,Sleephoria_History!$A$454:$A$2115,0)),"")</f>
        <v>0</v>
      </c>
      <c r="AA79" s="37" t="str">
        <f aca="false">IFERROR(INDEX(Decolure_History!$F$397:$F$709,MATCH($A79,Decolure_History!$A$397:$A$709,0)),"")</f>
        <v/>
      </c>
      <c r="AB79" s="38" t="str">
        <f aca="false">IFERROR(INDEX(Decolure_History!$J$397:$J$709,MATCH($A79,Decolure_History!$A$397:$A$709,0)),"")</f>
        <v/>
      </c>
      <c r="AC79" s="38" t="str">
        <f aca="false">IFERROR(INDEX(Decolure_History!$M$397:$M$709,MATCH($A79,Decolure_History!$A$397:$A$709,0)),"")</f>
        <v/>
      </c>
      <c r="AD79" s="41" t="n">
        <v>0.064</v>
      </c>
      <c r="AE79" s="27" t="s">
        <v>275</v>
      </c>
      <c r="AF79" s="42" t="n">
        <v>0.365</v>
      </c>
      <c r="AG79" s="32" t="n">
        <f aca="false">M79*AF79</f>
        <v>11.972</v>
      </c>
      <c r="AH79" s="43" t="n">
        <f aca="false">IF(AO79="Brand Defense",0,IFERROR(VLOOKUP(S79,Assumptions!$A$24:$B$28,2,FALSE()),0))</f>
        <v>0.0124</v>
      </c>
      <c r="AI79" s="28" t="n">
        <f aca="false">Assumptions!$B$6</f>
        <v>0.66</v>
      </c>
      <c r="AJ79" s="44" t="n">
        <f aca="false">AG79*AH79*AI79</f>
        <v>0.097978848</v>
      </c>
      <c r="AK79" s="44" t="n">
        <f aca="false">AJ79*AD79</f>
        <v>0.006270646272</v>
      </c>
      <c r="AL79" s="30" t="n">
        <f aca="false">AJ79*56</f>
        <v>5.486815488</v>
      </c>
      <c r="AM79" s="32" t="n">
        <f aca="false">AK79*56</f>
        <v>0.351156191232</v>
      </c>
      <c r="AN79" s="44" t="n">
        <f aca="false">M79*Assumptions!$B$8</f>
        <v>3.28</v>
      </c>
      <c r="AO79" s="27" t="s">
        <v>377</v>
      </c>
      <c r="AP79" s="27" t="s">
        <v>378</v>
      </c>
      <c r="AQ79" s="26" t="s">
        <v>198</v>
      </c>
      <c r="AR79" s="27" t="s">
        <v>199</v>
      </c>
      <c r="AS79" s="44" t="n">
        <f aca="false">IF(AO79="Ranking — Full Push",MIN(MAX(AJ79,Assumptions!$B$9),AN79),IF(AO79="Brand Defense",MIN(Assumptions!$B$7,AN79),IF(OR(AO79="Ranking — Head Term (Capped)",AO79="Ranking — Capped Entry"),MIN(MAX(AJ79,Assumptions!$B$9),Assumptions!$B$7,AN79),IF(AO79="Ranking — Capped Long-Tail",MIN(AJ79,Assumptions!$B$10,AN79),MIN(AJ79,AN79)))))</f>
        <v>1</v>
      </c>
      <c r="AT79" s="27" t="str">
        <f aca="false">IF(AJ79&lt;=0,"",IF(AS79&gt;=AJ79,IF(AS79&gt;AJ79*1.05,"Floor of "&amp;TEXT(AS79,"0.0")&amp;" click/day to read CVR (rank needs "&amp;TEXT(AJ79,"0.00")&amp;")","Fully funded (100%)"),"Capped at "&amp;TEXT(AS79/AJ79,"0%")&amp;" of required"))</f>
        <v>Floor of 1.0 click/day to read CVR (rank needs 0.10)</v>
      </c>
      <c r="AU79" s="44" t="n">
        <f aca="false">AS79*AD79</f>
        <v>0.064</v>
      </c>
      <c r="AV79" s="45" t="n">
        <f aca="false">AU79*AY79</f>
        <v>5.11936</v>
      </c>
      <c r="AW79" s="46" t="n">
        <v>2.14</v>
      </c>
      <c r="AX79" s="27" t="s">
        <v>757</v>
      </c>
      <c r="AY79" s="47" t="n">
        <f aca="false">INDEX(Assumptions!$B$33:$B$37,MATCH(IF($D79="","Queen",$D79),Assumptions!$A$33:$A$37,0))</f>
        <v>79.99</v>
      </c>
      <c r="AZ79" s="33" t="n">
        <f aca="false">INDEX(Assumptions!$K$33:$K$37,MATCH(IF($D79="","Queen",$D79),Assumptions!$A$33:$A$37,0))</f>
        <v>0.558660457557195</v>
      </c>
      <c r="BA79" s="33" t="n">
        <f aca="false">INDEX(Assumptions!$H$33:$H$37,MATCH(IF($D79="","Queen",$D79),Assumptions!$A$33:$A$37,0))</f>
        <v>0.37244030503813</v>
      </c>
      <c r="BB79" s="47" t="n">
        <f aca="false">AY79*AZ79*AD79</f>
        <v>2.859984</v>
      </c>
      <c r="BC79" s="47" t="n">
        <f aca="false">ROUND(MIN(AW79*Assumptions!$B$11,BB79),2)</f>
        <v>2.14</v>
      </c>
      <c r="BD79" s="26" t="s">
        <v>278</v>
      </c>
      <c r="BE79" s="48" t="n">
        <f aca="false">IF(AO79="Ranking — Full Push",MAX(0,MIN(IF(BD79="Yes",Assumptions!$B$12,Assumptions!$B$13),FLOOR(MAX(0,BB79/BC79-1),Assumptions!$B$14))),0)</f>
        <v>0</v>
      </c>
      <c r="BF79" s="49" t="str">
        <f aca="false">IF(AO79="Ranking — Full Push",IF(BE79&gt;=1,"YES — +100% Top of Search. Effective CPC $"&amp;TEXT(BG79,"0.00")&amp;" (= $"&amp;TEXT(BC79,"0.00")&amp;" × 2) stays within the $"&amp;TEXT(BB79,"0.00")&amp;" max ranking CPC"&amp;" (= $"&amp;TEXT(AY79,"0.00")&amp;" price × "&amp;TEXT(AZ79,"0.0%")&amp;" ranking ceiling × "&amp;TEXT(AD79,"0.0%")&amp;" CVR)"&amp;". Sleephoria CVR is proven on this term, so the full push is justified.",IF(AND(BD79="No",BE79&gt;=Assumptions!$B$13),"PARTIAL — +"&amp;TEXT(BE79,"0%")&amp;" Top of Search (limit for terms without proven CVR). Effective CPC $"&amp;TEXT(BG79,"0.00")&amp;" vs $"&amp;TEXT(BB79,"0.00")&amp;" max ranking CPC"&amp;" (= $"&amp;TEXT(AY79,"0.00")&amp;" price × "&amp;TEXT(AZ79,"0.0%")&amp;" ranking ceiling × "&amp;TEXT(AD79,"0.0%")&amp;" CVR)"&amp;". Raise to +100% only after CooLinens converts at ≥ "&amp;TEXT(AD79,"0.0%")&amp;" on 50+ clicks and $"&amp;TEXT(BC79*2,"0.00")&amp;" ≤ the max.",IF(BE79&gt;0,"PARTIAL — +"&amp;TEXT(BE79,"0%")&amp;" Top of Search. Effective CPC $"&amp;TEXT(BG79,"0.00")&amp;" stays within the $"&amp;TEXT(BB79,"0.00")&amp;" max ranking CPC"&amp;" (= $"&amp;TEXT(AY79,"0.00")&amp;" price × "&amp;TEXT(AZ79,"0.0%")&amp;" ranking ceiling × "&amp;TEXT(AD79,"0.0%")&amp;" CVR)"&amp;". +100% would cost $"&amp;TEXT(BC79*2,"0.00")&amp;" per click and push ACoS to "&amp;TEXT(BC79*2/(AY79*AD79),"0.0%")&amp;", above the "&amp;TEXT(AZ79,"0.0%")&amp;" ceiling.","NO — 0%. Base bid $"&amp;TEXT(BC79,"0.00")&amp;" already equals the $"&amp;TEXT(BB79,"0.00")&amp;" max ranking CPC"&amp;" (= $"&amp;TEXT(AY79,"0.00")&amp;" price × "&amp;TEXT(AZ79,"0.0%")&amp;" ranking ceiling × "&amp;TEXT(AD79,"0.0%")&amp;" CVR)"&amp;"; any modifier would push ACoS above the "&amp;TEXT(AZ79,"0.0%")&amp;" ceiling."))),IF(OR(AO79="Ranking — Head Term (Capped)",AO79="Ranking — Capped Entry",AO79="Ranking — Capped Long-Tail"),"NO — 0% (capped ranking entry). Bid $"&amp;TEXT(BC79,"0.00")&amp;" vs $"&amp;TEXT(BB79,"0.00")&amp;" max ranking CPC"&amp;" (= $"&amp;TEXT(AY79,"0.00")&amp;" price × "&amp;TEXT(AZ79,"0.0%")&amp;" ranking ceiling × "&amp;TEXT(AD79,"0.0%")&amp;" CVR)"&amp;". While spend is capped at "&amp;TEXT(AS79,"0.00")&amp;" clicks/day, a placement premium would only raise CPC without buying more rank; the modifier is set when this term moves to a full push.","NO — 0% (support / brand term). Bid $"&amp;TEXT(BC79,"0.00")&amp;" vs $"&amp;TEXT(BB79,"0.00")&amp;" max ranking CPC"&amp;" (= $"&amp;TEXT(AY79,"0.00")&amp;" price × "&amp;TEXT(AZ79,"0.0%")&amp;" ranking ceiling × "&amp;TEXT(AD79,"0.0%")&amp;" CVR)"&amp;"; expected ACoS "&amp;TEXT(BI79,"0.0%")&amp;" vs the "&amp;TEXT(AZ79,"0.0%")&amp;"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G79" s="50" t="n">
        <f aca="false">BC79*(1+BE79)</f>
        <v>2.14</v>
      </c>
      <c r="BH79" s="45" t="n">
        <f aca="false">AS79*BG79</f>
        <v>2.14</v>
      </c>
      <c r="BI79" s="33" t="n">
        <f aca="false">IFERROR(BG79/(AY79*AD79),"")</f>
        <v>0.418021002625328</v>
      </c>
      <c r="BJ79" s="27" t="str">
        <f aca="false">IF(BI79="","",IF(BI79&lt;=BA79,"Profitable (≤ break-even)",IF(BI79&lt;=AZ79,"Ranking investment (≤ ceiling)","Above ceiling — reduce bid")))</f>
        <v>Ranking investment (≤ ceiling)</v>
      </c>
      <c r="BK79" s="49" t="str">
        <f aca="false">"Base $"&amp;TEXT(BC79,"0.00")&amp;" × (1 + "&amp;TEXT(BE79,"0%")&amp;" TOS) = $"&amp;TEXT(BG79,"0.00")&amp;" effective CPC [max $"&amp;TEXT(BB79,"0.00")&amp;"]. "&amp;TEXT(AG79,"0.0")&amp;" market clicks/day × "&amp;TEXT(AH79,"0.00%")&amp;" click share × "&amp;TEXT(AI79,"0%")&amp;" paid = "&amp;TEXT(AJ79,"0.00")&amp;" clicks/day needed; "&amp;"planned "&amp;TEXT(AS79,"0.00")&amp;" clicks/day × "&amp;TEXT(AD79,"0.0%")&amp;" CVR = "&amp;TEXT(AU79,"0.00")&amp;" orders/day. "&amp;"Spend $"&amp;TEXT(BH79,"0.00")&amp;"/day, ACoS "&amp;TEXT(BI79,"0.0%")&amp;" (ceiling "&amp;TEXT(AZ79,"0.0%")&amp;", break-even "&amp;TEXT(BA79,"0.0%")&amp;"). "&amp;"Target organic rank #"&amp;S79&amp;" by week 8 ("&amp;T79&amp;")."</f>
        <v>Base $2.14 × (1 + 0% TOS) = $2.14 effective CPC [max $2.86]. 12.0 market clicks/day × 1.24% click share × 66% paid = 0.10 clicks/day needed; planned 1.00 clicks/day × 6.4% CVR = 0.06 orders/day. Spend $2.14/day, ACoS 41.8% (ceiling 55.9%, break-even 37.2%). Target organic rank #20 by week 8 (#60 → #35 → #20).</v>
      </c>
      <c r="BL79" s="27" t="s">
        <v>380</v>
      </c>
      <c r="BM79" s="27" t="s">
        <v>203</v>
      </c>
      <c r="BN79" s="27" t="s">
        <v>1159</v>
      </c>
      <c r="BO79" s="27" t="s">
        <v>1156</v>
      </c>
      <c r="BP79" s="27" t="s">
        <v>205</v>
      </c>
      <c r="BQ79" s="26" t="s">
        <v>206</v>
      </c>
      <c r="BR79" s="40" t="n">
        <f aca="false">IFERROR(INDEX(Campaigns!$L:$L,MATCH(BN79,Campaigns!$A:$A,0)),"")</f>
        <v>10</v>
      </c>
      <c r="BS79" s="51" t="str">
        <f aca="false">IFERROR(INDEX(Inventory!$O:$O,MATCH(BP79,Inventory!$A:$A,0)),"")</f>
        <v>OK</v>
      </c>
      <c r="BT79" s="52" t="n">
        <f aca="false">IFERROR(INDEX(Inventory!$N:$N,MATCH(BP79,Inventory!$A:$A,0)),"")</f>
        <v>91.5322601167724</v>
      </c>
      <c r="BU79" s="27" t="s">
        <v>1160</v>
      </c>
      <c r="BV79" s="27" t="s">
        <v>263</v>
      </c>
      <c r="BW79" s="27" t="s">
        <v>1161</v>
      </c>
      <c r="BX79" s="27" t="s">
        <v>1162</v>
      </c>
      <c r="BY79" s="27" t="s">
        <v>1163</v>
      </c>
      <c r="BZ79" s="27" t="s">
        <v>957</v>
      </c>
      <c r="CA79" s="27" t="s">
        <v>941</v>
      </c>
      <c r="CB79" s="27" t="s">
        <v>1105</v>
      </c>
      <c r="CC79" s="27" t="s">
        <v>390</v>
      </c>
    </row>
    <row r="80" customFormat="false" ht="120" hidden="false" customHeight="true" outlineLevel="0" collapsed="false">
      <c r="A80" s="53" t="s">
        <v>1164</v>
      </c>
      <c r="B80" s="54" t="n">
        <v>2</v>
      </c>
      <c r="C80" s="26" t="s">
        <v>928</v>
      </c>
      <c r="D80" s="26"/>
      <c r="E80" s="27" t="s">
        <v>929</v>
      </c>
      <c r="F80" s="28" t="n">
        <v>0.95</v>
      </c>
      <c r="G80" s="27" t="s">
        <v>187</v>
      </c>
      <c r="H80" s="26" t="s">
        <v>342</v>
      </c>
      <c r="I80" s="29" t="n">
        <v>4</v>
      </c>
      <c r="J80" s="27" t="s">
        <v>1165</v>
      </c>
      <c r="K80" s="30" t="n">
        <v>924</v>
      </c>
      <c r="L80" s="31" t="n">
        <v>675</v>
      </c>
      <c r="M80" s="32" t="n">
        <f aca="false">L80/30</f>
        <v>22.5</v>
      </c>
      <c r="N80" s="33" t="n">
        <v>0.014379722154521</v>
      </c>
      <c r="O80" s="27" t="s">
        <v>1046</v>
      </c>
      <c r="P80" s="27" t="s">
        <v>1166</v>
      </c>
      <c r="Q80" s="27" t="s">
        <v>325</v>
      </c>
      <c r="R80" s="34" t="n">
        <v>4</v>
      </c>
      <c r="S80" s="35" t="n">
        <v>20</v>
      </c>
      <c r="T80" s="36" t="s">
        <v>346</v>
      </c>
      <c r="U80" s="27" t="s">
        <v>1167</v>
      </c>
      <c r="V80" s="37" t="n">
        <f aca="false">IFERROR(INDEX(Sleephoria_History!$F$454:$F$2115,MATCH($A80,Sleephoria_History!$A$454:$A$2115,0)),"")</f>
        <v>5</v>
      </c>
      <c r="W80" s="38" t="n">
        <f aca="false">IFERROR(INDEX(Sleephoria_History!$J$454:$J$2115,MATCH($A80,Sleephoria_History!$A$454:$A$2115,0)),"")</f>
        <v>0</v>
      </c>
      <c r="X80" s="39" t="n">
        <f aca="false">IFERROR(INDEX(Sleephoria_History!$H$454:$H$2115,MATCH($A80,Sleephoria_History!$A$454:$A$2115,0)),"")</f>
        <v>2.57</v>
      </c>
      <c r="Y80" s="38" t="n">
        <f aca="false">IFERROR(INDEX(Sleephoria_History!$M$454:$M$2115,MATCH($A80,Sleephoria_History!$A$454:$A$2115,0)),"")</f>
        <v>0</v>
      </c>
      <c r="Z80" s="40" t="n">
        <f aca="false">IFERROR(INDEX(Sleephoria_History!$L$454:$L$2115,MATCH($A80,Sleephoria_History!$A$454:$A$2115,0)),"")</f>
        <v>0</v>
      </c>
      <c r="AA80" s="37" t="n">
        <f aca="false">IFERROR(INDEX(Decolure_History!$F$397:$F$709,MATCH($A80,Decolure_History!$A$397:$A$709,0)),"")</f>
        <v>35</v>
      </c>
      <c r="AB80" s="38" t="n">
        <f aca="false">IFERROR(INDEX(Decolure_History!$J$397:$J$709,MATCH($A80,Decolure_History!$A$397:$A$709,0)),"")</f>
        <v>0.0571</v>
      </c>
      <c r="AC80" s="38" t="n">
        <f aca="false">IFERROR(INDEX(Decolure_History!$M$397:$M$709,MATCH($A80,Decolure_History!$A$397:$A$709,0)),"")</f>
        <v>1.351</v>
      </c>
      <c r="AD80" s="41" t="n">
        <v>0.064</v>
      </c>
      <c r="AE80" s="27" t="s">
        <v>275</v>
      </c>
      <c r="AF80" s="42" t="n">
        <v>0.455</v>
      </c>
      <c r="AG80" s="32" t="n">
        <f aca="false">M80*AF80</f>
        <v>10.2375</v>
      </c>
      <c r="AH80" s="43" t="n">
        <f aca="false">IF(AO80="Brand Defense",0,IFERROR(VLOOKUP(S80,Assumptions!$A$24:$B$28,2,FALSE()),0))</f>
        <v>0.0124</v>
      </c>
      <c r="AI80" s="28" t="n">
        <f aca="false">Assumptions!$B$6</f>
        <v>0.66</v>
      </c>
      <c r="AJ80" s="44" t="n">
        <f aca="false">AG80*AH80*AI80</f>
        <v>0.0837837</v>
      </c>
      <c r="AK80" s="44" t="n">
        <f aca="false">AJ80*AD80</f>
        <v>0.0053621568</v>
      </c>
      <c r="AL80" s="30" t="n">
        <f aca="false">AJ80*56</f>
        <v>4.6918872</v>
      </c>
      <c r="AM80" s="32" t="n">
        <f aca="false">AK80*56</f>
        <v>0.3002807808</v>
      </c>
      <c r="AN80" s="44" t="n">
        <f aca="false">M80*Assumptions!$B$8</f>
        <v>2.25</v>
      </c>
      <c r="AO80" s="27" t="s">
        <v>377</v>
      </c>
      <c r="AP80" s="27" t="s">
        <v>378</v>
      </c>
      <c r="AQ80" s="26" t="s">
        <v>198</v>
      </c>
      <c r="AR80" s="27" t="s">
        <v>199</v>
      </c>
      <c r="AS80" s="44" t="n">
        <f aca="false">IF(AO80="Ranking — Full Push",MIN(MAX(AJ80,Assumptions!$B$9),AN80),IF(AO80="Brand Defense",MIN(Assumptions!$B$7,AN80),IF(OR(AO80="Ranking — Head Term (Capped)",AO80="Ranking — Capped Entry"),MIN(MAX(AJ80,Assumptions!$B$9),Assumptions!$B$7,AN80),IF(AO80="Ranking — Capped Long-Tail",MIN(AJ80,Assumptions!$B$10,AN80),MIN(AJ80,AN80)))))</f>
        <v>1</v>
      </c>
      <c r="AT80" s="27" t="str">
        <f aca="false">IF(AJ80&lt;=0,"",IF(AS80&gt;=AJ80,IF(AS80&gt;AJ80*1.05,"Floor of "&amp;TEXT(AS80,"0.0")&amp;" click/day to read CVR (rank needs "&amp;TEXT(AJ80,"0.00")&amp;")","Fully funded (100%)"),"Capped at "&amp;TEXT(AS80/AJ80,"0%")&amp;" of required"))</f>
        <v>Floor of 1.0 click/day to read CVR (rank needs 0.08)</v>
      </c>
      <c r="AU80" s="44" t="n">
        <f aca="false">AS80*AD80</f>
        <v>0.064</v>
      </c>
      <c r="AV80" s="45" t="n">
        <f aca="false">AU80*AY80</f>
        <v>5.11936</v>
      </c>
      <c r="AW80" s="46" t="n">
        <v>2.14</v>
      </c>
      <c r="AX80" s="27" t="s">
        <v>757</v>
      </c>
      <c r="AY80" s="47" t="n">
        <f aca="false">INDEX(Assumptions!$B$33:$B$37,MATCH(IF($D80="","Queen",$D80),Assumptions!$A$33:$A$37,0))</f>
        <v>79.99</v>
      </c>
      <c r="AZ80" s="33" t="n">
        <f aca="false">INDEX(Assumptions!$K$33:$K$37,MATCH(IF($D80="","Queen",$D80),Assumptions!$A$33:$A$37,0))</f>
        <v>0.558660457557195</v>
      </c>
      <c r="BA80" s="33" t="n">
        <f aca="false">INDEX(Assumptions!$H$33:$H$37,MATCH(IF($D80="","Queen",$D80),Assumptions!$A$33:$A$37,0))</f>
        <v>0.37244030503813</v>
      </c>
      <c r="BB80" s="47" t="n">
        <f aca="false">AY80*AZ80*AD80</f>
        <v>2.859984</v>
      </c>
      <c r="BC80" s="47" t="n">
        <f aca="false">ROUND(MIN(AW80*Assumptions!$B$11,BB80),2)</f>
        <v>2.14</v>
      </c>
      <c r="BD80" s="26" t="s">
        <v>278</v>
      </c>
      <c r="BE80" s="48" t="n">
        <f aca="false">IF(AO80="Ranking — Full Push",MAX(0,MIN(IF(BD80="Yes",Assumptions!$B$12,Assumptions!$B$13),FLOOR(MAX(0,BB80/BC80-1),Assumptions!$B$14))),0)</f>
        <v>0</v>
      </c>
      <c r="BF80" s="49" t="str">
        <f aca="false">IF(AO80="Ranking — Full Push",IF(BE80&gt;=1,"YES — +100% Top of Search. Effective CPC $"&amp;TEXT(BG80,"0.00")&amp;" (= $"&amp;TEXT(BC80,"0.00")&amp;" × 2) stays within the $"&amp;TEXT(BB80,"0.00")&amp;" max ranking CPC"&amp;" (= $"&amp;TEXT(AY80,"0.00")&amp;" price × "&amp;TEXT(AZ80,"0.0%")&amp;" ranking ceiling × "&amp;TEXT(AD80,"0.0%")&amp;" CVR)"&amp;". Sleephoria CVR is proven on this term, so the full push is justified.",IF(AND(BD80="No",BE80&gt;=Assumptions!$B$13),"PARTIAL — +"&amp;TEXT(BE80,"0%")&amp;" Top of Search (limit for terms without proven CVR). Effective CPC $"&amp;TEXT(BG80,"0.00")&amp;" vs $"&amp;TEXT(BB80,"0.00")&amp;" max ranking CPC"&amp;" (= $"&amp;TEXT(AY80,"0.00")&amp;" price × "&amp;TEXT(AZ80,"0.0%")&amp;" ranking ceiling × "&amp;TEXT(AD80,"0.0%")&amp;" CVR)"&amp;". Raise to +100% only after CooLinens converts at ≥ "&amp;TEXT(AD80,"0.0%")&amp;" on 50+ clicks and $"&amp;TEXT(BC80*2,"0.00")&amp;" ≤ the max.",IF(BE80&gt;0,"PARTIAL — +"&amp;TEXT(BE80,"0%")&amp;" Top of Search. Effective CPC $"&amp;TEXT(BG80,"0.00")&amp;" stays within the $"&amp;TEXT(BB80,"0.00")&amp;" max ranking CPC"&amp;" (= $"&amp;TEXT(AY80,"0.00")&amp;" price × "&amp;TEXT(AZ80,"0.0%")&amp;" ranking ceiling × "&amp;TEXT(AD80,"0.0%")&amp;" CVR)"&amp;". +100% would cost $"&amp;TEXT(BC80*2,"0.00")&amp;" per click and push ACoS to "&amp;TEXT(BC80*2/(AY80*AD80),"0.0%")&amp;", above the "&amp;TEXT(AZ80,"0.0%")&amp;" ceiling.","NO — 0%. Base bid $"&amp;TEXT(BC80,"0.00")&amp;" already equals the $"&amp;TEXT(BB80,"0.00")&amp;" max ranking CPC"&amp;" (= $"&amp;TEXT(AY80,"0.00")&amp;" price × "&amp;TEXT(AZ80,"0.0%")&amp;" ranking ceiling × "&amp;TEXT(AD80,"0.0%")&amp;" CVR)"&amp;"; any modifier would push ACoS above the "&amp;TEXT(AZ80,"0.0%")&amp;" ceiling."))),IF(OR(AO80="Ranking — Head Term (Capped)",AO80="Ranking — Capped Entry",AO80="Ranking — Capped Long-Tail"),"NO — 0% (capped ranking entry). Bid $"&amp;TEXT(BC80,"0.00")&amp;" vs $"&amp;TEXT(BB80,"0.00")&amp;" max ranking CPC"&amp;" (= $"&amp;TEXT(AY80,"0.00")&amp;" price × "&amp;TEXT(AZ80,"0.0%")&amp;" ranking ceiling × "&amp;TEXT(AD80,"0.0%")&amp;" CVR)"&amp;". While spend is capped at "&amp;TEXT(AS80,"0.00")&amp;" clicks/day, a placement premium would only raise CPC without buying more rank; the modifier is set when this term moves to a full push.","NO — 0% (support / brand term). Bid $"&amp;TEXT(BC80,"0.00")&amp;" vs $"&amp;TEXT(BB80,"0.00")&amp;" max ranking CPC"&amp;" (= $"&amp;TEXT(AY80,"0.00")&amp;" price × "&amp;TEXT(AZ80,"0.0%")&amp;" ranking ceiling × "&amp;TEXT(AD80,"0.0%")&amp;" CVR)"&amp;"; expected ACoS "&amp;TEXT(BI80,"0.0%")&amp;" vs the "&amp;TEXT(AZ80,"0.0%")&amp;"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G80" s="50" t="n">
        <f aca="false">BC80*(1+BE80)</f>
        <v>2.14</v>
      </c>
      <c r="BH80" s="45" t="n">
        <f aca="false">AS80*BG80</f>
        <v>2.14</v>
      </c>
      <c r="BI80" s="33" t="n">
        <f aca="false">IFERROR(BG80/(AY80*AD80),"")</f>
        <v>0.418021002625328</v>
      </c>
      <c r="BJ80" s="27" t="str">
        <f aca="false">IF(BI80="","",IF(BI80&lt;=BA80,"Profitable (≤ break-even)",IF(BI80&lt;=AZ80,"Ranking investment (≤ ceiling)","Above ceiling — reduce bid")))</f>
        <v>Ranking investment (≤ ceiling)</v>
      </c>
      <c r="BK80" s="49" t="str">
        <f aca="false">"Base $"&amp;TEXT(BC80,"0.00")&amp;" × (1 + "&amp;TEXT(BE80,"0%")&amp;" TOS) = $"&amp;TEXT(BG80,"0.00")&amp;" effective CPC [max $"&amp;TEXT(BB80,"0.00")&amp;"]. "&amp;TEXT(AG80,"0.0")&amp;" market clicks/day × "&amp;TEXT(AH80,"0.00%")&amp;" click share × "&amp;TEXT(AI80,"0%")&amp;" paid = "&amp;TEXT(AJ80,"0.00")&amp;" clicks/day needed; "&amp;"planned "&amp;TEXT(AS80,"0.00")&amp;" clicks/day × "&amp;TEXT(AD80,"0.0%")&amp;" CVR = "&amp;TEXT(AU80,"0.00")&amp;" orders/day. "&amp;"Spend $"&amp;TEXT(BH80,"0.00")&amp;"/day, ACoS "&amp;TEXT(BI80,"0.0%")&amp;" (ceiling "&amp;TEXT(AZ80,"0.0%")&amp;", break-even "&amp;TEXT(BA80,"0.0%")&amp;"). "&amp;"Target organic rank #"&amp;S80&amp;" by week 8 ("&amp;T80&amp;")."</f>
        <v>Base $2.14 × (1 + 0% TOS) = $2.14 effective CPC [max $2.86]. 10.2 market clicks/day × 1.24% click share × 66% paid = 0.08 clicks/day needed; planned 1.00 clicks/day × 6.4% CVR = 0.06 orders/day. Spend $2.14/day, ACoS 41.8% (ceiling 55.9%, break-even 37.2%). Target organic rank #20 by week 8 (#60 → #35 → #20).</v>
      </c>
      <c r="BL80" s="27" t="s">
        <v>380</v>
      </c>
      <c r="BM80" s="27" t="s">
        <v>203</v>
      </c>
      <c r="BN80" s="27" t="s">
        <v>1168</v>
      </c>
      <c r="BO80" s="27" t="s">
        <v>1164</v>
      </c>
      <c r="BP80" s="27" t="s">
        <v>205</v>
      </c>
      <c r="BQ80" s="26" t="s">
        <v>206</v>
      </c>
      <c r="BR80" s="40" t="n">
        <f aca="false">IFERROR(INDEX(Campaigns!$L:$L,MATCH(BN80,Campaigns!$A:$A,0)),"")</f>
        <v>10</v>
      </c>
      <c r="BS80" s="51" t="str">
        <f aca="false">IFERROR(INDEX(Inventory!$O:$O,MATCH(BP80,Inventory!$A:$A,0)),"")</f>
        <v>OK</v>
      </c>
      <c r="BT80" s="52" t="n">
        <f aca="false">IFERROR(INDEX(Inventory!$N:$N,MATCH(BP80,Inventory!$A:$A,0)),"")</f>
        <v>91.5322601167724</v>
      </c>
      <c r="BU80" s="27" t="s">
        <v>1169</v>
      </c>
      <c r="BV80" s="27" t="s">
        <v>1170</v>
      </c>
      <c r="BW80" s="27" t="s">
        <v>1171</v>
      </c>
      <c r="BX80" s="27" t="s">
        <v>1172</v>
      </c>
      <c r="BY80" s="27" t="s">
        <v>1173</v>
      </c>
      <c r="BZ80" s="27" t="s">
        <v>1174</v>
      </c>
      <c r="CA80" s="27" t="s">
        <v>941</v>
      </c>
      <c r="CB80" s="27" t="s">
        <v>1175</v>
      </c>
      <c r="CC80" s="27" t="s">
        <v>390</v>
      </c>
    </row>
    <row r="81" customFormat="false" ht="120" hidden="false" customHeight="true" outlineLevel="0" collapsed="false">
      <c r="A81" s="53" t="s">
        <v>1176</v>
      </c>
      <c r="B81" s="54" t="n">
        <v>2</v>
      </c>
      <c r="C81" s="26" t="s">
        <v>928</v>
      </c>
      <c r="D81" s="26" t="s">
        <v>422</v>
      </c>
      <c r="E81" s="27" t="s">
        <v>929</v>
      </c>
      <c r="F81" s="28" t="n">
        <v>1</v>
      </c>
      <c r="G81" s="27" t="s">
        <v>187</v>
      </c>
      <c r="H81" s="26" t="s">
        <v>342</v>
      </c>
      <c r="I81" s="29" t="n">
        <v>4</v>
      </c>
      <c r="J81" s="27" t="s">
        <v>1177</v>
      </c>
      <c r="K81" s="30" t="n">
        <v>1025</v>
      </c>
      <c r="L81" s="31" t="n">
        <v>984</v>
      </c>
      <c r="M81" s="32" t="n">
        <f aca="false">L81/30</f>
        <v>32.8</v>
      </c>
      <c r="N81" s="33" t="n">
        <v>0.034564958283671</v>
      </c>
      <c r="O81" s="27" t="s">
        <v>1178</v>
      </c>
      <c r="P81" s="27" t="s">
        <v>1179</v>
      </c>
      <c r="Q81" s="27" t="s">
        <v>1180</v>
      </c>
      <c r="R81" s="34" t="n">
        <v>3</v>
      </c>
      <c r="S81" s="35" t="n">
        <v>20</v>
      </c>
      <c r="T81" s="36" t="s">
        <v>467</v>
      </c>
      <c r="U81" s="27" t="s">
        <v>1181</v>
      </c>
      <c r="V81" s="37" t="n">
        <f aca="false">IFERROR(INDEX(Sleephoria_History!$F$454:$F$2115,MATCH($A81,Sleephoria_History!$A$454:$A$2115,0)),"")</f>
        <v>19</v>
      </c>
      <c r="W81" s="38" t="n">
        <f aca="false">IFERROR(INDEX(Sleephoria_History!$J$454:$J$2115,MATCH($A81,Sleephoria_History!$A$454:$A$2115,0)),"")</f>
        <v>0</v>
      </c>
      <c r="X81" s="39" t="n">
        <f aca="false">IFERROR(INDEX(Sleephoria_History!$H$454:$H$2115,MATCH($A81,Sleephoria_History!$A$454:$A$2115,0)),"")</f>
        <v>2.9</v>
      </c>
      <c r="Y81" s="38" t="n">
        <f aca="false">IFERROR(INDEX(Sleephoria_History!$M$454:$M$2115,MATCH($A81,Sleephoria_History!$A$454:$A$2115,0)),"")</f>
        <v>0</v>
      </c>
      <c r="Z81" s="40" t="n">
        <f aca="false">IFERROR(INDEX(Sleephoria_History!$L$454:$L$2115,MATCH($A81,Sleephoria_History!$A$454:$A$2115,0)),"")</f>
        <v>0</v>
      </c>
      <c r="AA81" s="37" t="str">
        <f aca="false">IFERROR(INDEX(Decolure_History!$F$397:$F$709,MATCH($A81,Decolure_History!$A$397:$A$709,0)),"")</f>
        <v/>
      </c>
      <c r="AB81" s="38" t="str">
        <f aca="false">IFERROR(INDEX(Decolure_History!$J$397:$J$709,MATCH($A81,Decolure_History!$A$397:$A$709,0)),"")</f>
        <v/>
      </c>
      <c r="AC81" s="38" t="str">
        <f aca="false">IFERROR(INDEX(Decolure_History!$M$397:$M$709,MATCH($A81,Decolure_History!$A$397:$A$709,0)),"")</f>
        <v/>
      </c>
      <c r="AD81" s="41" t="n">
        <v>0.064</v>
      </c>
      <c r="AE81" s="27" t="s">
        <v>275</v>
      </c>
      <c r="AF81" s="42" t="n">
        <v>0.491</v>
      </c>
      <c r="AG81" s="32" t="n">
        <f aca="false">M81*AF81</f>
        <v>16.1048</v>
      </c>
      <c r="AH81" s="43" t="n">
        <f aca="false">IF(AO81="Brand Defense",0,IFERROR(VLOOKUP(S81,Assumptions!$A$24:$B$28,2,FALSE()),0))</f>
        <v>0.0124</v>
      </c>
      <c r="AI81" s="28" t="n">
        <f aca="false">Assumptions!$B$6</f>
        <v>0.66</v>
      </c>
      <c r="AJ81" s="44" t="n">
        <f aca="false">AG81*AH81*AI81</f>
        <v>0.1318016832</v>
      </c>
      <c r="AK81" s="44" t="n">
        <f aca="false">AJ81*AD81</f>
        <v>0.0084353077248</v>
      </c>
      <c r="AL81" s="30" t="n">
        <f aca="false">AJ81*56</f>
        <v>7.3808942592</v>
      </c>
      <c r="AM81" s="32" t="n">
        <f aca="false">AK81*56</f>
        <v>0.4723772325888</v>
      </c>
      <c r="AN81" s="44" t="n">
        <f aca="false">M81*Assumptions!$B$8</f>
        <v>3.28</v>
      </c>
      <c r="AO81" s="27" t="s">
        <v>430</v>
      </c>
      <c r="AP81" s="27" t="s">
        <v>431</v>
      </c>
      <c r="AQ81" s="26" t="s">
        <v>198</v>
      </c>
      <c r="AR81" s="27" t="s">
        <v>199</v>
      </c>
      <c r="AS81" s="44" t="n">
        <f aca="false">IF(AO81="Ranking — Full Push",MIN(MAX(AJ81,Assumptions!$B$9),AN81),IF(AO81="Brand Defense",MIN(Assumptions!$B$7,AN81),IF(OR(AO81="Ranking — Head Term (Capped)",AO81="Ranking — Capped Entry"),MIN(MAX(AJ81,Assumptions!$B$9),Assumptions!$B$7,AN81),IF(AO81="Ranking — Capped Long-Tail",MIN(AJ81,Assumptions!$B$10,AN81),MIN(AJ81,AN81)))))</f>
        <v>1</v>
      </c>
      <c r="AT81" s="27" t="str">
        <f aca="false">IF(AJ81&lt;=0,"",IF(AS81&gt;=AJ81,IF(AS81&gt;AJ81*1.05,"Floor of "&amp;TEXT(AS81,"0.0")&amp;" click/day to read CVR (rank needs "&amp;TEXT(AJ81,"0.00")&amp;")","Fully funded (100%)"),"Capped at "&amp;TEXT(AS81/AJ81,"0%")&amp;" of required"))</f>
        <v>Floor of 1.0 click/day to read CVR (rank needs 0.13)</v>
      </c>
      <c r="AU81" s="44" t="n">
        <f aca="false">AS81*AD81</f>
        <v>0.064</v>
      </c>
      <c r="AV81" s="45" t="n">
        <f aca="false">AU81*AY81</f>
        <v>5.56736</v>
      </c>
      <c r="AW81" s="46" t="n">
        <v>3.66</v>
      </c>
      <c r="AX81" s="27" t="s">
        <v>469</v>
      </c>
      <c r="AY81" s="47" t="n">
        <f aca="false">INDEX(Assumptions!$B$33:$B$37,MATCH(IF($D81="","Queen",$D81),Assumptions!$A$33:$A$37,0))</f>
        <v>86.99</v>
      </c>
      <c r="AZ81" s="33" t="n">
        <f aca="false">INDEX(Assumptions!$K$33:$K$37,MATCH(IF($D81="","Queen",$D81),Assumptions!$A$33:$A$37,0))</f>
        <v>0.531293826876653</v>
      </c>
      <c r="BA81" s="33" t="n">
        <f aca="false">INDEX(Assumptions!$H$33:$H$37,MATCH(IF($D81="","Queen",$D81),Assumptions!$A$33:$A$37,0))</f>
        <v>0.354195884584435</v>
      </c>
      <c r="BB81" s="47" t="n">
        <f aca="false">AY81*AZ81*AD81</f>
        <v>2.957904</v>
      </c>
      <c r="BC81" s="47" t="n">
        <f aca="false">ROUND(MIN(AW81*Assumptions!$B$11,BB81),2)</f>
        <v>2.96</v>
      </c>
      <c r="BD81" s="26" t="s">
        <v>278</v>
      </c>
      <c r="BE81" s="48" t="n">
        <f aca="false">IF(AO81="Ranking — Full Push",MAX(0,MIN(IF(BD81="Yes",Assumptions!$B$12,Assumptions!$B$13),FLOOR(MAX(0,BB81/BC81-1),Assumptions!$B$14))),0)</f>
        <v>0</v>
      </c>
      <c r="BF81" s="49" t="str">
        <f aca="false">IF(AO81="Ranking — Full Push",IF(BE81&gt;=1,"YES — +100% Top of Search. Effective CPC $"&amp;TEXT(BG81,"0.00")&amp;" (= $"&amp;TEXT(BC81,"0.00")&amp;" × 2) stays within the $"&amp;TEXT(BB81,"0.00")&amp;" max ranking CPC"&amp;" (= $"&amp;TEXT(AY81,"0.00")&amp;" price × "&amp;TEXT(AZ81,"0.0%")&amp;" ranking ceiling × "&amp;TEXT(AD81,"0.0%")&amp;" CVR)"&amp;". Sleephoria CVR is proven on this term, so the full push is justified.",IF(AND(BD81="No",BE81&gt;=Assumptions!$B$13),"PARTIAL — +"&amp;TEXT(BE81,"0%")&amp;" Top of Search (limit for terms without proven CVR). Effective CPC $"&amp;TEXT(BG81,"0.00")&amp;" vs $"&amp;TEXT(BB81,"0.00")&amp;" max ranking CPC"&amp;" (= $"&amp;TEXT(AY81,"0.00")&amp;" price × "&amp;TEXT(AZ81,"0.0%")&amp;" ranking ceiling × "&amp;TEXT(AD81,"0.0%")&amp;" CVR)"&amp;". Raise to +100% only after CooLinens converts at ≥ "&amp;TEXT(AD81,"0.0%")&amp;" on 50+ clicks and $"&amp;TEXT(BC81*2,"0.00")&amp;" ≤ the max.",IF(BE81&gt;0,"PARTIAL — +"&amp;TEXT(BE81,"0%")&amp;" Top of Search. Effective CPC $"&amp;TEXT(BG81,"0.00")&amp;" stays within the $"&amp;TEXT(BB81,"0.00")&amp;" max ranking CPC"&amp;" (= $"&amp;TEXT(AY81,"0.00")&amp;" price × "&amp;TEXT(AZ81,"0.0%")&amp;" ranking ceiling × "&amp;TEXT(AD81,"0.0%")&amp;" CVR)"&amp;". +100% would cost $"&amp;TEXT(BC81*2,"0.00")&amp;" per click and push ACoS to "&amp;TEXT(BC81*2/(AY81*AD81),"0.0%")&amp;", above the "&amp;TEXT(AZ81,"0.0%")&amp;" ceiling.","NO — 0%. Base bid $"&amp;TEXT(BC81,"0.00")&amp;" already equals the $"&amp;TEXT(BB81,"0.00")&amp;" max ranking CPC"&amp;" (= $"&amp;TEXT(AY81,"0.00")&amp;" price × "&amp;TEXT(AZ81,"0.0%")&amp;" ranking ceiling × "&amp;TEXT(AD81,"0.0%")&amp;" CVR)"&amp;"; any modifier would push ACoS above the "&amp;TEXT(AZ81,"0.0%")&amp;" ceiling."))),IF(OR(AO81="Ranking — Head Term (Capped)",AO81="Ranking — Capped Entry",AO81="Ranking — Capped Long-Tail"),"NO — 0% (capped ranking entry). Bid $"&amp;TEXT(BC81,"0.00")&amp;" vs $"&amp;TEXT(BB81,"0.00")&amp;" max ranking CPC"&amp;" (= $"&amp;TEXT(AY81,"0.00")&amp;" price × "&amp;TEXT(AZ81,"0.0%")&amp;" ranking ceiling × "&amp;TEXT(AD81,"0.0%")&amp;" CVR)"&amp;". While spend is capped at "&amp;TEXT(AS81,"0.00")&amp;" clicks/day, a placement premium would only raise CPC without buying more rank; the modifier is set when this term moves to a full push.","NO — 0% (support / brand term). Bid $"&amp;TEXT(BC81,"0.00")&amp;" vs $"&amp;TEXT(BB81,"0.00")&amp;" max ranking CPC"&amp;" (= $"&amp;TEXT(AY81,"0.00")&amp;" price × "&amp;TEXT(AZ81,"0.0%")&amp;" ranking ceiling × "&amp;TEXT(AD81,"0.0%")&amp;" CVR)"&amp;"; expected ACoS "&amp;TEXT(BI81,"0.0%")&amp;" vs the "&amp;TEXT(AZ81,"0.0%")&amp;"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G81" s="50" t="n">
        <f aca="false">BC81*(1+BE81)</f>
        <v>2.96</v>
      </c>
      <c r="BH81" s="45" t="n">
        <f aca="false">AS81*BG81</f>
        <v>2.96</v>
      </c>
      <c r="BI81" s="33" t="n">
        <f aca="false">IFERROR(BG81/(AY81*AD81),"")</f>
        <v>0.531670306931831</v>
      </c>
      <c r="BJ81" s="27" t="str">
        <f aca="false">IF(BI81="","",IF(BI81&lt;=BA81,"Profitable (≤ break-even)",IF(BI81&lt;=AZ81,"Ranking investment (≤ ceiling)","Above ceiling — reduce bid")))</f>
        <v>Above ceiling — reduce bid</v>
      </c>
      <c r="BK81" s="49" t="str">
        <f aca="false">"Base $"&amp;TEXT(BC81,"0.00")&amp;" × (1 + "&amp;TEXT(BE81,"0%")&amp;" TOS) = $"&amp;TEXT(BG81,"0.00")&amp;" effective CPC [max $"&amp;TEXT(BB81,"0.00")&amp;"]. "&amp;TEXT(AG81,"0.0")&amp;" market clicks/day × "&amp;TEXT(AH81,"0.00%")&amp;" click share × "&amp;TEXT(AI81,"0%")&amp;" paid = "&amp;TEXT(AJ81,"0.00")&amp;" clicks/day needed; "&amp;"planned "&amp;TEXT(AS81,"0.00")&amp;" clicks/day × "&amp;TEXT(AD81,"0.0%")&amp;" CVR = "&amp;TEXT(AU81,"0.00")&amp;" orders/day. "&amp;"Spend $"&amp;TEXT(BH81,"0.00")&amp;"/day, ACoS "&amp;TEXT(BI81,"0.0%")&amp;" (ceiling "&amp;TEXT(AZ81,"0.0%")&amp;", break-even "&amp;TEXT(BA81,"0.0%")&amp;"). "&amp;"Target organic rank #"&amp;S81&amp;" by week 8 ("&amp;T81&amp;")."</f>
        <v>Base $2.96 × (1 + 0% TOS) = $2.96 effective CPC [max $2.96]. 16.1 market clicks/day × 1.24% click share × 66% paid = 0.13 clicks/day needed; planned 1.00 clicks/day × 6.4% CVR = 0.06 orders/day. Spend $2.96/day, ACoS 53.2% (ceiling 53.1%, break-even 35.4%). Target organic rank #20 by week 8 (#60 → #35 → #20 (full push after size assignment)).</v>
      </c>
      <c r="BL81" s="27" t="s">
        <v>433</v>
      </c>
      <c r="BM81" s="27" t="s">
        <v>203</v>
      </c>
      <c r="BN81" s="27" t="s">
        <v>1182</v>
      </c>
      <c r="BO81" s="27" t="s">
        <v>1176</v>
      </c>
      <c r="BP81" s="27" t="s">
        <v>435</v>
      </c>
      <c r="BQ81" s="26" t="s">
        <v>436</v>
      </c>
      <c r="BR81" s="40" t="n">
        <f aca="false">IFERROR(INDEX(Campaigns!$L:$L,MATCH(BN81,Campaigns!$A:$A,0)),"")</f>
        <v>10</v>
      </c>
      <c r="BS81" s="51" t="str">
        <f aca="false">IFERROR(INDEX(Inventory!$O:$O,MATCH(BP81,Inventory!$A:$A,0)),"")</f>
        <v>OK</v>
      </c>
      <c r="BT81" s="52" t="n">
        <f aca="false">IFERROR(INDEX(Inventory!$N:$N,MATCH(BP81,Inventory!$A:$A,0)),"")</f>
        <v>77.9698137852892</v>
      </c>
      <c r="BU81" s="27" t="s">
        <v>1183</v>
      </c>
      <c r="BV81" s="27" t="s">
        <v>263</v>
      </c>
      <c r="BW81" s="27" t="s">
        <v>1184</v>
      </c>
      <c r="BX81" s="27" t="s">
        <v>1185</v>
      </c>
      <c r="BY81" s="27" t="s">
        <v>1186</v>
      </c>
      <c r="BZ81" s="27" t="s">
        <v>1187</v>
      </c>
      <c r="CA81" s="27" t="s">
        <v>941</v>
      </c>
      <c r="CB81" s="27" t="s">
        <v>1188</v>
      </c>
      <c r="CC81" s="27" t="s">
        <v>477</v>
      </c>
    </row>
    <row r="82" customFormat="false" ht="120" hidden="false" customHeight="true" outlineLevel="0" collapsed="false">
      <c r="A82" s="53" t="s">
        <v>1189</v>
      </c>
      <c r="B82" s="54" t="n">
        <v>2</v>
      </c>
      <c r="C82" s="26" t="s">
        <v>928</v>
      </c>
      <c r="D82" s="26" t="s">
        <v>422</v>
      </c>
      <c r="E82" s="27" t="s">
        <v>929</v>
      </c>
      <c r="F82" s="28" t="n">
        <v>1</v>
      </c>
      <c r="G82" s="27" t="s">
        <v>187</v>
      </c>
      <c r="H82" s="26" t="s">
        <v>342</v>
      </c>
      <c r="I82" s="29" t="n">
        <v>5.5</v>
      </c>
      <c r="J82" s="27" t="s">
        <v>1190</v>
      </c>
      <c r="K82" s="30" t="n">
        <v>509</v>
      </c>
      <c r="L82" s="31" t="n">
        <v>351</v>
      </c>
      <c r="M82" s="32" t="n">
        <f aca="false">L82/30</f>
        <v>11.7</v>
      </c>
      <c r="N82" s="33" t="n">
        <v>0.0453563714902807</v>
      </c>
      <c r="O82" s="27" t="s">
        <v>769</v>
      </c>
      <c r="P82" s="27" t="s">
        <v>1191</v>
      </c>
      <c r="Q82" s="27" t="s">
        <v>722</v>
      </c>
      <c r="R82" s="34" t="n">
        <v>0</v>
      </c>
      <c r="S82" s="35" t="n">
        <v>20</v>
      </c>
      <c r="T82" s="36" t="s">
        <v>467</v>
      </c>
      <c r="U82" s="27" t="s">
        <v>784</v>
      </c>
      <c r="V82" s="37" t="n">
        <f aca="false">IFERROR(INDEX(Sleephoria_History!$F$454:$F$2115,MATCH($A82,Sleephoria_History!$A$454:$A$2115,0)),"")</f>
        <v>4</v>
      </c>
      <c r="W82" s="38" t="n">
        <f aca="false">IFERROR(INDEX(Sleephoria_History!$J$454:$J$2115,MATCH($A82,Sleephoria_History!$A$454:$A$2115,0)),"")</f>
        <v>0</v>
      </c>
      <c r="X82" s="39" t="n">
        <f aca="false">IFERROR(INDEX(Sleephoria_History!$H$454:$H$2115,MATCH($A82,Sleephoria_History!$A$454:$A$2115,0)),"")</f>
        <v>1.35</v>
      </c>
      <c r="Y82" s="38" t="n">
        <f aca="false">IFERROR(INDEX(Sleephoria_History!$M$454:$M$2115,MATCH($A82,Sleephoria_History!$A$454:$A$2115,0)),"")</f>
        <v>0</v>
      </c>
      <c r="Z82" s="40" t="n">
        <f aca="false">IFERROR(INDEX(Sleephoria_History!$L$454:$L$2115,MATCH($A82,Sleephoria_History!$A$454:$A$2115,0)),"")</f>
        <v>0</v>
      </c>
      <c r="AA82" s="37" t="str">
        <f aca="false">IFERROR(INDEX(Decolure_History!$F$397:$F$709,MATCH($A82,Decolure_History!$A$397:$A$709,0)),"")</f>
        <v/>
      </c>
      <c r="AB82" s="38" t="str">
        <f aca="false">IFERROR(INDEX(Decolure_History!$J$397:$J$709,MATCH($A82,Decolure_History!$A$397:$A$709,0)),"")</f>
        <v/>
      </c>
      <c r="AC82" s="38" t="str">
        <f aca="false">IFERROR(INDEX(Decolure_History!$M$397:$M$709,MATCH($A82,Decolure_History!$A$397:$A$709,0)),"")</f>
        <v/>
      </c>
      <c r="AD82" s="41" t="n">
        <v>0.064</v>
      </c>
      <c r="AE82" s="27" t="s">
        <v>275</v>
      </c>
      <c r="AF82" s="42" t="n">
        <v>0.491</v>
      </c>
      <c r="AG82" s="32" t="n">
        <f aca="false">M82*AF82</f>
        <v>5.7447</v>
      </c>
      <c r="AH82" s="43" t="n">
        <f aca="false">IF(AO82="Brand Defense",0,IFERROR(VLOOKUP(S82,Assumptions!$A$24:$B$28,2,FALSE()),0))</f>
        <v>0.0124</v>
      </c>
      <c r="AI82" s="28" t="n">
        <f aca="false">Assumptions!$B$6</f>
        <v>0.66</v>
      </c>
      <c r="AJ82" s="44" t="n">
        <f aca="false">AG82*AH82*AI82</f>
        <v>0.0470146248</v>
      </c>
      <c r="AK82" s="44" t="n">
        <f aca="false">AJ82*AD82</f>
        <v>0.0030089359872</v>
      </c>
      <c r="AL82" s="30" t="n">
        <f aca="false">AJ82*56</f>
        <v>2.6328189888</v>
      </c>
      <c r="AM82" s="32" t="n">
        <f aca="false">AK82*56</f>
        <v>0.1685004152832</v>
      </c>
      <c r="AN82" s="44" t="n">
        <f aca="false">M82*Assumptions!$B$8</f>
        <v>1.17</v>
      </c>
      <c r="AO82" s="27" t="s">
        <v>430</v>
      </c>
      <c r="AP82" s="27" t="s">
        <v>431</v>
      </c>
      <c r="AQ82" s="26" t="s">
        <v>198</v>
      </c>
      <c r="AR82" s="27" t="s">
        <v>199</v>
      </c>
      <c r="AS82" s="44" t="n">
        <f aca="false">IF(AO82="Ranking — Full Push",MIN(MAX(AJ82,Assumptions!$B$9),AN82),IF(AO82="Brand Defense",MIN(Assumptions!$B$7,AN82),IF(OR(AO82="Ranking — Head Term (Capped)",AO82="Ranking — Capped Entry"),MIN(MAX(AJ82,Assumptions!$B$9),Assumptions!$B$7,AN82),IF(AO82="Ranking — Capped Long-Tail",MIN(AJ82,Assumptions!$B$10,AN82),MIN(AJ82,AN82)))))</f>
        <v>1</v>
      </c>
      <c r="AT82" s="27" t="str">
        <f aca="false">IF(AJ82&lt;=0,"",IF(AS82&gt;=AJ82,IF(AS82&gt;AJ82*1.05,"Floor of "&amp;TEXT(AS82,"0.0")&amp;" click/day to read CVR (rank needs "&amp;TEXT(AJ82,"0.00")&amp;")","Fully funded (100%)"),"Capped at "&amp;TEXT(AS82/AJ82,"0%")&amp;" of required"))</f>
        <v>Floor of 1.0 click/day to read CVR (rank needs 0.05)</v>
      </c>
      <c r="AU82" s="44" t="n">
        <f aca="false">AS82*AD82</f>
        <v>0.064</v>
      </c>
      <c r="AV82" s="45" t="n">
        <f aca="false">AU82*AY82</f>
        <v>5.56736</v>
      </c>
      <c r="AW82" s="46" t="n">
        <v>3.66</v>
      </c>
      <c r="AX82" s="27" t="s">
        <v>469</v>
      </c>
      <c r="AY82" s="47" t="n">
        <f aca="false">INDEX(Assumptions!$B$33:$B$37,MATCH(IF($D82="","Queen",$D82),Assumptions!$A$33:$A$37,0))</f>
        <v>86.99</v>
      </c>
      <c r="AZ82" s="33" t="n">
        <f aca="false">INDEX(Assumptions!$K$33:$K$37,MATCH(IF($D82="","Queen",$D82),Assumptions!$A$33:$A$37,0))</f>
        <v>0.531293826876653</v>
      </c>
      <c r="BA82" s="33" t="n">
        <f aca="false">INDEX(Assumptions!$H$33:$H$37,MATCH(IF($D82="","Queen",$D82),Assumptions!$A$33:$A$37,0))</f>
        <v>0.354195884584435</v>
      </c>
      <c r="BB82" s="47" t="n">
        <f aca="false">AY82*AZ82*AD82</f>
        <v>2.957904</v>
      </c>
      <c r="BC82" s="47" t="n">
        <f aca="false">ROUND(MIN(AW82*Assumptions!$B$11,BB82),2)</f>
        <v>2.96</v>
      </c>
      <c r="BD82" s="26" t="s">
        <v>278</v>
      </c>
      <c r="BE82" s="48" t="n">
        <f aca="false">IF(AO82="Ranking — Full Push",MAX(0,MIN(IF(BD82="Yes",Assumptions!$B$12,Assumptions!$B$13),FLOOR(MAX(0,BB82/BC82-1),Assumptions!$B$14))),0)</f>
        <v>0</v>
      </c>
      <c r="BF82" s="49" t="str">
        <f aca="false">IF(AO82="Ranking — Full Push",IF(BE82&gt;=1,"YES — +100% Top of Search. Effective CPC $"&amp;TEXT(BG82,"0.00")&amp;" (= $"&amp;TEXT(BC82,"0.00")&amp;" × 2) stays within the $"&amp;TEXT(BB82,"0.00")&amp;" max ranking CPC"&amp;" (= $"&amp;TEXT(AY82,"0.00")&amp;" price × "&amp;TEXT(AZ82,"0.0%")&amp;" ranking ceiling × "&amp;TEXT(AD82,"0.0%")&amp;" CVR)"&amp;". Sleephoria CVR is proven on this term, so the full push is justified.",IF(AND(BD82="No",BE82&gt;=Assumptions!$B$13),"PARTIAL — +"&amp;TEXT(BE82,"0%")&amp;" Top of Search (limit for terms without proven CVR). Effective CPC $"&amp;TEXT(BG82,"0.00")&amp;" vs $"&amp;TEXT(BB82,"0.00")&amp;" max ranking CPC"&amp;" (= $"&amp;TEXT(AY82,"0.00")&amp;" price × "&amp;TEXT(AZ82,"0.0%")&amp;" ranking ceiling × "&amp;TEXT(AD82,"0.0%")&amp;" CVR)"&amp;". Raise to +100% only after CooLinens converts at ≥ "&amp;TEXT(AD82,"0.0%")&amp;" on 50+ clicks and $"&amp;TEXT(BC82*2,"0.00")&amp;" ≤ the max.",IF(BE82&gt;0,"PARTIAL — +"&amp;TEXT(BE82,"0%")&amp;" Top of Search. Effective CPC $"&amp;TEXT(BG82,"0.00")&amp;" stays within the $"&amp;TEXT(BB82,"0.00")&amp;" max ranking CPC"&amp;" (= $"&amp;TEXT(AY82,"0.00")&amp;" price × "&amp;TEXT(AZ82,"0.0%")&amp;" ranking ceiling × "&amp;TEXT(AD82,"0.0%")&amp;" CVR)"&amp;". +100% would cost $"&amp;TEXT(BC82*2,"0.00")&amp;" per click and push ACoS to "&amp;TEXT(BC82*2/(AY82*AD82),"0.0%")&amp;", above the "&amp;TEXT(AZ82,"0.0%")&amp;" ceiling.","NO — 0%. Base bid $"&amp;TEXT(BC82,"0.00")&amp;" already equals the $"&amp;TEXT(BB82,"0.00")&amp;" max ranking CPC"&amp;" (= $"&amp;TEXT(AY82,"0.00")&amp;" price × "&amp;TEXT(AZ82,"0.0%")&amp;" ranking ceiling × "&amp;TEXT(AD82,"0.0%")&amp;" CVR)"&amp;"; any modifier would push ACoS above the "&amp;TEXT(AZ82,"0.0%")&amp;" ceiling."))),IF(OR(AO82="Ranking — Head Term (Capped)",AO82="Ranking — Capped Entry",AO82="Ranking — Capped Long-Tail"),"NO — 0% (capped ranking entry). Bid $"&amp;TEXT(BC82,"0.00")&amp;" vs $"&amp;TEXT(BB82,"0.00")&amp;" max ranking CPC"&amp;" (= $"&amp;TEXT(AY82,"0.00")&amp;" price × "&amp;TEXT(AZ82,"0.0%")&amp;" ranking ceiling × "&amp;TEXT(AD82,"0.0%")&amp;" CVR)"&amp;". While spend is capped at "&amp;TEXT(AS82,"0.00")&amp;" clicks/day, a placement premium would only raise CPC without buying more rank; the modifier is set when this term moves to a full push.","NO — 0% (support / brand term). Bid $"&amp;TEXT(BC82,"0.00")&amp;" vs $"&amp;TEXT(BB82,"0.00")&amp;" max ranking CPC"&amp;" (= $"&amp;TEXT(AY82,"0.00")&amp;" price × "&amp;TEXT(AZ82,"0.0%")&amp;" ranking ceiling × "&amp;TEXT(AD82,"0.0%")&amp;" CVR)"&amp;"; expected ACoS "&amp;TEXT(BI82,"0.0%")&amp;" vs the "&amp;TEXT(AZ82,"0.0%")&amp;" ceiling."))</f>
        <v>NO — 0% (capped ranking entry). Bid $2.96 vs $2.96 max ranking CPC (= $86.99 price × 53.1% ranking ceiling × 6.4% CVR). While spend is capped at 1.00 clicks/day, a placement premium would only raise CPC without buying more rank; the modifier is set when this term moves to a full push.</v>
      </c>
      <c r="BG82" s="50" t="n">
        <f aca="false">BC82*(1+BE82)</f>
        <v>2.96</v>
      </c>
      <c r="BH82" s="45" t="n">
        <f aca="false">AS82*BG82</f>
        <v>2.96</v>
      </c>
      <c r="BI82" s="33" t="n">
        <f aca="false">IFERROR(BG82/(AY82*AD82),"")</f>
        <v>0.531670306931831</v>
      </c>
      <c r="BJ82" s="27" t="str">
        <f aca="false">IF(BI82="","",IF(BI82&lt;=BA82,"Profitable (≤ break-even)",IF(BI82&lt;=AZ82,"Ranking investment (≤ ceiling)","Above ceiling — reduce bid")))</f>
        <v>Above ceiling — reduce bid</v>
      </c>
      <c r="BK82" s="49" t="str">
        <f aca="false">"Base $"&amp;TEXT(BC82,"0.00")&amp;" × (1 + "&amp;TEXT(BE82,"0%")&amp;" TOS) = $"&amp;TEXT(BG82,"0.00")&amp;" effective CPC [max $"&amp;TEXT(BB82,"0.00")&amp;"]. "&amp;TEXT(AG82,"0.0")&amp;" market clicks/day × "&amp;TEXT(AH82,"0.00%")&amp;" click share × "&amp;TEXT(AI82,"0%")&amp;" paid = "&amp;TEXT(AJ82,"0.00")&amp;" clicks/day needed; "&amp;"planned "&amp;TEXT(AS82,"0.00")&amp;" clicks/day × "&amp;TEXT(AD82,"0.0%")&amp;" CVR = "&amp;TEXT(AU82,"0.00")&amp;" orders/day. "&amp;"Spend $"&amp;TEXT(BH82,"0.00")&amp;"/day, ACoS "&amp;TEXT(BI82,"0.0%")&amp;" (ceiling "&amp;TEXT(AZ82,"0.0%")&amp;", break-even "&amp;TEXT(BA82,"0.0%")&amp;"). "&amp;"Target organic rank #"&amp;S82&amp;" by week 8 ("&amp;T82&amp;")."</f>
        <v>Base $2.96 × (1 + 0% TOS) = $2.96 effective CPC [max $2.96]. 5.7 market clicks/day × 1.24% click share × 66% paid = 0.05 clicks/day needed; planned 1.00 clicks/day × 6.4% CVR = 0.06 orders/day. Spend $2.96/day, ACoS 53.2% (ceiling 53.1%, break-even 35.4%). Target organic rank #20 by week 8 (#60 → #35 → #20 (full push after size assignment)).</v>
      </c>
      <c r="BL82" s="27" t="s">
        <v>433</v>
      </c>
      <c r="BM82" s="27" t="s">
        <v>203</v>
      </c>
      <c r="BN82" s="27" t="s">
        <v>1192</v>
      </c>
      <c r="BO82" s="27" t="s">
        <v>1189</v>
      </c>
      <c r="BP82" s="27" t="s">
        <v>435</v>
      </c>
      <c r="BQ82" s="26" t="s">
        <v>436</v>
      </c>
      <c r="BR82" s="40" t="n">
        <f aca="false">IFERROR(INDEX(Campaigns!$L:$L,MATCH(BN82,Campaigns!$A:$A,0)),"")</f>
        <v>10</v>
      </c>
      <c r="BS82" s="51" t="str">
        <f aca="false">IFERROR(INDEX(Inventory!$O:$O,MATCH(BP82,Inventory!$A:$A,0)),"")</f>
        <v>OK</v>
      </c>
      <c r="BT82" s="52" t="n">
        <f aca="false">IFERROR(INDEX(Inventory!$N:$N,MATCH(BP82,Inventory!$A:$A,0)),"")</f>
        <v>77.9698137852892</v>
      </c>
      <c r="BU82" s="27" t="s">
        <v>1193</v>
      </c>
      <c r="BV82" s="27" t="s">
        <v>263</v>
      </c>
      <c r="BW82" s="27" t="s">
        <v>1194</v>
      </c>
      <c r="BX82" s="27" t="s">
        <v>1195</v>
      </c>
      <c r="BY82" s="27" t="s">
        <v>793</v>
      </c>
      <c r="BZ82" s="27" t="s">
        <v>794</v>
      </c>
      <c r="CA82" s="27" t="s">
        <v>941</v>
      </c>
      <c r="CB82" s="27" t="s">
        <v>1196</v>
      </c>
      <c r="CC82" s="27" t="s">
        <v>477</v>
      </c>
    </row>
    <row r="83" customFormat="false" ht="120" hidden="false" customHeight="true" outlineLevel="0" collapsed="false">
      <c r="A83" s="53" t="s">
        <v>1197</v>
      </c>
      <c r="B83" s="54" t="n">
        <v>2</v>
      </c>
      <c r="C83" s="26" t="s">
        <v>928</v>
      </c>
      <c r="D83" s="26" t="s">
        <v>422</v>
      </c>
      <c r="E83" s="27" t="s">
        <v>929</v>
      </c>
      <c r="F83" s="28" t="n">
        <v>1</v>
      </c>
      <c r="G83" s="27" t="s">
        <v>187</v>
      </c>
      <c r="H83" s="26" t="s">
        <v>342</v>
      </c>
      <c r="I83" s="29" t="n">
        <v>4</v>
      </c>
      <c r="J83" s="27" t="s">
        <v>1198</v>
      </c>
      <c r="K83" s="30" t="n">
        <v>402</v>
      </c>
      <c r="L83" s="31" t="n">
        <v>306</v>
      </c>
      <c r="M83" s="32" t="n">
        <f aca="false">L83/30</f>
        <v>10.2</v>
      </c>
      <c r="N83" s="33"/>
      <c r="O83" s="27" t="s">
        <v>769</v>
      </c>
      <c r="P83" s="27" t="s">
        <v>769</v>
      </c>
      <c r="Q83" s="27" t="s">
        <v>722</v>
      </c>
      <c r="R83" s="34" t="n">
        <v>0</v>
      </c>
      <c r="S83" s="35" t="n">
        <v>20</v>
      </c>
      <c r="T83" s="36" t="s">
        <v>467</v>
      </c>
      <c r="U83" s="27" t="s">
        <v>784</v>
      </c>
      <c r="V83" s="37" t="n">
        <f aca="false">IFERROR(INDEX(Sleephoria_History!$F$454:$F$2115,MATCH($A83,Sleephoria_History!$A$454:$A$2115,0)),"")</f>
        <v>92</v>
      </c>
      <c r="W83" s="38" t="n">
        <f aca="false">IFERROR(INDEX(Sleephoria_History!$J$454:$J$2115,MATCH($A83,Sleephoria_History!$A$454:$A$2115,0)),"")</f>
        <v>0.1739</v>
      </c>
      <c r="X83" s="39" t="n">
        <f aca="false">IFERROR(INDEX(Sleephoria_History!$H$454:$H$2115,MATCH($A83,Sleephoria_History!$A$454:$A$2115,0)),"")</f>
        <v>3.46</v>
      </c>
      <c r="Y83" s="38" t="n">
        <f aca="false">IFERROR(INDEX(Sleephoria_History!$M$454:$M$2115,MATCH($A83,Sleephoria_History!$A$454:$A$2115,0)),"")</f>
        <v>0.272</v>
      </c>
      <c r="Z83" s="40" t="n">
        <f aca="false">IFERROR(INDEX(Sleephoria_History!$L$454:$L$2115,MATCH($A83,Sleephoria_History!$A$454:$A$2115,0)),"")</f>
        <v>1169.34</v>
      </c>
      <c r="AA83" s="37" t="str">
        <f aca="false">IFERROR(INDEX(Decolure_History!$F$397:$F$709,MATCH($A83,Decolure_History!$A$397:$A$709,0)),"")</f>
        <v/>
      </c>
      <c r="AB83" s="38" t="str">
        <f aca="false">IFERROR(INDEX(Decolure_History!$J$397:$J$709,MATCH($A83,Decolure_History!$A$397:$A$709,0)),"")</f>
        <v/>
      </c>
      <c r="AC83" s="38" t="str">
        <f aca="false">IFERROR(INDEX(Decolure_History!$M$397:$M$709,MATCH($A83,Decolure_History!$A$397:$A$709,0)),"")</f>
        <v/>
      </c>
      <c r="AD83" s="41" t="n">
        <v>0.1391</v>
      </c>
      <c r="AE83" s="27" t="s">
        <v>1199</v>
      </c>
      <c r="AF83" s="42" t="n">
        <v>0.478</v>
      </c>
      <c r="AG83" s="32" t="n">
        <f aca="false">M83*AF83</f>
        <v>4.8756</v>
      </c>
      <c r="AH83" s="43" t="n">
        <f aca="false">IF(AO83="Brand Defense",0,IFERROR(VLOOKUP(S83,Assumptions!$A$24:$B$28,2,FALSE()),0))</f>
        <v>0.0124</v>
      </c>
      <c r="AI83" s="28" t="n">
        <f aca="false">Assumptions!$B$6</f>
        <v>0.66</v>
      </c>
      <c r="AJ83" s="44" t="n">
        <f aca="false">AG83*AH83*AI83</f>
        <v>0.0399019104</v>
      </c>
      <c r="AK83" s="44" t="n">
        <f aca="false">AJ83*AD83</f>
        <v>0.00555035573664</v>
      </c>
      <c r="AL83" s="30" t="n">
        <f aca="false">AJ83*56</f>
        <v>2.2345069824</v>
      </c>
      <c r="AM83" s="32" t="n">
        <f aca="false">AK83*56</f>
        <v>0.31081992125184</v>
      </c>
      <c r="AN83" s="44" t="n">
        <f aca="false">M83*Assumptions!$B$8</f>
        <v>1.02</v>
      </c>
      <c r="AO83" s="27" t="s">
        <v>430</v>
      </c>
      <c r="AP83" s="27" t="s">
        <v>431</v>
      </c>
      <c r="AQ83" s="26" t="s">
        <v>198</v>
      </c>
      <c r="AR83" s="27" t="s">
        <v>199</v>
      </c>
      <c r="AS83" s="44" t="n">
        <f aca="false">IF(AO83="Ranking — Full Push",MIN(MAX(AJ83,Assumptions!$B$9),AN83),IF(AO83="Brand Defense",MIN(Assumptions!$B$7,AN83),IF(OR(AO83="Ranking — Head Term (Capped)",AO83="Ranking — Capped Entry"),MIN(MAX(AJ83,Assumptions!$B$9),Assumptions!$B$7,AN83),IF(AO83="Ranking — Capped Long-Tail",MIN(AJ83,Assumptions!$B$10,AN83),MIN(AJ83,AN83)))))</f>
        <v>1</v>
      </c>
      <c r="AT83" s="27" t="str">
        <f aca="false">IF(AJ83&lt;=0,"",IF(AS83&gt;=AJ83,IF(AS83&gt;AJ83*1.05,"Floor of "&amp;TEXT(AS83,"0.0")&amp;" click/day to read CVR (rank needs "&amp;TEXT(AJ83,"0.00")&amp;")","Fully funded (100%)"),"Capped at "&amp;TEXT(AS83/AJ83,"0%")&amp;" of required"))</f>
        <v>Floor of 1.0 click/day to read CVR (rank needs 0.04)</v>
      </c>
      <c r="AU83" s="44" t="n">
        <f aca="false">AS83*AD83</f>
        <v>0.1391</v>
      </c>
      <c r="AV83" s="45" t="n">
        <f aca="false">AU83*AY83</f>
        <v>12.100309</v>
      </c>
      <c r="AW83" s="46" t="n">
        <v>3.46</v>
      </c>
      <c r="AX83" s="27" t="s">
        <v>1200</v>
      </c>
      <c r="AY83" s="47" t="n">
        <f aca="false">INDEX(Assumptions!$B$33:$B$37,MATCH(IF($D83="","Queen",$D83),Assumptions!$A$33:$A$37,0))</f>
        <v>86.99</v>
      </c>
      <c r="AZ83" s="33" t="n">
        <f aca="false">INDEX(Assumptions!$K$33:$K$37,MATCH(IF($D83="","Queen",$D83),Assumptions!$A$33:$A$37,0))</f>
        <v>0.531293826876653</v>
      </c>
      <c r="BA83" s="33" t="n">
        <f aca="false">INDEX(Assumptions!$H$33:$H$37,MATCH(IF($D83="","Queen",$D83),Assumptions!$A$33:$A$37,0))</f>
        <v>0.354195884584435</v>
      </c>
      <c r="BB83" s="47" t="n">
        <f aca="false">AY83*AZ83*AD83</f>
        <v>6.428819475</v>
      </c>
      <c r="BC83" s="47" t="n">
        <f aca="false">ROUND(MIN(AW83*Assumptions!$B$11,BB83),2)</f>
        <v>3.46</v>
      </c>
      <c r="BD83" s="26" t="s">
        <v>201</v>
      </c>
      <c r="BE83" s="48" t="n">
        <f aca="false">IF(AO83="Ranking — Full Push",MAX(0,MIN(IF(BD83="Yes",Assumptions!$B$12,Assumptions!$B$13),FLOOR(MAX(0,BB83/BC83-1),Assumptions!$B$14))),0)</f>
        <v>0</v>
      </c>
      <c r="BF83" s="49" t="str">
        <f aca="false">IF(AO83="Ranking — Full Push",IF(BE83&gt;=1,"YES — +100% Top of Search. Effective CPC $"&amp;TEXT(BG83,"0.00")&amp;" (= $"&amp;TEXT(BC83,"0.00")&amp;" × 2) stays within the $"&amp;TEXT(BB83,"0.00")&amp;" max ranking CPC"&amp;" (= $"&amp;TEXT(AY83,"0.00")&amp;" price × "&amp;TEXT(AZ83,"0.0%")&amp;" ranking ceiling × "&amp;TEXT(AD83,"0.0%")&amp;" CVR)"&amp;". Sleephoria CVR is proven on this term, so the full push is justified.",IF(AND(BD83="No",BE83&gt;=Assumptions!$B$13),"PARTIAL — +"&amp;TEXT(BE83,"0%")&amp;" Top of Search (limit for terms without proven CVR). Effective CPC $"&amp;TEXT(BG83,"0.00")&amp;" vs $"&amp;TEXT(BB83,"0.00")&amp;" max ranking CPC"&amp;" (= $"&amp;TEXT(AY83,"0.00")&amp;" price × "&amp;TEXT(AZ83,"0.0%")&amp;" ranking ceiling × "&amp;TEXT(AD83,"0.0%")&amp;" CVR)"&amp;". Raise to +100% only after CooLinens converts at ≥ "&amp;TEXT(AD83,"0.0%")&amp;" on 50+ clicks and $"&amp;TEXT(BC83*2,"0.00")&amp;" ≤ the max.",IF(BE83&gt;0,"PARTIAL — +"&amp;TEXT(BE83,"0%")&amp;" Top of Search. Effective CPC $"&amp;TEXT(BG83,"0.00")&amp;" stays within the $"&amp;TEXT(BB83,"0.00")&amp;" max ranking CPC"&amp;" (= $"&amp;TEXT(AY83,"0.00")&amp;" price × "&amp;TEXT(AZ83,"0.0%")&amp;" ranking ceiling × "&amp;TEXT(AD83,"0.0%")&amp;" CVR)"&amp;". +100% would cost $"&amp;TEXT(BC83*2,"0.00")&amp;" per click and push ACoS to "&amp;TEXT(BC83*2/(AY83*AD83),"0.0%")&amp;", above the "&amp;TEXT(AZ83,"0.0%")&amp;" ceiling.","NO — 0%. Base bid $"&amp;TEXT(BC83,"0.00")&amp;" already equals the $"&amp;TEXT(BB83,"0.00")&amp;" max ranking CPC"&amp;" (= $"&amp;TEXT(AY83,"0.00")&amp;" price × "&amp;TEXT(AZ83,"0.0%")&amp;" ranking ceiling × "&amp;TEXT(AD83,"0.0%")&amp;" CVR)"&amp;"; any modifier would push ACoS above the "&amp;TEXT(AZ83,"0.0%")&amp;" ceiling."))),IF(OR(AO83="Ranking — Head Term (Capped)",AO83="Ranking — Capped Entry",AO83="Ranking — Capped Long-Tail"),"NO — 0% (capped ranking entry). Bid $"&amp;TEXT(BC83,"0.00")&amp;" vs $"&amp;TEXT(BB83,"0.00")&amp;" max ranking CPC"&amp;" (= $"&amp;TEXT(AY83,"0.00")&amp;" price × "&amp;TEXT(AZ83,"0.0%")&amp;" ranking ceiling × "&amp;TEXT(AD83,"0.0%")&amp;" CVR)"&amp;". While spend is capped at "&amp;TEXT(AS83,"0.00")&amp;" clicks/day, a placement premium would only raise CPC without buying more rank; the modifier is set when this term moves to a full push.","NO — 0% (support / brand term). Bid $"&amp;TEXT(BC83,"0.00")&amp;" vs $"&amp;TEXT(BB83,"0.00")&amp;" max ranking CPC"&amp;" (= $"&amp;TEXT(AY83,"0.00")&amp;" price × "&amp;TEXT(AZ83,"0.0%")&amp;" ranking ceiling × "&amp;TEXT(AD83,"0.0%")&amp;" CVR)"&amp;"; expected ACoS "&amp;TEXT(BI83,"0.0%")&amp;" vs the "&amp;TEXT(AZ83,"0.0%")&amp;" ceiling."))</f>
        <v>NO — 0% (capped ranking entry). Bid $3.46 vs $6.43 max ranking CPC (= $86.99 price × 53.1% ranking ceiling × 13.9% CVR). While spend is capped at 1.00 clicks/day, a placement premium would only raise CPC without buying more rank; the modifier is set when this term moves to a full push.</v>
      </c>
      <c r="BG83" s="50" t="n">
        <f aca="false">BC83*(1+BE83)</f>
        <v>3.46</v>
      </c>
      <c r="BH83" s="45" t="n">
        <f aca="false">AS83*BG83</f>
        <v>3.46</v>
      </c>
      <c r="BI83" s="33" t="n">
        <f aca="false">IFERROR(BG83/(AY83*AD83),"")</f>
        <v>0.285943111039561</v>
      </c>
      <c r="BJ83" s="27" t="str">
        <f aca="false">IF(BI83="","",IF(BI83&lt;=BA83,"Profitable (≤ break-even)",IF(BI83&lt;=AZ83,"Ranking investment (≤ ceiling)","Above ceiling — reduce bid")))</f>
        <v>Profitable (≤ break-even)</v>
      </c>
      <c r="BK83" s="49" t="str">
        <f aca="false">"Base $"&amp;TEXT(BC83,"0.00")&amp;" × (1 + "&amp;TEXT(BE83,"0%")&amp;" TOS) = $"&amp;TEXT(BG83,"0.00")&amp;" effective CPC [max $"&amp;TEXT(BB83,"0.00")&amp;"]. "&amp;TEXT(AG83,"0.0")&amp;" market clicks/day × "&amp;TEXT(AH83,"0.00%")&amp;" click share × "&amp;TEXT(AI83,"0%")&amp;" paid = "&amp;TEXT(AJ83,"0.00")&amp;" clicks/day needed; "&amp;"planned "&amp;TEXT(AS83,"0.00")&amp;" clicks/day × "&amp;TEXT(AD83,"0.0%")&amp;" CVR = "&amp;TEXT(AU83,"0.00")&amp;" orders/day. "&amp;"Spend $"&amp;TEXT(BH83,"0.00")&amp;"/day, ACoS "&amp;TEXT(BI83,"0.0%")&amp;" (ceiling "&amp;TEXT(AZ83,"0.0%")&amp;", break-even "&amp;TEXT(BA83,"0.0%")&amp;"). "&amp;"Target organic rank #"&amp;S83&amp;" by week 8 ("&amp;T83&amp;")."</f>
        <v>Base $3.46 × (1 + 0% TOS) = $3.46 effective CPC [max $6.43]. 4.9 market clicks/day × 1.24% click share × 66% paid = 0.04 clicks/day needed; planned 1.00 clicks/day × 13.9% CVR = 0.14 orders/day. Spend $3.46/day, ACoS 28.6% (ceiling 53.1%, break-even 35.4%). Target organic rank #20 by week 8 (#60 → #35 → #20 (full push after size assignment)).</v>
      </c>
      <c r="BL83" s="27" t="s">
        <v>433</v>
      </c>
      <c r="BM83" s="27" t="s">
        <v>203</v>
      </c>
      <c r="BN83" s="27" t="s">
        <v>1201</v>
      </c>
      <c r="BO83" s="27" t="s">
        <v>1197</v>
      </c>
      <c r="BP83" s="27" t="s">
        <v>435</v>
      </c>
      <c r="BQ83" s="26" t="s">
        <v>436</v>
      </c>
      <c r="BR83" s="40" t="n">
        <f aca="false">IFERROR(INDEX(Campaigns!$L:$L,MATCH(BN83,Campaigns!$A:$A,0)),"")</f>
        <v>10</v>
      </c>
      <c r="BS83" s="51" t="str">
        <f aca="false">IFERROR(INDEX(Inventory!$O:$O,MATCH(BP83,Inventory!$A:$A,0)),"")</f>
        <v>OK</v>
      </c>
      <c r="BT83" s="52" t="n">
        <f aca="false">IFERROR(INDEX(Inventory!$N:$N,MATCH(BP83,Inventory!$A:$A,0)),"")</f>
        <v>77.9698137852892</v>
      </c>
      <c r="BU83" s="27" t="s">
        <v>1202</v>
      </c>
      <c r="BV83" s="27" t="s">
        <v>263</v>
      </c>
      <c r="BW83" s="27" t="s">
        <v>1203</v>
      </c>
      <c r="BX83" s="27" t="s">
        <v>1204</v>
      </c>
      <c r="BY83" s="27" t="s">
        <v>793</v>
      </c>
      <c r="BZ83" s="27" t="s">
        <v>794</v>
      </c>
      <c r="CA83" s="27" t="s">
        <v>941</v>
      </c>
      <c r="CB83" s="27" t="s">
        <v>1205</v>
      </c>
      <c r="CC83" s="27" t="s">
        <v>477</v>
      </c>
    </row>
    <row r="84" customFormat="false" ht="120" hidden="false" customHeight="true" outlineLevel="0" collapsed="false">
      <c r="A84" s="53" t="s">
        <v>1206</v>
      </c>
      <c r="B84" s="54" t="n">
        <v>2</v>
      </c>
      <c r="C84" s="26" t="s">
        <v>928</v>
      </c>
      <c r="D84" s="26" t="s">
        <v>479</v>
      </c>
      <c r="E84" s="27" t="s">
        <v>929</v>
      </c>
      <c r="F84" s="28" t="n">
        <v>1</v>
      </c>
      <c r="G84" s="27" t="s">
        <v>187</v>
      </c>
      <c r="H84" s="26" t="s">
        <v>342</v>
      </c>
      <c r="I84" s="29" t="n">
        <v>5.5</v>
      </c>
      <c r="J84" s="27" t="s">
        <v>930</v>
      </c>
      <c r="K84" s="30" t="n">
        <v>1735</v>
      </c>
      <c r="L84" s="31" t="n">
        <v>1515</v>
      </c>
      <c r="M84" s="32" t="n">
        <f aca="false">L84/30</f>
        <v>50.5</v>
      </c>
      <c r="N84" s="33" t="n">
        <v>0.048159262241089</v>
      </c>
      <c r="O84" s="27" t="s">
        <v>548</v>
      </c>
      <c r="P84" s="27" t="s">
        <v>1207</v>
      </c>
      <c r="Q84" s="27" t="s">
        <v>292</v>
      </c>
      <c r="R84" s="34" t="n">
        <v>2</v>
      </c>
      <c r="S84" s="35" t="n">
        <v>20</v>
      </c>
      <c r="T84" s="36" t="s">
        <v>467</v>
      </c>
      <c r="U84" s="27" t="s">
        <v>1208</v>
      </c>
      <c r="V84" s="37" t="n">
        <f aca="false">IFERROR(INDEX(Sleephoria_History!$F$454:$F$2115,MATCH($A84,Sleephoria_History!$A$454:$A$2115,0)),"")</f>
        <v>45</v>
      </c>
      <c r="W84" s="38" t="n">
        <f aca="false">IFERROR(INDEX(Sleephoria_History!$J$454:$J$2115,MATCH($A84,Sleephoria_History!$A$454:$A$2115,0)),"")</f>
        <v>0.0667</v>
      </c>
      <c r="X84" s="39" t="n">
        <f aca="false">IFERROR(INDEX(Sleephoria_History!$H$454:$H$2115,MATCH($A84,Sleephoria_History!$A$454:$A$2115,0)),"")</f>
        <v>2.23</v>
      </c>
      <c r="Y84" s="38" t="n">
        <f aca="false">IFERROR(INDEX(Sleephoria_History!$M$454:$M$2115,MATCH($A84,Sleephoria_History!$A$454:$A$2115,0)),"")</f>
        <v>0.542</v>
      </c>
      <c r="Z84" s="40" t="n">
        <f aca="false">IFERROR(INDEX(Sleephoria_History!$L$454:$L$2115,MATCH($A84,Sleephoria_History!$A$454:$A$2115,0)),"")</f>
        <v>184.97</v>
      </c>
      <c r="AA84" s="37" t="n">
        <f aca="false">IFERROR(INDEX(Decolure_History!$F$397:$F$709,MATCH($A84,Decolure_History!$A$397:$A$709,0)),"")</f>
        <v>25</v>
      </c>
      <c r="AB84" s="38" t="n">
        <f aca="false">IFERROR(INDEX(Decolure_History!$J$397:$J$709,MATCH($A84,Decolure_History!$A$397:$A$709,0)),"")</f>
        <v>0.08</v>
      </c>
      <c r="AC84" s="38" t="n">
        <f aca="false">IFERROR(INDEX(Decolure_History!$M$397:$M$709,MATCH($A84,Decolure_History!$A$397:$A$709,0)),"")</f>
        <v>0.355</v>
      </c>
      <c r="AD84" s="41" t="n">
        <v>0.064</v>
      </c>
      <c r="AE84" s="27" t="s">
        <v>275</v>
      </c>
      <c r="AF84" s="42" t="n">
        <v>0.505</v>
      </c>
      <c r="AG84" s="32" t="n">
        <f aca="false">M84*AF84</f>
        <v>25.5025</v>
      </c>
      <c r="AH84" s="43" t="n">
        <f aca="false">IF(AO84="Brand Defense",0,IFERROR(VLOOKUP(S84,Assumptions!$A$24:$B$28,2,FALSE()),0))</f>
        <v>0.0124</v>
      </c>
      <c r="AI84" s="28" t="n">
        <f aca="false">Assumptions!$B$6</f>
        <v>0.66</v>
      </c>
      <c r="AJ84" s="44" t="n">
        <f aca="false">AG84*AH84*AI84</f>
        <v>0.20871246</v>
      </c>
      <c r="AK84" s="44" t="n">
        <f aca="false">AJ84*AD84</f>
        <v>0.01335759744</v>
      </c>
      <c r="AL84" s="30" t="n">
        <f aca="false">AJ84*56</f>
        <v>11.68789776</v>
      </c>
      <c r="AM84" s="32" t="n">
        <f aca="false">AK84*56</f>
        <v>0.74802545664</v>
      </c>
      <c r="AN84" s="44" t="n">
        <f aca="false">M84*Assumptions!$B$8</f>
        <v>5.05</v>
      </c>
      <c r="AO84" s="27" t="s">
        <v>430</v>
      </c>
      <c r="AP84" s="27" t="s">
        <v>484</v>
      </c>
      <c r="AQ84" s="26" t="s">
        <v>198</v>
      </c>
      <c r="AR84" s="27" t="s">
        <v>199</v>
      </c>
      <c r="AS84" s="44" t="n">
        <f aca="false">IF(AO84="Ranking — Full Push",MIN(MAX(AJ84,Assumptions!$B$9),AN84),IF(AO84="Brand Defense",MIN(Assumptions!$B$7,AN84),IF(OR(AO84="Ranking — Head Term (Capped)",AO84="Ranking — Capped Entry"),MIN(MAX(AJ84,Assumptions!$B$9),Assumptions!$B$7,AN84),IF(AO84="Ranking — Capped Long-Tail",MIN(AJ84,Assumptions!$B$10,AN84),MIN(AJ84,AN84)))))</f>
        <v>1</v>
      </c>
      <c r="AT84" s="27" t="str">
        <f aca="false">IF(AJ84&lt;=0,"",IF(AS84&gt;=AJ84,IF(AS84&gt;AJ84*1.05,"Floor of "&amp;TEXT(AS84,"0.0")&amp;" click/day to read CVR (rank needs "&amp;TEXT(AJ84,"0.00")&amp;")","Fully funded (100%)"),"Capped at "&amp;TEXT(AS84/AJ84,"0%")&amp;" of required"))</f>
        <v>Floor of 1.0 click/day to read CVR (rank needs 0.21)</v>
      </c>
      <c r="AU84" s="44" t="n">
        <f aca="false">AS84*AD84</f>
        <v>0.064</v>
      </c>
      <c r="AV84" s="45" t="n">
        <f aca="false">AU84*AY84</f>
        <v>4.35136</v>
      </c>
      <c r="AW84" s="46" t="n">
        <v>2.23</v>
      </c>
      <c r="AX84" s="27" t="s">
        <v>1209</v>
      </c>
      <c r="AY84" s="47" t="n">
        <f aca="false">INDEX(Assumptions!$B$33:$B$37,MATCH(IF($D84="","Queen",$D84),Assumptions!$A$33:$A$37,0))</f>
        <v>67.99</v>
      </c>
      <c r="AZ84" s="33" t="n">
        <f aca="false">INDEX(Assumptions!$K$33:$K$37,MATCH(IF($D84="","Queen",$D84),Assumptions!$A$33:$A$37,0))</f>
        <v>0.468852037064274</v>
      </c>
      <c r="BA84" s="33" t="n">
        <f aca="false">INDEX(Assumptions!$H$33:$H$37,MATCH(IF($D84="","Queen",$D84),Assumptions!$A$33:$A$37,0))</f>
        <v>0.312568024709516</v>
      </c>
      <c r="BB84" s="47" t="n">
        <f aca="false">AY84*AZ84*AD84</f>
        <v>2.040144</v>
      </c>
      <c r="BC84" s="47" t="n">
        <f aca="false">ROUND(MIN(AW84*Assumptions!$B$11,BB84),2)</f>
        <v>2.04</v>
      </c>
      <c r="BD84" s="26" t="s">
        <v>278</v>
      </c>
      <c r="BE84" s="48" t="n">
        <f aca="false">IF(AO84="Ranking — Full Push",MAX(0,MIN(IF(BD84="Yes",Assumptions!$B$12,Assumptions!$B$13),FLOOR(MAX(0,BB84/BC84-1),Assumptions!$B$14))),0)</f>
        <v>0</v>
      </c>
      <c r="BF84" s="49" t="str">
        <f aca="false">IF(AO84="Ranking — Full Push",IF(BE84&gt;=1,"YES — +100% Top of Search. Effective CPC $"&amp;TEXT(BG84,"0.00")&amp;" (= $"&amp;TEXT(BC84,"0.00")&amp;" × 2) stays within the $"&amp;TEXT(BB84,"0.00")&amp;" max ranking CPC"&amp;" (= $"&amp;TEXT(AY84,"0.00")&amp;" price × "&amp;TEXT(AZ84,"0.0%")&amp;" ranking ceiling × "&amp;TEXT(AD84,"0.0%")&amp;" CVR)"&amp;". Sleephoria CVR is proven on this term, so the full push is justified.",IF(AND(BD84="No",BE84&gt;=Assumptions!$B$13),"PARTIAL — +"&amp;TEXT(BE84,"0%")&amp;" Top of Search (limit for terms without proven CVR). Effective CPC $"&amp;TEXT(BG84,"0.00")&amp;" vs $"&amp;TEXT(BB84,"0.00")&amp;" max ranking CPC"&amp;" (= $"&amp;TEXT(AY84,"0.00")&amp;" price × "&amp;TEXT(AZ84,"0.0%")&amp;" ranking ceiling × "&amp;TEXT(AD84,"0.0%")&amp;" CVR)"&amp;". Raise to +100% only after CooLinens converts at ≥ "&amp;TEXT(AD84,"0.0%")&amp;" on 50+ clicks and $"&amp;TEXT(BC84*2,"0.00")&amp;" ≤ the max.",IF(BE84&gt;0,"PARTIAL — +"&amp;TEXT(BE84,"0%")&amp;" Top of Search. Effective CPC $"&amp;TEXT(BG84,"0.00")&amp;" stays within the $"&amp;TEXT(BB84,"0.00")&amp;" max ranking CPC"&amp;" (= $"&amp;TEXT(AY84,"0.00")&amp;" price × "&amp;TEXT(AZ84,"0.0%")&amp;" ranking ceiling × "&amp;TEXT(AD84,"0.0%")&amp;" CVR)"&amp;". +100% would cost $"&amp;TEXT(BC84*2,"0.00")&amp;" per click and push ACoS to "&amp;TEXT(BC84*2/(AY84*AD84),"0.0%")&amp;", above the "&amp;TEXT(AZ84,"0.0%")&amp;" ceiling.","NO — 0%. Base bid $"&amp;TEXT(BC84,"0.00")&amp;" already equals the $"&amp;TEXT(BB84,"0.00")&amp;" max ranking CPC"&amp;" (= $"&amp;TEXT(AY84,"0.00")&amp;" price × "&amp;TEXT(AZ84,"0.0%")&amp;" ranking ceiling × "&amp;TEXT(AD84,"0.0%")&amp;" CVR)"&amp;"; any modifier would push ACoS above the "&amp;TEXT(AZ84,"0.0%")&amp;" ceiling."))),IF(OR(AO84="Ranking — Head Term (Capped)",AO84="Ranking — Capped Entry",AO84="Ranking — Capped Long-Tail"),"NO — 0% (capped ranking entry). Bid $"&amp;TEXT(BC84,"0.00")&amp;" vs $"&amp;TEXT(BB84,"0.00")&amp;" max ranking CPC"&amp;" (= $"&amp;TEXT(AY84,"0.00")&amp;" price × "&amp;TEXT(AZ84,"0.0%")&amp;" ranking ceiling × "&amp;TEXT(AD84,"0.0%")&amp;" CVR)"&amp;". While spend is capped at "&amp;TEXT(AS84,"0.00")&amp;" clicks/day, a placement premium would only raise CPC without buying more rank; the modifier is set when this term moves to a full push.","NO — 0% (support / brand term). Bid $"&amp;TEXT(BC84,"0.00")&amp;" vs $"&amp;TEXT(BB84,"0.00")&amp;" max ranking CPC"&amp;" (= $"&amp;TEXT(AY84,"0.00")&amp;" price × "&amp;TEXT(AZ84,"0.0%")&amp;" ranking ceiling × "&amp;TEXT(AD84,"0.0%")&amp;" CVR)"&amp;"; expected ACoS "&amp;TEXT(BI84,"0.0%")&amp;" vs the "&amp;TEXT(AZ84,"0.0%")&amp;"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G84" s="50" t="n">
        <f aca="false">BC84*(1+BE84)</f>
        <v>2.04</v>
      </c>
      <c r="BH84" s="45" t="n">
        <f aca="false">AS84*BG84</f>
        <v>2.04</v>
      </c>
      <c r="BI84" s="33" t="n">
        <f aca="false">IFERROR(BG84/(AY84*AD84),"")</f>
        <v>0.468818943962347</v>
      </c>
      <c r="BJ84" s="27" t="str">
        <f aca="false">IF(BI84="","",IF(BI84&lt;=BA84,"Profitable (≤ break-even)",IF(BI84&lt;=AZ84,"Ranking investment (≤ ceiling)","Above ceiling — reduce bid")))</f>
        <v>Ranking investment (≤ ceiling)</v>
      </c>
      <c r="BK84" s="49" t="str">
        <f aca="false">"Base $"&amp;TEXT(BC84,"0.00")&amp;" × (1 + "&amp;TEXT(BE84,"0%")&amp;" TOS) = $"&amp;TEXT(BG84,"0.00")&amp;" effective CPC [max $"&amp;TEXT(BB84,"0.00")&amp;"]. "&amp;TEXT(AG84,"0.0")&amp;" market clicks/day × "&amp;TEXT(AH84,"0.00%")&amp;" click share × "&amp;TEXT(AI84,"0%")&amp;" paid = "&amp;TEXT(AJ84,"0.00")&amp;" clicks/day needed; "&amp;"planned "&amp;TEXT(AS84,"0.00")&amp;" clicks/day × "&amp;TEXT(AD84,"0.0%")&amp;" CVR = "&amp;TEXT(AU84,"0.00")&amp;" orders/day. "&amp;"Spend $"&amp;TEXT(BH84,"0.00")&amp;"/day, ACoS "&amp;TEXT(BI84,"0.0%")&amp;" (ceiling "&amp;TEXT(AZ84,"0.0%")&amp;", break-even "&amp;TEXT(BA84,"0.0%")&amp;"). "&amp;"Target organic rank #"&amp;S84&amp;" by week 8 ("&amp;T84&amp;")."</f>
        <v>Base $2.04 × (1 + 0% TOS) = $2.04 effective CPC [max $2.04]. 25.5 market clicks/day × 1.24% click share × 66% paid = 0.21 clicks/day needed; planned 1.00 clicks/day × 6.4% CVR = 0.06 orders/day. Spend $2.04/day, ACoS 46.9% (ceiling 46.9%, break-even 31.3%). Target organic rank #20 by week 8 (#60 → #35 → #20 (full push after size assignment)).</v>
      </c>
      <c r="BL84" s="27" t="s">
        <v>486</v>
      </c>
      <c r="BM84" s="27" t="s">
        <v>203</v>
      </c>
      <c r="BN84" s="27" t="s">
        <v>1210</v>
      </c>
      <c r="BO84" s="27" t="s">
        <v>1206</v>
      </c>
      <c r="BP84" s="27" t="s">
        <v>488</v>
      </c>
      <c r="BQ84" s="26" t="s">
        <v>489</v>
      </c>
      <c r="BR84" s="40" t="n">
        <f aca="false">IFERROR(INDEX(Campaigns!$L:$L,MATCH(BN84,Campaigns!$A:$A,0)),"")</f>
        <v>10</v>
      </c>
      <c r="BS84" s="51" t="str">
        <f aca="false">IFERROR(INDEX(Inventory!$O:$O,MATCH(BP84,Inventory!$A:$A,0)),"")</f>
        <v>OK</v>
      </c>
      <c r="BT84" s="52" t="n">
        <f aca="false">IFERROR(INDEX(Inventory!$N:$N,MATCH(BP84,Inventory!$A:$A,0)),"")</f>
        <v>67.2295359591037</v>
      </c>
      <c r="BU84" s="27" t="s">
        <v>1211</v>
      </c>
      <c r="BV84" s="27" t="s">
        <v>1212</v>
      </c>
      <c r="BW84" s="27" t="s">
        <v>1213</v>
      </c>
      <c r="BX84" s="27" t="s">
        <v>1214</v>
      </c>
      <c r="BY84" s="27" t="s">
        <v>1215</v>
      </c>
      <c r="BZ84" s="27" t="s">
        <v>510</v>
      </c>
      <c r="CA84" s="27" t="s">
        <v>941</v>
      </c>
      <c r="CB84" s="27" t="s">
        <v>942</v>
      </c>
      <c r="CC84" s="27" t="s">
        <v>477</v>
      </c>
    </row>
    <row r="85" customFormat="false" ht="120" hidden="false" customHeight="true" outlineLevel="0" collapsed="false">
      <c r="A85" s="53" t="s">
        <v>1216</v>
      </c>
      <c r="B85" s="54" t="n">
        <v>2</v>
      </c>
      <c r="C85" s="26" t="s">
        <v>928</v>
      </c>
      <c r="D85" s="26" t="s">
        <v>479</v>
      </c>
      <c r="E85" s="27" t="s">
        <v>929</v>
      </c>
      <c r="F85" s="28" t="n">
        <v>1</v>
      </c>
      <c r="G85" s="27" t="s">
        <v>187</v>
      </c>
      <c r="H85" s="26" t="s">
        <v>342</v>
      </c>
      <c r="I85" s="29" t="n">
        <v>4.5</v>
      </c>
      <c r="J85" s="27" t="s">
        <v>1217</v>
      </c>
      <c r="K85" s="30" t="n">
        <v>924</v>
      </c>
      <c r="L85" s="31" t="n">
        <v>685</v>
      </c>
      <c r="M85" s="32" t="n">
        <f aca="false">L85/30</f>
        <v>22.8333333333333</v>
      </c>
      <c r="N85" s="33" t="n">
        <v>0.0552238805970149</v>
      </c>
      <c r="O85" s="27" t="s">
        <v>1218</v>
      </c>
      <c r="P85" s="27" t="s">
        <v>1219</v>
      </c>
      <c r="Q85" s="27" t="s">
        <v>292</v>
      </c>
      <c r="R85" s="34" t="n">
        <v>2</v>
      </c>
      <c r="S85" s="35" t="n">
        <v>20</v>
      </c>
      <c r="T85" s="36" t="s">
        <v>467</v>
      </c>
      <c r="U85" s="27" t="s">
        <v>1220</v>
      </c>
      <c r="V85" s="37" t="n">
        <f aca="false">IFERROR(INDEX(Sleephoria_History!$F$454:$F$2115,MATCH($A85,Sleephoria_History!$A$454:$A$2115,0)),"")</f>
        <v>4</v>
      </c>
      <c r="W85" s="38" t="n">
        <f aca="false">IFERROR(INDEX(Sleephoria_History!$J$454:$J$2115,MATCH($A85,Sleephoria_History!$A$454:$A$2115,0)),"")</f>
        <v>0</v>
      </c>
      <c r="X85" s="39" t="n">
        <f aca="false">IFERROR(INDEX(Sleephoria_History!$H$454:$H$2115,MATCH($A85,Sleephoria_History!$A$454:$A$2115,0)),"")</f>
        <v>2.02</v>
      </c>
      <c r="Y85" s="38" t="n">
        <f aca="false">IFERROR(INDEX(Sleephoria_History!$M$454:$M$2115,MATCH($A85,Sleephoria_History!$A$454:$A$2115,0)),"")</f>
        <v>0</v>
      </c>
      <c r="Z85" s="40" t="n">
        <f aca="false">IFERROR(INDEX(Sleephoria_History!$L$454:$L$2115,MATCH($A85,Sleephoria_History!$A$454:$A$2115,0)),"")</f>
        <v>0</v>
      </c>
      <c r="AA85" s="37" t="str">
        <f aca="false">IFERROR(INDEX(Decolure_History!$F$397:$F$709,MATCH($A85,Decolure_History!$A$397:$A$709,0)),"")</f>
        <v/>
      </c>
      <c r="AB85" s="38" t="str">
        <f aca="false">IFERROR(INDEX(Decolure_History!$J$397:$J$709,MATCH($A85,Decolure_History!$A$397:$A$709,0)),"")</f>
        <v/>
      </c>
      <c r="AC85" s="38" t="str">
        <f aca="false">IFERROR(INDEX(Decolure_History!$M$397:$M$709,MATCH($A85,Decolure_History!$A$397:$A$709,0)),"")</f>
        <v/>
      </c>
      <c r="AD85" s="41" t="n">
        <v>0.064</v>
      </c>
      <c r="AE85" s="27" t="s">
        <v>275</v>
      </c>
      <c r="AF85" s="42" t="n">
        <v>0.448</v>
      </c>
      <c r="AG85" s="32" t="n">
        <f aca="false">M85*AF85</f>
        <v>10.2293333333333</v>
      </c>
      <c r="AH85" s="43" t="n">
        <f aca="false">IF(AO85="Brand Defense",0,IFERROR(VLOOKUP(S85,Assumptions!$A$24:$B$28,2,FALSE()),0))</f>
        <v>0.0124</v>
      </c>
      <c r="AI85" s="28" t="n">
        <f aca="false">Assumptions!$B$6</f>
        <v>0.66</v>
      </c>
      <c r="AJ85" s="44" t="n">
        <f aca="false">AG85*AH85*AI85</f>
        <v>0.083716864</v>
      </c>
      <c r="AK85" s="44" t="n">
        <f aca="false">AJ85*AD85</f>
        <v>0.005357879296</v>
      </c>
      <c r="AL85" s="30" t="n">
        <f aca="false">AJ85*56</f>
        <v>4.688144384</v>
      </c>
      <c r="AM85" s="32" t="n">
        <f aca="false">AK85*56</f>
        <v>0.300041240576</v>
      </c>
      <c r="AN85" s="44" t="n">
        <f aca="false">M85*Assumptions!$B$8</f>
        <v>2.28333333333333</v>
      </c>
      <c r="AO85" s="27" t="s">
        <v>430</v>
      </c>
      <c r="AP85" s="27" t="s">
        <v>484</v>
      </c>
      <c r="AQ85" s="26" t="s">
        <v>198</v>
      </c>
      <c r="AR85" s="27" t="s">
        <v>199</v>
      </c>
      <c r="AS85" s="44" t="n">
        <f aca="false">IF(AO85="Ranking — Full Push",MIN(MAX(AJ85,Assumptions!$B$9),AN85),IF(AO85="Brand Defense",MIN(Assumptions!$B$7,AN85),IF(OR(AO85="Ranking — Head Term (Capped)",AO85="Ranking — Capped Entry"),MIN(MAX(AJ85,Assumptions!$B$9),Assumptions!$B$7,AN85),IF(AO85="Ranking — Capped Long-Tail",MIN(AJ85,Assumptions!$B$10,AN85),MIN(AJ85,AN85)))))</f>
        <v>1</v>
      </c>
      <c r="AT85" s="27" t="str">
        <f aca="false">IF(AJ85&lt;=0,"",IF(AS85&gt;=AJ85,IF(AS85&gt;AJ85*1.05,"Floor of "&amp;TEXT(AS85,"0.0")&amp;" click/day to read CVR (rank needs "&amp;TEXT(AJ85,"0.00")&amp;")","Fully funded (100%)"),"Capped at "&amp;TEXT(AS85/AJ85,"0%")&amp;" of required"))</f>
        <v>Floor of 1.0 click/day to read CVR (rank needs 0.08)</v>
      </c>
      <c r="AU85" s="44" t="n">
        <f aca="false">AS85*AD85</f>
        <v>0.064</v>
      </c>
      <c r="AV85" s="45" t="n">
        <f aca="false">AU85*AY85</f>
        <v>4.35136</v>
      </c>
      <c r="AW85" s="46" t="n">
        <v>2.42</v>
      </c>
      <c r="AX85" s="27" t="s">
        <v>551</v>
      </c>
      <c r="AY85" s="47" t="n">
        <f aca="false">INDEX(Assumptions!$B$33:$B$37,MATCH(IF($D85="","Queen",$D85),Assumptions!$A$33:$A$37,0))</f>
        <v>67.99</v>
      </c>
      <c r="AZ85" s="33" t="n">
        <f aca="false">INDEX(Assumptions!$K$33:$K$37,MATCH(IF($D85="","Queen",$D85),Assumptions!$A$33:$A$37,0))</f>
        <v>0.468852037064274</v>
      </c>
      <c r="BA85" s="33" t="n">
        <f aca="false">INDEX(Assumptions!$H$33:$H$37,MATCH(IF($D85="","Queen",$D85),Assumptions!$A$33:$A$37,0))</f>
        <v>0.312568024709516</v>
      </c>
      <c r="BB85" s="47" t="n">
        <f aca="false">AY85*AZ85*AD85</f>
        <v>2.040144</v>
      </c>
      <c r="BC85" s="47" t="n">
        <f aca="false">ROUND(MIN(AW85*Assumptions!$B$11,BB85),2)</f>
        <v>2.04</v>
      </c>
      <c r="BD85" s="26" t="s">
        <v>278</v>
      </c>
      <c r="BE85" s="48" t="n">
        <f aca="false">IF(AO85="Ranking — Full Push",MAX(0,MIN(IF(BD85="Yes",Assumptions!$B$12,Assumptions!$B$13),FLOOR(MAX(0,BB85/BC85-1),Assumptions!$B$14))),0)</f>
        <v>0</v>
      </c>
      <c r="BF85" s="49" t="str">
        <f aca="false">IF(AO85="Ranking — Full Push",IF(BE85&gt;=1,"YES — +100% Top of Search. Effective CPC $"&amp;TEXT(BG85,"0.00")&amp;" (= $"&amp;TEXT(BC85,"0.00")&amp;" × 2) stays within the $"&amp;TEXT(BB85,"0.00")&amp;" max ranking CPC"&amp;" (= $"&amp;TEXT(AY85,"0.00")&amp;" price × "&amp;TEXT(AZ85,"0.0%")&amp;" ranking ceiling × "&amp;TEXT(AD85,"0.0%")&amp;" CVR)"&amp;". Sleephoria CVR is proven on this term, so the full push is justified.",IF(AND(BD85="No",BE85&gt;=Assumptions!$B$13),"PARTIAL — +"&amp;TEXT(BE85,"0%")&amp;" Top of Search (limit for terms without proven CVR). Effective CPC $"&amp;TEXT(BG85,"0.00")&amp;" vs $"&amp;TEXT(BB85,"0.00")&amp;" max ranking CPC"&amp;" (= $"&amp;TEXT(AY85,"0.00")&amp;" price × "&amp;TEXT(AZ85,"0.0%")&amp;" ranking ceiling × "&amp;TEXT(AD85,"0.0%")&amp;" CVR)"&amp;". Raise to +100% only after CooLinens converts at ≥ "&amp;TEXT(AD85,"0.0%")&amp;" on 50+ clicks and $"&amp;TEXT(BC85*2,"0.00")&amp;" ≤ the max.",IF(BE85&gt;0,"PARTIAL — +"&amp;TEXT(BE85,"0%")&amp;" Top of Search. Effective CPC $"&amp;TEXT(BG85,"0.00")&amp;" stays within the $"&amp;TEXT(BB85,"0.00")&amp;" max ranking CPC"&amp;" (= $"&amp;TEXT(AY85,"0.00")&amp;" price × "&amp;TEXT(AZ85,"0.0%")&amp;" ranking ceiling × "&amp;TEXT(AD85,"0.0%")&amp;" CVR)"&amp;". +100% would cost $"&amp;TEXT(BC85*2,"0.00")&amp;" per click and push ACoS to "&amp;TEXT(BC85*2/(AY85*AD85),"0.0%")&amp;", above the "&amp;TEXT(AZ85,"0.0%")&amp;" ceiling.","NO — 0%. Base bid $"&amp;TEXT(BC85,"0.00")&amp;" already equals the $"&amp;TEXT(BB85,"0.00")&amp;" max ranking CPC"&amp;" (= $"&amp;TEXT(AY85,"0.00")&amp;" price × "&amp;TEXT(AZ85,"0.0%")&amp;" ranking ceiling × "&amp;TEXT(AD85,"0.0%")&amp;" CVR)"&amp;"; any modifier would push ACoS above the "&amp;TEXT(AZ85,"0.0%")&amp;" ceiling."))),IF(OR(AO85="Ranking — Head Term (Capped)",AO85="Ranking — Capped Entry",AO85="Ranking — Capped Long-Tail"),"NO — 0% (capped ranking entry). Bid $"&amp;TEXT(BC85,"0.00")&amp;" vs $"&amp;TEXT(BB85,"0.00")&amp;" max ranking CPC"&amp;" (= $"&amp;TEXT(AY85,"0.00")&amp;" price × "&amp;TEXT(AZ85,"0.0%")&amp;" ranking ceiling × "&amp;TEXT(AD85,"0.0%")&amp;" CVR)"&amp;". While spend is capped at "&amp;TEXT(AS85,"0.00")&amp;" clicks/day, a placement premium would only raise CPC without buying more rank; the modifier is set when this term moves to a full push.","NO — 0% (support / brand term). Bid $"&amp;TEXT(BC85,"0.00")&amp;" vs $"&amp;TEXT(BB85,"0.00")&amp;" max ranking CPC"&amp;" (= $"&amp;TEXT(AY85,"0.00")&amp;" price × "&amp;TEXT(AZ85,"0.0%")&amp;" ranking ceiling × "&amp;TEXT(AD85,"0.0%")&amp;" CVR)"&amp;"; expected ACoS "&amp;TEXT(BI85,"0.0%")&amp;" vs the "&amp;TEXT(AZ85,"0.0%")&amp;"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G85" s="50" t="n">
        <f aca="false">BC85*(1+BE85)</f>
        <v>2.04</v>
      </c>
      <c r="BH85" s="45" t="n">
        <f aca="false">AS85*BG85</f>
        <v>2.04</v>
      </c>
      <c r="BI85" s="33" t="n">
        <f aca="false">IFERROR(BG85/(AY85*AD85),"")</f>
        <v>0.468818943962347</v>
      </c>
      <c r="BJ85" s="27" t="str">
        <f aca="false">IF(BI85="","",IF(BI85&lt;=BA85,"Profitable (≤ break-even)",IF(BI85&lt;=AZ85,"Ranking investment (≤ ceiling)","Above ceiling — reduce bid")))</f>
        <v>Ranking investment (≤ ceiling)</v>
      </c>
      <c r="BK85" s="49" t="str">
        <f aca="false">"Base $"&amp;TEXT(BC85,"0.00")&amp;" × (1 + "&amp;TEXT(BE85,"0%")&amp;" TOS) = $"&amp;TEXT(BG85,"0.00")&amp;" effective CPC [max $"&amp;TEXT(BB85,"0.00")&amp;"]. "&amp;TEXT(AG85,"0.0")&amp;" market clicks/day × "&amp;TEXT(AH85,"0.00%")&amp;" click share × "&amp;TEXT(AI85,"0%")&amp;" paid = "&amp;TEXT(AJ85,"0.00")&amp;" clicks/day needed; "&amp;"planned "&amp;TEXT(AS85,"0.00")&amp;" clicks/day × "&amp;TEXT(AD85,"0.0%")&amp;" CVR = "&amp;TEXT(AU85,"0.00")&amp;" orders/day. "&amp;"Spend $"&amp;TEXT(BH85,"0.00")&amp;"/day, ACoS "&amp;TEXT(BI85,"0.0%")&amp;" (ceiling "&amp;TEXT(AZ85,"0.0%")&amp;", break-even "&amp;TEXT(BA85,"0.0%")&amp;"). "&amp;"Target organic rank #"&amp;S85&amp;" by week 8 ("&amp;T85&amp;")."</f>
        <v>Base $2.04 × (1 + 0% TOS) = $2.04 effective CPC [max $2.04]. 10.2 market clicks/day × 1.24% click share × 66% paid = 0.08 clicks/day needed; planned 1.00 clicks/day × 6.4% CVR = 0.06 orders/day. Spend $2.04/day, ACoS 46.9% (ceiling 46.9%, break-even 31.3%). Target organic rank #20 by week 8 (#60 → #35 → #20 (full push after size assignment)).</v>
      </c>
      <c r="BL85" s="27" t="s">
        <v>1221</v>
      </c>
      <c r="BM85" s="27" t="s">
        <v>203</v>
      </c>
      <c r="BN85" s="27" t="s">
        <v>1222</v>
      </c>
      <c r="BO85" s="27" t="s">
        <v>1216</v>
      </c>
      <c r="BP85" s="27" t="s">
        <v>488</v>
      </c>
      <c r="BQ85" s="26" t="s">
        <v>489</v>
      </c>
      <c r="BR85" s="40" t="n">
        <f aca="false">IFERROR(INDEX(Campaigns!$L:$L,MATCH(BN85,Campaigns!$A:$A,0)),"")</f>
        <v>10</v>
      </c>
      <c r="BS85" s="51" t="str">
        <f aca="false">IFERROR(INDEX(Inventory!$O:$O,MATCH(BP85,Inventory!$A:$A,0)),"")</f>
        <v>OK</v>
      </c>
      <c r="BT85" s="52" t="n">
        <f aca="false">IFERROR(INDEX(Inventory!$N:$N,MATCH(BP85,Inventory!$A:$A,0)),"")</f>
        <v>67.2295359591037</v>
      </c>
      <c r="BU85" s="27" t="s">
        <v>1223</v>
      </c>
      <c r="BV85" s="27" t="s">
        <v>263</v>
      </c>
      <c r="BW85" s="27" t="s">
        <v>1224</v>
      </c>
      <c r="BX85" s="27" t="s">
        <v>1225</v>
      </c>
      <c r="BY85" s="27" t="s">
        <v>1226</v>
      </c>
      <c r="BZ85" s="27" t="s">
        <v>510</v>
      </c>
      <c r="CA85" s="27" t="s">
        <v>941</v>
      </c>
      <c r="CB85" s="27" t="s">
        <v>1227</v>
      </c>
      <c r="CC85" s="27" t="s">
        <v>477</v>
      </c>
    </row>
    <row r="86" customFormat="false" ht="120" hidden="false" customHeight="true" outlineLevel="0" collapsed="false">
      <c r="A86" s="53" t="s">
        <v>1228</v>
      </c>
      <c r="B86" s="54" t="n">
        <v>2</v>
      </c>
      <c r="C86" s="26" t="s">
        <v>928</v>
      </c>
      <c r="D86" s="26" t="s">
        <v>479</v>
      </c>
      <c r="E86" s="27" t="s">
        <v>929</v>
      </c>
      <c r="F86" s="28" t="n">
        <v>1</v>
      </c>
      <c r="G86" s="27" t="s">
        <v>187</v>
      </c>
      <c r="H86" s="26" t="s">
        <v>342</v>
      </c>
      <c r="I86" s="29" t="n">
        <v>5</v>
      </c>
      <c r="J86" s="27" t="s">
        <v>1229</v>
      </c>
      <c r="K86" s="30" t="n">
        <v>924</v>
      </c>
      <c r="L86" s="31" t="n">
        <v>527</v>
      </c>
      <c r="M86" s="32" t="n">
        <f aca="false">L86/30</f>
        <v>17.5666666666667</v>
      </c>
      <c r="N86" s="33" t="n">
        <v>0.0334903192046049</v>
      </c>
      <c r="O86" s="27" t="s">
        <v>1230</v>
      </c>
      <c r="P86" s="27" t="s">
        <v>1231</v>
      </c>
      <c r="Q86" s="27" t="s">
        <v>256</v>
      </c>
      <c r="R86" s="34" t="n">
        <v>2</v>
      </c>
      <c r="S86" s="35" t="n">
        <v>20</v>
      </c>
      <c r="T86" s="36" t="s">
        <v>467</v>
      </c>
      <c r="U86" s="27" t="s">
        <v>1232</v>
      </c>
      <c r="V86" s="37" t="n">
        <f aca="false">IFERROR(INDEX(Sleephoria_History!$F$454:$F$2115,MATCH($A86,Sleephoria_History!$A$454:$A$2115,0)),"")</f>
        <v>65</v>
      </c>
      <c r="W86" s="38" t="n">
        <f aca="false">IFERROR(INDEX(Sleephoria_History!$J$454:$J$2115,MATCH($A86,Sleephoria_History!$A$454:$A$2115,0)),"")</f>
        <v>0.0615</v>
      </c>
      <c r="X86" s="39" t="n">
        <f aca="false">IFERROR(INDEX(Sleephoria_History!$H$454:$H$2115,MATCH($A86,Sleephoria_History!$A$454:$A$2115,0)),"")</f>
        <v>2.13</v>
      </c>
      <c r="Y86" s="38" t="n">
        <f aca="false">IFERROR(INDEX(Sleephoria_History!$M$454:$M$2115,MATCH($A86,Sleephoria_History!$A$454:$A$2115,0)),"")</f>
        <v>0.553</v>
      </c>
      <c r="Z86" s="40" t="n">
        <f aca="false">IFERROR(INDEX(Sleephoria_History!$L$454:$L$2115,MATCH($A86,Sleephoria_History!$A$454:$A$2115,0)),"")</f>
        <v>249.96</v>
      </c>
      <c r="AA86" s="37" t="n">
        <f aca="false">IFERROR(INDEX(Decolure_History!$F$397:$F$709,MATCH($A86,Decolure_History!$A$397:$A$709,0)),"")</f>
        <v>28</v>
      </c>
      <c r="AB86" s="38" t="n">
        <f aca="false">IFERROR(INDEX(Decolure_History!$J$397:$J$709,MATCH($A86,Decolure_History!$A$397:$A$709,0)),"")</f>
        <v>0.1071</v>
      </c>
      <c r="AC86" s="38" t="n">
        <f aca="false">IFERROR(INDEX(Decolure_History!$M$397:$M$709,MATCH($A86,Decolure_History!$A$397:$A$709,0)),"")</f>
        <v>0.565</v>
      </c>
      <c r="AD86" s="41" t="n">
        <v>0.0492</v>
      </c>
      <c r="AE86" s="27" t="s">
        <v>1233</v>
      </c>
      <c r="AF86" s="42" t="n">
        <v>0.466</v>
      </c>
      <c r="AG86" s="32" t="n">
        <f aca="false">M86*AF86</f>
        <v>8.18606666666667</v>
      </c>
      <c r="AH86" s="43" t="n">
        <f aca="false">IF(AO86="Brand Defense",0,IFERROR(VLOOKUP(S86,Assumptions!$A$24:$B$28,2,FALSE()),0))</f>
        <v>0.0124</v>
      </c>
      <c r="AI86" s="28" t="n">
        <f aca="false">Assumptions!$B$6</f>
        <v>0.66</v>
      </c>
      <c r="AJ86" s="44" t="n">
        <f aca="false">AG86*AH86*AI86</f>
        <v>0.0669947696</v>
      </c>
      <c r="AK86" s="44" t="n">
        <f aca="false">AJ86*AD86</f>
        <v>0.00329614266432</v>
      </c>
      <c r="AL86" s="30" t="n">
        <f aca="false">AJ86*56</f>
        <v>3.7517070976</v>
      </c>
      <c r="AM86" s="32" t="n">
        <f aca="false">AK86*56</f>
        <v>0.18458398920192</v>
      </c>
      <c r="AN86" s="44" t="n">
        <f aca="false">M86*Assumptions!$B$8</f>
        <v>1.75666666666667</v>
      </c>
      <c r="AO86" s="27" t="s">
        <v>430</v>
      </c>
      <c r="AP86" s="27" t="s">
        <v>484</v>
      </c>
      <c r="AQ86" s="26" t="s">
        <v>198</v>
      </c>
      <c r="AR86" s="27" t="s">
        <v>199</v>
      </c>
      <c r="AS86" s="44" t="n">
        <f aca="false">IF(AO86="Ranking — Full Push",MIN(MAX(AJ86,Assumptions!$B$9),AN86),IF(AO86="Brand Defense",MIN(Assumptions!$B$7,AN86),IF(OR(AO86="Ranking — Head Term (Capped)",AO86="Ranking — Capped Entry"),MIN(MAX(AJ86,Assumptions!$B$9),Assumptions!$B$7,AN86),IF(AO86="Ranking — Capped Long-Tail",MIN(AJ86,Assumptions!$B$10,AN86),MIN(AJ86,AN86)))))</f>
        <v>1</v>
      </c>
      <c r="AT86" s="27" t="str">
        <f aca="false">IF(AJ86&lt;=0,"",IF(AS86&gt;=AJ86,IF(AS86&gt;AJ86*1.05,"Floor of "&amp;TEXT(AS86,"0.0")&amp;" click/day to read CVR (rank needs "&amp;TEXT(AJ86,"0.00")&amp;")","Fully funded (100%)"),"Capped at "&amp;TEXT(AS86/AJ86,"0%")&amp;" of required"))</f>
        <v>Floor of 1.0 click/day to read CVR (rank needs 0.07)</v>
      </c>
      <c r="AU86" s="44" t="n">
        <f aca="false">AS86*AD86</f>
        <v>0.0492</v>
      </c>
      <c r="AV86" s="45" t="n">
        <f aca="false">AU86*AY86</f>
        <v>3.345108</v>
      </c>
      <c r="AW86" s="46" t="n">
        <v>2.13</v>
      </c>
      <c r="AX86" s="27" t="s">
        <v>1234</v>
      </c>
      <c r="AY86" s="47" t="n">
        <f aca="false">INDEX(Assumptions!$B$33:$B$37,MATCH(IF($D86="","Queen",$D86),Assumptions!$A$33:$A$37,0))</f>
        <v>67.99</v>
      </c>
      <c r="AZ86" s="33" t="n">
        <f aca="false">INDEX(Assumptions!$K$33:$K$37,MATCH(IF($D86="","Queen",$D86),Assumptions!$A$33:$A$37,0))</f>
        <v>0.468852037064274</v>
      </c>
      <c r="BA86" s="33" t="n">
        <f aca="false">INDEX(Assumptions!$H$33:$H$37,MATCH(IF($D86="","Queen",$D86),Assumptions!$A$33:$A$37,0))</f>
        <v>0.312568024709516</v>
      </c>
      <c r="BB86" s="47" t="n">
        <f aca="false">AY86*AZ86*AD86</f>
        <v>1.5683607</v>
      </c>
      <c r="BC86" s="47" t="n">
        <f aca="false">ROUND(MIN(AW86*Assumptions!$B$11,BB86),2)</f>
        <v>1.57</v>
      </c>
      <c r="BD86" s="26" t="s">
        <v>278</v>
      </c>
      <c r="BE86" s="48" t="n">
        <f aca="false">IF(AO86="Ranking — Full Push",MAX(0,MIN(IF(BD86="Yes",Assumptions!$B$12,Assumptions!$B$13),FLOOR(MAX(0,BB86/BC86-1),Assumptions!$B$14))),0)</f>
        <v>0</v>
      </c>
      <c r="BF86" s="49" t="str">
        <f aca="false">IF(AO86="Ranking — Full Push",IF(BE86&gt;=1,"YES — +100% Top of Search. Effective CPC $"&amp;TEXT(BG86,"0.00")&amp;" (= $"&amp;TEXT(BC86,"0.00")&amp;" × 2) stays within the $"&amp;TEXT(BB86,"0.00")&amp;" max ranking CPC"&amp;" (= $"&amp;TEXT(AY86,"0.00")&amp;" price × "&amp;TEXT(AZ86,"0.0%")&amp;" ranking ceiling × "&amp;TEXT(AD86,"0.0%")&amp;" CVR)"&amp;". Sleephoria CVR is proven on this term, so the full push is justified.",IF(AND(BD86="No",BE86&gt;=Assumptions!$B$13),"PARTIAL — +"&amp;TEXT(BE86,"0%")&amp;" Top of Search (limit for terms without proven CVR). Effective CPC $"&amp;TEXT(BG86,"0.00")&amp;" vs $"&amp;TEXT(BB86,"0.00")&amp;" max ranking CPC"&amp;" (= $"&amp;TEXT(AY86,"0.00")&amp;" price × "&amp;TEXT(AZ86,"0.0%")&amp;" ranking ceiling × "&amp;TEXT(AD86,"0.0%")&amp;" CVR)"&amp;". Raise to +100% only after CooLinens converts at ≥ "&amp;TEXT(AD86,"0.0%")&amp;" on 50+ clicks and $"&amp;TEXT(BC86*2,"0.00")&amp;" ≤ the max.",IF(BE86&gt;0,"PARTIAL — +"&amp;TEXT(BE86,"0%")&amp;" Top of Search. Effective CPC $"&amp;TEXT(BG86,"0.00")&amp;" stays within the $"&amp;TEXT(BB86,"0.00")&amp;" max ranking CPC"&amp;" (= $"&amp;TEXT(AY86,"0.00")&amp;" price × "&amp;TEXT(AZ86,"0.0%")&amp;" ranking ceiling × "&amp;TEXT(AD86,"0.0%")&amp;" CVR)"&amp;". +100% would cost $"&amp;TEXT(BC86*2,"0.00")&amp;" per click and push ACoS to "&amp;TEXT(BC86*2/(AY86*AD86),"0.0%")&amp;", above the "&amp;TEXT(AZ86,"0.0%")&amp;" ceiling.","NO — 0%. Base bid $"&amp;TEXT(BC86,"0.00")&amp;" already equals the $"&amp;TEXT(BB86,"0.00")&amp;" max ranking CPC"&amp;" (= $"&amp;TEXT(AY86,"0.00")&amp;" price × "&amp;TEXT(AZ86,"0.0%")&amp;" ranking ceiling × "&amp;TEXT(AD86,"0.0%")&amp;" CVR)"&amp;"; any modifier would push ACoS above the "&amp;TEXT(AZ86,"0.0%")&amp;" ceiling."))),IF(OR(AO86="Ranking — Head Term (Capped)",AO86="Ranking — Capped Entry",AO86="Ranking — Capped Long-Tail"),"NO — 0% (capped ranking entry). Bid $"&amp;TEXT(BC86,"0.00")&amp;" vs $"&amp;TEXT(BB86,"0.00")&amp;" max ranking CPC"&amp;" (= $"&amp;TEXT(AY86,"0.00")&amp;" price × "&amp;TEXT(AZ86,"0.0%")&amp;" ranking ceiling × "&amp;TEXT(AD86,"0.0%")&amp;" CVR)"&amp;". While spend is capped at "&amp;TEXT(AS86,"0.00")&amp;" clicks/day, a placement premium would only raise CPC without buying more rank; the modifier is set when this term moves to a full push.","NO — 0% (support / brand term). Bid $"&amp;TEXT(BC86,"0.00")&amp;" vs $"&amp;TEXT(BB86,"0.00")&amp;" max ranking CPC"&amp;" (= $"&amp;TEXT(AY86,"0.00")&amp;" price × "&amp;TEXT(AZ86,"0.0%")&amp;" ranking ceiling × "&amp;TEXT(AD86,"0.0%")&amp;" CVR)"&amp;"; expected ACoS "&amp;TEXT(BI86,"0.0%")&amp;" vs the "&amp;TEXT(AZ86,"0.0%")&amp;" ceiling."))</f>
        <v>NO — 0% (capped ranking entry). Bid $1.57 vs $1.57 max ranking CPC (= $67.99 price × 46.9% ranking ceiling × 4.9% CVR). While spend is capped at 1.00 clicks/day, a placement premium would only raise CPC without buying more rank; the modifier is set when this term moves to a full push.</v>
      </c>
      <c r="BG86" s="50" t="n">
        <f aca="false">BC86*(1+BE86)</f>
        <v>1.57</v>
      </c>
      <c r="BH86" s="45" t="n">
        <f aca="false">AS86*BG86</f>
        <v>1.57</v>
      </c>
      <c r="BI86" s="33" t="n">
        <f aca="false">IFERROR(BG86/(AY86*AD86),"")</f>
        <v>0.46934209598016</v>
      </c>
      <c r="BJ86" s="27" t="str">
        <f aca="false">IF(BI86="","",IF(BI86&lt;=BA86,"Profitable (≤ break-even)",IF(BI86&lt;=AZ86,"Ranking investment (≤ ceiling)","Above ceiling — reduce bid")))</f>
        <v>Above ceiling — reduce bid</v>
      </c>
      <c r="BK86" s="49" t="str">
        <f aca="false">"Base $"&amp;TEXT(BC86,"0.00")&amp;" × (1 + "&amp;TEXT(BE86,"0%")&amp;" TOS) = $"&amp;TEXT(BG86,"0.00")&amp;" effective CPC [max $"&amp;TEXT(BB86,"0.00")&amp;"]. "&amp;TEXT(AG86,"0.0")&amp;" market clicks/day × "&amp;TEXT(AH86,"0.00%")&amp;" click share × "&amp;TEXT(AI86,"0%")&amp;" paid = "&amp;TEXT(AJ86,"0.00")&amp;" clicks/day needed; "&amp;"planned "&amp;TEXT(AS86,"0.00")&amp;" clicks/day × "&amp;TEXT(AD86,"0.0%")&amp;" CVR = "&amp;TEXT(AU86,"0.00")&amp;" orders/day. "&amp;"Spend $"&amp;TEXT(BH86,"0.00")&amp;"/day, ACoS "&amp;TEXT(BI86,"0.0%")&amp;" (ceiling "&amp;TEXT(AZ86,"0.0%")&amp;", break-even "&amp;TEXT(BA86,"0.0%")&amp;"). "&amp;"Target organic rank #"&amp;S86&amp;" by week 8 ("&amp;T86&amp;")."</f>
        <v>Base $1.57 × (1 + 0% TOS) = $1.57 effective CPC [max $1.57]. 8.2 market clicks/day × 1.24% click share × 66% paid = 0.07 clicks/day needed; planned 1.00 clicks/day × 4.9% CVR = 0.05 orders/day. Spend $1.57/day, ACoS 46.9% (ceiling 46.9%, break-even 31.3%). Target organic rank #20 by week 8 (#60 → #35 → #20 (full push after size assignment)).</v>
      </c>
      <c r="BL86" s="27" t="s">
        <v>1221</v>
      </c>
      <c r="BM86" s="27" t="s">
        <v>203</v>
      </c>
      <c r="BN86" s="27" t="s">
        <v>1235</v>
      </c>
      <c r="BO86" s="27" t="s">
        <v>1228</v>
      </c>
      <c r="BP86" s="27" t="s">
        <v>488</v>
      </c>
      <c r="BQ86" s="26" t="s">
        <v>489</v>
      </c>
      <c r="BR86" s="40" t="n">
        <f aca="false">IFERROR(INDEX(Campaigns!$L:$L,MATCH(BN86,Campaigns!$A:$A,0)),"")</f>
        <v>10</v>
      </c>
      <c r="BS86" s="51" t="str">
        <f aca="false">IFERROR(INDEX(Inventory!$O:$O,MATCH(BP86,Inventory!$A:$A,0)),"")</f>
        <v>OK</v>
      </c>
      <c r="BT86" s="52" t="n">
        <f aca="false">IFERROR(INDEX(Inventory!$N:$N,MATCH(BP86,Inventory!$A:$A,0)),"")</f>
        <v>67.2295359591037</v>
      </c>
      <c r="BU86" s="27" t="s">
        <v>1236</v>
      </c>
      <c r="BV86" s="27" t="s">
        <v>1237</v>
      </c>
      <c r="BW86" s="27" t="s">
        <v>1238</v>
      </c>
      <c r="BX86" s="27" t="s">
        <v>1239</v>
      </c>
      <c r="BY86" s="27" t="s">
        <v>1240</v>
      </c>
      <c r="BZ86" s="27" t="s">
        <v>510</v>
      </c>
      <c r="CA86" s="27" t="s">
        <v>941</v>
      </c>
      <c r="CB86" s="27" t="s">
        <v>1241</v>
      </c>
      <c r="CC86" s="27" t="s">
        <v>477</v>
      </c>
    </row>
    <row r="87" customFormat="false" ht="120" hidden="false" customHeight="true" outlineLevel="0" collapsed="false">
      <c r="A87" s="53" t="s">
        <v>1242</v>
      </c>
      <c r="B87" s="54" t="n">
        <v>2</v>
      </c>
      <c r="C87" s="26" t="s">
        <v>928</v>
      </c>
      <c r="D87" s="26" t="s">
        <v>479</v>
      </c>
      <c r="E87" s="27" t="s">
        <v>929</v>
      </c>
      <c r="F87" s="28" t="n">
        <v>1</v>
      </c>
      <c r="G87" s="27" t="s">
        <v>187</v>
      </c>
      <c r="H87" s="26" t="s">
        <v>342</v>
      </c>
      <c r="I87" s="29" t="n">
        <v>5</v>
      </c>
      <c r="J87" s="27" t="s">
        <v>970</v>
      </c>
      <c r="K87" s="30" t="n">
        <v>662</v>
      </c>
      <c r="L87" s="31" t="n">
        <v>446</v>
      </c>
      <c r="M87" s="32" t="n">
        <f aca="false">L87/30</f>
        <v>14.8666666666667</v>
      </c>
      <c r="N87" s="33" t="n">
        <v>0.0628662759722962</v>
      </c>
      <c r="O87" s="27" t="s">
        <v>1107</v>
      </c>
      <c r="P87" s="27" t="s">
        <v>1243</v>
      </c>
      <c r="Q87" s="27" t="s">
        <v>292</v>
      </c>
      <c r="R87" s="34" t="n">
        <v>3</v>
      </c>
      <c r="S87" s="35" t="n">
        <v>20</v>
      </c>
      <c r="T87" s="36" t="s">
        <v>467</v>
      </c>
      <c r="U87" s="27" t="s">
        <v>1244</v>
      </c>
      <c r="V87" s="37" t="n">
        <f aca="false">IFERROR(INDEX(Sleephoria_History!$F$454:$F$2115,MATCH($A87,Sleephoria_History!$A$454:$A$2115,0)),"")</f>
        <v>4</v>
      </c>
      <c r="W87" s="38" t="n">
        <f aca="false">IFERROR(INDEX(Sleephoria_History!$J$454:$J$2115,MATCH($A87,Sleephoria_History!$A$454:$A$2115,0)),"")</f>
        <v>0</v>
      </c>
      <c r="X87" s="39" t="n">
        <f aca="false">IFERROR(INDEX(Sleephoria_History!$H$454:$H$2115,MATCH($A87,Sleephoria_History!$A$454:$A$2115,0)),"")</f>
        <v>1.74</v>
      </c>
      <c r="Y87" s="38" t="n">
        <f aca="false">IFERROR(INDEX(Sleephoria_History!$M$454:$M$2115,MATCH($A87,Sleephoria_History!$A$454:$A$2115,0)),"")</f>
        <v>0</v>
      </c>
      <c r="Z87" s="40" t="n">
        <f aca="false">IFERROR(INDEX(Sleephoria_History!$L$454:$L$2115,MATCH($A87,Sleephoria_History!$A$454:$A$2115,0)),"")</f>
        <v>0</v>
      </c>
      <c r="AA87" s="37" t="str">
        <f aca="false">IFERROR(INDEX(Decolure_History!$F$397:$F$709,MATCH($A87,Decolure_History!$A$397:$A$709,0)),"")</f>
        <v/>
      </c>
      <c r="AB87" s="38" t="str">
        <f aca="false">IFERROR(INDEX(Decolure_History!$J$397:$J$709,MATCH($A87,Decolure_History!$A$397:$A$709,0)),"")</f>
        <v/>
      </c>
      <c r="AC87" s="38" t="str">
        <f aca="false">IFERROR(INDEX(Decolure_History!$M$397:$M$709,MATCH($A87,Decolure_History!$A$397:$A$709,0)),"")</f>
        <v/>
      </c>
      <c r="AD87" s="41" t="n">
        <v>0.064</v>
      </c>
      <c r="AE87" s="27" t="s">
        <v>275</v>
      </c>
      <c r="AF87" s="42" t="n">
        <v>0.445</v>
      </c>
      <c r="AG87" s="32" t="n">
        <f aca="false">M87*AF87</f>
        <v>6.61566666666667</v>
      </c>
      <c r="AH87" s="43" t="n">
        <f aca="false">IF(AO87="Brand Defense",0,IFERROR(VLOOKUP(S87,Assumptions!$A$24:$B$28,2,FALSE()),0))</f>
        <v>0.0124</v>
      </c>
      <c r="AI87" s="28" t="n">
        <f aca="false">Assumptions!$B$6</f>
        <v>0.66</v>
      </c>
      <c r="AJ87" s="44" t="n">
        <f aca="false">AG87*AH87*AI87</f>
        <v>0.054142616</v>
      </c>
      <c r="AK87" s="44" t="n">
        <f aca="false">AJ87*AD87</f>
        <v>0.003465127424</v>
      </c>
      <c r="AL87" s="30" t="n">
        <f aca="false">AJ87*56</f>
        <v>3.031986496</v>
      </c>
      <c r="AM87" s="32" t="n">
        <f aca="false">AK87*56</f>
        <v>0.194047135744</v>
      </c>
      <c r="AN87" s="44" t="n">
        <f aca="false">M87*Assumptions!$B$8</f>
        <v>1.48666666666667</v>
      </c>
      <c r="AO87" s="27" t="s">
        <v>430</v>
      </c>
      <c r="AP87" s="27" t="s">
        <v>484</v>
      </c>
      <c r="AQ87" s="26" t="s">
        <v>198</v>
      </c>
      <c r="AR87" s="27" t="s">
        <v>199</v>
      </c>
      <c r="AS87" s="44" t="n">
        <f aca="false">IF(AO87="Ranking — Full Push",MIN(MAX(AJ87,Assumptions!$B$9),AN87),IF(AO87="Brand Defense",MIN(Assumptions!$B$7,AN87),IF(OR(AO87="Ranking — Head Term (Capped)",AO87="Ranking — Capped Entry"),MIN(MAX(AJ87,Assumptions!$B$9),Assumptions!$B$7,AN87),IF(AO87="Ranking — Capped Long-Tail",MIN(AJ87,Assumptions!$B$10,AN87),MIN(AJ87,AN87)))))</f>
        <v>1</v>
      </c>
      <c r="AT87" s="27" t="str">
        <f aca="false">IF(AJ87&lt;=0,"",IF(AS87&gt;=AJ87,IF(AS87&gt;AJ87*1.05,"Floor of "&amp;TEXT(AS87,"0.0")&amp;" click/day to read CVR (rank needs "&amp;TEXT(AJ87,"0.00")&amp;")","Fully funded (100%)"),"Capped at "&amp;TEXT(AS87/AJ87,"0%")&amp;" of required"))</f>
        <v>Floor of 1.0 click/day to read CVR (rank needs 0.05)</v>
      </c>
      <c r="AU87" s="44" t="n">
        <f aca="false">AS87*AD87</f>
        <v>0.064</v>
      </c>
      <c r="AV87" s="45" t="n">
        <f aca="false">AU87*AY87</f>
        <v>4.35136</v>
      </c>
      <c r="AW87" s="46" t="n">
        <v>2.42</v>
      </c>
      <c r="AX87" s="27" t="s">
        <v>551</v>
      </c>
      <c r="AY87" s="47" t="n">
        <f aca="false">INDEX(Assumptions!$B$33:$B$37,MATCH(IF($D87="","Queen",$D87),Assumptions!$A$33:$A$37,0))</f>
        <v>67.99</v>
      </c>
      <c r="AZ87" s="33" t="n">
        <f aca="false">INDEX(Assumptions!$K$33:$K$37,MATCH(IF($D87="","Queen",$D87),Assumptions!$A$33:$A$37,0))</f>
        <v>0.468852037064274</v>
      </c>
      <c r="BA87" s="33" t="n">
        <f aca="false">INDEX(Assumptions!$H$33:$H$37,MATCH(IF($D87="","Queen",$D87),Assumptions!$A$33:$A$37,0))</f>
        <v>0.312568024709516</v>
      </c>
      <c r="BB87" s="47" t="n">
        <f aca="false">AY87*AZ87*AD87</f>
        <v>2.040144</v>
      </c>
      <c r="BC87" s="47" t="n">
        <f aca="false">ROUND(MIN(AW87*Assumptions!$B$11,BB87),2)</f>
        <v>2.04</v>
      </c>
      <c r="BD87" s="26" t="s">
        <v>278</v>
      </c>
      <c r="BE87" s="48" t="n">
        <f aca="false">IF(AO87="Ranking — Full Push",MAX(0,MIN(IF(BD87="Yes",Assumptions!$B$12,Assumptions!$B$13),FLOOR(MAX(0,BB87/BC87-1),Assumptions!$B$14))),0)</f>
        <v>0</v>
      </c>
      <c r="BF87" s="49" t="str">
        <f aca="false">IF(AO87="Ranking — Full Push",IF(BE87&gt;=1,"YES — +100% Top of Search. Effective CPC $"&amp;TEXT(BG87,"0.00")&amp;" (= $"&amp;TEXT(BC87,"0.00")&amp;" × 2) stays within the $"&amp;TEXT(BB87,"0.00")&amp;" max ranking CPC"&amp;" (= $"&amp;TEXT(AY87,"0.00")&amp;" price × "&amp;TEXT(AZ87,"0.0%")&amp;" ranking ceiling × "&amp;TEXT(AD87,"0.0%")&amp;" CVR)"&amp;". Sleephoria CVR is proven on this term, so the full push is justified.",IF(AND(BD87="No",BE87&gt;=Assumptions!$B$13),"PARTIAL — +"&amp;TEXT(BE87,"0%")&amp;" Top of Search (limit for terms without proven CVR). Effective CPC $"&amp;TEXT(BG87,"0.00")&amp;" vs $"&amp;TEXT(BB87,"0.00")&amp;" max ranking CPC"&amp;" (= $"&amp;TEXT(AY87,"0.00")&amp;" price × "&amp;TEXT(AZ87,"0.0%")&amp;" ranking ceiling × "&amp;TEXT(AD87,"0.0%")&amp;" CVR)"&amp;". Raise to +100% only after CooLinens converts at ≥ "&amp;TEXT(AD87,"0.0%")&amp;" on 50+ clicks and $"&amp;TEXT(BC87*2,"0.00")&amp;" ≤ the max.",IF(BE87&gt;0,"PARTIAL — +"&amp;TEXT(BE87,"0%")&amp;" Top of Search. Effective CPC $"&amp;TEXT(BG87,"0.00")&amp;" stays within the $"&amp;TEXT(BB87,"0.00")&amp;" max ranking CPC"&amp;" (= $"&amp;TEXT(AY87,"0.00")&amp;" price × "&amp;TEXT(AZ87,"0.0%")&amp;" ranking ceiling × "&amp;TEXT(AD87,"0.0%")&amp;" CVR)"&amp;". +100% would cost $"&amp;TEXT(BC87*2,"0.00")&amp;" per click and push ACoS to "&amp;TEXT(BC87*2/(AY87*AD87),"0.0%")&amp;", above the "&amp;TEXT(AZ87,"0.0%")&amp;" ceiling.","NO — 0%. Base bid $"&amp;TEXT(BC87,"0.00")&amp;" already equals the $"&amp;TEXT(BB87,"0.00")&amp;" max ranking CPC"&amp;" (= $"&amp;TEXT(AY87,"0.00")&amp;" price × "&amp;TEXT(AZ87,"0.0%")&amp;" ranking ceiling × "&amp;TEXT(AD87,"0.0%")&amp;" CVR)"&amp;"; any modifier would push ACoS above the "&amp;TEXT(AZ87,"0.0%")&amp;" ceiling."))),IF(OR(AO87="Ranking — Head Term (Capped)",AO87="Ranking — Capped Entry",AO87="Ranking — Capped Long-Tail"),"NO — 0% (capped ranking entry). Bid $"&amp;TEXT(BC87,"0.00")&amp;" vs $"&amp;TEXT(BB87,"0.00")&amp;" max ranking CPC"&amp;" (= $"&amp;TEXT(AY87,"0.00")&amp;" price × "&amp;TEXT(AZ87,"0.0%")&amp;" ranking ceiling × "&amp;TEXT(AD87,"0.0%")&amp;" CVR)"&amp;". While spend is capped at "&amp;TEXT(AS87,"0.00")&amp;" clicks/day, a placement premium would only raise CPC without buying more rank; the modifier is set when this term moves to a full push.","NO — 0% (support / brand term). Bid $"&amp;TEXT(BC87,"0.00")&amp;" vs $"&amp;TEXT(BB87,"0.00")&amp;" max ranking CPC"&amp;" (= $"&amp;TEXT(AY87,"0.00")&amp;" price × "&amp;TEXT(AZ87,"0.0%")&amp;" ranking ceiling × "&amp;TEXT(AD87,"0.0%")&amp;" CVR)"&amp;"; expected ACoS "&amp;TEXT(BI87,"0.0%")&amp;" vs the "&amp;TEXT(AZ87,"0.0%")&amp;"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G87" s="50" t="n">
        <f aca="false">BC87*(1+BE87)</f>
        <v>2.04</v>
      </c>
      <c r="BH87" s="45" t="n">
        <f aca="false">AS87*BG87</f>
        <v>2.04</v>
      </c>
      <c r="BI87" s="33" t="n">
        <f aca="false">IFERROR(BG87/(AY87*AD87),"")</f>
        <v>0.468818943962347</v>
      </c>
      <c r="BJ87" s="27" t="str">
        <f aca="false">IF(BI87="","",IF(BI87&lt;=BA87,"Profitable (≤ break-even)",IF(BI87&lt;=AZ87,"Ranking investment (≤ ceiling)","Above ceiling — reduce bid")))</f>
        <v>Ranking investment (≤ ceiling)</v>
      </c>
      <c r="BK87" s="49" t="str">
        <f aca="false">"Base $"&amp;TEXT(BC87,"0.00")&amp;" × (1 + "&amp;TEXT(BE87,"0%")&amp;" TOS) = $"&amp;TEXT(BG87,"0.00")&amp;" effective CPC [max $"&amp;TEXT(BB87,"0.00")&amp;"]. "&amp;TEXT(AG87,"0.0")&amp;" market clicks/day × "&amp;TEXT(AH87,"0.00%")&amp;" click share × "&amp;TEXT(AI87,"0%")&amp;" paid = "&amp;TEXT(AJ87,"0.00")&amp;" clicks/day needed; "&amp;"planned "&amp;TEXT(AS87,"0.00")&amp;" clicks/day × "&amp;TEXT(AD87,"0.0%")&amp;" CVR = "&amp;TEXT(AU87,"0.00")&amp;" orders/day. "&amp;"Spend $"&amp;TEXT(BH87,"0.00")&amp;"/day, ACoS "&amp;TEXT(BI87,"0.0%")&amp;" (ceiling "&amp;TEXT(AZ87,"0.0%")&amp;", break-even "&amp;TEXT(BA87,"0.0%")&amp;"). "&amp;"Target organic rank #"&amp;S87&amp;" by week 8 ("&amp;T87&amp;")."</f>
        <v>Base $2.04 × (1 + 0% TOS) = $2.04 effective CPC [max $2.04]. 6.6 market clicks/day × 1.24% click share × 66% paid = 0.05 clicks/day needed; planned 1.00 clicks/day × 6.4% CVR = 0.06 orders/day. Spend $2.04/day, ACoS 46.9% (ceiling 46.9%, break-even 31.3%). Target organic rank #20 by week 8 (#60 → #35 → #20 (full push after size assignment)).</v>
      </c>
      <c r="BL87" s="27" t="s">
        <v>1221</v>
      </c>
      <c r="BM87" s="27" t="s">
        <v>203</v>
      </c>
      <c r="BN87" s="27" t="s">
        <v>1245</v>
      </c>
      <c r="BO87" s="27" t="s">
        <v>1242</v>
      </c>
      <c r="BP87" s="27" t="s">
        <v>488</v>
      </c>
      <c r="BQ87" s="26" t="s">
        <v>489</v>
      </c>
      <c r="BR87" s="40" t="n">
        <f aca="false">IFERROR(INDEX(Campaigns!$L:$L,MATCH(BN87,Campaigns!$A:$A,0)),"")</f>
        <v>10</v>
      </c>
      <c r="BS87" s="51" t="str">
        <f aca="false">IFERROR(INDEX(Inventory!$O:$O,MATCH(BP87,Inventory!$A:$A,0)),"")</f>
        <v>OK</v>
      </c>
      <c r="BT87" s="52" t="n">
        <f aca="false">IFERROR(INDEX(Inventory!$N:$N,MATCH(BP87,Inventory!$A:$A,0)),"")</f>
        <v>67.2295359591037</v>
      </c>
      <c r="BU87" s="27" t="s">
        <v>1246</v>
      </c>
      <c r="BV87" s="27" t="s">
        <v>263</v>
      </c>
      <c r="BW87" s="27" t="s">
        <v>1247</v>
      </c>
      <c r="BX87" s="27" t="s">
        <v>1248</v>
      </c>
      <c r="BY87" s="27" t="s">
        <v>1249</v>
      </c>
      <c r="BZ87" s="27" t="s">
        <v>1250</v>
      </c>
      <c r="CA87" s="27" t="s">
        <v>941</v>
      </c>
      <c r="CB87" s="27" t="s">
        <v>983</v>
      </c>
      <c r="CC87" s="27" t="s">
        <v>477</v>
      </c>
    </row>
    <row r="88" customFormat="false" ht="120" hidden="false" customHeight="true" outlineLevel="0" collapsed="false">
      <c r="A88" s="53" t="s">
        <v>1251</v>
      </c>
      <c r="B88" s="54" t="n">
        <v>2</v>
      </c>
      <c r="C88" s="26" t="s">
        <v>928</v>
      </c>
      <c r="D88" s="26" t="s">
        <v>479</v>
      </c>
      <c r="E88" s="27" t="s">
        <v>929</v>
      </c>
      <c r="F88" s="28" t="n">
        <v>1</v>
      </c>
      <c r="G88" s="27" t="s">
        <v>187</v>
      </c>
      <c r="H88" s="26" t="s">
        <v>342</v>
      </c>
      <c r="I88" s="29" t="n">
        <v>4</v>
      </c>
      <c r="J88" s="27" t="s">
        <v>1252</v>
      </c>
      <c r="K88" s="30" t="n">
        <v>674</v>
      </c>
      <c r="L88" s="31" t="n">
        <v>425</v>
      </c>
      <c r="M88" s="32" t="n">
        <f aca="false">L88/30</f>
        <v>14.1666666666667</v>
      </c>
      <c r="N88" s="33" t="n">
        <v>0.0600775193798449</v>
      </c>
      <c r="O88" s="27" t="s">
        <v>843</v>
      </c>
      <c r="P88" s="27" t="s">
        <v>1253</v>
      </c>
      <c r="Q88" s="27" t="s">
        <v>1254</v>
      </c>
      <c r="R88" s="34" t="n">
        <v>1</v>
      </c>
      <c r="S88" s="35" t="n">
        <v>20</v>
      </c>
      <c r="T88" s="36" t="s">
        <v>467</v>
      </c>
      <c r="U88" s="27" t="s">
        <v>1255</v>
      </c>
      <c r="V88" s="37" t="str">
        <f aca="false">IFERROR(INDEX(Sleephoria_History!$F$454:$F$2115,MATCH($A88,Sleephoria_History!$A$454:$A$2115,0)),"")</f>
        <v/>
      </c>
      <c r="W88" s="38" t="str">
        <f aca="false">IFERROR(INDEX(Sleephoria_History!$J$454:$J$2115,MATCH($A88,Sleephoria_History!$A$454:$A$2115,0)),"")</f>
        <v/>
      </c>
      <c r="X88" s="39" t="str">
        <f aca="false">IFERROR(INDEX(Sleephoria_History!$H$454:$H$2115,MATCH($A88,Sleephoria_History!$A$454:$A$2115,0)),"")</f>
        <v/>
      </c>
      <c r="Y88" s="38" t="str">
        <f aca="false">IFERROR(INDEX(Sleephoria_History!$M$454:$M$2115,MATCH($A88,Sleephoria_History!$A$454:$A$2115,0)),"")</f>
        <v/>
      </c>
      <c r="Z88" s="40" t="str">
        <f aca="false">IFERROR(INDEX(Sleephoria_History!$L$454:$L$2115,MATCH($A88,Sleephoria_History!$A$454:$A$2115,0)),"")</f>
        <v/>
      </c>
      <c r="AA88" s="37" t="str">
        <f aca="false">IFERROR(INDEX(Decolure_History!$F$397:$F$709,MATCH($A88,Decolure_History!$A$397:$A$709,0)),"")</f>
        <v/>
      </c>
      <c r="AB88" s="38" t="str">
        <f aca="false">IFERROR(INDEX(Decolure_History!$J$397:$J$709,MATCH($A88,Decolure_History!$A$397:$A$709,0)),"")</f>
        <v/>
      </c>
      <c r="AC88" s="38" t="str">
        <f aca="false">IFERROR(INDEX(Decolure_History!$M$397:$M$709,MATCH($A88,Decolure_History!$A$397:$A$709,0)),"")</f>
        <v/>
      </c>
      <c r="AD88" s="41" t="n">
        <v>0.064</v>
      </c>
      <c r="AE88" s="27" t="s">
        <v>275</v>
      </c>
      <c r="AF88" s="42" t="n">
        <v>0.513</v>
      </c>
      <c r="AG88" s="32" t="n">
        <f aca="false">M88*AF88</f>
        <v>7.2675</v>
      </c>
      <c r="AH88" s="43" t="n">
        <f aca="false">IF(AO88="Brand Defense",0,IFERROR(VLOOKUP(S88,Assumptions!$A$24:$B$28,2,FALSE()),0))</f>
        <v>0.0124</v>
      </c>
      <c r="AI88" s="28" t="n">
        <f aca="false">Assumptions!$B$6</f>
        <v>0.66</v>
      </c>
      <c r="AJ88" s="44" t="n">
        <f aca="false">AG88*AH88*AI88</f>
        <v>0.05947722</v>
      </c>
      <c r="AK88" s="44" t="n">
        <f aca="false">AJ88*AD88</f>
        <v>0.00380654208</v>
      </c>
      <c r="AL88" s="30" t="n">
        <f aca="false">AJ88*56</f>
        <v>3.33072432</v>
      </c>
      <c r="AM88" s="32" t="n">
        <f aca="false">AK88*56</f>
        <v>0.21316635648</v>
      </c>
      <c r="AN88" s="44" t="n">
        <f aca="false">M88*Assumptions!$B$8</f>
        <v>1.41666666666667</v>
      </c>
      <c r="AO88" s="27" t="s">
        <v>430</v>
      </c>
      <c r="AP88" s="27" t="s">
        <v>484</v>
      </c>
      <c r="AQ88" s="26" t="s">
        <v>198</v>
      </c>
      <c r="AR88" s="27" t="s">
        <v>199</v>
      </c>
      <c r="AS88" s="44" t="n">
        <f aca="false">IF(AO88="Ranking — Full Push",MIN(MAX(AJ88,Assumptions!$B$9),AN88),IF(AO88="Brand Defense",MIN(Assumptions!$B$7,AN88),IF(OR(AO88="Ranking — Head Term (Capped)",AO88="Ranking — Capped Entry"),MIN(MAX(AJ88,Assumptions!$B$9),Assumptions!$B$7,AN88),IF(AO88="Ranking — Capped Long-Tail",MIN(AJ88,Assumptions!$B$10,AN88),MIN(AJ88,AN88)))))</f>
        <v>1</v>
      </c>
      <c r="AT88" s="27" t="str">
        <f aca="false">IF(AJ88&lt;=0,"",IF(AS88&gt;=AJ88,IF(AS88&gt;AJ88*1.05,"Floor of "&amp;TEXT(AS88,"0.0")&amp;" click/day to read CVR (rank needs "&amp;TEXT(AJ88,"0.00")&amp;")","Fully funded (100%)"),"Capped at "&amp;TEXT(AS88/AJ88,"0%")&amp;" of required"))</f>
        <v>Floor of 1.0 click/day to read CVR (rank needs 0.06)</v>
      </c>
      <c r="AU88" s="44" t="n">
        <f aca="false">AS88*AD88</f>
        <v>0.064</v>
      </c>
      <c r="AV88" s="45" t="n">
        <f aca="false">AU88*AY88</f>
        <v>4.35136</v>
      </c>
      <c r="AW88" s="46" t="n">
        <v>2.42</v>
      </c>
      <c r="AX88" s="27" t="s">
        <v>551</v>
      </c>
      <c r="AY88" s="47" t="n">
        <f aca="false">INDEX(Assumptions!$B$33:$B$37,MATCH(IF($D88="","Queen",$D88),Assumptions!$A$33:$A$37,0))</f>
        <v>67.99</v>
      </c>
      <c r="AZ88" s="33" t="n">
        <f aca="false">INDEX(Assumptions!$K$33:$K$37,MATCH(IF($D88="","Queen",$D88),Assumptions!$A$33:$A$37,0))</f>
        <v>0.468852037064274</v>
      </c>
      <c r="BA88" s="33" t="n">
        <f aca="false">INDEX(Assumptions!$H$33:$H$37,MATCH(IF($D88="","Queen",$D88),Assumptions!$A$33:$A$37,0))</f>
        <v>0.312568024709516</v>
      </c>
      <c r="BB88" s="47" t="n">
        <f aca="false">AY88*AZ88*AD88</f>
        <v>2.040144</v>
      </c>
      <c r="BC88" s="47" t="n">
        <f aca="false">ROUND(MIN(AW88*Assumptions!$B$11,BB88),2)</f>
        <v>2.04</v>
      </c>
      <c r="BD88" s="26" t="s">
        <v>278</v>
      </c>
      <c r="BE88" s="48" t="n">
        <f aca="false">IF(AO88="Ranking — Full Push",MAX(0,MIN(IF(BD88="Yes",Assumptions!$B$12,Assumptions!$B$13),FLOOR(MAX(0,BB88/BC88-1),Assumptions!$B$14))),0)</f>
        <v>0</v>
      </c>
      <c r="BF88" s="49" t="str">
        <f aca="false">IF(AO88="Ranking — Full Push",IF(BE88&gt;=1,"YES — +100% Top of Search. Effective CPC $"&amp;TEXT(BG88,"0.00")&amp;" (= $"&amp;TEXT(BC88,"0.00")&amp;" × 2) stays within the $"&amp;TEXT(BB88,"0.00")&amp;" max ranking CPC"&amp;" (= $"&amp;TEXT(AY88,"0.00")&amp;" price × "&amp;TEXT(AZ88,"0.0%")&amp;" ranking ceiling × "&amp;TEXT(AD88,"0.0%")&amp;" CVR)"&amp;". Sleephoria CVR is proven on this term, so the full push is justified.",IF(AND(BD88="No",BE88&gt;=Assumptions!$B$13),"PARTIAL — +"&amp;TEXT(BE88,"0%")&amp;" Top of Search (limit for terms without proven CVR). Effective CPC $"&amp;TEXT(BG88,"0.00")&amp;" vs $"&amp;TEXT(BB88,"0.00")&amp;" max ranking CPC"&amp;" (= $"&amp;TEXT(AY88,"0.00")&amp;" price × "&amp;TEXT(AZ88,"0.0%")&amp;" ranking ceiling × "&amp;TEXT(AD88,"0.0%")&amp;" CVR)"&amp;". Raise to +100% only after CooLinens converts at ≥ "&amp;TEXT(AD88,"0.0%")&amp;" on 50+ clicks and $"&amp;TEXT(BC88*2,"0.00")&amp;" ≤ the max.",IF(BE88&gt;0,"PARTIAL — +"&amp;TEXT(BE88,"0%")&amp;" Top of Search. Effective CPC $"&amp;TEXT(BG88,"0.00")&amp;" stays within the $"&amp;TEXT(BB88,"0.00")&amp;" max ranking CPC"&amp;" (= $"&amp;TEXT(AY88,"0.00")&amp;" price × "&amp;TEXT(AZ88,"0.0%")&amp;" ranking ceiling × "&amp;TEXT(AD88,"0.0%")&amp;" CVR)"&amp;". +100% would cost $"&amp;TEXT(BC88*2,"0.00")&amp;" per click and push ACoS to "&amp;TEXT(BC88*2/(AY88*AD88),"0.0%")&amp;", above the "&amp;TEXT(AZ88,"0.0%")&amp;" ceiling.","NO — 0%. Base bid $"&amp;TEXT(BC88,"0.00")&amp;" already equals the $"&amp;TEXT(BB88,"0.00")&amp;" max ranking CPC"&amp;" (= $"&amp;TEXT(AY88,"0.00")&amp;" price × "&amp;TEXT(AZ88,"0.0%")&amp;" ranking ceiling × "&amp;TEXT(AD88,"0.0%")&amp;" CVR)"&amp;"; any modifier would push ACoS above the "&amp;TEXT(AZ88,"0.0%")&amp;" ceiling."))),IF(OR(AO88="Ranking — Head Term (Capped)",AO88="Ranking — Capped Entry",AO88="Ranking — Capped Long-Tail"),"NO — 0% (capped ranking entry). Bid $"&amp;TEXT(BC88,"0.00")&amp;" vs $"&amp;TEXT(BB88,"0.00")&amp;" max ranking CPC"&amp;" (= $"&amp;TEXT(AY88,"0.00")&amp;" price × "&amp;TEXT(AZ88,"0.0%")&amp;" ranking ceiling × "&amp;TEXT(AD88,"0.0%")&amp;" CVR)"&amp;". While spend is capped at "&amp;TEXT(AS88,"0.00")&amp;" clicks/day, a placement premium would only raise CPC without buying more rank; the modifier is set when this term moves to a full push.","NO — 0% (support / brand term). Bid $"&amp;TEXT(BC88,"0.00")&amp;" vs $"&amp;TEXT(BB88,"0.00")&amp;" max ranking CPC"&amp;" (= $"&amp;TEXT(AY88,"0.00")&amp;" price × "&amp;TEXT(AZ88,"0.0%")&amp;" ranking ceiling × "&amp;TEXT(AD88,"0.0%")&amp;" CVR)"&amp;"; expected ACoS "&amp;TEXT(BI88,"0.0%")&amp;" vs the "&amp;TEXT(AZ88,"0.0%")&amp;" ceiling."))</f>
        <v>NO — 0% (capped ranking entry). Bid $2.04 vs $2.04 max ranking CPC (= $67.99 price × 46.9% ranking ceiling × 6.4% CVR). While spend is capped at 1.00 clicks/day, a placement premium would only raise CPC without buying more rank; the modifier is set when this term moves to a full push.</v>
      </c>
      <c r="BG88" s="50" t="n">
        <f aca="false">BC88*(1+BE88)</f>
        <v>2.04</v>
      </c>
      <c r="BH88" s="45" t="n">
        <f aca="false">AS88*BG88</f>
        <v>2.04</v>
      </c>
      <c r="BI88" s="33" t="n">
        <f aca="false">IFERROR(BG88/(AY88*AD88),"")</f>
        <v>0.468818943962347</v>
      </c>
      <c r="BJ88" s="27" t="str">
        <f aca="false">IF(BI88="","",IF(BI88&lt;=BA88,"Profitable (≤ break-even)",IF(BI88&lt;=AZ88,"Ranking investment (≤ ceiling)","Above ceiling — reduce bid")))</f>
        <v>Ranking investment (≤ ceiling)</v>
      </c>
      <c r="BK88" s="49" t="str">
        <f aca="false">"Base $"&amp;TEXT(BC88,"0.00")&amp;" × (1 + "&amp;TEXT(BE88,"0%")&amp;" TOS) = $"&amp;TEXT(BG88,"0.00")&amp;" effective CPC [max $"&amp;TEXT(BB88,"0.00")&amp;"]. "&amp;TEXT(AG88,"0.0")&amp;" market clicks/day × "&amp;TEXT(AH88,"0.00%")&amp;" click share × "&amp;TEXT(AI88,"0%")&amp;" paid = "&amp;TEXT(AJ88,"0.00")&amp;" clicks/day needed; "&amp;"planned "&amp;TEXT(AS88,"0.00")&amp;" clicks/day × "&amp;TEXT(AD88,"0.0%")&amp;" CVR = "&amp;TEXT(AU88,"0.00")&amp;" orders/day. "&amp;"Spend $"&amp;TEXT(BH88,"0.00")&amp;"/day, ACoS "&amp;TEXT(BI88,"0.0%")&amp;" (ceiling "&amp;TEXT(AZ88,"0.0%")&amp;", break-even "&amp;TEXT(BA88,"0.0%")&amp;"). "&amp;"Target organic rank #"&amp;S88&amp;" by week 8 ("&amp;T88&amp;")."</f>
        <v>Base $2.04 × (1 + 0% TOS) = $2.04 effective CPC [max $2.04]. 7.3 market clicks/day × 1.24% click share × 66% paid = 0.06 clicks/day needed; planned 1.00 clicks/day × 6.4% CVR = 0.06 orders/day. Spend $2.04/day, ACoS 46.9% (ceiling 46.9%, break-even 31.3%). Target organic rank #20 by week 8 (#60 → #35 → #20 (full push after size assignment)).</v>
      </c>
      <c r="BL88" s="27" t="s">
        <v>1256</v>
      </c>
      <c r="BM88" s="27" t="s">
        <v>203</v>
      </c>
      <c r="BN88" s="27" t="s">
        <v>1257</v>
      </c>
      <c r="BO88" s="27" t="s">
        <v>1251</v>
      </c>
      <c r="BP88" s="27" t="s">
        <v>488</v>
      </c>
      <c r="BQ88" s="26" t="s">
        <v>489</v>
      </c>
      <c r="BR88" s="40" t="n">
        <f aca="false">IFERROR(INDEX(Campaigns!$L:$L,MATCH(BN88,Campaigns!$A:$A,0)),"")</f>
        <v>10</v>
      </c>
      <c r="BS88" s="51" t="str">
        <f aca="false">IFERROR(INDEX(Inventory!$O:$O,MATCH(BP88,Inventory!$A:$A,0)),"")</f>
        <v>OK</v>
      </c>
      <c r="BT88" s="52" t="n">
        <f aca="false">IFERROR(INDEX(Inventory!$N:$N,MATCH(BP88,Inventory!$A:$A,0)),"")</f>
        <v>67.2295359591037</v>
      </c>
      <c r="BU88" s="27" t="s">
        <v>1258</v>
      </c>
      <c r="BV88" s="27" t="s">
        <v>263</v>
      </c>
      <c r="BW88" s="27" t="s">
        <v>1259</v>
      </c>
      <c r="BX88" s="27" t="s">
        <v>1260</v>
      </c>
      <c r="BY88" s="27" t="s">
        <v>1261</v>
      </c>
      <c r="BZ88" s="27" t="s">
        <v>543</v>
      </c>
      <c r="CA88" s="27" t="s">
        <v>941</v>
      </c>
      <c r="CB88" s="27" t="s">
        <v>1262</v>
      </c>
      <c r="CC88" s="27" t="s">
        <v>477</v>
      </c>
    </row>
    <row r="89" customFormat="false" ht="120" hidden="false" customHeight="true" outlineLevel="0" collapsed="false">
      <c r="A89" s="53" t="s">
        <v>1263</v>
      </c>
      <c r="B89" s="54" t="n">
        <v>2</v>
      </c>
      <c r="C89" s="26" t="s">
        <v>928</v>
      </c>
      <c r="D89" s="26" t="s">
        <v>560</v>
      </c>
      <c r="E89" s="27" t="s">
        <v>929</v>
      </c>
      <c r="F89" s="28" t="n">
        <v>1</v>
      </c>
      <c r="G89" s="27" t="s">
        <v>187</v>
      </c>
      <c r="H89" s="26" t="s">
        <v>188</v>
      </c>
      <c r="I89" s="29" t="n">
        <v>7.5</v>
      </c>
      <c r="J89" s="27" t="s">
        <v>628</v>
      </c>
      <c r="K89" s="30" t="n">
        <v>3271</v>
      </c>
      <c r="L89" s="31" t="n">
        <v>3353</v>
      </c>
      <c r="M89" s="32" t="n">
        <f aca="false">L89/30</f>
        <v>111.766666666667</v>
      </c>
      <c r="N89" s="33" t="n">
        <v>0.0367511327403926</v>
      </c>
      <c r="O89" s="27" t="s">
        <v>1264</v>
      </c>
      <c r="P89" s="27" t="s">
        <v>1265</v>
      </c>
      <c r="Q89" s="27" t="s">
        <v>192</v>
      </c>
      <c r="R89" s="34" t="n">
        <v>6</v>
      </c>
      <c r="S89" s="35" t="n">
        <v>15</v>
      </c>
      <c r="T89" s="36" t="s">
        <v>450</v>
      </c>
      <c r="U89" s="27" t="s">
        <v>1266</v>
      </c>
      <c r="V89" s="37" t="n">
        <f aca="false">IFERROR(INDEX(Sleephoria_History!$F$454:$F$2115,MATCH($A89,Sleephoria_History!$A$454:$A$2115,0)),"")</f>
        <v>300</v>
      </c>
      <c r="W89" s="38" t="n">
        <f aca="false">IFERROR(INDEX(Sleephoria_History!$J$454:$J$2115,MATCH($A89,Sleephoria_History!$A$454:$A$2115,0)),"")</f>
        <v>0.09</v>
      </c>
      <c r="X89" s="39" t="n">
        <f aca="false">IFERROR(INDEX(Sleephoria_History!$H$454:$H$2115,MATCH($A89,Sleephoria_History!$A$454:$A$2115,0)),"")</f>
        <v>4.17</v>
      </c>
      <c r="Y89" s="38" t="n">
        <f aca="false">IFERROR(INDEX(Sleephoria_History!$M$454:$M$2115,MATCH($A89,Sleephoria_History!$A$454:$A$2115,0)),"")</f>
        <v>0.603</v>
      </c>
      <c r="Z89" s="40" t="n">
        <f aca="false">IFERROR(INDEX(Sleephoria_History!$L$454:$L$2115,MATCH($A89,Sleephoria_History!$A$454:$A$2115,0)),"")</f>
        <v>2073.73</v>
      </c>
      <c r="AA89" s="37" t="n">
        <f aca="false">IFERROR(INDEX(Decolure_History!$F$397:$F$709,MATCH($A89,Decolure_History!$A$397:$A$709,0)),"")</f>
        <v>20</v>
      </c>
      <c r="AB89" s="38" t="n">
        <f aca="false">IFERROR(INDEX(Decolure_History!$J$397:$J$709,MATCH($A89,Decolure_History!$A$397:$A$709,0)),"")</f>
        <v>0</v>
      </c>
      <c r="AC89" s="38" t="n">
        <f aca="false">IFERROR(INDEX(Decolure_History!$M$397:$M$709,MATCH($A89,Decolure_History!$A$397:$A$709,0)),"")</f>
        <v>0</v>
      </c>
      <c r="AD89" s="41" t="n">
        <v>0.072</v>
      </c>
      <c r="AE89" s="27" t="s">
        <v>1267</v>
      </c>
      <c r="AF89" s="42" t="n">
        <v>0.484</v>
      </c>
      <c r="AG89" s="32" t="n">
        <f aca="false">M89*AF89</f>
        <v>54.0950666666667</v>
      </c>
      <c r="AH89" s="43" t="n">
        <f aca="false">IF(AO89="Brand Defense",0,IFERROR(VLOOKUP(S89,Assumptions!$A$24:$B$28,2,FALSE()),0))</f>
        <v>0.0149</v>
      </c>
      <c r="AI89" s="28" t="n">
        <f aca="false">Assumptions!$B$6</f>
        <v>0.66</v>
      </c>
      <c r="AJ89" s="44" t="n">
        <f aca="false">AG89*AH89*AI89</f>
        <v>0.5319708856</v>
      </c>
      <c r="AK89" s="44" t="n">
        <f aca="false">AJ89*AD89</f>
        <v>0.0383019037632</v>
      </c>
      <c r="AL89" s="30" t="n">
        <f aca="false">AJ89*56</f>
        <v>29.7903695936</v>
      </c>
      <c r="AM89" s="32" t="n">
        <f aca="false">AK89*56</f>
        <v>2.1449066107392</v>
      </c>
      <c r="AN89" s="44" t="n">
        <f aca="false">M89*Assumptions!$B$8</f>
        <v>11.1766666666667</v>
      </c>
      <c r="AO89" s="27" t="s">
        <v>430</v>
      </c>
      <c r="AP89" s="27" t="s">
        <v>565</v>
      </c>
      <c r="AQ89" s="26" t="s">
        <v>198</v>
      </c>
      <c r="AR89" s="27" t="s">
        <v>199</v>
      </c>
      <c r="AS89" s="44" t="n">
        <f aca="false">IF(AO89="Ranking — Full Push",MIN(MAX(AJ89,Assumptions!$B$9),AN89),IF(AO89="Brand Defense",MIN(Assumptions!$B$7,AN89),IF(OR(AO89="Ranking — Head Term (Capped)",AO89="Ranking — Capped Entry"),MIN(MAX(AJ89,Assumptions!$B$9),Assumptions!$B$7,AN89),IF(AO89="Ranking — Capped Long-Tail",MIN(AJ89,Assumptions!$B$10,AN89),MIN(AJ89,AN89)))))</f>
        <v>1</v>
      </c>
      <c r="AT89" s="27" t="str">
        <f aca="false">IF(AJ89&lt;=0,"",IF(AS89&gt;=AJ89,IF(AS89&gt;AJ89*1.05,"Floor of "&amp;TEXT(AS89,"0.0")&amp;" click/day to read CVR (rank needs "&amp;TEXT(AJ89,"0.00")&amp;")","Fully funded (100%)"),"Capped at "&amp;TEXT(AS89/AJ89,"0%")&amp;" of required"))</f>
        <v>Floor of 1.0 click/day to read CVR (rank needs 0.53)</v>
      </c>
      <c r="AU89" s="44" t="n">
        <f aca="false">AS89*AD89</f>
        <v>0.072</v>
      </c>
      <c r="AV89" s="45" t="n">
        <f aca="false">AU89*AY89</f>
        <v>6.11928</v>
      </c>
      <c r="AW89" s="46" t="n">
        <v>4.17</v>
      </c>
      <c r="AX89" s="27" t="s">
        <v>1268</v>
      </c>
      <c r="AY89" s="47" t="n">
        <f aca="false">INDEX(Assumptions!$B$33:$B$37,MATCH(IF($D89="","Queen",$D89),Assumptions!$A$33:$A$37,0))</f>
        <v>84.99</v>
      </c>
      <c r="AZ89" s="33" t="n">
        <f aca="false">INDEX(Assumptions!$K$33:$K$37,MATCH(IF($D89="","Queen",$D89),Assumptions!$A$33:$A$37,0))</f>
        <v>0.525970702435581</v>
      </c>
      <c r="BA89" s="33" t="n">
        <f aca="false">INDEX(Assumptions!$H$33:$H$37,MATCH(IF($D89="","Queen",$D89),Assumptions!$A$33:$A$37,0))</f>
        <v>0.350647134957054</v>
      </c>
      <c r="BB89" s="47" t="n">
        <f aca="false">AY89*AZ89*AD89</f>
        <v>3.218562</v>
      </c>
      <c r="BC89" s="47" t="n">
        <f aca="false">ROUND(MIN(AW89*Assumptions!$B$11,BB89),2)</f>
        <v>3.22</v>
      </c>
      <c r="BD89" s="26" t="s">
        <v>201</v>
      </c>
      <c r="BE89" s="48" t="n">
        <f aca="false">IF(AO89="Ranking — Full Push",MAX(0,MIN(IF(BD89="Yes",Assumptions!$B$12,Assumptions!$B$13),FLOOR(MAX(0,BB89/BC89-1),Assumptions!$B$14))),0)</f>
        <v>0</v>
      </c>
      <c r="BF89" s="49" t="str">
        <f aca="false">IF(AO89="Ranking — Full Push",IF(BE89&gt;=1,"YES — +100% Top of Search. Effective CPC $"&amp;TEXT(BG89,"0.00")&amp;" (= $"&amp;TEXT(BC89,"0.00")&amp;" × 2) stays within the $"&amp;TEXT(BB89,"0.00")&amp;" max ranking CPC"&amp;" (= $"&amp;TEXT(AY89,"0.00")&amp;" price × "&amp;TEXT(AZ89,"0.0%")&amp;" ranking ceiling × "&amp;TEXT(AD89,"0.0%")&amp;" CVR)"&amp;". Sleephoria CVR is proven on this term, so the full push is justified.",IF(AND(BD89="No",BE89&gt;=Assumptions!$B$13),"PARTIAL — +"&amp;TEXT(BE89,"0%")&amp;" Top of Search (limit for terms without proven CVR). Effective CPC $"&amp;TEXT(BG89,"0.00")&amp;" vs $"&amp;TEXT(BB89,"0.00")&amp;" max ranking CPC"&amp;" (= $"&amp;TEXT(AY89,"0.00")&amp;" price × "&amp;TEXT(AZ89,"0.0%")&amp;" ranking ceiling × "&amp;TEXT(AD89,"0.0%")&amp;" CVR)"&amp;". Raise to +100% only after CooLinens converts at ≥ "&amp;TEXT(AD89,"0.0%")&amp;" on 50+ clicks and $"&amp;TEXT(BC89*2,"0.00")&amp;" ≤ the max.",IF(BE89&gt;0,"PARTIAL — +"&amp;TEXT(BE89,"0%")&amp;" Top of Search. Effective CPC $"&amp;TEXT(BG89,"0.00")&amp;" stays within the $"&amp;TEXT(BB89,"0.00")&amp;" max ranking CPC"&amp;" (= $"&amp;TEXT(AY89,"0.00")&amp;" price × "&amp;TEXT(AZ89,"0.0%")&amp;" ranking ceiling × "&amp;TEXT(AD89,"0.0%")&amp;" CVR)"&amp;". +100% would cost $"&amp;TEXT(BC89*2,"0.00")&amp;" per click and push ACoS to "&amp;TEXT(BC89*2/(AY89*AD89),"0.0%")&amp;", above the "&amp;TEXT(AZ89,"0.0%")&amp;" ceiling.","NO — 0%. Base bid $"&amp;TEXT(BC89,"0.00")&amp;" already equals the $"&amp;TEXT(BB89,"0.00")&amp;" max ranking CPC"&amp;" (= $"&amp;TEXT(AY89,"0.00")&amp;" price × "&amp;TEXT(AZ89,"0.0%")&amp;" ranking ceiling × "&amp;TEXT(AD89,"0.0%")&amp;" CVR)"&amp;"; any modifier would push ACoS above the "&amp;TEXT(AZ89,"0.0%")&amp;" ceiling."))),IF(OR(AO89="Ranking — Head Term (Capped)",AO89="Ranking — Capped Entry",AO89="Ranking — Capped Long-Tail"),"NO — 0% (capped ranking entry). Bid $"&amp;TEXT(BC89,"0.00")&amp;" vs $"&amp;TEXT(BB89,"0.00")&amp;" max ranking CPC"&amp;" (= $"&amp;TEXT(AY89,"0.00")&amp;" price × "&amp;TEXT(AZ89,"0.0%")&amp;" ranking ceiling × "&amp;TEXT(AD89,"0.0%")&amp;" CVR)"&amp;". While spend is capped at "&amp;TEXT(AS89,"0.00")&amp;" clicks/day, a placement premium would only raise CPC without buying more rank; the modifier is set when this term moves to a full push.","NO — 0% (support / brand term). Bid $"&amp;TEXT(BC89,"0.00")&amp;" vs $"&amp;TEXT(BB89,"0.00")&amp;" max ranking CPC"&amp;" (= $"&amp;TEXT(AY89,"0.00")&amp;" price × "&amp;TEXT(AZ89,"0.0%")&amp;" ranking ceiling × "&amp;TEXT(AD89,"0.0%")&amp;" CVR)"&amp;"; expected ACoS "&amp;TEXT(BI89,"0.0%")&amp;" vs the "&amp;TEXT(AZ89,"0.0%")&amp;" ceiling."))</f>
        <v>NO — 0% (capped ranking entry). Bid $3.22 vs $3.22 max ranking CPC (= $84.99 price × 52.6% ranking ceiling × 7.2% CVR). While spend is capped at 1.00 clicks/day, a placement premium would only raise CPC without buying more rank; the modifier is set when this term moves to a full push.</v>
      </c>
      <c r="BG89" s="50" t="n">
        <f aca="false">BC89*(1+BE89)</f>
        <v>3.22</v>
      </c>
      <c r="BH89" s="45" t="n">
        <f aca="false">AS89*BG89</f>
        <v>3.22</v>
      </c>
      <c r="BI89" s="33" t="n">
        <f aca="false">IFERROR(BG89/(AY89*AD89),"")</f>
        <v>0.526205697402309</v>
      </c>
      <c r="BJ89" s="27" t="str">
        <f aca="false">IF(BI89="","",IF(BI89&lt;=BA89,"Profitable (≤ break-even)",IF(BI89&lt;=AZ89,"Ranking investment (≤ ceiling)","Above ceiling — reduce bid")))</f>
        <v>Above ceiling — reduce bid</v>
      </c>
      <c r="BK89" s="49" t="str">
        <f aca="false">"Base $"&amp;TEXT(BC89,"0.00")&amp;" × (1 + "&amp;TEXT(BE89,"0%")&amp;" TOS) = $"&amp;TEXT(BG89,"0.00")&amp;" effective CPC [max $"&amp;TEXT(BB89,"0.00")&amp;"]. "&amp;TEXT(AG89,"0.0")&amp;" market clicks/day × "&amp;TEXT(AH89,"0.00%")&amp;" click share × "&amp;TEXT(AI89,"0%")&amp;" paid = "&amp;TEXT(AJ89,"0.00")&amp;" clicks/day needed; "&amp;"planned "&amp;TEXT(AS89,"0.00")&amp;" clicks/day × "&amp;TEXT(AD89,"0.0%")&amp;" CVR = "&amp;TEXT(AU89,"0.00")&amp;" orders/day. "&amp;"Spend $"&amp;TEXT(BH89,"0.00")&amp;"/day, ACoS "&amp;TEXT(BI89,"0.0%")&amp;" (ceiling "&amp;TEXT(AZ89,"0.0%")&amp;", break-even "&amp;TEXT(BA89,"0.0%")&amp;"). "&amp;"Target organic rank #"&amp;S89&amp;" by week 8 ("&amp;T89&amp;")."</f>
        <v>Base $3.22 × (1 + 0% TOS) = $3.22 effective CPC [max $3.22]. 54.1 market clicks/day × 1.49% click share × 66% paid = 0.53 clicks/day needed; planned 1.00 clicks/day × 7.2% CVR = 0.07 orders/day. Spend $3.22/day, ACoS 52.6% (ceiling 52.6%, break-even 35.1%). Target organic rank #15 by week 8 (#50 → #30 → #15 (full push after size assignment)).</v>
      </c>
      <c r="BL89" s="27" t="s">
        <v>567</v>
      </c>
      <c r="BM89" s="27" t="s">
        <v>203</v>
      </c>
      <c r="BN89" s="27" t="s">
        <v>1269</v>
      </c>
      <c r="BO89" s="27" t="s">
        <v>1263</v>
      </c>
      <c r="BP89" s="27" t="s">
        <v>569</v>
      </c>
      <c r="BQ89" s="26" t="s">
        <v>570</v>
      </c>
      <c r="BR89" s="40" t="n">
        <f aca="false">IFERROR(INDEX(Campaigns!$L:$L,MATCH(BN89,Campaigns!$A:$A,0)),"")</f>
        <v>10</v>
      </c>
      <c r="BS89" s="51" t="str">
        <f aca="false">IFERROR(INDEX(Inventory!$O:$O,MATCH(BP89,Inventory!$A:$A,0)),"")</f>
        <v>OK</v>
      </c>
      <c r="BT89" s="52" t="n">
        <f aca="false">IFERROR(INDEX(Inventory!$N:$N,MATCH(BP89,Inventory!$A:$A,0)),"")</f>
        <v>63.0533861060951</v>
      </c>
      <c r="BU89" s="27" t="s">
        <v>1270</v>
      </c>
      <c r="BV89" s="27" t="s">
        <v>1100</v>
      </c>
      <c r="BW89" s="27" t="s">
        <v>1271</v>
      </c>
      <c r="BX89" s="27" t="s">
        <v>1272</v>
      </c>
      <c r="BY89" s="27" t="s">
        <v>1273</v>
      </c>
      <c r="BZ89" s="27" t="s">
        <v>593</v>
      </c>
      <c r="CA89" s="27" t="s">
        <v>941</v>
      </c>
      <c r="CB89" s="27" t="s">
        <v>1274</v>
      </c>
      <c r="CC89" s="27" t="s">
        <v>1275</v>
      </c>
    </row>
    <row r="90" customFormat="false" ht="120" hidden="false" customHeight="true" outlineLevel="0" collapsed="false">
      <c r="A90" s="53" t="s">
        <v>1276</v>
      </c>
      <c r="B90" s="54" t="n">
        <v>2</v>
      </c>
      <c r="C90" s="26" t="s">
        <v>928</v>
      </c>
      <c r="D90" s="26" t="s">
        <v>560</v>
      </c>
      <c r="E90" s="27" t="s">
        <v>929</v>
      </c>
      <c r="F90" s="28" t="n">
        <v>1</v>
      </c>
      <c r="G90" s="27" t="s">
        <v>187</v>
      </c>
      <c r="H90" s="26" t="s">
        <v>342</v>
      </c>
      <c r="I90" s="29" t="n">
        <v>5</v>
      </c>
      <c r="J90" s="27" t="s">
        <v>970</v>
      </c>
      <c r="K90" s="30" t="n">
        <v>1109</v>
      </c>
      <c r="L90" s="31" t="n">
        <v>1504</v>
      </c>
      <c r="M90" s="32" t="n">
        <f aca="false">L90/30</f>
        <v>50.1333333333333</v>
      </c>
      <c r="N90" s="33" t="n">
        <v>0.0415364822642896</v>
      </c>
      <c r="O90" s="27" t="s">
        <v>1277</v>
      </c>
      <c r="P90" s="27" t="s">
        <v>1278</v>
      </c>
      <c r="Q90" s="27" t="s">
        <v>220</v>
      </c>
      <c r="R90" s="34" t="n">
        <v>6</v>
      </c>
      <c r="S90" s="35" t="n">
        <v>20</v>
      </c>
      <c r="T90" s="36" t="s">
        <v>467</v>
      </c>
      <c r="U90" s="27" t="s">
        <v>1279</v>
      </c>
      <c r="V90" s="37" t="n">
        <f aca="false">IFERROR(INDEX(Sleephoria_History!$F$454:$F$2115,MATCH($A90,Sleephoria_History!$A$454:$A$2115,0)),"")</f>
        <v>14</v>
      </c>
      <c r="W90" s="38" t="n">
        <f aca="false">IFERROR(INDEX(Sleephoria_History!$J$454:$J$2115,MATCH($A90,Sleephoria_History!$A$454:$A$2115,0)),"")</f>
        <v>0.2857</v>
      </c>
      <c r="X90" s="39" t="n">
        <f aca="false">IFERROR(INDEX(Sleephoria_History!$H$454:$H$2115,MATCH($A90,Sleephoria_History!$A$454:$A$2115,0)),"")</f>
        <v>3.42</v>
      </c>
      <c r="Y90" s="38" t="n">
        <f aca="false">IFERROR(INDEX(Sleephoria_History!$M$454:$M$2115,MATCH($A90,Sleephoria_History!$A$454:$A$2115,0)),"")</f>
        <v>0.143</v>
      </c>
      <c r="Z90" s="40" t="n">
        <f aca="false">IFERROR(INDEX(Sleephoria_History!$L$454:$L$2115,MATCH($A90,Sleephoria_History!$A$454:$A$2115,0)),"")</f>
        <v>334.96</v>
      </c>
      <c r="AA90" s="37" t="str">
        <f aca="false">IFERROR(INDEX(Decolure_History!$F$397:$F$709,MATCH($A90,Decolure_History!$A$397:$A$709,0)),"")</f>
        <v/>
      </c>
      <c r="AB90" s="38" t="str">
        <f aca="false">IFERROR(INDEX(Decolure_History!$J$397:$J$709,MATCH($A90,Decolure_History!$A$397:$A$709,0)),"")</f>
        <v/>
      </c>
      <c r="AC90" s="38" t="str">
        <f aca="false">IFERROR(INDEX(Decolure_History!$M$397:$M$709,MATCH($A90,Decolure_History!$A$397:$A$709,0)),"")</f>
        <v/>
      </c>
      <c r="AD90" s="41" t="n">
        <v>0.064</v>
      </c>
      <c r="AE90" s="27" t="s">
        <v>275</v>
      </c>
      <c r="AF90" s="42" t="n">
        <v>0.399</v>
      </c>
      <c r="AG90" s="32" t="n">
        <f aca="false">M90*AF90</f>
        <v>20.0032</v>
      </c>
      <c r="AH90" s="43" t="n">
        <f aca="false">IF(AO90="Brand Defense",0,IFERROR(VLOOKUP(S90,Assumptions!$A$24:$B$28,2,FALSE()),0))</f>
        <v>0.0124</v>
      </c>
      <c r="AI90" s="28" t="n">
        <f aca="false">Assumptions!$B$6</f>
        <v>0.66</v>
      </c>
      <c r="AJ90" s="44" t="n">
        <f aca="false">AG90*AH90*AI90</f>
        <v>0.1637061888</v>
      </c>
      <c r="AK90" s="44" t="n">
        <f aca="false">AJ90*AD90</f>
        <v>0.0104771960832</v>
      </c>
      <c r="AL90" s="30" t="n">
        <f aca="false">AJ90*56</f>
        <v>9.1675465728</v>
      </c>
      <c r="AM90" s="32" t="n">
        <f aca="false">AK90*56</f>
        <v>0.5867229806592</v>
      </c>
      <c r="AN90" s="44" t="n">
        <f aca="false">M90*Assumptions!$B$8</f>
        <v>5.01333333333333</v>
      </c>
      <c r="AO90" s="27" t="s">
        <v>430</v>
      </c>
      <c r="AP90" s="27" t="s">
        <v>565</v>
      </c>
      <c r="AQ90" s="26" t="s">
        <v>198</v>
      </c>
      <c r="AR90" s="27" t="s">
        <v>199</v>
      </c>
      <c r="AS90" s="44" t="n">
        <f aca="false">IF(AO90="Ranking — Full Push",MIN(MAX(AJ90,Assumptions!$B$9),AN90),IF(AO90="Brand Defense",MIN(Assumptions!$B$7,AN90),IF(OR(AO90="Ranking — Head Term (Capped)",AO90="Ranking — Capped Entry"),MIN(MAX(AJ90,Assumptions!$B$9),Assumptions!$B$7,AN90),IF(AO90="Ranking — Capped Long-Tail",MIN(AJ90,Assumptions!$B$10,AN90),MIN(AJ90,AN90)))))</f>
        <v>1</v>
      </c>
      <c r="AT90" s="27" t="str">
        <f aca="false">IF(AJ90&lt;=0,"",IF(AS90&gt;=AJ90,IF(AS90&gt;AJ90*1.05,"Floor of "&amp;TEXT(AS90,"0.0")&amp;" click/day to read CVR (rank needs "&amp;TEXT(AJ90,"0.00")&amp;")","Fully funded (100%)"),"Capped at "&amp;TEXT(AS90/AJ90,"0%")&amp;" of required"))</f>
        <v>Floor of 1.0 click/day to read CVR (rank needs 0.16)</v>
      </c>
      <c r="AU90" s="44" t="n">
        <f aca="false">AS90*AD90</f>
        <v>0.064</v>
      </c>
      <c r="AV90" s="45" t="n">
        <f aca="false">AU90*AY90</f>
        <v>5.43936</v>
      </c>
      <c r="AW90" s="46" t="n">
        <v>3.68</v>
      </c>
      <c r="AX90" s="27" t="s">
        <v>687</v>
      </c>
      <c r="AY90" s="47" t="n">
        <f aca="false">INDEX(Assumptions!$B$33:$B$37,MATCH(IF($D90="","Queen",$D90),Assumptions!$A$33:$A$37,0))</f>
        <v>84.99</v>
      </c>
      <c r="AZ90" s="33" t="n">
        <f aca="false">INDEX(Assumptions!$K$33:$K$37,MATCH(IF($D90="","Queen",$D90),Assumptions!$A$33:$A$37,0))</f>
        <v>0.525970702435581</v>
      </c>
      <c r="BA90" s="33" t="n">
        <f aca="false">INDEX(Assumptions!$H$33:$H$37,MATCH(IF($D90="","Queen",$D90),Assumptions!$A$33:$A$37,0))</f>
        <v>0.350647134957054</v>
      </c>
      <c r="BB90" s="47" t="n">
        <f aca="false">AY90*AZ90*AD90</f>
        <v>2.860944</v>
      </c>
      <c r="BC90" s="47" t="n">
        <f aca="false">ROUND(MIN(AW90*Assumptions!$B$11,BB90),2)</f>
        <v>2.86</v>
      </c>
      <c r="BD90" s="26" t="s">
        <v>278</v>
      </c>
      <c r="BE90" s="48" t="n">
        <f aca="false">IF(AO90="Ranking — Full Push",MAX(0,MIN(IF(BD90="Yes",Assumptions!$B$12,Assumptions!$B$13),FLOOR(MAX(0,BB90/BC90-1),Assumptions!$B$14))),0)</f>
        <v>0</v>
      </c>
      <c r="BF90" s="49" t="str">
        <f aca="false">IF(AO90="Ranking — Full Push",IF(BE90&gt;=1,"YES — +100% Top of Search. Effective CPC $"&amp;TEXT(BG90,"0.00")&amp;" (= $"&amp;TEXT(BC90,"0.00")&amp;" × 2) stays within the $"&amp;TEXT(BB90,"0.00")&amp;" max ranking CPC"&amp;" (= $"&amp;TEXT(AY90,"0.00")&amp;" price × "&amp;TEXT(AZ90,"0.0%")&amp;" ranking ceiling × "&amp;TEXT(AD90,"0.0%")&amp;" CVR)"&amp;". Sleephoria CVR is proven on this term, so the full push is justified.",IF(AND(BD90="No",BE90&gt;=Assumptions!$B$13),"PARTIAL — +"&amp;TEXT(BE90,"0%")&amp;" Top of Search (limit for terms without proven CVR). Effective CPC $"&amp;TEXT(BG90,"0.00")&amp;" vs $"&amp;TEXT(BB90,"0.00")&amp;" max ranking CPC"&amp;" (= $"&amp;TEXT(AY90,"0.00")&amp;" price × "&amp;TEXT(AZ90,"0.0%")&amp;" ranking ceiling × "&amp;TEXT(AD90,"0.0%")&amp;" CVR)"&amp;". Raise to +100% only after CooLinens converts at ≥ "&amp;TEXT(AD90,"0.0%")&amp;" on 50+ clicks and $"&amp;TEXT(BC90*2,"0.00")&amp;" ≤ the max.",IF(BE90&gt;0,"PARTIAL — +"&amp;TEXT(BE90,"0%")&amp;" Top of Search. Effective CPC $"&amp;TEXT(BG90,"0.00")&amp;" stays within the $"&amp;TEXT(BB90,"0.00")&amp;" max ranking CPC"&amp;" (= $"&amp;TEXT(AY90,"0.00")&amp;" price × "&amp;TEXT(AZ90,"0.0%")&amp;" ranking ceiling × "&amp;TEXT(AD90,"0.0%")&amp;" CVR)"&amp;". +100% would cost $"&amp;TEXT(BC90*2,"0.00")&amp;" per click and push ACoS to "&amp;TEXT(BC90*2/(AY90*AD90),"0.0%")&amp;", above the "&amp;TEXT(AZ90,"0.0%")&amp;" ceiling.","NO — 0%. Base bid $"&amp;TEXT(BC90,"0.00")&amp;" already equals the $"&amp;TEXT(BB90,"0.00")&amp;" max ranking CPC"&amp;" (= $"&amp;TEXT(AY90,"0.00")&amp;" price × "&amp;TEXT(AZ90,"0.0%")&amp;" ranking ceiling × "&amp;TEXT(AD90,"0.0%")&amp;" CVR)"&amp;"; any modifier would push ACoS above the "&amp;TEXT(AZ90,"0.0%")&amp;" ceiling."))),IF(OR(AO90="Ranking — Head Term (Capped)",AO90="Ranking — Capped Entry",AO90="Ranking — Capped Long-Tail"),"NO — 0% (capped ranking entry). Bid $"&amp;TEXT(BC90,"0.00")&amp;" vs $"&amp;TEXT(BB90,"0.00")&amp;" max ranking CPC"&amp;" (= $"&amp;TEXT(AY90,"0.00")&amp;" price × "&amp;TEXT(AZ90,"0.0%")&amp;" ranking ceiling × "&amp;TEXT(AD90,"0.0%")&amp;" CVR)"&amp;". While spend is capped at "&amp;TEXT(AS90,"0.00")&amp;" clicks/day, a placement premium would only raise CPC without buying more rank; the modifier is set when this term moves to a full push.","NO — 0% (support / brand term). Bid $"&amp;TEXT(BC90,"0.00")&amp;" vs $"&amp;TEXT(BB90,"0.00")&amp;" max ranking CPC"&amp;" (= $"&amp;TEXT(AY90,"0.00")&amp;" price × "&amp;TEXT(AZ90,"0.0%")&amp;" ranking ceiling × "&amp;TEXT(AD90,"0.0%")&amp;" CVR)"&amp;"; expected ACoS "&amp;TEXT(BI90,"0.0%")&amp;" vs the "&amp;TEXT(AZ90,"0.0%")&amp;"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0" s="50" t="n">
        <f aca="false">BC90*(1+BE90)</f>
        <v>2.86</v>
      </c>
      <c r="BH90" s="45" t="n">
        <f aca="false">AS90*BG90</f>
        <v>2.86</v>
      </c>
      <c r="BI90" s="33" t="n">
        <f aca="false">IFERROR(BG90/(AY90*AD90),"")</f>
        <v>0.525797152606189</v>
      </c>
      <c r="BJ90" s="27" t="str">
        <f aca="false">IF(BI90="","",IF(BI90&lt;=BA90,"Profitable (≤ break-even)",IF(BI90&lt;=AZ90,"Ranking investment (≤ ceiling)","Above ceiling — reduce bid")))</f>
        <v>Ranking investment (≤ ceiling)</v>
      </c>
      <c r="BK90" s="49" t="str">
        <f aca="false">"Base $"&amp;TEXT(BC90,"0.00")&amp;" × (1 + "&amp;TEXT(BE90,"0%")&amp;" TOS) = $"&amp;TEXT(BG90,"0.00")&amp;" effective CPC [max $"&amp;TEXT(BB90,"0.00")&amp;"]. "&amp;TEXT(AG90,"0.0")&amp;" market clicks/day × "&amp;TEXT(AH90,"0.00%")&amp;" click share × "&amp;TEXT(AI90,"0%")&amp;" paid = "&amp;TEXT(AJ90,"0.00")&amp;" clicks/day needed; "&amp;"planned "&amp;TEXT(AS90,"0.00")&amp;" clicks/day × "&amp;TEXT(AD90,"0.0%")&amp;" CVR = "&amp;TEXT(AU90,"0.00")&amp;" orders/day. "&amp;"Spend $"&amp;TEXT(BH90,"0.00")&amp;"/day, ACoS "&amp;TEXT(BI90,"0.0%")&amp;" (ceiling "&amp;TEXT(AZ90,"0.0%")&amp;", break-even "&amp;TEXT(BA90,"0.0%")&amp;"). "&amp;"Target organic rank #"&amp;S90&amp;" by week 8 ("&amp;T90&amp;")."</f>
        <v>Base $2.86 × (1 + 0% TOS) = $2.86 effective CPC [max $2.86]. 20.0 market clicks/day × 1.24% click share × 66% paid = 0.16 clicks/day needed; planned 1.00 clicks/day × 6.4% CVR = 0.06 orders/day. Spend $2.86/day, ACoS 52.6% (ceiling 52.6%, break-even 35.1%). Target organic rank #20 by week 8 (#60 → #35 → #20 (full push after size assignment)).</v>
      </c>
      <c r="BL90" s="27" t="s">
        <v>662</v>
      </c>
      <c r="BM90" s="27" t="s">
        <v>203</v>
      </c>
      <c r="BN90" s="27" t="s">
        <v>1280</v>
      </c>
      <c r="BO90" s="27" t="s">
        <v>1276</v>
      </c>
      <c r="BP90" s="27" t="s">
        <v>569</v>
      </c>
      <c r="BQ90" s="26" t="s">
        <v>570</v>
      </c>
      <c r="BR90" s="40" t="n">
        <f aca="false">IFERROR(INDEX(Campaigns!$L:$L,MATCH(BN90,Campaigns!$A:$A,0)),"")</f>
        <v>10</v>
      </c>
      <c r="BS90" s="51" t="str">
        <f aca="false">IFERROR(INDEX(Inventory!$O:$O,MATCH(BP90,Inventory!$A:$A,0)),"")</f>
        <v>OK</v>
      </c>
      <c r="BT90" s="52" t="n">
        <f aca="false">IFERROR(INDEX(Inventory!$N:$N,MATCH(BP90,Inventory!$A:$A,0)),"")</f>
        <v>63.0533861060951</v>
      </c>
      <c r="BU90" s="27" t="s">
        <v>1281</v>
      </c>
      <c r="BV90" s="27" t="s">
        <v>263</v>
      </c>
      <c r="BW90" s="27" t="s">
        <v>1282</v>
      </c>
      <c r="BX90" s="27" t="s">
        <v>1283</v>
      </c>
      <c r="BY90" s="27" t="s">
        <v>1284</v>
      </c>
      <c r="BZ90" s="27" t="s">
        <v>593</v>
      </c>
      <c r="CA90" s="27" t="s">
        <v>941</v>
      </c>
      <c r="CB90" s="27" t="s">
        <v>983</v>
      </c>
      <c r="CC90" s="27" t="s">
        <v>477</v>
      </c>
    </row>
    <row r="91" customFormat="false" ht="120" hidden="false" customHeight="true" outlineLevel="0" collapsed="false">
      <c r="A91" s="53" t="s">
        <v>1285</v>
      </c>
      <c r="B91" s="54" t="n">
        <v>2</v>
      </c>
      <c r="C91" s="26" t="s">
        <v>928</v>
      </c>
      <c r="D91" s="26" t="s">
        <v>560</v>
      </c>
      <c r="E91" s="27" t="s">
        <v>929</v>
      </c>
      <c r="F91" s="28" t="n">
        <v>1</v>
      </c>
      <c r="G91" s="27" t="s">
        <v>187</v>
      </c>
      <c r="H91" s="26" t="s">
        <v>342</v>
      </c>
      <c r="I91" s="29" t="n">
        <v>5</v>
      </c>
      <c r="J91" s="27" t="s">
        <v>970</v>
      </c>
      <c r="K91" s="30" t="n">
        <v>1023</v>
      </c>
      <c r="L91" s="31" t="n">
        <v>973</v>
      </c>
      <c r="M91" s="32" t="n">
        <f aca="false">L91/30</f>
        <v>32.4333333333333</v>
      </c>
      <c r="N91" s="33" t="n">
        <v>0.0446902654867256</v>
      </c>
      <c r="O91" s="27" t="s">
        <v>1286</v>
      </c>
      <c r="P91" s="27" t="s">
        <v>1287</v>
      </c>
      <c r="Q91" s="27" t="s">
        <v>1288</v>
      </c>
      <c r="R91" s="34" t="n">
        <v>3</v>
      </c>
      <c r="S91" s="35" t="n">
        <v>20</v>
      </c>
      <c r="T91" s="36" t="s">
        <v>467</v>
      </c>
      <c r="U91" s="27" t="s">
        <v>1289</v>
      </c>
      <c r="V91" s="37" t="n">
        <f aca="false">IFERROR(INDEX(Sleephoria_History!$F$454:$F$2115,MATCH($A91,Sleephoria_History!$A$454:$A$2115,0)),"")</f>
        <v>10</v>
      </c>
      <c r="W91" s="38" t="n">
        <f aca="false">IFERROR(INDEX(Sleephoria_History!$J$454:$J$2115,MATCH($A91,Sleephoria_History!$A$454:$A$2115,0)),"")</f>
        <v>0</v>
      </c>
      <c r="X91" s="39" t="n">
        <f aca="false">IFERROR(INDEX(Sleephoria_History!$H$454:$H$2115,MATCH($A91,Sleephoria_History!$A$454:$A$2115,0)),"")</f>
        <v>3.19</v>
      </c>
      <c r="Y91" s="38" t="n">
        <f aca="false">IFERROR(INDEX(Sleephoria_History!$M$454:$M$2115,MATCH($A91,Sleephoria_History!$A$454:$A$2115,0)),"")</f>
        <v>0</v>
      </c>
      <c r="Z91" s="40" t="n">
        <f aca="false">IFERROR(INDEX(Sleephoria_History!$L$454:$L$2115,MATCH($A91,Sleephoria_History!$A$454:$A$2115,0)),"")</f>
        <v>0</v>
      </c>
      <c r="AA91" s="37" t="n">
        <f aca="false">IFERROR(INDEX(Decolure_History!$F$397:$F$709,MATCH($A91,Decolure_History!$A$397:$A$709,0)),"")</f>
        <v>17</v>
      </c>
      <c r="AB91" s="38" t="n">
        <f aca="false">IFERROR(INDEX(Decolure_History!$J$397:$J$709,MATCH($A91,Decolure_History!$A$397:$A$709,0)),"")</f>
        <v>0</v>
      </c>
      <c r="AC91" s="38" t="n">
        <f aca="false">IFERROR(INDEX(Decolure_History!$M$397:$M$709,MATCH($A91,Decolure_History!$A$397:$A$709,0)),"")</f>
        <v>0</v>
      </c>
      <c r="AD91" s="41" t="n">
        <v>0.064</v>
      </c>
      <c r="AE91" s="27" t="s">
        <v>275</v>
      </c>
      <c r="AF91" s="42" t="n">
        <v>0.469</v>
      </c>
      <c r="AG91" s="32" t="n">
        <f aca="false">M91*AF91</f>
        <v>15.2112333333333</v>
      </c>
      <c r="AH91" s="43" t="n">
        <f aca="false">IF(AO91="Brand Defense",0,IFERROR(VLOOKUP(S91,Assumptions!$A$24:$B$28,2,FALSE()),0))</f>
        <v>0.0124</v>
      </c>
      <c r="AI91" s="28" t="n">
        <f aca="false">Assumptions!$B$6</f>
        <v>0.66</v>
      </c>
      <c r="AJ91" s="44" t="n">
        <f aca="false">AG91*AH91*AI91</f>
        <v>0.1244887336</v>
      </c>
      <c r="AK91" s="44" t="n">
        <f aca="false">AJ91*AD91</f>
        <v>0.0079672789504</v>
      </c>
      <c r="AL91" s="30" t="n">
        <f aca="false">AJ91*56</f>
        <v>6.9713690816</v>
      </c>
      <c r="AM91" s="32" t="n">
        <f aca="false">AK91*56</f>
        <v>0.4461676212224</v>
      </c>
      <c r="AN91" s="44" t="n">
        <f aca="false">M91*Assumptions!$B$8</f>
        <v>3.24333333333333</v>
      </c>
      <c r="AO91" s="27" t="s">
        <v>430</v>
      </c>
      <c r="AP91" s="27" t="s">
        <v>565</v>
      </c>
      <c r="AQ91" s="26" t="s">
        <v>198</v>
      </c>
      <c r="AR91" s="27" t="s">
        <v>199</v>
      </c>
      <c r="AS91" s="44" t="n">
        <f aca="false">IF(AO91="Ranking — Full Push",MIN(MAX(AJ91,Assumptions!$B$9),AN91),IF(AO91="Brand Defense",MIN(Assumptions!$B$7,AN91),IF(OR(AO91="Ranking — Head Term (Capped)",AO91="Ranking — Capped Entry"),MIN(MAX(AJ91,Assumptions!$B$9),Assumptions!$B$7,AN91),IF(AO91="Ranking — Capped Long-Tail",MIN(AJ91,Assumptions!$B$10,AN91),MIN(AJ91,AN91)))))</f>
        <v>1</v>
      </c>
      <c r="AT91" s="27" t="str">
        <f aca="false">IF(AJ91&lt;=0,"",IF(AS91&gt;=AJ91,IF(AS91&gt;AJ91*1.05,"Floor of "&amp;TEXT(AS91,"0.0")&amp;" click/day to read CVR (rank needs "&amp;TEXT(AJ91,"0.00")&amp;")","Fully funded (100%)"),"Capped at "&amp;TEXT(AS91/AJ91,"0%")&amp;" of required"))</f>
        <v>Floor of 1.0 click/day to read CVR (rank needs 0.12)</v>
      </c>
      <c r="AU91" s="44" t="n">
        <f aca="false">AS91*AD91</f>
        <v>0.064</v>
      </c>
      <c r="AV91" s="45" t="n">
        <f aca="false">AU91*AY91</f>
        <v>5.43936</v>
      </c>
      <c r="AW91" s="46" t="n">
        <v>3.68</v>
      </c>
      <c r="AX91" s="27" t="s">
        <v>687</v>
      </c>
      <c r="AY91" s="47" t="n">
        <f aca="false">INDEX(Assumptions!$B$33:$B$37,MATCH(IF($D91="","Queen",$D91),Assumptions!$A$33:$A$37,0))</f>
        <v>84.99</v>
      </c>
      <c r="AZ91" s="33" t="n">
        <f aca="false">INDEX(Assumptions!$K$33:$K$37,MATCH(IF($D91="","Queen",$D91),Assumptions!$A$33:$A$37,0))</f>
        <v>0.525970702435581</v>
      </c>
      <c r="BA91" s="33" t="n">
        <f aca="false">INDEX(Assumptions!$H$33:$H$37,MATCH(IF($D91="","Queen",$D91),Assumptions!$A$33:$A$37,0))</f>
        <v>0.350647134957054</v>
      </c>
      <c r="BB91" s="47" t="n">
        <f aca="false">AY91*AZ91*AD91</f>
        <v>2.860944</v>
      </c>
      <c r="BC91" s="47" t="n">
        <f aca="false">ROUND(MIN(AW91*Assumptions!$B$11,BB91),2)</f>
        <v>2.86</v>
      </c>
      <c r="BD91" s="26" t="s">
        <v>278</v>
      </c>
      <c r="BE91" s="48" t="n">
        <f aca="false">IF(AO91="Ranking — Full Push",MAX(0,MIN(IF(BD91="Yes",Assumptions!$B$12,Assumptions!$B$13),FLOOR(MAX(0,BB91/BC91-1),Assumptions!$B$14))),0)</f>
        <v>0</v>
      </c>
      <c r="BF91" s="49" t="str">
        <f aca="false">IF(AO91="Ranking — Full Push",IF(BE91&gt;=1,"YES — +100% Top of Search. Effective CPC $"&amp;TEXT(BG91,"0.00")&amp;" (= $"&amp;TEXT(BC91,"0.00")&amp;" × 2) stays within the $"&amp;TEXT(BB91,"0.00")&amp;" max ranking CPC"&amp;" (= $"&amp;TEXT(AY91,"0.00")&amp;" price × "&amp;TEXT(AZ91,"0.0%")&amp;" ranking ceiling × "&amp;TEXT(AD91,"0.0%")&amp;" CVR)"&amp;". Sleephoria CVR is proven on this term, so the full push is justified.",IF(AND(BD91="No",BE91&gt;=Assumptions!$B$13),"PARTIAL — +"&amp;TEXT(BE91,"0%")&amp;" Top of Search (limit for terms without proven CVR). Effective CPC $"&amp;TEXT(BG91,"0.00")&amp;" vs $"&amp;TEXT(BB91,"0.00")&amp;" max ranking CPC"&amp;" (= $"&amp;TEXT(AY91,"0.00")&amp;" price × "&amp;TEXT(AZ91,"0.0%")&amp;" ranking ceiling × "&amp;TEXT(AD91,"0.0%")&amp;" CVR)"&amp;". Raise to +100% only after CooLinens converts at ≥ "&amp;TEXT(AD91,"0.0%")&amp;" on 50+ clicks and $"&amp;TEXT(BC91*2,"0.00")&amp;" ≤ the max.",IF(BE91&gt;0,"PARTIAL — +"&amp;TEXT(BE91,"0%")&amp;" Top of Search. Effective CPC $"&amp;TEXT(BG91,"0.00")&amp;" stays within the $"&amp;TEXT(BB91,"0.00")&amp;" max ranking CPC"&amp;" (= $"&amp;TEXT(AY91,"0.00")&amp;" price × "&amp;TEXT(AZ91,"0.0%")&amp;" ranking ceiling × "&amp;TEXT(AD91,"0.0%")&amp;" CVR)"&amp;". +100% would cost $"&amp;TEXT(BC91*2,"0.00")&amp;" per click and push ACoS to "&amp;TEXT(BC91*2/(AY91*AD91),"0.0%")&amp;", above the "&amp;TEXT(AZ91,"0.0%")&amp;" ceiling.","NO — 0%. Base bid $"&amp;TEXT(BC91,"0.00")&amp;" already equals the $"&amp;TEXT(BB91,"0.00")&amp;" max ranking CPC"&amp;" (= $"&amp;TEXT(AY91,"0.00")&amp;" price × "&amp;TEXT(AZ91,"0.0%")&amp;" ranking ceiling × "&amp;TEXT(AD91,"0.0%")&amp;" CVR)"&amp;"; any modifier would push ACoS above the "&amp;TEXT(AZ91,"0.0%")&amp;" ceiling."))),IF(OR(AO91="Ranking — Head Term (Capped)",AO91="Ranking — Capped Entry",AO91="Ranking — Capped Long-Tail"),"NO — 0% (capped ranking entry). Bid $"&amp;TEXT(BC91,"0.00")&amp;" vs $"&amp;TEXT(BB91,"0.00")&amp;" max ranking CPC"&amp;" (= $"&amp;TEXT(AY91,"0.00")&amp;" price × "&amp;TEXT(AZ91,"0.0%")&amp;" ranking ceiling × "&amp;TEXT(AD91,"0.0%")&amp;" CVR)"&amp;". While spend is capped at "&amp;TEXT(AS91,"0.00")&amp;" clicks/day, a placement premium would only raise CPC without buying more rank; the modifier is set when this term moves to a full push.","NO — 0% (support / brand term). Bid $"&amp;TEXT(BC91,"0.00")&amp;" vs $"&amp;TEXT(BB91,"0.00")&amp;" max ranking CPC"&amp;" (= $"&amp;TEXT(AY91,"0.00")&amp;" price × "&amp;TEXT(AZ91,"0.0%")&amp;" ranking ceiling × "&amp;TEXT(AD91,"0.0%")&amp;" CVR)"&amp;"; expected ACoS "&amp;TEXT(BI91,"0.0%")&amp;" vs the "&amp;TEXT(AZ91,"0.0%")&amp;"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1" s="50" t="n">
        <f aca="false">BC91*(1+BE91)</f>
        <v>2.86</v>
      </c>
      <c r="BH91" s="45" t="n">
        <f aca="false">AS91*BG91</f>
        <v>2.86</v>
      </c>
      <c r="BI91" s="33" t="n">
        <f aca="false">IFERROR(BG91/(AY91*AD91),"")</f>
        <v>0.525797152606189</v>
      </c>
      <c r="BJ91" s="27" t="str">
        <f aca="false">IF(BI91="","",IF(BI91&lt;=BA91,"Profitable (≤ break-even)",IF(BI91&lt;=AZ91,"Ranking investment (≤ ceiling)","Above ceiling — reduce bid")))</f>
        <v>Ranking investment (≤ ceiling)</v>
      </c>
      <c r="BK91" s="49" t="str">
        <f aca="false">"Base $"&amp;TEXT(BC91,"0.00")&amp;" × (1 + "&amp;TEXT(BE91,"0%")&amp;" TOS) = $"&amp;TEXT(BG91,"0.00")&amp;" effective CPC [max $"&amp;TEXT(BB91,"0.00")&amp;"]. "&amp;TEXT(AG91,"0.0")&amp;" market clicks/day × "&amp;TEXT(AH91,"0.00%")&amp;" click share × "&amp;TEXT(AI91,"0%")&amp;" paid = "&amp;TEXT(AJ91,"0.00")&amp;" clicks/day needed; "&amp;"planned "&amp;TEXT(AS91,"0.00")&amp;" clicks/day × "&amp;TEXT(AD91,"0.0%")&amp;" CVR = "&amp;TEXT(AU91,"0.00")&amp;" orders/day. "&amp;"Spend $"&amp;TEXT(BH91,"0.00")&amp;"/day, ACoS "&amp;TEXT(BI91,"0.0%")&amp;" (ceiling "&amp;TEXT(AZ91,"0.0%")&amp;", break-even "&amp;TEXT(BA91,"0.0%")&amp;"). "&amp;"Target organic rank #"&amp;S91&amp;" by week 8 ("&amp;T91&amp;")."</f>
        <v>Base $2.86 × (1 + 0% TOS) = $2.86 effective CPC [max $2.86]. 15.2 market clicks/day × 1.24% click share × 66% paid = 0.12 clicks/day needed; planned 1.00 clicks/day × 6.4% CVR = 0.06 orders/day. Spend $2.86/day, ACoS 52.6% (ceiling 52.6%, break-even 35.1%). Target organic rank #20 by week 8 (#60 → #35 → #20 (full push after size assignment)).</v>
      </c>
      <c r="BL91" s="27" t="s">
        <v>617</v>
      </c>
      <c r="BM91" s="27" t="s">
        <v>203</v>
      </c>
      <c r="BN91" s="27" t="s">
        <v>1290</v>
      </c>
      <c r="BO91" s="27" t="s">
        <v>1285</v>
      </c>
      <c r="BP91" s="27" t="s">
        <v>569</v>
      </c>
      <c r="BQ91" s="26" t="s">
        <v>570</v>
      </c>
      <c r="BR91" s="40" t="n">
        <f aca="false">IFERROR(INDEX(Campaigns!$L:$L,MATCH(BN91,Campaigns!$A:$A,0)),"")</f>
        <v>10</v>
      </c>
      <c r="BS91" s="51" t="str">
        <f aca="false">IFERROR(INDEX(Inventory!$O:$O,MATCH(BP91,Inventory!$A:$A,0)),"")</f>
        <v>OK</v>
      </c>
      <c r="BT91" s="52" t="n">
        <f aca="false">IFERROR(INDEX(Inventory!$N:$N,MATCH(BP91,Inventory!$A:$A,0)),"")</f>
        <v>63.0533861060951</v>
      </c>
      <c r="BU91" s="27" t="s">
        <v>1291</v>
      </c>
      <c r="BV91" s="27" t="s">
        <v>1292</v>
      </c>
      <c r="BW91" s="27" t="s">
        <v>1293</v>
      </c>
      <c r="BX91" s="27" t="s">
        <v>1294</v>
      </c>
      <c r="BY91" s="27" t="s">
        <v>1295</v>
      </c>
      <c r="BZ91" s="27" t="s">
        <v>1296</v>
      </c>
      <c r="CA91" s="27" t="s">
        <v>941</v>
      </c>
      <c r="CB91" s="27" t="s">
        <v>983</v>
      </c>
      <c r="CC91" s="27" t="s">
        <v>477</v>
      </c>
    </row>
    <row r="92" customFormat="false" ht="120" hidden="false" customHeight="true" outlineLevel="0" collapsed="false">
      <c r="A92" s="53" t="s">
        <v>1297</v>
      </c>
      <c r="B92" s="54" t="n">
        <v>2</v>
      </c>
      <c r="C92" s="26" t="s">
        <v>928</v>
      </c>
      <c r="D92" s="26" t="s">
        <v>560</v>
      </c>
      <c r="E92" s="27" t="s">
        <v>929</v>
      </c>
      <c r="F92" s="28" t="n">
        <v>1</v>
      </c>
      <c r="G92" s="27" t="s">
        <v>187</v>
      </c>
      <c r="H92" s="26" t="s">
        <v>342</v>
      </c>
      <c r="I92" s="29" t="n">
        <v>4</v>
      </c>
      <c r="J92" s="27" t="s">
        <v>1298</v>
      </c>
      <c r="K92" s="30" t="n">
        <v>644</v>
      </c>
      <c r="L92" s="31" t="n">
        <v>952</v>
      </c>
      <c r="M92" s="32" t="n">
        <f aca="false">L92/30</f>
        <v>31.7333333333333</v>
      </c>
      <c r="N92" s="33" t="n">
        <v>0.0384615384615384</v>
      </c>
      <c r="O92" s="27" t="s">
        <v>1299</v>
      </c>
      <c r="P92" s="27" t="s">
        <v>1300</v>
      </c>
      <c r="Q92" s="27" t="s">
        <v>273</v>
      </c>
      <c r="R92" s="34" t="n">
        <v>6</v>
      </c>
      <c r="S92" s="35" t="n">
        <v>20</v>
      </c>
      <c r="T92" s="36" t="s">
        <v>467</v>
      </c>
      <c r="U92" s="27" t="s">
        <v>1301</v>
      </c>
      <c r="V92" s="37" t="n">
        <f aca="false">IFERROR(INDEX(Sleephoria_History!$F$454:$F$2115,MATCH($A92,Sleephoria_History!$A$454:$A$2115,0)),"")</f>
        <v>4</v>
      </c>
      <c r="W92" s="38" t="n">
        <f aca="false">IFERROR(INDEX(Sleephoria_History!$J$454:$J$2115,MATCH($A92,Sleephoria_History!$A$454:$A$2115,0)),"")</f>
        <v>0</v>
      </c>
      <c r="X92" s="39" t="n">
        <f aca="false">IFERROR(INDEX(Sleephoria_History!$H$454:$H$2115,MATCH($A92,Sleephoria_History!$A$454:$A$2115,0)),"")</f>
        <v>2.65</v>
      </c>
      <c r="Y92" s="38" t="n">
        <f aca="false">IFERROR(INDEX(Sleephoria_History!$M$454:$M$2115,MATCH($A92,Sleephoria_History!$A$454:$A$2115,0)),"")</f>
        <v>0</v>
      </c>
      <c r="Z92" s="40" t="n">
        <f aca="false">IFERROR(INDEX(Sleephoria_History!$L$454:$L$2115,MATCH($A92,Sleephoria_History!$A$454:$A$2115,0)),"")</f>
        <v>0</v>
      </c>
      <c r="AA92" s="37" t="n">
        <f aca="false">IFERROR(INDEX(Decolure_History!$F$397:$F$709,MATCH($A92,Decolure_History!$A$397:$A$709,0)),"")</f>
        <v>18</v>
      </c>
      <c r="AB92" s="38" t="n">
        <f aca="false">IFERROR(INDEX(Decolure_History!$J$397:$J$709,MATCH($A92,Decolure_History!$A$397:$A$709,0)),"")</f>
        <v>0</v>
      </c>
      <c r="AC92" s="38" t="n">
        <f aca="false">IFERROR(INDEX(Decolure_History!$M$397:$M$709,MATCH($A92,Decolure_History!$A$397:$A$709,0)),"")</f>
        <v>0</v>
      </c>
      <c r="AD92" s="41" t="n">
        <v>0.064</v>
      </c>
      <c r="AE92" s="27" t="s">
        <v>275</v>
      </c>
      <c r="AF92" s="42" t="n">
        <v>0.539</v>
      </c>
      <c r="AG92" s="32" t="n">
        <f aca="false">M92*AF92</f>
        <v>17.1042666666667</v>
      </c>
      <c r="AH92" s="43" t="n">
        <f aca="false">IF(AO92="Brand Defense",0,IFERROR(VLOOKUP(S92,Assumptions!$A$24:$B$28,2,FALSE()),0))</f>
        <v>0.0124</v>
      </c>
      <c r="AI92" s="28" t="n">
        <f aca="false">Assumptions!$B$6</f>
        <v>0.66</v>
      </c>
      <c r="AJ92" s="44" t="n">
        <f aca="false">AG92*AH92*AI92</f>
        <v>0.1399813184</v>
      </c>
      <c r="AK92" s="44" t="n">
        <f aca="false">AJ92*AD92</f>
        <v>0.0089588043776</v>
      </c>
      <c r="AL92" s="30" t="n">
        <f aca="false">AJ92*56</f>
        <v>7.8389538304</v>
      </c>
      <c r="AM92" s="32" t="n">
        <f aca="false">AK92*56</f>
        <v>0.5016930451456</v>
      </c>
      <c r="AN92" s="44" t="n">
        <f aca="false">M92*Assumptions!$B$8</f>
        <v>3.17333333333333</v>
      </c>
      <c r="AO92" s="27" t="s">
        <v>430</v>
      </c>
      <c r="AP92" s="27" t="s">
        <v>565</v>
      </c>
      <c r="AQ92" s="26" t="s">
        <v>198</v>
      </c>
      <c r="AR92" s="27" t="s">
        <v>199</v>
      </c>
      <c r="AS92" s="44" t="n">
        <f aca="false">IF(AO92="Ranking — Full Push",MIN(MAX(AJ92,Assumptions!$B$9),AN92),IF(AO92="Brand Defense",MIN(Assumptions!$B$7,AN92),IF(OR(AO92="Ranking — Head Term (Capped)",AO92="Ranking — Capped Entry"),MIN(MAX(AJ92,Assumptions!$B$9),Assumptions!$B$7,AN92),IF(AO92="Ranking — Capped Long-Tail",MIN(AJ92,Assumptions!$B$10,AN92),MIN(AJ92,AN92)))))</f>
        <v>1</v>
      </c>
      <c r="AT92" s="27" t="str">
        <f aca="false">IF(AJ92&lt;=0,"",IF(AS92&gt;=AJ92,IF(AS92&gt;AJ92*1.05,"Floor of "&amp;TEXT(AS92,"0.0")&amp;" click/day to read CVR (rank needs "&amp;TEXT(AJ92,"0.00")&amp;")","Fully funded (100%)"),"Capped at "&amp;TEXT(AS92/AJ92,"0%")&amp;" of required"))</f>
        <v>Floor of 1.0 click/day to read CVR (rank needs 0.14)</v>
      </c>
      <c r="AU92" s="44" t="n">
        <f aca="false">AS92*AD92</f>
        <v>0.064</v>
      </c>
      <c r="AV92" s="45" t="n">
        <f aca="false">AU92*AY92</f>
        <v>5.43936</v>
      </c>
      <c r="AW92" s="46" t="n">
        <v>3.68</v>
      </c>
      <c r="AX92" s="27" t="s">
        <v>687</v>
      </c>
      <c r="AY92" s="47" t="n">
        <f aca="false">INDEX(Assumptions!$B$33:$B$37,MATCH(IF($D92="","Queen",$D92),Assumptions!$A$33:$A$37,0))</f>
        <v>84.99</v>
      </c>
      <c r="AZ92" s="33" t="n">
        <f aca="false">INDEX(Assumptions!$K$33:$K$37,MATCH(IF($D92="","Queen",$D92),Assumptions!$A$33:$A$37,0))</f>
        <v>0.525970702435581</v>
      </c>
      <c r="BA92" s="33" t="n">
        <f aca="false">INDEX(Assumptions!$H$33:$H$37,MATCH(IF($D92="","Queen",$D92),Assumptions!$A$33:$A$37,0))</f>
        <v>0.350647134957054</v>
      </c>
      <c r="BB92" s="47" t="n">
        <f aca="false">AY92*AZ92*AD92</f>
        <v>2.860944</v>
      </c>
      <c r="BC92" s="47" t="n">
        <f aca="false">ROUND(MIN(AW92*Assumptions!$B$11,BB92),2)</f>
        <v>2.86</v>
      </c>
      <c r="BD92" s="26" t="s">
        <v>278</v>
      </c>
      <c r="BE92" s="48" t="n">
        <f aca="false">IF(AO92="Ranking — Full Push",MAX(0,MIN(IF(BD92="Yes",Assumptions!$B$12,Assumptions!$B$13),FLOOR(MAX(0,BB92/BC92-1),Assumptions!$B$14))),0)</f>
        <v>0</v>
      </c>
      <c r="BF92" s="49" t="str">
        <f aca="false">IF(AO92="Ranking — Full Push",IF(BE92&gt;=1,"YES — +100% Top of Search. Effective CPC $"&amp;TEXT(BG92,"0.00")&amp;" (= $"&amp;TEXT(BC92,"0.00")&amp;" × 2) stays within the $"&amp;TEXT(BB92,"0.00")&amp;" max ranking CPC"&amp;" (= $"&amp;TEXT(AY92,"0.00")&amp;" price × "&amp;TEXT(AZ92,"0.0%")&amp;" ranking ceiling × "&amp;TEXT(AD92,"0.0%")&amp;" CVR)"&amp;". Sleephoria CVR is proven on this term, so the full push is justified.",IF(AND(BD92="No",BE92&gt;=Assumptions!$B$13),"PARTIAL — +"&amp;TEXT(BE92,"0%")&amp;" Top of Search (limit for terms without proven CVR). Effective CPC $"&amp;TEXT(BG92,"0.00")&amp;" vs $"&amp;TEXT(BB92,"0.00")&amp;" max ranking CPC"&amp;" (= $"&amp;TEXT(AY92,"0.00")&amp;" price × "&amp;TEXT(AZ92,"0.0%")&amp;" ranking ceiling × "&amp;TEXT(AD92,"0.0%")&amp;" CVR)"&amp;". Raise to +100% only after CooLinens converts at ≥ "&amp;TEXT(AD92,"0.0%")&amp;" on 50+ clicks and $"&amp;TEXT(BC92*2,"0.00")&amp;" ≤ the max.",IF(BE92&gt;0,"PARTIAL — +"&amp;TEXT(BE92,"0%")&amp;" Top of Search. Effective CPC $"&amp;TEXT(BG92,"0.00")&amp;" stays within the $"&amp;TEXT(BB92,"0.00")&amp;" max ranking CPC"&amp;" (= $"&amp;TEXT(AY92,"0.00")&amp;" price × "&amp;TEXT(AZ92,"0.0%")&amp;" ranking ceiling × "&amp;TEXT(AD92,"0.0%")&amp;" CVR)"&amp;". +100% would cost $"&amp;TEXT(BC92*2,"0.00")&amp;" per click and push ACoS to "&amp;TEXT(BC92*2/(AY92*AD92),"0.0%")&amp;", above the "&amp;TEXT(AZ92,"0.0%")&amp;" ceiling.","NO — 0%. Base bid $"&amp;TEXT(BC92,"0.00")&amp;" already equals the $"&amp;TEXT(BB92,"0.00")&amp;" max ranking CPC"&amp;" (= $"&amp;TEXT(AY92,"0.00")&amp;" price × "&amp;TEXT(AZ92,"0.0%")&amp;" ranking ceiling × "&amp;TEXT(AD92,"0.0%")&amp;" CVR)"&amp;"; any modifier would push ACoS above the "&amp;TEXT(AZ92,"0.0%")&amp;" ceiling."))),IF(OR(AO92="Ranking — Head Term (Capped)",AO92="Ranking — Capped Entry",AO92="Ranking — Capped Long-Tail"),"NO — 0% (capped ranking entry). Bid $"&amp;TEXT(BC92,"0.00")&amp;" vs $"&amp;TEXT(BB92,"0.00")&amp;" max ranking CPC"&amp;" (= $"&amp;TEXT(AY92,"0.00")&amp;" price × "&amp;TEXT(AZ92,"0.0%")&amp;" ranking ceiling × "&amp;TEXT(AD92,"0.0%")&amp;" CVR)"&amp;". While spend is capped at "&amp;TEXT(AS92,"0.00")&amp;" clicks/day, a placement premium would only raise CPC without buying more rank; the modifier is set when this term moves to a full push.","NO — 0% (support / brand term). Bid $"&amp;TEXT(BC92,"0.00")&amp;" vs $"&amp;TEXT(BB92,"0.00")&amp;" max ranking CPC"&amp;" (= $"&amp;TEXT(AY92,"0.00")&amp;" price × "&amp;TEXT(AZ92,"0.0%")&amp;" ranking ceiling × "&amp;TEXT(AD92,"0.0%")&amp;" CVR)"&amp;"; expected ACoS "&amp;TEXT(BI92,"0.0%")&amp;" vs the "&amp;TEXT(AZ92,"0.0%")&amp;"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2" s="50" t="n">
        <f aca="false">BC92*(1+BE92)</f>
        <v>2.86</v>
      </c>
      <c r="BH92" s="45" t="n">
        <f aca="false">AS92*BG92</f>
        <v>2.86</v>
      </c>
      <c r="BI92" s="33" t="n">
        <f aca="false">IFERROR(BG92/(AY92*AD92),"")</f>
        <v>0.525797152606189</v>
      </c>
      <c r="BJ92" s="27" t="str">
        <f aca="false">IF(BI92="","",IF(BI92&lt;=BA92,"Profitable (≤ break-even)",IF(BI92&lt;=AZ92,"Ranking investment (≤ ceiling)","Above ceiling — reduce bid")))</f>
        <v>Ranking investment (≤ ceiling)</v>
      </c>
      <c r="BK92" s="49" t="str">
        <f aca="false">"Base $"&amp;TEXT(BC92,"0.00")&amp;" × (1 + "&amp;TEXT(BE92,"0%")&amp;" TOS) = $"&amp;TEXT(BG92,"0.00")&amp;" effective CPC [max $"&amp;TEXT(BB92,"0.00")&amp;"]. "&amp;TEXT(AG92,"0.0")&amp;" market clicks/day × "&amp;TEXT(AH92,"0.00%")&amp;" click share × "&amp;TEXT(AI92,"0%")&amp;" paid = "&amp;TEXT(AJ92,"0.00")&amp;" clicks/day needed; "&amp;"planned "&amp;TEXT(AS92,"0.00")&amp;" clicks/day × "&amp;TEXT(AD92,"0.0%")&amp;" CVR = "&amp;TEXT(AU92,"0.00")&amp;" orders/day. "&amp;"Spend $"&amp;TEXT(BH92,"0.00")&amp;"/day, ACoS "&amp;TEXT(BI92,"0.0%")&amp;" (ceiling "&amp;TEXT(AZ92,"0.0%")&amp;", break-even "&amp;TEXT(BA92,"0.0%")&amp;"). "&amp;"Target organic rank #"&amp;S92&amp;" by week 8 ("&amp;T92&amp;")."</f>
        <v>Base $2.86 × (1 + 0% TOS) = $2.86 effective CPC [max $2.86]. 17.1 market clicks/day × 1.24% click share × 66% paid = 0.14 clicks/day needed; planned 1.00 clicks/day × 6.4% CVR = 0.06 orders/day. Spend $2.86/day, ACoS 52.6% (ceiling 52.6%, break-even 35.1%). Target organic rank #20 by week 8 (#60 → #35 → #20 (full push after size assignment)).</v>
      </c>
      <c r="BL92" s="27" t="s">
        <v>617</v>
      </c>
      <c r="BM92" s="27" t="s">
        <v>203</v>
      </c>
      <c r="BN92" s="27" t="s">
        <v>1302</v>
      </c>
      <c r="BO92" s="27" t="s">
        <v>1297</v>
      </c>
      <c r="BP92" s="27" t="s">
        <v>569</v>
      </c>
      <c r="BQ92" s="26" t="s">
        <v>570</v>
      </c>
      <c r="BR92" s="40" t="n">
        <f aca="false">IFERROR(INDEX(Campaigns!$L:$L,MATCH(BN92,Campaigns!$A:$A,0)),"")</f>
        <v>10</v>
      </c>
      <c r="BS92" s="51" t="str">
        <f aca="false">IFERROR(INDEX(Inventory!$O:$O,MATCH(BP92,Inventory!$A:$A,0)),"")</f>
        <v>OK</v>
      </c>
      <c r="BT92" s="52" t="n">
        <f aca="false">IFERROR(INDEX(Inventory!$N:$N,MATCH(BP92,Inventory!$A:$A,0)),"")</f>
        <v>63.0533861060951</v>
      </c>
      <c r="BU92" s="27" t="s">
        <v>1303</v>
      </c>
      <c r="BV92" s="27" t="s">
        <v>991</v>
      </c>
      <c r="BW92" s="27" t="s">
        <v>1304</v>
      </c>
      <c r="BX92" s="27" t="s">
        <v>1305</v>
      </c>
      <c r="BY92" s="27" t="s">
        <v>1306</v>
      </c>
      <c r="BZ92" s="27" t="s">
        <v>1307</v>
      </c>
      <c r="CA92" s="27" t="s">
        <v>941</v>
      </c>
      <c r="CB92" s="27" t="s">
        <v>1308</v>
      </c>
      <c r="CC92" s="27" t="s">
        <v>477</v>
      </c>
    </row>
    <row r="93" customFormat="false" ht="120" hidden="false" customHeight="true" outlineLevel="0" collapsed="false">
      <c r="A93" s="53" t="s">
        <v>1309</v>
      </c>
      <c r="B93" s="54" t="n">
        <v>2</v>
      </c>
      <c r="C93" s="26" t="s">
        <v>928</v>
      </c>
      <c r="D93" s="26" t="s">
        <v>560</v>
      </c>
      <c r="E93" s="27" t="s">
        <v>929</v>
      </c>
      <c r="F93" s="28" t="n">
        <v>1</v>
      </c>
      <c r="G93" s="27" t="s">
        <v>187</v>
      </c>
      <c r="H93" s="26" t="s">
        <v>342</v>
      </c>
      <c r="I93" s="29" t="n">
        <v>4.5</v>
      </c>
      <c r="J93" s="27" t="s">
        <v>822</v>
      </c>
      <c r="K93" s="30" t="n">
        <v>1023</v>
      </c>
      <c r="L93" s="31" t="n">
        <v>924</v>
      </c>
      <c r="M93" s="32" t="n">
        <f aca="false">L93/30</f>
        <v>30.8</v>
      </c>
      <c r="N93" s="33" t="n">
        <v>0.0357142857142857</v>
      </c>
      <c r="O93" s="27" t="s">
        <v>1310</v>
      </c>
      <c r="P93" s="27" t="s">
        <v>1311</v>
      </c>
      <c r="Q93" s="27" t="s">
        <v>1312</v>
      </c>
      <c r="R93" s="34" t="n">
        <v>3</v>
      </c>
      <c r="S93" s="35" t="n">
        <v>20</v>
      </c>
      <c r="T93" s="36" t="s">
        <v>467</v>
      </c>
      <c r="U93" s="27" t="s">
        <v>1313</v>
      </c>
      <c r="V93" s="37" t="n">
        <f aca="false">IFERROR(INDEX(Sleephoria_History!$F$454:$F$2115,MATCH($A93,Sleephoria_History!$A$454:$A$2115,0)),"")</f>
        <v>13</v>
      </c>
      <c r="W93" s="38" t="n">
        <f aca="false">IFERROR(INDEX(Sleephoria_History!$J$454:$J$2115,MATCH($A93,Sleephoria_History!$A$454:$A$2115,0)),"")</f>
        <v>0.3077</v>
      </c>
      <c r="X93" s="39" t="n">
        <f aca="false">IFERROR(INDEX(Sleephoria_History!$H$454:$H$2115,MATCH($A93,Sleephoria_History!$A$454:$A$2115,0)),"")</f>
        <v>3.12</v>
      </c>
      <c r="Y93" s="38" t="n">
        <f aca="false">IFERROR(INDEX(Sleephoria_History!$M$454:$M$2115,MATCH($A93,Sleephoria_History!$A$454:$A$2115,0)),"")</f>
        <v>0.129</v>
      </c>
      <c r="Z93" s="40" t="n">
        <f aca="false">IFERROR(INDEX(Sleephoria_History!$L$454:$L$2115,MATCH($A93,Sleephoria_History!$A$454:$A$2115,0)),"")</f>
        <v>314.96</v>
      </c>
      <c r="AA93" s="37" t="n">
        <f aca="false">IFERROR(INDEX(Decolure_History!$F$397:$F$709,MATCH($A93,Decolure_History!$A$397:$A$709,0)),"")</f>
        <v>25</v>
      </c>
      <c r="AB93" s="38" t="n">
        <f aca="false">IFERROR(INDEX(Decolure_History!$J$397:$J$709,MATCH($A93,Decolure_History!$A$397:$A$709,0)),"")</f>
        <v>0.16</v>
      </c>
      <c r="AC93" s="38" t="n">
        <f aca="false">IFERROR(INDEX(Decolure_History!$M$397:$M$709,MATCH($A93,Decolure_History!$A$397:$A$709,0)),"")</f>
        <v>0.575</v>
      </c>
      <c r="AD93" s="41" t="n">
        <v>0.064</v>
      </c>
      <c r="AE93" s="27" t="s">
        <v>275</v>
      </c>
      <c r="AF93" s="42" t="n">
        <v>0.473</v>
      </c>
      <c r="AG93" s="32" t="n">
        <f aca="false">M93*AF93</f>
        <v>14.5684</v>
      </c>
      <c r="AH93" s="43" t="n">
        <f aca="false">IF(AO93="Brand Defense",0,IFERROR(VLOOKUP(S93,Assumptions!$A$24:$B$28,2,FALSE()),0))</f>
        <v>0.0124</v>
      </c>
      <c r="AI93" s="28" t="n">
        <f aca="false">Assumptions!$B$6</f>
        <v>0.66</v>
      </c>
      <c r="AJ93" s="44" t="n">
        <f aca="false">AG93*AH93*AI93</f>
        <v>0.1192277856</v>
      </c>
      <c r="AK93" s="44" t="n">
        <f aca="false">AJ93*AD93</f>
        <v>0.0076305782784</v>
      </c>
      <c r="AL93" s="30" t="n">
        <f aca="false">AJ93*56</f>
        <v>6.6767559936</v>
      </c>
      <c r="AM93" s="32" t="n">
        <f aca="false">AK93*56</f>
        <v>0.4273123835904</v>
      </c>
      <c r="AN93" s="44" t="n">
        <f aca="false">M93*Assumptions!$B$8</f>
        <v>3.08</v>
      </c>
      <c r="AO93" s="27" t="s">
        <v>430</v>
      </c>
      <c r="AP93" s="27" t="s">
        <v>565</v>
      </c>
      <c r="AQ93" s="26" t="s">
        <v>198</v>
      </c>
      <c r="AR93" s="27" t="s">
        <v>199</v>
      </c>
      <c r="AS93" s="44" t="n">
        <f aca="false">IF(AO93="Ranking — Full Push",MIN(MAX(AJ93,Assumptions!$B$9),AN93),IF(AO93="Brand Defense",MIN(Assumptions!$B$7,AN93),IF(OR(AO93="Ranking — Head Term (Capped)",AO93="Ranking — Capped Entry"),MIN(MAX(AJ93,Assumptions!$B$9),Assumptions!$B$7,AN93),IF(AO93="Ranking — Capped Long-Tail",MIN(AJ93,Assumptions!$B$10,AN93),MIN(AJ93,AN93)))))</f>
        <v>1</v>
      </c>
      <c r="AT93" s="27" t="str">
        <f aca="false">IF(AJ93&lt;=0,"",IF(AS93&gt;=AJ93,IF(AS93&gt;AJ93*1.05,"Floor of "&amp;TEXT(AS93,"0.0")&amp;" click/day to read CVR (rank needs "&amp;TEXT(AJ93,"0.00")&amp;")","Fully funded (100%)"),"Capped at "&amp;TEXT(AS93/AJ93,"0%")&amp;" of required"))</f>
        <v>Floor of 1.0 click/day to read CVR (rank needs 0.12)</v>
      </c>
      <c r="AU93" s="44" t="n">
        <f aca="false">AS93*AD93</f>
        <v>0.064</v>
      </c>
      <c r="AV93" s="45" t="n">
        <f aca="false">AU93*AY93</f>
        <v>5.43936</v>
      </c>
      <c r="AW93" s="46" t="n">
        <v>3.68</v>
      </c>
      <c r="AX93" s="27" t="s">
        <v>687</v>
      </c>
      <c r="AY93" s="47" t="n">
        <f aca="false">INDEX(Assumptions!$B$33:$B$37,MATCH(IF($D93="","Queen",$D93),Assumptions!$A$33:$A$37,0))</f>
        <v>84.99</v>
      </c>
      <c r="AZ93" s="33" t="n">
        <f aca="false">INDEX(Assumptions!$K$33:$K$37,MATCH(IF($D93="","Queen",$D93),Assumptions!$A$33:$A$37,0))</f>
        <v>0.525970702435581</v>
      </c>
      <c r="BA93" s="33" t="n">
        <f aca="false">INDEX(Assumptions!$H$33:$H$37,MATCH(IF($D93="","Queen",$D93),Assumptions!$A$33:$A$37,0))</f>
        <v>0.350647134957054</v>
      </c>
      <c r="BB93" s="47" t="n">
        <f aca="false">AY93*AZ93*AD93</f>
        <v>2.860944</v>
      </c>
      <c r="BC93" s="47" t="n">
        <f aca="false">ROUND(MIN(AW93*Assumptions!$B$11,BB93),2)</f>
        <v>2.86</v>
      </c>
      <c r="BD93" s="26" t="s">
        <v>278</v>
      </c>
      <c r="BE93" s="48" t="n">
        <f aca="false">IF(AO93="Ranking — Full Push",MAX(0,MIN(IF(BD93="Yes",Assumptions!$B$12,Assumptions!$B$13),FLOOR(MAX(0,BB93/BC93-1),Assumptions!$B$14))),0)</f>
        <v>0</v>
      </c>
      <c r="BF93" s="49" t="str">
        <f aca="false">IF(AO93="Ranking — Full Push",IF(BE93&gt;=1,"YES — +100% Top of Search. Effective CPC $"&amp;TEXT(BG93,"0.00")&amp;" (= $"&amp;TEXT(BC93,"0.00")&amp;" × 2) stays within the $"&amp;TEXT(BB93,"0.00")&amp;" max ranking CPC"&amp;" (= $"&amp;TEXT(AY93,"0.00")&amp;" price × "&amp;TEXT(AZ93,"0.0%")&amp;" ranking ceiling × "&amp;TEXT(AD93,"0.0%")&amp;" CVR)"&amp;". Sleephoria CVR is proven on this term, so the full push is justified.",IF(AND(BD93="No",BE93&gt;=Assumptions!$B$13),"PARTIAL — +"&amp;TEXT(BE93,"0%")&amp;" Top of Search (limit for terms without proven CVR). Effective CPC $"&amp;TEXT(BG93,"0.00")&amp;" vs $"&amp;TEXT(BB93,"0.00")&amp;" max ranking CPC"&amp;" (= $"&amp;TEXT(AY93,"0.00")&amp;" price × "&amp;TEXT(AZ93,"0.0%")&amp;" ranking ceiling × "&amp;TEXT(AD93,"0.0%")&amp;" CVR)"&amp;". Raise to +100% only after CooLinens converts at ≥ "&amp;TEXT(AD93,"0.0%")&amp;" on 50+ clicks and $"&amp;TEXT(BC93*2,"0.00")&amp;" ≤ the max.",IF(BE93&gt;0,"PARTIAL — +"&amp;TEXT(BE93,"0%")&amp;" Top of Search. Effective CPC $"&amp;TEXT(BG93,"0.00")&amp;" stays within the $"&amp;TEXT(BB93,"0.00")&amp;" max ranking CPC"&amp;" (= $"&amp;TEXT(AY93,"0.00")&amp;" price × "&amp;TEXT(AZ93,"0.0%")&amp;" ranking ceiling × "&amp;TEXT(AD93,"0.0%")&amp;" CVR)"&amp;". +100% would cost $"&amp;TEXT(BC93*2,"0.00")&amp;" per click and push ACoS to "&amp;TEXT(BC93*2/(AY93*AD93),"0.0%")&amp;", above the "&amp;TEXT(AZ93,"0.0%")&amp;" ceiling.","NO — 0%. Base bid $"&amp;TEXT(BC93,"0.00")&amp;" already equals the $"&amp;TEXT(BB93,"0.00")&amp;" max ranking CPC"&amp;" (= $"&amp;TEXT(AY93,"0.00")&amp;" price × "&amp;TEXT(AZ93,"0.0%")&amp;" ranking ceiling × "&amp;TEXT(AD93,"0.0%")&amp;" CVR)"&amp;"; any modifier would push ACoS above the "&amp;TEXT(AZ93,"0.0%")&amp;" ceiling."))),IF(OR(AO93="Ranking — Head Term (Capped)",AO93="Ranking — Capped Entry",AO93="Ranking — Capped Long-Tail"),"NO — 0% (capped ranking entry). Bid $"&amp;TEXT(BC93,"0.00")&amp;" vs $"&amp;TEXT(BB93,"0.00")&amp;" max ranking CPC"&amp;" (= $"&amp;TEXT(AY93,"0.00")&amp;" price × "&amp;TEXT(AZ93,"0.0%")&amp;" ranking ceiling × "&amp;TEXT(AD93,"0.0%")&amp;" CVR)"&amp;". While spend is capped at "&amp;TEXT(AS93,"0.00")&amp;" clicks/day, a placement premium would only raise CPC without buying more rank; the modifier is set when this term moves to a full push.","NO — 0% (support / brand term). Bid $"&amp;TEXT(BC93,"0.00")&amp;" vs $"&amp;TEXT(BB93,"0.00")&amp;" max ranking CPC"&amp;" (= $"&amp;TEXT(AY93,"0.00")&amp;" price × "&amp;TEXT(AZ93,"0.0%")&amp;" ranking ceiling × "&amp;TEXT(AD93,"0.0%")&amp;" CVR)"&amp;"; expected ACoS "&amp;TEXT(BI93,"0.0%")&amp;" vs the "&amp;TEXT(AZ93,"0.0%")&amp;"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3" s="50" t="n">
        <f aca="false">BC93*(1+BE93)</f>
        <v>2.86</v>
      </c>
      <c r="BH93" s="45" t="n">
        <f aca="false">AS93*BG93</f>
        <v>2.86</v>
      </c>
      <c r="BI93" s="33" t="n">
        <f aca="false">IFERROR(BG93/(AY93*AD93),"")</f>
        <v>0.525797152606189</v>
      </c>
      <c r="BJ93" s="27" t="str">
        <f aca="false">IF(BI93="","",IF(BI93&lt;=BA93,"Profitable (≤ break-even)",IF(BI93&lt;=AZ93,"Ranking investment (≤ ceiling)","Above ceiling — reduce bid")))</f>
        <v>Ranking investment (≤ ceiling)</v>
      </c>
      <c r="BK93" s="49" t="str">
        <f aca="false">"Base $"&amp;TEXT(BC93,"0.00")&amp;" × (1 + "&amp;TEXT(BE93,"0%")&amp;" TOS) = $"&amp;TEXT(BG93,"0.00")&amp;" effective CPC [max $"&amp;TEXT(BB93,"0.00")&amp;"]. "&amp;TEXT(AG93,"0.0")&amp;" market clicks/day × "&amp;TEXT(AH93,"0.00%")&amp;" click share × "&amp;TEXT(AI93,"0%")&amp;" paid = "&amp;TEXT(AJ93,"0.00")&amp;" clicks/day needed; "&amp;"planned "&amp;TEXT(AS93,"0.00")&amp;" clicks/day × "&amp;TEXT(AD93,"0.0%")&amp;" CVR = "&amp;TEXT(AU93,"0.00")&amp;" orders/day. "&amp;"Spend $"&amp;TEXT(BH93,"0.00")&amp;"/day, ACoS "&amp;TEXT(BI93,"0.0%")&amp;" (ceiling "&amp;TEXT(AZ93,"0.0%")&amp;", break-even "&amp;TEXT(BA93,"0.0%")&amp;"). "&amp;"Target organic rank #"&amp;S93&amp;" by week 8 ("&amp;T93&amp;")."</f>
        <v>Base $2.86 × (1 + 0% TOS) = $2.86 effective CPC [max $2.86]. 14.6 market clicks/day × 1.24% click share × 66% paid = 0.12 clicks/day needed; planned 1.00 clicks/day × 6.4% CVR = 0.06 orders/day. Spend $2.86/day, ACoS 52.6% (ceiling 52.6%, break-even 35.1%). Target organic rank #20 by week 8 (#60 → #35 → #20 (full push after size assignment)).</v>
      </c>
      <c r="BL93" s="27" t="s">
        <v>617</v>
      </c>
      <c r="BM93" s="27" t="s">
        <v>203</v>
      </c>
      <c r="BN93" s="27" t="s">
        <v>1314</v>
      </c>
      <c r="BO93" s="27" t="s">
        <v>1309</v>
      </c>
      <c r="BP93" s="27" t="s">
        <v>569</v>
      </c>
      <c r="BQ93" s="26" t="s">
        <v>570</v>
      </c>
      <c r="BR93" s="40" t="n">
        <f aca="false">IFERROR(INDEX(Campaigns!$L:$L,MATCH(BN93,Campaigns!$A:$A,0)),"")</f>
        <v>10</v>
      </c>
      <c r="BS93" s="51" t="str">
        <f aca="false">IFERROR(INDEX(Inventory!$O:$O,MATCH(BP93,Inventory!$A:$A,0)),"")</f>
        <v>OK</v>
      </c>
      <c r="BT93" s="52" t="n">
        <f aca="false">IFERROR(INDEX(Inventory!$N:$N,MATCH(BP93,Inventory!$A:$A,0)),"")</f>
        <v>63.0533861060951</v>
      </c>
      <c r="BU93" s="27" t="s">
        <v>1315</v>
      </c>
      <c r="BV93" s="27" t="s">
        <v>1212</v>
      </c>
      <c r="BW93" s="27" t="s">
        <v>1316</v>
      </c>
      <c r="BX93" s="27" t="s">
        <v>1317</v>
      </c>
      <c r="BY93" s="27" t="s">
        <v>1318</v>
      </c>
      <c r="BZ93" s="27" t="s">
        <v>1319</v>
      </c>
      <c r="CA93" s="27" t="s">
        <v>941</v>
      </c>
      <c r="CB93" s="27" t="s">
        <v>1105</v>
      </c>
      <c r="CC93" s="27" t="s">
        <v>477</v>
      </c>
    </row>
    <row r="94" customFormat="false" ht="120" hidden="false" customHeight="true" outlineLevel="0" collapsed="false">
      <c r="A94" s="53" t="s">
        <v>1320</v>
      </c>
      <c r="B94" s="54" t="n">
        <v>2</v>
      </c>
      <c r="C94" s="26" t="s">
        <v>928</v>
      </c>
      <c r="D94" s="26" t="s">
        <v>560</v>
      </c>
      <c r="E94" s="27" t="s">
        <v>929</v>
      </c>
      <c r="F94" s="28" t="n">
        <v>1</v>
      </c>
      <c r="G94" s="27" t="s">
        <v>187</v>
      </c>
      <c r="H94" s="26" t="s">
        <v>342</v>
      </c>
      <c r="I94" s="29" t="n">
        <v>4</v>
      </c>
      <c r="J94" s="27" t="s">
        <v>750</v>
      </c>
      <c r="K94" s="30" t="n">
        <v>822</v>
      </c>
      <c r="L94" s="31" t="n">
        <v>763</v>
      </c>
      <c r="M94" s="32" t="n">
        <f aca="false">L94/30</f>
        <v>25.4333333333333</v>
      </c>
      <c r="N94" s="33" t="n">
        <v>0.0255296034763715</v>
      </c>
      <c r="O94" s="27" t="s">
        <v>1321</v>
      </c>
      <c r="P94" s="27" t="s">
        <v>1322</v>
      </c>
      <c r="Q94" s="27" t="s">
        <v>1323</v>
      </c>
      <c r="R94" s="34" t="n">
        <v>6</v>
      </c>
      <c r="S94" s="35" t="n">
        <v>20</v>
      </c>
      <c r="T94" s="36" t="s">
        <v>467</v>
      </c>
      <c r="U94" s="27" t="s">
        <v>1324</v>
      </c>
      <c r="V94" s="37" t="n">
        <f aca="false">IFERROR(INDEX(Sleephoria_History!$F$454:$F$2115,MATCH($A94,Sleephoria_History!$A$454:$A$2115,0)),"")</f>
        <v>6</v>
      </c>
      <c r="W94" s="38" t="n">
        <f aca="false">IFERROR(INDEX(Sleephoria_History!$J$454:$J$2115,MATCH($A94,Sleephoria_History!$A$454:$A$2115,0)),"")</f>
        <v>0</v>
      </c>
      <c r="X94" s="39" t="n">
        <f aca="false">IFERROR(INDEX(Sleephoria_History!$H$454:$H$2115,MATCH($A94,Sleephoria_History!$A$454:$A$2115,0)),"")</f>
        <v>3.11</v>
      </c>
      <c r="Y94" s="38" t="n">
        <f aca="false">IFERROR(INDEX(Sleephoria_History!$M$454:$M$2115,MATCH($A94,Sleephoria_History!$A$454:$A$2115,0)),"")</f>
        <v>0</v>
      </c>
      <c r="Z94" s="40" t="n">
        <f aca="false">IFERROR(INDEX(Sleephoria_History!$L$454:$L$2115,MATCH($A94,Sleephoria_History!$A$454:$A$2115,0)),"")</f>
        <v>0</v>
      </c>
      <c r="AA94" s="37" t="str">
        <f aca="false">IFERROR(INDEX(Decolure_History!$F$397:$F$709,MATCH($A94,Decolure_History!$A$397:$A$709,0)),"")</f>
        <v/>
      </c>
      <c r="AB94" s="38" t="str">
        <f aca="false">IFERROR(INDEX(Decolure_History!$J$397:$J$709,MATCH($A94,Decolure_History!$A$397:$A$709,0)),"")</f>
        <v/>
      </c>
      <c r="AC94" s="38" t="str">
        <f aca="false">IFERROR(INDEX(Decolure_History!$M$397:$M$709,MATCH($A94,Decolure_History!$A$397:$A$709,0)),"")</f>
        <v/>
      </c>
      <c r="AD94" s="41" t="n">
        <v>0.064</v>
      </c>
      <c r="AE94" s="27" t="s">
        <v>275</v>
      </c>
      <c r="AF94" s="42" t="n">
        <v>0.533</v>
      </c>
      <c r="AG94" s="32" t="n">
        <f aca="false">M94*AF94</f>
        <v>13.5559666666667</v>
      </c>
      <c r="AH94" s="43" t="n">
        <f aca="false">IF(AO94="Brand Defense",0,IFERROR(VLOOKUP(S94,Assumptions!$A$24:$B$28,2,FALSE()),0))</f>
        <v>0.0124</v>
      </c>
      <c r="AI94" s="28" t="n">
        <f aca="false">Assumptions!$B$6</f>
        <v>0.66</v>
      </c>
      <c r="AJ94" s="44" t="n">
        <f aca="false">AG94*AH94*AI94</f>
        <v>0.1109420312</v>
      </c>
      <c r="AK94" s="44" t="n">
        <f aca="false">AJ94*AD94</f>
        <v>0.0071002899968</v>
      </c>
      <c r="AL94" s="30" t="n">
        <f aca="false">AJ94*56</f>
        <v>6.2127537472</v>
      </c>
      <c r="AM94" s="32" t="n">
        <f aca="false">AK94*56</f>
        <v>0.3976162398208</v>
      </c>
      <c r="AN94" s="44" t="n">
        <f aca="false">M94*Assumptions!$B$8</f>
        <v>2.54333333333333</v>
      </c>
      <c r="AO94" s="27" t="s">
        <v>430</v>
      </c>
      <c r="AP94" s="27" t="s">
        <v>565</v>
      </c>
      <c r="AQ94" s="26" t="s">
        <v>198</v>
      </c>
      <c r="AR94" s="27" t="s">
        <v>199</v>
      </c>
      <c r="AS94" s="44" t="n">
        <f aca="false">IF(AO94="Ranking — Full Push",MIN(MAX(AJ94,Assumptions!$B$9),AN94),IF(AO94="Brand Defense",MIN(Assumptions!$B$7,AN94),IF(OR(AO94="Ranking — Head Term (Capped)",AO94="Ranking — Capped Entry"),MIN(MAX(AJ94,Assumptions!$B$9),Assumptions!$B$7,AN94),IF(AO94="Ranking — Capped Long-Tail",MIN(AJ94,Assumptions!$B$10,AN94),MIN(AJ94,AN94)))))</f>
        <v>1</v>
      </c>
      <c r="AT94" s="27" t="str">
        <f aca="false">IF(AJ94&lt;=0,"",IF(AS94&gt;=AJ94,IF(AS94&gt;AJ94*1.05,"Floor of "&amp;TEXT(AS94,"0.0")&amp;" click/day to read CVR (rank needs "&amp;TEXT(AJ94,"0.00")&amp;")","Fully funded (100%)"),"Capped at "&amp;TEXT(AS94/AJ94,"0%")&amp;" of required"))</f>
        <v>Floor of 1.0 click/day to read CVR (rank needs 0.11)</v>
      </c>
      <c r="AU94" s="44" t="n">
        <f aca="false">AS94*AD94</f>
        <v>0.064</v>
      </c>
      <c r="AV94" s="45" t="n">
        <f aca="false">AU94*AY94</f>
        <v>5.43936</v>
      </c>
      <c r="AW94" s="46" t="n">
        <v>3.68</v>
      </c>
      <c r="AX94" s="27" t="s">
        <v>687</v>
      </c>
      <c r="AY94" s="47" t="n">
        <f aca="false">INDEX(Assumptions!$B$33:$B$37,MATCH(IF($D94="","Queen",$D94),Assumptions!$A$33:$A$37,0))</f>
        <v>84.99</v>
      </c>
      <c r="AZ94" s="33" t="n">
        <f aca="false">INDEX(Assumptions!$K$33:$K$37,MATCH(IF($D94="","Queen",$D94),Assumptions!$A$33:$A$37,0))</f>
        <v>0.525970702435581</v>
      </c>
      <c r="BA94" s="33" t="n">
        <f aca="false">INDEX(Assumptions!$H$33:$H$37,MATCH(IF($D94="","Queen",$D94),Assumptions!$A$33:$A$37,0))</f>
        <v>0.350647134957054</v>
      </c>
      <c r="BB94" s="47" t="n">
        <f aca="false">AY94*AZ94*AD94</f>
        <v>2.860944</v>
      </c>
      <c r="BC94" s="47" t="n">
        <f aca="false">ROUND(MIN(AW94*Assumptions!$B$11,BB94),2)</f>
        <v>2.86</v>
      </c>
      <c r="BD94" s="26" t="s">
        <v>278</v>
      </c>
      <c r="BE94" s="48" t="n">
        <f aca="false">IF(AO94="Ranking — Full Push",MAX(0,MIN(IF(BD94="Yes",Assumptions!$B$12,Assumptions!$B$13),FLOOR(MAX(0,BB94/BC94-1),Assumptions!$B$14))),0)</f>
        <v>0</v>
      </c>
      <c r="BF94" s="49" t="str">
        <f aca="false">IF(AO94="Ranking — Full Push",IF(BE94&gt;=1,"YES — +100% Top of Search. Effective CPC $"&amp;TEXT(BG94,"0.00")&amp;" (= $"&amp;TEXT(BC94,"0.00")&amp;" × 2) stays within the $"&amp;TEXT(BB94,"0.00")&amp;" max ranking CPC"&amp;" (= $"&amp;TEXT(AY94,"0.00")&amp;" price × "&amp;TEXT(AZ94,"0.0%")&amp;" ranking ceiling × "&amp;TEXT(AD94,"0.0%")&amp;" CVR)"&amp;". Sleephoria CVR is proven on this term, so the full push is justified.",IF(AND(BD94="No",BE94&gt;=Assumptions!$B$13),"PARTIAL — +"&amp;TEXT(BE94,"0%")&amp;" Top of Search (limit for terms without proven CVR). Effective CPC $"&amp;TEXT(BG94,"0.00")&amp;" vs $"&amp;TEXT(BB94,"0.00")&amp;" max ranking CPC"&amp;" (= $"&amp;TEXT(AY94,"0.00")&amp;" price × "&amp;TEXT(AZ94,"0.0%")&amp;" ranking ceiling × "&amp;TEXT(AD94,"0.0%")&amp;" CVR)"&amp;". Raise to +100% only after CooLinens converts at ≥ "&amp;TEXT(AD94,"0.0%")&amp;" on 50+ clicks and $"&amp;TEXT(BC94*2,"0.00")&amp;" ≤ the max.",IF(BE94&gt;0,"PARTIAL — +"&amp;TEXT(BE94,"0%")&amp;" Top of Search. Effective CPC $"&amp;TEXT(BG94,"0.00")&amp;" stays within the $"&amp;TEXT(BB94,"0.00")&amp;" max ranking CPC"&amp;" (= $"&amp;TEXT(AY94,"0.00")&amp;" price × "&amp;TEXT(AZ94,"0.0%")&amp;" ranking ceiling × "&amp;TEXT(AD94,"0.0%")&amp;" CVR)"&amp;". +100% would cost $"&amp;TEXT(BC94*2,"0.00")&amp;" per click and push ACoS to "&amp;TEXT(BC94*2/(AY94*AD94),"0.0%")&amp;", above the "&amp;TEXT(AZ94,"0.0%")&amp;" ceiling.","NO — 0%. Base bid $"&amp;TEXT(BC94,"0.00")&amp;" already equals the $"&amp;TEXT(BB94,"0.00")&amp;" max ranking CPC"&amp;" (= $"&amp;TEXT(AY94,"0.00")&amp;" price × "&amp;TEXT(AZ94,"0.0%")&amp;" ranking ceiling × "&amp;TEXT(AD94,"0.0%")&amp;" CVR)"&amp;"; any modifier would push ACoS above the "&amp;TEXT(AZ94,"0.0%")&amp;" ceiling."))),IF(OR(AO94="Ranking — Head Term (Capped)",AO94="Ranking — Capped Entry",AO94="Ranking — Capped Long-Tail"),"NO — 0% (capped ranking entry). Bid $"&amp;TEXT(BC94,"0.00")&amp;" vs $"&amp;TEXT(BB94,"0.00")&amp;" max ranking CPC"&amp;" (= $"&amp;TEXT(AY94,"0.00")&amp;" price × "&amp;TEXT(AZ94,"0.0%")&amp;" ranking ceiling × "&amp;TEXT(AD94,"0.0%")&amp;" CVR)"&amp;". While spend is capped at "&amp;TEXT(AS94,"0.00")&amp;" clicks/day, a placement premium would only raise CPC without buying more rank; the modifier is set when this term moves to a full push.","NO — 0% (support / brand term). Bid $"&amp;TEXT(BC94,"0.00")&amp;" vs $"&amp;TEXT(BB94,"0.00")&amp;" max ranking CPC"&amp;" (= $"&amp;TEXT(AY94,"0.00")&amp;" price × "&amp;TEXT(AZ94,"0.0%")&amp;" ranking ceiling × "&amp;TEXT(AD94,"0.0%")&amp;" CVR)"&amp;"; expected ACoS "&amp;TEXT(BI94,"0.0%")&amp;" vs the "&amp;TEXT(AZ94,"0.0%")&amp;"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4" s="50" t="n">
        <f aca="false">BC94*(1+BE94)</f>
        <v>2.86</v>
      </c>
      <c r="BH94" s="45" t="n">
        <f aca="false">AS94*BG94</f>
        <v>2.86</v>
      </c>
      <c r="BI94" s="33" t="n">
        <f aca="false">IFERROR(BG94/(AY94*AD94),"")</f>
        <v>0.525797152606189</v>
      </c>
      <c r="BJ94" s="27" t="str">
        <f aca="false">IF(BI94="","",IF(BI94&lt;=BA94,"Profitable (≤ break-even)",IF(BI94&lt;=AZ94,"Ranking investment (≤ ceiling)","Above ceiling — reduce bid")))</f>
        <v>Ranking investment (≤ ceiling)</v>
      </c>
      <c r="BK94" s="49" t="str">
        <f aca="false">"Base $"&amp;TEXT(BC94,"0.00")&amp;" × (1 + "&amp;TEXT(BE94,"0%")&amp;" TOS) = $"&amp;TEXT(BG94,"0.00")&amp;" effective CPC [max $"&amp;TEXT(BB94,"0.00")&amp;"]. "&amp;TEXT(AG94,"0.0")&amp;" market clicks/day × "&amp;TEXT(AH94,"0.00%")&amp;" click share × "&amp;TEXT(AI94,"0%")&amp;" paid = "&amp;TEXT(AJ94,"0.00")&amp;" clicks/day needed; "&amp;"planned "&amp;TEXT(AS94,"0.00")&amp;" clicks/day × "&amp;TEXT(AD94,"0.0%")&amp;" CVR = "&amp;TEXT(AU94,"0.00")&amp;" orders/day. "&amp;"Spend $"&amp;TEXT(BH94,"0.00")&amp;"/day, ACoS "&amp;TEXT(BI94,"0.0%")&amp;" (ceiling "&amp;TEXT(AZ94,"0.0%")&amp;", break-even "&amp;TEXT(BA94,"0.0%")&amp;"). "&amp;"Target organic rank #"&amp;S94&amp;" by week 8 ("&amp;T94&amp;")."</f>
        <v>Base $2.86 × (1 + 0% TOS) = $2.86 effective CPC [max $2.86]. 13.6 market clicks/day × 1.24% click share × 66% paid = 0.11 clicks/day needed; planned 1.00 clicks/day × 6.4% CVR = 0.06 orders/day. Spend $2.86/day, ACoS 52.6% (ceiling 52.6%, break-even 35.1%). Target organic rank #20 by week 8 (#60 → #35 → #20 (full push after size assignment)).</v>
      </c>
      <c r="BL94" s="27" t="s">
        <v>1325</v>
      </c>
      <c r="BM94" s="27" t="s">
        <v>203</v>
      </c>
      <c r="BN94" s="27" t="s">
        <v>1326</v>
      </c>
      <c r="BO94" s="27" t="s">
        <v>1320</v>
      </c>
      <c r="BP94" s="27" t="s">
        <v>569</v>
      </c>
      <c r="BQ94" s="26" t="s">
        <v>570</v>
      </c>
      <c r="BR94" s="40" t="n">
        <f aca="false">IFERROR(INDEX(Campaigns!$L:$L,MATCH(BN94,Campaigns!$A:$A,0)),"")</f>
        <v>10</v>
      </c>
      <c r="BS94" s="51" t="str">
        <f aca="false">IFERROR(INDEX(Inventory!$O:$O,MATCH(BP94,Inventory!$A:$A,0)),"")</f>
        <v>OK</v>
      </c>
      <c r="BT94" s="52" t="n">
        <f aca="false">IFERROR(INDEX(Inventory!$N:$N,MATCH(BP94,Inventory!$A:$A,0)),"")</f>
        <v>63.0533861060951</v>
      </c>
      <c r="BU94" s="27" t="s">
        <v>1327</v>
      </c>
      <c r="BV94" s="27" t="s">
        <v>263</v>
      </c>
      <c r="BW94" s="27" t="s">
        <v>1328</v>
      </c>
      <c r="BX94" s="27" t="s">
        <v>1329</v>
      </c>
      <c r="BY94" s="27" t="s">
        <v>1330</v>
      </c>
      <c r="BZ94" s="27" t="s">
        <v>593</v>
      </c>
      <c r="CA94" s="27" t="s">
        <v>941</v>
      </c>
      <c r="CB94" s="27" t="s">
        <v>1056</v>
      </c>
      <c r="CC94" s="27" t="s">
        <v>477</v>
      </c>
    </row>
    <row r="95" customFormat="false" ht="120" hidden="false" customHeight="true" outlineLevel="0" collapsed="false">
      <c r="A95" s="53" t="s">
        <v>1331</v>
      </c>
      <c r="B95" s="54" t="n">
        <v>2</v>
      </c>
      <c r="C95" s="26" t="s">
        <v>928</v>
      </c>
      <c r="D95" s="26" t="s">
        <v>560</v>
      </c>
      <c r="E95" s="27" t="s">
        <v>929</v>
      </c>
      <c r="F95" s="28" t="n">
        <v>1</v>
      </c>
      <c r="G95" s="27" t="s">
        <v>187</v>
      </c>
      <c r="H95" s="26" t="s">
        <v>342</v>
      </c>
      <c r="I95" s="29" t="n">
        <v>4.5</v>
      </c>
      <c r="J95" s="27" t="s">
        <v>1332</v>
      </c>
      <c r="K95" s="30" t="n">
        <v>659</v>
      </c>
      <c r="L95" s="31" t="n">
        <v>496</v>
      </c>
      <c r="M95" s="32" t="n">
        <f aca="false">L95/30</f>
        <v>16.5333333333333</v>
      </c>
      <c r="N95" s="33" t="n">
        <v>0.0441020191285866</v>
      </c>
      <c r="O95" s="27" t="s">
        <v>1333</v>
      </c>
      <c r="P95" s="27" t="s">
        <v>1334</v>
      </c>
      <c r="Q95" s="27" t="s">
        <v>1335</v>
      </c>
      <c r="R95" s="34" t="n">
        <v>5</v>
      </c>
      <c r="S95" s="35" t="n">
        <v>20</v>
      </c>
      <c r="T95" s="36" t="s">
        <v>467</v>
      </c>
      <c r="U95" s="27" t="s">
        <v>1336</v>
      </c>
      <c r="V95" s="37" t="n">
        <f aca="false">IFERROR(INDEX(Sleephoria_History!$F$454:$F$2115,MATCH($A95,Sleephoria_History!$A$454:$A$2115,0)),"")</f>
        <v>18</v>
      </c>
      <c r="W95" s="38" t="n">
        <f aca="false">IFERROR(INDEX(Sleephoria_History!$J$454:$J$2115,MATCH($A95,Sleephoria_History!$A$454:$A$2115,0)),"")</f>
        <v>0</v>
      </c>
      <c r="X95" s="39" t="n">
        <f aca="false">IFERROR(INDEX(Sleephoria_History!$H$454:$H$2115,MATCH($A95,Sleephoria_History!$A$454:$A$2115,0)),"")</f>
        <v>3.4</v>
      </c>
      <c r="Y95" s="38" t="n">
        <f aca="false">IFERROR(INDEX(Sleephoria_History!$M$454:$M$2115,MATCH($A95,Sleephoria_History!$A$454:$A$2115,0)),"")</f>
        <v>0</v>
      </c>
      <c r="Z95" s="40" t="n">
        <f aca="false">IFERROR(INDEX(Sleephoria_History!$L$454:$L$2115,MATCH($A95,Sleephoria_History!$A$454:$A$2115,0)),"")</f>
        <v>0</v>
      </c>
      <c r="AA95" s="37" t="str">
        <f aca="false">IFERROR(INDEX(Decolure_History!$F$397:$F$709,MATCH($A95,Decolure_History!$A$397:$A$709,0)),"")</f>
        <v/>
      </c>
      <c r="AB95" s="38" t="str">
        <f aca="false">IFERROR(INDEX(Decolure_History!$J$397:$J$709,MATCH($A95,Decolure_History!$A$397:$A$709,0)),"")</f>
        <v/>
      </c>
      <c r="AC95" s="38" t="str">
        <f aca="false">IFERROR(INDEX(Decolure_History!$M$397:$M$709,MATCH($A95,Decolure_History!$A$397:$A$709,0)),"")</f>
        <v/>
      </c>
      <c r="AD95" s="41" t="n">
        <v>0.064</v>
      </c>
      <c r="AE95" s="27" t="s">
        <v>275</v>
      </c>
      <c r="AF95" s="42" t="n">
        <v>0.439</v>
      </c>
      <c r="AG95" s="32" t="n">
        <f aca="false">M95*AF95</f>
        <v>7.25813333333333</v>
      </c>
      <c r="AH95" s="43" t="n">
        <f aca="false">IF(AO95="Brand Defense",0,IFERROR(VLOOKUP(S95,Assumptions!$A$24:$B$28,2,FALSE()),0))</f>
        <v>0.0124</v>
      </c>
      <c r="AI95" s="28" t="n">
        <f aca="false">Assumptions!$B$6</f>
        <v>0.66</v>
      </c>
      <c r="AJ95" s="44" t="n">
        <f aca="false">AG95*AH95*AI95</f>
        <v>0.0594005632</v>
      </c>
      <c r="AK95" s="44" t="n">
        <f aca="false">AJ95*AD95</f>
        <v>0.0038016360448</v>
      </c>
      <c r="AL95" s="30" t="n">
        <f aca="false">AJ95*56</f>
        <v>3.3264315392</v>
      </c>
      <c r="AM95" s="32" t="n">
        <f aca="false">AK95*56</f>
        <v>0.2128916185088</v>
      </c>
      <c r="AN95" s="44" t="n">
        <f aca="false">M95*Assumptions!$B$8</f>
        <v>1.65333333333333</v>
      </c>
      <c r="AO95" s="27" t="s">
        <v>430</v>
      </c>
      <c r="AP95" s="27" t="s">
        <v>565</v>
      </c>
      <c r="AQ95" s="26" t="s">
        <v>198</v>
      </c>
      <c r="AR95" s="27" t="s">
        <v>199</v>
      </c>
      <c r="AS95" s="44" t="n">
        <f aca="false">IF(AO95="Ranking — Full Push",MIN(MAX(AJ95,Assumptions!$B$9),AN95),IF(AO95="Brand Defense",MIN(Assumptions!$B$7,AN95),IF(OR(AO95="Ranking — Head Term (Capped)",AO95="Ranking — Capped Entry"),MIN(MAX(AJ95,Assumptions!$B$9),Assumptions!$B$7,AN95),IF(AO95="Ranking — Capped Long-Tail",MIN(AJ95,Assumptions!$B$10,AN95),MIN(AJ95,AN95)))))</f>
        <v>1</v>
      </c>
      <c r="AT95" s="27" t="str">
        <f aca="false">IF(AJ95&lt;=0,"",IF(AS95&gt;=AJ95,IF(AS95&gt;AJ95*1.05,"Floor of "&amp;TEXT(AS95,"0.0")&amp;" click/day to read CVR (rank needs "&amp;TEXT(AJ95,"0.00")&amp;")","Fully funded (100%)"),"Capped at "&amp;TEXT(AS95/AJ95,"0%")&amp;" of required"))</f>
        <v>Floor of 1.0 click/day to read CVR (rank needs 0.06)</v>
      </c>
      <c r="AU95" s="44" t="n">
        <f aca="false">AS95*AD95</f>
        <v>0.064</v>
      </c>
      <c r="AV95" s="45" t="n">
        <f aca="false">AU95*AY95</f>
        <v>5.43936</v>
      </c>
      <c r="AW95" s="46" t="n">
        <v>3.68</v>
      </c>
      <c r="AX95" s="27" t="s">
        <v>687</v>
      </c>
      <c r="AY95" s="47" t="n">
        <f aca="false">INDEX(Assumptions!$B$33:$B$37,MATCH(IF($D95="","Queen",$D95),Assumptions!$A$33:$A$37,0))</f>
        <v>84.99</v>
      </c>
      <c r="AZ95" s="33" t="n">
        <f aca="false">INDEX(Assumptions!$K$33:$K$37,MATCH(IF($D95="","Queen",$D95),Assumptions!$A$33:$A$37,0))</f>
        <v>0.525970702435581</v>
      </c>
      <c r="BA95" s="33" t="n">
        <f aca="false">INDEX(Assumptions!$H$33:$H$37,MATCH(IF($D95="","Queen",$D95),Assumptions!$A$33:$A$37,0))</f>
        <v>0.350647134957054</v>
      </c>
      <c r="BB95" s="47" t="n">
        <f aca="false">AY95*AZ95*AD95</f>
        <v>2.860944</v>
      </c>
      <c r="BC95" s="47" t="n">
        <f aca="false">ROUND(MIN(AW95*Assumptions!$B$11,BB95),2)</f>
        <v>2.86</v>
      </c>
      <c r="BD95" s="26" t="s">
        <v>278</v>
      </c>
      <c r="BE95" s="48" t="n">
        <f aca="false">IF(AO95="Ranking — Full Push",MAX(0,MIN(IF(BD95="Yes",Assumptions!$B$12,Assumptions!$B$13),FLOOR(MAX(0,BB95/BC95-1),Assumptions!$B$14))),0)</f>
        <v>0</v>
      </c>
      <c r="BF95" s="49" t="str">
        <f aca="false">IF(AO95="Ranking — Full Push",IF(BE95&gt;=1,"YES — +100% Top of Search. Effective CPC $"&amp;TEXT(BG95,"0.00")&amp;" (= $"&amp;TEXT(BC95,"0.00")&amp;" × 2) stays within the $"&amp;TEXT(BB95,"0.00")&amp;" max ranking CPC"&amp;" (= $"&amp;TEXT(AY95,"0.00")&amp;" price × "&amp;TEXT(AZ95,"0.0%")&amp;" ranking ceiling × "&amp;TEXT(AD95,"0.0%")&amp;" CVR)"&amp;". Sleephoria CVR is proven on this term, so the full push is justified.",IF(AND(BD95="No",BE95&gt;=Assumptions!$B$13),"PARTIAL — +"&amp;TEXT(BE95,"0%")&amp;" Top of Search (limit for terms without proven CVR). Effective CPC $"&amp;TEXT(BG95,"0.00")&amp;" vs $"&amp;TEXT(BB95,"0.00")&amp;" max ranking CPC"&amp;" (= $"&amp;TEXT(AY95,"0.00")&amp;" price × "&amp;TEXT(AZ95,"0.0%")&amp;" ranking ceiling × "&amp;TEXT(AD95,"0.0%")&amp;" CVR)"&amp;". Raise to +100% only after CooLinens converts at ≥ "&amp;TEXT(AD95,"0.0%")&amp;" on 50+ clicks and $"&amp;TEXT(BC95*2,"0.00")&amp;" ≤ the max.",IF(BE95&gt;0,"PARTIAL — +"&amp;TEXT(BE95,"0%")&amp;" Top of Search. Effective CPC $"&amp;TEXT(BG95,"0.00")&amp;" stays within the $"&amp;TEXT(BB95,"0.00")&amp;" max ranking CPC"&amp;" (= $"&amp;TEXT(AY95,"0.00")&amp;" price × "&amp;TEXT(AZ95,"0.0%")&amp;" ranking ceiling × "&amp;TEXT(AD95,"0.0%")&amp;" CVR)"&amp;". +100% would cost $"&amp;TEXT(BC95*2,"0.00")&amp;" per click and push ACoS to "&amp;TEXT(BC95*2/(AY95*AD95),"0.0%")&amp;", above the "&amp;TEXT(AZ95,"0.0%")&amp;" ceiling.","NO — 0%. Base bid $"&amp;TEXT(BC95,"0.00")&amp;" already equals the $"&amp;TEXT(BB95,"0.00")&amp;" max ranking CPC"&amp;" (= $"&amp;TEXT(AY95,"0.00")&amp;" price × "&amp;TEXT(AZ95,"0.0%")&amp;" ranking ceiling × "&amp;TEXT(AD95,"0.0%")&amp;" CVR)"&amp;"; any modifier would push ACoS above the "&amp;TEXT(AZ95,"0.0%")&amp;" ceiling."))),IF(OR(AO95="Ranking — Head Term (Capped)",AO95="Ranking — Capped Entry",AO95="Ranking — Capped Long-Tail"),"NO — 0% (capped ranking entry). Bid $"&amp;TEXT(BC95,"0.00")&amp;" vs $"&amp;TEXT(BB95,"0.00")&amp;" max ranking CPC"&amp;" (= $"&amp;TEXT(AY95,"0.00")&amp;" price × "&amp;TEXT(AZ95,"0.0%")&amp;" ranking ceiling × "&amp;TEXT(AD95,"0.0%")&amp;" CVR)"&amp;". While spend is capped at "&amp;TEXT(AS95,"0.00")&amp;" clicks/day, a placement premium would only raise CPC without buying more rank; the modifier is set when this term moves to a full push.","NO — 0% (support / brand term). Bid $"&amp;TEXT(BC95,"0.00")&amp;" vs $"&amp;TEXT(BB95,"0.00")&amp;" max ranking CPC"&amp;" (= $"&amp;TEXT(AY95,"0.00")&amp;" price × "&amp;TEXT(AZ95,"0.0%")&amp;" ranking ceiling × "&amp;TEXT(AD95,"0.0%")&amp;" CVR)"&amp;"; expected ACoS "&amp;TEXT(BI95,"0.0%")&amp;" vs the "&amp;TEXT(AZ95,"0.0%")&amp;"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5" s="50" t="n">
        <f aca="false">BC95*(1+BE95)</f>
        <v>2.86</v>
      </c>
      <c r="BH95" s="45" t="n">
        <f aca="false">AS95*BG95</f>
        <v>2.86</v>
      </c>
      <c r="BI95" s="33" t="n">
        <f aca="false">IFERROR(BG95/(AY95*AD95),"")</f>
        <v>0.525797152606189</v>
      </c>
      <c r="BJ95" s="27" t="str">
        <f aca="false">IF(BI95="","",IF(BI95&lt;=BA95,"Profitable (≤ break-even)",IF(BI95&lt;=AZ95,"Ranking investment (≤ ceiling)","Above ceiling — reduce bid")))</f>
        <v>Ranking investment (≤ ceiling)</v>
      </c>
      <c r="BK95" s="49" t="str">
        <f aca="false">"Base $"&amp;TEXT(BC95,"0.00")&amp;" × (1 + "&amp;TEXT(BE95,"0%")&amp;" TOS) = $"&amp;TEXT(BG95,"0.00")&amp;" effective CPC [max $"&amp;TEXT(BB95,"0.00")&amp;"]. "&amp;TEXT(AG95,"0.0")&amp;" market clicks/day × "&amp;TEXT(AH95,"0.00%")&amp;" click share × "&amp;TEXT(AI95,"0%")&amp;" paid = "&amp;TEXT(AJ95,"0.00")&amp;" clicks/day needed; "&amp;"planned "&amp;TEXT(AS95,"0.00")&amp;" clicks/day × "&amp;TEXT(AD95,"0.0%")&amp;" CVR = "&amp;TEXT(AU95,"0.00")&amp;" orders/day. "&amp;"Spend $"&amp;TEXT(BH95,"0.00")&amp;"/day, ACoS "&amp;TEXT(BI95,"0.0%")&amp;" (ceiling "&amp;TEXT(AZ95,"0.0%")&amp;", break-even "&amp;TEXT(BA95,"0.0%")&amp;"). "&amp;"Target organic rank #"&amp;S95&amp;" by week 8 ("&amp;T95&amp;")."</f>
        <v>Base $2.86 × (1 + 0% TOS) = $2.86 effective CPC [max $2.86]. 7.3 market clicks/day × 1.24% click share × 66% paid = 0.06 clicks/day needed; planned 1.00 clicks/day × 6.4% CVR = 0.06 orders/day. Spend $2.86/day, ACoS 52.6% (ceiling 52.6%, break-even 35.1%). Target organic rank #20 by week 8 (#60 → #35 → #20 (full push after size assignment)).</v>
      </c>
      <c r="BL95" s="27" t="s">
        <v>567</v>
      </c>
      <c r="BM95" s="27" t="s">
        <v>203</v>
      </c>
      <c r="BN95" s="27" t="s">
        <v>1337</v>
      </c>
      <c r="BO95" s="27" t="s">
        <v>1331</v>
      </c>
      <c r="BP95" s="27" t="s">
        <v>569</v>
      </c>
      <c r="BQ95" s="26" t="s">
        <v>570</v>
      </c>
      <c r="BR95" s="40" t="n">
        <f aca="false">IFERROR(INDEX(Campaigns!$L:$L,MATCH(BN95,Campaigns!$A:$A,0)),"")</f>
        <v>10</v>
      </c>
      <c r="BS95" s="51" t="str">
        <f aca="false">IFERROR(INDEX(Inventory!$O:$O,MATCH(BP95,Inventory!$A:$A,0)),"")</f>
        <v>OK</v>
      </c>
      <c r="BT95" s="52" t="n">
        <f aca="false">IFERROR(INDEX(Inventory!$N:$N,MATCH(BP95,Inventory!$A:$A,0)),"")</f>
        <v>63.0533861060951</v>
      </c>
      <c r="BU95" s="27" t="s">
        <v>1338</v>
      </c>
      <c r="BV95" s="27" t="s">
        <v>263</v>
      </c>
      <c r="BW95" s="27" t="s">
        <v>1339</v>
      </c>
      <c r="BX95" s="27" t="s">
        <v>1340</v>
      </c>
      <c r="BY95" s="27" t="s">
        <v>1341</v>
      </c>
      <c r="BZ95" s="27" t="s">
        <v>593</v>
      </c>
      <c r="CA95" s="27" t="s">
        <v>941</v>
      </c>
      <c r="CB95" s="27" t="s">
        <v>1342</v>
      </c>
      <c r="CC95" s="27" t="s">
        <v>477</v>
      </c>
    </row>
    <row r="96" customFormat="false" ht="120" hidden="false" customHeight="true" outlineLevel="0" collapsed="false">
      <c r="A96" s="53" t="s">
        <v>1343</v>
      </c>
      <c r="B96" s="54" t="n">
        <v>2</v>
      </c>
      <c r="C96" s="26" t="s">
        <v>928</v>
      </c>
      <c r="D96" s="26" t="s">
        <v>560</v>
      </c>
      <c r="E96" s="27" t="s">
        <v>929</v>
      </c>
      <c r="F96" s="28" t="n">
        <v>1</v>
      </c>
      <c r="G96" s="27" t="s">
        <v>187</v>
      </c>
      <c r="H96" s="26" t="s">
        <v>342</v>
      </c>
      <c r="I96" s="29" t="n">
        <v>4.5</v>
      </c>
      <c r="J96" s="27" t="s">
        <v>822</v>
      </c>
      <c r="K96" s="30" t="n">
        <v>601</v>
      </c>
      <c r="L96" s="31" t="n">
        <v>387</v>
      </c>
      <c r="M96" s="32" t="n">
        <f aca="false">L96/30</f>
        <v>12.9</v>
      </c>
      <c r="N96" s="33" t="n">
        <v>0.0355648535564853</v>
      </c>
      <c r="O96" s="27" t="s">
        <v>1046</v>
      </c>
      <c r="P96" s="27" t="s">
        <v>1344</v>
      </c>
      <c r="Q96" s="27" t="s">
        <v>1095</v>
      </c>
      <c r="R96" s="34" t="n">
        <v>5</v>
      </c>
      <c r="S96" s="35" t="n">
        <v>20</v>
      </c>
      <c r="T96" s="36" t="s">
        <v>467</v>
      </c>
      <c r="U96" s="27" t="s">
        <v>1345</v>
      </c>
      <c r="V96" s="37" t="n">
        <f aca="false">IFERROR(INDEX(Sleephoria_History!$F$454:$F$2115,MATCH($A96,Sleephoria_History!$A$454:$A$2115,0)),"")</f>
        <v>9</v>
      </c>
      <c r="W96" s="38" t="n">
        <f aca="false">IFERROR(INDEX(Sleephoria_History!$J$454:$J$2115,MATCH($A96,Sleephoria_History!$A$454:$A$2115,0)),"")</f>
        <v>0</v>
      </c>
      <c r="X96" s="39" t="n">
        <f aca="false">IFERROR(INDEX(Sleephoria_History!$H$454:$H$2115,MATCH($A96,Sleephoria_History!$A$454:$A$2115,0)),"")</f>
        <v>2.81</v>
      </c>
      <c r="Y96" s="38" t="n">
        <f aca="false">IFERROR(INDEX(Sleephoria_History!$M$454:$M$2115,MATCH($A96,Sleephoria_History!$A$454:$A$2115,0)),"")</f>
        <v>0</v>
      </c>
      <c r="Z96" s="40" t="n">
        <f aca="false">IFERROR(INDEX(Sleephoria_History!$L$454:$L$2115,MATCH($A96,Sleephoria_History!$A$454:$A$2115,0)),"")</f>
        <v>0</v>
      </c>
      <c r="AA96" s="37" t="str">
        <f aca="false">IFERROR(INDEX(Decolure_History!$F$397:$F$709,MATCH($A96,Decolure_History!$A$397:$A$709,0)),"")</f>
        <v/>
      </c>
      <c r="AB96" s="38" t="str">
        <f aca="false">IFERROR(INDEX(Decolure_History!$J$397:$J$709,MATCH($A96,Decolure_History!$A$397:$A$709,0)),"")</f>
        <v/>
      </c>
      <c r="AC96" s="38" t="str">
        <f aca="false">IFERROR(INDEX(Decolure_History!$M$397:$M$709,MATCH($A96,Decolure_History!$A$397:$A$709,0)),"")</f>
        <v/>
      </c>
      <c r="AD96" s="41" t="n">
        <v>0.064</v>
      </c>
      <c r="AE96" s="27" t="s">
        <v>275</v>
      </c>
      <c r="AF96" s="42" t="n">
        <v>0.555</v>
      </c>
      <c r="AG96" s="32" t="n">
        <f aca="false">M96*AF96</f>
        <v>7.1595</v>
      </c>
      <c r="AH96" s="43" t="n">
        <f aca="false">IF(AO96="Brand Defense",0,IFERROR(VLOOKUP(S96,Assumptions!$A$24:$B$28,2,FALSE()),0))</f>
        <v>0.0124</v>
      </c>
      <c r="AI96" s="28" t="n">
        <f aca="false">Assumptions!$B$6</f>
        <v>0.66</v>
      </c>
      <c r="AJ96" s="44" t="n">
        <f aca="false">AG96*AH96*AI96</f>
        <v>0.058593348</v>
      </c>
      <c r="AK96" s="44" t="n">
        <f aca="false">AJ96*AD96</f>
        <v>0.003749974272</v>
      </c>
      <c r="AL96" s="30" t="n">
        <f aca="false">AJ96*56</f>
        <v>3.281227488</v>
      </c>
      <c r="AM96" s="32" t="n">
        <f aca="false">AK96*56</f>
        <v>0.209998559232</v>
      </c>
      <c r="AN96" s="44" t="n">
        <f aca="false">M96*Assumptions!$B$8</f>
        <v>1.29</v>
      </c>
      <c r="AO96" s="27" t="s">
        <v>430</v>
      </c>
      <c r="AP96" s="27" t="s">
        <v>565</v>
      </c>
      <c r="AQ96" s="26" t="s">
        <v>198</v>
      </c>
      <c r="AR96" s="27" t="s">
        <v>199</v>
      </c>
      <c r="AS96" s="44" t="n">
        <f aca="false">IF(AO96="Ranking — Full Push",MIN(MAX(AJ96,Assumptions!$B$9),AN96),IF(AO96="Brand Defense",MIN(Assumptions!$B$7,AN96),IF(OR(AO96="Ranking — Head Term (Capped)",AO96="Ranking — Capped Entry"),MIN(MAX(AJ96,Assumptions!$B$9),Assumptions!$B$7,AN96),IF(AO96="Ranking — Capped Long-Tail",MIN(AJ96,Assumptions!$B$10,AN96),MIN(AJ96,AN96)))))</f>
        <v>1</v>
      </c>
      <c r="AT96" s="27" t="str">
        <f aca="false">IF(AJ96&lt;=0,"",IF(AS96&gt;=AJ96,IF(AS96&gt;AJ96*1.05,"Floor of "&amp;TEXT(AS96,"0.0")&amp;" click/day to read CVR (rank needs "&amp;TEXT(AJ96,"0.00")&amp;")","Fully funded (100%)"),"Capped at "&amp;TEXT(AS96/AJ96,"0%")&amp;" of required"))</f>
        <v>Floor of 1.0 click/day to read CVR (rank needs 0.06)</v>
      </c>
      <c r="AU96" s="44" t="n">
        <f aca="false">AS96*AD96</f>
        <v>0.064</v>
      </c>
      <c r="AV96" s="45" t="n">
        <f aca="false">AU96*AY96</f>
        <v>5.43936</v>
      </c>
      <c r="AW96" s="46" t="n">
        <v>3.68</v>
      </c>
      <c r="AX96" s="27" t="s">
        <v>687</v>
      </c>
      <c r="AY96" s="47" t="n">
        <f aca="false">INDEX(Assumptions!$B$33:$B$37,MATCH(IF($D96="","Queen",$D96),Assumptions!$A$33:$A$37,0))</f>
        <v>84.99</v>
      </c>
      <c r="AZ96" s="33" t="n">
        <f aca="false">INDEX(Assumptions!$K$33:$K$37,MATCH(IF($D96="","Queen",$D96),Assumptions!$A$33:$A$37,0))</f>
        <v>0.525970702435581</v>
      </c>
      <c r="BA96" s="33" t="n">
        <f aca="false">INDEX(Assumptions!$H$33:$H$37,MATCH(IF($D96="","Queen",$D96),Assumptions!$A$33:$A$37,0))</f>
        <v>0.350647134957054</v>
      </c>
      <c r="BB96" s="47" t="n">
        <f aca="false">AY96*AZ96*AD96</f>
        <v>2.860944</v>
      </c>
      <c r="BC96" s="47" t="n">
        <f aca="false">ROUND(MIN(AW96*Assumptions!$B$11,BB96),2)</f>
        <v>2.86</v>
      </c>
      <c r="BD96" s="26" t="s">
        <v>278</v>
      </c>
      <c r="BE96" s="48" t="n">
        <f aca="false">IF(AO96="Ranking — Full Push",MAX(0,MIN(IF(BD96="Yes",Assumptions!$B$12,Assumptions!$B$13),FLOOR(MAX(0,BB96/BC96-1),Assumptions!$B$14))),0)</f>
        <v>0</v>
      </c>
      <c r="BF96" s="49" t="str">
        <f aca="false">IF(AO96="Ranking — Full Push",IF(BE96&gt;=1,"YES — +100% Top of Search. Effective CPC $"&amp;TEXT(BG96,"0.00")&amp;" (= $"&amp;TEXT(BC96,"0.00")&amp;" × 2) stays within the $"&amp;TEXT(BB96,"0.00")&amp;" max ranking CPC"&amp;" (= $"&amp;TEXT(AY96,"0.00")&amp;" price × "&amp;TEXT(AZ96,"0.0%")&amp;" ranking ceiling × "&amp;TEXT(AD96,"0.0%")&amp;" CVR)"&amp;". Sleephoria CVR is proven on this term, so the full push is justified.",IF(AND(BD96="No",BE96&gt;=Assumptions!$B$13),"PARTIAL — +"&amp;TEXT(BE96,"0%")&amp;" Top of Search (limit for terms without proven CVR). Effective CPC $"&amp;TEXT(BG96,"0.00")&amp;" vs $"&amp;TEXT(BB96,"0.00")&amp;" max ranking CPC"&amp;" (= $"&amp;TEXT(AY96,"0.00")&amp;" price × "&amp;TEXT(AZ96,"0.0%")&amp;" ranking ceiling × "&amp;TEXT(AD96,"0.0%")&amp;" CVR)"&amp;". Raise to +100% only after CooLinens converts at ≥ "&amp;TEXT(AD96,"0.0%")&amp;" on 50+ clicks and $"&amp;TEXT(BC96*2,"0.00")&amp;" ≤ the max.",IF(BE96&gt;0,"PARTIAL — +"&amp;TEXT(BE96,"0%")&amp;" Top of Search. Effective CPC $"&amp;TEXT(BG96,"0.00")&amp;" stays within the $"&amp;TEXT(BB96,"0.00")&amp;" max ranking CPC"&amp;" (= $"&amp;TEXT(AY96,"0.00")&amp;" price × "&amp;TEXT(AZ96,"0.0%")&amp;" ranking ceiling × "&amp;TEXT(AD96,"0.0%")&amp;" CVR)"&amp;". +100% would cost $"&amp;TEXT(BC96*2,"0.00")&amp;" per click and push ACoS to "&amp;TEXT(BC96*2/(AY96*AD96),"0.0%")&amp;", above the "&amp;TEXT(AZ96,"0.0%")&amp;" ceiling.","NO — 0%. Base bid $"&amp;TEXT(BC96,"0.00")&amp;" already equals the $"&amp;TEXT(BB96,"0.00")&amp;" max ranking CPC"&amp;" (= $"&amp;TEXT(AY96,"0.00")&amp;" price × "&amp;TEXT(AZ96,"0.0%")&amp;" ranking ceiling × "&amp;TEXT(AD96,"0.0%")&amp;" CVR)"&amp;"; any modifier would push ACoS above the "&amp;TEXT(AZ96,"0.0%")&amp;" ceiling."))),IF(OR(AO96="Ranking — Head Term (Capped)",AO96="Ranking — Capped Entry",AO96="Ranking — Capped Long-Tail"),"NO — 0% (capped ranking entry). Bid $"&amp;TEXT(BC96,"0.00")&amp;" vs $"&amp;TEXT(BB96,"0.00")&amp;" max ranking CPC"&amp;" (= $"&amp;TEXT(AY96,"0.00")&amp;" price × "&amp;TEXT(AZ96,"0.0%")&amp;" ranking ceiling × "&amp;TEXT(AD96,"0.0%")&amp;" CVR)"&amp;". While spend is capped at "&amp;TEXT(AS96,"0.00")&amp;" clicks/day, a placement premium would only raise CPC without buying more rank; the modifier is set when this term moves to a full push.","NO — 0% (support / brand term). Bid $"&amp;TEXT(BC96,"0.00")&amp;" vs $"&amp;TEXT(BB96,"0.00")&amp;" max ranking CPC"&amp;" (= $"&amp;TEXT(AY96,"0.00")&amp;" price × "&amp;TEXT(AZ96,"0.0%")&amp;" ranking ceiling × "&amp;TEXT(AD96,"0.0%")&amp;" CVR)"&amp;"; expected ACoS "&amp;TEXT(BI96,"0.0%")&amp;" vs the "&amp;TEXT(AZ96,"0.0%")&amp;"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6" s="50" t="n">
        <f aca="false">BC96*(1+BE96)</f>
        <v>2.86</v>
      </c>
      <c r="BH96" s="45" t="n">
        <f aca="false">AS96*BG96</f>
        <v>2.86</v>
      </c>
      <c r="BI96" s="33" t="n">
        <f aca="false">IFERROR(BG96/(AY96*AD96),"")</f>
        <v>0.525797152606189</v>
      </c>
      <c r="BJ96" s="27" t="str">
        <f aca="false">IF(BI96="","",IF(BI96&lt;=BA96,"Profitable (≤ break-even)",IF(BI96&lt;=AZ96,"Ranking investment (≤ ceiling)","Above ceiling — reduce bid")))</f>
        <v>Ranking investment (≤ ceiling)</v>
      </c>
      <c r="BK96" s="49" t="str">
        <f aca="false">"Base $"&amp;TEXT(BC96,"0.00")&amp;" × (1 + "&amp;TEXT(BE96,"0%")&amp;" TOS) = $"&amp;TEXT(BG96,"0.00")&amp;" effective CPC [max $"&amp;TEXT(BB96,"0.00")&amp;"]. "&amp;TEXT(AG96,"0.0")&amp;" market clicks/day × "&amp;TEXT(AH96,"0.00%")&amp;" click share × "&amp;TEXT(AI96,"0%")&amp;" paid = "&amp;TEXT(AJ96,"0.00")&amp;" clicks/day needed; "&amp;"planned "&amp;TEXT(AS96,"0.00")&amp;" clicks/day × "&amp;TEXT(AD96,"0.0%")&amp;" CVR = "&amp;TEXT(AU96,"0.00")&amp;" orders/day. "&amp;"Spend $"&amp;TEXT(BH96,"0.00")&amp;"/day, ACoS "&amp;TEXT(BI96,"0.0%")&amp;" (ceiling "&amp;TEXT(AZ96,"0.0%")&amp;", break-even "&amp;TEXT(BA96,"0.0%")&amp;"). "&amp;"Target organic rank #"&amp;S96&amp;" by week 8 ("&amp;T96&amp;")."</f>
        <v>Base $2.86 × (1 + 0% TOS) = $2.86 effective CPC [max $2.86]. 7.2 market clicks/day × 1.24% click share × 66% paid = 0.06 clicks/day needed; planned 1.00 clicks/day × 6.4% CVR = 0.06 orders/day. Spend $2.86/day, ACoS 52.6% (ceiling 52.6%, break-even 35.1%). Target organic rank #20 by week 8 (#60 → #35 → #20 (full push after size assignment)).</v>
      </c>
      <c r="BL96" s="27" t="s">
        <v>617</v>
      </c>
      <c r="BM96" s="27" t="s">
        <v>203</v>
      </c>
      <c r="BN96" s="27" t="s">
        <v>1346</v>
      </c>
      <c r="BO96" s="27" t="s">
        <v>1343</v>
      </c>
      <c r="BP96" s="27" t="s">
        <v>569</v>
      </c>
      <c r="BQ96" s="26" t="s">
        <v>570</v>
      </c>
      <c r="BR96" s="40" t="n">
        <f aca="false">IFERROR(INDEX(Campaigns!$L:$L,MATCH(BN96,Campaigns!$A:$A,0)),"")</f>
        <v>10</v>
      </c>
      <c r="BS96" s="51" t="str">
        <f aca="false">IFERROR(INDEX(Inventory!$O:$O,MATCH(BP96,Inventory!$A:$A,0)),"")</f>
        <v>OK</v>
      </c>
      <c r="BT96" s="52" t="n">
        <f aca="false">IFERROR(INDEX(Inventory!$N:$N,MATCH(BP96,Inventory!$A:$A,0)),"")</f>
        <v>63.0533861060951</v>
      </c>
      <c r="BU96" s="27" t="s">
        <v>1347</v>
      </c>
      <c r="BV96" s="27" t="s">
        <v>263</v>
      </c>
      <c r="BW96" s="27" t="s">
        <v>1348</v>
      </c>
      <c r="BX96" s="27" t="s">
        <v>1349</v>
      </c>
      <c r="BY96" s="27" t="s">
        <v>1350</v>
      </c>
      <c r="BZ96" s="27" t="s">
        <v>1351</v>
      </c>
      <c r="CA96" s="27" t="s">
        <v>941</v>
      </c>
      <c r="CB96" s="27" t="s">
        <v>1105</v>
      </c>
      <c r="CC96" s="27" t="s">
        <v>477</v>
      </c>
    </row>
    <row r="97" customFormat="false" ht="120" hidden="false" customHeight="true" outlineLevel="0" collapsed="false">
      <c r="A97" s="53" t="s">
        <v>1352</v>
      </c>
      <c r="B97" s="54" t="n">
        <v>2</v>
      </c>
      <c r="C97" s="26" t="s">
        <v>928</v>
      </c>
      <c r="D97" s="26" t="s">
        <v>560</v>
      </c>
      <c r="E97" s="27" t="s">
        <v>929</v>
      </c>
      <c r="F97" s="28" t="n">
        <v>1</v>
      </c>
      <c r="G97" s="27" t="s">
        <v>187</v>
      </c>
      <c r="H97" s="26" t="s">
        <v>342</v>
      </c>
      <c r="I97" s="29" t="n">
        <v>4</v>
      </c>
      <c r="J97" s="27" t="s">
        <v>1298</v>
      </c>
      <c r="K97" s="30" t="n">
        <v>624</v>
      </c>
      <c r="L97" s="31" t="n">
        <v>376</v>
      </c>
      <c r="M97" s="32" t="n">
        <f aca="false">L97/30</f>
        <v>12.5333333333333</v>
      </c>
      <c r="N97" s="33" t="n">
        <v>0.0310650887573964</v>
      </c>
      <c r="O97" s="27" t="s">
        <v>1353</v>
      </c>
      <c r="P97" s="27" t="s">
        <v>1354</v>
      </c>
      <c r="Q97" s="27" t="s">
        <v>292</v>
      </c>
      <c r="R97" s="34" t="n">
        <v>6</v>
      </c>
      <c r="S97" s="35" t="n">
        <v>20</v>
      </c>
      <c r="T97" s="36" t="s">
        <v>467</v>
      </c>
      <c r="U97" s="27" t="s">
        <v>1355</v>
      </c>
      <c r="V97" s="37" t="n">
        <f aca="false">IFERROR(INDEX(Sleephoria_History!$F$454:$F$2115,MATCH($A97,Sleephoria_History!$A$454:$A$2115,0)),"")</f>
        <v>8</v>
      </c>
      <c r="W97" s="38" t="n">
        <f aca="false">IFERROR(INDEX(Sleephoria_History!$J$454:$J$2115,MATCH($A97,Sleephoria_History!$A$454:$A$2115,0)),"")</f>
        <v>0.125</v>
      </c>
      <c r="X97" s="39" t="n">
        <f aca="false">IFERROR(INDEX(Sleephoria_History!$H$454:$H$2115,MATCH($A97,Sleephoria_History!$A$454:$A$2115,0)),"")</f>
        <v>2.63</v>
      </c>
      <c r="Y97" s="38" t="n">
        <f aca="false">IFERROR(INDEX(Sleephoria_History!$M$454:$M$2115,MATCH($A97,Sleephoria_History!$A$454:$A$2115,0)),"")</f>
        <v>0.263</v>
      </c>
      <c r="Z97" s="40" t="n">
        <f aca="false">IFERROR(INDEX(Sleephoria_History!$L$454:$L$2115,MATCH($A97,Sleephoria_History!$A$454:$A$2115,0)),"")</f>
        <v>79.99</v>
      </c>
      <c r="AA97" s="37" t="str">
        <f aca="false">IFERROR(INDEX(Decolure_History!$F$397:$F$709,MATCH($A97,Decolure_History!$A$397:$A$709,0)),"")</f>
        <v/>
      </c>
      <c r="AB97" s="38" t="str">
        <f aca="false">IFERROR(INDEX(Decolure_History!$J$397:$J$709,MATCH($A97,Decolure_History!$A$397:$A$709,0)),"")</f>
        <v/>
      </c>
      <c r="AC97" s="38" t="str">
        <f aca="false">IFERROR(INDEX(Decolure_History!$M$397:$M$709,MATCH($A97,Decolure_History!$A$397:$A$709,0)),"")</f>
        <v/>
      </c>
      <c r="AD97" s="41" t="n">
        <v>0.064</v>
      </c>
      <c r="AE97" s="27" t="s">
        <v>275</v>
      </c>
      <c r="AF97" s="42" t="n">
        <v>0.516</v>
      </c>
      <c r="AG97" s="32" t="n">
        <f aca="false">M97*AF97</f>
        <v>6.4672</v>
      </c>
      <c r="AH97" s="43" t="n">
        <f aca="false">IF(AO97="Brand Defense",0,IFERROR(VLOOKUP(S97,Assumptions!$A$24:$B$28,2,FALSE()),0))</f>
        <v>0.0124</v>
      </c>
      <c r="AI97" s="28" t="n">
        <f aca="false">Assumptions!$B$6</f>
        <v>0.66</v>
      </c>
      <c r="AJ97" s="44" t="n">
        <f aca="false">AG97*AH97*AI97</f>
        <v>0.0529275648</v>
      </c>
      <c r="AK97" s="44" t="n">
        <f aca="false">AJ97*AD97</f>
        <v>0.0033873641472</v>
      </c>
      <c r="AL97" s="30" t="n">
        <f aca="false">AJ97*56</f>
        <v>2.9639436288</v>
      </c>
      <c r="AM97" s="32" t="n">
        <f aca="false">AK97*56</f>
        <v>0.1896923922432</v>
      </c>
      <c r="AN97" s="44" t="n">
        <f aca="false">M97*Assumptions!$B$8</f>
        <v>1.25333333333333</v>
      </c>
      <c r="AO97" s="27" t="s">
        <v>430</v>
      </c>
      <c r="AP97" s="27" t="s">
        <v>565</v>
      </c>
      <c r="AQ97" s="26" t="s">
        <v>198</v>
      </c>
      <c r="AR97" s="27" t="s">
        <v>199</v>
      </c>
      <c r="AS97" s="44" t="n">
        <f aca="false">IF(AO97="Ranking — Full Push",MIN(MAX(AJ97,Assumptions!$B$9),AN97),IF(AO97="Brand Defense",MIN(Assumptions!$B$7,AN97),IF(OR(AO97="Ranking — Head Term (Capped)",AO97="Ranking — Capped Entry"),MIN(MAX(AJ97,Assumptions!$B$9),Assumptions!$B$7,AN97),IF(AO97="Ranking — Capped Long-Tail",MIN(AJ97,Assumptions!$B$10,AN97),MIN(AJ97,AN97)))))</f>
        <v>1</v>
      </c>
      <c r="AT97" s="27" t="str">
        <f aca="false">IF(AJ97&lt;=0,"",IF(AS97&gt;=AJ97,IF(AS97&gt;AJ97*1.05,"Floor of "&amp;TEXT(AS97,"0.0")&amp;" click/day to read CVR (rank needs "&amp;TEXT(AJ97,"0.00")&amp;")","Fully funded (100%)"),"Capped at "&amp;TEXT(AS97/AJ97,"0%")&amp;" of required"))</f>
        <v>Floor of 1.0 click/day to read CVR (rank needs 0.05)</v>
      </c>
      <c r="AU97" s="44" t="n">
        <f aca="false">AS97*AD97</f>
        <v>0.064</v>
      </c>
      <c r="AV97" s="45" t="n">
        <f aca="false">AU97*AY97</f>
        <v>5.43936</v>
      </c>
      <c r="AW97" s="46" t="n">
        <v>3.68</v>
      </c>
      <c r="AX97" s="27" t="s">
        <v>687</v>
      </c>
      <c r="AY97" s="47" t="n">
        <f aca="false">INDEX(Assumptions!$B$33:$B$37,MATCH(IF($D97="","Queen",$D97),Assumptions!$A$33:$A$37,0))</f>
        <v>84.99</v>
      </c>
      <c r="AZ97" s="33" t="n">
        <f aca="false">INDEX(Assumptions!$K$33:$K$37,MATCH(IF($D97="","Queen",$D97),Assumptions!$A$33:$A$37,0))</f>
        <v>0.525970702435581</v>
      </c>
      <c r="BA97" s="33" t="n">
        <f aca="false">INDEX(Assumptions!$H$33:$H$37,MATCH(IF($D97="","Queen",$D97),Assumptions!$A$33:$A$37,0))</f>
        <v>0.350647134957054</v>
      </c>
      <c r="BB97" s="47" t="n">
        <f aca="false">AY97*AZ97*AD97</f>
        <v>2.860944</v>
      </c>
      <c r="BC97" s="47" t="n">
        <f aca="false">ROUND(MIN(AW97*Assumptions!$B$11,BB97),2)</f>
        <v>2.86</v>
      </c>
      <c r="BD97" s="26" t="s">
        <v>278</v>
      </c>
      <c r="BE97" s="48" t="n">
        <f aca="false">IF(AO97="Ranking — Full Push",MAX(0,MIN(IF(BD97="Yes",Assumptions!$B$12,Assumptions!$B$13),FLOOR(MAX(0,BB97/BC97-1),Assumptions!$B$14))),0)</f>
        <v>0</v>
      </c>
      <c r="BF97" s="49" t="str">
        <f aca="false">IF(AO97="Ranking — Full Push",IF(BE97&gt;=1,"YES — +100% Top of Search. Effective CPC $"&amp;TEXT(BG97,"0.00")&amp;" (= $"&amp;TEXT(BC97,"0.00")&amp;" × 2) stays within the $"&amp;TEXT(BB97,"0.00")&amp;" max ranking CPC"&amp;" (= $"&amp;TEXT(AY97,"0.00")&amp;" price × "&amp;TEXT(AZ97,"0.0%")&amp;" ranking ceiling × "&amp;TEXT(AD97,"0.0%")&amp;" CVR)"&amp;". Sleephoria CVR is proven on this term, so the full push is justified.",IF(AND(BD97="No",BE97&gt;=Assumptions!$B$13),"PARTIAL — +"&amp;TEXT(BE97,"0%")&amp;" Top of Search (limit for terms without proven CVR). Effective CPC $"&amp;TEXT(BG97,"0.00")&amp;" vs $"&amp;TEXT(BB97,"0.00")&amp;" max ranking CPC"&amp;" (= $"&amp;TEXT(AY97,"0.00")&amp;" price × "&amp;TEXT(AZ97,"0.0%")&amp;" ranking ceiling × "&amp;TEXT(AD97,"0.0%")&amp;" CVR)"&amp;". Raise to +100% only after CooLinens converts at ≥ "&amp;TEXT(AD97,"0.0%")&amp;" on 50+ clicks and $"&amp;TEXT(BC97*2,"0.00")&amp;" ≤ the max.",IF(BE97&gt;0,"PARTIAL — +"&amp;TEXT(BE97,"0%")&amp;" Top of Search. Effective CPC $"&amp;TEXT(BG97,"0.00")&amp;" stays within the $"&amp;TEXT(BB97,"0.00")&amp;" max ranking CPC"&amp;" (= $"&amp;TEXT(AY97,"0.00")&amp;" price × "&amp;TEXT(AZ97,"0.0%")&amp;" ranking ceiling × "&amp;TEXT(AD97,"0.0%")&amp;" CVR)"&amp;". +100% would cost $"&amp;TEXT(BC97*2,"0.00")&amp;" per click and push ACoS to "&amp;TEXT(BC97*2/(AY97*AD97),"0.0%")&amp;", above the "&amp;TEXT(AZ97,"0.0%")&amp;" ceiling.","NO — 0%. Base bid $"&amp;TEXT(BC97,"0.00")&amp;" already equals the $"&amp;TEXT(BB97,"0.00")&amp;" max ranking CPC"&amp;" (= $"&amp;TEXT(AY97,"0.00")&amp;" price × "&amp;TEXT(AZ97,"0.0%")&amp;" ranking ceiling × "&amp;TEXT(AD97,"0.0%")&amp;" CVR)"&amp;"; any modifier would push ACoS above the "&amp;TEXT(AZ97,"0.0%")&amp;" ceiling."))),IF(OR(AO97="Ranking — Head Term (Capped)",AO97="Ranking — Capped Entry",AO97="Ranking — Capped Long-Tail"),"NO — 0% (capped ranking entry). Bid $"&amp;TEXT(BC97,"0.00")&amp;" vs $"&amp;TEXT(BB97,"0.00")&amp;" max ranking CPC"&amp;" (= $"&amp;TEXT(AY97,"0.00")&amp;" price × "&amp;TEXT(AZ97,"0.0%")&amp;" ranking ceiling × "&amp;TEXT(AD97,"0.0%")&amp;" CVR)"&amp;". While spend is capped at "&amp;TEXT(AS97,"0.00")&amp;" clicks/day, a placement premium would only raise CPC without buying more rank; the modifier is set when this term moves to a full push.","NO — 0% (support / brand term). Bid $"&amp;TEXT(BC97,"0.00")&amp;" vs $"&amp;TEXT(BB97,"0.00")&amp;" max ranking CPC"&amp;" (= $"&amp;TEXT(AY97,"0.00")&amp;" price × "&amp;TEXT(AZ97,"0.0%")&amp;" ranking ceiling × "&amp;TEXT(AD97,"0.0%")&amp;" CVR)"&amp;"; expected ACoS "&amp;TEXT(BI97,"0.0%")&amp;" vs the "&amp;TEXT(AZ97,"0.0%")&amp;"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7" s="50" t="n">
        <f aca="false">BC97*(1+BE97)</f>
        <v>2.86</v>
      </c>
      <c r="BH97" s="45" t="n">
        <f aca="false">AS97*BG97</f>
        <v>2.86</v>
      </c>
      <c r="BI97" s="33" t="n">
        <f aca="false">IFERROR(BG97/(AY97*AD97),"")</f>
        <v>0.525797152606189</v>
      </c>
      <c r="BJ97" s="27" t="str">
        <f aca="false">IF(BI97="","",IF(BI97&lt;=BA97,"Profitable (≤ break-even)",IF(BI97&lt;=AZ97,"Ranking investment (≤ ceiling)","Above ceiling — reduce bid")))</f>
        <v>Ranking investment (≤ ceiling)</v>
      </c>
      <c r="BK97" s="49" t="str">
        <f aca="false">"Base $"&amp;TEXT(BC97,"0.00")&amp;" × (1 + "&amp;TEXT(BE97,"0%")&amp;" TOS) = $"&amp;TEXT(BG97,"0.00")&amp;" effective CPC [max $"&amp;TEXT(BB97,"0.00")&amp;"]. "&amp;TEXT(AG97,"0.0")&amp;" market clicks/day × "&amp;TEXT(AH97,"0.00%")&amp;" click share × "&amp;TEXT(AI97,"0%")&amp;" paid = "&amp;TEXT(AJ97,"0.00")&amp;" clicks/day needed; "&amp;"planned "&amp;TEXT(AS97,"0.00")&amp;" clicks/day × "&amp;TEXT(AD97,"0.0%")&amp;" CVR = "&amp;TEXT(AU97,"0.00")&amp;" orders/day. "&amp;"Spend $"&amp;TEXT(BH97,"0.00")&amp;"/day, ACoS "&amp;TEXT(BI97,"0.0%")&amp;" (ceiling "&amp;TEXT(AZ97,"0.0%")&amp;", break-even "&amp;TEXT(BA97,"0.0%")&amp;"). "&amp;"Target organic rank #"&amp;S97&amp;" by week 8 ("&amp;T97&amp;")."</f>
        <v>Base $2.86 × (1 + 0% TOS) = $2.86 effective CPC [max $2.86]. 6.5 market clicks/day × 1.24% click share × 66% paid = 0.05 clicks/day needed; planned 1.00 clicks/day × 6.4% CVR = 0.06 orders/day. Spend $2.86/day, ACoS 52.6% (ceiling 52.6%, break-even 35.1%). Target organic rank #20 by week 8 (#60 → #35 → #20 (full push after size assignment)).</v>
      </c>
      <c r="BL97" s="27" t="s">
        <v>662</v>
      </c>
      <c r="BM97" s="27" t="s">
        <v>203</v>
      </c>
      <c r="BN97" s="27" t="s">
        <v>1356</v>
      </c>
      <c r="BO97" s="27" t="s">
        <v>1352</v>
      </c>
      <c r="BP97" s="27" t="s">
        <v>569</v>
      </c>
      <c r="BQ97" s="26" t="s">
        <v>570</v>
      </c>
      <c r="BR97" s="40" t="n">
        <f aca="false">IFERROR(INDEX(Campaigns!$L:$L,MATCH(BN97,Campaigns!$A:$A,0)),"")</f>
        <v>10</v>
      </c>
      <c r="BS97" s="51" t="str">
        <f aca="false">IFERROR(INDEX(Inventory!$O:$O,MATCH(BP97,Inventory!$A:$A,0)),"")</f>
        <v>OK</v>
      </c>
      <c r="BT97" s="52" t="n">
        <f aca="false">IFERROR(INDEX(Inventory!$N:$N,MATCH(BP97,Inventory!$A:$A,0)),"")</f>
        <v>63.0533861060951</v>
      </c>
      <c r="BU97" s="27" t="s">
        <v>1357</v>
      </c>
      <c r="BV97" s="27" t="s">
        <v>263</v>
      </c>
      <c r="BW97" s="27" t="s">
        <v>1358</v>
      </c>
      <c r="BX97" s="27" t="s">
        <v>1359</v>
      </c>
      <c r="BY97" s="27" t="s">
        <v>1360</v>
      </c>
      <c r="BZ97" s="27" t="s">
        <v>1361</v>
      </c>
      <c r="CA97" s="27" t="s">
        <v>941</v>
      </c>
      <c r="CB97" s="27" t="s">
        <v>1308</v>
      </c>
      <c r="CC97" s="27" t="s">
        <v>477</v>
      </c>
    </row>
    <row r="98" customFormat="false" ht="120" hidden="false" customHeight="true" outlineLevel="0" collapsed="false">
      <c r="A98" s="53" t="s">
        <v>1362</v>
      </c>
      <c r="B98" s="54" t="n">
        <v>2</v>
      </c>
      <c r="C98" s="26" t="s">
        <v>928</v>
      </c>
      <c r="D98" s="26" t="s">
        <v>560</v>
      </c>
      <c r="E98" s="27" t="s">
        <v>929</v>
      </c>
      <c r="F98" s="28" t="n">
        <v>1</v>
      </c>
      <c r="G98" s="27" t="s">
        <v>187</v>
      </c>
      <c r="H98" s="26" t="s">
        <v>342</v>
      </c>
      <c r="I98" s="29" t="n">
        <v>4.5</v>
      </c>
      <c r="J98" s="27" t="s">
        <v>822</v>
      </c>
      <c r="K98" s="30" t="n">
        <v>646</v>
      </c>
      <c r="L98" s="31" t="n">
        <v>327</v>
      </c>
      <c r="M98" s="32" t="n">
        <f aca="false">L98/30</f>
        <v>10.9</v>
      </c>
      <c r="N98" s="33" t="n">
        <v>0.0390434358223523</v>
      </c>
      <c r="O98" s="27" t="s">
        <v>1363</v>
      </c>
      <c r="P98" s="27" t="s">
        <v>1364</v>
      </c>
      <c r="Q98" s="27" t="s">
        <v>325</v>
      </c>
      <c r="R98" s="34" t="n">
        <v>7</v>
      </c>
      <c r="S98" s="35" t="n">
        <v>20</v>
      </c>
      <c r="T98" s="36" t="s">
        <v>467</v>
      </c>
      <c r="U98" s="27" t="s">
        <v>1365</v>
      </c>
      <c r="V98" s="37" t="n">
        <f aca="false">IFERROR(INDEX(Sleephoria_History!$F$454:$F$2115,MATCH($A98,Sleephoria_History!$A$454:$A$2115,0)),"")</f>
        <v>13</v>
      </c>
      <c r="W98" s="38" t="n">
        <f aca="false">IFERROR(INDEX(Sleephoria_History!$J$454:$J$2115,MATCH($A98,Sleephoria_History!$A$454:$A$2115,0)),"")</f>
        <v>0.2308</v>
      </c>
      <c r="X98" s="39" t="n">
        <f aca="false">IFERROR(INDEX(Sleephoria_History!$H$454:$H$2115,MATCH($A98,Sleephoria_History!$A$454:$A$2115,0)),"")</f>
        <v>2.81</v>
      </c>
      <c r="Y98" s="38" t="n">
        <f aca="false">IFERROR(INDEX(Sleephoria_History!$M$454:$M$2115,MATCH($A98,Sleephoria_History!$A$454:$A$2115,0)),"")</f>
        <v>0.178</v>
      </c>
      <c r="Z98" s="40" t="n">
        <f aca="false">IFERROR(INDEX(Sleephoria_History!$L$454:$L$2115,MATCH($A98,Sleephoria_History!$A$454:$A$2115,0)),"")</f>
        <v>204.97</v>
      </c>
      <c r="AA98" s="37" t="str">
        <f aca="false">IFERROR(INDEX(Decolure_History!$F$397:$F$709,MATCH($A98,Decolure_History!$A$397:$A$709,0)),"")</f>
        <v/>
      </c>
      <c r="AB98" s="38" t="str">
        <f aca="false">IFERROR(INDEX(Decolure_History!$J$397:$J$709,MATCH($A98,Decolure_History!$A$397:$A$709,0)),"")</f>
        <v/>
      </c>
      <c r="AC98" s="38" t="str">
        <f aca="false">IFERROR(INDEX(Decolure_History!$M$397:$M$709,MATCH($A98,Decolure_History!$A$397:$A$709,0)),"")</f>
        <v/>
      </c>
      <c r="AD98" s="41" t="n">
        <v>0.064</v>
      </c>
      <c r="AE98" s="27" t="s">
        <v>275</v>
      </c>
      <c r="AF98" s="42" t="n">
        <v>0.409</v>
      </c>
      <c r="AG98" s="32" t="n">
        <f aca="false">M98*AF98</f>
        <v>4.4581</v>
      </c>
      <c r="AH98" s="43" t="n">
        <f aca="false">IF(AO98="Brand Defense",0,IFERROR(VLOOKUP(S98,Assumptions!$A$24:$B$28,2,FALSE()),0))</f>
        <v>0.0124</v>
      </c>
      <c r="AI98" s="28" t="n">
        <f aca="false">Assumptions!$B$6</f>
        <v>0.66</v>
      </c>
      <c r="AJ98" s="44" t="n">
        <f aca="false">AG98*AH98*AI98</f>
        <v>0.0364850904</v>
      </c>
      <c r="AK98" s="44" t="n">
        <f aca="false">AJ98*AD98</f>
        <v>0.0023350457856</v>
      </c>
      <c r="AL98" s="30" t="n">
        <f aca="false">AJ98*56</f>
        <v>2.0431650624</v>
      </c>
      <c r="AM98" s="32" t="n">
        <f aca="false">AK98*56</f>
        <v>0.1307625639936</v>
      </c>
      <c r="AN98" s="44" t="n">
        <f aca="false">M98*Assumptions!$B$8</f>
        <v>1.09</v>
      </c>
      <c r="AO98" s="27" t="s">
        <v>430</v>
      </c>
      <c r="AP98" s="27" t="s">
        <v>565</v>
      </c>
      <c r="AQ98" s="26" t="s">
        <v>198</v>
      </c>
      <c r="AR98" s="27" t="s">
        <v>199</v>
      </c>
      <c r="AS98" s="44" t="n">
        <f aca="false">IF(AO98="Ranking — Full Push",MIN(MAX(AJ98,Assumptions!$B$9),AN98),IF(AO98="Brand Defense",MIN(Assumptions!$B$7,AN98),IF(OR(AO98="Ranking — Head Term (Capped)",AO98="Ranking — Capped Entry"),MIN(MAX(AJ98,Assumptions!$B$9),Assumptions!$B$7,AN98),IF(AO98="Ranking — Capped Long-Tail",MIN(AJ98,Assumptions!$B$10,AN98),MIN(AJ98,AN98)))))</f>
        <v>1</v>
      </c>
      <c r="AT98" s="27" t="str">
        <f aca="false">IF(AJ98&lt;=0,"",IF(AS98&gt;=AJ98,IF(AS98&gt;AJ98*1.05,"Floor of "&amp;TEXT(AS98,"0.0")&amp;" click/day to read CVR (rank needs "&amp;TEXT(AJ98,"0.00")&amp;")","Fully funded (100%)"),"Capped at "&amp;TEXT(AS98/AJ98,"0%")&amp;" of required"))</f>
        <v>Floor of 1.0 click/day to read CVR (rank needs 0.04)</v>
      </c>
      <c r="AU98" s="44" t="n">
        <f aca="false">AS98*AD98</f>
        <v>0.064</v>
      </c>
      <c r="AV98" s="45" t="n">
        <f aca="false">AU98*AY98</f>
        <v>5.43936</v>
      </c>
      <c r="AW98" s="46" t="n">
        <v>3.68</v>
      </c>
      <c r="AX98" s="27" t="s">
        <v>687</v>
      </c>
      <c r="AY98" s="47" t="n">
        <f aca="false">INDEX(Assumptions!$B$33:$B$37,MATCH(IF($D98="","Queen",$D98),Assumptions!$A$33:$A$37,0))</f>
        <v>84.99</v>
      </c>
      <c r="AZ98" s="33" t="n">
        <f aca="false">INDEX(Assumptions!$K$33:$K$37,MATCH(IF($D98="","Queen",$D98),Assumptions!$A$33:$A$37,0))</f>
        <v>0.525970702435581</v>
      </c>
      <c r="BA98" s="33" t="n">
        <f aca="false">INDEX(Assumptions!$H$33:$H$37,MATCH(IF($D98="","Queen",$D98),Assumptions!$A$33:$A$37,0))</f>
        <v>0.350647134957054</v>
      </c>
      <c r="BB98" s="47" t="n">
        <f aca="false">AY98*AZ98*AD98</f>
        <v>2.860944</v>
      </c>
      <c r="BC98" s="47" t="n">
        <f aca="false">ROUND(MIN(AW98*Assumptions!$B$11,BB98),2)</f>
        <v>2.86</v>
      </c>
      <c r="BD98" s="26" t="s">
        <v>278</v>
      </c>
      <c r="BE98" s="48" t="n">
        <f aca="false">IF(AO98="Ranking — Full Push",MAX(0,MIN(IF(BD98="Yes",Assumptions!$B$12,Assumptions!$B$13),FLOOR(MAX(0,BB98/BC98-1),Assumptions!$B$14))),0)</f>
        <v>0</v>
      </c>
      <c r="BF98" s="49" t="str">
        <f aca="false">IF(AO98="Ranking — Full Push",IF(BE98&gt;=1,"YES — +100% Top of Search. Effective CPC $"&amp;TEXT(BG98,"0.00")&amp;" (= $"&amp;TEXT(BC98,"0.00")&amp;" × 2) stays within the $"&amp;TEXT(BB98,"0.00")&amp;" max ranking CPC"&amp;" (= $"&amp;TEXT(AY98,"0.00")&amp;" price × "&amp;TEXT(AZ98,"0.0%")&amp;" ranking ceiling × "&amp;TEXT(AD98,"0.0%")&amp;" CVR)"&amp;". Sleephoria CVR is proven on this term, so the full push is justified.",IF(AND(BD98="No",BE98&gt;=Assumptions!$B$13),"PARTIAL — +"&amp;TEXT(BE98,"0%")&amp;" Top of Search (limit for terms without proven CVR). Effective CPC $"&amp;TEXT(BG98,"0.00")&amp;" vs $"&amp;TEXT(BB98,"0.00")&amp;" max ranking CPC"&amp;" (= $"&amp;TEXT(AY98,"0.00")&amp;" price × "&amp;TEXT(AZ98,"0.0%")&amp;" ranking ceiling × "&amp;TEXT(AD98,"0.0%")&amp;" CVR)"&amp;". Raise to +100% only after CooLinens converts at ≥ "&amp;TEXT(AD98,"0.0%")&amp;" on 50+ clicks and $"&amp;TEXT(BC98*2,"0.00")&amp;" ≤ the max.",IF(BE98&gt;0,"PARTIAL — +"&amp;TEXT(BE98,"0%")&amp;" Top of Search. Effective CPC $"&amp;TEXT(BG98,"0.00")&amp;" stays within the $"&amp;TEXT(BB98,"0.00")&amp;" max ranking CPC"&amp;" (= $"&amp;TEXT(AY98,"0.00")&amp;" price × "&amp;TEXT(AZ98,"0.0%")&amp;" ranking ceiling × "&amp;TEXT(AD98,"0.0%")&amp;" CVR)"&amp;". +100% would cost $"&amp;TEXT(BC98*2,"0.00")&amp;" per click and push ACoS to "&amp;TEXT(BC98*2/(AY98*AD98),"0.0%")&amp;", above the "&amp;TEXT(AZ98,"0.0%")&amp;" ceiling.","NO — 0%. Base bid $"&amp;TEXT(BC98,"0.00")&amp;" already equals the $"&amp;TEXT(BB98,"0.00")&amp;" max ranking CPC"&amp;" (= $"&amp;TEXT(AY98,"0.00")&amp;" price × "&amp;TEXT(AZ98,"0.0%")&amp;" ranking ceiling × "&amp;TEXT(AD98,"0.0%")&amp;" CVR)"&amp;"; any modifier would push ACoS above the "&amp;TEXT(AZ98,"0.0%")&amp;" ceiling."))),IF(OR(AO98="Ranking — Head Term (Capped)",AO98="Ranking — Capped Entry",AO98="Ranking — Capped Long-Tail"),"NO — 0% (capped ranking entry). Bid $"&amp;TEXT(BC98,"0.00")&amp;" vs $"&amp;TEXT(BB98,"0.00")&amp;" max ranking CPC"&amp;" (= $"&amp;TEXT(AY98,"0.00")&amp;" price × "&amp;TEXT(AZ98,"0.0%")&amp;" ranking ceiling × "&amp;TEXT(AD98,"0.0%")&amp;" CVR)"&amp;". While spend is capped at "&amp;TEXT(AS98,"0.00")&amp;" clicks/day, a placement premium would only raise CPC without buying more rank; the modifier is set when this term moves to a full push.","NO — 0% (support / brand term). Bid $"&amp;TEXT(BC98,"0.00")&amp;" vs $"&amp;TEXT(BB98,"0.00")&amp;" max ranking CPC"&amp;" (= $"&amp;TEXT(AY98,"0.00")&amp;" price × "&amp;TEXT(AZ98,"0.0%")&amp;" ranking ceiling × "&amp;TEXT(AD98,"0.0%")&amp;" CVR)"&amp;"; expected ACoS "&amp;TEXT(BI98,"0.0%")&amp;" vs the "&amp;TEXT(AZ98,"0.0%")&amp;"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98" s="50" t="n">
        <f aca="false">BC98*(1+BE98)</f>
        <v>2.86</v>
      </c>
      <c r="BH98" s="45" t="n">
        <f aca="false">AS98*BG98</f>
        <v>2.86</v>
      </c>
      <c r="BI98" s="33" t="n">
        <f aca="false">IFERROR(BG98/(AY98*AD98),"")</f>
        <v>0.525797152606189</v>
      </c>
      <c r="BJ98" s="27" t="str">
        <f aca="false">IF(BI98="","",IF(BI98&lt;=BA98,"Profitable (≤ break-even)",IF(BI98&lt;=AZ98,"Ranking investment (≤ ceiling)","Above ceiling — reduce bid")))</f>
        <v>Ranking investment (≤ ceiling)</v>
      </c>
      <c r="BK98" s="49" t="str">
        <f aca="false">"Base $"&amp;TEXT(BC98,"0.00")&amp;" × (1 + "&amp;TEXT(BE98,"0%")&amp;" TOS) = $"&amp;TEXT(BG98,"0.00")&amp;" effective CPC [max $"&amp;TEXT(BB98,"0.00")&amp;"]. "&amp;TEXT(AG98,"0.0")&amp;" market clicks/day × "&amp;TEXT(AH98,"0.00%")&amp;" click share × "&amp;TEXT(AI98,"0%")&amp;" paid = "&amp;TEXT(AJ98,"0.00")&amp;" clicks/day needed; "&amp;"planned "&amp;TEXT(AS98,"0.00")&amp;" clicks/day × "&amp;TEXT(AD98,"0.0%")&amp;" CVR = "&amp;TEXT(AU98,"0.00")&amp;" orders/day. "&amp;"Spend $"&amp;TEXT(BH98,"0.00")&amp;"/day, ACoS "&amp;TEXT(BI98,"0.0%")&amp;" (ceiling "&amp;TEXT(AZ98,"0.0%")&amp;", break-even "&amp;TEXT(BA98,"0.0%")&amp;"). "&amp;"Target organic rank #"&amp;S98&amp;" by week 8 ("&amp;T98&amp;")."</f>
        <v>Base $2.86 × (1 + 0% TOS) = $2.86 effective CPC [max $2.86]. 4.5 market clicks/day × 1.24% click share × 66% paid = 0.04 clicks/day needed; planned 1.00 clicks/day × 6.4% CVR = 0.06 orders/day. Spend $2.86/day, ACoS 52.6% (ceiling 52.6%, break-even 35.1%). Target organic rank #20 by week 8 (#60 → #35 → #20 (full push after size assignment)).</v>
      </c>
      <c r="BL98" s="27" t="s">
        <v>1366</v>
      </c>
      <c r="BM98" s="27" t="s">
        <v>203</v>
      </c>
      <c r="BN98" s="27" t="s">
        <v>1367</v>
      </c>
      <c r="BO98" s="27" t="s">
        <v>1362</v>
      </c>
      <c r="BP98" s="27" t="s">
        <v>569</v>
      </c>
      <c r="BQ98" s="26" t="s">
        <v>570</v>
      </c>
      <c r="BR98" s="40" t="n">
        <f aca="false">IFERROR(INDEX(Campaigns!$L:$L,MATCH(BN98,Campaigns!$A:$A,0)),"")</f>
        <v>10</v>
      </c>
      <c r="BS98" s="51" t="str">
        <f aca="false">IFERROR(INDEX(Inventory!$O:$O,MATCH(BP98,Inventory!$A:$A,0)),"")</f>
        <v>OK</v>
      </c>
      <c r="BT98" s="52" t="n">
        <f aca="false">IFERROR(INDEX(Inventory!$N:$N,MATCH(BP98,Inventory!$A:$A,0)),"")</f>
        <v>63.0533861060951</v>
      </c>
      <c r="BU98" s="27" t="s">
        <v>1368</v>
      </c>
      <c r="BV98" s="27" t="s">
        <v>263</v>
      </c>
      <c r="BW98" s="27" t="s">
        <v>1369</v>
      </c>
      <c r="BX98" s="27" t="s">
        <v>1370</v>
      </c>
      <c r="BY98" s="27" t="s">
        <v>1371</v>
      </c>
      <c r="BZ98" s="27" t="s">
        <v>593</v>
      </c>
      <c r="CA98" s="27" t="s">
        <v>941</v>
      </c>
      <c r="CB98" s="27" t="s">
        <v>1105</v>
      </c>
      <c r="CC98" s="27" t="s">
        <v>477</v>
      </c>
    </row>
    <row r="99" customFormat="false" ht="120" hidden="false" customHeight="true" outlineLevel="0" collapsed="false">
      <c r="A99" s="53" t="s">
        <v>1372</v>
      </c>
      <c r="B99" s="54" t="n">
        <v>2</v>
      </c>
      <c r="C99" s="26" t="s">
        <v>928</v>
      </c>
      <c r="D99" s="26" t="s">
        <v>696</v>
      </c>
      <c r="E99" s="27" t="s">
        <v>929</v>
      </c>
      <c r="F99" s="28" t="n">
        <v>1</v>
      </c>
      <c r="G99" s="27" t="s">
        <v>187</v>
      </c>
      <c r="H99" s="26" t="s">
        <v>342</v>
      </c>
      <c r="I99" s="29" t="n">
        <v>5.5</v>
      </c>
      <c r="J99" s="27" t="s">
        <v>1373</v>
      </c>
      <c r="K99" s="30" t="n">
        <v>603</v>
      </c>
      <c r="L99" s="31" t="n">
        <v>376</v>
      </c>
      <c r="M99" s="32" t="n">
        <f aca="false">L99/30</f>
        <v>12.5333333333333</v>
      </c>
      <c r="N99" s="33" t="n">
        <v>0.0660714285714285</v>
      </c>
      <c r="O99" s="27" t="s">
        <v>1374</v>
      </c>
      <c r="P99" s="27" t="s">
        <v>1375</v>
      </c>
      <c r="Q99" s="27" t="s">
        <v>722</v>
      </c>
      <c r="R99" s="34" t="n">
        <v>0</v>
      </c>
      <c r="S99" s="35" t="n">
        <v>20</v>
      </c>
      <c r="T99" s="36" t="s">
        <v>467</v>
      </c>
      <c r="U99" s="27" t="s">
        <v>1376</v>
      </c>
      <c r="V99" s="37" t="str">
        <f aca="false">IFERROR(INDEX(Sleephoria_History!$F$454:$F$2115,MATCH($A99,Sleephoria_History!$A$454:$A$2115,0)),"")</f>
        <v/>
      </c>
      <c r="W99" s="38" t="str">
        <f aca="false">IFERROR(INDEX(Sleephoria_History!$J$454:$J$2115,MATCH($A99,Sleephoria_History!$A$454:$A$2115,0)),"")</f>
        <v/>
      </c>
      <c r="X99" s="39" t="str">
        <f aca="false">IFERROR(INDEX(Sleephoria_History!$H$454:$H$2115,MATCH($A99,Sleephoria_History!$A$454:$A$2115,0)),"")</f>
        <v/>
      </c>
      <c r="Y99" s="38" t="str">
        <f aca="false">IFERROR(INDEX(Sleephoria_History!$M$454:$M$2115,MATCH($A99,Sleephoria_History!$A$454:$A$2115,0)),"")</f>
        <v/>
      </c>
      <c r="Z99" s="40" t="str">
        <f aca="false">IFERROR(INDEX(Sleephoria_History!$L$454:$L$2115,MATCH($A99,Sleephoria_History!$A$454:$A$2115,0)),"")</f>
        <v/>
      </c>
      <c r="AA99" s="37" t="str">
        <f aca="false">IFERROR(INDEX(Decolure_History!$F$397:$F$709,MATCH($A99,Decolure_History!$A$397:$A$709,0)),"")</f>
        <v/>
      </c>
      <c r="AB99" s="38" t="str">
        <f aca="false">IFERROR(INDEX(Decolure_History!$J$397:$J$709,MATCH($A99,Decolure_History!$A$397:$A$709,0)),"")</f>
        <v/>
      </c>
      <c r="AC99" s="38" t="str">
        <f aca="false">IFERROR(INDEX(Decolure_History!$M$397:$M$709,MATCH($A99,Decolure_History!$A$397:$A$709,0)),"")</f>
        <v/>
      </c>
      <c r="AD99" s="41" t="n">
        <v>0.064</v>
      </c>
      <c r="AE99" s="27" t="s">
        <v>275</v>
      </c>
      <c r="AF99" s="42" t="n">
        <v>0.501</v>
      </c>
      <c r="AG99" s="32" t="n">
        <f aca="false">M99*AF99</f>
        <v>6.2792</v>
      </c>
      <c r="AH99" s="43" t="n">
        <f aca="false">IF(AO99="Brand Defense",0,IFERROR(VLOOKUP(S99,Assumptions!$A$24:$B$28,2,FALSE()),0))</f>
        <v>0.0124</v>
      </c>
      <c r="AI99" s="28" t="n">
        <f aca="false">Assumptions!$B$6</f>
        <v>0.66</v>
      </c>
      <c r="AJ99" s="44" t="n">
        <f aca="false">AG99*AH99*AI99</f>
        <v>0.0513889728</v>
      </c>
      <c r="AK99" s="44" t="n">
        <f aca="false">AJ99*AD99</f>
        <v>0.0032888942592</v>
      </c>
      <c r="AL99" s="30" t="n">
        <f aca="false">AJ99*56</f>
        <v>2.8777824768</v>
      </c>
      <c r="AM99" s="32" t="n">
        <f aca="false">AK99*56</f>
        <v>0.1841780785152</v>
      </c>
      <c r="AN99" s="44" t="n">
        <f aca="false">M99*Assumptions!$B$8</f>
        <v>1.25333333333333</v>
      </c>
      <c r="AO99" s="27" t="s">
        <v>430</v>
      </c>
      <c r="AP99" s="27" t="s">
        <v>703</v>
      </c>
      <c r="AQ99" s="26" t="s">
        <v>198</v>
      </c>
      <c r="AR99" s="27" t="s">
        <v>199</v>
      </c>
      <c r="AS99" s="44" t="n">
        <f aca="false">IF(AO99="Ranking — Full Push",MIN(MAX(AJ99,Assumptions!$B$9),AN99),IF(AO99="Brand Defense",MIN(Assumptions!$B$7,AN99),IF(OR(AO99="Ranking — Head Term (Capped)",AO99="Ranking — Capped Entry"),MIN(MAX(AJ99,Assumptions!$B$9),Assumptions!$B$7,AN99),IF(AO99="Ranking — Capped Long-Tail",MIN(AJ99,Assumptions!$B$10,AN99),MIN(AJ99,AN99)))))</f>
        <v>1</v>
      </c>
      <c r="AT99" s="27" t="str">
        <f aca="false">IF(AJ99&lt;=0,"",IF(AS99&gt;=AJ99,IF(AS99&gt;AJ99*1.05,"Floor of "&amp;TEXT(AS99,"0.0")&amp;" click/day to read CVR (rank needs "&amp;TEXT(AJ99,"0.00")&amp;")","Fully funded (100%)"),"Capped at "&amp;TEXT(AS99/AJ99,"0%")&amp;" of required"))</f>
        <v>Floor of 1.0 click/day to read CVR (rank needs 0.05)</v>
      </c>
      <c r="AU99" s="44" t="n">
        <f aca="false">AS99*AD99</f>
        <v>0.064</v>
      </c>
      <c r="AV99" s="45" t="n">
        <f aca="false">AU99*AY99</f>
        <v>4.03136</v>
      </c>
      <c r="AW99" s="46" t="n">
        <v>1.75</v>
      </c>
      <c r="AX99" s="27" t="s">
        <v>741</v>
      </c>
      <c r="AY99" s="47" t="n">
        <f aca="false">INDEX(Assumptions!$B$33:$B$37,MATCH(IF($D99="","Queen",$D99),Assumptions!$A$33:$A$37,0))</f>
        <v>62.99</v>
      </c>
      <c r="AZ99" s="33" t="n">
        <f aca="false">INDEX(Assumptions!$K$33:$K$37,MATCH(IF($D99="","Queen",$D99),Assumptions!$A$33:$A$37,0))</f>
        <v>0.508449753929195</v>
      </c>
      <c r="BA99" s="33" t="n">
        <f aca="false">INDEX(Assumptions!$H$33:$H$37,MATCH(IF($D99="","Queen",$D99),Assumptions!$A$33:$A$37,0))</f>
        <v>0.338966502619464</v>
      </c>
      <c r="BB99" s="47" t="n">
        <f aca="false">AY99*AZ99*AD99</f>
        <v>2.049744</v>
      </c>
      <c r="BC99" s="47" t="n">
        <f aca="false">ROUND(MIN(AW99*Assumptions!$B$11,BB99),2)</f>
        <v>1.75</v>
      </c>
      <c r="BD99" s="26" t="s">
        <v>278</v>
      </c>
      <c r="BE99" s="48" t="n">
        <f aca="false">IF(AO99="Ranking — Full Push",MAX(0,MIN(IF(BD99="Yes",Assumptions!$B$12,Assumptions!$B$13),FLOOR(MAX(0,BB99/BC99-1),Assumptions!$B$14))),0)</f>
        <v>0</v>
      </c>
      <c r="BF99" s="49" t="str">
        <f aca="false">IF(AO99="Ranking — Full Push",IF(BE99&gt;=1,"YES — +100% Top of Search. Effective CPC $"&amp;TEXT(BG99,"0.00")&amp;" (= $"&amp;TEXT(BC99,"0.00")&amp;" × 2) stays within the $"&amp;TEXT(BB99,"0.00")&amp;" max ranking CPC"&amp;" (= $"&amp;TEXT(AY99,"0.00")&amp;" price × "&amp;TEXT(AZ99,"0.0%")&amp;" ranking ceiling × "&amp;TEXT(AD99,"0.0%")&amp;" CVR)"&amp;". Sleephoria CVR is proven on this term, so the full push is justified.",IF(AND(BD99="No",BE99&gt;=Assumptions!$B$13),"PARTIAL — +"&amp;TEXT(BE99,"0%")&amp;" Top of Search (limit for terms without proven CVR). Effective CPC $"&amp;TEXT(BG99,"0.00")&amp;" vs $"&amp;TEXT(BB99,"0.00")&amp;" max ranking CPC"&amp;" (= $"&amp;TEXT(AY99,"0.00")&amp;" price × "&amp;TEXT(AZ99,"0.0%")&amp;" ranking ceiling × "&amp;TEXT(AD99,"0.0%")&amp;" CVR)"&amp;". Raise to +100% only after CooLinens converts at ≥ "&amp;TEXT(AD99,"0.0%")&amp;" on 50+ clicks and $"&amp;TEXT(BC99*2,"0.00")&amp;" ≤ the max.",IF(BE99&gt;0,"PARTIAL — +"&amp;TEXT(BE99,"0%")&amp;" Top of Search. Effective CPC $"&amp;TEXT(BG99,"0.00")&amp;" stays within the $"&amp;TEXT(BB99,"0.00")&amp;" max ranking CPC"&amp;" (= $"&amp;TEXT(AY99,"0.00")&amp;" price × "&amp;TEXT(AZ99,"0.0%")&amp;" ranking ceiling × "&amp;TEXT(AD99,"0.0%")&amp;" CVR)"&amp;". +100% would cost $"&amp;TEXT(BC99*2,"0.00")&amp;" per click and push ACoS to "&amp;TEXT(BC99*2/(AY99*AD99),"0.0%")&amp;", above the "&amp;TEXT(AZ99,"0.0%")&amp;" ceiling.","NO — 0%. Base bid $"&amp;TEXT(BC99,"0.00")&amp;" already equals the $"&amp;TEXT(BB99,"0.00")&amp;" max ranking CPC"&amp;" (= $"&amp;TEXT(AY99,"0.00")&amp;" price × "&amp;TEXT(AZ99,"0.0%")&amp;" ranking ceiling × "&amp;TEXT(AD99,"0.0%")&amp;" CVR)"&amp;"; any modifier would push ACoS above the "&amp;TEXT(AZ99,"0.0%")&amp;" ceiling."))),IF(OR(AO99="Ranking — Head Term (Capped)",AO99="Ranking — Capped Entry",AO99="Ranking — Capped Long-Tail"),"NO — 0% (capped ranking entry). Bid $"&amp;TEXT(BC99,"0.00")&amp;" vs $"&amp;TEXT(BB99,"0.00")&amp;" max ranking CPC"&amp;" (= $"&amp;TEXT(AY99,"0.00")&amp;" price × "&amp;TEXT(AZ99,"0.0%")&amp;" ranking ceiling × "&amp;TEXT(AD99,"0.0%")&amp;" CVR)"&amp;". While spend is capped at "&amp;TEXT(AS99,"0.00")&amp;" clicks/day, a placement premium would only raise CPC without buying more rank; the modifier is set when this term moves to a full push.","NO — 0% (support / brand term). Bid $"&amp;TEXT(BC99,"0.00")&amp;" vs $"&amp;TEXT(BB99,"0.00")&amp;" max ranking CPC"&amp;" (= $"&amp;TEXT(AY99,"0.00")&amp;" price × "&amp;TEXT(AZ99,"0.0%")&amp;" ranking ceiling × "&amp;TEXT(AD99,"0.0%")&amp;" CVR)"&amp;"; expected ACoS "&amp;TEXT(BI99,"0.0%")&amp;" vs the "&amp;TEXT(AZ99,"0.0%")&amp;"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G99" s="50" t="n">
        <f aca="false">BC99*(1+BE99)</f>
        <v>1.75</v>
      </c>
      <c r="BH99" s="45" t="n">
        <f aca="false">AS99*BG99</f>
        <v>1.75</v>
      </c>
      <c r="BI99" s="33" t="n">
        <f aca="false">IFERROR(BG99/(AY99*AD99),"")</f>
        <v>0.434096682013018</v>
      </c>
      <c r="BJ99" s="27" t="str">
        <f aca="false">IF(BI99="","",IF(BI99&lt;=BA99,"Profitable (≤ break-even)",IF(BI99&lt;=AZ99,"Ranking investment (≤ ceiling)","Above ceiling — reduce bid")))</f>
        <v>Ranking investment (≤ ceiling)</v>
      </c>
      <c r="BK99" s="49" t="str">
        <f aca="false">"Base $"&amp;TEXT(BC99,"0.00")&amp;" × (1 + "&amp;TEXT(BE99,"0%")&amp;" TOS) = $"&amp;TEXT(BG99,"0.00")&amp;" effective CPC [max $"&amp;TEXT(BB99,"0.00")&amp;"]. "&amp;TEXT(AG99,"0.0")&amp;" market clicks/day × "&amp;TEXT(AH99,"0.00%")&amp;" click share × "&amp;TEXT(AI99,"0%")&amp;" paid = "&amp;TEXT(AJ99,"0.00")&amp;" clicks/day needed; "&amp;"planned "&amp;TEXT(AS99,"0.00")&amp;" clicks/day × "&amp;TEXT(AD99,"0.0%")&amp;" CVR = "&amp;TEXT(AU99,"0.00")&amp;" orders/day. "&amp;"Spend $"&amp;TEXT(BH99,"0.00")&amp;"/day, ACoS "&amp;TEXT(BI99,"0.0%")&amp;" (ceiling "&amp;TEXT(AZ99,"0.0%")&amp;", break-even "&amp;TEXT(BA99,"0.0%")&amp;"). "&amp;"Target organic rank #"&amp;S99&amp;" by week 8 ("&amp;T99&amp;")."</f>
        <v>Base $1.75 × (1 + 0% TOS) = $1.75 effective CPC [max $2.05]. 6.3 market clicks/day × 1.24% click share × 66% paid = 0.05 clicks/day needed; planned 1.00 clicks/day × 6.4% CVR = 0.06 orders/day. Spend $1.75/day, ACoS 43.4% (ceiling 50.8%, break-even 33.9%). Target organic rank #20 by week 8 (#60 → #35 → #20 (full push after size assignment)).</v>
      </c>
      <c r="BL99" s="27" t="s">
        <v>705</v>
      </c>
      <c r="BM99" s="27" t="s">
        <v>203</v>
      </c>
      <c r="BN99" s="27" t="s">
        <v>1377</v>
      </c>
      <c r="BO99" s="27" t="s">
        <v>1372</v>
      </c>
      <c r="BP99" s="27" t="s">
        <v>707</v>
      </c>
      <c r="BQ99" s="26" t="s">
        <v>708</v>
      </c>
      <c r="BR99" s="40" t="n">
        <f aca="false">IFERROR(INDEX(Campaigns!$L:$L,MATCH(BN99,Campaigns!$A:$A,0)),"")</f>
        <v>10</v>
      </c>
      <c r="BS99" s="51" t="str">
        <f aca="false">IFERROR(INDEX(Inventory!$O:$O,MATCH(BP99,Inventory!$A:$A,0)),"")</f>
        <v>OK</v>
      </c>
      <c r="BT99" s="52" t="n">
        <f aca="false">IFERROR(INDEX(Inventory!$N:$N,MATCH(BP99,Inventory!$A:$A,0)),"")</f>
        <v>71.9637202532498</v>
      </c>
      <c r="BU99" s="27" t="s">
        <v>1378</v>
      </c>
      <c r="BV99" s="27" t="s">
        <v>263</v>
      </c>
      <c r="BW99" s="27" t="s">
        <v>1379</v>
      </c>
      <c r="BX99" s="27" t="s">
        <v>1380</v>
      </c>
      <c r="BY99" s="27" t="s">
        <v>1381</v>
      </c>
      <c r="BZ99" s="27" t="s">
        <v>732</v>
      </c>
      <c r="CA99" s="27" t="s">
        <v>941</v>
      </c>
      <c r="CB99" s="27" t="s">
        <v>1382</v>
      </c>
      <c r="CC99" s="27" t="s">
        <v>477</v>
      </c>
    </row>
    <row r="100" customFormat="false" ht="120" hidden="false" customHeight="true" outlineLevel="0" collapsed="false">
      <c r="A100" s="53" t="s">
        <v>1383</v>
      </c>
      <c r="B100" s="54" t="n">
        <v>2</v>
      </c>
      <c r="C100" s="26" t="s">
        <v>928</v>
      </c>
      <c r="D100" s="26" t="s">
        <v>696</v>
      </c>
      <c r="E100" s="27" t="s">
        <v>929</v>
      </c>
      <c r="F100" s="28" t="n">
        <v>1</v>
      </c>
      <c r="G100" s="27" t="s">
        <v>187</v>
      </c>
      <c r="H100" s="26" t="s">
        <v>342</v>
      </c>
      <c r="I100" s="29" t="n">
        <v>4.5</v>
      </c>
      <c r="J100" s="27" t="s">
        <v>1217</v>
      </c>
      <c r="K100" s="30" t="n">
        <v>636</v>
      </c>
      <c r="L100" s="31" t="n">
        <v>306</v>
      </c>
      <c r="M100" s="32" t="n">
        <f aca="false">L100/30</f>
        <v>10.2</v>
      </c>
      <c r="N100" s="33" t="n">
        <v>0.066628701594533</v>
      </c>
      <c r="O100" s="27" t="s">
        <v>1384</v>
      </c>
      <c r="P100" s="27" t="s">
        <v>1385</v>
      </c>
      <c r="Q100" s="27" t="s">
        <v>1386</v>
      </c>
      <c r="R100" s="34" t="n">
        <v>1</v>
      </c>
      <c r="S100" s="35" t="n">
        <v>20</v>
      </c>
      <c r="T100" s="36" t="s">
        <v>467</v>
      </c>
      <c r="U100" s="27" t="s">
        <v>1387</v>
      </c>
      <c r="V100" s="37" t="n">
        <f aca="false">IFERROR(INDEX(Sleephoria_History!$F$454:$F$2115,MATCH($A100,Sleephoria_History!$A$454:$A$2115,0)),"")</f>
        <v>1</v>
      </c>
      <c r="W100" s="38" t="n">
        <f aca="false">IFERROR(INDEX(Sleephoria_History!$J$454:$J$2115,MATCH($A100,Sleephoria_History!$A$454:$A$2115,0)),"")</f>
        <v>0</v>
      </c>
      <c r="X100" s="39" t="n">
        <f aca="false">IFERROR(INDEX(Sleephoria_History!$H$454:$H$2115,MATCH($A100,Sleephoria_History!$A$454:$A$2115,0)),"")</f>
        <v>0.89</v>
      </c>
      <c r="Y100" s="38" t="n">
        <f aca="false">IFERROR(INDEX(Sleephoria_History!$M$454:$M$2115,MATCH($A100,Sleephoria_History!$A$454:$A$2115,0)),"")</f>
        <v>0</v>
      </c>
      <c r="Z100" s="40" t="n">
        <f aca="false">IFERROR(INDEX(Sleephoria_History!$L$454:$L$2115,MATCH($A100,Sleephoria_History!$A$454:$A$2115,0)),"")</f>
        <v>0</v>
      </c>
      <c r="AA100" s="37" t="str">
        <f aca="false">IFERROR(INDEX(Decolure_History!$F$397:$F$709,MATCH($A100,Decolure_History!$A$397:$A$709,0)),"")</f>
        <v/>
      </c>
      <c r="AB100" s="38" t="str">
        <f aca="false">IFERROR(INDEX(Decolure_History!$J$397:$J$709,MATCH($A100,Decolure_History!$A$397:$A$709,0)),"")</f>
        <v/>
      </c>
      <c r="AC100" s="38" t="str">
        <f aca="false">IFERROR(INDEX(Decolure_History!$M$397:$M$709,MATCH($A100,Decolure_History!$A$397:$A$709,0)),"")</f>
        <v/>
      </c>
      <c r="AD100" s="41" t="n">
        <v>0.064</v>
      </c>
      <c r="AE100" s="27" t="s">
        <v>275</v>
      </c>
      <c r="AF100" s="42" t="n">
        <v>0.484</v>
      </c>
      <c r="AG100" s="32" t="n">
        <f aca="false">M100*AF100</f>
        <v>4.9368</v>
      </c>
      <c r="AH100" s="43" t="n">
        <f aca="false">IF(AO100="Brand Defense",0,IFERROR(VLOOKUP(S100,Assumptions!$A$24:$B$28,2,FALSE()),0))</f>
        <v>0.0124</v>
      </c>
      <c r="AI100" s="28" t="n">
        <f aca="false">Assumptions!$B$6</f>
        <v>0.66</v>
      </c>
      <c r="AJ100" s="44" t="n">
        <f aca="false">AG100*AH100*AI100</f>
        <v>0.0404027712</v>
      </c>
      <c r="AK100" s="44" t="n">
        <f aca="false">AJ100*AD100</f>
        <v>0.0025857773568</v>
      </c>
      <c r="AL100" s="30" t="n">
        <f aca="false">AJ100*56</f>
        <v>2.2625551872</v>
      </c>
      <c r="AM100" s="32" t="n">
        <f aca="false">AK100*56</f>
        <v>0.1448035319808</v>
      </c>
      <c r="AN100" s="44" t="n">
        <f aca="false">M100*Assumptions!$B$8</f>
        <v>1.02</v>
      </c>
      <c r="AO100" s="27" t="s">
        <v>430</v>
      </c>
      <c r="AP100" s="27" t="s">
        <v>703</v>
      </c>
      <c r="AQ100" s="26" t="s">
        <v>198</v>
      </c>
      <c r="AR100" s="27" t="s">
        <v>199</v>
      </c>
      <c r="AS100" s="44" t="n">
        <f aca="false">IF(AO100="Ranking — Full Push",MIN(MAX(AJ100,Assumptions!$B$9),AN100),IF(AO100="Brand Defense",MIN(Assumptions!$B$7,AN100),IF(OR(AO100="Ranking — Head Term (Capped)",AO100="Ranking — Capped Entry"),MIN(MAX(AJ100,Assumptions!$B$9),Assumptions!$B$7,AN100),IF(AO100="Ranking — Capped Long-Tail",MIN(AJ100,Assumptions!$B$10,AN100),MIN(AJ100,AN100)))))</f>
        <v>1</v>
      </c>
      <c r="AT100" s="27" t="str">
        <f aca="false">IF(AJ100&lt;=0,"",IF(AS100&gt;=AJ100,IF(AS100&gt;AJ100*1.05,"Floor of "&amp;TEXT(AS100,"0.0")&amp;" click/day to read CVR (rank needs "&amp;TEXT(AJ100,"0.00")&amp;")","Fully funded (100%)"),"Capped at "&amp;TEXT(AS100/AJ100,"0%")&amp;" of required"))</f>
        <v>Floor of 1.0 click/day to read CVR (rank needs 0.04)</v>
      </c>
      <c r="AU100" s="44" t="n">
        <f aca="false">AS100*AD100</f>
        <v>0.064</v>
      </c>
      <c r="AV100" s="45" t="n">
        <f aca="false">AU100*AY100</f>
        <v>4.03136</v>
      </c>
      <c r="AW100" s="46" t="n">
        <v>1.75</v>
      </c>
      <c r="AX100" s="27" t="s">
        <v>741</v>
      </c>
      <c r="AY100" s="47" t="n">
        <f aca="false">INDEX(Assumptions!$B$33:$B$37,MATCH(IF($D100="","Queen",$D100),Assumptions!$A$33:$A$37,0))</f>
        <v>62.99</v>
      </c>
      <c r="AZ100" s="33" t="n">
        <f aca="false">INDEX(Assumptions!$K$33:$K$37,MATCH(IF($D100="","Queen",$D100),Assumptions!$A$33:$A$37,0))</f>
        <v>0.508449753929195</v>
      </c>
      <c r="BA100" s="33" t="n">
        <f aca="false">INDEX(Assumptions!$H$33:$H$37,MATCH(IF($D100="","Queen",$D100),Assumptions!$A$33:$A$37,0))</f>
        <v>0.338966502619464</v>
      </c>
      <c r="BB100" s="47" t="n">
        <f aca="false">AY100*AZ100*AD100</f>
        <v>2.049744</v>
      </c>
      <c r="BC100" s="47" t="n">
        <f aca="false">ROUND(MIN(AW100*Assumptions!$B$11,BB100),2)</f>
        <v>1.75</v>
      </c>
      <c r="BD100" s="26" t="s">
        <v>278</v>
      </c>
      <c r="BE100" s="48" t="n">
        <f aca="false">IF(AO100="Ranking — Full Push",MAX(0,MIN(IF(BD100="Yes",Assumptions!$B$12,Assumptions!$B$13),FLOOR(MAX(0,BB100/BC100-1),Assumptions!$B$14))),0)</f>
        <v>0</v>
      </c>
      <c r="BF100" s="49" t="str">
        <f aca="false">IF(AO100="Ranking — Full Push",IF(BE100&gt;=1,"YES — +100% Top of Search. Effective CPC $"&amp;TEXT(BG100,"0.00")&amp;" (= $"&amp;TEXT(BC100,"0.00")&amp;" × 2) stays within the $"&amp;TEXT(BB100,"0.00")&amp;" max ranking CPC"&amp;" (= $"&amp;TEXT(AY100,"0.00")&amp;" price × "&amp;TEXT(AZ100,"0.0%")&amp;" ranking ceiling × "&amp;TEXT(AD100,"0.0%")&amp;" CVR)"&amp;". Sleephoria CVR is proven on this term, so the full push is justified.",IF(AND(BD100="No",BE100&gt;=Assumptions!$B$13),"PARTIAL — +"&amp;TEXT(BE100,"0%")&amp;" Top of Search (limit for terms without proven CVR). Effective CPC $"&amp;TEXT(BG100,"0.00")&amp;" vs $"&amp;TEXT(BB100,"0.00")&amp;" max ranking CPC"&amp;" (= $"&amp;TEXT(AY100,"0.00")&amp;" price × "&amp;TEXT(AZ100,"0.0%")&amp;" ranking ceiling × "&amp;TEXT(AD100,"0.0%")&amp;" CVR)"&amp;". Raise to +100% only after CooLinens converts at ≥ "&amp;TEXT(AD100,"0.0%")&amp;" on 50+ clicks and $"&amp;TEXT(BC100*2,"0.00")&amp;" ≤ the max.",IF(BE100&gt;0,"PARTIAL — +"&amp;TEXT(BE100,"0%")&amp;" Top of Search. Effective CPC $"&amp;TEXT(BG100,"0.00")&amp;" stays within the $"&amp;TEXT(BB100,"0.00")&amp;" max ranking CPC"&amp;" (= $"&amp;TEXT(AY100,"0.00")&amp;" price × "&amp;TEXT(AZ100,"0.0%")&amp;" ranking ceiling × "&amp;TEXT(AD100,"0.0%")&amp;" CVR)"&amp;". +100% would cost $"&amp;TEXT(BC100*2,"0.00")&amp;" per click and push ACoS to "&amp;TEXT(BC100*2/(AY100*AD100),"0.0%")&amp;", above the "&amp;TEXT(AZ100,"0.0%")&amp;" ceiling.","NO — 0%. Base bid $"&amp;TEXT(BC100,"0.00")&amp;" already equals the $"&amp;TEXT(BB100,"0.00")&amp;" max ranking CPC"&amp;" (= $"&amp;TEXT(AY100,"0.00")&amp;" price × "&amp;TEXT(AZ100,"0.0%")&amp;" ranking ceiling × "&amp;TEXT(AD100,"0.0%")&amp;" CVR)"&amp;"; any modifier would push ACoS above the "&amp;TEXT(AZ100,"0.0%")&amp;" ceiling."))),IF(OR(AO100="Ranking — Head Term (Capped)",AO100="Ranking — Capped Entry",AO100="Ranking — Capped Long-Tail"),"NO — 0% (capped ranking entry). Bid $"&amp;TEXT(BC100,"0.00")&amp;" vs $"&amp;TEXT(BB100,"0.00")&amp;" max ranking CPC"&amp;" (= $"&amp;TEXT(AY100,"0.00")&amp;" price × "&amp;TEXT(AZ100,"0.0%")&amp;" ranking ceiling × "&amp;TEXT(AD100,"0.0%")&amp;" CVR)"&amp;". While spend is capped at "&amp;TEXT(AS100,"0.00")&amp;" clicks/day, a placement premium would only raise CPC without buying more rank; the modifier is set when this term moves to a full push.","NO — 0% (support / brand term). Bid $"&amp;TEXT(BC100,"0.00")&amp;" vs $"&amp;TEXT(BB100,"0.00")&amp;" max ranking CPC"&amp;" (= $"&amp;TEXT(AY100,"0.00")&amp;" price × "&amp;TEXT(AZ100,"0.0%")&amp;" ranking ceiling × "&amp;TEXT(AD100,"0.0%")&amp;" CVR)"&amp;"; expected ACoS "&amp;TEXT(BI100,"0.0%")&amp;" vs the "&amp;TEXT(AZ100,"0.0%")&amp;" ceiling."))</f>
        <v>NO — 0% (capped ranking entry). Bid $1.75 vs $2.05 max ranking CPC (= $62.99 price × 50.8% ranking ceiling × 6.4% CVR). While spend is capped at 1.00 clicks/day, a placement premium would only raise CPC without buying more rank; the modifier is set when this term moves to a full push.</v>
      </c>
      <c r="BG100" s="50" t="n">
        <f aca="false">BC100*(1+BE100)</f>
        <v>1.75</v>
      </c>
      <c r="BH100" s="45" t="n">
        <f aca="false">AS100*BG100</f>
        <v>1.75</v>
      </c>
      <c r="BI100" s="33" t="n">
        <f aca="false">IFERROR(BG100/(AY100*AD100),"")</f>
        <v>0.434096682013018</v>
      </c>
      <c r="BJ100" s="27" t="str">
        <f aca="false">IF(BI100="","",IF(BI100&lt;=BA100,"Profitable (≤ break-even)",IF(BI100&lt;=AZ100,"Ranking investment (≤ ceiling)","Above ceiling — reduce bid")))</f>
        <v>Ranking investment (≤ ceiling)</v>
      </c>
      <c r="BK100" s="49" t="str">
        <f aca="false">"Base $"&amp;TEXT(BC100,"0.00")&amp;" × (1 + "&amp;TEXT(BE100,"0%")&amp;" TOS) = $"&amp;TEXT(BG100,"0.00")&amp;" effective CPC [max $"&amp;TEXT(BB100,"0.00")&amp;"]. "&amp;TEXT(AG100,"0.0")&amp;" market clicks/day × "&amp;TEXT(AH100,"0.00%")&amp;" click share × "&amp;TEXT(AI100,"0%")&amp;" paid = "&amp;TEXT(AJ100,"0.00")&amp;" clicks/day needed; "&amp;"planned "&amp;TEXT(AS100,"0.00")&amp;" clicks/day × "&amp;TEXT(AD100,"0.0%")&amp;" CVR = "&amp;TEXT(AU100,"0.00")&amp;" orders/day. "&amp;"Spend $"&amp;TEXT(BH100,"0.00")&amp;"/day, ACoS "&amp;TEXT(BI100,"0.0%")&amp;" (ceiling "&amp;TEXT(AZ100,"0.0%")&amp;", break-even "&amp;TEXT(BA100,"0.0%")&amp;"). "&amp;"Target organic rank #"&amp;S100&amp;" by week 8 ("&amp;T100&amp;")."</f>
        <v>Base $1.75 × (1 + 0% TOS) = $1.75 effective CPC [max $2.05]. 4.9 market clicks/day × 1.24% click share × 66% paid = 0.04 clicks/day needed; planned 1.00 clicks/day × 6.4% CVR = 0.06 orders/day. Spend $1.75/day, ACoS 43.4% (ceiling 50.8%, break-even 33.9%). Target organic rank #20 by week 8 (#60 → #35 → #20 (full push after size assignment)).</v>
      </c>
      <c r="BL100" s="27" t="s">
        <v>910</v>
      </c>
      <c r="BM100" s="27" t="s">
        <v>203</v>
      </c>
      <c r="BN100" s="27" t="s">
        <v>1388</v>
      </c>
      <c r="BO100" s="27" t="s">
        <v>1383</v>
      </c>
      <c r="BP100" s="27" t="s">
        <v>707</v>
      </c>
      <c r="BQ100" s="26" t="s">
        <v>708</v>
      </c>
      <c r="BR100" s="40" t="n">
        <f aca="false">IFERROR(INDEX(Campaigns!$L:$L,MATCH(BN100,Campaigns!$A:$A,0)),"")</f>
        <v>10</v>
      </c>
      <c r="BS100" s="51" t="str">
        <f aca="false">IFERROR(INDEX(Inventory!$O:$O,MATCH(BP100,Inventory!$A:$A,0)),"")</f>
        <v>OK</v>
      </c>
      <c r="BT100" s="52" t="n">
        <f aca="false">IFERROR(INDEX(Inventory!$N:$N,MATCH(BP100,Inventory!$A:$A,0)),"")</f>
        <v>71.9637202532498</v>
      </c>
      <c r="BU100" s="27" t="s">
        <v>1389</v>
      </c>
      <c r="BV100" s="27" t="s">
        <v>263</v>
      </c>
      <c r="BW100" s="27" t="s">
        <v>1390</v>
      </c>
      <c r="BX100" s="27" t="s">
        <v>1391</v>
      </c>
      <c r="BY100" s="27" t="s">
        <v>1392</v>
      </c>
      <c r="BZ100" s="27" t="s">
        <v>747</v>
      </c>
      <c r="CA100" s="27" t="s">
        <v>941</v>
      </c>
      <c r="CB100" s="27" t="s">
        <v>1227</v>
      </c>
      <c r="CC100" s="27" t="s">
        <v>477</v>
      </c>
    </row>
    <row r="101" customFormat="false" ht="120" hidden="false" customHeight="true" outlineLevel="0" collapsed="false">
      <c r="A101" s="53" t="s">
        <v>1393</v>
      </c>
      <c r="B101" s="54" t="n">
        <v>2</v>
      </c>
      <c r="C101" s="26" t="s">
        <v>928</v>
      </c>
      <c r="D101" s="26"/>
      <c r="E101" s="27" t="s">
        <v>1394</v>
      </c>
      <c r="F101" s="28" t="n">
        <v>1</v>
      </c>
      <c r="G101" s="27" t="s">
        <v>1395</v>
      </c>
      <c r="H101" s="26" t="s">
        <v>188</v>
      </c>
      <c r="I101" s="29" t="n">
        <v>7</v>
      </c>
      <c r="J101" s="27" t="s">
        <v>1396</v>
      </c>
      <c r="K101" s="30" t="n">
        <v>78</v>
      </c>
      <c r="L101" s="31" t="n">
        <v>59</v>
      </c>
      <c r="M101" s="32" t="n">
        <f aca="false">L101/30</f>
        <v>1.96666666666667</v>
      </c>
      <c r="N101" s="33"/>
      <c r="O101" s="27" t="s">
        <v>769</v>
      </c>
      <c r="P101" s="27" t="s">
        <v>769</v>
      </c>
      <c r="Q101" s="27" t="s">
        <v>722</v>
      </c>
      <c r="R101" s="34" t="n">
        <v>0</v>
      </c>
      <c r="S101" s="35" t="n">
        <v>1</v>
      </c>
      <c r="T101" s="36" t="s">
        <v>1397</v>
      </c>
      <c r="U101" s="27" t="s">
        <v>784</v>
      </c>
      <c r="V101" s="37" t="str">
        <f aca="false">IFERROR(INDEX(Sleephoria_History!$F$454:$F$2115,MATCH($A101,Sleephoria_History!$A$454:$A$2115,0)),"")</f>
        <v/>
      </c>
      <c r="W101" s="38" t="str">
        <f aca="false">IFERROR(INDEX(Sleephoria_History!$J$454:$J$2115,MATCH($A101,Sleephoria_History!$A$454:$A$2115,0)),"")</f>
        <v/>
      </c>
      <c r="X101" s="39" t="str">
        <f aca="false">IFERROR(INDEX(Sleephoria_History!$H$454:$H$2115,MATCH($A101,Sleephoria_History!$A$454:$A$2115,0)),"")</f>
        <v/>
      </c>
      <c r="Y101" s="38" t="str">
        <f aca="false">IFERROR(INDEX(Sleephoria_History!$M$454:$M$2115,MATCH($A101,Sleephoria_History!$A$454:$A$2115,0)),"")</f>
        <v/>
      </c>
      <c r="Z101" s="40" t="str">
        <f aca="false">IFERROR(INDEX(Sleephoria_History!$L$454:$L$2115,MATCH($A101,Sleephoria_History!$A$454:$A$2115,0)),"")</f>
        <v/>
      </c>
      <c r="AA101" s="37" t="str">
        <f aca="false">IFERROR(INDEX(Decolure_History!$F$397:$F$709,MATCH($A101,Decolure_History!$A$397:$A$709,0)),"")</f>
        <v/>
      </c>
      <c r="AB101" s="38" t="str">
        <f aca="false">IFERROR(INDEX(Decolure_History!$J$397:$J$709,MATCH($A101,Decolure_History!$A$397:$A$709,0)),"")</f>
        <v/>
      </c>
      <c r="AC101" s="38" t="str">
        <f aca="false">IFERROR(INDEX(Decolure_History!$M$397:$M$709,MATCH($A101,Decolure_History!$A$397:$A$709,0)),"")</f>
        <v/>
      </c>
      <c r="AD101" s="41" t="n">
        <v>0.14</v>
      </c>
      <c r="AE101" s="27" t="s">
        <v>275</v>
      </c>
      <c r="AF101" s="42" t="n">
        <v>0.478</v>
      </c>
      <c r="AG101" s="32" t="n">
        <f aca="false">M101*AF101</f>
        <v>0.940066666666667</v>
      </c>
      <c r="AH101" s="43" t="n">
        <f aca="false">IF(AO101="Brand Defense",0,IFERROR(VLOOKUP(S101,Assumptions!$A$24:$B$28,2,FALSE()),0))</f>
        <v>0</v>
      </c>
      <c r="AI101" s="28" t="n">
        <f aca="false">Assumptions!$B$6</f>
        <v>0.66</v>
      </c>
      <c r="AJ101" s="44" t="n">
        <f aca="false">AG101*AH101*AI101</f>
        <v>0</v>
      </c>
      <c r="AK101" s="44" t="n">
        <f aca="false">AJ101*AD101</f>
        <v>0</v>
      </c>
      <c r="AL101" s="30" t="n">
        <f aca="false">AJ101*56</f>
        <v>0</v>
      </c>
      <c r="AM101" s="32" t="n">
        <f aca="false">AK101*56</f>
        <v>0</v>
      </c>
      <c r="AN101" s="44" t="n">
        <f aca="false">M101*Assumptions!$B$8</f>
        <v>0.196666666666667</v>
      </c>
      <c r="AO101" s="27" t="s">
        <v>1398</v>
      </c>
      <c r="AP101" s="27" t="s">
        <v>1399</v>
      </c>
      <c r="AQ101" s="26" t="s">
        <v>198</v>
      </c>
      <c r="AR101" s="27" t="s">
        <v>756</v>
      </c>
      <c r="AS101" s="44" t="n">
        <f aca="false">IF(AO101="Ranking — Full Push",MIN(MAX(AJ101,Assumptions!$B$9),AN101),IF(AO101="Brand Defense",MIN(Assumptions!$B$7,AN101),IF(OR(AO101="Ranking — Head Term (Capped)",AO101="Ranking — Capped Entry"),MIN(MAX(AJ101,Assumptions!$B$9),Assumptions!$B$7,AN101),IF(AO101="Ranking — Capped Long-Tail",MIN(AJ101,Assumptions!$B$10,AN101),MIN(AJ101,AN101)))))</f>
        <v>0.196666666666667</v>
      </c>
      <c r="AT101" s="27" t="str">
        <f aca="false">IF(AJ101&lt;=0,"",IF(AS101&gt;=AJ101,IF(AS101&gt;AJ101*1.05,"Floor of "&amp;TEXT(AS101,"0.0")&amp;" click/day to read CVR (rank needs "&amp;TEXT(AJ101,"0.00")&amp;")","Fully funded (100%)"),"Capped at "&amp;TEXT(AS101/AJ101,"0%")&amp;" of required"))</f>
        <v/>
      </c>
      <c r="AU101" s="44" t="n">
        <f aca="false">AS101*AD101</f>
        <v>0.0275333333333333</v>
      </c>
      <c r="AV101" s="45" t="n">
        <f aca="false">AU101*AY101</f>
        <v>2.20239133333333</v>
      </c>
      <c r="AW101" s="46" t="n">
        <v>2.14</v>
      </c>
      <c r="AX101" s="27" t="s">
        <v>757</v>
      </c>
      <c r="AY101" s="47" t="n">
        <f aca="false">INDEX(Assumptions!$B$33:$B$37,MATCH(IF($D101="","Queen",$D101),Assumptions!$A$33:$A$37,0))</f>
        <v>79.99</v>
      </c>
      <c r="AZ101" s="33" t="n">
        <f aca="false">INDEX(Assumptions!$K$33:$K$37,MATCH(IF($D101="","Queen",$D101),Assumptions!$A$33:$A$37,0))</f>
        <v>0.558660457557195</v>
      </c>
      <c r="BA101" s="33" t="n">
        <f aca="false">INDEX(Assumptions!$H$33:$H$37,MATCH(IF($D101="","Queen",$D101),Assumptions!$A$33:$A$37,0))</f>
        <v>0.37244030503813</v>
      </c>
      <c r="BB101" s="47" t="n">
        <f aca="false">AY101*AZ101*AD101</f>
        <v>6.256215</v>
      </c>
      <c r="BC101" s="47" t="n">
        <f aca="false">ROUND(MIN(AW101*Assumptions!$B$11,BB101),2)</f>
        <v>2.14</v>
      </c>
      <c r="BD101" s="26" t="s">
        <v>278</v>
      </c>
      <c r="BE101" s="48" t="n">
        <f aca="false">IF(AO101="Ranking — Full Push",MAX(0,MIN(IF(BD101="Yes",Assumptions!$B$12,Assumptions!$B$13),FLOOR(MAX(0,BB101/BC101-1),Assumptions!$B$14))),0)</f>
        <v>0</v>
      </c>
      <c r="BF101" s="49" t="str">
        <f aca="false">IF(AO101="Ranking — Full Push",IF(BE101&gt;=1,"YES — +100% Top of Search. Effective CPC $"&amp;TEXT(BG101,"0.00")&amp;" (= $"&amp;TEXT(BC101,"0.00")&amp;" × 2) stays within the $"&amp;TEXT(BB101,"0.00")&amp;" max ranking CPC"&amp;" (= $"&amp;TEXT(AY101,"0.00")&amp;" price × "&amp;TEXT(AZ101,"0.0%")&amp;" ranking ceiling × "&amp;TEXT(AD101,"0.0%")&amp;" CVR)"&amp;". Sleephoria CVR is proven on this term, so the full push is justified.",IF(AND(BD101="No",BE101&gt;=Assumptions!$B$13),"PARTIAL — +"&amp;TEXT(BE101,"0%")&amp;" Top of Search (limit for terms without proven CVR). Effective CPC $"&amp;TEXT(BG101,"0.00")&amp;" vs $"&amp;TEXT(BB101,"0.00")&amp;" max ranking CPC"&amp;" (= $"&amp;TEXT(AY101,"0.00")&amp;" price × "&amp;TEXT(AZ101,"0.0%")&amp;" ranking ceiling × "&amp;TEXT(AD101,"0.0%")&amp;" CVR)"&amp;". Raise to +100% only after CooLinens converts at ≥ "&amp;TEXT(AD101,"0.0%")&amp;" on 50+ clicks and $"&amp;TEXT(BC101*2,"0.00")&amp;" ≤ the max.",IF(BE101&gt;0,"PARTIAL — +"&amp;TEXT(BE101,"0%")&amp;" Top of Search. Effective CPC $"&amp;TEXT(BG101,"0.00")&amp;" stays within the $"&amp;TEXT(BB101,"0.00")&amp;" max ranking CPC"&amp;" (= $"&amp;TEXT(AY101,"0.00")&amp;" price × "&amp;TEXT(AZ101,"0.0%")&amp;" ranking ceiling × "&amp;TEXT(AD101,"0.0%")&amp;" CVR)"&amp;". +100% would cost $"&amp;TEXT(BC101*2,"0.00")&amp;" per click and push ACoS to "&amp;TEXT(BC101*2/(AY101*AD101),"0.0%")&amp;", above the "&amp;TEXT(AZ101,"0.0%")&amp;" ceiling.","NO — 0%. Base bid $"&amp;TEXT(BC101,"0.00")&amp;" already equals the $"&amp;TEXT(BB101,"0.00")&amp;" max ranking CPC"&amp;" (= $"&amp;TEXT(AY101,"0.00")&amp;" price × "&amp;TEXT(AZ101,"0.0%")&amp;" ranking ceiling × "&amp;TEXT(AD101,"0.0%")&amp;" CVR)"&amp;"; any modifier would push ACoS above the "&amp;TEXT(AZ101,"0.0%")&amp;" ceiling."))),IF(OR(AO101="Ranking — Head Term (Capped)",AO101="Ranking — Capped Entry",AO101="Ranking — Capped Long-Tail"),"NO — 0% (capped ranking entry). Bid $"&amp;TEXT(BC101,"0.00")&amp;" vs $"&amp;TEXT(BB101,"0.00")&amp;" max ranking CPC"&amp;" (= $"&amp;TEXT(AY101,"0.00")&amp;" price × "&amp;TEXT(AZ101,"0.0%")&amp;" ranking ceiling × "&amp;TEXT(AD101,"0.0%")&amp;" CVR)"&amp;". While spend is capped at "&amp;TEXT(AS101,"0.00")&amp;" clicks/day, a placement premium would only raise CPC without buying more rank; the modifier is set when this term moves to a full push.","NO — 0% (support / brand term). Bid $"&amp;TEXT(BC101,"0.00")&amp;" vs $"&amp;TEXT(BB101,"0.00")&amp;" max ranking CPC"&amp;" (= $"&amp;TEXT(AY101,"0.00")&amp;" price × "&amp;TEXT(AZ101,"0.0%")&amp;" ranking ceiling × "&amp;TEXT(AD101,"0.0%")&amp;" CVR)"&amp;"; expected ACoS "&amp;TEXT(BI101,"0.0%")&amp;" vs the "&amp;TEXT(AZ101,"0.0%")&amp;" ceiling."))</f>
        <v>NO — 0% (support / brand term). Bid $2.14 vs $6.26 max ranking CPC (= $79.99 price × 55.9% ranking ceiling × 14.0% CVR); expected ACoS 19.1% vs the 55.9% ceiling.</v>
      </c>
      <c r="BG101" s="50" t="n">
        <f aca="false">BC101*(1+BE101)</f>
        <v>2.14</v>
      </c>
      <c r="BH101" s="45" t="n">
        <f aca="false">AS101*BG101</f>
        <v>0.420866666666667</v>
      </c>
      <c r="BI101" s="33" t="n">
        <f aca="false">IFERROR(BG101/(AY101*AD101),"")</f>
        <v>0.191095315485864</v>
      </c>
      <c r="BJ101" s="27" t="str">
        <f aca="false">IF(BI101="","",IF(BI101&lt;=BA101,"Profitable (≤ break-even)",IF(BI101&lt;=AZ101,"Ranking investment (≤ ceiling)","Above ceiling — reduce bid")))</f>
        <v>Profitable (≤ break-even)</v>
      </c>
      <c r="BK101" s="49" t="str">
        <f aca="false">"Base $"&amp;TEXT(BC101,"0.00")&amp;" × (1 + "&amp;TEXT(BE101,"0%")&amp;" TOS) = $"&amp;TEXT(BG101,"0.00")&amp;" effective CPC [max $"&amp;TEXT(BB101,"0.00")&amp;"]. "&amp;TEXT(AG101,"0.0")&amp;" market clicks/day × "&amp;TEXT(AH101,"0.00%")&amp;" click share × "&amp;TEXT(AI101,"0%")&amp;" paid = "&amp;TEXT(AJ101,"0.00")&amp;" clicks/day needed; "&amp;"planned "&amp;TEXT(AS101,"0.00")&amp;" clicks/day × "&amp;TEXT(AD101,"0.0%")&amp;" CVR = "&amp;TEXT(AU101,"0.00")&amp;" orders/day. "&amp;"Spend $"&amp;TEXT(BH101,"0.00")&amp;"/day, ACoS "&amp;TEXT(BI101,"0.0%")&amp;" (ceiling "&amp;TEXT(AZ101,"0.0%")&amp;", break-even "&amp;TEXT(BA101,"0.0%")&amp;"). "&amp;"Target organic rank #"&amp;S101&amp;" by week 8 ("&amp;T101&amp;")."</f>
        <v>Base $2.14 × (1 + 0% TOS) = $2.14 effective CPC [max $6.26]. 0.9 market clicks/day × 0.00% click share × 66% paid = 0.00 clicks/day needed; planned 0.20 clicks/day × 14.0% CVR = 0.03 orders/day. Spend $0.42/day, ACoS 19.1% (ceiling 55.9%, break-even 37.2%). Target organic rank #1 by week 8 (#1 from week 1 (own brand)).</v>
      </c>
      <c r="BL101" s="27" t="s">
        <v>1400</v>
      </c>
      <c r="BM101" s="27" t="s">
        <v>1401</v>
      </c>
      <c r="BN101" s="27" t="s">
        <v>1402</v>
      </c>
      <c r="BO101" s="27" t="s">
        <v>1403</v>
      </c>
      <c r="BP101" s="27" t="s">
        <v>205</v>
      </c>
      <c r="BQ101" s="26" t="s">
        <v>206</v>
      </c>
      <c r="BR101" s="40" t="n">
        <f aca="false">IFERROR(INDEX(Campaigns!$L:$L,MATCH(BN101,Campaigns!$A:$A,0)),"")</f>
        <v>10</v>
      </c>
      <c r="BS101" s="51" t="str">
        <f aca="false">IFERROR(INDEX(Inventory!$O:$O,MATCH(BP101,Inventory!$A:$A,0)),"")</f>
        <v>OK</v>
      </c>
      <c r="BT101" s="52" t="n">
        <f aca="false">IFERROR(INDEX(Inventory!$N:$N,MATCH(BP101,Inventory!$A:$A,0)),"")</f>
        <v>91.5322601167724</v>
      </c>
      <c r="BU101" s="27" t="s">
        <v>1404</v>
      </c>
      <c r="BV101" s="27" t="s">
        <v>263</v>
      </c>
      <c r="BW101" s="27" t="s">
        <v>791</v>
      </c>
      <c r="BX101" s="27" t="s">
        <v>1405</v>
      </c>
      <c r="BY101" s="27" t="s">
        <v>793</v>
      </c>
      <c r="BZ101" s="27" t="s">
        <v>794</v>
      </c>
      <c r="CA101" s="27" t="s">
        <v>941</v>
      </c>
      <c r="CB101" s="27" t="s">
        <v>1406</v>
      </c>
      <c r="CC101" s="27" t="s">
        <v>1407</v>
      </c>
    </row>
    <row r="102" customFormat="false" ht="120" hidden="false" customHeight="true" outlineLevel="0" collapsed="false">
      <c r="A102" s="55" t="s">
        <v>1408</v>
      </c>
      <c r="B102" s="56" t="n">
        <v>3</v>
      </c>
      <c r="C102" s="26" t="s">
        <v>1409</v>
      </c>
      <c r="D102" s="26"/>
      <c r="E102" s="27" t="s">
        <v>1410</v>
      </c>
      <c r="F102" s="28" t="n">
        <v>0.95</v>
      </c>
      <c r="G102" s="27" t="s">
        <v>187</v>
      </c>
      <c r="H102" s="26" t="s">
        <v>1411</v>
      </c>
      <c r="I102" s="29" t="n">
        <v>3.5</v>
      </c>
      <c r="J102" s="27" t="s">
        <v>1412</v>
      </c>
      <c r="K102" s="30" t="n">
        <v>939</v>
      </c>
      <c r="L102" s="31" t="n">
        <v>822</v>
      </c>
      <c r="M102" s="32" t="n">
        <f aca="false">L102/30</f>
        <v>27.4</v>
      </c>
      <c r="N102" s="33" t="n">
        <v>0.0111081724411531</v>
      </c>
      <c r="O102" s="27" t="s">
        <v>290</v>
      </c>
      <c r="P102" s="27" t="s">
        <v>1413</v>
      </c>
      <c r="Q102" s="27" t="s">
        <v>325</v>
      </c>
      <c r="R102" s="34" t="n">
        <v>4</v>
      </c>
      <c r="S102" s="35" t="n">
        <v>20</v>
      </c>
      <c r="T102" s="36" t="s">
        <v>346</v>
      </c>
      <c r="U102" s="27" t="s">
        <v>1414</v>
      </c>
      <c r="V102" s="37" t="n">
        <f aca="false">IFERROR(INDEX(Sleephoria_History!$F$454:$F$2115,MATCH($A102,Sleephoria_History!$A$454:$A$2115,0)),"")</f>
        <v>10</v>
      </c>
      <c r="W102" s="38" t="n">
        <f aca="false">IFERROR(INDEX(Sleephoria_History!$J$454:$J$2115,MATCH($A102,Sleephoria_History!$A$454:$A$2115,0)),"")</f>
        <v>0</v>
      </c>
      <c r="X102" s="39" t="n">
        <f aca="false">IFERROR(INDEX(Sleephoria_History!$H$454:$H$2115,MATCH($A102,Sleephoria_History!$A$454:$A$2115,0)),"")</f>
        <v>2.8</v>
      </c>
      <c r="Y102" s="38" t="n">
        <f aca="false">IFERROR(INDEX(Sleephoria_History!$M$454:$M$2115,MATCH($A102,Sleephoria_History!$A$454:$A$2115,0)),"")</f>
        <v>0</v>
      </c>
      <c r="Z102" s="40" t="n">
        <f aca="false">IFERROR(INDEX(Sleephoria_History!$L$454:$L$2115,MATCH($A102,Sleephoria_History!$A$454:$A$2115,0)),"")</f>
        <v>0</v>
      </c>
      <c r="AA102" s="37" t="str">
        <f aca="false">IFERROR(INDEX(Decolure_History!$F$397:$F$709,MATCH($A102,Decolure_History!$A$397:$A$709,0)),"")</f>
        <v/>
      </c>
      <c r="AB102" s="38" t="str">
        <f aca="false">IFERROR(INDEX(Decolure_History!$J$397:$J$709,MATCH($A102,Decolure_History!$A$397:$A$709,0)),"")</f>
        <v/>
      </c>
      <c r="AC102" s="38" t="str">
        <f aca="false">IFERROR(INDEX(Decolure_History!$M$397:$M$709,MATCH($A102,Decolure_History!$A$397:$A$709,0)),"")</f>
        <v/>
      </c>
      <c r="AD102" s="41" t="n">
        <v>0.064</v>
      </c>
      <c r="AE102" s="27" t="s">
        <v>275</v>
      </c>
      <c r="AF102" s="42" t="n">
        <v>0.475</v>
      </c>
      <c r="AG102" s="32" t="n">
        <f aca="false">M102*AF102</f>
        <v>13.015</v>
      </c>
      <c r="AH102" s="43" t="n">
        <f aca="false">IF(AO102="Brand Defense",0,IFERROR(VLOOKUP(S102,Assumptions!$A$24:$B$28,2,FALSE()),0))</f>
        <v>0.0124</v>
      </c>
      <c r="AI102" s="28" t="n">
        <f aca="false">Assumptions!$B$6</f>
        <v>0.66</v>
      </c>
      <c r="AJ102" s="44" t="n">
        <f aca="false">AG102*AH102*AI102</f>
        <v>0.10651476</v>
      </c>
      <c r="AK102" s="44" t="n">
        <f aca="false">AJ102*AD102</f>
        <v>0.00681694464</v>
      </c>
      <c r="AL102" s="30" t="n">
        <f aca="false">AJ102*56</f>
        <v>5.96482656</v>
      </c>
      <c r="AM102" s="32" t="n">
        <f aca="false">AK102*56</f>
        <v>0.38174889984</v>
      </c>
      <c r="AN102" s="44" t="n">
        <f aca="false">M102*Assumptions!$B$8</f>
        <v>2.74</v>
      </c>
      <c r="AO102" s="27" t="s">
        <v>328</v>
      </c>
      <c r="AP102" s="27" t="s">
        <v>1415</v>
      </c>
      <c r="AQ102" s="26" t="s">
        <v>198</v>
      </c>
      <c r="AR102" s="27" t="s">
        <v>199</v>
      </c>
      <c r="AS102" s="44" t="n">
        <f aca="false">IF(AO102="Ranking — Full Push",MIN(MAX(AJ102,Assumptions!$B$9),AN102),IF(AO102="Brand Defense",MIN(Assumptions!$B$7,AN102),IF(OR(AO102="Ranking — Head Term (Capped)",AO102="Ranking — Capped Entry"),MIN(MAX(AJ102,Assumptions!$B$9),Assumptions!$B$7,AN102),IF(AO102="Ranking — Capped Long-Tail",MIN(AJ102,Assumptions!$B$10,AN102),MIN(AJ102,AN102)))))</f>
        <v>0.10651476</v>
      </c>
      <c r="AT102" s="27" t="str">
        <f aca="false">IF(AJ102&lt;=0,"",IF(AS102&gt;=AJ102,IF(AS102&gt;AJ102*1.05,"Floor of "&amp;TEXT(AS102,"0.0")&amp;" click/day to read CVR (rank needs "&amp;TEXT(AJ102,"0.00")&amp;")","Fully funded (100%)"),"Capped at "&amp;TEXT(AS102/AJ102,"0%")&amp;" of required"))</f>
        <v>Fully funded (100%)</v>
      </c>
      <c r="AU102" s="44" t="n">
        <f aca="false">AS102*AD102</f>
        <v>0.00681694464</v>
      </c>
      <c r="AV102" s="45" t="n">
        <f aca="false">AU102*AY102</f>
        <v>0.5452874017536</v>
      </c>
      <c r="AW102" s="46" t="n">
        <v>2.14</v>
      </c>
      <c r="AX102" s="27" t="s">
        <v>757</v>
      </c>
      <c r="AY102" s="47" t="n">
        <f aca="false">INDEX(Assumptions!$B$33:$B$37,MATCH(IF($D102="","Queen",$D102),Assumptions!$A$33:$A$37,0))</f>
        <v>79.99</v>
      </c>
      <c r="AZ102" s="33" t="n">
        <f aca="false">INDEX(Assumptions!$K$33:$K$37,MATCH(IF($D102="","Queen",$D102),Assumptions!$A$33:$A$37,0))</f>
        <v>0.558660457557195</v>
      </c>
      <c r="BA102" s="33" t="n">
        <f aca="false">INDEX(Assumptions!$H$33:$H$37,MATCH(IF($D102="","Queen",$D102),Assumptions!$A$33:$A$37,0))</f>
        <v>0.37244030503813</v>
      </c>
      <c r="BB102" s="47" t="n">
        <f aca="false">AY102*AZ102*AD102</f>
        <v>2.859984</v>
      </c>
      <c r="BC102" s="47" t="n">
        <f aca="false">ROUND(MIN(AW102*Assumptions!$B$11,BB102),2)</f>
        <v>2.14</v>
      </c>
      <c r="BD102" s="26" t="s">
        <v>278</v>
      </c>
      <c r="BE102" s="48" t="n">
        <f aca="false">IF(AO102="Ranking — Full Push",MAX(0,MIN(IF(BD102="Yes",Assumptions!$B$12,Assumptions!$B$13),FLOOR(MAX(0,BB102/BC102-1),Assumptions!$B$14))),0)</f>
        <v>0</v>
      </c>
      <c r="BF102" s="49" t="str">
        <f aca="false">IF(AO102="Ranking — Full Push",IF(BE102&gt;=1,"YES — +100% Top of Search. Effective CPC $"&amp;TEXT(BG102,"0.00")&amp;" (= $"&amp;TEXT(BC102,"0.00")&amp;" × 2) stays within the $"&amp;TEXT(BB102,"0.00")&amp;" max ranking CPC"&amp;" (= $"&amp;TEXT(AY102,"0.00")&amp;" price × "&amp;TEXT(AZ102,"0.0%")&amp;" ranking ceiling × "&amp;TEXT(AD102,"0.0%")&amp;" CVR)"&amp;". Sleephoria CVR is proven on this term, so the full push is justified.",IF(AND(BD102="No",BE102&gt;=Assumptions!$B$13),"PARTIAL — +"&amp;TEXT(BE102,"0%")&amp;" Top of Search (limit for terms without proven CVR). Effective CPC $"&amp;TEXT(BG102,"0.00")&amp;" vs $"&amp;TEXT(BB102,"0.00")&amp;" max ranking CPC"&amp;" (= $"&amp;TEXT(AY102,"0.00")&amp;" price × "&amp;TEXT(AZ102,"0.0%")&amp;" ranking ceiling × "&amp;TEXT(AD102,"0.0%")&amp;" CVR)"&amp;". Raise to +100% only after CooLinens converts at ≥ "&amp;TEXT(AD102,"0.0%")&amp;" on 50+ clicks and $"&amp;TEXT(BC102*2,"0.00")&amp;" ≤ the max.",IF(BE102&gt;0,"PARTIAL — +"&amp;TEXT(BE102,"0%")&amp;" Top of Search. Effective CPC $"&amp;TEXT(BG102,"0.00")&amp;" stays within the $"&amp;TEXT(BB102,"0.00")&amp;" max ranking CPC"&amp;" (= $"&amp;TEXT(AY102,"0.00")&amp;" price × "&amp;TEXT(AZ102,"0.0%")&amp;" ranking ceiling × "&amp;TEXT(AD102,"0.0%")&amp;" CVR)"&amp;". +100% would cost $"&amp;TEXT(BC102*2,"0.00")&amp;" per click and push ACoS to "&amp;TEXT(BC102*2/(AY102*AD102),"0.0%")&amp;", above the "&amp;TEXT(AZ102,"0.0%")&amp;" ceiling.","NO — 0%. Base bid $"&amp;TEXT(BC102,"0.00")&amp;" already equals the $"&amp;TEXT(BB102,"0.00")&amp;" max ranking CPC"&amp;" (= $"&amp;TEXT(AY102,"0.00")&amp;" price × "&amp;TEXT(AZ102,"0.0%")&amp;" ranking ceiling × "&amp;TEXT(AD102,"0.0%")&amp;" CVR)"&amp;"; any modifier would push ACoS above the "&amp;TEXT(AZ102,"0.0%")&amp;" ceiling."))),IF(OR(AO102="Ranking — Head Term (Capped)",AO102="Ranking — Capped Entry",AO102="Ranking — Capped Long-Tail"),"NO — 0% (capped ranking entry). Bid $"&amp;TEXT(BC102,"0.00")&amp;" vs $"&amp;TEXT(BB102,"0.00")&amp;" max ranking CPC"&amp;" (= $"&amp;TEXT(AY102,"0.00")&amp;" price × "&amp;TEXT(AZ102,"0.0%")&amp;" ranking ceiling × "&amp;TEXT(AD102,"0.0%")&amp;" CVR)"&amp;". While spend is capped at "&amp;TEXT(AS102,"0.00")&amp;" clicks/day, a placement premium would only raise CPC without buying more rank; the modifier is set when this term moves to a full push.","NO — 0% (support / brand term). Bid $"&amp;TEXT(BC102,"0.00")&amp;" vs $"&amp;TEXT(BB102,"0.00")&amp;" max ranking CPC"&amp;" (= $"&amp;TEXT(AY102,"0.00")&amp;" price × "&amp;TEXT(AZ102,"0.0%")&amp;" ranking ceiling × "&amp;TEXT(AD102,"0.0%")&amp;" CVR)"&amp;"; expected ACoS "&amp;TEXT(BI102,"0.0%")&amp;" vs the "&amp;TEXT(AZ102,"0.0%")&amp;" ceiling."))</f>
        <v>NO — 0% (support / brand term). Bid $2.14 vs $2.86 max ranking CPC (= $79.99 price × 55.9% ranking ceiling × 6.4% CVR); expected ACoS 41.8% vs the 55.9% ceiling.</v>
      </c>
      <c r="BG102" s="50" t="n">
        <f aca="false">BC102*(1+BE102)</f>
        <v>2.14</v>
      </c>
      <c r="BH102" s="45" t="n">
        <f aca="false">AS102*BG102</f>
        <v>0.2279415864</v>
      </c>
      <c r="BI102" s="33" t="n">
        <f aca="false">IFERROR(BG102/(AY102*AD102),"")</f>
        <v>0.418021002625328</v>
      </c>
      <c r="BJ102" s="27" t="str">
        <f aca="false">IF(BI102="","",IF(BI102&lt;=BA102,"Profitable (≤ break-even)",IF(BI102&lt;=AZ102,"Ranking investment (≤ ceiling)","Above ceiling — reduce bid")))</f>
        <v>Ranking investment (≤ ceiling)</v>
      </c>
      <c r="BK102" s="49" t="str">
        <f aca="false">"Base $"&amp;TEXT(BC102,"0.00")&amp;" × (1 + "&amp;TEXT(BE102,"0%")&amp;" TOS) = $"&amp;TEXT(BG102,"0.00")&amp;" effective CPC [max $"&amp;TEXT(BB102,"0.00")&amp;"]. "&amp;TEXT(AG102,"0.0")&amp;" market clicks/day × "&amp;TEXT(AH102,"0.00%")&amp;" click share × "&amp;TEXT(AI102,"0%")&amp;" paid = "&amp;TEXT(AJ102,"0.00")&amp;" clicks/day needed; "&amp;"planned "&amp;TEXT(AS102,"0.00")&amp;" clicks/day × "&amp;TEXT(AD102,"0.0%")&amp;" CVR = "&amp;TEXT(AU102,"0.00")&amp;" orders/day. "&amp;"Spend $"&amp;TEXT(BH102,"0.00")&amp;"/day, ACoS "&amp;TEXT(BI102,"0.0%")&amp;" (ceiling "&amp;TEXT(AZ102,"0.0%")&amp;", break-even "&amp;TEXT(BA102,"0.0%")&amp;"). "&amp;"Target organic rank #"&amp;S102&amp;" by week 8 ("&amp;T102&amp;")."</f>
        <v>Base $2.14 × (1 + 0% TOS) = $2.14 effective CPC [max $2.86]. 13.0 market clicks/day × 1.24% click share × 66% paid = 0.11 clicks/day needed; planned 0.11 clicks/day × 6.4% CVR = 0.01 orders/day. Spend $0.23/day, ACoS 41.8% (ceiling 55.9%, break-even 37.2%). Target organic rank #20 by week 8 (#60 → #35 → #20).</v>
      </c>
      <c r="BL102" s="27" t="s">
        <v>380</v>
      </c>
      <c r="BM102" s="27" t="s">
        <v>203</v>
      </c>
      <c r="BN102" s="27" t="s">
        <v>1416</v>
      </c>
      <c r="BO102" s="27" t="s">
        <v>1408</v>
      </c>
      <c r="BP102" s="27" t="s">
        <v>205</v>
      </c>
      <c r="BQ102" s="26" t="s">
        <v>206</v>
      </c>
      <c r="BR102" s="40" t="n">
        <f aca="false">IFERROR(INDEX(Campaigns!$L:$L,MATCH(BN102,Campaigns!$A:$A,0)),"")</f>
        <v>10</v>
      </c>
      <c r="BS102" s="51" t="str">
        <f aca="false">IFERROR(INDEX(Inventory!$O:$O,MATCH(BP102,Inventory!$A:$A,0)),"")</f>
        <v>OK</v>
      </c>
      <c r="BT102" s="52" t="n">
        <f aca="false">IFERROR(INDEX(Inventory!$N:$N,MATCH(BP102,Inventory!$A:$A,0)),"")</f>
        <v>91.5322601167724</v>
      </c>
      <c r="BU102" s="27" t="s">
        <v>1417</v>
      </c>
      <c r="BV102" s="27" t="s">
        <v>263</v>
      </c>
      <c r="BW102" s="27" t="s">
        <v>1418</v>
      </c>
      <c r="BX102" s="27" t="s">
        <v>1419</v>
      </c>
      <c r="BY102" s="27" t="s">
        <v>1420</v>
      </c>
      <c r="BZ102" s="27" t="s">
        <v>1421</v>
      </c>
      <c r="CA102" s="27" t="s">
        <v>1422</v>
      </c>
      <c r="CB102" s="27" t="s">
        <v>1423</v>
      </c>
      <c r="CC102" s="27" t="s">
        <v>358</v>
      </c>
    </row>
    <row r="103" customFormat="false" ht="120" hidden="false" customHeight="true" outlineLevel="0" collapsed="false">
      <c r="A103" s="55" t="s">
        <v>1424</v>
      </c>
      <c r="B103" s="56" t="n">
        <v>3</v>
      </c>
      <c r="C103" s="26" t="s">
        <v>1409</v>
      </c>
      <c r="D103" s="26"/>
      <c r="E103" s="27" t="s">
        <v>1410</v>
      </c>
      <c r="F103" s="28" t="n">
        <v>0.95</v>
      </c>
      <c r="G103" s="27" t="s">
        <v>187</v>
      </c>
      <c r="H103" s="26" t="s">
        <v>1411</v>
      </c>
      <c r="I103" s="29" t="n">
        <v>3.5</v>
      </c>
      <c r="J103" s="27" t="s">
        <v>1412</v>
      </c>
      <c r="K103" s="30" t="n">
        <v>677</v>
      </c>
      <c r="L103" s="31" t="n">
        <v>654</v>
      </c>
      <c r="M103" s="32" t="n">
        <f aca="false">L103/30</f>
        <v>21.8</v>
      </c>
      <c r="N103" s="33" t="n">
        <v>0.0106007067137809</v>
      </c>
      <c r="O103" s="27" t="s">
        <v>1277</v>
      </c>
      <c r="P103" s="27" t="s">
        <v>1425</v>
      </c>
      <c r="Q103" s="27" t="s">
        <v>374</v>
      </c>
      <c r="R103" s="34" t="n">
        <v>5</v>
      </c>
      <c r="S103" s="35" t="n">
        <v>20</v>
      </c>
      <c r="T103" s="36" t="s">
        <v>346</v>
      </c>
      <c r="U103" s="27" t="s">
        <v>1426</v>
      </c>
      <c r="V103" s="37" t="n">
        <f aca="false">IFERROR(INDEX(Sleephoria_History!$F$454:$F$2115,MATCH($A103,Sleephoria_History!$A$454:$A$2115,0)),"")</f>
        <v>3</v>
      </c>
      <c r="W103" s="38" t="n">
        <f aca="false">IFERROR(INDEX(Sleephoria_History!$J$454:$J$2115,MATCH($A103,Sleephoria_History!$A$454:$A$2115,0)),"")</f>
        <v>0</v>
      </c>
      <c r="X103" s="39" t="n">
        <f aca="false">IFERROR(INDEX(Sleephoria_History!$H$454:$H$2115,MATCH($A103,Sleephoria_History!$A$454:$A$2115,0)),"")</f>
        <v>1.23</v>
      </c>
      <c r="Y103" s="38" t="n">
        <f aca="false">IFERROR(INDEX(Sleephoria_History!$M$454:$M$2115,MATCH($A103,Sleephoria_History!$A$454:$A$2115,0)),"")</f>
        <v>0</v>
      </c>
      <c r="Z103" s="40" t="n">
        <f aca="false">IFERROR(INDEX(Sleephoria_History!$L$454:$L$2115,MATCH($A103,Sleephoria_History!$A$454:$A$2115,0)),"")</f>
        <v>0</v>
      </c>
      <c r="AA103" s="37" t="str">
        <f aca="false">IFERROR(INDEX(Decolure_History!$F$397:$F$709,MATCH($A103,Decolure_History!$A$397:$A$709,0)),"")</f>
        <v/>
      </c>
      <c r="AB103" s="38" t="str">
        <f aca="false">IFERROR(INDEX(Decolure_History!$J$397:$J$709,MATCH($A103,Decolure_History!$A$397:$A$709,0)),"")</f>
        <v/>
      </c>
      <c r="AC103" s="38" t="str">
        <f aca="false">IFERROR(INDEX(Decolure_History!$M$397:$M$709,MATCH($A103,Decolure_History!$A$397:$A$709,0)),"")</f>
        <v/>
      </c>
      <c r="AD103" s="41" t="n">
        <v>0.064</v>
      </c>
      <c r="AE103" s="27" t="s">
        <v>275</v>
      </c>
      <c r="AF103" s="42" t="n">
        <v>0.425</v>
      </c>
      <c r="AG103" s="32" t="n">
        <f aca="false">M103*AF103</f>
        <v>9.265</v>
      </c>
      <c r="AH103" s="43" t="n">
        <f aca="false">IF(AO103="Brand Defense",0,IFERROR(VLOOKUP(S103,Assumptions!$A$24:$B$28,2,FALSE()),0))</f>
        <v>0.0124</v>
      </c>
      <c r="AI103" s="28" t="n">
        <f aca="false">Assumptions!$B$6</f>
        <v>0.66</v>
      </c>
      <c r="AJ103" s="44" t="n">
        <f aca="false">AG103*AH103*AI103</f>
        <v>0.07582476</v>
      </c>
      <c r="AK103" s="44" t="n">
        <f aca="false">AJ103*AD103</f>
        <v>0.00485278464</v>
      </c>
      <c r="AL103" s="30" t="n">
        <f aca="false">AJ103*56</f>
        <v>4.24618656</v>
      </c>
      <c r="AM103" s="32" t="n">
        <f aca="false">AK103*56</f>
        <v>0.27175593984</v>
      </c>
      <c r="AN103" s="44" t="n">
        <f aca="false">M103*Assumptions!$B$8</f>
        <v>2.18</v>
      </c>
      <c r="AO103" s="27" t="s">
        <v>328</v>
      </c>
      <c r="AP103" s="27" t="s">
        <v>1415</v>
      </c>
      <c r="AQ103" s="26" t="s">
        <v>198</v>
      </c>
      <c r="AR103" s="27" t="s">
        <v>199</v>
      </c>
      <c r="AS103" s="44" t="n">
        <f aca="false">IF(AO103="Ranking — Full Push",MIN(MAX(AJ103,Assumptions!$B$9),AN103),IF(AO103="Brand Defense",MIN(Assumptions!$B$7,AN103),IF(OR(AO103="Ranking — Head Term (Capped)",AO103="Ranking — Capped Entry"),MIN(MAX(AJ103,Assumptions!$B$9),Assumptions!$B$7,AN103),IF(AO103="Ranking — Capped Long-Tail",MIN(AJ103,Assumptions!$B$10,AN103),MIN(AJ103,AN103)))))</f>
        <v>0.07582476</v>
      </c>
      <c r="AT103" s="27" t="str">
        <f aca="false">IF(AJ103&lt;=0,"",IF(AS103&gt;=AJ103,IF(AS103&gt;AJ103*1.05,"Floor of "&amp;TEXT(AS103,"0.0")&amp;" click/day to read CVR (rank needs "&amp;TEXT(AJ103,"0.00")&amp;")","Fully funded (100%)"),"Capped at "&amp;TEXT(AS103/AJ103,"0%")&amp;" of required"))</f>
        <v>Fully funded (100%)</v>
      </c>
      <c r="AU103" s="44" t="n">
        <f aca="false">AS103*AD103</f>
        <v>0.00485278464</v>
      </c>
      <c r="AV103" s="45" t="n">
        <f aca="false">AU103*AY103</f>
        <v>0.3881742433536</v>
      </c>
      <c r="AW103" s="46" t="n">
        <v>2.14</v>
      </c>
      <c r="AX103" s="27" t="s">
        <v>757</v>
      </c>
      <c r="AY103" s="47" t="n">
        <f aca="false">INDEX(Assumptions!$B$33:$B$37,MATCH(IF($D103="","Queen",$D103),Assumptions!$A$33:$A$37,0))</f>
        <v>79.99</v>
      </c>
      <c r="AZ103" s="33" t="n">
        <f aca="false">INDEX(Assumptions!$K$33:$K$37,MATCH(IF($D103="","Queen",$D103),Assumptions!$A$33:$A$37,0))</f>
        <v>0.558660457557195</v>
      </c>
      <c r="BA103" s="33" t="n">
        <f aca="false">INDEX(Assumptions!$H$33:$H$37,MATCH(IF($D103="","Queen",$D103),Assumptions!$A$33:$A$37,0))</f>
        <v>0.37244030503813</v>
      </c>
      <c r="BB103" s="47" t="n">
        <f aca="false">AY103*AZ103*AD103</f>
        <v>2.859984</v>
      </c>
      <c r="BC103" s="47" t="n">
        <f aca="false">ROUND(MIN(AW103*Assumptions!$B$11,BB103),2)</f>
        <v>2.14</v>
      </c>
      <c r="BD103" s="26" t="s">
        <v>278</v>
      </c>
      <c r="BE103" s="48" t="n">
        <f aca="false">IF(AO103="Ranking — Full Push",MAX(0,MIN(IF(BD103="Yes",Assumptions!$B$12,Assumptions!$B$13),FLOOR(MAX(0,BB103/BC103-1),Assumptions!$B$14))),0)</f>
        <v>0</v>
      </c>
      <c r="BF103" s="49" t="str">
        <f aca="false">IF(AO103="Ranking — Full Push",IF(BE103&gt;=1,"YES — +100% Top of Search. Effective CPC $"&amp;TEXT(BG103,"0.00")&amp;" (= $"&amp;TEXT(BC103,"0.00")&amp;" × 2) stays within the $"&amp;TEXT(BB103,"0.00")&amp;" max ranking CPC"&amp;" (= $"&amp;TEXT(AY103,"0.00")&amp;" price × "&amp;TEXT(AZ103,"0.0%")&amp;" ranking ceiling × "&amp;TEXT(AD103,"0.0%")&amp;" CVR)"&amp;". Sleephoria CVR is proven on this term, so the full push is justified.",IF(AND(BD103="No",BE103&gt;=Assumptions!$B$13),"PARTIAL — +"&amp;TEXT(BE103,"0%")&amp;" Top of Search (limit for terms without proven CVR). Effective CPC $"&amp;TEXT(BG103,"0.00")&amp;" vs $"&amp;TEXT(BB103,"0.00")&amp;" max ranking CPC"&amp;" (= $"&amp;TEXT(AY103,"0.00")&amp;" price × "&amp;TEXT(AZ103,"0.0%")&amp;" ranking ceiling × "&amp;TEXT(AD103,"0.0%")&amp;" CVR)"&amp;". Raise to +100% only after CooLinens converts at ≥ "&amp;TEXT(AD103,"0.0%")&amp;" on 50+ clicks and $"&amp;TEXT(BC103*2,"0.00")&amp;" ≤ the max.",IF(BE103&gt;0,"PARTIAL — +"&amp;TEXT(BE103,"0%")&amp;" Top of Search. Effective CPC $"&amp;TEXT(BG103,"0.00")&amp;" stays within the $"&amp;TEXT(BB103,"0.00")&amp;" max ranking CPC"&amp;" (= $"&amp;TEXT(AY103,"0.00")&amp;" price × "&amp;TEXT(AZ103,"0.0%")&amp;" ranking ceiling × "&amp;TEXT(AD103,"0.0%")&amp;" CVR)"&amp;". +100% would cost $"&amp;TEXT(BC103*2,"0.00")&amp;" per click and push ACoS to "&amp;TEXT(BC103*2/(AY103*AD103),"0.0%")&amp;", above the "&amp;TEXT(AZ103,"0.0%")&amp;" ceiling.","NO — 0%. Base bid $"&amp;TEXT(BC103,"0.00")&amp;" already equals the $"&amp;TEXT(BB103,"0.00")&amp;" max ranking CPC"&amp;" (= $"&amp;TEXT(AY103,"0.00")&amp;" price × "&amp;TEXT(AZ103,"0.0%")&amp;" ranking ceiling × "&amp;TEXT(AD103,"0.0%")&amp;" CVR)"&amp;"; any modifier would push ACoS above the "&amp;TEXT(AZ103,"0.0%")&amp;" ceiling."))),IF(OR(AO103="Ranking — Head Term (Capped)",AO103="Ranking — Capped Entry",AO103="Ranking — Capped Long-Tail"),"NO — 0% (capped ranking entry). Bid $"&amp;TEXT(BC103,"0.00")&amp;" vs $"&amp;TEXT(BB103,"0.00")&amp;" max ranking CPC"&amp;" (= $"&amp;TEXT(AY103,"0.00")&amp;" price × "&amp;TEXT(AZ103,"0.0%")&amp;" ranking ceiling × "&amp;TEXT(AD103,"0.0%")&amp;" CVR)"&amp;". While spend is capped at "&amp;TEXT(AS103,"0.00")&amp;" clicks/day, a placement premium would only raise CPC without buying more rank; the modifier is set when this term moves to a full push.","NO — 0% (support / brand term). Bid $"&amp;TEXT(BC103,"0.00")&amp;" vs $"&amp;TEXT(BB103,"0.00")&amp;" max ranking CPC"&amp;" (= $"&amp;TEXT(AY103,"0.00")&amp;" price × "&amp;TEXT(AZ103,"0.0%")&amp;" ranking ceiling × "&amp;TEXT(AD103,"0.0%")&amp;" CVR)"&amp;"; expected ACoS "&amp;TEXT(BI103,"0.0%")&amp;" vs the "&amp;TEXT(AZ103,"0.0%")&amp;" ceiling."))</f>
        <v>NO — 0% (support / brand term). Bid $2.14 vs $2.86 max ranking CPC (= $79.99 price × 55.9% ranking ceiling × 6.4% CVR); expected ACoS 41.8% vs the 55.9% ceiling.</v>
      </c>
      <c r="BG103" s="50" t="n">
        <f aca="false">BC103*(1+BE103)</f>
        <v>2.14</v>
      </c>
      <c r="BH103" s="45" t="n">
        <f aca="false">AS103*BG103</f>
        <v>0.1622649864</v>
      </c>
      <c r="BI103" s="33" t="n">
        <f aca="false">IFERROR(BG103/(AY103*AD103),"")</f>
        <v>0.418021002625328</v>
      </c>
      <c r="BJ103" s="27" t="str">
        <f aca="false">IF(BI103="","",IF(BI103&lt;=BA103,"Profitable (≤ break-even)",IF(BI103&lt;=AZ103,"Ranking investment (≤ ceiling)","Above ceiling — reduce bid")))</f>
        <v>Ranking investment (≤ ceiling)</v>
      </c>
      <c r="BK103" s="49" t="str">
        <f aca="false">"Base $"&amp;TEXT(BC103,"0.00")&amp;" × (1 + "&amp;TEXT(BE103,"0%")&amp;" TOS) = $"&amp;TEXT(BG103,"0.00")&amp;" effective CPC [max $"&amp;TEXT(BB103,"0.00")&amp;"]. "&amp;TEXT(AG103,"0.0")&amp;" market clicks/day × "&amp;TEXT(AH103,"0.00%")&amp;" click share × "&amp;TEXT(AI103,"0%")&amp;" paid = "&amp;TEXT(AJ103,"0.00")&amp;" clicks/day needed; "&amp;"planned "&amp;TEXT(AS103,"0.00")&amp;" clicks/day × "&amp;TEXT(AD103,"0.0%")&amp;" CVR = "&amp;TEXT(AU103,"0.00")&amp;" orders/day. "&amp;"Spend $"&amp;TEXT(BH103,"0.00")&amp;"/day, ACoS "&amp;TEXT(BI103,"0.0%")&amp;" (ceiling "&amp;TEXT(AZ103,"0.0%")&amp;", break-even "&amp;TEXT(BA103,"0.0%")&amp;"). "&amp;"Target organic rank #"&amp;S103&amp;" by week 8 ("&amp;T103&amp;")."</f>
        <v>Base $2.14 × (1 + 0% TOS) = $2.14 effective CPC [max $2.86]. 9.3 market clicks/day × 1.24% click share × 66% paid = 0.08 clicks/day needed; planned 0.08 clicks/day × 6.4% CVR = 0.00 orders/day. Spend $0.16/day, ACoS 41.8% (ceiling 55.9%, break-even 37.2%). Target organic rank #20 by week 8 (#60 → #35 → #20).</v>
      </c>
      <c r="BL103" s="27" t="s">
        <v>398</v>
      </c>
      <c r="BM103" s="27" t="s">
        <v>203</v>
      </c>
      <c r="BN103" s="27" t="s">
        <v>1427</v>
      </c>
      <c r="BO103" s="27" t="s">
        <v>1424</v>
      </c>
      <c r="BP103" s="27" t="s">
        <v>205</v>
      </c>
      <c r="BQ103" s="26" t="s">
        <v>206</v>
      </c>
      <c r="BR103" s="40" t="n">
        <f aca="false">IFERROR(INDEX(Campaigns!$L:$L,MATCH(BN103,Campaigns!$A:$A,0)),"")</f>
        <v>10</v>
      </c>
      <c r="BS103" s="51" t="str">
        <f aca="false">IFERROR(INDEX(Inventory!$O:$O,MATCH(BP103,Inventory!$A:$A,0)),"")</f>
        <v>OK</v>
      </c>
      <c r="BT103" s="52" t="n">
        <f aca="false">IFERROR(INDEX(Inventory!$N:$N,MATCH(BP103,Inventory!$A:$A,0)),"")</f>
        <v>91.5322601167724</v>
      </c>
      <c r="BU103" s="27" t="s">
        <v>1428</v>
      </c>
      <c r="BV103" s="27" t="s">
        <v>263</v>
      </c>
      <c r="BW103" s="27" t="s">
        <v>1429</v>
      </c>
      <c r="BX103" s="27" t="s">
        <v>1430</v>
      </c>
      <c r="BY103" s="27" t="s">
        <v>1431</v>
      </c>
      <c r="BZ103" s="27" t="s">
        <v>419</v>
      </c>
      <c r="CA103" s="27" t="s">
        <v>1422</v>
      </c>
      <c r="CB103" s="27" t="s">
        <v>1423</v>
      </c>
      <c r="CC103" s="27" t="s">
        <v>358</v>
      </c>
    </row>
    <row r="104" customFormat="false" ht="120" hidden="false" customHeight="true" outlineLevel="0" collapsed="false">
      <c r="A104" s="55" t="s">
        <v>1432</v>
      </c>
      <c r="B104" s="56" t="n">
        <v>3</v>
      </c>
      <c r="C104" s="26" t="s">
        <v>1409</v>
      </c>
      <c r="D104" s="26"/>
      <c r="E104" s="27" t="s">
        <v>1410</v>
      </c>
      <c r="F104" s="28" t="n">
        <v>0.9</v>
      </c>
      <c r="G104" s="27" t="s">
        <v>187</v>
      </c>
      <c r="H104" s="26" t="s">
        <v>1411</v>
      </c>
      <c r="I104" s="29" t="n">
        <v>3.5</v>
      </c>
      <c r="J104" s="27" t="s">
        <v>1412</v>
      </c>
      <c r="K104" s="30" t="n">
        <v>626</v>
      </c>
      <c r="L104" s="31" t="n">
        <v>583</v>
      </c>
      <c r="M104" s="32" t="n">
        <f aca="false">L104/30</f>
        <v>19.4333333333333</v>
      </c>
      <c r="N104" s="33" t="n">
        <v>0.0103969754253308</v>
      </c>
      <c r="O104" s="27" t="s">
        <v>1433</v>
      </c>
      <c r="P104" s="27" t="s">
        <v>1434</v>
      </c>
      <c r="Q104" s="27" t="s">
        <v>325</v>
      </c>
      <c r="R104" s="34" t="n">
        <v>5</v>
      </c>
      <c r="S104" s="35" t="n">
        <v>20</v>
      </c>
      <c r="T104" s="36" t="s">
        <v>346</v>
      </c>
      <c r="U104" s="27" t="s">
        <v>1435</v>
      </c>
      <c r="V104" s="37" t="str">
        <f aca="false">IFERROR(INDEX(Sleephoria_History!$F$454:$F$2115,MATCH($A104,Sleephoria_History!$A$454:$A$2115,0)),"")</f>
        <v/>
      </c>
      <c r="W104" s="38" t="str">
        <f aca="false">IFERROR(INDEX(Sleephoria_History!$J$454:$J$2115,MATCH($A104,Sleephoria_History!$A$454:$A$2115,0)),"")</f>
        <v/>
      </c>
      <c r="X104" s="39" t="str">
        <f aca="false">IFERROR(INDEX(Sleephoria_History!$H$454:$H$2115,MATCH($A104,Sleephoria_History!$A$454:$A$2115,0)),"")</f>
        <v/>
      </c>
      <c r="Y104" s="38" t="str">
        <f aca="false">IFERROR(INDEX(Sleephoria_History!$M$454:$M$2115,MATCH($A104,Sleephoria_History!$A$454:$A$2115,0)),"")</f>
        <v/>
      </c>
      <c r="Z104" s="40" t="str">
        <f aca="false">IFERROR(INDEX(Sleephoria_History!$L$454:$L$2115,MATCH($A104,Sleephoria_History!$A$454:$A$2115,0)),"")</f>
        <v/>
      </c>
      <c r="AA104" s="37" t="str">
        <f aca="false">IFERROR(INDEX(Decolure_History!$F$397:$F$709,MATCH($A104,Decolure_History!$A$397:$A$709,0)),"")</f>
        <v/>
      </c>
      <c r="AB104" s="38" t="str">
        <f aca="false">IFERROR(INDEX(Decolure_History!$J$397:$J$709,MATCH($A104,Decolure_History!$A$397:$A$709,0)),"")</f>
        <v/>
      </c>
      <c r="AC104" s="38" t="str">
        <f aca="false">IFERROR(INDEX(Decolure_History!$M$397:$M$709,MATCH($A104,Decolure_History!$A$397:$A$709,0)),"")</f>
        <v/>
      </c>
      <c r="AD104" s="41" t="n">
        <v>0.056</v>
      </c>
      <c r="AE104" s="27" t="s">
        <v>275</v>
      </c>
      <c r="AF104" s="42" t="n">
        <v>0.412</v>
      </c>
      <c r="AG104" s="32" t="n">
        <f aca="false">M104*AF104</f>
        <v>8.00653333333333</v>
      </c>
      <c r="AH104" s="43" t="n">
        <f aca="false">IF(AO104="Brand Defense",0,IFERROR(VLOOKUP(S104,Assumptions!$A$24:$B$28,2,FALSE()),0))</f>
        <v>0.0124</v>
      </c>
      <c r="AI104" s="28" t="n">
        <f aca="false">Assumptions!$B$6</f>
        <v>0.66</v>
      </c>
      <c r="AJ104" s="44" t="n">
        <f aca="false">AG104*AH104*AI104</f>
        <v>0.0655254688</v>
      </c>
      <c r="AK104" s="44" t="n">
        <f aca="false">AJ104*AD104</f>
        <v>0.0036694262528</v>
      </c>
      <c r="AL104" s="30" t="n">
        <f aca="false">AJ104*56</f>
        <v>3.6694262528</v>
      </c>
      <c r="AM104" s="32" t="n">
        <f aca="false">AK104*56</f>
        <v>0.2054878701568</v>
      </c>
      <c r="AN104" s="44" t="n">
        <f aca="false">M104*Assumptions!$B$8</f>
        <v>1.94333333333333</v>
      </c>
      <c r="AO104" s="27" t="s">
        <v>328</v>
      </c>
      <c r="AP104" s="27" t="s">
        <v>1415</v>
      </c>
      <c r="AQ104" s="26" t="s">
        <v>198</v>
      </c>
      <c r="AR104" s="27" t="s">
        <v>199</v>
      </c>
      <c r="AS104" s="44" t="n">
        <f aca="false">IF(AO104="Ranking — Full Push",MIN(MAX(AJ104,Assumptions!$B$9),AN104),IF(AO104="Brand Defense",MIN(Assumptions!$B$7,AN104),IF(OR(AO104="Ranking — Head Term (Capped)",AO104="Ranking — Capped Entry"),MIN(MAX(AJ104,Assumptions!$B$9),Assumptions!$B$7,AN104),IF(AO104="Ranking — Capped Long-Tail",MIN(AJ104,Assumptions!$B$10,AN104),MIN(AJ104,AN104)))))</f>
        <v>0.0655254688</v>
      </c>
      <c r="AT104" s="27" t="str">
        <f aca="false">IF(AJ104&lt;=0,"",IF(AS104&gt;=AJ104,IF(AS104&gt;AJ104*1.05,"Floor of "&amp;TEXT(AS104,"0.0")&amp;" click/day to read CVR (rank needs "&amp;TEXT(AJ104,"0.00")&amp;")","Fully funded (100%)"),"Capped at "&amp;TEXT(AS104/AJ104,"0%")&amp;" of required"))</f>
        <v>Fully funded (100%)</v>
      </c>
      <c r="AU104" s="44" t="n">
        <f aca="false">AS104*AD104</f>
        <v>0.0036694262528</v>
      </c>
      <c r="AV104" s="45" t="n">
        <f aca="false">AU104*AY104</f>
        <v>0.293517405961472</v>
      </c>
      <c r="AW104" s="46" t="n">
        <v>2.14</v>
      </c>
      <c r="AX104" s="27" t="s">
        <v>757</v>
      </c>
      <c r="AY104" s="47" t="n">
        <f aca="false">INDEX(Assumptions!$B$33:$B$37,MATCH(IF($D104="","Queen",$D104),Assumptions!$A$33:$A$37,0))</f>
        <v>79.99</v>
      </c>
      <c r="AZ104" s="33" t="n">
        <f aca="false">INDEX(Assumptions!$K$33:$K$37,MATCH(IF($D104="","Queen",$D104),Assumptions!$A$33:$A$37,0))</f>
        <v>0.558660457557195</v>
      </c>
      <c r="BA104" s="33" t="n">
        <f aca="false">INDEX(Assumptions!$H$33:$H$37,MATCH(IF($D104="","Queen",$D104),Assumptions!$A$33:$A$37,0))</f>
        <v>0.37244030503813</v>
      </c>
      <c r="BB104" s="47" t="n">
        <f aca="false">AY104*AZ104*AD104</f>
        <v>2.502486</v>
      </c>
      <c r="BC104" s="47" t="n">
        <f aca="false">ROUND(MIN(AW104*Assumptions!$B$11,BB104),2)</f>
        <v>2.14</v>
      </c>
      <c r="BD104" s="26" t="s">
        <v>278</v>
      </c>
      <c r="BE104" s="48" t="n">
        <f aca="false">IF(AO104="Ranking — Full Push",MAX(0,MIN(IF(BD104="Yes",Assumptions!$B$12,Assumptions!$B$13),FLOOR(MAX(0,BB104/BC104-1),Assumptions!$B$14))),0)</f>
        <v>0</v>
      </c>
      <c r="BF104" s="49" t="str">
        <f aca="false">IF(AO104="Ranking — Full Push",IF(BE104&gt;=1,"YES — +100% Top of Search. Effective CPC $"&amp;TEXT(BG104,"0.00")&amp;" (= $"&amp;TEXT(BC104,"0.00")&amp;" × 2) stays within the $"&amp;TEXT(BB104,"0.00")&amp;" max ranking CPC"&amp;" (= $"&amp;TEXT(AY104,"0.00")&amp;" price × "&amp;TEXT(AZ104,"0.0%")&amp;" ranking ceiling × "&amp;TEXT(AD104,"0.0%")&amp;" CVR)"&amp;". Sleephoria CVR is proven on this term, so the full push is justified.",IF(AND(BD104="No",BE104&gt;=Assumptions!$B$13),"PARTIAL — +"&amp;TEXT(BE104,"0%")&amp;" Top of Search (limit for terms without proven CVR). Effective CPC $"&amp;TEXT(BG104,"0.00")&amp;" vs $"&amp;TEXT(BB104,"0.00")&amp;" max ranking CPC"&amp;" (= $"&amp;TEXT(AY104,"0.00")&amp;" price × "&amp;TEXT(AZ104,"0.0%")&amp;" ranking ceiling × "&amp;TEXT(AD104,"0.0%")&amp;" CVR)"&amp;". Raise to +100% only after CooLinens converts at ≥ "&amp;TEXT(AD104,"0.0%")&amp;" on 50+ clicks and $"&amp;TEXT(BC104*2,"0.00")&amp;" ≤ the max.",IF(BE104&gt;0,"PARTIAL — +"&amp;TEXT(BE104,"0%")&amp;" Top of Search. Effective CPC $"&amp;TEXT(BG104,"0.00")&amp;" stays within the $"&amp;TEXT(BB104,"0.00")&amp;" max ranking CPC"&amp;" (= $"&amp;TEXT(AY104,"0.00")&amp;" price × "&amp;TEXT(AZ104,"0.0%")&amp;" ranking ceiling × "&amp;TEXT(AD104,"0.0%")&amp;" CVR)"&amp;". +100% would cost $"&amp;TEXT(BC104*2,"0.00")&amp;" per click and push ACoS to "&amp;TEXT(BC104*2/(AY104*AD104),"0.0%")&amp;", above the "&amp;TEXT(AZ104,"0.0%")&amp;" ceiling.","NO — 0%. Base bid $"&amp;TEXT(BC104,"0.00")&amp;" already equals the $"&amp;TEXT(BB104,"0.00")&amp;" max ranking CPC"&amp;" (= $"&amp;TEXT(AY104,"0.00")&amp;" price × "&amp;TEXT(AZ104,"0.0%")&amp;" ranking ceiling × "&amp;TEXT(AD104,"0.0%")&amp;" CVR)"&amp;"; any modifier would push ACoS above the "&amp;TEXT(AZ104,"0.0%")&amp;" ceiling."))),IF(OR(AO104="Ranking — Head Term (Capped)",AO104="Ranking — Capped Entry",AO104="Ranking — Capped Long-Tail"),"NO — 0% (capped ranking entry). Bid $"&amp;TEXT(BC104,"0.00")&amp;" vs $"&amp;TEXT(BB104,"0.00")&amp;" max ranking CPC"&amp;" (= $"&amp;TEXT(AY104,"0.00")&amp;" price × "&amp;TEXT(AZ104,"0.0%")&amp;" ranking ceiling × "&amp;TEXT(AD104,"0.0%")&amp;" CVR)"&amp;". While spend is capped at "&amp;TEXT(AS104,"0.00")&amp;" clicks/day, a placement premium would only raise CPC without buying more rank; the modifier is set when this term moves to a full push.","NO — 0% (support / brand term). Bid $"&amp;TEXT(BC104,"0.00")&amp;" vs $"&amp;TEXT(BB104,"0.00")&amp;" max ranking CPC"&amp;" (= $"&amp;TEXT(AY104,"0.00")&amp;" price × "&amp;TEXT(AZ104,"0.0%")&amp;" ranking ceiling × "&amp;TEXT(AD104,"0.0%")&amp;" CVR)"&amp;"; expected ACoS "&amp;TEXT(BI104,"0.0%")&amp;" vs the "&amp;TEXT(AZ104,"0.0%")&amp;" ceiling."))</f>
        <v>NO — 0% (support / brand term). Bid $2.14 vs $2.50 max ranking CPC (= $79.99 price × 55.9% ranking ceiling × 5.6% CVR); expected ACoS 47.8% vs the 55.9% ceiling.</v>
      </c>
      <c r="BG104" s="50" t="n">
        <f aca="false">BC104*(1+BE104)</f>
        <v>2.14</v>
      </c>
      <c r="BH104" s="45" t="n">
        <f aca="false">AS104*BG104</f>
        <v>0.140224503232</v>
      </c>
      <c r="BI104" s="33" t="n">
        <f aca="false">IFERROR(BG104/(AY104*AD104),"")</f>
        <v>0.477738288714661</v>
      </c>
      <c r="BJ104" s="27" t="str">
        <f aca="false">IF(BI104="","",IF(BI104&lt;=BA104,"Profitable (≤ break-even)",IF(BI104&lt;=AZ104,"Ranking investment (≤ ceiling)","Above ceiling — reduce bid")))</f>
        <v>Ranking investment (≤ ceiling)</v>
      </c>
      <c r="BK104" s="49" t="str">
        <f aca="false">"Base $"&amp;TEXT(BC104,"0.00")&amp;" × (1 + "&amp;TEXT(BE104,"0%")&amp;" TOS) = $"&amp;TEXT(BG104,"0.00")&amp;" effective CPC [max $"&amp;TEXT(BB104,"0.00")&amp;"]. "&amp;TEXT(AG104,"0.0")&amp;" market clicks/day × "&amp;TEXT(AH104,"0.00%")&amp;" click share × "&amp;TEXT(AI104,"0%")&amp;" paid = "&amp;TEXT(AJ104,"0.00")&amp;" clicks/day needed; "&amp;"planned "&amp;TEXT(AS104,"0.00")&amp;" clicks/day × "&amp;TEXT(AD104,"0.0%")&amp;" CVR = "&amp;TEXT(AU104,"0.00")&amp;" orders/day. "&amp;"Spend $"&amp;TEXT(BH104,"0.00")&amp;"/day, ACoS "&amp;TEXT(BI104,"0.0%")&amp;" (ceiling "&amp;TEXT(AZ104,"0.0%")&amp;", break-even "&amp;TEXT(BA104,"0.0%")&amp;"). "&amp;"Target organic rank #"&amp;S104&amp;" by week 8 ("&amp;T104&amp;")."</f>
        <v>Base $2.14 × (1 + 0% TOS) = $2.14 effective CPC [max $2.50]. 8.0 market clicks/day × 1.24% click share × 66% paid = 0.07 clicks/day needed; planned 0.07 clicks/day × 5.6% CVR = 0.00 orders/day. Spend $0.14/day, ACoS 47.8% (ceiling 55.9%, break-even 37.2%). Target organic rank #20 by week 8 (#60 → #35 → #20).</v>
      </c>
      <c r="BL104" s="27" t="s">
        <v>1436</v>
      </c>
      <c r="BM104" s="27" t="s">
        <v>203</v>
      </c>
      <c r="BN104" s="27" t="s">
        <v>1437</v>
      </c>
      <c r="BO104" s="27" t="s">
        <v>1432</v>
      </c>
      <c r="BP104" s="27" t="s">
        <v>205</v>
      </c>
      <c r="BQ104" s="26" t="s">
        <v>206</v>
      </c>
      <c r="BR104" s="40" t="n">
        <f aca="false">IFERROR(INDEX(Campaigns!$L:$L,MATCH(BN104,Campaigns!$A:$A,0)),"")</f>
        <v>10</v>
      </c>
      <c r="BS104" s="51" t="str">
        <f aca="false">IFERROR(INDEX(Inventory!$O:$O,MATCH(BP104,Inventory!$A:$A,0)),"")</f>
        <v>OK</v>
      </c>
      <c r="BT104" s="52" t="n">
        <f aca="false">IFERROR(INDEX(Inventory!$N:$N,MATCH(BP104,Inventory!$A:$A,0)),"")</f>
        <v>91.5322601167724</v>
      </c>
      <c r="BU104" s="27" t="s">
        <v>1438</v>
      </c>
      <c r="BV104" s="27" t="s">
        <v>263</v>
      </c>
      <c r="BW104" s="27" t="s">
        <v>1439</v>
      </c>
      <c r="BX104" s="27" t="s">
        <v>1440</v>
      </c>
      <c r="BY104" s="27" t="s">
        <v>1441</v>
      </c>
      <c r="BZ104" s="27" t="s">
        <v>405</v>
      </c>
      <c r="CA104" s="27" t="s">
        <v>1422</v>
      </c>
      <c r="CB104" s="27" t="s">
        <v>1423</v>
      </c>
      <c r="CC104" s="27" t="s">
        <v>358</v>
      </c>
    </row>
    <row r="105" customFormat="false" ht="120" hidden="false" customHeight="true" outlineLevel="0" collapsed="false">
      <c r="A105" s="55" t="s">
        <v>1442</v>
      </c>
      <c r="B105" s="56" t="n">
        <v>3</v>
      </c>
      <c r="C105" s="26" t="s">
        <v>1409</v>
      </c>
      <c r="D105" s="26"/>
      <c r="E105" s="27" t="s">
        <v>1410</v>
      </c>
      <c r="F105" s="28" t="n">
        <v>0.95</v>
      </c>
      <c r="G105" s="27" t="s">
        <v>187</v>
      </c>
      <c r="H105" s="26" t="s">
        <v>1411</v>
      </c>
      <c r="I105" s="29" t="n">
        <v>3.5</v>
      </c>
      <c r="J105" s="27" t="s">
        <v>1412</v>
      </c>
      <c r="K105" s="30" t="n">
        <v>672</v>
      </c>
      <c r="L105" s="31" t="n">
        <v>566</v>
      </c>
      <c r="M105" s="32" t="n">
        <f aca="false">L105/30</f>
        <v>18.8666666666667</v>
      </c>
      <c r="N105" s="33" t="n">
        <v>0.018562401263823</v>
      </c>
      <c r="O105" s="27" t="s">
        <v>1443</v>
      </c>
      <c r="P105" s="27" t="s">
        <v>1444</v>
      </c>
      <c r="Q105" s="27" t="s">
        <v>273</v>
      </c>
      <c r="R105" s="34" t="n">
        <v>4</v>
      </c>
      <c r="S105" s="35" t="n">
        <v>20</v>
      </c>
      <c r="T105" s="36" t="s">
        <v>346</v>
      </c>
      <c r="U105" s="27" t="s">
        <v>1445</v>
      </c>
      <c r="V105" s="37" t="n">
        <f aca="false">IFERROR(INDEX(Sleephoria_History!$F$454:$F$2115,MATCH($A105,Sleephoria_History!$A$454:$A$2115,0)),"")</f>
        <v>10</v>
      </c>
      <c r="W105" s="38" t="n">
        <f aca="false">IFERROR(INDEX(Sleephoria_History!$J$454:$J$2115,MATCH($A105,Sleephoria_History!$A$454:$A$2115,0)),"")</f>
        <v>0.1</v>
      </c>
      <c r="X105" s="39" t="n">
        <f aca="false">IFERROR(INDEX(Sleephoria_History!$H$454:$H$2115,MATCH($A105,Sleephoria_History!$A$454:$A$2115,0)),"")</f>
        <v>2.75</v>
      </c>
      <c r="Y105" s="38" t="n">
        <f aca="false">IFERROR(INDEX(Sleephoria_History!$M$454:$M$2115,MATCH($A105,Sleephoria_History!$A$454:$A$2115,0)),"")</f>
        <v>0.324</v>
      </c>
      <c r="Z105" s="40" t="n">
        <f aca="false">IFERROR(INDEX(Sleephoria_History!$L$454:$L$2115,MATCH($A105,Sleephoria_History!$A$454:$A$2115,0)),"")</f>
        <v>84.99</v>
      </c>
      <c r="AA105" s="37" t="str">
        <f aca="false">IFERROR(INDEX(Decolure_History!$F$397:$F$709,MATCH($A105,Decolure_History!$A$397:$A$709,0)),"")</f>
        <v/>
      </c>
      <c r="AB105" s="38" t="str">
        <f aca="false">IFERROR(INDEX(Decolure_History!$J$397:$J$709,MATCH($A105,Decolure_History!$A$397:$A$709,0)),"")</f>
        <v/>
      </c>
      <c r="AC105" s="38" t="str">
        <f aca="false">IFERROR(INDEX(Decolure_History!$M$397:$M$709,MATCH($A105,Decolure_History!$A$397:$A$709,0)),"")</f>
        <v/>
      </c>
      <c r="AD105" s="41" t="n">
        <v>0.064</v>
      </c>
      <c r="AE105" s="27" t="s">
        <v>275</v>
      </c>
      <c r="AF105" s="42" t="n">
        <v>0.379</v>
      </c>
      <c r="AG105" s="32" t="n">
        <f aca="false">M105*AF105</f>
        <v>7.15046666666667</v>
      </c>
      <c r="AH105" s="43" t="n">
        <f aca="false">IF(AO105="Brand Defense",0,IFERROR(VLOOKUP(S105,Assumptions!$A$24:$B$28,2,FALSE()),0))</f>
        <v>0.0124</v>
      </c>
      <c r="AI105" s="28" t="n">
        <f aca="false">Assumptions!$B$6</f>
        <v>0.66</v>
      </c>
      <c r="AJ105" s="44" t="n">
        <f aca="false">AG105*AH105*AI105</f>
        <v>0.0585194192</v>
      </c>
      <c r="AK105" s="44" t="n">
        <f aca="false">AJ105*AD105</f>
        <v>0.0037452428288</v>
      </c>
      <c r="AL105" s="30" t="n">
        <f aca="false">AJ105*56</f>
        <v>3.2770874752</v>
      </c>
      <c r="AM105" s="32" t="n">
        <f aca="false">AK105*56</f>
        <v>0.2097335984128</v>
      </c>
      <c r="AN105" s="44" t="n">
        <f aca="false">M105*Assumptions!$B$8</f>
        <v>1.88666666666667</v>
      </c>
      <c r="AO105" s="27" t="s">
        <v>328</v>
      </c>
      <c r="AP105" s="27" t="s">
        <v>1415</v>
      </c>
      <c r="AQ105" s="26" t="s">
        <v>198</v>
      </c>
      <c r="AR105" s="27" t="s">
        <v>199</v>
      </c>
      <c r="AS105" s="44" t="n">
        <f aca="false">IF(AO105="Ranking — Full Push",MIN(MAX(AJ105,Assumptions!$B$9),AN105),IF(AO105="Brand Defense",MIN(Assumptions!$B$7,AN105),IF(OR(AO105="Ranking — Head Term (Capped)",AO105="Ranking — Capped Entry"),MIN(MAX(AJ105,Assumptions!$B$9),Assumptions!$B$7,AN105),IF(AO105="Ranking — Capped Long-Tail",MIN(AJ105,Assumptions!$B$10,AN105),MIN(AJ105,AN105)))))</f>
        <v>0.0585194192</v>
      </c>
      <c r="AT105" s="27" t="str">
        <f aca="false">IF(AJ105&lt;=0,"",IF(AS105&gt;=AJ105,IF(AS105&gt;AJ105*1.05,"Floor of "&amp;TEXT(AS105,"0.0")&amp;" click/day to read CVR (rank needs "&amp;TEXT(AJ105,"0.00")&amp;")","Fully funded (100%)"),"Capped at "&amp;TEXT(AS105/AJ105,"0%")&amp;" of required"))</f>
        <v>Fully funded (100%)</v>
      </c>
      <c r="AU105" s="44" t="n">
        <f aca="false">AS105*AD105</f>
        <v>0.0037452428288</v>
      </c>
      <c r="AV105" s="45" t="n">
        <f aca="false">AU105*AY105</f>
        <v>0.299581973875712</v>
      </c>
      <c r="AW105" s="46" t="n">
        <v>2.14</v>
      </c>
      <c r="AX105" s="27" t="s">
        <v>757</v>
      </c>
      <c r="AY105" s="47" t="n">
        <f aca="false">INDEX(Assumptions!$B$33:$B$37,MATCH(IF($D105="","Queen",$D105),Assumptions!$A$33:$A$37,0))</f>
        <v>79.99</v>
      </c>
      <c r="AZ105" s="33" t="n">
        <f aca="false">INDEX(Assumptions!$K$33:$K$37,MATCH(IF($D105="","Queen",$D105),Assumptions!$A$33:$A$37,0))</f>
        <v>0.558660457557195</v>
      </c>
      <c r="BA105" s="33" t="n">
        <f aca="false">INDEX(Assumptions!$H$33:$H$37,MATCH(IF($D105="","Queen",$D105),Assumptions!$A$33:$A$37,0))</f>
        <v>0.37244030503813</v>
      </c>
      <c r="BB105" s="47" t="n">
        <f aca="false">AY105*AZ105*AD105</f>
        <v>2.859984</v>
      </c>
      <c r="BC105" s="47" t="n">
        <f aca="false">ROUND(MIN(AW105*Assumptions!$B$11,BB105),2)</f>
        <v>2.14</v>
      </c>
      <c r="BD105" s="26" t="s">
        <v>278</v>
      </c>
      <c r="BE105" s="48" t="n">
        <f aca="false">IF(AO105="Ranking — Full Push",MAX(0,MIN(IF(BD105="Yes",Assumptions!$B$12,Assumptions!$B$13),FLOOR(MAX(0,BB105/BC105-1),Assumptions!$B$14))),0)</f>
        <v>0</v>
      </c>
      <c r="BF105" s="49" t="str">
        <f aca="false">IF(AO105="Ranking — Full Push",IF(BE105&gt;=1,"YES — +100% Top of Search. Effective CPC $"&amp;TEXT(BG105,"0.00")&amp;" (= $"&amp;TEXT(BC105,"0.00")&amp;" × 2) stays within the $"&amp;TEXT(BB105,"0.00")&amp;" max ranking CPC"&amp;" (= $"&amp;TEXT(AY105,"0.00")&amp;" price × "&amp;TEXT(AZ105,"0.0%")&amp;" ranking ceiling × "&amp;TEXT(AD105,"0.0%")&amp;" CVR)"&amp;". Sleephoria CVR is proven on this term, so the full push is justified.",IF(AND(BD105="No",BE105&gt;=Assumptions!$B$13),"PARTIAL — +"&amp;TEXT(BE105,"0%")&amp;" Top of Search (limit for terms without proven CVR). Effective CPC $"&amp;TEXT(BG105,"0.00")&amp;" vs $"&amp;TEXT(BB105,"0.00")&amp;" max ranking CPC"&amp;" (= $"&amp;TEXT(AY105,"0.00")&amp;" price × "&amp;TEXT(AZ105,"0.0%")&amp;" ranking ceiling × "&amp;TEXT(AD105,"0.0%")&amp;" CVR)"&amp;". Raise to +100% only after CooLinens converts at ≥ "&amp;TEXT(AD105,"0.0%")&amp;" on 50+ clicks and $"&amp;TEXT(BC105*2,"0.00")&amp;" ≤ the max.",IF(BE105&gt;0,"PARTIAL — +"&amp;TEXT(BE105,"0%")&amp;" Top of Search. Effective CPC $"&amp;TEXT(BG105,"0.00")&amp;" stays within the $"&amp;TEXT(BB105,"0.00")&amp;" max ranking CPC"&amp;" (= $"&amp;TEXT(AY105,"0.00")&amp;" price × "&amp;TEXT(AZ105,"0.0%")&amp;" ranking ceiling × "&amp;TEXT(AD105,"0.0%")&amp;" CVR)"&amp;". +100% would cost $"&amp;TEXT(BC105*2,"0.00")&amp;" per click and push ACoS to "&amp;TEXT(BC105*2/(AY105*AD105),"0.0%")&amp;", above the "&amp;TEXT(AZ105,"0.0%")&amp;" ceiling.","NO — 0%. Base bid $"&amp;TEXT(BC105,"0.00")&amp;" already equals the $"&amp;TEXT(BB105,"0.00")&amp;" max ranking CPC"&amp;" (= $"&amp;TEXT(AY105,"0.00")&amp;" price × "&amp;TEXT(AZ105,"0.0%")&amp;" ranking ceiling × "&amp;TEXT(AD105,"0.0%")&amp;" CVR)"&amp;"; any modifier would push ACoS above the "&amp;TEXT(AZ105,"0.0%")&amp;" ceiling."))),IF(OR(AO105="Ranking — Head Term (Capped)",AO105="Ranking — Capped Entry",AO105="Ranking — Capped Long-Tail"),"NO — 0% (capped ranking entry). Bid $"&amp;TEXT(BC105,"0.00")&amp;" vs $"&amp;TEXT(BB105,"0.00")&amp;" max ranking CPC"&amp;" (= $"&amp;TEXT(AY105,"0.00")&amp;" price × "&amp;TEXT(AZ105,"0.0%")&amp;" ranking ceiling × "&amp;TEXT(AD105,"0.0%")&amp;" CVR)"&amp;". While spend is capped at "&amp;TEXT(AS105,"0.00")&amp;" clicks/day, a placement premium would only raise CPC without buying more rank; the modifier is set when this term moves to a full push.","NO — 0% (support / brand term). Bid $"&amp;TEXT(BC105,"0.00")&amp;" vs $"&amp;TEXT(BB105,"0.00")&amp;" max ranking CPC"&amp;" (= $"&amp;TEXT(AY105,"0.00")&amp;" price × "&amp;TEXT(AZ105,"0.0%")&amp;" ranking ceiling × "&amp;TEXT(AD105,"0.0%")&amp;" CVR)"&amp;"; expected ACoS "&amp;TEXT(BI105,"0.0%")&amp;" vs the "&amp;TEXT(AZ105,"0.0%")&amp;" ceiling."))</f>
        <v>NO — 0% (support / brand term). Bid $2.14 vs $2.86 max ranking CPC (= $79.99 price × 55.9% ranking ceiling × 6.4% CVR); expected ACoS 41.8% vs the 55.9% ceiling.</v>
      </c>
      <c r="BG105" s="50" t="n">
        <f aca="false">BC105*(1+BE105)</f>
        <v>2.14</v>
      </c>
      <c r="BH105" s="45" t="n">
        <f aca="false">AS105*BG105</f>
        <v>0.125231557088</v>
      </c>
      <c r="BI105" s="33" t="n">
        <f aca="false">IFERROR(BG105/(AY105*AD105),"")</f>
        <v>0.418021002625328</v>
      </c>
      <c r="BJ105" s="27" t="str">
        <f aca="false">IF(BI105="","",IF(BI105&lt;=BA105,"Profitable (≤ break-even)",IF(BI105&lt;=AZ105,"Ranking investment (≤ ceiling)","Above ceiling — reduce bid")))</f>
        <v>Ranking investment (≤ ceiling)</v>
      </c>
      <c r="BK105" s="49" t="str">
        <f aca="false">"Base $"&amp;TEXT(BC105,"0.00")&amp;" × (1 + "&amp;TEXT(BE105,"0%")&amp;" TOS) = $"&amp;TEXT(BG105,"0.00")&amp;" effective CPC [max $"&amp;TEXT(BB105,"0.00")&amp;"]. "&amp;TEXT(AG105,"0.0")&amp;" market clicks/day × "&amp;TEXT(AH105,"0.00%")&amp;" click share × "&amp;TEXT(AI105,"0%")&amp;" paid = "&amp;TEXT(AJ105,"0.00")&amp;" clicks/day needed; "&amp;"planned "&amp;TEXT(AS105,"0.00")&amp;" clicks/day × "&amp;TEXT(AD105,"0.0%")&amp;" CVR = "&amp;TEXT(AU105,"0.00")&amp;" orders/day. "&amp;"Spend $"&amp;TEXT(BH105,"0.00")&amp;"/day, ACoS "&amp;TEXT(BI105,"0.0%")&amp;" (ceiling "&amp;TEXT(AZ105,"0.0%")&amp;", break-even "&amp;TEXT(BA105,"0.0%")&amp;"). "&amp;"Target organic rank #"&amp;S105&amp;" by week 8 ("&amp;T105&amp;")."</f>
        <v>Base $2.14 × (1 + 0% TOS) = $2.14 effective CPC [max $2.86]. 7.2 market clicks/day × 1.24% click share × 66% paid = 0.06 clicks/day needed; planned 0.06 clicks/day × 6.4% CVR = 0.00 orders/day. Spend $0.13/day, ACoS 41.8% (ceiling 55.9%, break-even 37.2%). Target organic rank #20 by week 8 (#60 → #35 → #20).</v>
      </c>
      <c r="BL105" s="27" t="s">
        <v>398</v>
      </c>
      <c r="BM105" s="27" t="s">
        <v>203</v>
      </c>
      <c r="BN105" s="27" t="s">
        <v>1446</v>
      </c>
      <c r="BO105" s="27" t="s">
        <v>1442</v>
      </c>
      <c r="BP105" s="27" t="s">
        <v>205</v>
      </c>
      <c r="BQ105" s="26" t="s">
        <v>206</v>
      </c>
      <c r="BR105" s="40" t="n">
        <f aca="false">IFERROR(INDEX(Campaigns!$L:$L,MATCH(BN105,Campaigns!$A:$A,0)),"")</f>
        <v>10</v>
      </c>
      <c r="BS105" s="51" t="str">
        <f aca="false">IFERROR(INDEX(Inventory!$O:$O,MATCH(BP105,Inventory!$A:$A,0)),"")</f>
        <v>OK</v>
      </c>
      <c r="BT105" s="52" t="n">
        <f aca="false">IFERROR(INDEX(Inventory!$N:$N,MATCH(BP105,Inventory!$A:$A,0)),"")</f>
        <v>91.5322601167724</v>
      </c>
      <c r="BU105" s="27" t="s">
        <v>1447</v>
      </c>
      <c r="BV105" s="27" t="s">
        <v>263</v>
      </c>
      <c r="BW105" s="27" t="s">
        <v>1448</v>
      </c>
      <c r="BX105" s="27" t="s">
        <v>1449</v>
      </c>
      <c r="BY105" s="27" t="s">
        <v>1450</v>
      </c>
      <c r="BZ105" s="27" t="s">
        <v>286</v>
      </c>
      <c r="CA105" s="27" t="s">
        <v>1422</v>
      </c>
      <c r="CB105" s="27" t="s">
        <v>1423</v>
      </c>
      <c r="CC105" s="27" t="s">
        <v>358</v>
      </c>
    </row>
    <row r="106" customFormat="false" ht="120" hidden="false" customHeight="true" outlineLevel="0" collapsed="false">
      <c r="A106" s="55" t="s">
        <v>1451</v>
      </c>
      <c r="B106" s="56" t="n">
        <v>3</v>
      </c>
      <c r="C106" s="26" t="s">
        <v>1409</v>
      </c>
      <c r="D106" s="26" t="s">
        <v>185</v>
      </c>
      <c r="E106" s="27" t="s">
        <v>1410</v>
      </c>
      <c r="F106" s="28" t="n">
        <v>0.88</v>
      </c>
      <c r="G106" s="27" t="s">
        <v>1452</v>
      </c>
      <c r="H106" s="26" t="s">
        <v>342</v>
      </c>
      <c r="I106" s="29" t="n">
        <v>5</v>
      </c>
      <c r="J106" s="27" t="s">
        <v>970</v>
      </c>
      <c r="K106" s="30" t="n">
        <v>659</v>
      </c>
      <c r="L106" s="31" t="n">
        <v>496</v>
      </c>
      <c r="M106" s="32" t="n">
        <f aca="false">L106/30</f>
        <v>16.5333333333333</v>
      </c>
      <c r="N106" s="33" t="n">
        <v>0.0472589792060491</v>
      </c>
      <c r="O106" s="27" t="s">
        <v>1453</v>
      </c>
      <c r="P106" s="27" t="s">
        <v>1454</v>
      </c>
      <c r="Q106" s="27" t="s">
        <v>292</v>
      </c>
      <c r="R106" s="34" t="n">
        <v>5</v>
      </c>
      <c r="S106" s="35" t="n">
        <v>20</v>
      </c>
      <c r="T106" s="36" t="s">
        <v>346</v>
      </c>
      <c r="U106" s="27" t="s">
        <v>1455</v>
      </c>
      <c r="V106" s="37" t="n">
        <f aca="false">IFERROR(INDEX(Sleephoria_History!$F$454:$F$2115,MATCH($A106,Sleephoria_History!$A$454:$A$2115,0)),"")</f>
        <v>2</v>
      </c>
      <c r="W106" s="38" t="n">
        <f aca="false">IFERROR(INDEX(Sleephoria_History!$J$454:$J$2115,MATCH($A106,Sleephoria_History!$A$454:$A$2115,0)),"")</f>
        <v>0</v>
      </c>
      <c r="X106" s="39" t="n">
        <f aca="false">IFERROR(INDEX(Sleephoria_History!$H$454:$H$2115,MATCH($A106,Sleephoria_History!$A$454:$A$2115,0)),"")</f>
        <v>2.84</v>
      </c>
      <c r="Y106" s="38" t="n">
        <f aca="false">IFERROR(INDEX(Sleephoria_History!$M$454:$M$2115,MATCH($A106,Sleephoria_History!$A$454:$A$2115,0)),"")</f>
        <v>0</v>
      </c>
      <c r="Z106" s="40" t="n">
        <f aca="false">IFERROR(INDEX(Sleephoria_History!$L$454:$L$2115,MATCH($A106,Sleephoria_History!$A$454:$A$2115,0)),"")</f>
        <v>0</v>
      </c>
      <c r="AA106" s="37" t="str">
        <f aca="false">IFERROR(INDEX(Decolure_History!$F$397:$F$709,MATCH($A106,Decolure_History!$A$397:$A$709,0)),"")</f>
        <v/>
      </c>
      <c r="AB106" s="38" t="str">
        <f aca="false">IFERROR(INDEX(Decolure_History!$J$397:$J$709,MATCH($A106,Decolure_History!$A$397:$A$709,0)),"")</f>
        <v/>
      </c>
      <c r="AC106" s="38" t="str">
        <f aca="false">IFERROR(INDEX(Decolure_History!$M$397:$M$709,MATCH($A106,Decolure_History!$A$397:$A$709,0)),"")</f>
        <v/>
      </c>
      <c r="AD106" s="41" t="n">
        <v>0.064</v>
      </c>
      <c r="AE106" s="27" t="s">
        <v>275</v>
      </c>
      <c r="AF106" s="42" t="n">
        <v>0.402</v>
      </c>
      <c r="AG106" s="32" t="n">
        <f aca="false">M106*AF106</f>
        <v>6.6464</v>
      </c>
      <c r="AH106" s="43" t="n">
        <f aca="false">IF(AO106="Brand Defense",0,IFERROR(VLOOKUP(S106,Assumptions!$A$24:$B$28,2,FALSE()),0))</f>
        <v>0.0124</v>
      </c>
      <c r="AI106" s="28" t="n">
        <f aca="false">Assumptions!$B$6</f>
        <v>0.66</v>
      </c>
      <c r="AJ106" s="44" t="n">
        <f aca="false">AG106*AH106*AI106</f>
        <v>0.0543941376</v>
      </c>
      <c r="AK106" s="44" t="n">
        <f aca="false">AJ106*AD106</f>
        <v>0.0034812248064</v>
      </c>
      <c r="AL106" s="30" t="n">
        <f aca="false">AJ106*56</f>
        <v>3.0460717056</v>
      </c>
      <c r="AM106" s="32" t="n">
        <f aca="false">AK106*56</f>
        <v>0.1949485891584</v>
      </c>
      <c r="AN106" s="44" t="n">
        <f aca="false">M106*Assumptions!$B$8</f>
        <v>1.65333333333333</v>
      </c>
      <c r="AO106" s="27" t="s">
        <v>328</v>
      </c>
      <c r="AP106" s="27" t="s">
        <v>1014</v>
      </c>
      <c r="AQ106" s="26" t="s">
        <v>198</v>
      </c>
      <c r="AR106" s="27" t="s">
        <v>199</v>
      </c>
      <c r="AS106" s="44" t="n">
        <f aca="false">IF(AO106="Ranking — Full Push",MIN(MAX(AJ106,Assumptions!$B$9),AN106),IF(AO106="Brand Defense",MIN(Assumptions!$B$7,AN106),IF(OR(AO106="Ranking — Head Term (Capped)",AO106="Ranking — Capped Entry"),MIN(MAX(AJ106,Assumptions!$B$9),Assumptions!$B$7,AN106),IF(AO106="Ranking — Capped Long-Tail",MIN(AJ106,Assumptions!$B$10,AN106),MIN(AJ106,AN106)))))</f>
        <v>0.0543941376</v>
      </c>
      <c r="AT106" s="27" t="str">
        <f aca="false">IF(AJ106&lt;=0,"",IF(AS106&gt;=AJ106,IF(AS106&gt;AJ106*1.05,"Floor of "&amp;TEXT(AS106,"0.0")&amp;" click/day to read CVR (rank needs "&amp;TEXT(AJ106,"0.00")&amp;")","Fully funded (100%)"),"Capped at "&amp;TEXT(AS106/AJ106,"0%")&amp;" of required"))</f>
        <v>Fully funded (100%)</v>
      </c>
      <c r="AU106" s="44" t="n">
        <f aca="false">AS106*AD106</f>
        <v>0.0034812248064</v>
      </c>
      <c r="AV106" s="45" t="n">
        <f aca="false">AU106*AY106</f>
        <v>0.278463172263936</v>
      </c>
      <c r="AW106" s="46" t="n">
        <v>2.18</v>
      </c>
      <c r="AX106" s="27" t="s">
        <v>295</v>
      </c>
      <c r="AY106" s="47" t="n">
        <f aca="false">INDEX(Assumptions!$B$33:$B$37,MATCH(IF($D106="","Queen",$D106),Assumptions!$A$33:$A$37,0))</f>
        <v>79.99</v>
      </c>
      <c r="AZ106" s="33" t="n">
        <f aca="false">INDEX(Assumptions!$K$33:$K$37,MATCH(IF($D106="","Queen",$D106),Assumptions!$A$33:$A$37,0))</f>
        <v>0.558660457557195</v>
      </c>
      <c r="BA106" s="33" t="n">
        <f aca="false">INDEX(Assumptions!$H$33:$H$37,MATCH(IF($D106="","Queen",$D106),Assumptions!$A$33:$A$37,0))</f>
        <v>0.37244030503813</v>
      </c>
      <c r="BB106" s="47" t="n">
        <f aca="false">AY106*AZ106*AD106</f>
        <v>2.859984</v>
      </c>
      <c r="BC106" s="47" t="n">
        <f aca="false">ROUND(MIN(AW106*Assumptions!$B$11,BB106),2)</f>
        <v>2.18</v>
      </c>
      <c r="BD106" s="26" t="s">
        <v>278</v>
      </c>
      <c r="BE106" s="48" t="n">
        <f aca="false">IF(AO106="Ranking — Full Push",MAX(0,MIN(IF(BD106="Yes",Assumptions!$B$12,Assumptions!$B$13),FLOOR(MAX(0,BB106/BC106-1),Assumptions!$B$14))),0)</f>
        <v>0</v>
      </c>
      <c r="BF106" s="49" t="str">
        <f aca="false">IF(AO106="Ranking — Full Push",IF(BE106&gt;=1,"YES — +100% Top of Search. Effective CPC $"&amp;TEXT(BG106,"0.00")&amp;" (= $"&amp;TEXT(BC106,"0.00")&amp;" × 2) stays within the $"&amp;TEXT(BB106,"0.00")&amp;" max ranking CPC"&amp;" (= $"&amp;TEXT(AY106,"0.00")&amp;" price × "&amp;TEXT(AZ106,"0.0%")&amp;" ranking ceiling × "&amp;TEXT(AD106,"0.0%")&amp;" CVR)"&amp;". Sleephoria CVR is proven on this term, so the full push is justified.",IF(AND(BD106="No",BE106&gt;=Assumptions!$B$13),"PARTIAL — +"&amp;TEXT(BE106,"0%")&amp;" Top of Search (limit for terms without proven CVR). Effective CPC $"&amp;TEXT(BG106,"0.00")&amp;" vs $"&amp;TEXT(BB106,"0.00")&amp;" max ranking CPC"&amp;" (= $"&amp;TEXT(AY106,"0.00")&amp;" price × "&amp;TEXT(AZ106,"0.0%")&amp;" ranking ceiling × "&amp;TEXT(AD106,"0.0%")&amp;" CVR)"&amp;". Raise to +100% only after CooLinens converts at ≥ "&amp;TEXT(AD106,"0.0%")&amp;" on 50+ clicks and $"&amp;TEXT(BC106*2,"0.00")&amp;" ≤ the max.",IF(BE106&gt;0,"PARTIAL — +"&amp;TEXT(BE106,"0%")&amp;" Top of Search. Effective CPC $"&amp;TEXT(BG106,"0.00")&amp;" stays within the $"&amp;TEXT(BB106,"0.00")&amp;" max ranking CPC"&amp;" (= $"&amp;TEXT(AY106,"0.00")&amp;" price × "&amp;TEXT(AZ106,"0.0%")&amp;" ranking ceiling × "&amp;TEXT(AD106,"0.0%")&amp;" CVR)"&amp;". +100% would cost $"&amp;TEXT(BC106*2,"0.00")&amp;" per click and push ACoS to "&amp;TEXT(BC106*2/(AY106*AD106),"0.0%")&amp;", above the "&amp;TEXT(AZ106,"0.0%")&amp;" ceiling.","NO — 0%. Base bid $"&amp;TEXT(BC106,"0.00")&amp;" already equals the $"&amp;TEXT(BB106,"0.00")&amp;" max ranking CPC"&amp;" (= $"&amp;TEXT(AY106,"0.00")&amp;" price × "&amp;TEXT(AZ106,"0.0%")&amp;" ranking ceiling × "&amp;TEXT(AD106,"0.0%")&amp;" CVR)"&amp;"; any modifier would push ACoS above the "&amp;TEXT(AZ106,"0.0%")&amp;" ceiling."))),IF(OR(AO106="Ranking — Head Term (Capped)",AO106="Ranking — Capped Entry",AO106="Ranking — Capped Long-Tail"),"NO — 0% (capped ranking entry). Bid $"&amp;TEXT(BC106,"0.00")&amp;" vs $"&amp;TEXT(BB106,"0.00")&amp;" max ranking CPC"&amp;" (= $"&amp;TEXT(AY106,"0.00")&amp;" price × "&amp;TEXT(AZ106,"0.0%")&amp;" ranking ceiling × "&amp;TEXT(AD106,"0.0%")&amp;" CVR)"&amp;". While spend is capped at "&amp;TEXT(AS106,"0.00")&amp;" clicks/day, a placement premium would only raise CPC without buying more rank; the modifier is set when this term moves to a full push.","NO — 0% (support / brand term). Bid $"&amp;TEXT(BC106,"0.00")&amp;" vs $"&amp;TEXT(BB106,"0.00")&amp;" max ranking CPC"&amp;" (= $"&amp;TEXT(AY106,"0.00")&amp;" price × "&amp;TEXT(AZ106,"0.0%")&amp;" ranking ceiling × "&amp;TEXT(AD106,"0.0%")&amp;" CVR)"&amp;"; expected ACoS "&amp;TEXT(BI106,"0.0%")&amp;" vs the "&amp;TEXT(AZ106,"0.0%")&amp;" ceiling."))</f>
        <v>NO — 0% (support / brand term). Bid $2.18 vs $2.86 max ranking CPC (= $79.99 price × 55.9% ranking ceiling × 6.4% CVR); expected ACoS 42.6% vs the 55.9% ceiling.</v>
      </c>
      <c r="BG106" s="50" t="n">
        <f aca="false">BC106*(1+BE106)</f>
        <v>2.18</v>
      </c>
      <c r="BH106" s="45" t="n">
        <f aca="false">AS106*BG106</f>
        <v>0.118579219968</v>
      </c>
      <c r="BI106" s="33" t="n">
        <f aca="false">IFERROR(BG106/(AY106*AD106),"")</f>
        <v>0.425834479309914</v>
      </c>
      <c r="BJ106" s="27" t="str">
        <f aca="false">IF(BI106="","",IF(BI106&lt;=BA106,"Profitable (≤ break-even)",IF(BI106&lt;=AZ106,"Ranking investment (≤ ceiling)","Above ceiling — reduce bid")))</f>
        <v>Ranking investment (≤ ceiling)</v>
      </c>
      <c r="BK106" s="49" t="str">
        <f aca="false">"Base $"&amp;TEXT(BC106,"0.00")&amp;" × (1 + "&amp;TEXT(BE106,"0%")&amp;" TOS) = $"&amp;TEXT(BG106,"0.00")&amp;" effective CPC [max $"&amp;TEXT(BB106,"0.00")&amp;"]. "&amp;TEXT(AG106,"0.0")&amp;" market clicks/day × "&amp;TEXT(AH106,"0.00%")&amp;" click share × "&amp;TEXT(AI106,"0%")&amp;" paid = "&amp;TEXT(AJ106,"0.00")&amp;" clicks/day needed; "&amp;"planned "&amp;TEXT(AS106,"0.00")&amp;" clicks/day × "&amp;TEXT(AD106,"0.0%")&amp;" CVR = "&amp;TEXT(AU106,"0.00")&amp;" orders/day. "&amp;"Spend $"&amp;TEXT(BH106,"0.00")&amp;"/day, ACoS "&amp;TEXT(BI106,"0.0%")&amp;" (ceiling "&amp;TEXT(AZ106,"0.0%")&amp;", break-even "&amp;TEXT(BA106,"0.0%")&amp;"). "&amp;"Target organic rank #"&amp;S106&amp;" by week 8 ("&amp;T106&amp;")."</f>
        <v>Base $2.18 × (1 + 0% TOS) = $2.18 effective CPC [max $2.86]. 6.6 market clicks/day × 1.24% click share × 66% paid = 0.05 clicks/day needed; planned 0.05 clicks/day × 6.4% CVR = 0.00 orders/day. Spend $0.12/day, ACoS 42.6% (ceiling 55.9%, break-even 37.2%). Target organic rank #20 by week 8 (#60 → #35 → #20).</v>
      </c>
      <c r="BL106" s="27" t="s">
        <v>1002</v>
      </c>
      <c r="BM106" s="27" t="s">
        <v>203</v>
      </c>
      <c r="BN106" s="27" t="s">
        <v>1456</v>
      </c>
      <c r="BO106" s="27" t="s">
        <v>1451</v>
      </c>
      <c r="BP106" s="27" t="s">
        <v>205</v>
      </c>
      <c r="BQ106" s="26" t="s">
        <v>206</v>
      </c>
      <c r="BR106" s="40" t="n">
        <f aca="false">IFERROR(INDEX(Campaigns!$L:$L,MATCH(BN106,Campaigns!$A:$A,0)),"")</f>
        <v>10</v>
      </c>
      <c r="BS106" s="51" t="str">
        <f aca="false">IFERROR(INDEX(Inventory!$O:$O,MATCH(BP106,Inventory!$A:$A,0)),"")</f>
        <v>OK</v>
      </c>
      <c r="BT106" s="52" t="n">
        <f aca="false">IFERROR(INDEX(Inventory!$N:$N,MATCH(BP106,Inventory!$A:$A,0)),"")</f>
        <v>91.5322601167724</v>
      </c>
      <c r="BU106" s="27" t="s">
        <v>1457</v>
      </c>
      <c r="BV106" s="27" t="s">
        <v>263</v>
      </c>
      <c r="BW106" s="27" t="s">
        <v>1458</v>
      </c>
      <c r="BX106" s="27" t="s">
        <v>1459</v>
      </c>
      <c r="BY106" s="27" t="s">
        <v>1460</v>
      </c>
      <c r="BZ106" s="27" t="s">
        <v>1077</v>
      </c>
      <c r="CA106" s="27" t="s">
        <v>1422</v>
      </c>
      <c r="CB106" s="27" t="s">
        <v>1461</v>
      </c>
      <c r="CC106" s="27" t="s">
        <v>358</v>
      </c>
    </row>
    <row r="107" customFormat="false" ht="120" hidden="false" customHeight="true" outlineLevel="0" collapsed="false">
      <c r="A107" s="55" t="s">
        <v>1462</v>
      </c>
      <c r="B107" s="56" t="n">
        <v>3</v>
      </c>
      <c r="C107" s="26" t="s">
        <v>1409</v>
      </c>
      <c r="D107" s="26"/>
      <c r="E107" s="27" t="s">
        <v>1410</v>
      </c>
      <c r="F107" s="28" t="n">
        <v>0.95</v>
      </c>
      <c r="G107" s="27" t="s">
        <v>187</v>
      </c>
      <c r="H107" s="26" t="s">
        <v>1411</v>
      </c>
      <c r="I107" s="29" t="n">
        <v>3.5</v>
      </c>
      <c r="J107" s="27" t="s">
        <v>1412</v>
      </c>
      <c r="K107" s="30" t="n">
        <v>1023</v>
      </c>
      <c r="L107" s="31" t="n">
        <v>1072</v>
      </c>
      <c r="M107" s="32" t="n">
        <f aca="false">L107/30</f>
        <v>35.7333333333333</v>
      </c>
      <c r="N107" s="33" t="n">
        <v>0.0192883895131086</v>
      </c>
      <c r="O107" s="27" t="s">
        <v>500</v>
      </c>
      <c r="P107" s="27" t="s">
        <v>1463</v>
      </c>
      <c r="Q107" s="27" t="s">
        <v>238</v>
      </c>
      <c r="R107" s="34" t="n">
        <v>3</v>
      </c>
      <c r="S107" s="35" t="n">
        <v>20</v>
      </c>
      <c r="T107" s="36" t="s">
        <v>346</v>
      </c>
      <c r="U107" s="27" t="s">
        <v>1464</v>
      </c>
      <c r="V107" s="37" t="n">
        <f aca="false">IFERROR(INDEX(Sleephoria_History!$F$454:$F$2115,MATCH($A107,Sleephoria_History!$A$454:$A$2115,0)),"")</f>
        <v>4</v>
      </c>
      <c r="W107" s="38" t="n">
        <f aca="false">IFERROR(INDEX(Sleephoria_History!$J$454:$J$2115,MATCH($A107,Sleephoria_History!$A$454:$A$2115,0)),"")</f>
        <v>0</v>
      </c>
      <c r="X107" s="39" t="n">
        <f aca="false">IFERROR(INDEX(Sleephoria_History!$H$454:$H$2115,MATCH($A107,Sleephoria_History!$A$454:$A$2115,0)),"")</f>
        <v>2.95</v>
      </c>
      <c r="Y107" s="38" t="n">
        <f aca="false">IFERROR(INDEX(Sleephoria_History!$M$454:$M$2115,MATCH($A107,Sleephoria_History!$A$454:$A$2115,0)),"")</f>
        <v>0</v>
      </c>
      <c r="Z107" s="40" t="n">
        <f aca="false">IFERROR(INDEX(Sleephoria_History!$L$454:$L$2115,MATCH($A107,Sleephoria_History!$A$454:$A$2115,0)),"")</f>
        <v>0</v>
      </c>
      <c r="AA107" s="37" t="n">
        <f aca="false">IFERROR(INDEX(Decolure_History!$F$397:$F$709,MATCH($A107,Decolure_History!$A$397:$A$709,0)),"")</f>
        <v>52</v>
      </c>
      <c r="AB107" s="38" t="n">
        <f aca="false">IFERROR(INDEX(Decolure_History!$J$397:$J$709,MATCH($A107,Decolure_History!$A$397:$A$709,0)),"")</f>
        <v>0.0385</v>
      </c>
      <c r="AC107" s="38" t="n">
        <f aca="false">IFERROR(INDEX(Decolure_History!$M$397:$M$709,MATCH($A107,Decolure_History!$A$397:$A$709,0)),"")</f>
        <v>2.296</v>
      </c>
      <c r="AD107" s="41" t="n">
        <v>0.064</v>
      </c>
      <c r="AE107" s="27" t="s">
        <v>275</v>
      </c>
      <c r="AF107" s="42" t="n">
        <v>0.433</v>
      </c>
      <c r="AG107" s="32" t="n">
        <f aca="false">M107*AF107</f>
        <v>15.4725333333333</v>
      </c>
      <c r="AH107" s="43" t="n">
        <f aca="false">IF(AO107="Brand Defense",0,IFERROR(VLOOKUP(S107,Assumptions!$A$24:$B$28,2,FALSE()),0))</f>
        <v>0.0124</v>
      </c>
      <c r="AI107" s="28" t="n">
        <f aca="false">Assumptions!$B$6</f>
        <v>0.66</v>
      </c>
      <c r="AJ107" s="44" t="n">
        <f aca="false">AG107*AH107*AI107</f>
        <v>0.1266272128</v>
      </c>
      <c r="AK107" s="44" t="n">
        <f aca="false">AJ107*AD107</f>
        <v>0.0081041416192</v>
      </c>
      <c r="AL107" s="30" t="n">
        <f aca="false">AJ107*56</f>
        <v>7.0911239168</v>
      </c>
      <c r="AM107" s="32" t="n">
        <f aca="false">AK107*56</f>
        <v>0.4538319306752</v>
      </c>
      <c r="AN107" s="44" t="n">
        <f aca="false">M107*Assumptions!$B$8</f>
        <v>3.57333333333333</v>
      </c>
      <c r="AO107" s="27" t="s">
        <v>377</v>
      </c>
      <c r="AP107" s="27" t="s">
        <v>378</v>
      </c>
      <c r="AQ107" s="26" t="s">
        <v>198</v>
      </c>
      <c r="AR107" s="27" t="s">
        <v>199</v>
      </c>
      <c r="AS107" s="44" t="n">
        <f aca="false">IF(AO107="Ranking — Full Push",MIN(MAX(AJ107,Assumptions!$B$9),AN107),IF(AO107="Brand Defense",MIN(Assumptions!$B$7,AN107),IF(OR(AO107="Ranking — Head Term (Capped)",AO107="Ranking — Capped Entry"),MIN(MAX(AJ107,Assumptions!$B$9),Assumptions!$B$7,AN107),IF(AO107="Ranking — Capped Long-Tail",MIN(AJ107,Assumptions!$B$10,AN107),MIN(AJ107,AN107)))))</f>
        <v>1</v>
      </c>
      <c r="AT107" s="27" t="str">
        <f aca="false">IF(AJ107&lt;=0,"",IF(AS107&gt;=AJ107,IF(AS107&gt;AJ107*1.05,"Floor of "&amp;TEXT(AS107,"0.0")&amp;" click/day to read CVR (rank needs "&amp;TEXT(AJ107,"0.00")&amp;")","Fully funded (100%)"),"Capped at "&amp;TEXT(AS107/AJ107,"0%")&amp;" of required"))</f>
        <v>Floor of 1.0 click/day to read CVR (rank needs 0.13)</v>
      </c>
      <c r="AU107" s="44" t="n">
        <f aca="false">AS107*AD107</f>
        <v>0.064</v>
      </c>
      <c r="AV107" s="45" t="n">
        <f aca="false">AU107*AY107</f>
        <v>5.11936</v>
      </c>
      <c r="AW107" s="46" t="n">
        <v>2.14</v>
      </c>
      <c r="AX107" s="27" t="s">
        <v>757</v>
      </c>
      <c r="AY107" s="47" t="n">
        <f aca="false">INDEX(Assumptions!$B$33:$B$37,MATCH(IF($D107="","Queen",$D107),Assumptions!$A$33:$A$37,0))</f>
        <v>79.99</v>
      </c>
      <c r="AZ107" s="33" t="n">
        <f aca="false">INDEX(Assumptions!$K$33:$K$37,MATCH(IF($D107="","Queen",$D107),Assumptions!$A$33:$A$37,0))</f>
        <v>0.558660457557195</v>
      </c>
      <c r="BA107" s="33" t="n">
        <f aca="false">INDEX(Assumptions!$H$33:$H$37,MATCH(IF($D107="","Queen",$D107),Assumptions!$A$33:$A$37,0))</f>
        <v>0.37244030503813</v>
      </c>
      <c r="BB107" s="47" t="n">
        <f aca="false">AY107*AZ107*AD107</f>
        <v>2.859984</v>
      </c>
      <c r="BC107" s="47" t="n">
        <f aca="false">ROUND(MIN(AW107*Assumptions!$B$11,BB107),2)</f>
        <v>2.14</v>
      </c>
      <c r="BD107" s="26" t="s">
        <v>278</v>
      </c>
      <c r="BE107" s="48" t="n">
        <f aca="false">IF(AO107="Ranking — Full Push",MAX(0,MIN(IF(BD107="Yes",Assumptions!$B$12,Assumptions!$B$13),FLOOR(MAX(0,BB107/BC107-1),Assumptions!$B$14))),0)</f>
        <v>0</v>
      </c>
      <c r="BF107" s="49" t="str">
        <f aca="false">IF(AO107="Ranking — Full Push",IF(BE107&gt;=1,"YES — +100% Top of Search. Effective CPC $"&amp;TEXT(BG107,"0.00")&amp;" (= $"&amp;TEXT(BC107,"0.00")&amp;" × 2) stays within the $"&amp;TEXT(BB107,"0.00")&amp;" max ranking CPC"&amp;" (= $"&amp;TEXT(AY107,"0.00")&amp;" price × "&amp;TEXT(AZ107,"0.0%")&amp;" ranking ceiling × "&amp;TEXT(AD107,"0.0%")&amp;" CVR)"&amp;". Sleephoria CVR is proven on this term, so the full push is justified.",IF(AND(BD107="No",BE107&gt;=Assumptions!$B$13),"PARTIAL — +"&amp;TEXT(BE107,"0%")&amp;" Top of Search (limit for terms without proven CVR). Effective CPC $"&amp;TEXT(BG107,"0.00")&amp;" vs $"&amp;TEXT(BB107,"0.00")&amp;" max ranking CPC"&amp;" (= $"&amp;TEXT(AY107,"0.00")&amp;" price × "&amp;TEXT(AZ107,"0.0%")&amp;" ranking ceiling × "&amp;TEXT(AD107,"0.0%")&amp;" CVR)"&amp;". Raise to +100% only after CooLinens converts at ≥ "&amp;TEXT(AD107,"0.0%")&amp;" on 50+ clicks and $"&amp;TEXT(BC107*2,"0.00")&amp;" ≤ the max.",IF(BE107&gt;0,"PARTIAL — +"&amp;TEXT(BE107,"0%")&amp;" Top of Search. Effective CPC $"&amp;TEXT(BG107,"0.00")&amp;" stays within the $"&amp;TEXT(BB107,"0.00")&amp;" max ranking CPC"&amp;" (= $"&amp;TEXT(AY107,"0.00")&amp;" price × "&amp;TEXT(AZ107,"0.0%")&amp;" ranking ceiling × "&amp;TEXT(AD107,"0.0%")&amp;" CVR)"&amp;". +100% would cost $"&amp;TEXT(BC107*2,"0.00")&amp;" per click and push ACoS to "&amp;TEXT(BC107*2/(AY107*AD107),"0.0%")&amp;", above the "&amp;TEXT(AZ107,"0.0%")&amp;" ceiling.","NO — 0%. Base bid $"&amp;TEXT(BC107,"0.00")&amp;" already equals the $"&amp;TEXT(BB107,"0.00")&amp;" max ranking CPC"&amp;" (= $"&amp;TEXT(AY107,"0.00")&amp;" price × "&amp;TEXT(AZ107,"0.0%")&amp;" ranking ceiling × "&amp;TEXT(AD107,"0.0%")&amp;" CVR)"&amp;"; any modifier would push ACoS above the "&amp;TEXT(AZ107,"0.0%")&amp;" ceiling."))),IF(OR(AO107="Ranking — Head Term (Capped)",AO107="Ranking — Capped Entry",AO107="Ranking — Capped Long-Tail"),"NO — 0% (capped ranking entry). Bid $"&amp;TEXT(BC107,"0.00")&amp;" vs $"&amp;TEXT(BB107,"0.00")&amp;" max ranking CPC"&amp;" (= $"&amp;TEXT(AY107,"0.00")&amp;" price × "&amp;TEXT(AZ107,"0.0%")&amp;" ranking ceiling × "&amp;TEXT(AD107,"0.0%")&amp;" CVR)"&amp;". While spend is capped at "&amp;TEXT(AS107,"0.00")&amp;" clicks/day, a placement premium would only raise CPC without buying more rank; the modifier is set when this term moves to a full push.","NO — 0% (support / brand term). Bid $"&amp;TEXT(BC107,"0.00")&amp;" vs $"&amp;TEXT(BB107,"0.00")&amp;" max ranking CPC"&amp;" (= $"&amp;TEXT(AY107,"0.00")&amp;" price × "&amp;TEXT(AZ107,"0.0%")&amp;" ranking ceiling × "&amp;TEXT(AD107,"0.0%")&amp;" CVR)"&amp;"; expected ACoS "&amp;TEXT(BI107,"0.0%")&amp;" vs the "&amp;TEXT(AZ107,"0.0%")&amp;" ceiling."))</f>
        <v>NO — 0% (capped ranking entry). Bid $2.14 vs $2.86 max ranking CPC (= $79.99 price × 55.9% ranking ceiling × 6.4% CVR). While spend is capped at 1.00 clicks/day, a placement premium would only raise CPC without buying more rank; the modifier is set when this term moves to a full push.</v>
      </c>
      <c r="BG107" s="50" t="n">
        <f aca="false">BC107*(1+BE107)</f>
        <v>2.14</v>
      </c>
      <c r="BH107" s="45" t="n">
        <f aca="false">AS107*BG107</f>
        <v>2.14</v>
      </c>
      <c r="BI107" s="33" t="n">
        <f aca="false">IFERROR(BG107/(AY107*AD107),"")</f>
        <v>0.418021002625328</v>
      </c>
      <c r="BJ107" s="27" t="str">
        <f aca="false">IF(BI107="","",IF(BI107&lt;=BA107,"Profitable (≤ break-even)",IF(BI107&lt;=AZ107,"Ranking investment (≤ ceiling)","Above ceiling — reduce bid")))</f>
        <v>Ranking investment (≤ ceiling)</v>
      </c>
      <c r="BK107" s="49" t="str">
        <f aca="false">"Base $"&amp;TEXT(BC107,"0.00")&amp;" × (1 + "&amp;TEXT(BE107,"0%")&amp;" TOS) = $"&amp;TEXT(BG107,"0.00")&amp;" effective CPC [max $"&amp;TEXT(BB107,"0.00")&amp;"]. "&amp;TEXT(AG107,"0.0")&amp;" market clicks/day × "&amp;TEXT(AH107,"0.00%")&amp;" click share × "&amp;TEXT(AI107,"0%")&amp;" paid = "&amp;TEXT(AJ107,"0.00")&amp;" clicks/day needed; "&amp;"planned "&amp;TEXT(AS107,"0.00")&amp;" clicks/day × "&amp;TEXT(AD107,"0.0%")&amp;" CVR = "&amp;TEXT(AU107,"0.00")&amp;" orders/day. "&amp;"Spend $"&amp;TEXT(BH107,"0.00")&amp;"/day, ACoS "&amp;TEXT(BI107,"0.0%")&amp;" (ceiling "&amp;TEXT(AZ107,"0.0%")&amp;", break-even "&amp;TEXT(BA107,"0.0%")&amp;"). "&amp;"Target organic rank #"&amp;S107&amp;" by week 8 ("&amp;T107&amp;")."</f>
        <v>Base $2.14 × (1 + 0% TOS) = $2.14 effective CPC [max $2.86]. 15.5 market clicks/day × 1.24% click share × 66% paid = 0.13 clicks/day needed; planned 1.00 clicks/day × 6.4% CVR = 0.06 orders/day. Spend $2.14/day, ACoS 41.8% (ceiling 55.9%, break-even 37.2%). Target organic rank #20 by week 8 (#60 → #35 → #20).</v>
      </c>
      <c r="BL107" s="27" t="s">
        <v>398</v>
      </c>
      <c r="BM107" s="27" t="s">
        <v>203</v>
      </c>
      <c r="BN107" s="27" t="s">
        <v>1465</v>
      </c>
      <c r="BO107" s="27" t="s">
        <v>1462</v>
      </c>
      <c r="BP107" s="27" t="s">
        <v>205</v>
      </c>
      <c r="BQ107" s="26" t="s">
        <v>206</v>
      </c>
      <c r="BR107" s="40" t="n">
        <f aca="false">IFERROR(INDEX(Campaigns!$L:$L,MATCH(BN107,Campaigns!$A:$A,0)),"")</f>
        <v>10</v>
      </c>
      <c r="BS107" s="51" t="str">
        <f aca="false">IFERROR(INDEX(Inventory!$O:$O,MATCH(BP107,Inventory!$A:$A,0)),"")</f>
        <v>OK</v>
      </c>
      <c r="BT107" s="52" t="n">
        <f aca="false">IFERROR(INDEX(Inventory!$N:$N,MATCH(BP107,Inventory!$A:$A,0)),"")</f>
        <v>91.5322601167724</v>
      </c>
      <c r="BU107" s="27" t="s">
        <v>1466</v>
      </c>
      <c r="BV107" s="27" t="s">
        <v>1467</v>
      </c>
      <c r="BW107" s="27" t="s">
        <v>1468</v>
      </c>
      <c r="BX107" s="27" t="s">
        <v>1469</v>
      </c>
      <c r="BY107" s="27" t="s">
        <v>1470</v>
      </c>
      <c r="BZ107" s="27" t="s">
        <v>1009</v>
      </c>
      <c r="CA107" s="27" t="s">
        <v>1422</v>
      </c>
      <c r="CB107" s="27" t="s">
        <v>1423</v>
      </c>
      <c r="CC107" s="27" t="s">
        <v>390</v>
      </c>
    </row>
    <row r="108" customFormat="false" ht="120" hidden="false" customHeight="true" outlineLevel="0" collapsed="false">
      <c r="A108" s="55" t="s">
        <v>1471</v>
      </c>
      <c r="B108" s="56" t="n">
        <v>3</v>
      </c>
      <c r="C108" s="26" t="s">
        <v>1409</v>
      </c>
      <c r="D108" s="26" t="s">
        <v>560</v>
      </c>
      <c r="E108" s="27" t="s">
        <v>1410</v>
      </c>
      <c r="F108" s="28" t="n">
        <v>1</v>
      </c>
      <c r="G108" s="27" t="s">
        <v>187</v>
      </c>
      <c r="H108" s="26" t="s">
        <v>1411</v>
      </c>
      <c r="I108" s="29" t="n">
        <v>3.5</v>
      </c>
      <c r="J108" s="27" t="s">
        <v>1472</v>
      </c>
      <c r="K108" s="30" t="n">
        <v>466</v>
      </c>
      <c r="L108" s="31" t="n">
        <v>2265</v>
      </c>
      <c r="M108" s="32" t="n">
        <f aca="false">L108/30</f>
        <v>75.5</v>
      </c>
      <c r="N108" s="33" t="n">
        <v>0.0307789941297794</v>
      </c>
      <c r="O108" s="27" t="s">
        <v>769</v>
      </c>
      <c r="P108" s="27" t="s">
        <v>1473</v>
      </c>
      <c r="Q108" s="27" t="s">
        <v>722</v>
      </c>
      <c r="R108" s="34" t="n">
        <v>0</v>
      </c>
      <c r="S108" s="35" t="n">
        <v>20</v>
      </c>
      <c r="T108" s="36" t="s">
        <v>467</v>
      </c>
      <c r="U108" s="27" t="s">
        <v>784</v>
      </c>
      <c r="V108" s="37" t="n">
        <f aca="false">IFERROR(INDEX(Sleephoria_History!$F$454:$F$2115,MATCH($A108,Sleephoria_History!$A$454:$A$2115,0)),"")</f>
        <v>3</v>
      </c>
      <c r="W108" s="38" t="n">
        <f aca="false">IFERROR(INDEX(Sleephoria_History!$J$454:$J$2115,MATCH($A108,Sleephoria_History!$A$454:$A$2115,0)),"")</f>
        <v>0.6667</v>
      </c>
      <c r="X108" s="39" t="n">
        <f aca="false">IFERROR(INDEX(Sleephoria_History!$H$454:$H$2115,MATCH($A108,Sleephoria_History!$A$454:$A$2115,0)),"")</f>
        <v>3.17</v>
      </c>
      <c r="Y108" s="38" t="n">
        <f aca="false">IFERROR(INDEX(Sleephoria_History!$M$454:$M$2115,MATCH($A108,Sleephoria_History!$A$454:$A$2115,0)),"")</f>
        <v>0.059</v>
      </c>
      <c r="Z108" s="40" t="n">
        <f aca="false">IFERROR(INDEX(Sleephoria_History!$L$454:$L$2115,MATCH($A108,Sleephoria_History!$A$454:$A$2115,0)),"")</f>
        <v>160.98</v>
      </c>
      <c r="AA108" s="37" t="str">
        <f aca="false">IFERROR(INDEX(Decolure_History!$F$397:$F$709,MATCH($A108,Decolure_History!$A$397:$A$709,0)),"")</f>
        <v/>
      </c>
      <c r="AB108" s="38" t="str">
        <f aca="false">IFERROR(INDEX(Decolure_History!$J$397:$J$709,MATCH($A108,Decolure_History!$A$397:$A$709,0)),"")</f>
        <v/>
      </c>
      <c r="AC108" s="38" t="str">
        <f aca="false">IFERROR(INDEX(Decolure_History!$M$397:$M$709,MATCH($A108,Decolure_History!$A$397:$A$709,0)),"")</f>
        <v/>
      </c>
      <c r="AD108" s="41" t="n">
        <v>0.064</v>
      </c>
      <c r="AE108" s="27" t="s">
        <v>275</v>
      </c>
      <c r="AF108" s="42" t="n">
        <v>0.472</v>
      </c>
      <c r="AG108" s="32" t="n">
        <f aca="false">M108*AF108</f>
        <v>35.636</v>
      </c>
      <c r="AH108" s="43" t="n">
        <f aca="false">IF(AO108="Brand Defense",0,IFERROR(VLOOKUP(S108,Assumptions!$A$24:$B$28,2,FALSE()),0))</f>
        <v>0.0124</v>
      </c>
      <c r="AI108" s="28" t="n">
        <f aca="false">Assumptions!$B$6</f>
        <v>0.66</v>
      </c>
      <c r="AJ108" s="44" t="n">
        <f aca="false">AG108*AH108*AI108</f>
        <v>0.291645024</v>
      </c>
      <c r="AK108" s="44" t="n">
        <f aca="false">AJ108*AD108</f>
        <v>0.018665281536</v>
      </c>
      <c r="AL108" s="30" t="n">
        <f aca="false">AJ108*56</f>
        <v>16.332121344</v>
      </c>
      <c r="AM108" s="32" t="n">
        <f aca="false">AK108*56</f>
        <v>1.045255766016</v>
      </c>
      <c r="AN108" s="44" t="n">
        <f aca="false">M108*Assumptions!$B$8</f>
        <v>7.55</v>
      </c>
      <c r="AO108" s="27" t="s">
        <v>430</v>
      </c>
      <c r="AP108" s="27" t="s">
        <v>565</v>
      </c>
      <c r="AQ108" s="26" t="s">
        <v>198</v>
      </c>
      <c r="AR108" s="27" t="s">
        <v>199</v>
      </c>
      <c r="AS108" s="44" t="n">
        <f aca="false">IF(AO108="Ranking — Full Push",MIN(MAX(AJ108,Assumptions!$B$9),AN108),IF(AO108="Brand Defense",MIN(Assumptions!$B$7,AN108),IF(OR(AO108="Ranking — Head Term (Capped)",AO108="Ranking — Capped Entry"),MIN(MAX(AJ108,Assumptions!$B$9),Assumptions!$B$7,AN108),IF(AO108="Ranking — Capped Long-Tail",MIN(AJ108,Assumptions!$B$10,AN108),MIN(AJ108,AN108)))))</f>
        <v>1</v>
      </c>
      <c r="AT108" s="27" t="str">
        <f aca="false">IF(AJ108&lt;=0,"",IF(AS108&gt;=AJ108,IF(AS108&gt;AJ108*1.05,"Floor of "&amp;TEXT(AS108,"0.0")&amp;" click/day to read CVR (rank needs "&amp;TEXT(AJ108,"0.00")&amp;")","Fully funded (100%)"),"Capped at "&amp;TEXT(AS108/AJ108,"0%")&amp;" of required"))</f>
        <v>Floor of 1.0 click/day to read CVR (rank needs 0.29)</v>
      </c>
      <c r="AU108" s="44" t="n">
        <f aca="false">AS108*AD108</f>
        <v>0.064</v>
      </c>
      <c r="AV108" s="45" t="n">
        <f aca="false">AU108*AY108</f>
        <v>5.43936</v>
      </c>
      <c r="AW108" s="46" t="n">
        <v>3.68</v>
      </c>
      <c r="AX108" s="27" t="s">
        <v>687</v>
      </c>
      <c r="AY108" s="47" t="n">
        <f aca="false">INDEX(Assumptions!$B$33:$B$37,MATCH(IF($D108="","Queen",$D108),Assumptions!$A$33:$A$37,0))</f>
        <v>84.99</v>
      </c>
      <c r="AZ108" s="33" t="n">
        <f aca="false">INDEX(Assumptions!$K$33:$K$37,MATCH(IF($D108="","Queen",$D108),Assumptions!$A$33:$A$37,0))</f>
        <v>0.525970702435581</v>
      </c>
      <c r="BA108" s="33" t="n">
        <f aca="false">INDEX(Assumptions!$H$33:$H$37,MATCH(IF($D108="","Queen",$D108),Assumptions!$A$33:$A$37,0))</f>
        <v>0.350647134957054</v>
      </c>
      <c r="BB108" s="47" t="n">
        <f aca="false">AY108*AZ108*AD108</f>
        <v>2.860944</v>
      </c>
      <c r="BC108" s="47" t="n">
        <f aca="false">ROUND(MIN(AW108*Assumptions!$B$11,BB108),2)</f>
        <v>2.86</v>
      </c>
      <c r="BD108" s="26" t="s">
        <v>278</v>
      </c>
      <c r="BE108" s="48" t="n">
        <f aca="false">IF(AO108="Ranking — Full Push",MAX(0,MIN(IF(BD108="Yes",Assumptions!$B$12,Assumptions!$B$13),FLOOR(MAX(0,BB108/BC108-1),Assumptions!$B$14))),0)</f>
        <v>0</v>
      </c>
      <c r="BF108" s="49" t="str">
        <f aca="false">IF(AO108="Ranking — Full Push",IF(BE108&gt;=1,"YES — +100% Top of Search. Effective CPC $"&amp;TEXT(BG108,"0.00")&amp;" (= $"&amp;TEXT(BC108,"0.00")&amp;" × 2) stays within the $"&amp;TEXT(BB108,"0.00")&amp;" max ranking CPC"&amp;" (= $"&amp;TEXT(AY108,"0.00")&amp;" price × "&amp;TEXT(AZ108,"0.0%")&amp;" ranking ceiling × "&amp;TEXT(AD108,"0.0%")&amp;" CVR)"&amp;". Sleephoria CVR is proven on this term, so the full push is justified.",IF(AND(BD108="No",BE108&gt;=Assumptions!$B$13),"PARTIAL — +"&amp;TEXT(BE108,"0%")&amp;" Top of Search (limit for terms without proven CVR). Effective CPC $"&amp;TEXT(BG108,"0.00")&amp;" vs $"&amp;TEXT(BB108,"0.00")&amp;" max ranking CPC"&amp;" (= $"&amp;TEXT(AY108,"0.00")&amp;" price × "&amp;TEXT(AZ108,"0.0%")&amp;" ranking ceiling × "&amp;TEXT(AD108,"0.0%")&amp;" CVR)"&amp;". Raise to +100% only after CooLinens converts at ≥ "&amp;TEXT(AD108,"0.0%")&amp;" on 50+ clicks and $"&amp;TEXT(BC108*2,"0.00")&amp;" ≤ the max.",IF(BE108&gt;0,"PARTIAL — +"&amp;TEXT(BE108,"0%")&amp;" Top of Search. Effective CPC $"&amp;TEXT(BG108,"0.00")&amp;" stays within the $"&amp;TEXT(BB108,"0.00")&amp;" max ranking CPC"&amp;" (= $"&amp;TEXT(AY108,"0.00")&amp;" price × "&amp;TEXT(AZ108,"0.0%")&amp;" ranking ceiling × "&amp;TEXT(AD108,"0.0%")&amp;" CVR)"&amp;". +100% would cost $"&amp;TEXT(BC108*2,"0.00")&amp;" per click and push ACoS to "&amp;TEXT(BC108*2/(AY108*AD108),"0.0%")&amp;", above the "&amp;TEXT(AZ108,"0.0%")&amp;" ceiling.","NO — 0%. Base bid $"&amp;TEXT(BC108,"0.00")&amp;" already equals the $"&amp;TEXT(BB108,"0.00")&amp;" max ranking CPC"&amp;" (= $"&amp;TEXT(AY108,"0.00")&amp;" price × "&amp;TEXT(AZ108,"0.0%")&amp;" ranking ceiling × "&amp;TEXT(AD108,"0.0%")&amp;" CVR)"&amp;"; any modifier would push ACoS above the "&amp;TEXT(AZ108,"0.0%")&amp;" ceiling."))),IF(OR(AO108="Ranking — Head Term (Capped)",AO108="Ranking — Capped Entry",AO108="Ranking — Capped Long-Tail"),"NO — 0% (capped ranking entry). Bid $"&amp;TEXT(BC108,"0.00")&amp;" vs $"&amp;TEXT(BB108,"0.00")&amp;" max ranking CPC"&amp;" (= $"&amp;TEXT(AY108,"0.00")&amp;" price × "&amp;TEXT(AZ108,"0.0%")&amp;" ranking ceiling × "&amp;TEXT(AD108,"0.0%")&amp;" CVR)"&amp;". While spend is capped at "&amp;TEXT(AS108,"0.00")&amp;" clicks/day, a placement premium would only raise CPC without buying more rank; the modifier is set when this term moves to a full push.","NO — 0% (support / brand term). Bid $"&amp;TEXT(BC108,"0.00")&amp;" vs $"&amp;TEXT(BB108,"0.00")&amp;" max ranking CPC"&amp;" (= $"&amp;TEXT(AY108,"0.00")&amp;" price × "&amp;TEXT(AZ108,"0.0%")&amp;" ranking ceiling × "&amp;TEXT(AD108,"0.0%")&amp;" CVR)"&amp;"; expected ACoS "&amp;TEXT(BI108,"0.0%")&amp;" vs the "&amp;TEXT(AZ108,"0.0%")&amp;" ceiling."))</f>
        <v>NO — 0% (capped ranking entry). Bid $2.86 vs $2.86 max ranking CPC (= $84.99 price × 52.6% ranking ceiling × 6.4% CVR). While spend is capped at 1.00 clicks/day, a placement premium would only raise CPC without buying more rank; the modifier is set when this term moves to a full push.</v>
      </c>
      <c r="BG108" s="50" t="n">
        <f aca="false">BC108*(1+BE108)</f>
        <v>2.86</v>
      </c>
      <c r="BH108" s="45" t="n">
        <f aca="false">AS108*BG108</f>
        <v>2.86</v>
      </c>
      <c r="BI108" s="33" t="n">
        <f aca="false">IFERROR(BG108/(AY108*AD108),"")</f>
        <v>0.525797152606189</v>
      </c>
      <c r="BJ108" s="27" t="str">
        <f aca="false">IF(BI108="","",IF(BI108&lt;=BA108,"Profitable (≤ break-even)",IF(BI108&lt;=AZ108,"Ranking investment (≤ ceiling)","Above ceiling — reduce bid")))</f>
        <v>Ranking investment (≤ ceiling)</v>
      </c>
      <c r="BK108" s="49" t="str">
        <f aca="false">"Base $"&amp;TEXT(BC108,"0.00")&amp;" × (1 + "&amp;TEXT(BE108,"0%")&amp;" TOS) = $"&amp;TEXT(BG108,"0.00")&amp;" effective CPC [max $"&amp;TEXT(BB108,"0.00")&amp;"]. "&amp;TEXT(AG108,"0.0")&amp;" market clicks/day × "&amp;TEXT(AH108,"0.00%")&amp;" click share × "&amp;TEXT(AI108,"0%")&amp;" paid = "&amp;TEXT(AJ108,"0.00")&amp;" clicks/day needed; "&amp;"planned "&amp;TEXT(AS108,"0.00")&amp;" clicks/day × "&amp;TEXT(AD108,"0.0%")&amp;" CVR = "&amp;TEXT(AU108,"0.00")&amp;" orders/day. "&amp;"Spend $"&amp;TEXT(BH108,"0.00")&amp;"/day, ACoS "&amp;TEXT(BI108,"0.0%")&amp;" (ceiling "&amp;TEXT(AZ108,"0.0%")&amp;", break-even "&amp;TEXT(BA108,"0.0%")&amp;"). "&amp;"Target organic rank #"&amp;S108&amp;" by week 8 ("&amp;T108&amp;")."</f>
        <v>Base $2.86 × (1 + 0% TOS) = $2.86 effective CPC [max $2.86]. 35.6 market clicks/day × 1.24% click share × 66% paid = 0.29 clicks/day needed; planned 1.00 clicks/day × 6.4% CVR = 0.06 orders/day. Spend $2.86/day, ACoS 52.6% (ceiling 52.6%, break-even 35.1%). Target organic rank #20 by week 8 (#60 → #35 → #20 (full push after size assignment)).</v>
      </c>
      <c r="BL108" s="27" t="s">
        <v>617</v>
      </c>
      <c r="BM108" s="27" t="s">
        <v>203</v>
      </c>
      <c r="BN108" s="27" t="s">
        <v>1474</v>
      </c>
      <c r="BO108" s="27" t="s">
        <v>1471</v>
      </c>
      <c r="BP108" s="27" t="s">
        <v>569</v>
      </c>
      <c r="BQ108" s="26" t="s">
        <v>570</v>
      </c>
      <c r="BR108" s="40" t="n">
        <f aca="false">IFERROR(INDEX(Campaigns!$L:$L,MATCH(BN108,Campaigns!$A:$A,0)),"")</f>
        <v>10</v>
      </c>
      <c r="BS108" s="51" t="str">
        <f aca="false">IFERROR(INDEX(Inventory!$O:$O,MATCH(BP108,Inventory!$A:$A,0)),"")</f>
        <v>OK</v>
      </c>
      <c r="BT108" s="52" t="n">
        <f aca="false">IFERROR(INDEX(Inventory!$N:$N,MATCH(BP108,Inventory!$A:$A,0)),"")</f>
        <v>63.0533861060951</v>
      </c>
      <c r="BU108" s="27" t="s">
        <v>1475</v>
      </c>
      <c r="BV108" s="27" t="s">
        <v>263</v>
      </c>
      <c r="BW108" s="27" t="s">
        <v>1476</v>
      </c>
      <c r="BX108" s="27" t="s">
        <v>1477</v>
      </c>
      <c r="BY108" s="27" t="s">
        <v>793</v>
      </c>
      <c r="BZ108" s="27" t="s">
        <v>794</v>
      </c>
      <c r="CA108" s="27" t="s">
        <v>1422</v>
      </c>
      <c r="CB108" s="27" t="s">
        <v>1423</v>
      </c>
      <c r="CC108" s="27" t="s">
        <v>477</v>
      </c>
    </row>
    <row r="110" customFormat="false" ht="15" hidden="false" customHeight="false" outlineLevel="0" collapsed="false">
      <c r="A110" s="3" t="s">
        <v>1478</v>
      </c>
      <c r="AS110" s="57" t="n">
        <f aca="false">SUBTOTAL(9,AS7:AS108)</f>
        <v>74.4223314807238</v>
      </c>
      <c r="AU110" s="57" t="n">
        <f aca="false">SUBTOTAL(9,AU7:AU108)</f>
        <v>5.85976563818177</v>
      </c>
      <c r="AV110" s="58" t="n">
        <f aca="false">SUBTOTAL(9,AV7:AV108)</f>
        <v>465.432183029263</v>
      </c>
      <c r="BH110" s="58" t="n">
        <f aca="false">SUBTOTAL(9,BH7:BH108)</f>
        <v>206.158707370044</v>
      </c>
      <c r="BI110" s="59" t="n">
        <f aca="false">IFERROR(BH110/AV110,"")</f>
        <v>0.442940378613831</v>
      </c>
    </row>
  </sheetData>
  <autoFilter ref="A6:CC108"/>
  <mergeCells count="10">
    <mergeCell ref="A4:E4"/>
    <mergeCell ref="F4:J4"/>
    <mergeCell ref="K4:N4"/>
    <mergeCell ref="O4:T4"/>
    <mergeCell ref="V4:AC4"/>
    <mergeCell ref="AD4:AV4"/>
    <mergeCell ref="AW4:BK4"/>
    <mergeCell ref="BL4:BQ4"/>
    <mergeCell ref="BR4:BT4"/>
    <mergeCell ref="BU4:C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7.35" hidden="false" customHeight="false" outlineLevel="0" collapsed="false">
      <c r="A1" s="1" t="s">
        <v>1479</v>
      </c>
    </row>
    <row r="2" customFormat="false" ht="15" hidden="false" customHeight="false" outlineLevel="0" collapsed="false">
      <c r="A2" s="2" t="s">
        <v>1480</v>
      </c>
    </row>
    <row r="4" customFormat="false" ht="15" hidden="false" customHeight="false" outlineLevel="0" collapsed="false">
      <c r="A4" s="60" t="s">
        <v>105</v>
      </c>
      <c r="B4" s="60" t="s">
        <v>106</v>
      </c>
      <c r="C4" s="60" t="s">
        <v>1481</v>
      </c>
      <c r="D4" s="60" t="s">
        <v>6</v>
      </c>
      <c r="E4" s="60" t="s">
        <v>147</v>
      </c>
      <c r="F4" s="60" t="s">
        <v>149</v>
      </c>
      <c r="G4" s="60" t="s">
        <v>150</v>
      </c>
      <c r="H4" s="60" t="s">
        <v>162</v>
      </c>
      <c r="I4" s="60" t="s">
        <v>1482</v>
      </c>
      <c r="J4" s="60" t="s">
        <v>163</v>
      </c>
      <c r="K4" s="60" t="s">
        <v>24</v>
      </c>
    </row>
    <row r="5" customFormat="false" ht="15" hidden="false" customHeight="false" outlineLevel="0" collapsed="false">
      <c r="A5" s="61" t="n">
        <v>1</v>
      </c>
      <c r="B5" s="62" t="s">
        <v>184</v>
      </c>
      <c r="C5" s="62" t="n">
        <f aca="false">COUNTIF(Main_Strategy!$B$7:$B$108,A5)</f>
        <v>53</v>
      </c>
      <c r="D5" s="62" t="n">
        <f aca="false">COUNTIF(Campaigns!$B$5:$B$91,A5)</f>
        <v>38</v>
      </c>
      <c r="E5" s="63" t="n">
        <f aca="false">SUMIF(Main_Strategy!$B$7:$B$108,A5,Main_Strategy!$AS$7:$AS$108)</f>
        <v>46.6182912044571</v>
      </c>
      <c r="F5" s="64" t="n">
        <f aca="false">SUMIF(Main_Strategy!$B$7:$B$108,A5,Main_Strategy!$AU$7:$AU$108)</f>
        <v>4.02003968765803</v>
      </c>
      <c r="G5" s="65" t="n">
        <f aca="false">SUMIF(Main_Strategy!$B$7:$B$108,A5,Main_Strategy!$AV$7:$AV$108)</f>
        <v>318.68120424687</v>
      </c>
      <c r="H5" s="65" t="n">
        <f aca="false">SUMIF(Main_Strategy!$B$7:$B$108,A5,Main_Strategy!$BH$7:$BH$108)</f>
        <v>137.844207169809</v>
      </c>
      <c r="I5" s="65" t="n">
        <f aca="false">SUMIF(Campaigns!$B$5:$B$91,A5,Campaigns!$L$5:$L$91)</f>
        <v>404</v>
      </c>
      <c r="J5" s="66" t="n">
        <f aca="false">IFERROR(H5/G5,"")</f>
        <v>0.432545770923555</v>
      </c>
      <c r="K5" s="66" t="n">
        <f aca="false">IFERROR(F5/E5,"")</f>
        <v>0.0862330982924076</v>
      </c>
    </row>
    <row r="6" customFormat="false" ht="15" hidden="false" customHeight="false" outlineLevel="0" collapsed="false">
      <c r="A6" s="67" t="n">
        <v>2</v>
      </c>
      <c r="B6" s="68" t="s">
        <v>928</v>
      </c>
      <c r="C6" s="68" t="n">
        <f aca="false">COUNTIF(Main_Strategy!$B$7:$B$108,A6)</f>
        <v>42</v>
      </c>
      <c r="D6" s="68" t="n">
        <f aca="false">COUNTIF(Campaigns!$B$5:$B$91,A6)</f>
        <v>42</v>
      </c>
      <c r="E6" s="69" t="n">
        <f aca="false">SUMIF(Main_Strategy!$B$7:$B$108,A6,Main_Strategy!$AS$7:$AS$108)</f>
        <v>25.4432617306667</v>
      </c>
      <c r="F6" s="70" t="n">
        <f aca="false">SUMIF(Main_Strategy!$B$7:$B$108,A6,Main_Strategy!$AU$7:$AU$108)</f>
        <v>1.68916032735573</v>
      </c>
      <c r="G6" s="71" t="n">
        <f aca="false">SUMIF(Main_Strategy!$B$7:$B$108,A6,Main_Strategy!$AV$7:$AV$108)</f>
        <v>134.387234585185</v>
      </c>
      <c r="H6" s="71" t="n">
        <f aca="false">SUMIF(Main_Strategy!$B$7:$B$108,A6,Main_Strategy!$BH$7:$BH$108)</f>
        <v>62.5402583471467</v>
      </c>
      <c r="I6" s="71" t="n">
        <f aca="false">SUMIF(Campaigns!$B$5:$B$91,A6,Campaigns!$L$5:$L$91)</f>
        <v>420</v>
      </c>
      <c r="J6" s="72" t="n">
        <f aca="false">IFERROR(H6/G6,"")</f>
        <v>0.465373504709659</v>
      </c>
      <c r="K6" s="72" t="n">
        <f aca="false">IFERROR(F6/E6,"")</f>
        <v>0.0663892996596342</v>
      </c>
    </row>
    <row r="7" customFormat="false" ht="15" hidden="false" customHeight="false" outlineLevel="0" collapsed="false">
      <c r="A7" s="73" t="n">
        <v>3</v>
      </c>
      <c r="B7" s="74" t="s">
        <v>1409</v>
      </c>
      <c r="C7" s="74" t="n">
        <f aca="false">COUNTIF(Main_Strategy!$B$7:$B$108,A7)</f>
        <v>7</v>
      </c>
      <c r="D7" s="74" t="n">
        <f aca="false">COUNTIF(Campaigns!$B$5:$B$91,A7)</f>
        <v>7</v>
      </c>
      <c r="E7" s="75" t="n">
        <f aca="false">SUMIF(Main_Strategy!$B$7:$B$108,A7,Main_Strategy!$AS$7:$AS$108)</f>
        <v>2.3607785456</v>
      </c>
      <c r="F7" s="76" t="n">
        <f aca="false">SUMIF(Main_Strategy!$B$7:$B$108,A7,Main_Strategy!$AU$7:$AU$108)</f>
        <v>0.150565623168</v>
      </c>
      <c r="G7" s="77" t="n">
        <f aca="false">SUMIF(Main_Strategy!$B$7:$B$108,A7,Main_Strategy!$AV$7:$AV$108)</f>
        <v>12.3637441972083</v>
      </c>
      <c r="H7" s="77" t="n">
        <f aca="false">SUMIF(Main_Strategy!$B$7:$B$108,A7,Main_Strategy!$BH$7:$BH$108)</f>
        <v>5.774241853088</v>
      </c>
      <c r="I7" s="77" t="n">
        <f aca="false">SUMIF(Campaigns!$B$5:$B$91,A7,Campaigns!$L$5:$L$91)</f>
        <v>70</v>
      </c>
      <c r="J7" s="78" t="n">
        <f aca="false">IFERROR(H7/G7,"")</f>
        <v>0.467030194169805</v>
      </c>
      <c r="K7" s="78" t="n">
        <f aca="false">IFERROR(F7/E7,"")</f>
        <v>0.0637779530183477</v>
      </c>
    </row>
    <row r="8" customFormat="false" ht="15" hidden="false" customHeight="false" outlineLevel="0" collapsed="false">
      <c r="A8" s="3" t="s">
        <v>1483</v>
      </c>
      <c r="C8" s="3" t="n">
        <f aca="false">SUM(C5:C7)</f>
        <v>102</v>
      </c>
      <c r="D8" s="3" t="n">
        <f aca="false">SUM(D5:D7)</f>
        <v>87</v>
      </c>
      <c r="E8" s="79" t="n">
        <f aca="false">SUM(E5:E7)</f>
        <v>74.4223314807238</v>
      </c>
      <c r="F8" s="57" t="n">
        <f aca="false">SUM(F5:F7)</f>
        <v>5.85976563818177</v>
      </c>
      <c r="G8" s="80" t="n">
        <f aca="false">SUM(G5:G7)</f>
        <v>465.432183029263</v>
      </c>
      <c r="H8" s="80" t="n">
        <f aca="false">SUM(H5:H7)</f>
        <v>206.158707370044</v>
      </c>
      <c r="I8" s="80" t="n">
        <f aca="false">SUM(I5:I7)</f>
        <v>894</v>
      </c>
      <c r="J8" s="81" t="n">
        <f aca="false">IFERROR(H8/G8,"")</f>
        <v>0.442940378613831</v>
      </c>
    </row>
    <row r="10" customFormat="false" ht="15" hidden="false" customHeight="false" outlineLevel="0" collapsed="false">
      <c r="A10" s="82" t="s">
        <v>1484</v>
      </c>
    </row>
    <row r="11" customFormat="false" ht="15" hidden="false" customHeight="false" outlineLevel="0" collapsed="false">
      <c r="A11" s="83" t="s">
        <v>1485</v>
      </c>
      <c r="C11" s="83" t="s">
        <v>1481</v>
      </c>
      <c r="E11" s="83" t="s">
        <v>1486</v>
      </c>
      <c r="F11" s="83" t="s">
        <v>1487</v>
      </c>
      <c r="G11" s="83" t="s">
        <v>1488</v>
      </c>
      <c r="H11" s="83" t="s">
        <v>1489</v>
      </c>
      <c r="J11" s="83" t="s">
        <v>163</v>
      </c>
    </row>
    <row r="12" customFormat="false" ht="15" hidden="false" customHeight="false" outlineLevel="0" collapsed="false">
      <c r="A12" s="84" t="s">
        <v>196</v>
      </c>
      <c r="C12" s="85" t="n">
        <f aca="false">COUNTIFS(Main_Strategy!$B$7:$B$108,1,Main_Strategy!$AO$7:$AO$108,A12)</f>
        <v>7</v>
      </c>
      <c r="E12" s="86" t="n">
        <f aca="false">SUMIFS(Main_Strategy!$AS$7:$AS$108,Main_Strategy!$B$7:$B$108,1,Main_Strategy!$AO$7:$AO$108,A12)</f>
        <v>13.0675046</v>
      </c>
      <c r="F12" s="86" t="n">
        <f aca="false">SUMIFS(Main_Strategy!$AU$7:$AU$108,Main_Strategy!$B$7:$B$108,1,Main_Strategy!$AO$7:$AO$108,A12)</f>
        <v>1.1743893013256</v>
      </c>
      <c r="G12" s="87" t="n">
        <f aca="false">SUMIFS(Main_Strategy!$AV$7:$AV$108,Main_Strategy!$B$7:$B$108,1,Main_Strategy!$AO$7:$AO$108,A12)</f>
        <v>93.9394002130347</v>
      </c>
      <c r="H12" s="87" t="n">
        <f aca="false">SUMIFS(Main_Strategy!$BH$7:$BH$108,Main_Strategy!$B$7:$B$108,1,Main_Strategy!$AO$7:$AO$108,A12)</f>
        <v>48.53499297724</v>
      </c>
      <c r="J12" s="81" t="n">
        <f aca="false">IFERROR(H12/G12,"")</f>
        <v>0.516662793962628</v>
      </c>
    </row>
    <row r="13" customFormat="false" ht="15" hidden="false" customHeight="false" outlineLevel="0" collapsed="false">
      <c r="A13" s="84" t="s">
        <v>328</v>
      </c>
      <c r="C13" s="85" t="n">
        <f aca="false">COUNTIFS(Main_Strategy!$B$7:$B$108,1,Main_Strategy!$AO$7:$AO$108,A13)</f>
        <v>10</v>
      </c>
      <c r="E13" s="86" t="n">
        <f aca="false">SUMIFS(Main_Strategy!$AS$7:$AS$108,Main_Strategy!$B$7:$B$108,1,Main_Strategy!$AO$7:$AO$108,A13)</f>
        <v>1.0690822736</v>
      </c>
      <c r="F13" s="86" t="n">
        <f aca="false">SUMIFS(Main_Strategy!$AU$7:$AU$108,Main_Strategy!$B$7:$B$108,1,Main_Strategy!$AO$7:$AO$108,A13)</f>
        <v>0.0755387476976</v>
      </c>
      <c r="G13" s="87" t="n">
        <f aca="false">SUMIFS(Main_Strategy!$AV$7:$AV$108,Main_Strategy!$B$7:$B$108,1,Main_Strategy!$AO$7:$AO$108,A13)</f>
        <v>6.04234442833102</v>
      </c>
      <c r="H13" s="87" t="n">
        <f aca="false">SUMIFS(Main_Strategy!$BH$7:$BH$108,Main_Strategy!$B$7:$B$108,1,Main_Strategy!$AO$7:$AO$108,A13)</f>
        <v>2.631578208688</v>
      </c>
      <c r="J13" s="81" t="n">
        <f aca="false">IFERROR(H13/G13,"")</f>
        <v>0.435522708098068</v>
      </c>
    </row>
    <row r="14" customFormat="false" ht="15" hidden="false" customHeight="false" outlineLevel="0" collapsed="false">
      <c r="A14" s="84" t="s">
        <v>377</v>
      </c>
      <c r="C14" s="85" t="n">
        <f aca="false">COUNTIFS(Main_Strategy!$B$7:$B$108,1,Main_Strategy!$AO$7:$AO$108,A14)</f>
        <v>3</v>
      </c>
      <c r="E14" s="86" t="n">
        <f aca="false">SUMIFS(Main_Strategy!$AS$7:$AS$108,Main_Strategy!$B$7:$B$108,1,Main_Strategy!$AO$7:$AO$108,A14)</f>
        <v>6.80339032982857</v>
      </c>
      <c r="F14" s="86" t="n">
        <f aca="false">SUMIFS(Main_Strategy!$AU$7:$AU$108,Main_Strategy!$B$7:$B$108,1,Main_Strategy!$AO$7:$AO$108,A14)</f>
        <v>0.487349522383406</v>
      </c>
      <c r="G14" s="87" t="n">
        <f aca="false">SUMIFS(Main_Strategy!$AV$7:$AV$108,Main_Strategy!$B$7:$B$108,1,Main_Strategy!$AO$7:$AO$108,A14)</f>
        <v>38.9830882954486</v>
      </c>
      <c r="H14" s="87" t="n">
        <f aca="false">SUMIFS(Main_Strategy!$BH$7:$BH$108,Main_Strategy!$B$7:$B$108,1,Main_Strategy!$AO$7:$AO$108,A14)</f>
        <v>14.9968777366514</v>
      </c>
      <c r="J14" s="81" t="n">
        <f aca="false">IFERROR(H14/G14,"")</f>
        <v>0.384702146299742</v>
      </c>
    </row>
    <row r="15" customFormat="false" ht="15" hidden="false" customHeight="false" outlineLevel="0" collapsed="false">
      <c r="A15" s="84" t="s">
        <v>430</v>
      </c>
      <c r="C15" s="85" t="n">
        <f aca="false">COUNTIFS(Main_Strategy!$B$7:$B$108,1,Main_Strategy!$AO$7:$AO$108,A15)</f>
        <v>20</v>
      </c>
      <c r="E15" s="86" t="n">
        <f aca="false">SUMIFS(Main_Strategy!$AS$7:$AS$108,Main_Strategy!$B$7:$B$108,1,Main_Strategy!$AO$7:$AO$108,A15)</f>
        <v>25.2603224754286</v>
      </c>
      <c r="F15" s="86" t="n">
        <f aca="false">SUMIFS(Main_Strategy!$AU$7:$AU$108,Main_Strategy!$B$7:$B$108,1,Main_Strategy!$AO$7:$AO$108,A15)</f>
        <v>2.25520694398263</v>
      </c>
      <c r="G15" s="87" t="n">
        <f aca="false">SUMIFS(Main_Strategy!$AV$7:$AV$108,Main_Strategy!$B$7:$B$108,1,Main_Strategy!$AO$7:$AO$108,A15)</f>
        <v>177.653566052837</v>
      </c>
      <c r="H15" s="87" t="n">
        <f aca="false">SUMIFS(Main_Strategy!$BH$7:$BH$108,Main_Strategy!$B$7:$B$108,1,Main_Strategy!$AO$7:$AO$108,A15)</f>
        <v>70.6651031198857</v>
      </c>
      <c r="J15" s="81" t="n">
        <f aca="false">IFERROR(H15/G15,"")</f>
        <v>0.397769122736713</v>
      </c>
    </row>
    <row r="16" customFormat="false" ht="15" hidden="false" customHeight="false" outlineLevel="0" collapsed="false">
      <c r="A16" s="84" t="s">
        <v>825</v>
      </c>
      <c r="C16" s="85" t="n">
        <f aca="false">COUNTIFS(Main_Strategy!$B$7:$B$108,1,Main_Strategy!$AO$7:$AO$108,A16)</f>
        <v>13</v>
      </c>
      <c r="E16" s="86" t="n">
        <f aca="false">SUMIFS(Main_Strategy!$AS$7:$AS$108,Main_Strategy!$B$7:$B$108,1,Main_Strategy!$AO$7:$AO$108,A16)</f>
        <v>0.4179915256</v>
      </c>
      <c r="F16" s="86" t="n">
        <f aca="false">SUMIFS(Main_Strategy!$AU$7:$AU$108,Main_Strategy!$B$7:$B$108,1,Main_Strategy!$AO$7:$AO$108,A16)</f>
        <v>0.0275551722688</v>
      </c>
      <c r="G16" s="87" t="n">
        <f aca="false">SUMIFS(Main_Strategy!$AV$7:$AV$108,Main_Strategy!$B$7:$B$108,1,Main_Strategy!$AO$7:$AO$108,A16)</f>
        <v>2.06280525721811</v>
      </c>
      <c r="H16" s="87" t="n">
        <f aca="false">SUMIFS(Main_Strategy!$BH$7:$BH$108,Main_Strategy!$B$7:$B$108,1,Main_Strategy!$AO$7:$AO$108,A16)</f>
        <v>1.015655127344</v>
      </c>
      <c r="J16" s="81" t="n">
        <f aca="false">IFERROR(H16/G16,"")</f>
        <v>0.4923659777335</v>
      </c>
    </row>
    <row r="18" customFormat="false" ht="15" hidden="false" customHeight="false" outlineLevel="0" collapsed="false">
      <c r="A18" s="82" t="s">
        <v>1490</v>
      </c>
    </row>
    <row r="19" customFormat="false" ht="51.75" hidden="false" customHeight="true" outlineLevel="0" collapsed="false">
      <c r="A19" s="3" t="s">
        <v>1491</v>
      </c>
      <c r="C19" s="88" t="s">
        <v>1492</v>
      </c>
      <c r="D19" s="88"/>
      <c r="E19" s="88"/>
      <c r="F19" s="88"/>
      <c r="G19" s="88"/>
      <c r="H19" s="88"/>
      <c r="I19" s="88"/>
      <c r="J19" s="88"/>
      <c r="K19" s="88"/>
    </row>
    <row r="20" customFormat="false" ht="51.75" hidden="false" customHeight="true" outlineLevel="0" collapsed="false">
      <c r="A20" s="3" t="s">
        <v>1493</v>
      </c>
      <c r="C20" s="88" t="s">
        <v>1494</v>
      </c>
      <c r="D20" s="88"/>
      <c r="E20" s="88"/>
      <c r="F20" s="88"/>
      <c r="G20" s="88"/>
      <c r="H20" s="88"/>
      <c r="I20" s="88"/>
      <c r="J20" s="88"/>
      <c r="K20" s="88"/>
    </row>
    <row r="21" customFormat="false" ht="51.75" hidden="false" customHeight="true" outlineLevel="0" collapsed="false">
      <c r="A21" s="3" t="s">
        <v>1495</v>
      </c>
      <c r="C21" s="88" t="s">
        <v>1496</v>
      </c>
      <c r="D21" s="88"/>
      <c r="E21" s="88"/>
      <c r="F21" s="88"/>
      <c r="G21" s="88"/>
      <c r="H21" s="88"/>
      <c r="I21" s="88"/>
      <c r="J21" s="88"/>
      <c r="K21" s="88"/>
    </row>
    <row r="22" customFormat="false" ht="51.75" hidden="false" customHeight="true" outlineLevel="0" collapsed="false">
      <c r="A22" s="3" t="s">
        <v>16</v>
      </c>
      <c r="C22" s="88" t="s">
        <v>1497</v>
      </c>
      <c r="D22" s="88"/>
      <c r="E22" s="88"/>
      <c r="F22" s="88"/>
      <c r="G22" s="88"/>
      <c r="H22" s="88"/>
      <c r="I22" s="88"/>
      <c r="J22" s="88"/>
      <c r="K22" s="88"/>
    </row>
    <row r="24" customFormat="false" ht="15" hidden="false" customHeight="false" outlineLevel="0" collapsed="false">
      <c r="A24" s="82" t="s">
        <v>1498</v>
      </c>
    </row>
    <row r="25" customFormat="false" ht="15" hidden="false" customHeight="false" outlineLevel="0" collapsed="false">
      <c r="A25" s="89" t="s">
        <v>1499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</row>
    <row r="26" customFormat="false" ht="15" hidden="false" customHeight="false" outlineLevel="0" collapsed="false">
      <c r="A26" s="89" t="s">
        <v>1500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</row>
    <row r="27" customFormat="false" ht="15" hidden="false" customHeight="false" outlineLevel="0" collapsed="false">
      <c r="A27" s="89" t="s">
        <v>1501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</row>
    <row r="28" customFormat="false" ht="15" hidden="false" customHeight="false" outlineLevel="0" collapsed="false">
      <c r="A28" s="89" t="s">
        <v>1502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</row>
    <row r="29" customFormat="false" ht="15" hidden="false" customHeight="false" outlineLevel="0" collapsed="false">
      <c r="A29" s="89" t="s">
        <v>1503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</row>
  </sheetData>
  <mergeCells count="9">
    <mergeCell ref="C19:K19"/>
    <mergeCell ref="C20:K20"/>
    <mergeCell ref="C21:K21"/>
    <mergeCell ref="C22:K22"/>
    <mergeCell ref="A25:K25"/>
    <mergeCell ref="A26:K26"/>
    <mergeCell ref="A27:K27"/>
    <mergeCell ref="A28:K28"/>
    <mergeCell ref="A29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8" min="7" style="0" width="9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60"/>
  </cols>
  <sheetData>
    <row r="1" customFormat="false" ht="17.35" hidden="false" customHeight="false" outlineLevel="0" collapsed="false">
      <c r="A1" s="1" t="s">
        <v>1504</v>
      </c>
    </row>
    <row r="2" customFormat="false" ht="15" hidden="false" customHeight="false" outlineLevel="0" collapsed="false">
      <c r="A2" s="2" t="s">
        <v>1505</v>
      </c>
    </row>
    <row r="4" customFormat="false" ht="43.25" hidden="false" customHeight="false" outlineLevel="0" collapsed="false">
      <c r="A4" s="90" t="s">
        <v>167</v>
      </c>
      <c r="B4" s="90" t="s">
        <v>105</v>
      </c>
      <c r="C4" s="90" t="s">
        <v>1506</v>
      </c>
      <c r="D4" s="90" t="s">
        <v>143</v>
      </c>
      <c r="E4" s="90" t="s">
        <v>107</v>
      </c>
      <c r="F4" s="90" t="s">
        <v>169</v>
      </c>
      <c r="G4" s="90" t="s">
        <v>1507</v>
      </c>
      <c r="H4" s="90" t="s">
        <v>1481</v>
      </c>
      <c r="I4" s="90" t="s">
        <v>147</v>
      </c>
      <c r="J4" s="90" t="s">
        <v>149</v>
      </c>
      <c r="K4" s="90" t="s">
        <v>162</v>
      </c>
      <c r="L4" s="90" t="s">
        <v>1508</v>
      </c>
      <c r="M4" s="90" t="s">
        <v>150</v>
      </c>
      <c r="N4" s="90" t="s">
        <v>163</v>
      </c>
      <c r="O4" s="90" t="s">
        <v>1509</v>
      </c>
    </row>
    <row r="5" customFormat="false" ht="15" hidden="false" customHeight="false" outlineLevel="0" collapsed="false">
      <c r="A5" s="91" t="s">
        <v>454</v>
      </c>
      <c r="B5" s="92" t="n">
        <v>1</v>
      </c>
      <c r="C5" s="91" t="s">
        <v>203</v>
      </c>
      <c r="D5" s="91" t="s">
        <v>430</v>
      </c>
      <c r="E5" s="91" t="s">
        <v>422</v>
      </c>
      <c r="F5" s="91" t="s">
        <v>435</v>
      </c>
      <c r="G5" s="91" t="n">
        <v>1</v>
      </c>
      <c r="H5" s="93" t="n">
        <f aca="false">COUNTIF(Main_Strategy!$BN$7:$BN$108,A5)</f>
        <v>1</v>
      </c>
      <c r="I5" s="94" t="n">
        <f aca="false">SUMIF(Main_Strategy!$BN$7:$BN$108,A5,Main_Strategy!$AS$7:$AS$108)</f>
        <v>1</v>
      </c>
      <c r="J5" s="94" t="n">
        <f aca="false">SUMIF(Main_Strategy!$BN$7:$BN$108,A5,Main_Strategy!$AU$7:$AU$108)</f>
        <v>0.1374</v>
      </c>
      <c r="K5" s="95" t="n">
        <f aca="false">SUMIF(Main_Strategy!$BN$7:$BN$108,A5,Main_Strategy!$BH$7:$BH$108)</f>
        <v>3.71</v>
      </c>
      <c r="L5" s="96" t="n">
        <f aca="false">MAX(Assumptions!$B$16,ROUNDUP(K5*(1+Assumptions!$B$15),0))</f>
        <v>10</v>
      </c>
      <c r="M5" s="95" t="n">
        <f aca="false">SUMIF(Main_Strategy!$BN$7:$BN$108,A5,Main_Strategy!$AV$7:$AV$108)</f>
        <v>11.952426</v>
      </c>
      <c r="N5" s="97" t="n">
        <f aca="false">IFERROR(K5/M5,"")</f>
        <v>0.310397236510814</v>
      </c>
      <c r="O5" s="91" t="s">
        <v>1510</v>
      </c>
    </row>
    <row r="6" customFormat="false" ht="15" hidden="false" customHeight="false" outlineLevel="0" collapsed="false">
      <c r="A6" s="91" t="s">
        <v>434</v>
      </c>
      <c r="B6" s="92" t="n">
        <v>1</v>
      </c>
      <c r="C6" s="91" t="s">
        <v>203</v>
      </c>
      <c r="D6" s="91" t="s">
        <v>430</v>
      </c>
      <c r="E6" s="91" t="s">
        <v>422</v>
      </c>
      <c r="F6" s="91" t="s">
        <v>435</v>
      </c>
      <c r="G6" s="91" t="n">
        <v>1</v>
      </c>
      <c r="H6" s="93" t="n">
        <f aca="false">COUNTIF(Main_Strategy!$BN$7:$BN$108,A6)</f>
        <v>1</v>
      </c>
      <c r="I6" s="94" t="n">
        <f aca="false">SUMIF(Main_Strategy!$BN$7:$BN$108,A6,Main_Strategy!$AS$7:$AS$108)</f>
        <v>1</v>
      </c>
      <c r="J6" s="94" t="n">
        <f aca="false">SUMIF(Main_Strategy!$BN$7:$BN$108,A6,Main_Strategy!$AU$7:$AU$108)</f>
        <v>0.1334</v>
      </c>
      <c r="K6" s="95" t="n">
        <f aca="false">SUMIF(Main_Strategy!$BN$7:$BN$108,A6,Main_Strategy!$BH$7:$BH$108)</f>
        <v>3.69</v>
      </c>
      <c r="L6" s="96" t="n">
        <f aca="false">MAX(Assumptions!$B$16,ROUNDUP(K6*(1+Assumptions!$B$15),0))</f>
        <v>10</v>
      </c>
      <c r="M6" s="95" t="n">
        <f aca="false">SUMIF(Main_Strategy!$BN$7:$BN$108,A6,Main_Strategy!$AV$7:$AV$108)</f>
        <v>11.604466</v>
      </c>
      <c r="N6" s="97" t="n">
        <f aca="false">IFERROR(K6/M6,"")</f>
        <v>0.317981025581013</v>
      </c>
      <c r="O6" s="91" t="s">
        <v>1510</v>
      </c>
    </row>
    <row r="7" customFormat="false" ht="15" hidden="false" customHeight="false" outlineLevel="0" collapsed="false">
      <c r="A7" s="91" t="s">
        <v>663</v>
      </c>
      <c r="B7" s="92" t="n">
        <v>1</v>
      </c>
      <c r="C7" s="91" t="s">
        <v>203</v>
      </c>
      <c r="D7" s="91" t="s">
        <v>430</v>
      </c>
      <c r="E7" s="91" t="s">
        <v>560</v>
      </c>
      <c r="F7" s="91" t="s">
        <v>569</v>
      </c>
      <c r="G7" s="91" t="n">
        <v>1</v>
      </c>
      <c r="H7" s="93" t="n">
        <f aca="false">COUNTIF(Main_Strategy!$BN$7:$BN$108,A7)</f>
        <v>1</v>
      </c>
      <c r="I7" s="94" t="n">
        <f aca="false">SUMIF(Main_Strategy!$BN$7:$BN$108,A7,Main_Strategy!$AS$7:$AS$108)</f>
        <v>1</v>
      </c>
      <c r="J7" s="94" t="n">
        <f aca="false">SUMIF(Main_Strategy!$BN$7:$BN$108,A7,Main_Strategy!$AU$7:$AU$108)</f>
        <v>0.1159</v>
      </c>
      <c r="K7" s="95" t="n">
        <f aca="false">SUMIF(Main_Strategy!$BN$7:$BN$108,A7,Main_Strategy!$BH$7:$BH$108)</f>
        <v>3.39</v>
      </c>
      <c r="L7" s="96" t="n">
        <f aca="false">MAX(Assumptions!$B$16,ROUNDUP(K7*(1+Assumptions!$B$15),0))</f>
        <v>10</v>
      </c>
      <c r="M7" s="95" t="n">
        <f aca="false">SUMIF(Main_Strategy!$BN$7:$BN$108,A7,Main_Strategy!$AV$7:$AV$108)</f>
        <v>9.850341</v>
      </c>
      <c r="N7" s="97" t="n">
        <f aca="false">IFERROR(K7/M7,"")</f>
        <v>0.344150522301715</v>
      </c>
      <c r="O7" s="91" t="s">
        <v>1510</v>
      </c>
    </row>
    <row r="8" customFormat="false" ht="15" hidden="false" customHeight="false" outlineLevel="0" collapsed="false">
      <c r="A8" s="91" t="s">
        <v>470</v>
      </c>
      <c r="B8" s="92" t="n">
        <v>1</v>
      </c>
      <c r="C8" s="91" t="s">
        <v>203</v>
      </c>
      <c r="D8" s="91" t="s">
        <v>430</v>
      </c>
      <c r="E8" s="91" t="s">
        <v>422</v>
      </c>
      <c r="F8" s="91" t="s">
        <v>435</v>
      </c>
      <c r="G8" s="91" t="n">
        <v>1</v>
      </c>
      <c r="H8" s="93" t="n">
        <f aca="false">COUNTIF(Main_Strategy!$BN$7:$BN$108,A8)</f>
        <v>1</v>
      </c>
      <c r="I8" s="94" t="n">
        <f aca="false">SUMIF(Main_Strategy!$BN$7:$BN$108,A8,Main_Strategy!$AS$7:$AS$108)</f>
        <v>1</v>
      </c>
      <c r="J8" s="94" t="n">
        <f aca="false">SUMIF(Main_Strategy!$BN$7:$BN$108,A8,Main_Strategy!$AU$7:$AU$108)</f>
        <v>0.064</v>
      </c>
      <c r="K8" s="95" t="n">
        <f aca="false">SUMIF(Main_Strategy!$BN$7:$BN$108,A8,Main_Strategy!$BH$7:$BH$108)</f>
        <v>2.96</v>
      </c>
      <c r="L8" s="96" t="n">
        <f aca="false">MAX(Assumptions!$B$16,ROUNDUP(K8*(1+Assumptions!$B$15),0))</f>
        <v>10</v>
      </c>
      <c r="M8" s="95" t="n">
        <f aca="false">SUMIF(Main_Strategy!$BN$7:$BN$108,A8,Main_Strategy!$AV$7:$AV$108)</f>
        <v>5.56736</v>
      </c>
      <c r="N8" s="97" t="n">
        <f aca="false">IFERROR(K8/M8,"")</f>
        <v>0.531670306931831</v>
      </c>
      <c r="O8" s="91" t="s">
        <v>1510</v>
      </c>
    </row>
    <row r="9" customFormat="false" ht="15" hidden="false" customHeight="false" outlineLevel="0" collapsed="false">
      <c r="A9" s="91" t="s">
        <v>537</v>
      </c>
      <c r="B9" s="92" t="n">
        <v>1</v>
      </c>
      <c r="C9" s="91" t="s">
        <v>203</v>
      </c>
      <c r="D9" s="91" t="s">
        <v>430</v>
      </c>
      <c r="E9" s="91" t="s">
        <v>479</v>
      </c>
      <c r="F9" s="91" t="s">
        <v>488</v>
      </c>
      <c r="G9" s="91" t="n">
        <v>1</v>
      </c>
      <c r="H9" s="93" t="n">
        <f aca="false">COUNTIF(Main_Strategy!$BN$7:$BN$108,A9)</f>
        <v>1</v>
      </c>
      <c r="I9" s="94" t="n">
        <f aca="false">SUMIF(Main_Strategy!$BN$7:$BN$108,A9,Main_Strategy!$AS$7:$AS$108)</f>
        <v>1</v>
      </c>
      <c r="J9" s="94" t="n">
        <f aca="false">SUMIF(Main_Strategy!$BN$7:$BN$108,A9,Main_Strategy!$AU$7:$AU$108)</f>
        <v>0.0878</v>
      </c>
      <c r="K9" s="95" t="n">
        <f aca="false">SUMIF(Main_Strategy!$BN$7:$BN$108,A9,Main_Strategy!$BH$7:$BH$108)</f>
        <v>1.59</v>
      </c>
      <c r="L9" s="96" t="n">
        <f aca="false">MAX(Assumptions!$B$16,ROUNDUP(K9*(1+Assumptions!$B$15),0))</f>
        <v>10</v>
      </c>
      <c r="M9" s="95" t="n">
        <f aca="false">SUMIF(Main_Strategy!$BN$7:$BN$108,A9,Main_Strategy!$AV$7:$AV$108)</f>
        <v>5.969522</v>
      </c>
      <c r="N9" s="97" t="n">
        <f aca="false">IFERROR(K9/M9,"")</f>
        <v>0.266352984376304</v>
      </c>
      <c r="O9" s="91" t="s">
        <v>1510</v>
      </c>
    </row>
    <row r="10" customFormat="false" ht="15" hidden="false" customHeight="false" outlineLevel="0" collapsed="false">
      <c r="A10" s="91" t="s">
        <v>633</v>
      </c>
      <c r="B10" s="92" t="n">
        <v>1</v>
      </c>
      <c r="C10" s="91" t="s">
        <v>203</v>
      </c>
      <c r="D10" s="91" t="s">
        <v>430</v>
      </c>
      <c r="E10" s="91" t="s">
        <v>560</v>
      </c>
      <c r="F10" s="91" t="s">
        <v>569</v>
      </c>
      <c r="G10" s="91" t="n">
        <v>1</v>
      </c>
      <c r="H10" s="93" t="n">
        <f aca="false">COUNTIF(Main_Strategy!$BN$7:$BN$108,A10)</f>
        <v>1</v>
      </c>
      <c r="I10" s="94" t="n">
        <f aca="false">SUMIF(Main_Strategy!$BN$7:$BN$108,A10,Main_Strategy!$AS$7:$AS$108)</f>
        <v>1</v>
      </c>
      <c r="J10" s="94" t="n">
        <f aca="false">SUMIF(Main_Strategy!$BN$7:$BN$108,A10,Main_Strategy!$AU$7:$AU$108)</f>
        <v>0.0727</v>
      </c>
      <c r="K10" s="95" t="n">
        <f aca="false">SUMIF(Main_Strategy!$BN$7:$BN$108,A10,Main_Strategy!$BH$7:$BH$108)</f>
        <v>3.25</v>
      </c>
      <c r="L10" s="96" t="n">
        <f aca="false">MAX(Assumptions!$B$16,ROUNDUP(K10*(1+Assumptions!$B$15),0))</f>
        <v>10</v>
      </c>
      <c r="M10" s="95" t="n">
        <f aca="false">SUMIF(Main_Strategy!$BN$7:$BN$108,A10,Main_Strategy!$AV$7:$AV$108)</f>
        <v>6.178773</v>
      </c>
      <c r="N10" s="97" t="n">
        <f aca="false">IFERROR(K10/M10,"")</f>
        <v>0.525994400506379</v>
      </c>
      <c r="O10" s="91" t="s">
        <v>1510</v>
      </c>
    </row>
    <row r="11" customFormat="false" ht="15" hidden="false" customHeight="false" outlineLevel="0" collapsed="false">
      <c r="A11" s="91" t="s">
        <v>688</v>
      </c>
      <c r="B11" s="92" t="n">
        <v>1</v>
      </c>
      <c r="C11" s="91" t="s">
        <v>203</v>
      </c>
      <c r="D11" s="91" t="s">
        <v>430</v>
      </c>
      <c r="E11" s="91" t="s">
        <v>560</v>
      </c>
      <c r="F11" s="91" t="s">
        <v>569</v>
      </c>
      <c r="G11" s="91" t="n">
        <v>1</v>
      </c>
      <c r="H11" s="93" t="n">
        <f aca="false">COUNTIF(Main_Strategy!$BN$7:$BN$108,A11)</f>
        <v>1</v>
      </c>
      <c r="I11" s="94" t="n">
        <f aca="false">SUMIF(Main_Strategy!$BN$7:$BN$108,A11,Main_Strategy!$AS$7:$AS$108)</f>
        <v>1</v>
      </c>
      <c r="J11" s="94" t="n">
        <f aca="false">SUMIF(Main_Strategy!$BN$7:$BN$108,A11,Main_Strategy!$AU$7:$AU$108)</f>
        <v>0.064</v>
      </c>
      <c r="K11" s="95" t="n">
        <f aca="false">SUMIF(Main_Strategy!$BN$7:$BN$108,A11,Main_Strategy!$BH$7:$BH$108)</f>
        <v>2.86</v>
      </c>
      <c r="L11" s="96" t="n">
        <f aca="false">MAX(Assumptions!$B$16,ROUNDUP(K11*(1+Assumptions!$B$15),0))</f>
        <v>10</v>
      </c>
      <c r="M11" s="95" t="n">
        <f aca="false">SUMIF(Main_Strategy!$BN$7:$BN$108,A11,Main_Strategy!$AV$7:$AV$108)</f>
        <v>5.43936</v>
      </c>
      <c r="N11" s="97" t="n">
        <f aca="false">IFERROR(K11/M11,"")</f>
        <v>0.525797152606189</v>
      </c>
      <c r="O11" s="91" t="s">
        <v>1510</v>
      </c>
    </row>
    <row r="12" customFormat="false" ht="15" hidden="false" customHeight="false" outlineLevel="0" collapsed="false">
      <c r="A12" s="91" t="s">
        <v>487</v>
      </c>
      <c r="B12" s="92" t="n">
        <v>1</v>
      </c>
      <c r="C12" s="91" t="s">
        <v>203</v>
      </c>
      <c r="D12" s="91" t="s">
        <v>430</v>
      </c>
      <c r="E12" s="91" t="s">
        <v>479</v>
      </c>
      <c r="F12" s="91" t="s">
        <v>488</v>
      </c>
      <c r="G12" s="91" t="n">
        <v>1</v>
      </c>
      <c r="H12" s="93" t="n">
        <f aca="false">COUNTIF(Main_Strategy!$BN$7:$BN$108,A12)</f>
        <v>1</v>
      </c>
      <c r="I12" s="94" t="n">
        <f aca="false">SUMIF(Main_Strategy!$BN$7:$BN$108,A12,Main_Strategy!$AS$7:$AS$108)</f>
        <v>2.266095216</v>
      </c>
      <c r="J12" s="94" t="n">
        <f aca="false">SUMIF(Main_Strategy!$BN$7:$BN$108,A12,Main_Strategy!$AU$7:$AU$108)</f>
        <v>0.2179983597792</v>
      </c>
      <c r="K12" s="95" t="n">
        <f aca="false">SUMIF(Main_Strategy!$BN$7:$BN$108,A12,Main_Strategy!$BH$7:$BH$108)</f>
        <v>5.64257708784</v>
      </c>
      <c r="L12" s="96" t="n">
        <f aca="false">MAX(Assumptions!$B$16,ROUNDUP(K12*(1+Assumptions!$B$15),0))</f>
        <v>10</v>
      </c>
      <c r="M12" s="95" t="n">
        <f aca="false">SUMIF(Main_Strategy!$BN$7:$BN$108,A12,Main_Strategy!$AV$7:$AV$108)</f>
        <v>14.8217084813878</v>
      </c>
      <c r="N12" s="97" t="n">
        <f aca="false">IFERROR(K12/M12,"")</f>
        <v>0.380696806641799</v>
      </c>
      <c r="O12" s="91" t="s">
        <v>1510</v>
      </c>
    </row>
    <row r="13" customFormat="false" ht="15" hidden="false" customHeight="false" outlineLevel="0" collapsed="false">
      <c r="A13" s="91" t="s">
        <v>520</v>
      </c>
      <c r="B13" s="92" t="n">
        <v>1</v>
      </c>
      <c r="C13" s="91" t="s">
        <v>203</v>
      </c>
      <c r="D13" s="91" t="s">
        <v>430</v>
      </c>
      <c r="E13" s="91" t="s">
        <v>479</v>
      </c>
      <c r="F13" s="91" t="s">
        <v>488</v>
      </c>
      <c r="G13" s="91" t="n">
        <v>1</v>
      </c>
      <c r="H13" s="93" t="n">
        <f aca="false">COUNTIF(Main_Strategy!$BN$7:$BN$108,A13)</f>
        <v>1</v>
      </c>
      <c r="I13" s="94" t="n">
        <f aca="false">SUMIF(Main_Strategy!$BN$7:$BN$108,A13,Main_Strategy!$AS$7:$AS$108)</f>
        <v>1</v>
      </c>
      <c r="J13" s="94" t="n">
        <f aca="false">SUMIF(Main_Strategy!$BN$7:$BN$108,A13,Main_Strategy!$AU$7:$AU$108)</f>
        <v>0.0901</v>
      </c>
      <c r="K13" s="95" t="n">
        <f aca="false">SUMIF(Main_Strategy!$BN$7:$BN$108,A13,Main_Strategy!$BH$7:$BH$108)</f>
        <v>2.87</v>
      </c>
      <c r="L13" s="96" t="n">
        <f aca="false">MAX(Assumptions!$B$16,ROUNDUP(K13*(1+Assumptions!$B$15),0))</f>
        <v>10</v>
      </c>
      <c r="M13" s="95" t="n">
        <f aca="false">SUMIF(Main_Strategy!$BN$7:$BN$108,A13,Main_Strategy!$AV$7:$AV$108)</f>
        <v>6.125899</v>
      </c>
      <c r="N13" s="97" t="n">
        <f aca="false">IFERROR(K13/M13,"")</f>
        <v>0.46850266385391</v>
      </c>
      <c r="O13" s="91" t="s">
        <v>1510</v>
      </c>
    </row>
    <row r="14" customFormat="false" ht="15" hidden="false" customHeight="false" outlineLevel="0" collapsed="false">
      <c r="A14" s="91" t="s">
        <v>568</v>
      </c>
      <c r="B14" s="92" t="n">
        <v>1</v>
      </c>
      <c r="C14" s="91" t="s">
        <v>203</v>
      </c>
      <c r="D14" s="91" t="s">
        <v>430</v>
      </c>
      <c r="E14" s="91" t="s">
        <v>560</v>
      </c>
      <c r="F14" s="91" t="s">
        <v>569</v>
      </c>
      <c r="G14" s="91" t="n">
        <v>1</v>
      </c>
      <c r="H14" s="93" t="n">
        <f aca="false">COUNTIF(Main_Strategy!$BN$7:$BN$108,A14)</f>
        <v>1</v>
      </c>
      <c r="I14" s="94" t="n">
        <f aca="false">SUMIF(Main_Strategy!$BN$7:$BN$108,A14,Main_Strategy!$AS$7:$AS$108)</f>
        <v>3.57142857142857</v>
      </c>
      <c r="J14" s="94" t="n">
        <f aca="false">SUMIF(Main_Strategy!$BN$7:$BN$108,A14,Main_Strategy!$AU$7:$AU$108)</f>
        <v>0.316071428571429</v>
      </c>
      <c r="K14" s="95" t="n">
        <f aca="false">SUMIF(Main_Strategy!$BN$7:$BN$108,A14,Main_Strategy!$BH$7:$BH$108)</f>
        <v>11.7142857142857</v>
      </c>
      <c r="L14" s="96" t="n">
        <f aca="false">MAX(Assumptions!$B$16,ROUNDUP(K14*(1+Assumptions!$B$15),0))</f>
        <v>15</v>
      </c>
      <c r="M14" s="95" t="n">
        <f aca="false">SUMIF(Main_Strategy!$BN$7:$BN$108,A14,Main_Strategy!$AV$7:$AV$108)</f>
        <v>26.8629107142857</v>
      </c>
      <c r="N14" s="97" t="n">
        <f aca="false">IFERROR(K14/M14,"")</f>
        <v>0.436076560685438</v>
      </c>
      <c r="O14" s="91" t="s">
        <v>1510</v>
      </c>
    </row>
    <row r="15" customFormat="false" ht="15" hidden="false" customHeight="false" outlineLevel="0" collapsed="false">
      <c r="A15" s="91" t="s">
        <v>647</v>
      </c>
      <c r="B15" s="92" t="n">
        <v>1</v>
      </c>
      <c r="C15" s="91" t="s">
        <v>203</v>
      </c>
      <c r="D15" s="91" t="s">
        <v>430</v>
      </c>
      <c r="E15" s="91" t="s">
        <v>560</v>
      </c>
      <c r="F15" s="91" t="s">
        <v>569</v>
      </c>
      <c r="G15" s="91" t="n">
        <v>1</v>
      </c>
      <c r="H15" s="93" t="n">
        <f aca="false">COUNTIF(Main_Strategy!$BN$7:$BN$108,A15)</f>
        <v>1</v>
      </c>
      <c r="I15" s="94" t="n">
        <f aca="false">SUMIF(Main_Strategy!$BN$7:$BN$108,A15,Main_Strategy!$AS$7:$AS$108)</f>
        <v>1</v>
      </c>
      <c r="J15" s="94" t="n">
        <f aca="false">SUMIF(Main_Strategy!$BN$7:$BN$108,A15,Main_Strategy!$AU$7:$AU$108)</f>
        <v>0.0766</v>
      </c>
      <c r="K15" s="95" t="n">
        <f aca="false">SUMIF(Main_Strategy!$BN$7:$BN$108,A15,Main_Strategy!$BH$7:$BH$108)</f>
        <v>3.27</v>
      </c>
      <c r="L15" s="96" t="n">
        <f aca="false">MAX(Assumptions!$B$16,ROUNDUP(K15*(1+Assumptions!$B$15),0))</f>
        <v>10</v>
      </c>
      <c r="M15" s="95" t="n">
        <f aca="false">SUMIF(Main_Strategy!$BN$7:$BN$108,A15,Main_Strategy!$AV$7:$AV$108)</f>
        <v>6.510234</v>
      </c>
      <c r="N15" s="97" t="n">
        <f aca="false">IFERROR(K15/M15,"")</f>
        <v>0.502286092942281</v>
      </c>
      <c r="O15" s="91" t="s">
        <v>1510</v>
      </c>
    </row>
    <row r="16" customFormat="false" ht="15" hidden="false" customHeight="false" outlineLevel="0" collapsed="false">
      <c r="A16" s="91" t="s">
        <v>706</v>
      </c>
      <c r="B16" s="92" t="n">
        <v>1</v>
      </c>
      <c r="C16" s="91" t="s">
        <v>203</v>
      </c>
      <c r="D16" s="91" t="s">
        <v>430</v>
      </c>
      <c r="E16" s="91" t="s">
        <v>696</v>
      </c>
      <c r="F16" s="91" t="s">
        <v>707</v>
      </c>
      <c r="G16" s="91" t="n">
        <v>1</v>
      </c>
      <c r="H16" s="93" t="n">
        <f aca="false">COUNTIF(Main_Strategy!$BN$7:$BN$108,A16)</f>
        <v>1</v>
      </c>
      <c r="I16" s="94" t="n">
        <f aca="false">SUMIF(Main_Strategy!$BN$7:$BN$108,A16,Main_Strategy!$AS$7:$AS$108)</f>
        <v>1</v>
      </c>
      <c r="J16" s="94" t="n">
        <f aca="false">SUMIF(Main_Strategy!$BN$7:$BN$108,A16,Main_Strategy!$AU$7:$AU$108)</f>
        <v>0.107</v>
      </c>
      <c r="K16" s="95" t="n">
        <f aca="false">SUMIF(Main_Strategy!$BN$7:$BN$108,A16,Main_Strategy!$BH$7:$BH$108)</f>
        <v>1.71</v>
      </c>
      <c r="L16" s="96" t="n">
        <f aca="false">MAX(Assumptions!$B$16,ROUNDUP(K16*(1+Assumptions!$B$15),0))</f>
        <v>10</v>
      </c>
      <c r="M16" s="95" t="n">
        <f aca="false">SUMIF(Main_Strategy!$BN$7:$BN$108,A16,Main_Strategy!$AV$7:$AV$108)</f>
        <v>6.73993</v>
      </c>
      <c r="N16" s="97" t="n">
        <f aca="false">IFERROR(K16/M16,"")</f>
        <v>0.253711833802428</v>
      </c>
      <c r="O16" s="91" t="s">
        <v>1510</v>
      </c>
    </row>
    <row r="17" customFormat="false" ht="15" hidden="false" customHeight="false" outlineLevel="0" collapsed="false">
      <c r="A17" s="91" t="s">
        <v>742</v>
      </c>
      <c r="B17" s="92" t="n">
        <v>1</v>
      </c>
      <c r="C17" s="91" t="s">
        <v>203</v>
      </c>
      <c r="D17" s="91" t="s">
        <v>430</v>
      </c>
      <c r="E17" s="91" t="s">
        <v>696</v>
      </c>
      <c r="F17" s="91" t="s">
        <v>707</v>
      </c>
      <c r="G17" s="91" t="n">
        <v>1</v>
      </c>
      <c r="H17" s="93" t="n">
        <f aca="false">COUNTIF(Main_Strategy!$BN$7:$BN$108,A17)</f>
        <v>1</v>
      </c>
      <c r="I17" s="94" t="n">
        <f aca="false">SUMIF(Main_Strategy!$BN$7:$BN$108,A17,Main_Strategy!$AS$7:$AS$108)</f>
        <v>1</v>
      </c>
      <c r="J17" s="94" t="n">
        <f aca="false">SUMIF(Main_Strategy!$BN$7:$BN$108,A17,Main_Strategy!$AU$7:$AU$108)</f>
        <v>0.064</v>
      </c>
      <c r="K17" s="95" t="n">
        <f aca="false">SUMIF(Main_Strategy!$BN$7:$BN$108,A17,Main_Strategy!$BH$7:$BH$108)</f>
        <v>1.75</v>
      </c>
      <c r="L17" s="96" t="n">
        <f aca="false">MAX(Assumptions!$B$16,ROUNDUP(K17*(1+Assumptions!$B$15),0))</f>
        <v>10</v>
      </c>
      <c r="M17" s="95" t="n">
        <f aca="false">SUMIF(Main_Strategy!$BN$7:$BN$108,A17,Main_Strategy!$AV$7:$AV$108)</f>
        <v>4.03136</v>
      </c>
      <c r="N17" s="97" t="n">
        <f aca="false">IFERROR(K17/M17,"")</f>
        <v>0.434096682013018</v>
      </c>
      <c r="O17" s="91" t="s">
        <v>1510</v>
      </c>
    </row>
    <row r="18" customFormat="false" ht="15" hidden="false" customHeight="false" outlineLevel="0" collapsed="false">
      <c r="A18" s="91" t="s">
        <v>552</v>
      </c>
      <c r="B18" s="92" t="n">
        <v>1</v>
      </c>
      <c r="C18" s="91" t="s">
        <v>203</v>
      </c>
      <c r="D18" s="91" t="s">
        <v>430</v>
      </c>
      <c r="E18" s="91" t="s">
        <v>479</v>
      </c>
      <c r="F18" s="91" t="s">
        <v>488</v>
      </c>
      <c r="G18" s="91" t="n">
        <v>1</v>
      </c>
      <c r="H18" s="93" t="n">
        <f aca="false">COUNTIF(Main_Strategy!$BN$7:$BN$108,A18)</f>
        <v>1</v>
      </c>
      <c r="I18" s="94" t="n">
        <f aca="false">SUMIF(Main_Strategy!$BN$7:$BN$108,A18,Main_Strategy!$AS$7:$AS$108)</f>
        <v>1</v>
      </c>
      <c r="J18" s="94" t="n">
        <f aca="false">SUMIF(Main_Strategy!$BN$7:$BN$108,A18,Main_Strategy!$AU$7:$AU$108)</f>
        <v>0.064</v>
      </c>
      <c r="K18" s="95" t="n">
        <f aca="false">SUMIF(Main_Strategy!$BN$7:$BN$108,A18,Main_Strategy!$BH$7:$BH$108)</f>
        <v>2.04</v>
      </c>
      <c r="L18" s="96" t="n">
        <f aca="false">MAX(Assumptions!$B$16,ROUNDUP(K18*(1+Assumptions!$B$15),0))</f>
        <v>10</v>
      </c>
      <c r="M18" s="95" t="n">
        <f aca="false">SUMIF(Main_Strategy!$BN$7:$BN$108,A18,Main_Strategy!$AV$7:$AV$108)</f>
        <v>4.35136</v>
      </c>
      <c r="N18" s="97" t="n">
        <f aca="false">IFERROR(K18/M18,"")</f>
        <v>0.468818943962347</v>
      </c>
      <c r="O18" s="91" t="s">
        <v>1510</v>
      </c>
    </row>
    <row r="19" customFormat="false" ht="15" hidden="false" customHeight="false" outlineLevel="0" collapsed="false">
      <c r="A19" s="91" t="s">
        <v>505</v>
      </c>
      <c r="B19" s="92" t="n">
        <v>1</v>
      </c>
      <c r="C19" s="91" t="s">
        <v>203</v>
      </c>
      <c r="D19" s="91" t="s">
        <v>430</v>
      </c>
      <c r="E19" s="91" t="s">
        <v>479</v>
      </c>
      <c r="F19" s="91" t="s">
        <v>488</v>
      </c>
      <c r="G19" s="91" t="n">
        <v>1</v>
      </c>
      <c r="H19" s="93" t="n">
        <f aca="false">COUNTIF(Main_Strategy!$BN$7:$BN$108,A19)</f>
        <v>1</v>
      </c>
      <c r="I19" s="94" t="n">
        <f aca="false">SUMIF(Main_Strategy!$BN$7:$BN$108,A19,Main_Strategy!$AS$7:$AS$108)</f>
        <v>1</v>
      </c>
      <c r="J19" s="94" t="n">
        <f aca="false">SUMIF(Main_Strategy!$BN$7:$BN$108,A19,Main_Strategy!$AU$7:$AU$108)</f>
        <v>0.0714</v>
      </c>
      <c r="K19" s="95" t="n">
        <f aca="false">SUMIF(Main_Strategy!$BN$7:$BN$108,A19,Main_Strategy!$BH$7:$BH$108)</f>
        <v>1.45</v>
      </c>
      <c r="L19" s="96" t="n">
        <f aca="false">MAX(Assumptions!$B$16,ROUNDUP(K19*(1+Assumptions!$B$15),0))</f>
        <v>10</v>
      </c>
      <c r="M19" s="95" t="n">
        <f aca="false">SUMIF(Main_Strategy!$BN$7:$BN$108,A19,Main_Strategy!$AV$7:$AV$108)</f>
        <v>4.854486</v>
      </c>
      <c r="N19" s="97" t="n">
        <f aca="false">IFERROR(K19/M19,"")</f>
        <v>0.298692796724514</v>
      </c>
      <c r="O19" s="91" t="s">
        <v>1510</v>
      </c>
    </row>
    <row r="20" customFormat="false" ht="15" hidden="false" customHeight="false" outlineLevel="0" collapsed="false">
      <c r="A20" s="91" t="s">
        <v>602</v>
      </c>
      <c r="B20" s="92" t="n">
        <v>1</v>
      </c>
      <c r="C20" s="91" t="s">
        <v>203</v>
      </c>
      <c r="D20" s="91" t="s">
        <v>430</v>
      </c>
      <c r="E20" s="91" t="s">
        <v>560</v>
      </c>
      <c r="F20" s="91" t="s">
        <v>569</v>
      </c>
      <c r="G20" s="91" t="n">
        <v>1</v>
      </c>
      <c r="H20" s="93" t="n">
        <f aca="false">COUNTIF(Main_Strategy!$BN$7:$BN$108,A20)</f>
        <v>1</v>
      </c>
      <c r="I20" s="94" t="n">
        <f aca="false">SUMIF(Main_Strategy!$BN$7:$BN$108,A20,Main_Strategy!$AS$7:$AS$108)</f>
        <v>1.608075392</v>
      </c>
      <c r="J20" s="94" t="n">
        <f aca="false">SUMIF(Main_Strategy!$BN$7:$BN$108,A20,Main_Strategy!$AU$7:$AU$108)</f>
        <v>0.102916825088</v>
      </c>
      <c r="K20" s="95" t="n">
        <f aca="false">SUMIF(Main_Strategy!$BN$7:$BN$108,A20,Main_Strategy!$BH$7:$BH$108)</f>
        <v>4.59909562112</v>
      </c>
      <c r="L20" s="96" t="n">
        <f aca="false">MAX(Assumptions!$B$16,ROUNDUP(K20*(1+Assumptions!$B$15),0))</f>
        <v>10</v>
      </c>
      <c r="M20" s="95" t="n">
        <f aca="false">SUMIF(Main_Strategy!$BN$7:$BN$108,A20,Main_Strategy!$AV$7:$AV$108)</f>
        <v>8.74690096422912</v>
      </c>
      <c r="N20" s="97" t="n">
        <f aca="false">IFERROR(K20/M20,"")</f>
        <v>0.525797152606189</v>
      </c>
      <c r="O20" s="91" t="s">
        <v>1510</v>
      </c>
    </row>
    <row r="21" customFormat="false" ht="15" hidden="false" customHeight="false" outlineLevel="0" collapsed="false">
      <c r="A21" s="91" t="s">
        <v>675</v>
      </c>
      <c r="B21" s="92" t="n">
        <v>1</v>
      </c>
      <c r="C21" s="91" t="s">
        <v>203</v>
      </c>
      <c r="D21" s="91" t="s">
        <v>430</v>
      </c>
      <c r="E21" s="91" t="s">
        <v>560</v>
      </c>
      <c r="F21" s="91" t="s">
        <v>569</v>
      </c>
      <c r="G21" s="91" t="n">
        <v>1</v>
      </c>
      <c r="H21" s="93" t="n">
        <f aca="false">COUNTIF(Main_Strategy!$BN$7:$BN$108,A21)</f>
        <v>1</v>
      </c>
      <c r="I21" s="94" t="n">
        <f aca="false">SUMIF(Main_Strategy!$BN$7:$BN$108,A21,Main_Strategy!$AS$7:$AS$108)</f>
        <v>1</v>
      </c>
      <c r="J21" s="94" t="n">
        <f aca="false">SUMIF(Main_Strategy!$BN$7:$BN$108,A21,Main_Strategy!$AU$7:$AU$108)</f>
        <v>0.096</v>
      </c>
      <c r="K21" s="95" t="n">
        <f aca="false">SUMIF(Main_Strategy!$BN$7:$BN$108,A21,Main_Strategy!$BH$7:$BH$108)</f>
        <v>2.91</v>
      </c>
      <c r="L21" s="96" t="n">
        <f aca="false">MAX(Assumptions!$B$16,ROUNDUP(K21*(1+Assumptions!$B$15),0))</f>
        <v>10</v>
      </c>
      <c r="M21" s="95" t="n">
        <f aca="false">SUMIF(Main_Strategy!$BN$7:$BN$108,A21,Main_Strategy!$AV$7:$AV$108)</f>
        <v>8.15904</v>
      </c>
      <c r="N21" s="97" t="n">
        <f aca="false">IFERROR(K21/M21,"")</f>
        <v>0.35665960701259</v>
      </c>
      <c r="O21" s="91" t="s">
        <v>1510</v>
      </c>
    </row>
    <row r="22" customFormat="false" ht="15" hidden="false" customHeight="false" outlineLevel="0" collapsed="false">
      <c r="A22" s="91" t="s">
        <v>587</v>
      </c>
      <c r="B22" s="92" t="n">
        <v>1</v>
      </c>
      <c r="C22" s="91" t="s">
        <v>203</v>
      </c>
      <c r="D22" s="91" t="s">
        <v>430</v>
      </c>
      <c r="E22" s="91" t="s">
        <v>560</v>
      </c>
      <c r="F22" s="91" t="s">
        <v>569</v>
      </c>
      <c r="G22" s="91" t="n">
        <v>1</v>
      </c>
      <c r="H22" s="93" t="n">
        <f aca="false">COUNTIF(Main_Strategy!$BN$7:$BN$108,A22)</f>
        <v>1</v>
      </c>
      <c r="I22" s="94" t="n">
        <f aca="false">SUMIF(Main_Strategy!$BN$7:$BN$108,A22,Main_Strategy!$AS$7:$AS$108)</f>
        <v>1.718948</v>
      </c>
      <c r="J22" s="94" t="n">
        <f aca="false">SUMIF(Main_Strategy!$BN$7:$BN$108,A22,Main_Strategy!$AU$7:$AU$108)</f>
        <v>0.2177907116</v>
      </c>
      <c r="K22" s="95" t="n">
        <f aca="false">SUMIF(Main_Strategy!$BN$7:$BN$108,A22,Main_Strategy!$BH$7:$BH$108)</f>
        <v>6.72108668</v>
      </c>
      <c r="L22" s="96" t="n">
        <f aca="false">MAX(Assumptions!$B$16,ROUNDUP(K22*(1+Assumptions!$B$15),0))</f>
        <v>10</v>
      </c>
      <c r="M22" s="95" t="n">
        <f aca="false">SUMIF(Main_Strategy!$BN$7:$BN$108,A22,Main_Strategy!$AV$7:$AV$108)</f>
        <v>18.510032578884</v>
      </c>
      <c r="N22" s="97" t="n">
        <f aca="false">IFERROR(K22/M22,"")</f>
        <v>0.363105070256188</v>
      </c>
      <c r="O22" s="91" t="s">
        <v>1510</v>
      </c>
    </row>
    <row r="23" customFormat="false" ht="15" hidden="false" customHeight="false" outlineLevel="0" collapsed="false">
      <c r="A23" s="91" t="s">
        <v>618</v>
      </c>
      <c r="B23" s="92" t="n">
        <v>1</v>
      </c>
      <c r="C23" s="91" t="s">
        <v>203</v>
      </c>
      <c r="D23" s="91" t="s">
        <v>430</v>
      </c>
      <c r="E23" s="91" t="s">
        <v>560</v>
      </c>
      <c r="F23" s="91" t="s">
        <v>569</v>
      </c>
      <c r="G23" s="91" t="n">
        <v>1</v>
      </c>
      <c r="H23" s="93" t="n">
        <f aca="false">COUNTIF(Main_Strategy!$BN$7:$BN$108,A23)</f>
        <v>1</v>
      </c>
      <c r="I23" s="94" t="n">
        <f aca="false">SUMIF(Main_Strategy!$BN$7:$BN$108,A23,Main_Strategy!$AS$7:$AS$108)</f>
        <v>1.095775296</v>
      </c>
      <c r="J23" s="94" t="n">
        <f aca="false">SUMIF(Main_Strategy!$BN$7:$BN$108,A23,Main_Strategy!$AU$7:$AU$108)</f>
        <v>0.070129618944</v>
      </c>
      <c r="K23" s="95" t="n">
        <f aca="false">SUMIF(Main_Strategy!$BN$7:$BN$108,A23,Main_Strategy!$BH$7:$BH$108)</f>
        <v>2.83805801664</v>
      </c>
      <c r="L23" s="96" t="n">
        <f aca="false">MAX(Assumptions!$B$16,ROUNDUP(K23*(1+Assumptions!$B$15),0))</f>
        <v>10</v>
      </c>
      <c r="M23" s="95" t="n">
        <f aca="false">SUMIF(Main_Strategy!$BN$7:$BN$108,A23,Main_Strategy!$AV$7:$AV$108)</f>
        <v>5.96031631405056</v>
      </c>
      <c r="N23" s="97" t="n">
        <f aca="false">IFERROR(K23/M23,"")</f>
        <v>0.476158959877633</v>
      </c>
      <c r="O23" s="91" t="s">
        <v>1510</v>
      </c>
    </row>
    <row r="24" customFormat="false" ht="15" hidden="false" customHeight="false" outlineLevel="0" collapsed="false">
      <c r="A24" s="91" t="s">
        <v>726</v>
      </c>
      <c r="B24" s="92" t="n">
        <v>1</v>
      </c>
      <c r="C24" s="91" t="s">
        <v>203</v>
      </c>
      <c r="D24" s="91" t="s">
        <v>430</v>
      </c>
      <c r="E24" s="91" t="s">
        <v>696</v>
      </c>
      <c r="F24" s="91" t="s">
        <v>707</v>
      </c>
      <c r="G24" s="91" t="n">
        <v>1</v>
      </c>
      <c r="H24" s="93" t="n">
        <f aca="false">COUNTIF(Main_Strategy!$BN$7:$BN$108,A24)</f>
        <v>1</v>
      </c>
      <c r="I24" s="94" t="n">
        <f aca="false">SUMIF(Main_Strategy!$BN$7:$BN$108,A24,Main_Strategy!$AS$7:$AS$108)</f>
        <v>1</v>
      </c>
      <c r="J24" s="94" t="n">
        <f aca="false">SUMIF(Main_Strategy!$BN$7:$BN$108,A24,Main_Strategy!$AU$7:$AU$108)</f>
        <v>0.086</v>
      </c>
      <c r="K24" s="95" t="n">
        <f aca="false">SUMIF(Main_Strategy!$BN$7:$BN$108,A24,Main_Strategy!$BH$7:$BH$108)</f>
        <v>1.7</v>
      </c>
      <c r="L24" s="96" t="n">
        <f aca="false">MAX(Assumptions!$B$16,ROUNDUP(K24*(1+Assumptions!$B$15),0))</f>
        <v>10</v>
      </c>
      <c r="M24" s="95" t="n">
        <f aca="false">SUMIF(Main_Strategy!$BN$7:$BN$108,A24,Main_Strategy!$AV$7:$AV$108)</f>
        <v>5.41714</v>
      </c>
      <c r="N24" s="97" t="n">
        <f aca="false">IFERROR(K24/M24,"")</f>
        <v>0.313818730917052</v>
      </c>
      <c r="O24" s="91" t="s">
        <v>1510</v>
      </c>
    </row>
    <row r="25" customFormat="false" ht="15" hidden="false" customHeight="false" outlineLevel="0" collapsed="false">
      <c r="A25" s="91" t="s">
        <v>847</v>
      </c>
      <c r="B25" s="92" t="n">
        <v>1</v>
      </c>
      <c r="C25" s="91" t="s">
        <v>758</v>
      </c>
      <c r="D25" s="91" t="s">
        <v>825</v>
      </c>
      <c r="E25" s="91" t="s">
        <v>479</v>
      </c>
      <c r="F25" s="91" t="s">
        <v>488</v>
      </c>
      <c r="G25" s="91" t="n">
        <v>1</v>
      </c>
      <c r="H25" s="93" t="n">
        <f aca="false">COUNTIF(Main_Strategy!$BN$7:$BN$108,A25)</f>
        <v>2</v>
      </c>
      <c r="I25" s="94" t="n">
        <f aca="false">SUMIF(Main_Strategy!$BN$7:$BN$108,A25,Main_Strategy!$AS$7:$AS$108)</f>
        <v>0.0653214144</v>
      </c>
      <c r="J25" s="94" t="n">
        <f aca="false">SUMIF(Main_Strategy!$BN$7:$BN$108,A25,Main_Strategy!$AU$7:$AU$108)</f>
        <v>0.0041805705216</v>
      </c>
      <c r="K25" s="95" t="n">
        <f aca="false">SUMIF(Main_Strategy!$BN$7:$BN$108,A25,Main_Strategy!$BH$7:$BH$108)</f>
        <v>0.133255685376</v>
      </c>
      <c r="L25" s="96" t="n">
        <f aca="false">MAX(Assumptions!$B$16,ROUNDUP(K25*(1+Assumptions!$B$15),0))</f>
        <v>10</v>
      </c>
      <c r="M25" s="95" t="n">
        <f aca="false">SUMIF(Main_Strategy!$BN$7:$BN$108,A25,Main_Strategy!$AV$7:$AV$108)</f>
        <v>0.284236989763584</v>
      </c>
      <c r="N25" s="97" t="n">
        <f aca="false">IFERROR(K25/M25,"")</f>
        <v>0.468818943962347</v>
      </c>
      <c r="O25" s="91" t="s">
        <v>1510</v>
      </c>
    </row>
    <row r="26" customFormat="false" ht="15" hidden="false" customHeight="false" outlineLevel="0" collapsed="false">
      <c r="A26" s="91" t="s">
        <v>866</v>
      </c>
      <c r="B26" s="92" t="n">
        <v>1</v>
      </c>
      <c r="C26" s="91" t="s">
        <v>758</v>
      </c>
      <c r="D26" s="91" t="s">
        <v>825</v>
      </c>
      <c r="E26" s="91" t="s">
        <v>560</v>
      </c>
      <c r="F26" s="91" t="s">
        <v>569</v>
      </c>
      <c r="G26" s="91" t="n">
        <v>1</v>
      </c>
      <c r="H26" s="93" t="n">
        <f aca="false">COUNTIF(Main_Strategy!$BN$7:$BN$108,A26)</f>
        <v>5</v>
      </c>
      <c r="I26" s="94" t="n">
        <f aca="false">SUMIF(Main_Strategy!$BN$7:$BN$108,A26,Main_Strategy!$AS$7:$AS$108)</f>
        <v>0.1528269248</v>
      </c>
      <c r="J26" s="94" t="n">
        <f aca="false">SUMIF(Main_Strategy!$BN$7:$BN$108,A26,Main_Strategy!$AU$7:$AU$108)</f>
        <v>0.0097809231872</v>
      </c>
      <c r="K26" s="95" t="n">
        <f aca="false">SUMIF(Main_Strategy!$BN$7:$BN$108,A26,Main_Strategy!$BH$7:$BH$108)</f>
        <v>0.437085004928</v>
      </c>
      <c r="L26" s="96" t="n">
        <f aca="false">MAX(Assumptions!$B$16,ROUNDUP(K26*(1+Assumptions!$B$15),0))</f>
        <v>10</v>
      </c>
      <c r="M26" s="95" t="n">
        <f aca="false">SUMIF(Main_Strategy!$BN$7:$BN$108,A26,Main_Strategy!$AV$7:$AV$108)</f>
        <v>0.831280661680128</v>
      </c>
      <c r="N26" s="97" t="n">
        <f aca="false">IFERROR(K26/M26,"")</f>
        <v>0.525797152606189</v>
      </c>
      <c r="O26" s="91" t="s">
        <v>1510</v>
      </c>
    </row>
    <row r="27" customFormat="false" ht="15" hidden="false" customHeight="false" outlineLevel="0" collapsed="false">
      <c r="A27" s="91" t="s">
        <v>828</v>
      </c>
      <c r="B27" s="92" t="n">
        <v>1</v>
      </c>
      <c r="C27" s="91" t="s">
        <v>758</v>
      </c>
      <c r="D27" s="91" t="s">
        <v>825</v>
      </c>
      <c r="E27" s="91" t="s">
        <v>422</v>
      </c>
      <c r="F27" s="91" t="s">
        <v>435</v>
      </c>
      <c r="G27" s="91" t="n">
        <v>5</v>
      </c>
      <c r="H27" s="93" t="n">
        <f aca="false">COUNTIF(Main_Strategy!$BN$7:$BN$108,A27)</f>
        <v>6</v>
      </c>
      <c r="I27" s="94" t="n">
        <f aca="false">SUMIF(Main_Strategy!$BN$7:$BN$108,A27,Main_Strategy!$AS$7:$AS$108)</f>
        <v>0.1998431864</v>
      </c>
      <c r="J27" s="94" t="n">
        <f aca="false">SUMIF(Main_Strategy!$BN$7:$BN$108,A27,Main_Strategy!$AU$7:$AU$108)</f>
        <v>0.01359367856</v>
      </c>
      <c r="K27" s="95" t="n">
        <f aca="false">SUMIF(Main_Strategy!$BN$7:$BN$108,A27,Main_Strategy!$BH$7:$BH$108)</f>
        <v>0.44531443704</v>
      </c>
      <c r="L27" s="96" t="n">
        <f aca="false">MAX(Assumptions!$B$16,ROUNDUP(K27*(1+Assumptions!$B$15),0))</f>
        <v>10</v>
      </c>
      <c r="M27" s="95" t="n">
        <f aca="false">SUMIF(Main_Strategy!$BN$7:$BN$108,A27,Main_Strategy!$AV$7:$AV$108)</f>
        <v>0.9472876057744</v>
      </c>
      <c r="N27" s="97" t="n">
        <f aca="false">IFERROR(K27/M27,"")</f>
        <v>0.470094229382384</v>
      </c>
      <c r="O27" s="91" t="s">
        <v>1510</v>
      </c>
    </row>
    <row r="28" customFormat="false" ht="15" hidden="false" customHeight="false" outlineLevel="0" collapsed="false">
      <c r="A28" s="91" t="s">
        <v>312</v>
      </c>
      <c r="B28" s="92" t="n">
        <v>1</v>
      </c>
      <c r="C28" s="91" t="s">
        <v>203</v>
      </c>
      <c r="D28" s="91" t="s">
        <v>196</v>
      </c>
      <c r="E28" s="91" t="s">
        <v>185</v>
      </c>
      <c r="F28" s="91" t="s">
        <v>205</v>
      </c>
      <c r="G28" s="91" t="n">
        <v>1</v>
      </c>
      <c r="H28" s="93" t="n">
        <f aca="false">COUNTIF(Main_Strategy!$BN$7:$BN$108,A28)</f>
        <v>1</v>
      </c>
      <c r="I28" s="94" t="n">
        <f aca="false">SUMIF(Main_Strategy!$BN$7:$BN$108,A28,Main_Strategy!$AS$7:$AS$108)</f>
        <v>1</v>
      </c>
      <c r="J28" s="94" t="n">
        <f aca="false">SUMIF(Main_Strategy!$BN$7:$BN$108,A28,Main_Strategy!$AU$7:$AU$108)</f>
        <v>0.12</v>
      </c>
      <c r="K28" s="95" t="n">
        <f aca="false">SUMIF(Main_Strategy!$BN$7:$BN$108,A28,Main_Strategy!$BH$7:$BH$108)</f>
        <v>4.78</v>
      </c>
      <c r="L28" s="96" t="n">
        <f aca="false">MAX(Assumptions!$B$16,ROUNDUP(K28*(1+Assumptions!$B$15),0))</f>
        <v>10</v>
      </c>
      <c r="M28" s="95" t="n">
        <f aca="false">SUMIF(Main_Strategy!$BN$7:$BN$108,A28,Main_Strategy!$AV$7:$AV$108)</f>
        <v>9.5988</v>
      </c>
      <c r="N28" s="97" t="n">
        <f aca="false">IFERROR(K28/M28,"")</f>
        <v>0.497978914030921</v>
      </c>
      <c r="O28" s="91" t="s">
        <v>1510</v>
      </c>
    </row>
    <row r="29" customFormat="false" ht="15" hidden="false" customHeight="false" outlineLevel="0" collapsed="false">
      <c r="A29" s="91" t="s">
        <v>261</v>
      </c>
      <c r="B29" s="92" t="n">
        <v>1</v>
      </c>
      <c r="C29" s="91" t="s">
        <v>203</v>
      </c>
      <c r="D29" s="91" t="s">
        <v>196</v>
      </c>
      <c r="E29" s="91" t="s">
        <v>185</v>
      </c>
      <c r="F29" s="91" t="s">
        <v>205</v>
      </c>
      <c r="G29" s="91" t="n">
        <v>1</v>
      </c>
      <c r="H29" s="93" t="n">
        <f aca="false">COUNTIF(Main_Strategy!$BN$7:$BN$108,A29)</f>
        <v>1</v>
      </c>
      <c r="I29" s="94" t="n">
        <f aca="false">SUMIF(Main_Strategy!$BN$7:$BN$108,A29,Main_Strategy!$AS$7:$AS$108)</f>
        <v>1</v>
      </c>
      <c r="J29" s="94" t="n">
        <f aca="false">SUMIF(Main_Strategy!$BN$7:$BN$108,A29,Main_Strategy!$AU$7:$AU$108)</f>
        <v>0.0889</v>
      </c>
      <c r="K29" s="95" t="n">
        <f aca="false">SUMIF(Main_Strategy!$BN$7:$BN$108,A29,Main_Strategy!$BH$7:$BH$108)</f>
        <v>3.6875</v>
      </c>
      <c r="L29" s="96" t="n">
        <f aca="false">MAX(Assumptions!$B$16,ROUNDUP(K29*(1+Assumptions!$B$15),0))</f>
        <v>10</v>
      </c>
      <c r="M29" s="95" t="n">
        <f aca="false">SUMIF(Main_Strategy!$BN$7:$BN$108,A29,Main_Strategy!$AV$7:$AV$108)</f>
        <v>7.111111</v>
      </c>
      <c r="N29" s="97" t="n">
        <f aca="false">IFERROR(K29/M29,"")</f>
        <v>0.518554695602417</v>
      </c>
      <c r="O29" s="91" t="s">
        <v>1510</v>
      </c>
    </row>
    <row r="30" customFormat="false" ht="15" hidden="false" customHeight="false" outlineLevel="0" collapsed="false">
      <c r="A30" s="91" t="s">
        <v>204</v>
      </c>
      <c r="B30" s="92" t="n">
        <v>1</v>
      </c>
      <c r="C30" s="91" t="s">
        <v>203</v>
      </c>
      <c r="D30" s="91" t="s">
        <v>196</v>
      </c>
      <c r="E30" s="91" t="s">
        <v>185</v>
      </c>
      <c r="F30" s="91" t="s">
        <v>205</v>
      </c>
      <c r="G30" s="91" t="n">
        <v>1</v>
      </c>
      <c r="H30" s="93" t="n">
        <f aca="false">COUNTIF(Main_Strategy!$BN$7:$BN$108,A30)</f>
        <v>1</v>
      </c>
      <c r="I30" s="94" t="n">
        <f aca="false">SUMIF(Main_Strategy!$BN$7:$BN$108,A30,Main_Strategy!$AS$7:$AS$108)</f>
        <v>5.717041792</v>
      </c>
      <c r="J30" s="94" t="n">
        <f aca="false">SUMIF(Main_Strategy!$BN$7:$BN$108,A30,Main_Strategy!$AU$7:$AU$108)</f>
        <v>0.54311897024</v>
      </c>
      <c r="K30" s="95" t="n">
        <f aca="false">SUMIF(Main_Strategy!$BN$7:$BN$108,A30,Main_Strategy!$BH$7:$BH$108)</f>
        <v>22.41080382464</v>
      </c>
      <c r="L30" s="96" t="n">
        <f aca="false">MAX(Assumptions!$B$16,ROUNDUP(K30*(1+Assumptions!$B$15),0))</f>
        <v>29</v>
      </c>
      <c r="M30" s="95" t="n">
        <f aca="false">SUMIF(Main_Strategy!$BN$7:$BN$108,A30,Main_Strategy!$AV$7:$AV$108)</f>
        <v>43.4440864294976</v>
      </c>
      <c r="N30" s="97" t="n">
        <f aca="false">IFERROR(K30/M30,"")</f>
        <v>0.515853955428639</v>
      </c>
      <c r="O30" s="91" t="s">
        <v>1510</v>
      </c>
    </row>
    <row r="31" customFormat="false" ht="15" hidden="false" customHeight="false" outlineLevel="0" collapsed="false">
      <c r="A31" s="91" t="s">
        <v>280</v>
      </c>
      <c r="B31" s="92" t="n">
        <v>1</v>
      </c>
      <c r="C31" s="91" t="s">
        <v>203</v>
      </c>
      <c r="D31" s="91" t="s">
        <v>196</v>
      </c>
      <c r="E31" s="91" t="s">
        <v>185</v>
      </c>
      <c r="F31" s="91" t="s">
        <v>205</v>
      </c>
      <c r="G31" s="91" t="n">
        <v>1</v>
      </c>
      <c r="H31" s="93" t="n">
        <f aca="false">COUNTIF(Main_Strategy!$BN$7:$BN$108,A31)</f>
        <v>1</v>
      </c>
      <c r="I31" s="94" t="n">
        <f aca="false">SUMIF(Main_Strategy!$BN$7:$BN$108,A31,Main_Strategy!$AS$7:$AS$108)</f>
        <v>1</v>
      </c>
      <c r="J31" s="94" t="n">
        <f aca="false">SUMIF(Main_Strategy!$BN$7:$BN$108,A31,Main_Strategy!$AU$7:$AU$108)</f>
        <v>0.064</v>
      </c>
      <c r="K31" s="95" t="n">
        <f aca="false">SUMIF(Main_Strategy!$BN$7:$BN$108,A31,Main_Strategy!$BH$7:$BH$108)</f>
        <v>2.86</v>
      </c>
      <c r="L31" s="96" t="n">
        <f aca="false">MAX(Assumptions!$B$16,ROUNDUP(K31*(1+Assumptions!$B$15),0))</f>
        <v>10</v>
      </c>
      <c r="M31" s="95" t="n">
        <f aca="false">SUMIF(Main_Strategy!$BN$7:$BN$108,A31,Main_Strategy!$AV$7:$AV$108)</f>
        <v>5.11936</v>
      </c>
      <c r="N31" s="97" t="n">
        <f aca="false">IFERROR(K31/M31,"")</f>
        <v>0.558663582947869</v>
      </c>
      <c r="O31" s="91" t="s">
        <v>1510</v>
      </c>
    </row>
    <row r="32" customFormat="false" ht="15" hidden="false" customHeight="false" outlineLevel="0" collapsed="false">
      <c r="A32" s="91" t="s">
        <v>243</v>
      </c>
      <c r="B32" s="92" t="n">
        <v>1</v>
      </c>
      <c r="C32" s="91" t="s">
        <v>203</v>
      </c>
      <c r="D32" s="91" t="s">
        <v>196</v>
      </c>
      <c r="E32" s="91" t="s">
        <v>185</v>
      </c>
      <c r="F32" s="91" t="s">
        <v>205</v>
      </c>
      <c r="G32" s="91" t="n">
        <v>1</v>
      </c>
      <c r="H32" s="93" t="n">
        <f aca="false">COUNTIF(Main_Strategy!$BN$7:$BN$108,A32)</f>
        <v>1</v>
      </c>
      <c r="I32" s="94" t="n">
        <f aca="false">SUMIF(Main_Strategy!$BN$7:$BN$108,A32,Main_Strategy!$AS$7:$AS$108)</f>
        <v>1.69871856</v>
      </c>
      <c r="J32" s="94" t="n">
        <f aca="false">SUMIF(Main_Strategy!$BN$7:$BN$108,A32,Main_Strategy!$AU$7:$AU$108)</f>
        <v>0.174288524256</v>
      </c>
      <c r="K32" s="95" t="n">
        <f aca="false">SUMIF(Main_Strategy!$BN$7:$BN$108,A32,Main_Strategy!$BH$7:$BH$108)</f>
        <v>7.0751628024</v>
      </c>
      <c r="L32" s="96" t="n">
        <f aca="false">MAX(Assumptions!$B$16,ROUNDUP(K32*(1+Assumptions!$B$15),0))</f>
        <v>10</v>
      </c>
      <c r="M32" s="95" t="n">
        <f aca="false">SUMIF(Main_Strategy!$BN$7:$BN$108,A32,Main_Strategy!$AV$7:$AV$108)</f>
        <v>13.9413390552374</v>
      </c>
      <c r="N32" s="97" t="n">
        <f aca="false">IFERROR(K32/M32,"")</f>
        <v>0.50749521078049</v>
      </c>
      <c r="O32" s="91" t="s">
        <v>1510</v>
      </c>
    </row>
    <row r="33" customFormat="false" ht="15" hidden="false" customHeight="false" outlineLevel="0" collapsed="false">
      <c r="A33" s="91" t="s">
        <v>225</v>
      </c>
      <c r="B33" s="92" t="n">
        <v>1</v>
      </c>
      <c r="C33" s="91" t="s">
        <v>203</v>
      </c>
      <c r="D33" s="91" t="s">
        <v>196</v>
      </c>
      <c r="E33" s="91" t="s">
        <v>185</v>
      </c>
      <c r="F33" s="91" t="s">
        <v>205</v>
      </c>
      <c r="G33" s="91" t="n">
        <v>1</v>
      </c>
      <c r="H33" s="93" t="n">
        <f aca="false">COUNTIF(Main_Strategy!$BN$7:$BN$108,A33)</f>
        <v>1</v>
      </c>
      <c r="I33" s="94" t="n">
        <f aca="false">SUMIF(Main_Strategy!$BN$7:$BN$108,A33,Main_Strategy!$AS$7:$AS$108)</f>
        <v>1.651744248</v>
      </c>
      <c r="J33" s="94" t="n">
        <f aca="false">SUMIF(Main_Strategy!$BN$7:$BN$108,A33,Main_Strategy!$AU$7:$AU$108)</f>
        <v>0.1200818068296</v>
      </c>
      <c r="K33" s="95" t="n">
        <f aca="false">SUMIF(Main_Strategy!$BN$7:$BN$108,A33,Main_Strategy!$BH$7:$BH$108)</f>
        <v>4.9965263502</v>
      </c>
      <c r="L33" s="96" t="n">
        <f aca="false">MAX(Assumptions!$B$16,ROUNDUP(K33*(1+Assumptions!$B$15),0))</f>
        <v>10</v>
      </c>
      <c r="M33" s="95" t="n">
        <f aca="false">SUMIF(Main_Strategy!$BN$7:$BN$108,A33,Main_Strategy!$AV$7:$AV$108)</f>
        <v>9.6053437282997</v>
      </c>
      <c r="N33" s="97" t="n">
        <f aca="false">IFERROR(K33/M33,"")</f>
        <v>0.520181941587265</v>
      </c>
      <c r="O33" s="91" t="s">
        <v>1510</v>
      </c>
    </row>
    <row r="34" customFormat="false" ht="15" hidden="false" customHeight="false" outlineLevel="0" collapsed="false">
      <c r="A34" s="91" t="s">
        <v>296</v>
      </c>
      <c r="B34" s="92" t="n">
        <v>1</v>
      </c>
      <c r="C34" s="91" t="s">
        <v>203</v>
      </c>
      <c r="D34" s="91" t="s">
        <v>196</v>
      </c>
      <c r="E34" s="91" t="s">
        <v>185</v>
      </c>
      <c r="F34" s="91" t="s">
        <v>205</v>
      </c>
      <c r="G34" s="91" t="n">
        <v>1</v>
      </c>
      <c r="H34" s="93" t="n">
        <f aca="false">COUNTIF(Main_Strategy!$BN$7:$BN$108,A34)</f>
        <v>1</v>
      </c>
      <c r="I34" s="94" t="n">
        <f aca="false">SUMIF(Main_Strategy!$BN$7:$BN$108,A34,Main_Strategy!$AS$7:$AS$108)</f>
        <v>1</v>
      </c>
      <c r="J34" s="94" t="n">
        <f aca="false">SUMIF(Main_Strategy!$BN$7:$BN$108,A34,Main_Strategy!$AU$7:$AU$108)</f>
        <v>0.064</v>
      </c>
      <c r="K34" s="95" t="n">
        <f aca="false">SUMIF(Main_Strategy!$BN$7:$BN$108,A34,Main_Strategy!$BH$7:$BH$108)</f>
        <v>2.725</v>
      </c>
      <c r="L34" s="96" t="n">
        <f aca="false">MAX(Assumptions!$B$16,ROUNDUP(K34*(1+Assumptions!$B$15),0))</f>
        <v>10</v>
      </c>
      <c r="M34" s="95" t="n">
        <f aca="false">SUMIF(Main_Strategy!$BN$7:$BN$108,A34,Main_Strategy!$AV$7:$AV$108)</f>
        <v>5.11936</v>
      </c>
      <c r="N34" s="97" t="n">
        <f aca="false">IFERROR(K34/M34,"")</f>
        <v>0.532293099137392</v>
      </c>
      <c r="O34" s="91" t="s">
        <v>1510</v>
      </c>
    </row>
    <row r="35" customFormat="false" ht="15" hidden="false" customHeight="false" outlineLevel="0" collapsed="false">
      <c r="A35" s="91" t="s">
        <v>399</v>
      </c>
      <c r="B35" s="92" t="n">
        <v>1</v>
      </c>
      <c r="C35" s="91" t="s">
        <v>203</v>
      </c>
      <c r="D35" s="91" t="s">
        <v>377</v>
      </c>
      <c r="E35" s="91"/>
      <c r="F35" s="91" t="s">
        <v>205</v>
      </c>
      <c r="G35" s="91" t="n">
        <v>1</v>
      </c>
      <c r="H35" s="93" t="n">
        <f aca="false">COUNTIF(Main_Strategy!$BN$7:$BN$108,A35)</f>
        <v>1</v>
      </c>
      <c r="I35" s="94" t="n">
        <f aca="false">SUMIF(Main_Strategy!$BN$7:$BN$108,A35,Main_Strategy!$AS$7:$AS$108)</f>
        <v>2.2319617584</v>
      </c>
      <c r="J35" s="94" t="n">
        <f aca="false">SUMIF(Main_Strategy!$BN$7:$BN$108,A35,Main_Strategy!$AU$7:$AU$108)</f>
        <v>0.13793523666912</v>
      </c>
      <c r="K35" s="95" t="n">
        <f aca="false">SUMIF(Main_Strategy!$BN$7:$BN$108,A35,Main_Strategy!$BH$7:$BH$108)</f>
        <v>5.46830630808</v>
      </c>
      <c r="L35" s="96" t="n">
        <f aca="false">MAX(Assumptions!$B$16,ROUNDUP(K35*(1+Assumptions!$B$15),0))</f>
        <v>10</v>
      </c>
      <c r="M35" s="95" t="n">
        <f aca="false">SUMIF(Main_Strategy!$BN$7:$BN$108,A35,Main_Strategy!$AV$7:$AV$108)</f>
        <v>11.0334395811629</v>
      </c>
      <c r="N35" s="97" t="n">
        <f aca="false">IFERROR(K35/M35,"")</f>
        <v>0.495612113326464</v>
      </c>
      <c r="O35" s="91" t="s">
        <v>1510</v>
      </c>
    </row>
    <row r="36" customFormat="false" ht="15" hidden="false" customHeight="false" outlineLevel="0" collapsed="false">
      <c r="A36" s="91" t="s">
        <v>414</v>
      </c>
      <c r="B36" s="92" t="n">
        <v>1</v>
      </c>
      <c r="C36" s="91" t="s">
        <v>203</v>
      </c>
      <c r="D36" s="91" t="s">
        <v>377</v>
      </c>
      <c r="E36" s="91"/>
      <c r="F36" s="91" t="s">
        <v>205</v>
      </c>
      <c r="G36" s="91" t="n">
        <v>1</v>
      </c>
      <c r="H36" s="93" t="n">
        <f aca="false">COUNTIF(Main_Strategy!$BN$7:$BN$108,A36)</f>
        <v>1</v>
      </c>
      <c r="I36" s="94" t="n">
        <f aca="false">SUMIF(Main_Strategy!$BN$7:$BN$108,A36,Main_Strategy!$AS$7:$AS$108)</f>
        <v>1</v>
      </c>
      <c r="J36" s="94" t="n">
        <f aca="false">SUMIF(Main_Strategy!$BN$7:$BN$108,A36,Main_Strategy!$AU$7:$AU$108)</f>
        <v>0.0787</v>
      </c>
      <c r="K36" s="95" t="n">
        <f aca="false">SUMIF(Main_Strategy!$BN$7:$BN$108,A36,Main_Strategy!$BH$7:$BH$108)</f>
        <v>2.35</v>
      </c>
      <c r="L36" s="96" t="n">
        <f aca="false">MAX(Assumptions!$B$16,ROUNDUP(K36*(1+Assumptions!$B$15),0))</f>
        <v>10</v>
      </c>
      <c r="M36" s="95" t="n">
        <f aca="false">SUMIF(Main_Strategy!$BN$7:$BN$108,A36,Main_Strategy!$AV$7:$AV$108)</f>
        <v>6.295213</v>
      </c>
      <c r="N36" s="97" t="n">
        <f aca="false">IFERROR(K36/M36,"")</f>
        <v>0.373299521398243</v>
      </c>
      <c r="O36" s="91" t="s">
        <v>1510</v>
      </c>
    </row>
    <row r="37" customFormat="false" ht="15" hidden="false" customHeight="false" outlineLevel="0" collapsed="false">
      <c r="A37" s="91" t="s">
        <v>381</v>
      </c>
      <c r="B37" s="92" t="n">
        <v>1</v>
      </c>
      <c r="C37" s="91" t="s">
        <v>203</v>
      </c>
      <c r="D37" s="91" t="s">
        <v>377</v>
      </c>
      <c r="E37" s="91"/>
      <c r="F37" s="91" t="s">
        <v>205</v>
      </c>
      <c r="G37" s="91" t="n">
        <v>1</v>
      </c>
      <c r="H37" s="93" t="n">
        <f aca="false">COUNTIF(Main_Strategy!$BN$7:$BN$108,A37)</f>
        <v>1</v>
      </c>
      <c r="I37" s="94" t="n">
        <f aca="false">SUMIF(Main_Strategy!$BN$7:$BN$108,A37,Main_Strategy!$AS$7:$AS$108)</f>
        <v>3.57142857142857</v>
      </c>
      <c r="J37" s="94" t="n">
        <f aca="false">SUMIF(Main_Strategy!$BN$7:$BN$108,A37,Main_Strategy!$AU$7:$AU$108)</f>
        <v>0.270714285714286</v>
      </c>
      <c r="K37" s="95" t="n">
        <f aca="false">SUMIF(Main_Strategy!$BN$7:$BN$108,A37,Main_Strategy!$BH$7:$BH$108)</f>
        <v>7.17857142857143</v>
      </c>
      <c r="L37" s="96" t="n">
        <f aca="false">MAX(Assumptions!$B$16,ROUNDUP(K37*(1+Assumptions!$B$15),0))</f>
        <v>10</v>
      </c>
      <c r="M37" s="95" t="n">
        <f aca="false">SUMIF(Main_Strategy!$BN$7:$BN$108,A37,Main_Strategy!$AV$7:$AV$108)</f>
        <v>21.6544357142857</v>
      </c>
      <c r="N37" s="97" t="n">
        <f aca="false">IFERROR(K37/M37,"")</f>
        <v>0.331505818174501</v>
      </c>
      <c r="O37" s="91" t="s">
        <v>1510</v>
      </c>
    </row>
    <row r="38" customFormat="false" ht="15" hidden="false" customHeight="false" outlineLevel="0" collapsed="false">
      <c r="A38" s="91" t="s">
        <v>759</v>
      </c>
      <c r="B38" s="92" t="n">
        <v>1</v>
      </c>
      <c r="C38" s="91" t="s">
        <v>758</v>
      </c>
      <c r="D38" s="91" t="s">
        <v>328</v>
      </c>
      <c r="E38" s="91"/>
      <c r="F38" s="91" t="s">
        <v>205</v>
      </c>
      <c r="G38" s="91" t="n">
        <v>2</v>
      </c>
      <c r="H38" s="93" t="n">
        <f aca="false">COUNTIF(Main_Strategy!$BN$7:$BN$108,A38)</f>
        <v>2</v>
      </c>
      <c r="I38" s="94" t="n">
        <f aca="false">SUMIF(Main_Strategy!$BN$7:$BN$108,A38,Main_Strategy!$AS$7:$AS$108)</f>
        <v>0.0367969008</v>
      </c>
      <c r="J38" s="94" t="n">
        <f aca="false">SUMIF(Main_Strategy!$BN$7:$BN$108,A38,Main_Strategy!$AU$7:$AU$108)</f>
        <v>0.0023550016512</v>
      </c>
      <c r="K38" s="95" t="n">
        <f aca="false">SUMIF(Main_Strategy!$BN$7:$BN$108,A38,Main_Strategy!$BH$7:$BH$108)</f>
        <v>0.082596381648</v>
      </c>
      <c r="L38" s="96" t="n">
        <f aca="false">MAX(Assumptions!$B$16,ROUNDUP(K38*(1+Assumptions!$B$15),0))</f>
        <v>10</v>
      </c>
      <c r="M38" s="95" t="n">
        <f aca="false">SUMIF(Main_Strategy!$BN$7:$BN$108,A38,Main_Strategy!$AV$7:$AV$108)</f>
        <v>0.188376582079488</v>
      </c>
      <c r="N38" s="97" t="n">
        <f aca="false">IFERROR(K38/M38,"")</f>
        <v>0.438464169676608</v>
      </c>
      <c r="O38" s="91" t="s">
        <v>1510</v>
      </c>
    </row>
    <row r="39" customFormat="false" ht="15" hidden="false" customHeight="false" outlineLevel="0" collapsed="false">
      <c r="A39" s="91" t="s">
        <v>786</v>
      </c>
      <c r="B39" s="92" t="n">
        <v>1</v>
      </c>
      <c r="C39" s="91" t="s">
        <v>758</v>
      </c>
      <c r="D39" s="91" t="s">
        <v>328</v>
      </c>
      <c r="E39" s="91" t="s">
        <v>185</v>
      </c>
      <c r="F39" s="91" t="s">
        <v>788</v>
      </c>
      <c r="G39" s="91" t="n">
        <v>2</v>
      </c>
      <c r="H39" s="93" t="n">
        <f aca="false">COUNTIF(Main_Strategy!$BN$7:$BN$108,A39)</f>
        <v>5</v>
      </c>
      <c r="I39" s="94" t="n">
        <f aca="false">SUMIF(Main_Strategy!$BN$7:$BN$108,A39,Main_Strategy!$AS$7:$AS$108)</f>
        <v>0.1547277952</v>
      </c>
      <c r="J39" s="94" t="n">
        <f aca="false">SUMIF(Main_Strategy!$BN$7:$BN$108,A39,Main_Strategy!$AU$7:$AU$108)</f>
        <v>0.0099025788928</v>
      </c>
      <c r="K39" s="95" t="n">
        <f aca="false">SUMIF(Main_Strategy!$BN$7:$BN$108,A39,Main_Strategy!$BH$7:$BH$108)</f>
        <v>0.337306593536</v>
      </c>
      <c r="L39" s="96" t="n">
        <f aca="false">MAX(Assumptions!$B$16,ROUNDUP(K39*(1+Assumptions!$B$15),0))</f>
        <v>10</v>
      </c>
      <c r="M39" s="95" t="n">
        <f aca="false">SUMIF(Main_Strategy!$BN$7:$BN$108,A39,Main_Strategy!$AV$7:$AV$108)</f>
        <v>0.792107285635072</v>
      </c>
      <c r="N39" s="97" t="n">
        <f aca="false">IFERROR(K39/M39,"")</f>
        <v>0.425834479309914</v>
      </c>
      <c r="O39" s="91" t="s">
        <v>1510</v>
      </c>
    </row>
    <row r="40" customFormat="false" ht="15" hidden="false" customHeight="false" outlineLevel="0" collapsed="false">
      <c r="A40" s="91" t="s">
        <v>332</v>
      </c>
      <c r="B40" s="92" t="n">
        <v>1</v>
      </c>
      <c r="C40" s="91" t="s">
        <v>203</v>
      </c>
      <c r="D40" s="91" t="s">
        <v>328</v>
      </c>
      <c r="E40" s="91"/>
      <c r="F40" s="91" t="s">
        <v>205</v>
      </c>
      <c r="G40" s="91" t="n">
        <v>1</v>
      </c>
      <c r="H40" s="93" t="n">
        <f aca="false">COUNTIF(Main_Strategy!$BN$7:$BN$108,A40)</f>
        <v>1</v>
      </c>
      <c r="I40" s="94" t="n">
        <f aca="false">SUMIF(Main_Strategy!$BN$7:$BN$108,A40,Main_Strategy!$AS$7:$AS$108)</f>
        <v>0.627096624</v>
      </c>
      <c r="J40" s="94" t="n">
        <f aca="false">SUMIF(Main_Strategy!$BN$7:$BN$108,A40,Main_Strategy!$AU$7:$AU$108)</f>
        <v>0.0494779236336</v>
      </c>
      <c r="K40" s="95" t="n">
        <f aca="false">SUMIF(Main_Strategy!$BN$7:$BN$108,A40,Main_Strategy!$BH$7:$BH$108)</f>
        <v>1.76214151344</v>
      </c>
      <c r="L40" s="96" t="n">
        <f aca="false">MAX(Assumptions!$B$16,ROUNDUP(K40*(1+Assumptions!$B$15),0))</f>
        <v>10</v>
      </c>
      <c r="M40" s="95" t="n">
        <f aca="false">SUMIF(Main_Strategy!$BN$7:$BN$108,A40,Main_Strategy!$AV$7:$AV$108)</f>
        <v>3.95773911145166</v>
      </c>
      <c r="N40" s="97" t="n">
        <f aca="false">IFERROR(K40/M40,"")</f>
        <v>0.445239431861809</v>
      </c>
      <c r="O40" s="91" t="s">
        <v>1510</v>
      </c>
    </row>
    <row r="41" customFormat="false" ht="15" hidden="false" customHeight="false" outlineLevel="0" collapsed="false">
      <c r="A41" s="91" t="s">
        <v>351</v>
      </c>
      <c r="B41" s="92" t="n">
        <v>1</v>
      </c>
      <c r="C41" s="91" t="s">
        <v>203</v>
      </c>
      <c r="D41" s="91" t="s">
        <v>328</v>
      </c>
      <c r="E41" s="91" t="s">
        <v>185</v>
      </c>
      <c r="F41" s="91" t="s">
        <v>205</v>
      </c>
      <c r="G41" s="91" t="n">
        <v>1</v>
      </c>
      <c r="H41" s="93" t="n">
        <f aca="false">COUNTIF(Main_Strategy!$BN$7:$BN$108,A41)</f>
        <v>1</v>
      </c>
      <c r="I41" s="94" t="n">
        <f aca="false">SUMIF(Main_Strategy!$BN$7:$BN$108,A41,Main_Strategy!$AS$7:$AS$108)</f>
        <v>0.1236809728</v>
      </c>
      <c r="J41" s="94" t="n">
        <f aca="false">SUMIF(Main_Strategy!$BN$7:$BN$108,A41,Main_Strategy!$AU$7:$AU$108)</f>
        <v>0.0056893247488</v>
      </c>
      <c r="K41" s="95" t="n">
        <f aca="false">SUMIF(Main_Strategy!$BN$7:$BN$108,A41,Main_Strategy!$BH$7:$BH$108)</f>
        <v>0.17315336192</v>
      </c>
      <c r="L41" s="96" t="n">
        <f aca="false">MAX(Assumptions!$B$16,ROUNDUP(K41*(1+Assumptions!$B$15),0))</f>
        <v>10</v>
      </c>
      <c r="M41" s="95" t="n">
        <f aca="false">SUMIF(Main_Strategy!$BN$7:$BN$108,A41,Main_Strategy!$AV$7:$AV$108)</f>
        <v>0.455089086656512</v>
      </c>
      <c r="N41" s="97" t="n">
        <f aca="false">IFERROR(K41/M41,"")</f>
        <v>0.380482342901558</v>
      </c>
      <c r="O41" s="91" t="s">
        <v>1510</v>
      </c>
    </row>
    <row r="42" customFormat="false" ht="15" hidden="false" customHeight="false" outlineLevel="0" collapsed="false">
      <c r="A42" s="91" t="s">
        <v>364</v>
      </c>
      <c r="B42" s="92" t="n">
        <v>1</v>
      </c>
      <c r="C42" s="91" t="s">
        <v>203</v>
      </c>
      <c r="D42" s="91" t="s">
        <v>328</v>
      </c>
      <c r="E42" s="91" t="s">
        <v>185</v>
      </c>
      <c r="F42" s="91" t="s">
        <v>205</v>
      </c>
      <c r="G42" s="91" t="n">
        <v>1</v>
      </c>
      <c r="H42" s="93" t="n">
        <f aca="false">COUNTIF(Main_Strategy!$BN$7:$BN$108,A42)</f>
        <v>1</v>
      </c>
      <c r="I42" s="94" t="n">
        <f aca="false">SUMIF(Main_Strategy!$BN$7:$BN$108,A42,Main_Strategy!$AS$7:$AS$108)</f>
        <v>0.1267799808</v>
      </c>
      <c r="J42" s="94" t="n">
        <f aca="false">SUMIF(Main_Strategy!$BN$7:$BN$108,A42,Main_Strategy!$AU$7:$AU$108)</f>
        <v>0.0081139187712</v>
      </c>
      <c r="K42" s="95" t="n">
        <f aca="false">SUMIF(Main_Strategy!$BN$7:$BN$108,A42,Main_Strategy!$BH$7:$BH$108)</f>
        <v>0.276380358144</v>
      </c>
      <c r="L42" s="96" t="n">
        <f aca="false">MAX(Assumptions!$B$16,ROUNDUP(K42*(1+Assumptions!$B$15),0))</f>
        <v>10</v>
      </c>
      <c r="M42" s="95" t="n">
        <f aca="false">SUMIF(Main_Strategy!$BN$7:$BN$108,A42,Main_Strategy!$AV$7:$AV$108)</f>
        <v>0.649032362508288</v>
      </c>
      <c r="N42" s="97" t="n">
        <f aca="false">IFERROR(K42/M42,"")</f>
        <v>0.425834479309914</v>
      </c>
      <c r="O42" s="91" t="s">
        <v>1510</v>
      </c>
    </row>
    <row r="43" customFormat="false" ht="15" hidden="false" customHeight="false" outlineLevel="0" collapsed="false">
      <c r="A43" s="91" t="s">
        <v>1402</v>
      </c>
      <c r="B43" s="98" t="n">
        <v>2</v>
      </c>
      <c r="C43" s="91" t="s">
        <v>1401</v>
      </c>
      <c r="D43" s="91" t="s">
        <v>1398</v>
      </c>
      <c r="E43" s="91"/>
      <c r="F43" s="91" t="s">
        <v>205</v>
      </c>
      <c r="G43" s="91" t="n">
        <v>1</v>
      </c>
      <c r="H43" s="93" t="n">
        <f aca="false">COUNTIF(Main_Strategy!$BN$7:$BN$108,A43)</f>
        <v>1</v>
      </c>
      <c r="I43" s="94" t="n">
        <f aca="false">SUMIF(Main_Strategy!$BN$7:$BN$108,A43,Main_Strategy!$AS$7:$AS$108)</f>
        <v>0.196666666666667</v>
      </c>
      <c r="J43" s="94" t="n">
        <f aca="false">SUMIF(Main_Strategy!$BN$7:$BN$108,A43,Main_Strategy!$AU$7:$AU$108)</f>
        <v>0.0275333333333333</v>
      </c>
      <c r="K43" s="95" t="n">
        <f aca="false">SUMIF(Main_Strategy!$BN$7:$BN$108,A43,Main_Strategy!$BH$7:$BH$108)</f>
        <v>0.420866666666667</v>
      </c>
      <c r="L43" s="96" t="n">
        <f aca="false">MAX(Assumptions!$B$16,ROUNDUP(K43*(1+Assumptions!$B$15),0))</f>
        <v>10</v>
      </c>
      <c r="M43" s="95" t="n">
        <f aca="false">SUMIF(Main_Strategy!$BN$7:$BN$108,A43,Main_Strategy!$AV$7:$AV$108)</f>
        <v>2.20239133333333</v>
      </c>
      <c r="N43" s="97" t="n">
        <f aca="false">IFERROR(K43/M43,"")</f>
        <v>0.191095315485864</v>
      </c>
      <c r="O43" s="91" t="s">
        <v>1510</v>
      </c>
    </row>
    <row r="44" customFormat="false" ht="15" hidden="false" customHeight="false" outlineLevel="0" collapsed="false">
      <c r="A44" s="91" t="s">
        <v>1201</v>
      </c>
      <c r="B44" s="98" t="n">
        <v>2</v>
      </c>
      <c r="C44" s="91" t="s">
        <v>203</v>
      </c>
      <c r="D44" s="91" t="s">
        <v>430</v>
      </c>
      <c r="E44" s="91" t="s">
        <v>422</v>
      </c>
      <c r="F44" s="91" t="s">
        <v>435</v>
      </c>
      <c r="G44" s="91" t="n">
        <v>1</v>
      </c>
      <c r="H44" s="93" t="n">
        <f aca="false">COUNTIF(Main_Strategy!$BN$7:$BN$108,A44)</f>
        <v>1</v>
      </c>
      <c r="I44" s="94" t="n">
        <f aca="false">SUMIF(Main_Strategy!$BN$7:$BN$108,A44,Main_Strategy!$AS$7:$AS$108)</f>
        <v>1</v>
      </c>
      <c r="J44" s="94" t="n">
        <f aca="false">SUMIF(Main_Strategy!$BN$7:$BN$108,A44,Main_Strategy!$AU$7:$AU$108)</f>
        <v>0.1391</v>
      </c>
      <c r="K44" s="95" t="n">
        <f aca="false">SUMIF(Main_Strategy!$BN$7:$BN$108,A44,Main_Strategy!$BH$7:$BH$108)</f>
        <v>3.46</v>
      </c>
      <c r="L44" s="96" t="n">
        <f aca="false">MAX(Assumptions!$B$16,ROUNDUP(K44*(1+Assumptions!$B$15),0))</f>
        <v>10</v>
      </c>
      <c r="M44" s="95" t="n">
        <f aca="false">SUMIF(Main_Strategy!$BN$7:$BN$108,A44,Main_Strategy!$AV$7:$AV$108)</f>
        <v>12.100309</v>
      </c>
      <c r="N44" s="97" t="n">
        <f aca="false">IFERROR(K44/M44,"")</f>
        <v>0.285943111039561</v>
      </c>
      <c r="O44" s="91" t="s">
        <v>1510</v>
      </c>
    </row>
    <row r="45" customFormat="false" ht="15" hidden="false" customHeight="false" outlineLevel="0" collapsed="false">
      <c r="A45" s="91" t="s">
        <v>1192</v>
      </c>
      <c r="B45" s="98" t="n">
        <v>2</v>
      </c>
      <c r="C45" s="91" t="s">
        <v>203</v>
      </c>
      <c r="D45" s="91" t="s">
        <v>430</v>
      </c>
      <c r="E45" s="91" t="s">
        <v>422</v>
      </c>
      <c r="F45" s="91" t="s">
        <v>435</v>
      </c>
      <c r="G45" s="91" t="n">
        <v>1</v>
      </c>
      <c r="H45" s="93" t="n">
        <f aca="false">COUNTIF(Main_Strategy!$BN$7:$BN$108,A45)</f>
        <v>1</v>
      </c>
      <c r="I45" s="94" t="n">
        <f aca="false">SUMIF(Main_Strategy!$BN$7:$BN$108,A45,Main_Strategy!$AS$7:$AS$108)</f>
        <v>1</v>
      </c>
      <c r="J45" s="94" t="n">
        <f aca="false">SUMIF(Main_Strategy!$BN$7:$BN$108,A45,Main_Strategy!$AU$7:$AU$108)</f>
        <v>0.064</v>
      </c>
      <c r="K45" s="95" t="n">
        <f aca="false">SUMIF(Main_Strategy!$BN$7:$BN$108,A45,Main_Strategy!$BH$7:$BH$108)</f>
        <v>2.96</v>
      </c>
      <c r="L45" s="96" t="n">
        <f aca="false">MAX(Assumptions!$B$16,ROUNDUP(K45*(1+Assumptions!$B$15),0))</f>
        <v>10</v>
      </c>
      <c r="M45" s="95" t="n">
        <f aca="false">SUMIF(Main_Strategy!$BN$7:$BN$108,A45,Main_Strategy!$AV$7:$AV$108)</f>
        <v>5.56736</v>
      </c>
      <c r="N45" s="97" t="n">
        <f aca="false">IFERROR(K45/M45,"")</f>
        <v>0.531670306931831</v>
      </c>
      <c r="O45" s="91" t="s">
        <v>1510</v>
      </c>
    </row>
    <row r="46" customFormat="false" ht="15" hidden="false" customHeight="false" outlineLevel="0" collapsed="false">
      <c r="A46" s="91" t="s">
        <v>1367</v>
      </c>
      <c r="B46" s="98" t="n">
        <v>2</v>
      </c>
      <c r="C46" s="91" t="s">
        <v>203</v>
      </c>
      <c r="D46" s="91" t="s">
        <v>430</v>
      </c>
      <c r="E46" s="91" t="s">
        <v>560</v>
      </c>
      <c r="F46" s="91" t="s">
        <v>569</v>
      </c>
      <c r="G46" s="91" t="n">
        <v>1</v>
      </c>
      <c r="H46" s="93" t="n">
        <f aca="false">COUNTIF(Main_Strategy!$BN$7:$BN$108,A46)</f>
        <v>1</v>
      </c>
      <c r="I46" s="94" t="n">
        <f aca="false">SUMIF(Main_Strategy!$BN$7:$BN$108,A46,Main_Strategy!$AS$7:$AS$108)</f>
        <v>1</v>
      </c>
      <c r="J46" s="94" t="n">
        <f aca="false">SUMIF(Main_Strategy!$BN$7:$BN$108,A46,Main_Strategy!$AU$7:$AU$108)</f>
        <v>0.064</v>
      </c>
      <c r="K46" s="95" t="n">
        <f aca="false">SUMIF(Main_Strategy!$BN$7:$BN$108,A46,Main_Strategy!$BH$7:$BH$108)</f>
        <v>2.86</v>
      </c>
      <c r="L46" s="96" t="n">
        <f aca="false">MAX(Assumptions!$B$16,ROUNDUP(K46*(1+Assumptions!$B$15),0))</f>
        <v>10</v>
      </c>
      <c r="M46" s="95" t="n">
        <f aca="false">SUMIF(Main_Strategy!$BN$7:$BN$108,A46,Main_Strategy!$AV$7:$AV$108)</f>
        <v>5.43936</v>
      </c>
      <c r="N46" s="97" t="n">
        <f aca="false">IFERROR(K46/M46,"")</f>
        <v>0.525797152606189</v>
      </c>
      <c r="O46" s="91" t="s">
        <v>1510</v>
      </c>
    </row>
    <row r="47" customFormat="false" ht="15" hidden="false" customHeight="false" outlineLevel="0" collapsed="false">
      <c r="A47" s="91" t="s">
        <v>1235</v>
      </c>
      <c r="B47" s="98" t="n">
        <v>2</v>
      </c>
      <c r="C47" s="91" t="s">
        <v>203</v>
      </c>
      <c r="D47" s="91" t="s">
        <v>430</v>
      </c>
      <c r="E47" s="91" t="s">
        <v>479</v>
      </c>
      <c r="F47" s="91" t="s">
        <v>488</v>
      </c>
      <c r="G47" s="91" t="n">
        <v>1</v>
      </c>
      <c r="H47" s="93" t="n">
        <f aca="false">COUNTIF(Main_Strategy!$BN$7:$BN$108,A47)</f>
        <v>1</v>
      </c>
      <c r="I47" s="94" t="n">
        <f aca="false">SUMIF(Main_Strategy!$BN$7:$BN$108,A47,Main_Strategy!$AS$7:$AS$108)</f>
        <v>1</v>
      </c>
      <c r="J47" s="94" t="n">
        <f aca="false">SUMIF(Main_Strategy!$BN$7:$BN$108,A47,Main_Strategy!$AU$7:$AU$108)</f>
        <v>0.0492</v>
      </c>
      <c r="K47" s="95" t="n">
        <f aca="false">SUMIF(Main_Strategy!$BN$7:$BN$108,A47,Main_Strategy!$BH$7:$BH$108)</f>
        <v>1.57</v>
      </c>
      <c r="L47" s="96" t="n">
        <f aca="false">MAX(Assumptions!$B$16,ROUNDUP(K47*(1+Assumptions!$B$15),0))</f>
        <v>10</v>
      </c>
      <c r="M47" s="95" t="n">
        <f aca="false">SUMIF(Main_Strategy!$BN$7:$BN$108,A47,Main_Strategy!$AV$7:$AV$108)</f>
        <v>3.345108</v>
      </c>
      <c r="N47" s="97" t="n">
        <f aca="false">IFERROR(K47/M47,"")</f>
        <v>0.46934209598016</v>
      </c>
      <c r="O47" s="91" t="s">
        <v>1510</v>
      </c>
    </row>
    <row r="48" customFormat="false" ht="15" hidden="false" customHeight="false" outlineLevel="0" collapsed="false">
      <c r="A48" s="91" t="s">
        <v>1356</v>
      </c>
      <c r="B48" s="98" t="n">
        <v>2</v>
      </c>
      <c r="C48" s="91" t="s">
        <v>203</v>
      </c>
      <c r="D48" s="91" t="s">
        <v>430</v>
      </c>
      <c r="E48" s="91" t="s">
        <v>560</v>
      </c>
      <c r="F48" s="91" t="s">
        <v>569</v>
      </c>
      <c r="G48" s="91" t="n">
        <v>1</v>
      </c>
      <c r="H48" s="93" t="n">
        <f aca="false">COUNTIF(Main_Strategy!$BN$7:$BN$108,A48)</f>
        <v>1</v>
      </c>
      <c r="I48" s="94" t="n">
        <f aca="false">SUMIF(Main_Strategy!$BN$7:$BN$108,A48,Main_Strategy!$AS$7:$AS$108)</f>
        <v>1</v>
      </c>
      <c r="J48" s="94" t="n">
        <f aca="false">SUMIF(Main_Strategy!$BN$7:$BN$108,A48,Main_Strategy!$AU$7:$AU$108)</f>
        <v>0.064</v>
      </c>
      <c r="K48" s="95" t="n">
        <f aca="false">SUMIF(Main_Strategy!$BN$7:$BN$108,A48,Main_Strategy!$BH$7:$BH$108)</f>
        <v>2.86</v>
      </c>
      <c r="L48" s="96" t="n">
        <f aca="false">MAX(Assumptions!$B$16,ROUNDUP(K48*(1+Assumptions!$B$15),0))</f>
        <v>10</v>
      </c>
      <c r="M48" s="95" t="n">
        <f aca="false">SUMIF(Main_Strategy!$BN$7:$BN$108,A48,Main_Strategy!$AV$7:$AV$108)</f>
        <v>5.43936</v>
      </c>
      <c r="N48" s="97" t="n">
        <f aca="false">IFERROR(K48/M48,"")</f>
        <v>0.525797152606189</v>
      </c>
      <c r="O48" s="91" t="s">
        <v>1510</v>
      </c>
    </row>
    <row r="49" customFormat="false" ht="15" hidden="false" customHeight="false" outlineLevel="0" collapsed="false">
      <c r="A49" s="91" t="s">
        <v>1182</v>
      </c>
      <c r="B49" s="98" t="n">
        <v>2</v>
      </c>
      <c r="C49" s="91" t="s">
        <v>203</v>
      </c>
      <c r="D49" s="91" t="s">
        <v>430</v>
      </c>
      <c r="E49" s="91" t="s">
        <v>422</v>
      </c>
      <c r="F49" s="91" t="s">
        <v>435</v>
      </c>
      <c r="G49" s="91" t="n">
        <v>1</v>
      </c>
      <c r="H49" s="93" t="n">
        <f aca="false">COUNTIF(Main_Strategy!$BN$7:$BN$108,A49)</f>
        <v>1</v>
      </c>
      <c r="I49" s="94" t="n">
        <f aca="false">SUMIF(Main_Strategy!$BN$7:$BN$108,A49,Main_Strategy!$AS$7:$AS$108)</f>
        <v>1</v>
      </c>
      <c r="J49" s="94" t="n">
        <f aca="false">SUMIF(Main_Strategy!$BN$7:$BN$108,A49,Main_Strategy!$AU$7:$AU$108)</f>
        <v>0.064</v>
      </c>
      <c r="K49" s="95" t="n">
        <f aca="false">SUMIF(Main_Strategy!$BN$7:$BN$108,A49,Main_Strategy!$BH$7:$BH$108)</f>
        <v>2.96</v>
      </c>
      <c r="L49" s="96" t="n">
        <f aca="false">MAX(Assumptions!$B$16,ROUNDUP(K49*(1+Assumptions!$B$15),0))</f>
        <v>10</v>
      </c>
      <c r="M49" s="95" t="n">
        <f aca="false">SUMIF(Main_Strategy!$BN$7:$BN$108,A49,Main_Strategy!$AV$7:$AV$108)</f>
        <v>5.56736</v>
      </c>
      <c r="N49" s="97" t="n">
        <f aca="false">IFERROR(K49/M49,"")</f>
        <v>0.531670306931831</v>
      </c>
      <c r="O49" s="91" t="s">
        <v>1510</v>
      </c>
    </row>
    <row r="50" customFormat="false" ht="15" hidden="false" customHeight="false" outlineLevel="0" collapsed="false">
      <c r="A50" s="91" t="s">
        <v>1326</v>
      </c>
      <c r="B50" s="98" t="n">
        <v>2</v>
      </c>
      <c r="C50" s="91" t="s">
        <v>203</v>
      </c>
      <c r="D50" s="91" t="s">
        <v>430</v>
      </c>
      <c r="E50" s="91" t="s">
        <v>560</v>
      </c>
      <c r="F50" s="91" t="s">
        <v>569</v>
      </c>
      <c r="G50" s="91" t="n">
        <v>1</v>
      </c>
      <c r="H50" s="93" t="n">
        <f aca="false">COUNTIF(Main_Strategy!$BN$7:$BN$108,A50)</f>
        <v>1</v>
      </c>
      <c r="I50" s="94" t="n">
        <f aca="false">SUMIF(Main_Strategy!$BN$7:$BN$108,A50,Main_Strategy!$AS$7:$AS$108)</f>
        <v>1</v>
      </c>
      <c r="J50" s="94" t="n">
        <f aca="false">SUMIF(Main_Strategy!$BN$7:$BN$108,A50,Main_Strategy!$AU$7:$AU$108)</f>
        <v>0.064</v>
      </c>
      <c r="K50" s="95" t="n">
        <f aca="false">SUMIF(Main_Strategy!$BN$7:$BN$108,A50,Main_Strategy!$BH$7:$BH$108)</f>
        <v>2.86</v>
      </c>
      <c r="L50" s="96" t="n">
        <f aca="false">MAX(Assumptions!$B$16,ROUNDUP(K50*(1+Assumptions!$B$15),0))</f>
        <v>10</v>
      </c>
      <c r="M50" s="95" t="n">
        <f aca="false">SUMIF(Main_Strategy!$BN$7:$BN$108,A50,Main_Strategy!$AV$7:$AV$108)</f>
        <v>5.43936</v>
      </c>
      <c r="N50" s="97" t="n">
        <f aca="false">IFERROR(K50/M50,"")</f>
        <v>0.525797152606189</v>
      </c>
      <c r="O50" s="91" t="s">
        <v>1510</v>
      </c>
    </row>
    <row r="51" customFormat="false" ht="15" hidden="false" customHeight="false" outlineLevel="0" collapsed="false">
      <c r="A51" s="91" t="s">
        <v>1245</v>
      </c>
      <c r="B51" s="98" t="n">
        <v>2</v>
      </c>
      <c r="C51" s="91" t="s">
        <v>203</v>
      </c>
      <c r="D51" s="91" t="s">
        <v>430</v>
      </c>
      <c r="E51" s="91" t="s">
        <v>479</v>
      </c>
      <c r="F51" s="91" t="s">
        <v>488</v>
      </c>
      <c r="G51" s="91" t="n">
        <v>1</v>
      </c>
      <c r="H51" s="93" t="n">
        <f aca="false">COUNTIF(Main_Strategy!$BN$7:$BN$108,A51)</f>
        <v>1</v>
      </c>
      <c r="I51" s="94" t="n">
        <f aca="false">SUMIF(Main_Strategy!$BN$7:$BN$108,A51,Main_Strategy!$AS$7:$AS$108)</f>
        <v>1</v>
      </c>
      <c r="J51" s="94" t="n">
        <f aca="false">SUMIF(Main_Strategy!$BN$7:$BN$108,A51,Main_Strategy!$AU$7:$AU$108)</f>
        <v>0.064</v>
      </c>
      <c r="K51" s="95" t="n">
        <f aca="false">SUMIF(Main_Strategy!$BN$7:$BN$108,A51,Main_Strategy!$BH$7:$BH$108)</f>
        <v>2.04</v>
      </c>
      <c r="L51" s="96" t="n">
        <f aca="false">MAX(Assumptions!$B$16,ROUNDUP(K51*(1+Assumptions!$B$15),0))</f>
        <v>10</v>
      </c>
      <c r="M51" s="95" t="n">
        <f aca="false">SUMIF(Main_Strategy!$BN$7:$BN$108,A51,Main_Strategy!$AV$7:$AV$108)</f>
        <v>4.35136</v>
      </c>
      <c r="N51" s="97" t="n">
        <f aca="false">IFERROR(K51/M51,"")</f>
        <v>0.468818943962347</v>
      </c>
      <c r="O51" s="91" t="s">
        <v>1510</v>
      </c>
    </row>
    <row r="52" customFormat="false" ht="15" hidden="false" customHeight="false" outlineLevel="0" collapsed="false">
      <c r="A52" s="91" t="s">
        <v>1257</v>
      </c>
      <c r="B52" s="98" t="n">
        <v>2</v>
      </c>
      <c r="C52" s="91" t="s">
        <v>203</v>
      </c>
      <c r="D52" s="91" t="s">
        <v>430</v>
      </c>
      <c r="E52" s="91" t="s">
        <v>479</v>
      </c>
      <c r="F52" s="91" t="s">
        <v>488</v>
      </c>
      <c r="G52" s="91" t="n">
        <v>1</v>
      </c>
      <c r="H52" s="93" t="n">
        <f aca="false">COUNTIF(Main_Strategy!$BN$7:$BN$108,A52)</f>
        <v>1</v>
      </c>
      <c r="I52" s="94" t="n">
        <f aca="false">SUMIF(Main_Strategy!$BN$7:$BN$108,A52,Main_Strategy!$AS$7:$AS$108)</f>
        <v>1</v>
      </c>
      <c r="J52" s="94" t="n">
        <f aca="false">SUMIF(Main_Strategy!$BN$7:$BN$108,A52,Main_Strategy!$AU$7:$AU$108)</f>
        <v>0.064</v>
      </c>
      <c r="K52" s="95" t="n">
        <f aca="false">SUMIF(Main_Strategy!$BN$7:$BN$108,A52,Main_Strategy!$BH$7:$BH$108)</f>
        <v>2.04</v>
      </c>
      <c r="L52" s="96" t="n">
        <f aca="false">MAX(Assumptions!$B$16,ROUNDUP(K52*(1+Assumptions!$B$15),0))</f>
        <v>10</v>
      </c>
      <c r="M52" s="95" t="n">
        <f aca="false">SUMIF(Main_Strategy!$BN$7:$BN$108,A52,Main_Strategy!$AV$7:$AV$108)</f>
        <v>4.35136</v>
      </c>
      <c r="N52" s="97" t="n">
        <f aca="false">IFERROR(K52/M52,"")</f>
        <v>0.468818943962347</v>
      </c>
      <c r="O52" s="91" t="s">
        <v>1510</v>
      </c>
    </row>
    <row r="53" customFormat="false" ht="15" hidden="false" customHeight="false" outlineLevel="0" collapsed="false">
      <c r="A53" s="91" t="s">
        <v>1222</v>
      </c>
      <c r="B53" s="98" t="n">
        <v>2</v>
      </c>
      <c r="C53" s="91" t="s">
        <v>203</v>
      </c>
      <c r="D53" s="91" t="s">
        <v>430</v>
      </c>
      <c r="E53" s="91" t="s">
        <v>479</v>
      </c>
      <c r="F53" s="91" t="s">
        <v>488</v>
      </c>
      <c r="G53" s="91" t="n">
        <v>1</v>
      </c>
      <c r="H53" s="93" t="n">
        <f aca="false">COUNTIF(Main_Strategy!$BN$7:$BN$108,A53)</f>
        <v>1</v>
      </c>
      <c r="I53" s="94" t="n">
        <f aca="false">SUMIF(Main_Strategy!$BN$7:$BN$108,A53,Main_Strategy!$AS$7:$AS$108)</f>
        <v>1</v>
      </c>
      <c r="J53" s="94" t="n">
        <f aca="false">SUMIF(Main_Strategy!$BN$7:$BN$108,A53,Main_Strategy!$AU$7:$AU$108)</f>
        <v>0.064</v>
      </c>
      <c r="K53" s="95" t="n">
        <f aca="false">SUMIF(Main_Strategy!$BN$7:$BN$108,A53,Main_Strategy!$BH$7:$BH$108)</f>
        <v>2.04</v>
      </c>
      <c r="L53" s="96" t="n">
        <f aca="false">MAX(Assumptions!$B$16,ROUNDUP(K53*(1+Assumptions!$B$15),0))</f>
        <v>10</v>
      </c>
      <c r="M53" s="95" t="n">
        <f aca="false">SUMIF(Main_Strategy!$BN$7:$BN$108,A53,Main_Strategy!$AV$7:$AV$108)</f>
        <v>4.35136</v>
      </c>
      <c r="N53" s="97" t="n">
        <f aca="false">IFERROR(K53/M53,"")</f>
        <v>0.468818943962347</v>
      </c>
      <c r="O53" s="91" t="s">
        <v>1510</v>
      </c>
    </row>
    <row r="54" customFormat="false" ht="15" hidden="false" customHeight="false" outlineLevel="0" collapsed="false">
      <c r="A54" s="91" t="s">
        <v>1210</v>
      </c>
      <c r="B54" s="98" t="n">
        <v>2</v>
      </c>
      <c r="C54" s="91" t="s">
        <v>203</v>
      </c>
      <c r="D54" s="91" t="s">
        <v>430</v>
      </c>
      <c r="E54" s="91" t="s">
        <v>479</v>
      </c>
      <c r="F54" s="91" t="s">
        <v>488</v>
      </c>
      <c r="G54" s="91" t="n">
        <v>1</v>
      </c>
      <c r="H54" s="93" t="n">
        <f aca="false">COUNTIF(Main_Strategy!$BN$7:$BN$108,A54)</f>
        <v>1</v>
      </c>
      <c r="I54" s="94" t="n">
        <f aca="false">SUMIF(Main_Strategy!$BN$7:$BN$108,A54,Main_Strategy!$AS$7:$AS$108)</f>
        <v>1</v>
      </c>
      <c r="J54" s="94" t="n">
        <f aca="false">SUMIF(Main_Strategy!$BN$7:$BN$108,A54,Main_Strategy!$AU$7:$AU$108)</f>
        <v>0.064</v>
      </c>
      <c r="K54" s="95" t="n">
        <f aca="false">SUMIF(Main_Strategy!$BN$7:$BN$108,A54,Main_Strategy!$BH$7:$BH$108)</f>
        <v>2.04</v>
      </c>
      <c r="L54" s="96" t="n">
        <f aca="false">MAX(Assumptions!$B$16,ROUNDUP(K54*(1+Assumptions!$B$15),0))</f>
        <v>10</v>
      </c>
      <c r="M54" s="95" t="n">
        <f aca="false">SUMIF(Main_Strategy!$BN$7:$BN$108,A54,Main_Strategy!$AV$7:$AV$108)</f>
        <v>4.35136</v>
      </c>
      <c r="N54" s="97" t="n">
        <f aca="false">IFERROR(K54/M54,"")</f>
        <v>0.468818943962347</v>
      </c>
      <c r="O54" s="91" t="s">
        <v>1510</v>
      </c>
    </row>
    <row r="55" customFormat="false" ht="15" hidden="false" customHeight="false" outlineLevel="0" collapsed="false">
      <c r="A55" s="91" t="s">
        <v>1280</v>
      </c>
      <c r="B55" s="98" t="n">
        <v>2</v>
      </c>
      <c r="C55" s="91" t="s">
        <v>203</v>
      </c>
      <c r="D55" s="91" t="s">
        <v>430</v>
      </c>
      <c r="E55" s="91" t="s">
        <v>560</v>
      </c>
      <c r="F55" s="91" t="s">
        <v>569</v>
      </c>
      <c r="G55" s="91" t="n">
        <v>1</v>
      </c>
      <c r="H55" s="93" t="n">
        <f aca="false">COUNTIF(Main_Strategy!$BN$7:$BN$108,A55)</f>
        <v>1</v>
      </c>
      <c r="I55" s="94" t="n">
        <f aca="false">SUMIF(Main_Strategy!$BN$7:$BN$108,A55,Main_Strategy!$AS$7:$AS$108)</f>
        <v>1</v>
      </c>
      <c r="J55" s="94" t="n">
        <f aca="false">SUMIF(Main_Strategy!$BN$7:$BN$108,A55,Main_Strategy!$AU$7:$AU$108)</f>
        <v>0.064</v>
      </c>
      <c r="K55" s="95" t="n">
        <f aca="false">SUMIF(Main_Strategy!$BN$7:$BN$108,A55,Main_Strategy!$BH$7:$BH$108)</f>
        <v>2.86</v>
      </c>
      <c r="L55" s="96" t="n">
        <f aca="false">MAX(Assumptions!$B$16,ROUNDUP(K55*(1+Assumptions!$B$15),0))</f>
        <v>10</v>
      </c>
      <c r="M55" s="95" t="n">
        <f aca="false">SUMIF(Main_Strategy!$BN$7:$BN$108,A55,Main_Strategy!$AV$7:$AV$108)</f>
        <v>5.43936</v>
      </c>
      <c r="N55" s="97" t="n">
        <f aca="false">IFERROR(K55/M55,"")</f>
        <v>0.525797152606189</v>
      </c>
      <c r="O55" s="91" t="s">
        <v>1510</v>
      </c>
    </row>
    <row r="56" customFormat="false" ht="15" hidden="false" customHeight="false" outlineLevel="0" collapsed="false">
      <c r="A56" s="91" t="s">
        <v>1302</v>
      </c>
      <c r="B56" s="98" t="n">
        <v>2</v>
      </c>
      <c r="C56" s="91" t="s">
        <v>203</v>
      </c>
      <c r="D56" s="91" t="s">
        <v>430</v>
      </c>
      <c r="E56" s="91" t="s">
        <v>560</v>
      </c>
      <c r="F56" s="91" t="s">
        <v>569</v>
      </c>
      <c r="G56" s="91" t="n">
        <v>1</v>
      </c>
      <c r="H56" s="93" t="n">
        <f aca="false">COUNTIF(Main_Strategy!$BN$7:$BN$108,A56)</f>
        <v>1</v>
      </c>
      <c r="I56" s="94" t="n">
        <f aca="false">SUMIF(Main_Strategy!$BN$7:$BN$108,A56,Main_Strategy!$AS$7:$AS$108)</f>
        <v>1</v>
      </c>
      <c r="J56" s="94" t="n">
        <f aca="false">SUMIF(Main_Strategy!$BN$7:$BN$108,A56,Main_Strategy!$AU$7:$AU$108)</f>
        <v>0.064</v>
      </c>
      <c r="K56" s="95" t="n">
        <f aca="false">SUMIF(Main_Strategy!$BN$7:$BN$108,A56,Main_Strategy!$BH$7:$BH$108)</f>
        <v>2.86</v>
      </c>
      <c r="L56" s="96" t="n">
        <f aca="false">MAX(Assumptions!$B$16,ROUNDUP(K56*(1+Assumptions!$B$15),0))</f>
        <v>10</v>
      </c>
      <c r="M56" s="95" t="n">
        <f aca="false">SUMIF(Main_Strategy!$BN$7:$BN$108,A56,Main_Strategy!$AV$7:$AV$108)</f>
        <v>5.43936</v>
      </c>
      <c r="N56" s="97" t="n">
        <f aca="false">IFERROR(K56/M56,"")</f>
        <v>0.525797152606189</v>
      </c>
      <c r="O56" s="91" t="s">
        <v>1510</v>
      </c>
    </row>
    <row r="57" customFormat="false" ht="15" hidden="false" customHeight="false" outlineLevel="0" collapsed="false">
      <c r="A57" s="91" t="s">
        <v>1269</v>
      </c>
      <c r="B57" s="98" t="n">
        <v>2</v>
      </c>
      <c r="C57" s="91" t="s">
        <v>203</v>
      </c>
      <c r="D57" s="91" t="s">
        <v>430</v>
      </c>
      <c r="E57" s="91" t="s">
        <v>560</v>
      </c>
      <c r="F57" s="91" t="s">
        <v>569</v>
      </c>
      <c r="G57" s="91" t="n">
        <v>1</v>
      </c>
      <c r="H57" s="93" t="n">
        <f aca="false">COUNTIF(Main_Strategy!$BN$7:$BN$108,A57)</f>
        <v>1</v>
      </c>
      <c r="I57" s="94" t="n">
        <f aca="false">SUMIF(Main_Strategy!$BN$7:$BN$108,A57,Main_Strategy!$AS$7:$AS$108)</f>
        <v>1</v>
      </c>
      <c r="J57" s="94" t="n">
        <f aca="false">SUMIF(Main_Strategy!$BN$7:$BN$108,A57,Main_Strategy!$AU$7:$AU$108)</f>
        <v>0.072</v>
      </c>
      <c r="K57" s="95" t="n">
        <f aca="false">SUMIF(Main_Strategy!$BN$7:$BN$108,A57,Main_Strategy!$BH$7:$BH$108)</f>
        <v>3.22</v>
      </c>
      <c r="L57" s="96" t="n">
        <f aca="false">MAX(Assumptions!$B$16,ROUNDUP(K57*(1+Assumptions!$B$15),0))</f>
        <v>10</v>
      </c>
      <c r="M57" s="95" t="n">
        <f aca="false">SUMIF(Main_Strategy!$BN$7:$BN$108,A57,Main_Strategy!$AV$7:$AV$108)</f>
        <v>6.11928</v>
      </c>
      <c r="N57" s="97" t="n">
        <f aca="false">IFERROR(K57/M57,"")</f>
        <v>0.526205697402309</v>
      </c>
      <c r="O57" s="91" t="s">
        <v>1510</v>
      </c>
    </row>
    <row r="58" customFormat="false" ht="15" hidden="false" customHeight="false" outlineLevel="0" collapsed="false">
      <c r="A58" s="91" t="s">
        <v>1290</v>
      </c>
      <c r="B58" s="98" t="n">
        <v>2</v>
      </c>
      <c r="C58" s="91" t="s">
        <v>203</v>
      </c>
      <c r="D58" s="91" t="s">
        <v>430</v>
      </c>
      <c r="E58" s="91" t="s">
        <v>560</v>
      </c>
      <c r="F58" s="91" t="s">
        <v>569</v>
      </c>
      <c r="G58" s="91" t="n">
        <v>1</v>
      </c>
      <c r="H58" s="93" t="n">
        <f aca="false">COUNTIF(Main_Strategy!$BN$7:$BN$108,A58)</f>
        <v>1</v>
      </c>
      <c r="I58" s="94" t="n">
        <f aca="false">SUMIF(Main_Strategy!$BN$7:$BN$108,A58,Main_Strategy!$AS$7:$AS$108)</f>
        <v>1</v>
      </c>
      <c r="J58" s="94" t="n">
        <f aca="false">SUMIF(Main_Strategy!$BN$7:$BN$108,A58,Main_Strategy!$AU$7:$AU$108)</f>
        <v>0.064</v>
      </c>
      <c r="K58" s="95" t="n">
        <f aca="false">SUMIF(Main_Strategy!$BN$7:$BN$108,A58,Main_Strategy!$BH$7:$BH$108)</f>
        <v>2.86</v>
      </c>
      <c r="L58" s="96" t="n">
        <f aca="false">MAX(Assumptions!$B$16,ROUNDUP(K58*(1+Assumptions!$B$15),0))</f>
        <v>10</v>
      </c>
      <c r="M58" s="95" t="n">
        <f aca="false">SUMIF(Main_Strategy!$BN$7:$BN$108,A58,Main_Strategy!$AV$7:$AV$108)</f>
        <v>5.43936</v>
      </c>
      <c r="N58" s="97" t="n">
        <f aca="false">IFERROR(K58/M58,"")</f>
        <v>0.525797152606189</v>
      </c>
      <c r="O58" s="91" t="s">
        <v>1510</v>
      </c>
    </row>
    <row r="59" customFormat="false" ht="15" hidden="false" customHeight="false" outlineLevel="0" collapsed="false">
      <c r="A59" s="91" t="s">
        <v>1346</v>
      </c>
      <c r="B59" s="98" t="n">
        <v>2</v>
      </c>
      <c r="C59" s="91" t="s">
        <v>203</v>
      </c>
      <c r="D59" s="91" t="s">
        <v>430</v>
      </c>
      <c r="E59" s="91" t="s">
        <v>560</v>
      </c>
      <c r="F59" s="91" t="s">
        <v>569</v>
      </c>
      <c r="G59" s="91" t="n">
        <v>1</v>
      </c>
      <c r="H59" s="93" t="n">
        <f aca="false">COUNTIF(Main_Strategy!$BN$7:$BN$108,A59)</f>
        <v>1</v>
      </c>
      <c r="I59" s="94" t="n">
        <f aca="false">SUMIF(Main_Strategy!$BN$7:$BN$108,A59,Main_Strategy!$AS$7:$AS$108)</f>
        <v>1</v>
      </c>
      <c r="J59" s="94" t="n">
        <f aca="false">SUMIF(Main_Strategy!$BN$7:$BN$108,A59,Main_Strategy!$AU$7:$AU$108)</f>
        <v>0.064</v>
      </c>
      <c r="K59" s="95" t="n">
        <f aca="false">SUMIF(Main_Strategy!$BN$7:$BN$108,A59,Main_Strategy!$BH$7:$BH$108)</f>
        <v>2.86</v>
      </c>
      <c r="L59" s="96" t="n">
        <f aca="false">MAX(Assumptions!$B$16,ROUNDUP(K59*(1+Assumptions!$B$15),0))</f>
        <v>10</v>
      </c>
      <c r="M59" s="95" t="n">
        <f aca="false">SUMIF(Main_Strategy!$BN$7:$BN$108,A59,Main_Strategy!$AV$7:$AV$108)</f>
        <v>5.43936</v>
      </c>
      <c r="N59" s="97" t="n">
        <f aca="false">IFERROR(K59/M59,"")</f>
        <v>0.525797152606189</v>
      </c>
      <c r="O59" s="91" t="s">
        <v>1510</v>
      </c>
    </row>
    <row r="60" customFormat="false" ht="15" hidden="false" customHeight="false" outlineLevel="0" collapsed="false">
      <c r="A60" s="91" t="s">
        <v>1314</v>
      </c>
      <c r="B60" s="98" t="n">
        <v>2</v>
      </c>
      <c r="C60" s="91" t="s">
        <v>203</v>
      </c>
      <c r="D60" s="91" t="s">
        <v>430</v>
      </c>
      <c r="E60" s="91" t="s">
        <v>560</v>
      </c>
      <c r="F60" s="91" t="s">
        <v>569</v>
      </c>
      <c r="G60" s="91" t="n">
        <v>1</v>
      </c>
      <c r="H60" s="93" t="n">
        <f aca="false">COUNTIF(Main_Strategy!$BN$7:$BN$108,A60)</f>
        <v>1</v>
      </c>
      <c r="I60" s="94" t="n">
        <f aca="false">SUMIF(Main_Strategy!$BN$7:$BN$108,A60,Main_Strategy!$AS$7:$AS$108)</f>
        <v>1</v>
      </c>
      <c r="J60" s="94" t="n">
        <f aca="false">SUMIF(Main_Strategy!$BN$7:$BN$108,A60,Main_Strategy!$AU$7:$AU$108)</f>
        <v>0.064</v>
      </c>
      <c r="K60" s="95" t="n">
        <f aca="false">SUMIF(Main_Strategy!$BN$7:$BN$108,A60,Main_Strategy!$BH$7:$BH$108)</f>
        <v>2.86</v>
      </c>
      <c r="L60" s="96" t="n">
        <f aca="false">MAX(Assumptions!$B$16,ROUNDUP(K60*(1+Assumptions!$B$15),0))</f>
        <v>10</v>
      </c>
      <c r="M60" s="95" t="n">
        <f aca="false">SUMIF(Main_Strategy!$BN$7:$BN$108,A60,Main_Strategy!$AV$7:$AV$108)</f>
        <v>5.43936</v>
      </c>
      <c r="N60" s="97" t="n">
        <f aca="false">IFERROR(K60/M60,"")</f>
        <v>0.525797152606189</v>
      </c>
      <c r="O60" s="91" t="s">
        <v>1510</v>
      </c>
    </row>
    <row r="61" customFormat="false" ht="15" hidden="false" customHeight="false" outlineLevel="0" collapsed="false">
      <c r="A61" s="91" t="s">
        <v>1337</v>
      </c>
      <c r="B61" s="98" t="n">
        <v>2</v>
      </c>
      <c r="C61" s="91" t="s">
        <v>203</v>
      </c>
      <c r="D61" s="91" t="s">
        <v>430</v>
      </c>
      <c r="E61" s="91" t="s">
        <v>560</v>
      </c>
      <c r="F61" s="91" t="s">
        <v>569</v>
      </c>
      <c r="G61" s="91" t="n">
        <v>1</v>
      </c>
      <c r="H61" s="93" t="n">
        <f aca="false">COUNTIF(Main_Strategy!$BN$7:$BN$108,A61)</f>
        <v>1</v>
      </c>
      <c r="I61" s="94" t="n">
        <f aca="false">SUMIF(Main_Strategy!$BN$7:$BN$108,A61,Main_Strategy!$AS$7:$AS$108)</f>
        <v>1</v>
      </c>
      <c r="J61" s="94" t="n">
        <f aca="false">SUMIF(Main_Strategy!$BN$7:$BN$108,A61,Main_Strategy!$AU$7:$AU$108)</f>
        <v>0.064</v>
      </c>
      <c r="K61" s="95" t="n">
        <f aca="false">SUMIF(Main_Strategy!$BN$7:$BN$108,A61,Main_Strategy!$BH$7:$BH$108)</f>
        <v>2.86</v>
      </c>
      <c r="L61" s="96" t="n">
        <f aca="false">MAX(Assumptions!$B$16,ROUNDUP(K61*(1+Assumptions!$B$15),0))</f>
        <v>10</v>
      </c>
      <c r="M61" s="95" t="n">
        <f aca="false">SUMIF(Main_Strategy!$BN$7:$BN$108,A61,Main_Strategy!$AV$7:$AV$108)</f>
        <v>5.43936</v>
      </c>
      <c r="N61" s="97" t="n">
        <f aca="false">IFERROR(K61/M61,"")</f>
        <v>0.525797152606189</v>
      </c>
      <c r="O61" s="91" t="s">
        <v>1510</v>
      </c>
    </row>
    <row r="62" customFormat="false" ht="15" hidden="false" customHeight="false" outlineLevel="0" collapsed="false">
      <c r="A62" s="91" t="s">
        <v>1388</v>
      </c>
      <c r="B62" s="98" t="n">
        <v>2</v>
      </c>
      <c r="C62" s="91" t="s">
        <v>203</v>
      </c>
      <c r="D62" s="91" t="s">
        <v>430</v>
      </c>
      <c r="E62" s="91" t="s">
        <v>696</v>
      </c>
      <c r="F62" s="91" t="s">
        <v>707</v>
      </c>
      <c r="G62" s="91" t="n">
        <v>1</v>
      </c>
      <c r="H62" s="93" t="n">
        <f aca="false">COUNTIF(Main_Strategy!$BN$7:$BN$108,A62)</f>
        <v>1</v>
      </c>
      <c r="I62" s="94" t="n">
        <f aca="false">SUMIF(Main_Strategy!$BN$7:$BN$108,A62,Main_Strategy!$AS$7:$AS$108)</f>
        <v>1</v>
      </c>
      <c r="J62" s="94" t="n">
        <f aca="false">SUMIF(Main_Strategy!$BN$7:$BN$108,A62,Main_Strategy!$AU$7:$AU$108)</f>
        <v>0.064</v>
      </c>
      <c r="K62" s="95" t="n">
        <f aca="false">SUMIF(Main_Strategy!$BN$7:$BN$108,A62,Main_Strategy!$BH$7:$BH$108)</f>
        <v>1.75</v>
      </c>
      <c r="L62" s="96" t="n">
        <f aca="false">MAX(Assumptions!$B$16,ROUNDUP(K62*(1+Assumptions!$B$15),0))</f>
        <v>10</v>
      </c>
      <c r="M62" s="95" t="n">
        <f aca="false">SUMIF(Main_Strategy!$BN$7:$BN$108,A62,Main_Strategy!$AV$7:$AV$108)</f>
        <v>4.03136</v>
      </c>
      <c r="N62" s="97" t="n">
        <f aca="false">IFERROR(K62/M62,"")</f>
        <v>0.434096682013018</v>
      </c>
      <c r="O62" s="91" t="s">
        <v>1510</v>
      </c>
    </row>
    <row r="63" customFormat="false" ht="15" hidden="false" customHeight="false" outlineLevel="0" collapsed="false">
      <c r="A63" s="91" t="s">
        <v>1377</v>
      </c>
      <c r="B63" s="98" t="n">
        <v>2</v>
      </c>
      <c r="C63" s="91" t="s">
        <v>203</v>
      </c>
      <c r="D63" s="91" t="s">
        <v>430</v>
      </c>
      <c r="E63" s="91" t="s">
        <v>696</v>
      </c>
      <c r="F63" s="91" t="s">
        <v>707</v>
      </c>
      <c r="G63" s="91" t="n">
        <v>1</v>
      </c>
      <c r="H63" s="93" t="n">
        <f aca="false">COUNTIF(Main_Strategy!$BN$7:$BN$108,A63)</f>
        <v>1</v>
      </c>
      <c r="I63" s="94" t="n">
        <f aca="false">SUMIF(Main_Strategy!$BN$7:$BN$108,A63,Main_Strategy!$AS$7:$AS$108)</f>
        <v>1</v>
      </c>
      <c r="J63" s="94" t="n">
        <f aca="false">SUMIF(Main_Strategy!$BN$7:$BN$108,A63,Main_Strategy!$AU$7:$AU$108)</f>
        <v>0.064</v>
      </c>
      <c r="K63" s="95" t="n">
        <f aca="false">SUMIF(Main_Strategy!$BN$7:$BN$108,A63,Main_Strategy!$BH$7:$BH$108)</f>
        <v>1.75</v>
      </c>
      <c r="L63" s="96" t="n">
        <f aca="false">MAX(Assumptions!$B$16,ROUNDUP(K63*(1+Assumptions!$B$15),0))</f>
        <v>10</v>
      </c>
      <c r="M63" s="95" t="n">
        <f aca="false">SUMIF(Main_Strategy!$BN$7:$BN$108,A63,Main_Strategy!$AV$7:$AV$108)</f>
        <v>4.03136</v>
      </c>
      <c r="N63" s="97" t="n">
        <f aca="false">IFERROR(K63/M63,"")</f>
        <v>0.434096682013018</v>
      </c>
      <c r="O63" s="91" t="s">
        <v>1510</v>
      </c>
    </row>
    <row r="64" customFormat="false" ht="15" hidden="false" customHeight="false" outlineLevel="0" collapsed="false">
      <c r="A64" s="91" t="s">
        <v>1150</v>
      </c>
      <c r="B64" s="98" t="n">
        <v>2</v>
      </c>
      <c r="C64" s="91" t="s">
        <v>203</v>
      </c>
      <c r="D64" s="91" t="s">
        <v>377</v>
      </c>
      <c r="E64" s="91"/>
      <c r="F64" s="91" t="s">
        <v>205</v>
      </c>
      <c r="G64" s="91" t="n">
        <v>1</v>
      </c>
      <c r="H64" s="93" t="n">
        <f aca="false">COUNTIF(Main_Strategy!$BN$7:$BN$108,A64)</f>
        <v>1</v>
      </c>
      <c r="I64" s="94" t="n">
        <f aca="false">SUMIF(Main_Strategy!$BN$7:$BN$108,A64,Main_Strategy!$AS$7:$AS$108)</f>
        <v>1</v>
      </c>
      <c r="J64" s="94" t="n">
        <f aca="false">SUMIF(Main_Strategy!$BN$7:$BN$108,A64,Main_Strategy!$AU$7:$AU$108)</f>
        <v>0.0417</v>
      </c>
      <c r="K64" s="95" t="n">
        <f aca="false">SUMIF(Main_Strategy!$BN$7:$BN$108,A64,Main_Strategy!$BH$7:$BH$108)</f>
        <v>1.32</v>
      </c>
      <c r="L64" s="96" t="n">
        <f aca="false">MAX(Assumptions!$B$16,ROUNDUP(K64*(1+Assumptions!$B$15),0))</f>
        <v>10</v>
      </c>
      <c r="M64" s="95" t="n">
        <f aca="false">SUMIF(Main_Strategy!$BN$7:$BN$108,A64,Main_Strategy!$AV$7:$AV$108)</f>
        <v>3.335583</v>
      </c>
      <c r="N64" s="97" t="n">
        <f aca="false">IFERROR(K64/M64,"")</f>
        <v>0.395732919852392</v>
      </c>
      <c r="O64" s="91" t="s">
        <v>1510</v>
      </c>
    </row>
    <row r="65" customFormat="false" ht="15" hidden="false" customHeight="false" outlineLevel="0" collapsed="false">
      <c r="A65" s="91" t="s">
        <v>1139</v>
      </c>
      <c r="B65" s="98" t="n">
        <v>2</v>
      </c>
      <c r="C65" s="91" t="s">
        <v>203</v>
      </c>
      <c r="D65" s="91" t="s">
        <v>377</v>
      </c>
      <c r="E65" s="91"/>
      <c r="F65" s="91" t="s">
        <v>205</v>
      </c>
      <c r="G65" s="91" t="n">
        <v>1</v>
      </c>
      <c r="H65" s="93" t="n">
        <f aca="false">COUNTIF(Main_Strategy!$BN$7:$BN$108,A65)</f>
        <v>1</v>
      </c>
      <c r="I65" s="94" t="n">
        <f aca="false">SUMIF(Main_Strategy!$BN$7:$BN$108,A65,Main_Strategy!$AS$7:$AS$108)</f>
        <v>1</v>
      </c>
      <c r="J65" s="94" t="n">
        <f aca="false">SUMIF(Main_Strategy!$BN$7:$BN$108,A65,Main_Strategy!$AU$7:$AU$108)</f>
        <v>0.064</v>
      </c>
      <c r="K65" s="95" t="n">
        <f aca="false">SUMIF(Main_Strategy!$BN$7:$BN$108,A65,Main_Strategy!$BH$7:$BH$108)</f>
        <v>2.14</v>
      </c>
      <c r="L65" s="96" t="n">
        <f aca="false">MAX(Assumptions!$B$16,ROUNDUP(K65*(1+Assumptions!$B$15),0))</f>
        <v>10</v>
      </c>
      <c r="M65" s="95" t="n">
        <f aca="false">SUMIF(Main_Strategy!$BN$7:$BN$108,A65,Main_Strategy!$AV$7:$AV$108)</f>
        <v>5.11936</v>
      </c>
      <c r="N65" s="97" t="n">
        <f aca="false">IFERROR(K65/M65,"")</f>
        <v>0.418021002625328</v>
      </c>
      <c r="O65" s="91" t="s">
        <v>1510</v>
      </c>
    </row>
    <row r="66" customFormat="false" ht="15" hidden="false" customHeight="false" outlineLevel="0" collapsed="false">
      <c r="A66" s="91" t="s">
        <v>1159</v>
      </c>
      <c r="B66" s="98" t="n">
        <v>2</v>
      </c>
      <c r="C66" s="91" t="s">
        <v>203</v>
      </c>
      <c r="D66" s="91" t="s">
        <v>377</v>
      </c>
      <c r="E66" s="91"/>
      <c r="F66" s="91" t="s">
        <v>205</v>
      </c>
      <c r="G66" s="91" t="n">
        <v>1</v>
      </c>
      <c r="H66" s="93" t="n">
        <f aca="false">COUNTIF(Main_Strategy!$BN$7:$BN$108,A66)</f>
        <v>1</v>
      </c>
      <c r="I66" s="94" t="n">
        <f aca="false">SUMIF(Main_Strategy!$BN$7:$BN$108,A66,Main_Strategy!$AS$7:$AS$108)</f>
        <v>1</v>
      </c>
      <c r="J66" s="94" t="n">
        <f aca="false">SUMIF(Main_Strategy!$BN$7:$BN$108,A66,Main_Strategy!$AU$7:$AU$108)</f>
        <v>0.064</v>
      </c>
      <c r="K66" s="95" t="n">
        <f aca="false">SUMIF(Main_Strategy!$BN$7:$BN$108,A66,Main_Strategy!$BH$7:$BH$108)</f>
        <v>2.14</v>
      </c>
      <c r="L66" s="96" t="n">
        <f aca="false">MAX(Assumptions!$B$16,ROUNDUP(K66*(1+Assumptions!$B$15),0))</f>
        <v>10</v>
      </c>
      <c r="M66" s="95" t="n">
        <f aca="false">SUMIF(Main_Strategy!$BN$7:$BN$108,A66,Main_Strategy!$AV$7:$AV$108)</f>
        <v>5.11936</v>
      </c>
      <c r="N66" s="97" t="n">
        <f aca="false">IFERROR(K66/M66,"")</f>
        <v>0.418021002625328</v>
      </c>
      <c r="O66" s="91" t="s">
        <v>1510</v>
      </c>
    </row>
    <row r="67" customFormat="false" ht="15" hidden="false" customHeight="false" outlineLevel="0" collapsed="false">
      <c r="A67" s="91" t="s">
        <v>1168</v>
      </c>
      <c r="B67" s="98" t="n">
        <v>2</v>
      </c>
      <c r="C67" s="91" t="s">
        <v>203</v>
      </c>
      <c r="D67" s="91" t="s">
        <v>377</v>
      </c>
      <c r="E67" s="91"/>
      <c r="F67" s="91" t="s">
        <v>205</v>
      </c>
      <c r="G67" s="91" t="n">
        <v>1</v>
      </c>
      <c r="H67" s="93" t="n">
        <f aca="false">COUNTIF(Main_Strategy!$BN$7:$BN$108,A67)</f>
        <v>1</v>
      </c>
      <c r="I67" s="94" t="n">
        <f aca="false">SUMIF(Main_Strategy!$BN$7:$BN$108,A67,Main_Strategy!$AS$7:$AS$108)</f>
        <v>1</v>
      </c>
      <c r="J67" s="94" t="n">
        <f aca="false">SUMIF(Main_Strategy!$BN$7:$BN$108,A67,Main_Strategy!$AU$7:$AU$108)</f>
        <v>0.064</v>
      </c>
      <c r="K67" s="95" t="n">
        <f aca="false">SUMIF(Main_Strategy!$BN$7:$BN$108,A67,Main_Strategy!$BH$7:$BH$108)</f>
        <v>2.14</v>
      </c>
      <c r="L67" s="96" t="n">
        <f aca="false">MAX(Assumptions!$B$16,ROUNDUP(K67*(1+Assumptions!$B$15),0))</f>
        <v>10</v>
      </c>
      <c r="M67" s="95" t="n">
        <f aca="false">SUMIF(Main_Strategy!$BN$7:$BN$108,A67,Main_Strategy!$AV$7:$AV$108)</f>
        <v>5.11936</v>
      </c>
      <c r="N67" s="97" t="n">
        <f aca="false">IFERROR(K67/M67,"")</f>
        <v>0.418021002625328</v>
      </c>
      <c r="O67" s="91" t="s">
        <v>1510</v>
      </c>
    </row>
    <row r="68" customFormat="false" ht="15" hidden="false" customHeight="false" outlineLevel="0" collapsed="false">
      <c r="A68" s="91" t="s">
        <v>1061</v>
      </c>
      <c r="B68" s="98" t="n">
        <v>2</v>
      </c>
      <c r="C68" s="91" t="s">
        <v>203</v>
      </c>
      <c r="D68" s="91" t="s">
        <v>328</v>
      </c>
      <c r="E68" s="91" t="s">
        <v>185</v>
      </c>
      <c r="F68" s="91" t="s">
        <v>205</v>
      </c>
      <c r="G68" s="91" t="n">
        <v>1</v>
      </c>
      <c r="H68" s="93" t="n">
        <f aca="false">COUNTIF(Main_Strategy!$BN$7:$BN$108,A68)</f>
        <v>1</v>
      </c>
      <c r="I68" s="94" t="n">
        <f aca="false">SUMIF(Main_Strategy!$BN$7:$BN$108,A68,Main_Strategy!$AS$7:$AS$108)</f>
        <v>0.053320124</v>
      </c>
      <c r="J68" s="94" t="n">
        <f aca="false">SUMIF(Main_Strategy!$BN$7:$BN$108,A68,Main_Strategy!$AU$7:$AU$108)</f>
        <v>0.003412487936</v>
      </c>
      <c r="K68" s="95" t="n">
        <f aca="false">SUMIF(Main_Strategy!$BN$7:$BN$108,A68,Main_Strategy!$BH$7:$BH$108)</f>
        <v>0.11623787032</v>
      </c>
      <c r="L68" s="96" t="n">
        <f aca="false">MAX(Assumptions!$B$16,ROUNDUP(K68*(1+Assumptions!$B$15),0))</f>
        <v>10</v>
      </c>
      <c r="M68" s="95" t="n">
        <f aca="false">SUMIF(Main_Strategy!$BN$7:$BN$108,A68,Main_Strategy!$AV$7:$AV$108)</f>
        <v>0.27296491000064</v>
      </c>
      <c r="N68" s="97" t="n">
        <f aca="false">IFERROR(K68/M68,"")</f>
        <v>0.425834479309914</v>
      </c>
      <c r="O68" s="91" t="s">
        <v>1510</v>
      </c>
    </row>
    <row r="69" customFormat="false" ht="15" hidden="false" customHeight="false" outlineLevel="0" collapsed="false">
      <c r="A69" s="91" t="s">
        <v>989</v>
      </c>
      <c r="B69" s="98" t="n">
        <v>2</v>
      </c>
      <c r="C69" s="91" t="s">
        <v>203</v>
      </c>
      <c r="D69" s="91" t="s">
        <v>328</v>
      </c>
      <c r="E69" s="91"/>
      <c r="F69" s="91" t="s">
        <v>205</v>
      </c>
      <c r="G69" s="91" t="n">
        <v>1</v>
      </c>
      <c r="H69" s="93" t="n">
        <f aca="false">COUNTIF(Main_Strategy!$BN$7:$BN$108,A69)</f>
        <v>1</v>
      </c>
      <c r="I69" s="94" t="n">
        <f aca="false">SUMIF(Main_Strategy!$BN$7:$BN$108,A69,Main_Strategy!$AS$7:$AS$108)</f>
        <v>0.045644896</v>
      </c>
      <c r="J69" s="94" t="n">
        <f aca="false">SUMIF(Main_Strategy!$BN$7:$BN$108,A69,Main_Strategy!$AU$7:$AU$108)</f>
        <v>0.002921273344</v>
      </c>
      <c r="K69" s="95" t="n">
        <f aca="false">SUMIF(Main_Strategy!$BN$7:$BN$108,A69,Main_Strategy!$BH$7:$BH$108)</f>
        <v>0.11411224</v>
      </c>
      <c r="L69" s="96" t="n">
        <f aca="false">MAX(Assumptions!$B$16,ROUNDUP(K69*(1+Assumptions!$B$15),0))</f>
        <v>10</v>
      </c>
      <c r="M69" s="95" t="n">
        <f aca="false">SUMIF(Main_Strategy!$BN$7:$BN$108,A69,Main_Strategy!$AV$7:$AV$108)</f>
        <v>0.23367265478656</v>
      </c>
      <c r="N69" s="97" t="n">
        <f aca="false">IFERROR(K69/M69,"")</f>
        <v>0.488342292786598</v>
      </c>
      <c r="O69" s="91" t="s">
        <v>1510</v>
      </c>
    </row>
    <row r="70" customFormat="false" ht="15" hidden="false" customHeight="false" outlineLevel="0" collapsed="false">
      <c r="A70" s="91" t="s">
        <v>935</v>
      </c>
      <c r="B70" s="98" t="n">
        <v>2</v>
      </c>
      <c r="C70" s="91" t="s">
        <v>203</v>
      </c>
      <c r="D70" s="91" t="s">
        <v>328</v>
      </c>
      <c r="E70" s="91"/>
      <c r="F70" s="91" t="s">
        <v>788</v>
      </c>
      <c r="G70" s="91" t="n">
        <v>1</v>
      </c>
      <c r="H70" s="93" t="n">
        <f aca="false">COUNTIF(Main_Strategy!$BN$7:$BN$108,A70)</f>
        <v>1</v>
      </c>
      <c r="I70" s="94" t="n">
        <f aca="false">SUMIF(Main_Strategy!$BN$7:$BN$108,A70,Main_Strategy!$AS$7:$AS$108)</f>
        <v>0.1106157624</v>
      </c>
      <c r="J70" s="94" t="n">
        <f aca="false">SUMIF(Main_Strategy!$BN$7:$BN$108,A70,Main_Strategy!$AU$7:$AU$108)</f>
        <v>0.0070794087936</v>
      </c>
      <c r="K70" s="95" t="n">
        <f aca="false">SUMIF(Main_Strategy!$BN$7:$BN$108,A70,Main_Strategy!$BH$7:$BH$108)</f>
        <v>0.29866255848</v>
      </c>
      <c r="L70" s="96" t="n">
        <f aca="false">MAX(Assumptions!$B$16,ROUNDUP(K70*(1+Assumptions!$B$15),0))</f>
        <v>10</v>
      </c>
      <c r="M70" s="95" t="n">
        <f aca="false">SUMIF(Main_Strategy!$BN$7:$BN$108,A70,Main_Strategy!$AV$7:$AV$108)</f>
        <v>0.566281909400064</v>
      </c>
      <c r="N70" s="97" t="n">
        <f aca="false">IFERROR(K70/M70,"")</f>
        <v>0.527409676209526</v>
      </c>
      <c r="O70" s="91" t="s">
        <v>1510</v>
      </c>
    </row>
    <row r="71" customFormat="false" ht="15" hidden="false" customHeight="false" outlineLevel="0" collapsed="false">
      <c r="A71" s="91" t="s">
        <v>964</v>
      </c>
      <c r="B71" s="98" t="n">
        <v>2</v>
      </c>
      <c r="C71" s="91" t="s">
        <v>203</v>
      </c>
      <c r="D71" s="91" t="s">
        <v>328</v>
      </c>
      <c r="E71" s="91"/>
      <c r="F71" s="91" t="s">
        <v>205</v>
      </c>
      <c r="G71" s="91" t="n">
        <v>1</v>
      </c>
      <c r="H71" s="93" t="n">
        <f aca="false">COUNTIF(Main_Strategy!$BN$7:$BN$108,A71)</f>
        <v>1</v>
      </c>
      <c r="I71" s="94" t="n">
        <f aca="false">SUMIF(Main_Strategy!$BN$7:$BN$108,A71,Main_Strategy!$AS$7:$AS$108)</f>
        <v>0.0756452576</v>
      </c>
      <c r="J71" s="94" t="n">
        <f aca="false">SUMIF(Main_Strategy!$BN$7:$BN$108,A71,Main_Strategy!$AU$7:$AU$108)</f>
        <v>0.0048412964864</v>
      </c>
      <c r="K71" s="95" t="n">
        <f aca="false">SUMIF(Main_Strategy!$BN$7:$BN$108,A71,Main_Strategy!$BH$7:$BH$108)</f>
        <v>0.205755100672</v>
      </c>
      <c r="L71" s="96" t="n">
        <f aca="false">MAX(Assumptions!$B$16,ROUNDUP(K71*(1+Assumptions!$B$15),0))</f>
        <v>10</v>
      </c>
      <c r="M71" s="95" t="n">
        <f aca="false">SUMIF(Main_Strategy!$BN$7:$BN$108,A71,Main_Strategy!$AV$7:$AV$108)</f>
        <v>0.387255305947136</v>
      </c>
      <c r="N71" s="97" t="n">
        <f aca="false">IFERROR(K71/M71,"")</f>
        <v>0.531316414551819</v>
      </c>
      <c r="O71" s="91" t="s">
        <v>1510</v>
      </c>
    </row>
    <row r="72" customFormat="false" ht="15" hidden="false" customHeight="false" outlineLevel="0" collapsed="false">
      <c r="A72" s="91" t="s">
        <v>952</v>
      </c>
      <c r="B72" s="98" t="n">
        <v>2</v>
      </c>
      <c r="C72" s="91" t="s">
        <v>203</v>
      </c>
      <c r="D72" s="91" t="s">
        <v>328</v>
      </c>
      <c r="E72" s="91"/>
      <c r="F72" s="91" t="s">
        <v>205</v>
      </c>
      <c r="G72" s="91" t="n">
        <v>1</v>
      </c>
      <c r="H72" s="93" t="n">
        <f aca="false">COUNTIF(Main_Strategy!$BN$7:$BN$108,A72)</f>
        <v>1</v>
      </c>
      <c r="I72" s="94" t="n">
        <f aca="false">SUMIF(Main_Strategy!$BN$7:$BN$108,A72,Main_Strategy!$AS$7:$AS$108)</f>
        <v>0.086161152</v>
      </c>
      <c r="J72" s="94" t="n">
        <f aca="false">SUMIF(Main_Strategy!$BN$7:$BN$108,A72,Main_Strategy!$AU$7:$AU$108)</f>
        <v>0.0053592236544</v>
      </c>
      <c r="K72" s="95" t="n">
        <f aca="false">SUMIF(Main_Strategy!$BN$7:$BN$108,A72,Main_Strategy!$BH$7:$BH$108)</f>
        <v>0.20161709568</v>
      </c>
      <c r="L72" s="96" t="n">
        <f aca="false">MAX(Assumptions!$B$16,ROUNDUP(K72*(1+Assumptions!$B$15),0))</f>
        <v>10</v>
      </c>
      <c r="M72" s="95" t="n">
        <f aca="false">SUMIF(Main_Strategy!$BN$7:$BN$108,A72,Main_Strategy!$AV$7:$AV$108)</f>
        <v>0.428684300115456</v>
      </c>
      <c r="N72" s="97" t="n">
        <f aca="false">IFERROR(K72/M72,"")</f>
        <v>0.470316024229717</v>
      </c>
      <c r="O72" s="91" t="s">
        <v>1510</v>
      </c>
    </row>
    <row r="73" customFormat="false" ht="15" hidden="false" customHeight="false" outlineLevel="0" collapsed="false">
      <c r="A73" s="91" t="s">
        <v>1120</v>
      </c>
      <c r="B73" s="98" t="n">
        <v>2</v>
      </c>
      <c r="C73" s="91" t="s">
        <v>203</v>
      </c>
      <c r="D73" s="91" t="s">
        <v>328</v>
      </c>
      <c r="E73" s="91" t="s">
        <v>185</v>
      </c>
      <c r="F73" s="91" t="s">
        <v>205</v>
      </c>
      <c r="G73" s="91" t="n">
        <v>1</v>
      </c>
      <c r="H73" s="93" t="n">
        <f aca="false">COUNTIF(Main_Strategy!$BN$7:$BN$108,A73)</f>
        <v>1</v>
      </c>
      <c r="I73" s="94" t="n">
        <f aca="false">SUMIF(Main_Strategy!$BN$7:$BN$108,A73,Main_Strategy!$AS$7:$AS$108)</f>
        <v>0.04551668</v>
      </c>
      <c r="J73" s="94" t="n">
        <f aca="false">SUMIF(Main_Strategy!$BN$7:$BN$108,A73,Main_Strategy!$AU$7:$AU$108)</f>
        <v>0.00291306752</v>
      </c>
      <c r="K73" s="95" t="n">
        <f aca="false">SUMIF(Main_Strategy!$BN$7:$BN$108,A73,Main_Strategy!$BH$7:$BH$108)</f>
        <v>0.0992263624</v>
      </c>
      <c r="L73" s="96" t="n">
        <f aca="false">MAX(Assumptions!$B$16,ROUNDUP(K73*(1+Assumptions!$B$15),0))</f>
        <v>10</v>
      </c>
      <c r="M73" s="95" t="n">
        <f aca="false">SUMIF(Main_Strategy!$BN$7:$BN$108,A73,Main_Strategy!$AV$7:$AV$108)</f>
        <v>0.2330162709248</v>
      </c>
      <c r="N73" s="97" t="n">
        <f aca="false">IFERROR(K73/M73,"")</f>
        <v>0.425834479309914</v>
      </c>
      <c r="O73" s="91" t="s">
        <v>1510</v>
      </c>
    </row>
    <row r="74" customFormat="false" ht="15" hidden="false" customHeight="false" outlineLevel="0" collapsed="false">
      <c r="A74" s="91" t="s">
        <v>1028</v>
      </c>
      <c r="B74" s="98" t="n">
        <v>2</v>
      </c>
      <c r="C74" s="91" t="s">
        <v>203</v>
      </c>
      <c r="D74" s="91" t="s">
        <v>328</v>
      </c>
      <c r="E74" s="91" t="s">
        <v>185</v>
      </c>
      <c r="F74" s="91" t="s">
        <v>205</v>
      </c>
      <c r="G74" s="91" t="n">
        <v>1</v>
      </c>
      <c r="H74" s="93" t="n">
        <f aca="false">COUNTIF(Main_Strategy!$BN$7:$BN$108,A74)</f>
        <v>1</v>
      </c>
      <c r="I74" s="94" t="n">
        <f aca="false">SUMIF(Main_Strategy!$BN$7:$BN$108,A74,Main_Strategy!$AS$7:$AS$108)</f>
        <v>0.0931055488</v>
      </c>
      <c r="J74" s="94" t="n">
        <f aca="false">SUMIF(Main_Strategy!$BN$7:$BN$108,A74,Main_Strategy!$AU$7:$AU$108)</f>
        <v>0.0059587551232</v>
      </c>
      <c r="K74" s="95" t="n">
        <f aca="false">SUMIF(Main_Strategy!$BN$7:$BN$108,A74,Main_Strategy!$BH$7:$BH$108)</f>
        <v>0.170383154304</v>
      </c>
      <c r="L74" s="96" t="n">
        <f aca="false">MAX(Assumptions!$B$16,ROUNDUP(K74*(1+Assumptions!$B$15),0))</f>
        <v>10</v>
      </c>
      <c r="M74" s="95" t="n">
        <f aca="false">SUMIF(Main_Strategy!$BN$7:$BN$108,A74,Main_Strategy!$AV$7:$AV$108)</f>
        <v>0.476640822304768</v>
      </c>
      <c r="N74" s="97" t="n">
        <f aca="false">IFERROR(K74/M74,"")</f>
        <v>0.35746655831979</v>
      </c>
      <c r="O74" s="91" t="s">
        <v>1510</v>
      </c>
    </row>
    <row r="75" customFormat="false" ht="15" hidden="false" customHeight="false" outlineLevel="0" collapsed="false">
      <c r="A75" s="91" t="s">
        <v>1071</v>
      </c>
      <c r="B75" s="98" t="n">
        <v>2</v>
      </c>
      <c r="C75" s="91" t="s">
        <v>203</v>
      </c>
      <c r="D75" s="91" t="s">
        <v>328</v>
      </c>
      <c r="E75" s="91" t="s">
        <v>185</v>
      </c>
      <c r="F75" s="91" t="s">
        <v>205</v>
      </c>
      <c r="G75" s="91" t="n">
        <v>1</v>
      </c>
      <c r="H75" s="93" t="n">
        <f aca="false">COUNTIF(Main_Strategy!$BN$7:$BN$108,A75)</f>
        <v>1</v>
      </c>
      <c r="I75" s="94" t="n">
        <f aca="false">SUMIF(Main_Strategy!$BN$7:$BN$108,A75,Main_Strategy!$AS$7:$AS$108)</f>
        <v>0.060127848</v>
      </c>
      <c r="J75" s="94" t="n">
        <f aca="false">SUMIF(Main_Strategy!$BN$7:$BN$108,A75,Main_Strategy!$AU$7:$AU$108)</f>
        <v>0.003848182272</v>
      </c>
      <c r="K75" s="95" t="n">
        <f aca="false">SUMIF(Main_Strategy!$BN$7:$BN$108,A75,Main_Strategy!$BH$7:$BH$108)</f>
        <v>0.13107870864</v>
      </c>
      <c r="L75" s="96" t="n">
        <f aca="false">MAX(Assumptions!$B$16,ROUNDUP(K75*(1+Assumptions!$B$15),0))</f>
        <v>10</v>
      </c>
      <c r="M75" s="95" t="n">
        <f aca="false">SUMIF(Main_Strategy!$BN$7:$BN$108,A75,Main_Strategy!$AV$7:$AV$108)</f>
        <v>0.30781609993728</v>
      </c>
      <c r="N75" s="97" t="n">
        <f aca="false">IFERROR(K75/M75,"")</f>
        <v>0.425834479309914</v>
      </c>
      <c r="O75" s="91" t="s">
        <v>1510</v>
      </c>
    </row>
    <row r="76" customFormat="false" ht="15" hidden="false" customHeight="false" outlineLevel="0" collapsed="false">
      <c r="A76" s="91" t="s">
        <v>1050</v>
      </c>
      <c r="B76" s="98" t="n">
        <v>2</v>
      </c>
      <c r="C76" s="91" t="s">
        <v>203</v>
      </c>
      <c r="D76" s="91" t="s">
        <v>328</v>
      </c>
      <c r="E76" s="91" t="s">
        <v>185</v>
      </c>
      <c r="F76" s="91" t="s">
        <v>205</v>
      </c>
      <c r="G76" s="91" t="n">
        <v>1</v>
      </c>
      <c r="H76" s="93" t="n">
        <f aca="false">COUNTIF(Main_Strategy!$BN$7:$BN$108,A76)</f>
        <v>1</v>
      </c>
      <c r="I76" s="94" t="n">
        <f aca="false">SUMIF(Main_Strategy!$BN$7:$BN$108,A76,Main_Strategy!$AS$7:$AS$108)</f>
        <v>0.060212416</v>
      </c>
      <c r="J76" s="94" t="n">
        <f aca="false">SUMIF(Main_Strategy!$BN$7:$BN$108,A76,Main_Strategy!$AU$7:$AU$108)</f>
        <v>0.003853594624</v>
      </c>
      <c r="K76" s="95" t="n">
        <f aca="false">SUMIF(Main_Strategy!$BN$7:$BN$108,A76,Main_Strategy!$BH$7:$BH$108)</f>
        <v>0.13126306688</v>
      </c>
      <c r="L76" s="96" t="n">
        <f aca="false">MAX(Assumptions!$B$16,ROUNDUP(K76*(1+Assumptions!$B$15),0))</f>
        <v>10</v>
      </c>
      <c r="M76" s="95" t="n">
        <f aca="false">SUMIF(Main_Strategy!$BN$7:$BN$108,A76,Main_Strategy!$AV$7:$AV$108)</f>
        <v>0.30824903397376</v>
      </c>
      <c r="N76" s="97" t="n">
        <f aca="false">IFERROR(K76/M76,"")</f>
        <v>0.425834479309914</v>
      </c>
      <c r="O76" s="91" t="s">
        <v>1510</v>
      </c>
    </row>
    <row r="77" customFormat="false" ht="15" hidden="false" customHeight="false" outlineLevel="0" collapsed="false">
      <c r="A77" s="91" t="s">
        <v>1084</v>
      </c>
      <c r="B77" s="98" t="n">
        <v>2</v>
      </c>
      <c r="C77" s="91" t="s">
        <v>203</v>
      </c>
      <c r="D77" s="91" t="s">
        <v>328</v>
      </c>
      <c r="E77" s="91" t="s">
        <v>185</v>
      </c>
      <c r="F77" s="91" t="s">
        <v>205</v>
      </c>
      <c r="G77" s="91" t="n">
        <v>1</v>
      </c>
      <c r="H77" s="93" t="n">
        <f aca="false">COUNTIF(Main_Strategy!$BN$7:$BN$108,A77)</f>
        <v>1</v>
      </c>
      <c r="I77" s="94" t="n">
        <f aca="false">SUMIF(Main_Strategy!$BN$7:$BN$108,A77,Main_Strategy!$AS$7:$AS$108)</f>
        <v>0.0642083904</v>
      </c>
      <c r="J77" s="94" t="n">
        <f aca="false">SUMIF(Main_Strategy!$BN$7:$BN$108,A77,Main_Strategy!$AU$7:$AU$108)</f>
        <v>0.0041093369856</v>
      </c>
      <c r="K77" s="95" t="n">
        <f aca="false">SUMIF(Main_Strategy!$BN$7:$BN$108,A77,Main_Strategy!$BH$7:$BH$108)</f>
        <v>0.139974291072</v>
      </c>
      <c r="L77" s="96" t="n">
        <f aca="false">MAX(Assumptions!$B$16,ROUNDUP(K77*(1+Assumptions!$B$15),0))</f>
        <v>10</v>
      </c>
      <c r="M77" s="95" t="n">
        <f aca="false">SUMIF(Main_Strategy!$BN$7:$BN$108,A77,Main_Strategy!$AV$7:$AV$108)</f>
        <v>0.328705865478144</v>
      </c>
      <c r="N77" s="97" t="n">
        <f aca="false">IFERROR(K77/M77,"")</f>
        <v>0.425834479309914</v>
      </c>
      <c r="O77" s="91" t="s">
        <v>1510</v>
      </c>
    </row>
    <row r="78" customFormat="false" ht="15" hidden="false" customHeight="false" outlineLevel="0" collapsed="false">
      <c r="A78" s="91" t="s">
        <v>1098</v>
      </c>
      <c r="B78" s="98" t="n">
        <v>2</v>
      </c>
      <c r="C78" s="91" t="s">
        <v>203</v>
      </c>
      <c r="D78" s="91" t="s">
        <v>328</v>
      </c>
      <c r="E78" s="91" t="s">
        <v>185</v>
      </c>
      <c r="F78" s="91" t="s">
        <v>205</v>
      </c>
      <c r="G78" s="91" t="n">
        <v>1</v>
      </c>
      <c r="H78" s="93" t="n">
        <f aca="false">COUNTIF(Main_Strategy!$BN$7:$BN$108,A78)</f>
        <v>1</v>
      </c>
      <c r="I78" s="94" t="n">
        <f aca="false">SUMIF(Main_Strategy!$BN$7:$BN$108,A78,Main_Strategy!$AS$7:$AS$108)</f>
        <v>0.053337856</v>
      </c>
      <c r="J78" s="94" t="n">
        <f aca="false">SUMIF(Main_Strategy!$BN$7:$BN$108,A78,Main_Strategy!$AU$7:$AU$108)</f>
        <v>0.003413622784</v>
      </c>
      <c r="K78" s="95" t="n">
        <f aca="false">SUMIF(Main_Strategy!$BN$7:$BN$108,A78,Main_Strategy!$BH$7:$BH$108)</f>
        <v>0.11627652608</v>
      </c>
      <c r="L78" s="96" t="n">
        <f aca="false">MAX(Assumptions!$B$16,ROUNDUP(K78*(1+Assumptions!$B$15),0))</f>
        <v>10</v>
      </c>
      <c r="M78" s="95" t="n">
        <f aca="false">SUMIF(Main_Strategy!$BN$7:$BN$108,A78,Main_Strategy!$AV$7:$AV$108)</f>
        <v>0.27305568649216</v>
      </c>
      <c r="N78" s="97" t="n">
        <f aca="false">IFERROR(K78/M78,"")</f>
        <v>0.425834479309914</v>
      </c>
      <c r="O78" s="91" t="s">
        <v>1510</v>
      </c>
    </row>
    <row r="79" customFormat="false" ht="15" hidden="false" customHeight="false" outlineLevel="0" collapsed="false">
      <c r="A79" s="91" t="s">
        <v>1015</v>
      </c>
      <c r="B79" s="98" t="n">
        <v>2</v>
      </c>
      <c r="C79" s="91" t="s">
        <v>203</v>
      </c>
      <c r="D79" s="91" t="s">
        <v>328</v>
      </c>
      <c r="E79" s="91" t="s">
        <v>185</v>
      </c>
      <c r="F79" s="91" t="s">
        <v>205</v>
      </c>
      <c r="G79" s="91" t="n">
        <v>1</v>
      </c>
      <c r="H79" s="93" t="n">
        <f aca="false">COUNTIF(Main_Strategy!$BN$7:$BN$108,A79)</f>
        <v>1</v>
      </c>
      <c r="I79" s="94" t="n">
        <f aca="false">SUMIF(Main_Strategy!$BN$7:$BN$108,A79,Main_Strategy!$AS$7:$AS$108)</f>
        <v>0.0886687296</v>
      </c>
      <c r="J79" s="94" t="n">
        <f aca="false">SUMIF(Main_Strategy!$BN$7:$BN$108,A79,Main_Strategy!$AU$7:$AU$108)</f>
        <v>0.0056747986944</v>
      </c>
      <c r="K79" s="95" t="n">
        <f aca="false">SUMIF(Main_Strategy!$BN$7:$BN$108,A79,Main_Strategy!$BH$7:$BH$108)</f>
        <v>0.193297830528</v>
      </c>
      <c r="L79" s="96" t="n">
        <f aca="false">MAX(Assumptions!$B$16,ROUNDUP(K79*(1+Assumptions!$B$15),0))</f>
        <v>10</v>
      </c>
      <c r="M79" s="95" t="n">
        <f aca="false">SUMIF(Main_Strategy!$BN$7:$BN$108,A79,Main_Strategy!$AV$7:$AV$108)</f>
        <v>0.453927147565056</v>
      </c>
      <c r="N79" s="97" t="n">
        <f aca="false">IFERROR(K79/M79,"")</f>
        <v>0.425834479309914</v>
      </c>
      <c r="O79" s="91" t="s">
        <v>1510</v>
      </c>
    </row>
    <row r="80" customFormat="false" ht="15" hidden="false" customHeight="false" outlineLevel="0" collapsed="false">
      <c r="A80" s="91" t="s">
        <v>1039</v>
      </c>
      <c r="B80" s="98" t="n">
        <v>2</v>
      </c>
      <c r="C80" s="91" t="s">
        <v>203</v>
      </c>
      <c r="D80" s="91" t="s">
        <v>328</v>
      </c>
      <c r="E80" s="91" t="s">
        <v>185</v>
      </c>
      <c r="F80" s="91" t="s">
        <v>205</v>
      </c>
      <c r="G80" s="91" t="n">
        <v>1</v>
      </c>
      <c r="H80" s="93" t="n">
        <f aca="false">COUNTIF(Main_Strategy!$BN$7:$BN$108,A80)</f>
        <v>1</v>
      </c>
      <c r="I80" s="94" t="n">
        <f aca="false">SUMIF(Main_Strategy!$BN$7:$BN$108,A80,Main_Strategy!$AS$7:$AS$108)</f>
        <v>0.07381968</v>
      </c>
      <c r="J80" s="94" t="n">
        <f aca="false">SUMIF(Main_Strategy!$BN$7:$BN$108,A80,Main_Strategy!$AU$7:$AU$108)</f>
        <v>0.00472445952</v>
      </c>
      <c r="K80" s="95" t="n">
        <f aca="false">SUMIF(Main_Strategy!$BN$7:$BN$108,A80,Main_Strategy!$BH$7:$BH$108)</f>
        <v>0.1609269024</v>
      </c>
      <c r="L80" s="96" t="n">
        <f aca="false">MAX(Assumptions!$B$16,ROUNDUP(K80*(1+Assumptions!$B$15),0))</f>
        <v>10</v>
      </c>
      <c r="M80" s="95" t="n">
        <f aca="false">SUMIF(Main_Strategy!$BN$7:$BN$108,A80,Main_Strategy!$AV$7:$AV$108)</f>
        <v>0.3779095170048</v>
      </c>
      <c r="N80" s="97" t="n">
        <f aca="false">IFERROR(K80/M80,"")</f>
        <v>0.425834479309914</v>
      </c>
      <c r="O80" s="91" t="s">
        <v>1510</v>
      </c>
    </row>
    <row r="81" customFormat="false" ht="15" hidden="false" customHeight="false" outlineLevel="0" collapsed="false">
      <c r="A81" s="91" t="s">
        <v>1003</v>
      </c>
      <c r="B81" s="98" t="n">
        <v>2</v>
      </c>
      <c r="C81" s="91" t="s">
        <v>203</v>
      </c>
      <c r="D81" s="91" t="s">
        <v>328</v>
      </c>
      <c r="E81" s="91" t="s">
        <v>185</v>
      </c>
      <c r="F81" s="91" t="s">
        <v>205</v>
      </c>
      <c r="G81" s="91" t="n">
        <v>1</v>
      </c>
      <c r="H81" s="93" t="n">
        <f aca="false">COUNTIF(Main_Strategy!$BN$7:$BN$108,A81)</f>
        <v>1</v>
      </c>
      <c r="I81" s="94" t="n">
        <f aca="false">SUMIF(Main_Strategy!$BN$7:$BN$108,A81,Main_Strategy!$AS$7:$AS$108)</f>
        <v>0.189729672</v>
      </c>
      <c r="J81" s="94" t="n">
        <f aca="false">SUMIF(Main_Strategy!$BN$7:$BN$108,A81,Main_Strategy!$AU$7:$AU$108)</f>
        <v>0.012142699008</v>
      </c>
      <c r="K81" s="95" t="n">
        <f aca="false">SUMIF(Main_Strategy!$BN$7:$BN$108,A81,Main_Strategy!$BH$7:$BH$108)</f>
        <v>0.41361068496</v>
      </c>
      <c r="L81" s="96" t="n">
        <f aca="false">MAX(Assumptions!$B$16,ROUNDUP(K81*(1+Assumptions!$B$15),0))</f>
        <v>10</v>
      </c>
      <c r="M81" s="95" t="n">
        <f aca="false">SUMIF(Main_Strategy!$BN$7:$BN$108,A81,Main_Strategy!$AV$7:$AV$108)</f>
        <v>0.97129449364992</v>
      </c>
      <c r="N81" s="97" t="n">
        <f aca="false">IFERROR(K81/M81,"")</f>
        <v>0.425834479309914</v>
      </c>
      <c r="O81" s="91" t="s">
        <v>1510</v>
      </c>
    </row>
    <row r="82" customFormat="false" ht="15" hidden="false" customHeight="false" outlineLevel="0" collapsed="false">
      <c r="A82" s="91" t="s">
        <v>1130</v>
      </c>
      <c r="B82" s="98" t="n">
        <v>2</v>
      </c>
      <c r="C82" s="91" t="s">
        <v>203</v>
      </c>
      <c r="D82" s="91" t="s">
        <v>328</v>
      </c>
      <c r="E82" s="91" t="s">
        <v>185</v>
      </c>
      <c r="F82" s="91" t="s">
        <v>205</v>
      </c>
      <c r="G82" s="91" t="n">
        <v>1</v>
      </c>
      <c r="H82" s="93" t="n">
        <f aca="false">COUNTIF(Main_Strategy!$BN$7:$BN$108,A82)</f>
        <v>1</v>
      </c>
      <c r="I82" s="94" t="n">
        <f aca="false">SUMIF(Main_Strategy!$BN$7:$BN$108,A82,Main_Strategy!$AS$7:$AS$108)</f>
        <v>0.0458748664</v>
      </c>
      <c r="J82" s="94" t="n">
        <f aca="false">SUMIF(Main_Strategy!$BN$7:$BN$108,A82,Main_Strategy!$AU$7:$AU$108)</f>
        <v>0.0029359914496</v>
      </c>
      <c r="K82" s="95" t="n">
        <f aca="false">SUMIF(Main_Strategy!$BN$7:$BN$108,A82,Main_Strategy!$BH$7:$BH$108)</f>
        <v>0.100007208752</v>
      </c>
      <c r="L82" s="96" t="n">
        <f aca="false">MAX(Assumptions!$B$16,ROUNDUP(K82*(1+Assumptions!$B$15),0))</f>
        <v>10</v>
      </c>
      <c r="M82" s="95" t="n">
        <f aca="false">SUMIF(Main_Strategy!$BN$7:$BN$108,A82,Main_Strategy!$AV$7:$AV$108)</f>
        <v>0.234849956053504</v>
      </c>
      <c r="N82" s="97" t="n">
        <f aca="false">IFERROR(K82/M82,"")</f>
        <v>0.425834479309914</v>
      </c>
      <c r="O82" s="91" t="s">
        <v>1510</v>
      </c>
    </row>
    <row r="83" customFormat="false" ht="15" hidden="false" customHeight="false" outlineLevel="0" collapsed="false">
      <c r="A83" s="91" t="s">
        <v>1110</v>
      </c>
      <c r="B83" s="98" t="n">
        <v>2</v>
      </c>
      <c r="C83" s="91" t="s">
        <v>203</v>
      </c>
      <c r="D83" s="91" t="s">
        <v>328</v>
      </c>
      <c r="E83" s="91" t="s">
        <v>185</v>
      </c>
      <c r="F83" s="91" t="s">
        <v>205</v>
      </c>
      <c r="G83" s="91" t="n">
        <v>1</v>
      </c>
      <c r="H83" s="93" t="n">
        <f aca="false">COUNTIF(Main_Strategy!$BN$7:$BN$108,A83)</f>
        <v>1</v>
      </c>
      <c r="I83" s="94" t="n">
        <f aca="false">SUMIF(Main_Strategy!$BN$7:$BN$108,A83,Main_Strategy!$AS$7:$AS$108)</f>
        <v>0.041621096</v>
      </c>
      <c r="J83" s="94" t="n">
        <f aca="false">SUMIF(Main_Strategy!$BN$7:$BN$108,A83,Main_Strategy!$AU$7:$AU$108)</f>
        <v>0.002663750144</v>
      </c>
      <c r="K83" s="95" t="n">
        <f aca="false">SUMIF(Main_Strategy!$BN$7:$BN$108,A83,Main_Strategy!$BH$7:$BH$108)</f>
        <v>0.09073398928</v>
      </c>
      <c r="L83" s="96" t="n">
        <f aca="false">MAX(Assumptions!$B$16,ROUNDUP(K83*(1+Assumptions!$B$15),0))</f>
        <v>10</v>
      </c>
      <c r="M83" s="95" t="n">
        <f aca="false">SUMIF(Main_Strategy!$BN$7:$BN$108,A83,Main_Strategy!$AV$7:$AV$108)</f>
        <v>0.21307337401856</v>
      </c>
      <c r="N83" s="97" t="n">
        <f aca="false">IFERROR(K83/M83,"")</f>
        <v>0.425834479309914</v>
      </c>
      <c r="O83" s="91" t="s">
        <v>1510</v>
      </c>
    </row>
    <row r="84" customFormat="false" ht="15" hidden="false" customHeight="false" outlineLevel="0" collapsed="false">
      <c r="A84" s="91" t="s">
        <v>975</v>
      </c>
      <c r="B84" s="98" t="n">
        <v>2</v>
      </c>
      <c r="C84" s="91" t="s">
        <v>203</v>
      </c>
      <c r="D84" s="91" t="s">
        <v>328</v>
      </c>
      <c r="E84" s="91"/>
      <c r="F84" s="91" t="s">
        <v>976</v>
      </c>
      <c r="G84" s="91" t="n">
        <v>1</v>
      </c>
      <c r="H84" s="93" t="n">
        <f aca="false">COUNTIF(Main_Strategy!$BN$7:$BN$108,A84)</f>
        <v>1</v>
      </c>
      <c r="I84" s="94" t="n">
        <f aca="false">SUMIF(Main_Strategy!$BN$7:$BN$108,A84,Main_Strategy!$AS$7:$AS$108)</f>
        <v>0.0589850888</v>
      </c>
      <c r="J84" s="94" t="n">
        <f aca="false">SUMIF(Main_Strategy!$BN$7:$BN$108,A84,Main_Strategy!$AU$7:$AU$108)</f>
        <v>0.0037750456832</v>
      </c>
      <c r="K84" s="95" t="n">
        <f aca="false">SUMIF(Main_Strategy!$BN$7:$BN$108,A84,Main_Strategy!$BH$7:$BH$108)</f>
        <v>0.126228090032</v>
      </c>
      <c r="L84" s="96" t="n">
        <f aca="false">MAX(Assumptions!$B$16,ROUNDUP(K84*(1+Assumptions!$B$15),0))</f>
        <v>10</v>
      </c>
      <c r="M84" s="95" t="n">
        <f aca="false">SUMIF(Main_Strategy!$BN$7:$BN$108,A84,Main_Strategy!$AV$7:$AV$108)</f>
        <v>0.301965904199168</v>
      </c>
      <c r="N84" s="97" t="n">
        <f aca="false">IFERROR(K84/M84,"")</f>
        <v>0.418021002625328</v>
      </c>
      <c r="O84" s="91" t="s">
        <v>1510</v>
      </c>
    </row>
    <row r="85" customFormat="false" ht="15" hidden="false" customHeight="false" outlineLevel="0" collapsed="false">
      <c r="A85" s="91" t="s">
        <v>1474</v>
      </c>
      <c r="B85" s="99" t="n">
        <v>3</v>
      </c>
      <c r="C85" s="91" t="s">
        <v>203</v>
      </c>
      <c r="D85" s="91" t="s">
        <v>430</v>
      </c>
      <c r="E85" s="91" t="s">
        <v>560</v>
      </c>
      <c r="F85" s="91" t="s">
        <v>569</v>
      </c>
      <c r="G85" s="91" t="n">
        <v>1</v>
      </c>
      <c r="H85" s="93" t="n">
        <f aca="false">COUNTIF(Main_Strategy!$BN$7:$BN$108,A85)</f>
        <v>1</v>
      </c>
      <c r="I85" s="94" t="n">
        <f aca="false">SUMIF(Main_Strategy!$BN$7:$BN$108,A85,Main_Strategy!$AS$7:$AS$108)</f>
        <v>1</v>
      </c>
      <c r="J85" s="94" t="n">
        <f aca="false">SUMIF(Main_Strategy!$BN$7:$BN$108,A85,Main_Strategy!$AU$7:$AU$108)</f>
        <v>0.064</v>
      </c>
      <c r="K85" s="95" t="n">
        <f aca="false">SUMIF(Main_Strategy!$BN$7:$BN$108,A85,Main_Strategy!$BH$7:$BH$108)</f>
        <v>2.86</v>
      </c>
      <c r="L85" s="96" t="n">
        <f aca="false">MAX(Assumptions!$B$16,ROUNDUP(K85*(1+Assumptions!$B$15),0))</f>
        <v>10</v>
      </c>
      <c r="M85" s="95" t="n">
        <f aca="false">SUMIF(Main_Strategy!$BN$7:$BN$108,A85,Main_Strategy!$AV$7:$AV$108)</f>
        <v>5.43936</v>
      </c>
      <c r="N85" s="97" t="n">
        <f aca="false">IFERROR(K85/M85,"")</f>
        <v>0.525797152606189</v>
      </c>
      <c r="O85" s="91" t="s">
        <v>1510</v>
      </c>
    </row>
    <row r="86" customFormat="false" ht="15" hidden="false" customHeight="false" outlineLevel="0" collapsed="false">
      <c r="A86" s="91" t="s">
        <v>1465</v>
      </c>
      <c r="B86" s="99" t="n">
        <v>3</v>
      </c>
      <c r="C86" s="91" t="s">
        <v>203</v>
      </c>
      <c r="D86" s="91" t="s">
        <v>377</v>
      </c>
      <c r="E86" s="91"/>
      <c r="F86" s="91" t="s">
        <v>205</v>
      </c>
      <c r="G86" s="91" t="n">
        <v>1</v>
      </c>
      <c r="H86" s="93" t="n">
        <f aca="false">COUNTIF(Main_Strategy!$BN$7:$BN$108,A86)</f>
        <v>1</v>
      </c>
      <c r="I86" s="94" t="n">
        <f aca="false">SUMIF(Main_Strategy!$BN$7:$BN$108,A86,Main_Strategy!$AS$7:$AS$108)</f>
        <v>1</v>
      </c>
      <c r="J86" s="94" t="n">
        <f aca="false">SUMIF(Main_Strategy!$BN$7:$BN$108,A86,Main_Strategy!$AU$7:$AU$108)</f>
        <v>0.064</v>
      </c>
      <c r="K86" s="95" t="n">
        <f aca="false">SUMIF(Main_Strategy!$BN$7:$BN$108,A86,Main_Strategy!$BH$7:$BH$108)</f>
        <v>2.14</v>
      </c>
      <c r="L86" s="96" t="n">
        <f aca="false">MAX(Assumptions!$B$16,ROUNDUP(K86*(1+Assumptions!$B$15),0))</f>
        <v>10</v>
      </c>
      <c r="M86" s="95" t="n">
        <f aca="false">SUMIF(Main_Strategy!$BN$7:$BN$108,A86,Main_Strategy!$AV$7:$AV$108)</f>
        <v>5.11936</v>
      </c>
      <c r="N86" s="97" t="n">
        <f aca="false">IFERROR(K86/M86,"")</f>
        <v>0.418021002625328</v>
      </c>
      <c r="O86" s="91" t="s">
        <v>1510</v>
      </c>
    </row>
    <row r="87" customFormat="false" ht="15" hidden="false" customHeight="false" outlineLevel="0" collapsed="false">
      <c r="A87" s="91" t="s">
        <v>1437</v>
      </c>
      <c r="B87" s="99" t="n">
        <v>3</v>
      </c>
      <c r="C87" s="91" t="s">
        <v>203</v>
      </c>
      <c r="D87" s="91" t="s">
        <v>328</v>
      </c>
      <c r="E87" s="91"/>
      <c r="F87" s="91" t="s">
        <v>205</v>
      </c>
      <c r="G87" s="91" t="n">
        <v>1</v>
      </c>
      <c r="H87" s="93" t="n">
        <f aca="false">COUNTIF(Main_Strategy!$BN$7:$BN$108,A87)</f>
        <v>1</v>
      </c>
      <c r="I87" s="94" t="n">
        <f aca="false">SUMIF(Main_Strategy!$BN$7:$BN$108,A87,Main_Strategy!$AS$7:$AS$108)</f>
        <v>0.0655254688</v>
      </c>
      <c r="J87" s="94" t="n">
        <f aca="false">SUMIF(Main_Strategy!$BN$7:$BN$108,A87,Main_Strategy!$AU$7:$AU$108)</f>
        <v>0.0036694262528</v>
      </c>
      <c r="K87" s="95" t="n">
        <f aca="false">SUMIF(Main_Strategy!$BN$7:$BN$108,A87,Main_Strategy!$BH$7:$BH$108)</f>
        <v>0.140224503232</v>
      </c>
      <c r="L87" s="96" t="n">
        <f aca="false">MAX(Assumptions!$B$16,ROUNDUP(K87*(1+Assumptions!$B$15),0))</f>
        <v>10</v>
      </c>
      <c r="M87" s="95" t="n">
        <f aca="false">SUMIF(Main_Strategy!$BN$7:$BN$108,A87,Main_Strategy!$AV$7:$AV$108)</f>
        <v>0.293517405961472</v>
      </c>
      <c r="N87" s="97" t="n">
        <f aca="false">IFERROR(K87/M87,"")</f>
        <v>0.477738288714661</v>
      </c>
      <c r="O87" s="91" t="s">
        <v>1510</v>
      </c>
    </row>
    <row r="88" customFormat="false" ht="15" hidden="false" customHeight="false" outlineLevel="0" collapsed="false">
      <c r="A88" s="91" t="s">
        <v>1446</v>
      </c>
      <c r="B88" s="99" t="n">
        <v>3</v>
      </c>
      <c r="C88" s="91" t="s">
        <v>203</v>
      </c>
      <c r="D88" s="91" t="s">
        <v>328</v>
      </c>
      <c r="E88" s="91"/>
      <c r="F88" s="91" t="s">
        <v>205</v>
      </c>
      <c r="G88" s="91" t="n">
        <v>1</v>
      </c>
      <c r="H88" s="93" t="n">
        <f aca="false">COUNTIF(Main_Strategy!$BN$7:$BN$108,A88)</f>
        <v>1</v>
      </c>
      <c r="I88" s="94" t="n">
        <f aca="false">SUMIF(Main_Strategy!$BN$7:$BN$108,A88,Main_Strategy!$AS$7:$AS$108)</f>
        <v>0.0585194192</v>
      </c>
      <c r="J88" s="94" t="n">
        <f aca="false">SUMIF(Main_Strategy!$BN$7:$BN$108,A88,Main_Strategy!$AU$7:$AU$108)</f>
        <v>0.0037452428288</v>
      </c>
      <c r="K88" s="95" t="n">
        <f aca="false">SUMIF(Main_Strategy!$BN$7:$BN$108,A88,Main_Strategy!$BH$7:$BH$108)</f>
        <v>0.125231557088</v>
      </c>
      <c r="L88" s="96" t="n">
        <f aca="false">MAX(Assumptions!$B$16,ROUNDUP(K88*(1+Assumptions!$B$15),0))</f>
        <v>10</v>
      </c>
      <c r="M88" s="95" t="n">
        <f aca="false">SUMIF(Main_Strategy!$BN$7:$BN$108,A88,Main_Strategy!$AV$7:$AV$108)</f>
        <v>0.299581973875712</v>
      </c>
      <c r="N88" s="97" t="n">
        <f aca="false">IFERROR(K88/M88,"")</f>
        <v>0.418021002625328</v>
      </c>
      <c r="O88" s="91" t="s">
        <v>1510</v>
      </c>
    </row>
    <row r="89" customFormat="false" ht="15" hidden="false" customHeight="false" outlineLevel="0" collapsed="false">
      <c r="A89" s="91" t="s">
        <v>1427</v>
      </c>
      <c r="B89" s="99" t="n">
        <v>3</v>
      </c>
      <c r="C89" s="91" t="s">
        <v>203</v>
      </c>
      <c r="D89" s="91" t="s">
        <v>328</v>
      </c>
      <c r="E89" s="91"/>
      <c r="F89" s="91" t="s">
        <v>205</v>
      </c>
      <c r="G89" s="91" t="n">
        <v>1</v>
      </c>
      <c r="H89" s="93" t="n">
        <f aca="false">COUNTIF(Main_Strategy!$BN$7:$BN$108,A89)</f>
        <v>1</v>
      </c>
      <c r="I89" s="94" t="n">
        <f aca="false">SUMIF(Main_Strategy!$BN$7:$BN$108,A89,Main_Strategy!$AS$7:$AS$108)</f>
        <v>0.07582476</v>
      </c>
      <c r="J89" s="94" t="n">
        <f aca="false">SUMIF(Main_Strategy!$BN$7:$BN$108,A89,Main_Strategy!$AU$7:$AU$108)</f>
        <v>0.00485278464</v>
      </c>
      <c r="K89" s="95" t="n">
        <f aca="false">SUMIF(Main_Strategy!$BN$7:$BN$108,A89,Main_Strategy!$BH$7:$BH$108)</f>
        <v>0.1622649864</v>
      </c>
      <c r="L89" s="96" t="n">
        <f aca="false">MAX(Assumptions!$B$16,ROUNDUP(K89*(1+Assumptions!$B$15),0))</f>
        <v>10</v>
      </c>
      <c r="M89" s="95" t="n">
        <f aca="false">SUMIF(Main_Strategy!$BN$7:$BN$108,A89,Main_Strategy!$AV$7:$AV$108)</f>
        <v>0.3881742433536</v>
      </c>
      <c r="N89" s="97" t="n">
        <f aca="false">IFERROR(K89/M89,"")</f>
        <v>0.418021002625328</v>
      </c>
      <c r="O89" s="91" t="s">
        <v>1510</v>
      </c>
    </row>
    <row r="90" customFormat="false" ht="15" hidden="false" customHeight="false" outlineLevel="0" collapsed="false">
      <c r="A90" s="91" t="s">
        <v>1456</v>
      </c>
      <c r="B90" s="99" t="n">
        <v>3</v>
      </c>
      <c r="C90" s="91" t="s">
        <v>203</v>
      </c>
      <c r="D90" s="91" t="s">
        <v>328</v>
      </c>
      <c r="E90" s="91" t="s">
        <v>185</v>
      </c>
      <c r="F90" s="91" t="s">
        <v>205</v>
      </c>
      <c r="G90" s="91" t="n">
        <v>1</v>
      </c>
      <c r="H90" s="93" t="n">
        <f aca="false">COUNTIF(Main_Strategy!$BN$7:$BN$108,A90)</f>
        <v>1</v>
      </c>
      <c r="I90" s="94" t="n">
        <f aca="false">SUMIF(Main_Strategy!$BN$7:$BN$108,A90,Main_Strategy!$AS$7:$AS$108)</f>
        <v>0.0543941376</v>
      </c>
      <c r="J90" s="94" t="n">
        <f aca="false">SUMIF(Main_Strategy!$BN$7:$BN$108,A90,Main_Strategy!$AU$7:$AU$108)</f>
        <v>0.0034812248064</v>
      </c>
      <c r="K90" s="95" t="n">
        <f aca="false">SUMIF(Main_Strategy!$BN$7:$BN$108,A90,Main_Strategy!$BH$7:$BH$108)</f>
        <v>0.118579219968</v>
      </c>
      <c r="L90" s="96" t="n">
        <f aca="false">MAX(Assumptions!$B$16,ROUNDUP(K90*(1+Assumptions!$B$15),0))</f>
        <v>10</v>
      </c>
      <c r="M90" s="95" t="n">
        <f aca="false">SUMIF(Main_Strategy!$BN$7:$BN$108,A90,Main_Strategy!$AV$7:$AV$108)</f>
        <v>0.278463172263936</v>
      </c>
      <c r="N90" s="97" t="n">
        <f aca="false">IFERROR(K90/M90,"")</f>
        <v>0.425834479309914</v>
      </c>
      <c r="O90" s="91" t="s">
        <v>1510</v>
      </c>
    </row>
    <row r="91" customFormat="false" ht="15" hidden="false" customHeight="false" outlineLevel="0" collapsed="false">
      <c r="A91" s="91" t="s">
        <v>1416</v>
      </c>
      <c r="B91" s="99" t="n">
        <v>3</v>
      </c>
      <c r="C91" s="91" t="s">
        <v>203</v>
      </c>
      <c r="D91" s="91" t="s">
        <v>328</v>
      </c>
      <c r="E91" s="91"/>
      <c r="F91" s="91" t="s">
        <v>205</v>
      </c>
      <c r="G91" s="91" t="n">
        <v>1</v>
      </c>
      <c r="H91" s="93" t="n">
        <f aca="false">COUNTIF(Main_Strategy!$BN$7:$BN$108,A91)</f>
        <v>1</v>
      </c>
      <c r="I91" s="94" t="n">
        <f aca="false">SUMIF(Main_Strategy!$BN$7:$BN$108,A91,Main_Strategy!$AS$7:$AS$108)</f>
        <v>0.10651476</v>
      </c>
      <c r="J91" s="94" t="n">
        <f aca="false">SUMIF(Main_Strategy!$BN$7:$BN$108,A91,Main_Strategy!$AU$7:$AU$108)</f>
        <v>0.00681694464</v>
      </c>
      <c r="K91" s="95" t="n">
        <f aca="false">SUMIF(Main_Strategy!$BN$7:$BN$108,A91,Main_Strategy!$BH$7:$BH$108)</f>
        <v>0.2279415864</v>
      </c>
      <c r="L91" s="96" t="n">
        <f aca="false">MAX(Assumptions!$B$16,ROUNDUP(K91*(1+Assumptions!$B$15),0))</f>
        <v>10</v>
      </c>
      <c r="M91" s="95" t="n">
        <f aca="false">SUMIF(Main_Strategy!$BN$7:$BN$108,A91,Main_Strategy!$AV$7:$AV$108)</f>
        <v>0.5452874017536</v>
      </c>
      <c r="N91" s="97" t="n">
        <f aca="false">IFERROR(K91/M91,"")</f>
        <v>0.418021002625328</v>
      </c>
      <c r="O91" s="91" t="s">
        <v>1510</v>
      </c>
    </row>
  </sheetData>
  <autoFilter ref="A4:O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3" min="11" style="0" width="11"/>
    <col collapsed="false" customWidth="true" hidden="false" outlineLevel="0" max="14" min="14" style="0" width="9"/>
    <col collapsed="false" customWidth="true" hidden="false" outlineLevel="0" max="15" min="15" style="0" width="22"/>
    <col collapsed="false" customWidth="true" hidden="false" outlineLevel="0" max="17" min="16" style="0" width="8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1511</v>
      </c>
    </row>
    <row r="2" customFormat="false" ht="15" hidden="false" customHeight="false" outlineLevel="0" collapsed="false">
      <c r="A2" s="2" t="s">
        <v>1512</v>
      </c>
    </row>
    <row r="4" customFormat="false" ht="39.75" hidden="false" customHeight="true" outlineLevel="0" collapsed="false">
      <c r="A4" s="90" t="s">
        <v>1513</v>
      </c>
      <c r="B4" s="90" t="s">
        <v>107</v>
      </c>
      <c r="C4" s="90" t="s">
        <v>787</v>
      </c>
      <c r="D4" s="90" t="s">
        <v>1514</v>
      </c>
      <c r="E4" s="90" t="s">
        <v>1515</v>
      </c>
      <c r="F4" s="90" t="s">
        <v>1516</v>
      </c>
      <c r="G4" s="90" t="s">
        <v>1517</v>
      </c>
      <c r="H4" s="90" t="s">
        <v>1518</v>
      </c>
      <c r="I4" s="90" t="s">
        <v>1519</v>
      </c>
      <c r="J4" s="90" t="s">
        <v>1520</v>
      </c>
      <c r="K4" s="90" t="s">
        <v>1521</v>
      </c>
      <c r="L4" s="90" t="s">
        <v>1522</v>
      </c>
      <c r="M4" s="90" t="s">
        <v>1523</v>
      </c>
      <c r="N4" s="90" t="s">
        <v>1524</v>
      </c>
      <c r="O4" s="90" t="s">
        <v>1525</v>
      </c>
      <c r="P4" s="90" t="s">
        <v>1526</v>
      </c>
      <c r="Q4" s="90" t="s">
        <v>1527</v>
      </c>
      <c r="R4" s="90" t="s">
        <v>1528</v>
      </c>
    </row>
    <row r="5" customFormat="false" ht="15" hidden="false" customHeight="false" outlineLevel="0" collapsed="false">
      <c r="A5" s="91" t="s">
        <v>205</v>
      </c>
      <c r="B5" s="91" t="s">
        <v>185</v>
      </c>
      <c r="C5" s="91" t="s">
        <v>1529</v>
      </c>
      <c r="D5" s="91" t="s">
        <v>206</v>
      </c>
      <c r="E5" s="100" t="s">
        <v>1530</v>
      </c>
      <c r="F5" s="101" t="n">
        <v>397</v>
      </c>
      <c r="G5" s="101" t="n">
        <v>373</v>
      </c>
      <c r="H5" s="101" t="n">
        <v>24</v>
      </c>
      <c r="I5" s="101" t="n">
        <v>0</v>
      </c>
      <c r="J5" s="101" t="n">
        <v>0</v>
      </c>
      <c r="K5" s="102" t="n">
        <v>2.39</v>
      </c>
      <c r="L5" s="94" t="n">
        <f aca="false">SUMIFS(Main_Strategy!$AU$7:$AU$108,Main_Strategy!$BP$7:$BP$108,A5,Main_Strategy!$B$7:$B$108,1)</f>
        <v>1.73490745008821</v>
      </c>
      <c r="M5" s="103" t="n">
        <f aca="false">MAX(K5,L5/Assumptions!$B$17)</f>
        <v>4.33726862522051</v>
      </c>
      <c r="N5" s="104" t="n">
        <f aca="false">IF(M5&gt;0,MIN(999,(F5+I5)/M5),999)</f>
        <v>91.5322601167724</v>
      </c>
      <c r="O5" s="91" t="str">
        <f aca="false">IF(N5&lt;Assumptions!$B$18,"LOW — switch to backup",IF(N5&lt;Assumptions!$B$19,"WATCH — re-order","OK"))</f>
        <v>OK</v>
      </c>
      <c r="P5" s="91" t="n">
        <v>50</v>
      </c>
      <c r="Q5" s="91" t="n">
        <v>75</v>
      </c>
      <c r="R5" s="91" t="s">
        <v>1531</v>
      </c>
    </row>
    <row r="6" customFormat="false" ht="15" hidden="false" customHeight="false" outlineLevel="0" collapsed="false">
      <c r="A6" s="91" t="s">
        <v>1532</v>
      </c>
      <c r="B6" s="91" t="s">
        <v>185</v>
      </c>
      <c r="C6" s="91" t="s">
        <v>1533</v>
      </c>
      <c r="D6" s="91" t="s">
        <v>1534</v>
      </c>
      <c r="E6" s="91" t="s">
        <v>1535</v>
      </c>
      <c r="F6" s="101" t="n">
        <v>298</v>
      </c>
      <c r="G6" s="101" t="n">
        <v>280</v>
      </c>
      <c r="H6" s="101" t="n">
        <v>18</v>
      </c>
      <c r="I6" s="101" t="n">
        <v>0</v>
      </c>
      <c r="J6" s="101" t="n">
        <v>0</v>
      </c>
      <c r="K6" s="102" t="n">
        <v>0.64</v>
      </c>
      <c r="L6" s="94" t="n">
        <f aca="false">SUMIFS(Main_Strategy!$AU$7:$AU$108,Main_Strategy!$BP$7:$BP$108,A6,Main_Strategy!$B$7:$B$108,1)</f>
        <v>0</v>
      </c>
      <c r="M6" s="103" t="n">
        <f aca="false">MAX(K6,L6/Assumptions!$B$17)</f>
        <v>0.64</v>
      </c>
      <c r="N6" s="104" t="n">
        <f aca="false">IF(M6&gt;0,MIN(999,(F6+I6)/M6),999)</f>
        <v>465.625</v>
      </c>
      <c r="O6" s="91" t="str">
        <f aca="false">IF(N6&lt;Assumptions!$B$18,"LOW — switch to backup",IF(N6&lt;Assumptions!$B$19,"WATCH — re-order","OK"))</f>
        <v>OK</v>
      </c>
      <c r="P6" s="91" t="n">
        <v>50</v>
      </c>
      <c r="Q6" s="91" t="n">
        <v>75</v>
      </c>
      <c r="R6" s="91"/>
    </row>
    <row r="7" customFormat="false" ht="15" hidden="false" customHeight="false" outlineLevel="0" collapsed="false">
      <c r="A7" s="91" t="s">
        <v>788</v>
      </c>
      <c r="B7" s="91" t="s">
        <v>185</v>
      </c>
      <c r="C7" s="91" t="s">
        <v>1536</v>
      </c>
      <c r="D7" s="91" t="s">
        <v>789</v>
      </c>
      <c r="E7" s="91" t="s">
        <v>1537</v>
      </c>
      <c r="F7" s="101" t="n">
        <v>120</v>
      </c>
      <c r="G7" s="101" t="n">
        <v>114</v>
      </c>
      <c r="H7" s="101" t="n">
        <v>18</v>
      </c>
      <c r="I7" s="101" t="n">
        <v>0</v>
      </c>
      <c r="J7" s="101" t="n">
        <v>0</v>
      </c>
      <c r="K7" s="102" t="n">
        <v>0</v>
      </c>
      <c r="L7" s="94" t="n">
        <f aca="false">SUMIFS(Main_Strategy!$AU$7:$AU$108,Main_Strategy!$BP$7:$BP$108,A7,Main_Strategy!$B$7:$B$108,1)</f>
        <v>0.0023701213184</v>
      </c>
      <c r="M7" s="103" t="n">
        <f aca="false">MAX(K7,L7/Assumptions!$B$17)</f>
        <v>0.005925303296</v>
      </c>
      <c r="N7" s="104" t="n">
        <f aca="false">IF(M7&gt;0,MIN(999,(F7+I7)/M7),999)</f>
        <v>999</v>
      </c>
      <c r="O7" s="91" t="str">
        <f aca="false">IF(N7&lt;Assumptions!$B$18,"LOW — switch to backup",IF(N7&lt;Assumptions!$B$19,"WATCH — re-order","OK"))</f>
        <v>OK</v>
      </c>
      <c r="P7" s="91" t="n">
        <v>50</v>
      </c>
      <c r="Q7" s="91" t="n">
        <v>75</v>
      </c>
      <c r="R7" s="91" t="s">
        <v>1538</v>
      </c>
    </row>
    <row r="8" customFormat="false" ht="15" hidden="false" customHeight="false" outlineLevel="0" collapsed="false">
      <c r="A8" s="91" t="s">
        <v>976</v>
      </c>
      <c r="B8" s="91" t="s">
        <v>185</v>
      </c>
      <c r="C8" s="91" t="s">
        <v>1539</v>
      </c>
      <c r="D8" s="91" t="s">
        <v>977</v>
      </c>
      <c r="E8" s="91" t="s">
        <v>1537</v>
      </c>
      <c r="F8" s="101" t="n">
        <v>180</v>
      </c>
      <c r="G8" s="101" t="n">
        <v>156</v>
      </c>
      <c r="H8" s="101" t="n">
        <v>48</v>
      </c>
      <c r="I8" s="101" t="n">
        <v>0</v>
      </c>
      <c r="J8" s="101" t="n">
        <v>0</v>
      </c>
      <c r="K8" s="102" t="n">
        <v>0</v>
      </c>
      <c r="L8" s="94" t="n">
        <f aca="false">SUMIFS(Main_Strategy!$AU$7:$AU$108,Main_Strategy!$BP$7:$BP$108,A8,Main_Strategy!$B$7:$B$108,1)</f>
        <v>0</v>
      </c>
      <c r="M8" s="103" t="n">
        <f aca="false">MAX(K8,L8/Assumptions!$B$17)</f>
        <v>0</v>
      </c>
      <c r="N8" s="104" t="n">
        <f aca="false">IF(M8&gt;0,MIN(999,(F8+I8)/M8),999)</f>
        <v>999</v>
      </c>
      <c r="O8" s="91" t="str">
        <f aca="false">IF(N8&lt;Assumptions!$B$18,"LOW — switch to backup",IF(N8&lt;Assumptions!$B$19,"WATCH — re-order","OK"))</f>
        <v>OK</v>
      </c>
      <c r="P8" s="91" t="n">
        <v>50</v>
      </c>
      <c r="Q8" s="91" t="n">
        <v>75</v>
      </c>
      <c r="R8" s="91" t="s">
        <v>1540</v>
      </c>
    </row>
    <row r="9" customFormat="false" ht="15" hidden="false" customHeight="false" outlineLevel="0" collapsed="false">
      <c r="A9" s="91" t="s">
        <v>1541</v>
      </c>
      <c r="B9" s="91" t="s">
        <v>185</v>
      </c>
      <c r="C9" s="91" t="s">
        <v>1542</v>
      </c>
      <c r="D9" s="91" t="s">
        <v>1543</v>
      </c>
      <c r="E9" s="91" t="s">
        <v>1544</v>
      </c>
      <c r="F9" s="101" t="n">
        <v>146</v>
      </c>
      <c r="G9" s="101" t="n">
        <v>109</v>
      </c>
      <c r="H9" s="101" t="n">
        <v>42</v>
      </c>
      <c r="I9" s="101" t="n">
        <v>0</v>
      </c>
      <c r="J9" s="101" t="n">
        <v>0</v>
      </c>
      <c r="K9" s="102" t="n">
        <v>0</v>
      </c>
      <c r="L9" s="94" t="n">
        <f aca="false">SUMIFS(Main_Strategy!$AU$7:$AU$108,Main_Strategy!$BP$7:$BP$108,A9,Main_Strategy!$B$7:$B$108,1)</f>
        <v>0</v>
      </c>
      <c r="M9" s="103" t="n">
        <f aca="false">MAX(K9,L9/Assumptions!$B$17)</f>
        <v>0</v>
      </c>
      <c r="N9" s="104" t="n">
        <f aca="false">IF(M9&gt;0,MIN(999,(F9+I9)/M9),999)</f>
        <v>999</v>
      </c>
      <c r="O9" s="91" t="str">
        <f aca="false">IF(N9&lt;Assumptions!$B$18,"LOW — switch to backup",IF(N9&lt;Assumptions!$B$19,"WATCH — re-order","OK"))</f>
        <v>OK</v>
      </c>
      <c r="P9" s="91" t="n">
        <v>50</v>
      </c>
      <c r="Q9" s="91" t="n">
        <v>75</v>
      </c>
      <c r="R9" s="91"/>
    </row>
    <row r="10" customFormat="false" ht="15" hidden="false" customHeight="false" outlineLevel="0" collapsed="false">
      <c r="A10" s="91" t="s">
        <v>1545</v>
      </c>
      <c r="B10" s="91" t="s">
        <v>185</v>
      </c>
      <c r="C10" s="91" t="s">
        <v>1546</v>
      </c>
      <c r="D10" s="91" t="s">
        <v>1547</v>
      </c>
      <c r="E10" s="91" t="s">
        <v>1544</v>
      </c>
      <c r="F10" s="101" t="n">
        <v>54</v>
      </c>
      <c r="G10" s="101" t="n">
        <v>54</v>
      </c>
      <c r="H10" s="101" t="n">
        <v>0</v>
      </c>
      <c r="I10" s="101" t="n">
        <v>0</v>
      </c>
      <c r="J10" s="101" t="n">
        <v>0</v>
      </c>
      <c r="K10" s="102" t="n">
        <v>0</v>
      </c>
      <c r="L10" s="94" t="n">
        <f aca="false">SUMIFS(Main_Strategy!$AU$7:$AU$108,Main_Strategy!$BP$7:$BP$108,A10,Main_Strategy!$B$7:$B$108,1)</f>
        <v>0</v>
      </c>
      <c r="M10" s="103" t="n">
        <f aca="false">MAX(K10,L10/Assumptions!$B$17)</f>
        <v>0</v>
      </c>
      <c r="N10" s="104" t="n">
        <f aca="false">IF(M10&gt;0,MIN(999,(F10+I10)/M10),999)</f>
        <v>999</v>
      </c>
      <c r="O10" s="91" t="str">
        <f aca="false">IF(N10&lt;Assumptions!$B$18,"LOW — switch to backup",IF(N10&lt;Assumptions!$B$19,"WATCH — re-order","OK"))</f>
        <v>OK</v>
      </c>
      <c r="P10" s="91" t="n">
        <v>50</v>
      </c>
      <c r="Q10" s="91" t="n">
        <v>75</v>
      </c>
      <c r="R10" s="91"/>
    </row>
    <row r="11" customFormat="false" ht="15" hidden="false" customHeight="false" outlineLevel="0" collapsed="false">
      <c r="A11" s="91" t="s">
        <v>1548</v>
      </c>
      <c r="B11" s="91" t="s">
        <v>185</v>
      </c>
      <c r="C11" s="91" t="s">
        <v>1549</v>
      </c>
      <c r="D11" s="91" t="s">
        <v>1550</v>
      </c>
      <c r="E11" s="91" t="s">
        <v>1544</v>
      </c>
      <c r="F11" s="101" t="n">
        <v>125</v>
      </c>
      <c r="G11" s="101" t="n">
        <v>125</v>
      </c>
      <c r="H11" s="101" t="n">
        <v>42</v>
      </c>
      <c r="I11" s="101" t="n">
        <v>0</v>
      </c>
      <c r="J11" s="101" t="n">
        <v>0</v>
      </c>
      <c r="K11" s="102" t="n">
        <v>0</v>
      </c>
      <c r="L11" s="94" t="n">
        <f aca="false">SUMIFS(Main_Strategy!$AU$7:$AU$108,Main_Strategy!$BP$7:$BP$108,A11,Main_Strategy!$B$7:$B$108,1)</f>
        <v>0</v>
      </c>
      <c r="M11" s="103" t="n">
        <f aca="false">MAX(K11,L11/Assumptions!$B$17)</f>
        <v>0</v>
      </c>
      <c r="N11" s="104" t="n">
        <f aca="false">IF(M11&gt;0,MIN(999,(F11+I11)/M11),999)</f>
        <v>999</v>
      </c>
      <c r="O11" s="91" t="str">
        <f aca="false">IF(N11&lt;Assumptions!$B$18,"LOW — switch to backup",IF(N11&lt;Assumptions!$B$19,"WATCH — re-order","OK"))</f>
        <v>OK</v>
      </c>
      <c r="P11" s="91" t="n">
        <v>50</v>
      </c>
      <c r="Q11" s="91" t="n">
        <v>75</v>
      </c>
      <c r="R11" s="91"/>
    </row>
    <row r="12" customFormat="false" ht="15" hidden="false" customHeight="false" outlineLevel="0" collapsed="false">
      <c r="A12" s="91" t="s">
        <v>1551</v>
      </c>
      <c r="B12" s="91" t="s">
        <v>185</v>
      </c>
      <c r="C12" s="91" t="s">
        <v>1552</v>
      </c>
      <c r="D12" s="91" t="s">
        <v>1553</v>
      </c>
      <c r="E12" s="91" t="s">
        <v>1544</v>
      </c>
      <c r="F12" s="101" t="n">
        <v>53</v>
      </c>
      <c r="G12" s="101" t="n">
        <v>47</v>
      </c>
      <c r="H12" s="101" t="n">
        <v>36</v>
      </c>
      <c r="I12" s="101" t="n">
        <v>0</v>
      </c>
      <c r="J12" s="101" t="n">
        <v>0</v>
      </c>
      <c r="K12" s="102" t="n">
        <v>0</v>
      </c>
      <c r="L12" s="94" t="n">
        <f aca="false">SUMIFS(Main_Strategy!$AU$7:$AU$108,Main_Strategy!$BP$7:$BP$108,A12,Main_Strategy!$B$7:$B$108,1)</f>
        <v>0</v>
      </c>
      <c r="M12" s="103" t="n">
        <f aca="false">MAX(K12,L12/Assumptions!$B$17)</f>
        <v>0</v>
      </c>
      <c r="N12" s="104" t="n">
        <f aca="false">IF(M12&gt;0,MIN(999,(F12+I12)/M12),999)</f>
        <v>999</v>
      </c>
      <c r="O12" s="91" t="str">
        <f aca="false">IF(N12&lt;Assumptions!$B$18,"LOW — switch to backup",IF(N12&lt;Assumptions!$B$19,"WATCH — re-order","OK"))</f>
        <v>OK</v>
      </c>
      <c r="P12" s="91" t="n">
        <v>50</v>
      </c>
      <c r="Q12" s="91" t="n">
        <v>75</v>
      </c>
      <c r="R12" s="91"/>
    </row>
    <row r="13" customFormat="false" ht="15" hidden="false" customHeight="false" outlineLevel="0" collapsed="false">
      <c r="A13" s="91" t="s">
        <v>1554</v>
      </c>
      <c r="B13" s="91" t="s">
        <v>185</v>
      </c>
      <c r="C13" s="91" t="s">
        <v>1555</v>
      </c>
      <c r="D13" s="91" t="s">
        <v>1556</v>
      </c>
      <c r="E13" s="91" t="s">
        <v>1544</v>
      </c>
      <c r="F13" s="101" t="n">
        <v>66</v>
      </c>
      <c r="G13" s="101" t="n">
        <v>66</v>
      </c>
      <c r="H13" s="101" t="n">
        <v>6</v>
      </c>
      <c r="I13" s="101" t="n">
        <v>0</v>
      </c>
      <c r="J13" s="101" t="n">
        <v>0</v>
      </c>
      <c r="K13" s="102" t="n">
        <v>0</v>
      </c>
      <c r="L13" s="94" t="n">
        <f aca="false">SUMIFS(Main_Strategy!$AU$7:$AU$108,Main_Strategy!$BP$7:$BP$108,A13,Main_Strategy!$B$7:$B$108,1)</f>
        <v>0</v>
      </c>
      <c r="M13" s="103" t="n">
        <f aca="false">MAX(K13,L13/Assumptions!$B$17)</f>
        <v>0</v>
      </c>
      <c r="N13" s="104" t="n">
        <f aca="false">IF(M13&gt;0,MIN(999,(F13+I13)/M13),999)</f>
        <v>999</v>
      </c>
      <c r="O13" s="91" t="str">
        <f aca="false">IF(N13&lt;Assumptions!$B$18,"LOW — switch to backup",IF(N13&lt;Assumptions!$B$19,"WATCH — re-order","OK"))</f>
        <v>OK</v>
      </c>
      <c r="P13" s="91" t="n">
        <v>50</v>
      </c>
      <c r="Q13" s="91" t="n">
        <v>75</v>
      </c>
      <c r="R13" s="91"/>
    </row>
    <row r="14" customFormat="false" ht="15" hidden="false" customHeight="false" outlineLevel="0" collapsed="false">
      <c r="A14" s="91" t="s">
        <v>1557</v>
      </c>
      <c r="B14" s="91" t="s">
        <v>185</v>
      </c>
      <c r="C14" s="91" t="s">
        <v>1558</v>
      </c>
      <c r="D14" s="91" t="s">
        <v>1559</v>
      </c>
      <c r="E14" s="91" t="s">
        <v>1544</v>
      </c>
      <c r="F14" s="101" t="n">
        <v>114</v>
      </c>
      <c r="G14" s="101" t="n">
        <v>84</v>
      </c>
      <c r="H14" s="101" t="n">
        <v>66</v>
      </c>
      <c r="I14" s="101" t="n">
        <v>0</v>
      </c>
      <c r="J14" s="101" t="n">
        <v>0</v>
      </c>
      <c r="K14" s="102" t="n">
        <v>0</v>
      </c>
      <c r="L14" s="94" t="n">
        <f aca="false">SUMIFS(Main_Strategy!$AU$7:$AU$108,Main_Strategy!$BP$7:$BP$108,A14,Main_Strategy!$B$7:$B$108,1)</f>
        <v>0</v>
      </c>
      <c r="M14" s="103" t="n">
        <f aca="false">MAX(K14,L14/Assumptions!$B$17)</f>
        <v>0</v>
      </c>
      <c r="N14" s="104" t="n">
        <f aca="false">IF(M14&gt;0,MIN(999,(F14+I14)/M14),999)</f>
        <v>999</v>
      </c>
      <c r="O14" s="91" t="str">
        <f aca="false">IF(N14&lt;Assumptions!$B$18,"LOW — switch to backup",IF(N14&lt;Assumptions!$B$19,"WATCH — re-order","OK"))</f>
        <v>OK</v>
      </c>
      <c r="P14" s="91" t="n">
        <v>50</v>
      </c>
      <c r="Q14" s="91" t="n">
        <v>75</v>
      </c>
      <c r="R14" s="91"/>
    </row>
    <row r="15" customFormat="false" ht="15" hidden="false" customHeight="false" outlineLevel="0" collapsed="false">
      <c r="A15" s="91" t="s">
        <v>1560</v>
      </c>
      <c r="B15" s="91" t="s">
        <v>185</v>
      </c>
      <c r="C15" s="91" t="s">
        <v>1561</v>
      </c>
      <c r="D15" s="91" t="s">
        <v>1562</v>
      </c>
      <c r="E15" s="91" t="s">
        <v>1544</v>
      </c>
      <c r="F15" s="101" t="n">
        <v>91</v>
      </c>
      <c r="G15" s="101" t="n">
        <v>85</v>
      </c>
      <c r="H15" s="101" t="n">
        <v>12</v>
      </c>
      <c r="I15" s="101" t="n">
        <v>0</v>
      </c>
      <c r="J15" s="101" t="n">
        <v>0</v>
      </c>
      <c r="K15" s="102" t="n">
        <v>0</v>
      </c>
      <c r="L15" s="94" t="n">
        <f aca="false">SUMIFS(Main_Strategy!$AU$7:$AU$108,Main_Strategy!$BP$7:$BP$108,A15,Main_Strategy!$B$7:$B$108,1)</f>
        <v>0</v>
      </c>
      <c r="M15" s="103" t="n">
        <f aca="false">MAX(K15,L15/Assumptions!$B$17)</f>
        <v>0</v>
      </c>
      <c r="N15" s="104" t="n">
        <f aca="false">IF(M15&gt;0,MIN(999,(F15+I15)/M15),999)</f>
        <v>999</v>
      </c>
      <c r="O15" s="91" t="str">
        <f aca="false">IF(N15&lt;Assumptions!$B$18,"LOW — switch to backup",IF(N15&lt;Assumptions!$B$19,"WATCH — re-order","OK"))</f>
        <v>OK</v>
      </c>
      <c r="P15" s="91" t="n">
        <v>50</v>
      </c>
      <c r="Q15" s="91" t="n">
        <v>75</v>
      </c>
      <c r="R15" s="91"/>
    </row>
    <row r="16" customFormat="false" ht="15" hidden="false" customHeight="false" outlineLevel="0" collapsed="false">
      <c r="A16" s="91" t="s">
        <v>1563</v>
      </c>
      <c r="B16" s="91" t="s">
        <v>185</v>
      </c>
      <c r="C16" s="91" t="s">
        <v>1564</v>
      </c>
      <c r="D16" s="91" t="s">
        <v>1565</v>
      </c>
      <c r="E16" s="91" t="s">
        <v>1544</v>
      </c>
      <c r="F16" s="101" t="n">
        <v>48</v>
      </c>
      <c r="G16" s="101" t="n">
        <v>48</v>
      </c>
      <c r="H16" s="101" t="n">
        <v>24</v>
      </c>
      <c r="I16" s="101" t="n">
        <v>6</v>
      </c>
      <c r="J16" s="101" t="n">
        <v>0</v>
      </c>
      <c r="K16" s="102" t="n">
        <v>0</v>
      </c>
      <c r="L16" s="94" t="n">
        <f aca="false">SUMIFS(Main_Strategy!$AU$7:$AU$108,Main_Strategy!$BP$7:$BP$108,A16,Main_Strategy!$B$7:$B$108,1)</f>
        <v>0</v>
      </c>
      <c r="M16" s="103" t="n">
        <f aca="false">MAX(K16,L16/Assumptions!$B$17)</f>
        <v>0</v>
      </c>
      <c r="N16" s="104" t="n">
        <f aca="false">IF(M16&gt;0,MIN(999,(F16+I16)/M16),999)</f>
        <v>999</v>
      </c>
      <c r="O16" s="91" t="str">
        <f aca="false">IF(N16&lt;Assumptions!$B$18,"LOW — switch to backup",IF(N16&lt;Assumptions!$B$19,"WATCH — re-order","OK"))</f>
        <v>OK</v>
      </c>
      <c r="P16" s="91" t="n">
        <v>50</v>
      </c>
      <c r="Q16" s="91" t="n">
        <v>75</v>
      </c>
      <c r="R16" s="91"/>
    </row>
    <row r="17" customFormat="false" ht="15" hidden="false" customHeight="false" outlineLevel="0" collapsed="false">
      <c r="A17" s="91" t="s">
        <v>569</v>
      </c>
      <c r="B17" s="91" t="s">
        <v>560</v>
      </c>
      <c r="C17" s="91" t="s">
        <v>1529</v>
      </c>
      <c r="D17" s="91" t="s">
        <v>570</v>
      </c>
      <c r="E17" s="100" t="s">
        <v>1566</v>
      </c>
      <c r="F17" s="101" t="n">
        <v>180</v>
      </c>
      <c r="G17" s="101" t="n">
        <v>174</v>
      </c>
      <c r="H17" s="101" t="n">
        <v>18</v>
      </c>
      <c r="I17" s="101" t="n">
        <v>0</v>
      </c>
      <c r="J17" s="101" t="n">
        <v>0</v>
      </c>
      <c r="K17" s="102" t="n">
        <v>0</v>
      </c>
      <c r="L17" s="94" t="n">
        <f aca="false">SUMIFS(Main_Strategy!$AU$7:$AU$108,Main_Strategy!$BP$7:$BP$108,A17,Main_Strategy!$B$7:$B$108,1)</f>
        <v>1.14188950739063</v>
      </c>
      <c r="M17" s="103" t="n">
        <f aca="false">MAX(K17,L17/Assumptions!$B$17)</f>
        <v>2.85472376847657</v>
      </c>
      <c r="N17" s="104" t="n">
        <f aca="false">IF(M17&gt;0,MIN(999,(F17+I17)/M17),999)</f>
        <v>63.0533861060951</v>
      </c>
      <c r="O17" s="91" t="str">
        <f aca="false">IF(N17&lt;Assumptions!$B$18,"LOW — switch to backup",IF(N17&lt;Assumptions!$B$19,"WATCH — re-order","OK"))</f>
        <v>OK</v>
      </c>
      <c r="P17" s="91" t="n">
        <v>50</v>
      </c>
      <c r="Q17" s="91" t="n">
        <v>75</v>
      </c>
      <c r="R17" s="91" t="s">
        <v>1531</v>
      </c>
    </row>
    <row r="18" customFormat="false" ht="15" hidden="false" customHeight="false" outlineLevel="0" collapsed="false">
      <c r="A18" s="91" t="s">
        <v>1567</v>
      </c>
      <c r="B18" s="91" t="s">
        <v>560</v>
      </c>
      <c r="C18" s="91" t="s">
        <v>1533</v>
      </c>
      <c r="D18" s="91" t="s">
        <v>1568</v>
      </c>
      <c r="E18" s="91" t="s">
        <v>1569</v>
      </c>
      <c r="F18" s="101" t="n">
        <v>154</v>
      </c>
      <c r="G18" s="101" t="n">
        <v>146</v>
      </c>
      <c r="H18" s="101" t="n">
        <v>20</v>
      </c>
      <c r="I18" s="101" t="n">
        <v>0</v>
      </c>
      <c r="J18" s="101" t="n">
        <v>0</v>
      </c>
      <c r="K18" s="102" t="n">
        <v>0</v>
      </c>
      <c r="L18" s="94" t="n">
        <f aca="false">SUMIFS(Main_Strategy!$AU$7:$AU$108,Main_Strategy!$BP$7:$BP$108,A18,Main_Strategy!$B$7:$B$108,1)</f>
        <v>0</v>
      </c>
      <c r="M18" s="103" t="n">
        <f aca="false">MAX(K18,L18/Assumptions!$B$17)</f>
        <v>0</v>
      </c>
      <c r="N18" s="104" t="n">
        <f aca="false">IF(M18&gt;0,MIN(999,(F18+I18)/M18),999)</f>
        <v>999</v>
      </c>
      <c r="O18" s="91" t="str">
        <f aca="false">IF(N18&lt;Assumptions!$B$18,"LOW — switch to backup",IF(N18&lt;Assumptions!$B$19,"WATCH — re-order","OK"))</f>
        <v>OK</v>
      </c>
      <c r="P18" s="91" t="n">
        <v>50</v>
      </c>
      <c r="Q18" s="91" t="n">
        <v>75</v>
      </c>
      <c r="R18" s="91"/>
    </row>
    <row r="19" customFormat="false" ht="15" hidden="false" customHeight="false" outlineLevel="0" collapsed="false">
      <c r="A19" s="91" t="s">
        <v>1570</v>
      </c>
      <c r="B19" s="91" t="s">
        <v>560</v>
      </c>
      <c r="C19" s="91" t="s">
        <v>1542</v>
      </c>
      <c r="D19" s="91" t="s">
        <v>1571</v>
      </c>
      <c r="E19" s="91" t="s">
        <v>1544</v>
      </c>
      <c r="F19" s="101" t="n">
        <v>30</v>
      </c>
      <c r="G19" s="101" t="n">
        <v>30</v>
      </c>
      <c r="H19" s="101" t="n">
        <v>0</v>
      </c>
      <c r="I19" s="101" t="n">
        <v>0</v>
      </c>
      <c r="J19" s="101" t="n">
        <v>0</v>
      </c>
      <c r="K19" s="102" t="n">
        <v>0</v>
      </c>
      <c r="L19" s="94" t="n">
        <f aca="false">SUMIFS(Main_Strategy!$AU$7:$AU$108,Main_Strategy!$BP$7:$BP$108,A19,Main_Strategy!$B$7:$B$108,1)</f>
        <v>0</v>
      </c>
      <c r="M19" s="103" t="n">
        <f aca="false">MAX(K19,L19/Assumptions!$B$17)</f>
        <v>0</v>
      </c>
      <c r="N19" s="104" t="n">
        <f aca="false">IF(M19&gt;0,MIN(999,(F19+I19)/M19),999)</f>
        <v>999</v>
      </c>
      <c r="O19" s="91" t="str">
        <f aca="false">IF(N19&lt;Assumptions!$B$18,"LOW — switch to backup",IF(N19&lt;Assumptions!$B$19,"WATCH — re-order","OK"))</f>
        <v>OK</v>
      </c>
      <c r="P19" s="91" t="n">
        <v>50</v>
      </c>
      <c r="Q19" s="91" t="n">
        <v>75</v>
      </c>
      <c r="R19" s="91"/>
    </row>
    <row r="20" customFormat="false" ht="15" hidden="false" customHeight="false" outlineLevel="0" collapsed="false">
      <c r="A20" s="91" t="s">
        <v>1572</v>
      </c>
      <c r="B20" s="91" t="s">
        <v>560</v>
      </c>
      <c r="C20" s="91" t="s">
        <v>1546</v>
      </c>
      <c r="D20" s="91" t="s">
        <v>1573</v>
      </c>
      <c r="E20" s="91" t="s">
        <v>1544</v>
      </c>
      <c r="F20" s="101" t="n">
        <v>77</v>
      </c>
      <c r="G20" s="101" t="n">
        <v>71</v>
      </c>
      <c r="H20" s="101" t="n">
        <v>24</v>
      </c>
      <c r="I20" s="101" t="n">
        <v>0</v>
      </c>
      <c r="J20" s="101" t="n">
        <v>0</v>
      </c>
      <c r="K20" s="102" t="n">
        <v>0</v>
      </c>
      <c r="L20" s="94" t="n">
        <f aca="false">SUMIFS(Main_Strategy!$AU$7:$AU$108,Main_Strategy!$BP$7:$BP$108,A20,Main_Strategy!$B$7:$B$108,1)</f>
        <v>0</v>
      </c>
      <c r="M20" s="103" t="n">
        <f aca="false">MAX(K20,L20/Assumptions!$B$17)</f>
        <v>0</v>
      </c>
      <c r="N20" s="104" t="n">
        <f aca="false">IF(M20&gt;0,MIN(999,(F20+I20)/M20),999)</f>
        <v>999</v>
      </c>
      <c r="O20" s="91" t="str">
        <f aca="false">IF(N20&lt;Assumptions!$B$18,"LOW — switch to backup",IF(N20&lt;Assumptions!$B$19,"WATCH — re-order","OK"))</f>
        <v>OK</v>
      </c>
      <c r="P20" s="91" t="n">
        <v>50</v>
      </c>
      <c r="Q20" s="91" t="n">
        <v>75</v>
      </c>
      <c r="R20" s="91"/>
    </row>
    <row r="21" customFormat="false" ht="15" hidden="false" customHeight="false" outlineLevel="0" collapsed="false">
      <c r="A21" s="91" t="s">
        <v>1574</v>
      </c>
      <c r="B21" s="91" t="s">
        <v>560</v>
      </c>
      <c r="C21" s="91" t="s">
        <v>1549</v>
      </c>
      <c r="D21" s="91" t="s">
        <v>1575</v>
      </c>
      <c r="E21" s="91" t="s">
        <v>1544</v>
      </c>
      <c r="F21" s="101" t="n">
        <v>60</v>
      </c>
      <c r="G21" s="101" t="n">
        <v>54</v>
      </c>
      <c r="H21" s="101" t="n">
        <v>18</v>
      </c>
      <c r="I21" s="101" t="n">
        <v>0</v>
      </c>
      <c r="J21" s="101" t="n">
        <v>0</v>
      </c>
      <c r="K21" s="102" t="n">
        <v>0</v>
      </c>
      <c r="L21" s="94" t="n">
        <f aca="false">SUMIFS(Main_Strategy!$AU$7:$AU$108,Main_Strategy!$BP$7:$BP$108,A21,Main_Strategy!$B$7:$B$108,1)</f>
        <v>0</v>
      </c>
      <c r="M21" s="103" t="n">
        <f aca="false">MAX(K21,L21/Assumptions!$B$17)</f>
        <v>0</v>
      </c>
      <c r="N21" s="104" t="n">
        <f aca="false">IF(M21&gt;0,MIN(999,(F21+I21)/M21),999)</f>
        <v>999</v>
      </c>
      <c r="O21" s="91" t="str">
        <f aca="false">IF(N21&lt;Assumptions!$B$18,"LOW — switch to backup",IF(N21&lt;Assumptions!$B$19,"WATCH — re-order","OK"))</f>
        <v>OK</v>
      </c>
      <c r="P21" s="91" t="n">
        <v>50</v>
      </c>
      <c r="Q21" s="91" t="n">
        <v>75</v>
      </c>
      <c r="R21" s="91"/>
    </row>
    <row r="22" customFormat="false" ht="15" hidden="false" customHeight="false" outlineLevel="0" collapsed="false">
      <c r="A22" s="91" t="s">
        <v>1576</v>
      </c>
      <c r="B22" s="91" t="s">
        <v>560</v>
      </c>
      <c r="C22" s="91" t="s">
        <v>1552</v>
      </c>
      <c r="D22" s="91" t="s">
        <v>1577</v>
      </c>
      <c r="E22" s="91" t="s">
        <v>1544</v>
      </c>
      <c r="F22" s="101" t="n">
        <v>54</v>
      </c>
      <c r="G22" s="101" t="n">
        <v>42</v>
      </c>
      <c r="H22" s="101" t="n">
        <v>30</v>
      </c>
      <c r="I22" s="101" t="n">
        <v>0</v>
      </c>
      <c r="J22" s="101" t="n">
        <v>0</v>
      </c>
      <c r="K22" s="102" t="n">
        <v>0</v>
      </c>
      <c r="L22" s="94" t="n">
        <f aca="false">SUMIFS(Main_Strategy!$AU$7:$AU$108,Main_Strategy!$BP$7:$BP$108,A22,Main_Strategy!$B$7:$B$108,1)</f>
        <v>0</v>
      </c>
      <c r="M22" s="103" t="n">
        <f aca="false">MAX(K22,L22/Assumptions!$B$17)</f>
        <v>0</v>
      </c>
      <c r="N22" s="104" t="n">
        <f aca="false">IF(M22&gt;0,MIN(999,(F22+I22)/M22),999)</f>
        <v>999</v>
      </c>
      <c r="O22" s="91" t="str">
        <f aca="false">IF(N22&lt;Assumptions!$B$18,"LOW — switch to backup",IF(N22&lt;Assumptions!$B$19,"WATCH — re-order","OK"))</f>
        <v>OK</v>
      </c>
      <c r="P22" s="91" t="n">
        <v>50</v>
      </c>
      <c r="Q22" s="91" t="n">
        <v>75</v>
      </c>
      <c r="R22" s="91"/>
    </row>
    <row r="23" customFormat="false" ht="15" hidden="false" customHeight="false" outlineLevel="0" collapsed="false">
      <c r="A23" s="91" t="s">
        <v>1578</v>
      </c>
      <c r="B23" s="91" t="s">
        <v>560</v>
      </c>
      <c r="C23" s="91" t="s">
        <v>1555</v>
      </c>
      <c r="D23" s="91" t="s">
        <v>1579</v>
      </c>
      <c r="E23" s="91" t="s">
        <v>1544</v>
      </c>
      <c r="F23" s="101" t="n">
        <v>60</v>
      </c>
      <c r="G23" s="101" t="n">
        <v>48</v>
      </c>
      <c r="H23" s="101" t="n">
        <v>18</v>
      </c>
      <c r="I23" s="101" t="n">
        <v>0</v>
      </c>
      <c r="J23" s="101" t="n">
        <v>0</v>
      </c>
      <c r="K23" s="102" t="n">
        <v>0</v>
      </c>
      <c r="L23" s="94" t="n">
        <f aca="false">SUMIFS(Main_Strategy!$AU$7:$AU$108,Main_Strategy!$BP$7:$BP$108,A23,Main_Strategy!$B$7:$B$108,1)</f>
        <v>0</v>
      </c>
      <c r="M23" s="103" t="n">
        <f aca="false">MAX(K23,L23/Assumptions!$B$17)</f>
        <v>0</v>
      </c>
      <c r="N23" s="104" t="n">
        <f aca="false">IF(M23&gt;0,MIN(999,(F23+I23)/M23),999)</f>
        <v>999</v>
      </c>
      <c r="O23" s="91" t="str">
        <f aca="false">IF(N23&lt;Assumptions!$B$18,"LOW — switch to backup",IF(N23&lt;Assumptions!$B$19,"WATCH — re-order","OK"))</f>
        <v>OK</v>
      </c>
      <c r="P23" s="91" t="n">
        <v>50</v>
      </c>
      <c r="Q23" s="91" t="n">
        <v>75</v>
      </c>
      <c r="R23" s="91"/>
    </row>
    <row r="24" customFormat="false" ht="15" hidden="false" customHeight="false" outlineLevel="0" collapsed="false">
      <c r="A24" s="91" t="s">
        <v>1580</v>
      </c>
      <c r="B24" s="91" t="s">
        <v>560</v>
      </c>
      <c r="C24" s="91" t="s">
        <v>1536</v>
      </c>
      <c r="D24" s="91" t="s">
        <v>1581</v>
      </c>
      <c r="E24" s="91" t="s">
        <v>1544</v>
      </c>
      <c r="F24" s="101" t="n">
        <v>84</v>
      </c>
      <c r="G24" s="101" t="n">
        <v>84</v>
      </c>
      <c r="H24" s="101" t="n">
        <v>0</v>
      </c>
      <c r="I24" s="101" t="n">
        <v>1</v>
      </c>
      <c r="J24" s="101" t="n">
        <v>0</v>
      </c>
      <c r="K24" s="102" t="n">
        <v>0</v>
      </c>
      <c r="L24" s="94" t="n">
        <f aca="false">SUMIFS(Main_Strategy!$AU$7:$AU$108,Main_Strategy!$BP$7:$BP$108,A24,Main_Strategy!$B$7:$B$108,1)</f>
        <v>0</v>
      </c>
      <c r="M24" s="103" t="n">
        <f aca="false">MAX(K24,L24/Assumptions!$B$17)</f>
        <v>0</v>
      </c>
      <c r="N24" s="104" t="n">
        <f aca="false">IF(M24&gt;0,MIN(999,(F24+I24)/M24),999)</f>
        <v>999</v>
      </c>
      <c r="O24" s="91" t="str">
        <f aca="false">IF(N24&lt;Assumptions!$B$18,"LOW — switch to backup",IF(N24&lt;Assumptions!$B$19,"WATCH — re-order","OK"))</f>
        <v>OK</v>
      </c>
      <c r="P24" s="91" t="n">
        <v>50</v>
      </c>
      <c r="Q24" s="91" t="n">
        <v>75</v>
      </c>
      <c r="R24" s="91"/>
    </row>
    <row r="25" customFormat="false" ht="15" hidden="false" customHeight="false" outlineLevel="0" collapsed="false">
      <c r="A25" s="91" t="s">
        <v>1582</v>
      </c>
      <c r="B25" s="91" t="s">
        <v>560</v>
      </c>
      <c r="C25" s="91" t="s">
        <v>1558</v>
      </c>
      <c r="D25" s="91" t="s">
        <v>1583</v>
      </c>
      <c r="E25" s="91" t="s">
        <v>1544</v>
      </c>
      <c r="F25" s="101" t="n">
        <v>54</v>
      </c>
      <c r="G25" s="101" t="n">
        <v>48</v>
      </c>
      <c r="H25" s="101" t="n">
        <v>72</v>
      </c>
      <c r="I25" s="101" t="n">
        <v>0</v>
      </c>
      <c r="J25" s="101" t="n">
        <v>0</v>
      </c>
      <c r="K25" s="102" t="n">
        <v>0</v>
      </c>
      <c r="L25" s="94" t="n">
        <f aca="false">SUMIFS(Main_Strategy!$AU$7:$AU$108,Main_Strategy!$BP$7:$BP$108,A25,Main_Strategy!$B$7:$B$108,1)</f>
        <v>0</v>
      </c>
      <c r="M25" s="103" t="n">
        <f aca="false">MAX(K25,L25/Assumptions!$B$17)</f>
        <v>0</v>
      </c>
      <c r="N25" s="104" t="n">
        <f aca="false">IF(M25&gt;0,MIN(999,(F25+I25)/M25),999)</f>
        <v>999</v>
      </c>
      <c r="O25" s="91" t="str">
        <f aca="false">IF(N25&lt;Assumptions!$B$18,"LOW — switch to backup",IF(N25&lt;Assumptions!$B$19,"WATCH — re-order","OK"))</f>
        <v>OK</v>
      </c>
      <c r="P25" s="91" t="n">
        <v>50</v>
      </c>
      <c r="Q25" s="91" t="n">
        <v>75</v>
      </c>
      <c r="R25" s="91"/>
    </row>
    <row r="26" customFormat="false" ht="15" hidden="false" customHeight="false" outlineLevel="0" collapsed="false">
      <c r="A26" s="91" t="s">
        <v>1584</v>
      </c>
      <c r="B26" s="91" t="s">
        <v>560</v>
      </c>
      <c r="C26" s="91" t="s">
        <v>1561</v>
      </c>
      <c r="D26" s="91" t="s">
        <v>1585</v>
      </c>
      <c r="E26" s="91" t="s">
        <v>1544</v>
      </c>
      <c r="F26" s="101" t="n">
        <v>36</v>
      </c>
      <c r="G26" s="101" t="n">
        <v>36</v>
      </c>
      <c r="H26" s="101" t="n">
        <v>12</v>
      </c>
      <c r="I26" s="101" t="n">
        <v>0</v>
      </c>
      <c r="J26" s="101" t="n">
        <v>0</v>
      </c>
      <c r="K26" s="102" t="n">
        <v>0</v>
      </c>
      <c r="L26" s="94" t="n">
        <f aca="false">SUMIFS(Main_Strategy!$AU$7:$AU$108,Main_Strategy!$BP$7:$BP$108,A26,Main_Strategy!$B$7:$B$108,1)</f>
        <v>0</v>
      </c>
      <c r="M26" s="103" t="n">
        <f aca="false">MAX(K26,L26/Assumptions!$B$17)</f>
        <v>0</v>
      </c>
      <c r="N26" s="104" t="n">
        <f aca="false">IF(M26&gt;0,MIN(999,(F26+I26)/M26),999)</f>
        <v>999</v>
      </c>
      <c r="O26" s="91" t="str">
        <f aca="false">IF(N26&lt;Assumptions!$B$18,"LOW — switch to backup",IF(N26&lt;Assumptions!$B$19,"WATCH — re-order","OK"))</f>
        <v>OK</v>
      </c>
      <c r="P26" s="91" t="n">
        <v>50</v>
      </c>
      <c r="Q26" s="91" t="n">
        <v>75</v>
      </c>
      <c r="R26" s="91"/>
    </row>
    <row r="27" customFormat="false" ht="15" hidden="false" customHeight="false" outlineLevel="0" collapsed="false">
      <c r="A27" s="91" t="s">
        <v>1586</v>
      </c>
      <c r="B27" s="91" t="s">
        <v>560</v>
      </c>
      <c r="C27" s="91" t="s">
        <v>1564</v>
      </c>
      <c r="D27" s="91" t="s">
        <v>1587</v>
      </c>
      <c r="E27" s="91" t="s">
        <v>1544</v>
      </c>
      <c r="F27" s="101" t="n">
        <v>60</v>
      </c>
      <c r="G27" s="101" t="n">
        <v>41</v>
      </c>
      <c r="H27" s="101" t="n">
        <v>25</v>
      </c>
      <c r="I27" s="101" t="n">
        <v>0</v>
      </c>
      <c r="J27" s="101" t="n">
        <v>0</v>
      </c>
      <c r="K27" s="102" t="n">
        <v>0</v>
      </c>
      <c r="L27" s="94" t="n">
        <f aca="false">SUMIFS(Main_Strategy!$AU$7:$AU$108,Main_Strategy!$BP$7:$BP$108,A27,Main_Strategy!$B$7:$B$108,1)</f>
        <v>0</v>
      </c>
      <c r="M27" s="103" t="n">
        <f aca="false">MAX(K27,L27/Assumptions!$B$17)</f>
        <v>0</v>
      </c>
      <c r="N27" s="104" t="n">
        <f aca="false">IF(M27&gt;0,MIN(999,(F27+I27)/M27),999)</f>
        <v>999</v>
      </c>
      <c r="O27" s="91" t="str">
        <f aca="false">IF(N27&lt;Assumptions!$B$18,"LOW — switch to backup",IF(N27&lt;Assumptions!$B$19,"WATCH — re-order","OK"))</f>
        <v>OK</v>
      </c>
      <c r="P27" s="91" t="n">
        <v>50</v>
      </c>
      <c r="Q27" s="91" t="n">
        <v>75</v>
      </c>
      <c r="R27" s="91"/>
    </row>
    <row r="28" customFormat="false" ht="15" hidden="false" customHeight="false" outlineLevel="0" collapsed="false">
      <c r="A28" s="91" t="s">
        <v>1588</v>
      </c>
      <c r="B28" s="91" t="s">
        <v>560</v>
      </c>
      <c r="C28" s="91" t="s">
        <v>1539</v>
      </c>
      <c r="D28" s="91" t="s">
        <v>1589</v>
      </c>
      <c r="E28" s="91" t="s">
        <v>1544</v>
      </c>
      <c r="F28" s="101" t="n">
        <v>99</v>
      </c>
      <c r="G28" s="101" t="n">
        <v>99</v>
      </c>
      <c r="H28" s="101" t="n">
        <v>0</v>
      </c>
      <c r="I28" s="101" t="n">
        <v>3</v>
      </c>
      <c r="J28" s="101" t="n">
        <v>0</v>
      </c>
      <c r="K28" s="102" t="n">
        <v>0</v>
      </c>
      <c r="L28" s="94" t="n">
        <f aca="false">SUMIFS(Main_Strategy!$AU$7:$AU$108,Main_Strategy!$BP$7:$BP$108,A28,Main_Strategy!$B$7:$B$108,1)</f>
        <v>0</v>
      </c>
      <c r="M28" s="103" t="n">
        <f aca="false">MAX(K28,L28/Assumptions!$B$17)</f>
        <v>0</v>
      </c>
      <c r="N28" s="104" t="n">
        <f aca="false">IF(M28&gt;0,MIN(999,(F28+I28)/M28),999)</f>
        <v>999</v>
      </c>
      <c r="O28" s="91" t="str">
        <f aca="false">IF(N28&lt;Assumptions!$B$18,"LOW — switch to backup",IF(N28&lt;Assumptions!$B$19,"WATCH — re-order","OK"))</f>
        <v>OK</v>
      </c>
      <c r="P28" s="91" t="n">
        <v>50</v>
      </c>
      <c r="Q28" s="91" t="n">
        <v>75</v>
      </c>
      <c r="R28" s="91"/>
    </row>
    <row r="29" customFormat="false" ht="15" hidden="false" customHeight="false" outlineLevel="0" collapsed="false">
      <c r="A29" s="91" t="s">
        <v>435</v>
      </c>
      <c r="B29" s="91" t="s">
        <v>422</v>
      </c>
      <c r="C29" s="91" t="s">
        <v>1529</v>
      </c>
      <c r="D29" s="91" t="s">
        <v>436</v>
      </c>
      <c r="E29" s="100" t="s">
        <v>1590</v>
      </c>
      <c r="F29" s="101" t="n">
        <v>66</v>
      </c>
      <c r="G29" s="101" t="n">
        <v>66</v>
      </c>
      <c r="H29" s="101" t="n">
        <v>0</v>
      </c>
      <c r="I29" s="101" t="n">
        <v>0</v>
      </c>
      <c r="J29" s="101" t="n">
        <v>0</v>
      </c>
      <c r="K29" s="102" t="n">
        <v>0</v>
      </c>
      <c r="L29" s="94" t="n">
        <f aca="false">SUMIFS(Main_Strategy!$AU$7:$AU$108,Main_Strategy!$BP$7:$BP$108,A29,Main_Strategy!$B$7:$B$108,1)</f>
        <v>0.33859257472</v>
      </c>
      <c r="M29" s="103" t="n">
        <f aca="false">MAX(K29,L29/Assumptions!$B$17)</f>
        <v>0.8464814368</v>
      </c>
      <c r="N29" s="104" t="n">
        <f aca="false">IF(M29&gt;0,MIN(999,(F29+I29)/M29),999)</f>
        <v>77.9698137852892</v>
      </c>
      <c r="O29" s="91" t="str">
        <f aca="false">IF(N29&lt;Assumptions!$B$18,"LOW — switch to backup",IF(N29&lt;Assumptions!$B$19,"WATCH — re-order","OK"))</f>
        <v>OK</v>
      </c>
      <c r="P29" s="91" t="n">
        <v>50</v>
      </c>
      <c r="Q29" s="91" t="n">
        <v>75</v>
      </c>
      <c r="R29" s="91" t="s">
        <v>1538</v>
      </c>
    </row>
    <row r="30" customFormat="false" ht="15" hidden="false" customHeight="false" outlineLevel="0" collapsed="false">
      <c r="A30" s="91" t="s">
        <v>1591</v>
      </c>
      <c r="B30" s="91" t="s">
        <v>422</v>
      </c>
      <c r="C30" s="91" t="s">
        <v>1536</v>
      </c>
      <c r="D30" s="91" t="s">
        <v>1592</v>
      </c>
      <c r="E30" s="91" t="s">
        <v>1593</v>
      </c>
      <c r="F30" s="101" t="n">
        <v>42</v>
      </c>
      <c r="G30" s="101" t="n">
        <v>42</v>
      </c>
      <c r="H30" s="101" t="n">
        <v>0</v>
      </c>
      <c r="I30" s="101" t="n">
        <v>0</v>
      </c>
      <c r="J30" s="101" t="n">
        <v>0</v>
      </c>
      <c r="K30" s="102" t="n">
        <v>0</v>
      </c>
      <c r="L30" s="94" t="n">
        <f aca="false">SUMIFS(Main_Strategy!$AU$7:$AU$108,Main_Strategy!$BP$7:$BP$108,A30,Main_Strategy!$B$7:$B$108,1)</f>
        <v>0</v>
      </c>
      <c r="M30" s="103" t="n">
        <f aca="false">MAX(K30,L30/Assumptions!$B$17)</f>
        <v>0</v>
      </c>
      <c r="N30" s="104" t="n">
        <f aca="false">IF(M30&gt;0,MIN(999,(F30+I30)/M30),999)</f>
        <v>999</v>
      </c>
      <c r="O30" s="91" t="str">
        <f aca="false">IF(N30&lt;Assumptions!$B$18,"LOW — switch to backup",IF(N30&lt;Assumptions!$B$19,"WATCH — re-order","OK"))</f>
        <v>OK</v>
      </c>
      <c r="P30" s="91" t="n">
        <v>50</v>
      </c>
      <c r="Q30" s="91" t="n">
        <v>75</v>
      </c>
      <c r="R30" s="91"/>
    </row>
    <row r="31" customFormat="false" ht="15" hidden="false" customHeight="false" outlineLevel="0" collapsed="false">
      <c r="A31" s="91" t="s">
        <v>1594</v>
      </c>
      <c r="B31" s="91" t="s">
        <v>422</v>
      </c>
      <c r="C31" s="91" t="s">
        <v>1542</v>
      </c>
      <c r="D31" s="91" t="s">
        <v>1595</v>
      </c>
      <c r="E31" s="91" t="s">
        <v>1544</v>
      </c>
      <c r="F31" s="101" t="n">
        <v>36</v>
      </c>
      <c r="G31" s="101" t="n">
        <v>30</v>
      </c>
      <c r="H31" s="101" t="n">
        <v>6</v>
      </c>
      <c r="I31" s="101" t="n">
        <v>0</v>
      </c>
      <c r="J31" s="101" t="n">
        <v>0</v>
      </c>
      <c r="K31" s="102" t="n">
        <v>0</v>
      </c>
      <c r="L31" s="94" t="n">
        <f aca="false">SUMIFS(Main_Strategy!$AU$7:$AU$108,Main_Strategy!$BP$7:$BP$108,A31,Main_Strategy!$B$7:$B$108,1)</f>
        <v>0</v>
      </c>
      <c r="M31" s="103" t="n">
        <f aca="false">MAX(K31,L31/Assumptions!$B$17)</f>
        <v>0</v>
      </c>
      <c r="N31" s="104" t="n">
        <f aca="false">IF(M31&gt;0,MIN(999,(F31+I31)/M31),999)</f>
        <v>999</v>
      </c>
      <c r="O31" s="91" t="str">
        <f aca="false">IF(N31&lt;Assumptions!$B$18,"LOW — switch to backup",IF(N31&lt;Assumptions!$B$19,"WATCH — re-order","OK"))</f>
        <v>OK</v>
      </c>
      <c r="P31" s="91" t="n">
        <v>50</v>
      </c>
      <c r="Q31" s="91" t="n">
        <v>75</v>
      </c>
      <c r="R31" s="91"/>
    </row>
    <row r="32" customFormat="false" ht="15" hidden="false" customHeight="false" outlineLevel="0" collapsed="false">
      <c r="A32" s="91" t="s">
        <v>1596</v>
      </c>
      <c r="B32" s="91" t="s">
        <v>422</v>
      </c>
      <c r="C32" s="91" t="s">
        <v>1533</v>
      </c>
      <c r="D32" s="91" t="s">
        <v>1597</v>
      </c>
      <c r="E32" s="91" t="s">
        <v>1544</v>
      </c>
      <c r="F32" s="101" t="n">
        <v>24</v>
      </c>
      <c r="G32" s="101" t="n">
        <v>24</v>
      </c>
      <c r="H32" s="101" t="n">
        <v>6</v>
      </c>
      <c r="I32" s="101" t="n">
        <v>0</v>
      </c>
      <c r="J32" s="101" t="n">
        <v>0</v>
      </c>
      <c r="K32" s="102" t="n">
        <v>0</v>
      </c>
      <c r="L32" s="94" t="n">
        <f aca="false">SUMIFS(Main_Strategy!$AU$7:$AU$108,Main_Strategy!$BP$7:$BP$108,A32,Main_Strategy!$B$7:$B$108,1)</f>
        <v>0</v>
      </c>
      <c r="M32" s="103" t="n">
        <f aca="false">MAX(K32,L32/Assumptions!$B$17)</f>
        <v>0</v>
      </c>
      <c r="N32" s="104" t="n">
        <f aca="false">IF(M32&gt;0,MIN(999,(F32+I32)/M32),999)</f>
        <v>999</v>
      </c>
      <c r="O32" s="91" t="str">
        <f aca="false">IF(N32&lt;Assumptions!$B$18,"LOW — switch to backup",IF(N32&lt;Assumptions!$B$19,"WATCH — re-order","OK"))</f>
        <v>OK</v>
      </c>
      <c r="P32" s="91" t="n">
        <v>50</v>
      </c>
      <c r="Q32" s="91" t="n">
        <v>75</v>
      </c>
      <c r="R32" s="91"/>
    </row>
    <row r="33" customFormat="false" ht="15" hidden="false" customHeight="false" outlineLevel="0" collapsed="false">
      <c r="A33" s="91" t="s">
        <v>1598</v>
      </c>
      <c r="B33" s="91" t="s">
        <v>422</v>
      </c>
      <c r="C33" s="91" t="s">
        <v>1546</v>
      </c>
      <c r="D33" s="91" t="s">
        <v>1599</v>
      </c>
      <c r="E33" s="91" t="s">
        <v>1544</v>
      </c>
      <c r="F33" s="101" t="n">
        <v>24</v>
      </c>
      <c r="G33" s="101" t="n">
        <v>24</v>
      </c>
      <c r="H33" s="101" t="n">
        <v>0</v>
      </c>
      <c r="I33" s="101" t="n">
        <v>0</v>
      </c>
      <c r="J33" s="101" t="n">
        <v>0</v>
      </c>
      <c r="K33" s="102" t="n">
        <v>0</v>
      </c>
      <c r="L33" s="94" t="n">
        <f aca="false">SUMIFS(Main_Strategy!$AU$7:$AU$108,Main_Strategy!$BP$7:$BP$108,A33,Main_Strategy!$B$7:$B$108,1)</f>
        <v>0</v>
      </c>
      <c r="M33" s="103" t="n">
        <f aca="false">MAX(K33,L33/Assumptions!$B$17)</f>
        <v>0</v>
      </c>
      <c r="N33" s="104" t="n">
        <f aca="false">IF(M33&gt;0,MIN(999,(F33+I33)/M33),999)</f>
        <v>999</v>
      </c>
      <c r="O33" s="91" t="str">
        <f aca="false">IF(N33&lt;Assumptions!$B$18,"LOW — switch to backup",IF(N33&lt;Assumptions!$B$19,"WATCH — re-order","OK"))</f>
        <v>OK</v>
      </c>
      <c r="P33" s="91" t="n">
        <v>50</v>
      </c>
      <c r="Q33" s="91" t="n">
        <v>75</v>
      </c>
      <c r="R33" s="91"/>
    </row>
    <row r="34" customFormat="false" ht="15" hidden="false" customHeight="false" outlineLevel="0" collapsed="false">
      <c r="A34" s="91" t="s">
        <v>1600</v>
      </c>
      <c r="B34" s="91" t="s">
        <v>422</v>
      </c>
      <c r="C34" s="91" t="s">
        <v>1549</v>
      </c>
      <c r="D34" s="91" t="s">
        <v>1601</v>
      </c>
      <c r="E34" s="91" t="s">
        <v>1544</v>
      </c>
      <c r="F34" s="101" t="n">
        <v>24</v>
      </c>
      <c r="G34" s="101" t="n">
        <v>24</v>
      </c>
      <c r="H34" s="101" t="n">
        <v>0</v>
      </c>
      <c r="I34" s="101" t="n">
        <v>0</v>
      </c>
      <c r="J34" s="101" t="n">
        <v>0</v>
      </c>
      <c r="K34" s="102" t="n">
        <v>0</v>
      </c>
      <c r="L34" s="94" t="n">
        <f aca="false">SUMIFS(Main_Strategy!$AU$7:$AU$108,Main_Strategy!$BP$7:$BP$108,A34,Main_Strategy!$B$7:$B$108,1)</f>
        <v>0</v>
      </c>
      <c r="M34" s="103" t="n">
        <f aca="false">MAX(K34,L34/Assumptions!$B$17)</f>
        <v>0</v>
      </c>
      <c r="N34" s="104" t="n">
        <f aca="false">IF(M34&gt;0,MIN(999,(F34+I34)/M34),999)</f>
        <v>999</v>
      </c>
      <c r="O34" s="91" t="str">
        <f aca="false">IF(N34&lt;Assumptions!$B$18,"LOW — switch to backup",IF(N34&lt;Assumptions!$B$19,"WATCH — re-order","OK"))</f>
        <v>OK</v>
      </c>
      <c r="P34" s="91" t="n">
        <v>50</v>
      </c>
      <c r="Q34" s="91" t="n">
        <v>75</v>
      </c>
      <c r="R34" s="91"/>
    </row>
    <row r="35" customFormat="false" ht="15" hidden="false" customHeight="false" outlineLevel="0" collapsed="false">
      <c r="A35" s="91" t="s">
        <v>1602</v>
      </c>
      <c r="B35" s="91" t="s">
        <v>422</v>
      </c>
      <c r="C35" s="91" t="s">
        <v>1552</v>
      </c>
      <c r="D35" s="91" t="s">
        <v>1603</v>
      </c>
      <c r="E35" s="91" t="s">
        <v>1544</v>
      </c>
      <c r="F35" s="101" t="n">
        <v>30</v>
      </c>
      <c r="G35" s="101" t="n">
        <v>29</v>
      </c>
      <c r="H35" s="101" t="n">
        <v>1</v>
      </c>
      <c r="I35" s="101" t="n">
        <v>0</v>
      </c>
      <c r="J35" s="101" t="n">
        <v>0</v>
      </c>
      <c r="K35" s="102" t="n">
        <v>0</v>
      </c>
      <c r="L35" s="94" t="n">
        <f aca="false">SUMIFS(Main_Strategy!$AU$7:$AU$108,Main_Strategy!$BP$7:$BP$108,A35,Main_Strategy!$B$7:$B$108,1)</f>
        <v>0</v>
      </c>
      <c r="M35" s="103" t="n">
        <f aca="false">MAX(K35,L35/Assumptions!$B$17)</f>
        <v>0</v>
      </c>
      <c r="N35" s="104" t="n">
        <f aca="false">IF(M35&gt;0,MIN(999,(F35+I35)/M35),999)</f>
        <v>999</v>
      </c>
      <c r="O35" s="91" t="str">
        <f aca="false">IF(N35&lt;Assumptions!$B$18,"LOW — switch to backup",IF(N35&lt;Assumptions!$B$19,"WATCH — re-order","OK"))</f>
        <v>OK</v>
      </c>
      <c r="P35" s="91" t="n">
        <v>50</v>
      </c>
      <c r="Q35" s="91" t="n">
        <v>75</v>
      </c>
      <c r="R35" s="91"/>
    </row>
    <row r="36" customFormat="false" ht="15" hidden="false" customHeight="false" outlineLevel="0" collapsed="false">
      <c r="A36" s="91" t="s">
        <v>1604</v>
      </c>
      <c r="B36" s="91" t="s">
        <v>422</v>
      </c>
      <c r="C36" s="91" t="s">
        <v>1555</v>
      </c>
      <c r="D36" s="91" t="s">
        <v>1605</v>
      </c>
      <c r="E36" s="91" t="s">
        <v>1544</v>
      </c>
      <c r="F36" s="101" t="n">
        <v>30</v>
      </c>
      <c r="G36" s="101" t="n">
        <v>30</v>
      </c>
      <c r="H36" s="101" t="n">
        <v>0</v>
      </c>
      <c r="I36" s="101" t="n">
        <v>0</v>
      </c>
      <c r="J36" s="101" t="n">
        <v>0</v>
      </c>
      <c r="K36" s="102" t="n">
        <v>0</v>
      </c>
      <c r="L36" s="94" t="n">
        <f aca="false">SUMIFS(Main_Strategy!$AU$7:$AU$108,Main_Strategy!$BP$7:$BP$108,A36,Main_Strategy!$B$7:$B$108,1)</f>
        <v>0</v>
      </c>
      <c r="M36" s="103" t="n">
        <f aca="false">MAX(K36,L36/Assumptions!$B$17)</f>
        <v>0</v>
      </c>
      <c r="N36" s="104" t="n">
        <f aca="false">IF(M36&gt;0,MIN(999,(F36+I36)/M36),999)</f>
        <v>999</v>
      </c>
      <c r="O36" s="91" t="str">
        <f aca="false">IF(N36&lt;Assumptions!$B$18,"LOW — switch to backup",IF(N36&lt;Assumptions!$B$19,"WATCH — re-order","OK"))</f>
        <v>OK</v>
      </c>
      <c r="P36" s="91" t="n">
        <v>50</v>
      </c>
      <c r="Q36" s="91" t="n">
        <v>75</v>
      </c>
      <c r="R36" s="91"/>
    </row>
    <row r="37" customFormat="false" ht="15" hidden="false" customHeight="false" outlineLevel="0" collapsed="false">
      <c r="A37" s="91" t="s">
        <v>1606</v>
      </c>
      <c r="B37" s="91" t="s">
        <v>422</v>
      </c>
      <c r="C37" s="91" t="s">
        <v>1558</v>
      </c>
      <c r="D37" s="91" t="s">
        <v>1607</v>
      </c>
      <c r="E37" s="91" t="s">
        <v>1544</v>
      </c>
      <c r="F37" s="101" t="n">
        <v>30</v>
      </c>
      <c r="G37" s="101" t="n">
        <v>30</v>
      </c>
      <c r="H37" s="101" t="n">
        <v>0</v>
      </c>
      <c r="I37" s="101" t="n">
        <v>0</v>
      </c>
      <c r="J37" s="101" t="n">
        <v>0</v>
      </c>
      <c r="K37" s="102" t="n">
        <v>0</v>
      </c>
      <c r="L37" s="94" t="n">
        <f aca="false">SUMIFS(Main_Strategy!$AU$7:$AU$108,Main_Strategy!$BP$7:$BP$108,A37,Main_Strategy!$B$7:$B$108,1)</f>
        <v>0</v>
      </c>
      <c r="M37" s="103" t="n">
        <f aca="false">MAX(K37,L37/Assumptions!$B$17)</f>
        <v>0</v>
      </c>
      <c r="N37" s="104" t="n">
        <f aca="false">IF(M37&gt;0,MIN(999,(F37+I37)/M37),999)</f>
        <v>999</v>
      </c>
      <c r="O37" s="91" t="str">
        <f aca="false">IF(N37&lt;Assumptions!$B$18,"LOW — switch to backup",IF(N37&lt;Assumptions!$B$19,"WATCH — re-order","OK"))</f>
        <v>OK</v>
      </c>
      <c r="P37" s="91" t="n">
        <v>50</v>
      </c>
      <c r="Q37" s="91" t="n">
        <v>75</v>
      </c>
      <c r="R37" s="91"/>
    </row>
    <row r="38" customFormat="false" ht="15" hidden="false" customHeight="false" outlineLevel="0" collapsed="false">
      <c r="A38" s="91" t="s">
        <v>1608</v>
      </c>
      <c r="B38" s="91" t="s">
        <v>422</v>
      </c>
      <c r="C38" s="91" t="s">
        <v>1561</v>
      </c>
      <c r="D38" s="91" t="s">
        <v>1609</v>
      </c>
      <c r="E38" s="91" t="s">
        <v>1544</v>
      </c>
      <c r="F38" s="101" t="n">
        <v>30</v>
      </c>
      <c r="G38" s="101" t="n">
        <v>30</v>
      </c>
      <c r="H38" s="101" t="n">
        <v>0</v>
      </c>
      <c r="I38" s="101" t="n">
        <v>0</v>
      </c>
      <c r="J38" s="101" t="n">
        <v>0</v>
      </c>
      <c r="K38" s="102" t="n">
        <v>0</v>
      </c>
      <c r="L38" s="94" t="n">
        <f aca="false">SUMIFS(Main_Strategy!$AU$7:$AU$108,Main_Strategy!$BP$7:$BP$108,A38,Main_Strategy!$B$7:$B$108,1)</f>
        <v>0</v>
      </c>
      <c r="M38" s="103" t="n">
        <f aca="false">MAX(K38,L38/Assumptions!$B$17)</f>
        <v>0</v>
      </c>
      <c r="N38" s="104" t="n">
        <f aca="false">IF(M38&gt;0,MIN(999,(F38+I38)/M38),999)</f>
        <v>999</v>
      </c>
      <c r="O38" s="91" t="str">
        <f aca="false">IF(N38&lt;Assumptions!$B$18,"LOW — switch to backup",IF(N38&lt;Assumptions!$B$19,"WATCH — re-order","OK"))</f>
        <v>OK</v>
      </c>
      <c r="P38" s="91" t="n">
        <v>50</v>
      </c>
      <c r="Q38" s="91" t="n">
        <v>75</v>
      </c>
      <c r="R38" s="91"/>
    </row>
    <row r="39" customFormat="false" ht="15" hidden="false" customHeight="false" outlineLevel="0" collapsed="false">
      <c r="A39" s="91" t="s">
        <v>1610</v>
      </c>
      <c r="B39" s="91" t="s">
        <v>422</v>
      </c>
      <c r="C39" s="91" t="s">
        <v>1564</v>
      </c>
      <c r="D39" s="91" t="s">
        <v>1611</v>
      </c>
      <c r="E39" s="91" t="s">
        <v>1544</v>
      </c>
      <c r="F39" s="101" t="n">
        <v>30</v>
      </c>
      <c r="G39" s="101" t="n">
        <v>30</v>
      </c>
      <c r="H39" s="101" t="n">
        <v>0</v>
      </c>
      <c r="I39" s="101" t="n">
        <v>0</v>
      </c>
      <c r="J39" s="101" t="n">
        <v>0</v>
      </c>
      <c r="K39" s="102" t="n">
        <v>0</v>
      </c>
      <c r="L39" s="94" t="n">
        <f aca="false">SUMIFS(Main_Strategy!$AU$7:$AU$108,Main_Strategy!$BP$7:$BP$108,A39,Main_Strategy!$B$7:$B$108,1)</f>
        <v>0</v>
      </c>
      <c r="M39" s="103" t="n">
        <f aca="false">MAX(K39,L39/Assumptions!$B$17)</f>
        <v>0</v>
      </c>
      <c r="N39" s="104" t="n">
        <f aca="false">IF(M39&gt;0,MIN(999,(F39+I39)/M39),999)</f>
        <v>999</v>
      </c>
      <c r="O39" s="91" t="str">
        <f aca="false">IF(N39&lt;Assumptions!$B$18,"LOW — switch to backup",IF(N39&lt;Assumptions!$B$19,"WATCH — re-order","OK"))</f>
        <v>OK</v>
      </c>
      <c r="P39" s="91" t="n">
        <v>50</v>
      </c>
      <c r="Q39" s="91" t="n">
        <v>75</v>
      </c>
      <c r="R39" s="91"/>
    </row>
    <row r="40" customFormat="false" ht="15" hidden="false" customHeight="false" outlineLevel="0" collapsed="false">
      <c r="A40" s="91" t="s">
        <v>1612</v>
      </c>
      <c r="B40" s="91" t="s">
        <v>422</v>
      </c>
      <c r="C40" s="91" t="s">
        <v>1539</v>
      </c>
      <c r="D40" s="91" t="s">
        <v>1613</v>
      </c>
      <c r="E40" s="91" t="s">
        <v>1544</v>
      </c>
      <c r="F40" s="101" t="n">
        <v>36</v>
      </c>
      <c r="G40" s="101" t="n">
        <v>36</v>
      </c>
      <c r="H40" s="101" t="n">
        <v>6</v>
      </c>
      <c r="I40" s="101" t="n">
        <v>0</v>
      </c>
      <c r="J40" s="101" t="n">
        <v>0</v>
      </c>
      <c r="K40" s="102" t="n">
        <v>0</v>
      </c>
      <c r="L40" s="94" t="n">
        <f aca="false">SUMIFS(Main_Strategy!$AU$7:$AU$108,Main_Strategy!$BP$7:$BP$108,A40,Main_Strategy!$B$7:$B$108,1)</f>
        <v>0</v>
      </c>
      <c r="M40" s="103" t="n">
        <f aca="false">MAX(K40,L40/Assumptions!$B$17)</f>
        <v>0</v>
      </c>
      <c r="N40" s="104" t="n">
        <f aca="false">IF(M40&gt;0,MIN(999,(F40+I40)/M40),999)</f>
        <v>999</v>
      </c>
      <c r="O40" s="91" t="str">
        <f aca="false">IF(N40&lt;Assumptions!$B$18,"LOW — switch to backup",IF(N40&lt;Assumptions!$B$19,"WATCH — re-order","OK"))</f>
        <v>OK</v>
      </c>
      <c r="P40" s="91" t="n">
        <v>50</v>
      </c>
      <c r="Q40" s="91" t="n">
        <v>75</v>
      </c>
      <c r="R40" s="91"/>
    </row>
    <row r="41" customFormat="false" ht="15" hidden="false" customHeight="false" outlineLevel="0" collapsed="false">
      <c r="A41" s="91" t="s">
        <v>488</v>
      </c>
      <c r="B41" s="91" t="s">
        <v>479</v>
      </c>
      <c r="C41" s="91" t="s">
        <v>1533</v>
      </c>
      <c r="D41" s="91" t="s">
        <v>489</v>
      </c>
      <c r="E41" s="100" t="s">
        <v>1614</v>
      </c>
      <c r="F41" s="101" t="n">
        <v>90</v>
      </c>
      <c r="G41" s="101" t="n">
        <v>90</v>
      </c>
      <c r="H41" s="101" t="n">
        <v>0</v>
      </c>
      <c r="I41" s="101" t="n">
        <v>0</v>
      </c>
      <c r="J41" s="101" t="n">
        <v>0</v>
      </c>
      <c r="K41" s="102" t="n">
        <v>0</v>
      </c>
      <c r="L41" s="94" t="n">
        <f aca="false">SUMIFS(Main_Strategy!$AU$7:$AU$108,Main_Strategy!$BP$7:$BP$108,A41,Main_Strategy!$B$7:$B$108,1)</f>
        <v>0.5354789303008</v>
      </c>
      <c r="M41" s="103" t="n">
        <f aca="false">MAX(K41,L41/Assumptions!$B$17)</f>
        <v>1.338697325752</v>
      </c>
      <c r="N41" s="104" t="n">
        <f aca="false">IF(M41&gt;0,MIN(999,(F41+I41)/M41),999)</f>
        <v>67.2295359591037</v>
      </c>
      <c r="O41" s="91" t="str">
        <f aca="false">IF(N41&lt;Assumptions!$B$18,"LOW — switch to backup",IF(N41&lt;Assumptions!$B$19,"WATCH — re-order","OK"))</f>
        <v>OK</v>
      </c>
      <c r="P41" s="91" t="n">
        <v>50</v>
      </c>
      <c r="Q41" s="91" t="n">
        <v>75</v>
      </c>
      <c r="R41" s="91" t="s">
        <v>1538</v>
      </c>
    </row>
    <row r="42" customFormat="false" ht="15" hidden="false" customHeight="false" outlineLevel="0" collapsed="false">
      <c r="A42" s="91" t="s">
        <v>1615</v>
      </c>
      <c r="B42" s="91" t="s">
        <v>479</v>
      </c>
      <c r="C42" s="91" t="s">
        <v>1529</v>
      </c>
      <c r="D42" s="91" t="s">
        <v>1616</v>
      </c>
      <c r="E42" s="91" t="s">
        <v>1617</v>
      </c>
      <c r="F42" s="101" t="n">
        <v>66</v>
      </c>
      <c r="G42" s="101" t="n">
        <v>54</v>
      </c>
      <c r="H42" s="101" t="n">
        <v>24</v>
      </c>
      <c r="I42" s="101" t="n">
        <v>0</v>
      </c>
      <c r="J42" s="101" t="n">
        <v>0</v>
      </c>
      <c r="K42" s="102" t="n">
        <v>0</v>
      </c>
      <c r="L42" s="94" t="n">
        <f aca="false">SUMIFS(Main_Strategy!$AU$7:$AU$108,Main_Strategy!$BP$7:$BP$108,A42,Main_Strategy!$B$7:$B$108,1)</f>
        <v>0</v>
      </c>
      <c r="M42" s="103" t="n">
        <f aca="false">MAX(K42,L42/Assumptions!$B$17)</f>
        <v>0</v>
      </c>
      <c r="N42" s="104" t="n">
        <f aca="false">IF(M42&gt;0,MIN(999,(F42+I42)/M42),999)</f>
        <v>999</v>
      </c>
      <c r="O42" s="91" t="str">
        <f aca="false">IF(N42&lt;Assumptions!$B$18,"LOW — switch to backup",IF(N42&lt;Assumptions!$B$19,"WATCH — re-order","OK"))</f>
        <v>OK</v>
      </c>
      <c r="P42" s="91" t="n">
        <v>50</v>
      </c>
      <c r="Q42" s="91" t="n">
        <v>75</v>
      </c>
      <c r="R42" s="91"/>
    </row>
    <row r="43" customFormat="false" ht="15" hidden="false" customHeight="false" outlineLevel="0" collapsed="false">
      <c r="A43" s="91" t="s">
        <v>1618</v>
      </c>
      <c r="B43" s="91" t="s">
        <v>479</v>
      </c>
      <c r="C43" s="91" t="s">
        <v>1542</v>
      </c>
      <c r="D43" s="91" t="s">
        <v>1619</v>
      </c>
      <c r="E43" s="91" t="s">
        <v>1544</v>
      </c>
      <c r="F43" s="101" t="n">
        <v>36</v>
      </c>
      <c r="G43" s="101" t="n">
        <v>30</v>
      </c>
      <c r="H43" s="101" t="n">
        <v>6</v>
      </c>
      <c r="I43" s="101" t="n">
        <v>0</v>
      </c>
      <c r="J43" s="101" t="n">
        <v>0</v>
      </c>
      <c r="K43" s="102" t="n">
        <v>0</v>
      </c>
      <c r="L43" s="94" t="n">
        <f aca="false">SUMIFS(Main_Strategy!$AU$7:$AU$108,Main_Strategy!$BP$7:$BP$108,A43,Main_Strategy!$B$7:$B$108,1)</f>
        <v>0</v>
      </c>
      <c r="M43" s="103" t="n">
        <f aca="false">MAX(K43,L43/Assumptions!$B$17)</f>
        <v>0</v>
      </c>
      <c r="N43" s="104" t="n">
        <f aca="false">IF(M43&gt;0,MIN(999,(F43+I43)/M43),999)</f>
        <v>999</v>
      </c>
      <c r="O43" s="91" t="str">
        <f aca="false">IF(N43&lt;Assumptions!$B$18,"LOW — switch to backup",IF(N43&lt;Assumptions!$B$19,"WATCH — re-order","OK"))</f>
        <v>OK</v>
      </c>
      <c r="P43" s="91" t="n">
        <v>50</v>
      </c>
      <c r="Q43" s="91" t="n">
        <v>75</v>
      </c>
      <c r="R43" s="91"/>
    </row>
    <row r="44" customFormat="false" ht="15" hidden="false" customHeight="false" outlineLevel="0" collapsed="false">
      <c r="A44" s="91" t="s">
        <v>1620</v>
      </c>
      <c r="B44" s="91" t="s">
        <v>479</v>
      </c>
      <c r="C44" s="91" t="s">
        <v>1546</v>
      </c>
      <c r="D44" s="91" t="s">
        <v>1621</v>
      </c>
      <c r="E44" s="91" t="s">
        <v>1544</v>
      </c>
      <c r="F44" s="101" t="n">
        <v>30</v>
      </c>
      <c r="G44" s="101" t="n">
        <v>30</v>
      </c>
      <c r="H44" s="101" t="n">
        <v>0</v>
      </c>
      <c r="I44" s="101" t="n">
        <v>0</v>
      </c>
      <c r="J44" s="101" t="n">
        <v>0</v>
      </c>
      <c r="K44" s="102" t="n">
        <v>0</v>
      </c>
      <c r="L44" s="94" t="n">
        <f aca="false">SUMIFS(Main_Strategy!$AU$7:$AU$108,Main_Strategy!$BP$7:$BP$108,A44,Main_Strategy!$B$7:$B$108,1)</f>
        <v>0</v>
      </c>
      <c r="M44" s="103" t="n">
        <f aca="false">MAX(K44,L44/Assumptions!$B$17)</f>
        <v>0</v>
      </c>
      <c r="N44" s="104" t="n">
        <f aca="false">IF(M44&gt;0,MIN(999,(F44+I44)/M44),999)</f>
        <v>999</v>
      </c>
      <c r="O44" s="91" t="str">
        <f aca="false">IF(N44&lt;Assumptions!$B$18,"LOW — switch to backup",IF(N44&lt;Assumptions!$B$19,"WATCH — re-order","OK"))</f>
        <v>OK</v>
      </c>
      <c r="P44" s="91" t="n">
        <v>50</v>
      </c>
      <c r="Q44" s="91" t="n">
        <v>75</v>
      </c>
      <c r="R44" s="91"/>
    </row>
    <row r="45" customFormat="false" ht="15" hidden="false" customHeight="false" outlineLevel="0" collapsed="false">
      <c r="A45" s="91" t="s">
        <v>1622</v>
      </c>
      <c r="B45" s="91" t="s">
        <v>479</v>
      </c>
      <c r="C45" s="91" t="s">
        <v>1549</v>
      </c>
      <c r="D45" s="91" t="s">
        <v>1623</v>
      </c>
      <c r="E45" s="91" t="s">
        <v>1544</v>
      </c>
      <c r="F45" s="101" t="n">
        <v>72</v>
      </c>
      <c r="G45" s="101" t="n">
        <v>72</v>
      </c>
      <c r="H45" s="101" t="n">
        <v>0</v>
      </c>
      <c r="I45" s="101" t="n">
        <v>0</v>
      </c>
      <c r="J45" s="101" t="n">
        <v>0</v>
      </c>
      <c r="K45" s="102" t="n">
        <v>0</v>
      </c>
      <c r="L45" s="94" t="n">
        <f aca="false">SUMIFS(Main_Strategy!$AU$7:$AU$108,Main_Strategy!$BP$7:$BP$108,A45,Main_Strategy!$B$7:$B$108,1)</f>
        <v>0</v>
      </c>
      <c r="M45" s="103" t="n">
        <f aca="false">MAX(K45,L45/Assumptions!$B$17)</f>
        <v>0</v>
      </c>
      <c r="N45" s="104" t="n">
        <f aca="false">IF(M45&gt;0,MIN(999,(F45+I45)/M45),999)</f>
        <v>999</v>
      </c>
      <c r="O45" s="91" t="str">
        <f aca="false">IF(N45&lt;Assumptions!$B$18,"LOW — switch to backup",IF(N45&lt;Assumptions!$B$19,"WATCH — re-order","OK"))</f>
        <v>OK</v>
      </c>
      <c r="P45" s="91" t="n">
        <v>50</v>
      </c>
      <c r="Q45" s="91" t="n">
        <v>75</v>
      </c>
      <c r="R45" s="91"/>
    </row>
    <row r="46" customFormat="false" ht="15" hidden="false" customHeight="false" outlineLevel="0" collapsed="false">
      <c r="A46" s="91" t="s">
        <v>1624</v>
      </c>
      <c r="B46" s="91" t="s">
        <v>479</v>
      </c>
      <c r="C46" s="91" t="s">
        <v>1552</v>
      </c>
      <c r="D46" s="91" t="s">
        <v>1625</v>
      </c>
      <c r="E46" s="91" t="s">
        <v>1544</v>
      </c>
      <c r="F46" s="101" t="n">
        <v>30</v>
      </c>
      <c r="G46" s="101" t="n">
        <v>30</v>
      </c>
      <c r="H46" s="101" t="n">
        <v>6</v>
      </c>
      <c r="I46" s="101" t="n">
        <v>0</v>
      </c>
      <c r="J46" s="101" t="n">
        <v>0</v>
      </c>
      <c r="K46" s="102" t="n">
        <v>0</v>
      </c>
      <c r="L46" s="94" t="n">
        <f aca="false">SUMIFS(Main_Strategy!$AU$7:$AU$108,Main_Strategy!$BP$7:$BP$108,A46,Main_Strategy!$B$7:$B$108,1)</f>
        <v>0</v>
      </c>
      <c r="M46" s="103" t="n">
        <f aca="false">MAX(K46,L46/Assumptions!$B$17)</f>
        <v>0</v>
      </c>
      <c r="N46" s="104" t="n">
        <f aca="false">IF(M46&gt;0,MIN(999,(F46+I46)/M46),999)</f>
        <v>999</v>
      </c>
      <c r="O46" s="91" t="str">
        <f aca="false">IF(N46&lt;Assumptions!$B$18,"LOW — switch to backup",IF(N46&lt;Assumptions!$B$19,"WATCH — re-order","OK"))</f>
        <v>OK</v>
      </c>
      <c r="P46" s="91" t="n">
        <v>50</v>
      </c>
      <c r="Q46" s="91" t="n">
        <v>75</v>
      </c>
      <c r="R46" s="91"/>
    </row>
    <row r="47" customFormat="false" ht="15" hidden="false" customHeight="false" outlineLevel="0" collapsed="false">
      <c r="A47" s="91" t="s">
        <v>1626</v>
      </c>
      <c r="B47" s="91" t="s">
        <v>479</v>
      </c>
      <c r="C47" s="91" t="s">
        <v>1555</v>
      </c>
      <c r="D47" s="91" t="s">
        <v>1627</v>
      </c>
      <c r="E47" s="91" t="s">
        <v>1544</v>
      </c>
      <c r="F47" s="101" t="n">
        <v>18</v>
      </c>
      <c r="G47" s="101" t="n">
        <v>12</v>
      </c>
      <c r="H47" s="101" t="n">
        <v>12</v>
      </c>
      <c r="I47" s="101" t="n">
        <v>0</v>
      </c>
      <c r="J47" s="101" t="n">
        <v>0</v>
      </c>
      <c r="K47" s="102" t="n">
        <v>0</v>
      </c>
      <c r="L47" s="94" t="n">
        <f aca="false">SUMIFS(Main_Strategy!$AU$7:$AU$108,Main_Strategy!$BP$7:$BP$108,A47,Main_Strategy!$B$7:$B$108,1)</f>
        <v>0</v>
      </c>
      <c r="M47" s="103" t="n">
        <f aca="false">MAX(K47,L47/Assumptions!$B$17)</f>
        <v>0</v>
      </c>
      <c r="N47" s="104" t="n">
        <f aca="false">IF(M47&gt;0,MIN(999,(F47+I47)/M47),999)</f>
        <v>999</v>
      </c>
      <c r="O47" s="91" t="str">
        <f aca="false">IF(N47&lt;Assumptions!$B$18,"LOW — switch to backup",IF(N47&lt;Assumptions!$B$19,"WATCH — re-order","OK"))</f>
        <v>OK</v>
      </c>
      <c r="P47" s="91" t="n">
        <v>50</v>
      </c>
      <c r="Q47" s="91" t="n">
        <v>75</v>
      </c>
      <c r="R47" s="91"/>
    </row>
    <row r="48" customFormat="false" ht="15" hidden="false" customHeight="false" outlineLevel="0" collapsed="false">
      <c r="A48" s="91" t="s">
        <v>1628</v>
      </c>
      <c r="B48" s="91" t="s">
        <v>479</v>
      </c>
      <c r="C48" s="91" t="s">
        <v>1536</v>
      </c>
      <c r="D48" s="91" t="s">
        <v>1629</v>
      </c>
      <c r="E48" s="91" t="s">
        <v>1544</v>
      </c>
      <c r="F48" s="101" t="n">
        <v>66</v>
      </c>
      <c r="G48" s="101" t="n">
        <v>66</v>
      </c>
      <c r="H48" s="101" t="n">
        <v>18</v>
      </c>
      <c r="I48" s="101" t="n">
        <v>0</v>
      </c>
      <c r="J48" s="101" t="n">
        <v>0</v>
      </c>
      <c r="K48" s="102" t="n">
        <v>0</v>
      </c>
      <c r="L48" s="94" t="n">
        <f aca="false">SUMIFS(Main_Strategy!$AU$7:$AU$108,Main_Strategy!$BP$7:$BP$108,A48,Main_Strategy!$B$7:$B$108,1)</f>
        <v>0</v>
      </c>
      <c r="M48" s="103" t="n">
        <f aca="false">MAX(K48,L48/Assumptions!$B$17)</f>
        <v>0</v>
      </c>
      <c r="N48" s="104" t="n">
        <f aca="false">IF(M48&gt;0,MIN(999,(F48+I48)/M48),999)</f>
        <v>999</v>
      </c>
      <c r="O48" s="91" t="str">
        <f aca="false">IF(N48&lt;Assumptions!$B$18,"LOW — switch to backup",IF(N48&lt;Assumptions!$B$19,"WATCH — re-order","OK"))</f>
        <v>OK</v>
      </c>
      <c r="P48" s="91" t="n">
        <v>50</v>
      </c>
      <c r="Q48" s="91" t="n">
        <v>75</v>
      </c>
      <c r="R48" s="91"/>
    </row>
    <row r="49" customFormat="false" ht="15" hidden="false" customHeight="false" outlineLevel="0" collapsed="false">
      <c r="A49" s="91" t="s">
        <v>1630</v>
      </c>
      <c r="B49" s="91" t="s">
        <v>479</v>
      </c>
      <c r="C49" s="91" t="s">
        <v>1558</v>
      </c>
      <c r="D49" s="91" t="s">
        <v>1631</v>
      </c>
      <c r="E49" s="91" t="s">
        <v>1544</v>
      </c>
      <c r="F49" s="101" t="n">
        <v>42</v>
      </c>
      <c r="G49" s="101" t="n">
        <v>36</v>
      </c>
      <c r="H49" s="101" t="n">
        <v>6</v>
      </c>
      <c r="I49" s="101" t="n">
        <v>0</v>
      </c>
      <c r="J49" s="101" t="n">
        <v>0</v>
      </c>
      <c r="K49" s="102" t="n">
        <v>0</v>
      </c>
      <c r="L49" s="94" t="n">
        <f aca="false">SUMIFS(Main_Strategy!$AU$7:$AU$108,Main_Strategy!$BP$7:$BP$108,A49,Main_Strategy!$B$7:$B$108,1)</f>
        <v>0</v>
      </c>
      <c r="M49" s="103" t="n">
        <f aca="false">MAX(K49,L49/Assumptions!$B$17)</f>
        <v>0</v>
      </c>
      <c r="N49" s="104" t="n">
        <f aca="false">IF(M49&gt;0,MIN(999,(F49+I49)/M49),999)</f>
        <v>999</v>
      </c>
      <c r="O49" s="91" t="str">
        <f aca="false">IF(N49&lt;Assumptions!$B$18,"LOW — switch to backup",IF(N49&lt;Assumptions!$B$19,"WATCH — re-order","OK"))</f>
        <v>OK</v>
      </c>
      <c r="P49" s="91" t="n">
        <v>50</v>
      </c>
      <c r="Q49" s="91" t="n">
        <v>75</v>
      </c>
      <c r="R49" s="91"/>
    </row>
    <row r="50" customFormat="false" ht="15" hidden="false" customHeight="false" outlineLevel="0" collapsed="false">
      <c r="A50" s="91" t="s">
        <v>1632</v>
      </c>
      <c r="B50" s="91" t="s">
        <v>479</v>
      </c>
      <c r="C50" s="91" t="s">
        <v>1561</v>
      </c>
      <c r="D50" s="91" t="s">
        <v>1633</v>
      </c>
      <c r="E50" s="91" t="s">
        <v>1544</v>
      </c>
      <c r="F50" s="101" t="n">
        <v>30</v>
      </c>
      <c r="G50" s="101" t="n">
        <v>30</v>
      </c>
      <c r="H50" s="101" t="n">
        <v>0</v>
      </c>
      <c r="I50" s="101" t="n">
        <v>0</v>
      </c>
      <c r="J50" s="101" t="n">
        <v>0</v>
      </c>
      <c r="K50" s="102" t="n">
        <v>0</v>
      </c>
      <c r="L50" s="94" t="n">
        <f aca="false">SUMIFS(Main_Strategy!$AU$7:$AU$108,Main_Strategy!$BP$7:$BP$108,A50,Main_Strategy!$B$7:$B$108,1)</f>
        <v>0</v>
      </c>
      <c r="M50" s="103" t="n">
        <f aca="false">MAX(K50,L50/Assumptions!$B$17)</f>
        <v>0</v>
      </c>
      <c r="N50" s="104" t="n">
        <f aca="false">IF(M50&gt;0,MIN(999,(F50+I50)/M50),999)</f>
        <v>999</v>
      </c>
      <c r="O50" s="91" t="str">
        <f aca="false">IF(N50&lt;Assumptions!$B$18,"LOW — switch to backup",IF(N50&lt;Assumptions!$B$19,"WATCH — re-order","OK"))</f>
        <v>OK</v>
      </c>
      <c r="P50" s="91" t="n">
        <v>50</v>
      </c>
      <c r="Q50" s="91" t="n">
        <v>75</v>
      </c>
      <c r="R50" s="91"/>
    </row>
    <row r="51" customFormat="false" ht="15" hidden="false" customHeight="false" outlineLevel="0" collapsed="false">
      <c r="A51" s="91" t="s">
        <v>1634</v>
      </c>
      <c r="B51" s="91" t="s">
        <v>479</v>
      </c>
      <c r="C51" s="91" t="s">
        <v>1564</v>
      </c>
      <c r="D51" s="91" t="s">
        <v>1635</v>
      </c>
      <c r="E51" s="91" t="s">
        <v>1544</v>
      </c>
      <c r="F51" s="101" t="n">
        <v>24</v>
      </c>
      <c r="G51" s="101" t="n">
        <v>20</v>
      </c>
      <c r="H51" s="101" t="n">
        <v>4</v>
      </c>
      <c r="I51" s="101" t="n">
        <v>0</v>
      </c>
      <c r="J51" s="101" t="n">
        <v>0</v>
      </c>
      <c r="K51" s="102" t="n">
        <v>0</v>
      </c>
      <c r="L51" s="94" t="n">
        <f aca="false">SUMIFS(Main_Strategy!$AU$7:$AU$108,Main_Strategy!$BP$7:$BP$108,A51,Main_Strategy!$B$7:$B$108,1)</f>
        <v>0</v>
      </c>
      <c r="M51" s="103" t="n">
        <f aca="false">MAX(K51,L51/Assumptions!$B$17)</f>
        <v>0</v>
      </c>
      <c r="N51" s="104" t="n">
        <f aca="false">IF(M51&gt;0,MIN(999,(F51+I51)/M51),999)</f>
        <v>999</v>
      </c>
      <c r="O51" s="91" t="str">
        <f aca="false">IF(N51&lt;Assumptions!$B$18,"LOW — switch to backup",IF(N51&lt;Assumptions!$B$19,"WATCH — re-order","OK"))</f>
        <v>OK</v>
      </c>
      <c r="P51" s="91" t="n">
        <v>50</v>
      </c>
      <c r="Q51" s="91" t="n">
        <v>75</v>
      </c>
      <c r="R51" s="91"/>
    </row>
    <row r="52" customFormat="false" ht="15" hidden="false" customHeight="false" outlineLevel="0" collapsed="false">
      <c r="A52" s="91" t="s">
        <v>1636</v>
      </c>
      <c r="B52" s="91" t="s">
        <v>479</v>
      </c>
      <c r="C52" s="91" t="s">
        <v>1539</v>
      </c>
      <c r="D52" s="91" t="s">
        <v>1637</v>
      </c>
      <c r="E52" s="91" t="s">
        <v>1544</v>
      </c>
      <c r="F52" s="101" t="n">
        <v>72</v>
      </c>
      <c r="G52" s="101" t="n">
        <v>60</v>
      </c>
      <c r="H52" s="101" t="n">
        <v>12</v>
      </c>
      <c r="I52" s="101" t="n">
        <v>0</v>
      </c>
      <c r="J52" s="101" t="n">
        <v>0</v>
      </c>
      <c r="K52" s="102" t="n">
        <v>0</v>
      </c>
      <c r="L52" s="94" t="n">
        <f aca="false">SUMIFS(Main_Strategy!$AU$7:$AU$108,Main_Strategy!$BP$7:$BP$108,A52,Main_Strategy!$B$7:$B$108,1)</f>
        <v>0</v>
      </c>
      <c r="M52" s="103" t="n">
        <f aca="false">MAX(K52,L52/Assumptions!$B$17)</f>
        <v>0</v>
      </c>
      <c r="N52" s="104" t="n">
        <f aca="false">IF(M52&gt;0,MIN(999,(F52+I52)/M52),999)</f>
        <v>999</v>
      </c>
      <c r="O52" s="91" t="str">
        <f aca="false">IF(N52&lt;Assumptions!$B$18,"LOW — switch to backup",IF(N52&lt;Assumptions!$B$19,"WATCH — re-order","OK"))</f>
        <v>OK</v>
      </c>
      <c r="P52" s="91" t="n">
        <v>50</v>
      </c>
      <c r="Q52" s="91" t="n">
        <v>75</v>
      </c>
      <c r="R52" s="91"/>
    </row>
    <row r="53" customFormat="false" ht="15" hidden="false" customHeight="false" outlineLevel="0" collapsed="false">
      <c r="A53" s="91" t="s">
        <v>707</v>
      </c>
      <c r="B53" s="91" t="s">
        <v>696</v>
      </c>
      <c r="C53" s="91" t="s">
        <v>1529</v>
      </c>
      <c r="D53" s="91" t="s">
        <v>708</v>
      </c>
      <c r="E53" s="100" t="s">
        <v>1638</v>
      </c>
      <c r="F53" s="101" t="n">
        <v>48</v>
      </c>
      <c r="G53" s="101" t="n">
        <v>41</v>
      </c>
      <c r="H53" s="101" t="n">
        <v>19</v>
      </c>
      <c r="I53" s="101" t="n">
        <v>0</v>
      </c>
      <c r="J53" s="101" t="n">
        <v>0</v>
      </c>
      <c r="K53" s="102" t="n">
        <v>0</v>
      </c>
      <c r="L53" s="94" t="n">
        <f aca="false">SUMIFS(Main_Strategy!$AU$7:$AU$108,Main_Strategy!$BP$7:$BP$108,A53,Main_Strategy!$B$7:$B$108,1)</f>
        <v>0.26680110384</v>
      </c>
      <c r="M53" s="103" t="n">
        <f aca="false">MAX(K53,L53/Assumptions!$B$17)</f>
        <v>0.6670027596</v>
      </c>
      <c r="N53" s="104" t="n">
        <f aca="false">IF(M53&gt;0,MIN(999,(F53+I53)/M53),999)</f>
        <v>71.9637202532498</v>
      </c>
      <c r="O53" s="91" t="str">
        <f aca="false">IF(N53&lt;Assumptions!$B$18,"LOW — switch to backup",IF(N53&lt;Assumptions!$B$19,"WATCH — re-order","OK"))</f>
        <v>OK</v>
      </c>
      <c r="P53" s="91" t="n">
        <v>50</v>
      </c>
      <c r="Q53" s="91" t="n">
        <v>75</v>
      </c>
      <c r="R53" s="91" t="s">
        <v>1538</v>
      </c>
    </row>
    <row r="54" customFormat="false" ht="15" hidden="false" customHeight="false" outlineLevel="0" collapsed="false">
      <c r="A54" s="91" t="s">
        <v>1639</v>
      </c>
      <c r="B54" s="91" t="s">
        <v>696</v>
      </c>
      <c r="C54" s="91" t="s">
        <v>1558</v>
      </c>
      <c r="D54" s="91" t="s">
        <v>1640</v>
      </c>
      <c r="E54" s="91" t="s">
        <v>1641</v>
      </c>
      <c r="F54" s="101" t="n">
        <v>35</v>
      </c>
      <c r="G54" s="101" t="n">
        <v>35</v>
      </c>
      <c r="H54" s="101" t="n">
        <v>0</v>
      </c>
      <c r="I54" s="101" t="n">
        <v>1</v>
      </c>
      <c r="J54" s="101" t="n">
        <v>0</v>
      </c>
      <c r="K54" s="102" t="n">
        <v>0</v>
      </c>
      <c r="L54" s="94" t="n">
        <f aca="false">SUMIFS(Main_Strategy!$AU$7:$AU$108,Main_Strategy!$BP$7:$BP$108,A54,Main_Strategy!$B$7:$B$108,1)</f>
        <v>0</v>
      </c>
      <c r="M54" s="103" t="n">
        <f aca="false">MAX(K54,L54/Assumptions!$B$17)</f>
        <v>0</v>
      </c>
      <c r="N54" s="104" t="n">
        <f aca="false">IF(M54&gt;0,MIN(999,(F54+I54)/M54),999)</f>
        <v>999</v>
      </c>
      <c r="O54" s="91" t="str">
        <f aca="false">IF(N54&lt;Assumptions!$B$18,"LOW — switch to backup",IF(N54&lt;Assumptions!$B$19,"WATCH — re-order","OK"))</f>
        <v>OK</v>
      </c>
      <c r="P54" s="91" t="n">
        <v>50</v>
      </c>
      <c r="Q54" s="91" t="n">
        <v>75</v>
      </c>
      <c r="R54" s="91"/>
    </row>
    <row r="55" customFormat="false" ht="15" hidden="false" customHeight="false" outlineLevel="0" collapsed="false">
      <c r="A55" s="91" t="s">
        <v>1642</v>
      </c>
      <c r="B55" s="91" t="s">
        <v>696</v>
      </c>
      <c r="C55" s="91" t="s">
        <v>1542</v>
      </c>
      <c r="D55" s="91" t="s">
        <v>1643</v>
      </c>
      <c r="E55" s="91" t="s">
        <v>1544</v>
      </c>
      <c r="F55" s="101" t="n">
        <v>30</v>
      </c>
      <c r="G55" s="101" t="n">
        <v>30</v>
      </c>
      <c r="H55" s="101" t="n">
        <v>0</v>
      </c>
      <c r="I55" s="101" t="n">
        <v>0</v>
      </c>
      <c r="J55" s="101" t="n">
        <v>0</v>
      </c>
      <c r="K55" s="102" t="n">
        <v>0</v>
      </c>
      <c r="L55" s="94" t="n">
        <f aca="false">SUMIFS(Main_Strategy!$AU$7:$AU$108,Main_Strategy!$BP$7:$BP$108,A55,Main_Strategy!$B$7:$B$108,1)</f>
        <v>0</v>
      </c>
      <c r="M55" s="103" t="n">
        <f aca="false">MAX(K55,L55/Assumptions!$B$17)</f>
        <v>0</v>
      </c>
      <c r="N55" s="104" t="n">
        <f aca="false">IF(M55&gt;0,MIN(999,(F55+I55)/M55),999)</f>
        <v>999</v>
      </c>
      <c r="O55" s="91" t="str">
        <f aca="false">IF(N55&lt;Assumptions!$B$18,"LOW — switch to backup",IF(N55&lt;Assumptions!$B$19,"WATCH — re-order","OK"))</f>
        <v>OK</v>
      </c>
      <c r="P55" s="91" t="n">
        <v>50</v>
      </c>
      <c r="Q55" s="91" t="n">
        <v>75</v>
      </c>
      <c r="R55" s="91"/>
    </row>
    <row r="56" customFormat="false" ht="15" hidden="false" customHeight="false" outlineLevel="0" collapsed="false">
      <c r="A56" s="91" t="s">
        <v>1644</v>
      </c>
      <c r="B56" s="91" t="s">
        <v>696</v>
      </c>
      <c r="C56" s="91" t="s">
        <v>1533</v>
      </c>
      <c r="D56" s="91" t="s">
        <v>1645</v>
      </c>
      <c r="E56" s="91" t="s">
        <v>1544</v>
      </c>
      <c r="F56" s="101" t="n">
        <v>30</v>
      </c>
      <c r="G56" s="101" t="n">
        <v>30</v>
      </c>
      <c r="H56" s="101" t="n">
        <v>0</v>
      </c>
      <c r="I56" s="101" t="n">
        <v>0</v>
      </c>
      <c r="J56" s="101" t="n">
        <v>0</v>
      </c>
      <c r="K56" s="102" t="n">
        <v>0</v>
      </c>
      <c r="L56" s="94" t="n">
        <f aca="false">SUMIFS(Main_Strategy!$AU$7:$AU$108,Main_Strategy!$BP$7:$BP$108,A56,Main_Strategy!$B$7:$B$108,1)</f>
        <v>0</v>
      </c>
      <c r="M56" s="103" t="n">
        <f aca="false">MAX(K56,L56/Assumptions!$B$17)</f>
        <v>0</v>
      </c>
      <c r="N56" s="104" t="n">
        <f aca="false">IF(M56&gt;0,MIN(999,(F56+I56)/M56),999)</f>
        <v>999</v>
      </c>
      <c r="O56" s="91" t="str">
        <f aca="false">IF(N56&lt;Assumptions!$B$18,"LOW — switch to backup",IF(N56&lt;Assumptions!$B$19,"WATCH — re-order","OK"))</f>
        <v>OK</v>
      </c>
      <c r="P56" s="91" t="n">
        <v>50</v>
      </c>
      <c r="Q56" s="91" t="n">
        <v>75</v>
      </c>
      <c r="R56" s="91"/>
    </row>
    <row r="57" customFormat="false" ht="15" hidden="false" customHeight="false" outlineLevel="0" collapsed="false">
      <c r="A57" s="91" t="s">
        <v>1646</v>
      </c>
      <c r="B57" s="91" t="s">
        <v>696</v>
      </c>
      <c r="C57" s="91" t="s">
        <v>1546</v>
      </c>
      <c r="D57" s="91" t="s">
        <v>1647</v>
      </c>
      <c r="E57" s="91" t="s">
        <v>1544</v>
      </c>
      <c r="F57" s="101" t="n">
        <v>30</v>
      </c>
      <c r="G57" s="101" t="n">
        <v>30</v>
      </c>
      <c r="H57" s="101" t="n">
        <v>0</v>
      </c>
      <c r="I57" s="101" t="n">
        <v>0</v>
      </c>
      <c r="J57" s="101" t="n">
        <v>0</v>
      </c>
      <c r="K57" s="102" t="n">
        <v>0</v>
      </c>
      <c r="L57" s="94" t="n">
        <f aca="false">SUMIFS(Main_Strategy!$AU$7:$AU$108,Main_Strategy!$BP$7:$BP$108,A57,Main_Strategy!$B$7:$B$108,1)</f>
        <v>0</v>
      </c>
      <c r="M57" s="103" t="n">
        <f aca="false">MAX(K57,L57/Assumptions!$B$17)</f>
        <v>0</v>
      </c>
      <c r="N57" s="104" t="n">
        <f aca="false">IF(M57&gt;0,MIN(999,(F57+I57)/M57),999)</f>
        <v>999</v>
      </c>
      <c r="O57" s="91" t="str">
        <f aca="false">IF(N57&lt;Assumptions!$B$18,"LOW — switch to backup",IF(N57&lt;Assumptions!$B$19,"WATCH — re-order","OK"))</f>
        <v>OK</v>
      </c>
      <c r="P57" s="91" t="n">
        <v>50</v>
      </c>
      <c r="Q57" s="91" t="n">
        <v>75</v>
      </c>
      <c r="R57" s="91"/>
    </row>
    <row r="58" customFormat="false" ht="15" hidden="false" customHeight="false" outlineLevel="0" collapsed="false">
      <c r="A58" s="91" t="s">
        <v>1648</v>
      </c>
      <c r="B58" s="91" t="s">
        <v>696</v>
      </c>
      <c r="C58" s="91" t="s">
        <v>1549</v>
      </c>
      <c r="D58" s="91" t="s">
        <v>1649</v>
      </c>
      <c r="E58" s="91" t="s">
        <v>1544</v>
      </c>
      <c r="F58" s="101" t="n">
        <v>30</v>
      </c>
      <c r="G58" s="101" t="n">
        <v>30</v>
      </c>
      <c r="H58" s="101" t="n">
        <v>0</v>
      </c>
      <c r="I58" s="101" t="n">
        <v>0</v>
      </c>
      <c r="J58" s="101" t="n">
        <v>0</v>
      </c>
      <c r="K58" s="102" t="n">
        <v>0</v>
      </c>
      <c r="L58" s="94" t="n">
        <f aca="false">SUMIFS(Main_Strategy!$AU$7:$AU$108,Main_Strategy!$BP$7:$BP$108,A58,Main_Strategy!$B$7:$B$108,1)</f>
        <v>0</v>
      </c>
      <c r="M58" s="103" t="n">
        <f aca="false">MAX(K58,L58/Assumptions!$B$17)</f>
        <v>0</v>
      </c>
      <c r="N58" s="104" t="n">
        <f aca="false">IF(M58&gt;0,MIN(999,(F58+I58)/M58),999)</f>
        <v>999</v>
      </c>
      <c r="O58" s="91" t="str">
        <f aca="false">IF(N58&lt;Assumptions!$B$18,"LOW — switch to backup",IF(N58&lt;Assumptions!$B$19,"WATCH — re-order","OK"))</f>
        <v>OK</v>
      </c>
      <c r="P58" s="91" t="n">
        <v>50</v>
      </c>
      <c r="Q58" s="91" t="n">
        <v>75</v>
      </c>
      <c r="R58" s="91"/>
    </row>
    <row r="59" customFormat="false" ht="15" hidden="false" customHeight="false" outlineLevel="0" collapsed="false">
      <c r="A59" s="91" t="s">
        <v>1650</v>
      </c>
      <c r="B59" s="91" t="s">
        <v>696</v>
      </c>
      <c r="C59" s="91" t="s">
        <v>1552</v>
      </c>
      <c r="D59" s="91" t="s">
        <v>1651</v>
      </c>
      <c r="E59" s="91" t="s">
        <v>1544</v>
      </c>
      <c r="F59" s="101" t="n">
        <v>24</v>
      </c>
      <c r="G59" s="101" t="n">
        <v>24</v>
      </c>
      <c r="H59" s="101" t="n">
        <v>0</v>
      </c>
      <c r="I59" s="101" t="n">
        <v>0</v>
      </c>
      <c r="J59" s="101" t="n">
        <v>0</v>
      </c>
      <c r="K59" s="102" t="n">
        <v>0</v>
      </c>
      <c r="L59" s="94" t="n">
        <f aca="false">SUMIFS(Main_Strategy!$AU$7:$AU$108,Main_Strategy!$BP$7:$BP$108,A59,Main_Strategy!$B$7:$B$108,1)</f>
        <v>0</v>
      </c>
      <c r="M59" s="103" t="n">
        <f aca="false">MAX(K59,L59/Assumptions!$B$17)</f>
        <v>0</v>
      </c>
      <c r="N59" s="104" t="n">
        <f aca="false">IF(M59&gt;0,MIN(999,(F59+I59)/M59),999)</f>
        <v>999</v>
      </c>
      <c r="O59" s="91" t="str">
        <f aca="false">IF(N59&lt;Assumptions!$B$18,"LOW — switch to backup",IF(N59&lt;Assumptions!$B$19,"WATCH — re-order","OK"))</f>
        <v>OK</v>
      </c>
      <c r="P59" s="91" t="n">
        <v>50</v>
      </c>
      <c r="Q59" s="91" t="n">
        <v>75</v>
      </c>
      <c r="R59" s="91"/>
    </row>
    <row r="60" customFormat="false" ht="15" hidden="false" customHeight="false" outlineLevel="0" collapsed="false">
      <c r="A60" s="91" t="s">
        <v>1652</v>
      </c>
      <c r="B60" s="91" t="s">
        <v>696</v>
      </c>
      <c r="C60" s="91" t="s">
        <v>1555</v>
      </c>
      <c r="D60" s="91" t="s">
        <v>1653</v>
      </c>
      <c r="E60" s="91" t="s">
        <v>1544</v>
      </c>
      <c r="F60" s="101" t="n">
        <v>24</v>
      </c>
      <c r="G60" s="101" t="n">
        <v>24</v>
      </c>
      <c r="H60" s="101" t="n">
        <v>0</v>
      </c>
      <c r="I60" s="101" t="n">
        <v>0</v>
      </c>
      <c r="J60" s="101" t="n">
        <v>0</v>
      </c>
      <c r="K60" s="102" t="n">
        <v>0</v>
      </c>
      <c r="L60" s="94" t="n">
        <f aca="false">SUMIFS(Main_Strategy!$AU$7:$AU$108,Main_Strategy!$BP$7:$BP$108,A60,Main_Strategy!$B$7:$B$108,1)</f>
        <v>0</v>
      </c>
      <c r="M60" s="103" t="n">
        <f aca="false">MAX(K60,L60/Assumptions!$B$17)</f>
        <v>0</v>
      </c>
      <c r="N60" s="104" t="n">
        <f aca="false">IF(M60&gt;0,MIN(999,(F60+I60)/M60),999)</f>
        <v>999</v>
      </c>
      <c r="O60" s="91" t="str">
        <f aca="false">IF(N60&lt;Assumptions!$B$18,"LOW — switch to backup",IF(N60&lt;Assumptions!$B$19,"WATCH — re-order","OK"))</f>
        <v>OK</v>
      </c>
      <c r="P60" s="91" t="n">
        <v>50</v>
      </c>
      <c r="Q60" s="91" t="n">
        <v>75</v>
      </c>
      <c r="R60" s="91"/>
    </row>
    <row r="61" customFormat="false" ht="15" hidden="false" customHeight="false" outlineLevel="0" collapsed="false">
      <c r="A61" s="91" t="s">
        <v>1654</v>
      </c>
      <c r="B61" s="91" t="s">
        <v>696</v>
      </c>
      <c r="C61" s="91" t="s">
        <v>1536</v>
      </c>
      <c r="D61" s="91" t="s">
        <v>1655</v>
      </c>
      <c r="E61" s="91" t="s">
        <v>1544</v>
      </c>
      <c r="F61" s="101" t="n">
        <v>30</v>
      </c>
      <c r="G61" s="101" t="n">
        <v>30</v>
      </c>
      <c r="H61" s="101" t="n">
        <v>0</v>
      </c>
      <c r="I61" s="101" t="n">
        <v>0</v>
      </c>
      <c r="J61" s="101" t="n">
        <v>0</v>
      </c>
      <c r="K61" s="102" t="n">
        <v>0</v>
      </c>
      <c r="L61" s="94" t="n">
        <f aca="false">SUMIFS(Main_Strategy!$AU$7:$AU$108,Main_Strategy!$BP$7:$BP$108,A61,Main_Strategy!$B$7:$B$108,1)</f>
        <v>0</v>
      </c>
      <c r="M61" s="103" t="n">
        <f aca="false">MAX(K61,L61/Assumptions!$B$17)</f>
        <v>0</v>
      </c>
      <c r="N61" s="104" t="n">
        <f aca="false">IF(M61&gt;0,MIN(999,(F61+I61)/M61),999)</f>
        <v>999</v>
      </c>
      <c r="O61" s="91" t="str">
        <f aca="false">IF(N61&lt;Assumptions!$B$18,"LOW — switch to backup",IF(N61&lt;Assumptions!$B$19,"WATCH — re-order","OK"))</f>
        <v>OK</v>
      </c>
      <c r="P61" s="91" t="n">
        <v>50</v>
      </c>
      <c r="Q61" s="91" t="n">
        <v>75</v>
      </c>
      <c r="R61" s="91"/>
    </row>
    <row r="62" customFormat="false" ht="15" hidden="false" customHeight="false" outlineLevel="0" collapsed="false">
      <c r="A62" s="91" t="s">
        <v>1656</v>
      </c>
      <c r="B62" s="91" t="s">
        <v>696</v>
      </c>
      <c r="C62" s="91" t="s">
        <v>1561</v>
      </c>
      <c r="D62" s="91" t="s">
        <v>1657</v>
      </c>
      <c r="E62" s="91" t="s">
        <v>1544</v>
      </c>
      <c r="F62" s="101" t="n">
        <v>29</v>
      </c>
      <c r="G62" s="101" t="n">
        <v>29</v>
      </c>
      <c r="H62" s="101" t="n">
        <v>0</v>
      </c>
      <c r="I62" s="101" t="n">
        <v>1</v>
      </c>
      <c r="J62" s="101" t="n">
        <v>0</v>
      </c>
      <c r="K62" s="102" t="n">
        <v>0</v>
      </c>
      <c r="L62" s="94" t="n">
        <f aca="false">SUMIFS(Main_Strategy!$AU$7:$AU$108,Main_Strategy!$BP$7:$BP$108,A62,Main_Strategy!$B$7:$B$108,1)</f>
        <v>0</v>
      </c>
      <c r="M62" s="103" t="n">
        <f aca="false">MAX(K62,L62/Assumptions!$B$17)</f>
        <v>0</v>
      </c>
      <c r="N62" s="104" t="n">
        <f aca="false">IF(M62&gt;0,MIN(999,(F62+I62)/M62),999)</f>
        <v>999</v>
      </c>
      <c r="O62" s="91" t="str">
        <f aca="false">IF(N62&lt;Assumptions!$B$18,"LOW — switch to backup",IF(N62&lt;Assumptions!$B$19,"WATCH — re-order","OK"))</f>
        <v>OK</v>
      </c>
      <c r="P62" s="91" t="n">
        <v>50</v>
      </c>
      <c r="Q62" s="91" t="n">
        <v>75</v>
      </c>
      <c r="R62" s="91"/>
    </row>
    <row r="63" customFormat="false" ht="15" hidden="false" customHeight="false" outlineLevel="0" collapsed="false">
      <c r="A63" s="91" t="s">
        <v>1658</v>
      </c>
      <c r="B63" s="91" t="s">
        <v>696</v>
      </c>
      <c r="C63" s="91" t="s">
        <v>1564</v>
      </c>
      <c r="D63" s="91" t="s">
        <v>1659</v>
      </c>
      <c r="E63" s="91" t="s">
        <v>1544</v>
      </c>
      <c r="F63" s="101" t="n">
        <v>42</v>
      </c>
      <c r="G63" s="101" t="n">
        <v>36</v>
      </c>
      <c r="H63" s="101" t="n">
        <v>6</v>
      </c>
      <c r="I63" s="101" t="n">
        <v>0</v>
      </c>
      <c r="J63" s="101" t="n">
        <v>0</v>
      </c>
      <c r="K63" s="102" t="n">
        <v>0</v>
      </c>
      <c r="L63" s="94" t="n">
        <f aca="false">SUMIFS(Main_Strategy!$AU$7:$AU$108,Main_Strategy!$BP$7:$BP$108,A63,Main_Strategy!$B$7:$B$108,1)</f>
        <v>0</v>
      </c>
      <c r="M63" s="103" t="n">
        <f aca="false">MAX(K63,L63/Assumptions!$B$17)</f>
        <v>0</v>
      </c>
      <c r="N63" s="104" t="n">
        <f aca="false">IF(M63&gt;0,MIN(999,(F63+I63)/M63),999)</f>
        <v>999</v>
      </c>
      <c r="O63" s="91" t="str">
        <f aca="false">IF(N63&lt;Assumptions!$B$18,"LOW — switch to backup",IF(N63&lt;Assumptions!$B$19,"WATCH — re-order","OK"))</f>
        <v>OK</v>
      </c>
      <c r="P63" s="91" t="n">
        <v>50</v>
      </c>
      <c r="Q63" s="91" t="n">
        <v>75</v>
      </c>
      <c r="R63" s="91"/>
    </row>
    <row r="64" customFormat="false" ht="15" hidden="false" customHeight="false" outlineLevel="0" collapsed="false">
      <c r="A64" s="91" t="s">
        <v>1660</v>
      </c>
      <c r="B64" s="91" t="s">
        <v>696</v>
      </c>
      <c r="C64" s="91" t="s">
        <v>1539</v>
      </c>
      <c r="D64" s="91" t="s">
        <v>1661</v>
      </c>
      <c r="E64" s="91" t="s">
        <v>1544</v>
      </c>
      <c r="F64" s="101" t="n">
        <v>54</v>
      </c>
      <c r="G64" s="101" t="n">
        <v>48</v>
      </c>
      <c r="H64" s="101" t="n">
        <v>12</v>
      </c>
      <c r="I64" s="101" t="n">
        <v>0</v>
      </c>
      <c r="J64" s="101" t="n">
        <v>0</v>
      </c>
      <c r="K64" s="102" t="n">
        <v>0</v>
      </c>
      <c r="L64" s="94" t="n">
        <f aca="false">SUMIFS(Main_Strategy!$AU$7:$AU$108,Main_Strategy!$BP$7:$BP$108,A64,Main_Strategy!$B$7:$B$108,1)</f>
        <v>0</v>
      </c>
      <c r="M64" s="103" t="n">
        <f aca="false">MAX(K64,L64/Assumptions!$B$17)</f>
        <v>0</v>
      </c>
      <c r="N64" s="104" t="n">
        <f aca="false">IF(M64&gt;0,MIN(999,(F64+I64)/M64),999)</f>
        <v>999</v>
      </c>
      <c r="O64" s="91" t="str">
        <f aca="false">IF(N64&lt;Assumptions!$B$18,"LOW — switch to backup",IF(N64&lt;Assumptions!$B$19,"WATCH — re-order","OK"))</f>
        <v>OK</v>
      </c>
      <c r="P64" s="91" t="n">
        <v>50</v>
      </c>
      <c r="Q64" s="91" t="n">
        <v>75</v>
      </c>
      <c r="R64" s="91"/>
    </row>
    <row r="66" customFormat="false" ht="15" hidden="false" customHeight="false" outlineLevel="0" collapsed="false">
      <c r="A66" s="82" t="s">
        <v>1662</v>
      </c>
    </row>
    <row r="67" customFormat="false" ht="15" hidden="false" customHeight="false" outlineLevel="0" collapsed="false">
      <c r="A67" s="105" t="s">
        <v>1663</v>
      </c>
    </row>
    <row r="68" customFormat="false" ht="43.25" hidden="false" customHeight="false" outlineLevel="0" collapsed="false">
      <c r="A68" s="90" t="s">
        <v>1664</v>
      </c>
      <c r="B68" s="90" t="s">
        <v>1665</v>
      </c>
      <c r="C68" s="90" t="s">
        <v>1666</v>
      </c>
      <c r="D68" s="90" t="s">
        <v>1667</v>
      </c>
      <c r="E68" s="90" t="s">
        <v>1668</v>
      </c>
      <c r="F68" s="90" t="s">
        <v>1669</v>
      </c>
      <c r="G68" s="90" t="s">
        <v>1670</v>
      </c>
      <c r="H68" s="90" t="s">
        <v>1671</v>
      </c>
      <c r="I68" s="90" t="s">
        <v>1672</v>
      </c>
      <c r="J68" s="90" t="s">
        <v>1673</v>
      </c>
      <c r="K68" s="90" t="s">
        <v>1674</v>
      </c>
      <c r="L68" s="90" t="s">
        <v>1675</v>
      </c>
      <c r="M68" s="90" t="s">
        <v>1676</v>
      </c>
      <c r="N68" s="90" t="s">
        <v>1677</v>
      </c>
      <c r="O68" s="90" t="s">
        <v>1678</v>
      </c>
      <c r="P68" s="90" t="s">
        <v>1679</v>
      </c>
      <c r="Q68" s="90" t="s">
        <v>1680</v>
      </c>
      <c r="R68" s="90" t="s">
        <v>1681</v>
      </c>
      <c r="S68" s="90" t="s">
        <v>1682</v>
      </c>
      <c r="T68" s="90" t="s">
        <v>1683</v>
      </c>
    </row>
    <row r="69" customFormat="false" ht="408.2" hidden="false" customHeight="false" outlineLevel="0" collapsed="false">
      <c r="A69" s="106" t="s">
        <v>185</v>
      </c>
      <c r="B69" s="106" t="s">
        <v>205</v>
      </c>
      <c r="C69" s="106" t="s">
        <v>206</v>
      </c>
      <c r="D69" s="106" t="n">
        <v>373</v>
      </c>
      <c r="E69" s="106" t="n">
        <v>0</v>
      </c>
      <c r="F69" s="106" t="n">
        <v>3.62</v>
      </c>
      <c r="G69" s="106" t="n">
        <v>103</v>
      </c>
      <c r="H69" s="106" t="n">
        <v>69</v>
      </c>
      <c r="I69" s="106" t="s">
        <v>1532</v>
      </c>
      <c r="J69" s="106" t="s">
        <v>1534</v>
      </c>
      <c r="K69" s="106" t="n">
        <v>280</v>
      </c>
      <c r="L69" s="106" t="n">
        <v>0</v>
      </c>
      <c r="M69" s="106" t="n">
        <v>77</v>
      </c>
      <c r="N69" s="106" t="n">
        <v>20</v>
      </c>
      <c r="O69" s="106" t="n">
        <v>14</v>
      </c>
      <c r="P69" s="106" t="n">
        <v>25.6</v>
      </c>
      <c r="Q69" s="27" t="n">
        <v>14.8</v>
      </c>
      <c r="R69" s="27" t="s">
        <v>1684</v>
      </c>
      <c r="S69" s="27" t="s">
        <v>1685</v>
      </c>
      <c r="T69" s="27" t="s">
        <v>1686</v>
      </c>
    </row>
    <row r="70" customFormat="false" ht="262.65" hidden="false" customHeight="false" outlineLevel="0" collapsed="false">
      <c r="A70" s="106" t="s">
        <v>560</v>
      </c>
      <c r="B70" s="106" t="s">
        <v>569</v>
      </c>
      <c r="C70" s="106" t="s">
        <v>570</v>
      </c>
      <c r="D70" s="106" t="n">
        <v>174</v>
      </c>
      <c r="E70" s="106" t="n">
        <v>0</v>
      </c>
      <c r="F70" s="106" t="n">
        <v>2.31</v>
      </c>
      <c r="G70" s="106" t="n">
        <v>75</v>
      </c>
      <c r="H70" s="106" t="n">
        <v>50</v>
      </c>
      <c r="I70" s="106" t="s">
        <v>1567</v>
      </c>
      <c r="J70" s="106" t="s">
        <v>1568</v>
      </c>
      <c r="K70" s="106" t="n">
        <v>146</v>
      </c>
      <c r="L70" s="106" t="n">
        <v>0</v>
      </c>
      <c r="M70" s="106" t="n">
        <v>63</v>
      </c>
      <c r="N70" s="106" t="n">
        <v>19.9</v>
      </c>
      <c r="O70" s="106" t="n">
        <v>12.1</v>
      </c>
      <c r="P70" s="106" t="n">
        <v>17.5</v>
      </c>
      <c r="Q70" s="27" t="n">
        <v>19.5</v>
      </c>
      <c r="R70" s="27" t="s">
        <v>1687</v>
      </c>
      <c r="S70" s="27" t="s">
        <v>1685</v>
      </c>
      <c r="T70" s="27" t="s">
        <v>1688</v>
      </c>
    </row>
    <row r="71" customFormat="false" ht="294" hidden="false" customHeight="false" outlineLevel="0" collapsed="false">
      <c r="A71" s="106" t="s">
        <v>1689</v>
      </c>
      <c r="B71" s="106" t="s">
        <v>435</v>
      </c>
      <c r="C71" s="106" t="s">
        <v>436</v>
      </c>
      <c r="D71" s="106" t="n">
        <v>66</v>
      </c>
      <c r="E71" s="106" t="n">
        <v>0</v>
      </c>
      <c r="F71" s="106" t="n">
        <v>0.53</v>
      </c>
      <c r="G71" s="106" t="n">
        <v>124</v>
      </c>
      <c r="H71" s="106" t="n">
        <v>82</v>
      </c>
      <c r="I71" s="106" t="s">
        <v>1591</v>
      </c>
      <c r="J71" s="106" t="s">
        <v>1592</v>
      </c>
      <c r="K71" s="106" t="n">
        <v>42</v>
      </c>
      <c r="L71" s="106" t="n">
        <v>0</v>
      </c>
      <c r="M71" s="106" t="n">
        <v>79</v>
      </c>
      <c r="N71" s="106" t="n">
        <v>20.8</v>
      </c>
      <c r="O71" s="106" t="n">
        <v>9.2</v>
      </c>
      <c r="P71" s="106" t="n">
        <v>14.6</v>
      </c>
      <c r="Q71" s="27" t="n">
        <v>11.9</v>
      </c>
      <c r="R71" s="27" t="s">
        <v>1690</v>
      </c>
      <c r="S71" s="27" t="s">
        <v>1685</v>
      </c>
      <c r="T71" s="27" t="s">
        <v>1691</v>
      </c>
    </row>
    <row r="72" customFormat="false" ht="418.65" hidden="false" customHeight="false" outlineLevel="0" collapsed="false">
      <c r="A72" s="106" t="s">
        <v>479</v>
      </c>
      <c r="B72" s="106" t="s">
        <v>488</v>
      </c>
      <c r="C72" s="106" t="s">
        <v>489</v>
      </c>
      <c r="D72" s="106" t="n">
        <v>90</v>
      </c>
      <c r="E72" s="106" t="n">
        <v>0</v>
      </c>
      <c r="F72" s="106" t="n">
        <v>0.77</v>
      </c>
      <c r="G72" s="106" t="n">
        <v>117</v>
      </c>
      <c r="H72" s="106" t="n">
        <v>78</v>
      </c>
      <c r="I72" s="106" t="s">
        <v>1615</v>
      </c>
      <c r="J72" s="106" t="s">
        <v>1616</v>
      </c>
      <c r="K72" s="106" t="n">
        <v>54</v>
      </c>
      <c r="L72" s="106" t="n">
        <v>0</v>
      </c>
      <c r="M72" s="106" t="n">
        <v>70</v>
      </c>
      <c r="N72" s="106" t="n">
        <v>16.5</v>
      </c>
      <c r="O72" s="106" t="n">
        <v>10.9</v>
      </c>
      <c r="P72" s="106" t="n">
        <v>12.5</v>
      </c>
      <c r="Q72" s="27" t="n">
        <v>14.2</v>
      </c>
      <c r="R72" s="27" t="s">
        <v>1692</v>
      </c>
      <c r="S72" s="27" t="s">
        <v>1685</v>
      </c>
      <c r="T72" s="27" t="s">
        <v>1693</v>
      </c>
    </row>
    <row r="73" customFormat="false" ht="262.65" hidden="false" customHeight="false" outlineLevel="0" collapsed="false">
      <c r="A73" s="106" t="s">
        <v>696</v>
      </c>
      <c r="B73" s="106" t="s">
        <v>707</v>
      </c>
      <c r="C73" s="106" t="s">
        <v>708</v>
      </c>
      <c r="D73" s="106" t="n">
        <v>41</v>
      </c>
      <c r="E73" s="106" t="n">
        <v>0</v>
      </c>
      <c r="F73" s="106" t="n">
        <v>0.73</v>
      </c>
      <c r="G73" s="106" t="n">
        <v>56</v>
      </c>
      <c r="H73" s="106" t="n">
        <v>37</v>
      </c>
      <c r="I73" s="106" t="s">
        <v>1639</v>
      </c>
      <c r="J73" s="106" t="s">
        <v>1640</v>
      </c>
      <c r="K73" s="106" t="n">
        <v>35</v>
      </c>
      <c r="L73" s="106" t="n">
        <v>1</v>
      </c>
      <c r="M73" s="106" t="n">
        <v>48</v>
      </c>
      <c r="N73" s="106" t="n">
        <v>21.9</v>
      </c>
      <c r="O73" s="106" t="n">
        <v>16.3</v>
      </c>
      <c r="P73" s="106" t="n">
        <v>14.3</v>
      </c>
      <c r="Q73" s="27" t="n">
        <v>9.2</v>
      </c>
      <c r="R73" s="27" t="s">
        <v>1690</v>
      </c>
      <c r="S73" s="27" t="s">
        <v>1685</v>
      </c>
      <c r="T73" s="27" t="s">
        <v>1694</v>
      </c>
    </row>
    <row r="75" customFormat="false" ht="15" hidden="false" customHeight="false" outlineLevel="0" collapsed="false">
      <c r="A75" s="82" t="s">
        <v>1695</v>
      </c>
    </row>
    <row r="76" customFormat="false" ht="22.35" hidden="false" customHeight="false" outlineLevel="0" collapsed="false">
      <c r="A76" s="90" t="s">
        <v>1696</v>
      </c>
      <c r="B76" s="90" t="s">
        <v>1664</v>
      </c>
      <c r="C76" s="90" t="s">
        <v>1697</v>
      </c>
      <c r="D76" s="90" t="s">
        <v>1698</v>
      </c>
      <c r="E76" s="90" t="s">
        <v>1699</v>
      </c>
      <c r="F76" s="90" t="s">
        <v>1700</v>
      </c>
      <c r="G76" s="90" t="s">
        <v>1701</v>
      </c>
      <c r="H76" s="90" t="s">
        <v>1702</v>
      </c>
    </row>
    <row r="77" customFormat="false" ht="15" hidden="false" customHeight="false" outlineLevel="0" collapsed="false">
      <c r="A77" s="106" t="s">
        <v>1703</v>
      </c>
      <c r="B77" s="106" t="s">
        <v>185</v>
      </c>
      <c r="C77" s="106" t="s">
        <v>1704</v>
      </c>
      <c r="D77" s="106" t="n">
        <v>1</v>
      </c>
      <c r="E77" s="106" t="s">
        <v>1705</v>
      </c>
      <c r="F77" s="106" t="s">
        <v>1706</v>
      </c>
      <c r="G77" s="107" t="s">
        <v>1707</v>
      </c>
      <c r="H77" s="108" t="n">
        <v>27229</v>
      </c>
    </row>
    <row r="78" customFormat="false" ht="15" hidden="false" customHeight="false" outlineLevel="0" collapsed="false">
      <c r="A78" s="106" t="s">
        <v>1703</v>
      </c>
      <c r="B78" s="106" t="s">
        <v>560</v>
      </c>
      <c r="C78" s="106" t="s">
        <v>1708</v>
      </c>
      <c r="D78" s="106" t="n">
        <v>2</v>
      </c>
      <c r="E78" s="106" t="s">
        <v>1709</v>
      </c>
      <c r="F78" s="106" t="s">
        <v>1710</v>
      </c>
      <c r="G78" s="107" t="s">
        <v>1711</v>
      </c>
      <c r="H78" s="108" t="n">
        <v>26914</v>
      </c>
    </row>
    <row r="79" customFormat="false" ht="15" hidden="false" customHeight="false" outlineLevel="0" collapsed="false">
      <c r="A79" s="106" t="s">
        <v>1703</v>
      </c>
      <c r="B79" s="106" t="s">
        <v>185</v>
      </c>
      <c r="C79" s="106" t="s">
        <v>1712</v>
      </c>
      <c r="D79" s="106" t="n">
        <v>2</v>
      </c>
      <c r="E79" s="106" t="s">
        <v>1713</v>
      </c>
      <c r="F79" s="106" t="s">
        <v>1714</v>
      </c>
      <c r="G79" s="107" t="s">
        <v>1715</v>
      </c>
      <c r="H79" s="108" t="n">
        <v>21555</v>
      </c>
    </row>
    <row r="80" customFormat="false" ht="15" hidden="false" customHeight="false" outlineLevel="0" collapsed="false">
      <c r="A80" s="106" t="s">
        <v>1703</v>
      </c>
      <c r="B80" s="106" t="s">
        <v>185</v>
      </c>
      <c r="C80" s="106" t="s">
        <v>1716</v>
      </c>
      <c r="D80" s="106" t="n">
        <v>2</v>
      </c>
      <c r="E80" s="106" t="s">
        <v>1709</v>
      </c>
      <c r="F80" s="106" t="s">
        <v>1706</v>
      </c>
      <c r="G80" s="107" t="s">
        <v>1717</v>
      </c>
      <c r="H80" s="108" t="n">
        <v>19975</v>
      </c>
    </row>
    <row r="81" customFormat="false" ht="15" hidden="false" customHeight="false" outlineLevel="0" collapsed="false">
      <c r="A81" s="106" t="s">
        <v>1703</v>
      </c>
      <c r="B81" s="106" t="s">
        <v>185</v>
      </c>
      <c r="C81" s="106" t="s">
        <v>1708</v>
      </c>
      <c r="D81" s="106" t="n">
        <v>3</v>
      </c>
      <c r="E81" s="106" t="s">
        <v>1718</v>
      </c>
      <c r="F81" s="106" t="s">
        <v>1710</v>
      </c>
      <c r="G81" s="107" t="s">
        <v>1719</v>
      </c>
      <c r="H81" s="108" t="n">
        <v>19960</v>
      </c>
    </row>
    <row r="82" customFormat="false" ht="15" hidden="false" customHeight="false" outlineLevel="0" collapsed="false">
      <c r="A82" s="106" t="s">
        <v>1703</v>
      </c>
      <c r="B82" s="106" t="s">
        <v>560</v>
      </c>
      <c r="C82" s="106" t="s">
        <v>1720</v>
      </c>
      <c r="D82" s="106" t="n">
        <v>3</v>
      </c>
      <c r="E82" s="106" t="s">
        <v>1721</v>
      </c>
      <c r="F82" s="106" t="s">
        <v>1722</v>
      </c>
      <c r="G82" s="107" t="s">
        <v>1723</v>
      </c>
      <c r="H82" s="108" t="n">
        <v>19542</v>
      </c>
    </row>
    <row r="83" customFormat="false" ht="15" hidden="false" customHeight="false" outlineLevel="0" collapsed="false">
      <c r="A83" s="106" t="s">
        <v>1724</v>
      </c>
      <c r="B83" s="106" t="s">
        <v>185</v>
      </c>
      <c r="C83" s="106" t="s">
        <v>1725</v>
      </c>
      <c r="D83" s="106" t="n">
        <v>8</v>
      </c>
      <c r="E83" s="106" t="s">
        <v>1726</v>
      </c>
      <c r="F83" s="106" t="s">
        <v>1710</v>
      </c>
      <c r="G83" s="107" t="s">
        <v>1727</v>
      </c>
      <c r="H83" s="108" t="n">
        <v>13632</v>
      </c>
    </row>
    <row r="84" customFormat="false" ht="15" hidden="false" customHeight="false" outlineLevel="0" collapsed="false">
      <c r="A84" s="106" t="s">
        <v>1703</v>
      </c>
      <c r="B84" s="106" t="s">
        <v>185</v>
      </c>
      <c r="C84" s="106" t="s">
        <v>1725</v>
      </c>
      <c r="D84" s="106" t="n">
        <v>2</v>
      </c>
      <c r="E84" s="106" t="s">
        <v>1728</v>
      </c>
      <c r="F84" s="106" t="s">
        <v>1714</v>
      </c>
      <c r="G84" s="107" t="s">
        <v>1729</v>
      </c>
      <c r="H84" s="108" t="n">
        <v>12591</v>
      </c>
    </row>
    <row r="85" customFormat="false" ht="15" hidden="false" customHeight="false" outlineLevel="0" collapsed="false">
      <c r="A85" s="106" t="s">
        <v>1703</v>
      </c>
      <c r="B85" s="106" t="s">
        <v>185</v>
      </c>
      <c r="C85" s="106" t="s">
        <v>1720</v>
      </c>
      <c r="D85" s="106" t="n">
        <v>1</v>
      </c>
      <c r="E85" s="106" t="s">
        <v>1730</v>
      </c>
      <c r="F85" s="106" t="s">
        <v>1706</v>
      </c>
      <c r="G85" s="107" t="s">
        <v>1731</v>
      </c>
      <c r="H85" s="108" t="n">
        <v>10677</v>
      </c>
    </row>
    <row r="86" customFormat="false" ht="15" hidden="false" customHeight="false" outlineLevel="0" collapsed="false">
      <c r="A86" s="106" t="s">
        <v>1703</v>
      </c>
      <c r="B86" s="106" t="s">
        <v>560</v>
      </c>
      <c r="C86" s="106" t="s">
        <v>1712</v>
      </c>
      <c r="D86" s="106" t="n">
        <v>4</v>
      </c>
      <c r="E86" s="106" t="s">
        <v>1709</v>
      </c>
      <c r="F86" s="106" t="s">
        <v>1710</v>
      </c>
      <c r="G86" s="107" t="s">
        <v>1732</v>
      </c>
      <c r="H86" s="108" t="n">
        <v>10060</v>
      </c>
    </row>
    <row r="87" customFormat="false" ht="15" hidden="false" customHeight="false" outlineLevel="0" collapsed="false">
      <c r="A87" s="106" t="s">
        <v>1724</v>
      </c>
      <c r="B87" s="106" t="s">
        <v>185</v>
      </c>
      <c r="C87" s="106" t="s">
        <v>1733</v>
      </c>
      <c r="D87" s="106" t="n">
        <v>6</v>
      </c>
      <c r="E87" s="106" t="s">
        <v>1734</v>
      </c>
      <c r="F87" s="106" t="s">
        <v>1735</v>
      </c>
      <c r="G87" s="107" t="s">
        <v>1736</v>
      </c>
      <c r="H87" s="108" t="n">
        <v>9869</v>
      </c>
    </row>
    <row r="88" customFormat="false" ht="15" hidden="false" customHeight="false" outlineLevel="0" collapsed="false">
      <c r="A88" s="106" t="s">
        <v>1703</v>
      </c>
      <c r="B88" s="106" t="s">
        <v>185</v>
      </c>
      <c r="C88" s="106" t="s">
        <v>1737</v>
      </c>
      <c r="D88" s="106" t="n">
        <v>1</v>
      </c>
      <c r="E88" s="106" t="s">
        <v>1738</v>
      </c>
      <c r="F88" s="106" t="s">
        <v>1739</v>
      </c>
      <c r="G88" s="107" t="s">
        <v>1740</v>
      </c>
      <c r="H88" s="108" t="n">
        <v>9775</v>
      </c>
    </row>
    <row r="89" customFormat="false" ht="15" hidden="false" customHeight="false" outlineLevel="0" collapsed="false">
      <c r="A89" s="106" t="s">
        <v>1724</v>
      </c>
      <c r="B89" s="106" t="s">
        <v>185</v>
      </c>
      <c r="C89" s="106" t="s">
        <v>1712</v>
      </c>
      <c r="D89" s="106" t="n">
        <v>5</v>
      </c>
      <c r="E89" s="106" t="s">
        <v>1734</v>
      </c>
      <c r="F89" s="106" t="s">
        <v>1741</v>
      </c>
      <c r="G89" s="107" t="s">
        <v>1742</v>
      </c>
      <c r="H89" s="108" t="n">
        <v>7843</v>
      </c>
    </row>
    <row r="90" customFormat="false" ht="15" hidden="false" customHeight="false" outlineLevel="0" collapsed="false">
      <c r="A90" s="106" t="s">
        <v>1724</v>
      </c>
      <c r="B90" s="106" t="s">
        <v>560</v>
      </c>
      <c r="C90" s="106" t="s">
        <v>1708</v>
      </c>
      <c r="D90" s="106" t="n">
        <v>5</v>
      </c>
      <c r="E90" s="106" t="s">
        <v>1743</v>
      </c>
      <c r="F90" s="106" t="s">
        <v>1710</v>
      </c>
      <c r="G90" s="107" t="s">
        <v>1744</v>
      </c>
      <c r="H90" s="108" t="n">
        <v>7790</v>
      </c>
    </row>
    <row r="91" customFormat="false" ht="15" hidden="false" customHeight="false" outlineLevel="0" collapsed="false">
      <c r="A91" s="106" t="s">
        <v>1703</v>
      </c>
      <c r="B91" s="106" t="s">
        <v>560</v>
      </c>
      <c r="C91" s="106" t="s">
        <v>1716</v>
      </c>
      <c r="D91" s="106" t="n">
        <v>4</v>
      </c>
      <c r="E91" s="106" t="s">
        <v>1721</v>
      </c>
      <c r="F91" s="106" t="s">
        <v>1745</v>
      </c>
      <c r="G91" s="107" t="s">
        <v>1746</v>
      </c>
      <c r="H91" s="108" t="n">
        <v>6751</v>
      </c>
    </row>
    <row r="92" customFormat="false" ht="15" hidden="false" customHeight="false" outlineLevel="0" collapsed="false">
      <c r="A92" s="106" t="s">
        <v>1703</v>
      </c>
      <c r="B92" s="106" t="s">
        <v>560</v>
      </c>
      <c r="C92" s="106" t="s">
        <v>1725</v>
      </c>
      <c r="D92" s="106" t="n">
        <v>4</v>
      </c>
      <c r="E92" s="106" t="s">
        <v>1718</v>
      </c>
      <c r="F92" s="106" t="s">
        <v>1710</v>
      </c>
      <c r="G92" s="107" t="s">
        <v>1747</v>
      </c>
      <c r="H92" s="108" t="n">
        <v>5858</v>
      </c>
    </row>
    <row r="93" customFormat="false" ht="15" hidden="false" customHeight="false" outlineLevel="0" collapsed="false">
      <c r="A93" s="106" t="s">
        <v>1703</v>
      </c>
      <c r="B93" s="106" t="s">
        <v>185</v>
      </c>
      <c r="C93" s="106" t="s">
        <v>1748</v>
      </c>
      <c r="D93" s="106" t="n">
        <v>2</v>
      </c>
      <c r="E93" s="106" t="s">
        <v>1713</v>
      </c>
      <c r="F93" s="106" t="s">
        <v>1714</v>
      </c>
      <c r="G93" s="107" t="s">
        <v>1749</v>
      </c>
      <c r="H93" s="108" t="n">
        <v>4840</v>
      </c>
    </row>
    <row r="94" customFormat="false" ht="15" hidden="false" customHeight="false" outlineLevel="0" collapsed="false">
      <c r="A94" s="106" t="s">
        <v>1703</v>
      </c>
      <c r="B94" s="106" t="s">
        <v>560</v>
      </c>
      <c r="C94" s="106" t="s">
        <v>1750</v>
      </c>
      <c r="D94" s="106" t="n">
        <v>3</v>
      </c>
      <c r="E94" s="106" t="s">
        <v>1721</v>
      </c>
      <c r="F94" s="106" t="s">
        <v>1745</v>
      </c>
      <c r="G94" s="107" t="s">
        <v>1751</v>
      </c>
      <c r="H94" s="108" t="n">
        <v>4623</v>
      </c>
    </row>
    <row r="95" customFormat="false" ht="15" hidden="false" customHeight="false" outlineLevel="0" collapsed="false">
      <c r="A95" s="106" t="s">
        <v>1703</v>
      </c>
      <c r="B95" s="106" t="s">
        <v>560</v>
      </c>
      <c r="C95" s="106" t="s">
        <v>1752</v>
      </c>
      <c r="D95" s="106" t="n">
        <v>3</v>
      </c>
      <c r="E95" s="106" t="s">
        <v>1709</v>
      </c>
      <c r="F95" s="106" t="s">
        <v>1714</v>
      </c>
      <c r="G95" s="107" t="s">
        <v>1753</v>
      </c>
      <c r="H95" s="108" t="n">
        <v>4087</v>
      </c>
    </row>
    <row r="96" customFormat="false" ht="15" hidden="false" customHeight="false" outlineLevel="0" collapsed="false">
      <c r="A96" s="106" t="s">
        <v>1703</v>
      </c>
      <c r="B96" s="106" t="s">
        <v>560</v>
      </c>
      <c r="C96" s="106" t="s">
        <v>1748</v>
      </c>
      <c r="D96" s="106" t="n">
        <v>3</v>
      </c>
      <c r="E96" s="106" t="s">
        <v>1709</v>
      </c>
      <c r="F96" s="106" t="s">
        <v>1754</v>
      </c>
      <c r="G96" s="107" t="s">
        <v>1755</v>
      </c>
      <c r="H96" s="108" t="n">
        <v>3946</v>
      </c>
    </row>
    <row r="97" customFormat="false" ht="15" hidden="false" customHeight="false" outlineLevel="0" collapsed="false">
      <c r="A97" s="106" t="s">
        <v>1724</v>
      </c>
      <c r="B97" s="106" t="s">
        <v>560</v>
      </c>
      <c r="C97" s="106" t="s">
        <v>1704</v>
      </c>
      <c r="D97" s="106" t="n">
        <v>3</v>
      </c>
      <c r="E97" s="106" t="s">
        <v>1756</v>
      </c>
      <c r="F97" s="106" t="s">
        <v>1735</v>
      </c>
      <c r="G97" s="107" t="s">
        <v>1757</v>
      </c>
      <c r="H97" s="108" t="n">
        <v>3856</v>
      </c>
    </row>
    <row r="98" customFormat="false" ht="15" hidden="false" customHeight="false" outlineLevel="0" collapsed="false">
      <c r="A98" s="106" t="s">
        <v>1703</v>
      </c>
      <c r="B98" s="106" t="s">
        <v>185</v>
      </c>
      <c r="C98" s="106" t="s">
        <v>1750</v>
      </c>
      <c r="D98" s="106" t="n">
        <v>2</v>
      </c>
      <c r="E98" s="106" t="s">
        <v>1709</v>
      </c>
      <c r="F98" s="106" t="s">
        <v>1739</v>
      </c>
      <c r="G98" s="107" t="s">
        <v>1758</v>
      </c>
      <c r="H98" s="108" t="n">
        <v>3842</v>
      </c>
    </row>
    <row r="99" customFormat="false" ht="15" hidden="false" customHeight="false" outlineLevel="0" collapsed="false">
      <c r="A99" s="106" t="s">
        <v>1703</v>
      </c>
      <c r="B99" s="106" t="s">
        <v>479</v>
      </c>
      <c r="C99" s="106" t="s">
        <v>1708</v>
      </c>
      <c r="D99" s="106" t="n">
        <v>2</v>
      </c>
      <c r="E99" s="106" t="s">
        <v>1759</v>
      </c>
      <c r="F99" s="106" t="s">
        <v>1714</v>
      </c>
      <c r="G99" s="107" t="s">
        <v>1760</v>
      </c>
      <c r="H99" s="108" t="n">
        <v>3769</v>
      </c>
    </row>
    <row r="100" customFormat="false" ht="15" hidden="false" customHeight="false" outlineLevel="0" collapsed="false">
      <c r="A100" s="106" t="s">
        <v>1724</v>
      </c>
      <c r="B100" s="106" t="s">
        <v>560</v>
      </c>
      <c r="C100" s="106" t="s">
        <v>1733</v>
      </c>
      <c r="D100" s="106" t="n">
        <v>4</v>
      </c>
      <c r="E100" s="106" t="s">
        <v>1726</v>
      </c>
      <c r="F100" s="106" t="s">
        <v>1735</v>
      </c>
      <c r="G100" s="107" t="s">
        <v>1761</v>
      </c>
      <c r="H100" s="108" t="n">
        <v>3648</v>
      </c>
    </row>
    <row r="101" customFormat="false" ht="15" hidden="false" customHeight="false" outlineLevel="0" collapsed="false">
      <c r="A101" s="106" t="s">
        <v>1703</v>
      </c>
      <c r="B101" s="106" t="s">
        <v>185</v>
      </c>
      <c r="C101" s="106" t="s">
        <v>1752</v>
      </c>
      <c r="D101" s="106" t="n">
        <v>3</v>
      </c>
      <c r="E101" s="106" t="s">
        <v>1718</v>
      </c>
      <c r="F101" s="106" t="s">
        <v>1745</v>
      </c>
      <c r="G101" s="107" t="s">
        <v>1762</v>
      </c>
      <c r="H101" s="108" t="n">
        <v>3544</v>
      </c>
    </row>
    <row r="102" customFormat="false" ht="15" hidden="false" customHeight="false" outlineLevel="0" collapsed="false">
      <c r="A102" s="106" t="s">
        <v>1703</v>
      </c>
      <c r="B102" s="106" t="s">
        <v>479</v>
      </c>
      <c r="C102" s="106" t="s">
        <v>1712</v>
      </c>
      <c r="D102" s="106" t="n">
        <v>4</v>
      </c>
      <c r="E102" s="106" t="s">
        <v>1718</v>
      </c>
      <c r="F102" s="106" t="s">
        <v>1763</v>
      </c>
      <c r="G102" s="107" t="s">
        <v>1764</v>
      </c>
      <c r="H102" s="108" t="n">
        <v>3192</v>
      </c>
    </row>
    <row r="103" customFormat="false" ht="15" hidden="false" customHeight="false" outlineLevel="0" collapsed="false">
      <c r="A103" s="106" t="s">
        <v>1724</v>
      </c>
      <c r="B103" s="106" t="s">
        <v>1689</v>
      </c>
      <c r="C103" s="106" t="s">
        <v>1725</v>
      </c>
      <c r="D103" s="106" t="n">
        <v>4</v>
      </c>
      <c r="E103" s="106" t="s">
        <v>1765</v>
      </c>
      <c r="F103" s="106" t="s">
        <v>1766</v>
      </c>
      <c r="G103" s="107" t="s">
        <v>1767</v>
      </c>
      <c r="H103" s="108" t="n">
        <v>3186</v>
      </c>
    </row>
    <row r="104" customFormat="false" ht="15" hidden="false" customHeight="false" outlineLevel="0" collapsed="false">
      <c r="A104" s="106" t="s">
        <v>1724</v>
      </c>
      <c r="B104" s="106" t="s">
        <v>185</v>
      </c>
      <c r="C104" s="106" t="s">
        <v>1708</v>
      </c>
      <c r="D104" s="106" t="n">
        <v>3</v>
      </c>
      <c r="E104" s="106" t="s">
        <v>1726</v>
      </c>
      <c r="F104" s="106" t="s">
        <v>1741</v>
      </c>
      <c r="G104" s="107" t="s">
        <v>1768</v>
      </c>
      <c r="H104" s="108" t="n">
        <v>2883</v>
      </c>
    </row>
    <row r="105" customFormat="false" ht="15" hidden="false" customHeight="false" outlineLevel="0" collapsed="false">
      <c r="A105" s="106" t="s">
        <v>1724</v>
      </c>
      <c r="B105" s="106" t="s">
        <v>185</v>
      </c>
      <c r="C105" s="106" t="s">
        <v>1720</v>
      </c>
      <c r="D105" s="106" t="n">
        <v>1</v>
      </c>
      <c r="E105" s="106" t="s">
        <v>1769</v>
      </c>
      <c r="F105" s="106" t="s">
        <v>1710</v>
      </c>
      <c r="G105" s="107" t="s">
        <v>1770</v>
      </c>
      <c r="H105" s="108" t="n">
        <v>2776</v>
      </c>
    </row>
    <row r="106" customFormat="false" ht="15" hidden="false" customHeight="false" outlineLevel="0" collapsed="false">
      <c r="A106" s="106" t="s">
        <v>1703</v>
      </c>
      <c r="B106" s="106" t="s">
        <v>696</v>
      </c>
      <c r="C106" s="106" t="s">
        <v>1725</v>
      </c>
      <c r="D106" s="106" t="n">
        <v>2</v>
      </c>
      <c r="E106" s="106" t="s">
        <v>1709</v>
      </c>
      <c r="F106" s="106" t="s">
        <v>1714</v>
      </c>
      <c r="G106" s="107" t="s">
        <v>1771</v>
      </c>
      <c r="H106" s="108" t="n">
        <v>2704</v>
      </c>
    </row>
    <row r="107" customFormat="false" ht="15" hidden="false" customHeight="false" outlineLevel="0" collapsed="false">
      <c r="A107" s="106" t="s">
        <v>1703</v>
      </c>
      <c r="B107" s="106" t="s">
        <v>560</v>
      </c>
      <c r="C107" s="106" t="s">
        <v>1772</v>
      </c>
      <c r="D107" s="106" t="n">
        <v>3</v>
      </c>
      <c r="E107" s="106" t="s">
        <v>1709</v>
      </c>
      <c r="F107" s="106" t="s">
        <v>1773</v>
      </c>
      <c r="G107" s="107" t="s">
        <v>1774</v>
      </c>
      <c r="H107" s="108" t="n">
        <v>2594</v>
      </c>
    </row>
    <row r="108" customFormat="false" ht="15" hidden="false" customHeight="false" outlineLevel="0" collapsed="false">
      <c r="A108" s="106" t="s">
        <v>1724</v>
      </c>
      <c r="B108" s="106" t="s">
        <v>479</v>
      </c>
      <c r="C108" s="106" t="s">
        <v>1712</v>
      </c>
      <c r="D108" s="106" t="n">
        <v>2</v>
      </c>
      <c r="E108" s="106" t="s">
        <v>1775</v>
      </c>
      <c r="F108" s="106" t="s">
        <v>1776</v>
      </c>
      <c r="G108" s="107" t="s">
        <v>1777</v>
      </c>
      <c r="H108" s="108" t="n">
        <v>2497</v>
      </c>
    </row>
    <row r="109" customFormat="false" ht="15" hidden="false" customHeight="false" outlineLevel="0" collapsed="false">
      <c r="A109" s="106" t="s">
        <v>1724</v>
      </c>
      <c r="B109" s="106" t="s">
        <v>560</v>
      </c>
      <c r="C109" s="106" t="s">
        <v>1752</v>
      </c>
      <c r="D109" s="106" t="n">
        <v>3</v>
      </c>
      <c r="E109" s="106" t="s">
        <v>1778</v>
      </c>
      <c r="F109" s="106" t="s">
        <v>1779</v>
      </c>
      <c r="G109" s="107" t="s">
        <v>1780</v>
      </c>
      <c r="H109" s="108" t="n">
        <v>2478</v>
      </c>
    </row>
    <row r="110" customFormat="false" ht="15" hidden="false" customHeight="false" outlineLevel="0" collapsed="false">
      <c r="A110" s="106" t="s">
        <v>1724</v>
      </c>
      <c r="B110" s="106" t="s">
        <v>560</v>
      </c>
      <c r="C110" s="106" t="s">
        <v>1720</v>
      </c>
      <c r="D110" s="106" t="n">
        <v>5</v>
      </c>
      <c r="E110" s="106" t="s">
        <v>1756</v>
      </c>
      <c r="F110" s="106" t="s">
        <v>1710</v>
      </c>
      <c r="G110" s="107" t="s">
        <v>1781</v>
      </c>
      <c r="H110" s="108" t="n">
        <v>2372</v>
      </c>
    </row>
    <row r="111" customFormat="false" ht="15" hidden="false" customHeight="false" outlineLevel="0" collapsed="false">
      <c r="A111" s="106" t="s">
        <v>1724</v>
      </c>
      <c r="B111" s="106" t="s">
        <v>185</v>
      </c>
      <c r="C111" s="106" t="s">
        <v>1716</v>
      </c>
      <c r="D111" s="106" t="n">
        <v>3</v>
      </c>
      <c r="E111" s="106" t="s">
        <v>1782</v>
      </c>
      <c r="F111" s="106" t="s">
        <v>1745</v>
      </c>
      <c r="G111" s="107" t="s">
        <v>1783</v>
      </c>
      <c r="H111" s="108" t="n">
        <v>2229</v>
      </c>
    </row>
    <row r="112" customFormat="false" ht="15" hidden="false" customHeight="false" outlineLevel="0" collapsed="false">
      <c r="A112" s="106" t="s">
        <v>1724</v>
      </c>
      <c r="B112" s="106" t="s">
        <v>479</v>
      </c>
      <c r="C112" s="106" t="s">
        <v>1725</v>
      </c>
      <c r="D112" s="106" t="n">
        <v>4</v>
      </c>
      <c r="E112" s="106" t="s">
        <v>1784</v>
      </c>
      <c r="F112" s="106" t="s">
        <v>1785</v>
      </c>
      <c r="G112" s="107" t="s">
        <v>1786</v>
      </c>
      <c r="H112" s="108" t="n">
        <v>2168</v>
      </c>
    </row>
    <row r="113" customFormat="false" ht="15" hidden="false" customHeight="false" outlineLevel="0" collapsed="false">
      <c r="A113" s="106" t="s">
        <v>1703</v>
      </c>
      <c r="B113" s="106" t="s">
        <v>479</v>
      </c>
      <c r="C113" s="106" t="s">
        <v>1725</v>
      </c>
      <c r="D113" s="106" t="n">
        <v>2</v>
      </c>
      <c r="E113" s="106" t="s">
        <v>1728</v>
      </c>
      <c r="F113" s="106" t="s">
        <v>1739</v>
      </c>
      <c r="G113" s="107" t="s">
        <v>1787</v>
      </c>
      <c r="H113" s="108" t="n">
        <v>2132</v>
      </c>
    </row>
    <row r="114" customFormat="false" ht="15" hidden="false" customHeight="false" outlineLevel="0" collapsed="false">
      <c r="A114" s="106" t="s">
        <v>1703</v>
      </c>
      <c r="B114" s="106" t="s">
        <v>185</v>
      </c>
      <c r="C114" s="106" t="s">
        <v>1772</v>
      </c>
      <c r="D114" s="106" t="n">
        <v>2</v>
      </c>
      <c r="E114" s="106" t="s">
        <v>1745</v>
      </c>
      <c r="F114" s="106" t="s">
        <v>1773</v>
      </c>
      <c r="G114" s="107" t="s">
        <v>1788</v>
      </c>
      <c r="H114" s="108" t="n">
        <v>2119</v>
      </c>
    </row>
    <row r="115" customFormat="false" ht="15" hidden="false" customHeight="false" outlineLevel="0" collapsed="false">
      <c r="A115" s="106" t="s">
        <v>1703</v>
      </c>
      <c r="B115" s="106" t="s">
        <v>1689</v>
      </c>
      <c r="C115" s="106" t="s">
        <v>1708</v>
      </c>
      <c r="D115" s="106" t="n">
        <v>2</v>
      </c>
      <c r="E115" s="106" t="s">
        <v>1718</v>
      </c>
      <c r="F115" s="106" t="s">
        <v>1789</v>
      </c>
      <c r="G115" s="107" t="s">
        <v>1790</v>
      </c>
      <c r="H115" s="108" t="n">
        <v>1925</v>
      </c>
    </row>
    <row r="116" customFormat="false" ht="15" hidden="false" customHeight="false" outlineLevel="0" collapsed="false">
      <c r="A116" s="106" t="s">
        <v>1703</v>
      </c>
      <c r="B116" s="106" t="s">
        <v>696</v>
      </c>
      <c r="C116" s="106" t="s">
        <v>1716</v>
      </c>
      <c r="D116" s="106" t="n">
        <v>1</v>
      </c>
      <c r="E116" s="106" t="s">
        <v>1791</v>
      </c>
      <c r="F116" s="106" t="s">
        <v>1791</v>
      </c>
      <c r="G116" s="107" t="s">
        <v>1792</v>
      </c>
      <c r="H116" s="108" t="n">
        <v>1906</v>
      </c>
    </row>
    <row r="118" customFormat="false" ht="15" hidden="false" customHeight="false" outlineLevel="0" collapsed="false">
      <c r="A118" s="82" t="s">
        <v>1793</v>
      </c>
    </row>
    <row r="119" customFormat="false" ht="25.5" hidden="false" customHeight="true" outlineLevel="0" collapsed="false">
      <c r="A119" s="88" t="s">
        <v>1794</v>
      </c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</row>
    <row r="120" customFormat="false" ht="25.5" hidden="false" customHeight="true" outlineLevel="0" collapsed="false">
      <c r="A120" s="88" t="s">
        <v>1795</v>
      </c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</row>
    <row r="121" customFormat="false" ht="25.5" hidden="false" customHeight="true" outlineLevel="0" collapsed="false">
      <c r="A121" s="88" t="s">
        <v>1796</v>
      </c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</row>
    <row r="122" customFormat="false" ht="25.5" hidden="false" customHeight="true" outlineLevel="0" collapsed="false">
      <c r="A122" s="88" t="s">
        <v>1797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</row>
  </sheetData>
  <autoFilter ref="A4:R64"/>
  <mergeCells count="4">
    <mergeCell ref="A119:R119"/>
    <mergeCell ref="A120:R120"/>
    <mergeCell ref="A121:R121"/>
    <mergeCell ref="A122:R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12" min="12" style="0" width="30"/>
    <col collapsed="false" customWidth="true" hidden="false" outlineLevel="0" max="18" min="17" style="0" width="40"/>
    <col collapsed="false" customWidth="true" hidden="false" outlineLevel="0" max="20" min="19" style="0" width="34"/>
    <col collapsed="false" customWidth="true" hidden="false" outlineLevel="0" max="21" min="21" style="0" width="40"/>
    <col collapsed="false" customWidth="true" hidden="false" outlineLevel="0" max="22" min="22" style="0" width="34"/>
  </cols>
  <sheetData>
    <row r="1" customFormat="false" ht="17.35" hidden="false" customHeight="false" outlineLevel="0" collapsed="false">
      <c r="A1" s="1" t="s">
        <v>1798</v>
      </c>
    </row>
    <row r="2" customFormat="false" ht="15" hidden="false" customHeight="false" outlineLevel="0" collapsed="false">
      <c r="A2" s="2" t="s">
        <v>1799</v>
      </c>
    </row>
    <row r="4" customFormat="false" ht="15" hidden="false" customHeight="false" outlineLevel="0" collapsed="false">
      <c r="A4" s="82" t="s">
        <v>1800</v>
      </c>
    </row>
    <row r="5" customFormat="false" ht="43.25" hidden="false" customHeight="false" outlineLevel="0" collapsed="false">
      <c r="A5" s="90" t="s">
        <v>1801</v>
      </c>
      <c r="B5" s="90" t="s">
        <v>1802</v>
      </c>
      <c r="C5" s="90" t="s">
        <v>1803</v>
      </c>
      <c r="D5" s="90" t="s">
        <v>1804</v>
      </c>
      <c r="E5" s="90" t="s">
        <v>1805</v>
      </c>
      <c r="F5" s="90" t="s">
        <v>1806</v>
      </c>
      <c r="G5" s="90" t="s">
        <v>1807</v>
      </c>
      <c r="H5" s="90" t="s">
        <v>1808</v>
      </c>
      <c r="I5" s="90" t="s">
        <v>1809</v>
      </c>
      <c r="J5" s="90" t="s">
        <v>1810</v>
      </c>
      <c r="K5" s="90" t="s">
        <v>1811</v>
      </c>
      <c r="L5" s="90" t="s">
        <v>1812</v>
      </c>
      <c r="M5" s="90" t="s">
        <v>1813</v>
      </c>
      <c r="N5" s="90" t="s">
        <v>1814</v>
      </c>
      <c r="O5" s="90" t="s">
        <v>1815</v>
      </c>
      <c r="P5" s="90" t="s">
        <v>1816</v>
      </c>
      <c r="Q5" s="90" t="s">
        <v>1817</v>
      </c>
      <c r="R5" s="90" t="s">
        <v>1818</v>
      </c>
      <c r="S5" s="90" t="s">
        <v>1819</v>
      </c>
      <c r="T5" s="90" t="s">
        <v>1820</v>
      </c>
      <c r="U5" s="90" t="s">
        <v>1821</v>
      </c>
      <c r="V5" s="90" t="s">
        <v>1822</v>
      </c>
    </row>
    <row r="6" customFormat="false" ht="60" hidden="false" customHeight="true" outlineLevel="0" collapsed="false">
      <c r="A6" s="27" t="s">
        <v>1823</v>
      </c>
      <c r="B6" s="27" t="s">
        <v>1544</v>
      </c>
      <c r="C6" s="27" t="s">
        <v>1824</v>
      </c>
      <c r="D6" s="27" t="s">
        <v>1825</v>
      </c>
      <c r="E6" s="27" t="s">
        <v>1826</v>
      </c>
      <c r="F6" s="27" t="s">
        <v>1827</v>
      </c>
      <c r="G6" s="27" t="n">
        <v>4.2</v>
      </c>
      <c r="H6" s="27" t="n">
        <v>8</v>
      </c>
      <c r="I6" s="27"/>
      <c r="J6" s="27"/>
      <c r="K6" s="27"/>
      <c r="L6" s="27"/>
      <c r="M6" s="109"/>
      <c r="N6" s="110"/>
      <c r="O6" s="27"/>
      <c r="P6" s="27"/>
      <c r="Q6" s="27"/>
      <c r="R6" s="27"/>
      <c r="S6" s="27"/>
      <c r="T6" s="27"/>
      <c r="U6" s="27"/>
      <c r="V6" s="27"/>
    </row>
    <row r="7" customFormat="false" ht="60" hidden="false" customHeight="true" outlineLevel="0" collapsed="false">
      <c r="A7" s="27" t="s">
        <v>1828</v>
      </c>
      <c r="B7" s="27" t="s">
        <v>1829</v>
      </c>
      <c r="C7" s="27" t="s">
        <v>1830</v>
      </c>
      <c r="D7" s="27" t="s">
        <v>1831</v>
      </c>
      <c r="E7" s="27" t="s">
        <v>1832</v>
      </c>
      <c r="F7" s="27" t="s">
        <v>1833</v>
      </c>
      <c r="G7" s="27" t="s">
        <v>1834</v>
      </c>
      <c r="H7" s="27" t="s">
        <v>1835</v>
      </c>
      <c r="I7" s="27" t="s">
        <v>1836</v>
      </c>
      <c r="J7" s="27" t="s">
        <v>1837</v>
      </c>
      <c r="K7" s="27" t="s">
        <v>1838</v>
      </c>
      <c r="L7" s="27" t="s">
        <v>1839</v>
      </c>
      <c r="M7" s="109" t="n">
        <v>522593</v>
      </c>
      <c r="N7" s="110" t="n">
        <v>0.777</v>
      </c>
      <c r="O7" s="27" t="n">
        <v>14</v>
      </c>
      <c r="P7" s="27" t="s">
        <v>1840</v>
      </c>
      <c r="Q7" s="27" t="s">
        <v>1841</v>
      </c>
      <c r="R7" s="27" t="s">
        <v>1842</v>
      </c>
      <c r="S7" s="27" t="s">
        <v>1843</v>
      </c>
      <c r="T7" s="27" t="s">
        <v>1844</v>
      </c>
      <c r="U7" s="27" t="s">
        <v>1845</v>
      </c>
      <c r="V7" s="27" t="s">
        <v>1846</v>
      </c>
    </row>
    <row r="8" customFormat="false" ht="60" hidden="false" customHeight="true" outlineLevel="0" collapsed="false">
      <c r="A8" s="27" t="s">
        <v>1847</v>
      </c>
      <c r="B8" s="27" t="s">
        <v>1848</v>
      </c>
      <c r="C8" s="27" t="s">
        <v>1849</v>
      </c>
      <c r="D8" s="27" t="s">
        <v>1850</v>
      </c>
      <c r="E8" s="27" t="s">
        <v>1851</v>
      </c>
      <c r="F8" s="27" t="s">
        <v>1852</v>
      </c>
      <c r="G8" s="27" t="s">
        <v>1853</v>
      </c>
      <c r="H8" s="27" t="s">
        <v>1854</v>
      </c>
      <c r="I8" s="27" t="s">
        <v>1836</v>
      </c>
      <c r="J8" s="27" t="s">
        <v>1855</v>
      </c>
      <c r="K8" s="27" t="s">
        <v>1856</v>
      </c>
      <c r="L8" s="27" t="s">
        <v>1857</v>
      </c>
      <c r="M8" s="109" t="n">
        <v>107224</v>
      </c>
      <c r="N8" s="110" t="n">
        <v>0.472</v>
      </c>
      <c r="O8" s="27" t="n">
        <v>15</v>
      </c>
      <c r="P8" s="27" t="s">
        <v>1858</v>
      </c>
      <c r="Q8" s="27" t="s">
        <v>1859</v>
      </c>
      <c r="R8" s="27" t="s">
        <v>1860</v>
      </c>
      <c r="S8" s="27" t="s">
        <v>1861</v>
      </c>
      <c r="T8" s="27" t="s">
        <v>1862</v>
      </c>
      <c r="U8" s="27" t="s">
        <v>1863</v>
      </c>
      <c r="V8" s="27" t="s">
        <v>1864</v>
      </c>
    </row>
    <row r="9" customFormat="false" ht="60" hidden="false" customHeight="true" outlineLevel="0" collapsed="false">
      <c r="A9" s="27" t="s">
        <v>1865</v>
      </c>
      <c r="B9" s="27" t="s">
        <v>1866</v>
      </c>
      <c r="C9" s="27" t="s">
        <v>1867</v>
      </c>
      <c r="D9" s="27" t="s">
        <v>1850</v>
      </c>
      <c r="E9" s="27" t="s">
        <v>1868</v>
      </c>
      <c r="F9" s="27" t="s">
        <v>1869</v>
      </c>
      <c r="G9" s="27" t="s">
        <v>1870</v>
      </c>
      <c r="H9" s="27" t="s">
        <v>1871</v>
      </c>
      <c r="I9" s="27" t="s">
        <v>1836</v>
      </c>
      <c r="J9" s="27" t="s">
        <v>1872</v>
      </c>
      <c r="K9" s="27" t="s">
        <v>1873</v>
      </c>
      <c r="L9" s="27"/>
      <c r="M9" s="109" t="s">
        <v>1874</v>
      </c>
      <c r="N9" s="110"/>
      <c r="O9" s="27"/>
      <c r="P9" s="27"/>
      <c r="Q9" s="27"/>
      <c r="R9" s="27" t="s">
        <v>1875</v>
      </c>
      <c r="S9" s="27" t="s">
        <v>1544</v>
      </c>
      <c r="T9" s="27" t="s">
        <v>1876</v>
      </c>
      <c r="U9" s="27" t="s">
        <v>1877</v>
      </c>
      <c r="V9" s="27" t="s">
        <v>1878</v>
      </c>
    </row>
    <row r="10" customFormat="false" ht="60" hidden="false" customHeight="true" outlineLevel="0" collapsed="false">
      <c r="A10" s="27" t="s">
        <v>1879</v>
      </c>
      <c r="B10" s="27" t="s">
        <v>1880</v>
      </c>
      <c r="C10" s="27" t="s">
        <v>1881</v>
      </c>
      <c r="D10" s="27" t="s">
        <v>1850</v>
      </c>
      <c r="E10" s="27" t="s">
        <v>1882</v>
      </c>
      <c r="F10" s="27" t="s">
        <v>1883</v>
      </c>
      <c r="G10" s="27" t="s">
        <v>1884</v>
      </c>
      <c r="H10" s="27" t="s">
        <v>1885</v>
      </c>
      <c r="I10" s="27" t="s">
        <v>1836</v>
      </c>
      <c r="J10" s="27" t="s">
        <v>1886</v>
      </c>
      <c r="K10" s="27" t="s">
        <v>1887</v>
      </c>
      <c r="L10" s="27" t="s">
        <v>1888</v>
      </c>
      <c r="M10" s="109" t="n">
        <v>15624</v>
      </c>
      <c r="N10" s="110" t="n">
        <v>0.391</v>
      </c>
      <c r="O10" s="27" t="n">
        <v>1</v>
      </c>
      <c r="P10" s="27" t="s">
        <v>1889</v>
      </c>
      <c r="Q10" s="27" t="s">
        <v>1890</v>
      </c>
      <c r="R10" s="27" t="s">
        <v>1891</v>
      </c>
      <c r="S10" s="27" t="s">
        <v>1861</v>
      </c>
      <c r="T10" s="27" t="s">
        <v>1892</v>
      </c>
      <c r="U10" s="27" t="s">
        <v>1893</v>
      </c>
      <c r="V10" s="27" t="s">
        <v>1894</v>
      </c>
    </row>
    <row r="11" customFormat="false" ht="60" hidden="false" customHeight="true" outlineLevel="0" collapsed="false">
      <c r="A11" s="27" t="s">
        <v>1895</v>
      </c>
      <c r="B11" s="27" t="s">
        <v>1896</v>
      </c>
      <c r="C11" s="27" t="s">
        <v>1897</v>
      </c>
      <c r="D11" s="27" t="s">
        <v>1850</v>
      </c>
      <c r="E11" s="27" t="s">
        <v>1898</v>
      </c>
      <c r="F11" s="27" t="s">
        <v>1899</v>
      </c>
      <c r="G11" s="27" t="s">
        <v>1900</v>
      </c>
      <c r="H11" s="27" t="s">
        <v>1901</v>
      </c>
      <c r="I11" s="27" t="s">
        <v>1902</v>
      </c>
      <c r="J11" s="27" t="s">
        <v>1903</v>
      </c>
      <c r="K11" s="27" t="s">
        <v>1904</v>
      </c>
      <c r="L11" s="27"/>
      <c r="M11" s="109" t="s">
        <v>1905</v>
      </c>
      <c r="N11" s="110"/>
      <c r="O11" s="27"/>
      <c r="P11" s="27"/>
      <c r="Q11" s="27"/>
      <c r="R11" s="27" t="s">
        <v>1906</v>
      </c>
      <c r="S11" s="27" t="s">
        <v>1861</v>
      </c>
      <c r="T11" s="27" t="s">
        <v>1544</v>
      </c>
      <c r="U11" s="27" t="s">
        <v>1907</v>
      </c>
      <c r="V11" s="27" t="s">
        <v>1908</v>
      </c>
    </row>
    <row r="12" customFormat="false" ht="60" hidden="false" customHeight="true" outlineLevel="0" collapsed="false">
      <c r="A12" s="27" t="s">
        <v>1909</v>
      </c>
      <c r="B12" s="27" t="s">
        <v>1910</v>
      </c>
      <c r="C12" s="27" t="s">
        <v>1911</v>
      </c>
      <c r="D12" s="27" t="s">
        <v>1850</v>
      </c>
      <c r="E12" s="27" t="s">
        <v>1912</v>
      </c>
      <c r="F12" s="27" t="s">
        <v>1913</v>
      </c>
      <c r="G12" s="27" t="s">
        <v>1884</v>
      </c>
      <c r="H12" s="27" t="s">
        <v>1914</v>
      </c>
      <c r="I12" s="27" t="s">
        <v>1915</v>
      </c>
      <c r="J12" s="27" t="s">
        <v>1916</v>
      </c>
      <c r="K12" s="27" t="s">
        <v>1917</v>
      </c>
      <c r="L12" s="27" t="s">
        <v>1918</v>
      </c>
      <c r="M12" s="109" t="n">
        <v>2166046</v>
      </c>
      <c r="N12" s="110" t="n">
        <v>0.41</v>
      </c>
      <c r="O12" s="27" t="n">
        <v>456</v>
      </c>
      <c r="P12" s="27" t="s">
        <v>1919</v>
      </c>
      <c r="Q12" s="27" t="s">
        <v>1920</v>
      </c>
      <c r="R12" s="27" t="s">
        <v>1921</v>
      </c>
      <c r="S12" s="27" t="s">
        <v>1922</v>
      </c>
      <c r="T12" s="27" t="s">
        <v>1923</v>
      </c>
      <c r="U12" s="27" t="s">
        <v>1924</v>
      </c>
      <c r="V12" s="27" t="s">
        <v>1925</v>
      </c>
    </row>
    <row r="13" customFormat="false" ht="60" hidden="false" customHeight="true" outlineLevel="0" collapsed="false">
      <c r="A13" s="27" t="s">
        <v>1926</v>
      </c>
      <c r="B13" s="27" t="s">
        <v>1927</v>
      </c>
      <c r="C13" s="27" t="s">
        <v>1928</v>
      </c>
      <c r="D13" s="27" t="s">
        <v>1850</v>
      </c>
      <c r="E13" s="27" t="s">
        <v>1929</v>
      </c>
      <c r="F13" s="27" t="s">
        <v>1930</v>
      </c>
      <c r="G13" s="27" t="s">
        <v>1870</v>
      </c>
      <c r="H13" s="27" t="s">
        <v>1931</v>
      </c>
      <c r="I13" s="27" t="s">
        <v>1836</v>
      </c>
      <c r="J13" s="27" t="s">
        <v>1932</v>
      </c>
      <c r="K13" s="27" t="s">
        <v>1933</v>
      </c>
      <c r="L13" s="27" t="s">
        <v>1934</v>
      </c>
      <c r="M13" s="109" t="n">
        <v>840292</v>
      </c>
      <c r="N13" s="110" t="n">
        <v>0.86</v>
      </c>
      <c r="O13" s="27" t="n">
        <v>23</v>
      </c>
      <c r="P13" s="27" t="s">
        <v>1935</v>
      </c>
      <c r="Q13" s="27" t="s">
        <v>1936</v>
      </c>
      <c r="R13" s="27" t="s">
        <v>1937</v>
      </c>
      <c r="S13" s="27" t="s">
        <v>1938</v>
      </c>
      <c r="T13" s="27" t="s">
        <v>1939</v>
      </c>
      <c r="U13" s="27" t="s">
        <v>1940</v>
      </c>
      <c r="V13" s="27" t="s">
        <v>1941</v>
      </c>
    </row>
    <row r="14" customFormat="false" ht="60" hidden="false" customHeight="true" outlineLevel="0" collapsed="false">
      <c r="A14" s="27" t="s">
        <v>1942</v>
      </c>
      <c r="B14" s="27" t="s">
        <v>1943</v>
      </c>
      <c r="C14" s="27" t="s">
        <v>1944</v>
      </c>
      <c r="D14" s="27" t="s">
        <v>1850</v>
      </c>
      <c r="E14" s="27" t="s">
        <v>1945</v>
      </c>
      <c r="F14" s="27" t="s">
        <v>1946</v>
      </c>
      <c r="G14" s="27" t="s">
        <v>1870</v>
      </c>
      <c r="H14" s="27" t="s">
        <v>1947</v>
      </c>
      <c r="I14" s="27" t="s">
        <v>1836</v>
      </c>
      <c r="J14" s="27" t="s">
        <v>1948</v>
      </c>
      <c r="K14" s="27" t="s">
        <v>1949</v>
      </c>
      <c r="L14" s="27" t="s">
        <v>1950</v>
      </c>
      <c r="M14" s="109" t="n">
        <v>2565055</v>
      </c>
      <c r="N14" s="110" t="n">
        <v>0.535</v>
      </c>
      <c r="O14" s="27" t="n">
        <v>321</v>
      </c>
      <c r="P14" s="27" t="s">
        <v>1951</v>
      </c>
      <c r="Q14" s="27" t="s">
        <v>1952</v>
      </c>
      <c r="R14" s="27" t="s">
        <v>1953</v>
      </c>
      <c r="S14" s="27" t="s">
        <v>1954</v>
      </c>
      <c r="T14" s="27" t="s">
        <v>1955</v>
      </c>
      <c r="U14" s="27" t="s">
        <v>1956</v>
      </c>
      <c r="V14" s="27" t="s">
        <v>1957</v>
      </c>
    </row>
    <row r="15" customFormat="false" ht="60" hidden="false" customHeight="true" outlineLevel="0" collapsed="false">
      <c r="A15" s="27" t="s">
        <v>1958</v>
      </c>
      <c r="B15" s="27" t="s">
        <v>1959</v>
      </c>
      <c r="C15" s="27" t="s">
        <v>1960</v>
      </c>
      <c r="D15" s="27" t="s">
        <v>1850</v>
      </c>
      <c r="E15" s="27" t="s">
        <v>1961</v>
      </c>
      <c r="F15" s="27" t="s">
        <v>1962</v>
      </c>
      <c r="G15" s="27" t="s">
        <v>1884</v>
      </c>
      <c r="H15" s="27" t="s">
        <v>1963</v>
      </c>
      <c r="I15" s="27" t="s">
        <v>1964</v>
      </c>
      <c r="J15" s="27" t="s">
        <v>1965</v>
      </c>
      <c r="K15" s="27" t="s">
        <v>1966</v>
      </c>
      <c r="L15" s="27" t="s">
        <v>1967</v>
      </c>
      <c r="M15" s="109" t="n">
        <v>906346</v>
      </c>
      <c r="N15" s="110" t="n">
        <v>0.082</v>
      </c>
      <c r="O15" s="27" t="n">
        <v>310</v>
      </c>
      <c r="P15" s="27" t="s">
        <v>1968</v>
      </c>
      <c r="Q15" s="27" t="s">
        <v>1969</v>
      </c>
      <c r="R15" s="27" t="s">
        <v>1970</v>
      </c>
      <c r="S15" s="27" t="s">
        <v>1971</v>
      </c>
      <c r="T15" s="27" t="s">
        <v>1923</v>
      </c>
      <c r="U15" s="27" t="s">
        <v>1972</v>
      </c>
      <c r="V15" s="27" t="s">
        <v>1973</v>
      </c>
    </row>
    <row r="16" customFormat="false" ht="60" hidden="false" customHeight="true" outlineLevel="0" collapsed="false">
      <c r="A16" s="27" t="s">
        <v>1974</v>
      </c>
      <c r="B16" s="27" t="s">
        <v>1975</v>
      </c>
      <c r="C16" s="27" t="s">
        <v>1976</v>
      </c>
      <c r="D16" s="27" t="s">
        <v>1850</v>
      </c>
      <c r="E16" s="27" t="s">
        <v>1977</v>
      </c>
      <c r="F16" s="27" t="s">
        <v>1978</v>
      </c>
      <c r="G16" s="27" t="s">
        <v>1884</v>
      </c>
      <c r="H16" s="27" t="s">
        <v>1979</v>
      </c>
      <c r="I16" s="27" t="s">
        <v>1836</v>
      </c>
      <c r="J16" s="27" t="s">
        <v>1980</v>
      </c>
      <c r="K16" s="27" t="s">
        <v>1981</v>
      </c>
      <c r="L16" s="27" t="s">
        <v>1982</v>
      </c>
      <c r="M16" s="109" t="n">
        <v>591713</v>
      </c>
      <c r="N16" s="110" t="n">
        <v>0.638</v>
      </c>
      <c r="O16" s="27" t="n">
        <v>51</v>
      </c>
      <c r="P16" s="27" t="s">
        <v>1983</v>
      </c>
      <c r="Q16" s="27" t="s">
        <v>1984</v>
      </c>
      <c r="R16" s="27" t="s">
        <v>1985</v>
      </c>
      <c r="S16" s="27" t="s">
        <v>1986</v>
      </c>
      <c r="T16" s="27" t="s">
        <v>1987</v>
      </c>
      <c r="U16" s="27" t="s">
        <v>1988</v>
      </c>
      <c r="V16" s="27" t="s">
        <v>1989</v>
      </c>
    </row>
    <row r="17" customFormat="false" ht="60" hidden="false" customHeight="true" outlineLevel="0" collapsed="false">
      <c r="A17" s="27" t="s">
        <v>1990</v>
      </c>
      <c r="B17" s="27" t="s">
        <v>1991</v>
      </c>
      <c r="C17" s="27" t="s">
        <v>1992</v>
      </c>
      <c r="D17" s="27" t="s">
        <v>1850</v>
      </c>
      <c r="E17" s="27" t="s">
        <v>1993</v>
      </c>
      <c r="F17" s="27" t="s">
        <v>1994</v>
      </c>
      <c r="G17" s="27" t="s">
        <v>1884</v>
      </c>
      <c r="H17" s="27" t="s">
        <v>1995</v>
      </c>
      <c r="I17" s="27" t="s">
        <v>1836</v>
      </c>
      <c r="J17" s="27" t="s">
        <v>1996</v>
      </c>
      <c r="K17" s="27" t="s">
        <v>1997</v>
      </c>
      <c r="L17" s="27" t="s">
        <v>1998</v>
      </c>
      <c r="M17" s="109" t="n">
        <v>451969</v>
      </c>
      <c r="N17" s="110" t="n">
        <v>0.393</v>
      </c>
      <c r="O17" s="27" t="n">
        <v>36</v>
      </c>
      <c r="P17" s="27" t="s">
        <v>1999</v>
      </c>
      <c r="Q17" s="27" t="s">
        <v>2000</v>
      </c>
      <c r="R17" s="27" t="s">
        <v>2001</v>
      </c>
      <c r="S17" s="27" t="s">
        <v>2002</v>
      </c>
      <c r="T17" s="27" t="s">
        <v>1923</v>
      </c>
      <c r="U17" s="27" t="s">
        <v>2003</v>
      </c>
      <c r="V17" s="27" t="s">
        <v>2004</v>
      </c>
    </row>
    <row r="18" customFormat="false" ht="60" hidden="false" customHeight="true" outlineLevel="0" collapsed="false">
      <c r="A18" s="27" t="s">
        <v>2005</v>
      </c>
      <c r="B18" s="27" t="s">
        <v>2006</v>
      </c>
      <c r="C18" s="27" t="s">
        <v>2007</v>
      </c>
      <c r="D18" s="27" t="s">
        <v>1850</v>
      </c>
      <c r="E18" s="27" t="s">
        <v>2008</v>
      </c>
      <c r="F18" s="27" t="s">
        <v>2009</v>
      </c>
      <c r="G18" s="27" t="s">
        <v>1834</v>
      </c>
      <c r="H18" s="27" t="s">
        <v>2010</v>
      </c>
      <c r="I18" s="27" t="s">
        <v>1836</v>
      </c>
      <c r="J18" s="27" t="s">
        <v>2011</v>
      </c>
      <c r="K18" s="27" t="s">
        <v>2012</v>
      </c>
      <c r="L18" s="27" t="s">
        <v>2013</v>
      </c>
      <c r="M18" s="109" t="n">
        <v>407949</v>
      </c>
      <c r="N18" s="110" t="n">
        <v>0.496</v>
      </c>
      <c r="O18" s="27" t="n">
        <v>60</v>
      </c>
      <c r="P18" s="27" t="s">
        <v>2014</v>
      </c>
      <c r="Q18" s="27" t="s">
        <v>2015</v>
      </c>
      <c r="R18" s="27" t="s">
        <v>2016</v>
      </c>
      <c r="S18" s="27" t="s">
        <v>1544</v>
      </c>
      <c r="T18" s="27" t="s">
        <v>1955</v>
      </c>
      <c r="U18" s="27" t="s">
        <v>1940</v>
      </c>
      <c r="V18" s="27" t="s">
        <v>2017</v>
      </c>
    </row>
    <row r="19" customFormat="false" ht="60" hidden="false" customHeight="true" outlineLevel="0" collapsed="false">
      <c r="A19" s="27" t="s">
        <v>2018</v>
      </c>
      <c r="B19" s="27" t="s">
        <v>2019</v>
      </c>
      <c r="C19" s="27" t="s">
        <v>2020</v>
      </c>
      <c r="D19" s="27" t="s">
        <v>1850</v>
      </c>
      <c r="E19" s="27" t="s">
        <v>2021</v>
      </c>
      <c r="F19" s="27" t="s">
        <v>2022</v>
      </c>
      <c r="G19" s="27" t="s">
        <v>1870</v>
      </c>
      <c r="H19" s="27" t="s">
        <v>2023</v>
      </c>
      <c r="I19" s="27" t="s">
        <v>1836</v>
      </c>
      <c r="J19" s="27" t="s">
        <v>2024</v>
      </c>
      <c r="K19" s="27" t="s">
        <v>2025</v>
      </c>
      <c r="L19" s="27" t="s">
        <v>2026</v>
      </c>
      <c r="M19" s="109" t="n">
        <v>390744</v>
      </c>
      <c r="N19" s="110" t="n">
        <v>0.423</v>
      </c>
      <c r="O19" s="27" t="n">
        <v>88</v>
      </c>
      <c r="P19" s="27" t="s">
        <v>2027</v>
      </c>
      <c r="Q19" s="27" t="s">
        <v>2028</v>
      </c>
      <c r="R19" s="27" t="s">
        <v>2029</v>
      </c>
      <c r="S19" s="27" t="s">
        <v>1544</v>
      </c>
      <c r="T19" s="27" t="s">
        <v>1955</v>
      </c>
      <c r="U19" s="27" t="s">
        <v>2003</v>
      </c>
      <c r="V19" s="27" t="s">
        <v>2030</v>
      </c>
    </row>
    <row r="20" customFormat="false" ht="60" hidden="false" customHeight="true" outlineLevel="0" collapsed="false">
      <c r="A20" s="27" t="s">
        <v>2031</v>
      </c>
      <c r="B20" s="27" t="s">
        <v>2032</v>
      </c>
      <c r="C20" s="27" t="s">
        <v>2033</v>
      </c>
      <c r="D20" s="27" t="s">
        <v>1850</v>
      </c>
      <c r="E20" s="27" t="s">
        <v>2034</v>
      </c>
      <c r="F20" s="27" t="s">
        <v>2035</v>
      </c>
      <c r="G20" s="27" t="s">
        <v>1870</v>
      </c>
      <c r="H20" s="27" t="s">
        <v>2036</v>
      </c>
      <c r="I20" s="27" t="s">
        <v>1836</v>
      </c>
      <c r="J20" s="27" t="s">
        <v>2037</v>
      </c>
      <c r="K20" s="27" t="s">
        <v>2038</v>
      </c>
      <c r="L20" s="27" t="s">
        <v>2039</v>
      </c>
      <c r="M20" s="109" t="n">
        <v>605126</v>
      </c>
      <c r="N20" s="110" t="n">
        <v>0.822</v>
      </c>
      <c r="O20" s="27" t="n">
        <v>51</v>
      </c>
      <c r="P20" s="27" t="s">
        <v>2040</v>
      </c>
      <c r="Q20" s="27" t="s">
        <v>2041</v>
      </c>
      <c r="R20" s="27" t="s">
        <v>2042</v>
      </c>
      <c r="S20" s="27" t="s">
        <v>2043</v>
      </c>
      <c r="T20" s="27" t="s">
        <v>2044</v>
      </c>
      <c r="U20" s="27" t="s">
        <v>2045</v>
      </c>
      <c r="V20" s="27" t="s">
        <v>2046</v>
      </c>
    </row>
    <row r="21" customFormat="false" ht="60" hidden="false" customHeight="true" outlineLevel="0" collapsed="false">
      <c r="A21" s="27" t="s">
        <v>2047</v>
      </c>
      <c r="B21" s="27" t="s">
        <v>2048</v>
      </c>
      <c r="C21" s="27" t="s">
        <v>2049</v>
      </c>
      <c r="D21" s="27" t="s">
        <v>2050</v>
      </c>
      <c r="E21" s="27" t="s">
        <v>2051</v>
      </c>
      <c r="F21" s="27" t="s">
        <v>2052</v>
      </c>
      <c r="G21" s="27" t="s">
        <v>1834</v>
      </c>
      <c r="H21" s="27" t="s">
        <v>2053</v>
      </c>
      <c r="I21" s="27" t="s">
        <v>1836</v>
      </c>
      <c r="J21" s="27" t="s">
        <v>2054</v>
      </c>
      <c r="K21" s="27" t="s">
        <v>2055</v>
      </c>
      <c r="L21" s="27" t="s">
        <v>2056</v>
      </c>
      <c r="M21" s="109" t="n">
        <v>243610</v>
      </c>
      <c r="N21" s="110" t="n">
        <v>0.861</v>
      </c>
      <c r="O21" s="27" t="n">
        <v>4</v>
      </c>
      <c r="P21" s="27" t="s">
        <v>2057</v>
      </c>
      <c r="Q21" s="27" t="s">
        <v>2058</v>
      </c>
      <c r="R21" s="27" t="s">
        <v>2059</v>
      </c>
      <c r="S21" s="27" t="s">
        <v>2060</v>
      </c>
      <c r="T21" s="27" t="s">
        <v>1939</v>
      </c>
      <c r="U21" s="27" t="s">
        <v>2061</v>
      </c>
      <c r="V21" s="27" t="s">
        <v>2062</v>
      </c>
    </row>
    <row r="22" customFormat="false" ht="60" hidden="false" customHeight="true" outlineLevel="0" collapsed="false">
      <c r="A22" s="27" t="s">
        <v>2063</v>
      </c>
      <c r="B22" s="27" t="s">
        <v>2064</v>
      </c>
      <c r="C22" s="27" t="s">
        <v>2065</v>
      </c>
      <c r="D22" s="27" t="s">
        <v>1850</v>
      </c>
      <c r="E22" s="27" t="s">
        <v>2066</v>
      </c>
      <c r="F22" s="27" t="s">
        <v>2067</v>
      </c>
      <c r="G22" s="27" t="s">
        <v>2068</v>
      </c>
      <c r="H22" s="27" t="s">
        <v>2069</v>
      </c>
      <c r="I22" s="27" t="s">
        <v>1836</v>
      </c>
      <c r="J22" s="27" t="s">
        <v>2070</v>
      </c>
      <c r="K22" s="27" t="s">
        <v>2055</v>
      </c>
      <c r="L22" s="27" t="s">
        <v>2071</v>
      </c>
      <c r="M22" s="109" t="n">
        <v>216953</v>
      </c>
      <c r="N22" s="110" t="n">
        <v>0.03</v>
      </c>
      <c r="O22" s="27" t="n">
        <v>32</v>
      </c>
      <c r="P22" s="27" t="s">
        <v>2072</v>
      </c>
      <c r="Q22" s="27" t="s">
        <v>2073</v>
      </c>
      <c r="R22" s="27" t="s">
        <v>2074</v>
      </c>
      <c r="S22" s="27" t="s">
        <v>1861</v>
      </c>
      <c r="T22" s="27" t="s">
        <v>1955</v>
      </c>
      <c r="U22" s="27" t="s">
        <v>2075</v>
      </c>
      <c r="V22" s="27" t="s">
        <v>2076</v>
      </c>
    </row>
    <row r="23" customFormat="false" ht="60" hidden="false" customHeight="true" outlineLevel="0" collapsed="false">
      <c r="A23" s="27" t="s">
        <v>2077</v>
      </c>
      <c r="B23" s="27" t="s">
        <v>2078</v>
      </c>
      <c r="C23" s="27" t="s">
        <v>2079</v>
      </c>
      <c r="D23" s="27" t="s">
        <v>1850</v>
      </c>
      <c r="E23" s="27" t="s">
        <v>2080</v>
      </c>
      <c r="F23" s="27" t="s">
        <v>2081</v>
      </c>
      <c r="G23" s="27" t="s">
        <v>2082</v>
      </c>
      <c r="H23" s="27" t="s">
        <v>2083</v>
      </c>
      <c r="I23" s="27" t="s">
        <v>1915</v>
      </c>
      <c r="J23" s="27" t="s">
        <v>2084</v>
      </c>
      <c r="K23" s="27" t="s">
        <v>2055</v>
      </c>
      <c r="L23" s="27"/>
      <c r="M23" s="109" t="s">
        <v>2085</v>
      </c>
      <c r="N23" s="110"/>
      <c r="O23" s="27"/>
      <c r="P23" s="27"/>
      <c r="Q23" s="27"/>
      <c r="R23" s="27" t="s">
        <v>2086</v>
      </c>
      <c r="S23" s="27" t="s">
        <v>2087</v>
      </c>
      <c r="T23" s="27" t="s">
        <v>2088</v>
      </c>
      <c r="U23" s="27" t="s">
        <v>2089</v>
      </c>
      <c r="V23" s="27"/>
    </row>
    <row r="24" customFormat="false" ht="60" hidden="false" customHeight="true" outlineLevel="0" collapsed="false">
      <c r="A24" s="27" t="s">
        <v>2090</v>
      </c>
      <c r="B24" s="27" t="s">
        <v>2091</v>
      </c>
      <c r="C24" s="27" t="s">
        <v>2092</v>
      </c>
      <c r="D24" s="27" t="s">
        <v>1850</v>
      </c>
      <c r="E24" s="27" t="s">
        <v>2093</v>
      </c>
      <c r="F24" s="27" t="s">
        <v>2009</v>
      </c>
      <c r="G24" s="27" t="s">
        <v>2094</v>
      </c>
      <c r="H24" s="27" t="s">
        <v>2095</v>
      </c>
      <c r="I24" s="27" t="s">
        <v>1836</v>
      </c>
      <c r="J24" s="27" t="s">
        <v>2096</v>
      </c>
      <c r="K24" s="27" t="s">
        <v>2097</v>
      </c>
      <c r="L24" s="27" t="s">
        <v>2098</v>
      </c>
      <c r="M24" s="109" t="n">
        <v>103642</v>
      </c>
      <c r="N24" s="110" t="n">
        <v>0.104</v>
      </c>
      <c r="O24" s="27" t="n">
        <v>9</v>
      </c>
      <c r="P24" s="27" t="s">
        <v>2099</v>
      </c>
      <c r="Q24" s="27" t="s">
        <v>2100</v>
      </c>
      <c r="R24" s="27" t="s">
        <v>2101</v>
      </c>
      <c r="S24" s="27" t="s">
        <v>1544</v>
      </c>
      <c r="T24" s="27" t="s">
        <v>2102</v>
      </c>
      <c r="U24" s="27" t="s">
        <v>1940</v>
      </c>
      <c r="V24" s="27"/>
    </row>
    <row r="25" customFormat="false" ht="60" hidden="false" customHeight="true" outlineLevel="0" collapsed="false">
      <c r="A25" s="27" t="s">
        <v>2103</v>
      </c>
      <c r="B25" s="27" t="s">
        <v>2104</v>
      </c>
      <c r="C25" s="27" t="s">
        <v>2105</v>
      </c>
      <c r="D25" s="27" t="s">
        <v>1850</v>
      </c>
      <c r="E25" s="27" t="s">
        <v>1945</v>
      </c>
      <c r="F25" s="27" t="s">
        <v>2106</v>
      </c>
      <c r="G25" s="27" t="s">
        <v>2107</v>
      </c>
      <c r="H25" s="27" t="s">
        <v>2108</v>
      </c>
      <c r="I25" s="27" t="s">
        <v>1836</v>
      </c>
      <c r="J25" s="27" t="s">
        <v>2109</v>
      </c>
      <c r="K25" s="27" t="s">
        <v>2055</v>
      </c>
      <c r="L25" s="27" t="s">
        <v>2110</v>
      </c>
      <c r="M25" s="109" t="n">
        <v>212120</v>
      </c>
      <c r="N25" s="110" t="n">
        <v>0.888</v>
      </c>
      <c r="O25" s="27" t="n">
        <v>6</v>
      </c>
      <c r="P25" s="27" t="s">
        <v>2111</v>
      </c>
      <c r="Q25" s="27" t="s">
        <v>2112</v>
      </c>
      <c r="R25" s="27" t="s">
        <v>2113</v>
      </c>
      <c r="S25" s="27" t="s">
        <v>2114</v>
      </c>
      <c r="T25" s="27" t="s">
        <v>2115</v>
      </c>
      <c r="U25" s="27" t="s">
        <v>1940</v>
      </c>
      <c r="V25" s="27" t="s">
        <v>2116</v>
      </c>
    </row>
    <row r="26" customFormat="false" ht="60" hidden="false" customHeight="true" outlineLevel="0" collapsed="false">
      <c r="A26" s="27" t="s">
        <v>2117</v>
      </c>
      <c r="B26" s="27" t="s">
        <v>2118</v>
      </c>
      <c r="C26" s="27" t="s">
        <v>2119</v>
      </c>
      <c r="D26" s="27" t="s">
        <v>1850</v>
      </c>
      <c r="E26" s="27" t="s">
        <v>2120</v>
      </c>
      <c r="F26" s="27" t="s">
        <v>2121</v>
      </c>
      <c r="G26" s="27" t="s">
        <v>1870</v>
      </c>
      <c r="H26" s="27" t="s">
        <v>2122</v>
      </c>
      <c r="I26" s="27" t="s">
        <v>2123</v>
      </c>
      <c r="J26" s="27" t="s">
        <v>2124</v>
      </c>
      <c r="K26" s="27" t="s">
        <v>2125</v>
      </c>
      <c r="L26" s="27" t="s">
        <v>2126</v>
      </c>
      <c r="M26" s="109" t="n">
        <v>185157</v>
      </c>
      <c r="N26" s="110" t="n">
        <v>0.022</v>
      </c>
      <c r="O26" s="27" t="n">
        <v>129</v>
      </c>
      <c r="P26" s="27" t="s">
        <v>2127</v>
      </c>
      <c r="Q26" s="27" t="s">
        <v>2128</v>
      </c>
      <c r="R26" s="27" t="s">
        <v>2129</v>
      </c>
      <c r="S26" s="27" t="s">
        <v>2130</v>
      </c>
      <c r="T26" s="27" t="s">
        <v>1955</v>
      </c>
      <c r="U26" s="27" t="s">
        <v>2003</v>
      </c>
      <c r="V26" s="27"/>
    </row>
    <row r="27" customFormat="false" ht="60" hidden="false" customHeight="true" outlineLevel="0" collapsed="false">
      <c r="A27" s="27" t="s">
        <v>2131</v>
      </c>
      <c r="B27" s="27" t="s">
        <v>2132</v>
      </c>
      <c r="C27" s="27" t="s">
        <v>2133</v>
      </c>
      <c r="D27" s="27" t="s">
        <v>1850</v>
      </c>
      <c r="E27" s="27" t="s">
        <v>2134</v>
      </c>
      <c r="F27" s="27" t="s">
        <v>2135</v>
      </c>
      <c r="G27" s="27" t="s">
        <v>2136</v>
      </c>
      <c r="H27" s="27" t="s">
        <v>2137</v>
      </c>
      <c r="I27" s="27" t="s">
        <v>2138</v>
      </c>
      <c r="J27" s="27" t="s">
        <v>2139</v>
      </c>
      <c r="K27" s="27" t="s">
        <v>2140</v>
      </c>
      <c r="L27" s="27"/>
      <c r="M27" s="109" t="s">
        <v>2141</v>
      </c>
      <c r="N27" s="110"/>
      <c r="O27" s="27"/>
      <c r="P27" s="27"/>
      <c r="Q27" s="27"/>
      <c r="R27" s="27" t="s">
        <v>2142</v>
      </c>
      <c r="S27" s="27" t="s">
        <v>2143</v>
      </c>
      <c r="T27" s="27" t="s">
        <v>1923</v>
      </c>
      <c r="U27" s="27" t="s">
        <v>2144</v>
      </c>
      <c r="V27" s="27" t="s">
        <v>2145</v>
      </c>
    </row>
    <row r="28" customFormat="false" ht="60" hidden="false" customHeight="true" outlineLevel="0" collapsed="false">
      <c r="A28" s="27" t="s">
        <v>2146</v>
      </c>
      <c r="B28" s="27" t="s">
        <v>2147</v>
      </c>
      <c r="C28" s="27" t="s">
        <v>2148</v>
      </c>
      <c r="D28" s="27" t="s">
        <v>1850</v>
      </c>
      <c r="E28" s="27" t="s">
        <v>2149</v>
      </c>
      <c r="F28" s="27" t="s">
        <v>2150</v>
      </c>
      <c r="G28" s="27" t="s">
        <v>2151</v>
      </c>
      <c r="H28" s="27" t="s">
        <v>2152</v>
      </c>
      <c r="I28" s="27" t="s">
        <v>1964</v>
      </c>
      <c r="J28" s="27" t="s">
        <v>2153</v>
      </c>
      <c r="K28" s="27" t="s">
        <v>2154</v>
      </c>
      <c r="L28" s="27"/>
      <c r="M28" s="109" t="s">
        <v>1874</v>
      </c>
      <c r="N28" s="110"/>
      <c r="O28" s="27"/>
      <c r="P28" s="27"/>
      <c r="Q28" s="27"/>
      <c r="R28" s="27" t="s">
        <v>1875</v>
      </c>
      <c r="S28" s="27" t="s">
        <v>2155</v>
      </c>
      <c r="T28" s="27" t="s">
        <v>1544</v>
      </c>
      <c r="U28" s="27" t="s">
        <v>2156</v>
      </c>
      <c r="V28" s="27" t="s">
        <v>2157</v>
      </c>
    </row>
    <row r="29" customFormat="false" ht="60" hidden="false" customHeight="true" outlineLevel="0" collapsed="false">
      <c r="A29" s="27" t="s">
        <v>2158</v>
      </c>
      <c r="B29" s="27" t="s">
        <v>2159</v>
      </c>
      <c r="C29" s="27" t="s">
        <v>2160</v>
      </c>
      <c r="D29" s="27" t="s">
        <v>2161</v>
      </c>
      <c r="E29" s="27" t="s">
        <v>2162</v>
      </c>
      <c r="F29" s="27" t="s">
        <v>2163</v>
      </c>
      <c r="G29" s="27" t="s">
        <v>2151</v>
      </c>
      <c r="H29" s="27" t="s">
        <v>2164</v>
      </c>
      <c r="I29" s="27" t="s">
        <v>1964</v>
      </c>
      <c r="J29" s="27" t="s">
        <v>2165</v>
      </c>
      <c r="K29" s="27" t="s">
        <v>2166</v>
      </c>
      <c r="L29" s="27"/>
      <c r="M29" s="109" t="s">
        <v>1874</v>
      </c>
      <c r="N29" s="110"/>
      <c r="O29" s="27"/>
      <c r="P29" s="27"/>
      <c r="Q29" s="27"/>
      <c r="R29" s="27" t="s">
        <v>1906</v>
      </c>
      <c r="S29" s="27" t="s">
        <v>2167</v>
      </c>
      <c r="T29" s="27" t="s">
        <v>2168</v>
      </c>
      <c r="U29" s="27" t="s">
        <v>2156</v>
      </c>
      <c r="V29" s="27" t="s">
        <v>2169</v>
      </c>
    </row>
    <row r="30" customFormat="false" ht="60" hidden="false" customHeight="true" outlineLevel="0" collapsed="false">
      <c r="A30" s="27" t="s">
        <v>2170</v>
      </c>
      <c r="B30" s="27"/>
      <c r="C30" s="27" t="s">
        <v>2171</v>
      </c>
      <c r="D30" s="27" t="s">
        <v>1850</v>
      </c>
      <c r="E30" s="27" t="s">
        <v>2172</v>
      </c>
      <c r="F30" s="27" t="s">
        <v>2173</v>
      </c>
      <c r="G30" s="27" t="s">
        <v>2094</v>
      </c>
      <c r="H30" s="27" t="s">
        <v>2174</v>
      </c>
      <c r="I30" s="27" t="s">
        <v>2175</v>
      </c>
      <c r="J30" s="27" t="s">
        <v>2176</v>
      </c>
      <c r="K30" s="27" t="s">
        <v>2177</v>
      </c>
      <c r="L30" s="27"/>
      <c r="M30" s="109" t="s">
        <v>1874</v>
      </c>
      <c r="N30" s="110"/>
      <c r="O30" s="27"/>
      <c r="P30" s="27"/>
      <c r="Q30" s="27"/>
      <c r="R30" s="27" t="s">
        <v>2178</v>
      </c>
      <c r="S30" s="27" t="s">
        <v>2179</v>
      </c>
      <c r="T30" s="27" t="s">
        <v>2180</v>
      </c>
      <c r="U30" s="27" t="s">
        <v>2181</v>
      </c>
      <c r="V30" s="27" t="s">
        <v>2182</v>
      </c>
    </row>
    <row r="31" customFormat="false" ht="60" hidden="false" customHeight="true" outlineLevel="0" collapsed="false">
      <c r="A31" s="27" t="s">
        <v>2183</v>
      </c>
      <c r="B31" s="27"/>
      <c r="C31" s="27" t="s">
        <v>2184</v>
      </c>
      <c r="D31" s="27" t="s">
        <v>2185</v>
      </c>
      <c r="E31" s="27" t="s">
        <v>2186</v>
      </c>
      <c r="F31" s="27" t="s">
        <v>2187</v>
      </c>
      <c r="G31" s="27" t="s">
        <v>1870</v>
      </c>
      <c r="H31" s="27" t="s">
        <v>2188</v>
      </c>
      <c r="I31" s="27" t="s">
        <v>1836</v>
      </c>
      <c r="J31" s="27" t="s">
        <v>2189</v>
      </c>
      <c r="K31" s="27" t="s">
        <v>2190</v>
      </c>
      <c r="L31" s="27"/>
      <c r="M31" s="109" t="s">
        <v>1874</v>
      </c>
      <c r="N31" s="110"/>
      <c r="O31" s="27"/>
      <c r="P31" s="27"/>
      <c r="Q31" s="27"/>
      <c r="R31" s="27" t="s">
        <v>2178</v>
      </c>
      <c r="S31" s="27" t="s">
        <v>1861</v>
      </c>
      <c r="T31" s="27" t="s">
        <v>1544</v>
      </c>
      <c r="U31" s="27" t="s">
        <v>1893</v>
      </c>
      <c r="V31" s="27" t="s">
        <v>2191</v>
      </c>
    </row>
    <row r="32" customFormat="false" ht="60" hidden="false" customHeight="true" outlineLevel="0" collapsed="false">
      <c r="A32" s="27" t="s">
        <v>2192</v>
      </c>
      <c r="B32" s="27" t="s">
        <v>2193</v>
      </c>
      <c r="C32" s="27" t="s">
        <v>2194</v>
      </c>
      <c r="D32" s="27" t="s">
        <v>1850</v>
      </c>
      <c r="E32" s="27" t="s">
        <v>2195</v>
      </c>
      <c r="F32" s="27" t="s">
        <v>2196</v>
      </c>
      <c r="G32" s="27" t="s">
        <v>2197</v>
      </c>
      <c r="H32" s="27" t="s">
        <v>2198</v>
      </c>
      <c r="I32" s="27" t="s">
        <v>2199</v>
      </c>
      <c r="J32" s="27" t="s">
        <v>2200</v>
      </c>
      <c r="K32" s="27" t="s">
        <v>2201</v>
      </c>
      <c r="L32" s="27"/>
      <c r="M32" s="109" t="s">
        <v>1874</v>
      </c>
      <c r="N32" s="110"/>
      <c r="O32" s="27"/>
      <c r="P32" s="27"/>
      <c r="Q32" s="27"/>
      <c r="R32" s="27" t="s">
        <v>2178</v>
      </c>
      <c r="S32" s="27" t="s">
        <v>1544</v>
      </c>
      <c r="T32" s="27" t="s">
        <v>2202</v>
      </c>
      <c r="U32" s="27" t="s">
        <v>2203</v>
      </c>
      <c r="V32" s="27"/>
    </row>
    <row r="33" customFormat="false" ht="60" hidden="false" customHeight="true" outlineLevel="0" collapsed="false">
      <c r="A33" s="27" t="s">
        <v>2204</v>
      </c>
      <c r="B33" s="27" t="s">
        <v>2205</v>
      </c>
      <c r="C33" s="27" t="s">
        <v>2206</v>
      </c>
      <c r="D33" s="27" t="s">
        <v>1850</v>
      </c>
      <c r="E33" s="27" t="s">
        <v>2050</v>
      </c>
      <c r="F33" s="27" t="s">
        <v>2207</v>
      </c>
      <c r="G33" s="27" t="s">
        <v>2208</v>
      </c>
      <c r="H33" s="27" t="s">
        <v>2209</v>
      </c>
      <c r="I33" s="27" t="s">
        <v>2210</v>
      </c>
      <c r="J33" s="27" t="s">
        <v>2211</v>
      </c>
      <c r="K33" s="27" t="s">
        <v>2212</v>
      </c>
      <c r="L33" s="27" t="s">
        <v>2213</v>
      </c>
      <c r="M33" s="109" t="n">
        <v>13712</v>
      </c>
      <c r="N33" s="110" t="n">
        <v>0.115</v>
      </c>
      <c r="O33" s="27" t="n">
        <v>0</v>
      </c>
      <c r="P33" s="27" t="s">
        <v>2214</v>
      </c>
      <c r="Q33" s="27" t="s">
        <v>2215</v>
      </c>
      <c r="R33" s="27" t="s">
        <v>2216</v>
      </c>
      <c r="S33" s="27" t="s">
        <v>2217</v>
      </c>
      <c r="T33" s="27" t="s">
        <v>2218</v>
      </c>
      <c r="U33" s="27" t="s">
        <v>2219</v>
      </c>
      <c r="V33" s="27"/>
    </row>
    <row r="34" customFormat="false" ht="60" hidden="false" customHeight="true" outlineLevel="0" collapsed="false">
      <c r="A34" s="27" t="s">
        <v>2220</v>
      </c>
      <c r="B34" s="27" t="s">
        <v>2221</v>
      </c>
      <c r="C34" s="27" t="s">
        <v>2222</v>
      </c>
      <c r="D34" s="27" t="s">
        <v>2223</v>
      </c>
      <c r="E34" s="27" t="s">
        <v>2224</v>
      </c>
      <c r="F34" s="27" t="s">
        <v>2225</v>
      </c>
      <c r="G34" s="27" t="s">
        <v>2226</v>
      </c>
      <c r="H34" s="27" t="s">
        <v>2227</v>
      </c>
      <c r="I34" s="27" t="s">
        <v>2175</v>
      </c>
      <c r="J34" s="27" t="s">
        <v>2228</v>
      </c>
      <c r="K34" s="27" t="s">
        <v>2229</v>
      </c>
      <c r="L34" s="27"/>
      <c r="M34" s="109" t="s">
        <v>1874</v>
      </c>
      <c r="N34" s="110"/>
      <c r="O34" s="27"/>
      <c r="P34" s="27"/>
      <c r="Q34" s="27"/>
      <c r="R34" s="27" t="s">
        <v>2230</v>
      </c>
      <c r="S34" s="27" t="s">
        <v>2231</v>
      </c>
      <c r="T34" s="27" t="s">
        <v>2232</v>
      </c>
      <c r="U34" s="27" t="s">
        <v>2233</v>
      </c>
      <c r="V34" s="27" t="s">
        <v>2234</v>
      </c>
    </row>
    <row r="35" customFormat="false" ht="60" hidden="false" customHeight="true" outlineLevel="0" collapsed="false">
      <c r="A35" s="27" t="s">
        <v>2235</v>
      </c>
      <c r="B35" s="27" t="s">
        <v>2236</v>
      </c>
      <c r="C35" s="27" t="s">
        <v>2237</v>
      </c>
      <c r="D35" s="27" t="s">
        <v>2161</v>
      </c>
      <c r="E35" s="27" t="s">
        <v>2050</v>
      </c>
      <c r="F35" s="27" t="s">
        <v>2238</v>
      </c>
      <c r="G35" s="27" t="s">
        <v>2151</v>
      </c>
      <c r="H35" s="27" t="s">
        <v>2239</v>
      </c>
      <c r="I35" s="27" t="s">
        <v>2240</v>
      </c>
      <c r="J35" s="27" t="s">
        <v>2241</v>
      </c>
      <c r="K35" s="27" t="s">
        <v>2212</v>
      </c>
      <c r="L35" s="27"/>
      <c r="M35" s="109" t="s">
        <v>1874</v>
      </c>
      <c r="N35" s="110"/>
      <c r="O35" s="27"/>
      <c r="P35" s="27"/>
      <c r="Q35" s="27"/>
      <c r="R35" s="27" t="s">
        <v>1906</v>
      </c>
      <c r="S35" s="27" t="s">
        <v>2242</v>
      </c>
      <c r="T35" s="27" t="s">
        <v>2243</v>
      </c>
      <c r="U35" s="27" t="s">
        <v>2244</v>
      </c>
      <c r="V35" s="27"/>
    </row>
    <row r="36" customFormat="false" ht="60" hidden="false" customHeight="true" outlineLevel="0" collapsed="false">
      <c r="A36" s="27" t="s">
        <v>2245</v>
      </c>
      <c r="B36" s="27"/>
      <c r="C36" s="27" t="s">
        <v>2246</v>
      </c>
      <c r="D36" s="27" t="s">
        <v>1850</v>
      </c>
      <c r="E36" s="27" t="s">
        <v>2247</v>
      </c>
      <c r="F36" s="27" t="s">
        <v>2248</v>
      </c>
      <c r="G36" s="27" t="s">
        <v>2249</v>
      </c>
      <c r="H36" s="27" t="s">
        <v>2250</v>
      </c>
      <c r="I36" s="27" t="s">
        <v>2175</v>
      </c>
      <c r="J36" s="27" t="s">
        <v>2251</v>
      </c>
      <c r="K36" s="27" t="s">
        <v>2252</v>
      </c>
      <c r="L36" s="27"/>
      <c r="M36" s="109" t="s">
        <v>1874</v>
      </c>
      <c r="N36" s="110"/>
      <c r="O36" s="27"/>
      <c r="P36" s="27"/>
      <c r="Q36" s="27"/>
      <c r="R36" s="27" t="s">
        <v>2178</v>
      </c>
      <c r="S36" s="27" t="s">
        <v>2253</v>
      </c>
      <c r="T36" s="27" t="s">
        <v>1955</v>
      </c>
      <c r="U36" s="27" t="s">
        <v>2254</v>
      </c>
      <c r="V36" s="27"/>
    </row>
    <row r="37" customFormat="false" ht="60" hidden="false" customHeight="true" outlineLevel="0" collapsed="false">
      <c r="A37" s="27" t="s">
        <v>2255</v>
      </c>
      <c r="B37" s="27"/>
      <c r="C37" s="27" t="s">
        <v>2256</v>
      </c>
      <c r="D37" s="27" t="s">
        <v>1850</v>
      </c>
      <c r="E37" s="27" t="s">
        <v>2257</v>
      </c>
      <c r="F37" s="27" t="s">
        <v>2258</v>
      </c>
      <c r="G37" s="27" t="s">
        <v>1884</v>
      </c>
      <c r="H37" s="27" t="s">
        <v>2259</v>
      </c>
      <c r="I37" s="27" t="s">
        <v>1964</v>
      </c>
      <c r="J37" s="27" t="s">
        <v>2260</v>
      </c>
      <c r="K37" s="27" t="s">
        <v>2261</v>
      </c>
      <c r="L37" s="27"/>
      <c r="M37" s="109" t="s">
        <v>1874</v>
      </c>
      <c r="N37" s="110"/>
      <c r="O37" s="27"/>
      <c r="P37" s="27"/>
      <c r="Q37" s="27"/>
      <c r="R37" s="27" t="s">
        <v>2262</v>
      </c>
      <c r="S37" s="27" t="s">
        <v>2263</v>
      </c>
      <c r="T37" s="27" t="s">
        <v>1955</v>
      </c>
      <c r="U37" s="27" t="s">
        <v>2264</v>
      </c>
      <c r="V37" s="27"/>
    </row>
    <row r="38" customFormat="false" ht="60" hidden="false" customHeight="true" outlineLevel="0" collapsed="false">
      <c r="A38" s="27" t="s">
        <v>2265</v>
      </c>
      <c r="B38" s="27" t="s">
        <v>2266</v>
      </c>
      <c r="C38" s="27" t="s">
        <v>2267</v>
      </c>
      <c r="D38" s="27" t="s">
        <v>1850</v>
      </c>
      <c r="E38" s="27" t="s">
        <v>2268</v>
      </c>
      <c r="F38" s="27" t="s">
        <v>2269</v>
      </c>
      <c r="G38" s="27" t="s">
        <v>1834</v>
      </c>
      <c r="H38" s="27" t="s">
        <v>2270</v>
      </c>
      <c r="I38" s="27" t="s">
        <v>1915</v>
      </c>
      <c r="J38" s="27" t="s">
        <v>2271</v>
      </c>
      <c r="K38" s="27" t="s">
        <v>2272</v>
      </c>
      <c r="L38" s="27"/>
      <c r="M38" s="109" t="s">
        <v>2273</v>
      </c>
      <c r="N38" s="110"/>
      <c r="O38" s="27"/>
      <c r="P38" s="27"/>
      <c r="Q38" s="27"/>
      <c r="R38" s="27" t="s">
        <v>1906</v>
      </c>
      <c r="S38" s="27" t="s">
        <v>2274</v>
      </c>
      <c r="T38" s="27" t="s">
        <v>1544</v>
      </c>
      <c r="U38" s="27" t="s">
        <v>2275</v>
      </c>
      <c r="V38" s="27" t="s">
        <v>2276</v>
      </c>
    </row>
    <row r="39" customFormat="false" ht="60" hidden="false" customHeight="true" outlineLevel="0" collapsed="false">
      <c r="A39" s="27" t="s">
        <v>2277</v>
      </c>
      <c r="B39" s="27" t="s">
        <v>2278</v>
      </c>
      <c r="C39" s="27" t="s">
        <v>2279</v>
      </c>
      <c r="D39" s="27" t="s">
        <v>1850</v>
      </c>
      <c r="E39" s="27" t="s">
        <v>2280</v>
      </c>
      <c r="F39" s="27" t="s">
        <v>2281</v>
      </c>
      <c r="G39" s="27" t="s">
        <v>2282</v>
      </c>
      <c r="H39" s="27" t="s">
        <v>2283</v>
      </c>
      <c r="I39" s="27" t="s">
        <v>1964</v>
      </c>
      <c r="J39" s="27" t="s">
        <v>2284</v>
      </c>
      <c r="K39" s="27" t="s">
        <v>2285</v>
      </c>
      <c r="L39" s="27"/>
      <c r="M39" s="109" t="s">
        <v>2286</v>
      </c>
      <c r="N39" s="110"/>
      <c r="O39" s="27"/>
      <c r="P39" s="27"/>
      <c r="Q39" s="27"/>
      <c r="R39" s="27" t="s">
        <v>1906</v>
      </c>
      <c r="S39" s="27" t="s">
        <v>2287</v>
      </c>
      <c r="T39" s="27" t="s">
        <v>1955</v>
      </c>
      <c r="U39" s="27" t="s">
        <v>1972</v>
      </c>
      <c r="V39" s="27" t="s">
        <v>2288</v>
      </c>
    </row>
    <row r="40" customFormat="false" ht="60" hidden="false" customHeight="true" outlineLevel="0" collapsed="false"/>
    <row r="41" customFormat="false" ht="15" hidden="false" customHeight="false" outlineLevel="0" collapsed="false">
      <c r="A41" s="82" t="s">
        <v>2289</v>
      </c>
    </row>
    <row r="42" customFormat="false" ht="15" hidden="false" customHeight="false" outlineLevel="0" collapsed="false">
      <c r="A42" s="105" t="s">
        <v>2290</v>
      </c>
    </row>
    <row r="43" customFormat="false" ht="43.25" hidden="false" customHeight="false" outlineLevel="0" collapsed="false">
      <c r="A43" s="90" t="s">
        <v>32</v>
      </c>
      <c r="B43" s="90" t="s">
        <v>105</v>
      </c>
      <c r="C43" s="90" t="s">
        <v>2291</v>
      </c>
      <c r="D43" s="90" t="s">
        <v>1974</v>
      </c>
      <c r="E43" s="90" t="s">
        <v>2103</v>
      </c>
      <c r="F43" s="90" t="s">
        <v>2005</v>
      </c>
      <c r="G43" s="90" t="s">
        <v>2292</v>
      </c>
      <c r="H43" s="90" t="s">
        <v>1926</v>
      </c>
      <c r="I43" s="90" t="s">
        <v>1847</v>
      </c>
      <c r="J43" s="90" t="s">
        <v>2090</v>
      </c>
      <c r="K43" s="90" t="s">
        <v>1879</v>
      </c>
      <c r="L43" s="90" t="s">
        <v>1990</v>
      </c>
      <c r="M43" s="90" t="s">
        <v>2047</v>
      </c>
      <c r="N43" s="90" t="s">
        <v>2018</v>
      </c>
      <c r="O43" s="90" t="s">
        <v>1958</v>
      </c>
      <c r="P43" s="90" t="s">
        <v>2204</v>
      </c>
      <c r="Q43" s="90" t="s">
        <v>2293</v>
      </c>
      <c r="R43" s="90" t="s">
        <v>2294</v>
      </c>
      <c r="S43" s="90" t="s">
        <v>2295</v>
      </c>
      <c r="T43" s="90" t="s">
        <v>1942</v>
      </c>
      <c r="U43" s="90" t="s">
        <v>1828</v>
      </c>
      <c r="V43" s="90" t="s">
        <v>2117</v>
      </c>
      <c r="W43" s="90" t="s">
        <v>2031</v>
      </c>
    </row>
    <row r="44" customFormat="false" ht="15" hidden="false" customHeight="false" outlineLevel="0" collapsed="false">
      <c r="A44" s="106" t="s">
        <v>183</v>
      </c>
      <c r="B44" s="106" t="n">
        <v>1</v>
      </c>
      <c r="C44" s="106" t="n">
        <v>45</v>
      </c>
      <c r="D44" s="106" t="s">
        <v>2296</v>
      </c>
      <c r="E44" s="106" t="s">
        <v>2297</v>
      </c>
      <c r="F44" s="106" t="s">
        <v>2298</v>
      </c>
      <c r="G44" s="106" t="s">
        <v>2299</v>
      </c>
      <c r="H44" s="106" t="s">
        <v>2300</v>
      </c>
      <c r="I44" s="106" t="s">
        <v>2301</v>
      </c>
      <c r="J44" s="106" t="s">
        <v>2302</v>
      </c>
      <c r="K44" s="106" t="s">
        <v>2303</v>
      </c>
      <c r="L44" s="106" t="s">
        <v>2304</v>
      </c>
      <c r="M44" s="106" t="s">
        <v>2305</v>
      </c>
      <c r="N44" s="106" t="s">
        <v>2306</v>
      </c>
      <c r="O44" s="106" t="s">
        <v>2307</v>
      </c>
      <c r="P44" s="106" t="s">
        <v>2308</v>
      </c>
      <c r="Q44" s="106" t="s">
        <v>2309</v>
      </c>
      <c r="R44" s="106" t="s">
        <v>2310</v>
      </c>
      <c r="S44" s="106" t="s">
        <v>2311</v>
      </c>
      <c r="T44" s="106" t="s">
        <v>2312</v>
      </c>
      <c r="U44" s="106" t="s">
        <v>2313</v>
      </c>
      <c r="V44" s="106" t="s">
        <v>2314</v>
      </c>
      <c r="W44" s="106" t="s">
        <v>2315</v>
      </c>
    </row>
    <row r="45" customFormat="false" ht="15" hidden="false" customHeight="false" outlineLevel="0" collapsed="false">
      <c r="A45" s="106" t="s">
        <v>216</v>
      </c>
      <c r="B45" s="106" t="n">
        <v>1</v>
      </c>
      <c r="C45" s="106" t="n">
        <v>69</v>
      </c>
      <c r="D45" s="106" t="s">
        <v>2316</v>
      </c>
      <c r="E45" s="106" t="s">
        <v>2317</v>
      </c>
      <c r="F45" s="106" t="s">
        <v>2318</v>
      </c>
      <c r="G45" s="106" t="s">
        <v>2319</v>
      </c>
      <c r="H45" s="106" t="s">
        <v>2320</v>
      </c>
      <c r="I45" s="106" t="s">
        <v>2321</v>
      </c>
      <c r="J45" s="106" t="s">
        <v>2322</v>
      </c>
      <c r="K45" s="106" t="s">
        <v>2323</v>
      </c>
      <c r="L45" s="106" t="s">
        <v>2324</v>
      </c>
      <c r="M45" s="106"/>
      <c r="N45" s="106" t="s">
        <v>2325</v>
      </c>
      <c r="O45" s="106" t="s">
        <v>2326</v>
      </c>
      <c r="P45" s="106" t="s">
        <v>2327</v>
      </c>
      <c r="Q45" s="106"/>
      <c r="R45" s="106" t="s">
        <v>2328</v>
      </c>
      <c r="S45" s="106" t="s">
        <v>2329</v>
      </c>
      <c r="T45" s="106" t="s">
        <v>2330</v>
      </c>
      <c r="U45" s="106" t="s">
        <v>2331</v>
      </c>
      <c r="V45" s="106" t="s">
        <v>2332</v>
      </c>
      <c r="W45" s="106" t="s">
        <v>2333</v>
      </c>
    </row>
    <row r="46" customFormat="false" ht="15" hidden="false" customHeight="false" outlineLevel="0" collapsed="false">
      <c r="A46" s="106" t="s">
        <v>234</v>
      </c>
      <c r="B46" s="106" t="n">
        <v>1</v>
      </c>
      <c r="C46" s="106" t="n">
        <v>45</v>
      </c>
      <c r="D46" s="106" t="s">
        <v>2334</v>
      </c>
      <c r="E46" s="106" t="s">
        <v>2335</v>
      </c>
      <c r="F46" s="106" t="s">
        <v>2336</v>
      </c>
      <c r="G46" s="106" t="s">
        <v>2337</v>
      </c>
      <c r="H46" s="106" t="s">
        <v>2338</v>
      </c>
      <c r="I46" s="106" t="s">
        <v>2339</v>
      </c>
      <c r="J46" s="106" t="s">
        <v>2340</v>
      </c>
      <c r="K46" s="106" t="s">
        <v>2341</v>
      </c>
      <c r="L46" s="106" t="s">
        <v>2342</v>
      </c>
      <c r="M46" s="106" t="s">
        <v>2343</v>
      </c>
      <c r="N46" s="106" t="s">
        <v>2344</v>
      </c>
      <c r="O46" s="106" t="s">
        <v>2345</v>
      </c>
      <c r="P46" s="106" t="s">
        <v>2346</v>
      </c>
      <c r="Q46" s="106"/>
      <c r="R46" s="106" t="s">
        <v>2347</v>
      </c>
      <c r="S46" s="106" t="s">
        <v>2348</v>
      </c>
      <c r="T46" s="106" t="s">
        <v>2349</v>
      </c>
      <c r="U46" s="106" t="s">
        <v>2350</v>
      </c>
      <c r="V46" s="106" t="s">
        <v>2351</v>
      </c>
      <c r="W46" s="106" t="s">
        <v>2352</v>
      </c>
    </row>
    <row r="47" customFormat="false" ht="15" hidden="false" customHeight="false" outlineLevel="0" collapsed="false">
      <c r="A47" s="106" t="s">
        <v>252</v>
      </c>
      <c r="B47" s="106" t="n">
        <v>1</v>
      </c>
      <c r="C47" s="106" t="n">
        <v>24</v>
      </c>
      <c r="D47" s="106" t="s">
        <v>2353</v>
      </c>
      <c r="E47" s="106" t="s">
        <v>2354</v>
      </c>
      <c r="F47" s="106" t="s">
        <v>2355</v>
      </c>
      <c r="G47" s="106" t="s">
        <v>2356</v>
      </c>
      <c r="H47" s="106" t="s">
        <v>2357</v>
      </c>
      <c r="I47" s="106" t="s">
        <v>2358</v>
      </c>
      <c r="J47" s="106" t="s">
        <v>2322</v>
      </c>
      <c r="K47" s="106" t="s">
        <v>2359</v>
      </c>
      <c r="L47" s="106" t="s">
        <v>2360</v>
      </c>
      <c r="M47" s="106" t="s">
        <v>2361</v>
      </c>
      <c r="N47" s="106" t="s">
        <v>2362</v>
      </c>
      <c r="O47" s="106" t="s">
        <v>2363</v>
      </c>
      <c r="P47" s="106" t="s">
        <v>2364</v>
      </c>
      <c r="Q47" s="106"/>
      <c r="R47" s="106" t="s">
        <v>2348</v>
      </c>
      <c r="S47" s="106" t="s">
        <v>2365</v>
      </c>
      <c r="T47" s="106" t="s">
        <v>2366</v>
      </c>
      <c r="U47" s="106" t="s">
        <v>2367</v>
      </c>
      <c r="V47" s="106" t="s">
        <v>2368</v>
      </c>
      <c r="W47" s="106" t="s">
        <v>2369</v>
      </c>
    </row>
    <row r="48" customFormat="false" ht="15" hidden="false" customHeight="false" outlineLevel="0" collapsed="false">
      <c r="A48" s="106" t="s">
        <v>269</v>
      </c>
      <c r="B48" s="106" t="n">
        <v>1</v>
      </c>
      <c r="C48" s="106" t="n">
        <v>14</v>
      </c>
      <c r="D48" s="106" t="s">
        <v>2370</v>
      </c>
      <c r="E48" s="106" t="s">
        <v>2371</v>
      </c>
      <c r="F48" s="106" t="s">
        <v>2372</v>
      </c>
      <c r="G48" s="106" t="s">
        <v>2373</v>
      </c>
      <c r="H48" s="106" t="s">
        <v>2374</v>
      </c>
      <c r="I48" s="106" t="s">
        <v>2375</v>
      </c>
      <c r="J48" s="106" t="s">
        <v>2376</v>
      </c>
      <c r="K48" s="106" t="s">
        <v>2377</v>
      </c>
      <c r="L48" s="106" t="s">
        <v>2378</v>
      </c>
      <c r="M48" s="106" t="s">
        <v>2379</v>
      </c>
      <c r="N48" s="106" t="s">
        <v>2380</v>
      </c>
      <c r="O48" s="106" t="s">
        <v>2381</v>
      </c>
      <c r="P48" s="106" t="s">
        <v>2382</v>
      </c>
      <c r="Q48" s="106"/>
      <c r="R48" s="106" t="s">
        <v>2383</v>
      </c>
      <c r="S48" s="106" t="s">
        <v>2362</v>
      </c>
      <c r="T48" s="106" t="s">
        <v>2384</v>
      </c>
      <c r="U48" s="106" t="s">
        <v>2385</v>
      </c>
      <c r="V48" s="106" t="s">
        <v>2329</v>
      </c>
      <c r="W48" s="106" t="s">
        <v>2386</v>
      </c>
    </row>
    <row r="49" customFormat="false" ht="15" hidden="false" customHeight="false" outlineLevel="0" collapsed="false">
      <c r="A49" s="106" t="s">
        <v>288</v>
      </c>
      <c r="B49" s="106" t="n">
        <v>1</v>
      </c>
      <c r="C49" s="106" t="n">
        <v>60</v>
      </c>
      <c r="D49" s="106" t="s">
        <v>2387</v>
      </c>
      <c r="E49" s="106" t="s">
        <v>2317</v>
      </c>
      <c r="F49" s="106" t="s">
        <v>2388</v>
      </c>
      <c r="G49" s="106" t="s">
        <v>2389</v>
      </c>
      <c r="H49" s="106" t="s">
        <v>2390</v>
      </c>
      <c r="I49" s="106" t="s">
        <v>2391</v>
      </c>
      <c r="J49" s="106" t="s">
        <v>2392</v>
      </c>
      <c r="K49" s="106" t="s">
        <v>2393</v>
      </c>
      <c r="L49" s="106" t="s">
        <v>2394</v>
      </c>
      <c r="M49" s="106" t="s">
        <v>2395</v>
      </c>
      <c r="N49" s="106" t="s">
        <v>2396</v>
      </c>
      <c r="O49" s="106" t="s">
        <v>2309</v>
      </c>
      <c r="P49" s="106" t="s">
        <v>2397</v>
      </c>
      <c r="Q49" s="106"/>
      <c r="R49" s="106" t="s">
        <v>2398</v>
      </c>
      <c r="S49" s="106" t="s">
        <v>2392</v>
      </c>
      <c r="T49" s="106" t="s">
        <v>2399</v>
      </c>
      <c r="U49" s="106" t="s">
        <v>2400</v>
      </c>
      <c r="V49" s="106" t="s">
        <v>2401</v>
      </c>
      <c r="W49" s="106" t="s">
        <v>2402</v>
      </c>
    </row>
    <row r="50" customFormat="false" ht="15" hidden="false" customHeight="false" outlineLevel="0" collapsed="false">
      <c r="A50" s="106" t="s">
        <v>303</v>
      </c>
      <c r="B50" s="106" t="n">
        <v>1</v>
      </c>
      <c r="C50" s="106" t="n">
        <v>12</v>
      </c>
      <c r="D50" s="106" t="s">
        <v>2403</v>
      </c>
      <c r="E50" s="106" t="s">
        <v>2404</v>
      </c>
      <c r="F50" s="106" t="s">
        <v>2315</v>
      </c>
      <c r="G50" s="106" t="s">
        <v>2405</v>
      </c>
      <c r="H50" s="106" t="s">
        <v>2406</v>
      </c>
      <c r="I50" s="106" t="s">
        <v>2407</v>
      </c>
      <c r="J50" s="106" t="s">
        <v>2408</v>
      </c>
      <c r="K50" s="106" t="s">
        <v>2409</v>
      </c>
      <c r="L50" s="106" t="s">
        <v>2410</v>
      </c>
      <c r="M50" s="106" t="s">
        <v>2411</v>
      </c>
      <c r="N50" s="106" t="s">
        <v>2412</v>
      </c>
      <c r="O50" s="106" t="s">
        <v>2413</v>
      </c>
      <c r="P50" s="106" t="s">
        <v>2414</v>
      </c>
      <c r="Q50" s="106"/>
      <c r="R50" s="106" t="s">
        <v>2415</v>
      </c>
      <c r="S50" s="106" t="s">
        <v>2340</v>
      </c>
      <c r="T50" s="106" t="s">
        <v>2416</v>
      </c>
      <c r="U50" s="106" t="s">
        <v>2417</v>
      </c>
      <c r="V50" s="106" t="s">
        <v>2310</v>
      </c>
      <c r="W50" s="106" t="s">
        <v>2418</v>
      </c>
    </row>
    <row r="51" customFormat="false" ht="15" hidden="false" customHeight="false" outlineLevel="0" collapsed="false">
      <c r="A51" s="106" t="s">
        <v>320</v>
      </c>
      <c r="B51" s="106" t="n">
        <v>1</v>
      </c>
      <c r="C51" s="106" t="n">
        <v>7</v>
      </c>
      <c r="D51" s="106" t="s">
        <v>2419</v>
      </c>
      <c r="E51" s="106" t="s">
        <v>2420</v>
      </c>
      <c r="F51" s="106" t="s">
        <v>2421</v>
      </c>
      <c r="G51" s="106" t="s">
        <v>2422</v>
      </c>
      <c r="H51" s="106" t="s">
        <v>2423</v>
      </c>
      <c r="I51" s="106" t="s">
        <v>2424</v>
      </c>
      <c r="J51" s="106" t="s">
        <v>2425</v>
      </c>
      <c r="K51" s="106" t="s">
        <v>2426</v>
      </c>
      <c r="L51" s="106" t="s">
        <v>2427</v>
      </c>
      <c r="M51" s="106" t="s">
        <v>2428</v>
      </c>
      <c r="N51" s="106" t="s">
        <v>2401</v>
      </c>
      <c r="O51" s="106" t="s">
        <v>2429</v>
      </c>
      <c r="P51" s="106" t="s">
        <v>2430</v>
      </c>
      <c r="Q51" s="106" t="s">
        <v>2431</v>
      </c>
      <c r="R51" s="106" t="s">
        <v>2432</v>
      </c>
      <c r="S51" s="106" t="s">
        <v>2347</v>
      </c>
      <c r="T51" s="106" t="s">
        <v>2318</v>
      </c>
      <c r="U51" s="106" t="s">
        <v>2433</v>
      </c>
      <c r="V51" s="106" t="s">
        <v>2328</v>
      </c>
      <c r="W51" s="106" t="s">
        <v>2434</v>
      </c>
    </row>
    <row r="52" customFormat="false" ht="15" hidden="false" customHeight="false" outlineLevel="0" collapsed="false">
      <c r="A52" s="106" t="s">
        <v>341</v>
      </c>
      <c r="B52" s="106" t="n">
        <v>1</v>
      </c>
      <c r="C52" s="106" t="n">
        <v>46</v>
      </c>
      <c r="D52" s="106" t="s">
        <v>2435</v>
      </c>
      <c r="E52" s="106" t="s">
        <v>2436</v>
      </c>
      <c r="F52" s="106" t="s">
        <v>2437</v>
      </c>
      <c r="G52" s="106" t="s">
        <v>2307</v>
      </c>
      <c r="H52" s="106" t="s">
        <v>2438</v>
      </c>
      <c r="I52" s="106" t="s">
        <v>2439</v>
      </c>
      <c r="J52" s="106" t="s">
        <v>2440</v>
      </c>
      <c r="K52" s="106" t="s">
        <v>2364</v>
      </c>
      <c r="L52" s="106" t="s">
        <v>2441</v>
      </c>
      <c r="M52" s="106" t="s">
        <v>2442</v>
      </c>
      <c r="N52" s="106" t="s">
        <v>2316</v>
      </c>
      <c r="O52" s="106" t="s">
        <v>2363</v>
      </c>
      <c r="P52" s="106" t="s">
        <v>2443</v>
      </c>
      <c r="Q52" s="106"/>
      <c r="R52" s="106" t="s">
        <v>2444</v>
      </c>
      <c r="S52" s="106" t="s">
        <v>2421</v>
      </c>
      <c r="T52" s="106" t="s">
        <v>2445</v>
      </c>
      <c r="U52" s="106" t="s">
        <v>2446</v>
      </c>
      <c r="V52" s="106" t="s">
        <v>2351</v>
      </c>
      <c r="W52" s="106" t="s">
        <v>2447</v>
      </c>
    </row>
    <row r="53" customFormat="false" ht="15" hidden="false" customHeight="false" outlineLevel="0" collapsed="false">
      <c r="A53" s="106" t="s">
        <v>359</v>
      </c>
      <c r="B53" s="106" t="n">
        <v>1</v>
      </c>
      <c r="C53" s="106" t="n">
        <v>35</v>
      </c>
      <c r="D53" s="106" t="s">
        <v>2448</v>
      </c>
      <c r="E53" s="106" t="s">
        <v>2449</v>
      </c>
      <c r="F53" s="106" t="s">
        <v>2450</v>
      </c>
      <c r="G53" s="106" t="s">
        <v>2451</v>
      </c>
      <c r="H53" s="106" t="s">
        <v>2452</v>
      </c>
      <c r="I53" s="106" t="s">
        <v>2453</v>
      </c>
      <c r="J53" s="106" t="s">
        <v>2454</v>
      </c>
      <c r="K53" s="106" t="s">
        <v>2455</v>
      </c>
      <c r="L53" s="106" t="s">
        <v>2456</v>
      </c>
      <c r="M53" s="106" t="s">
        <v>2411</v>
      </c>
      <c r="N53" s="106" t="s">
        <v>2444</v>
      </c>
      <c r="O53" s="106" t="s">
        <v>2457</v>
      </c>
      <c r="P53" s="106" t="s">
        <v>2458</v>
      </c>
      <c r="Q53" s="106"/>
      <c r="R53" s="106" t="s">
        <v>2347</v>
      </c>
      <c r="S53" s="106" t="s">
        <v>2459</v>
      </c>
      <c r="T53" s="106" t="s">
        <v>2460</v>
      </c>
      <c r="U53" s="106" t="s">
        <v>2461</v>
      </c>
      <c r="V53" s="106" t="s">
        <v>2365</v>
      </c>
      <c r="W53" s="106" t="s">
        <v>2462</v>
      </c>
    </row>
    <row r="54" customFormat="false" ht="15" hidden="false" customHeight="false" outlineLevel="0" collapsed="false">
      <c r="A54" s="106" t="s">
        <v>370</v>
      </c>
      <c r="B54" s="106" t="n">
        <v>1</v>
      </c>
      <c r="C54" s="106" t="n">
        <v>13</v>
      </c>
      <c r="D54" s="106" t="s">
        <v>2463</v>
      </c>
      <c r="E54" s="106" t="s">
        <v>2464</v>
      </c>
      <c r="F54" s="106" t="s">
        <v>2465</v>
      </c>
      <c r="G54" s="106" t="s">
        <v>2466</v>
      </c>
      <c r="H54" s="106" t="s">
        <v>2467</v>
      </c>
      <c r="I54" s="106" t="s">
        <v>2468</v>
      </c>
      <c r="J54" s="106" t="s">
        <v>2469</v>
      </c>
      <c r="K54" s="106" t="s">
        <v>2470</v>
      </c>
      <c r="L54" s="106" t="s">
        <v>2471</v>
      </c>
      <c r="M54" s="106" t="s">
        <v>2472</v>
      </c>
      <c r="N54" s="106" t="s">
        <v>2473</v>
      </c>
      <c r="O54" s="106" t="s">
        <v>2474</v>
      </c>
      <c r="P54" s="106" t="s">
        <v>2475</v>
      </c>
      <c r="Q54" s="106" t="s">
        <v>2476</v>
      </c>
      <c r="R54" s="106" t="s">
        <v>2477</v>
      </c>
      <c r="S54" s="106" t="s">
        <v>2478</v>
      </c>
      <c r="T54" s="106" t="s">
        <v>2479</v>
      </c>
      <c r="U54" s="106" t="s">
        <v>2480</v>
      </c>
      <c r="V54" s="106" t="s">
        <v>2481</v>
      </c>
      <c r="W54" s="106" t="s">
        <v>2482</v>
      </c>
    </row>
    <row r="55" customFormat="false" ht="15" hidden="false" customHeight="false" outlineLevel="0" collapsed="false">
      <c r="A55" s="106" t="s">
        <v>391</v>
      </c>
      <c r="B55" s="106" t="n">
        <v>1</v>
      </c>
      <c r="C55" s="106" t="n">
        <v>18</v>
      </c>
      <c r="D55" s="106" t="s">
        <v>2483</v>
      </c>
      <c r="E55" s="106" t="s">
        <v>2484</v>
      </c>
      <c r="F55" s="106" t="s">
        <v>2485</v>
      </c>
      <c r="G55" s="106" t="s">
        <v>2486</v>
      </c>
      <c r="H55" s="106" t="s">
        <v>2487</v>
      </c>
      <c r="I55" s="106" t="s">
        <v>2488</v>
      </c>
      <c r="J55" s="106" t="s">
        <v>2489</v>
      </c>
      <c r="K55" s="106" t="s">
        <v>2490</v>
      </c>
      <c r="L55" s="106" t="s">
        <v>2491</v>
      </c>
      <c r="M55" s="106" t="s">
        <v>2395</v>
      </c>
      <c r="N55" s="106" t="s">
        <v>2492</v>
      </c>
      <c r="O55" s="106" t="s">
        <v>2337</v>
      </c>
      <c r="P55" s="106" t="s">
        <v>2493</v>
      </c>
      <c r="Q55" s="106" t="s">
        <v>2494</v>
      </c>
      <c r="R55" s="106" t="s">
        <v>2495</v>
      </c>
      <c r="S55" s="106" t="s">
        <v>2496</v>
      </c>
      <c r="T55" s="106" t="s">
        <v>2497</v>
      </c>
      <c r="U55" s="106" t="s">
        <v>2498</v>
      </c>
      <c r="V55" s="106" t="s">
        <v>2499</v>
      </c>
      <c r="W55" s="106" t="s">
        <v>2500</v>
      </c>
    </row>
    <row r="56" customFormat="false" ht="15" hidden="false" customHeight="false" outlineLevel="0" collapsed="false">
      <c r="A56" s="106" t="s">
        <v>407</v>
      </c>
      <c r="B56" s="106" t="n">
        <v>1</v>
      </c>
      <c r="C56" s="106" t="n">
        <v>38</v>
      </c>
      <c r="D56" s="106" t="s">
        <v>2403</v>
      </c>
      <c r="E56" s="106" t="s">
        <v>2501</v>
      </c>
      <c r="F56" s="106" t="s">
        <v>2502</v>
      </c>
      <c r="G56" s="106" t="s">
        <v>2503</v>
      </c>
      <c r="H56" s="106" t="s">
        <v>2504</v>
      </c>
      <c r="I56" s="106" t="s">
        <v>2505</v>
      </c>
      <c r="J56" s="106" t="s">
        <v>2506</v>
      </c>
      <c r="K56" s="106" t="s">
        <v>2507</v>
      </c>
      <c r="L56" s="106" t="s">
        <v>2508</v>
      </c>
      <c r="M56" s="106" t="s">
        <v>2509</v>
      </c>
      <c r="N56" s="106" t="s">
        <v>2510</v>
      </c>
      <c r="O56" s="106" t="s">
        <v>2413</v>
      </c>
      <c r="P56" s="106" t="s">
        <v>2511</v>
      </c>
      <c r="Q56" s="106"/>
      <c r="R56" s="106" t="s">
        <v>2347</v>
      </c>
      <c r="S56" s="106" t="s">
        <v>2512</v>
      </c>
      <c r="T56" s="106" t="s">
        <v>2513</v>
      </c>
      <c r="U56" s="106" t="s">
        <v>2514</v>
      </c>
      <c r="V56" s="106" t="s">
        <v>2425</v>
      </c>
      <c r="W56" s="106" t="s">
        <v>2515</v>
      </c>
    </row>
    <row r="57" customFormat="false" ht="15" hidden="false" customHeight="false" outlineLevel="0" collapsed="false">
      <c r="A57" s="106" t="s">
        <v>421</v>
      </c>
      <c r="B57" s="106" t="n">
        <v>1</v>
      </c>
      <c r="C57" s="106" t="n">
        <v>3</v>
      </c>
      <c r="D57" s="106" t="s">
        <v>2516</v>
      </c>
      <c r="E57" s="106"/>
      <c r="F57" s="106" t="s">
        <v>2517</v>
      </c>
      <c r="G57" s="106" t="s">
        <v>2518</v>
      </c>
      <c r="H57" s="106" t="s">
        <v>2519</v>
      </c>
      <c r="I57" s="106" t="s">
        <v>2520</v>
      </c>
      <c r="J57" s="106" t="s">
        <v>2521</v>
      </c>
      <c r="K57" s="106" t="s">
        <v>2522</v>
      </c>
      <c r="L57" s="106" t="s">
        <v>2322</v>
      </c>
      <c r="M57" s="106" t="s">
        <v>2523</v>
      </c>
      <c r="N57" s="106" t="s">
        <v>2328</v>
      </c>
      <c r="O57" s="106" t="s">
        <v>2524</v>
      </c>
      <c r="P57" s="106" t="s">
        <v>2525</v>
      </c>
      <c r="Q57" s="106"/>
      <c r="R57" s="106" t="s">
        <v>2365</v>
      </c>
      <c r="S57" s="106" t="s">
        <v>2526</v>
      </c>
      <c r="T57" s="106" t="s">
        <v>2527</v>
      </c>
      <c r="U57" s="106" t="s">
        <v>2528</v>
      </c>
      <c r="V57" s="106" t="s">
        <v>2529</v>
      </c>
      <c r="W57" s="106" t="s">
        <v>2530</v>
      </c>
    </row>
    <row r="58" customFormat="false" ht="15" hidden="false" customHeight="false" outlineLevel="0" collapsed="false">
      <c r="A58" s="106" t="s">
        <v>445</v>
      </c>
      <c r="B58" s="106" t="n">
        <v>1</v>
      </c>
      <c r="C58" s="106" t="n">
        <v>3</v>
      </c>
      <c r="D58" s="106" t="s">
        <v>2531</v>
      </c>
      <c r="E58" s="106"/>
      <c r="F58" s="106" t="s">
        <v>2532</v>
      </c>
      <c r="G58" s="106" t="s">
        <v>2533</v>
      </c>
      <c r="H58" s="106" t="s">
        <v>2534</v>
      </c>
      <c r="I58" s="106" t="s">
        <v>2535</v>
      </c>
      <c r="J58" s="106" t="s">
        <v>2536</v>
      </c>
      <c r="K58" s="106"/>
      <c r="L58" s="106" t="s">
        <v>2537</v>
      </c>
      <c r="M58" s="106" t="s">
        <v>2538</v>
      </c>
      <c r="N58" s="106" t="s">
        <v>2539</v>
      </c>
      <c r="O58" s="106" t="s">
        <v>2540</v>
      </c>
      <c r="P58" s="106" t="s">
        <v>2541</v>
      </c>
      <c r="Q58" s="106"/>
      <c r="R58" s="106" t="s">
        <v>2401</v>
      </c>
      <c r="S58" s="106" t="s">
        <v>2368</v>
      </c>
      <c r="T58" s="106" t="s">
        <v>2299</v>
      </c>
      <c r="U58" s="106" t="s">
        <v>2542</v>
      </c>
      <c r="V58" s="106" t="s">
        <v>2543</v>
      </c>
      <c r="W58" s="106" t="s">
        <v>2544</v>
      </c>
    </row>
    <row r="59" customFormat="false" ht="15" hidden="false" customHeight="false" outlineLevel="0" collapsed="false">
      <c r="A59" s="106" t="s">
        <v>463</v>
      </c>
      <c r="B59" s="106" t="n">
        <v>1</v>
      </c>
      <c r="C59" s="106" t="n">
        <v>10</v>
      </c>
      <c r="D59" s="106" t="s">
        <v>2545</v>
      </c>
      <c r="E59" s="106"/>
      <c r="F59" s="106" t="s">
        <v>2546</v>
      </c>
      <c r="G59" s="106" t="s">
        <v>2547</v>
      </c>
      <c r="H59" s="106" t="s">
        <v>2548</v>
      </c>
      <c r="I59" s="106" t="s">
        <v>2549</v>
      </c>
      <c r="J59" s="106" t="s">
        <v>2550</v>
      </c>
      <c r="K59" s="106"/>
      <c r="L59" s="106" t="s">
        <v>2551</v>
      </c>
      <c r="M59" s="106" t="s">
        <v>2552</v>
      </c>
      <c r="N59" s="106" t="s">
        <v>2348</v>
      </c>
      <c r="O59" s="106" t="s">
        <v>2553</v>
      </c>
      <c r="P59" s="106" t="s">
        <v>2377</v>
      </c>
      <c r="Q59" s="106"/>
      <c r="R59" s="106" t="s">
        <v>2376</v>
      </c>
      <c r="S59" s="106" t="s">
        <v>2554</v>
      </c>
      <c r="T59" s="106" t="s">
        <v>2555</v>
      </c>
      <c r="U59" s="106" t="s">
        <v>2556</v>
      </c>
      <c r="V59" s="106" t="s">
        <v>2557</v>
      </c>
      <c r="W59" s="106" t="s">
        <v>2558</v>
      </c>
    </row>
    <row r="60" customFormat="false" ht="15" hidden="false" customHeight="false" outlineLevel="0" collapsed="false">
      <c r="A60" s="106" t="s">
        <v>478</v>
      </c>
      <c r="B60" s="106" t="n">
        <v>1</v>
      </c>
      <c r="C60" s="106" t="n">
        <v>22</v>
      </c>
      <c r="D60" s="106" t="s">
        <v>2559</v>
      </c>
      <c r="E60" s="106" t="s">
        <v>2459</v>
      </c>
      <c r="F60" s="106" t="s">
        <v>2560</v>
      </c>
      <c r="G60" s="106" t="s">
        <v>2396</v>
      </c>
      <c r="H60" s="106"/>
      <c r="I60" s="106" t="s">
        <v>2561</v>
      </c>
      <c r="J60" s="106" t="s">
        <v>2562</v>
      </c>
      <c r="K60" s="106" t="s">
        <v>2563</v>
      </c>
      <c r="L60" s="106" t="s">
        <v>2564</v>
      </c>
      <c r="M60" s="106" t="s">
        <v>2565</v>
      </c>
      <c r="N60" s="106" t="s">
        <v>2566</v>
      </c>
      <c r="O60" s="106" t="s">
        <v>2567</v>
      </c>
      <c r="P60" s="106" t="s">
        <v>2568</v>
      </c>
      <c r="Q60" s="106"/>
      <c r="R60" s="106" t="s">
        <v>2316</v>
      </c>
      <c r="S60" s="106" t="s">
        <v>2383</v>
      </c>
      <c r="T60" s="106" t="s">
        <v>2331</v>
      </c>
      <c r="U60" s="106" t="s">
        <v>2569</v>
      </c>
      <c r="V60" s="106"/>
      <c r="W60" s="106" t="s">
        <v>2570</v>
      </c>
    </row>
    <row r="61" customFormat="false" ht="15" hidden="false" customHeight="false" outlineLevel="0" collapsed="false">
      <c r="A61" s="106" t="s">
        <v>499</v>
      </c>
      <c r="B61" s="106" t="n">
        <v>1</v>
      </c>
      <c r="C61" s="106" t="n">
        <v>39</v>
      </c>
      <c r="D61" s="106" t="s">
        <v>2571</v>
      </c>
      <c r="E61" s="106" t="s">
        <v>2427</v>
      </c>
      <c r="F61" s="106" t="s">
        <v>2328</v>
      </c>
      <c r="G61" s="106" t="s">
        <v>2572</v>
      </c>
      <c r="H61" s="106"/>
      <c r="I61" s="106" t="s">
        <v>2329</v>
      </c>
      <c r="J61" s="106" t="s">
        <v>2573</v>
      </c>
      <c r="K61" s="106" t="s">
        <v>2574</v>
      </c>
      <c r="L61" s="106" t="s">
        <v>2575</v>
      </c>
      <c r="M61" s="106" t="s">
        <v>2576</v>
      </c>
      <c r="N61" s="106" t="s">
        <v>2577</v>
      </c>
      <c r="O61" s="106" t="s">
        <v>2405</v>
      </c>
      <c r="P61" s="106"/>
      <c r="Q61" s="106"/>
      <c r="R61" s="106" t="s">
        <v>2383</v>
      </c>
      <c r="S61" s="106" t="s">
        <v>2578</v>
      </c>
      <c r="T61" s="106" t="s">
        <v>2579</v>
      </c>
      <c r="U61" s="106" t="s">
        <v>2580</v>
      </c>
      <c r="V61" s="106"/>
      <c r="W61" s="106" t="s">
        <v>2581</v>
      </c>
    </row>
    <row r="62" customFormat="false" ht="15" hidden="false" customHeight="false" outlineLevel="0" collapsed="false">
      <c r="A62" s="106" t="s">
        <v>513</v>
      </c>
      <c r="B62" s="106" t="n">
        <v>1</v>
      </c>
      <c r="C62" s="106" t="n">
        <v>10</v>
      </c>
      <c r="D62" s="106" t="s">
        <v>2490</v>
      </c>
      <c r="E62" s="106" t="s">
        <v>2443</v>
      </c>
      <c r="F62" s="106" t="s">
        <v>2582</v>
      </c>
      <c r="G62" s="106" t="s">
        <v>2311</v>
      </c>
      <c r="H62" s="106"/>
      <c r="I62" s="106" t="s">
        <v>2583</v>
      </c>
      <c r="J62" s="106" t="s">
        <v>2584</v>
      </c>
      <c r="K62" s="106" t="s">
        <v>2573</v>
      </c>
      <c r="L62" s="106" t="s">
        <v>2585</v>
      </c>
      <c r="M62" s="106" t="s">
        <v>2586</v>
      </c>
      <c r="N62" s="106" t="s">
        <v>2587</v>
      </c>
      <c r="O62" s="106" t="s">
        <v>2474</v>
      </c>
      <c r="P62" s="106"/>
      <c r="Q62" s="106"/>
      <c r="R62" s="106" t="s">
        <v>2588</v>
      </c>
      <c r="S62" s="106" t="s">
        <v>2481</v>
      </c>
      <c r="T62" s="106" t="s">
        <v>2589</v>
      </c>
      <c r="U62" s="106" t="s">
        <v>2590</v>
      </c>
      <c r="V62" s="106"/>
      <c r="W62" s="106" t="s">
        <v>2591</v>
      </c>
    </row>
    <row r="63" customFormat="false" ht="15" hidden="false" customHeight="false" outlineLevel="0" collapsed="false">
      <c r="A63" s="106" t="s">
        <v>529</v>
      </c>
      <c r="B63" s="106" t="n">
        <v>1</v>
      </c>
      <c r="C63" s="106" t="n">
        <v>33</v>
      </c>
      <c r="D63" s="106" t="s">
        <v>2592</v>
      </c>
      <c r="E63" s="106" t="s">
        <v>2593</v>
      </c>
      <c r="F63" s="106" t="s">
        <v>2594</v>
      </c>
      <c r="G63" s="106" t="s">
        <v>2595</v>
      </c>
      <c r="H63" s="106"/>
      <c r="I63" s="106" t="s">
        <v>2596</v>
      </c>
      <c r="J63" s="106" t="s">
        <v>2597</v>
      </c>
      <c r="K63" s="106" t="s">
        <v>2598</v>
      </c>
      <c r="L63" s="106" t="s">
        <v>2599</v>
      </c>
      <c r="M63" s="106" t="s">
        <v>2600</v>
      </c>
      <c r="N63" s="106" t="s">
        <v>2601</v>
      </c>
      <c r="O63" s="106" t="s">
        <v>2602</v>
      </c>
      <c r="P63" s="106"/>
      <c r="Q63" s="106"/>
      <c r="R63" s="106" t="s">
        <v>2401</v>
      </c>
      <c r="S63" s="106" t="s">
        <v>2444</v>
      </c>
      <c r="T63" s="106" t="s">
        <v>2603</v>
      </c>
      <c r="U63" s="106" t="s">
        <v>2604</v>
      </c>
      <c r="V63" s="106"/>
      <c r="W63" s="106" t="s">
        <v>2605</v>
      </c>
    </row>
    <row r="64" customFormat="false" ht="15" hidden="false" customHeight="false" outlineLevel="0" collapsed="false">
      <c r="A64" s="106" t="s">
        <v>546</v>
      </c>
      <c r="B64" s="106" t="n">
        <v>1</v>
      </c>
      <c r="C64" s="106" t="n">
        <v>30</v>
      </c>
      <c r="D64" s="106" t="s">
        <v>2606</v>
      </c>
      <c r="E64" s="106" t="s">
        <v>2607</v>
      </c>
      <c r="F64" s="106" t="s">
        <v>2608</v>
      </c>
      <c r="G64" s="106" t="s">
        <v>2609</v>
      </c>
      <c r="H64" s="106"/>
      <c r="I64" s="106" t="s">
        <v>2610</v>
      </c>
      <c r="J64" s="106" t="s">
        <v>2611</v>
      </c>
      <c r="K64" s="106" t="s">
        <v>2557</v>
      </c>
      <c r="L64" s="106" t="s">
        <v>2612</v>
      </c>
      <c r="M64" s="106" t="s">
        <v>2613</v>
      </c>
      <c r="N64" s="106" t="s">
        <v>2614</v>
      </c>
      <c r="O64" s="106" t="s">
        <v>2337</v>
      </c>
      <c r="P64" s="106"/>
      <c r="Q64" s="106"/>
      <c r="R64" s="106" t="s">
        <v>2365</v>
      </c>
      <c r="S64" s="106" t="s">
        <v>2615</v>
      </c>
      <c r="T64" s="106" t="s">
        <v>2616</v>
      </c>
      <c r="U64" s="106" t="s">
        <v>2617</v>
      </c>
      <c r="V64" s="106"/>
      <c r="W64" s="106" t="s">
        <v>2618</v>
      </c>
    </row>
    <row r="65" customFormat="false" ht="15" hidden="false" customHeight="false" outlineLevel="0" collapsed="false">
      <c r="A65" s="106" t="s">
        <v>559</v>
      </c>
      <c r="B65" s="106" t="n">
        <v>1</v>
      </c>
      <c r="C65" s="106" t="n">
        <v>18</v>
      </c>
      <c r="D65" s="106" t="s">
        <v>2619</v>
      </c>
      <c r="E65" s="106" t="s">
        <v>2620</v>
      </c>
      <c r="F65" s="106" t="s">
        <v>2621</v>
      </c>
      <c r="G65" s="106" t="s">
        <v>2622</v>
      </c>
      <c r="H65" s="106" t="s">
        <v>2623</v>
      </c>
      <c r="I65" s="106" t="s">
        <v>2624</v>
      </c>
      <c r="J65" s="106" t="s">
        <v>2625</v>
      </c>
      <c r="K65" s="106" t="s">
        <v>2626</v>
      </c>
      <c r="L65" s="106" t="s">
        <v>2627</v>
      </c>
      <c r="M65" s="106" t="s">
        <v>2628</v>
      </c>
      <c r="N65" s="106" t="s">
        <v>2326</v>
      </c>
      <c r="O65" s="106" t="s">
        <v>2629</v>
      </c>
      <c r="P65" s="106" t="s">
        <v>2630</v>
      </c>
      <c r="Q65" s="106" t="s">
        <v>2309</v>
      </c>
      <c r="R65" s="106" t="s">
        <v>2631</v>
      </c>
      <c r="S65" s="106" t="s">
        <v>2632</v>
      </c>
      <c r="T65" s="106" t="s">
        <v>2633</v>
      </c>
      <c r="U65" s="106" t="s">
        <v>2634</v>
      </c>
      <c r="V65" s="106" t="s">
        <v>2635</v>
      </c>
      <c r="W65" s="106" t="s">
        <v>2437</v>
      </c>
    </row>
    <row r="66" customFormat="false" ht="15" hidden="false" customHeight="false" outlineLevel="0" collapsed="false">
      <c r="A66" s="106" t="s">
        <v>580</v>
      </c>
      <c r="B66" s="106" t="n">
        <v>1</v>
      </c>
      <c r="C66" s="106" t="n">
        <v>17</v>
      </c>
      <c r="D66" s="106" t="s">
        <v>2636</v>
      </c>
      <c r="E66" s="106" t="s">
        <v>2637</v>
      </c>
      <c r="F66" s="106" t="s">
        <v>2638</v>
      </c>
      <c r="G66" s="106" t="s">
        <v>2639</v>
      </c>
      <c r="H66" s="106" t="s">
        <v>2640</v>
      </c>
      <c r="I66" s="106" t="s">
        <v>2641</v>
      </c>
      <c r="J66" s="106" t="s">
        <v>2642</v>
      </c>
      <c r="K66" s="106" t="s">
        <v>2426</v>
      </c>
      <c r="L66" s="106" t="s">
        <v>2643</v>
      </c>
      <c r="M66" s="106" t="s">
        <v>2644</v>
      </c>
      <c r="N66" s="106" t="s">
        <v>2363</v>
      </c>
      <c r="O66" s="106" t="s">
        <v>2645</v>
      </c>
      <c r="P66" s="106" t="s">
        <v>2646</v>
      </c>
      <c r="Q66" s="106" t="s">
        <v>2309</v>
      </c>
      <c r="R66" s="106" t="s">
        <v>2316</v>
      </c>
      <c r="S66" s="106" t="s">
        <v>2647</v>
      </c>
      <c r="T66" s="106" t="s">
        <v>2648</v>
      </c>
      <c r="U66" s="106" t="s">
        <v>2649</v>
      </c>
      <c r="V66" s="106" t="s">
        <v>2650</v>
      </c>
      <c r="W66" s="106" t="s">
        <v>2651</v>
      </c>
    </row>
    <row r="67" customFormat="false" ht="15" hidden="false" customHeight="false" outlineLevel="0" collapsed="false">
      <c r="A67" s="106" t="s">
        <v>596</v>
      </c>
      <c r="B67" s="106" t="n">
        <v>1</v>
      </c>
      <c r="C67" s="106" t="n">
        <v>27</v>
      </c>
      <c r="D67" s="106" t="s">
        <v>2652</v>
      </c>
      <c r="E67" s="106" t="s">
        <v>2653</v>
      </c>
      <c r="F67" s="106" t="s">
        <v>2654</v>
      </c>
      <c r="G67" s="106" t="s">
        <v>2655</v>
      </c>
      <c r="H67" s="106" t="s">
        <v>2656</v>
      </c>
      <c r="I67" s="106" t="s">
        <v>2657</v>
      </c>
      <c r="J67" s="106" t="s">
        <v>2593</v>
      </c>
      <c r="K67" s="106" t="s">
        <v>2658</v>
      </c>
      <c r="L67" s="106" t="s">
        <v>2659</v>
      </c>
      <c r="M67" s="106" t="s">
        <v>2660</v>
      </c>
      <c r="N67" s="106" t="s">
        <v>2661</v>
      </c>
      <c r="O67" s="106" t="s">
        <v>2662</v>
      </c>
      <c r="P67" s="106" t="s">
        <v>2663</v>
      </c>
      <c r="Q67" s="106" t="s">
        <v>2309</v>
      </c>
      <c r="R67" s="106" t="s">
        <v>2551</v>
      </c>
      <c r="S67" s="106" t="s">
        <v>2543</v>
      </c>
      <c r="T67" s="106" t="s">
        <v>2664</v>
      </c>
      <c r="U67" s="106" t="s">
        <v>2665</v>
      </c>
      <c r="V67" s="106" t="s">
        <v>2666</v>
      </c>
      <c r="W67" s="106" t="s">
        <v>2667</v>
      </c>
    </row>
    <row r="68" customFormat="false" ht="15" hidden="false" customHeight="false" outlineLevel="0" collapsed="false">
      <c r="A68" s="106" t="s">
        <v>610</v>
      </c>
      <c r="B68" s="106" t="n">
        <v>1</v>
      </c>
      <c r="C68" s="106" t="n">
        <v>65</v>
      </c>
      <c r="D68" s="106" t="s">
        <v>2668</v>
      </c>
      <c r="E68" s="106" t="s">
        <v>2637</v>
      </c>
      <c r="F68" s="106" t="s">
        <v>2456</v>
      </c>
      <c r="G68" s="106" t="s">
        <v>2669</v>
      </c>
      <c r="H68" s="106" t="s">
        <v>2670</v>
      </c>
      <c r="I68" s="106" t="s">
        <v>2671</v>
      </c>
      <c r="J68" s="106" t="s">
        <v>2328</v>
      </c>
      <c r="K68" s="106" t="s">
        <v>2672</v>
      </c>
      <c r="L68" s="106" t="s">
        <v>2430</v>
      </c>
      <c r="M68" s="106" t="s">
        <v>2673</v>
      </c>
      <c r="N68" s="106" t="s">
        <v>2674</v>
      </c>
      <c r="O68" s="106" t="s">
        <v>2414</v>
      </c>
      <c r="P68" s="106" t="s">
        <v>2362</v>
      </c>
      <c r="Q68" s="106"/>
      <c r="R68" s="106" t="s">
        <v>2415</v>
      </c>
      <c r="S68" s="106" t="s">
        <v>2528</v>
      </c>
      <c r="T68" s="106" t="s">
        <v>2535</v>
      </c>
      <c r="U68" s="106" t="s">
        <v>2675</v>
      </c>
      <c r="V68" s="106" t="s">
        <v>2650</v>
      </c>
      <c r="W68" s="106" t="s">
        <v>2383</v>
      </c>
    </row>
    <row r="69" customFormat="false" ht="15" hidden="false" customHeight="false" outlineLevel="0" collapsed="false">
      <c r="A69" s="106" t="s">
        <v>627</v>
      </c>
      <c r="B69" s="106" t="n">
        <v>1</v>
      </c>
      <c r="C69" s="106" t="n">
        <v>37</v>
      </c>
      <c r="D69" s="106" t="s">
        <v>2676</v>
      </c>
      <c r="E69" s="106" t="s">
        <v>2470</v>
      </c>
      <c r="F69" s="106" t="s">
        <v>2677</v>
      </c>
      <c r="G69" s="106" t="s">
        <v>2373</v>
      </c>
      <c r="H69" s="106" t="s">
        <v>2678</v>
      </c>
      <c r="I69" s="106" t="s">
        <v>2679</v>
      </c>
      <c r="J69" s="106" t="s">
        <v>2446</v>
      </c>
      <c r="K69" s="106" t="s">
        <v>2359</v>
      </c>
      <c r="L69" s="106" t="s">
        <v>2680</v>
      </c>
      <c r="M69" s="106" t="s">
        <v>2681</v>
      </c>
      <c r="N69" s="106" t="s">
        <v>2661</v>
      </c>
      <c r="O69" s="106" t="s">
        <v>2682</v>
      </c>
      <c r="P69" s="106" t="s">
        <v>2393</v>
      </c>
      <c r="Q69" s="106"/>
      <c r="R69" s="106" t="s">
        <v>2432</v>
      </c>
      <c r="S69" s="106" t="s">
        <v>2440</v>
      </c>
      <c r="T69" s="106" t="s">
        <v>2683</v>
      </c>
      <c r="U69" s="106" t="s">
        <v>2684</v>
      </c>
      <c r="V69" s="106" t="s">
        <v>2577</v>
      </c>
      <c r="W69" s="106" t="s">
        <v>2685</v>
      </c>
    </row>
    <row r="70" customFormat="false" ht="15" hidden="false" customHeight="false" outlineLevel="0" collapsed="false">
      <c r="A70" s="106" t="s">
        <v>640</v>
      </c>
      <c r="B70" s="106" t="n">
        <v>1</v>
      </c>
      <c r="C70" s="106" t="n">
        <v>37</v>
      </c>
      <c r="D70" s="106" t="s">
        <v>2686</v>
      </c>
      <c r="E70" s="106" t="s">
        <v>2672</v>
      </c>
      <c r="F70" s="106" t="s">
        <v>2687</v>
      </c>
      <c r="G70" s="106" t="s">
        <v>2688</v>
      </c>
      <c r="H70" s="106" t="s">
        <v>2689</v>
      </c>
      <c r="I70" s="106" t="s">
        <v>2690</v>
      </c>
      <c r="J70" s="106" t="s">
        <v>2691</v>
      </c>
      <c r="K70" s="106" t="s">
        <v>2692</v>
      </c>
      <c r="L70" s="106" t="s">
        <v>2328</v>
      </c>
      <c r="M70" s="106" t="s">
        <v>2586</v>
      </c>
      <c r="N70" s="106" t="s">
        <v>2693</v>
      </c>
      <c r="O70" s="106" t="s">
        <v>2694</v>
      </c>
      <c r="P70" s="106" t="s">
        <v>2695</v>
      </c>
      <c r="Q70" s="106" t="s">
        <v>2309</v>
      </c>
      <c r="R70" s="106" t="s">
        <v>2316</v>
      </c>
      <c r="S70" s="106" t="s">
        <v>2351</v>
      </c>
      <c r="T70" s="106" t="s">
        <v>2696</v>
      </c>
      <c r="U70" s="106" t="s">
        <v>2453</v>
      </c>
      <c r="V70" s="106" t="s">
        <v>2666</v>
      </c>
      <c r="W70" s="106" t="s">
        <v>2697</v>
      </c>
    </row>
    <row r="71" customFormat="false" ht="15" hidden="false" customHeight="false" outlineLevel="0" collapsed="false">
      <c r="A71" s="106" t="s">
        <v>655</v>
      </c>
      <c r="B71" s="106" t="n">
        <v>1</v>
      </c>
      <c r="C71" s="106" t="n">
        <v>24</v>
      </c>
      <c r="D71" s="106" t="s">
        <v>2698</v>
      </c>
      <c r="E71" s="106" t="s">
        <v>2341</v>
      </c>
      <c r="F71" s="106" t="s">
        <v>2539</v>
      </c>
      <c r="G71" s="106" t="s">
        <v>2699</v>
      </c>
      <c r="H71" s="106" t="s">
        <v>2700</v>
      </c>
      <c r="I71" s="106" t="s">
        <v>2553</v>
      </c>
      <c r="J71" s="106" t="s">
        <v>2701</v>
      </c>
      <c r="K71" s="106" t="s">
        <v>2637</v>
      </c>
      <c r="L71" s="106" t="s">
        <v>2702</v>
      </c>
      <c r="M71" s="106" t="s">
        <v>2565</v>
      </c>
      <c r="N71" s="106" t="s">
        <v>2703</v>
      </c>
      <c r="O71" s="106" t="s">
        <v>2554</v>
      </c>
      <c r="P71" s="106" t="s">
        <v>2704</v>
      </c>
      <c r="Q71" s="106"/>
      <c r="R71" s="106" t="s">
        <v>2347</v>
      </c>
      <c r="S71" s="106" t="s">
        <v>2401</v>
      </c>
      <c r="T71" s="106" t="s">
        <v>2705</v>
      </c>
      <c r="U71" s="106" t="s">
        <v>2569</v>
      </c>
      <c r="V71" s="106" t="s">
        <v>2494</v>
      </c>
      <c r="W71" s="106" t="s">
        <v>2616</v>
      </c>
    </row>
    <row r="72" customFormat="false" ht="15" hidden="false" customHeight="false" outlineLevel="0" collapsed="false">
      <c r="A72" s="106" t="s">
        <v>670</v>
      </c>
      <c r="B72" s="106" t="n">
        <v>1</v>
      </c>
      <c r="C72" s="106" t="n">
        <v>39</v>
      </c>
      <c r="D72" s="106" t="s">
        <v>2706</v>
      </c>
      <c r="E72" s="106" t="s">
        <v>2341</v>
      </c>
      <c r="F72" s="106" t="s">
        <v>2707</v>
      </c>
      <c r="G72" s="106" t="s">
        <v>2708</v>
      </c>
      <c r="H72" s="106" t="s">
        <v>2709</v>
      </c>
      <c r="I72" s="106" t="s">
        <v>2710</v>
      </c>
      <c r="J72" s="106" t="s">
        <v>2711</v>
      </c>
      <c r="K72" s="106" t="s">
        <v>2712</v>
      </c>
      <c r="L72" s="106" t="s">
        <v>2359</v>
      </c>
      <c r="M72" s="106" t="s">
        <v>2713</v>
      </c>
      <c r="N72" s="106" t="s">
        <v>2714</v>
      </c>
      <c r="O72" s="106" t="s">
        <v>2715</v>
      </c>
      <c r="P72" s="106" t="s">
        <v>2716</v>
      </c>
      <c r="Q72" s="106"/>
      <c r="R72" s="106" t="s">
        <v>2415</v>
      </c>
      <c r="S72" s="106" t="s">
        <v>2426</v>
      </c>
      <c r="T72" s="106" t="s">
        <v>2717</v>
      </c>
      <c r="U72" s="106" t="s">
        <v>2718</v>
      </c>
      <c r="V72" s="106" t="s">
        <v>2719</v>
      </c>
      <c r="W72" s="106" t="s">
        <v>2407</v>
      </c>
    </row>
    <row r="73" customFormat="false" ht="15" hidden="false" customHeight="false" outlineLevel="0" collapsed="false">
      <c r="A73" s="106" t="s">
        <v>682</v>
      </c>
      <c r="B73" s="106" t="n">
        <v>1</v>
      </c>
      <c r="C73" s="106" t="n">
        <v>23</v>
      </c>
      <c r="D73" s="106" t="s">
        <v>2720</v>
      </c>
      <c r="E73" s="106" t="s">
        <v>2607</v>
      </c>
      <c r="F73" s="106" t="s">
        <v>2721</v>
      </c>
      <c r="G73" s="106" t="s">
        <v>2722</v>
      </c>
      <c r="H73" s="106" t="s">
        <v>2723</v>
      </c>
      <c r="I73" s="106" t="s">
        <v>2724</v>
      </c>
      <c r="J73" s="106" t="s">
        <v>2725</v>
      </c>
      <c r="K73" s="106" t="s">
        <v>2672</v>
      </c>
      <c r="L73" s="106" t="s">
        <v>2726</v>
      </c>
      <c r="M73" s="106" t="s">
        <v>2727</v>
      </c>
      <c r="N73" s="106" t="s">
        <v>2728</v>
      </c>
      <c r="O73" s="106" t="s">
        <v>2654</v>
      </c>
      <c r="P73" s="106" t="s">
        <v>2528</v>
      </c>
      <c r="Q73" s="106"/>
      <c r="R73" s="106" t="s">
        <v>2650</v>
      </c>
      <c r="S73" s="106" t="s">
        <v>2348</v>
      </c>
      <c r="T73" s="106" t="s">
        <v>2531</v>
      </c>
      <c r="U73" s="106" t="s">
        <v>2729</v>
      </c>
      <c r="V73" s="106" t="s">
        <v>2540</v>
      </c>
      <c r="W73" s="106" t="s">
        <v>2730</v>
      </c>
    </row>
    <row r="74" customFormat="false" ht="15" hidden="false" customHeight="false" outlineLevel="0" collapsed="false">
      <c r="A74" s="106" t="s">
        <v>695</v>
      </c>
      <c r="B74" s="106" t="n">
        <v>1</v>
      </c>
      <c r="C74" s="106" t="n">
        <v>11</v>
      </c>
      <c r="D74" s="106" t="s">
        <v>2731</v>
      </c>
      <c r="E74" s="106"/>
      <c r="F74" s="106" t="s">
        <v>2732</v>
      </c>
      <c r="G74" s="106" t="s">
        <v>2733</v>
      </c>
      <c r="H74" s="106"/>
      <c r="I74" s="106" t="s">
        <v>2510</v>
      </c>
      <c r="J74" s="106" t="s">
        <v>2734</v>
      </c>
      <c r="K74" s="106" t="s">
        <v>2328</v>
      </c>
      <c r="L74" s="106" t="s">
        <v>2528</v>
      </c>
      <c r="M74" s="106" t="s">
        <v>2735</v>
      </c>
      <c r="N74" s="106" t="s">
        <v>2575</v>
      </c>
      <c r="O74" s="106" t="s">
        <v>2736</v>
      </c>
      <c r="P74" s="106"/>
      <c r="Q74" s="106"/>
      <c r="R74" s="106"/>
      <c r="S74" s="106"/>
      <c r="T74" s="106" t="s">
        <v>2737</v>
      </c>
      <c r="U74" s="106" t="s">
        <v>2738</v>
      </c>
      <c r="V74" s="106" t="s">
        <v>2739</v>
      </c>
      <c r="W74" s="106" t="s">
        <v>2740</v>
      </c>
    </row>
    <row r="75" customFormat="false" ht="15" hidden="false" customHeight="false" outlineLevel="0" collapsed="false">
      <c r="A75" s="106" t="s">
        <v>718</v>
      </c>
      <c r="B75" s="106" t="n">
        <v>1</v>
      </c>
      <c r="C75" s="106" t="n">
        <v>13</v>
      </c>
      <c r="D75" s="106" t="s">
        <v>2359</v>
      </c>
      <c r="E75" s="106"/>
      <c r="F75" s="106" t="s">
        <v>2667</v>
      </c>
      <c r="G75" s="106" t="s">
        <v>2629</v>
      </c>
      <c r="H75" s="106"/>
      <c r="I75" s="106" t="s">
        <v>2741</v>
      </c>
      <c r="J75" s="106" t="s">
        <v>2742</v>
      </c>
      <c r="K75" s="106" t="s">
        <v>2528</v>
      </c>
      <c r="L75" s="106" t="s">
        <v>2743</v>
      </c>
      <c r="M75" s="106" t="s">
        <v>2744</v>
      </c>
      <c r="N75" s="106" t="s">
        <v>2745</v>
      </c>
      <c r="O75" s="106" t="s">
        <v>2746</v>
      </c>
      <c r="P75" s="106"/>
      <c r="Q75" s="106"/>
      <c r="R75" s="106"/>
      <c r="S75" s="106"/>
      <c r="T75" s="106" t="s">
        <v>2747</v>
      </c>
      <c r="U75" s="106" t="s">
        <v>2748</v>
      </c>
      <c r="V75" s="106" t="s">
        <v>2749</v>
      </c>
      <c r="W75" s="106" t="s">
        <v>2750</v>
      </c>
    </row>
    <row r="76" customFormat="false" ht="15" hidden="false" customHeight="false" outlineLevel="0" collapsed="false">
      <c r="A76" s="106" t="s">
        <v>735</v>
      </c>
      <c r="B76" s="106" t="n">
        <v>1</v>
      </c>
      <c r="C76" s="106" t="n">
        <v>9</v>
      </c>
      <c r="D76" s="106" t="s">
        <v>2751</v>
      </c>
      <c r="E76" s="106"/>
      <c r="F76" s="106" t="s">
        <v>2492</v>
      </c>
      <c r="G76" s="106" t="s">
        <v>2752</v>
      </c>
      <c r="H76" s="106"/>
      <c r="I76" s="106" t="s">
        <v>2753</v>
      </c>
      <c r="J76" s="106" t="s">
        <v>2754</v>
      </c>
      <c r="K76" s="106" t="s">
        <v>2755</v>
      </c>
      <c r="L76" s="106" t="s">
        <v>2756</v>
      </c>
      <c r="M76" s="106" t="s">
        <v>2757</v>
      </c>
      <c r="N76" s="106" t="s">
        <v>2393</v>
      </c>
      <c r="O76" s="106" t="s">
        <v>2612</v>
      </c>
      <c r="P76" s="106" t="s">
        <v>2758</v>
      </c>
      <c r="Q76" s="106"/>
      <c r="R76" s="106"/>
      <c r="S76" s="106"/>
      <c r="T76" s="106" t="s">
        <v>2759</v>
      </c>
      <c r="U76" s="106" t="s">
        <v>2760</v>
      </c>
      <c r="V76" s="106" t="s">
        <v>2761</v>
      </c>
      <c r="W76" s="106"/>
    </row>
    <row r="77" customFormat="false" ht="15" hidden="false" customHeight="false" outlineLevel="0" collapsed="false">
      <c r="A77" s="106" t="s">
        <v>749</v>
      </c>
      <c r="B77" s="106" t="n">
        <v>1</v>
      </c>
      <c r="C77" s="106" t="n">
        <v>17</v>
      </c>
      <c r="D77" s="106" t="s">
        <v>2758</v>
      </c>
      <c r="E77" s="106" t="s">
        <v>2364</v>
      </c>
      <c r="F77" s="106" t="s">
        <v>2486</v>
      </c>
      <c r="G77" s="106" t="s">
        <v>2762</v>
      </c>
      <c r="H77" s="106" t="s">
        <v>2763</v>
      </c>
      <c r="I77" s="106" t="s">
        <v>2764</v>
      </c>
      <c r="J77" s="106"/>
      <c r="K77" s="106" t="s">
        <v>2765</v>
      </c>
      <c r="L77" s="106" t="s">
        <v>2766</v>
      </c>
      <c r="M77" s="106" t="s">
        <v>2767</v>
      </c>
      <c r="N77" s="106" t="s">
        <v>2730</v>
      </c>
      <c r="O77" s="106" t="s">
        <v>2309</v>
      </c>
      <c r="P77" s="106" t="s">
        <v>2377</v>
      </c>
      <c r="Q77" s="106"/>
      <c r="R77" s="106" t="s">
        <v>2398</v>
      </c>
      <c r="S77" s="106" t="s">
        <v>2746</v>
      </c>
      <c r="T77" s="106" t="s">
        <v>2768</v>
      </c>
      <c r="U77" s="106" t="s">
        <v>2769</v>
      </c>
      <c r="V77" s="106" t="s">
        <v>2348</v>
      </c>
      <c r="W77" s="106" t="s">
        <v>2586</v>
      </c>
    </row>
    <row r="78" customFormat="false" ht="15" hidden="false" customHeight="false" outlineLevel="0" collapsed="false">
      <c r="A78" s="106" t="s">
        <v>767</v>
      </c>
      <c r="B78" s="106" t="n">
        <v>1</v>
      </c>
      <c r="C78" s="106"/>
      <c r="D78" s="106" t="s">
        <v>2770</v>
      </c>
      <c r="E78" s="106" t="s">
        <v>2771</v>
      </c>
      <c r="F78" s="106" t="s">
        <v>2772</v>
      </c>
      <c r="G78" s="106" t="s">
        <v>2773</v>
      </c>
      <c r="H78" s="106" t="s">
        <v>2774</v>
      </c>
      <c r="I78" s="106" t="s">
        <v>2775</v>
      </c>
      <c r="J78" s="106"/>
      <c r="K78" s="106" t="s">
        <v>2561</v>
      </c>
      <c r="L78" s="106" t="s">
        <v>2368</v>
      </c>
      <c r="M78" s="106" t="s">
        <v>2758</v>
      </c>
      <c r="N78" s="106" t="s">
        <v>2776</v>
      </c>
      <c r="O78" s="106" t="s">
        <v>2363</v>
      </c>
      <c r="P78" s="106" t="s">
        <v>2777</v>
      </c>
      <c r="Q78" s="106"/>
      <c r="R78" s="106"/>
      <c r="S78" s="106"/>
      <c r="T78" s="106" t="s">
        <v>2778</v>
      </c>
      <c r="U78" s="106" t="s">
        <v>2779</v>
      </c>
      <c r="V78" s="106" t="s">
        <v>2593</v>
      </c>
      <c r="W78" s="106"/>
    </row>
    <row r="79" customFormat="false" ht="15" hidden="false" customHeight="false" outlineLevel="0" collapsed="false">
      <c r="A79" s="106" t="s">
        <v>781</v>
      </c>
      <c r="B79" s="106" t="n">
        <v>1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</row>
    <row r="80" customFormat="false" ht="15" hidden="false" customHeight="false" outlineLevel="0" collapsed="false">
      <c r="A80" s="106" t="s">
        <v>796</v>
      </c>
      <c r="B80" s="106" t="n">
        <v>1</v>
      </c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</row>
    <row r="81" customFormat="false" ht="15" hidden="false" customHeight="false" outlineLevel="0" collapsed="false">
      <c r="A81" s="106" t="s">
        <v>802</v>
      </c>
      <c r="B81" s="106" t="n">
        <v>1</v>
      </c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</row>
    <row r="82" customFormat="false" ht="15" hidden="false" customHeight="false" outlineLevel="0" collapsed="false">
      <c r="A82" s="106" t="s">
        <v>807</v>
      </c>
      <c r="B82" s="106" t="n">
        <v>1</v>
      </c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</row>
    <row r="83" customFormat="false" ht="15" hidden="false" customHeight="false" outlineLevel="0" collapsed="false">
      <c r="A83" s="106" t="s">
        <v>812</v>
      </c>
      <c r="B83" s="106" t="n">
        <v>1</v>
      </c>
      <c r="C83" s="106" t="n">
        <v>8</v>
      </c>
      <c r="D83" s="106" t="s">
        <v>2780</v>
      </c>
      <c r="E83" s="106" t="s">
        <v>2651</v>
      </c>
      <c r="F83" s="106" t="s">
        <v>2781</v>
      </c>
      <c r="G83" s="106" t="s">
        <v>2782</v>
      </c>
      <c r="H83" s="106" t="s">
        <v>2783</v>
      </c>
      <c r="I83" s="106" t="s">
        <v>2784</v>
      </c>
      <c r="J83" s="106" t="s">
        <v>2484</v>
      </c>
      <c r="K83" s="106" t="s">
        <v>2525</v>
      </c>
      <c r="L83" s="106" t="s">
        <v>2785</v>
      </c>
      <c r="M83" s="106" t="s">
        <v>2411</v>
      </c>
      <c r="N83" s="106" t="s">
        <v>2786</v>
      </c>
      <c r="O83" s="106" t="s">
        <v>2309</v>
      </c>
      <c r="P83" s="106" t="s">
        <v>2490</v>
      </c>
      <c r="Q83" s="106"/>
      <c r="R83" s="106" t="s">
        <v>2348</v>
      </c>
      <c r="S83" s="106"/>
      <c r="T83" s="106" t="s">
        <v>2787</v>
      </c>
      <c r="U83" s="106" t="s">
        <v>2788</v>
      </c>
      <c r="V83" s="106" t="s">
        <v>2789</v>
      </c>
      <c r="W83" s="106" t="s">
        <v>2790</v>
      </c>
    </row>
    <row r="84" customFormat="false" ht="15" hidden="false" customHeight="false" outlineLevel="0" collapsed="false">
      <c r="A84" s="106" t="s">
        <v>821</v>
      </c>
      <c r="B84" s="106" t="n">
        <v>1</v>
      </c>
      <c r="C84" s="106" t="n">
        <v>45</v>
      </c>
      <c r="D84" s="106" t="s">
        <v>2418</v>
      </c>
      <c r="E84" s="106"/>
      <c r="F84" s="106" t="s">
        <v>2791</v>
      </c>
      <c r="G84" s="106" t="s">
        <v>2792</v>
      </c>
      <c r="H84" s="106" t="s">
        <v>2793</v>
      </c>
      <c r="I84" s="106" t="s">
        <v>2794</v>
      </c>
      <c r="J84" s="106" t="s">
        <v>2446</v>
      </c>
      <c r="K84" s="106"/>
      <c r="L84" s="106" t="s">
        <v>2795</v>
      </c>
      <c r="M84" s="106" t="s">
        <v>2796</v>
      </c>
      <c r="N84" s="106" t="s">
        <v>2515</v>
      </c>
      <c r="O84" s="106" t="s">
        <v>2797</v>
      </c>
      <c r="P84" s="106"/>
      <c r="Q84" s="106"/>
      <c r="R84" s="106" t="s">
        <v>2364</v>
      </c>
      <c r="S84" s="106" t="s">
        <v>2601</v>
      </c>
      <c r="T84" s="106" t="s">
        <v>2798</v>
      </c>
      <c r="U84" s="106" t="s">
        <v>2765</v>
      </c>
      <c r="V84" s="106" t="s">
        <v>2573</v>
      </c>
      <c r="W84" s="106" t="s">
        <v>2799</v>
      </c>
    </row>
    <row r="85" customFormat="false" ht="15" hidden="false" customHeight="false" outlineLevel="0" collapsed="false">
      <c r="A85" s="106" t="s">
        <v>836</v>
      </c>
      <c r="B85" s="106" t="n">
        <v>1</v>
      </c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</row>
    <row r="86" customFormat="false" ht="15" hidden="false" customHeight="false" outlineLevel="0" collapsed="false">
      <c r="A86" s="106" t="s">
        <v>842</v>
      </c>
      <c r="B86" s="106" t="n">
        <v>1</v>
      </c>
      <c r="C86" s="106" t="n">
        <v>24</v>
      </c>
      <c r="D86" s="106" t="s">
        <v>2800</v>
      </c>
      <c r="E86" s="106" t="s">
        <v>2637</v>
      </c>
      <c r="F86" s="106" t="s">
        <v>2801</v>
      </c>
      <c r="G86" s="106" t="s">
        <v>2802</v>
      </c>
      <c r="H86" s="106"/>
      <c r="I86" s="106" t="s">
        <v>2803</v>
      </c>
      <c r="J86" s="106" t="s">
        <v>2587</v>
      </c>
      <c r="K86" s="106" t="s">
        <v>2322</v>
      </c>
      <c r="L86" s="106" t="s">
        <v>2593</v>
      </c>
      <c r="M86" s="106"/>
      <c r="N86" s="106" t="s">
        <v>2804</v>
      </c>
      <c r="O86" s="106" t="s">
        <v>2805</v>
      </c>
      <c r="P86" s="106"/>
      <c r="Q86" s="106"/>
      <c r="R86" s="106" t="s">
        <v>2806</v>
      </c>
      <c r="S86" s="106" t="s">
        <v>2557</v>
      </c>
      <c r="T86" s="106" t="s">
        <v>2807</v>
      </c>
      <c r="U86" s="106" t="s">
        <v>2808</v>
      </c>
      <c r="V86" s="106" t="s">
        <v>2541</v>
      </c>
      <c r="W86" s="106" t="s">
        <v>2809</v>
      </c>
    </row>
    <row r="87" customFormat="false" ht="15" hidden="false" customHeight="false" outlineLevel="0" collapsed="false">
      <c r="A87" s="106" t="s">
        <v>853</v>
      </c>
      <c r="B87" s="106" t="n">
        <v>1</v>
      </c>
      <c r="C87" s="106" t="n">
        <v>17</v>
      </c>
      <c r="D87" s="106"/>
      <c r="E87" s="106" t="s">
        <v>2430</v>
      </c>
      <c r="F87" s="106" t="s">
        <v>2810</v>
      </c>
      <c r="G87" s="106" t="s">
        <v>2476</v>
      </c>
      <c r="H87" s="106"/>
      <c r="I87" s="106" t="s">
        <v>2568</v>
      </c>
      <c r="J87" s="106" t="s">
        <v>2811</v>
      </c>
      <c r="K87" s="106" t="s">
        <v>2739</v>
      </c>
      <c r="L87" s="106" t="s">
        <v>2812</v>
      </c>
      <c r="M87" s="106"/>
      <c r="N87" s="106" t="s">
        <v>2813</v>
      </c>
      <c r="O87" s="106" t="s">
        <v>2814</v>
      </c>
      <c r="P87" s="106"/>
      <c r="Q87" s="106"/>
      <c r="R87" s="106"/>
      <c r="S87" s="106" t="s">
        <v>2340</v>
      </c>
      <c r="T87" s="106" t="s">
        <v>2815</v>
      </c>
      <c r="U87" s="106" t="s">
        <v>2816</v>
      </c>
      <c r="V87" s="106"/>
      <c r="W87" s="106" t="s">
        <v>2817</v>
      </c>
    </row>
    <row r="88" customFormat="false" ht="15" hidden="false" customHeight="false" outlineLevel="0" collapsed="false">
      <c r="A88" s="106" t="s">
        <v>863</v>
      </c>
      <c r="B88" s="106" t="n">
        <v>1</v>
      </c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</row>
    <row r="89" customFormat="false" ht="15" hidden="false" customHeight="false" outlineLevel="0" collapsed="false">
      <c r="A89" s="106" t="s">
        <v>870</v>
      </c>
      <c r="B89" s="106" t="n">
        <v>1</v>
      </c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</row>
    <row r="90" customFormat="false" ht="15" hidden="false" customHeight="false" outlineLevel="0" collapsed="false">
      <c r="A90" s="106" t="s">
        <v>875</v>
      </c>
      <c r="B90" s="106" t="n">
        <v>1</v>
      </c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</row>
    <row r="91" customFormat="false" ht="15" hidden="false" customHeight="false" outlineLevel="0" collapsed="false">
      <c r="A91" s="106" t="s">
        <v>879</v>
      </c>
      <c r="B91" s="106" t="n">
        <v>1</v>
      </c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</row>
    <row r="92" customFormat="false" ht="15" hidden="false" customHeight="false" outlineLevel="0" collapsed="false">
      <c r="A92" s="106" t="s">
        <v>883</v>
      </c>
      <c r="B92" s="106" t="n">
        <v>1</v>
      </c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</row>
    <row r="93" customFormat="false" ht="15" hidden="false" customHeight="false" outlineLevel="0" collapsed="false">
      <c r="A93" s="106" t="s">
        <v>887</v>
      </c>
      <c r="B93" s="106" t="n">
        <v>1</v>
      </c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</row>
    <row r="94" customFormat="false" ht="15" hidden="false" customHeight="false" outlineLevel="0" collapsed="false">
      <c r="A94" s="106" t="s">
        <v>895</v>
      </c>
      <c r="B94" s="106" t="n">
        <v>1</v>
      </c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</row>
    <row r="95" customFormat="false" ht="15" hidden="false" customHeight="false" outlineLevel="0" collapsed="false">
      <c r="A95" s="106" t="s">
        <v>904</v>
      </c>
      <c r="B95" s="106" t="n">
        <v>1</v>
      </c>
      <c r="C95" s="106" t="n">
        <v>4</v>
      </c>
      <c r="D95" s="106" t="s">
        <v>2818</v>
      </c>
      <c r="E95" s="106"/>
      <c r="F95" s="106" t="s">
        <v>2819</v>
      </c>
      <c r="G95" s="106" t="s">
        <v>2820</v>
      </c>
      <c r="H95" s="106"/>
      <c r="I95" s="106" t="s">
        <v>2821</v>
      </c>
      <c r="J95" s="106" t="s">
        <v>2822</v>
      </c>
      <c r="K95" s="106" t="s">
        <v>2823</v>
      </c>
      <c r="L95" s="106" t="s">
        <v>2425</v>
      </c>
      <c r="M95" s="106"/>
      <c r="N95" s="106" t="s">
        <v>2574</v>
      </c>
      <c r="O95" s="106" t="s">
        <v>2824</v>
      </c>
      <c r="P95" s="106"/>
      <c r="Q95" s="106"/>
      <c r="R95" s="106"/>
      <c r="S95" s="106"/>
      <c r="T95" s="106" t="s">
        <v>2825</v>
      </c>
      <c r="U95" s="106" t="s">
        <v>2826</v>
      </c>
      <c r="V95" s="106" t="s">
        <v>2376</v>
      </c>
      <c r="W95" s="106"/>
    </row>
    <row r="96" customFormat="false" ht="15" hidden="false" customHeight="false" outlineLevel="0" collapsed="false">
      <c r="A96" s="106" t="s">
        <v>918</v>
      </c>
      <c r="B96" s="106" t="n">
        <v>1</v>
      </c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</row>
    <row r="97" customFormat="false" ht="15" hidden="false" customHeight="false" outlineLevel="0" collapsed="false">
      <c r="A97" s="106" t="s">
        <v>927</v>
      </c>
      <c r="B97" s="106" t="n">
        <v>2</v>
      </c>
      <c r="C97" s="106" t="n">
        <v>30</v>
      </c>
      <c r="D97" s="106" t="s">
        <v>2827</v>
      </c>
      <c r="E97" s="106"/>
      <c r="F97" s="106" t="s">
        <v>2828</v>
      </c>
      <c r="G97" s="106" t="s">
        <v>2829</v>
      </c>
      <c r="H97" s="106" t="s">
        <v>2830</v>
      </c>
      <c r="I97" s="106" t="s">
        <v>2831</v>
      </c>
      <c r="J97" s="106"/>
      <c r="K97" s="106"/>
      <c r="L97" s="106" t="s">
        <v>2444</v>
      </c>
      <c r="M97" s="106" t="s">
        <v>2832</v>
      </c>
      <c r="N97" s="106" t="s">
        <v>2833</v>
      </c>
      <c r="O97" s="106" t="s">
        <v>2728</v>
      </c>
      <c r="P97" s="106"/>
      <c r="Q97" s="106"/>
      <c r="R97" s="106" t="s">
        <v>2427</v>
      </c>
      <c r="S97" s="106" t="s">
        <v>2765</v>
      </c>
      <c r="T97" s="106" t="s">
        <v>2834</v>
      </c>
      <c r="U97" s="106" t="s">
        <v>2719</v>
      </c>
      <c r="V97" s="106" t="s">
        <v>2835</v>
      </c>
      <c r="W97" s="106"/>
    </row>
    <row r="98" customFormat="false" ht="15" hidden="false" customHeight="false" outlineLevel="0" collapsed="false">
      <c r="A98" s="106" t="s">
        <v>943</v>
      </c>
      <c r="B98" s="106" t="n">
        <v>2</v>
      </c>
      <c r="C98" s="106" t="n">
        <v>5</v>
      </c>
      <c r="D98" s="106" t="s">
        <v>2836</v>
      </c>
      <c r="E98" s="106" t="s">
        <v>2837</v>
      </c>
      <c r="F98" s="106" t="s">
        <v>2838</v>
      </c>
      <c r="G98" s="106" t="s">
        <v>2839</v>
      </c>
      <c r="H98" s="106" t="s">
        <v>2840</v>
      </c>
      <c r="I98" s="106" t="s">
        <v>2799</v>
      </c>
      <c r="J98" s="106" t="s">
        <v>2841</v>
      </c>
      <c r="K98" s="106" t="s">
        <v>2842</v>
      </c>
      <c r="L98" s="106" t="s">
        <v>2763</v>
      </c>
      <c r="M98" s="106" t="s">
        <v>2843</v>
      </c>
      <c r="N98" s="106" t="s">
        <v>2844</v>
      </c>
      <c r="O98" s="106" t="s">
        <v>2814</v>
      </c>
      <c r="P98" s="106" t="s">
        <v>2845</v>
      </c>
      <c r="Q98" s="106"/>
      <c r="R98" s="106" t="s">
        <v>2459</v>
      </c>
      <c r="S98" s="106" t="s">
        <v>2615</v>
      </c>
      <c r="T98" s="106" t="s">
        <v>2813</v>
      </c>
      <c r="U98" s="106" t="s">
        <v>2846</v>
      </c>
      <c r="V98" s="106" t="s">
        <v>2426</v>
      </c>
      <c r="W98" s="106" t="s">
        <v>2847</v>
      </c>
    </row>
    <row r="99" customFormat="false" ht="15" hidden="false" customHeight="false" outlineLevel="0" collapsed="false">
      <c r="A99" s="106" t="s">
        <v>959</v>
      </c>
      <c r="B99" s="106" t="n">
        <v>2</v>
      </c>
      <c r="C99" s="106" t="n">
        <v>10</v>
      </c>
      <c r="D99" s="106" t="s">
        <v>2848</v>
      </c>
      <c r="E99" s="106" t="s">
        <v>2746</v>
      </c>
      <c r="F99" s="106" t="s">
        <v>2849</v>
      </c>
      <c r="G99" s="106" t="s">
        <v>2850</v>
      </c>
      <c r="H99" s="106" t="s">
        <v>2851</v>
      </c>
      <c r="I99" s="106" t="s">
        <v>2852</v>
      </c>
      <c r="J99" s="106"/>
      <c r="K99" s="106" t="s">
        <v>2853</v>
      </c>
      <c r="L99" s="106" t="s">
        <v>2854</v>
      </c>
      <c r="M99" s="106" t="s">
        <v>2855</v>
      </c>
      <c r="N99" s="106" t="s">
        <v>2650</v>
      </c>
      <c r="O99" s="106" t="s">
        <v>2554</v>
      </c>
      <c r="P99" s="106" t="s">
        <v>2341</v>
      </c>
      <c r="Q99" s="106"/>
      <c r="R99" s="106" t="s">
        <v>2365</v>
      </c>
      <c r="S99" s="106" t="s">
        <v>2739</v>
      </c>
      <c r="T99" s="106" t="s">
        <v>2856</v>
      </c>
      <c r="U99" s="106" t="s">
        <v>2544</v>
      </c>
      <c r="V99" s="106" t="s">
        <v>2577</v>
      </c>
      <c r="W99" s="106"/>
    </row>
    <row r="100" customFormat="false" ht="15" hidden="false" customHeight="false" outlineLevel="0" collapsed="false">
      <c r="A100" s="106" t="s">
        <v>969</v>
      </c>
      <c r="B100" s="106" t="n">
        <v>2</v>
      </c>
      <c r="C100" s="106" t="n">
        <v>52</v>
      </c>
      <c r="D100" s="106" t="s">
        <v>2857</v>
      </c>
      <c r="E100" s="106" t="s">
        <v>2858</v>
      </c>
      <c r="F100" s="106" t="s">
        <v>2859</v>
      </c>
      <c r="G100" s="106" t="s">
        <v>2860</v>
      </c>
      <c r="H100" s="106" t="s">
        <v>2861</v>
      </c>
      <c r="I100" s="106" t="s">
        <v>2862</v>
      </c>
      <c r="J100" s="106" t="s">
        <v>2432</v>
      </c>
      <c r="K100" s="106" t="s">
        <v>2746</v>
      </c>
      <c r="L100" s="106" t="s">
        <v>2863</v>
      </c>
      <c r="M100" s="106" t="s">
        <v>2653</v>
      </c>
      <c r="N100" s="106" t="s">
        <v>2349</v>
      </c>
      <c r="O100" s="106" t="s">
        <v>2864</v>
      </c>
      <c r="P100" s="106"/>
      <c r="Q100" s="106"/>
      <c r="R100" s="106" t="s">
        <v>2415</v>
      </c>
      <c r="S100" s="106" t="s">
        <v>2351</v>
      </c>
      <c r="T100" s="106" t="s">
        <v>2865</v>
      </c>
      <c r="U100" s="106" t="s">
        <v>2440</v>
      </c>
      <c r="V100" s="106" t="s">
        <v>2496</v>
      </c>
      <c r="W100" s="106" t="s">
        <v>2482</v>
      </c>
    </row>
    <row r="101" customFormat="false" ht="15" hidden="false" customHeight="false" outlineLevel="0" collapsed="false">
      <c r="A101" s="106" t="s">
        <v>984</v>
      </c>
      <c r="B101" s="106" t="n">
        <v>2</v>
      </c>
      <c r="C101" s="106" t="n">
        <v>19</v>
      </c>
      <c r="D101" s="106" t="s">
        <v>2866</v>
      </c>
      <c r="E101" s="106" t="s">
        <v>2867</v>
      </c>
      <c r="F101" s="106" t="s">
        <v>2868</v>
      </c>
      <c r="G101" s="106" t="s">
        <v>2839</v>
      </c>
      <c r="H101" s="106" t="s">
        <v>2869</v>
      </c>
      <c r="I101" s="106" t="s">
        <v>2870</v>
      </c>
      <c r="J101" s="106" t="s">
        <v>2871</v>
      </c>
      <c r="K101" s="106" t="s">
        <v>2615</v>
      </c>
      <c r="L101" s="106" t="s">
        <v>2872</v>
      </c>
      <c r="M101" s="106" t="s">
        <v>2873</v>
      </c>
      <c r="N101" s="106" t="s">
        <v>2548</v>
      </c>
      <c r="O101" s="106" t="s">
        <v>2486</v>
      </c>
      <c r="P101" s="106" t="s">
        <v>2430</v>
      </c>
      <c r="Q101" s="106"/>
      <c r="R101" s="106" t="s">
        <v>2823</v>
      </c>
      <c r="S101" s="106" t="s">
        <v>2591</v>
      </c>
      <c r="T101" s="106" t="s">
        <v>2874</v>
      </c>
      <c r="U101" s="106" t="s">
        <v>2875</v>
      </c>
      <c r="V101" s="106" t="s">
        <v>2876</v>
      </c>
      <c r="W101" s="106" t="s">
        <v>2331</v>
      </c>
    </row>
    <row r="102" customFormat="false" ht="15" hidden="false" customHeight="false" outlineLevel="0" collapsed="false">
      <c r="A102" s="106" t="s">
        <v>996</v>
      </c>
      <c r="B102" s="106" t="n">
        <v>2</v>
      </c>
      <c r="C102" s="106" t="n">
        <v>30</v>
      </c>
      <c r="D102" s="106" t="s">
        <v>2877</v>
      </c>
      <c r="E102" s="106" t="s">
        <v>2878</v>
      </c>
      <c r="F102" s="106" t="s">
        <v>2730</v>
      </c>
      <c r="G102" s="106" t="s">
        <v>2879</v>
      </c>
      <c r="H102" s="106" t="s">
        <v>2844</v>
      </c>
      <c r="I102" s="106" t="s">
        <v>2880</v>
      </c>
      <c r="J102" s="106" t="s">
        <v>2612</v>
      </c>
      <c r="K102" s="106" t="s">
        <v>2426</v>
      </c>
      <c r="L102" s="106" t="s">
        <v>2881</v>
      </c>
      <c r="M102" s="106" t="s">
        <v>2770</v>
      </c>
      <c r="N102" s="106" t="s">
        <v>2316</v>
      </c>
      <c r="O102" s="106" t="s">
        <v>2326</v>
      </c>
      <c r="P102" s="106" t="s">
        <v>2323</v>
      </c>
      <c r="Q102" s="106"/>
      <c r="R102" s="106" t="s">
        <v>2692</v>
      </c>
      <c r="S102" s="106" t="s">
        <v>2882</v>
      </c>
      <c r="T102" s="106" t="s">
        <v>2883</v>
      </c>
      <c r="U102" s="106" t="s">
        <v>2884</v>
      </c>
      <c r="V102" s="106" t="s">
        <v>2885</v>
      </c>
      <c r="W102" s="106" t="s">
        <v>2886</v>
      </c>
    </row>
    <row r="103" customFormat="false" ht="15" hidden="false" customHeight="false" outlineLevel="0" collapsed="false">
      <c r="A103" s="106" t="s">
        <v>1011</v>
      </c>
      <c r="B103" s="106" t="n">
        <v>2</v>
      </c>
      <c r="C103" s="106" t="n">
        <v>47</v>
      </c>
      <c r="D103" s="106" t="s">
        <v>2887</v>
      </c>
      <c r="E103" s="106" t="s">
        <v>2888</v>
      </c>
      <c r="F103" s="106" t="s">
        <v>2318</v>
      </c>
      <c r="G103" s="106" t="s">
        <v>2337</v>
      </c>
      <c r="H103" s="106" t="s">
        <v>2889</v>
      </c>
      <c r="I103" s="106" t="s">
        <v>2511</v>
      </c>
      <c r="J103" s="106" t="s">
        <v>2890</v>
      </c>
      <c r="K103" s="106" t="s">
        <v>2427</v>
      </c>
      <c r="L103" s="106" t="s">
        <v>2891</v>
      </c>
      <c r="M103" s="106" t="s">
        <v>2892</v>
      </c>
      <c r="N103" s="106" t="s">
        <v>2893</v>
      </c>
      <c r="O103" s="106" t="s">
        <v>2894</v>
      </c>
      <c r="P103" s="106" t="s">
        <v>2895</v>
      </c>
      <c r="Q103" s="106"/>
      <c r="R103" s="106" t="s">
        <v>2365</v>
      </c>
      <c r="S103" s="106" t="s">
        <v>2746</v>
      </c>
      <c r="T103" s="106" t="s">
        <v>2896</v>
      </c>
      <c r="U103" s="106" t="s">
        <v>2897</v>
      </c>
      <c r="V103" s="106" t="s">
        <v>2348</v>
      </c>
      <c r="W103" s="106" t="s">
        <v>2898</v>
      </c>
    </row>
    <row r="104" customFormat="false" ht="15" hidden="false" customHeight="false" outlineLevel="0" collapsed="false">
      <c r="A104" s="106" t="s">
        <v>1020</v>
      </c>
      <c r="B104" s="106" t="n">
        <v>2</v>
      </c>
      <c r="C104" s="106" t="n">
        <v>124</v>
      </c>
      <c r="D104" s="106" t="s">
        <v>2899</v>
      </c>
      <c r="E104" s="106" t="s">
        <v>2900</v>
      </c>
      <c r="F104" s="106" t="s">
        <v>2901</v>
      </c>
      <c r="G104" s="106" t="s">
        <v>2840</v>
      </c>
      <c r="H104" s="106" t="s">
        <v>2902</v>
      </c>
      <c r="I104" s="106" t="s">
        <v>2903</v>
      </c>
      <c r="J104" s="106" t="s">
        <v>2806</v>
      </c>
      <c r="K104" s="106" t="s">
        <v>2362</v>
      </c>
      <c r="L104" s="106" t="s">
        <v>2636</v>
      </c>
      <c r="M104" s="106" t="s">
        <v>2904</v>
      </c>
      <c r="N104" s="106" t="s">
        <v>2577</v>
      </c>
      <c r="O104" s="106" t="s">
        <v>2905</v>
      </c>
      <c r="P104" s="106" t="s">
        <v>2719</v>
      </c>
      <c r="Q104" s="106"/>
      <c r="R104" s="106" t="s">
        <v>2368</v>
      </c>
      <c r="S104" s="106" t="s">
        <v>2409</v>
      </c>
      <c r="T104" s="106" t="s">
        <v>2906</v>
      </c>
      <c r="U104" s="106" t="s">
        <v>2680</v>
      </c>
      <c r="V104" s="106" t="s">
        <v>2337</v>
      </c>
      <c r="W104" s="106" t="s">
        <v>2907</v>
      </c>
    </row>
    <row r="105" customFormat="false" ht="15" hidden="false" customHeight="false" outlineLevel="0" collapsed="false">
      <c r="A105" s="106" t="s">
        <v>1036</v>
      </c>
      <c r="B105" s="106" t="n">
        <v>2</v>
      </c>
      <c r="C105" s="106" t="n">
        <v>72</v>
      </c>
      <c r="D105" s="106" t="s">
        <v>2908</v>
      </c>
      <c r="E105" s="106" t="s">
        <v>2909</v>
      </c>
      <c r="F105" s="106" t="s">
        <v>2910</v>
      </c>
      <c r="G105" s="106" t="s">
        <v>2429</v>
      </c>
      <c r="H105" s="106" t="s">
        <v>2608</v>
      </c>
      <c r="I105" s="106" t="s">
        <v>2911</v>
      </c>
      <c r="J105" s="106" t="s">
        <v>2912</v>
      </c>
      <c r="K105" s="106" t="s">
        <v>2525</v>
      </c>
      <c r="L105" s="106" t="s">
        <v>2913</v>
      </c>
      <c r="M105" s="106" t="s">
        <v>2758</v>
      </c>
      <c r="N105" s="106" t="s">
        <v>2914</v>
      </c>
      <c r="O105" s="106" t="s">
        <v>2915</v>
      </c>
      <c r="P105" s="106" t="s">
        <v>2916</v>
      </c>
      <c r="Q105" s="106"/>
      <c r="R105" s="106" t="s">
        <v>2444</v>
      </c>
      <c r="S105" s="106" t="s">
        <v>2777</v>
      </c>
      <c r="T105" s="106" t="s">
        <v>2917</v>
      </c>
      <c r="U105" s="106" t="s">
        <v>2918</v>
      </c>
      <c r="V105" s="106" t="s">
        <v>2494</v>
      </c>
      <c r="W105" s="106" t="s">
        <v>2919</v>
      </c>
    </row>
    <row r="106" customFormat="false" ht="15" hidden="false" customHeight="false" outlineLevel="0" collapsed="false">
      <c r="A106" s="106" t="s">
        <v>1045</v>
      </c>
      <c r="B106" s="106" t="n">
        <v>2</v>
      </c>
      <c r="C106" s="106" t="n">
        <v>35</v>
      </c>
      <c r="D106" s="106" t="s">
        <v>2920</v>
      </c>
      <c r="E106" s="106" t="s">
        <v>2921</v>
      </c>
      <c r="F106" s="106" t="s">
        <v>2859</v>
      </c>
      <c r="G106" s="106" t="s">
        <v>2381</v>
      </c>
      <c r="H106" s="106" t="s">
        <v>2922</v>
      </c>
      <c r="I106" s="106" t="s">
        <v>2923</v>
      </c>
      <c r="J106" s="106" t="s">
        <v>2924</v>
      </c>
      <c r="K106" s="106" t="s">
        <v>2529</v>
      </c>
      <c r="L106" s="106" t="s">
        <v>2925</v>
      </c>
      <c r="M106" s="106" t="s">
        <v>2926</v>
      </c>
      <c r="N106" s="106" t="s">
        <v>2927</v>
      </c>
      <c r="O106" s="106" t="s">
        <v>2928</v>
      </c>
      <c r="P106" s="106" t="s">
        <v>2916</v>
      </c>
      <c r="Q106" s="106"/>
      <c r="R106" s="106" t="s">
        <v>2528</v>
      </c>
      <c r="S106" s="106" t="s">
        <v>2328</v>
      </c>
      <c r="T106" s="106" t="s">
        <v>2929</v>
      </c>
      <c r="U106" s="106" t="s">
        <v>2930</v>
      </c>
      <c r="V106" s="106" t="s">
        <v>2931</v>
      </c>
      <c r="W106" s="106" t="s">
        <v>2312</v>
      </c>
    </row>
    <row r="107" customFormat="false" ht="15" hidden="false" customHeight="false" outlineLevel="0" collapsed="false">
      <c r="A107" s="106" t="s">
        <v>1057</v>
      </c>
      <c r="B107" s="106" t="n">
        <v>2</v>
      </c>
      <c r="C107" s="106" t="n">
        <v>44</v>
      </c>
      <c r="D107" s="106" t="s">
        <v>2932</v>
      </c>
      <c r="E107" s="106" t="s">
        <v>2489</v>
      </c>
      <c r="F107" s="106" t="s">
        <v>2933</v>
      </c>
      <c r="G107" s="106" t="s">
        <v>2381</v>
      </c>
      <c r="H107" s="106" t="s">
        <v>2934</v>
      </c>
      <c r="I107" s="106" t="s">
        <v>2935</v>
      </c>
      <c r="J107" s="106" t="s">
        <v>2692</v>
      </c>
      <c r="K107" s="106" t="s">
        <v>2936</v>
      </c>
      <c r="L107" s="106" t="s">
        <v>2937</v>
      </c>
      <c r="M107" s="106" t="s">
        <v>2811</v>
      </c>
      <c r="N107" s="106" t="s">
        <v>2938</v>
      </c>
      <c r="O107" s="106" t="s">
        <v>2413</v>
      </c>
      <c r="P107" s="106" t="s">
        <v>2739</v>
      </c>
      <c r="Q107" s="106"/>
      <c r="R107" s="106" t="s">
        <v>2459</v>
      </c>
      <c r="S107" s="106" t="s">
        <v>2939</v>
      </c>
      <c r="T107" s="106" t="s">
        <v>2940</v>
      </c>
      <c r="U107" s="106" t="s">
        <v>2941</v>
      </c>
      <c r="V107" s="106" t="s">
        <v>2942</v>
      </c>
      <c r="W107" s="106" t="s">
        <v>2497</v>
      </c>
    </row>
    <row r="108" customFormat="false" ht="15" hidden="false" customHeight="false" outlineLevel="0" collapsed="false">
      <c r="A108" s="106" t="s">
        <v>1066</v>
      </c>
      <c r="B108" s="106" t="n">
        <v>2</v>
      </c>
      <c r="C108" s="106" t="n">
        <v>56</v>
      </c>
      <c r="D108" s="106" t="s">
        <v>2943</v>
      </c>
      <c r="E108" s="106" t="s">
        <v>2944</v>
      </c>
      <c r="F108" s="106" t="s">
        <v>2677</v>
      </c>
      <c r="G108" s="106" t="s">
        <v>2945</v>
      </c>
      <c r="H108" s="106" t="s">
        <v>2946</v>
      </c>
      <c r="I108" s="106" t="s">
        <v>2329</v>
      </c>
      <c r="J108" s="106" t="s">
        <v>2916</v>
      </c>
      <c r="K108" s="106" t="s">
        <v>2712</v>
      </c>
      <c r="L108" s="106" t="s">
        <v>2947</v>
      </c>
      <c r="M108" s="106" t="s">
        <v>2873</v>
      </c>
      <c r="N108" s="106" t="s">
        <v>2948</v>
      </c>
      <c r="O108" s="106" t="s">
        <v>2949</v>
      </c>
      <c r="P108" s="106" t="s">
        <v>2489</v>
      </c>
      <c r="Q108" s="106"/>
      <c r="R108" s="106" t="s">
        <v>2365</v>
      </c>
      <c r="S108" s="106" t="s">
        <v>2806</v>
      </c>
      <c r="T108" s="106" t="s">
        <v>2521</v>
      </c>
      <c r="U108" s="106" t="s">
        <v>2950</v>
      </c>
      <c r="V108" s="106" t="s">
        <v>2577</v>
      </c>
      <c r="W108" s="106" t="s">
        <v>2301</v>
      </c>
    </row>
    <row r="109" customFormat="false" ht="15" hidden="false" customHeight="false" outlineLevel="0" collapsed="false">
      <c r="A109" s="106" t="s">
        <v>1079</v>
      </c>
      <c r="B109" s="106" t="n">
        <v>2</v>
      </c>
      <c r="C109" s="106" t="n">
        <v>53</v>
      </c>
      <c r="D109" s="106" t="s">
        <v>2951</v>
      </c>
      <c r="E109" s="106" t="s">
        <v>2952</v>
      </c>
      <c r="F109" s="106" t="s">
        <v>2953</v>
      </c>
      <c r="G109" s="106" t="s">
        <v>2954</v>
      </c>
      <c r="H109" s="106" t="s">
        <v>2955</v>
      </c>
      <c r="I109" s="106" t="s">
        <v>2508</v>
      </c>
      <c r="J109" s="106" t="s">
        <v>2956</v>
      </c>
      <c r="K109" s="106" t="s">
        <v>2835</v>
      </c>
      <c r="L109" s="106" t="s">
        <v>2957</v>
      </c>
      <c r="M109" s="106" t="s">
        <v>2958</v>
      </c>
      <c r="N109" s="106" t="s">
        <v>2959</v>
      </c>
      <c r="O109" s="106" t="s">
        <v>2960</v>
      </c>
      <c r="P109" s="106"/>
      <c r="Q109" s="106"/>
      <c r="R109" s="106" t="s">
        <v>2444</v>
      </c>
      <c r="S109" s="106" t="s">
        <v>2692</v>
      </c>
      <c r="T109" s="106" t="s">
        <v>2961</v>
      </c>
      <c r="U109" s="106" t="s">
        <v>2962</v>
      </c>
      <c r="V109" s="106" t="s">
        <v>2963</v>
      </c>
      <c r="W109" s="106" t="s">
        <v>2964</v>
      </c>
    </row>
    <row r="110" customFormat="false" ht="15" hidden="false" customHeight="false" outlineLevel="0" collapsed="false">
      <c r="A110" s="106" t="s">
        <v>1092</v>
      </c>
      <c r="B110" s="106" t="n">
        <v>2</v>
      </c>
      <c r="C110" s="106" t="n">
        <v>56</v>
      </c>
      <c r="D110" s="106" t="s">
        <v>2965</v>
      </c>
      <c r="E110" s="106" t="s">
        <v>2966</v>
      </c>
      <c r="F110" s="106" t="s">
        <v>2967</v>
      </c>
      <c r="G110" s="106" t="s">
        <v>2968</v>
      </c>
      <c r="H110" s="106" t="s">
        <v>2969</v>
      </c>
      <c r="I110" s="106" t="s">
        <v>2818</v>
      </c>
      <c r="J110" s="106" t="s">
        <v>2771</v>
      </c>
      <c r="K110" s="106" t="s">
        <v>2755</v>
      </c>
      <c r="L110" s="106" t="s">
        <v>2970</v>
      </c>
      <c r="M110" s="106" t="s">
        <v>2770</v>
      </c>
      <c r="N110" s="106" t="s">
        <v>2394</v>
      </c>
      <c r="O110" s="106" t="s">
        <v>2971</v>
      </c>
      <c r="P110" s="106"/>
      <c r="Q110" s="106"/>
      <c r="R110" s="106" t="s">
        <v>2409</v>
      </c>
      <c r="S110" s="106" t="s">
        <v>2362</v>
      </c>
      <c r="T110" s="106" t="s">
        <v>2972</v>
      </c>
      <c r="U110" s="106" t="s">
        <v>2612</v>
      </c>
      <c r="V110" s="106" t="s">
        <v>2699</v>
      </c>
      <c r="W110" s="106" t="s">
        <v>2973</v>
      </c>
    </row>
    <row r="111" customFormat="false" ht="15" hidden="false" customHeight="false" outlineLevel="0" collapsed="false">
      <c r="A111" s="106" t="s">
        <v>1106</v>
      </c>
      <c r="B111" s="106" t="n">
        <v>2</v>
      </c>
      <c r="C111" s="106" t="n">
        <v>46</v>
      </c>
      <c r="D111" s="106" t="s">
        <v>2974</v>
      </c>
      <c r="E111" s="106" t="s">
        <v>2692</v>
      </c>
      <c r="F111" s="106" t="s">
        <v>2975</v>
      </c>
      <c r="G111" s="106" t="s">
        <v>2976</v>
      </c>
      <c r="H111" s="106" t="s">
        <v>2977</v>
      </c>
      <c r="I111" s="106" t="s">
        <v>2978</v>
      </c>
      <c r="J111" s="106" t="s">
        <v>2430</v>
      </c>
      <c r="K111" s="106" t="s">
        <v>2675</v>
      </c>
      <c r="L111" s="106" t="s">
        <v>2979</v>
      </c>
      <c r="M111" s="106" t="s">
        <v>2644</v>
      </c>
      <c r="N111" s="106" t="s">
        <v>2980</v>
      </c>
      <c r="O111" s="106" t="s">
        <v>2363</v>
      </c>
      <c r="P111" s="106" t="s">
        <v>2981</v>
      </c>
      <c r="Q111" s="106"/>
      <c r="R111" s="106" t="s">
        <v>2365</v>
      </c>
      <c r="S111" s="106" t="s">
        <v>2712</v>
      </c>
      <c r="T111" s="106" t="s">
        <v>2339</v>
      </c>
      <c r="U111" s="106" t="s">
        <v>2982</v>
      </c>
      <c r="V111" s="106" t="s">
        <v>2983</v>
      </c>
      <c r="W111" s="106" t="s">
        <v>2984</v>
      </c>
    </row>
    <row r="112" customFormat="false" ht="15" hidden="false" customHeight="false" outlineLevel="0" collapsed="false">
      <c r="A112" s="106" t="s">
        <v>1116</v>
      </c>
      <c r="B112" s="106" t="n">
        <v>2</v>
      </c>
      <c r="C112" s="106" t="n">
        <v>4</v>
      </c>
      <c r="D112" s="106" t="s">
        <v>2985</v>
      </c>
      <c r="E112" s="106" t="s">
        <v>2651</v>
      </c>
      <c r="F112" s="106" t="s">
        <v>2986</v>
      </c>
      <c r="G112" s="106" t="s">
        <v>2987</v>
      </c>
      <c r="H112" s="106" t="s">
        <v>2988</v>
      </c>
      <c r="I112" s="106" t="s">
        <v>2989</v>
      </c>
      <c r="J112" s="106" t="s">
        <v>2426</v>
      </c>
      <c r="K112" s="106" t="s">
        <v>2443</v>
      </c>
      <c r="L112" s="106" t="s">
        <v>2990</v>
      </c>
      <c r="M112" s="106" t="s">
        <v>2991</v>
      </c>
      <c r="N112" s="106" t="s">
        <v>2992</v>
      </c>
      <c r="O112" s="106" t="s">
        <v>2993</v>
      </c>
      <c r="P112" s="106" t="s">
        <v>2994</v>
      </c>
      <c r="Q112" s="106"/>
      <c r="R112" s="106" t="s">
        <v>2401</v>
      </c>
      <c r="S112" s="106" t="s">
        <v>2995</v>
      </c>
      <c r="T112" s="106" t="s">
        <v>2996</v>
      </c>
      <c r="U112" s="106" t="s">
        <v>2997</v>
      </c>
      <c r="V112" s="106" t="s">
        <v>2666</v>
      </c>
      <c r="W112" s="106" t="s">
        <v>2998</v>
      </c>
    </row>
    <row r="113" customFormat="false" ht="15" hidden="false" customHeight="false" outlineLevel="0" collapsed="false">
      <c r="A113" s="106" t="s">
        <v>1125</v>
      </c>
      <c r="B113" s="106" t="n">
        <v>2</v>
      </c>
      <c r="C113" s="106" t="n">
        <v>105</v>
      </c>
      <c r="D113" s="106" t="s">
        <v>2999</v>
      </c>
      <c r="E113" s="106" t="s">
        <v>2582</v>
      </c>
      <c r="F113" s="106" t="s">
        <v>3000</v>
      </c>
      <c r="G113" s="106" t="s">
        <v>3001</v>
      </c>
      <c r="H113" s="106" t="s">
        <v>3002</v>
      </c>
      <c r="I113" s="106" t="s">
        <v>3003</v>
      </c>
      <c r="J113" s="106" t="s">
        <v>2322</v>
      </c>
      <c r="K113" s="106" t="s">
        <v>3004</v>
      </c>
      <c r="L113" s="106" t="s">
        <v>3005</v>
      </c>
      <c r="M113" s="106" t="s">
        <v>3006</v>
      </c>
      <c r="N113" s="106" t="s">
        <v>2646</v>
      </c>
      <c r="O113" s="106" t="s">
        <v>2540</v>
      </c>
      <c r="P113" s="106"/>
      <c r="Q113" s="106"/>
      <c r="R113" s="106" t="s">
        <v>2310</v>
      </c>
      <c r="S113" s="106" t="s">
        <v>2362</v>
      </c>
      <c r="T113" s="106" t="s">
        <v>3007</v>
      </c>
      <c r="U113" s="106" t="s">
        <v>2761</v>
      </c>
      <c r="V113" s="106" t="s">
        <v>3008</v>
      </c>
      <c r="W113" s="106" t="s">
        <v>3009</v>
      </c>
    </row>
    <row r="114" customFormat="false" ht="15" hidden="false" customHeight="false" outlineLevel="0" collapsed="false">
      <c r="A114" s="106" t="s">
        <v>1136</v>
      </c>
      <c r="B114" s="106" t="n">
        <v>2</v>
      </c>
      <c r="C114" s="106" t="n">
        <v>13</v>
      </c>
      <c r="D114" s="106" t="s">
        <v>3010</v>
      </c>
      <c r="E114" s="106" t="s">
        <v>2760</v>
      </c>
      <c r="F114" s="106" t="s">
        <v>3011</v>
      </c>
      <c r="G114" s="106" t="s">
        <v>3012</v>
      </c>
      <c r="H114" s="106" t="s">
        <v>3013</v>
      </c>
      <c r="I114" s="106" t="s">
        <v>3014</v>
      </c>
      <c r="J114" s="106" t="s">
        <v>3015</v>
      </c>
      <c r="K114" s="106" t="s">
        <v>2496</v>
      </c>
      <c r="L114" s="106" t="s">
        <v>3016</v>
      </c>
      <c r="M114" s="106" t="s">
        <v>3017</v>
      </c>
      <c r="N114" s="106" t="s">
        <v>3018</v>
      </c>
      <c r="O114" s="106" t="s">
        <v>2363</v>
      </c>
      <c r="P114" s="106" t="s">
        <v>2489</v>
      </c>
      <c r="Q114" s="106"/>
      <c r="R114" s="106" t="s">
        <v>3019</v>
      </c>
      <c r="S114" s="106" t="s">
        <v>3020</v>
      </c>
      <c r="T114" s="106" t="s">
        <v>3021</v>
      </c>
      <c r="U114" s="106" t="s">
        <v>2786</v>
      </c>
      <c r="V114" s="106" t="s">
        <v>2444</v>
      </c>
      <c r="W114" s="106" t="s">
        <v>2340</v>
      </c>
    </row>
    <row r="115" customFormat="false" ht="15" hidden="false" customHeight="false" outlineLevel="0" collapsed="false">
      <c r="A115" s="106" t="s">
        <v>1144</v>
      </c>
      <c r="B115" s="106" t="n">
        <v>2</v>
      </c>
      <c r="C115" s="106" t="n">
        <v>34</v>
      </c>
      <c r="D115" s="106" t="s">
        <v>3022</v>
      </c>
      <c r="E115" s="106" t="s">
        <v>2543</v>
      </c>
      <c r="F115" s="106" t="s">
        <v>3023</v>
      </c>
      <c r="G115" s="106" t="s">
        <v>2949</v>
      </c>
      <c r="H115" s="106" t="s">
        <v>3024</v>
      </c>
      <c r="I115" s="106" t="s">
        <v>3025</v>
      </c>
      <c r="J115" s="106" t="s">
        <v>2401</v>
      </c>
      <c r="K115" s="106" t="s">
        <v>2835</v>
      </c>
      <c r="L115" s="106" t="s">
        <v>3026</v>
      </c>
      <c r="M115" s="106" t="s">
        <v>3027</v>
      </c>
      <c r="N115" s="106" t="s">
        <v>2398</v>
      </c>
      <c r="O115" s="106" t="s">
        <v>3028</v>
      </c>
      <c r="P115" s="106" t="s">
        <v>3029</v>
      </c>
      <c r="Q115" s="106"/>
      <c r="R115" s="106" t="s">
        <v>2554</v>
      </c>
      <c r="S115" s="106" t="s">
        <v>2432</v>
      </c>
      <c r="T115" s="106" t="s">
        <v>3030</v>
      </c>
      <c r="U115" s="106" t="s">
        <v>3031</v>
      </c>
      <c r="V115" s="106" t="s">
        <v>2577</v>
      </c>
      <c r="W115" s="106" t="s">
        <v>2341</v>
      </c>
    </row>
    <row r="116" customFormat="false" ht="15" hidden="false" customHeight="false" outlineLevel="0" collapsed="false">
      <c r="A116" s="106" t="s">
        <v>1156</v>
      </c>
      <c r="B116" s="106" t="n">
        <v>2</v>
      </c>
      <c r="C116" s="106" t="n">
        <v>13</v>
      </c>
      <c r="D116" s="106" t="s">
        <v>3032</v>
      </c>
      <c r="E116" s="106" t="s">
        <v>3033</v>
      </c>
      <c r="F116" s="106" t="s">
        <v>2900</v>
      </c>
      <c r="G116" s="106" t="s">
        <v>2476</v>
      </c>
      <c r="H116" s="106" t="s">
        <v>2367</v>
      </c>
      <c r="I116" s="106" t="s">
        <v>3034</v>
      </c>
      <c r="J116" s="106" t="s">
        <v>3035</v>
      </c>
      <c r="K116" s="106" t="s">
        <v>2916</v>
      </c>
      <c r="L116" s="106" t="s">
        <v>2668</v>
      </c>
      <c r="M116" s="106" t="s">
        <v>2586</v>
      </c>
      <c r="N116" s="106" t="s">
        <v>2733</v>
      </c>
      <c r="O116" s="106" t="s">
        <v>2494</v>
      </c>
      <c r="P116" s="106" t="s">
        <v>3036</v>
      </c>
      <c r="Q116" s="106"/>
      <c r="R116" s="106" t="s">
        <v>3037</v>
      </c>
      <c r="S116" s="106" t="s">
        <v>3038</v>
      </c>
      <c r="T116" s="106" t="s">
        <v>3039</v>
      </c>
      <c r="U116" s="106" t="s">
        <v>2948</v>
      </c>
      <c r="V116" s="106" t="s">
        <v>2692</v>
      </c>
      <c r="W116" s="106" t="s">
        <v>3040</v>
      </c>
    </row>
    <row r="117" customFormat="false" ht="15" hidden="false" customHeight="false" outlineLevel="0" collapsed="false">
      <c r="A117" s="106" t="s">
        <v>1164</v>
      </c>
      <c r="B117" s="106" t="n">
        <v>2</v>
      </c>
      <c r="C117" s="106" t="n">
        <v>9</v>
      </c>
      <c r="D117" s="106" t="s">
        <v>3041</v>
      </c>
      <c r="E117" s="106" t="s">
        <v>3042</v>
      </c>
      <c r="F117" s="106" t="s">
        <v>3043</v>
      </c>
      <c r="G117" s="106" t="s">
        <v>3044</v>
      </c>
      <c r="H117" s="106" t="s">
        <v>3045</v>
      </c>
      <c r="I117" s="106" t="s">
        <v>3046</v>
      </c>
      <c r="J117" s="106" t="s">
        <v>3047</v>
      </c>
      <c r="K117" s="106" t="s">
        <v>3048</v>
      </c>
      <c r="L117" s="106" t="s">
        <v>3049</v>
      </c>
      <c r="M117" s="106" t="s">
        <v>2758</v>
      </c>
      <c r="N117" s="106" t="s">
        <v>3050</v>
      </c>
      <c r="O117" s="106" t="s">
        <v>3039</v>
      </c>
      <c r="P117" s="106" t="s">
        <v>3051</v>
      </c>
      <c r="Q117" s="106"/>
      <c r="R117" s="106" t="s">
        <v>2316</v>
      </c>
      <c r="S117" s="106" t="s">
        <v>2543</v>
      </c>
      <c r="T117" s="106" t="s">
        <v>3052</v>
      </c>
      <c r="U117" s="106" t="s">
        <v>2729</v>
      </c>
      <c r="V117" s="106" t="s">
        <v>2895</v>
      </c>
      <c r="W117" s="106" t="s">
        <v>2956</v>
      </c>
    </row>
    <row r="118" customFormat="false" ht="15" hidden="false" customHeight="false" outlineLevel="0" collapsed="false">
      <c r="A118" s="106" t="s">
        <v>1176</v>
      </c>
      <c r="B118" s="106" t="n">
        <v>2</v>
      </c>
      <c r="C118" s="106" t="n">
        <v>9</v>
      </c>
      <c r="D118" s="106" t="s">
        <v>2871</v>
      </c>
      <c r="E118" s="106"/>
      <c r="F118" s="106" t="s">
        <v>3053</v>
      </c>
      <c r="G118" s="106" t="s">
        <v>2763</v>
      </c>
      <c r="H118" s="106" t="s">
        <v>3054</v>
      </c>
      <c r="I118" s="106" t="s">
        <v>3055</v>
      </c>
      <c r="J118" s="106" t="s">
        <v>3056</v>
      </c>
      <c r="K118" s="106"/>
      <c r="L118" s="106" t="s">
        <v>3057</v>
      </c>
      <c r="M118" s="106" t="s">
        <v>3058</v>
      </c>
      <c r="N118" s="106" t="s">
        <v>2425</v>
      </c>
      <c r="O118" s="106" t="s">
        <v>3059</v>
      </c>
      <c r="P118" s="106" t="s">
        <v>2644</v>
      </c>
      <c r="Q118" s="106"/>
      <c r="R118" s="106" t="s">
        <v>2414</v>
      </c>
      <c r="S118" s="106" t="s">
        <v>3060</v>
      </c>
      <c r="T118" s="106" t="s">
        <v>2915</v>
      </c>
      <c r="U118" s="106" t="s">
        <v>3061</v>
      </c>
      <c r="V118" s="106" t="s">
        <v>3015</v>
      </c>
      <c r="W118" s="106" t="s">
        <v>2788</v>
      </c>
    </row>
    <row r="119" customFormat="false" ht="15" hidden="false" customHeight="false" outlineLevel="0" collapsed="false">
      <c r="A119" s="106" t="s">
        <v>1189</v>
      </c>
      <c r="B119" s="106" t="n">
        <v>2</v>
      </c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</row>
    <row r="120" customFormat="false" ht="15" hidden="false" customHeight="false" outlineLevel="0" collapsed="false">
      <c r="A120" s="106" t="s">
        <v>1197</v>
      </c>
      <c r="B120" s="106" t="n">
        <v>2</v>
      </c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</row>
    <row r="121" customFormat="false" ht="15" hidden="false" customHeight="false" outlineLevel="0" collapsed="false">
      <c r="A121" s="106" t="s">
        <v>1206</v>
      </c>
      <c r="B121" s="106" t="n">
        <v>2</v>
      </c>
      <c r="C121" s="106" t="n">
        <v>23</v>
      </c>
      <c r="D121" s="106" t="s">
        <v>3062</v>
      </c>
      <c r="E121" s="106" t="s">
        <v>2414</v>
      </c>
      <c r="F121" s="106" t="s">
        <v>3063</v>
      </c>
      <c r="G121" s="106" t="s">
        <v>3064</v>
      </c>
      <c r="H121" s="106"/>
      <c r="I121" s="106" t="s">
        <v>3065</v>
      </c>
      <c r="J121" s="106" t="s">
        <v>3066</v>
      </c>
      <c r="K121" s="106" t="s">
        <v>2587</v>
      </c>
      <c r="L121" s="106" t="s">
        <v>3067</v>
      </c>
      <c r="M121" s="106" t="s">
        <v>3068</v>
      </c>
      <c r="N121" s="106" t="s">
        <v>2316</v>
      </c>
      <c r="O121" s="106" t="s">
        <v>3069</v>
      </c>
      <c r="P121" s="106"/>
      <c r="Q121" s="106"/>
      <c r="R121" s="106" t="s">
        <v>2310</v>
      </c>
      <c r="S121" s="106" t="s">
        <v>2528</v>
      </c>
      <c r="T121" s="106" t="s">
        <v>3070</v>
      </c>
      <c r="U121" s="106" t="s">
        <v>3071</v>
      </c>
      <c r="V121" s="106"/>
      <c r="W121" s="106" t="s">
        <v>2939</v>
      </c>
    </row>
    <row r="122" customFormat="false" ht="15" hidden="false" customHeight="false" outlineLevel="0" collapsed="false">
      <c r="A122" s="106" t="s">
        <v>1216</v>
      </c>
      <c r="B122" s="106" t="n">
        <v>2</v>
      </c>
      <c r="C122" s="106" t="n">
        <v>29</v>
      </c>
      <c r="D122" s="106" t="s">
        <v>3072</v>
      </c>
      <c r="E122" s="106" t="s">
        <v>2895</v>
      </c>
      <c r="F122" s="106" t="s">
        <v>3073</v>
      </c>
      <c r="G122" s="106" t="s">
        <v>2869</v>
      </c>
      <c r="H122" s="106"/>
      <c r="I122" s="106" t="s">
        <v>3074</v>
      </c>
      <c r="J122" s="106" t="s">
        <v>3075</v>
      </c>
      <c r="K122" s="106" t="s">
        <v>2981</v>
      </c>
      <c r="L122" s="106" t="s">
        <v>3046</v>
      </c>
      <c r="M122" s="106" t="s">
        <v>3076</v>
      </c>
      <c r="N122" s="106" t="s">
        <v>2310</v>
      </c>
      <c r="O122" s="106" t="s">
        <v>2309</v>
      </c>
      <c r="P122" s="106"/>
      <c r="Q122" s="106"/>
      <c r="R122" s="106" t="s">
        <v>2746</v>
      </c>
      <c r="S122" s="106" t="s">
        <v>2364</v>
      </c>
      <c r="T122" s="106" t="s">
        <v>3077</v>
      </c>
      <c r="U122" s="106" t="s">
        <v>2421</v>
      </c>
      <c r="V122" s="106"/>
      <c r="W122" s="106" t="s">
        <v>3078</v>
      </c>
    </row>
    <row r="123" customFormat="false" ht="15" hidden="false" customHeight="false" outlineLevel="0" collapsed="false">
      <c r="A123" s="106" t="s">
        <v>1228</v>
      </c>
      <c r="B123" s="106" t="n">
        <v>2</v>
      </c>
      <c r="C123" s="106" t="n">
        <v>17</v>
      </c>
      <c r="D123" s="106" t="s">
        <v>3079</v>
      </c>
      <c r="E123" s="106"/>
      <c r="F123" s="106" t="s">
        <v>2638</v>
      </c>
      <c r="G123" s="106" t="s">
        <v>3080</v>
      </c>
      <c r="H123" s="106"/>
      <c r="I123" s="106" t="s">
        <v>3081</v>
      </c>
      <c r="J123" s="106" t="s">
        <v>3082</v>
      </c>
      <c r="K123" s="106" t="s">
        <v>2359</v>
      </c>
      <c r="L123" s="106" t="s">
        <v>3083</v>
      </c>
      <c r="M123" s="106" t="s">
        <v>2576</v>
      </c>
      <c r="N123" s="106" t="s">
        <v>3084</v>
      </c>
      <c r="O123" s="106" t="s">
        <v>2363</v>
      </c>
      <c r="P123" s="106"/>
      <c r="Q123" s="106"/>
      <c r="R123" s="106" t="s">
        <v>2459</v>
      </c>
      <c r="S123" s="106" t="s">
        <v>2329</v>
      </c>
      <c r="T123" s="106" t="s">
        <v>3085</v>
      </c>
      <c r="U123" s="106" t="s">
        <v>3086</v>
      </c>
      <c r="V123" s="106"/>
      <c r="W123" s="106" t="s">
        <v>2743</v>
      </c>
    </row>
    <row r="124" customFormat="false" ht="15" hidden="false" customHeight="false" outlineLevel="0" collapsed="false">
      <c r="A124" s="106" t="s">
        <v>1242</v>
      </c>
      <c r="B124" s="106" t="n">
        <v>2</v>
      </c>
      <c r="C124" s="106" t="n">
        <v>26</v>
      </c>
      <c r="D124" s="106" t="s">
        <v>3087</v>
      </c>
      <c r="E124" s="106"/>
      <c r="F124" s="106" t="s">
        <v>2462</v>
      </c>
      <c r="G124" s="106" t="s">
        <v>3088</v>
      </c>
      <c r="H124" s="106"/>
      <c r="I124" s="106" t="s">
        <v>3089</v>
      </c>
      <c r="J124" s="106" t="s">
        <v>3090</v>
      </c>
      <c r="K124" s="106" t="s">
        <v>2575</v>
      </c>
      <c r="L124" s="106" t="s">
        <v>3091</v>
      </c>
      <c r="M124" s="106" t="s">
        <v>3092</v>
      </c>
      <c r="N124" s="106" t="s">
        <v>2543</v>
      </c>
      <c r="O124" s="106" t="s">
        <v>3093</v>
      </c>
      <c r="P124" s="106"/>
      <c r="Q124" s="106"/>
      <c r="R124" s="106" t="s">
        <v>2528</v>
      </c>
      <c r="S124" s="106" t="s">
        <v>2344</v>
      </c>
      <c r="T124" s="106" t="s">
        <v>2399</v>
      </c>
      <c r="U124" s="106" t="s">
        <v>3094</v>
      </c>
      <c r="V124" s="106"/>
      <c r="W124" s="106" t="s">
        <v>3095</v>
      </c>
    </row>
    <row r="125" customFormat="false" ht="15" hidden="false" customHeight="false" outlineLevel="0" collapsed="false">
      <c r="A125" s="106" t="s">
        <v>1251</v>
      </c>
      <c r="B125" s="106" t="n">
        <v>2</v>
      </c>
      <c r="C125" s="106" t="n">
        <v>105</v>
      </c>
      <c r="D125" s="106" t="s">
        <v>2895</v>
      </c>
      <c r="E125" s="106" t="s">
        <v>2470</v>
      </c>
      <c r="F125" s="106" t="s">
        <v>2681</v>
      </c>
      <c r="G125" s="106" t="s">
        <v>3096</v>
      </c>
      <c r="H125" s="106"/>
      <c r="I125" s="106" t="s">
        <v>3097</v>
      </c>
      <c r="J125" s="106" t="s">
        <v>3098</v>
      </c>
      <c r="K125" s="106" t="s">
        <v>2455</v>
      </c>
      <c r="L125" s="106" t="s">
        <v>2587</v>
      </c>
      <c r="M125" s="106" t="s">
        <v>3099</v>
      </c>
      <c r="N125" s="106" t="s">
        <v>2365</v>
      </c>
      <c r="O125" s="106" t="s">
        <v>3100</v>
      </c>
      <c r="P125" s="106"/>
      <c r="Q125" s="106"/>
      <c r="R125" s="106" t="s">
        <v>2340</v>
      </c>
      <c r="S125" s="106" t="s">
        <v>2481</v>
      </c>
      <c r="T125" s="106" t="s">
        <v>3101</v>
      </c>
      <c r="U125" s="106" t="s">
        <v>3102</v>
      </c>
      <c r="V125" s="106"/>
      <c r="W125" s="106" t="s">
        <v>3103</v>
      </c>
    </row>
    <row r="126" customFormat="false" ht="15" hidden="false" customHeight="false" outlineLevel="0" collapsed="false">
      <c r="A126" s="106" t="s">
        <v>1263</v>
      </c>
      <c r="B126" s="106" t="n">
        <v>2</v>
      </c>
      <c r="C126" s="106" t="n">
        <v>37</v>
      </c>
      <c r="D126" s="106" t="s">
        <v>3104</v>
      </c>
      <c r="E126" s="106" t="s">
        <v>2749</v>
      </c>
      <c r="F126" s="106" t="s">
        <v>3105</v>
      </c>
      <c r="G126" s="106" t="s">
        <v>2337</v>
      </c>
      <c r="H126" s="106" t="s">
        <v>3106</v>
      </c>
      <c r="I126" s="106" t="s">
        <v>2714</v>
      </c>
      <c r="J126" s="106" t="s">
        <v>2332</v>
      </c>
      <c r="K126" s="106" t="s">
        <v>2382</v>
      </c>
      <c r="L126" s="106" t="s">
        <v>2651</v>
      </c>
      <c r="M126" s="106" t="s">
        <v>3107</v>
      </c>
      <c r="N126" s="106" t="s">
        <v>3108</v>
      </c>
      <c r="O126" s="106" t="s">
        <v>2578</v>
      </c>
      <c r="P126" s="106" t="s">
        <v>2777</v>
      </c>
      <c r="Q126" s="106" t="s">
        <v>2309</v>
      </c>
      <c r="R126" s="106" t="s">
        <v>2316</v>
      </c>
      <c r="S126" s="106" t="s">
        <v>2593</v>
      </c>
      <c r="T126" s="106" t="s">
        <v>2535</v>
      </c>
      <c r="U126" s="106" t="s">
        <v>3109</v>
      </c>
      <c r="V126" s="106" t="s">
        <v>2885</v>
      </c>
      <c r="W126" s="106" t="s">
        <v>2814</v>
      </c>
    </row>
    <row r="127" customFormat="false" ht="15" hidden="false" customHeight="false" outlineLevel="0" collapsed="false">
      <c r="A127" s="106" t="s">
        <v>1276</v>
      </c>
      <c r="B127" s="106" t="n">
        <v>2</v>
      </c>
      <c r="C127" s="106" t="n">
        <v>45</v>
      </c>
      <c r="D127" s="106" t="s">
        <v>3110</v>
      </c>
      <c r="E127" s="106" t="s">
        <v>3111</v>
      </c>
      <c r="F127" s="106" t="s">
        <v>3112</v>
      </c>
      <c r="G127" s="106" t="s">
        <v>3113</v>
      </c>
      <c r="H127" s="106" t="s">
        <v>3114</v>
      </c>
      <c r="I127" s="106" t="s">
        <v>3115</v>
      </c>
      <c r="J127" s="106" t="s">
        <v>2581</v>
      </c>
      <c r="K127" s="106" t="s">
        <v>2882</v>
      </c>
      <c r="L127" s="106" t="s">
        <v>3116</v>
      </c>
      <c r="M127" s="106" t="s">
        <v>3117</v>
      </c>
      <c r="N127" s="106" t="s">
        <v>3118</v>
      </c>
      <c r="O127" s="106" t="s">
        <v>2413</v>
      </c>
      <c r="P127" s="106" t="s">
        <v>2525</v>
      </c>
      <c r="Q127" s="106"/>
      <c r="R127" s="106" t="s">
        <v>2601</v>
      </c>
      <c r="S127" s="106" t="s">
        <v>2325</v>
      </c>
      <c r="T127" s="106" t="s">
        <v>3100</v>
      </c>
      <c r="U127" s="106" t="s">
        <v>3119</v>
      </c>
      <c r="V127" s="106" t="s">
        <v>2615</v>
      </c>
      <c r="W127" s="106" t="s">
        <v>3120</v>
      </c>
    </row>
    <row r="128" customFormat="false" ht="15" hidden="false" customHeight="false" outlineLevel="0" collapsed="false">
      <c r="A128" s="106" t="s">
        <v>1285</v>
      </c>
      <c r="B128" s="106" t="n">
        <v>2</v>
      </c>
      <c r="C128" s="106" t="n">
        <v>88</v>
      </c>
      <c r="D128" s="106" t="s">
        <v>3121</v>
      </c>
      <c r="E128" s="106" t="s">
        <v>2455</v>
      </c>
      <c r="F128" s="106" t="s">
        <v>2500</v>
      </c>
      <c r="G128" s="106" t="s">
        <v>3122</v>
      </c>
      <c r="H128" s="106" t="s">
        <v>3123</v>
      </c>
      <c r="I128" s="106" t="s">
        <v>3124</v>
      </c>
      <c r="J128" s="106" t="s">
        <v>3125</v>
      </c>
      <c r="K128" s="106" t="s">
        <v>2745</v>
      </c>
      <c r="L128" s="106" t="s">
        <v>2507</v>
      </c>
      <c r="M128" s="106" t="s">
        <v>3126</v>
      </c>
      <c r="N128" s="106" t="s">
        <v>3127</v>
      </c>
      <c r="O128" s="106" t="s">
        <v>3128</v>
      </c>
      <c r="P128" s="106" t="s">
        <v>3129</v>
      </c>
      <c r="Q128" s="106"/>
      <c r="R128" s="106" t="s">
        <v>2578</v>
      </c>
      <c r="S128" s="106" t="s">
        <v>2427</v>
      </c>
      <c r="T128" s="106" t="s">
        <v>3130</v>
      </c>
      <c r="U128" s="106" t="s">
        <v>3131</v>
      </c>
      <c r="V128" s="106" t="s">
        <v>2497</v>
      </c>
      <c r="W128" s="106" t="s">
        <v>3132</v>
      </c>
    </row>
    <row r="129" customFormat="false" ht="15" hidden="false" customHeight="false" outlineLevel="0" collapsed="false">
      <c r="A129" s="106" t="s">
        <v>1297</v>
      </c>
      <c r="B129" s="106" t="n">
        <v>2</v>
      </c>
      <c r="C129" s="106" t="n">
        <v>87</v>
      </c>
      <c r="D129" s="106" t="s">
        <v>3133</v>
      </c>
      <c r="E129" s="106" t="s">
        <v>2970</v>
      </c>
      <c r="F129" s="106" t="s">
        <v>2742</v>
      </c>
      <c r="G129" s="106" t="s">
        <v>3134</v>
      </c>
      <c r="H129" s="106" t="s">
        <v>3135</v>
      </c>
      <c r="I129" s="106" t="s">
        <v>2799</v>
      </c>
      <c r="J129" s="106" t="s">
        <v>3055</v>
      </c>
      <c r="K129" s="106" t="s">
        <v>2529</v>
      </c>
      <c r="L129" s="106" t="s">
        <v>2827</v>
      </c>
      <c r="M129" s="106" t="s">
        <v>3136</v>
      </c>
      <c r="N129" s="106" t="s">
        <v>2870</v>
      </c>
      <c r="O129" s="106" t="s">
        <v>2661</v>
      </c>
      <c r="P129" s="106" t="s">
        <v>2427</v>
      </c>
      <c r="Q129" s="106" t="s">
        <v>2675</v>
      </c>
      <c r="R129" s="106" t="s">
        <v>2432</v>
      </c>
      <c r="S129" s="106" t="s">
        <v>3137</v>
      </c>
      <c r="T129" s="106" t="s">
        <v>2632</v>
      </c>
      <c r="U129" s="106" t="s">
        <v>2666</v>
      </c>
      <c r="V129" s="106" t="s">
        <v>3138</v>
      </c>
      <c r="W129" s="106" t="s">
        <v>3139</v>
      </c>
    </row>
    <row r="130" customFormat="false" ht="15" hidden="false" customHeight="false" outlineLevel="0" collapsed="false">
      <c r="A130" s="106" t="s">
        <v>1309</v>
      </c>
      <c r="B130" s="106" t="n">
        <v>2</v>
      </c>
      <c r="C130" s="106" t="n">
        <v>45</v>
      </c>
      <c r="D130" s="106" t="s">
        <v>3140</v>
      </c>
      <c r="E130" s="106" t="s">
        <v>3141</v>
      </c>
      <c r="F130" s="106" t="s">
        <v>3142</v>
      </c>
      <c r="G130" s="106" t="s">
        <v>3143</v>
      </c>
      <c r="H130" s="106" t="s">
        <v>3144</v>
      </c>
      <c r="I130" s="106" t="s">
        <v>2955</v>
      </c>
      <c r="J130" s="106" t="s">
        <v>3145</v>
      </c>
      <c r="K130" s="106" t="s">
        <v>3072</v>
      </c>
      <c r="L130" s="106" t="s">
        <v>3146</v>
      </c>
      <c r="M130" s="106" t="s">
        <v>3147</v>
      </c>
      <c r="N130" s="106" t="s">
        <v>2479</v>
      </c>
      <c r="O130" s="106" t="s">
        <v>2658</v>
      </c>
      <c r="P130" s="106" t="s">
        <v>2358</v>
      </c>
      <c r="Q130" s="106"/>
      <c r="R130" s="106" t="s">
        <v>2415</v>
      </c>
      <c r="S130" s="106" t="s">
        <v>3148</v>
      </c>
      <c r="T130" s="106" t="s">
        <v>3149</v>
      </c>
      <c r="U130" s="106" t="s">
        <v>2496</v>
      </c>
      <c r="V130" s="106" t="s">
        <v>2398</v>
      </c>
      <c r="W130" s="106" t="s">
        <v>3150</v>
      </c>
    </row>
    <row r="131" customFormat="false" ht="15" hidden="false" customHeight="false" outlineLevel="0" collapsed="false">
      <c r="A131" s="106" t="s">
        <v>1320</v>
      </c>
      <c r="B131" s="106" t="n">
        <v>2</v>
      </c>
      <c r="C131" s="106" t="n">
        <v>59</v>
      </c>
      <c r="D131" s="106" t="s">
        <v>3151</v>
      </c>
      <c r="E131" s="106" t="s">
        <v>3152</v>
      </c>
      <c r="F131" s="106" t="s">
        <v>2497</v>
      </c>
      <c r="G131" s="106" t="s">
        <v>3153</v>
      </c>
      <c r="H131" s="106" t="s">
        <v>2308</v>
      </c>
      <c r="I131" s="106" t="s">
        <v>3154</v>
      </c>
      <c r="J131" s="106" t="s">
        <v>3155</v>
      </c>
      <c r="K131" s="106" t="s">
        <v>2431</v>
      </c>
      <c r="L131" s="106" t="s">
        <v>2362</v>
      </c>
      <c r="M131" s="106" t="s">
        <v>3156</v>
      </c>
      <c r="N131" s="106" t="s">
        <v>2938</v>
      </c>
      <c r="O131" s="106" t="s">
        <v>3157</v>
      </c>
      <c r="P131" s="106" t="s">
        <v>2916</v>
      </c>
      <c r="Q131" s="106"/>
      <c r="R131" s="106" t="s">
        <v>2601</v>
      </c>
      <c r="S131" s="106" t="s">
        <v>3137</v>
      </c>
      <c r="T131" s="106" t="s">
        <v>2468</v>
      </c>
      <c r="U131" s="106" t="s">
        <v>2574</v>
      </c>
      <c r="V131" s="106" t="s">
        <v>2413</v>
      </c>
      <c r="W131" s="106" t="s">
        <v>2648</v>
      </c>
    </row>
    <row r="132" customFormat="false" ht="15" hidden="false" customHeight="false" outlineLevel="0" collapsed="false">
      <c r="A132" s="106" t="s">
        <v>1331</v>
      </c>
      <c r="B132" s="106" t="n">
        <v>2</v>
      </c>
      <c r="C132" s="106" t="n">
        <v>28</v>
      </c>
      <c r="D132" s="106" t="s">
        <v>3158</v>
      </c>
      <c r="E132" s="106" t="s">
        <v>2587</v>
      </c>
      <c r="F132" s="106" t="s">
        <v>2652</v>
      </c>
      <c r="G132" s="106" t="s">
        <v>2768</v>
      </c>
      <c r="H132" s="106" t="s">
        <v>3159</v>
      </c>
      <c r="I132" s="106" t="s">
        <v>3160</v>
      </c>
      <c r="J132" s="106" t="s">
        <v>2634</v>
      </c>
      <c r="K132" s="106" t="s">
        <v>2443</v>
      </c>
      <c r="L132" s="106" t="s">
        <v>3161</v>
      </c>
      <c r="M132" s="106" t="s">
        <v>3092</v>
      </c>
      <c r="N132" s="106" t="s">
        <v>3162</v>
      </c>
      <c r="O132" s="106" t="s">
        <v>2398</v>
      </c>
      <c r="P132" s="106" t="s">
        <v>3163</v>
      </c>
      <c r="Q132" s="106"/>
      <c r="R132" s="106" t="s">
        <v>2885</v>
      </c>
      <c r="S132" s="106" t="s">
        <v>2383</v>
      </c>
      <c r="T132" s="106" t="s">
        <v>3164</v>
      </c>
      <c r="U132" s="106" t="s">
        <v>3165</v>
      </c>
      <c r="V132" s="106" t="s">
        <v>3166</v>
      </c>
      <c r="W132" s="106" t="s">
        <v>3167</v>
      </c>
    </row>
    <row r="133" customFormat="false" ht="15" hidden="false" customHeight="false" outlineLevel="0" collapsed="false">
      <c r="A133" s="106" t="s">
        <v>1343</v>
      </c>
      <c r="B133" s="106" t="n">
        <v>2</v>
      </c>
      <c r="C133" s="106" t="n">
        <v>66</v>
      </c>
      <c r="D133" s="106" t="s">
        <v>3168</v>
      </c>
      <c r="E133" s="106" t="s">
        <v>3169</v>
      </c>
      <c r="F133" s="106" t="s">
        <v>2869</v>
      </c>
      <c r="G133" s="106" t="s">
        <v>2388</v>
      </c>
      <c r="H133" s="106" t="s">
        <v>2458</v>
      </c>
      <c r="I133" s="106" t="s">
        <v>2384</v>
      </c>
      <c r="J133" s="106" t="s">
        <v>2414</v>
      </c>
      <c r="K133" s="106" t="s">
        <v>2607</v>
      </c>
      <c r="L133" s="106" t="s">
        <v>2637</v>
      </c>
      <c r="M133" s="106" t="s">
        <v>3170</v>
      </c>
      <c r="N133" s="106" t="s">
        <v>2540</v>
      </c>
      <c r="O133" s="106" t="s">
        <v>2510</v>
      </c>
      <c r="P133" s="106" t="s">
        <v>3171</v>
      </c>
      <c r="Q133" s="106"/>
      <c r="R133" s="106" t="s">
        <v>2398</v>
      </c>
      <c r="S133" s="106" t="s">
        <v>2364</v>
      </c>
      <c r="T133" s="106" t="s">
        <v>3172</v>
      </c>
      <c r="U133" s="106" t="s">
        <v>3111</v>
      </c>
      <c r="V133" s="106" t="s">
        <v>2699</v>
      </c>
      <c r="W133" s="106" t="s">
        <v>3173</v>
      </c>
    </row>
    <row r="134" customFormat="false" ht="15" hidden="false" customHeight="false" outlineLevel="0" collapsed="false">
      <c r="A134" s="106" t="s">
        <v>1352</v>
      </c>
      <c r="B134" s="106" t="n">
        <v>2</v>
      </c>
      <c r="C134" s="106" t="n">
        <v>17</v>
      </c>
      <c r="D134" s="106" t="s">
        <v>3174</v>
      </c>
      <c r="E134" s="106" t="s">
        <v>2404</v>
      </c>
      <c r="F134" s="106" t="s">
        <v>3175</v>
      </c>
      <c r="G134" s="106" t="s">
        <v>3176</v>
      </c>
      <c r="H134" s="106" t="s">
        <v>3177</v>
      </c>
      <c r="I134" s="106" t="s">
        <v>2515</v>
      </c>
      <c r="J134" s="106" t="s">
        <v>2788</v>
      </c>
      <c r="K134" s="106" t="s">
        <v>2598</v>
      </c>
      <c r="L134" s="106" t="s">
        <v>2322</v>
      </c>
      <c r="M134" s="106" t="s">
        <v>3178</v>
      </c>
      <c r="N134" s="106" t="s">
        <v>3179</v>
      </c>
      <c r="O134" s="106" t="s">
        <v>2309</v>
      </c>
      <c r="P134" s="106" t="s">
        <v>2332</v>
      </c>
      <c r="Q134" s="106"/>
      <c r="R134" s="106" t="s">
        <v>2823</v>
      </c>
      <c r="S134" s="106" t="s">
        <v>2507</v>
      </c>
      <c r="T134" s="106" t="s">
        <v>2772</v>
      </c>
      <c r="U134" s="106" t="s">
        <v>2779</v>
      </c>
      <c r="V134" s="106" t="s">
        <v>3180</v>
      </c>
      <c r="W134" s="106" t="s">
        <v>3181</v>
      </c>
    </row>
    <row r="135" customFormat="false" ht="15" hidden="false" customHeight="false" outlineLevel="0" collapsed="false">
      <c r="A135" s="106" t="s">
        <v>1362</v>
      </c>
      <c r="B135" s="106" t="n">
        <v>2</v>
      </c>
      <c r="C135" s="106" t="n">
        <v>28</v>
      </c>
      <c r="D135" s="106" t="s">
        <v>3182</v>
      </c>
      <c r="E135" s="106" t="s">
        <v>3183</v>
      </c>
      <c r="F135" s="106" t="s">
        <v>3184</v>
      </c>
      <c r="G135" s="106" t="s">
        <v>2345</v>
      </c>
      <c r="H135" s="106" t="s">
        <v>3185</v>
      </c>
      <c r="I135" s="106" t="s">
        <v>2589</v>
      </c>
      <c r="J135" s="106" t="s">
        <v>2340</v>
      </c>
      <c r="K135" s="106" t="s">
        <v>2383</v>
      </c>
      <c r="L135" s="106" t="s">
        <v>3186</v>
      </c>
      <c r="M135" s="106" t="s">
        <v>3187</v>
      </c>
      <c r="N135" s="106" t="s">
        <v>3188</v>
      </c>
      <c r="O135" s="106" t="s">
        <v>3189</v>
      </c>
      <c r="P135" s="106" t="s">
        <v>2332</v>
      </c>
      <c r="Q135" s="106"/>
      <c r="R135" s="106" t="s">
        <v>3108</v>
      </c>
      <c r="S135" s="106" t="s">
        <v>2481</v>
      </c>
      <c r="T135" s="106" t="s">
        <v>2356</v>
      </c>
      <c r="U135" s="106" t="s">
        <v>2415</v>
      </c>
      <c r="V135" s="106" t="s">
        <v>3190</v>
      </c>
      <c r="W135" s="106" t="s">
        <v>2579</v>
      </c>
    </row>
    <row r="136" customFormat="false" ht="15" hidden="false" customHeight="false" outlineLevel="0" collapsed="false">
      <c r="A136" s="106" t="s">
        <v>1372</v>
      </c>
      <c r="B136" s="106" t="n">
        <v>2</v>
      </c>
      <c r="C136" s="106" t="n">
        <v>10</v>
      </c>
      <c r="D136" s="106" t="s">
        <v>3191</v>
      </c>
      <c r="E136" s="106"/>
      <c r="F136" s="106" t="s">
        <v>3192</v>
      </c>
      <c r="G136" s="106" t="s">
        <v>3193</v>
      </c>
      <c r="H136" s="106"/>
      <c r="I136" s="106" t="s">
        <v>3194</v>
      </c>
      <c r="J136" s="106" t="s">
        <v>2806</v>
      </c>
      <c r="K136" s="106" t="s">
        <v>2755</v>
      </c>
      <c r="L136" s="106" t="s">
        <v>3195</v>
      </c>
      <c r="M136" s="106" t="s">
        <v>3196</v>
      </c>
      <c r="N136" s="106" t="s">
        <v>2974</v>
      </c>
      <c r="O136" s="106" t="s">
        <v>2377</v>
      </c>
      <c r="P136" s="106"/>
      <c r="Q136" s="106"/>
      <c r="R136" s="106"/>
      <c r="S136" s="106"/>
      <c r="T136" s="106" t="s">
        <v>3197</v>
      </c>
      <c r="U136" s="106" t="s">
        <v>3198</v>
      </c>
      <c r="V136" s="106" t="s">
        <v>2392</v>
      </c>
      <c r="W136" s="106" t="s">
        <v>2811</v>
      </c>
    </row>
    <row r="137" customFormat="false" ht="15" hidden="false" customHeight="false" outlineLevel="0" collapsed="false">
      <c r="A137" s="106" t="s">
        <v>1383</v>
      </c>
      <c r="B137" s="106" t="n">
        <v>2</v>
      </c>
      <c r="C137" s="106" t="n">
        <v>17</v>
      </c>
      <c r="D137" s="106" t="s">
        <v>2341</v>
      </c>
      <c r="E137" s="106"/>
      <c r="F137" s="106" t="s">
        <v>2733</v>
      </c>
      <c r="G137" s="106" t="s">
        <v>3199</v>
      </c>
      <c r="H137" s="106"/>
      <c r="I137" s="106" t="s">
        <v>2459</v>
      </c>
      <c r="J137" s="106" t="s">
        <v>3200</v>
      </c>
      <c r="K137" s="106" t="s">
        <v>2344</v>
      </c>
      <c r="L137" s="106" t="s">
        <v>2432</v>
      </c>
      <c r="M137" s="106" t="s">
        <v>3201</v>
      </c>
      <c r="N137" s="106"/>
      <c r="O137" s="106" t="s">
        <v>2587</v>
      </c>
      <c r="P137" s="106" t="s">
        <v>2740</v>
      </c>
      <c r="Q137" s="106"/>
      <c r="R137" s="106"/>
      <c r="S137" s="106"/>
      <c r="T137" s="106" t="s">
        <v>3202</v>
      </c>
      <c r="U137" s="106" t="s">
        <v>3203</v>
      </c>
      <c r="V137" s="106"/>
      <c r="W137" s="106"/>
    </row>
    <row r="138" customFormat="false" ht="15" hidden="false" customHeight="false" outlineLevel="0" collapsed="false">
      <c r="A138" s="106" t="s">
        <v>1393</v>
      </c>
      <c r="B138" s="106" t="n">
        <v>2</v>
      </c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</row>
    <row r="139" customFormat="false" ht="15" hidden="false" customHeight="false" outlineLevel="0" collapsed="false">
      <c r="A139" s="106" t="s">
        <v>1408</v>
      </c>
      <c r="B139" s="106" t="n">
        <v>3</v>
      </c>
      <c r="C139" s="106" t="n">
        <v>43</v>
      </c>
      <c r="D139" s="106" t="s">
        <v>3204</v>
      </c>
      <c r="E139" s="106" t="s">
        <v>2557</v>
      </c>
      <c r="F139" s="106" t="s">
        <v>3205</v>
      </c>
      <c r="G139" s="106" t="s">
        <v>3206</v>
      </c>
      <c r="H139" s="106" t="s">
        <v>3114</v>
      </c>
      <c r="I139" s="106" t="s">
        <v>3207</v>
      </c>
      <c r="J139" s="106" t="s">
        <v>3208</v>
      </c>
      <c r="K139" s="106" t="s">
        <v>2615</v>
      </c>
      <c r="L139" s="106" t="s">
        <v>3209</v>
      </c>
      <c r="M139" s="106" t="s">
        <v>3210</v>
      </c>
      <c r="N139" s="106" t="s">
        <v>3211</v>
      </c>
      <c r="O139" s="106" t="s">
        <v>3108</v>
      </c>
      <c r="P139" s="106" t="s">
        <v>2939</v>
      </c>
      <c r="Q139" s="106"/>
      <c r="R139" s="106" t="s">
        <v>2398</v>
      </c>
      <c r="S139" s="106" t="s">
        <v>2383</v>
      </c>
      <c r="T139" s="106" t="s">
        <v>3212</v>
      </c>
      <c r="U139" s="106" t="s">
        <v>3213</v>
      </c>
      <c r="V139" s="106" t="s">
        <v>3175</v>
      </c>
      <c r="W139" s="106" t="s">
        <v>2598</v>
      </c>
    </row>
    <row r="140" customFormat="false" ht="15" hidden="false" customHeight="false" outlineLevel="0" collapsed="false">
      <c r="A140" s="106" t="s">
        <v>1424</v>
      </c>
      <c r="B140" s="106" t="n">
        <v>3</v>
      </c>
      <c r="C140" s="106" t="n">
        <v>17</v>
      </c>
      <c r="D140" s="106" t="s">
        <v>2716</v>
      </c>
      <c r="E140" s="106" t="s">
        <v>2426</v>
      </c>
      <c r="F140" s="106" t="s">
        <v>3214</v>
      </c>
      <c r="G140" s="106" t="s">
        <v>2451</v>
      </c>
      <c r="H140" s="106" t="s">
        <v>3215</v>
      </c>
      <c r="I140" s="106" t="s">
        <v>2856</v>
      </c>
      <c r="J140" s="106" t="s">
        <v>2739</v>
      </c>
      <c r="K140" s="106" t="s">
        <v>2443</v>
      </c>
      <c r="L140" s="106" t="s">
        <v>2706</v>
      </c>
      <c r="M140" s="106" t="s">
        <v>3216</v>
      </c>
      <c r="N140" s="106" t="s">
        <v>3217</v>
      </c>
      <c r="O140" s="106" t="s">
        <v>2309</v>
      </c>
      <c r="P140" s="106" t="s">
        <v>2989</v>
      </c>
      <c r="Q140" s="106" t="s">
        <v>2309</v>
      </c>
      <c r="R140" s="106" t="s">
        <v>2577</v>
      </c>
      <c r="S140" s="106" t="s">
        <v>2939</v>
      </c>
      <c r="T140" s="106" t="s">
        <v>3218</v>
      </c>
      <c r="U140" s="106" t="s">
        <v>3219</v>
      </c>
      <c r="V140" s="106" t="s">
        <v>2322</v>
      </c>
      <c r="W140" s="106" t="s">
        <v>3220</v>
      </c>
    </row>
    <row r="141" customFormat="false" ht="15" hidden="false" customHeight="false" outlineLevel="0" collapsed="false">
      <c r="A141" s="106" t="s">
        <v>1432</v>
      </c>
      <c r="B141" s="106" t="n">
        <v>3</v>
      </c>
      <c r="C141" s="106" t="n">
        <v>54</v>
      </c>
      <c r="D141" s="106" t="s">
        <v>3221</v>
      </c>
      <c r="E141" s="106" t="s">
        <v>3222</v>
      </c>
      <c r="F141" s="106" t="s">
        <v>3223</v>
      </c>
      <c r="G141" s="106" t="s">
        <v>3224</v>
      </c>
      <c r="H141" s="106" t="s">
        <v>2646</v>
      </c>
      <c r="I141" s="106" t="s">
        <v>3225</v>
      </c>
      <c r="J141" s="106" t="s">
        <v>3226</v>
      </c>
      <c r="K141" s="106" t="s">
        <v>2574</v>
      </c>
      <c r="L141" s="106" t="s">
        <v>2793</v>
      </c>
      <c r="M141" s="106" t="s">
        <v>2892</v>
      </c>
      <c r="N141" s="106" t="s">
        <v>2893</v>
      </c>
      <c r="O141" s="106" t="s">
        <v>3227</v>
      </c>
      <c r="P141" s="106" t="s">
        <v>2598</v>
      </c>
      <c r="Q141" s="106"/>
      <c r="R141" s="106" t="s">
        <v>2413</v>
      </c>
      <c r="S141" s="106" t="s">
        <v>2557</v>
      </c>
      <c r="T141" s="106" t="s">
        <v>3228</v>
      </c>
      <c r="U141" s="106" t="s">
        <v>2870</v>
      </c>
      <c r="V141" s="106" t="s">
        <v>3189</v>
      </c>
      <c r="W141" s="106" t="s">
        <v>2365</v>
      </c>
    </row>
    <row r="142" customFormat="false" ht="15" hidden="false" customHeight="false" outlineLevel="0" collapsed="false">
      <c r="A142" s="106" t="s">
        <v>1442</v>
      </c>
      <c r="B142" s="106" t="n">
        <v>3</v>
      </c>
      <c r="C142" s="106" t="n">
        <v>25</v>
      </c>
      <c r="D142" s="106" t="s">
        <v>3229</v>
      </c>
      <c r="E142" s="106" t="s">
        <v>2484</v>
      </c>
      <c r="F142" s="106" t="s">
        <v>3154</v>
      </c>
      <c r="G142" s="106" t="s">
        <v>2699</v>
      </c>
      <c r="H142" s="106" t="s">
        <v>3120</v>
      </c>
      <c r="I142" s="106" t="s">
        <v>2546</v>
      </c>
      <c r="J142" s="106"/>
      <c r="K142" s="106" t="s">
        <v>2459</v>
      </c>
      <c r="L142" s="106" t="s">
        <v>3062</v>
      </c>
      <c r="M142" s="106" t="s">
        <v>2644</v>
      </c>
      <c r="N142" s="106" t="s">
        <v>3230</v>
      </c>
      <c r="O142" s="106" t="s">
        <v>2474</v>
      </c>
      <c r="P142" s="106" t="s">
        <v>2323</v>
      </c>
      <c r="Q142" s="106"/>
      <c r="R142" s="106" t="s">
        <v>2310</v>
      </c>
      <c r="S142" s="106" t="s">
        <v>2496</v>
      </c>
      <c r="T142" s="106" t="s">
        <v>2759</v>
      </c>
      <c r="U142" s="106" t="s">
        <v>3231</v>
      </c>
      <c r="V142" s="106" t="s">
        <v>2551</v>
      </c>
      <c r="W142" s="106" t="s">
        <v>2626</v>
      </c>
    </row>
    <row r="143" customFormat="false" ht="15" hidden="false" customHeight="false" outlineLevel="0" collapsed="false">
      <c r="A143" s="106" t="s">
        <v>1451</v>
      </c>
      <c r="B143" s="106" t="n">
        <v>3</v>
      </c>
      <c r="C143" s="106" t="n">
        <v>40</v>
      </c>
      <c r="D143" s="106" t="s">
        <v>3232</v>
      </c>
      <c r="E143" s="106" t="s">
        <v>2556</v>
      </c>
      <c r="F143" s="106" t="s">
        <v>3233</v>
      </c>
      <c r="G143" s="106" t="s">
        <v>3234</v>
      </c>
      <c r="H143" s="106" t="s">
        <v>3235</v>
      </c>
      <c r="I143" s="106" t="s">
        <v>3015</v>
      </c>
      <c r="J143" s="106" t="s">
        <v>3236</v>
      </c>
      <c r="K143" s="106" t="s">
        <v>2675</v>
      </c>
      <c r="L143" s="106" t="s">
        <v>3237</v>
      </c>
      <c r="M143" s="106" t="s">
        <v>3238</v>
      </c>
      <c r="N143" s="106" t="s">
        <v>2554</v>
      </c>
      <c r="O143" s="106" t="s">
        <v>2309</v>
      </c>
      <c r="P143" s="106" t="s">
        <v>2574</v>
      </c>
      <c r="Q143" s="106"/>
      <c r="R143" s="106" t="s">
        <v>2711</v>
      </c>
      <c r="S143" s="106" t="s">
        <v>2543</v>
      </c>
      <c r="T143" s="106" t="s">
        <v>3239</v>
      </c>
      <c r="U143" s="106" t="s">
        <v>3240</v>
      </c>
      <c r="V143" s="106" t="s">
        <v>3241</v>
      </c>
      <c r="W143" s="106" t="s">
        <v>3242</v>
      </c>
    </row>
    <row r="144" customFormat="false" ht="15" hidden="false" customHeight="false" outlineLevel="0" collapsed="false">
      <c r="A144" s="106" t="s">
        <v>1462</v>
      </c>
      <c r="B144" s="106" t="n">
        <v>3</v>
      </c>
      <c r="C144" s="106" t="n">
        <v>10</v>
      </c>
      <c r="D144" s="106" t="s">
        <v>3243</v>
      </c>
      <c r="E144" s="106" t="s">
        <v>2575</v>
      </c>
      <c r="F144" s="106" t="s">
        <v>3244</v>
      </c>
      <c r="G144" s="106" t="s">
        <v>2451</v>
      </c>
      <c r="H144" s="106" t="s">
        <v>3245</v>
      </c>
      <c r="I144" s="106" t="s">
        <v>3246</v>
      </c>
      <c r="J144" s="106" t="s">
        <v>2675</v>
      </c>
      <c r="K144" s="106" t="s">
        <v>2322</v>
      </c>
      <c r="L144" s="106" t="s">
        <v>2357</v>
      </c>
      <c r="M144" s="106" t="s">
        <v>3027</v>
      </c>
      <c r="N144" s="106" t="s">
        <v>2650</v>
      </c>
      <c r="O144" s="106" t="s">
        <v>2345</v>
      </c>
      <c r="P144" s="106" t="s">
        <v>2525</v>
      </c>
      <c r="Q144" s="106"/>
      <c r="R144" s="106" t="s">
        <v>2876</v>
      </c>
      <c r="S144" s="106" t="s">
        <v>2329</v>
      </c>
      <c r="T144" s="106" t="s">
        <v>3247</v>
      </c>
      <c r="U144" s="106" t="s">
        <v>3248</v>
      </c>
      <c r="V144" s="106" t="s">
        <v>2459</v>
      </c>
      <c r="W144" s="106" t="s">
        <v>2635</v>
      </c>
    </row>
    <row r="145" customFormat="false" ht="15" hidden="false" customHeight="false" outlineLevel="0" collapsed="false">
      <c r="A145" s="106" t="s">
        <v>1471</v>
      </c>
      <c r="B145" s="106" t="n">
        <v>3</v>
      </c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45"/>
    <col collapsed="false" customWidth="true" hidden="false" outlineLevel="0" max="5" min="5" style="0" width="60"/>
    <col collapsed="false" customWidth="true" hidden="false" outlineLevel="0" max="19" min="6" style="0" width="13"/>
  </cols>
  <sheetData>
    <row r="1" customFormat="false" ht="17.35" hidden="false" customHeight="false" outlineLevel="0" collapsed="false">
      <c r="A1" s="1" t="s">
        <v>3249</v>
      </c>
    </row>
    <row r="2" customFormat="false" ht="15" hidden="false" customHeight="false" outlineLevel="0" collapsed="false">
      <c r="A2" s="2" t="s">
        <v>3250</v>
      </c>
    </row>
    <row r="4" customFormat="false" ht="15" hidden="false" customHeight="false" outlineLevel="0" collapsed="false">
      <c r="A4" s="82" t="s">
        <v>3251</v>
      </c>
    </row>
    <row r="5" customFormat="false" ht="25.5" hidden="false" customHeight="true" outlineLevel="0" collapsed="false">
      <c r="A5" s="88" t="s">
        <v>3252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</row>
    <row r="6" customFormat="false" ht="25.5" hidden="false" customHeight="true" outlineLevel="0" collapsed="false">
      <c r="A6" s="88" t="s">
        <v>3253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customFormat="false" ht="25.5" hidden="false" customHeight="true" outlineLevel="0" collapsed="false">
      <c r="A7" s="88" t="s">
        <v>3254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customFormat="false" ht="25.5" hidden="false" customHeight="true" outlineLevel="0" collapsed="false">
      <c r="A8" s="88" t="s">
        <v>3255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customFormat="false" ht="25.5" hidden="false" customHeight="true" outlineLevel="0" collapsed="false">
      <c r="A9" s="88" t="s">
        <v>3256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customFormat="false" ht="25.5" hidden="false" customHeight="true" outlineLevel="0" collapsed="false">
      <c r="A10" s="88" t="s">
        <v>3257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</row>
    <row r="11" customFormat="false" ht="25.5" hidden="false" customHeight="true" outlineLevel="0" collapsed="false">
      <c r="A11" s="88" t="s">
        <v>3258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</row>
    <row r="12" customFormat="false" ht="25.5" hidden="false" customHeight="true" outlineLevel="0" collapsed="false">
      <c r="A12" s="88" t="s">
        <v>3259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4" customFormat="false" ht="15" hidden="false" customHeight="false" outlineLevel="0" collapsed="false">
      <c r="A14" s="82" t="s">
        <v>3260</v>
      </c>
    </row>
    <row r="15" customFormat="false" ht="15" hidden="false" customHeight="false" outlineLevel="0" collapsed="false">
      <c r="A15" s="3" t="s">
        <v>3261</v>
      </c>
      <c r="B15" s="111" t="n">
        <v>996708.03</v>
      </c>
    </row>
    <row r="16" customFormat="false" ht="15" hidden="false" customHeight="false" outlineLevel="0" collapsed="false">
      <c r="A16" s="3" t="s">
        <v>3262</v>
      </c>
      <c r="B16" s="112" t="n">
        <v>28998</v>
      </c>
    </row>
    <row r="17" customFormat="false" ht="15" hidden="false" customHeight="false" outlineLevel="0" collapsed="false">
      <c r="A17" s="3" t="s">
        <v>3263</v>
      </c>
      <c r="B17" s="111" t="n">
        <v>158954.26</v>
      </c>
    </row>
    <row r="18" customFormat="false" ht="15" hidden="false" customHeight="false" outlineLevel="0" collapsed="false">
      <c r="A18" s="3" t="s">
        <v>3264</v>
      </c>
      <c r="B18" s="113" t="n">
        <v>0.44243120831391</v>
      </c>
    </row>
    <row r="19" customFormat="false" ht="15" hidden="false" customHeight="false" outlineLevel="0" collapsed="false">
      <c r="A19" s="3" t="s">
        <v>3265</v>
      </c>
      <c r="B19" s="113" t="n">
        <v>0.159479260942645</v>
      </c>
    </row>
    <row r="20" customFormat="false" ht="15" hidden="false" customHeight="false" outlineLevel="0" collapsed="false">
      <c r="A20" s="3" t="s">
        <v>3266</v>
      </c>
      <c r="B20" s="111" t="n">
        <v>133.599999999999</v>
      </c>
    </row>
    <row r="21" customFormat="false" ht="15" hidden="false" customHeight="false" outlineLevel="0" collapsed="false">
      <c r="A21" s="3" t="s">
        <v>3267</v>
      </c>
      <c r="B21" s="114" t="n">
        <v>34.3716128698531</v>
      </c>
    </row>
    <row r="22" customFormat="false" ht="15" hidden="false" customHeight="false" outlineLevel="0" collapsed="false">
      <c r="A22" s="3" t="s">
        <v>3268</v>
      </c>
      <c r="B22" s="115" t="s">
        <v>1765</v>
      </c>
    </row>
    <row r="23" customFormat="false" ht="15" hidden="false" customHeight="false" outlineLevel="0" collapsed="false">
      <c r="A23" s="3" t="s">
        <v>3269</v>
      </c>
      <c r="B23" s="111" t="n">
        <v>-27836.71</v>
      </c>
    </row>
    <row r="25" customFormat="false" ht="15" hidden="false" customHeight="false" outlineLevel="0" collapsed="false">
      <c r="A25" s="82" t="s">
        <v>3270</v>
      </c>
    </row>
    <row r="26" customFormat="false" ht="15" hidden="false" customHeight="false" outlineLevel="0" collapsed="false">
      <c r="A26" s="105" t="s">
        <v>3271</v>
      </c>
    </row>
    <row r="27" customFormat="false" ht="22.35" hidden="false" customHeight="false" outlineLevel="0" collapsed="false">
      <c r="A27" s="90" t="s">
        <v>3272</v>
      </c>
      <c r="B27" s="90" t="s">
        <v>3273</v>
      </c>
      <c r="C27" s="90" t="s">
        <v>3274</v>
      </c>
      <c r="D27" s="90" t="s">
        <v>3275</v>
      </c>
      <c r="E27" s="90" t="s">
        <v>3276</v>
      </c>
      <c r="F27" s="90" t="s">
        <v>3277</v>
      </c>
      <c r="G27" s="90" t="s">
        <v>3278</v>
      </c>
      <c r="H27" s="90" t="s">
        <v>3279</v>
      </c>
      <c r="I27" s="90" t="s">
        <v>3280</v>
      </c>
      <c r="J27" s="90" t="s">
        <v>3281</v>
      </c>
      <c r="K27" s="90" t="s">
        <v>3282</v>
      </c>
      <c r="L27" s="90" t="s">
        <v>3283</v>
      </c>
      <c r="M27" s="90" t="s">
        <v>3284</v>
      </c>
      <c r="N27" s="90" t="s">
        <v>3285</v>
      </c>
      <c r="O27" s="90" t="s">
        <v>3286</v>
      </c>
      <c r="P27" s="90" t="s">
        <v>3287</v>
      </c>
      <c r="Q27" s="90" t="s">
        <v>3288</v>
      </c>
      <c r="R27" s="90" t="s">
        <v>3289</v>
      </c>
      <c r="S27" s="90" t="s">
        <v>3290</v>
      </c>
      <c r="T27" s="90" t="s">
        <v>3291</v>
      </c>
      <c r="U27" s="90" t="s">
        <v>3292</v>
      </c>
      <c r="V27" s="90" t="s">
        <v>3293</v>
      </c>
    </row>
    <row r="28" customFormat="false" ht="15" hidden="false" customHeight="false" outlineLevel="0" collapsed="false">
      <c r="A28" s="106" t="s">
        <v>3294</v>
      </c>
      <c r="B28" s="108" t="n">
        <v>0</v>
      </c>
      <c r="C28" s="106" t="n">
        <v>0</v>
      </c>
      <c r="D28" s="106" t="n">
        <v>0</v>
      </c>
      <c r="E28" s="106" t="n">
        <v>0</v>
      </c>
      <c r="F28" s="108" t="n">
        <v>0</v>
      </c>
      <c r="G28" s="106"/>
      <c r="H28" s="116"/>
      <c r="I28" s="106"/>
      <c r="J28" s="106"/>
      <c r="K28" s="108" t="n">
        <v>1481.4</v>
      </c>
      <c r="L28" s="106" t="n">
        <v>255</v>
      </c>
      <c r="M28" s="106" t="n">
        <v>253</v>
      </c>
      <c r="N28" s="116" t="n">
        <v>5.81</v>
      </c>
      <c r="O28" s="106" t="n">
        <v>2781</v>
      </c>
      <c r="P28" s="106" t="n">
        <v>9.17</v>
      </c>
      <c r="Q28" s="106" t="n">
        <v>0</v>
      </c>
      <c r="R28" s="106" t="n">
        <v>-4.19</v>
      </c>
      <c r="S28" s="106" t="n">
        <v>0</v>
      </c>
      <c r="T28" s="106" t="n">
        <v>0</v>
      </c>
      <c r="U28" s="108" t="n">
        <v>-1206.92</v>
      </c>
      <c r="V28" s="106" t="n">
        <v>-81.47</v>
      </c>
    </row>
    <row r="29" customFormat="false" ht="15" hidden="false" customHeight="false" outlineLevel="0" collapsed="false">
      <c r="A29" s="106" t="s">
        <v>3295</v>
      </c>
      <c r="B29" s="108" t="n">
        <v>9507.3</v>
      </c>
      <c r="C29" s="106" t="n">
        <v>2322385</v>
      </c>
      <c r="D29" s="106" t="n">
        <v>4494</v>
      </c>
      <c r="E29" s="106" t="n">
        <v>497</v>
      </c>
      <c r="F29" s="108" t="n">
        <v>16132.78</v>
      </c>
      <c r="G29" s="106" t="n">
        <v>58.9</v>
      </c>
      <c r="H29" s="116" t="n">
        <v>2.12</v>
      </c>
      <c r="I29" s="106" t="n">
        <v>11.06</v>
      </c>
      <c r="J29" s="106" t="n">
        <v>0.19</v>
      </c>
      <c r="K29" s="108" t="n">
        <v>31955.95</v>
      </c>
      <c r="L29" s="106" t="n">
        <v>1001</v>
      </c>
      <c r="M29" s="106" t="n">
        <v>990</v>
      </c>
      <c r="N29" s="116" t="n">
        <v>31.92</v>
      </c>
      <c r="O29" s="106" t="n">
        <v>19164</v>
      </c>
      <c r="P29" s="106" t="n">
        <v>5.22</v>
      </c>
      <c r="Q29" s="106" t="n">
        <v>29.8</v>
      </c>
      <c r="R29" s="106" t="n">
        <v>-60.04</v>
      </c>
      <c r="S29" s="106" t="n">
        <v>0</v>
      </c>
      <c r="T29" s="106" t="n">
        <v>0</v>
      </c>
      <c r="U29" s="108" t="n">
        <v>-3782.07</v>
      </c>
      <c r="V29" s="106" t="n">
        <v>-11.84</v>
      </c>
    </row>
    <row r="30" customFormat="false" ht="15" hidden="false" customHeight="false" outlineLevel="0" collapsed="false">
      <c r="A30" s="106" t="s">
        <v>1734</v>
      </c>
      <c r="B30" s="108" t="n">
        <v>5039.02</v>
      </c>
      <c r="C30" s="106" t="n">
        <v>809226</v>
      </c>
      <c r="D30" s="106" t="n">
        <v>2862</v>
      </c>
      <c r="E30" s="106" t="n">
        <v>275</v>
      </c>
      <c r="F30" s="108" t="n">
        <v>9364.04</v>
      </c>
      <c r="G30" s="106" t="n">
        <v>53.8</v>
      </c>
      <c r="H30" s="116" t="n">
        <v>1.76</v>
      </c>
      <c r="I30" s="106" t="n">
        <v>9.61</v>
      </c>
      <c r="J30" s="106" t="n">
        <v>0.35</v>
      </c>
      <c r="K30" s="108" t="n">
        <v>24483.45</v>
      </c>
      <c r="L30" s="106" t="n">
        <v>731</v>
      </c>
      <c r="M30" s="106" t="n">
        <v>721</v>
      </c>
      <c r="N30" s="116" t="n">
        <v>33.49</v>
      </c>
      <c r="O30" s="106" t="n">
        <v>14109</v>
      </c>
      <c r="P30" s="106" t="n">
        <v>5.18</v>
      </c>
      <c r="Q30" s="106" t="n">
        <v>20.6</v>
      </c>
      <c r="R30" s="106" t="n">
        <v>-283.86</v>
      </c>
      <c r="S30" s="106" t="n">
        <v>0</v>
      </c>
      <c r="T30" s="106" t="n">
        <v>0</v>
      </c>
      <c r="U30" s="108" t="n">
        <v>-933.36</v>
      </c>
      <c r="V30" s="106" t="n">
        <v>-3.81</v>
      </c>
    </row>
    <row r="31" customFormat="false" ht="15" hidden="false" customHeight="false" outlineLevel="0" collapsed="false">
      <c r="A31" s="106" t="s">
        <v>1726</v>
      </c>
      <c r="B31" s="108" t="n">
        <v>1053.05</v>
      </c>
      <c r="C31" s="106" t="n">
        <v>237331</v>
      </c>
      <c r="D31" s="106" t="n">
        <v>601</v>
      </c>
      <c r="E31" s="106" t="n">
        <v>40</v>
      </c>
      <c r="F31" s="108" t="n">
        <v>1318.05</v>
      </c>
      <c r="G31" s="106" t="n">
        <v>79.9</v>
      </c>
      <c r="H31" s="116" t="n">
        <v>1.75</v>
      </c>
      <c r="I31" s="106" t="n">
        <v>6.66</v>
      </c>
      <c r="J31" s="106" t="n">
        <v>0.25</v>
      </c>
      <c r="K31" s="108" t="n">
        <v>4791.05</v>
      </c>
      <c r="L31" s="106" t="n">
        <v>141</v>
      </c>
      <c r="M31" s="106" t="n">
        <v>140</v>
      </c>
      <c r="N31" s="116" t="n">
        <v>33.98</v>
      </c>
      <c r="O31" s="106" t="n">
        <v>3973</v>
      </c>
      <c r="P31" s="106" t="n">
        <v>3.55</v>
      </c>
      <c r="Q31" s="106" t="n">
        <v>22</v>
      </c>
      <c r="R31" s="106" t="n">
        <v>-43.46</v>
      </c>
      <c r="S31" s="106" t="n">
        <v>0</v>
      </c>
      <c r="T31" s="106" t="n">
        <v>-4.95</v>
      </c>
      <c r="U31" s="108" t="n">
        <v>-1011.09</v>
      </c>
      <c r="V31" s="106" t="n">
        <v>-21.1</v>
      </c>
    </row>
    <row r="32" customFormat="false" ht="15" hidden="false" customHeight="false" outlineLevel="0" collapsed="false">
      <c r="A32" s="106" t="s">
        <v>1743</v>
      </c>
      <c r="B32" s="108" t="n">
        <v>149.75</v>
      </c>
      <c r="C32" s="106" t="n">
        <v>15163</v>
      </c>
      <c r="D32" s="106" t="n">
        <v>113</v>
      </c>
      <c r="E32" s="106" t="n">
        <v>5</v>
      </c>
      <c r="F32" s="108" t="n">
        <v>169.75</v>
      </c>
      <c r="G32" s="106" t="n">
        <v>88.2</v>
      </c>
      <c r="H32" s="116" t="n">
        <v>1.33</v>
      </c>
      <c r="I32" s="106" t="n">
        <v>4.42</v>
      </c>
      <c r="J32" s="106" t="n">
        <v>0.75</v>
      </c>
      <c r="K32" s="108" t="n">
        <v>2991.75</v>
      </c>
      <c r="L32" s="106" t="n">
        <v>85</v>
      </c>
      <c r="M32" s="106" t="n">
        <v>85</v>
      </c>
      <c r="N32" s="116" t="n">
        <v>35.2</v>
      </c>
      <c r="O32" s="106" t="n">
        <v>2390</v>
      </c>
      <c r="P32" s="106" t="n">
        <v>3.56</v>
      </c>
      <c r="Q32" s="106" t="n">
        <v>5</v>
      </c>
      <c r="R32" s="106" t="n">
        <v>-62.55</v>
      </c>
      <c r="S32" s="106" t="n">
        <v>0</v>
      </c>
      <c r="T32" s="106" t="n">
        <v>-6.01</v>
      </c>
      <c r="U32" s="108" t="n">
        <v>473.89</v>
      </c>
      <c r="V32" s="106" t="n">
        <v>15.84</v>
      </c>
    </row>
    <row r="33" customFormat="false" ht="15" hidden="false" customHeight="false" outlineLevel="0" collapsed="false">
      <c r="A33" s="106" t="s">
        <v>3296</v>
      </c>
      <c r="B33" s="108" t="n">
        <v>4201.98</v>
      </c>
      <c r="C33" s="106" t="n">
        <v>784540</v>
      </c>
      <c r="D33" s="106" t="n">
        <v>2551</v>
      </c>
      <c r="E33" s="106" t="n">
        <v>229</v>
      </c>
      <c r="F33" s="108" t="n">
        <v>8046.17</v>
      </c>
      <c r="G33" s="106" t="n">
        <v>52.2</v>
      </c>
      <c r="H33" s="116" t="n">
        <v>1.65</v>
      </c>
      <c r="I33" s="106" t="n">
        <v>8.98</v>
      </c>
      <c r="J33" s="106" t="n">
        <v>0.33</v>
      </c>
      <c r="K33" s="108" t="n">
        <v>12372.1</v>
      </c>
      <c r="L33" s="106" t="n">
        <v>359</v>
      </c>
      <c r="M33" s="106" t="n">
        <v>352</v>
      </c>
      <c r="N33" s="116" t="n">
        <v>34.46</v>
      </c>
      <c r="O33" s="106" t="n">
        <v>8538</v>
      </c>
      <c r="P33" s="106" t="n">
        <v>4.2</v>
      </c>
      <c r="Q33" s="106" t="n">
        <v>34</v>
      </c>
      <c r="R33" s="106" t="n">
        <v>-354.39</v>
      </c>
      <c r="S33" s="106" t="n">
        <v>0</v>
      </c>
      <c r="T33" s="106" t="n">
        <v>0</v>
      </c>
      <c r="U33" s="108" t="n">
        <v>-1085.25</v>
      </c>
      <c r="V33" s="106" t="n">
        <v>-8.77</v>
      </c>
    </row>
    <row r="34" customFormat="false" ht="15" hidden="false" customHeight="false" outlineLevel="0" collapsed="false">
      <c r="A34" s="106" t="s">
        <v>3297</v>
      </c>
      <c r="B34" s="108" t="n">
        <v>15658.01</v>
      </c>
      <c r="C34" s="106" t="n">
        <v>2535440</v>
      </c>
      <c r="D34" s="106" t="n">
        <v>12717</v>
      </c>
      <c r="E34" s="106" t="n">
        <v>1145</v>
      </c>
      <c r="F34" s="108" t="n">
        <v>40306.66</v>
      </c>
      <c r="G34" s="106" t="n">
        <v>38.8</v>
      </c>
      <c r="H34" s="116" t="n">
        <v>1.23</v>
      </c>
      <c r="I34" s="106" t="n">
        <v>9</v>
      </c>
      <c r="J34" s="106" t="n">
        <v>0.5</v>
      </c>
      <c r="K34" s="108" t="n">
        <v>60307.95</v>
      </c>
      <c r="L34" s="106" t="n">
        <v>1765</v>
      </c>
      <c r="M34" s="106" t="n">
        <v>1734</v>
      </c>
      <c r="N34" s="116" t="n">
        <v>34.17</v>
      </c>
      <c r="O34" s="106" t="n">
        <v>37844</v>
      </c>
      <c r="P34" s="106" t="n">
        <v>4.66</v>
      </c>
      <c r="Q34" s="106" t="n">
        <v>26</v>
      </c>
      <c r="R34" s="106" t="n">
        <v>-3499.74</v>
      </c>
      <c r="S34" s="106" t="n">
        <v>-45.11</v>
      </c>
      <c r="T34" s="106" t="n">
        <v>0</v>
      </c>
      <c r="U34" s="108" t="n">
        <v>-1656.46</v>
      </c>
      <c r="V34" s="106" t="n">
        <v>-2.75</v>
      </c>
    </row>
    <row r="35" customFormat="false" ht="15" hidden="false" customHeight="false" outlineLevel="0" collapsed="false">
      <c r="A35" s="106" t="s">
        <v>3298</v>
      </c>
      <c r="B35" s="108" t="n">
        <v>14034.46</v>
      </c>
      <c r="C35" s="106" t="n">
        <v>1839000</v>
      </c>
      <c r="D35" s="106" t="n">
        <v>11792</v>
      </c>
      <c r="E35" s="106" t="n">
        <v>991</v>
      </c>
      <c r="F35" s="108" t="n">
        <v>37670.67</v>
      </c>
      <c r="G35" s="106" t="n">
        <v>37.3</v>
      </c>
      <c r="H35" s="116" t="n">
        <v>1.19</v>
      </c>
      <c r="I35" s="106" t="n">
        <v>8.4</v>
      </c>
      <c r="J35" s="106" t="n">
        <v>0.64</v>
      </c>
      <c r="K35" s="108" t="n">
        <v>64392.05</v>
      </c>
      <c r="L35" s="106" t="n">
        <v>1730</v>
      </c>
      <c r="M35" s="106" t="n">
        <v>1705</v>
      </c>
      <c r="N35" s="116" t="n">
        <v>37.22</v>
      </c>
      <c r="O35" s="106" t="n">
        <v>40645</v>
      </c>
      <c r="P35" s="106" t="n">
        <v>4.26</v>
      </c>
      <c r="Q35" s="106" t="n">
        <v>21.8</v>
      </c>
      <c r="R35" s="106" t="n">
        <v>-720.32</v>
      </c>
      <c r="S35" s="106" t="n">
        <v>-34.36</v>
      </c>
      <c r="T35" s="106" t="n">
        <v>0</v>
      </c>
      <c r="U35" s="108" t="n">
        <v>5536.23</v>
      </c>
      <c r="V35" s="106" t="n">
        <v>8.6</v>
      </c>
    </row>
    <row r="36" customFormat="false" ht="15" hidden="false" customHeight="false" outlineLevel="0" collapsed="false">
      <c r="A36" s="106" t="s">
        <v>3299</v>
      </c>
      <c r="B36" s="108" t="n">
        <v>7572.64</v>
      </c>
      <c r="C36" s="106" t="n">
        <v>706632</v>
      </c>
      <c r="D36" s="106" t="n">
        <v>5730</v>
      </c>
      <c r="E36" s="106" t="n">
        <v>525</v>
      </c>
      <c r="F36" s="108" t="n">
        <v>20048.89</v>
      </c>
      <c r="G36" s="106" t="n">
        <v>37.8</v>
      </c>
      <c r="H36" s="116" t="n">
        <v>1.32</v>
      </c>
      <c r="I36" s="106" t="n">
        <v>9.16</v>
      </c>
      <c r="J36" s="106" t="n">
        <v>0.81</v>
      </c>
      <c r="K36" s="108" t="n">
        <v>43550.2</v>
      </c>
      <c r="L36" s="106" t="n">
        <v>1359</v>
      </c>
      <c r="M36" s="106" t="n">
        <v>1342</v>
      </c>
      <c r="N36" s="116" t="n">
        <v>32.05</v>
      </c>
      <c r="O36" s="106" t="n">
        <v>27625</v>
      </c>
      <c r="P36" s="106" t="n">
        <v>4.92</v>
      </c>
      <c r="Q36" s="106" t="n">
        <v>17.4</v>
      </c>
      <c r="R36" s="106" t="n">
        <v>-168.1</v>
      </c>
      <c r="S36" s="106" t="n">
        <v>-22.02</v>
      </c>
      <c r="T36" s="106" t="n">
        <v>0</v>
      </c>
      <c r="U36" s="108" t="n">
        <v>2367.06</v>
      </c>
      <c r="V36" s="106" t="n">
        <v>5.44</v>
      </c>
    </row>
    <row r="37" customFormat="false" ht="15" hidden="false" customHeight="false" outlineLevel="0" collapsed="false">
      <c r="A37" s="106" t="s">
        <v>1778</v>
      </c>
      <c r="B37" s="108" t="n">
        <v>9172.07</v>
      </c>
      <c r="C37" s="106" t="n">
        <v>1085023</v>
      </c>
      <c r="D37" s="106" t="n">
        <v>6697</v>
      </c>
      <c r="E37" s="106" t="n">
        <v>618</v>
      </c>
      <c r="F37" s="108" t="n">
        <v>22845.01</v>
      </c>
      <c r="G37" s="106" t="n">
        <v>40.1</v>
      </c>
      <c r="H37" s="116" t="n">
        <v>1.37</v>
      </c>
      <c r="I37" s="106" t="n">
        <v>9.23</v>
      </c>
      <c r="J37" s="106" t="n">
        <v>0.62</v>
      </c>
      <c r="K37" s="108" t="n">
        <v>64573.48</v>
      </c>
      <c r="L37" s="106" t="n">
        <v>1945</v>
      </c>
      <c r="M37" s="106" t="n">
        <v>1912</v>
      </c>
      <c r="N37" s="116" t="n">
        <v>33.2</v>
      </c>
      <c r="O37" s="106" t="n">
        <v>41965</v>
      </c>
      <c r="P37" s="106" t="n">
        <v>4.63</v>
      </c>
      <c r="Q37" s="106" t="n">
        <v>14.2</v>
      </c>
      <c r="R37" s="106" t="n">
        <v>-915.15</v>
      </c>
      <c r="S37" s="106" t="n">
        <v>-33.37</v>
      </c>
      <c r="T37" s="106" t="n">
        <v>0</v>
      </c>
      <c r="U37" s="108" t="n">
        <v>5618.16</v>
      </c>
      <c r="V37" s="106" t="n">
        <v>8.7</v>
      </c>
    </row>
    <row r="38" customFormat="false" ht="15" hidden="false" customHeight="false" outlineLevel="0" collapsed="false">
      <c r="A38" s="106" t="s">
        <v>1765</v>
      </c>
      <c r="B38" s="108" t="n">
        <v>16504.5</v>
      </c>
      <c r="C38" s="106" t="n">
        <v>1187604</v>
      </c>
      <c r="D38" s="106" t="n">
        <v>10557</v>
      </c>
      <c r="E38" s="106" t="n">
        <v>1127</v>
      </c>
      <c r="F38" s="108" t="n">
        <v>41471.83</v>
      </c>
      <c r="G38" s="106" t="n">
        <v>39.8</v>
      </c>
      <c r="H38" s="116" t="n">
        <v>1.56</v>
      </c>
      <c r="I38" s="106" t="n">
        <v>10.68</v>
      </c>
      <c r="J38" s="106" t="n">
        <v>0.89</v>
      </c>
      <c r="K38" s="108" t="n">
        <v>84561.93</v>
      </c>
      <c r="L38" s="106" t="n">
        <v>2353</v>
      </c>
      <c r="M38" s="106" t="n">
        <v>2325</v>
      </c>
      <c r="N38" s="116" t="n">
        <v>35.94</v>
      </c>
      <c r="O38" s="106" t="n">
        <v>50502</v>
      </c>
      <c r="P38" s="106" t="n">
        <v>4.66</v>
      </c>
      <c r="Q38" s="106" t="n">
        <v>19.5</v>
      </c>
      <c r="R38" s="106" t="n">
        <v>-1945.55</v>
      </c>
      <c r="S38" s="106" t="n">
        <v>0</v>
      </c>
      <c r="T38" s="106" t="n">
        <v>-6.07</v>
      </c>
      <c r="U38" s="108" t="n">
        <v>5828.1</v>
      </c>
      <c r="V38" s="106" t="n">
        <v>6.89</v>
      </c>
    </row>
    <row r="39" customFormat="false" ht="15" hidden="false" customHeight="false" outlineLevel="0" collapsed="false">
      <c r="A39" s="106" t="s">
        <v>3300</v>
      </c>
      <c r="B39" s="108" t="n">
        <v>7327.76</v>
      </c>
      <c r="C39" s="106" t="n">
        <v>691788</v>
      </c>
      <c r="D39" s="106" t="n">
        <v>4543</v>
      </c>
      <c r="E39" s="106" t="n">
        <v>421</v>
      </c>
      <c r="F39" s="108" t="n">
        <v>17339.59</v>
      </c>
      <c r="G39" s="106" t="n">
        <v>42.3</v>
      </c>
      <c r="H39" s="116" t="n">
        <v>1.61</v>
      </c>
      <c r="I39" s="106" t="n">
        <v>9.27</v>
      </c>
      <c r="J39" s="106" t="n">
        <v>0.66</v>
      </c>
      <c r="K39" s="108" t="n">
        <v>41068.5</v>
      </c>
      <c r="L39" s="106" t="n">
        <v>1072</v>
      </c>
      <c r="M39" s="106" t="n">
        <v>1052</v>
      </c>
      <c r="N39" s="116" t="n">
        <v>38.31</v>
      </c>
      <c r="O39" s="106" t="n">
        <v>25091</v>
      </c>
      <c r="P39" s="106" t="n">
        <v>4.27</v>
      </c>
      <c r="Q39" s="106" t="n">
        <v>17.8</v>
      </c>
      <c r="R39" s="106" t="n">
        <v>-1320.84</v>
      </c>
      <c r="S39" s="106" t="n">
        <v>-21.06</v>
      </c>
      <c r="T39" s="106" t="n">
        <v>-6.07</v>
      </c>
      <c r="U39" s="108" t="n">
        <v>3625.33</v>
      </c>
      <c r="V39" s="106" t="n">
        <v>8.83</v>
      </c>
    </row>
    <row r="40" customFormat="false" ht="15" hidden="false" customHeight="false" outlineLevel="0" collapsed="false">
      <c r="A40" s="106" t="s">
        <v>1782</v>
      </c>
      <c r="B40" s="108" t="n">
        <v>7951.32</v>
      </c>
      <c r="C40" s="106" t="n">
        <v>730306</v>
      </c>
      <c r="D40" s="106" t="n">
        <v>5272</v>
      </c>
      <c r="E40" s="106" t="n">
        <v>410</v>
      </c>
      <c r="F40" s="108" t="n">
        <v>15698.66</v>
      </c>
      <c r="G40" s="106" t="n">
        <v>50.6</v>
      </c>
      <c r="H40" s="116" t="n">
        <v>1.51</v>
      </c>
      <c r="I40" s="106" t="n">
        <v>7.78</v>
      </c>
      <c r="J40" s="106" t="n">
        <v>0.72</v>
      </c>
      <c r="K40" s="108" t="n">
        <v>32117.05</v>
      </c>
      <c r="L40" s="106" t="n">
        <v>874</v>
      </c>
      <c r="M40" s="106" t="n">
        <v>854</v>
      </c>
      <c r="N40" s="116" t="n">
        <v>36.75</v>
      </c>
      <c r="O40" s="106" t="n">
        <v>21160</v>
      </c>
      <c r="P40" s="106" t="n">
        <v>4.13</v>
      </c>
      <c r="Q40" s="106" t="n">
        <v>24.8</v>
      </c>
      <c r="R40" s="106" t="n">
        <v>-549.03</v>
      </c>
      <c r="S40" s="106" t="n">
        <v>-59.96</v>
      </c>
      <c r="T40" s="106" t="n">
        <v>0</v>
      </c>
      <c r="U40" s="108" t="n">
        <v>129.62</v>
      </c>
      <c r="V40" s="106" t="n">
        <v>0.4</v>
      </c>
    </row>
    <row r="41" customFormat="false" ht="15" hidden="false" customHeight="false" outlineLevel="0" collapsed="false">
      <c r="A41" s="106" t="s">
        <v>1756</v>
      </c>
      <c r="B41" s="108" t="n">
        <v>5455.21</v>
      </c>
      <c r="C41" s="106" t="n">
        <v>500579</v>
      </c>
      <c r="D41" s="106" t="n">
        <v>3512</v>
      </c>
      <c r="E41" s="106" t="n">
        <v>275</v>
      </c>
      <c r="F41" s="108" t="n">
        <v>9891.19</v>
      </c>
      <c r="G41" s="106" t="n">
        <v>55.2</v>
      </c>
      <c r="H41" s="116" t="n">
        <v>1.55</v>
      </c>
      <c r="I41" s="106" t="n">
        <v>7.83</v>
      </c>
      <c r="J41" s="106" t="n">
        <v>0.7</v>
      </c>
      <c r="K41" s="108" t="n">
        <v>24315.34</v>
      </c>
      <c r="L41" s="106" t="n">
        <v>712</v>
      </c>
      <c r="M41" s="106" t="n">
        <v>698</v>
      </c>
      <c r="N41" s="116" t="n">
        <v>34.15</v>
      </c>
      <c r="O41" s="106" t="n">
        <v>17328</v>
      </c>
      <c r="P41" s="106" t="n">
        <v>4.11</v>
      </c>
      <c r="Q41" s="106" t="n">
        <v>22.4</v>
      </c>
      <c r="R41" s="106" t="n">
        <v>-534.28</v>
      </c>
      <c r="S41" s="106" t="n">
        <v>-83.74</v>
      </c>
      <c r="T41" s="106" t="n">
        <v>0</v>
      </c>
      <c r="U41" s="108" t="n">
        <v>-4761.13</v>
      </c>
      <c r="V41" s="106" t="n">
        <v>-19.58</v>
      </c>
    </row>
    <row r="42" customFormat="false" ht="15" hidden="false" customHeight="false" outlineLevel="0" collapsed="false">
      <c r="A42" s="106" t="s">
        <v>3301</v>
      </c>
      <c r="B42" s="108" t="n">
        <v>5824.25</v>
      </c>
      <c r="C42" s="106" t="n">
        <v>366139</v>
      </c>
      <c r="D42" s="106" t="n">
        <v>3166</v>
      </c>
      <c r="E42" s="106" t="n">
        <v>394</v>
      </c>
      <c r="F42" s="108" t="n">
        <v>15652.04</v>
      </c>
      <c r="G42" s="106" t="n">
        <v>37.2</v>
      </c>
      <c r="H42" s="116" t="n">
        <v>1.84</v>
      </c>
      <c r="I42" s="106" t="n">
        <v>12.44</v>
      </c>
      <c r="J42" s="106" t="n">
        <v>0.86</v>
      </c>
      <c r="K42" s="108" t="n">
        <v>44043.65</v>
      </c>
      <c r="L42" s="106" t="n">
        <v>1168</v>
      </c>
      <c r="M42" s="106" t="n">
        <v>1139</v>
      </c>
      <c r="N42" s="116" t="n">
        <v>37.71</v>
      </c>
      <c r="O42" s="106" t="n">
        <v>18748</v>
      </c>
      <c r="P42" s="106" t="n">
        <v>6.23</v>
      </c>
      <c r="Q42" s="106" t="n">
        <v>13.2</v>
      </c>
      <c r="R42" s="106" t="n">
        <v>-9115.27</v>
      </c>
      <c r="S42" s="106" t="n">
        <v>-605.25</v>
      </c>
      <c r="T42" s="106" t="n">
        <v>-5.01</v>
      </c>
      <c r="U42" s="108" t="n">
        <v>-4983.67</v>
      </c>
      <c r="V42" s="106" t="n">
        <v>-11.32</v>
      </c>
    </row>
    <row r="43" customFormat="false" ht="15" hidden="false" customHeight="false" outlineLevel="0" collapsed="false">
      <c r="A43" s="106" t="s">
        <v>1784</v>
      </c>
      <c r="B43" s="108" t="n">
        <v>3821.23</v>
      </c>
      <c r="C43" s="106" t="n">
        <v>262843</v>
      </c>
      <c r="D43" s="106" t="n">
        <v>1992</v>
      </c>
      <c r="E43" s="106" t="n">
        <v>153</v>
      </c>
      <c r="F43" s="108" t="n">
        <v>6558.17</v>
      </c>
      <c r="G43" s="106" t="n">
        <v>58.3</v>
      </c>
      <c r="H43" s="116" t="n">
        <v>1.92</v>
      </c>
      <c r="I43" s="106" t="n">
        <v>7.68</v>
      </c>
      <c r="J43" s="106" t="n">
        <v>0.76</v>
      </c>
      <c r="K43" s="108" t="n">
        <v>16310.7</v>
      </c>
      <c r="L43" s="106" t="n">
        <v>427</v>
      </c>
      <c r="M43" s="106" t="n">
        <v>419</v>
      </c>
      <c r="N43" s="116" t="n">
        <v>38.2</v>
      </c>
      <c r="O43" s="106" t="n">
        <v>13165</v>
      </c>
      <c r="P43" s="106" t="n">
        <v>3.24</v>
      </c>
      <c r="Q43" s="106" t="n">
        <v>23.4</v>
      </c>
      <c r="R43" s="106" t="n">
        <v>-558.23</v>
      </c>
      <c r="S43" s="106" t="n">
        <v>-1015.2</v>
      </c>
      <c r="T43" s="106" t="n">
        <v>-6.07</v>
      </c>
      <c r="U43" s="108" t="n">
        <v>-4994.82</v>
      </c>
      <c r="V43" s="106" t="n">
        <v>-30.62</v>
      </c>
    </row>
    <row r="44" customFormat="false" ht="15" hidden="false" customHeight="false" outlineLevel="0" collapsed="false">
      <c r="A44" s="106" t="s">
        <v>3302</v>
      </c>
      <c r="B44" s="108" t="n">
        <v>3011.47</v>
      </c>
      <c r="C44" s="106" t="n">
        <v>231206</v>
      </c>
      <c r="D44" s="106" t="n">
        <v>1642</v>
      </c>
      <c r="E44" s="106" t="n">
        <v>161</v>
      </c>
      <c r="F44" s="108" t="n">
        <v>6853.49</v>
      </c>
      <c r="G44" s="106" t="n">
        <v>43.9</v>
      </c>
      <c r="H44" s="116" t="n">
        <v>1.83</v>
      </c>
      <c r="I44" s="106" t="n">
        <v>9.81</v>
      </c>
      <c r="J44" s="106" t="n">
        <v>0.71</v>
      </c>
      <c r="K44" s="108" t="n">
        <v>18133.02</v>
      </c>
      <c r="L44" s="106" t="n">
        <v>459</v>
      </c>
      <c r="M44" s="106" t="n">
        <v>454</v>
      </c>
      <c r="N44" s="116" t="n">
        <v>39.51</v>
      </c>
      <c r="O44" s="106" t="n">
        <v>11025</v>
      </c>
      <c r="P44" s="106" t="n">
        <v>4.16</v>
      </c>
      <c r="Q44" s="106" t="n">
        <v>16.6</v>
      </c>
      <c r="R44" s="106" t="n">
        <v>-2638.69</v>
      </c>
      <c r="S44" s="106" t="n">
        <v>-1333.02</v>
      </c>
      <c r="T44" s="106" t="n">
        <v>-5.01</v>
      </c>
      <c r="U44" s="108" t="n">
        <v>-1286.26</v>
      </c>
      <c r="V44" s="106" t="n">
        <v>-7.09</v>
      </c>
    </row>
    <row r="45" customFormat="false" ht="15" hidden="false" customHeight="false" outlineLevel="0" collapsed="false">
      <c r="A45" s="106" t="s">
        <v>3303</v>
      </c>
      <c r="B45" s="108" t="n">
        <v>3964.49</v>
      </c>
      <c r="C45" s="106" t="n">
        <v>270206</v>
      </c>
      <c r="D45" s="106" t="n">
        <v>2282</v>
      </c>
      <c r="E45" s="106" t="n">
        <v>229</v>
      </c>
      <c r="F45" s="108" t="n">
        <v>9128.24</v>
      </c>
      <c r="G45" s="106" t="n">
        <v>43.4</v>
      </c>
      <c r="H45" s="116" t="n">
        <v>1.74</v>
      </c>
      <c r="I45" s="106" t="n">
        <v>10.04</v>
      </c>
      <c r="J45" s="106" t="n">
        <v>0.84</v>
      </c>
      <c r="K45" s="108" t="n">
        <v>29418.13</v>
      </c>
      <c r="L45" s="106" t="n">
        <v>782</v>
      </c>
      <c r="M45" s="106" t="n">
        <v>767</v>
      </c>
      <c r="N45" s="116" t="n">
        <v>37.62</v>
      </c>
      <c r="O45" s="106" t="n">
        <v>18396</v>
      </c>
      <c r="P45" s="106" t="n">
        <v>4.25</v>
      </c>
      <c r="Q45" s="106" t="n">
        <v>13.5</v>
      </c>
      <c r="R45" s="106" t="n">
        <v>-5390.76</v>
      </c>
      <c r="S45" s="106" t="n">
        <v>-3840.34</v>
      </c>
      <c r="T45" s="106" t="n">
        <v>0</v>
      </c>
      <c r="U45" s="108" t="n">
        <v>-4158.03</v>
      </c>
      <c r="V45" s="106" t="n">
        <v>-14.13</v>
      </c>
    </row>
    <row r="46" customFormat="false" ht="15" hidden="false" customHeight="false" outlineLevel="0" collapsed="false">
      <c r="A46" s="106" t="s">
        <v>3304</v>
      </c>
      <c r="B46" s="108" t="n">
        <v>4052.26</v>
      </c>
      <c r="C46" s="106" t="n">
        <v>220535</v>
      </c>
      <c r="D46" s="106" t="n">
        <v>2140</v>
      </c>
      <c r="E46" s="106" t="n">
        <v>313</v>
      </c>
      <c r="F46" s="108" t="n">
        <v>9317.57</v>
      </c>
      <c r="G46" s="106" t="n">
        <v>43.5</v>
      </c>
      <c r="H46" s="116" t="n">
        <v>1.89</v>
      </c>
      <c r="I46" s="106" t="n">
        <v>14.63</v>
      </c>
      <c r="J46" s="106" t="n">
        <v>0.97</v>
      </c>
      <c r="K46" s="108" t="n">
        <v>47636.17</v>
      </c>
      <c r="L46" s="106" t="n">
        <v>1823</v>
      </c>
      <c r="M46" s="106" t="n">
        <v>1771</v>
      </c>
      <c r="N46" s="116" t="n">
        <v>26.13</v>
      </c>
      <c r="O46" s="106" t="n">
        <v>35322</v>
      </c>
      <c r="P46" s="106" t="n">
        <v>5.16</v>
      </c>
      <c r="Q46" s="106" t="n">
        <v>8.5</v>
      </c>
      <c r="R46" s="106" t="n">
        <v>-630.79</v>
      </c>
      <c r="S46" s="106" t="n">
        <v>-3747.88</v>
      </c>
      <c r="T46" s="106" t="n">
        <v>0</v>
      </c>
      <c r="U46" s="108" t="n">
        <v>-4020.41</v>
      </c>
      <c r="V46" s="106" t="n">
        <v>-8.44</v>
      </c>
    </row>
    <row r="47" customFormat="false" ht="15" hidden="false" customHeight="false" outlineLevel="0" collapsed="false">
      <c r="A47" s="106" t="s">
        <v>3305</v>
      </c>
      <c r="B47" s="108" t="n">
        <v>4369.44</v>
      </c>
      <c r="C47" s="106" t="n">
        <v>270675</v>
      </c>
      <c r="D47" s="106" t="n">
        <v>2372</v>
      </c>
      <c r="E47" s="106" t="n">
        <v>252</v>
      </c>
      <c r="F47" s="108" t="n">
        <v>7665.82</v>
      </c>
      <c r="G47" s="106" t="n">
        <v>57</v>
      </c>
      <c r="H47" s="116" t="n">
        <v>1.84</v>
      </c>
      <c r="I47" s="106" t="n">
        <v>10.62</v>
      </c>
      <c r="J47" s="106" t="n">
        <v>0.88</v>
      </c>
      <c r="K47" s="108" t="n">
        <v>62212.06</v>
      </c>
      <c r="L47" s="106" t="n">
        <v>2220</v>
      </c>
      <c r="M47" s="106" t="n">
        <v>2169</v>
      </c>
      <c r="N47" s="116" t="n">
        <v>28.02</v>
      </c>
      <c r="O47" s="106" t="n">
        <v>51520</v>
      </c>
      <c r="P47" s="106" t="n">
        <v>4.31</v>
      </c>
      <c r="Q47" s="106" t="n">
        <v>7</v>
      </c>
      <c r="R47" s="106" t="n">
        <v>-335.15</v>
      </c>
      <c r="S47" s="106" t="n">
        <v>-2366.53</v>
      </c>
      <c r="T47" s="106" t="n">
        <v>0</v>
      </c>
      <c r="U47" s="108" t="n">
        <v>108.87</v>
      </c>
      <c r="V47" s="106" t="n">
        <v>0.17</v>
      </c>
    </row>
    <row r="48" customFormat="false" ht="15" hidden="false" customHeight="false" outlineLevel="0" collapsed="false">
      <c r="A48" s="106" t="s">
        <v>1775</v>
      </c>
      <c r="B48" s="108" t="n">
        <v>4742.28</v>
      </c>
      <c r="C48" s="106" t="n">
        <v>299472</v>
      </c>
      <c r="D48" s="106" t="n">
        <v>2589</v>
      </c>
      <c r="E48" s="106" t="n">
        <v>210</v>
      </c>
      <c r="F48" s="108" t="n">
        <v>8281.66</v>
      </c>
      <c r="G48" s="106" t="n">
        <v>57.3</v>
      </c>
      <c r="H48" s="116" t="n">
        <v>1.83</v>
      </c>
      <c r="I48" s="106" t="n">
        <v>8.11</v>
      </c>
      <c r="J48" s="106" t="n">
        <v>0.86</v>
      </c>
      <c r="K48" s="108" t="n">
        <v>63623.02</v>
      </c>
      <c r="L48" s="106" t="n">
        <v>1780</v>
      </c>
      <c r="M48" s="106" t="n">
        <v>1748</v>
      </c>
      <c r="N48" s="116" t="n">
        <v>35.74</v>
      </c>
      <c r="O48" s="106" t="n">
        <v>51373</v>
      </c>
      <c r="P48" s="106" t="n">
        <v>3.46</v>
      </c>
      <c r="Q48" s="106" t="n">
        <v>7.5</v>
      </c>
      <c r="R48" s="106" t="n">
        <v>-361.08</v>
      </c>
      <c r="S48" s="106" t="n">
        <v>-1790.31</v>
      </c>
      <c r="T48" s="106" t="n">
        <v>0</v>
      </c>
      <c r="U48" s="108" t="n">
        <v>9841.25</v>
      </c>
      <c r="V48" s="106" t="n">
        <v>15.47</v>
      </c>
    </row>
    <row r="49" customFormat="false" ht="15" hidden="false" customHeight="false" outlineLevel="0" collapsed="false">
      <c r="A49" s="106" t="s">
        <v>1776</v>
      </c>
      <c r="B49" s="108" t="n">
        <v>4381.52</v>
      </c>
      <c r="C49" s="106" t="n">
        <v>280720</v>
      </c>
      <c r="D49" s="106" t="n">
        <v>2445</v>
      </c>
      <c r="E49" s="106" t="n">
        <v>211</v>
      </c>
      <c r="F49" s="108" t="n">
        <v>8129.44</v>
      </c>
      <c r="G49" s="106" t="n">
        <v>53.9</v>
      </c>
      <c r="H49" s="116" t="n">
        <v>1.79</v>
      </c>
      <c r="I49" s="106" t="n">
        <v>8.63</v>
      </c>
      <c r="J49" s="106" t="n">
        <v>0.87</v>
      </c>
      <c r="K49" s="108" t="n">
        <v>64334.35</v>
      </c>
      <c r="L49" s="106" t="n">
        <v>1806</v>
      </c>
      <c r="M49" s="106" t="n">
        <v>1767</v>
      </c>
      <c r="N49" s="116" t="n">
        <v>35.62</v>
      </c>
      <c r="O49" s="106" t="n">
        <v>44250</v>
      </c>
      <c r="P49" s="106" t="n">
        <v>4.08</v>
      </c>
      <c r="Q49" s="106" t="n">
        <v>6.8</v>
      </c>
      <c r="R49" s="106" t="n">
        <v>-580.16</v>
      </c>
      <c r="S49" s="106" t="n">
        <v>-1196.28</v>
      </c>
      <c r="T49" s="106" t="n">
        <v>0</v>
      </c>
      <c r="U49" s="108" t="n">
        <v>9132</v>
      </c>
      <c r="V49" s="106" t="n">
        <v>14.19</v>
      </c>
    </row>
    <row r="50" customFormat="false" ht="15" hidden="false" customHeight="false" outlineLevel="0" collapsed="false">
      <c r="A50" s="106" t="s">
        <v>1779</v>
      </c>
      <c r="B50" s="108" t="n">
        <v>1891.01</v>
      </c>
      <c r="C50" s="106" t="n">
        <v>145104</v>
      </c>
      <c r="D50" s="106" t="n">
        <v>1060</v>
      </c>
      <c r="E50" s="106" t="n">
        <v>89</v>
      </c>
      <c r="F50" s="108" t="n">
        <v>3602.17</v>
      </c>
      <c r="G50" s="106" t="n">
        <v>52.5</v>
      </c>
      <c r="H50" s="116" t="n">
        <v>1.78</v>
      </c>
      <c r="I50" s="106" t="n">
        <v>8.4</v>
      </c>
      <c r="J50" s="106" t="n">
        <v>0.73</v>
      </c>
      <c r="K50" s="108" t="n">
        <v>29829.15</v>
      </c>
      <c r="L50" s="106" t="n">
        <v>782</v>
      </c>
      <c r="M50" s="106" t="n">
        <v>762</v>
      </c>
      <c r="N50" s="116" t="n">
        <v>38.14</v>
      </c>
      <c r="O50" s="106" t="n">
        <v>19750</v>
      </c>
      <c r="P50" s="106" t="n">
        <v>3.96</v>
      </c>
      <c r="Q50" s="106" t="n">
        <v>6.3</v>
      </c>
      <c r="R50" s="106" t="n">
        <v>-272.36</v>
      </c>
      <c r="S50" s="106" t="n">
        <v>-699.88</v>
      </c>
      <c r="T50" s="106" t="n">
        <v>0</v>
      </c>
      <c r="U50" s="108" t="n">
        <v>4512.6</v>
      </c>
      <c r="V50" s="106" t="n">
        <v>15.13</v>
      </c>
    </row>
    <row r="51" customFormat="false" ht="15" hidden="false" customHeight="false" outlineLevel="0" collapsed="false">
      <c r="A51" s="106" t="s">
        <v>3306</v>
      </c>
      <c r="B51" s="108" t="n">
        <v>1124.28</v>
      </c>
      <c r="C51" s="106" t="n">
        <v>87331</v>
      </c>
      <c r="D51" s="106" t="n">
        <v>550</v>
      </c>
      <c r="E51" s="106" t="n">
        <v>56</v>
      </c>
      <c r="F51" s="108" t="n">
        <v>2832.87</v>
      </c>
      <c r="G51" s="106" t="n">
        <v>39.7</v>
      </c>
      <c r="H51" s="116" t="n">
        <v>2.04</v>
      </c>
      <c r="I51" s="106" t="n">
        <v>10.18</v>
      </c>
      <c r="J51" s="106" t="n">
        <v>0.63</v>
      </c>
      <c r="K51" s="108" t="n">
        <v>11573.2</v>
      </c>
      <c r="L51" s="106" t="n">
        <v>298</v>
      </c>
      <c r="M51" s="106" t="n">
        <v>297</v>
      </c>
      <c r="N51" s="116" t="n">
        <v>38.84</v>
      </c>
      <c r="O51" s="106" t="n">
        <v>9519</v>
      </c>
      <c r="P51" s="106" t="n">
        <v>3.13</v>
      </c>
      <c r="Q51" s="106" t="n">
        <v>9.7</v>
      </c>
      <c r="R51" s="106" t="n">
        <v>0</v>
      </c>
      <c r="S51" s="106" t="n">
        <v>-557.68</v>
      </c>
      <c r="T51" s="106" t="n">
        <v>-36.13</v>
      </c>
      <c r="U51" s="108" t="n">
        <v>1249.21</v>
      </c>
      <c r="V51" s="106" t="n">
        <v>10.79</v>
      </c>
    </row>
    <row r="52" customFormat="false" ht="15" hidden="false" customHeight="false" outlineLevel="0" collapsed="false">
      <c r="A52" s="106" t="s">
        <v>3307</v>
      </c>
      <c r="B52" s="108" t="n">
        <v>731.4</v>
      </c>
      <c r="C52" s="106" t="n">
        <v>54514</v>
      </c>
      <c r="D52" s="106" t="n">
        <v>325</v>
      </c>
      <c r="E52" s="106" t="n">
        <v>28</v>
      </c>
      <c r="F52" s="108" t="n">
        <v>1389.09</v>
      </c>
      <c r="G52" s="106" t="n">
        <v>52.7</v>
      </c>
      <c r="H52" s="116" t="n">
        <v>2.25</v>
      </c>
      <c r="I52" s="106" t="n">
        <v>8.62</v>
      </c>
      <c r="J52" s="106" t="n">
        <v>0.6</v>
      </c>
      <c r="K52" s="108" t="n">
        <v>7080.28</v>
      </c>
      <c r="L52" s="106" t="n">
        <v>189</v>
      </c>
      <c r="M52" s="106" t="n">
        <v>184</v>
      </c>
      <c r="N52" s="116" t="n">
        <v>37.46</v>
      </c>
      <c r="O52" s="106" t="n">
        <v>5770</v>
      </c>
      <c r="P52" s="106" t="n">
        <v>3.28</v>
      </c>
      <c r="Q52" s="106" t="n">
        <v>10.3</v>
      </c>
      <c r="R52" s="106" t="n">
        <v>0</v>
      </c>
      <c r="S52" s="106" t="n">
        <v>-435.69</v>
      </c>
      <c r="T52" s="106" t="n">
        <v>0</v>
      </c>
      <c r="U52" s="108" t="n">
        <v>17.39</v>
      </c>
      <c r="V52" s="106" t="n">
        <v>0.25</v>
      </c>
    </row>
    <row r="53" customFormat="false" ht="15" hidden="false" customHeight="false" outlineLevel="0" collapsed="false">
      <c r="A53" s="106" t="s">
        <v>1721</v>
      </c>
      <c r="B53" s="108" t="n">
        <v>355.79</v>
      </c>
      <c r="C53" s="106" t="n">
        <v>37557</v>
      </c>
      <c r="D53" s="106" t="n">
        <v>186</v>
      </c>
      <c r="E53" s="106" t="n">
        <v>23</v>
      </c>
      <c r="F53" s="108" t="n">
        <v>1071.76</v>
      </c>
      <c r="G53" s="106" t="n">
        <v>33.2</v>
      </c>
      <c r="H53" s="116" t="n">
        <v>1.91</v>
      </c>
      <c r="I53" s="106" t="n">
        <v>12.37</v>
      </c>
      <c r="J53" s="106" t="n">
        <v>0.5</v>
      </c>
      <c r="K53" s="108" t="n">
        <v>5912.31</v>
      </c>
      <c r="L53" s="106" t="n">
        <v>152</v>
      </c>
      <c r="M53" s="106" t="n">
        <v>151</v>
      </c>
      <c r="N53" s="116" t="n">
        <v>38.9</v>
      </c>
      <c r="O53" s="106" t="n">
        <v>4245</v>
      </c>
      <c r="P53" s="106" t="n">
        <v>3.58</v>
      </c>
      <c r="Q53" s="106" t="n">
        <v>6</v>
      </c>
      <c r="R53" s="106" t="n">
        <v>0</v>
      </c>
      <c r="S53" s="106" t="n">
        <v>-396.21</v>
      </c>
      <c r="T53" s="106" t="n">
        <v>-36.13</v>
      </c>
      <c r="U53" s="108" t="n">
        <v>-817.92</v>
      </c>
      <c r="V53" s="106" t="n">
        <v>-13.83</v>
      </c>
    </row>
    <row r="54" customFormat="false" ht="15" hidden="false" customHeight="false" outlineLevel="0" collapsed="false">
      <c r="A54" s="106" t="s">
        <v>1709</v>
      </c>
      <c r="B54" s="108" t="n">
        <v>555.92</v>
      </c>
      <c r="C54" s="106" t="n">
        <v>52697</v>
      </c>
      <c r="D54" s="106" t="n">
        <v>308</v>
      </c>
      <c r="E54" s="106" t="n">
        <v>37</v>
      </c>
      <c r="F54" s="108" t="n">
        <v>1841.88</v>
      </c>
      <c r="G54" s="106" t="n">
        <v>30.2</v>
      </c>
      <c r="H54" s="116" t="n">
        <v>1.8</v>
      </c>
      <c r="I54" s="106" t="n">
        <v>12.01</v>
      </c>
      <c r="J54" s="106" t="n">
        <v>0.58</v>
      </c>
      <c r="K54" s="108" t="n">
        <v>9145</v>
      </c>
      <c r="L54" s="106" t="n">
        <v>240</v>
      </c>
      <c r="M54" s="106" t="n">
        <v>230</v>
      </c>
      <c r="N54" s="116" t="n">
        <v>38.1</v>
      </c>
      <c r="O54" s="106" t="n">
        <v>4956</v>
      </c>
      <c r="P54" s="106" t="n">
        <v>4.84</v>
      </c>
      <c r="Q54" s="106" t="n">
        <v>6.1</v>
      </c>
      <c r="R54" s="106" t="n">
        <v>0</v>
      </c>
      <c r="S54" s="106" t="n">
        <v>-336.2</v>
      </c>
      <c r="T54" s="106" t="n">
        <v>-8.96</v>
      </c>
      <c r="U54" s="108" t="n">
        <v>-702.38</v>
      </c>
      <c r="V54" s="106" t="n">
        <v>-7.68</v>
      </c>
    </row>
    <row r="55" customFormat="false" ht="15" hidden="false" customHeight="false" outlineLevel="0" collapsed="false">
      <c r="A55" s="106" t="s">
        <v>1718</v>
      </c>
      <c r="B55" s="108" t="n">
        <v>496.42</v>
      </c>
      <c r="C55" s="106" t="n">
        <v>50872</v>
      </c>
      <c r="D55" s="106" t="n">
        <v>280</v>
      </c>
      <c r="E55" s="106" t="n">
        <v>20</v>
      </c>
      <c r="F55" s="108" t="n">
        <v>1006.81</v>
      </c>
      <c r="G55" s="106" t="n">
        <v>49.3</v>
      </c>
      <c r="H55" s="116" t="n">
        <v>1.77</v>
      </c>
      <c r="I55" s="106" t="n">
        <v>7.14</v>
      </c>
      <c r="J55" s="106" t="n">
        <v>0.55</v>
      </c>
      <c r="K55" s="108" t="n">
        <v>7288.23</v>
      </c>
      <c r="L55" s="106" t="n">
        <v>182</v>
      </c>
      <c r="M55" s="106" t="n">
        <v>181</v>
      </c>
      <c r="N55" s="116" t="n">
        <v>40.05</v>
      </c>
      <c r="O55" s="106" t="n">
        <v>4605</v>
      </c>
      <c r="P55" s="106" t="n">
        <v>3.95</v>
      </c>
      <c r="Q55" s="106" t="n">
        <v>6.8</v>
      </c>
      <c r="R55" s="106" t="n">
        <v>0</v>
      </c>
      <c r="S55" s="106" t="n">
        <v>-324.52</v>
      </c>
      <c r="T55" s="106" t="n">
        <v>-16.09</v>
      </c>
      <c r="U55" s="108" t="n">
        <v>-1612.27</v>
      </c>
      <c r="V55" s="106" t="n">
        <v>-22.12</v>
      </c>
    </row>
    <row r="56" customFormat="false" ht="15" hidden="false" customHeight="false" outlineLevel="0" collapsed="false">
      <c r="A56" s="106" t="s">
        <v>1713</v>
      </c>
      <c r="B56" s="108" t="n">
        <v>297.32</v>
      </c>
      <c r="C56" s="106" t="n">
        <v>25256</v>
      </c>
      <c r="D56" s="106" t="n">
        <v>182</v>
      </c>
      <c r="E56" s="106" t="n">
        <v>22</v>
      </c>
      <c r="F56" s="108" t="n">
        <v>1070.69</v>
      </c>
      <c r="G56" s="106" t="n">
        <v>27.8</v>
      </c>
      <c r="H56" s="116" t="n">
        <v>1.63</v>
      </c>
      <c r="I56" s="106" t="n">
        <v>12.09</v>
      </c>
      <c r="J56" s="106" t="n">
        <v>0.72</v>
      </c>
      <c r="K56" s="108" t="n">
        <v>7462.52</v>
      </c>
      <c r="L56" s="106" t="n">
        <v>192</v>
      </c>
      <c r="M56" s="106" t="n">
        <v>190</v>
      </c>
      <c r="N56" s="116" t="n">
        <v>38.87</v>
      </c>
      <c r="O56" s="106" t="n">
        <v>4246</v>
      </c>
      <c r="P56" s="106" t="n">
        <v>4.52</v>
      </c>
      <c r="Q56" s="106" t="n">
        <v>4</v>
      </c>
      <c r="R56" s="106" t="n">
        <v>0</v>
      </c>
      <c r="S56" s="106" t="n">
        <v>-437.65</v>
      </c>
      <c r="T56" s="106" t="n">
        <v>-3.95</v>
      </c>
      <c r="U56" s="108" t="n">
        <v>-24.15</v>
      </c>
      <c r="V56" s="106" t="n">
        <v>-0.32</v>
      </c>
    </row>
    <row r="57" customFormat="false" ht="15" hidden="false" customHeight="false" outlineLevel="0" collapsed="false">
      <c r="A57" s="106" t="s">
        <v>1791</v>
      </c>
      <c r="B57" s="108" t="n">
        <v>130.64</v>
      </c>
      <c r="C57" s="106" t="n">
        <v>47891</v>
      </c>
      <c r="D57" s="106" t="n">
        <v>196</v>
      </c>
      <c r="E57" s="106" t="n">
        <v>16</v>
      </c>
      <c r="F57" s="108" t="n">
        <v>645.76</v>
      </c>
      <c r="G57" s="106" t="n">
        <v>20.2</v>
      </c>
      <c r="H57" s="116" t="n">
        <v>0.67</v>
      </c>
      <c r="I57" s="106" t="n">
        <v>8.16</v>
      </c>
      <c r="J57" s="106" t="n">
        <v>0.41</v>
      </c>
      <c r="K57" s="108" t="n">
        <v>10343.85</v>
      </c>
      <c r="L57" s="106" t="n">
        <v>269</v>
      </c>
      <c r="M57" s="106" t="n">
        <v>259</v>
      </c>
      <c r="N57" s="116" t="n">
        <v>38.45</v>
      </c>
      <c r="O57" s="106" t="n">
        <v>21974</v>
      </c>
      <c r="P57" s="106" t="n">
        <v>1.22</v>
      </c>
      <c r="Q57" s="106" t="n">
        <v>1.3</v>
      </c>
      <c r="R57" s="106" t="n">
        <v>0</v>
      </c>
      <c r="S57" s="106" t="n">
        <v>-450.28</v>
      </c>
      <c r="T57" s="106" t="n">
        <v>-10.02</v>
      </c>
      <c r="U57" s="108" t="n">
        <v>882.41</v>
      </c>
      <c r="V57" s="106" t="n">
        <v>8.53</v>
      </c>
    </row>
    <row r="58" customFormat="false" ht="15" hidden="false" customHeight="false" outlineLevel="0" collapsed="false">
      <c r="A58" s="106" t="s">
        <v>3308</v>
      </c>
      <c r="B58" s="108" t="n">
        <v>679.7</v>
      </c>
      <c r="C58" s="106" t="n">
        <v>73023</v>
      </c>
      <c r="D58" s="106" t="n">
        <v>1036</v>
      </c>
      <c r="E58" s="106" t="n">
        <v>60</v>
      </c>
      <c r="F58" s="108" t="n">
        <v>2548.76</v>
      </c>
      <c r="G58" s="106" t="n">
        <v>26.7</v>
      </c>
      <c r="H58" s="116" t="n">
        <v>0.66</v>
      </c>
      <c r="I58" s="106" t="n">
        <v>5.79</v>
      </c>
      <c r="J58" s="106" t="n">
        <v>1.42</v>
      </c>
      <c r="K58" s="108" t="n">
        <v>9148.92</v>
      </c>
      <c r="L58" s="106" t="n">
        <v>233</v>
      </c>
      <c r="M58" s="106" t="n">
        <v>231</v>
      </c>
      <c r="N58" s="116" t="n">
        <v>39.27</v>
      </c>
      <c r="O58" s="106" t="n">
        <v>7642</v>
      </c>
      <c r="P58" s="106" t="n">
        <v>3.05</v>
      </c>
      <c r="Q58" s="106" t="n">
        <v>7.4</v>
      </c>
      <c r="R58" s="106" t="n">
        <v>0</v>
      </c>
      <c r="S58" s="106" t="n">
        <v>-575.91</v>
      </c>
      <c r="T58" s="106" t="n">
        <v>0</v>
      </c>
      <c r="U58" s="108" t="n">
        <v>36.73</v>
      </c>
      <c r="V58" s="106" t="n">
        <v>0.4</v>
      </c>
    </row>
    <row r="59" customFormat="false" ht="15" hidden="false" customHeight="false" outlineLevel="0" collapsed="false">
      <c r="A59" s="106" t="s">
        <v>1745</v>
      </c>
      <c r="B59" s="108" t="n">
        <v>2722.21</v>
      </c>
      <c r="C59" s="106" t="n">
        <v>250300</v>
      </c>
      <c r="D59" s="106" t="n">
        <v>4508</v>
      </c>
      <c r="E59" s="106" t="n">
        <v>164</v>
      </c>
      <c r="F59" s="108" t="n">
        <v>6335.67</v>
      </c>
      <c r="G59" s="106" t="n">
        <v>43</v>
      </c>
      <c r="H59" s="116" t="n">
        <v>0.6</v>
      </c>
      <c r="I59" s="106" t="n">
        <v>3.64</v>
      </c>
      <c r="J59" s="106" t="n">
        <v>1.8</v>
      </c>
      <c r="K59" s="108" t="n">
        <v>13515.7</v>
      </c>
      <c r="L59" s="106" t="n">
        <v>349</v>
      </c>
      <c r="M59" s="106" t="n">
        <v>346</v>
      </c>
      <c r="N59" s="116" t="n">
        <v>38.73</v>
      </c>
      <c r="O59" s="106" t="n">
        <v>12942</v>
      </c>
      <c r="P59" s="106" t="n">
        <v>2.7</v>
      </c>
      <c r="Q59" s="106" t="n">
        <v>20.1</v>
      </c>
      <c r="R59" s="106" t="n">
        <v>0</v>
      </c>
      <c r="S59" s="106" t="n">
        <v>-991.13</v>
      </c>
      <c r="T59" s="106" t="n">
        <v>0</v>
      </c>
      <c r="U59" s="108" t="n">
        <v>-1118.07</v>
      </c>
      <c r="V59" s="106" t="n">
        <v>-8.27</v>
      </c>
    </row>
    <row r="60" customFormat="false" ht="15" hidden="false" customHeight="false" outlineLevel="0" collapsed="false">
      <c r="A60" s="106" t="s">
        <v>1773</v>
      </c>
      <c r="B60" s="108" t="n">
        <v>4830.98</v>
      </c>
      <c r="C60" s="106" t="n">
        <v>472957</v>
      </c>
      <c r="D60" s="106" t="n">
        <v>6616</v>
      </c>
      <c r="E60" s="106" t="n">
        <v>310</v>
      </c>
      <c r="F60" s="108" t="n">
        <v>11812.24</v>
      </c>
      <c r="G60" s="106" t="n">
        <v>40.9</v>
      </c>
      <c r="H60" s="116" t="n">
        <v>0.73</v>
      </c>
      <c r="I60" s="106" t="n">
        <v>4.69</v>
      </c>
      <c r="J60" s="106" t="n">
        <v>1.4</v>
      </c>
      <c r="K60" s="108" t="n">
        <v>20515.33</v>
      </c>
      <c r="L60" s="106" t="n">
        <v>557</v>
      </c>
      <c r="M60" s="106" t="n">
        <v>537</v>
      </c>
      <c r="N60" s="116" t="n">
        <v>36.83</v>
      </c>
      <c r="O60" s="106" t="n">
        <v>17754</v>
      </c>
      <c r="P60" s="106" t="n">
        <v>3.14</v>
      </c>
      <c r="Q60" s="106" t="n">
        <v>23.5</v>
      </c>
      <c r="R60" s="106" t="n">
        <v>0</v>
      </c>
      <c r="S60" s="106" t="n">
        <v>-1016.68</v>
      </c>
      <c r="T60" s="106" t="n">
        <v>0</v>
      </c>
      <c r="U60" s="108" t="n">
        <v>-1824.42</v>
      </c>
      <c r="V60" s="106" t="n">
        <v>-8.89</v>
      </c>
    </row>
    <row r="61" customFormat="false" ht="15" hidden="false" customHeight="false" outlineLevel="0" collapsed="false">
      <c r="A61" s="106" t="s">
        <v>1754</v>
      </c>
      <c r="B61" s="108" t="n">
        <v>3169.46</v>
      </c>
      <c r="C61" s="106" t="n">
        <v>308532</v>
      </c>
      <c r="D61" s="106" t="n">
        <v>3865</v>
      </c>
      <c r="E61" s="106" t="n">
        <v>187</v>
      </c>
      <c r="F61" s="108" t="n">
        <v>6833.5</v>
      </c>
      <c r="G61" s="106" t="n">
        <v>46.4</v>
      </c>
      <c r="H61" s="116" t="n">
        <v>0.82</v>
      </c>
      <c r="I61" s="106" t="n">
        <v>4.84</v>
      </c>
      <c r="J61" s="106" t="n">
        <v>1.25</v>
      </c>
      <c r="K61" s="108" t="n">
        <v>11922.15</v>
      </c>
      <c r="L61" s="106" t="n">
        <v>332</v>
      </c>
      <c r="M61" s="106" t="n">
        <v>325</v>
      </c>
      <c r="N61" s="116" t="n">
        <v>35.91</v>
      </c>
      <c r="O61" s="106" t="n">
        <v>10119</v>
      </c>
      <c r="P61" s="106" t="n">
        <v>3.28</v>
      </c>
      <c r="Q61" s="106" t="n">
        <v>26.6</v>
      </c>
      <c r="R61" s="106" t="n">
        <v>-156.32</v>
      </c>
      <c r="S61" s="106" t="n">
        <v>-951.4</v>
      </c>
      <c r="T61" s="106" t="n">
        <v>0</v>
      </c>
      <c r="U61" s="108" t="n">
        <v>-2363.69</v>
      </c>
      <c r="V61" s="106" t="n">
        <v>-19.83</v>
      </c>
    </row>
    <row r="62" customFormat="false" ht="15" hidden="false" customHeight="false" outlineLevel="0" collapsed="false">
      <c r="A62" s="106" t="s">
        <v>3309</v>
      </c>
      <c r="B62" s="108" t="n">
        <v>562.78</v>
      </c>
      <c r="C62" s="106" t="n">
        <v>80224</v>
      </c>
      <c r="D62" s="106" t="n">
        <v>643</v>
      </c>
      <c r="E62" s="106" t="n">
        <v>41</v>
      </c>
      <c r="F62" s="108" t="n">
        <v>1594.59</v>
      </c>
      <c r="G62" s="106" t="n">
        <v>35.3</v>
      </c>
      <c r="H62" s="116" t="n">
        <v>0.88</v>
      </c>
      <c r="I62" s="106" t="n">
        <v>6.38</v>
      </c>
      <c r="J62" s="106" t="n">
        <v>0.8</v>
      </c>
      <c r="K62" s="108" t="n">
        <v>6058.49</v>
      </c>
      <c r="L62" s="106" t="n">
        <v>166</v>
      </c>
      <c r="M62" s="106" t="n">
        <v>158</v>
      </c>
      <c r="N62" s="116" t="n">
        <v>36.5</v>
      </c>
      <c r="O62" s="106" t="n">
        <v>3901</v>
      </c>
      <c r="P62" s="106" t="n">
        <v>4.26</v>
      </c>
      <c r="Q62" s="106" t="n">
        <v>9.3</v>
      </c>
      <c r="R62" s="106" t="n">
        <v>-270.53</v>
      </c>
      <c r="S62" s="106" t="n">
        <v>-754.28</v>
      </c>
      <c r="T62" s="106" t="n">
        <v>-3371.24</v>
      </c>
      <c r="U62" s="108" t="n">
        <v>-4036.55</v>
      </c>
      <c r="V62" s="106" t="n">
        <v>-66.63</v>
      </c>
    </row>
    <row r="63" customFormat="false" ht="15" hidden="false" customHeight="false" outlineLevel="0" collapsed="false">
      <c r="A63" s="106" t="s">
        <v>1763</v>
      </c>
      <c r="B63" s="108" t="n">
        <v>3010.79</v>
      </c>
      <c r="C63" s="106" t="n">
        <v>78317</v>
      </c>
      <c r="D63" s="106" t="n">
        <v>1237</v>
      </c>
      <c r="E63" s="106" t="n">
        <v>94</v>
      </c>
      <c r="F63" s="108" t="n">
        <v>3950.97</v>
      </c>
      <c r="G63" s="106" t="n">
        <v>76.2</v>
      </c>
      <c r="H63" s="116" t="n">
        <v>2.43</v>
      </c>
      <c r="I63" s="106" t="n">
        <v>7.6</v>
      </c>
      <c r="J63" s="106" t="n">
        <v>1.58</v>
      </c>
      <c r="K63" s="108" t="n">
        <v>6735.5</v>
      </c>
      <c r="L63" s="106" t="n">
        <v>172</v>
      </c>
      <c r="M63" s="106" t="n">
        <v>169</v>
      </c>
      <c r="N63" s="116" t="n">
        <v>39.16</v>
      </c>
      <c r="O63" s="106" t="n">
        <v>4153</v>
      </c>
      <c r="P63" s="106" t="n">
        <v>4.14</v>
      </c>
      <c r="Q63" s="106" t="n">
        <v>44.7</v>
      </c>
      <c r="R63" s="106" t="n">
        <v>0</v>
      </c>
      <c r="S63" s="106" t="n">
        <v>-193.06</v>
      </c>
      <c r="T63" s="106" t="n">
        <v>0</v>
      </c>
      <c r="U63" s="108" t="n">
        <v>-2619.88</v>
      </c>
      <c r="V63" s="106" t="n">
        <v>-38.9</v>
      </c>
    </row>
    <row r="64" customFormat="false" ht="15" hidden="false" customHeight="false" outlineLevel="0" collapsed="false">
      <c r="A64" s="106" t="s">
        <v>3310</v>
      </c>
      <c r="B64" s="108" t="n">
        <v>601.55</v>
      </c>
      <c r="C64" s="106" t="n">
        <v>17510</v>
      </c>
      <c r="D64" s="106" t="n">
        <v>247</v>
      </c>
      <c r="E64" s="106" t="n">
        <v>20</v>
      </c>
      <c r="F64" s="108" t="n">
        <v>848.04</v>
      </c>
      <c r="G64" s="106" t="n">
        <v>70.9</v>
      </c>
      <c r="H64" s="116" t="n">
        <v>2.44</v>
      </c>
      <c r="I64" s="106" t="n">
        <v>8.1</v>
      </c>
      <c r="J64" s="106" t="n">
        <v>1.41</v>
      </c>
      <c r="K64" s="108" t="n">
        <v>1504.1</v>
      </c>
      <c r="L64" s="106" t="n">
        <v>38</v>
      </c>
      <c r="M64" s="106" t="n">
        <v>38</v>
      </c>
      <c r="N64" s="116" t="n">
        <v>39.58</v>
      </c>
      <c r="O64" s="106" t="n">
        <v>792</v>
      </c>
      <c r="P64" s="106" t="n">
        <v>4.8</v>
      </c>
      <c r="Q64" s="106" t="n">
        <v>40</v>
      </c>
      <c r="R64" s="106" t="n">
        <v>0</v>
      </c>
      <c r="S64" s="106" t="n">
        <v>0</v>
      </c>
      <c r="T64" s="106" t="n">
        <v>0</v>
      </c>
      <c r="U64" s="108" t="n">
        <v>-226.45</v>
      </c>
      <c r="V64" s="106" t="n">
        <v>-15.06</v>
      </c>
    </row>
    <row r="66" customFormat="false" ht="15" hidden="false" customHeight="false" outlineLevel="0" collapsed="false">
      <c r="A66" s="82" t="s">
        <v>3311</v>
      </c>
    </row>
    <row r="67" customFormat="false" ht="32.8" hidden="false" customHeight="false" outlineLevel="0" collapsed="false">
      <c r="A67" s="90" t="s">
        <v>3312</v>
      </c>
      <c r="B67" s="90" t="s">
        <v>3313</v>
      </c>
      <c r="C67" s="90" t="s">
        <v>3314</v>
      </c>
      <c r="D67" s="90" t="s">
        <v>3315</v>
      </c>
      <c r="E67" s="90" t="s">
        <v>3316</v>
      </c>
      <c r="F67" s="90" t="s">
        <v>3317</v>
      </c>
      <c r="G67" s="90" t="s">
        <v>3318</v>
      </c>
      <c r="H67" s="90" t="s">
        <v>3319</v>
      </c>
      <c r="I67" s="90" t="s">
        <v>3276</v>
      </c>
      <c r="J67" s="90" t="s">
        <v>3320</v>
      </c>
      <c r="K67" s="90" t="s">
        <v>3321</v>
      </c>
      <c r="L67" s="90" t="s">
        <v>3282</v>
      </c>
      <c r="M67" s="90" t="s">
        <v>3283</v>
      </c>
      <c r="N67" s="90" t="s">
        <v>3285</v>
      </c>
      <c r="O67" s="90" t="s">
        <v>3286</v>
      </c>
      <c r="P67" s="90" t="s">
        <v>3287</v>
      </c>
      <c r="Q67" s="90" t="s">
        <v>3322</v>
      </c>
      <c r="R67" s="90" t="s">
        <v>3323</v>
      </c>
      <c r="S67" s="90" t="s">
        <v>3324</v>
      </c>
      <c r="T67" s="90" t="s">
        <v>3325</v>
      </c>
      <c r="U67" s="90" t="s">
        <v>3292</v>
      </c>
    </row>
    <row r="68" customFormat="false" ht="15" hidden="false" customHeight="false" outlineLevel="0" collapsed="false">
      <c r="A68" s="106" t="s">
        <v>3326</v>
      </c>
      <c r="B68" s="108" t="s">
        <v>3327</v>
      </c>
      <c r="C68" s="108" t="s">
        <v>3328</v>
      </c>
      <c r="D68" s="106" t="s">
        <v>3329</v>
      </c>
      <c r="E68" s="106" t="s">
        <v>3330</v>
      </c>
      <c r="F68" s="106" t="s">
        <v>3331</v>
      </c>
      <c r="G68" s="106" t="s">
        <v>3332</v>
      </c>
      <c r="H68" s="106" t="s">
        <v>3333</v>
      </c>
      <c r="I68" s="106" t="s">
        <v>3334</v>
      </c>
      <c r="J68" s="106" t="s">
        <v>3335</v>
      </c>
      <c r="K68" s="106" t="s">
        <v>3336</v>
      </c>
      <c r="L68" s="108" t="s">
        <v>3337</v>
      </c>
      <c r="M68" s="106" t="s">
        <v>3338</v>
      </c>
      <c r="N68" s="106" t="s">
        <v>3339</v>
      </c>
      <c r="O68" s="106" t="s">
        <v>3340</v>
      </c>
      <c r="P68" s="106" t="s">
        <v>3341</v>
      </c>
      <c r="Q68" s="106"/>
      <c r="R68" s="106" t="s">
        <v>3342</v>
      </c>
      <c r="S68" s="106" t="s">
        <v>3330</v>
      </c>
      <c r="T68" s="106" t="s">
        <v>3327</v>
      </c>
      <c r="U68" s="108" t="s">
        <v>3343</v>
      </c>
    </row>
    <row r="69" customFormat="false" ht="15" hidden="false" customHeight="false" outlineLevel="0" collapsed="false">
      <c r="A69" s="106" t="s">
        <v>3344</v>
      </c>
      <c r="B69" s="108" t="s">
        <v>3345</v>
      </c>
      <c r="C69" s="108" t="s">
        <v>3346</v>
      </c>
      <c r="D69" s="106" t="s">
        <v>3347</v>
      </c>
      <c r="E69" s="106" t="s">
        <v>3348</v>
      </c>
      <c r="F69" s="106" t="s">
        <v>3349</v>
      </c>
      <c r="G69" s="106" t="s">
        <v>3350</v>
      </c>
      <c r="H69" s="106" t="s">
        <v>3351</v>
      </c>
      <c r="I69" s="106" t="s">
        <v>3352</v>
      </c>
      <c r="J69" s="106" t="s">
        <v>3353</v>
      </c>
      <c r="K69" s="106" t="s">
        <v>3354</v>
      </c>
      <c r="L69" s="108" t="s">
        <v>3355</v>
      </c>
      <c r="M69" s="106" t="s">
        <v>3356</v>
      </c>
      <c r="N69" s="106" t="s">
        <v>3357</v>
      </c>
      <c r="O69" s="106" t="s">
        <v>3358</v>
      </c>
      <c r="P69" s="106" t="s">
        <v>3359</v>
      </c>
      <c r="Q69" s="106"/>
      <c r="R69" s="106" t="s">
        <v>3360</v>
      </c>
      <c r="S69" s="106" t="s">
        <v>3348</v>
      </c>
      <c r="T69" s="106" t="s">
        <v>3345</v>
      </c>
      <c r="U69" s="108" t="s">
        <v>3361</v>
      </c>
    </row>
    <row r="70" customFormat="false" ht="15" hidden="false" customHeight="false" outlineLevel="0" collapsed="false">
      <c r="A70" s="106" t="s">
        <v>3362</v>
      </c>
      <c r="B70" s="108" t="s">
        <v>3363</v>
      </c>
      <c r="C70" s="108" t="s">
        <v>3364</v>
      </c>
      <c r="D70" s="106" t="s">
        <v>3365</v>
      </c>
      <c r="E70" s="106" t="s">
        <v>3366</v>
      </c>
      <c r="F70" s="106" t="s">
        <v>3367</v>
      </c>
      <c r="G70" s="106" t="s">
        <v>3368</v>
      </c>
      <c r="H70" s="106" t="s">
        <v>3369</v>
      </c>
      <c r="I70" s="106" t="s">
        <v>3370</v>
      </c>
      <c r="J70" s="106" t="s">
        <v>3371</v>
      </c>
      <c r="K70" s="106" t="s">
        <v>3372</v>
      </c>
      <c r="L70" s="108" t="s">
        <v>3373</v>
      </c>
      <c r="M70" s="106" t="s">
        <v>3374</v>
      </c>
      <c r="N70" s="106" t="s">
        <v>3375</v>
      </c>
      <c r="O70" s="106" t="s">
        <v>3376</v>
      </c>
      <c r="P70" s="106" t="s">
        <v>3377</v>
      </c>
      <c r="Q70" s="106"/>
      <c r="R70" s="106" t="s">
        <v>3378</v>
      </c>
      <c r="S70" s="106" t="s">
        <v>3379</v>
      </c>
      <c r="T70" s="106" t="s">
        <v>3380</v>
      </c>
      <c r="U70" s="108" t="s">
        <v>3381</v>
      </c>
    </row>
    <row r="71" customFormat="false" ht="15" hidden="false" customHeight="false" outlineLevel="0" collapsed="false">
      <c r="A71" s="106" t="s">
        <v>3382</v>
      </c>
      <c r="B71" s="108" t="s">
        <v>3383</v>
      </c>
      <c r="C71" s="108" t="s">
        <v>3384</v>
      </c>
      <c r="D71" s="106" t="s">
        <v>3385</v>
      </c>
      <c r="E71" s="106" t="s">
        <v>3386</v>
      </c>
      <c r="F71" s="106" t="s">
        <v>3387</v>
      </c>
      <c r="G71" s="106" t="s">
        <v>3388</v>
      </c>
      <c r="H71" s="106" t="s">
        <v>3389</v>
      </c>
      <c r="I71" s="106" t="s">
        <v>3390</v>
      </c>
      <c r="J71" s="106" t="s">
        <v>3391</v>
      </c>
      <c r="K71" s="106" t="s">
        <v>3392</v>
      </c>
      <c r="L71" s="108" t="s">
        <v>3393</v>
      </c>
      <c r="M71" s="106" t="s">
        <v>3394</v>
      </c>
      <c r="N71" s="106" t="s">
        <v>3395</v>
      </c>
      <c r="O71" s="106" t="s">
        <v>3396</v>
      </c>
      <c r="P71" s="106" t="s">
        <v>3397</v>
      </c>
      <c r="Q71" s="106"/>
      <c r="R71" s="106" t="s">
        <v>3398</v>
      </c>
      <c r="S71" s="106" t="s">
        <v>3399</v>
      </c>
      <c r="T71" s="106" t="s">
        <v>3400</v>
      </c>
      <c r="U71" s="108" t="s">
        <v>3401</v>
      </c>
    </row>
    <row r="72" customFormat="false" ht="15" hidden="false" customHeight="false" outlineLevel="0" collapsed="false">
      <c r="A72" s="106" t="s">
        <v>3402</v>
      </c>
      <c r="B72" s="108" t="s">
        <v>3403</v>
      </c>
      <c r="C72" s="108" t="s">
        <v>3404</v>
      </c>
      <c r="D72" s="106" t="s">
        <v>3405</v>
      </c>
      <c r="E72" s="106" t="s">
        <v>3406</v>
      </c>
      <c r="F72" s="106" t="s">
        <v>3407</v>
      </c>
      <c r="G72" s="106" t="s">
        <v>3408</v>
      </c>
      <c r="H72" s="106" t="s">
        <v>3409</v>
      </c>
      <c r="I72" s="106" t="s">
        <v>3410</v>
      </c>
      <c r="J72" s="106" t="s">
        <v>3411</v>
      </c>
      <c r="K72" s="106" t="s">
        <v>3412</v>
      </c>
      <c r="L72" s="108" t="s">
        <v>3413</v>
      </c>
      <c r="M72" s="106" t="s">
        <v>3414</v>
      </c>
      <c r="N72" s="106" t="s">
        <v>3415</v>
      </c>
      <c r="O72" s="106" t="s">
        <v>3416</v>
      </c>
      <c r="P72" s="106" t="s">
        <v>3417</v>
      </c>
      <c r="Q72" s="106"/>
      <c r="R72" s="106" t="s">
        <v>3418</v>
      </c>
      <c r="S72" s="106" t="s">
        <v>3419</v>
      </c>
      <c r="T72" s="106" t="s">
        <v>3420</v>
      </c>
      <c r="U72" s="108" t="s">
        <v>3421</v>
      </c>
    </row>
    <row r="73" customFormat="false" ht="15" hidden="false" customHeight="false" outlineLevel="0" collapsed="false">
      <c r="A73" s="106" t="s">
        <v>3422</v>
      </c>
      <c r="B73" s="108" t="s">
        <v>3423</v>
      </c>
      <c r="C73" s="108" t="s">
        <v>3424</v>
      </c>
      <c r="D73" s="106" t="s">
        <v>3425</v>
      </c>
      <c r="E73" s="106" t="s">
        <v>3426</v>
      </c>
      <c r="F73" s="106" t="s">
        <v>3427</v>
      </c>
      <c r="G73" s="106" t="s">
        <v>3331</v>
      </c>
      <c r="H73" s="106" t="s">
        <v>3428</v>
      </c>
      <c r="I73" s="106" t="s">
        <v>3429</v>
      </c>
      <c r="J73" s="106" t="s">
        <v>3430</v>
      </c>
      <c r="K73" s="106" t="s">
        <v>3431</v>
      </c>
      <c r="L73" s="108" t="s">
        <v>3432</v>
      </c>
      <c r="M73" s="106" t="s">
        <v>3433</v>
      </c>
      <c r="N73" s="106" t="s">
        <v>3434</v>
      </c>
      <c r="O73" s="106" t="s">
        <v>3435</v>
      </c>
      <c r="P73" s="106" t="s">
        <v>1884</v>
      </c>
      <c r="Q73" s="106"/>
      <c r="R73" s="106" t="s">
        <v>3436</v>
      </c>
      <c r="S73" s="106" t="s">
        <v>3437</v>
      </c>
      <c r="T73" s="106" t="s">
        <v>3438</v>
      </c>
      <c r="U73" s="108" t="s">
        <v>3439</v>
      </c>
    </row>
    <row r="74" customFormat="false" ht="15" hidden="false" customHeight="false" outlineLevel="0" collapsed="false">
      <c r="A74" s="106" t="s">
        <v>3440</v>
      </c>
      <c r="B74" s="108" t="s">
        <v>3441</v>
      </c>
      <c r="C74" s="108" t="s">
        <v>3442</v>
      </c>
      <c r="D74" s="106" t="s">
        <v>3443</v>
      </c>
      <c r="E74" s="106" t="s">
        <v>3444</v>
      </c>
      <c r="F74" s="106" t="s">
        <v>3445</v>
      </c>
      <c r="G74" s="106" t="s">
        <v>3446</v>
      </c>
      <c r="H74" s="106" t="s">
        <v>3447</v>
      </c>
      <c r="I74" s="106" t="s">
        <v>3448</v>
      </c>
      <c r="J74" s="106" t="s">
        <v>3449</v>
      </c>
      <c r="K74" s="106" t="s">
        <v>3450</v>
      </c>
      <c r="L74" s="108" t="s">
        <v>3451</v>
      </c>
      <c r="M74" s="106" t="s">
        <v>3452</v>
      </c>
      <c r="N74" s="106" t="s">
        <v>3453</v>
      </c>
      <c r="O74" s="106" t="s">
        <v>3454</v>
      </c>
      <c r="P74" s="106" t="s">
        <v>3455</v>
      </c>
      <c r="Q74" s="106"/>
      <c r="R74" s="106" t="s">
        <v>3456</v>
      </c>
      <c r="S74" s="106" t="s">
        <v>3457</v>
      </c>
      <c r="T74" s="106" t="s">
        <v>3441</v>
      </c>
      <c r="U74" s="108" t="s">
        <v>3458</v>
      </c>
    </row>
    <row r="75" customFormat="false" ht="15" hidden="false" customHeight="false" outlineLevel="0" collapsed="false">
      <c r="A75" s="106" t="s">
        <v>3459</v>
      </c>
      <c r="B75" s="108" t="s">
        <v>3460</v>
      </c>
      <c r="C75" s="108" t="s">
        <v>3461</v>
      </c>
      <c r="D75" s="106" t="s">
        <v>3462</v>
      </c>
      <c r="E75" s="106" t="s">
        <v>3463</v>
      </c>
      <c r="F75" s="106" t="s">
        <v>3464</v>
      </c>
      <c r="G75" s="106" t="s">
        <v>3465</v>
      </c>
      <c r="H75" s="106" t="s">
        <v>3466</v>
      </c>
      <c r="I75" s="106" t="s">
        <v>3467</v>
      </c>
      <c r="J75" s="106" t="s">
        <v>3468</v>
      </c>
      <c r="K75" s="106" t="s">
        <v>3469</v>
      </c>
      <c r="L75" s="108" t="s">
        <v>3470</v>
      </c>
      <c r="M75" s="106" t="s">
        <v>3471</v>
      </c>
      <c r="N75" s="106" t="s">
        <v>3472</v>
      </c>
      <c r="O75" s="106" t="s">
        <v>3473</v>
      </c>
      <c r="P75" s="106" t="s">
        <v>3474</v>
      </c>
      <c r="Q75" s="106"/>
      <c r="R75" s="106" t="s">
        <v>3475</v>
      </c>
      <c r="S75" s="106" t="s">
        <v>3386</v>
      </c>
      <c r="T75" s="106" t="s">
        <v>3476</v>
      </c>
      <c r="U75" s="108" t="s">
        <v>3477</v>
      </c>
    </row>
    <row r="76" customFormat="false" ht="15" hidden="false" customHeight="false" outlineLevel="0" collapsed="false">
      <c r="A76" s="106" t="s">
        <v>3478</v>
      </c>
      <c r="B76" s="108" t="s">
        <v>3479</v>
      </c>
      <c r="C76" s="108" t="s">
        <v>3480</v>
      </c>
      <c r="D76" s="106" t="s">
        <v>3481</v>
      </c>
      <c r="E76" s="106" t="s">
        <v>3482</v>
      </c>
      <c r="F76" s="106" t="s">
        <v>3483</v>
      </c>
      <c r="G76" s="106" t="s">
        <v>3484</v>
      </c>
      <c r="H76" s="106" t="s">
        <v>3485</v>
      </c>
      <c r="I76" s="106" t="s">
        <v>3486</v>
      </c>
      <c r="J76" s="106" t="s">
        <v>3487</v>
      </c>
      <c r="K76" s="106" t="s">
        <v>3488</v>
      </c>
      <c r="L76" s="108" t="s">
        <v>3489</v>
      </c>
      <c r="M76" s="106" t="s">
        <v>3490</v>
      </c>
      <c r="N76" s="106" t="s">
        <v>3491</v>
      </c>
      <c r="O76" s="106" t="s">
        <v>3492</v>
      </c>
      <c r="P76" s="106" t="s">
        <v>3493</v>
      </c>
      <c r="Q76" s="106"/>
      <c r="R76" s="106" t="s">
        <v>3494</v>
      </c>
      <c r="S76" s="106" t="s">
        <v>3495</v>
      </c>
      <c r="T76" s="106" t="s">
        <v>3496</v>
      </c>
      <c r="U76" s="108" t="s">
        <v>3497</v>
      </c>
    </row>
    <row r="77" customFormat="false" ht="15" hidden="false" customHeight="false" outlineLevel="0" collapsed="false">
      <c r="A77" s="106" t="s">
        <v>3498</v>
      </c>
      <c r="B77" s="108" t="s">
        <v>3499</v>
      </c>
      <c r="C77" s="108" t="s">
        <v>3500</v>
      </c>
      <c r="D77" s="106" t="s">
        <v>3501</v>
      </c>
      <c r="E77" s="106" t="s">
        <v>3502</v>
      </c>
      <c r="F77" s="106" t="s">
        <v>3503</v>
      </c>
      <c r="G77" s="106" t="s">
        <v>3504</v>
      </c>
      <c r="H77" s="106" t="s">
        <v>3505</v>
      </c>
      <c r="I77" s="106" t="s">
        <v>3506</v>
      </c>
      <c r="J77" s="106" t="s">
        <v>3507</v>
      </c>
      <c r="K77" s="106" t="s">
        <v>3508</v>
      </c>
      <c r="L77" s="108" t="s">
        <v>3509</v>
      </c>
      <c r="M77" s="106" t="s">
        <v>3510</v>
      </c>
      <c r="N77" s="106" t="s">
        <v>3511</v>
      </c>
      <c r="O77" s="106" t="s">
        <v>3512</v>
      </c>
      <c r="P77" s="106" t="s">
        <v>3513</v>
      </c>
      <c r="Q77" s="106"/>
      <c r="R77" s="106" t="s">
        <v>3514</v>
      </c>
      <c r="S77" s="106" t="s">
        <v>3515</v>
      </c>
      <c r="T77" s="106" t="s">
        <v>3516</v>
      </c>
      <c r="U77" s="108" t="s">
        <v>3517</v>
      </c>
    </row>
    <row r="78" customFormat="false" ht="15" hidden="false" customHeight="false" outlineLevel="0" collapsed="false">
      <c r="A78" s="106" t="s">
        <v>3518</v>
      </c>
      <c r="B78" s="108" t="s">
        <v>3519</v>
      </c>
      <c r="C78" s="108" t="s">
        <v>3520</v>
      </c>
      <c r="D78" s="106" t="s">
        <v>3521</v>
      </c>
      <c r="E78" s="106" t="s">
        <v>3522</v>
      </c>
      <c r="F78" s="106" t="s">
        <v>3523</v>
      </c>
      <c r="G78" s="106" t="s">
        <v>3524</v>
      </c>
      <c r="H78" s="106" t="s">
        <v>3525</v>
      </c>
      <c r="I78" s="106" t="s">
        <v>3526</v>
      </c>
      <c r="J78" s="106" t="s">
        <v>3527</v>
      </c>
      <c r="K78" s="106" t="s">
        <v>3528</v>
      </c>
      <c r="L78" s="108" t="s">
        <v>3529</v>
      </c>
      <c r="M78" s="106" t="s">
        <v>3530</v>
      </c>
      <c r="N78" s="106" t="s">
        <v>3531</v>
      </c>
      <c r="O78" s="106" t="s">
        <v>3532</v>
      </c>
      <c r="P78" s="106" t="s">
        <v>3533</v>
      </c>
      <c r="Q78" s="106"/>
      <c r="R78" s="106" t="s">
        <v>3534</v>
      </c>
      <c r="S78" s="106" t="s">
        <v>3535</v>
      </c>
      <c r="T78" s="106" t="s">
        <v>3536</v>
      </c>
      <c r="U78" s="108" t="s">
        <v>3537</v>
      </c>
    </row>
    <row r="79" customFormat="false" ht="15" hidden="false" customHeight="false" outlineLevel="0" collapsed="false">
      <c r="A79" s="106" t="s">
        <v>3538</v>
      </c>
      <c r="B79" s="108" t="s">
        <v>3539</v>
      </c>
      <c r="C79" s="108" t="s">
        <v>3540</v>
      </c>
      <c r="D79" s="106" t="s">
        <v>3541</v>
      </c>
      <c r="E79" s="106" t="s">
        <v>3542</v>
      </c>
      <c r="F79" s="106" t="s">
        <v>3543</v>
      </c>
      <c r="G79" s="106" t="s">
        <v>3544</v>
      </c>
      <c r="H79" s="106" t="s">
        <v>3545</v>
      </c>
      <c r="I79" s="106" t="s">
        <v>3546</v>
      </c>
      <c r="J79" s="106" t="s">
        <v>3547</v>
      </c>
      <c r="K79" s="106" t="s">
        <v>3548</v>
      </c>
      <c r="L79" s="108" t="s">
        <v>3549</v>
      </c>
      <c r="M79" s="106" t="s">
        <v>3550</v>
      </c>
      <c r="N79" s="106" t="s">
        <v>3551</v>
      </c>
      <c r="O79" s="106" t="s">
        <v>3552</v>
      </c>
      <c r="P79" s="106" t="s">
        <v>3553</v>
      </c>
      <c r="Q79" s="106"/>
      <c r="R79" s="106" t="s">
        <v>3554</v>
      </c>
      <c r="S79" s="106" t="s">
        <v>3555</v>
      </c>
      <c r="T79" s="106" t="s">
        <v>3556</v>
      </c>
      <c r="U79" s="108" t="s">
        <v>3557</v>
      </c>
    </row>
    <row r="80" customFormat="false" ht="15" hidden="false" customHeight="false" outlineLevel="0" collapsed="false">
      <c r="A80" s="106" t="s">
        <v>3558</v>
      </c>
      <c r="B80" s="108" t="s">
        <v>3559</v>
      </c>
      <c r="C80" s="108" t="s">
        <v>3560</v>
      </c>
      <c r="D80" s="106" t="s">
        <v>3561</v>
      </c>
      <c r="E80" s="106" t="s">
        <v>3562</v>
      </c>
      <c r="F80" s="106" t="s">
        <v>3563</v>
      </c>
      <c r="G80" s="106" t="s">
        <v>3564</v>
      </c>
      <c r="H80" s="106" t="s">
        <v>3565</v>
      </c>
      <c r="I80" s="106" t="s">
        <v>3566</v>
      </c>
      <c r="J80" s="106" t="s">
        <v>3567</v>
      </c>
      <c r="K80" s="106" t="s">
        <v>3568</v>
      </c>
      <c r="L80" s="108" t="s">
        <v>3569</v>
      </c>
      <c r="M80" s="106" t="s">
        <v>3570</v>
      </c>
      <c r="N80" s="106" t="s">
        <v>3571</v>
      </c>
      <c r="O80" s="106" t="s">
        <v>3572</v>
      </c>
      <c r="P80" s="106" t="s">
        <v>3573</v>
      </c>
      <c r="Q80" s="106"/>
      <c r="R80" s="106" t="s">
        <v>3574</v>
      </c>
      <c r="S80" s="106" t="s">
        <v>3575</v>
      </c>
      <c r="T80" s="106" t="s">
        <v>3576</v>
      </c>
      <c r="U80" s="108" t="s">
        <v>3577</v>
      </c>
    </row>
    <row r="81" customFormat="false" ht="15" hidden="false" customHeight="false" outlineLevel="0" collapsed="false">
      <c r="A81" s="106" t="s">
        <v>3578</v>
      </c>
      <c r="B81" s="108" t="s">
        <v>3579</v>
      </c>
      <c r="C81" s="108" t="s">
        <v>3580</v>
      </c>
      <c r="D81" s="106" t="s">
        <v>3581</v>
      </c>
      <c r="E81" s="106" t="s">
        <v>3582</v>
      </c>
      <c r="F81" s="106" t="s">
        <v>3583</v>
      </c>
      <c r="G81" s="106" t="s">
        <v>3584</v>
      </c>
      <c r="H81" s="106" t="s">
        <v>3585</v>
      </c>
      <c r="I81" s="106" t="s">
        <v>3586</v>
      </c>
      <c r="J81" s="106" t="s">
        <v>3587</v>
      </c>
      <c r="K81" s="106" t="s">
        <v>3588</v>
      </c>
      <c r="L81" s="108" t="s">
        <v>3589</v>
      </c>
      <c r="M81" s="106" t="s">
        <v>3590</v>
      </c>
      <c r="N81" s="106" t="s">
        <v>3591</v>
      </c>
      <c r="O81" s="106" t="s">
        <v>3592</v>
      </c>
      <c r="P81" s="106" t="s">
        <v>3593</v>
      </c>
      <c r="Q81" s="106"/>
      <c r="R81" s="106" t="s">
        <v>3594</v>
      </c>
      <c r="S81" s="106" t="s">
        <v>3595</v>
      </c>
      <c r="T81" s="106" t="s">
        <v>3596</v>
      </c>
      <c r="U81" s="108" t="s">
        <v>3597</v>
      </c>
    </row>
    <row r="83" customFormat="false" ht="15" hidden="false" customHeight="false" outlineLevel="0" collapsed="false">
      <c r="A83" s="82" t="s">
        <v>3598</v>
      </c>
    </row>
    <row r="84" customFormat="false" ht="22.35" hidden="false" customHeight="false" outlineLevel="0" collapsed="false">
      <c r="A84" s="90" t="s">
        <v>1664</v>
      </c>
      <c r="B84" s="90" t="s">
        <v>3312</v>
      </c>
      <c r="C84" s="90" t="s">
        <v>3599</v>
      </c>
      <c r="D84" s="90" t="s">
        <v>3283</v>
      </c>
      <c r="E84" s="90" t="s">
        <v>3600</v>
      </c>
      <c r="F84" s="90" t="s">
        <v>3601</v>
      </c>
      <c r="G84" s="90" t="s">
        <v>3285</v>
      </c>
      <c r="H84" s="90" t="s">
        <v>3286</v>
      </c>
      <c r="I84" s="90" t="s">
        <v>3319</v>
      </c>
      <c r="J84" s="90" t="s">
        <v>3602</v>
      </c>
      <c r="K84" s="90" t="s">
        <v>3603</v>
      </c>
      <c r="L84" s="90" t="s">
        <v>3604</v>
      </c>
      <c r="M84" s="90" t="s">
        <v>3605</v>
      </c>
      <c r="N84" s="90" t="s">
        <v>3606</v>
      </c>
      <c r="O84" s="90" t="s">
        <v>3607</v>
      </c>
    </row>
    <row r="85" customFormat="false" ht="15" hidden="false" customHeight="false" outlineLevel="0" collapsed="false">
      <c r="A85" s="106" t="s">
        <v>185</v>
      </c>
      <c r="B85" s="106" t="s">
        <v>3608</v>
      </c>
      <c r="C85" s="106" t="n">
        <v>12</v>
      </c>
      <c r="D85" s="106" t="n">
        <v>13908</v>
      </c>
      <c r="E85" s="106" t="n">
        <v>48</v>
      </c>
      <c r="F85" s="108" t="n">
        <v>478754</v>
      </c>
      <c r="G85" s="106" t="n">
        <v>34.42</v>
      </c>
      <c r="H85" s="106" t="n">
        <v>337728</v>
      </c>
      <c r="I85" s="106" t="n">
        <v>4.12</v>
      </c>
      <c r="J85" s="106" t="n">
        <v>4</v>
      </c>
      <c r="K85" s="108" t="n">
        <v>-13036</v>
      </c>
      <c r="L85" s="106" t="n">
        <v>-0.94</v>
      </c>
      <c r="M85" s="106" t="n">
        <v>6.71</v>
      </c>
      <c r="N85" s="108" t="n">
        <v>106426</v>
      </c>
      <c r="O85" s="106" t="n">
        <v>66.5</v>
      </c>
    </row>
    <row r="86" customFormat="false" ht="15" hidden="false" customHeight="false" outlineLevel="0" collapsed="false">
      <c r="A86" s="106" t="s">
        <v>560</v>
      </c>
      <c r="B86" s="106" t="s">
        <v>3608</v>
      </c>
      <c r="C86" s="106" t="n">
        <v>12</v>
      </c>
      <c r="D86" s="106" t="n">
        <v>7917</v>
      </c>
      <c r="E86" s="106" t="n">
        <v>27.3</v>
      </c>
      <c r="F86" s="108" t="n">
        <v>283059</v>
      </c>
      <c r="G86" s="106" t="n">
        <v>35.75</v>
      </c>
      <c r="H86" s="106" t="n">
        <v>161251</v>
      </c>
      <c r="I86" s="106" t="n">
        <v>4.91</v>
      </c>
      <c r="J86" s="106" t="n">
        <v>4.8</v>
      </c>
      <c r="K86" s="108" t="n">
        <v>9928</v>
      </c>
      <c r="L86" s="106" t="n">
        <v>1.25</v>
      </c>
      <c r="M86" s="106" t="n">
        <v>6.09</v>
      </c>
      <c r="N86" s="108" t="n">
        <v>38299</v>
      </c>
      <c r="O86" s="106" t="n">
        <v>23.9</v>
      </c>
    </row>
    <row r="87" customFormat="false" ht="15" hidden="false" customHeight="false" outlineLevel="0" collapsed="false">
      <c r="A87" s="106" t="s">
        <v>479</v>
      </c>
      <c r="B87" s="106" t="s">
        <v>3608</v>
      </c>
      <c r="C87" s="106" t="n">
        <v>12</v>
      </c>
      <c r="D87" s="106" t="n">
        <v>3318</v>
      </c>
      <c r="E87" s="106" t="n">
        <v>11.5</v>
      </c>
      <c r="F87" s="108" t="n">
        <v>106520</v>
      </c>
      <c r="G87" s="106" t="n">
        <v>32.1</v>
      </c>
      <c r="H87" s="106" t="n">
        <v>75427</v>
      </c>
      <c r="I87" s="106" t="n">
        <v>4.4</v>
      </c>
      <c r="J87" s="106" t="n">
        <v>5.1</v>
      </c>
      <c r="K87" s="108" t="n">
        <v>7571</v>
      </c>
      <c r="L87" s="106" t="n">
        <v>2.28</v>
      </c>
      <c r="M87" s="106" t="n">
        <v>4.5</v>
      </c>
      <c r="N87" s="108" t="n">
        <v>7344</v>
      </c>
      <c r="O87" s="106" t="n">
        <v>4.6</v>
      </c>
    </row>
    <row r="88" customFormat="false" ht="15" hidden="false" customHeight="false" outlineLevel="0" collapsed="false">
      <c r="A88" s="106" t="s">
        <v>1689</v>
      </c>
      <c r="B88" s="106" t="s">
        <v>3608</v>
      </c>
      <c r="C88" s="106" t="n">
        <v>12</v>
      </c>
      <c r="D88" s="106" t="n">
        <v>2205</v>
      </c>
      <c r="E88" s="106" t="n">
        <v>7.6</v>
      </c>
      <c r="F88" s="108" t="n">
        <v>78823</v>
      </c>
      <c r="G88" s="106" t="n">
        <v>35.75</v>
      </c>
      <c r="H88" s="106" t="n">
        <v>44491</v>
      </c>
      <c r="I88" s="106" t="n">
        <v>4.96</v>
      </c>
      <c r="J88" s="106" t="n">
        <v>4.2</v>
      </c>
      <c r="K88" s="108" t="n">
        <v>6216</v>
      </c>
      <c r="L88" s="106" t="n">
        <v>2.82</v>
      </c>
      <c r="M88" s="106" t="n">
        <v>4.18</v>
      </c>
      <c r="N88" s="108" t="n">
        <v>3002</v>
      </c>
      <c r="O88" s="106" t="n">
        <v>1.9</v>
      </c>
    </row>
    <row r="89" customFormat="false" ht="15" hidden="false" customHeight="false" outlineLevel="0" collapsed="false">
      <c r="A89" s="106" t="s">
        <v>696</v>
      </c>
      <c r="B89" s="106" t="s">
        <v>3608</v>
      </c>
      <c r="C89" s="106" t="n">
        <v>12</v>
      </c>
      <c r="D89" s="106" t="n">
        <v>1605</v>
      </c>
      <c r="E89" s="106" t="n">
        <v>5.5</v>
      </c>
      <c r="F89" s="108" t="n">
        <v>47827</v>
      </c>
      <c r="G89" s="106" t="n">
        <v>29.8</v>
      </c>
      <c r="H89" s="106" t="n">
        <v>68505</v>
      </c>
      <c r="I89" s="106" t="n">
        <v>2.34</v>
      </c>
      <c r="J89" s="106" t="n">
        <v>6.7</v>
      </c>
      <c r="K89" s="108" t="n">
        <v>-5127</v>
      </c>
      <c r="L89" s="106" t="n">
        <v>-3.19</v>
      </c>
      <c r="M89" s="106" t="n">
        <v>-0.1</v>
      </c>
      <c r="N89" s="108" t="n">
        <v>4972</v>
      </c>
      <c r="O89" s="106" t="n">
        <v>3.1</v>
      </c>
    </row>
    <row r="90" customFormat="false" ht="15" hidden="false" customHeight="false" outlineLevel="0" collapsed="false">
      <c r="A90" s="106" t="s">
        <v>185</v>
      </c>
      <c r="B90" s="106" t="s">
        <v>3609</v>
      </c>
      <c r="C90" s="106" t="n">
        <v>7</v>
      </c>
      <c r="D90" s="106" t="n">
        <v>269</v>
      </c>
      <c r="E90" s="106" t="n">
        <v>50.5</v>
      </c>
      <c r="F90" s="108" t="n">
        <v>9788</v>
      </c>
      <c r="G90" s="106" t="n">
        <v>36.39</v>
      </c>
      <c r="H90" s="106" t="n">
        <v>6108</v>
      </c>
      <c r="I90" s="106" t="n">
        <v>4.4</v>
      </c>
      <c r="J90" s="106" t="n">
        <v>8.2</v>
      </c>
      <c r="K90" s="108" t="n">
        <v>-1926</v>
      </c>
      <c r="L90" s="106" t="n">
        <v>-7.16</v>
      </c>
      <c r="M90" s="106" t="n">
        <v>4.77</v>
      </c>
      <c r="N90" s="108" t="n">
        <v>3208</v>
      </c>
      <c r="O90" s="106" t="n">
        <v>54.3</v>
      </c>
    </row>
    <row r="91" customFormat="false" ht="15" hidden="false" customHeight="false" outlineLevel="0" collapsed="false">
      <c r="A91" s="106" t="s">
        <v>479</v>
      </c>
      <c r="B91" s="106" t="s">
        <v>3609</v>
      </c>
      <c r="C91" s="106" t="n">
        <v>9</v>
      </c>
      <c r="D91" s="106" t="n">
        <v>110</v>
      </c>
      <c r="E91" s="106" t="n">
        <v>20.6</v>
      </c>
      <c r="F91" s="108" t="n">
        <v>3934</v>
      </c>
      <c r="G91" s="106" t="n">
        <v>35.77</v>
      </c>
      <c r="H91" s="106" t="n">
        <v>3010</v>
      </c>
      <c r="I91" s="106" t="n">
        <v>3.65</v>
      </c>
      <c r="J91" s="106" t="n">
        <v>5.5</v>
      </c>
      <c r="K91" s="108" t="n">
        <v>-872</v>
      </c>
      <c r="L91" s="106" t="n">
        <v>-7.92</v>
      </c>
      <c r="M91" s="106" t="n">
        <v>2.79</v>
      </c>
      <c r="N91" s="108" t="n">
        <v>1178</v>
      </c>
      <c r="O91" s="106" t="n">
        <v>20</v>
      </c>
    </row>
    <row r="92" customFormat="false" ht="15" hidden="false" customHeight="false" outlineLevel="0" collapsed="false">
      <c r="A92" s="106" t="s">
        <v>560</v>
      </c>
      <c r="B92" s="106" t="s">
        <v>3609</v>
      </c>
      <c r="C92" s="106" t="n">
        <v>5</v>
      </c>
      <c r="D92" s="106" t="n">
        <v>74</v>
      </c>
      <c r="E92" s="106" t="n">
        <v>13.9</v>
      </c>
      <c r="F92" s="108" t="n">
        <v>2914</v>
      </c>
      <c r="G92" s="106" t="n">
        <v>39.38</v>
      </c>
      <c r="H92" s="106" t="n">
        <v>1486</v>
      </c>
      <c r="I92" s="106" t="n">
        <v>4.98</v>
      </c>
      <c r="J92" s="106" t="n">
        <v>4.1</v>
      </c>
      <c r="K92" s="108" t="n">
        <v>-714</v>
      </c>
      <c r="L92" s="106" t="n">
        <v>-9.65</v>
      </c>
      <c r="M92" s="106" t="n">
        <v>3.82</v>
      </c>
      <c r="N92" s="108" t="n">
        <v>997</v>
      </c>
      <c r="O92" s="106" t="n">
        <v>16.9</v>
      </c>
    </row>
    <row r="93" customFormat="false" ht="15" hidden="false" customHeight="false" outlineLevel="0" collapsed="false">
      <c r="A93" s="106" t="s">
        <v>696</v>
      </c>
      <c r="B93" s="106" t="s">
        <v>3609</v>
      </c>
      <c r="C93" s="106" t="n">
        <v>8</v>
      </c>
      <c r="D93" s="106" t="n">
        <v>55</v>
      </c>
      <c r="E93" s="106" t="n">
        <v>10.3</v>
      </c>
      <c r="F93" s="108" t="n">
        <v>1887</v>
      </c>
      <c r="G93" s="106" t="n">
        <v>34.32</v>
      </c>
      <c r="H93" s="106" t="n">
        <v>2585</v>
      </c>
      <c r="I93" s="106" t="n">
        <v>2.13</v>
      </c>
      <c r="J93" s="106" t="n">
        <v>7.3</v>
      </c>
      <c r="K93" s="108" t="n">
        <v>-1160</v>
      </c>
      <c r="L93" s="106" t="n">
        <v>-21.09</v>
      </c>
      <c r="M93" s="106" t="n">
        <v>-13.13</v>
      </c>
      <c r="N93" s="108" t="n">
        <v>438</v>
      </c>
      <c r="O93" s="106" t="n">
        <v>7.4</v>
      </c>
    </row>
    <row r="94" customFormat="false" ht="15" hidden="false" customHeight="false" outlineLevel="0" collapsed="false">
      <c r="A94" s="106" t="s">
        <v>1689</v>
      </c>
      <c r="B94" s="106" t="s">
        <v>3609</v>
      </c>
      <c r="C94" s="106" t="n">
        <v>3</v>
      </c>
      <c r="D94" s="106" t="n">
        <v>25</v>
      </c>
      <c r="E94" s="106" t="n">
        <v>4.7</v>
      </c>
      <c r="F94" s="108" t="n">
        <v>996</v>
      </c>
      <c r="G94" s="106" t="n">
        <v>39.83</v>
      </c>
      <c r="H94" s="106" t="n">
        <v>509</v>
      </c>
      <c r="I94" s="106" t="n">
        <v>4.91</v>
      </c>
      <c r="J94" s="106" t="n">
        <v>4</v>
      </c>
      <c r="K94" s="108" t="n">
        <v>-56</v>
      </c>
      <c r="L94" s="106" t="n">
        <v>-2.26</v>
      </c>
      <c r="M94" s="106" t="n">
        <v>0.98</v>
      </c>
      <c r="N94" s="108" t="n">
        <v>81</v>
      </c>
      <c r="O94" s="106" t="n">
        <v>1.4</v>
      </c>
    </row>
    <row r="96" customFormat="false" ht="15" hidden="false" customHeight="false" outlineLevel="0" collapsed="false">
      <c r="A96" s="82" t="s">
        <v>3610</v>
      </c>
    </row>
    <row r="97" customFormat="false" ht="32.8" hidden="false" customHeight="false" outlineLevel="0" collapsed="false">
      <c r="A97" s="90" t="s">
        <v>1513</v>
      </c>
      <c r="B97" s="90" t="s">
        <v>1514</v>
      </c>
      <c r="C97" s="90" t="s">
        <v>1664</v>
      </c>
      <c r="D97" s="90" t="s">
        <v>1697</v>
      </c>
      <c r="E97" s="90" t="s">
        <v>3611</v>
      </c>
      <c r="F97" s="90" t="s">
        <v>3612</v>
      </c>
      <c r="G97" s="90" t="s">
        <v>3613</v>
      </c>
      <c r="H97" s="90" t="s">
        <v>3614</v>
      </c>
      <c r="I97" s="90" t="s">
        <v>3615</v>
      </c>
      <c r="J97" s="90" t="s">
        <v>3616</v>
      </c>
      <c r="K97" s="90" t="s">
        <v>3617</v>
      </c>
      <c r="L97" s="90" t="s">
        <v>3618</v>
      </c>
      <c r="M97" s="90" t="s">
        <v>3619</v>
      </c>
      <c r="N97" s="90" t="s">
        <v>3620</v>
      </c>
      <c r="O97" s="90" t="s">
        <v>3621</v>
      </c>
      <c r="P97" s="90" t="s">
        <v>3622</v>
      </c>
      <c r="Q97" s="90" t="s">
        <v>3623</v>
      </c>
      <c r="R97" s="90" t="s">
        <v>3624</v>
      </c>
    </row>
    <row r="98" customFormat="false" ht="15" hidden="false" customHeight="false" outlineLevel="0" collapsed="false">
      <c r="A98" s="106" t="s">
        <v>3625</v>
      </c>
      <c r="B98" s="106" t="s">
        <v>3626</v>
      </c>
      <c r="C98" s="106" t="s">
        <v>185</v>
      </c>
      <c r="D98" s="106" t="s">
        <v>1725</v>
      </c>
      <c r="E98" s="106" t="n">
        <v>1</v>
      </c>
      <c r="F98" s="106" t="n">
        <v>3559</v>
      </c>
      <c r="G98" s="108" t="n">
        <v>121350.61</v>
      </c>
      <c r="H98" s="106" t="n">
        <v>12.29</v>
      </c>
      <c r="I98" s="106" t="n">
        <v>2.63</v>
      </c>
      <c r="J98" s="106" t="n">
        <v>-14.28</v>
      </c>
      <c r="K98" s="108" t="n">
        <v>72491.09</v>
      </c>
      <c r="L98" s="106" t="n">
        <v>45.3</v>
      </c>
      <c r="M98" s="106" t="n">
        <v>73</v>
      </c>
      <c r="N98" s="106" t="n">
        <v>2.79</v>
      </c>
      <c r="O98" s="106" t="n">
        <v>-10.23</v>
      </c>
      <c r="P98" s="106" t="n">
        <v>0</v>
      </c>
      <c r="Q98" s="106" t="n">
        <v>0</v>
      </c>
      <c r="R98" s="106" t="s">
        <v>3627</v>
      </c>
    </row>
    <row r="99" customFormat="false" ht="15" hidden="false" customHeight="false" outlineLevel="0" collapsed="false">
      <c r="A99" s="106" t="s">
        <v>3628</v>
      </c>
      <c r="B99" s="106" t="s">
        <v>3629</v>
      </c>
      <c r="C99" s="106" t="s">
        <v>185</v>
      </c>
      <c r="D99" s="106" t="s">
        <v>1708</v>
      </c>
      <c r="E99" s="106" t="n">
        <v>2</v>
      </c>
      <c r="F99" s="106" t="n">
        <v>2065</v>
      </c>
      <c r="G99" s="108" t="n">
        <v>71717.62</v>
      </c>
      <c r="H99" s="106" t="n">
        <v>7.13</v>
      </c>
      <c r="I99" s="106" t="n">
        <v>5.11</v>
      </c>
      <c r="J99" s="106" t="n">
        <v>5.44</v>
      </c>
      <c r="K99" s="108" t="n">
        <v>4708.19</v>
      </c>
      <c r="L99" s="106" t="n">
        <v>2.9</v>
      </c>
      <c r="M99" s="106" t="n">
        <v>24</v>
      </c>
      <c r="N99" s="106" t="n">
        <v>6.03</v>
      </c>
      <c r="O99" s="106" t="n">
        <v>-2.18</v>
      </c>
      <c r="P99" s="106" t="n">
        <v>130</v>
      </c>
      <c r="Q99" s="106" t="n">
        <v>37</v>
      </c>
      <c r="R99" s="106" t="s">
        <v>3630</v>
      </c>
    </row>
    <row r="100" customFormat="false" ht="15" hidden="false" customHeight="false" outlineLevel="0" collapsed="false">
      <c r="A100" s="106" t="s">
        <v>3631</v>
      </c>
      <c r="B100" s="106" t="s">
        <v>3632</v>
      </c>
      <c r="C100" s="106" t="s">
        <v>185</v>
      </c>
      <c r="D100" s="106" t="s">
        <v>1733</v>
      </c>
      <c r="E100" s="106" t="n">
        <v>3</v>
      </c>
      <c r="F100" s="106" t="n">
        <v>1892</v>
      </c>
      <c r="G100" s="108" t="n">
        <v>66778.2</v>
      </c>
      <c r="H100" s="106" t="n">
        <v>6.53</v>
      </c>
      <c r="I100" s="106" t="n">
        <v>4.49</v>
      </c>
      <c r="J100" s="106" t="n">
        <v>0.59</v>
      </c>
      <c r="K100" s="108" t="n">
        <v>17146.52</v>
      </c>
      <c r="L100" s="106" t="n">
        <v>10.7</v>
      </c>
      <c r="M100" s="106" t="n">
        <v>30</v>
      </c>
      <c r="N100" s="106" t="n">
        <v>9.32</v>
      </c>
      <c r="O100" s="106" t="n">
        <v>5.23</v>
      </c>
      <c r="P100" s="106" t="n">
        <v>57</v>
      </c>
      <c r="Q100" s="106" t="n">
        <v>6</v>
      </c>
      <c r="R100" s="106" t="s">
        <v>3633</v>
      </c>
    </row>
    <row r="101" customFormat="false" ht="15" hidden="false" customHeight="false" outlineLevel="0" collapsed="false">
      <c r="A101" s="106" t="s">
        <v>3634</v>
      </c>
      <c r="B101" s="106" t="s">
        <v>3635</v>
      </c>
      <c r="C101" s="106" t="s">
        <v>560</v>
      </c>
      <c r="D101" s="106" t="s">
        <v>1708</v>
      </c>
      <c r="E101" s="106" t="n">
        <v>4</v>
      </c>
      <c r="F101" s="106" t="n">
        <v>1545</v>
      </c>
      <c r="G101" s="108" t="n">
        <v>55149.66</v>
      </c>
      <c r="H101" s="106" t="n">
        <v>5.34</v>
      </c>
      <c r="I101" s="106" t="n">
        <v>4.69</v>
      </c>
      <c r="J101" s="106" t="n">
        <v>-7.08</v>
      </c>
      <c r="K101" s="108" t="n">
        <v>21105.19</v>
      </c>
      <c r="L101" s="106" t="n">
        <v>13.2</v>
      </c>
      <c r="M101" s="106" t="n">
        <v>0</v>
      </c>
      <c r="N101" s="106"/>
      <c r="O101" s="106"/>
      <c r="P101" s="106" t="n">
        <v>0</v>
      </c>
      <c r="Q101" s="106" t="n">
        <v>0</v>
      </c>
      <c r="R101" s="106" t="s">
        <v>3636</v>
      </c>
    </row>
    <row r="102" customFormat="false" ht="15" hidden="false" customHeight="false" outlineLevel="0" collapsed="false">
      <c r="A102" s="106" t="s">
        <v>3637</v>
      </c>
      <c r="B102" s="106" t="s">
        <v>3638</v>
      </c>
      <c r="C102" s="106" t="s">
        <v>185</v>
      </c>
      <c r="D102" s="106" t="s">
        <v>1704</v>
      </c>
      <c r="E102" s="106" t="n">
        <v>5</v>
      </c>
      <c r="F102" s="106" t="n">
        <v>1495</v>
      </c>
      <c r="G102" s="108" t="n">
        <v>52924.89</v>
      </c>
      <c r="H102" s="106" t="n">
        <v>5.16</v>
      </c>
      <c r="I102" s="106" t="n">
        <v>5.78</v>
      </c>
      <c r="J102" s="106" t="n">
        <v>8.78</v>
      </c>
      <c r="K102" s="108" t="n">
        <v>8.59</v>
      </c>
      <c r="L102" s="106" t="n">
        <v>0</v>
      </c>
      <c r="M102" s="106" t="n">
        <v>0</v>
      </c>
      <c r="N102" s="106"/>
      <c r="O102" s="106"/>
      <c r="P102" s="106" t="n">
        <v>0</v>
      </c>
      <c r="Q102" s="106" t="n">
        <v>0</v>
      </c>
      <c r="R102" s="106" t="s">
        <v>3639</v>
      </c>
    </row>
    <row r="103" customFormat="false" ht="15" hidden="false" customHeight="false" outlineLevel="0" collapsed="false">
      <c r="A103" s="106" t="s">
        <v>3640</v>
      </c>
      <c r="B103" s="106" t="s">
        <v>3641</v>
      </c>
      <c r="C103" s="106" t="s">
        <v>560</v>
      </c>
      <c r="D103" s="106" t="s">
        <v>1725</v>
      </c>
      <c r="E103" s="106" t="n">
        <v>6</v>
      </c>
      <c r="F103" s="106" t="n">
        <v>1384</v>
      </c>
      <c r="G103" s="108" t="n">
        <v>49588.74</v>
      </c>
      <c r="H103" s="106" t="n">
        <v>4.78</v>
      </c>
      <c r="I103" s="106" t="n">
        <v>3.39</v>
      </c>
      <c r="J103" s="106" t="n">
        <v>-1.99</v>
      </c>
      <c r="K103" s="108" t="n">
        <v>12188.08</v>
      </c>
      <c r="L103" s="106" t="n">
        <v>7.6</v>
      </c>
      <c r="M103" s="106" t="n">
        <v>0</v>
      </c>
      <c r="N103" s="106"/>
      <c r="O103" s="106"/>
      <c r="P103" s="106" t="n">
        <v>0</v>
      </c>
      <c r="Q103" s="106" t="n">
        <v>0</v>
      </c>
      <c r="R103" s="106" t="s">
        <v>3639</v>
      </c>
    </row>
    <row r="104" customFormat="false" ht="15" hidden="false" customHeight="false" outlineLevel="0" collapsed="false">
      <c r="A104" s="106" t="s">
        <v>3642</v>
      </c>
      <c r="B104" s="106" t="s">
        <v>3643</v>
      </c>
      <c r="C104" s="106" t="s">
        <v>185</v>
      </c>
      <c r="D104" s="106" t="s">
        <v>1712</v>
      </c>
      <c r="E104" s="106" t="n">
        <v>7</v>
      </c>
      <c r="F104" s="106" t="n">
        <v>1269</v>
      </c>
      <c r="G104" s="108" t="n">
        <v>44000.53</v>
      </c>
      <c r="H104" s="106" t="n">
        <v>4.38</v>
      </c>
      <c r="I104" s="106" t="n">
        <v>7.63</v>
      </c>
      <c r="J104" s="106" t="n">
        <v>6.1</v>
      </c>
      <c r="K104" s="108" t="n">
        <v>1648.77</v>
      </c>
      <c r="L104" s="106" t="n">
        <v>1</v>
      </c>
      <c r="M104" s="106" t="n">
        <v>19</v>
      </c>
      <c r="N104" s="106" t="n">
        <v>2.31</v>
      </c>
      <c r="O104" s="106" t="n">
        <v>-68.68</v>
      </c>
      <c r="P104" s="106" t="n">
        <v>75</v>
      </c>
      <c r="Q104" s="106" t="n">
        <v>31</v>
      </c>
      <c r="R104" s="106" t="s">
        <v>3644</v>
      </c>
    </row>
    <row r="105" customFormat="false" ht="15" hidden="false" customHeight="false" outlineLevel="0" collapsed="false">
      <c r="A105" s="106" t="s">
        <v>3645</v>
      </c>
      <c r="B105" s="106" t="s">
        <v>3646</v>
      </c>
      <c r="C105" s="106" t="s">
        <v>560</v>
      </c>
      <c r="D105" s="106" t="s">
        <v>1704</v>
      </c>
      <c r="E105" s="106" t="n">
        <v>8</v>
      </c>
      <c r="F105" s="106" t="n">
        <v>1073</v>
      </c>
      <c r="G105" s="108" t="n">
        <v>38647.67</v>
      </c>
      <c r="H105" s="106" t="n">
        <v>3.71</v>
      </c>
      <c r="I105" s="106" t="n">
        <v>5.79</v>
      </c>
      <c r="J105" s="106" t="n">
        <v>5.75</v>
      </c>
      <c r="K105" s="108" t="n">
        <v>1358.41</v>
      </c>
      <c r="L105" s="106" t="n">
        <v>0.8</v>
      </c>
      <c r="M105" s="106" t="n">
        <v>29</v>
      </c>
      <c r="N105" s="106" t="n">
        <v>9.57</v>
      </c>
      <c r="O105" s="106" t="n">
        <v>-4.86</v>
      </c>
      <c r="P105" s="106" t="n">
        <v>61</v>
      </c>
      <c r="Q105" s="106" t="n">
        <v>12</v>
      </c>
      <c r="R105" s="106" t="s">
        <v>3647</v>
      </c>
    </row>
    <row r="106" customFormat="false" ht="15" hidden="false" customHeight="false" outlineLevel="0" collapsed="false">
      <c r="A106" s="106" t="s">
        <v>3648</v>
      </c>
      <c r="B106" s="106" t="s">
        <v>3649</v>
      </c>
      <c r="C106" s="106" t="s">
        <v>185</v>
      </c>
      <c r="D106" s="106" t="s">
        <v>1748</v>
      </c>
      <c r="E106" s="106" t="n">
        <v>9</v>
      </c>
      <c r="F106" s="106" t="n">
        <v>1027</v>
      </c>
      <c r="G106" s="108" t="n">
        <v>34649.38</v>
      </c>
      <c r="H106" s="106" t="n">
        <v>3.55</v>
      </c>
      <c r="I106" s="106" t="n">
        <v>4.3</v>
      </c>
      <c r="J106" s="106" t="n">
        <v>-1.18</v>
      </c>
      <c r="K106" s="108" t="n">
        <v>3720.4</v>
      </c>
      <c r="L106" s="106" t="n">
        <v>2.3</v>
      </c>
      <c r="M106" s="106" t="n">
        <v>60</v>
      </c>
      <c r="N106" s="106" t="n">
        <v>6.17</v>
      </c>
      <c r="O106" s="106" t="n">
        <v>-4.71</v>
      </c>
      <c r="P106" s="106" t="n">
        <v>37</v>
      </c>
      <c r="Q106" s="106" t="n">
        <v>0</v>
      </c>
      <c r="R106" s="106" t="s">
        <v>3650</v>
      </c>
    </row>
    <row r="107" customFormat="false" ht="15" hidden="false" customHeight="false" outlineLevel="0" collapsed="false">
      <c r="A107" s="106" t="s">
        <v>3651</v>
      </c>
      <c r="B107" s="106" t="s">
        <v>3652</v>
      </c>
      <c r="C107" s="106" t="s">
        <v>185</v>
      </c>
      <c r="D107" s="106" t="s">
        <v>1720</v>
      </c>
      <c r="E107" s="106" t="n">
        <v>10</v>
      </c>
      <c r="F107" s="106" t="n">
        <v>988</v>
      </c>
      <c r="G107" s="108" t="n">
        <v>33780.83</v>
      </c>
      <c r="H107" s="106" t="n">
        <v>3.41</v>
      </c>
      <c r="I107" s="106" t="n">
        <v>6.18</v>
      </c>
      <c r="J107" s="106" t="n">
        <v>4.27</v>
      </c>
      <c r="K107" s="108" t="n">
        <v>1543.87</v>
      </c>
      <c r="L107" s="106" t="n">
        <v>1</v>
      </c>
      <c r="M107" s="106" t="n">
        <v>0</v>
      </c>
      <c r="N107" s="106"/>
      <c r="O107" s="106"/>
      <c r="P107" s="106" t="n">
        <v>0</v>
      </c>
      <c r="Q107" s="106" t="n">
        <v>0</v>
      </c>
      <c r="R107" s="106" t="s">
        <v>3653</v>
      </c>
    </row>
    <row r="108" customFormat="false" ht="15" hidden="false" customHeight="false" outlineLevel="0" collapsed="false">
      <c r="A108" s="106" t="s">
        <v>3654</v>
      </c>
      <c r="B108" s="106" t="s">
        <v>3655</v>
      </c>
      <c r="C108" s="106" t="s">
        <v>560</v>
      </c>
      <c r="D108" s="106" t="s">
        <v>1733</v>
      </c>
      <c r="E108" s="106" t="n">
        <v>11</v>
      </c>
      <c r="F108" s="106" t="n">
        <v>952</v>
      </c>
      <c r="G108" s="108" t="n">
        <v>34711.92</v>
      </c>
      <c r="H108" s="106" t="n">
        <v>3.29</v>
      </c>
      <c r="I108" s="106" t="n">
        <v>5.74</v>
      </c>
      <c r="J108" s="106" t="n">
        <v>7.53</v>
      </c>
      <c r="K108" s="108" t="n">
        <v>802.09</v>
      </c>
      <c r="L108" s="106" t="n">
        <v>0.5</v>
      </c>
      <c r="M108" s="106" t="n">
        <v>9</v>
      </c>
      <c r="N108" s="106" t="n">
        <v>2.24</v>
      </c>
      <c r="O108" s="106" t="n">
        <v>-72.48</v>
      </c>
      <c r="P108" s="106" t="n">
        <v>12</v>
      </c>
      <c r="Q108" s="106" t="n">
        <v>0</v>
      </c>
      <c r="R108" s="106" t="s">
        <v>3656</v>
      </c>
    </row>
    <row r="109" customFormat="false" ht="15" hidden="false" customHeight="false" outlineLevel="0" collapsed="false">
      <c r="A109" s="106" t="s">
        <v>3657</v>
      </c>
      <c r="B109" s="106" t="s">
        <v>3658</v>
      </c>
      <c r="C109" s="106" t="s">
        <v>560</v>
      </c>
      <c r="D109" s="106" t="s">
        <v>1712</v>
      </c>
      <c r="E109" s="106" t="n">
        <v>12</v>
      </c>
      <c r="F109" s="106" t="n">
        <v>846</v>
      </c>
      <c r="G109" s="108" t="n">
        <v>30555.38</v>
      </c>
      <c r="H109" s="106" t="n">
        <v>2.92</v>
      </c>
      <c r="I109" s="106" t="n">
        <v>6.97</v>
      </c>
      <c r="J109" s="106" t="n">
        <v>6.01</v>
      </c>
      <c r="K109" s="108" t="n">
        <v>82</v>
      </c>
      <c r="L109" s="106" t="n">
        <v>0.1</v>
      </c>
      <c r="M109" s="106" t="n">
        <v>12</v>
      </c>
      <c r="N109" s="106" t="n">
        <v>6.67</v>
      </c>
      <c r="O109" s="106" t="n">
        <v>1.93</v>
      </c>
      <c r="P109" s="106" t="n">
        <v>72</v>
      </c>
      <c r="Q109" s="106" t="n">
        <v>0</v>
      </c>
      <c r="R109" s="106" t="s">
        <v>3659</v>
      </c>
    </row>
    <row r="110" customFormat="false" ht="15" hidden="false" customHeight="false" outlineLevel="0" collapsed="false">
      <c r="A110" s="106" t="s">
        <v>3660</v>
      </c>
      <c r="B110" s="106" t="s">
        <v>3661</v>
      </c>
      <c r="C110" s="106" t="s">
        <v>560</v>
      </c>
      <c r="D110" s="106" t="s">
        <v>1748</v>
      </c>
      <c r="E110" s="106" t="n">
        <v>13</v>
      </c>
      <c r="F110" s="106" t="n">
        <v>660</v>
      </c>
      <c r="G110" s="108" t="n">
        <v>23517.98</v>
      </c>
      <c r="H110" s="106" t="n">
        <v>2.28</v>
      </c>
      <c r="I110" s="106" t="n">
        <v>4.84</v>
      </c>
      <c r="J110" s="106" t="n">
        <v>3.67</v>
      </c>
      <c r="K110" s="108" t="n">
        <v>63.63</v>
      </c>
      <c r="L110" s="106" t="n">
        <v>0</v>
      </c>
      <c r="M110" s="106" t="n">
        <v>0</v>
      </c>
      <c r="N110" s="106"/>
      <c r="O110" s="106"/>
      <c r="P110" s="106" t="n">
        <v>0</v>
      </c>
      <c r="Q110" s="106" t="n">
        <v>0</v>
      </c>
      <c r="R110" s="106" t="s">
        <v>3639</v>
      </c>
    </row>
    <row r="111" customFormat="false" ht="15" hidden="false" customHeight="false" outlineLevel="0" collapsed="false">
      <c r="A111" s="106" t="s">
        <v>3662</v>
      </c>
      <c r="B111" s="106" t="s">
        <v>3663</v>
      </c>
      <c r="C111" s="106" t="s">
        <v>560</v>
      </c>
      <c r="D111" s="106" t="s">
        <v>1720</v>
      </c>
      <c r="E111" s="106" t="n">
        <v>14</v>
      </c>
      <c r="F111" s="106" t="n">
        <v>601</v>
      </c>
      <c r="G111" s="108" t="n">
        <v>21760.64</v>
      </c>
      <c r="H111" s="106" t="n">
        <v>2.08</v>
      </c>
      <c r="I111" s="106" t="n">
        <v>6.74</v>
      </c>
      <c r="J111" s="106" t="n">
        <v>0.79</v>
      </c>
      <c r="K111" s="108" t="n">
        <v>2692.65</v>
      </c>
      <c r="L111" s="106" t="n">
        <v>1.7</v>
      </c>
      <c r="M111" s="106" t="n">
        <v>0</v>
      </c>
      <c r="N111" s="106"/>
      <c r="O111" s="106"/>
      <c r="P111" s="106" t="n">
        <v>0</v>
      </c>
      <c r="Q111" s="106" t="n">
        <v>0</v>
      </c>
      <c r="R111" s="106" t="s">
        <v>3664</v>
      </c>
    </row>
    <row r="112" customFormat="false" ht="15" hidden="false" customHeight="false" outlineLevel="0" collapsed="false">
      <c r="A112" s="106" t="s">
        <v>3665</v>
      </c>
      <c r="B112" s="106" t="s">
        <v>3666</v>
      </c>
      <c r="C112" s="106" t="s">
        <v>185</v>
      </c>
      <c r="D112" s="106" t="s">
        <v>1752</v>
      </c>
      <c r="E112" s="106" t="n">
        <v>15</v>
      </c>
      <c r="F112" s="106" t="n">
        <v>493</v>
      </c>
      <c r="G112" s="108" t="n">
        <v>15804.29</v>
      </c>
      <c r="H112" s="106" t="n">
        <v>1.7</v>
      </c>
      <c r="I112" s="106" t="n">
        <v>3.77</v>
      </c>
      <c r="J112" s="106" t="n">
        <v>-10.17</v>
      </c>
      <c r="K112" s="108" t="n">
        <v>5132.93</v>
      </c>
      <c r="L112" s="106" t="n">
        <v>3.2</v>
      </c>
      <c r="M112" s="106" t="n">
        <v>0</v>
      </c>
      <c r="N112" s="106"/>
      <c r="O112" s="106"/>
      <c r="P112" s="106" t="n">
        <v>26</v>
      </c>
      <c r="Q112" s="106" t="n">
        <v>0</v>
      </c>
      <c r="R112" s="106" t="s">
        <v>3639</v>
      </c>
    </row>
    <row r="113" customFormat="false" ht="15" hidden="false" customHeight="false" outlineLevel="0" collapsed="false">
      <c r="A113" s="106" t="s">
        <v>3667</v>
      </c>
      <c r="B113" s="106" t="s">
        <v>3668</v>
      </c>
      <c r="C113" s="106" t="s">
        <v>479</v>
      </c>
      <c r="D113" s="106" t="s">
        <v>1725</v>
      </c>
      <c r="E113" s="106" t="n">
        <v>16</v>
      </c>
      <c r="F113" s="106" t="n">
        <v>472</v>
      </c>
      <c r="G113" s="108" t="n">
        <v>15487.53</v>
      </c>
      <c r="H113" s="106" t="n">
        <v>1.63</v>
      </c>
      <c r="I113" s="106" t="n">
        <v>4.56</v>
      </c>
      <c r="J113" s="106" t="n">
        <v>7.31</v>
      </c>
      <c r="K113" s="108" t="n">
        <v>12.05</v>
      </c>
      <c r="L113" s="106" t="n">
        <v>0</v>
      </c>
      <c r="M113" s="106" t="n">
        <v>0</v>
      </c>
      <c r="N113" s="106"/>
      <c r="O113" s="106"/>
      <c r="P113" s="106" t="n">
        <v>6</v>
      </c>
      <c r="Q113" s="106" t="n">
        <v>0</v>
      </c>
      <c r="R113" s="106" t="s">
        <v>3669</v>
      </c>
    </row>
    <row r="114" customFormat="false" ht="15" hidden="false" customHeight="false" outlineLevel="0" collapsed="false">
      <c r="A114" s="106" t="s">
        <v>3670</v>
      </c>
      <c r="B114" s="106" t="s">
        <v>3671</v>
      </c>
      <c r="C114" s="106" t="s">
        <v>479</v>
      </c>
      <c r="D114" s="106" t="s">
        <v>1733</v>
      </c>
      <c r="E114" s="106" t="n">
        <v>17</v>
      </c>
      <c r="F114" s="106" t="n">
        <v>459</v>
      </c>
      <c r="G114" s="108" t="n">
        <v>15036.65</v>
      </c>
      <c r="H114" s="106" t="n">
        <v>1.59</v>
      </c>
      <c r="I114" s="106" t="n">
        <v>5.81</v>
      </c>
      <c r="J114" s="106" t="n">
        <v>3.41</v>
      </c>
      <c r="K114" s="108" t="n">
        <v>1334.21</v>
      </c>
      <c r="L114" s="106" t="n">
        <v>0.8</v>
      </c>
      <c r="M114" s="106" t="n">
        <v>13</v>
      </c>
      <c r="N114" s="106" t="n">
        <v>5.96</v>
      </c>
      <c r="O114" s="106" t="n">
        <v>8.18</v>
      </c>
      <c r="P114" s="106" t="n">
        <v>0</v>
      </c>
      <c r="Q114" s="106" t="n">
        <v>0</v>
      </c>
      <c r="R114" s="106" t="s">
        <v>3639</v>
      </c>
    </row>
    <row r="115" customFormat="false" ht="15" hidden="false" customHeight="false" outlineLevel="0" collapsed="false">
      <c r="A115" s="106" t="s">
        <v>3672</v>
      </c>
      <c r="B115" s="106" t="s">
        <v>3673</v>
      </c>
      <c r="C115" s="106" t="s">
        <v>479</v>
      </c>
      <c r="D115" s="106" t="s">
        <v>1708</v>
      </c>
      <c r="E115" s="106" t="n">
        <v>18</v>
      </c>
      <c r="F115" s="106" t="n">
        <v>415</v>
      </c>
      <c r="G115" s="108" t="n">
        <v>13503.63</v>
      </c>
      <c r="H115" s="106" t="n">
        <v>1.43</v>
      </c>
      <c r="I115" s="106" t="n">
        <v>4.71</v>
      </c>
      <c r="J115" s="106" t="n">
        <v>3.83</v>
      </c>
      <c r="K115" s="108" t="n">
        <v>1401.41</v>
      </c>
      <c r="L115" s="106" t="n">
        <v>0.9</v>
      </c>
      <c r="M115" s="106" t="n">
        <v>28</v>
      </c>
      <c r="N115" s="106" t="n">
        <v>6.64</v>
      </c>
      <c r="O115" s="106" t="n">
        <v>-11.57</v>
      </c>
      <c r="P115" s="106" t="n">
        <v>0</v>
      </c>
      <c r="Q115" s="106" t="n">
        <v>0</v>
      </c>
      <c r="R115" s="106" t="s">
        <v>3674</v>
      </c>
    </row>
    <row r="116" customFormat="false" ht="15" hidden="false" customHeight="false" outlineLevel="0" collapsed="false">
      <c r="A116" s="106" t="s">
        <v>3675</v>
      </c>
      <c r="B116" s="106" t="s">
        <v>3676</v>
      </c>
      <c r="C116" s="106" t="s">
        <v>479</v>
      </c>
      <c r="D116" s="106" t="s">
        <v>1704</v>
      </c>
      <c r="E116" s="106" t="n">
        <v>19</v>
      </c>
      <c r="F116" s="106" t="n">
        <v>411</v>
      </c>
      <c r="G116" s="108" t="n">
        <v>13179.1</v>
      </c>
      <c r="H116" s="106" t="n">
        <v>1.42</v>
      </c>
      <c r="I116" s="106" t="n">
        <v>5.71</v>
      </c>
      <c r="J116" s="106" t="n">
        <v>3.74</v>
      </c>
      <c r="K116" s="108" t="n">
        <v>173.05</v>
      </c>
      <c r="L116" s="106" t="n">
        <v>0.1</v>
      </c>
      <c r="M116" s="106" t="n">
        <v>0</v>
      </c>
      <c r="N116" s="106"/>
      <c r="O116" s="106"/>
      <c r="P116" s="106" t="n">
        <v>0</v>
      </c>
      <c r="Q116" s="106" t="n">
        <v>0</v>
      </c>
      <c r="R116" s="106" t="s">
        <v>3639</v>
      </c>
    </row>
    <row r="117" customFormat="false" ht="15" hidden="false" customHeight="false" outlineLevel="0" collapsed="false">
      <c r="A117" s="106" t="s">
        <v>3677</v>
      </c>
      <c r="B117" s="106" t="s">
        <v>3678</v>
      </c>
      <c r="C117" s="106" t="s">
        <v>1689</v>
      </c>
      <c r="D117" s="106" t="s">
        <v>1708</v>
      </c>
      <c r="E117" s="106" t="n">
        <v>20</v>
      </c>
      <c r="F117" s="106" t="n">
        <v>357</v>
      </c>
      <c r="G117" s="108" t="n">
        <v>13142.14</v>
      </c>
      <c r="H117" s="106" t="n">
        <v>1.23</v>
      </c>
      <c r="I117" s="106" t="n">
        <v>4.38</v>
      </c>
      <c r="J117" s="106" t="n">
        <v>-0.49</v>
      </c>
      <c r="K117" s="108" t="n">
        <v>2680.15</v>
      </c>
      <c r="L117" s="106" t="n">
        <v>1.7</v>
      </c>
      <c r="M117" s="106" t="n">
        <v>7</v>
      </c>
      <c r="N117" s="106" t="n">
        <v>3.98</v>
      </c>
      <c r="O117" s="106" t="n">
        <v>-11.78</v>
      </c>
      <c r="P117" s="106" t="n">
        <v>62</v>
      </c>
      <c r="Q117" s="106" t="n">
        <v>6</v>
      </c>
      <c r="R117" s="106" t="s">
        <v>3679</v>
      </c>
    </row>
    <row r="118" customFormat="false" ht="15" hidden="false" customHeight="false" outlineLevel="0" collapsed="false">
      <c r="A118" s="106" t="s">
        <v>3680</v>
      </c>
      <c r="B118" s="106" t="s">
        <v>3681</v>
      </c>
      <c r="C118" s="106" t="s">
        <v>185</v>
      </c>
      <c r="D118" s="106" t="s">
        <v>1772</v>
      </c>
      <c r="E118" s="106" t="n">
        <v>21</v>
      </c>
      <c r="F118" s="106" t="n">
        <v>326</v>
      </c>
      <c r="G118" s="108" t="n">
        <v>11215.03</v>
      </c>
      <c r="H118" s="106" t="n">
        <v>1.13</v>
      </c>
      <c r="I118" s="106" t="n">
        <v>4.68</v>
      </c>
      <c r="J118" s="106" t="n">
        <v>4.9</v>
      </c>
      <c r="K118" s="108" t="n">
        <v>0</v>
      </c>
      <c r="L118" s="106" t="n">
        <v>0</v>
      </c>
      <c r="M118" s="106" t="n">
        <v>37</v>
      </c>
      <c r="N118" s="106" t="n">
        <v>5.35</v>
      </c>
      <c r="O118" s="106" t="n">
        <v>4.49</v>
      </c>
      <c r="P118" s="106" t="n">
        <v>0</v>
      </c>
      <c r="Q118" s="106" t="n">
        <v>0</v>
      </c>
      <c r="R118" s="106" t="s">
        <v>3639</v>
      </c>
    </row>
    <row r="119" customFormat="false" ht="15" hidden="false" customHeight="false" outlineLevel="0" collapsed="false">
      <c r="A119" s="106" t="s">
        <v>3682</v>
      </c>
      <c r="B119" s="106" t="s">
        <v>3683</v>
      </c>
      <c r="C119" s="106" t="s">
        <v>1689</v>
      </c>
      <c r="D119" s="106" t="s">
        <v>1725</v>
      </c>
      <c r="E119" s="106" t="n">
        <v>22</v>
      </c>
      <c r="F119" s="106" t="n">
        <v>323</v>
      </c>
      <c r="G119" s="108" t="n">
        <v>11635.46</v>
      </c>
      <c r="H119" s="106" t="n">
        <v>1.12</v>
      </c>
      <c r="I119" s="106" t="n">
        <v>5.72</v>
      </c>
      <c r="J119" s="106" t="n">
        <v>4.54</v>
      </c>
      <c r="K119" s="108" t="n">
        <v>7.14</v>
      </c>
      <c r="L119" s="106" t="n">
        <v>0</v>
      </c>
      <c r="M119" s="106" t="n">
        <v>0</v>
      </c>
      <c r="N119" s="106"/>
      <c r="O119" s="106"/>
      <c r="P119" s="106" t="n">
        <v>6</v>
      </c>
      <c r="Q119" s="106" t="n">
        <v>0</v>
      </c>
      <c r="R119" s="106" t="s">
        <v>3684</v>
      </c>
    </row>
    <row r="120" customFormat="false" ht="15" hidden="false" customHeight="false" outlineLevel="0" collapsed="false">
      <c r="A120" s="106" t="s">
        <v>3685</v>
      </c>
      <c r="B120" s="106" t="s">
        <v>3686</v>
      </c>
      <c r="C120" s="106" t="s">
        <v>479</v>
      </c>
      <c r="D120" s="106" t="s">
        <v>1712</v>
      </c>
      <c r="E120" s="106" t="n">
        <v>23</v>
      </c>
      <c r="F120" s="106" t="n">
        <v>314</v>
      </c>
      <c r="G120" s="108" t="n">
        <v>9853.88</v>
      </c>
      <c r="H120" s="106" t="n">
        <v>1.08</v>
      </c>
      <c r="I120" s="106" t="n">
        <v>6.05</v>
      </c>
      <c r="J120" s="106" t="n">
        <v>3.72</v>
      </c>
      <c r="K120" s="108" t="n">
        <v>79.44</v>
      </c>
      <c r="L120" s="106" t="n">
        <v>0</v>
      </c>
      <c r="M120" s="106" t="n">
        <v>8</v>
      </c>
      <c r="N120" s="106" t="n">
        <v>5.37</v>
      </c>
      <c r="O120" s="106" t="n">
        <v>-3.28</v>
      </c>
      <c r="P120" s="106" t="n">
        <v>39</v>
      </c>
      <c r="Q120" s="106" t="n">
        <v>0</v>
      </c>
      <c r="R120" s="106" t="s">
        <v>3639</v>
      </c>
    </row>
    <row r="121" customFormat="false" ht="15" hidden="false" customHeight="false" outlineLevel="0" collapsed="false">
      <c r="A121" s="106" t="s">
        <v>3687</v>
      </c>
      <c r="B121" s="106" t="s">
        <v>3688</v>
      </c>
      <c r="C121" s="106" t="s">
        <v>479</v>
      </c>
      <c r="D121" s="106" t="s">
        <v>1720</v>
      </c>
      <c r="E121" s="106" t="n">
        <v>24</v>
      </c>
      <c r="F121" s="106" t="n">
        <v>291</v>
      </c>
      <c r="G121" s="108" t="n">
        <v>9580.67</v>
      </c>
      <c r="H121" s="106" t="n">
        <v>1.01</v>
      </c>
      <c r="I121" s="106" t="n">
        <v>3.58</v>
      </c>
      <c r="J121" s="106" t="n">
        <v>-8.39</v>
      </c>
      <c r="K121" s="108" t="n">
        <v>3937.59</v>
      </c>
      <c r="L121" s="106" t="n">
        <v>2.5</v>
      </c>
      <c r="M121" s="106" t="n">
        <v>9</v>
      </c>
      <c r="N121" s="106" t="n">
        <v>1.11</v>
      </c>
      <c r="O121" s="106" t="n">
        <v>-76.94</v>
      </c>
      <c r="P121" s="106" t="n">
        <v>19</v>
      </c>
      <c r="Q121" s="106" t="n">
        <v>0</v>
      </c>
      <c r="R121" s="106" t="s">
        <v>3639</v>
      </c>
    </row>
    <row r="122" customFormat="false" ht="15" hidden="false" customHeight="false" outlineLevel="0" collapsed="false">
      <c r="A122" s="106" t="s">
        <v>3689</v>
      </c>
      <c r="B122" s="106" t="s">
        <v>3690</v>
      </c>
      <c r="C122" s="106" t="s">
        <v>185</v>
      </c>
      <c r="D122" s="106" t="s">
        <v>1737</v>
      </c>
      <c r="E122" s="106" t="n">
        <v>25</v>
      </c>
      <c r="F122" s="106" t="n">
        <v>286</v>
      </c>
      <c r="G122" s="108" t="n">
        <v>9603.55</v>
      </c>
      <c r="H122" s="106" t="n">
        <v>0.99</v>
      </c>
      <c r="I122" s="106" t="n">
        <v>4.95</v>
      </c>
      <c r="J122" s="106" t="n">
        <v>6.61</v>
      </c>
      <c r="K122" s="108" t="n">
        <v>0</v>
      </c>
      <c r="L122" s="106" t="n">
        <v>0</v>
      </c>
      <c r="M122" s="106" t="n">
        <v>0</v>
      </c>
      <c r="N122" s="106"/>
      <c r="O122" s="106"/>
      <c r="P122" s="106" t="n">
        <v>0</v>
      </c>
      <c r="Q122" s="106" t="n">
        <v>0</v>
      </c>
      <c r="R122" s="106" t="s">
        <v>3639</v>
      </c>
    </row>
    <row r="123" customFormat="false" ht="15" hidden="false" customHeight="false" outlineLevel="0" collapsed="false">
      <c r="A123" s="106" t="s">
        <v>3691</v>
      </c>
      <c r="B123" s="106" t="s">
        <v>3692</v>
      </c>
      <c r="C123" s="106" t="s">
        <v>1689</v>
      </c>
      <c r="D123" s="106" t="s">
        <v>1712</v>
      </c>
      <c r="E123" s="106" t="n">
        <v>26</v>
      </c>
      <c r="F123" s="106" t="n">
        <v>282</v>
      </c>
      <c r="G123" s="108" t="n">
        <v>10166.1</v>
      </c>
      <c r="H123" s="106" t="n">
        <v>0.97</v>
      </c>
      <c r="I123" s="106" t="n">
        <v>5.56</v>
      </c>
      <c r="J123" s="106" t="n">
        <v>4.63</v>
      </c>
      <c r="K123" s="108" t="n">
        <v>64.01</v>
      </c>
      <c r="L123" s="106" t="n">
        <v>0</v>
      </c>
      <c r="M123" s="106" t="n">
        <v>0</v>
      </c>
      <c r="N123" s="106"/>
      <c r="O123" s="106"/>
      <c r="P123" s="106" t="n">
        <v>21</v>
      </c>
      <c r="Q123" s="106" t="n">
        <v>12</v>
      </c>
      <c r="R123" s="106" t="s">
        <v>3639</v>
      </c>
    </row>
    <row r="124" customFormat="false" ht="15" hidden="false" customHeight="false" outlineLevel="0" collapsed="false">
      <c r="A124" s="106" t="s">
        <v>3693</v>
      </c>
      <c r="B124" s="106" t="s">
        <v>3694</v>
      </c>
      <c r="C124" s="106" t="s">
        <v>185</v>
      </c>
      <c r="D124" s="106" t="s">
        <v>1716</v>
      </c>
      <c r="E124" s="106" t="n">
        <v>27</v>
      </c>
      <c r="F124" s="106" t="n">
        <v>269</v>
      </c>
      <c r="G124" s="108" t="n">
        <v>9016.05</v>
      </c>
      <c r="H124" s="106" t="n">
        <v>0.93</v>
      </c>
      <c r="I124" s="106" t="n">
        <v>5.49</v>
      </c>
      <c r="J124" s="106" t="n">
        <v>7.46</v>
      </c>
      <c r="K124" s="108" t="n">
        <v>0</v>
      </c>
      <c r="L124" s="106" t="n">
        <v>0</v>
      </c>
      <c r="M124" s="106" t="n">
        <v>26</v>
      </c>
      <c r="N124" s="106" t="n">
        <v>9.09</v>
      </c>
      <c r="O124" s="106" t="n">
        <v>5.33</v>
      </c>
      <c r="P124" s="106" t="n">
        <v>26</v>
      </c>
      <c r="Q124" s="106" t="n">
        <v>19</v>
      </c>
      <c r="R124" s="106" t="s">
        <v>3639</v>
      </c>
    </row>
    <row r="125" customFormat="false" ht="15" hidden="false" customHeight="false" outlineLevel="0" collapsed="false">
      <c r="A125" s="106" t="s">
        <v>3695</v>
      </c>
      <c r="B125" s="106" t="s">
        <v>3696</v>
      </c>
      <c r="C125" s="106" t="s">
        <v>560</v>
      </c>
      <c r="D125" s="106" t="s">
        <v>1752</v>
      </c>
      <c r="E125" s="106" t="n">
        <v>28</v>
      </c>
      <c r="F125" s="106" t="n">
        <v>267</v>
      </c>
      <c r="G125" s="108" t="n">
        <v>8206.49</v>
      </c>
      <c r="H125" s="106" t="n">
        <v>0.92</v>
      </c>
      <c r="I125" s="106" t="n">
        <v>5.93</v>
      </c>
      <c r="J125" s="106" t="n">
        <v>-1.28</v>
      </c>
      <c r="K125" s="108" t="n">
        <v>0</v>
      </c>
      <c r="L125" s="106" t="n">
        <v>0</v>
      </c>
      <c r="M125" s="106" t="n">
        <v>0</v>
      </c>
      <c r="N125" s="106"/>
      <c r="O125" s="106"/>
      <c r="P125" s="106" t="n">
        <v>0</v>
      </c>
      <c r="Q125" s="106" t="n">
        <v>0</v>
      </c>
      <c r="R125" s="106" t="s">
        <v>3639</v>
      </c>
    </row>
    <row r="126" customFormat="false" ht="15" hidden="false" customHeight="false" outlineLevel="0" collapsed="false">
      <c r="A126" s="106" t="s">
        <v>3697</v>
      </c>
      <c r="B126" s="106" t="s">
        <v>3698</v>
      </c>
      <c r="C126" s="106" t="s">
        <v>1689</v>
      </c>
      <c r="D126" s="106" t="s">
        <v>1733</v>
      </c>
      <c r="E126" s="106" t="n">
        <v>29</v>
      </c>
      <c r="F126" s="106" t="n">
        <v>262</v>
      </c>
      <c r="G126" s="108" t="n">
        <v>9623.15</v>
      </c>
      <c r="H126" s="106" t="n">
        <v>0.9</v>
      </c>
      <c r="I126" s="106" t="n">
        <v>6.35</v>
      </c>
      <c r="J126" s="106" t="n">
        <v>4.45</v>
      </c>
      <c r="K126" s="108" t="n">
        <v>2.34</v>
      </c>
      <c r="L126" s="106" t="n">
        <v>0</v>
      </c>
      <c r="M126" s="106" t="n">
        <v>0</v>
      </c>
      <c r="N126" s="106"/>
      <c r="O126" s="106"/>
      <c r="P126" s="106" t="n">
        <v>0</v>
      </c>
      <c r="Q126" s="106" t="n">
        <v>0</v>
      </c>
      <c r="R126" s="106" t="s">
        <v>3639</v>
      </c>
    </row>
    <row r="127" customFormat="false" ht="15" hidden="false" customHeight="false" outlineLevel="0" collapsed="false">
      <c r="A127" s="106" t="s">
        <v>3699</v>
      </c>
      <c r="B127" s="106" t="s">
        <v>3700</v>
      </c>
      <c r="C127" s="106" t="s">
        <v>479</v>
      </c>
      <c r="D127" s="106" t="s">
        <v>1748</v>
      </c>
      <c r="E127" s="106" t="n">
        <v>30</v>
      </c>
      <c r="F127" s="106" t="n">
        <v>247</v>
      </c>
      <c r="G127" s="108" t="n">
        <v>7728.37</v>
      </c>
      <c r="H127" s="106" t="n">
        <v>0.85</v>
      </c>
      <c r="I127" s="106" t="n">
        <v>2.77</v>
      </c>
      <c r="J127" s="106" t="n">
        <v>-3.83</v>
      </c>
      <c r="K127" s="108" t="n">
        <v>46.41</v>
      </c>
      <c r="L127" s="106" t="n">
        <v>0</v>
      </c>
      <c r="M127" s="106" t="n">
        <v>8</v>
      </c>
      <c r="N127" s="106" t="n">
        <v>2.27</v>
      </c>
      <c r="O127" s="106" t="n">
        <v>-21.61</v>
      </c>
      <c r="P127" s="106" t="n">
        <v>32</v>
      </c>
      <c r="Q127" s="106" t="n">
        <v>0</v>
      </c>
      <c r="R127" s="106" t="s">
        <v>3639</v>
      </c>
    </row>
    <row r="128" customFormat="false" ht="15" hidden="false" customHeight="false" outlineLevel="0" collapsed="false">
      <c r="A128" s="106" t="s">
        <v>3701</v>
      </c>
      <c r="B128" s="106" t="s">
        <v>3702</v>
      </c>
      <c r="C128" s="106" t="s">
        <v>185</v>
      </c>
      <c r="D128" s="106" t="s">
        <v>1750</v>
      </c>
      <c r="E128" s="106" t="n">
        <v>31</v>
      </c>
      <c r="F128" s="106" t="n">
        <v>239</v>
      </c>
      <c r="G128" s="108" t="n">
        <v>7913.2</v>
      </c>
      <c r="H128" s="106" t="n">
        <v>0.83</v>
      </c>
      <c r="I128" s="106" t="n">
        <v>3.55</v>
      </c>
      <c r="J128" s="106" t="n">
        <v>4.52</v>
      </c>
      <c r="K128" s="108" t="n">
        <v>25.75</v>
      </c>
      <c r="L128" s="106" t="n">
        <v>0</v>
      </c>
      <c r="M128" s="106" t="n">
        <v>0</v>
      </c>
      <c r="N128" s="106"/>
      <c r="O128" s="106"/>
      <c r="P128" s="106" t="n">
        <v>8</v>
      </c>
      <c r="Q128" s="106" t="n">
        <v>12</v>
      </c>
      <c r="R128" s="106" t="s">
        <v>3639</v>
      </c>
    </row>
    <row r="129" customFormat="false" ht="15" hidden="false" customHeight="false" outlineLevel="0" collapsed="false">
      <c r="A129" s="106" t="s">
        <v>3703</v>
      </c>
      <c r="B129" s="106" t="s">
        <v>3704</v>
      </c>
      <c r="C129" s="106" t="s">
        <v>696</v>
      </c>
      <c r="D129" s="106" t="s">
        <v>1725</v>
      </c>
      <c r="E129" s="106" t="n">
        <v>32</v>
      </c>
      <c r="F129" s="106" t="n">
        <v>230</v>
      </c>
      <c r="G129" s="108" t="n">
        <v>6872.7</v>
      </c>
      <c r="H129" s="106" t="n">
        <v>0.79</v>
      </c>
      <c r="I129" s="106" t="n">
        <v>2.02</v>
      </c>
      <c r="J129" s="106" t="n">
        <v>0.72</v>
      </c>
      <c r="K129" s="108" t="n">
        <v>935.59</v>
      </c>
      <c r="L129" s="106" t="n">
        <v>0.6</v>
      </c>
      <c r="M129" s="106" t="n">
        <v>8</v>
      </c>
      <c r="N129" s="106" t="n">
        <v>0.85</v>
      </c>
      <c r="O129" s="106" t="n">
        <v>-39.34</v>
      </c>
      <c r="P129" s="106" t="n">
        <v>12</v>
      </c>
      <c r="Q129" s="106" t="n">
        <v>0</v>
      </c>
      <c r="R129" s="106" t="s">
        <v>3650</v>
      </c>
    </row>
    <row r="130" customFormat="false" ht="15" hidden="false" customHeight="false" outlineLevel="0" collapsed="false">
      <c r="A130" s="106" t="s">
        <v>3705</v>
      </c>
      <c r="B130" s="106" t="s">
        <v>3706</v>
      </c>
      <c r="C130" s="106" t="s">
        <v>696</v>
      </c>
      <c r="D130" s="106" t="s">
        <v>1704</v>
      </c>
      <c r="E130" s="106" t="n">
        <v>33</v>
      </c>
      <c r="F130" s="106" t="n">
        <v>221</v>
      </c>
      <c r="G130" s="108" t="n">
        <v>6884.88</v>
      </c>
      <c r="H130" s="106" t="n">
        <v>0.76</v>
      </c>
      <c r="I130" s="106" t="n">
        <v>3.48</v>
      </c>
      <c r="J130" s="106" t="n">
        <v>2.84</v>
      </c>
      <c r="K130" s="108" t="n">
        <v>222.93</v>
      </c>
      <c r="L130" s="106" t="n">
        <v>0.1</v>
      </c>
      <c r="M130" s="106" t="n">
        <v>10</v>
      </c>
      <c r="N130" s="106" t="n">
        <v>2.54</v>
      </c>
      <c r="O130" s="106" t="n">
        <v>-10.15</v>
      </c>
      <c r="P130" s="106" t="n">
        <v>21</v>
      </c>
      <c r="Q130" s="106" t="n">
        <v>0</v>
      </c>
      <c r="R130" s="106" t="s">
        <v>3639</v>
      </c>
    </row>
    <row r="131" customFormat="false" ht="15" hidden="false" customHeight="false" outlineLevel="0" collapsed="false">
      <c r="A131" s="106" t="s">
        <v>3707</v>
      </c>
      <c r="B131" s="106" t="s">
        <v>3708</v>
      </c>
      <c r="C131" s="106" t="s">
        <v>479</v>
      </c>
      <c r="D131" s="106" t="s">
        <v>1752</v>
      </c>
      <c r="E131" s="106" t="n">
        <v>34</v>
      </c>
      <c r="F131" s="106" t="n">
        <v>221</v>
      </c>
      <c r="G131" s="108" t="n">
        <v>6171.95</v>
      </c>
      <c r="H131" s="106" t="n">
        <v>0.76</v>
      </c>
      <c r="I131" s="106" t="n">
        <v>4.69</v>
      </c>
      <c r="J131" s="106" t="n">
        <v>-1.89</v>
      </c>
      <c r="K131" s="108" t="n">
        <v>354.94</v>
      </c>
      <c r="L131" s="106" t="n">
        <v>0.2</v>
      </c>
      <c r="M131" s="106" t="n">
        <v>0</v>
      </c>
      <c r="N131" s="106"/>
      <c r="O131" s="106"/>
      <c r="P131" s="106" t="n">
        <v>0</v>
      </c>
      <c r="Q131" s="106" t="n">
        <v>0</v>
      </c>
      <c r="R131" s="106" t="s">
        <v>3639</v>
      </c>
    </row>
    <row r="132" customFormat="false" ht="15" hidden="false" customHeight="false" outlineLevel="0" collapsed="false">
      <c r="A132" s="106" t="s">
        <v>3709</v>
      </c>
      <c r="B132" s="106" t="s">
        <v>3710</v>
      </c>
      <c r="C132" s="106" t="s">
        <v>696</v>
      </c>
      <c r="D132" s="106" t="s">
        <v>1708</v>
      </c>
      <c r="E132" s="106" t="n">
        <v>35</v>
      </c>
      <c r="F132" s="106" t="n">
        <v>192</v>
      </c>
      <c r="G132" s="108" t="n">
        <v>5615.8</v>
      </c>
      <c r="H132" s="106" t="n">
        <v>0.66</v>
      </c>
      <c r="I132" s="106" t="n">
        <v>3.01</v>
      </c>
      <c r="J132" s="106" t="n">
        <v>-0.2</v>
      </c>
      <c r="K132" s="108" t="n">
        <v>18.61</v>
      </c>
      <c r="L132" s="106" t="n">
        <v>0</v>
      </c>
      <c r="M132" s="106" t="n">
        <v>3</v>
      </c>
      <c r="N132" s="106" t="n">
        <v>1.58</v>
      </c>
      <c r="O132" s="106" t="n">
        <v>-16.58</v>
      </c>
      <c r="P132" s="106" t="n">
        <v>20</v>
      </c>
      <c r="Q132" s="106" t="n">
        <v>0</v>
      </c>
      <c r="R132" s="106" t="s">
        <v>3650</v>
      </c>
    </row>
    <row r="133" customFormat="false" ht="15" hidden="false" customHeight="false" outlineLevel="0" collapsed="false">
      <c r="A133" s="106" t="s">
        <v>3711</v>
      </c>
      <c r="B133" s="106" t="s">
        <v>3712</v>
      </c>
      <c r="C133" s="106" t="s">
        <v>696</v>
      </c>
      <c r="D133" s="106" t="s">
        <v>1733</v>
      </c>
      <c r="E133" s="106" t="n">
        <v>36</v>
      </c>
      <c r="F133" s="106" t="n">
        <v>167</v>
      </c>
      <c r="G133" s="108" t="n">
        <v>5126.45</v>
      </c>
      <c r="H133" s="106" t="n">
        <v>0.58</v>
      </c>
      <c r="I133" s="106" t="n">
        <v>3.13</v>
      </c>
      <c r="J133" s="106" t="n">
        <v>4.91</v>
      </c>
      <c r="K133" s="108" t="n">
        <v>10.28</v>
      </c>
      <c r="L133" s="106" t="n">
        <v>0</v>
      </c>
      <c r="M133" s="106" t="n">
        <v>6</v>
      </c>
      <c r="N133" s="106" t="n">
        <v>2.9</v>
      </c>
      <c r="O133" s="106" t="n">
        <v>-21.81</v>
      </c>
      <c r="P133" s="106" t="n">
        <v>35</v>
      </c>
      <c r="Q133" s="106" t="n">
        <v>0</v>
      </c>
      <c r="R133" s="106" t="s">
        <v>3639</v>
      </c>
    </row>
    <row r="134" customFormat="false" ht="15" hidden="false" customHeight="false" outlineLevel="0" collapsed="false">
      <c r="A134" s="106" t="s">
        <v>3713</v>
      </c>
      <c r="B134" s="106" t="s">
        <v>3714</v>
      </c>
      <c r="C134" s="106" t="s">
        <v>1689</v>
      </c>
      <c r="D134" s="106" t="s">
        <v>1720</v>
      </c>
      <c r="E134" s="106" t="n">
        <v>37</v>
      </c>
      <c r="F134" s="106" t="n">
        <v>157</v>
      </c>
      <c r="G134" s="108" t="n">
        <v>5620.98</v>
      </c>
      <c r="H134" s="106" t="n">
        <v>0.54</v>
      </c>
      <c r="I134" s="106" t="n">
        <v>5.66</v>
      </c>
      <c r="J134" s="106" t="n">
        <v>6.69</v>
      </c>
      <c r="K134" s="108" t="n">
        <v>18.65</v>
      </c>
      <c r="L134" s="106" t="n">
        <v>0</v>
      </c>
      <c r="M134" s="106" t="n">
        <v>0</v>
      </c>
      <c r="N134" s="106"/>
      <c r="O134" s="106"/>
      <c r="P134" s="106" t="n">
        <v>20</v>
      </c>
      <c r="Q134" s="106" t="n">
        <v>25</v>
      </c>
      <c r="R134" s="106" t="s">
        <v>3639</v>
      </c>
    </row>
    <row r="135" customFormat="false" ht="15" hidden="false" customHeight="false" outlineLevel="0" collapsed="false">
      <c r="A135" s="106" t="s">
        <v>3715</v>
      </c>
      <c r="B135" s="106" t="s">
        <v>3716</v>
      </c>
      <c r="C135" s="106" t="s">
        <v>1689</v>
      </c>
      <c r="D135" s="106" t="s">
        <v>1748</v>
      </c>
      <c r="E135" s="106" t="n">
        <v>38</v>
      </c>
      <c r="F135" s="106" t="n">
        <v>157</v>
      </c>
      <c r="G135" s="108" t="n">
        <v>5642.78</v>
      </c>
      <c r="H135" s="106" t="n">
        <v>0.54</v>
      </c>
      <c r="I135" s="106" t="n">
        <v>4.29</v>
      </c>
      <c r="J135" s="106" t="n">
        <v>5.73</v>
      </c>
      <c r="K135" s="108" t="n">
        <v>7.49</v>
      </c>
      <c r="L135" s="106" t="n">
        <v>0</v>
      </c>
      <c r="M135" s="106" t="n">
        <v>0</v>
      </c>
      <c r="N135" s="106"/>
      <c r="O135" s="106"/>
      <c r="P135" s="106" t="n">
        <v>18</v>
      </c>
      <c r="Q135" s="106" t="n">
        <v>0</v>
      </c>
      <c r="R135" s="106" t="s">
        <v>3639</v>
      </c>
    </row>
    <row r="136" customFormat="false" ht="15" hidden="false" customHeight="false" outlineLevel="0" collapsed="false">
      <c r="A136" s="106" t="s">
        <v>3717</v>
      </c>
      <c r="B136" s="106" t="s">
        <v>3718</v>
      </c>
      <c r="C136" s="106" t="s">
        <v>560</v>
      </c>
      <c r="D136" s="106" t="s">
        <v>1737</v>
      </c>
      <c r="E136" s="106" t="n">
        <v>39</v>
      </c>
      <c r="F136" s="106" t="n">
        <v>152</v>
      </c>
      <c r="G136" s="108" t="n">
        <v>5648.8</v>
      </c>
      <c r="H136" s="106" t="n">
        <v>0.52</v>
      </c>
      <c r="I136" s="106" t="n">
        <v>4.49</v>
      </c>
      <c r="J136" s="106" t="n">
        <v>5.25</v>
      </c>
      <c r="K136" s="108" t="n">
        <v>0</v>
      </c>
      <c r="L136" s="106" t="n">
        <v>0</v>
      </c>
      <c r="M136" s="106" t="n">
        <v>0</v>
      </c>
      <c r="N136" s="106"/>
      <c r="O136" s="106"/>
      <c r="P136" s="106" t="n">
        <v>0</v>
      </c>
      <c r="Q136" s="106" t="n">
        <v>0</v>
      </c>
      <c r="R136" s="106" t="s">
        <v>3639</v>
      </c>
    </row>
    <row r="137" customFormat="false" ht="15" hidden="false" customHeight="false" outlineLevel="0" collapsed="false">
      <c r="A137" s="106" t="s">
        <v>3719</v>
      </c>
      <c r="B137" s="106" t="s">
        <v>3720</v>
      </c>
      <c r="C137" s="106" t="s">
        <v>560</v>
      </c>
      <c r="D137" s="106" t="s">
        <v>1772</v>
      </c>
      <c r="E137" s="106" t="n">
        <v>40</v>
      </c>
      <c r="F137" s="106" t="n">
        <v>151</v>
      </c>
      <c r="G137" s="108" t="n">
        <v>5186.07</v>
      </c>
      <c r="H137" s="106" t="n">
        <v>0.52</v>
      </c>
      <c r="I137" s="106" t="n">
        <v>2.95</v>
      </c>
      <c r="J137" s="106" t="n">
        <v>0.02</v>
      </c>
      <c r="K137" s="108" t="n">
        <v>7.35</v>
      </c>
      <c r="L137" s="106" t="n">
        <v>0</v>
      </c>
      <c r="M137" s="106" t="n">
        <v>10</v>
      </c>
      <c r="N137" s="106" t="n">
        <v>2.4</v>
      </c>
      <c r="O137" s="106" t="n">
        <v>-2.51</v>
      </c>
      <c r="P137" s="106" t="n">
        <v>54</v>
      </c>
      <c r="Q137" s="106" t="n">
        <v>0</v>
      </c>
      <c r="R137" s="106" t="s">
        <v>3639</v>
      </c>
    </row>
    <row r="138" customFormat="false" ht="15" hidden="false" customHeight="false" outlineLevel="0" collapsed="false">
      <c r="A138" s="106" t="s">
        <v>3721</v>
      </c>
      <c r="B138" s="106" t="s">
        <v>3722</v>
      </c>
      <c r="C138" s="106" t="s">
        <v>696</v>
      </c>
      <c r="D138" s="106" t="s">
        <v>1712</v>
      </c>
      <c r="E138" s="106" t="n">
        <v>41</v>
      </c>
      <c r="F138" s="106" t="n">
        <v>148</v>
      </c>
      <c r="G138" s="108" t="n">
        <v>4755.04</v>
      </c>
      <c r="H138" s="106" t="n">
        <v>0.51</v>
      </c>
      <c r="I138" s="106" t="n">
        <v>3.23</v>
      </c>
      <c r="J138" s="106" t="n">
        <v>-4.33</v>
      </c>
      <c r="K138" s="108" t="n">
        <v>1640.17</v>
      </c>
      <c r="L138" s="106" t="n">
        <v>1</v>
      </c>
      <c r="M138" s="106" t="n">
        <v>4</v>
      </c>
      <c r="N138" s="106" t="n">
        <v>2.11</v>
      </c>
      <c r="O138" s="106" t="n">
        <v>-2.64</v>
      </c>
      <c r="P138" s="106" t="n">
        <v>25</v>
      </c>
      <c r="Q138" s="106" t="n">
        <v>0</v>
      </c>
      <c r="R138" s="106" t="s">
        <v>3639</v>
      </c>
    </row>
    <row r="139" customFormat="false" ht="15" hidden="false" customHeight="false" outlineLevel="0" collapsed="false">
      <c r="A139" s="106" t="s">
        <v>3723</v>
      </c>
      <c r="B139" s="106" t="s">
        <v>3724</v>
      </c>
      <c r="C139" s="106" t="s">
        <v>560</v>
      </c>
      <c r="D139" s="106" t="s">
        <v>1716</v>
      </c>
      <c r="E139" s="106" t="n">
        <v>42</v>
      </c>
      <c r="F139" s="106" t="n">
        <v>147</v>
      </c>
      <c r="G139" s="108" t="n">
        <v>5107.34</v>
      </c>
      <c r="H139" s="106" t="n">
        <v>0.51</v>
      </c>
      <c r="I139" s="106" t="n">
        <v>6.1</v>
      </c>
      <c r="J139" s="106" t="n">
        <v>5.21</v>
      </c>
      <c r="K139" s="108" t="n">
        <v>0</v>
      </c>
      <c r="L139" s="106" t="n">
        <v>0</v>
      </c>
      <c r="M139" s="106" t="n">
        <v>14</v>
      </c>
      <c r="N139" s="106" t="n">
        <v>7.57</v>
      </c>
      <c r="O139" s="106" t="n">
        <v>5.77</v>
      </c>
      <c r="P139" s="106" t="n">
        <v>56</v>
      </c>
      <c r="Q139" s="106" t="n">
        <v>43</v>
      </c>
      <c r="R139" s="106" t="s">
        <v>3639</v>
      </c>
    </row>
    <row r="140" customFormat="false" ht="15" hidden="false" customHeight="false" outlineLevel="0" collapsed="false">
      <c r="A140" s="106" t="s">
        <v>3725</v>
      </c>
      <c r="B140" s="106" t="s">
        <v>3726</v>
      </c>
      <c r="C140" s="106" t="s">
        <v>1689</v>
      </c>
      <c r="D140" s="106" t="s">
        <v>1752</v>
      </c>
      <c r="E140" s="106" t="n">
        <v>43</v>
      </c>
      <c r="F140" s="106" t="n">
        <v>144</v>
      </c>
      <c r="G140" s="108" t="n">
        <v>4014.52</v>
      </c>
      <c r="H140" s="106" t="n">
        <v>0.5</v>
      </c>
      <c r="I140" s="106" t="n">
        <v>4.73</v>
      </c>
      <c r="J140" s="106" t="n">
        <v>-13.67</v>
      </c>
      <c r="K140" s="108" t="n">
        <v>142.29</v>
      </c>
      <c r="L140" s="106" t="n">
        <v>0.1</v>
      </c>
      <c r="M140" s="106" t="n">
        <v>0</v>
      </c>
      <c r="N140" s="106"/>
      <c r="O140" s="106"/>
      <c r="P140" s="106" t="n">
        <v>31</v>
      </c>
      <c r="Q140" s="106" t="n">
        <v>0</v>
      </c>
      <c r="R140" s="106" t="s">
        <v>3639</v>
      </c>
    </row>
    <row r="141" customFormat="false" ht="15" hidden="false" customHeight="false" outlineLevel="0" collapsed="false">
      <c r="A141" s="106" t="s">
        <v>3727</v>
      </c>
      <c r="B141" s="106" t="s">
        <v>3728</v>
      </c>
      <c r="C141" s="106" t="s">
        <v>1689</v>
      </c>
      <c r="D141" s="106" t="s">
        <v>1704</v>
      </c>
      <c r="E141" s="106" t="n">
        <v>44</v>
      </c>
      <c r="F141" s="106" t="n">
        <v>141</v>
      </c>
      <c r="G141" s="108" t="n">
        <v>5262.73</v>
      </c>
      <c r="H141" s="106" t="n">
        <v>0.49</v>
      </c>
      <c r="I141" s="106" t="n">
        <v>6.99</v>
      </c>
      <c r="J141" s="106" t="n">
        <v>9</v>
      </c>
      <c r="K141" s="108" t="n">
        <v>0</v>
      </c>
      <c r="L141" s="106" t="n">
        <v>0</v>
      </c>
      <c r="M141" s="106" t="n">
        <v>0</v>
      </c>
      <c r="N141" s="106"/>
      <c r="O141" s="106"/>
      <c r="P141" s="106" t="n">
        <v>0</v>
      </c>
      <c r="Q141" s="106" t="n">
        <v>0</v>
      </c>
      <c r="R141" s="106" t="s">
        <v>3639</v>
      </c>
    </row>
    <row r="142" customFormat="false" ht="15" hidden="false" customHeight="false" outlineLevel="0" collapsed="false">
      <c r="A142" s="106" t="s">
        <v>3729</v>
      </c>
      <c r="B142" s="106" t="s">
        <v>3730</v>
      </c>
      <c r="C142" s="106" t="s">
        <v>696</v>
      </c>
      <c r="D142" s="106" t="s">
        <v>1720</v>
      </c>
      <c r="E142" s="106" t="n">
        <v>45</v>
      </c>
      <c r="F142" s="106" t="n">
        <v>141</v>
      </c>
      <c r="G142" s="108" t="n">
        <v>4266.36</v>
      </c>
      <c r="H142" s="106" t="n">
        <v>0.49</v>
      </c>
      <c r="I142" s="106" t="n">
        <v>2.86</v>
      </c>
      <c r="J142" s="106" t="n">
        <v>-20.63</v>
      </c>
      <c r="K142" s="108" t="n">
        <v>1697.71</v>
      </c>
      <c r="L142" s="106" t="n">
        <v>1.1</v>
      </c>
      <c r="M142" s="106" t="n">
        <v>5</v>
      </c>
      <c r="N142" s="106" t="n">
        <v>2.81</v>
      </c>
      <c r="O142" s="106" t="n">
        <v>-54.37</v>
      </c>
      <c r="P142" s="106" t="n">
        <v>7</v>
      </c>
      <c r="Q142" s="106" t="n">
        <v>0</v>
      </c>
      <c r="R142" s="106" t="s">
        <v>3639</v>
      </c>
    </row>
    <row r="143" customFormat="false" ht="15" hidden="false" customHeight="false" outlineLevel="0" collapsed="false">
      <c r="A143" s="106" t="s">
        <v>3731</v>
      </c>
      <c r="B143" s="106" t="s">
        <v>3732</v>
      </c>
      <c r="C143" s="106" t="s">
        <v>560</v>
      </c>
      <c r="D143" s="106" t="s">
        <v>1750</v>
      </c>
      <c r="E143" s="106" t="n">
        <v>46</v>
      </c>
      <c r="F143" s="106" t="n">
        <v>139</v>
      </c>
      <c r="G143" s="108" t="n">
        <v>4978.5</v>
      </c>
      <c r="H143" s="106" t="n">
        <v>0.48</v>
      </c>
      <c r="I143" s="106" t="n">
        <v>5.88</v>
      </c>
      <c r="J143" s="106" t="n">
        <v>7.62</v>
      </c>
      <c r="K143" s="108" t="n">
        <v>0</v>
      </c>
      <c r="L143" s="106" t="n">
        <v>0</v>
      </c>
      <c r="M143" s="106" t="n">
        <v>0</v>
      </c>
      <c r="N143" s="106"/>
      <c r="O143" s="106"/>
      <c r="P143" s="106" t="n">
        <v>0</v>
      </c>
      <c r="Q143" s="106" t="n">
        <v>0</v>
      </c>
      <c r="R143" s="106" t="s">
        <v>3639</v>
      </c>
    </row>
    <row r="144" customFormat="false" ht="15" hidden="false" customHeight="false" outlineLevel="0" collapsed="false">
      <c r="A144" s="106" t="s">
        <v>3733</v>
      </c>
      <c r="B144" s="106" t="s">
        <v>3734</v>
      </c>
      <c r="C144" s="106" t="s">
        <v>479</v>
      </c>
      <c r="D144" s="106" t="s">
        <v>1716</v>
      </c>
      <c r="E144" s="106" t="n">
        <v>47</v>
      </c>
      <c r="F144" s="106" t="n">
        <v>132</v>
      </c>
      <c r="G144" s="108" t="n">
        <v>4586.17</v>
      </c>
      <c r="H144" s="106" t="n">
        <v>0.46</v>
      </c>
      <c r="I144" s="106" t="n">
        <v>3.69</v>
      </c>
      <c r="J144" s="106" t="n">
        <v>8.68</v>
      </c>
      <c r="K144" s="108" t="n">
        <v>0</v>
      </c>
      <c r="L144" s="106" t="n">
        <v>0</v>
      </c>
      <c r="M144" s="106" t="n">
        <v>14</v>
      </c>
      <c r="N144" s="106" t="n">
        <v>4.91</v>
      </c>
      <c r="O144" s="106" t="n">
        <v>10.33</v>
      </c>
      <c r="P144" s="106" t="n">
        <v>4</v>
      </c>
      <c r="Q144" s="106" t="n">
        <v>0</v>
      </c>
      <c r="R144" s="106" t="s">
        <v>3639</v>
      </c>
    </row>
    <row r="145" customFormat="false" ht="15" hidden="false" customHeight="false" outlineLevel="0" collapsed="false">
      <c r="A145" s="106" t="s">
        <v>3735</v>
      </c>
      <c r="B145" s="106" t="s">
        <v>3736</v>
      </c>
      <c r="C145" s="106" t="s">
        <v>479</v>
      </c>
      <c r="D145" s="106" t="s">
        <v>1772</v>
      </c>
      <c r="E145" s="106" t="n">
        <v>48</v>
      </c>
      <c r="F145" s="106" t="n">
        <v>123</v>
      </c>
      <c r="G145" s="108" t="n">
        <v>4217.4</v>
      </c>
      <c r="H145" s="106" t="n">
        <v>0.42</v>
      </c>
      <c r="I145" s="106" t="n">
        <v>4.55</v>
      </c>
      <c r="J145" s="106" t="n">
        <v>4.73</v>
      </c>
      <c r="K145" s="108" t="n">
        <v>5.24</v>
      </c>
      <c r="L145" s="106" t="n">
        <v>0</v>
      </c>
      <c r="M145" s="106" t="n">
        <v>19</v>
      </c>
      <c r="N145" s="106" t="n">
        <v>5.92</v>
      </c>
      <c r="O145" s="106" t="n">
        <v>3.99</v>
      </c>
      <c r="P145" s="106" t="n">
        <v>27</v>
      </c>
      <c r="Q145" s="106" t="n">
        <v>0</v>
      </c>
      <c r="R145" s="106" t="s">
        <v>3639</v>
      </c>
    </row>
    <row r="146" customFormat="false" ht="15" hidden="false" customHeight="false" outlineLevel="0" collapsed="false">
      <c r="A146" s="106" t="s">
        <v>3737</v>
      </c>
      <c r="B146" s="106" t="s">
        <v>3738</v>
      </c>
      <c r="C146" s="106" t="s">
        <v>479</v>
      </c>
      <c r="D146" s="106" t="s">
        <v>1737</v>
      </c>
      <c r="E146" s="106" t="n">
        <v>49</v>
      </c>
      <c r="F146" s="106" t="n">
        <v>123</v>
      </c>
      <c r="G146" s="108" t="n">
        <v>3925.01</v>
      </c>
      <c r="H146" s="106" t="n">
        <v>0.42</v>
      </c>
      <c r="I146" s="106" t="n">
        <v>3.38</v>
      </c>
      <c r="J146" s="106" t="n">
        <v>2.53</v>
      </c>
      <c r="K146" s="108" t="n">
        <v>0</v>
      </c>
      <c r="L146" s="106" t="n">
        <v>0</v>
      </c>
      <c r="M146" s="106" t="n">
        <v>8</v>
      </c>
      <c r="N146" s="106" t="n">
        <v>2.87</v>
      </c>
      <c r="O146" s="106" t="n">
        <v>2.33</v>
      </c>
      <c r="P146" s="106" t="n">
        <v>30</v>
      </c>
      <c r="Q146" s="106" t="n">
        <v>0</v>
      </c>
      <c r="R146" s="106" t="s">
        <v>3639</v>
      </c>
    </row>
    <row r="147" customFormat="false" ht="15" hidden="false" customHeight="false" outlineLevel="0" collapsed="false">
      <c r="A147" s="106" t="s">
        <v>3739</v>
      </c>
      <c r="B147" s="106" t="s">
        <v>3740</v>
      </c>
      <c r="C147" s="106" t="s">
        <v>696</v>
      </c>
      <c r="D147" s="106" t="s">
        <v>1716</v>
      </c>
      <c r="E147" s="106" t="n">
        <v>50</v>
      </c>
      <c r="F147" s="106" t="n">
        <v>115</v>
      </c>
      <c r="G147" s="108" t="n">
        <v>3396.39</v>
      </c>
      <c r="H147" s="106" t="n">
        <v>0.4</v>
      </c>
      <c r="I147" s="106" t="n">
        <v>2.48</v>
      </c>
      <c r="J147" s="106" t="n">
        <v>2.81</v>
      </c>
      <c r="K147" s="108" t="n">
        <v>113.11</v>
      </c>
      <c r="L147" s="106" t="n">
        <v>0.1</v>
      </c>
      <c r="M147" s="106" t="n">
        <v>14</v>
      </c>
      <c r="N147" s="106" t="n">
        <v>5.58</v>
      </c>
      <c r="O147" s="106" t="n">
        <v>0.61</v>
      </c>
      <c r="P147" s="106" t="n">
        <v>56</v>
      </c>
      <c r="Q147" s="106" t="n">
        <v>12</v>
      </c>
      <c r="R147" s="106" t="s">
        <v>3639</v>
      </c>
    </row>
    <row r="148" customFormat="false" ht="15" hidden="false" customHeight="false" outlineLevel="0" collapsed="false">
      <c r="A148" s="106" t="s">
        <v>3741</v>
      </c>
      <c r="B148" s="106" t="s">
        <v>3742</v>
      </c>
      <c r="C148" s="106" t="s">
        <v>1689</v>
      </c>
      <c r="D148" s="106" t="s">
        <v>1716</v>
      </c>
      <c r="E148" s="106" t="n">
        <v>51</v>
      </c>
      <c r="F148" s="106" t="n">
        <v>111</v>
      </c>
      <c r="G148" s="108" t="n">
        <v>4181.77</v>
      </c>
      <c r="H148" s="106" t="n">
        <v>0.38</v>
      </c>
      <c r="I148" s="106" t="n">
        <v>3.75</v>
      </c>
      <c r="J148" s="106" t="n">
        <v>6.63</v>
      </c>
      <c r="K148" s="108" t="n">
        <v>0</v>
      </c>
      <c r="L148" s="106" t="n">
        <v>0</v>
      </c>
      <c r="M148" s="106" t="n">
        <v>0</v>
      </c>
      <c r="N148" s="106"/>
      <c r="O148" s="106"/>
      <c r="P148" s="106" t="n">
        <v>0</v>
      </c>
      <c r="Q148" s="106" t="n">
        <v>0</v>
      </c>
      <c r="R148" s="106" t="s">
        <v>3639</v>
      </c>
    </row>
    <row r="149" customFormat="false" ht="15" hidden="false" customHeight="false" outlineLevel="0" collapsed="false">
      <c r="A149" s="106" t="s">
        <v>3743</v>
      </c>
      <c r="B149" s="106" t="s">
        <v>3744</v>
      </c>
      <c r="C149" s="106" t="s">
        <v>479</v>
      </c>
      <c r="D149" s="106" t="s">
        <v>1750</v>
      </c>
      <c r="E149" s="106" t="n">
        <v>52</v>
      </c>
      <c r="F149" s="106" t="n">
        <v>110</v>
      </c>
      <c r="G149" s="108" t="n">
        <v>3250.14</v>
      </c>
      <c r="H149" s="106" t="n">
        <v>0.38</v>
      </c>
      <c r="I149" s="106" t="n">
        <v>2.57</v>
      </c>
      <c r="J149" s="106" t="n">
        <v>0.2</v>
      </c>
      <c r="K149" s="108" t="n">
        <v>0</v>
      </c>
      <c r="L149" s="106" t="n">
        <v>0</v>
      </c>
      <c r="M149" s="106" t="n">
        <v>3</v>
      </c>
      <c r="N149" s="106" t="n">
        <v>1.73</v>
      </c>
      <c r="O149" s="106" t="n">
        <v>-0.44</v>
      </c>
      <c r="P149" s="106" t="n">
        <v>24</v>
      </c>
      <c r="Q149" s="106" t="n">
        <v>0</v>
      </c>
      <c r="R149" s="106" t="s">
        <v>3639</v>
      </c>
    </row>
    <row r="150" customFormat="false" ht="15" hidden="false" customHeight="false" outlineLevel="0" collapsed="false">
      <c r="A150" s="106" t="s">
        <v>3745</v>
      </c>
      <c r="B150" s="106" t="s">
        <v>3746</v>
      </c>
      <c r="C150" s="106" t="s">
        <v>696</v>
      </c>
      <c r="D150" s="106" t="s">
        <v>1737</v>
      </c>
      <c r="E150" s="106" t="n">
        <v>53</v>
      </c>
      <c r="F150" s="106" t="n">
        <v>94</v>
      </c>
      <c r="G150" s="108" t="n">
        <v>2781.58</v>
      </c>
      <c r="H150" s="106" t="n">
        <v>0.32</v>
      </c>
      <c r="I150" s="106" t="n">
        <v>1.21</v>
      </c>
      <c r="J150" s="106" t="n">
        <v>0.34</v>
      </c>
      <c r="K150" s="108" t="n">
        <v>8.14</v>
      </c>
      <c r="L150" s="106" t="n">
        <v>0</v>
      </c>
      <c r="M150" s="106" t="n">
        <v>0</v>
      </c>
      <c r="N150" s="106"/>
      <c r="O150" s="106"/>
      <c r="P150" s="106" t="n">
        <v>0</v>
      </c>
      <c r="Q150" s="106" t="n">
        <v>0</v>
      </c>
      <c r="R150" s="106" t="s">
        <v>3639</v>
      </c>
    </row>
    <row r="151" customFormat="false" ht="15" hidden="false" customHeight="false" outlineLevel="0" collapsed="false">
      <c r="A151" s="106" t="s">
        <v>3747</v>
      </c>
      <c r="B151" s="106" t="s">
        <v>2278</v>
      </c>
      <c r="C151" s="106" t="s">
        <v>1689</v>
      </c>
      <c r="D151" s="106" t="s">
        <v>1750</v>
      </c>
      <c r="E151" s="106" t="n">
        <v>54</v>
      </c>
      <c r="F151" s="106" t="n">
        <v>93</v>
      </c>
      <c r="G151" s="108" t="n">
        <v>3308.43</v>
      </c>
      <c r="H151" s="106" t="n">
        <v>0.32</v>
      </c>
      <c r="I151" s="106" t="n">
        <v>4.06</v>
      </c>
      <c r="J151" s="106" t="n">
        <v>3.22</v>
      </c>
      <c r="K151" s="108" t="n">
        <v>0</v>
      </c>
      <c r="L151" s="106" t="n">
        <v>0</v>
      </c>
      <c r="M151" s="106" t="n">
        <v>0</v>
      </c>
      <c r="N151" s="106"/>
      <c r="O151" s="106"/>
      <c r="P151" s="106" t="n">
        <v>35</v>
      </c>
      <c r="Q151" s="106" t="n">
        <v>0</v>
      </c>
      <c r="R151" s="106" t="s">
        <v>3639</v>
      </c>
    </row>
    <row r="152" customFormat="false" ht="15" hidden="false" customHeight="false" outlineLevel="0" collapsed="false">
      <c r="A152" s="106" t="s">
        <v>3748</v>
      </c>
      <c r="B152" s="106" t="s">
        <v>3749</v>
      </c>
      <c r="C152" s="106" t="s">
        <v>696</v>
      </c>
      <c r="D152" s="106" t="s">
        <v>1752</v>
      </c>
      <c r="E152" s="106" t="n">
        <v>55</v>
      </c>
      <c r="F152" s="106" t="n">
        <v>92</v>
      </c>
      <c r="G152" s="108" t="n">
        <v>1971.14</v>
      </c>
      <c r="H152" s="106" t="n">
        <v>0.32</v>
      </c>
      <c r="I152" s="106" t="n">
        <v>2.17</v>
      </c>
      <c r="J152" s="106" t="n">
        <v>-35.45</v>
      </c>
      <c r="K152" s="108" t="n">
        <v>315.9</v>
      </c>
      <c r="L152" s="106" t="n">
        <v>0.2</v>
      </c>
      <c r="M152" s="106" t="n">
        <v>5</v>
      </c>
      <c r="N152" s="106" t="n">
        <v>2.15</v>
      </c>
      <c r="O152" s="106" t="n">
        <v>-57.82</v>
      </c>
      <c r="P152" s="106" t="n">
        <v>15</v>
      </c>
      <c r="Q152" s="106" t="n">
        <v>0</v>
      </c>
      <c r="R152" s="106" t="s">
        <v>3639</v>
      </c>
    </row>
    <row r="153" customFormat="false" ht="15" hidden="false" customHeight="false" outlineLevel="0" collapsed="false">
      <c r="A153" s="106" t="s">
        <v>3750</v>
      </c>
      <c r="B153" s="106" t="s">
        <v>3751</v>
      </c>
      <c r="C153" s="106" t="s">
        <v>1689</v>
      </c>
      <c r="D153" s="106" t="s">
        <v>1772</v>
      </c>
      <c r="E153" s="106" t="n">
        <v>56</v>
      </c>
      <c r="F153" s="106" t="n">
        <v>91</v>
      </c>
      <c r="G153" s="108" t="n">
        <v>3158.5</v>
      </c>
      <c r="H153" s="106" t="n">
        <v>0.31</v>
      </c>
      <c r="I153" s="106" t="n">
        <v>3.41</v>
      </c>
      <c r="J153" s="106" t="n">
        <v>0.38</v>
      </c>
      <c r="K153" s="108" t="n">
        <v>4.4</v>
      </c>
      <c r="L153" s="106" t="n">
        <v>0</v>
      </c>
      <c r="M153" s="106" t="n">
        <v>5</v>
      </c>
      <c r="N153" s="106" t="n">
        <v>3.13</v>
      </c>
      <c r="O153" s="106" t="n">
        <v>-2.04</v>
      </c>
      <c r="P153" s="106" t="n">
        <v>17</v>
      </c>
      <c r="Q153" s="106" t="n">
        <v>0</v>
      </c>
      <c r="R153" s="106" t="s">
        <v>3639</v>
      </c>
    </row>
    <row r="154" customFormat="false" ht="15" hidden="false" customHeight="false" outlineLevel="0" collapsed="false">
      <c r="A154" s="106" t="s">
        <v>3752</v>
      </c>
      <c r="B154" s="106" t="s">
        <v>3753</v>
      </c>
      <c r="C154" s="106" t="s">
        <v>1689</v>
      </c>
      <c r="D154" s="106" t="s">
        <v>1737</v>
      </c>
      <c r="E154" s="106" t="n">
        <v>57</v>
      </c>
      <c r="F154" s="106" t="n">
        <v>87</v>
      </c>
      <c r="G154" s="108" t="n">
        <v>3066.45</v>
      </c>
      <c r="H154" s="106" t="n">
        <v>0.3</v>
      </c>
      <c r="I154" s="106" t="n">
        <v>4.18</v>
      </c>
      <c r="J154" s="106" t="n">
        <v>1.55</v>
      </c>
      <c r="K154" s="108" t="n">
        <v>75.51</v>
      </c>
      <c r="L154" s="106" t="n">
        <v>0</v>
      </c>
      <c r="M154" s="106" t="n">
        <v>13</v>
      </c>
      <c r="N154" s="106" t="n">
        <v>7.51</v>
      </c>
      <c r="O154" s="106" t="n">
        <v>2.78</v>
      </c>
      <c r="P154" s="106" t="n">
        <v>34</v>
      </c>
      <c r="Q154" s="106" t="n">
        <v>0</v>
      </c>
      <c r="R154" s="106" t="s">
        <v>3639</v>
      </c>
    </row>
    <row r="155" customFormat="false" ht="15" hidden="false" customHeight="false" outlineLevel="0" collapsed="false">
      <c r="A155" s="106" t="s">
        <v>3754</v>
      </c>
      <c r="B155" s="106" t="s">
        <v>3755</v>
      </c>
      <c r="C155" s="106" t="s">
        <v>696</v>
      </c>
      <c r="D155" s="106" t="s">
        <v>1772</v>
      </c>
      <c r="E155" s="106" t="n">
        <v>58</v>
      </c>
      <c r="F155" s="106" t="n">
        <v>81</v>
      </c>
      <c r="G155" s="108" t="n">
        <v>2420.69</v>
      </c>
      <c r="H155" s="106" t="n">
        <v>0.28</v>
      </c>
      <c r="I155" s="106" t="n">
        <v>1.65</v>
      </c>
      <c r="J155" s="106" t="n">
        <v>1.41</v>
      </c>
      <c r="K155" s="108" t="n">
        <v>0</v>
      </c>
      <c r="L155" s="106" t="n">
        <v>0</v>
      </c>
      <c r="M155" s="106" t="n">
        <v>0</v>
      </c>
      <c r="N155" s="106"/>
      <c r="O155" s="106"/>
      <c r="P155" s="106" t="n">
        <v>0</v>
      </c>
      <c r="Q155" s="106" t="n">
        <v>0</v>
      </c>
      <c r="R155" s="106" t="s">
        <v>3639</v>
      </c>
    </row>
    <row r="156" customFormat="false" ht="15" hidden="false" customHeight="false" outlineLevel="0" collapsed="false">
      <c r="A156" s="106" t="s">
        <v>3756</v>
      </c>
      <c r="B156" s="106" t="s">
        <v>3757</v>
      </c>
      <c r="C156" s="106" t="s">
        <v>696</v>
      </c>
      <c r="D156" s="106" t="s">
        <v>1748</v>
      </c>
      <c r="E156" s="106" t="n">
        <v>59</v>
      </c>
      <c r="F156" s="106" t="n">
        <v>63</v>
      </c>
      <c r="G156" s="108" t="n">
        <v>1833.54</v>
      </c>
      <c r="H156" s="106" t="n">
        <v>0.22</v>
      </c>
      <c r="I156" s="106" t="n">
        <v>2.63</v>
      </c>
      <c r="J156" s="106" t="n">
        <v>4.06</v>
      </c>
      <c r="K156" s="108" t="n">
        <v>0</v>
      </c>
      <c r="L156" s="106" t="n">
        <v>0</v>
      </c>
      <c r="M156" s="106" t="n">
        <v>0</v>
      </c>
      <c r="N156" s="106"/>
      <c r="O156" s="106"/>
      <c r="P156" s="106"/>
      <c r="Q156" s="106"/>
      <c r="R156" s="106" t="s">
        <v>3639</v>
      </c>
    </row>
    <row r="157" customFormat="false" ht="15" hidden="false" customHeight="false" outlineLevel="0" collapsed="false">
      <c r="A157" s="106" t="s">
        <v>3758</v>
      </c>
      <c r="B157" s="106" t="s">
        <v>3759</v>
      </c>
      <c r="C157" s="106" t="s">
        <v>696</v>
      </c>
      <c r="D157" s="106" t="s">
        <v>1750</v>
      </c>
      <c r="E157" s="106" t="n">
        <v>60</v>
      </c>
      <c r="F157" s="106" t="n">
        <v>61</v>
      </c>
      <c r="G157" s="108" t="n">
        <v>1902.83</v>
      </c>
      <c r="H157" s="106" t="n">
        <v>0.21</v>
      </c>
      <c r="I157" s="106" t="n">
        <v>1.09</v>
      </c>
      <c r="J157" s="106" t="n">
        <v>-10.1</v>
      </c>
      <c r="K157" s="108" t="n">
        <v>9.24</v>
      </c>
      <c r="L157" s="106" t="n">
        <v>0</v>
      </c>
      <c r="M157" s="106" t="n">
        <v>0</v>
      </c>
      <c r="N157" s="106"/>
      <c r="O157" s="106"/>
      <c r="P157" s="106" t="n">
        <v>5</v>
      </c>
      <c r="Q157" s="106" t="n">
        <v>0</v>
      </c>
      <c r="R157" s="106" t="s">
        <v>3639</v>
      </c>
    </row>
    <row r="159" customFormat="false" ht="15" hidden="false" customHeight="false" outlineLevel="0" collapsed="false">
      <c r="A159" s="82" t="s">
        <v>3760</v>
      </c>
    </row>
    <row r="160" customFormat="false" ht="15" hidden="false" customHeight="false" outlineLevel="0" collapsed="false">
      <c r="A160" s="90" t="s">
        <v>3761</v>
      </c>
      <c r="B160" s="90" t="s">
        <v>3313</v>
      </c>
      <c r="C160" s="90" t="s">
        <v>3601</v>
      </c>
      <c r="D160" s="90" t="s">
        <v>3284</v>
      </c>
      <c r="E160" s="90" t="s">
        <v>3320</v>
      </c>
      <c r="F160" s="90" t="s">
        <v>3762</v>
      </c>
      <c r="G160" s="90" t="s">
        <v>3763</v>
      </c>
      <c r="H160" s="90" t="s">
        <v>3764</v>
      </c>
    </row>
    <row r="161" customFormat="false" ht="15" hidden="false" customHeight="false" outlineLevel="0" collapsed="false">
      <c r="A161" s="106" t="s">
        <v>3765</v>
      </c>
      <c r="B161" s="108" t="n">
        <v>13487.22</v>
      </c>
      <c r="C161" s="108" t="n">
        <v>92928.22</v>
      </c>
      <c r="D161" s="106" t="n">
        <v>2488</v>
      </c>
      <c r="E161" s="106" t="n">
        <v>16154</v>
      </c>
      <c r="F161" s="117" t="n">
        <v>0.145135890905906</v>
      </c>
      <c r="G161" s="117" t="n">
        <v>0.154017580784945</v>
      </c>
      <c r="H161" s="116" t="n">
        <v>0.834915191283893</v>
      </c>
    </row>
    <row r="162" customFormat="false" ht="15" hidden="false" customHeight="false" outlineLevel="0" collapsed="false">
      <c r="A162" s="106" t="s">
        <v>3766</v>
      </c>
      <c r="B162" s="108" t="n">
        <v>12723.44</v>
      </c>
      <c r="C162" s="108" t="n">
        <v>42952.73</v>
      </c>
      <c r="D162" s="106" t="n">
        <v>1302</v>
      </c>
      <c r="E162" s="106" t="n">
        <v>24832</v>
      </c>
      <c r="F162" s="117" t="n">
        <v>0.296219588370751</v>
      </c>
      <c r="G162" s="117" t="n">
        <v>0.0524323453608247</v>
      </c>
      <c r="H162" s="116" t="n">
        <v>0.512380798969072</v>
      </c>
    </row>
    <row r="163" customFormat="false" ht="15" hidden="false" customHeight="false" outlineLevel="0" collapsed="false">
      <c r="A163" s="106" t="s">
        <v>198</v>
      </c>
      <c r="B163" s="108" t="n">
        <v>5964.4</v>
      </c>
      <c r="C163" s="108" t="n">
        <v>10077.81</v>
      </c>
      <c r="D163" s="106" t="n">
        <v>243</v>
      </c>
      <c r="E163" s="106" t="n">
        <v>3349</v>
      </c>
      <c r="F163" s="117" t="n">
        <v>0.591834932391065</v>
      </c>
      <c r="G163" s="117" t="n">
        <v>0.0725589728277098</v>
      </c>
      <c r="H163" s="116" t="n">
        <v>1.78094953717528</v>
      </c>
    </row>
    <row r="164" customFormat="false" ht="15" hidden="false" customHeight="false" outlineLevel="0" collapsed="false">
      <c r="A164" s="106" t="s">
        <v>3767</v>
      </c>
      <c r="B164" s="108" t="n">
        <v>1444.58</v>
      </c>
      <c r="C164" s="108" t="n">
        <v>2859.93</v>
      </c>
      <c r="D164" s="106" t="n">
        <v>79</v>
      </c>
      <c r="E164" s="106" t="n">
        <v>1268</v>
      </c>
      <c r="F164" s="117" t="n">
        <v>0.505110264936554</v>
      </c>
      <c r="G164" s="117" t="n">
        <v>0.0623028391167192</v>
      </c>
      <c r="H164" s="116" t="n">
        <v>1.13925867507886</v>
      </c>
    </row>
    <row r="165" customFormat="false" ht="15" hidden="false" customHeight="false" outlineLevel="0" collapsed="false">
      <c r="A165" s="106" t="s">
        <v>3768</v>
      </c>
      <c r="B165" s="108" t="n">
        <v>77.47</v>
      </c>
      <c r="C165" s="108" t="n">
        <v>37.95</v>
      </c>
      <c r="D165" s="106" t="n">
        <v>1</v>
      </c>
      <c r="E165" s="106" t="n">
        <v>70</v>
      </c>
      <c r="F165" s="117" t="n">
        <v>2.04137022397892</v>
      </c>
      <c r="G165" s="117" t="n">
        <v>0.0142857142857143</v>
      </c>
      <c r="H165" s="116" t="n">
        <v>1.10671428571429</v>
      </c>
    </row>
    <row r="166" customFormat="false" ht="15" hidden="false" customHeight="false" outlineLevel="0" collapsed="false">
      <c r="A166" s="106" t="s">
        <v>3769</v>
      </c>
      <c r="B166" s="108" t="n">
        <v>10.72</v>
      </c>
      <c r="C166" s="108" t="n">
        <v>300.06</v>
      </c>
      <c r="D166" s="106" t="n">
        <v>9</v>
      </c>
      <c r="E166" s="106" t="n">
        <v>24</v>
      </c>
      <c r="F166" s="117" t="n">
        <v>0.0357261880957142</v>
      </c>
      <c r="G166" s="117" t="n">
        <v>0.375</v>
      </c>
      <c r="H166" s="116" t="n">
        <v>0.446666666666667</v>
      </c>
    </row>
    <row r="167" customFormat="false" ht="15" hidden="false" customHeight="false" outlineLevel="0" collapsed="false">
      <c r="A167" s="90" t="s">
        <v>3770</v>
      </c>
      <c r="B167" s="90" t="s">
        <v>3313</v>
      </c>
      <c r="C167" s="90" t="s">
        <v>3601</v>
      </c>
      <c r="D167" s="90" t="s">
        <v>3284</v>
      </c>
      <c r="E167" s="90" t="s">
        <v>3320</v>
      </c>
      <c r="F167" s="90" t="s">
        <v>3762</v>
      </c>
      <c r="G167" s="90" t="s">
        <v>3763</v>
      </c>
      <c r="H167" s="90" t="s">
        <v>3764</v>
      </c>
    </row>
    <row r="168" customFormat="false" ht="15" hidden="false" customHeight="false" outlineLevel="0" collapsed="false">
      <c r="A168" s="106" t="s">
        <v>3766</v>
      </c>
      <c r="B168" s="108" t="n">
        <v>12723.44</v>
      </c>
      <c r="C168" s="108" t="n">
        <v>42952.73</v>
      </c>
      <c r="D168" s="106" t="n">
        <v>1302</v>
      </c>
      <c r="E168" s="106" t="n">
        <v>24832</v>
      </c>
      <c r="F168" s="117" t="n">
        <v>0.296219588370751</v>
      </c>
      <c r="G168" s="117" t="n">
        <v>0.0524323453608247</v>
      </c>
      <c r="H168" s="116" t="n">
        <v>0.512380798969072</v>
      </c>
    </row>
    <row r="169" customFormat="false" ht="15" hidden="false" customHeight="false" outlineLevel="0" collapsed="false">
      <c r="A169" s="106" t="s">
        <v>1514</v>
      </c>
      <c r="B169" s="108" t="n">
        <v>12261.12</v>
      </c>
      <c r="C169" s="108" t="n">
        <v>89903.29</v>
      </c>
      <c r="D169" s="106" t="n">
        <v>2429</v>
      </c>
      <c r="E169" s="106" t="n">
        <v>15624</v>
      </c>
      <c r="F169" s="117" t="n">
        <v>0.136381215859842</v>
      </c>
      <c r="G169" s="117" t="n">
        <v>0.155465949820789</v>
      </c>
      <c r="H169" s="116" t="n">
        <v>0.784761904761905</v>
      </c>
    </row>
    <row r="170" customFormat="false" ht="15" hidden="false" customHeight="false" outlineLevel="0" collapsed="false">
      <c r="A170" s="106" t="s">
        <v>32</v>
      </c>
      <c r="B170" s="108" t="n">
        <v>7486.45</v>
      </c>
      <c r="C170" s="108" t="n">
        <v>12975.69</v>
      </c>
      <c r="D170" s="106" t="n">
        <v>323</v>
      </c>
      <c r="E170" s="106" t="n">
        <v>4687</v>
      </c>
      <c r="F170" s="117" t="n">
        <v>0.576959683839549</v>
      </c>
      <c r="G170" s="117" t="n">
        <v>0.0689140174951995</v>
      </c>
      <c r="H170" s="116" t="n">
        <v>1.59727970983572</v>
      </c>
    </row>
    <row r="171" customFormat="false" ht="15" hidden="false" customHeight="false" outlineLevel="0" collapsed="false">
      <c r="A171" s="106" t="s">
        <v>3769</v>
      </c>
      <c r="B171" s="108" t="n">
        <v>1236.82</v>
      </c>
      <c r="C171" s="108" t="n">
        <v>3324.99</v>
      </c>
      <c r="D171" s="106" t="n">
        <v>68</v>
      </c>
      <c r="E171" s="106" t="n">
        <v>554</v>
      </c>
      <c r="F171" s="117" t="n">
        <v>0.37197705857762</v>
      </c>
      <c r="G171" s="117" t="n">
        <v>0.122743682310469</v>
      </c>
      <c r="H171" s="116" t="n">
        <v>2.23252707581227</v>
      </c>
    </row>
    <row r="172" customFormat="false" ht="15" hidden="false" customHeight="false" outlineLevel="0" collapsed="false">
      <c r="A172" s="90" t="s">
        <v>3771</v>
      </c>
      <c r="B172" s="90" t="s">
        <v>3313</v>
      </c>
      <c r="C172" s="90" t="s">
        <v>3320</v>
      </c>
      <c r="D172" s="90" t="s">
        <v>3772</v>
      </c>
      <c r="E172" s="90" t="s">
        <v>3763</v>
      </c>
      <c r="F172" s="90" t="s">
        <v>3764</v>
      </c>
    </row>
    <row r="173" customFormat="false" ht="15" hidden="false" customHeight="false" outlineLevel="0" collapsed="false">
      <c r="A173" s="106" t="s">
        <v>3773</v>
      </c>
      <c r="B173" s="108" t="n">
        <v>11272.84</v>
      </c>
      <c r="C173" s="106" t="n">
        <v>14062</v>
      </c>
      <c r="D173" s="106" t="n">
        <v>1177</v>
      </c>
      <c r="E173" s="117" t="n">
        <v>0.0837007538045797</v>
      </c>
      <c r="F173" s="116" t="n">
        <v>0.801652680984213</v>
      </c>
    </row>
    <row r="174" customFormat="false" ht="15" hidden="false" customHeight="false" outlineLevel="0" collapsed="false">
      <c r="A174" s="106" t="s">
        <v>3774</v>
      </c>
      <c r="B174" s="108" t="n">
        <v>8815.57</v>
      </c>
      <c r="C174" s="106" t="n">
        <v>13253</v>
      </c>
      <c r="D174" s="106" t="n">
        <v>665</v>
      </c>
      <c r="E174" s="117" t="n">
        <v>0.0501773183430167</v>
      </c>
      <c r="F174" s="116" t="n">
        <v>0.665175431977665</v>
      </c>
    </row>
    <row r="175" customFormat="false" ht="15" hidden="false" customHeight="false" outlineLevel="0" collapsed="false">
      <c r="A175" s="106" t="s">
        <v>3775</v>
      </c>
      <c r="B175" s="108" t="n">
        <v>3892.58</v>
      </c>
      <c r="C175" s="106" t="n">
        <v>1908</v>
      </c>
      <c r="D175" s="106" t="n">
        <v>198</v>
      </c>
      <c r="E175" s="117" t="n">
        <v>0.10377358490566</v>
      </c>
      <c r="F175" s="116" t="n">
        <v>2.04013626834382</v>
      </c>
    </row>
    <row r="176" customFormat="false" ht="15" hidden="false" customHeight="false" outlineLevel="0" collapsed="false">
      <c r="A176" s="106" t="s">
        <v>3776</v>
      </c>
      <c r="B176" s="108" t="n">
        <v>271.26</v>
      </c>
      <c r="C176" s="106" t="n">
        <v>472</v>
      </c>
      <c r="D176" s="106" t="n">
        <v>0</v>
      </c>
      <c r="E176" s="117" t="n">
        <v>0</v>
      </c>
      <c r="F176" s="116" t="n">
        <v>0.574703389830509</v>
      </c>
    </row>
    <row r="178" customFormat="false" ht="15" hidden="false" customHeight="false" outlineLevel="0" collapsed="false">
      <c r="A178" s="82" t="s">
        <v>3777</v>
      </c>
    </row>
    <row r="179" customFormat="false" ht="15" hidden="false" customHeight="false" outlineLevel="0" collapsed="false">
      <c r="A179" s="90" t="s">
        <v>3778</v>
      </c>
      <c r="B179" s="90" t="s">
        <v>3304</v>
      </c>
      <c r="C179" s="90" t="s">
        <v>3305</v>
      </c>
      <c r="D179" s="90" t="s">
        <v>1775</v>
      </c>
      <c r="E179" s="90" t="s">
        <v>1776</v>
      </c>
      <c r="F179" s="90" t="s">
        <v>1779</v>
      </c>
      <c r="G179" s="90" t="s">
        <v>3306</v>
      </c>
      <c r="H179" s="90" t="s">
        <v>3307</v>
      </c>
      <c r="I179" s="90" t="s">
        <v>1721</v>
      </c>
      <c r="J179" s="90" t="s">
        <v>1709</v>
      </c>
      <c r="K179" s="90" t="s">
        <v>1718</v>
      </c>
      <c r="L179" s="90" t="s">
        <v>1713</v>
      </c>
      <c r="M179" s="90" t="s">
        <v>1791</v>
      </c>
      <c r="N179" s="90" t="s">
        <v>3308</v>
      </c>
      <c r="O179" s="90" t="s">
        <v>1745</v>
      </c>
      <c r="P179" s="90" t="s">
        <v>1773</v>
      </c>
      <c r="Q179" s="90" t="s">
        <v>1754</v>
      </c>
      <c r="R179" s="90" t="s">
        <v>3309</v>
      </c>
      <c r="S179" s="90" t="s">
        <v>1763</v>
      </c>
      <c r="T179" s="90" t="s">
        <v>3310</v>
      </c>
    </row>
    <row r="180" customFormat="false" ht="15" hidden="false" customHeight="false" outlineLevel="0" collapsed="false">
      <c r="A180" s="106" t="s">
        <v>183</v>
      </c>
      <c r="B180" s="106" t="n">
        <v>12</v>
      </c>
      <c r="C180" s="106" t="n">
        <v>6</v>
      </c>
      <c r="D180" s="106" t="n">
        <v>8</v>
      </c>
      <c r="E180" s="106" t="n">
        <v>12</v>
      </c>
      <c r="F180" s="106" t="n">
        <v>23</v>
      </c>
      <c r="G180" s="106" t="n">
        <v>25</v>
      </c>
      <c r="H180" s="106" t="n">
        <v>41</v>
      </c>
      <c r="I180" s="106" t="n">
        <v>66</v>
      </c>
      <c r="J180" s="106" t="s">
        <v>3779</v>
      </c>
      <c r="K180" s="106" t="s">
        <v>3780</v>
      </c>
      <c r="L180" s="106" t="s">
        <v>3781</v>
      </c>
      <c r="M180" s="106" t="s">
        <v>3782</v>
      </c>
      <c r="N180" s="106" t="n">
        <v>23</v>
      </c>
      <c r="O180" s="106" t="n">
        <v>24</v>
      </c>
      <c r="P180" s="106" t="s">
        <v>3783</v>
      </c>
      <c r="Q180" s="106" t="s">
        <v>3784</v>
      </c>
      <c r="R180" s="106" t="s">
        <v>3785</v>
      </c>
      <c r="S180" s="106" t="s">
        <v>1885</v>
      </c>
      <c r="T180" s="106" t="s">
        <v>3786</v>
      </c>
    </row>
    <row r="181" customFormat="false" ht="15" hidden="false" customHeight="false" outlineLevel="0" collapsed="false">
      <c r="A181" s="106" t="s">
        <v>370</v>
      </c>
      <c r="B181" s="106" t="n">
        <v>9</v>
      </c>
      <c r="C181" s="106" t="n">
        <v>9</v>
      </c>
      <c r="D181" s="106" t="n">
        <v>19</v>
      </c>
      <c r="E181" s="106" t="n">
        <v>20</v>
      </c>
      <c r="F181" s="106" t="n">
        <v>31</v>
      </c>
      <c r="G181" s="106" t="n">
        <v>39</v>
      </c>
      <c r="H181" s="106" t="n">
        <v>51</v>
      </c>
      <c r="I181" s="106" t="n">
        <v>40</v>
      </c>
      <c r="J181" s="106" t="s">
        <v>3787</v>
      </c>
      <c r="K181" s="106" t="s">
        <v>3788</v>
      </c>
      <c r="L181" s="106" t="s">
        <v>3789</v>
      </c>
      <c r="M181" s="106" t="s">
        <v>3790</v>
      </c>
      <c r="N181" s="106" t="n">
        <v>58</v>
      </c>
      <c r="O181" s="106" t="n">
        <v>74</v>
      </c>
      <c r="P181" s="106" t="s">
        <v>3791</v>
      </c>
      <c r="Q181" s="106" t="s">
        <v>3792</v>
      </c>
      <c r="R181" s="106" t="s">
        <v>3785</v>
      </c>
      <c r="S181" s="106" t="s">
        <v>3785</v>
      </c>
      <c r="T181" s="106" t="s">
        <v>3793</v>
      </c>
    </row>
    <row r="182" customFormat="false" ht="15" hidden="false" customHeight="false" outlineLevel="0" collapsed="false">
      <c r="A182" s="106" t="s">
        <v>559</v>
      </c>
      <c r="B182" s="106" t="n">
        <v>21</v>
      </c>
      <c r="C182" s="106" t="n">
        <v>9</v>
      </c>
      <c r="D182" s="106" t="n">
        <v>14</v>
      </c>
      <c r="E182" s="106" t="n">
        <v>18</v>
      </c>
      <c r="F182" s="106" t="n">
        <v>20</v>
      </c>
      <c r="G182" s="106" t="n">
        <v>77</v>
      </c>
      <c r="H182" s="106" t="n">
        <v>92</v>
      </c>
      <c r="I182" s="106" t="n">
        <v>37</v>
      </c>
      <c r="J182" s="106" t="s">
        <v>3794</v>
      </c>
      <c r="K182" s="106" t="s">
        <v>3795</v>
      </c>
      <c r="L182" s="106" t="s">
        <v>3796</v>
      </c>
      <c r="M182" s="106" t="s">
        <v>3790</v>
      </c>
      <c r="N182" s="106" t="n">
        <v>43</v>
      </c>
      <c r="O182" s="106" t="n">
        <v>62</v>
      </c>
      <c r="P182" s="106" t="s">
        <v>3785</v>
      </c>
      <c r="Q182" s="106" t="s">
        <v>3785</v>
      </c>
      <c r="R182" s="106" t="s">
        <v>3785</v>
      </c>
      <c r="S182" s="106" t="s">
        <v>3785</v>
      </c>
      <c r="T182" s="106" t="s">
        <v>3797</v>
      </c>
    </row>
    <row r="183" customFormat="false" ht="15" hidden="false" customHeight="false" outlineLevel="0" collapsed="false">
      <c r="A183" s="106" t="s">
        <v>478</v>
      </c>
      <c r="B183" s="106" t="n">
        <v>24</v>
      </c>
      <c r="C183" s="106" t="n">
        <v>6</v>
      </c>
      <c r="D183" s="106" t="n">
        <v>9</v>
      </c>
      <c r="E183" s="106" t="n">
        <v>29</v>
      </c>
      <c r="F183" s="106" t="n">
        <v>37</v>
      </c>
      <c r="G183" s="106" t="n">
        <v>41</v>
      </c>
      <c r="H183" s="106" t="n">
        <v>51</v>
      </c>
      <c r="I183" s="106" t="n">
        <v>25</v>
      </c>
      <c r="J183" s="106" t="s">
        <v>3798</v>
      </c>
      <c r="K183" s="106" t="s">
        <v>3799</v>
      </c>
      <c r="L183" s="106" t="s">
        <v>3800</v>
      </c>
      <c r="M183" s="106" t="s">
        <v>3801</v>
      </c>
      <c r="N183" s="106" t="n">
        <v>66</v>
      </c>
      <c r="O183" s="106" t="n">
        <v>127</v>
      </c>
      <c r="P183" s="106" t="s">
        <v>3802</v>
      </c>
      <c r="Q183" s="106" t="s">
        <v>3786</v>
      </c>
      <c r="R183" s="106" t="s">
        <v>3803</v>
      </c>
      <c r="S183" s="106" t="s">
        <v>3804</v>
      </c>
      <c r="T183" s="106" t="s">
        <v>3805</v>
      </c>
    </row>
    <row r="184" customFormat="false" ht="15" hidden="false" customHeight="false" outlineLevel="0" collapsed="false">
      <c r="A184" s="106" t="s">
        <v>695</v>
      </c>
      <c r="B184" s="106" t="n">
        <v>21</v>
      </c>
      <c r="C184" s="106" t="n">
        <v>11</v>
      </c>
      <c r="D184" s="106" t="n">
        <v>15</v>
      </c>
      <c r="E184" s="106" t="n">
        <v>11</v>
      </c>
      <c r="F184" s="106" t="n">
        <v>8</v>
      </c>
      <c r="G184" s="106" t="n">
        <v>9</v>
      </c>
      <c r="H184" s="106" t="n">
        <v>11</v>
      </c>
      <c r="I184" s="106" t="n">
        <v>12</v>
      </c>
      <c r="J184" s="106" t="s">
        <v>3785</v>
      </c>
      <c r="K184" s="106" t="s">
        <v>3785</v>
      </c>
      <c r="L184" s="106" t="s">
        <v>3785</v>
      </c>
      <c r="M184" s="106" t="s">
        <v>3785</v>
      </c>
      <c r="N184" s="106" t="n">
        <v>37</v>
      </c>
      <c r="O184" s="106" t="n">
        <v>63</v>
      </c>
      <c r="P184" s="106" t="s">
        <v>3806</v>
      </c>
      <c r="Q184" s="106" t="s">
        <v>3799</v>
      </c>
      <c r="R184" s="106" t="s">
        <v>3807</v>
      </c>
      <c r="S184" s="106" t="s">
        <v>3808</v>
      </c>
      <c r="T184" s="106" t="s">
        <v>3809</v>
      </c>
    </row>
    <row r="185" customFormat="false" ht="15" hidden="false" customHeight="false" outlineLevel="0" collapsed="false">
      <c r="A185" s="106" t="s">
        <v>391</v>
      </c>
      <c r="B185" s="106" t="n">
        <v>11</v>
      </c>
      <c r="C185" s="106" t="n">
        <v>6</v>
      </c>
      <c r="D185" s="106" t="n">
        <v>7</v>
      </c>
      <c r="E185" s="106" t="n">
        <v>8</v>
      </c>
      <c r="F185" s="106" t="n">
        <v>13</v>
      </c>
      <c r="G185" s="106" t="n">
        <v>19</v>
      </c>
      <c r="H185" s="106" t="n">
        <v>71</v>
      </c>
      <c r="I185" s="106" t="n">
        <v>27</v>
      </c>
      <c r="J185" s="106" t="s">
        <v>3788</v>
      </c>
      <c r="K185" s="106" t="s">
        <v>3810</v>
      </c>
      <c r="L185" s="106" t="s">
        <v>3811</v>
      </c>
      <c r="M185" s="106" t="s">
        <v>3783</v>
      </c>
      <c r="N185" s="106" t="n">
        <v>35</v>
      </c>
      <c r="O185" s="106" t="n">
        <v>23</v>
      </c>
      <c r="P185" s="106" t="s">
        <v>3812</v>
      </c>
      <c r="Q185" s="106" t="s">
        <v>3813</v>
      </c>
      <c r="R185" s="106" t="s">
        <v>3785</v>
      </c>
      <c r="S185" s="106" t="s">
        <v>3785</v>
      </c>
      <c r="T185" s="106" t="s">
        <v>3814</v>
      </c>
    </row>
    <row r="186" customFormat="false" ht="15" hidden="false" customHeight="false" outlineLevel="0" collapsed="false">
      <c r="A186" s="106" t="s">
        <v>3815</v>
      </c>
      <c r="B186" s="106" t="n">
        <v>12</v>
      </c>
      <c r="C186" s="106" t="n">
        <v>10</v>
      </c>
      <c r="D186" s="106" t="n">
        <v>9</v>
      </c>
      <c r="E186" s="106" t="n">
        <v>12</v>
      </c>
      <c r="F186" s="106" t="n">
        <v>17</v>
      </c>
      <c r="G186" s="106" t="n">
        <v>12</v>
      </c>
      <c r="H186" s="106" t="n">
        <v>51</v>
      </c>
      <c r="I186" s="106" t="n">
        <v>39</v>
      </c>
      <c r="J186" s="106" t="s">
        <v>3812</v>
      </c>
      <c r="K186" s="106" t="s">
        <v>3783</v>
      </c>
      <c r="L186" s="106" t="s">
        <v>3816</v>
      </c>
      <c r="M186" s="106" t="s">
        <v>2174</v>
      </c>
      <c r="N186" s="106" t="n">
        <v>21</v>
      </c>
      <c r="O186" s="106" t="n">
        <v>20</v>
      </c>
      <c r="P186" s="106" t="s">
        <v>2174</v>
      </c>
      <c r="Q186" s="106" t="s">
        <v>3817</v>
      </c>
      <c r="R186" s="106" t="s">
        <v>3785</v>
      </c>
      <c r="S186" s="106" t="s">
        <v>3818</v>
      </c>
      <c r="T186" s="106" t="s">
        <v>3819</v>
      </c>
    </row>
    <row r="187" customFormat="false" ht="15" hidden="false" customHeight="false" outlineLevel="0" collapsed="false">
      <c r="A187" s="106" t="s">
        <v>234</v>
      </c>
      <c r="B187" s="106" t="n">
        <v>8</v>
      </c>
      <c r="C187" s="106" t="n">
        <v>6</v>
      </c>
      <c r="D187" s="106" t="n">
        <v>6</v>
      </c>
      <c r="E187" s="106" t="n">
        <v>11</v>
      </c>
      <c r="F187" s="106" t="n">
        <v>18</v>
      </c>
      <c r="G187" s="106" t="n">
        <v>22</v>
      </c>
      <c r="H187" s="106" t="n">
        <v>39</v>
      </c>
      <c r="I187" s="106" t="n">
        <v>27</v>
      </c>
      <c r="J187" s="106" t="s">
        <v>3783</v>
      </c>
      <c r="K187" s="106" t="s">
        <v>3820</v>
      </c>
      <c r="L187" s="106" t="s">
        <v>3821</v>
      </c>
      <c r="M187" s="106" t="s">
        <v>3822</v>
      </c>
      <c r="N187" s="106" t="n">
        <v>16</v>
      </c>
      <c r="O187" s="106" t="n">
        <v>16</v>
      </c>
      <c r="P187" s="106" t="s">
        <v>3787</v>
      </c>
      <c r="Q187" s="106" t="s">
        <v>3789</v>
      </c>
      <c r="R187" s="106" t="s">
        <v>3785</v>
      </c>
      <c r="S187" s="106" t="s">
        <v>2083</v>
      </c>
      <c r="T187" s="106" t="s">
        <v>3802</v>
      </c>
    </row>
    <row r="188" customFormat="false" ht="15" hidden="false" customHeight="false" outlineLevel="0" collapsed="false">
      <c r="A188" s="106" t="s">
        <v>640</v>
      </c>
      <c r="B188" s="106" t="n">
        <v>58</v>
      </c>
      <c r="C188" s="106" t="n">
        <v>22</v>
      </c>
      <c r="D188" s="106" t="n">
        <v>18</v>
      </c>
      <c r="E188" s="106" t="n">
        <v>19</v>
      </c>
      <c r="F188" s="106" t="n">
        <v>18</v>
      </c>
      <c r="G188" s="106" t="n">
        <v>24</v>
      </c>
      <c r="H188" s="106" t="n">
        <v>37</v>
      </c>
      <c r="I188" s="106" t="n">
        <v>62</v>
      </c>
      <c r="J188" s="106" t="s">
        <v>3823</v>
      </c>
      <c r="K188" s="106" t="s">
        <v>3823</v>
      </c>
      <c r="L188" s="106" t="s">
        <v>3824</v>
      </c>
      <c r="M188" s="106" t="s">
        <v>3825</v>
      </c>
      <c r="N188" s="106" t="n">
        <v>56</v>
      </c>
      <c r="O188" s="106" t="n">
        <v>85</v>
      </c>
      <c r="P188" s="106" t="s">
        <v>3785</v>
      </c>
      <c r="Q188" s="106" t="s">
        <v>3785</v>
      </c>
      <c r="R188" s="106" t="s">
        <v>3785</v>
      </c>
      <c r="S188" s="106" t="s">
        <v>3826</v>
      </c>
      <c r="T188" s="106" t="s">
        <v>3827</v>
      </c>
    </row>
    <row r="189" customFormat="false" ht="15" hidden="false" customHeight="false" outlineLevel="0" collapsed="false">
      <c r="A189" s="106" t="s">
        <v>3828</v>
      </c>
      <c r="B189" s="106" t="n">
        <v>27</v>
      </c>
      <c r="C189" s="106" t="n">
        <v>21</v>
      </c>
      <c r="D189" s="106" t="n">
        <v>18</v>
      </c>
      <c r="E189" s="106" t="n">
        <v>22</v>
      </c>
      <c r="F189" s="106" t="n">
        <v>26</v>
      </c>
      <c r="G189" s="106" t="n">
        <v>35</v>
      </c>
      <c r="H189" s="106" t="n">
        <v>74</v>
      </c>
      <c r="I189" s="106" t="n">
        <v>73</v>
      </c>
      <c r="J189" s="106" t="s">
        <v>3804</v>
      </c>
      <c r="K189" s="106" t="s">
        <v>3825</v>
      </c>
      <c r="L189" s="106" t="s">
        <v>3829</v>
      </c>
      <c r="M189" s="106" t="s">
        <v>3830</v>
      </c>
      <c r="N189" s="106" t="n">
        <v>64</v>
      </c>
      <c r="O189" s="106" t="n">
        <v>61</v>
      </c>
      <c r="P189" s="106" t="s">
        <v>3831</v>
      </c>
      <c r="Q189" s="106" t="s">
        <v>3784</v>
      </c>
      <c r="R189" s="106" t="s">
        <v>3808</v>
      </c>
      <c r="S189" s="106" t="s">
        <v>3785</v>
      </c>
      <c r="T189" s="106" t="s">
        <v>3832</v>
      </c>
    </row>
    <row r="190" customFormat="false" ht="15" hidden="false" customHeight="false" outlineLevel="0" collapsed="false">
      <c r="A190" s="106" t="s">
        <v>341</v>
      </c>
      <c r="B190" s="106" t="n">
        <v>13</v>
      </c>
      <c r="C190" s="106" t="n">
        <v>13</v>
      </c>
      <c r="D190" s="106" t="n">
        <v>23</v>
      </c>
      <c r="E190" s="106" t="n">
        <v>31</v>
      </c>
      <c r="F190" s="106" t="n">
        <v>45</v>
      </c>
      <c r="G190" s="106" t="n">
        <v>48</v>
      </c>
      <c r="H190" s="106" t="n">
        <v>66</v>
      </c>
      <c r="I190" s="106" t="n">
        <v>52</v>
      </c>
      <c r="J190" s="106" t="s">
        <v>3817</v>
      </c>
      <c r="K190" s="106" t="s">
        <v>3789</v>
      </c>
      <c r="L190" s="106" t="s">
        <v>3831</v>
      </c>
      <c r="M190" s="106" t="s">
        <v>3816</v>
      </c>
      <c r="N190" s="106" t="n">
        <v>12</v>
      </c>
      <c r="O190" s="106" t="n">
        <v>10</v>
      </c>
      <c r="P190" s="106" t="s">
        <v>3833</v>
      </c>
      <c r="Q190" s="106" t="s">
        <v>3787</v>
      </c>
      <c r="R190" s="106" t="s">
        <v>3785</v>
      </c>
      <c r="S190" s="106" t="s">
        <v>3785</v>
      </c>
      <c r="T190" s="106" t="s">
        <v>3834</v>
      </c>
    </row>
    <row r="191" customFormat="false" ht="15" hidden="false" customHeight="false" outlineLevel="0" collapsed="false">
      <c r="A191" s="106" t="s">
        <v>269</v>
      </c>
      <c r="B191" s="106" t="n">
        <v>14</v>
      </c>
      <c r="C191" s="106" t="n">
        <v>13</v>
      </c>
      <c r="D191" s="106" t="n">
        <v>14</v>
      </c>
      <c r="E191" s="106" t="n">
        <v>19</v>
      </c>
      <c r="F191" s="106" t="n">
        <v>20</v>
      </c>
      <c r="G191" s="106" t="n">
        <v>25</v>
      </c>
      <c r="H191" s="106" t="n">
        <v>61</v>
      </c>
      <c r="I191" s="106" t="n">
        <v>52</v>
      </c>
      <c r="J191" s="106" t="s">
        <v>3825</v>
      </c>
      <c r="K191" s="106" t="s">
        <v>3794</v>
      </c>
      <c r="L191" s="106" t="s">
        <v>3835</v>
      </c>
      <c r="M191" s="106" t="s">
        <v>3817</v>
      </c>
      <c r="N191" s="106" t="n">
        <v>18</v>
      </c>
      <c r="O191" s="106" t="n">
        <v>14</v>
      </c>
      <c r="P191" s="106" t="s">
        <v>3787</v>
      </c>
      <c r="Q191" s="106" t="s">
        <v>3820</v>
      </c>
      <c r="R191" s="106" t="s">
        <v>3785</v>
      </c>
      <c r="S191" s="106" t="s">
        <v>3785</v>
      </c>
      <c r="T191" s="106" t="s">
        <v>3785</v>
      </c>
    </row>
    <row r="192" customFormat="false" ht="15" hidden="false" customHeight="false" outlineLevel="0" collapsed="false">
      <c r="A192" s="106" t="s">
        <v>610</v>
      </c>
      <c r="B192" s="106" t="n">
        <v>16</v>
      </c>
      <c r="C192" s="106" t="n">
        <v>10</v>
      </c>
      <c r="D192" s="106" t="n">
        <v>16</v>
      </c>
      <c r="E192" s="106" t="n">
        <v>9</v>
      </c>
      <c r="F192" s="106" t="n">
        <v>9</v>
      </c>
      <c r="G192" s="106" t="n">
        <v>81</v>
      </c>
      <c r="H192" s="106" t="n">
        <v>105</v>
      </c>
      <c r="I192" s="106" t="n">
        <v>109</v>
      </c>
      <c r="J192" s="106" t="s">
        <v>3785</v>
      </c>
      <c r="K192" s="106" t="s">
        <v>3785</v>
      </c>
      <c r="L192" s="106" t="s">
        <v>3785</v>
      </c>
      <c r="M192" s="106" t="s">
        <v>3823</v>
      </c>
      <c r="N192" s="106" t="n">
        <v>78</v>
      </c>
      <c r="O192" s="106" t="n">
        <v>100</v>
      </c>
      <c r="P192" s="106" t="s">
        <v>3836</v>
      </c>
      <c r="Q192" s="106" t="s">
        <v>3785</v>
      </c>
      <c r="R192" s="106" t="s">
        <v>3785</v>
      </c>
      <c r="S192" s="106" t="s">
        <v>3837</v>
      </c>
      <c r="T192" s="106" t="s">
        <v>3801</v>
      </c>
    </row>
    <row r="193" customFormat="false" ht="15" hidden="false" customHeight="false" outlineLevel="0" collapsed="false">
      <c r="A193" s="106" t="s">
        <v>513</v>
      </c>
      <c r="B193" s="106" t="n">
        <v>14</v>
      </c>
      <c r="C193" s="106" t="n">
        <v>11</v>
      </c>
      <c r="D193" s="106" t="n">
        <v>11</v>
      </c>
      <c r="E193" s="106" t="n">
        <v>15</v>
      </c>
      <c r="F193" s="106" t="n">
        <v>15</v>
      </c>
      <c r="G193" s="106" t="n">
        <v>24</v>
      </c>
      <c r="H193" s="106" t="n">
        <v>48</v>
      </c>
      <c r="I193" s="106" t="n">
        <v>22</v>
      </c>
      <c r="J193" s="106" t="s">
        <v>3838</v>
      </c>
      <c r="K193" s="106" t="s">
        <v>3806</v>
      </c>
      <c r="L193" s="106" t="s">
        <v>3795</v>
      </c>
      <c r="M193" s="106" t="s">
        <v>3790</v>
      </c>
      <c r="N193" s="106" t="n">
        <v>84</v>
      </c>
      <c r="O193" s="106" t="n">
        <v>135</v>
      </c>
      <c r="P193" s="106" t="s">
        <v>3821</v>
      </c>
      <c r="Q193" s="106" t="s">
        <v>3837</v>
      </c>
      <c r="R193" s="106" t="s">
        <v>2095</v>
      </c>
      <c r="S193" s="106" t="s">
        <v>3827</v>
      </c>
      <c r="T193" s="106" t="s">
        <v>2095</v>
      </c>
    </row>
    <row r="194" customFormat="false" ht="15" hidden="false" customHeight="false" outlineLevel="0" collapsed="false">
      <c r="A194" s="106" t="s">
        <v>718</v>
      </c>
      <c r="B194" s="106" t="n">
        <v>27</v>
      </c>
      <c r="C194" s="106" t="n">
        <v>8</v>
      </c>
      <c r="D194" s="106" t="n">
        <v>15</v>
      </c>
      <c r="E194" s="106" t="n">
        <v>15</v>
      </c>
      <c r="F194" s="106" t="n">
        <v>9</v>
      </c>
      <c r="G194" s="106" t="n">
        <v>10</v>
      </c>
      <c r="H194" s="106" t="n">
        <v>16</v>
      </c>
      <c r="I194" s="106" t="n">
        <v>22</v>
      </c>
      <c r="J194" s="106" t="s">
        <v>3839</v>
      </c>
      <c r="K194" s="106" t="s">
        <v>3782</v>
      </c>
      <c r="L194" s="106" t="s">
        <v>3840</v>
      </c>
      <c r="M194" s="106" t="s">
        <v>3838</v>
      </c>
      <c r="N194" s="106" t="n">
        <v>46</v>
      </c>
      <c r="O194" s="106" t="n">
        <v>77</v>
      </c>
      <c r="P194" s="106" t="s">
        <v>3841</v>
      </c>
      <c r="Q194" s="106" t="s">
        <v>3842</v>
      </c>
      <c r="R194" s="106" t="s">
        <v>3825</v>
      </c>
      <c r="S194" s="106" t="s">
        <v>3827</v>
      </c>
      <c r="T194" s="106" t="s">
        <v>3843</v>
      </c>
    </row>
    <row r="195" customFormat="false" ht="15" hidden="false" customHeight="false" outlineLevel="0" collapsed="false">
      <c r="A195" s="90" t="s">
        <v>3778</v>
      </c>
      <c r="B195" s="90" t="s">
        <v>3844</v>
      </c>
      <c r="C195" s="90" t="s">
        <v>3845</v>
      </c>
      <c r="D195" s="90" t="s">
        <v>3846</v>
      </c>
      <c r="E195" s="90" t="s">
        <v>3847</v>
      </c>
      <c r="F195" s="90" t="s">
        <v>3848</v>
      </c>
      <c r="G195" s="90" t="s">
        <v>3849</v>
      </c>
      <c r="H195" s="90" t="s">
        <v>3850</v>
      </c>
      <c r="I195" s="90" t="s">
        <v>3851</v>
      </c>
      <c r="J195" s="90" t="s">
        <v>3852</v>
      </c>
    </row>
    <row r="196" customFormat="false" ht="15" hidden="false" customHeight="false" outlineLevel="0" collapsed="false">
      <c r="A196" s="106" t="s">
        <v>370</v>
      </c>
      <c r="B196" s="106" t="n">
        <v>555</v>
      </c>
      <c r="C196" s="106" t="s">
        <v>3853</v>
      </c>
      <c r="D196" s="106" t="n">
        <v>486</v>
      </c>
      <c r="E196" s="106" t="n">
        <v>4</v>
      </c>
      <c r="F196" s="106" t="s">
        <v>3854</v>
      </c>
      <c r="G196" s="106" t="n">
        <v>114</v>
      </c>
      <c r="H196" s="106" t="s">
        <v>3853</v>
      </c>
      <c r="I196" s="106" t="n">
        <v>38</v>
      </c>
      <c r="J196" s="106" t="s">
        <v>3855</v>
      </c>
    </row>
    <row r="197" customFormat="false" ht="15" hidden="false" customHeight="false" outlineLevel="0" collapsed="false">
      <c r="A197" s="106" t="s">
        <v>183</v>
      </c>
      <c r="B197" s="106" t="n">
        <v>555</v>
      </c>
      <c r="C197" s="106" t="s">
        <v>3853</v>
      </c>
      <c r="D197" s="106" t="n">
        <v>526</v>
      </c>
      <c r="E197" s="106" t="n">
        <v>3</v>
      </c>
      <c r="F197" s="106" t="s">
        <v>3854</v>
      </c>
      <c r="G197" s="106" t="n">
        <v>166</v>
      </c>
      <c r="H197" s="106" t="s">
        <v>3853</v>
      </c>
      <c r="I197" s="106" t="n">
        <v>73</v>
      </c>
      <c r="J197" s="106" t="s">
        <v>3856</v>
      </c>
    </row>
    <row r="198" customFormat="false" ht="15" hidden="false" customHeight="false" outlineLevel="0" collapsed="false">
      <c r="A198" s="106" t="s">
        <v>640</v>
      </c>
      <c r="B198" s="106" t="n">
        <v>555</v>
      </c>
      <c r="C198" s="106" t="s">
        <v>3853</v>
      </c>
      <c r="D198" s="106" t="n">
        <v>459</v>
      </c>
      <c r="E198" s="106" t="n">
        <v>10</v>
      </c>
      <c r="F198" s="106" t="s">
        <v>3857</v>
      </c>
      <c r="G198" s="106" t="n">
        <v>90</v>
      </c>
      <c r="H198" s="106" t="s">
        <v>3858</v>
      </c>
      <c r="I198" s="106" t="n">
        <v>1</v>
      </c>
      <c r="J198" s="106" t="s">
        <v>3857</v>
      </c>
    </row>
    <row r="199" customFormat="false" ht="15" hidden="false" customHeight="false" outlineLevel="0" collapsed="false">
      <c r="A199" s="106" t="s">
        <v>559</v>
      </c>
      <c r="B199" s="106" t="n">
        <v>555</v>
      </c>
      <c r="C199" s="106" t="s">
        <v>3853</v>
      </c>
      <c r="D199" s="106" t="n">
        <v>440</v>
      </c>
      <c r="E199" s="106" t="n">
        <v>5</v>
      </c>
      <c r="F199" s="106" t="s">
        <v>3859</v>
      </c>
      <c r="G199" s="106" t="n">
        <v>105</v>
      </c>
      <c r="H199" s="106" t="s">
        <v>3860</v>
      </c>
      <c r="I199" s="106" t="n">
        <v>29</v>
      </c>
      <c r="J199" s="106" t="s">
        <v>3861</v>
      </c>
    </row>
    <row r="200" customFormat="false" ht="15" hidden="false" customHeight="false" outlineLevel="0" collapsed="false">
      <c r="A200" s="106" t="s">
        <v>478</v>
      </c>
      <c r="B200" s="106" t="n">
        <v>555</v>
      </c>
      <c r="C200" s="106" t="s">
        <v>3853</v>
      </c>
      <c r="D200" s="106" t="n">
        <v>542</v>
      </c>
      <c r="E200" s="106" t="n">
        <v>4</v>
      </c>
      <c r="F200" s="106" t="s">
        <v>3862</v>
      </c>
      <c r="G200" s="106" t="n">
        <v>92</v>
      </c>
      <c r="H200" s="106" t="s">
        <v>3858</v>
      </c>
      <c r="I200" s="106" t="n">
        <v>63</v>
      </c>
      <c r="J200" s="106" t="s">
        <v>3858</v>
      </c>
    </row>
    <row r="201" customFormat="false" ht="15" hidden="false" customHeight="false" outlineLevel="0" collapsed="false">
      <c r="A201" s="106" t="s">
        <v>695</v>
      </c>
      <c r="B201" s="106" t="n">
        <v>555</v>
      </c>
      <c r="C201" s="106" t="s">
        <v>3853</v>
      </c>
      <c r="D201" s="106" t="n">
        <v>429</v>
      </c>
      <c r="E201" s="106" t="n">
        <v>3</v>
      </c>
      <c r="F201" s="106" t="s">
        <v>3863</v>
      </c>
      <c r="G201" s="106" t="n">
        <v>193</v>
      </c>
      <c r="H201" s="106" t="s">
        <v>3853</v>
      </c>
      <c r="I201" s="106" t="n">
        <v>102</v>
      </c>
      <c r="J201" s="106" t="s">
        <v>3854</v>
      </c>
    </row>
    <row r="202" customFormat="false" ht="15" hidden="false" customHeight="false" outlineLevel="0" collapsed="false">
      <c r="A202" s="106" t="s">
        <v>391</v>
      </c>
      <c r="B202" s="106" t="n">
        <v>555</v>
      </c>
      <c r="C202" s="106" t="s">
        <v>3853</v>
      </c>
      <c r="D202" s="106" t="n">
        <v>516</v>
      </c>
      <c r="E202" s="106" t="n">
        <v>3</v>
      </c>
      <c r="F202" s="106" t="s">
        <v>3854</v>
      </c>
      <c r="G202" s="106" t="n">
        <v>182</v>
      </c>
      <c r="H202" s="106" t="s">
        <v>3853</v>
      </c>
      <c r="I202" s="106" t="n">
        <v>95</v>
      </c>
      <c r="J202" s="106" t="s">
        <v>3855</v>
      </c>
    </row>
    <row r="203" customFormat="false" ht="15" hidden="false" customHeight="false" outlineLevel="0" collapsed="false">
      <c r="A203" s="106" t="s">
        <v>3815</v>
      </c>
      <c r="B203" s="106" t="n">
        <v>555</v>
      </c>
      <c r="C203" s="106" t="s">
        <v>3853</v>
      </c>
      <c r="D203" s="106" t="n">
        <v>528</v>
      </c>
      <c r="E203" s="106" t="n">
        <v>6</v>
      </c>
      <c r="F203" s="106" t="s">
        <v>3864</v>
      </c>
      <c r="G203" s="106" t="n">
        <v>249</v>
      </c>
      <c r="H203" s="106" t="s">
        <v>3853</v>
      </c>
      <c r="I203" s="106" t="n">
        <v>73</v>
      </c>
      <c r="J203" s="106" t="s">
        <v>3856</v>
      </c>
    </row>
    <row r="204" customFormat="false" ht="15" hidden="false" customHeight="false" outlineLevel="0" collapsed="false">
      <c r="A204" s="106" t="s">
        <v>234</v>
      </c>
      <c r="B204" s="106" t="n">
        <v>555</v>
      </c>
      <c r="C204" s="106" t="s">
        <v>3853</v>
      </c>
      <c r="D204" s="106" t="n">
        <v>523</v>
      </c>
      <c r="E204" s="106" t="n">
        <v>4</v>
      </c>
      <c r="F204" s="106" t="s">
        <v>3865</v>
      </c>
      <c r="G204" s="106" t="n">
        <v>260</v>
      </c>
      <c r="H204" s="106" t="s">
        <v>3853</v>
      </c>
      <c r="I204" s="106" t="n">
        <v>103</v>
      </c>
      <c r="J204" s="106" t="s">
        <v>3853</v>
      </c>
    </row>
    <row r="205" customFormat="false" ht="15" hidden="false" customHeight="false" outlineLevel="0" collapsed="false">
      <c r="A205" s="106" t="s">
        <v>3828</v>
      </c>
      <c r="B205" s="106" t="n">
        <v>555</v>
      </c>
      <c r="C205" s="106" t="s">
        <v>3853</v>
      </c>
      <c r="D205" s="106" t="n">
        <v>531</v>
      </c>
      <c r="E205" s="106" t="n">
        <v>6</v>
      </c>
      <c r="F205" s="106" t="s">
        <v>3857</v>
      </c>
      <c r="G205" s="106" t="n">
        <v>65</v>
      </c>
      <c r="H205" s="106" t="s">
        <v>3866</v>
      </c>
      <c r="I205" s="106" t="n">
        <v>12</v>
      </c>
      <c r="J205" s="106" t="s">
        <v>3866</v>
      </c>
    </row>
    <row r="206" customFormat="false" ht="15" hidden="false" customHeight="false" outlineLevel="0" collapsed="false">
      <c r="A206" s="106" t="s">
        <v>3867</v>
      </c>
      <c r="B206" s="106" t="n">
        <v>555</v>
      </c>
      <c r="C206" s="106" t="s">
        <v>3853</v>
      </c>
      <c r="D206" s="106" t="n">
        <v>135</v>
      </c>
      <c r="E206" s="106" t="n">
        <v>23</v>
      </c>
      <c r="F206" s="106" t="s">
        <v>3868</v>
      </c>
      <c r="G206" s="106" t="n">
        <v>0</v>
      </c>
      <c r="H206" s="106"/>
      <c r="I206" s="106" t="n">
        <v>0</v>
      </c>
      <c r="J206" s="106"/>
    </row>
    <row r="207" customFormat="false" ht="15" hidden="false" customHeight="false" outlineLevel="0" collapsed="false">
      <c r="A207" s="106" t="s">
        <v>3869</v>
      </c>
      <c r="B207" s="106" t="n">
        <v>555</v>
      </c>
      <c r="C207" s="106" t="s">
        <v>3853</v>
      </c>
      <c r="D207" s="106" t="n">
        <v>290</v>
      </c>
      <c r="E207" s="106" t="n">
        <v>27</v>
      </c>
      <c r="F207" s="106" t="s">
        <v>3870</v>
      </c>
      <c r="G207" s="106" t="n">
        <v>0</v>
      </c>
      <c r="H207" s="106"/>
      <c r="I207" s="106" t="n">
        <v>0</v>
      </c>
      <c r="J207" s="106"/>
    </row>
    <row r="208" customFormat="false" ht="15" hidden="false" customHeight="false" outlineLevel="0" collapsed="false">
      <c r="A208" s="106" t="s">
        <v>3871</v>
      </c>
      <c r="B208" s="106" t="n">
        <v>555</v>
      </c>
      <c r="C208" s="106" t="s">
        <v>3853</v>
      </c>
      <c r="D208" s="106" t="n">
        <v>507</v>
      </c>
      <c r="E208" s="106" t="n">
        <v>10</v>
      </c>
      <c r="F208" s="106" t="s">
        <v>3854</v>
      </c>
      <c r="G208" s="106" t="n">
        <v>1</v>
      </c>
      <c r="H208" s="106" t="s">
        <v>3854</v>
      </c>
      <c r="I208" s="106" t="n">
        <v>1</v>
      </c>
      <c r="J208" s="106" t="s">
        <v>3854</v>
      </c>
    </row>
    <row r="209" customFormat="false" ht="15" hidden="false" customHeight="false" outlineLevel="0" collapsed="false">
      <c r="A209" s="106" t="s">
        <v>3872</v>
      </c>
      <c r="B209" s="106" t="n">
        <v>555</v>
      </c>
      <c r="C209" s="106" t="s">
        <v>3853</v>
      </c>
      <c r="D209" s="106" t="n">
        <v>311</v>
      </c>
      <c r="E209" s="106" t="n">
        <v>42</v>
      </c>
      <c r="F209" s="106" t="s">
        <v>3873</v>
      </c>
      <c r="G209" s="106" t="n">
        <v>0</v>
      </c>
      <c r="H209" s="106"/>
      <c r="I209" s="106" t="n">
        <v>0</v>
      </c>
      <c r="J209" s="106"/>
    </row>
    <row r="210" customFormat="false" ht="15" hidden="false" customHeight="false" outlineLevel="0" collapsed="false">
      <c r="A210" s="106" t="s">
        <v>3874</v>
      </c>
      <c r="B210" s="106" t="n">
        <v>0</v>
      </c>
      <c r="C210" s="106"/>
      <c r="D210" s="106"/>
      <c r="E210" s="106"/>
      <c r="F210" s="106"/>
      <c r="G210" s="106"/>
      <c r="H210" s="106"/>
      <c r="I210" s="106"/>
      <c r="J210" s="106"/>
    </row>
    <row r="211" customFormat="false" ht="15" hidden="false" customHeight="false" outlineLevel="0" collapsed="false">
      <c r="A211" s="106" t="s">
        <v>3875</v>
      </c>
      <c r="B211" s="106" t="n">
        <v>0</v>
      </c>
      <c r="C211" s="106"/>
      <c r="D211" s="106"/>
      <c r="E211" s="106"/>
      <c r="F211" s="106"/>
      <c r="G211" s="106"/>
      <c r="H211" s="106"/>
      <c r="I211" s="106"/>
      <c r="J211" s="106"/>
    </row>
    <row r="212" customFormat="false" ht="15" hidden="false" customHeight="false" outlineLevel="0" collapsed="false">
      <c r="A212" s="106" t="s">
        <v>341</v>
      </c>
      <c r="B212" s="106" t="n">
        <v>555</v>
      </c>
      <c r="C212" s="106" t="s">
        <v>3853</v>
      </c>
      <c r="D212" s="106" t="n">
        <v>511</v>
      </c>
      <c r="E212" s="106" t="n">
        <v>7</v>
      </c>
      <c r="F212" s="106" t="s">
        <v>3854</v>
      </c>
      <c r="G212" s="106" t="n">
        <v>178</v>
      </c>
      <c r="H212" s="106" t="s">
        <v>3853</v>
      </c>
      <c r="I212" s="106" t="n">
        <v>50</v>
      </c>
      <c r="J212" s="106" t="s">
        <v>3876</v>
      </c>
    </row>
    <row r="213" customFormat="false" ht="15" hidden="false" customHeight="false" outlineLevel="0" collapsed="false">
      <c r="A213" s="106" t="s">
        <v>269</v>
      </c>
      <c r="B213" s="106" t="n">
        <v>555</v>
      </c>
      <c r="C213" s="106" t="s">
        <v>3853</v>
      </c>
      <c r="D213" s="106" t="n">
        <v>499</v>
      </c>
      <c r="E213" s="106" t="n">
        <v>9</v>
      </c>
      <c r="F213" s="106" t="s">
        <v>3854</v>
      </c>
      <c r="G213" s="106" t="n">
        <v>214</v>
      </c>
      <c r="H213" s="106" t="s">
        <v>3853</v>
      </c>
      <c r="I213" s="106" t="n">
        <v>7</v>
      </c>
      <c r="J213" s="106" t="s">
        <v>3854</v>
      </c>
    </row>
    <row r="214" customFormat="false" ht="15" hidden="false" customHeight="false" outlineLevel="0" collapsed="false">
      <c r="A214" s="106" t="s">
        <v>610</v>
      </c>
      <c r="B214" s="106" t="n">
        <v>555</v>
      </c>
      <c r="C214" s="106" t="s">
        <v>3853</v>
      </c>
      <c r="D214" s="106" t="n">
        <v>379</v>
      </c>
      <c r="E214" s="106" t="n">
        <v>6</v>
      </c>
      <c r="F214" s="106" t="s">
        <v>3877</v>
      </c>
      <c r="G214" s="106" t="n">
        <v>151</v>
      </c>
      <c r="H214" s="106" t="s">
        <v>3853</v>
      </c>
      <c r="I214" s="106" t="n">
        <v>74</v>
      </c>
      <c r="J214" s="106" t="s">
        <v>3878</v>
      </c>
    </row>
    <row r="215" customFormat="false" ht="15" hidden="false" customHeight="false" outlineLevel="0" collapsed="false">
      <c r="A215" s="106" t="s">
        <v>513</v>
      </c>
      <c r="B215" s="106" t="n">
        <v>555</v>
      </c>
      <c r="C215" s="106" t="s">
        <v>3853</v>
      </c>
      <c r="D215" s="106" t="n">
        <v>540</v>
      </c>
      <c r="E215" s="106" t="n">
        <v>5</v>
      </c>
      <c r="F215" s="106" t="s">
        <v>3879</v>
      </c>
      <c r="G215" s="106" t="n">
        <v>166</v>
      </c>
      <c r="H215" s="106" t="s">
        <v>3853</v>
      </c>
      <c r="I215" s="106" t="n">
        <v>41</v>
      </c>
      <c r="J215" s="106" t="s">
        <v>3853</v>
      </c>
    </row>
    <row r="216" customFormat="false" ht="15" hidden="false" customHeight="false" outlineLevel="0" collapsed="false">
      <c r="A216" s="106" t="s">
        <v>718</v>
      </c>
      <c r="B216" s="106" t="n">
        <v>555</v>
      </c>
      <c r="C216" s="106" t="s">
        <v>3853</v>
      </c>
      <c r="D216" s="106" t="n">
        <v>553</v>
      </c>
      <c r="E216" s="106" t="n">
        <v>5</v>
      </c>
      <c r="F216" s="106" t="s">
        <v>3880</v>
      </c>
      <c r="G216" s="106" t="n">
        <v>238</v>
      </c>
      <c r="H216" s="106" t="s">
        <v>3881</v>
      </c>
      <c r="I216" s="106" t="n">
        <v>87</v>
      </c>
      <c r="J216" s="106" t="s">
        <v>3854</v>
      </c>
    </row>
    <row r="217" customFormat="false" ht="15" hidden="false" customHeight="false" outlineLevel="0" collapsed="false">
      <c r="A217" s="106" t="s">
        <v>445</v>
      </c>
      <c r="B217" s="106" t="n">
        <v>555</v>
      </c>
      <c r="C217" s="106" t="s">
        <v>3853</v>
      </c>
      <c r="D217" s="106" t="n">
        <v>170</v>
      </c>
      <c r="E217" s="106" t="n">
        <v>10</v>
      </c>
      <c r="F217" s="106" t="s">
        <v>3882</v>
      </c>
      <c r="G217" s="106" t="n">
        <v>6</v>
      </c>
      <c r="H217" s="106" t="s">
        <v>3883</v>
      </c>
      <c r="I217" s="106" t="n">
        <v>1</v>
      </c>
      <c r="J217" s="106" t="s">
        <v>3882</v>
      </c>
    </row>
    <row r="218" customFormat="false" ht="15" hidden="false" customHeight="false" outlineLevel="0" collapsed="false">
      <c r="A218" s="106" t="s">
        <v>984</v>
      </c>
      <c r="B218" s="106" t="n">
        <v>0</v>
      </c>
      <c r="C218" s="106"/>
      <c r="D218" s="106"/>
      <c r="E218" s="106"/>
      <c r="F218" s="106"/>
      <c r="G218" s="106"/>
      <c r="H218" s="106"/>
      <c r="I218" s="106"/>
      <c r="J218" s="106"/>
    </row>
    <row r="219" customFormat="false" ht="15" hidden="false" customHeight="false" outlineLevel="0" collapsed="false">
      <c r="A219" s="106" t="s">
        <v>3884</v>
      </c>
      <c r="B219" s="106" t="n">
        <v>0</v>
      </c>
      <c r="C219" s="106"/>
      <c r="D219" s="106"/>
      <c r="E219" s="106"/>
      <c r="F219" s="106"/>
      <c r="G219" s="106"/>
      <c r="H219" s="106"/>
      <c r="I219" s="106"/>
      <c r="J219" s="106"/>
    </row>
    <row r="220" customFormat="false" ht="15" hidden="false" customHeight="false" outlineLevel="0" collapsed="false">
      <c r="A220" s="106" t="s">
        <v>3885</v>
      </c>
      <c r="B220" s="106" t="n">
        <v>555</v>
      </c>
      <c r="C220" s="106" t="s">
        <v>3853</v>
      </c>
      <c r="D220" s="106" t="n">
        <v>0</v>
      </c>
      <c r="E220" s="106"/>
      <c r="F220" s="106"/>
      <c r="G220" s="106" t="n">
        <v>0</v>
      </c>
      <c r="H220" s="106"/>
      <c r="I220" s="106" t="n">
        <v>0</v>
      </c>
      <c r="J220" s="106"/>
    </row>
    <row r="221" customFormat="false" ht="15" hidden="false" customHeight="false" outlineLevel="0" collapsed="false">
      <c r="A221" s="106" t="s">
        <v>3886</v>
      </c>
      <c r="B221" s="106" t="n">
        <v>0</v>
      </c>
      <c r="C221" s="106"/>
      <c r="D221" s="106"/>
      <c r="E221" s="106"/>
      <c r="F221" s="106"/>
      <c r="G221" s="106"/>
      <c r="H221" s="106"/>
      <c r="I221" s="106"/>
      <c r="J221" s="106"/>
    </row>
    <row r="223" customFormat="false" ht="15" hidden="false" customHeight="false" outlineLevel="0" collapsed="false">
      <c r="A223" s="82" t="s">
        <v>3887</v>
      </c>
    </row>
    <row r="224" customFormat="false" ht="22.35" hidden="false" customHeight="false" outlineLevel="0" collapsed="false">
      <c r="A224" s="90" t="s">
        <v>1513</v>
      </c>
      <c r="B224" s="90" t="s">
        <v>1664</v>
      </c>
      <c r="C224" s="90" t="s">
        <v>1697</v>
      </c>
      <c r="D224" s="90" t="s">
        <v>3888</v>
      </c>
      <c r="E224" s="90" t="s">
        <v>3889</v>
      </c>
      <c r="F224" s="90" t="s">
        <v>3890</v>
      </c>
      <c r="G224" s="90" t="s">
        <v>3891</v>
      </c>
      <c r="H224" s="90" t="s">
        <v>3892</v>
      </c>
      <c r="I224" s="90" t="s">
        <v>3893</v>
      </c>
      <c r="J224" s="90" t="s">
        <v>3894</v>
      </c>
      <c r="K224" s="90" t="s">
        <v>3895</v>
      </c>
    </row>
    <row r="225" customFormat="false" ht="15" hidden="false" customHeight="false" outlineLevel="0" collapsed="false">
      <c r="A225" s="106" t="s">
        <v>3631</v>
      </c>
      <c r="B225" s="106" t="s">
        <v>185</v>
      </c>
      <c r="C225" s="106" t="s">
        <v>1733</v>
      </c>
      <c r="D225" s="106" t="s">
        <v>1734</v>
      </c>
      <c r="E225" s="106" t="s">
        <v>1734</v>
      </c>
      <c r="F225" s="106" t="s">
        <v>3896</v>
      </c>
      <c r="G225" s="106" t="s">
        <v>3897</v>
      </c>
      <c r="H225" s="106"/>
      <c r="I225" s="106" t="n">
        <v>1.07</v>
      </c>
      <c r="J225" s="106" t="s">
        <v>3898</v>
      </c>
      <c r="K225" s="108" t="n">
        <v>1346</v>
      </c>
    </row>
    <row r="226" customFormat="false" ht="15" hidden="false" customHeight="false" outlineLevel="0" collapsed="false">
      <c r="A226" s="106" t="s">
        <v>3642</v>
      </c>
      <c r="B226" s="106" t="s">
        <v>185</v>
      </c>
      <c r="C226" s="106" t="s">
        <v>1712</v>
      </c>
      <c r="D226" s="106" t="s">
        <v>1734</v>
      </c>
      <c r="E226" s="106" t="s">
        <v>1734</v>
      </c>
      <c r="F226" s="106" t="s">
        <v>3896</v>
      </c>
      <c r="G226" s="106" t="s">
        <v>3897</v>
      </c>
      <c r="H226" s="106"/>
      <c r="I226" s="106" t="n">
        <v>1.07</v>
      </c>
      <c r="J226" s="106" t="s">
        <v>3898</v>
      </c>
      <c r="K226" s="108" t="n">
        <v>1972</v>
      </c>
    </row>
    <row r="227" customFormat="false" ht="15" hidden="false" customHeight="false" outlineLevel="0" collapsed="false">
      <c r="A227" s="106" t="s">
        <v>3672</v>
      </c>
      <c r="B227" s="106" t="s">
        <v>479</v>
      </c>
      <c r="C227" s="106" t="s">
        <v>1708</v>
      </c>
      <c r="D227" s="106" t="s">
        <v>1726</v>
      </c>
      <c r="E227" s="106" t="s">
        <v>1726</v>
      </c>
      <c r="F227" s="106" t="s">
        <v>3896</v>
      </c>
      <c r="G227" s="106" t="s">
        <v>3899</v>
      </c>
      <c r="H227" s="106"/>
      <c r="I227" s="106" t="n">
        <v>0.5</v>
      </c>
      <c r="J227" s="106" t="s">
        <v>3900</v>
      </c>
      <c r="K227" s="108" t="n">
        <v>88</v>
      </c>
    </row>
    <row r="228" customFormat="false" ht="15" hidden="false" customHeight="false" outlineLevel="0" collapsed="false">
      <c r="A228" s="106" t="s">
        <v>3660</v>
      </c>
      <c r="B228" s="106" t="s">
        <v>560</v>
      </c>
      <c r="C228" s="106" t="s">
        <v>1748</v>
      </c>
      <c r="D228" s="106" t="s">
        <v>1726</v>
      </c>
      <c r="E228" s="106" t="s">
        <v>1726</v>
      </c>
      <c r="F228" s="106" t="s">
        <v>3896</v>
      </c>
      <c r="G228" s="106" t="s">
        <v>3897</v>
      </c>
      <c r="H228" s="106"/>
      <c r="I228" s="106" t="n">
        <v>1.18</v>
      </c>
      <c r="J228" s="106" t="s">
        <v>3901</v>
      </c>
      <c r="K228" s="108" t="n">
        <v>151</v>
      </c>
    </row>
    <row r="229" customFormat="false" ht="15" hidden="false" customHeight="false" outlineLevel="0" collapsed="false">
      <c r="A229" s="106" t="s">
        <v>3654</v>
      </c>
      <c r="B229" s="106" t="s">
        <v>560</v>
      </c>
      <c r="C229" s="106" t="s">
        <v>1733</v>
      </c>
      <c r="D229" s="106" t="s">
        <v>1726</v>
      </c>
      <c r="E229" s="106" t="s">
        <v>1726</v>
      </c>
      <c r="F229" s="106" t="s">
        <v>3896</v>
      </c>
      <c r="G229" s="106" t="s">
        <v>3897</v>
      </c>
      <c r="H229" s="106"/>
      <c r="I229" s="106" t="n">
        <v>1.02</v>
      </c>
      <c r="J229" s="106" t="s">
        <v>3902</v>
      </c>
      <c r="K229" s="108" t="n">
        <v>228</v>
      </c>
    </row>
    <row r="230" customFormat="false" ht="15" hidden="false" customHeight="false" outlineLevel="0" collapsed="false">
      <c r="A230" s="106" t="s">
        <v>3628</v>
      </c>
      <c r="B230" s="106" t="s">
        <v>185</v>
      </c>
      <c r="C230" s="106" t="s">
        <v>1708</v>
      </c>
      <c r="D230" s="106" t="s">
        <v>1726</v>
      </c>
      <c r="E230" s="106" t="s">
        <v>1726</v>
      </c>
      <c r="F230" s="106" t="s">
        <v>3896</v>
      </c>
      <c r="G230" s="106" t="s">
        <v>3897</v>
      </c>
      <c r="H230" s="106"/>
      <c r="I230" s="106" t="n">
        <v>2.52</v>
      </c>
      <c r="J230" s="106" t="s">
        <v>3903</v>
      </c>
      <c r="K230" s="108" t="n">
        <v>429</v>
      </c>
    </row>
    <row r="231" customFormat="false" ht="15" hidden="false" customHeight="false" outlineLevel="0" collapsed="false">
      <c r="A231" s="106" t="s">
        <v>3625</v>
      </c>
      <c r="B231" s="106" t="s">
        <v>185</v>
      </c>
      <c r="C231" s="106" t="s">
        <v>1725</v>
      </c>
      <c r="D231" s="106" t="s">
        <v>1726</v>
      </c>
      <c r="E231" s="106" t="s">
        <v>1726</v>
      </c>
      <c r="F231" s="106" t="s">
        <v>3896</v>
      </c>
      <c r="G231" s="106" t="s">
        <v>3897</v>
      </c>
      <c r="H231" s="106"/>
      <c r="I231" s="106" t="n">
        <v>6.53</v>
      </c>
      <c r="J231" s="106" t="s">
        <v>3904</v>
      </c>
      <c r="K231" s="108" t="n">
        <v>1173</v>
      </c>
    </row>
    <row r="232" customFormat="false" ht="15" hidden="false" customHeight="false" outlineLevel="0" collapsed="false">
      <c r="A232" s="106" t="s">
        <v>3631</v>
      </c>
      <c r="B232" s="106" t="s">
        <v>185</v>
      </c>
      <c r="C232" s="106" t="s">
        <v>1733</v>
      </c>
      <c r="D232" s="106" t="s">
        <v>1726</v>
      </c>
      <c r="E232" s="106" t="s">
        <v>1726</v>
      </c>
      <c r="F232" s="106" t="s">
        <v>3896</v>
      </c>
      <c r="G232" s="106" t="s">
        <v>3905</v>
      </c>
      <c r="H232" s="106"/>
      <c r="I232" s="106" t="n">
        <v>0.85</v>
      </c>
      <c r="J232" s="106" t="s">
        <v>3901</v>
      </c>
      <c r="K232" s="108" t="n">
        <v>150</v>
      </c>
    </row>
    <row r="233" customFormat="false" ht="15" hidden="false" customHeight="false" outlineLevel="0" collapsed="false">
      <c r="A233" s="106" t="s">
        <v>3642</v>
      </c>
      <c r="B233" s="106" t="s">
        <v>185</v>
      </c>
      <c r="C233" s="106" t="s">
        <v>1712</v>
      </c>
      <c r="D233" s="106" t="s">
        <v>1726</v>
      </c>
      <c r="E233" s="106" t="s">
        <v>1726</v>
      </c>
      <c r="F233" s="106" t="s">
        <v>3896</v>
      </c>
      <c r="G233" s="106" t="s">
        <v>3905</v>
      </c>
      <c r="H233" s="106"/>
      <c r="I233" s="106" t="n">
        <v>0.87</v>
      </c>
      <c r="J233" s="106" t="s">
        <v>3906</v>
      </c>
      <c r="K233" s="108" t="n">
        <v>171</v>
      </c>
    </row>
    <row r="234" customFormat="false" ht="15" hidden="false" customHeight="false" outlineLevel="0" collapsed="false">
      <c r="A234" s="106" t="s">
        <v>3637</v>
      </c>
      <c r="B234" s="106" t="s">
        <v>185</v>
      </c>
      <c r="C234" s="106" t="s">
        <v>1704</v>
      </c>
      <c r="D234" s="106" t="s">
        <v>1726</v>
      </c>
      <c r="E234" s="106" t="s">
        <v>1726</v>
      </c>
      <c r="F234" s="106" t="s">
        <v>3896</v>
      </c>
      <c r="G234" s="106" t="s">
        <v>3897</v>
      </c>
      <c r="H234" s="106"/>
      <c r="I234" s="106" t="n">
        <v>1.35</v>
      </c>
      <c r="J234" s="106" t="s">
        <v>3907</v>
      </c>
      <c r="K234" s="108" t="n">
        <v>212</v>
      </c>
    </row>
    <row r="235" customFormat="false" ht="15" hidden="false" customHeight="false" outlineLevel="0" collapsed="false">
      <c r="A235" s="106" t="s">
        <v>3703</v>
      </c>
      <c r="B235" s="106" t="s">
        <v>696</v>
      </c>
      <c r="C235" s="106" t="s">
        <v>1725</v>
      </c>
      <c r="D235" s="106" t="s">
        <v>1726</v>
      </c>
      <c r="E235" s="106" t="s">
        <v>1726</v>
      </c>
      <c r="F235" s="106" t="s">
        <v>3896</v>
      </c>
      <c r="G235" s="106" t="s">
        <v>3899</v>
      </c>
      <c r="H235" s="106"/>
      <c r="I235" s="106" t="n">
        <v>0.35</v>
      </c>
      <c r="J235" s="106" t="s">
        <v>3900</v>
      </c>
      <c r="K235" s="108" t="n">
        <v>70</v>
      </c>
    </row>
    <row r="236" customFormat="false" ht="15" hidden="false" customHeight="false" outlineLevel="0" collapsed="false">
      <c r="A236" s="106" t="s">
        <v>3634</v>
      </c>
      <c r="B236" s="106" t="s">
        <v>560</v>
      </c>
      <c r="C236" s="106" t="s">
        <v>1708</v>
      </c>
      <c r="D236" s="106" t="s">
        <v>1743</v>
      </c>
      <c r="E236" s="106" t="s">
        <v>1743</v>
      </c>
      <c r="F236" s="106" t="s">
        <v>3896</v>
      </c>
      <c r="G236" s="106" t="s">
        <v>3897</v>
      </c>
      <c r="H236" s="106"/>
      <c r="I236" s="106" t="n">
        <v>1.42</v>
      </c>
      <c r="J236" s="106" t="s">
        <v>3908</v>
      </c>
      <c r="K236" s="108" t="n">
        <v>342</v>
      </c>
    </row>
    <row r="237" customFormat="false" ht="15" hidden="false" customHeight="false" outlineLevel="0" collapsed="false">
      <c r="A237" s="106" t="s">
        <v>3654</v>
      </c>
      <c r="B237" s="106" t="s">
        <v>560</v>
      </c>
      <c r="C237" s="106" t="s">
        <v>1733</v>
      </c>
      <c r="D237" s="106" t="s">
        <v>1743</v>
      </c>
      <c r="E237" s="106" t="s">
        <v>1743</v>
      </c>
      <c r="F237" s="106" t="s">
        <v>3896</v>
      </c>
      <c r="G237" s="106" t="s">
        <v>3899</v>
      </c>
      <c r="H237" s="106"/>
      <c r="I237" s="106" t="n">
        <v>0.4</v>
      </c>
      <c r="J237" s="106" t="s">
        <v>3900</v>
      </c>
      <c r="K237" s="108" t="n">
        <v>107</v>
      </c>
    </row>
    <row r="238" customFormat="false" ht="15" hidden="false" customHeight="false" outlineLevel="0" collapsed="false">
      <c r="A238" s="106" t="s">
        <v>3657</v>
      </c>
      <c r="B238" s="106" t="s">
        <v>560</v>
      </c>
      <c r="C238" s="106" t="s">
        <v>1712</v>
      </c>
      <c r="D238" s="106" t="s">
        <v>1743</v>
      </c>
      <c r="E238" s="106" t="s">
        <v>1743</v>
      </c>
      <c r="F238" s="106" t="s">
        <v>3896</v>
      </c>
      <c r="G238" s="106" t="s">
        <v>3905</v>
      </c>
      <c r="H238" s="106"/>
      <c r="I238" s="106" t="n">
        <v>0.85</v>
      </c>
      <c r="J238" s="106" t="s">
        <v>3902</v>
      </c>
      <c r="K238" s="108" t="n">
        <v>199</v>
      </c>
    </row>
    <row r="239" customFormat="false" ht="15" hidden="false" customHeight="false" outlineLevel="0" collapsed="false">
      <c r="A239" s="106" t="s">
        <v>3628</v>
      </c>
      <c r="B239" s="106" t="s">
        <v>185</v>
      </c>
      <c r="C239" s="106" t="s">
        <v>1708</v>
      </c>
      <c r="D239" s="106" t="s">
        <v>1743</v>
      </c>
      <c r="E239" s="106" t="s">
        <v>1743</v>
      </c>
      <c r="F239" s="106" t="s">
        <v>3896</v>
      </c>
      <c r="G239" s="106" t="s">
        <v>3905</v>
      </c>
      <c r="H239" s="106"/>
      <c r="I239" s="106" t="n">
        <v>0.9</v>
      </c>
      <c r="J239" s="106" t="s">
        <v>3901</v>
      </c>
      <c r="K239" s="108" t="n">
        <v>162</v>
      </c>
    </row>
    <row r="240" customFormat="false" ht="15" hidden="false" customHeight="false" outlineLevel="0" collapsed="false">
      <c r="A240" s="106" t="s">
        <v>3625</v>
      </c>
      <c r="B240" s="106" t="s">
        <v>185</v>
      </c>
      <c r="C240" s="106" t="s">
        <v>1725</v>
      </c>
      <c r="D240" s="106" t="s">
        <v>1743</v>
      </c>
      <c r="E240" s="106" t="s">
        <v>1743</v>
      </c>
      <c r="F240" s="106" t="s">
        <v>3896</v>
      </c>
      <c r="G240" s="106" t="s">
        <v>3897</v>
      </c>
      <c r="H240" s="106"/>
      <c r="I240" s="106" t="n">
        <v>2.7</v>
      </c>
      <c r="J240" s="106" t="s">
        <v>3909</v>
      </c>
      <c r="K240" s="108" t="n">
        <v>523</v>
      </c>
    </row>
    <row r="241" customFormat="false" ht="15" hidden="false" customHeight="false" outlineLevel="0" collapsed="false">
      <c r="A241" s="106" t="s">
        <v>3637</v>
      </c>
      <c r="B241" s="106" t="s">
        <v>185</v>
      </c>
      <c r="C241" s="106" t="s">
        <v>1704</v>
      </c>
      <c r="D241" s="106" t="s">
        <v>1743</v>
      </c>
      <c r="E241" s="106" t="s">
        <v>1743</v>
      </c>
      <c r="F241" s="106" t="s">
        <v>3896</v>
      </c>
      <c r="G241" s="106" t="s">
        <v>3899</v>
      </c>
      <c r="H241" s="106"/>
      <c r="I241" s="106" t="n">
        <v>0.42</v>
      </c>
      <c r="J241" s="106" t="s">
        <v>3900</v>
      </c>
      <c r="K241" s="108" t="n">
        <v>92</v>
      </c>
    </row>
    <row r="242" customFormat="false" ht="15" hidden="false" customHeight="false" outlineLevel="0" collapsed="false">
      <c r="A242" s="106" t="s">
        <v>3715</v>
      </c>
      <c r="B242" s="106" t="s">
        <v>1689</v>
      </c>
      <c r="C242" s="106" t="s">
        <v>1748</v>
      </c>
      <c r="D242" s="106" t="s">
        <v>3299</v>
      </c>
      <c r="E242" s="106" t="s">
        <v>3299</v>
      </c>
      <c r="F242" s="106" t="s">
        <v>3896</v>
      </c>
      <c r="G242" s="106" t="s">
        <v>3899</v>
      </c>
      <c r="H242" s="106"/>
      <c r="I242" s="106" t="n">
        <v>0.45</v>
      </c>
      <c r="J242" s="106" t="s">
        <v>3910</v>
      </c>
      <c r="K242" s="108" t="n">
        <v>419</v>
      </c>
    </row>
    <row r="243" customFormat="false" ht="15" hidden="false" customHeight="false" outlineLevel="0" collapsed="false">
      <c r="A243" s="106" t="s">
        <v>3697</v>
      </c>
      <c r="B243" s="106" t="s">
        <v>1689</v>
      </c>
      <c r="C243" s="106" t="s">
        <v>1733</v>
      </c>
      <c r="D243" s="106" t="s">
        <v>3299</v>
      </c>
      <c r="E243" s="106" t="s">
        <v>3299</v>
      </c>
      <c r="F243" s="106" t="s">
        <v>3896</v>
      </c>
      <c r="G243" s="106" t="s">
        <v>3899</v>
      </c>
      <c r="H243" s="106"/>
      <c r="I243" s="106" t="n">
        <v>0.47</v>
      </c>
      <c r="J243" s="106" t="s">
        <v>3903</v>
      </c>
      <c r="K243" s="108" t="n">
        <v>435</v>
      </c>
    </row>
    <row r="244" customFormat="false" ht="15" hidden="false" customHeight="false" outlineLevel="0" collapsed="false">
      <c r="A244" s="106" t="s">
        <v>3691</v>
      </c>
      <c r="B244" s="106" t="s">
        <v>1689</v>
      </c>
      <c r="C244" s="106" t="s">
        <v>1712</v>
      </c>
      <c r="D244" s="106" t="s">
        <v>3299</v>
      </c>
      <c r="E244" s="106" t="s">
        <v>3299</v>
      </c>
      <c r="F244" s="106" t="s">
        <v>3896</v>
      </c>
      <c r="G244" s="106" t="s">
        <v>3899</v>
      </c>
      <c r="H244" s="106"/>
      <c r="I244" s="106" t="n">
        <v>0.47</v>
      </c>
      <c r="J244" s="106" t="s">
        <v>3903</v>
      </c>
      <c r="K244" s="108" t="n">
        <v>435</v>
      </c>
    </row>
    <row r="245" customFormat="false" ht="15" hidden="false" customHeight="false" outlineLevel="0" collapsed="false">
      <c r="A245" s="106" t="s">
        <v>3699</v>
      </c>
      <c r="B245" s="106" t="s">
        <v>479</v>
      </c>
      <c r="C245" s="106" t="s">
        <v>1748</v>
      </c>
      <c r="D245" s="106" t="s">
        <v>3299</v>
      </c>
      <c r="E245" s="106" t="s">
        <v>3299</v>
      </c>
      <c r="F245" s="106" t="s">
        <v>3896</v>
      </c>
      <c r="G245" s="106" t="s">
        <v>3899</v>
      </c>
      <c r="H245" s="106"/>
      <c r="I245" s="106" t="n">
        <v>0.63</v>
      </c>
      <c r="J245" s="106" t="s">
        <v>3911</v>
      </c>
      <c r="K245" s="108" t="n">
        <v>531</v>
      </c>
    </row>
    <row r="246" customFormat="false" ht="15" hidden="false" customHeight="false" outlineLevel="0" collapsed="false">
      <c r="A246" s="106" t="s">
        <v>3703</v>
      </c>
      <c r="B246" s="106" t="s">
        <v>696</v>
      </c>
      <c r="C246" s="106" t="s">
        <v>1725</v>
      </c>
      <c r="D246" s="106" t="s">
        <v>3299</v>
      </c>
      <c r="E246" s="106" t="s">
        <v>3299</v>
      </c>
      <c r="F246" s="106" t="s">
        <v>3896</v>
      </c>
      <c r="G246" s="106" t="s">
        <v>3899</v>
      </c>
      <c r="H246" s="106"/>
      <c r="I246" s="106" t="n">
        <v>0.55</v>
      </c>
      <c r="J246" s="106" t="s">
        <v>3912</v>
      </c>
      <c r="K246" s="108" t="n">
        <v>525</v>
      </c>
    </row>
    <row r="247" customFormat="false" ht="15" hidden="false" customHeight="false" outlineLevel="0" collapsed="false">
      <c r="A247" s="106" t="s">
        <v>3705</v>
      </c>
      <c r="B247" s="106" t="s">
        <v>696</v>
      </c>
      <c r="C247" s="106" t="s">
        <v>1704</v>
      </c>
      <c r="D247" s="106" t="s">
        <v>3299</v>
      </c>
      <c r="E247" s="106" t="s">
        <v>3299</v>
      </c>
      <c r="F247" s="106" t="s">
        <v>3896</v>
      </c>
      <c r="G247" s="106" t="s">
        <v>3899</v>
      </c>
      <c r="H247" s="106"/>
      <c r="I247" s="106" t="n">
        <v>0.48</v>
      </c>
      <c r="J247" s="106" t="s">
        <v>3903</v>
      </c>
      <c r="K247" s="108" t="n">
        <v>383</v>
      </c>
    </row>
    <row r="248" customFormat="false" ht="15" hidden="false" customHeight="false" outlineLevel="0" collapsed="false">
      <c r="A248" s="106" t="s">
        <v>3699</v>
      </c>
      <c r="B248" s="106" t="s">
        <v>479</v>
      </c>
      <c r="C248" s="106" t="s">
        <v>1748</v>
      </c>
      <c r="D248" s="106" t="s">
        <v>1778</v>
      </c>
      <c r="E248" s="106" t="s">
        <v>1778</v>
      </c>
      <c r="F248" s="106" t="s">
        <v>3896</v>
      </c>
      <c r="G248" s="106" t="s">
        <v>3899</v>
      </c>
      <c r="H248" s="106"/>
      <c r="I248" s="106" t="n">
        <v>0.37</v>
      </c>
      <c r="J248" s="106" t="s">
        <v>3909</v>
      </c>
      <c r="K248" s="108" t="n">
        <v>498</v>
      </c>
    </row>
    <row r="249" customFormat="false" ht="15" hidden="false" customHeight="false" outlineLevel="0" collapsed="false">
      <c r="A249" s="106" t="s">
        <v>3695</v>
      </c>
      <c r="B249" s="106" t="s">
        <v>560</v>
      </c>
      <c r="C249" s="106" t="s">
        <v>1752</v>
      </c>
      <c r="D249" s="106" t="s">
        <v>1778</v>
      </c>
      <c r="E249" s="106" t="s">
        <v>1778</v>
      </c>
      <c r="F249" s="106" t="s">
        <v>3896</v>
      </c>
      <c r="G249" s="106" t="s">
        <v>3899</v>
      </c>
      <c r="H249" s="106"/>
      <c r="I249" s="106" t="n">
        <v>0.42</v>
      </c>
      <c r="J249" s="106" t="s">
        <v>3913</v>
      </c>
      <c r="K249" s="108" t="n">
        <v>629</v>
      </c>
    </row>
    <row r="250" customFormat="false" ht="15" hidden="false" customHeight="false" outlineLevel="0" collapsed="false">
      <c r="A250" s="106" t="s">
        <v>3682</v>
      </c>
      <c r="B250" s="106" t="s">
        <v>1689</v>
      </c>
      <c r="C250" s="106" t="s">
        <v>1725</v>
      </c>
      <c r="D250" s="106" t="s">
        <v>1765</v>
      </c>
      <c r="E250" s="106" t="s">
        <v>1765</v>
      </c>
      <c r="F250" s="106" t="s">
        <v>3896</v>
      </c>
      <c r="G250" s="106" t="s">
        <v>3905</v>
      </c>
      <c r="H250" s="106"/>
      <c r="I250" s="106" t="n">
        <v>0.68</v>
      </c>
      <c r="J250" s="106" t="s">
        <v>3914</v>
      </c>
      <c r="K250" s="108" t="n">
        <v>1429</v>
      </c>
    </row>
    <row r="251" customFormat="false" ht="15" hidden="false" customHeight="false" outlineLevel="0" collapsed="false">
      <c r="A251" s="106" t="s">
        <v>3691</v>
      </c>
      <c r="B251" s="106" t="s">
        <v>1689</v>
      </c>
      <c r="C251" s="106" t="s">
        <v>1712</v>
      </c>
      <c r="D251" s="106" t="s">
        <v>1765</v>
      </c>
      <c r="E251" s="106" t="s">
        <v>1765</v>
      </c>
      <c r="F251" s="106" t="s">
        <v>3896</v>
      </c>
      <c r="G251" s="106" t="s">
        <v>3899</v>
      </c>
      <c r="H251" s="106"/>
      <c r="I251" s="106" t="n">
        <v>0.38</v>
      </c>
      <c r="J251" s="106" t="s">
        <v>3913</v>
      </c>
      <c r="K251" s="108" t="n">
        <v>654</v>
      </c>
    </row>
    <row r="252" customFormat="false" ht="15" hidden="false" customHeight="false" outlineLevel="0" collapsed="false">
      <c r="A252" s="106" t="s">
        <v>3707</v>
      </c>
      <c r="B252" s="106" t="s">
        <v>479</v>
      </c>
      <c r="C252" s="106" t="s">
        <v>1752</v>
      </c>
      <c r="D252" s="106" t="s">
        <v>1765</v>
      </c>
      <c r="E252" s="106" t="s">
        <v>1765</v>
      </c>
      <c r="F252" s="106" t="s">
        <v>3896</v>
      </c>
      <c r="G252" s="106" t="s">
        <v>3899</v>
      </c>
      <c r="H252" s="106"/>
      <c r="I252" s="106" t="n">
        <v>0.6</v>
      </c>
      <c r="J252" s="106" t="s">
        <v>3915</v>
      </c>
      <c r="K252" s="108" t="n">
        <v>922</v>
      </c>
    </row>
    <row r="253" customFormat="false" ht="15" hidden="false" customHeight="false" outlineLevel="0" collapsed="false">
      <c r="A253" s="106" t="s">
        <v>3748</v>
      </c>
      <c r="B253" s="106" t="s">
        <v>696</v>
      </c>
      <c r="C253" s="106" t="s">
        <v>1752</v>
      </c>
      <c r="D253" s="106" t="s">
        <v>1765</v>
      </c>
      <c r="E253" s="106" t="s">
        <v>1765</v>
      </c>
      <c r="F253" s="106" t="s">
        <v>3896</v>
      </c>
      <c r="G253" s="106" t="s">
        <v>3899</v>
      </c>
      <c r="H253" s="106"/>
      <c r="I253" s="106" t="n">
        <v>0.52</v>
      </c>
      <c r="J253" s="106" t="s">
        <v>3916</v>
      </c>
      <c r="K253" s="108" t="n">
        <v>750</v>
      </c>
    </row>
    <row r="254" customFormat="false" ht="15" hidden="false" customHeight="false" outlineLevel="0" collapsed="false">
      <c r="A254" s="106" t="s">
        <v>3682</v>
      </c>
      <c r="B254" s="106" t="s">
        <v>1689</v>
      </c>
      <c r="C254" s="106" t="s">
        <v>1725</v>
      </c>
      <c r="D254" s="106" t="s">
        <v>3300</v>
      </c>
      <c r="E254" s="106" t="s">
        <v>3300</v>
      </c>
      <c r="F254" s="106" t="s">
        <v>3896</v>
      </c>
      <c r="G254" s="106" t="s">
        <v>3899</v>
      </c>
      <c r="H254" s="106"/>
      <c r="I254" s="106" t="n">
        <v>0.37</v>
      </c>
      <c r="J254" s="106" t="s">
        <v>3902</v>
      </c>
      <c r="K254" s="108" t="n">
        <v>269</v>
      </c>
    </row>
    <row r="255" customFormat="false" ht="15" hidden="false" customHeight="false" outlineLevel="0" collapsed="false">
      <c r="A255" s="106" t="s">
        <v>3735</v>
      </c>
      <c r="B255" s="106" t="s">
        <v>479</v>
      </c>
      <c r="C255" s="106" t="s">
        <v>1772</v>
      </c>
      <c r="D255" s="106" t="s">
        <v>3300</v>
      </c>
      <c r="E255" s="106" t="s">
        <v>3300</v>
      </c>
      <c r="F255" s="106" t="s">
        <v>3896</v>
      </c>
      <c r="G255" s="106" t="s">
        <v>3899</v>
      </c>
      <c r="H255" s="106"/>
      <c r="I255" s="106" t="n">
        <v>0.38</v>
      </c>
      <c r="J255" s="106" t="s">
        <v>3907</v>
      </c>
      <c r="K255" s="108" t="n">
        <v>206</v>
      </c>
    </row>
    <row r="256" customFormat="false" ht="15" hidden="false" customHeight="false" outlineLevel="0" collapsed="false">
      <c r="A256" s="106" t="s">
        <v>3675</v>
      </c>
      <c r="B256" s="106" t="s">
        <v>479</v>
      </c>
      <c r="C256" s="106" t="s">
        <v>1704</v>
      </c>
      <c r="D256" s="106" t="s">
        <v>3300</v>
      </c>
      <c r="E256" s="106" t="s">
        <v>3300</v>
      </c>
      <c r="F256" s="106" t="s">
        <v>3896</v>
      </c>
      <c r="G256" s="106" t="s">
        <v>3905</v>
      </c>
      <c r="H256" s="106"/>
      <c r="I256" s="106" t="n">
        <v>0.73</v>
      </c>
      <c r="J256" s="106" t="s">
        <v>3903</v>
      </c>
      <c r="K256" s="108" t="n">
        <v>395</v>
      </c>
    </row>
    <row r="257" customFormat="false" ht="15" hidden="false" customHeight="false" outlineLevel="0" collapsed="false">
      <c r="A257" s="106" t="s">
        <v>3723</v>
      </c>
      <c r="B257" s="106" t="s">
        <v>560</v>
      </c>
      <c r="C257" s="106" t="s">
        <v>1716</v>
      </c>
      <c r="D257" s="106" t="s">
        <v>3300</v>
      </c>
      <c r="E257" s="106" t="s">
        <v>3300</v>
      </c>
      <c r="F257" s="106" t="s">
        <v>3896</v>
      </c>
      <c r="G257" s="106" t="s">
        <v>3897</v>
      </c>
      <c r="H257" s="106"/>
      <c r="I257" s="106" t="n">
        <v>1.63</v>
      </c>
      <c r="J257" s="106" t="s">
        <v>3917</v>
      </c>
      <c r="K257" s="108" t="n">
        <v>976</v>
      </c>
    </row>
    <row r="258" customFormat="false" ht="15" hidden="false" customHeight="false" outlineLevel="0" collapsed="false">
      <c r="A258" s="106" t="s">
        <v>3648</v>
      </c>
      <c r="B258" s="106" t="s">
        <v>185</v>
      </c>
      <c r="C258" s="106" t="s">
        <v>1748</v>
      </c>
      <c r="D258" s="106" t="s">
        <v>3300</v>
      </c>
      <c r="E258" s="106" t="s">
        <v>3300</v>
      </c>
      <c r="F258" s="106" t="s">
        <v>3896</v>
      </c>
      <c r="G258" s="106" t="s">
        <v>3897</v>
      </c>
      <c r="H258" s="106"/>
      <c r="I258" s="106" t="n">
        <v>1.52</v>
      </c>
      <c r="J258" s="106" t="s">
        <v>3909</v>
      </c>
      <c r="K258" s="108" t="n">
        <v>360</v>
      </c>
    </row>
    <row r="259" customFormat="false" ht="15" hidden="false" customHeight="false" outlineLevel="0" collapsed="false">
      <c r="A259" s="106" t="s">
        <v>3631</v>
      </c>
      <c r="B259" s="106" t="s">
        <v>185</v>
      </c>
      <c r="C259" s="106" t="s">
        <v>1733</v>
      </c>
      <c r="D259" s="106" t="s">
        <v>3300</v>
      </c>
      <c r="E259" s="106" t="s">
        <v>3300</v>
      </c>
      <c r="F259" s="106" t="s">
        <v>3896</v>
      </c>
      <c r="G259" s="106" t="s">
        <v>3897</v>
      </c>
      <c r="H259" s="106"/>
      <c r="I259" s="106" t="n">
        <v>6.05</v>
      </c>
      <c r="J259" s="106" t="s">
        <v>3918</v>
      </c>
      <c r="K259" s="108" t="n">
        <v>3272</v>
      </c>
    </row>
    <row r="260" customFormat="false" ht="15" hidden="false" customHeight="false" outlineLevel="0" collapsed="false">
      <c r="A260" s="106" t="s">
        <v>3727</v>
      </c>
      <c r="B260" s="106" t="s">
        <v>1689</v>
      </c>
      <c r="C260" s="106" t="s">
        <v>1704</v>
      </c>
      <c r="D260" s="106" t="s">
        <v>1782</v>
      </c>
      <c r="E260" s="106" t="s">
        <v>1782</v>
      </c>
      <c r="F260" s="106" t="s">
        <v>3896</v>
      </c>
      <c r="G260" s="106" t="s">
        <v>3905</v>
      </c>
      <c r="H260" s="106"/>
      <c r="I260" s="106" t="n">
        <v>0.68</v>
      </c>
      <c r="J260" s="106" t="s">
        <v>3910</v>
      </c>
      <c r="K260" s="108" t="n">
        <v>418</v>
      </c>
    </row>
    <row r="261" customFormat="false" ht="15" hidden="false" customHeight="false" outlineLevel="0" collapsed="false">
      <c r="A261" s="106" t="s">
        <v>3735</v>
      </c>
      <c r="B261" s="106" t="s">
        <v>479</v>
      </c>
      <c r="C261" s="106" t="s">
        <v>1772</v>
      </c>
      <c r="D261" s="106" t="s">
        <v>1782</v>
      </c>
      <c r="E261" s="106" t="s">
        <v>1782</v>
      </c>
      <c r="F261" s="106" t="s">
        <v>3896</v>
      </c>
      <c r="G261" s="106" t="s">
        <v>3899</v>
      </c>
      <c r="H261" s="106"/>
      <c r="I261" s="106" t="n">
        <v>0.38</v>
      </c>
      <c r="J261" s="106" t="s">
        <v>3907</v>
      </c>
      <c r="K261" s="108" t="n">
        <v>211</v>
      </c>
    </row>
    <row r="262" customFormat="false" ht="15" hidden="false" customHeight="false" outlineLevel="0" collapsed="false">
      <c r="A262" s="106" t="s">
        <v>3737</v>
      </c>
      <c r="B262" s="106" t="s">
        <v>479</v>
      </c>
      <c r="C262" s="106" t="s">
        <v>1737</v>
      </c>
      <c r="D262" s="106" t="s">
        <v>1782</v>
      </c>
      <c r="E262" s="106" t="s">
        <v>1782</v>
      </c>
      <c r="F262" s="106" t="s">
        <v>3896</v>
      </c>
      <c r="G262" s="106" t="s">
        <v>3899</v>
      </c>
      <c r="H262" s="106"/>
      <c r="I262" s="106" t="n">
        <v>0.43</v>
      </c>
      <c r="J262" s="106" t="s">
        <v>3908</v>
      </c>
      <c r="K262" s="108" t="n">
        <v>239</v>
      </c>
    </row>
    <row r="263" customFormat="false" ht="15" hidden="false" customHeight="false" outlineLevel="0" collapsed="false">
      <c r="A263" s="106" t="s">
        <v>3723</v>
      </c>
      <c r="B263" s="106" t="s">
        <v>560</v>
      </c>
      <c r="C263" s="106" t="s">
        <v>1716</v>
      </c>
      <c r="D263" s="106" t="s">
        <v>1782</v>
      </c>
      <c r="E263" s="106" t="s">
        <v>1782</v>
      </c>
      <c r="F263" s="106" t="s">
        <v>3896</v>
      </c>
      <c r="G263" s="106" t="s">
        <v>3897</v>
      </c>
      <c r="H263" s="106"/>
      <c r="I263" s="106" t="n">
        <v>1.03</v>
      </c>
      <c r="J263" s="106" t="s">
        <v>3913</v>
      </c>
      <c r="K263" s="108" t="n">
        <v>632</v>
      </c>
    </row>
    <row r="264" customFormat="false" ht="15" hidden="false" customHeight="false" outlineLevel="0" collapsed="false">
      <c r="A264" s="106" t="s">
        <v>3693</v>
      </c>
      <c r="B264" s="106" t="s">
        <v>185</v>
      </c>
      <c r="C264" s="106" t="s">
        <v>1716</v>
      </c>
      <c r="D264" s="106" t="s">
        <v>1782</v>
      </c>
      <c r="E264" s="106" t="s">
        <v>1782</v>
      </c>
      <c r="F264" s="106" t="s">
        <v>3896</v>
      </c>
      <c r="G264" s="106" t="s">
        <v>3897</v>
      </c>
      <c r="H264" s="106"/>
      <c r="I264" s="106" t="n">
        <v>2</v>
      </c>
      <c r="J264" s="106" t="s">
        <v>3904</v>
      </c>
      <c r="K264" s="108" t="n">
        <v>1162</v>
      </c>
    </row>
    <row r="265" customFormat="false" ht="15" hidden="false" customHeight="false" outlineLevel="0" collapsed="false">
      <c r="A265" s="106" t="s">
        <v>3731</v>
      </c>
      <c r="B265" s="106" t="s">
        <v>560</v>
      </c>
      <c r="C265" s="106" t="s">
        <v>1750</v>
      </c>
      <c r="D265" s="106" t="s">
        <v>1756</v>
      </c>
      <c r="E265" s="106" t="s">
        <v>1756</v>
      </c>
      <c r="F265" s="106" t="s">
        <v>3896</v>
      </c>
      <c r="G265" s="106" t="s">
        <v>3899</v>
      </c>
      <c r="H265" s="106"/>
      <c r="I265" s="106" t="n">
        <v>0.65</v>
      </c>
      <c r="J265" s="106" t="s">
        <v>3909</v>
      </c>
      <c r="K265" s="108" t="n">
        <v>741</v>
      </c>
    </row>
    <row r="266" customFormat="false" ht="15" hidden="false" customHeight="false" outlineLevel="0" collapsed="false">
      <c r="A266" s="106" t="s">
        <v>3645</v>
      </c>
      <c r="B266" s="106" t="s">
        <v>560</v>
      </c>
      <c r="C266" s="106" t="s">
        <v>1704</v>
      </c>
      <c r="D266" s="106" t="s">
        <v>1756</v>
      </c>
      <c r="E266" s="106" t="s">
        <v>1756</v>
      </c>
      <c r="F266" s="106" t="s">
        <v>3896</v>
      </c>
      <c r="G266" s="106" t="s">
        <v>3905</v>
      </c>
      <c r="H266" s="106"/>
      <c r="I266" s="106" t="n">
        <v>0.72</v>
      </c>
      <c r="J266" s="106" t="s">
        <v>3910</v>
      </c>
      <c r="K266" s="108" t="n">
        <v>353</v>
      </c>
    </row>
    <row r="267" customFormat="false" ht="15" hidden="false" customHeight="false" outlineLevel="0" collapsed="false">
      <c r="A267" s="106" t="s">
        <v>3717</v>
      </c>
      <c r="B267" s="106" t="s">
        <v>560</v>
      </c>
      <c r="C267" s="106" t="s">
        <v>1737</v>
      </c>
      <c r="D267" s="106" t="s">
        <v>1756</v>
      </c>
      <c r="E267" s="106" t="s">
        <v>1756</v>
      </c>
      <c r="F267" s="106" t="s">
        <v>3896</v>
      </c>
      <c r="G267" s="106" t="s">
        <v>3899</v>
      </c>
      <c r="H267" s="106"/>
      <c r="I267" s="106" t="n">
        <v>0.4</v>
      </c>
      <c r="J267" s="106" t="s">
        <v>3919</v>
      </c>
      <c r="K267" s="108" t="n">
        <v>351</v>
      </c>
    </row>
    <row r="268" customFormat="false" ht="15" hidden="false" customHeight="false" outlineLevel="0" collapsed="false">
      <c r="A268" s="106" t="s">
        <v>3662</v>
      </c>
      <c r="B268" s="106" t="s">
        <v>560</v>
      </c>
      <c r="C268" s="106" t="s">
        <v>1720</v>
      </c>
      <c r="D268" s="106" t="s">
        <v>1756</v>
      </c>
      <c r="E268" s="106" t="s">
        <v>1756</v>
      </c>
      <c r="F268" s="106" t="s">
        <v>3896</v>
      </c>
      <c r="G268" s="106" t="s">
        <v>3905</v>
      </c>
      <c r="H268" s="106"/>
      <c r="I268" s="106" t="n">
        <v>0.93</v>
      </c>
      <c r="J268" s="106" t="s">
        <v>3903</v>
      </c>
      <c r="K268" s="108" t="n">
        <v>459</v>
      </c>
    </row>
    <row r="269" customFormat="false" ht="15" hidden="false" customHeight="false" outlineLevel="0" collapsed="false">
      <c r="A269" s="106" t="s">
        <v>3693</v>
      </c>
      <c r="B269" s="106" t="s">
        <v>185</v>
      </c>
      <c r="C269" s="106" t="s">
        <v>1716</v>
      </c>
      <c r="D269" s="106" t="s">
        <v>1756</v>
      </c>
      <c r="E269" s="106" t="s">
        <v>1756</v>
      </c>
      <c r="F269" s="106" t="s">
        <v>3896</v>
      </c>
      <c r="G269" s="106" t="s">
        <v>3899</v>
      </c>
      <c r="H269" s="106"/>
      <c r="I269" s="106" t="n">
        <v>0.57</v>
      </c>
      <c r="J269" s="106" t="s">
        <v>3920</v>
      </c>
      <c r="K269" s="108" t="n">
        <v>472</v>
      </c>
    </row>
    <row r="270" customFormat="false" ht="15" hidden="false" customHeight="false" outlineLevel="0" collapsed="false">
      <c r="A270" s="106" t="s">
        <v>3697</v>
      </c>
      <c r="B270" s="106" t="s">
        <v>1689</v>
      </c>
      <c r="C270" s="106" t="s">
        <v>1733</v>
      </c>
      <c r="D270" s="106" t="s">
        <v>1784</v>
      </c>
      <c r="E270" s="106" t="s">
        <v>1784</v>
      </c>
      <c r="F270" s="106" t="s">
        <v>3896</v>
      </c>
      <c r="G270" s="106" t="s">
        <v>3899</v>
      </c>
      <c r="H270" s="106"/>
      <c r="I270" s="106" t="n">
        <v>0.35</v>
      </c>
      <c r="J270" s="106" t="s">
        <v>3902</v>
      </c>
      <c r="K270" s="108" t="n">
        <v>191</v>
      </c>
    </row>
    <row r="271" customFormat="false" ht="15" hidden="false" customHeight="false" outlineLevel="0" collapsed="false">
      <c r="A271" s="106" t="s">
        <v>3667</v>
      </c>
      <c r="B271" s="106" t="s">
        <v>479</v>
      </c>
      <c r="C271" s="106" t="s">
        <v>1725</v>
      </c>
      <c r="D271" s="106" t="s">
        <v>1784</v>
      </c>
      <c r="E271" s="106" t="s">
        <v>1784</v>
      </c>
      <c r="F271" s="106" t="s">
        <v>3896</v>
      </c>
      <c r="G271" s="106" t="s">
        <v>3899</v>
      </c>
      <c r="H271" s="106"/>
      <c r="I271" s="106" t="n">
        <v>0.62</v>
      </c>
      <c r="J271" s="106" t="s">
        <v>3921</v>
      </c>
      <c r="K271" s="108" t="n">
        <v>386</v>
      </c>
    </row>
    <row r="272" customFormat="false" ht="15" hidden="false" customHeight="false" outlineLevel="0" collapsed="false">
      <c r="A272" s="106" t="s">
        <v>3717</v>
      </c>
      <c r="B272" s="106" t="s">
        <v>560</v>
      </c>
      <c r="C272" s="106" t="s">
        <v>1737</v>
      </c>
      <c r="D272" s="106" t="s">
        <v>1784</v>
      </c>
      <c r="E272" s="106" t="s">
        <v>1784</v>
      </c>
      <c r="F272" s="106" t="s">
        <v>3896</v>
      </c>
      <c r="G272" s="106" t="s">
        <v>3899</v>
      </c>
      <c r="H272" s="106"/>
      <c r="I272" s="106" t="n">
        <v>0.33</v>
      </c>
      <c r="J272" s="106" t="s">
        <v>3902</v>
      </c>
      <c r="K272" s="108" t="n">
        <v>181</v>
      </c>
    </row>
    <row r="273" customFormat="false" ht="15" hidden="false" customHeight="false" outlineLevel="0" collapsed="false">
      <c r="A273" s="106" t="s">
        <v>3625</v>
      </c>
      <c r="B273" s="106" t="s">
        <v>185</v>
      </c>
      <c r="C273" s="106" t="s">
        <v>1725</v>
      </c>
      <c r="D273" s="106" t="s">
        <v>1784</v>
      </c>
      <c r="E273" s="106" t="s">
        <v>1784</v>
      </c>
      <c r="F273" s="106" t="s">
        <v>3896</v>
      </c>
      <c r="G273" s="106" t="s">
        <v>3897</v>
      </c>
      <c r="H273" s="106"/>
      <c r="I273" s="106" t="n">
        <v>3.53</v>
      </c>
      <c r="J273" s="106" t="s">
        <v>3406</v>
      </c>
      <c r="K273" s="108" t="n">
        <v>1068</v>
      </c>
    </row>
    <row r="274" customFormat="false" ht="15" hidden="false" customHeight="false" outlineLevel="0" collapsed="false">
      <c r="A274" s="106" t="s">
        <v>3689</v>
      </c>
      <c r="B274" s="106" t="s">
        <v>185</v>
      </c>
      <c r="C274" s="106" t="s">
        <v>1737</v>
      </c>
      <c r="D274" s="106" t="s">
        <v>1784</v>
      </c>
      <c r="E274" s="106" t="s">
        <v>1784</v>
      </c>
      <c r="F274" s="106" t="s">
        <v>3896</v>
      </c>
      <c r="G274" s="106" t="s">
        <v>3899</v>
      </c>
      <c r="H274" s="106"/>
      <c r="I274" s="106" t="n">
        <v>0.38</v>
      </c>
      <c r="J274" s="106" t="s">
        <v>3902</v>
      </c>
      <c r="K274" s="108" t="n">
        <v>198</v>
      </c>
    </row>
    <row r="275" customFormat="false" ht="15" hidden="false" customHeight="false" outlineLevel="0" collapsed="false">
      <c r="A275" s="106" t="s">
        <v>3677</v>
      </c>
      <c r="B275" s="106" t="s">
        <v>1689</v>
      </c>
      <c r="C275" s="106" t="s">
        <v>1708</v>
      </c>
      <c r="D275" s="106" t="s">
        <v>3302</v>
      </c>
      <c r="E275" s="106" t="s">
        <v>3302</v>
      </c>
      <c r="F275" s="106" t="s">
        <v>3896</v>
      </c>
      <c r="G275" s="106" t="s">
        <v>3899</v>
      </c>
      <c r="H275" s="106"/>
      <c r="I275" s="106" t="n">
        <v>0.35</v>
      </c>
      <c r="J275" s="106" t="s">
        <v>3907</v>
      </c>
      <c r="K275" s="108" t="n">
        <v>241</v>
      </c>
    </row>
    <row r="276" customFormat="false" ht="15" hidden="false" customHeight="false" outlineLevel="0" collapsed="false">
      <c r="A276" s="106" t="s">
        <v>3662</v>
      </c>
      <c r="B276" s="106" t="s">
        <v>560</v>
      </c>
      <c r="C276" s="106" t="s">
        <v>1720</v>
      </c>
      <c r="D276" s="106" t="s">
        <v>3302</v>
      </c>
      <c r="E276" s="106" t="s">
        <v>3302</v>
      </c>
      <c r="F276" s="106" t="s">
        <v>3896</v>
      </c>
      <c r="G276" s="106" t="s">
        <v>3899</v>
      </c>
      <c r="H276" s="106"/>
      <c r="I276" s="106" t="n">
        <v>0.62</v>
      </c>
      <c r="J276" s="106" t="s">
        <v>3903</v>
      </c>
      <c r="K276" s="108" t="n">
        <v>425</v>
      </c>
    </row>
    <row r="277" customFormat="false" ht="15" hidden="false" customHeight="false" outlineLevel="0" collapsed="false">
      <c r="A277" s="106" t="s">
        <v>3701</v>
      </c>
      <c r="B277" s="106" t="s">
        <v>185</v>
      </c>
      <c r="C277" s="106" t="s">
        <v>1750</v>
      </c>
      <c r="D277" s="106" t="s">
        <v>3303</v>
      </c>
      <c r="E277" s="106" t="s">
        <v>3303</v>
      </c>
      <c r="F277" s="106" t="s">
        <v>3896</v>
      </c>
      <c r="G277" s="106" t="s">
        <v>3899</v>
      </c>
      <c r="H277" s="106"/>
      <c r="I277" s="106" t="n">
        <v>0.4</v>
      </c>
      <c r="J277" s="106" t="s">
        <v>3922</v>
      </c>
      <c r="K277" s="108" t="n">
        <v>1185</v>
      </c>
    </row>
    <row r="278" customFormat="false" ht="15" hidden="false" customHeight="false" outlineLevel="0" collapsed="false">
      <c r="A278" s="106" t="s">
        <v>3680</v>
      </c>
      <c r="B278" s="106" t="s">
        <v>185</v>
      </c>
      <c r="C278" s="106" t="s">
        <v>1772</v>
      </c>
      <c r="D278" s="106" t="s">
        <v>3303</v>
      </c>
      <c r="E278" s="106" t="s">
        <v>3303</v>
      </c>
      <c r="F278" s="106" t="s">
        <v>3896</v>
      </c>
      <c r="G278" s="106" t="s">
        <v>3899</v>
      </c>
      <c r="H278" s="106"/>
      <c r="I278" s="106" t="n">
        <v>0.43</v>
      </c>
      <c r="J278" s="106" t="s">
        <v>3923</v>
      </c>
      <c r="K278" s="108" t="n">
        <v>917</v>
      </c>
    </row>
    <row r="279" customFormat="false" ht="15" hidden="false" customHeight="false" outlineLevel="0" collapsed="false">
      <c r="A279" s="106" t="s">
        <v>3719</v>
      </c>
      <c r="B279" s="106" t="s">
        <v>560</v>
      </c>
      <c r="C279" s="106" t="s">
        <v>1772</v>
      </c>
      <c r="D279" s="106" t="s">
        <v>3305</v>
      </c>
      <c r="E279" s="106" t="s">
        <v>3305</v>
      </c>
      <c r="F279" s="106" t="s">
        <v>3896</v>
      </c>
      <c r="G279" s="106" t="s">
        <v>3899</v>
      </c>
      <c r="H279" s="106"/>
      <c r="I279" s="106" t="n">
        <v>0.62</v>
      </c>
      <c r="J279" s="106" t="s">
        <v>1792</v>
      </c>
      <c r="K279" s="108" t="n">
        <v>1260</v>
      </c>
    </row>
    <row r="280" customFormat="false" ht="15" hidden="false" customHeight="false" outlineLevel="0" collapsed="false">
      <c r="A280" s="106" t="s">
        <v>3739</v>
      </c>
      <c r="B280" s="106" t="s">
        <v>696</v>
      </c>
      <c r="C280" s="106" t="s">
        <v>1716</v>
      </c>
      <c r="D280" s="106" t="s">
        <v>3305</v>
      </c>
      <c r="E280" s="106" t="s">
        <v>3305</v>
      </c>
      <c r="F280" s="106" t="s">
        <v>3896</v>
      </c>
      <c r="G280" s="106" t="s">
        <v>3899</v>
      </c>
      <c r="H280" s="106"/>
      <c r="I280" s="106" t="n">
        <v>0.37</v>
      </c>
      <c r="J280" s="106" t="s">
        <v>3924</v>
      </c>
      <c r="K280" s="108" t="n">
        <v>637</v>
      </c>
    </row>
    <row r="281" customFormat="false" ht="15" hidden="false" customHeight="false" outlineLevel="0" collapsed="false">
      <c r="A281" s="106" t="s">
        <v>3677</v>
      </c>
      <c r="B281" s="106" t="s">
        <v>1689</v>
      </c>
      <c r="C281" s="106" t="s">
        <v>1708</v>
      </c>
      <c r="D281" s="106" t="s">
        <v>1775</v>
      </c>
      <c r="E281" s="106" t="s">
        <v>1775</v>
      </c>
      <c r="F281" s="106" t="s">
        <v>3896</v>
      </c>
      <c r="G281" s="106" t="s">
        <v>3905</v>
      </c>
      <c r="H281" s="106"/>
      <c r="I281" s="106" t="n">
        <v>0.9</v>
      </c>
      <c r="J281" s="106" t="s">
        <v>3917</v>
      </c>
      <c r="K281" s="108" t="n">
        <v>950</v>
      </c>
    </row>
    <row r="282" customFormat="false" ht="15" hidden="false" customHeight="false" outlineLevel="0" collapsed="false">
      <c r="A282" s="106" t="s">
        <v>3750</v>
      </c>
      <c r="B282" s="106" t="s">
        <v>1689</v>
      </c>
      <c r="C282" s="106" t="s">
        <v>1772</v>
      </c>
      <c r="D282" s="106" t="s">
        <v>1775</v>
      </c>
      <c r="E282" s="106" t="s">
        <v>1775</v>
      </c>
      <c r="F282" s="106" t="s">
        <v>3896</v>
      </c>
      <c r="G282" s="106" t="s">
        <v>3899</v>
      </c>
      <c r="H282" s="106"/>
      <c r="I282" s="106" t="n">
        <v>0.42</v>
      </c>
      <c r="J282" s="106" t="s">
        <v>3903</v>
      </c>
      <c r="K282" s="108" t="n">
        <v>440</v>
      </c>
    </row>
    <row r="283" customFormat="false" ht="15" hidden="false" customHeight="false" outlineLevel="0" collapsed="false">
      <c r="A283" s="106" t="s">
        <v>3743</v>
      </c>
      <c r="B283" s="106" t="s">
        <v>479</v>
      </c>
      <c r="C283" s="106" t="s">
        <v>1750</v>
      </c>
      <c r="D283" s="106" t="s">
        <v>1775</v>
      </c>
      <c r="E283" s="106" t="s">
        <v>1775</v>
      </c>
      <c r="F283" s="106" t="s">
        <v>3896</v>
      </c>
      <c r="G283" s="106" t="s">
        <v>3905</v>
      </c>
      <c r="H283" s="106"/>
      <c r="I283" s="106" t="n">
        <v>0.85</v>
      </c>
      <c r="J283" s="106" t="s">
        <v>3916</v>
      </c>
      <c r="K283" s="108" t="n">
        <v>807</v>
      </c>
    </row>
    <row r="284" customFormat="false" ht="15" hidden="false" customHeight="false" outlineLevel="0" collapsed="false">
      <c r="A284" s="106" t="s">
        <v>3672</v>
      </c>
      <c r="B284" s="106" t="s">
        <v>479</v>
      </c>
      <c r="C284" s="106" t="s">
        <v>1708</v>
      </c>
      <c r="D284" s="106" t="s">
        <v>1775</v>
      </c>
      <c r="E284" s="106" t="s">
        <v>1775</v>
      </c>
      <c r="F284" s="106" t="s">
        <v>3896</v>
      </c>
      <c r="G284" s="106" t="s">
        <v>3905</v>
      </c>
      <c r="H284" s="106"/>
      <c r="I284" s="106" t="n">
        <v>0.95</v>
      </c>
      <c r="J284" s="106" t="s">
        <v>3925</v>
      </c>
      <c r="K284" s="108" t="n">
        <v>902</v>
      </c>
    </row>
    <row r="285" customFormat="false" ht="15" hidden="false" customHeight="false" outlineLevel="0" collapsed="false">
      <c r="A285" s="106" t="s">
        <v>3667</v>
      </c>
      <c r="B285" s="106" t="s">
        <v>479</v>
      </c>
      <c r="C285" s="106" t="s">
        <v>1725</v>
      </c>
      <c r="D285" s="106" t="s">
        <v>1775</v>
      </c>
      <c r="E285" s="106" t="s">
        <v>1775</v>
      </c>
      <c r="F285" s="106" t="s">
        <v>3896</v>
      </c>
      <c r="G285" s="106" t="s">
        <v>3905</v>
      </c>
      <c r="H285" s="106"/>
      <c r="I285" s="106" t="n">
        <v>1.08</v>
      </c>
      <c r="J285" s="106" t="s">
        <v>3922</v>
      </c>
      <c r="K285" s="108" t="n">
        <v>947</v>
      </c>
    </row>
    <row r="286" customFormat="false" ht="15" hidden="false" customHeight="false" outlineLevel="0" collapsed="false">
      <c r="A286" s="106" t="s">
        <v>3685</v>
      </c>
      <c r="B286" s="106" t="s">
        <v>479</v>
      </c>
      <c r="C286" s="106" t="s">
        <v>1712</v>
      </c>
      <c r="D286" s="106" t="s">
        <v>1775</v>
      </c>
      <c r="E286" s="106" t="s">
        <v>1775</v>
      </c>
      <c r="F286" s="106" t="s">
        <v>3896</v>
      </c>
      <c r="G286" s="106" t="s">
        <v>3905</v>
      </c>
      <c r="H286" s="106"/>
      <c r="I286" s="106" t="n">
        <v>1.3</v>
      </c>
      <c r="J286" s="106" t="s">
        <v>3915</v>
      </c>
      <c r="K286" s="108" t="n">
        <v>1263</v>
      </c>
    </row>
    <row r="287" customFormat="false" ht="15" hidden="false" customHeight="false" outlineLevel="0" collapsed="false">
      <c r="A287" s="106" t="s">
        <v>3719</v>
      </c>
      <c r="B287" s="106" t="s">
        <v>560</v>
      </c>
      <c r="C287" s="106" t="s">
        <v>1772</v>
      </c>
      <c r="D287" s="106" t="s">
        <v>1775</v>
      </c>
      <c r="E287" s="106" t="s">
        <v>1775</v>
      </c>
      <c r="F287" s="106" t="s">
        <v>3896</v>
      </c>
      <c r="G287" s="106" t="s">
        <v>3899</v>
      </c>
      <c r="H287" s="106"/>
      <c r="I287" s="106" t="n">
        <v>0.4</v>
      </c>
      <c r="J287" s="106" t="s">
        <v>3903</v>
      </c>
      <c r="K287" s="108" t="n">
        <v>422</v>
      </c>
    </row>
    <row r="288" customFormat="false" ht="15" hidden="false" customHeight="false" outlineLevel="0" collapsed="false">
      <c r="A288" s="106" t="s">
        <v>3739</v>
      </c>
      <c r="B288" s="106" t="s">
        <v>696</v>
      </c>
      <c r="C288" s="106" t="s">
        <v>1716</v>
      </c>
      <c r="D288" s="106" t="s">
        <v>1775</v>
      </c>
      <c r="E288" s="106" t="s">
        <v>1775</v>
      </c>
      <c r="F288" s="106" t="s">
        <v>3896</v>
      </c>
      <c r="G288" s="106" t="s">
        <v>3899</v>
      </c>
      <c r="H288" s="106"/>
      <c r="I288" s="106" t="n">
        <v>0.37</v>
      </c>
      <c r="J288" s="106" t="s">
        <v>3910</v>
      </c>
      <c r="K288" s="108" t="n">
        <v>329</v>
      </c>
    </row>
    <row r="289" customFormat="false" ht="15" hidden="false" customHeight="false" outlineLevel="0" collapsed="false">
      <c r="A289" s="106" t="s">
        <v>3743</v>
      </c>
      <c r="B289" s="106" t="s">
        <v>479</v>
      </c>
      <c r="C289" s="106" t="s">
        <v>1750</v>
      </c>
      <c r="D289" s="106" t="s">
        <v>1776</v>
      </c>
      <c r="E289" s="106" t="s">
        <v>1776</v>
      </c>
      <c r="F289" s="106" t="s">
        <v>3896</v>
      </c>
      <c r="G289" s="106" t="s">
        <v>3899</v>
      </c>
      <c r="H289" s="106"/>
      <c r="I289" s="106" t="n">
        <v>0.48</v>
      </c>
      <c r="J289" s="106" t="s">
        <v>3912</v>
      </c>
      <c r="K289" s="108" t="n">
        <v>471</v>
      </c>
    </row>
    <row r="290" customFormat="false" ht="15" hidden="false" customHeight="false" outlineLevel="0" collapsed="false">
      <c r="A290" s="106" t="s">
        <v>3672</v>
      </c>
      <c r="B290" s="106" t="s">
        <v>479</v>
      </c>
      <c r="C290" s="106" t="s">
        <v>1708</v>
      </c>
      <c r="D290" s="106" t="s">
        <v>1776</v>
      </c>
      <c r="E290" s="106" t="s">
        <v>1776</v>
      </c>
      <c r="F290" s="106" t="s">
        <v>3896</v>
      </c>
      <c r="G290" s="106" t="s">
        <v>3899</v>
      </c>
      <c r="H290" s="106"/>
      <c r="I290" s="106" t="n">
        <v>0.42</v>
      </c>
      <c r="J290" s="106" t="s">
        <v>3903</v>
      </c>
      <c r="K290" s="108" t="n">
        <v>406</v>
      </c>
    </row>
    <row r="291" customFormat="false" ht="15" hidden="false" customHeight="false" outlineLevel="0" collapsed="false">
      <c r="A291" s="106" t="s">
        <v>3670</v>
      </c>
      <c r="B291" s="106" t="s">
        <v>479</v>
      </c>
      <c r="C291" s="106" t="s">
        <v>1733</v>
      </c>
      <c r="D291" s="106" t="s">
        <v>1776</v>
      </c>
      <c r="E291" s="106" t="s">
        <v>1776</v>
      </c>
      <c r="F291" s="106" t="s">
        <v>3896</v>
      </c>
      <c r="G291" s="106" t="s">
        <v>3897</v>
      </c>
      <c r="H291" s="106"/>
      <c r="I291" s="106" t="n">
        <v>1.03</v>
      </c>
      <c r="J291" s="106" t="s">
        <v>3406</v>
      </c>
      <c r="K291" s="108" t="n">
        <v>1006</v>
      </c>
    </row>
    <row r="292" customFormat="false" ht="15" hidden="false" customHeight="false" outlineLevel="0" collapsed="false">
      <c r="A292" s="106" t="s">
        <v>3685</v>
      </c>
      <c r="B292" s="106" t="s">
        <v>479</v>
      </c>
      <c r="C292" s="106" t="s">
        <v>1712</v>
      </c>
      <c r="D292" s="106" t="s">
        <v>1776</v>
      </c>
      <c r="E292" s="106" t="s">
        <v>1776</v>
      </c>
      <c r="F292" s="106" t="s">
        <v>3896</v>
      </c>
      <c r="G292" s="106" t="s">
        <v>3905</v>
      </c>
      <c r="H292" s="106"/>
      <c r="I292" s="106" t="n">
        <v>0.95</v>
      </c>
      <c r="J292" s="106" t="s">
        <v>3915</v>
      </c>
      <c r="K292" s="108" t="n">
        <v>1234</v>
      </c>
    </row>
    <row r="293" customFormat="false" ht="15" hidden="false" customHeight="false" outlineLevel="0" collapsed="false">
      <c r="A293" s="106" t="s">
        <v>3695</v>
      </c>
      <c r="B293" s="106" t="s">
        <v>560</v>
      </c>
      <c r="C293" s="106" t="s">
        <v>1752</v>
      </c>
      <c r="D293" s="106" t="s">
        <v>1776</v>
      </c>
      <c r="E293" s="106" t="s">
        <v>1776</v>
      </c>
      <c r="F293" s="106" t="s">
        <v>3896</v>
      </c>
      <c r="G293" s="106" t="s">
        <v>3897</v>
      </c>
      <c r="H293" s="106"/>
      <c r="I293" s="106" t="n">
        <v>1.48</v>
      </c>
      <c r="J293" s="106" t="s">
        <v>3926</v>
      </c>
      <c r="K293" s="108" t="n">
        <v>1605</v>
      </c>
    </row>
    <row r="294" customFormat="false" ht="15" hidden="false" customHeight="false" outlineLevel="0" collapsed="false">
      <c r="A294" s="106" t="s">
        <v>3745</v>
      </c>
      <c r="B294" s="106" t="s">
        <v>696</v>
      </c>
      <c r="C294" s="106" t="s">
        <v>1737</v>
      </c>
      <c r="D294" s="106" t="s">
        <v>1776</v>
      </c>
      <c r="E294" s="106" t="s">
        <v>1776</v>
      </c>
      <c r="F294" s="106" t="s">
        <v>3896</v>
      </c>
      <c r="G294" s="106" t="s">
        <v>3899</v>
      </c>
      <c r="H294" s="106"/>
      <c r="I294" s="106" t="n">
        <v>0.65</v>
      </c>
      <c r="J294" s="106" t="s">
        <v>3927</v>
      </c>
      <c r="K294" s="108" t="n">
        <v>508</v>
      </c>
    </row>
    <row r="295" customFormat="false" ht="15" hidden="false" customHeight="false" outlineLevel="0" collapsed="false">
      <c r="A295" s="106" t="s">
        <v>3682</v>
      </c>
      <c r="B295" s="106" t="s">
        <v>1689</v>
      </c>
      <c r="C295" s="106" t="s">
        <v>1725</v>
      </c>
      <c r="D295" s="106" t="s">
        <v>1779</v>
      </c>
      <c r="E295" s="106" t="s">
        <v>1779</v>
      </c>
      <c r="F295" s="106" t="s">
        <v>3896</v>
      </c>
      <c r="G295" s="106" t="s">
        <v>3897</v>
      </c>
      <c r="H295" s="106"/>
      <c r="I295" s="106" t="n">
        <v>1.02</v>
      </c>
      <c r="J295" s="106" t="s">
        <v>3912</v>
      </c>
      <c r="K295" s="108" t="n">
        <v>651</v>
      </c>
    </row>
    <row r="296" customFormat="false" ht="15" hidden="false" customHeight="false" outlineLevel="0" collapsed="false">
      <c r="A296" s="106" t="s">
        <v>3695</v>
      </c>
      <c r="B296" s="106" t="s">
        <v>560</v>
      </c>
      <c r="C296" s="106" t="s">
        <v>1752</v>
      </c>
      <c r="D296" s="106" t="s">
        <v>1779</v>
      </c>
      <c r="E296" s="106" t="s">
        <v>1779</v>
      </c>
      <c r="F296" s="106" t="s">
        <v>3896</v>
      </c>
      <c r="G296" s="106" t="s">
        <v>3899</v>
      </c>
      <c r="H296" s="106"/>
      <c r="I296" s="106" t="n">
        <v>0.47</v>
      </c>
      <c r="J296" s="106" t="s">
        <v>3907</v>
      </c>
      <c r="K296" s="108" t="n">
        <v>244</v>
      </c>
    </row>
    <row r="297" customFormat="false" ht="15" hidden="false" customHeight="false" outlineLevel="0" collapsed="false">
      <c r="A297" s="106" t="s">
        <v>3631</v>
      </c>
      <c r="B297" s="106" t="s">
        <v>185</v>
      </c>
      <c r="C297" s="106" t="s">
        <v>1733</v>
      </c>
      <c r="D297" s="106" t="s">
        <v>1779</v>
      </c>
      <c r="E297" s="106" t="s">
        <v>1779</v>
      </c>
      <c r="F297" s="106" t="s">
        <v>3896</v>
      </c>
      <c r="G297" s="106" t="s">
        <v>3897</v>
      </c>
      <c r="H297" s="106"/>
      <c r="I297" s="106" t="n">
        <v>3.5</v>
      </c>
      <c r="J297" s="106" t="s">
        <v>3928</v>
      </c>
      <c r="K297" s="108" t="n">
        <v>1257</v>
      </c>
    </row>
    <row r="298" customFormat="false" ht="15" hidden="false" customHeight="false" outlineLevel="0" collapsed="false">
      <c r="A298" s="106" t="s">
        <v>3642</v>
      </c>
      <c r="B298" s="106" t="s">
        <v>185</v>
      </c>
      <c r="C298" s="106" t="s">
        <v>1712</v>
      </c>
      <c r="D298" s="106" t="s">
        <v>1779</v>
      </c>
      <c r="E298" s="106" t="s">
        <v>1779</v>
      </c>
      <c r="F298" s="106" t="s">
        <v>3896</v>
      </c>
      <c r="G298" s="106" t="s">
        <v>3897</v>
      </c>
      <c r="H298" s="106"/>
      <c r="I298" s="106" t="n">
        <v>2.55</v>
      </c>
      <c r="J298" s="106" t="s">
        <v>3929</v>
      </c>
      <c r="K298" s="108" t="n">
        <v>1767</v>
      </c>
    </row>
    <row r="299" customFormat="false" ht="15" hidden="false" customHeight="false" outlineLevel="0" collapsed="false">
      <c r="A299" s="106" t="s">
        <v>3699</v>
      </c>
      <c r="B299" s="106" t="s">
        <v>479</v>
      </c>
      <c r="C299" s="106" t="s">
        <v>1748</v>
      </c>
      <c r="D299" s="106" t="s">
        <v>3306</v>
      </c>
      <c r="E299" s="106" t="s">
        <v>3306</v>
      </c>
      <c r="F299" s="106" t="s">
        <v>3896</v>
      </c>
      <c r="G299" s="106" t="s">
        <v>3905</v>
      </c>
      <c r="H299" s="106"/>
      <c r="I299" s="106" t="n">
        <v>0.68</v>
      </c>
      <c r="J299" s="106" t="s">
        <v>3901</v>
      </c>
      <c r="K299" s="108" t="n">
        <v>134</v>
      </c>
    </row>
    <row r="300" customFormat="false" ht="15" hidden="false" customHeight="false" outlineLevel="0" collapsed="false">
      <c r="A300" s="106" t="s">
        <v>3707</v>
      </c>
      <c r="B300" s="106" t="s">
        <v>479</v>
      </c>
      <c r="C300" s="106" t="s">
        <v>1752</v>
      </c>
      <c r="D300" s="106" t="s">
        <v>3306</v>
      </c>
      <c r="E300" s="106" t="s">
        <v>3306</v>
      </c>
      <c r="F300" s="106" t="s">
        <v>3896</v>
      </c>
      <c r="G300" s="106" t="s">
        <v>3899</v>
      </c>
      <c r="H300" s="106"/>
      <c r="I300" s="106" t="n">
        <v>0.65</v>
      </c>
      <c r="J300" s="106" t="s">
        <v>3901</v>
      </c>
      <c r="K300" s="108" t="n">
        <v>161</v>
      </c>
    </row>
    <row r="301" customFormat="false" ht="15" hidden="false" customHeight="false" outlineLevel="0" collapsed="false">
      <c r="A301" s="106" t="s">
        <v>3687</v>
      </c>
      <c r="B301" s="106" t="s">
        <v>479</v>
      </c>
      <c r="C301" s="106" t="s">
        <v>1720</v>
      </c>
      <c r="D301" s="106" t="s">
        <v>3306</v>
      </c>
      <c r="E301" s="106" t="s">
        <v>3306</v>
      </c>
      <c r="F301" s="106" t="s">
        <v>3896</v>
      </c>
      <c r="G301" s="106" t="s">
        <v>3899</v>
      </c>
      <c r="H301" s="106"/>
      <c r="I301" s="106" t="n">
        <v>0.42</v>
      </c>
      <c r="J301" s="106" t="s">
        <v>3900</v>
      </c>
      <c r="K301" s="108" t="n">
        <v>79</v>
      </c>
    </row>
    <row r="302" customFormat="false" ht="15" hidden="false" customHeight="false" outlineLevel="0" collapsed="false">
      <c r="A302" s="106" t="s">
        <v>3662</v>
      </c>
      <c r="B302" s="106" t="s">
        <v>560</v>
      </c>
      <c r="C302" s="106" t="s">
        <v>1720</v>
      </c>
      <c r="D302" s="106" t="s">
        <v>3306</v>
      </c>
      <c r="E302" s="106" t="s">
        <v>3306</v>
      </c>
      <c r="F302" s="106" t="s">
        <v>3896</v>
      </c>
      <c r="G302" s="106" t="s">
        <v>3897</v>
      </c>
      <c r="H302" s="106"/>
      <c r="I302" s="106" t="n">
        <v>1</v>
      </c>
      <c r="J302" s="106" t="s">
        <v>3908</v>
      </c>
      <c r="K302" s="108" t="n">
        <v>276</v>
      </c>
    </row>
    <row r="303" customFormat="false" ht="15" hidden="false" customHeight="false" outlineLevel="0" collapsed="false">
      <c r="A303" s="106" t="s">
        <v>3631</v>
      </c>
      <c r="B303" s="106" t="s">
        <v>185</v>
      </c>
      <c r="C303" s="106" t="s">
        <v>1733</v>
      </c>
      <c r="D303" s="106" t="s">
        <v>3306</v>
      </c>
      <c r="E303" s="106" t="s">
        <v>3306</v>
      </c>
      <c r="F303" s="106" t="s">
        <v>3896</v>
      </c>
      <c r="G303" s="106" t="s">
        <v>3897</v>
      </c>
      <c r="H303" s="106"/>
      <c r="I303" s="106" t="n">
        <v>1.95</v>
      </c>
      <c r="J303" s="106" t="s">
        <v>3912</v>
      </c>
      <c r="K303" s="108" t="n">
        <v>487</v>
      </c>
    </row>
    <row r="304" customFormat="false" ht="15" hidden="false" customHeight="false" outlineLevel="0" collapsed="false">
      <c r="A304" s="106" t="s">
        <v>3642</v>
      </c>
      <c r="B304" s="106" t="s">
        <v>185</v>
      </c>
      <c r="C304" s="106" t="s">
        <v>1712</v>
      </c>
      <c r="D304" s="106" t="s">
        <v>3306</v>
      </c>
      <c r="E304" s="106" t="s">
        <v>3306</v>
      </c>
      <c r="F304" s="106" t="s">
        <v>3896</v>
      </c>
      <c r="G304" s="106" t="s">
        <v>3897</v>
      </c>
      <c r="H304" s="106"/>
      <c r="I304" s="106" t="n">
        <v>1.08</v>
      </c>
      <c r="J304" s="106" t="s">
        <v>3908</v>
      </c>
      <c r="K304" s="108" t="n">
        <v>396</v>
      </c>
    </row>
    <row r="305" customFormat="false" ht="15" hidden="false" customHeight="false" outlineLevel="0" collapsed="false">
      <c r="A305" s="106" t="s">
        <v>3697</v>
      </c>
      <c r="B305" s="106" t="s">
        <v>1689</v>
      </c>
      <c r="C305" s="106" t="s">
        <v>1733</v>
      </c>
      <c r="D305" s="106" t="s">
        <v>3307</v>
      </c>
      <c r="E305" s="106" t="s">
        <v>3307</v>
      </c>
      <c r="F305" s="106" t="s">
        <v>3896</v>
      </c>
      <c r="G305" s="106" t="s">
        <v>3899</v>
      </c>
      <c r="H305" s="106"/>
      <c r="I305" s="106" t="n">
        <v>0.4</v>
      </c>
      <c r="J305" s="106" t="s">
        <v>3906</v>
      </c>
      <c r="K305" s="108" t="n">
        <v>128</v>
      </c>
    </row>
    <row r="306" customFormat="false" ht="15" hidden="false" customHeight="false" outlineLevel="0" collapsed="false">
      <c r="A306" s="106" t="s">
        <v>3640</v>
      </c>
      <c r="B306" s="106" t="s">
        <v>560</v>
      </c>
      <c r="C306" s="106" t="s">
        <v>1725</v>
      </c>
      <c r="D306" s="106" t="s">
        <v>3307</v>
      </c>
      <c r="E306" s="106" t="s">
        <v>3307</v>
      </c>
      <c r="F306" s="106" t="s">
        <v>3896</v>
      </c>
      <c r="G306" s="106" t="s">
        <v>3905</v>
      </c>
      <c r="H306" s="106"/>
      <c r="I306" s="106" t="n">
        <v>0.98</v>
      </c>
      <c r="J306" s="106" t="s">
        <v>3919</v>
      </c>
      <c r="K306" s="108" t="n">
        <v>373</v>
      </c>
    </row>
    <row r="307" customFormat="false" ht="15" hidden="false" customHeight="false" outlineLevel="0" collapsed="false">
      <c r="A307" s="106" t="s">
        <v>3662</v>
      </c>
      <c r="B307" s="106" t="s">
        <v>560</v>
      </c>
      <c r="C307" s="106" t="s">
        <v>1720</v>
      </c>
      <c r="D307" s="106" t="s">
        <v>3307</v>
      </c>
      <c r="E307" s="106" t="s">
        <v>3307</v>
      </c>
      <c r="F307" s="106" t="s">
        <v>3896</v>
      </c>
      <c r="G307" s="106" t="s">
        <v>3899</v>
      </c>
      <c r="H307" s="106"/>
      <c r="I307" s="106" t="n">
        <v>0.38</v>
      </c>
      <c r="J307" s="106" t="s">
        <v>3901</v>
      </c>
      <c r="K307" s="108" t="n">
        <v>161</v>
      </c>
    </row>
    <row r="308" customFormat="false" ht="15" hidden="false" customHeight="false" outlineLevel="0" collapsed="false">
      <c r="A308" s="106" t="s">
        <v>3625</v>
      </c>
      <c r="B308" s="106" t="s">
        <v>185</v>
      </c>
      <c r="C308" s="106" t="s">
        <v>1725</v>
      </c>
      <c r="D308" s="106" t="s">
        <v>3307</v>
      </c>
      <c r="E308" s="106" t="s">
        <v>3307</v>
      </c>
      <c r="F308" s="106" t="s">
        <v>3896</v>
      </c>
      <c r="G308" s="106" t="s">
        <v>3897</v>
      </c>
      <c r="H308" s="106"/>
      <c r="I308" s="106" t="n">
        <v>1.28</v>
      </c>
      <c r="J308" s="106" t="s">
        <v>3921</v>
      </c>
      <c r="K308" s="108" t="n">
        <v>322</v>
      </c>
    </row>
    <row r="309" customFormat="false" ht="15" hidden="false" customHeight="false" outlineLevel="0" collapsed="false">
      <c r="A309" s="106" t="s">
        <v>3637</v>
      </c>
      <c r="B309" s="106" t="s">
        <v>185</v>
      </c>
      <c r="C309" s="106" t="s">
        <v>1704</v>
      </c>
      <c r="D309" s="106" t="s">
        <v>3307</v>
      </c>
      <c r="E309" s="106" t="s">
        <v>3307</v>
      </c>
      <c r="F309" s="106" t="s">
        <v>3896</v>
      </c>
      <c r="G309" s="106" t="s">
        <v>3897</v>
      </c>
      <c r="H309" s="106"/>
      <c r="I309" s="106" t="n">
        <v>1.5</v>
      </c>
      <c r="J309" s="106" t="s">
        <v>3911</v>
      </c>
      <c r="K309" s="108" t="n">
        <v>560</v>
      </c>
    </row>
    <row r="310" customFormat="false" ht="15" hidden="false" customHeight="false" outlineLevel="0" collapsed="false">
      <c r="A310" s="106" t="s">
        <v>3654</v>
      </c>
      <c r="B310" s="106" t="s">
        <v>560</v>
      </c>
      <c r="C310" s="106" t="s">
        <v>1733</v>
      </c>
      <c r="D310" s="106" t="s">
        <v>1721</v>
      </c>
      <c r="E310" s="106" t="s">
        <v>1721</v>
      </c>
      <c r="F310" s="106" t="s">
        <v>3896</v>
      </c>
      <c r="G310" s="106" t="s">
        <v>3905</v>
      </c>
      <c r="H310" s="106"/>
      <c r="I310" s="106" t="n">
        <v>0.7</v>
      </c>
      <c r="J310" s="106" t="s">
        <v>3903</v>
      </c>
      <c r="K310" s="108" t="n">
        <v>510</v>
      </c>
    </row>
    <row r="311" customFormat="false" ht="15" hidden="false" customHeight="false" outlineLevel="0" collapsed="false">
      <c r="A311" s="106" t="s">
        <v>3657</v>
      </c>
      <c r="B311" s="106" t="s">
        <v>560</v>
      </c>
      <c r="C311" s="106" t="s">
        <v>1712</v>
      </c>
      <c r="D311" s="106" t="s">
        <v>1721</v>
      </c>
      <c r="E311" s="106" t="s">
        <v>1721</v>
      </c>
      <c r="F311" s="106" t="s">
        <v>3896</v>
      </c>
      <c r="G311" s="106" t="s">
        <v>3899</v>
      </c>
      <c r="H311" s="106"/>
      <c r="I311" s="106" t="n">
        <v>0.43</v>
      </c>
      <c r="J311" s="106" t="s">
        <v>3907</v>
      </c>
      <c r="K311" s="108" t="n">
        <v>244</v>
      </c>
    </row>
    <row r="312" customFormat="false" ht="15" hidden="false" customHeight="false" outlineLevel="0" collapsed="false">
      <c r="A312" s="106" t="s">
        <v>3637</v>
      </c>
      <c r="B312" s="106" t="s">
        <v>185</v>
      </c>
      <c r="C312" s="106" t="s">
        <v>1704</v>
      </c>
      <c r="D312" s="106" t="s">
        <v>1721</v>
      </c>
      <c r="E312" s="106" t="s">
        <v>1721</v>
      </c>
      <c r="F312" s="106" t="s">
        <v>3896</v>
      </c>
      <c r="G312" s="106" t="s">
        <v>3899</v>
      </c>
      <c r="H312" s="106"/>
      <c r="I312" s="106" t="n">
        <v>0.42</v>
      </c>
      <c r="J312" s="106" t="s">
        <v>3921</v>
      </c>
      <c r="K312" s="108" t="n">
        <v>296</v>
      </c>
    </row>
    <row r="313" customFormat="false" ht="15" hidden="false" customHeight="false" outlineLevel="0" collapsed="false">
      <c r="A313" s="106" t="s">
        <v>3667</v>
      </c>
      <c r="B313" s="106" t="s">
        <v>479</v>
      </c>
      <c r="C313" s="106" t="s">
        <v>1725</v>
      </c>
      <c r="D313" s="106" t="s">
        <v>1718</v>
      </c>
      <c r="E313" s="106" t="s">
        <v>1718</v>
      </c>
      <c r="F313" s="106" t="s">
        <v>3896</v>
      </c>
      <c r="G313" s="106" t="s">
        <v>3899</v>
      </c>
      <c r="H313" s="106"/>
      <c r="I313" s="106" t="n">
        <v>0.43</v>
      </c>
      <c r="J313" s="106" t="s">
        <v>3919</v>
      </c>
      <c r="K313" s="108" t="n">
        <v>417</v>
      </c>
    </row>
    <row r="314" customFormat="false" ht="15" hidden="false" customHeight="false" outlineLevel="0" collapsed="false">
      <c r="A314" s="106" t="s">
        <v>3634</v>
      </c>
      <c r="B314" s="106" t="s">
        <v>560</v>
      </c>
      <c r="C314" s="106" t="s">
        <v>1708</v>
      </c>
      <c r="D314" s="106" t="s">
        <v>1718</v>
      </c>
      <c r="E314" s="106" t="s">
        <v>1718</v>
      </c>
      <c r="F314" s="106" t="s">
        <v>3896</v>
      </c>
      <c r="G314" s="106" t="s">
        <v>3905</v>
      </c>
      <c r="H314" s="106"/>
      <c r="I314" s="106" t="n">
        <v>0.72</v>
      </c>
      <c r="J314" s="106" t="s">
        <v>3930</v>
      </c>
      <c r="K314" s="108" t="n">
        <v>938</v>
      </c>
    </row>
    <row r="315" customFormat="false" ht="15" hidden="false" customHeight="false" outlineLevel="0" collapsed="false">
      <c r="A315" s="106" t="s">
        <v>3625</v>
      </c>
      <c r="B315" s="106" t="s">
        <v>185</v>
      </c>
      <c r="C315" s="106" t="s">
        <v>1725</v>
      </c>
      <c r="D315" s="106" t="s">
        <v>1718</v>
      </c>
      <c r="E315" s="106" t="s">
        <v>1718</v>
      </c>
      <c r="F315" s="106" t="s">
        <v>3896</v>
      </c>
      <c r="G315" s="106" t="s">
        <v>3897</v>
      </c>
      <c r="H315" s="106"/>
      <c r="I315" s="106" t="n">
        <v>1.53</v>
      </c>
      <c r="J315" s="106" t="s">
        <v>3931</v>
      </c>
      <c r="K315" s="108" t="n">
        <v>1279</v>
      </c>
    </row>
    <row r="316" customFormat="false" ht="15" hidden="false" customHeight="false" outlineLevel="0" collapsed="false">
      <c r="A316" s="106" t="s">
        <v>3634</v>
      </c>
      <c r="B316" s="106" t="s">
        <v>560</v>
      </c>
      <c r="C316" s="106" t="s">
        <v>1708</v>
      </c>
      <c r="D316" s="106" t="s">
        <v>1713</v>
      </c>
      <c r="E316" s="106" t="s">
        <v>1713</v>
      </c>
      <c r="F316" s="106" t="s">
        <v>3896</v>
      </c>
      <c r="G316" s="106" t="s">
        <v>3899</v>
      </c>
      <c r="H316" s="106"/>
      <c r="I316" s="106" t="n">
        <v>0.35</v>
      </c>
      <c r="J316" s="106" t="s">
        <v>3908</v>
      </c>
      <c r="K316" s="108" t="n">
        <v>308</v>
      </c>
    </row>
    <row r="317" customFormat="false" ht="15" hidden="false" customHeight="false" outlineLevel="0" collapsed="false">
      <c r="A317" s="106" t="s">
        <v>3701</v>
      </c>
      <c r="B317" s="106" t="s">
        <v>185</v>
      </c>
      <c r="C317" s="106" t="s">
        <v>1750</v>
      </c>
      <c r="D317" s="106" t="s">
        <v>3308</v>
      </c>
      <c r="E317" s="106" t="s">
        <v>3308</v>
      </c>
      <c r="F317" s="106" t="s">
        <v>3896</v>
      </c>
      <c r="G317" s="106" t="s">
        <v>3899</v>
      </c>
      <c r="H317" s="106"/>
      <c r="I317" s="106" t="n">
        <v>0.35</v>
      </c>
      <c r="J317" s="106" t="s">
        <v>3910</v>
      </c>
      <c r="K317" s="108" t="n">
        <v>538</v>
      </c>
    </row>
    <row r="318" customFormat="false" ht="15" hidden="false" customHeight="false" outlineLevel="0" collapsed="false">
      <c r="A318" s="106" t="s">
        <v>3682</v>
      </c>
      <c r="B318" s="106" t="s">
        <v>1689</v>
      </c>
      <c r="C318" s="106" t="s">
        <v>1725</v>
      </c>
      <c r="D318" s="106" t="s">
        <v>3932</v>
      </c>
      <c r="E318" s="106" t="s">
        <v>1766</v>
      </c>
      <c r="F318" s="106" t="s">
        <v>3933</v>
      </c>
      <c r="G318" s="106" t="s">
        <v>3934</v>
      </c>
      <c r="H318" s="106"/>
      <c r="I318" s="106" t="n">
        <v>0.1</v>
      </c>
      <c r="J318" s="106" t="s">
        <v>3935</v>
      </c>
      <c r="K318" s="108" t="n">
        <v>837</v>
      </c>
    </row>
    <row r="319" customFormat="false" ht="15" hidden="false" customHeight="false" outlineLevel="0" collapsed="false">
      <c r="A319" s="106" t="s">
        <v>3634</v>
      </c>
      <c r="B319" s="106" t="s">
        <v>560</v>
      </c>
      <c r="C319" s="106" t="s">
        <v>1708</v>
      </c>
      <c r="D319" s="106" t="s">
        <v>3932</v>
      </c>
      <c r="E319" s="106" t="s">
        <v>3936</v>
      </c>
      <c r="F319" s="106" t="s">
        <v>3790</v>
      </c>
      <c r="G319" s="106" t="s">
        <v>3934</v>
      </c>
      <c r="H319" s="106"/>
      <c r="I319" s="106" t="n">
        <v>0.73</v>
      </c>
      <c r="J319" s="106" t="s">
        <v>3937</v>
      </c>
      <c r="K319" s="108" t="n">
        <v>1273</v>
      </c>
    </row>
    <row r="320" customFormat="false" ht="15" hidden="false" customHeight="false" outlineLevel="0" collapsed="false">
      <c r="A320" s="106" t="s">
        <v>3662</v>
      </c>
      <c r="B320" s="106" t="s">
        <v>560</v>
      </c>
      <c r="C320" s="106" t="s">
        <v>1720</v>
      </c>
      <c r="D320" s="106" t="s">
        <v>3932</v>
      </c>
      <c r="E320" s="106" t="s">
        <v>1710</v>
      </c>
      <c r="F320" s="106" t="s">
        <v>3938</v>
      </c>
      <c r="G320" s="106" t="s">
        <v>3934</v>
      </c>
      <c r="H320" s="106"/>
      <c r="I320" s="106" t="n">
        <v>0.14</v>
      </c>
      <c r="J320" s="106" t="s">
        <v>3939</v>
      </c>
      <c r="K320" s="108" t="n">
        <v>1051</v>
      </c>
    </row>
    <row r="321" customFormat="false" ht="15" hidden="false" customHeight="false" outlineLevel="0" collapsed="false">
      <c r="A321" s="106" t="s">
        <v>3654</v>
      </c>
      <c r="B321" s="106" t="s">
        <v>560</v>
      </c>
      <c r="C321" s="106" t="s">
        <v>1733</v>
      </c>
      <c r="D321" s="106" t="s">
        <v>1705</v>
      </c>
      <c r="E321" s="106" t="s">
        <v>1735</v>
      </c>
      <c r="F321" s="106" t="s">
        <v>3819</v>
      </c>
      <c r="G321" s="106" t="s">
        <v>3934</v>
      </c>
      <c r="H321" s="106"/>
      <c r="I321" s="106" t="n">
        <v>0.5</v>
      </c>
      <c r="J321" s="106" t="s">
        <v>3940</v>
      </c>
      <c r="K321" s="108" t="n">
        <v>2803</v>
      </c>
    </row>
    <row r="322" customFormat="false" ht="15" hidden="false" customHeight="false" outlineLevel="0" collapsed="false">
      <c r="A322" s="106" t="s">
        <v>3693</v>
      </c>
      <c r="B322" s="106" t="s">
        <v>185</v>
      </c>
      <c r="C322" s="106" t="s">
        <v>1716</v>
      </c>
      <c r="D322" s="106" t="s">
        <v>1745</v>
      </c>
      <c r="E322" s="106" t="s">
        <v>1745</v>
      </c>
      <c r="F322" s="106" t="s">
        <v>3896</v>
      </c>
      <c r="G322" s="106" t="s">
        <v>3899</v>
      </c>
      <c r="H322" s="106"/>
      <c r="I322" s="106" t="n">
        <v>0.4</v>
      </c>
      <c r="J322" s="106" t="s">
        <v>3913</v>
      </c>
      <c r="K322" s="108" t="n">
        <v>595</v>
      </c>
    </row>
    <row r="323" customFormat="false" ht="15" hidden="false" customHeight="false" outlineLevel="0" collapsed="false">
      <c r="A323" s="106" t="s">
        <v>3657</v>
      </c>
      <c r="B323" s="106" t="s">
        <v>560</v>
      </c>
      <c r="C323" s="106" t="s">
        <v>1712</v>
      </c>
      <c r="D323" s="106" t="s">
        <v>3941</v>
      </c>
      <c r="E323" s="106" t="s">
        <v>1735</v>
      </c>
      <c r="F323" s="106" t="s">
        <v>3942</v>
      </c>
      <c r="G323" s="106" t="s">
        <v>3934</v>
      </c>
      <c r="H323" s="106"/>
      <c r="I323" s="106" t="n">
        <v>0.31</v>
      </c>
      <c r="J323" s="106" t="s">
        <v>3943</v>
      </c>
      <c r="K323" s="108" t="n">
        <v>1226</v>
      </c>
    </row>
    <row r="324" customFormat="false" ht="15" hidden="false" customHeight="false" outlineLevel="0" collapsed="false">
      <c r="A324" s="106" t="s">
        <v>3667</v>
      </c>
      <c r="B324" s="106" t="s">
        <v>479</v>
      </c>
      <c r="C324" s="106" t="s">
        <v>1725</v>
      </c>
      <c r="D324" s="106" t="s">
        <v>3944</v>
      </c>
      <c r="E324" s="106" t="s">
        <v>1785</v>
      </c>
      <c r="F324" s="106" t="s">
        <v>3832</v>
      </c>
      <c r="G324" s="106" t="s">
        <v>3934</v>
      </c>
      <c r="H324" s="106"/>
      <c r="I324" s="106" t="n">
        <v>0.07</v>
      </c>
      <c r="J324" s="106" t="s">
        <v>3945</v>
      </c>
      <c r="K324" s="108" t="n">
        <v>418</v>
      </c>
    </row>
    <row r="325" customFormat="false" ht="15" hidden="false" customHeight="false" outlineLevel="0" collapsed="false">
      <c r="A325" s="106" t="s">
        <v>3645</v>
      </c>
      <c r="B325" s="106" t="s">
        <v>560</v>
      </c>
      <c r="C325" s="106" t="s">
        <v>1704</v>
      </c>
      <c r="D325" s="106" t="s">
        <v>3946</v>
      </c>
      <c r="E325" s="106" t="s">
        <v>3947</v>
      </c>
      <c r="F325" s="106" t="s">
        <v>3948</v>
      </c>
      <c r="G325" s="106" t="s">
        <v>3949</v>
      </c>
      <c r="H325" s="106" t="n">
        <v>24.4</v>
      </c>
      <c r="I325" s="106" t="n">
        <v>1.11</v>
      </c>
      <c r="J325" s="106"/>
      <c r="K325" s="108"/>
    </row>
    <row r="326" customFormat="false" ht="15" hidden="false" customHeight="false" outlineLevel="0" collapsed="false">
      <c r="A326" s="106" t="s">
        <v>3628</v>
      </c>
      <c r="B326" s="106" t="s">
        <v>185</v>
      </c>
      <c r="C326" s="106" t="s">
        <v>1708</v>
      </c>
      <c r="D326" s="106" t="s">
        <v>3936</v>
      </c>
      <c r="E326" s="106" t="s">
        <v>1741</v>
      </c>
      <c r="F326" s="106" t="s">
        <v>3950</v>
      </c>
      <c r="G326" s="106" t="s">
        <v>3934</v>
      </c>
      <c r="H326" s="106" t="n">
        <v>16.9</v>
      </c>
      <c r="I326" s="106" t="n">
        <v>0.68</v>
      </c>
      <c r="J326" s="106" t="s">
        <v>3951</v>
      </c>
      <c r="K326" s="108" t="n">
        <v>2292</v>
      </c>
    </row>
    <row r="327" customFormat="false" ht="15" hidden="false" customHeight="false" outlineLevel="0" collapsed="false">
      <c r="A327" s="106" t="s">
        <v>3645</v>
      </c>
      <c r="B327" s="106" t="s">
        <v>560</v>
      </c>
      <c r="C327" s="106" t="s">
        <v>1704</v>
      </c>
      <c r="D327" s="106" t="s">
        <v>1728</v>
      </c>
      <c r="E327" s="106" t="s">
        <v>1735</v>
      </c>
      <c r="F327" s="106" t="s">
        <v>3781</v>
      </c>
      <c r="G327" s="106" t="s">
        <v>3934</v>
      </c>
      <c r="H327" s="106" t="n">
        <v>21.7</v>
      </c>
      <c r="I327" s="106" t="n">
        <v>1.14</v>
      </c>
      <c r="J327" s="106" t="s">
        <v>3952</v>
      </c>
      <c r="K327" s="108" t="n">
        <v>3503</v>
      </c>
    </row>
    <row r="328" customFormat="false" ht="15" hidden="false" customHeight="false" outlineLevel="0" collapsed="false">
      <c r="A328" s="106" t="s">
        <v>3634</v>
      </c>
      <c r="B328" s="106" t="s">
        <v>560</v>
      </c>
      <c r="C328" s="106" t="s">
        <v>1708</v>
      </c>
      <c r="D328" s="106" t="s">
        <v>3953</v>
      </c>
      <c r="E328" s="106" t="s">
        <v>1710</v>
      </c>
      <c r="F328" s="106" t="s">
        <v>3954</v>
      </c>
      <c r="G328" s="106" t="s">
        <v>3934</v>
      </c>
      <c r="H328" s="106"/>
      <c r="I328" s="106" t="n">
        <v>0.73</v>
      </c>
      <c r="J328" s="106" t="s">
        <v>3955</v>
      </c>
      <c r="K328" s="108" t="n">
        <v>4929</v>
      </c>
    </row>
    <row r="329" customFormat="false" ht="15" hidden="false" customHeight="false" outlineLevel="0" collapsed="false">
      <c r="A329" s="106" t="s">
        <v>3642</v>
      </c>
      <c r="B329" s="106" t="s">
        <v>185</v>
      </c>
      <c r="C329" s="106" t="s">
        <v>1712</v>
      </c>
      <c r="D329" s="106" t="s">
        <v>3956</v>
      </c>
      <c r="E329" s="106" t="s">
        <v>1741</v>
      </c>
      <c r="F329" s="106" t="s">
        <v>3836</v>
      </c>
      <c r="G329" s="106" t="s">
        <v>3934</v>
      </c>
      <c r="H329" s="106" t="n">
        <v>28</v>
      </c>
      <c r="I329" s="106" t="n">
        <v>0.79</v>
      </c>
      <c r="J329" s="106" t="s">
        <v>3957</v>
      </c>
      <c r="K329" s="108" t="n">
        <v>3537</v>
      </c>
    </row>
    <row r="330" customFormat="false" ht="15" hidden="false" customHeight="false" outlineLevel="0" collapsed="false">
      <c r="A330" s="106" t="s">
        <v>3631</v>
      </c>
      <c r="B330" s="106" t="s">
        <v>185</v>
      </c>
      <c r="C330" s="106" t="s">
        <v>1733</v>
      </c>
      <c r="D330" s="106" t="s">
        <v>3958</v>
      </c>
      <c r="E330" s="106" t="s">
        <v>1735</v>
      </c>
      <c r="F330" s="106" t="s">
        <v>3823</v>
      </c>
      <c r="G330" s="106" t="s">
        <v>3934</v>
      </c>
      <c r="H330" s="106" t="n">
        <v>32.5</v>
      </c>
      <c r="I330" s="106" t="n">
        <v>1.29</v>
      </c>
      <c r="J330" s="106" t="s">
        <v>3959</v>
      </c>
      <c r="K330" s="108" t="n">
        <v>3357</v>
      </c>
    </row>
    <row r="331" customFormat="false" ht="15" hidden="false" customHeight="false" outlineLevel="0" collapsed="false">
      <c r="A331" s="106" t="s">
        <v>3717</v>
      </c>
      <c r="B331" s="106" t="s">
        <v>560</v>
      </c>
      <c r="C331" s="106" t="s">
        <v>1737</v>
      </c>
      <c r="D331" s="106" t="s">
        <v>1773</v>
      </c>
      <c r="E331" s="106" t="s">
        <v>1773</v>
      </c>
      <c r="F331" s="106" t="s">
        <v>3896</v>
      </c>
      <c r="G331" s="106" t="s">
        <v>3899</v>
      </c>
      <c r="H331" s="106"/>
      <c r="I331" s="106" t="n">
        <v>0.4</v>
      </c>
      <c r="J331" s="106" t="s">
        <v>3930</v>
      </c>
      <c r="K331" s="108" t="n">
        <v>798</v>
      </c>
    </row>
    <row r="332" customFormat="false" ht="15" hidden="false" customHeight="false" outlineLevel="0" collapsed="false">
      <c r="A332" s="106" t="s">
        <v>3651</v>
      </c>
      <c r="B332" s="106" t="s">
        <v>185</v>
      </c>
      <c r="C332" s="106" t="s">
        <v>1720</v>
      </c>
      <c r="D332" s="106" t="s">
        <v>1769</v>
      </c>
      <c r="E332" s="106" t="s">
        <v>1710</v>
      </c>
      <c r="F332" s="106" t="s">
        <v>3960</v>
      </c>
      <c r="G332" s="106" t="s">
        <v>3934</v>
      </c>
      <c r="H332" s="106" t="n">
        <v>28</v>
      </c>
      <c r="I332" s="106" t="n">
        <v>0.71</v>
      </c>
      <c r="J332" s="106" t="s">
        <v>1770</v>
      </c>
      <c r="K332" s="108" t="n">
        <v>2776</v>
      </c>
    </row>
    <row r="333" customFormat="false" ht="15" hidden="false" customHeight="false" outlineLevel="0" collapsed="false">
      <c r="A333" s="106" t="s">
        <v>3677</v>
      </c>
      <c r="B333" s="106" t="s">
        <v>1689</v>
      </c>
      <c r="C333" s="106" t="s">
        <v>1708</v>
      </c>
      <c r="D333" s="106" t="s">
        <v>3961</v>
      </c>
      <c r="E333" s="106" t="s">
        <v>1735</v>
      </c>
      <c r="F333" s="106" t="s">
        <v>3813</v>
      </c>
      <c r="G333" s="106" t="s">
        <v>3934</v>
      </c>
      <c r="H333" s="106" t="n">
        <v>77</v>
      </c>
      <c r="I333" s="106" t="n">
        <v>0.25</v>
      </c>
      <c r="J333" s="106" t="s">
        <v>3962</v>
      </c>
      <c r="K333" s="108" t="n">
        <v>208</v>
      </c>
    </row>
    <row r="334" customFormat="false" ht="15" hidden="false" customHeight="false" outlineLevel="0" collapsed="false">
      <c r="A334" s="106" t="s">
        <v>3741</v>
      </c>
      <c r="B334" s="106" t="s">
        <v>1689</v>
      </c>
      <c r="C334" s="106" t="s">
        <v>1716</v>
      </c>
      <c r="D334" s="106" t="s">
        <v>1754</v>
      </c>
      <c r="E334" s="106" t="s">
        <v>1754</v>
      </c>
      <c r="F334" s="106" t="s">
        <v>3896</v>
      </c>
      <c r="G334" s="106" t="s">
        <v>3899</v>
      </c>
      <c r="H334" s="106"/>
      <c r="I334" s="106" t="n">
        <v>0.35</v>
      </c>
      <c r="J334" s="106" t="s">
        <v>3902</v>
      </c>
      <c r="K334" s="108" t="n">
        <v>188</v>
      </c>
    </row>
    <row r="335" customFormat="false" ht="15" hidden="false" customHeight="false" outlineLevel="0" collapsed="false">
      <c r="A335" s="106" t="s">
        <v>3719</v>
      </c>
      <c r="B335" s="106" t="s">
        <v>560</v>
      </c>
      <c r="C335" s="106" t="s">
        <v>1772</v>
      </c>
      <c r="D335" s="106" t="s">
        <v>1754</v>
      </c>
      <c r="E335" s="106" t="s">
        <v>1754</v>
      </c>
      <c r="F335" s="106" t="s">
        <v>3896</v>
      </c>
      <c r="G335" s="106" t="s">
        <v>3899</v>
      </c>
      <c r="H335" s="106"/>
      <c r="I335" s="106" t="n">
        <v>0.33</v>
      </c>
      <c r="J335" s="106" t="s">
        <v>3901</v>
      </c>
      <c r="K335" s="108" t="n">
        <v>173</v>
      </c>
    </row>
    <row r="336" customFormat="false" ht="15" hidden="false" customHeight="false" outlineLevel="0" collapsed="false">
      <c r="A336" s="106" t="s">
        <v>3689</v>
      </c>
      <c r="B336" s="106" t="s">
        <v>185</v>
      </c>
      <c r="C336" s="106" t="s">
        <v>1737</v>
      </c>
      <c r="D336" s="106" t="s">
        <v>1754</v>
      </c>
      <c r="E336" s="106" t="s">
        <v>1754</v>
      </c>
      <c r="F336" s="106" t="s">
        <v>3896</v>
      </c>
      <c r="G336" s="106" t="s">
        <v>3897</v>
      </c>
      <c r="H336" s="106"/>
      <c r="I336" s="106" t="n">
        <v>1.05</v>
      </c>
      <c r="J336" s="106" t="s">
        <v>3963</v>
      </c>
      <c r="K336" s="108" t="n">
        <v>648</v>
      </c>
    </row>
    <row r="337" customFormat="false" ht="15" hidden="false" customHeight="false" outlineLevel="0" collapsed="false">
      <c r="A337" s="106" t="s">
        <v>3625</v>
      </c>
      <c r="B337" s="106" t="s">
        <v>185</v>
      </c>
      <c r="C337" s="106" t="s">
        <v>1725</v>
      </c>
      <c r="D337" s="106" t="s">
        <v>3964</v>
      </c>
      <c r="E337" s="106" t="s">
        <v>3965</v>
      </c>
      <c r="F337" s="106" t="s">
        <v>3966</v>
      </c>
      <c r="G337" s="106" t="s">
        <v>3949</v>
      </c>
      <c r="H337" s="106" t="n">
        <v>26.3</v>
      </c>
      <c r="I337" s="106" t="n">
        <v>8.68</v>
      </c>
      <c r="J337" s="106"/>
      <c r="K337" s="108"/>
    </row>
    <row r="338" customFormat="false" ht="15" hidden="false" customHeight="false" outlineLevel="0" collapsed="false">
      <c r="A338" s="106" t="s">
        <v>3625</v>
      </c>
      <c r="B338" s="106" t="s">
        <v>185</v>
      </c>
      <c r="C338" s="106" t="s">
        <v>1725</v>
      </c>
      <c r="D338" s="106" t="s">
        <v>3967</v>
      </c>
      <c r="E338" s="106" t="s">
        <v>3968</v>
      </c>
      <c r="F338" s="106" t="s">
        <v>3811</v>
      </c>
      <c r="G338" s="106" t="s">
        <v>3934</v>
      </c>
      <c r="H338" s="106" t="n">
        <v>4.5</v>
      </c>
      <c r="I338" s="106" t="n">
        <v>4.79</v>
      </c>
      <c r="J338" s="106" t="s">
        <v>3969</v>
      </c>
      <c r="K338" s="108" t="n">
        <v>6296</v>
      </c>
    </row>
    <row r="339" customFormat="false" ht="15" hidden="false" customHeight="false" outlineLevel="0" collapsed="false">
      <c r="A339" s="106" t="s">
        <v>3689</v>
      </c>
      <c r="B339" s="106" t="s">
        <v>185</v>
      </c>
      <c r="C339" s="106" t="s">
        <v>1737</v>
      </c>
      <c r="D339" s="106" t="s">
        <v>3309</v>
      </c>
      <c r="E339" s="106" t="s">
        <v>3309</v>
      </c>
      <c r="F339" s="106" t="s">
        <v>3896</v>
      </c>
      <c r="G339" s="106" t="s">
        <v>3905</v>
      </c>
      <c r="H339" s="106"/>
      <c r="I339" s="106" t="n">
        <v>0.85</v>
      </c>
      <c r="J339" s="106" t="s">
        <v>3910</v>
      </c>
      <c r="K339" s="108" t="n">
        <v>361</v>
      </c>
    </row>
    <row r="340" customFormat="false" ht="15" hidden="false" customHeight="false" outlineLevel="0" collapsed="false">
      <c r="A340" s="106" t="s">
        <v>3680</v>
      </c>
      <c r="B340" s="106" t="s">
        <v>185</v>
      </c>
      <c r="C340" s="106" t="s">
        <v>1772</v>
      </c>
      <c r="D340" s="106" t="s">
        <v>1763</v>
      </c>
      <c r="E340" s="106" t="s">
        <v>1763</v>
      </c>
      <c r="F340" s="106" t="s">
        <v>3896</v>
      </c>
      <c r="G340" s="106" t="s">
        <v>3905</v>
      </c>
      <c r="H340" s="106"/>
      <c r="I340" s="106" t="n">
        <v>0.75</v>
      </c>
      <c r="J340" s="106" t="s">
        <v>3913</v>
      </c>
      <c r="K340" s="108" t="n">
        <v>621</v>
      </c>
    </row>
    <row r="341" customFormat="false" ht="15" hidden="false" customHeight="false" outlineLevel="0" collapsed="false">
      <c r="A341" s="106" t="s">
        <v>3625</v>
      </c>
      <c r="B341" s="106" t="s">
        <v>185</v>
      </c>
      <c r="C341" s="106" t="s">
        <v>1725</v>
      </c>
      <c r="D341" s="106" t="s">
        <v>3970</v>
      </c>
      <c r="E341" s="106" t="s">
        <v>1710</v>
      </c>
      <c r="F341" s="106" t="s">
        <v>3783</v>
      </c>
      <c r="G341" s="106" t="s">
        <v>3934</v>
      </c>
      <c r="H341" s="106" t="n">
        <v>0</v>
      </c>
      <c r="I341" s="106" t="n">
        <v>2.64</v>
      </c>
      <c r="J341" s="106" t="s">
        <v>3971</v>
      </c>
      <c r="K341" s="108" t="n">
        <v>2971</v>
      </c>
    </row>
    <row r="342" customFormat="false" ht="15" hidden="false" customHeight="false" outlineLevel="0" collapsed="false">
      <c r="A342" s="106" t="s">
        <v>3672</v>
      </c>
      <c r="B342" s="106" t="s">
        <v>479</v>
      </c>
      <c r="C342" s="106" t="s">
        <v>1708</v>
      </c>
      <c r="D342" s="106" t="s">
        <v>3882</v>
      </c>
      <c r="E342" s="106" t="s">
        <v>1766</v>
      </c>
      <c r="F342" s="106" t="s">
        <v>3972</v>
      </c>
      <c r="G342" s="106" t="s">
        <v>3949</v>
      </c>
      <c r="H342" s="106" t="n">
        <v>28</v>
      </c>
      <c r="I342" s="106" t="n">
        <v>0.36</v>
      </c>
      <c r="J342" s="106"/>
      <c r="K342" s="108"/>
    </row>
    <row r="343" customFormat="false" ht="15" hidden="false" customHeight="false" outlineLevel="0" collapsed="false">
      <c r="A343" s="106" t="s">
        <v>3672</v>
      </c>
      <c r="B343" s="106" t="s">
        <v>479</v>
      </c>
      <c r="C343" s="106" t="s">
        <v>1708</v>
      </c>
      <c r="D343" s="106" t="s">
        <v>3973</v>
      </c>
      <c r="E343" s="106" t="s">
        <v>1710</v>
      </c>
      <c r="F343" s="106" t="s">
        <v>3974</v>
      </c>
      <c r="G343" s="106" t="s">
        <v>3934</v>
      </c>
      <c r="H343" s="106" t="n">
        <v>17.5</v>
      </c>
      <c r="I343" s="106" t="n">
        <v>0.29</v>
      </c>
      <c r="J343" s="106" t="s">
        <v>3975</v>
      </c>
      <c r="K343" s="108" t="n">
        <v>36</v>
      </c>
    </row>
    <row r="344" customFormat="false" ht="15" hidden="false" customHeight="false" outlineLevel="0" collapsed="false">
      <c r="A344" s="106" t="s">
        <v>3637</v>
      </c>
      <c r="B344" s="106" t="s">
        <v>185</v>
      </c>
      <c r="C344" s="106" t="s">
        <v>1704</v>
      </c>
      <c r="D344" s="106" t="s">
        <v>3976</v>
      </c>
      <c r="E344" s="106" t="s">
        <v>1710</v>
      </c>
      <c r="F344" s="106" t="s">
        <v>3977</v>
      </c>
      <c r="G344" s="106" t="s">
        <v>3978</v>
      </c>
      <c r="H344" s="106"/>
      <c r="I344" s="106" t="n">
        <v>5.35</v>
      </c>
      <c r="J344" s="106" t="s">
        <v>3979</v>
      </c>
      <c r="K344" s="108"/>
    </row>
    <row r="345" customFormat="false" ht="15" hidden="false" customHeight="false" outlineLevel="0" collapsed="false">
      <c r="A345" s="106" t="s">
        <v>3640</v>
      </c>
      <c r="B345" s="106" t="s">
        <v>560</v>
      </c>
      <c r="C345" s="106" t="s">
        <v>1725</v>
      </c>
      <c r="D345" s="106" t="s">
        <v>3976</v>
      </c>
      <c r="E345" s="106" t="s">
        <v>1710</v>
      </c>
      <c r="F345" s="106" t="s">
        <v>3977</v>
      </c>
      <c r="G345" s="106" t="s">
        <v>3978</v>
      </c>
      <c r="H345" s="106"/>
      <c r="I345" s="106" t="n">
        <v>2.94</v>
      </c>
      <c r="J345" s="106" t="s">
        <v>3979</v>
      </c>
      <c r="K345" s="108"/>
    </row>
    <row r="346" customFormat="false" ht="15" hidden="false" customHeight="false" outlineLevel="0" collapsed="false">
      <c r="A346" s="106" t="s">
        <v>3660</v>
      </c>
      <c r="B346" s="106" t="s">
        <v>560</v>
      </c>
      <c r="C346" s="106" t="s">
        <v>1748</v>
      </c>
      <c r="D346" s="106" t="s">
        <v>3980</v>
      </c>
      <c r="E346" s="106" t="s">
        <v>1710</v>
      </c>
      <c r="F346" s="106" t="s">
        <v>3977</v>
      </c>
      <c r="G346" s="106" t="s">
        <v>3978</v>
      </c>
      <c r="H346" s="106"/>
      <c r="I346" s="106" t="n">
        <v>0.35</v>
      </c>
      <c r="J346" s="106" t="s">
        <v>3979</v>
      </c>
      <c r="K346" s="108"/>
    </row>
    <row r="347" customFormat="false" ht="43.25" hidden="false" customHeight="false" outlineLevel="0" collapsed="false">
      <c r="A347" s="90" t="s">
        <v>3981</v>
      </c>
      <c r="B347" s="90" t="s">
        <v>3599</v>
      </c>
      <c r="C347" s="90" t="s">
        <v>3312</v>
      </c>
      <c r="D347" s="90" t="s">
        <v>3982</v>
      </c>
      <c r="E347" s="90" t="s">
        <v>3983</v>
      </c>
      <c r="F347" s="90" t="s">
        <v>3890</v>
      </c>
      <c r="G347" s="90" t="s">
        <v>3984</v>
      </c>
      <c r="H347" s="90" t="s">
        <v>3985</v>
      </c>
      <c r="I347" s="90" t="s">
        <v>3986</v>
      </c>
      <c r="J347" s="90" t="s">
        <v>3987</v>
      </c>
      <c r="K347" s="90" t="s">
        <v>3988</v>
      </c>
      <c r="L347" s="90" t="s">
        <v>3989</v>
      </c>
      <c r="M347" s="90" t="s">
        <v>3990</v>
      </c>
      <c r="N347" s="90" t="s">
        <v>3315</v>
      </c>
      <c r="O347" s="90" t="s">
        <v>3317</v>
      </c>
      <c r="P347" s="90" t="s">
        <v>3991</v>
      </c>
      <c r="Q347" s="90" t="s">
        <v>3992</v>
      </c>
      <c r="R347" s="90" t="s">
        <v>3993</v>
      </c>
      <c r="S347" s="90" t="s">
        <v>3994</v>
      </c>
      <c r="T347" s="90" t="s">
        <v>3995</v>
      </c>
      <c r="U347" s="90" t="s">
        <v>3996</v>
      </c>
    </row>
    <row r="348" customFormat="false" ht="15" hidden="false" customHeight="false" outlineLevel="0" collapsed="false">
      <c r="A348" s="106" t="s">
        <v>3997</v>
      </c>
      <c r="B348" s="106" t="s">
        <v>3628</v>
      </c>
      <c r="C348" s="106" t="s">
        <v>3998</v>
      </c>
      <c r="D348" s="106" t="s">
        <v>3999</v>
      </c>
      <c r="E348" s="106" t="s">
        <v>4000</v>
      </c>
      <c r="F348" s="106" t="n">
        <v>28</v>
      </c>
      <c r="G348" s="106" t="s">
        <v>3465</v>
      </c>
      <c r="H348" s="106" t="n">
        <v>93</v>
      </c>
      <c r="I348" s="106" t="s">
        <v>4001</v>
      </c>
      <c r="J348" s="106" t="s">
        <v>4002</v>
      </c>
      <c r="K348" s="106" t="n">
        <v>62</v>
      </c>
      <c r="L348" s="106" t="n">
        <v>3.8</v>
      </c>
      <c r="M348" s="106" t="n">
        <v>3.72</v>
      </c>
      <c r="N348" s="106" t="n">
        <v>41.7</v>
      </c>
      <c r="O348" s="106" t="n">
        <v>0.62</v>
      </c>
      <c r="P348" s="106" t="s">
        <v>4003</v>
      </c>
      <c r="Q348" s="106" t="s">
        <v>4004</v>
      </c>
      <c r="R348" s="106"/>
      <c r="S348" s="106" t="s">
        <v>4005</v>
      </c>
      <c r="T348" s="106"/>
      <c r="U348" s="106" t="s">
        <v>4006</v>
      </c>
    </row>
    <row r="349" customFormat="false" ht="15" hidden="false" customHeight="false" outlineLevel="0" collapsed="false">
      <c r="A349" s="106" t="s">
        <v>3997</v>
      </c>
      <c r="B349" s="106" t="s">
        <v>3628</v>
      </c>
      <c r="C349" s="106" t="s">
        <v>4007</v>
      </c>
      <c r="D349" s="106" t="s">
        <v>4008</v>
      </c>
      <c r="E349" s="106" t="s">
        <v>4000</v>
      </c>
      <c r="F349" s="106" t="n">
        <v>14</v>
      </c>
      <c r="G349" s="106" t="s">
        <v>4009</v>
      </c>
      <c r="H349" s="106" t="n">
        <v>86</v>
      </c>
      <c r="I349" s="106" t="s">
        <v>4010</v>
      </c>
      <c r="J349" s="106" t="s">
        <v>4011</v>
      </c>
      <c r="K349" s="106" t="n">
        <v>76</v>
      </c>
      <c r="L349" s="106" t="n">
        <v>4</v>
      </c>
      <c r="M349" s="106" t="n">
        <v>3.19</v>
      </c>
      <c r="N349" s="106" t="n">
        <v>48.7</v>
      </c>
      <c r="O349" s="106" t="n">
        <v>0.61</v>
      </c>
      <c r="P349" s="106" t="s">
        <v>4012</v>
      </c>
      <c r="Q349" s="106" t="s">
        <v>4013</v>
      </c>
      <c r="R349" s="106"/>
      <c r="S349" s="106" t="s">
        <v>4014</v>
      </c>
      <c r="T349" s="106"/>
      <c r="U349" s="106" t="s">
        <v>4015</v>
      </c>
    </row>
    <row r="350" customFormat="false" ht="15" hidden="false" customHeight="false" outlineLevel="0" collapsed="false">
      <c r="A350" s="106" t="s">
        <v>3997</v>
      </c>
      <c r="B350" s="106" t="s">
        <v>3628</v>
      </c>
      <c r="C350" s="106" t="s">
        <v>4016</v>
      </c>
      <c r="D350" s="106" t="s">
        <v>3947</v>
      </c>
      <c r="E350" s="106" t="s">
        <v>1741</v>
      </c>
      <c r="F350" s="106" t="n">
        <v>89</v>
      </c>
      <c r="G350" s="106" t="s">
        <v>4017</v>
      </c>
      <c r="H350" s="106" t="n">
        <v>0</v>
      </c>
      <c r="I350" s="106" t="s">
        <v>4018</v>
      </c>
      <c r="J350" s="106" t="s">
        <v>4019</v>
      </c>
      <c r="K350" s="106" t="n">
        <v>111</v>
      </c>
      <c r="L350" s="106" t="n">
        <v>7</v>
      </c>
      <c r="M350" s="106" t="n">
        <v>4.67</v>
      </c>
      <c r="N350" s="106" t="n">
        <v>41.8</v>
      </c>
      <c r="O350" s="106" t="n">
        <v>0.74</v>
      </c>
      <c r="P350" s="106" t="s">
        <v>4020</v>
      </c>
      <c r="Q350" s="106" t="s">
        <v>4021</v>
      </c>
      <c r="R350" s="106"/>
      <c r="S350" s="106" t="s">
        <v>4022</v>
      </c>
      <c r="T350" s="106"/>
      <c r="U350" s="106" t="s">
        <v>4023</v>
      </c>
    </row>
    <row r="351" customFormat="false" ht="15" hidden="false" customHeight="false" outlineLevel="0" collapsed="false">
      <c r="A351" s="106" t="s">
        <v>3997</v>
      </c>
      <c r="B351" s="106" t="s">
        <v>3628</v>
      </c>
      <c r="C351" s="106" t="s">
        <v>4024</v>
      </c>
      <c r="D351" s="106" t="s">
        <v>1735</v>
      </c>
      <c r="E351" s="106" t="s">
        <v>4025</v>
      </c>
      <c r="F351" s="106" t="n">
        <v>14</v>
      </c>
      <c r="G351" s="106" t="s">
        <v>4026</v>
      </c>
      <c r="H351" s="106" t="n">
        <v>100</v>
      </c>
      <c r="I351" s="106" t="s">
        <v>4027</v>
      </c>
      <c r="J351" s="106" t="s">
        <v>4028</v>
      </c>
      <c r="K351" s="106" t="n">
        <v>12</v>
      </c>
      <c r="L351" s="106" t="n">
        <v>0.9</v>
      </c>
      <c r="M351" s="106" t="n">
        <v>6.52</v>
      </c>
      <c r="N351" s="106" t="n">
        <v>36.8</v>
      </c>
      <c r="O351" s="106" t="n">
        <v>0.93</v>
      </c>
      <c r="P351" s="106" t="s">
        <v>4029</v>
      </c>
      <c r="Q351" s="106" t="s">
        <v>4029</v>
      </c>
      <c r="R351" s="106"/>
      <c r="S351" s="106" t="s">
        <v>4030</v>
      </c>
      <c r="T351" s="106"/>
      <c r="U351" s="106" t="s">
        <v>4031</v>
      </c>
    </row>
    <row r="352" customFormat="false" ht="15" hidden="false" customHeight="false" outlineLevel="0" collapsed="false">
      <c r="A352" s="106" t="s">
        <v>3997</v>
      </c>
      <c r="B352" s="106" t="s">
        <v>3628</v>
      </c>
      <c r="C352" s="106" t="s">
        <v>4032</v>
      </c>
      <c r="D352" s="106" t="s">
        <v>1735</v>
      </c>
      <c r="E352" s="106" t="s">
        <v>4033</v>
      </c>
      <c r="F352" s="106" t="n">
        <v>28</v>
      </c>
      <c r="G352" s="106" t="s">
        <v>4026</v>
      </c>
      <c r="H352" s="106" t="n">
        <v>100</v>
      </c>
      <c r="I352" s="106" t="s">
        <v>4034</v>
      </c>
      <c r="J352" s="106" t="s">
        <v>4035</v>
      </c>
      <c r="K352" s="106" t="n">
        <v>39</v>
      </c>
      <c r="L352" s="106" t="n">
        <v>1.4</v>
      </c>
      <c r="M352" s="106" t="n">
        <v>6.2</v>
      </c>
      <c r="N352" s="106" t="n">
        <v>74.5</v>
      </c>
      <c r="O352" s="106" t="n">
        <v>1.8</v>
      </c>
      <c r="P352" s="106" t="s">
        <v>4036</v>
      </c>
      <c r="Q352" s="106" t="s">
        <v>4037</v>
      </c>
      <c r="R352" s="106"/>
      <c r="S352" s="106" t="s">
        <v>4038</v>
      </c>
      <c r="T352" s="106"/>
      <c r="U352" s="106" t="s">
        <v>4039</v>
      </c>
    </row>
    <row r="353" customFormat="false" ht="15" hidden="false" customHeight="false" outlineLevel="0" collapsed="false">
      <c r="A353" s="106" t="s">
        <v>3997</v>
      </c>
      <c r="B353" s="106" t="s">
        <v>3628</v>
      </c>
      <c r="C353" s="106" t="s">
        <v>4040</v>
      </c>
      <c r="D353" s="106" t="s">
        <v>3947</v>
      </c>
      <c r="E353" s="106" t="s">
        <v>1741</v>
      </c>
      <c r="F353" s="106" t="n">
        <v>89</v>
      </c>
      <c r="G353" s="106" t="s">
        <v>4041</v>
      </c>
      <c r="H353" s="106"/>
      <c r="I353" s="106" t="s">
        <v>4042</v>
      </c>
      <c r="J353" s="106" t="s">
        <v>4043</v>
      </c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</row>
    <row r="354" customFormat="false" ht="15" hidden="false" customHeight="false" outlineLevel="0" collapsed="false">
      <c r="A354" s="106" t="s">
        <v>4044</v>
      </c>
      <c r="B354" s="106" t="s">
        <v>3625</v>
      </c>
      <c r="C354" s="106" t="s">
        <v>3998</v>
      </c>
      <c r="D354" s="106" t="s">
        <v>4045</v>
      </c>
      <c r="E354" s="106" t="s">
        <v>3965</v>
      </c>
      <c r="F354" s="106" t="n">
        <v>28</v>
      </c>
      <c r="G354" s="106" t="s">
        <v>4046</v>
      </c>
      <c r="H354" s="106" t="n">
        <v>100</v>
      </c>
      <c r="I354" s="106" t="s">
        <v>4047</v>
      </c>
      <c r="J354" s="106" t="s">
        <v>4048</v>
      </c>
      <c r="K354" s="106" t="n">
        <v>119</v>
      </c>
      <c r="L354" s="106" t="n">
        <v>6.6</v>
      </c>
      <c r="M354" s="106" t="n">
        <v>4.67</v>
      </c>
      <c r="N354" s="106" t="n">
        <v>48.7</v>
      </c>
      <c r="O354" s="106" t="n">
        <v>0.84</v>
      </c>
      <c r="P354" s="106" t="s">
        <v>4049</v>
      </c>
      <c r="Q354" s="106" t="s">
        <v>4050</v>
      </c>
      <c r="R354" s="106"/>
      <c r="S354" s="106" t="s">
        <v>4051</v>
      </c>
      <c r="T354" s="106"/>
      <c r="U354" s="106" t="s">
        <v>4052</v>
      </c>
    </row>
    <row r="355" customFormat="false" ht="15" hidden="false" customHeight="false" outlineLevel="0" collapsed="false">
      <c r="A355" s="106" t="s">
        <v>4044</v>
      </c>
      <c r="B355" s="106" t="s">
        <v>3625</v>
      </c>
      <c r="C355" s="106" t="s">
        <v>4007</v>
      </c>
      <c r="D355" s="106" t="s">
        <v>4053</v>
      </c>
      <c r="E355" s="106" t="s">
        <v>3965</v>
      </c>
      <c r="F355" s="106" t="n">
        <v>14</v>
      </c>
      <c r="G355" s="106" t="s">
        <v>4054</v>
      </c>
      <c r="H355" s="106" t="n">
        <v>100</v>
      </c>
      <c r="I355" s="106" t="s">
        <v>4055</v>
      </c>
      <c r="J355" s="106" t="s">
        <v>4056</v>
      </c>
      <c r="K355" s="106" t="n">
        <v>86</v>
      </c>
      <c r="L355" s="106" t="n">
        <v>5.4</v>
      </c>
      <c r="M355" s="106" t="n">
        <v>4.95</v>
      </c>
      <c r="N355" s="106" t="n">
        <v>46.4</v>
      </c>
      <c r="O355" s="106" t="n">
        <v>0.79</v>
      </c>
      <c r="P355" s="106" t="s">
        <v>4057</v>
      </c>
      <c r="Q355" s="106" t="s">
        <v>4058</v>
      </c>
      <c r="R355" s="106"/>
      <c r="S355" s="106" t="s">
        <v>4059</v>
      </c>
      <c r="T355" s="106"/>
      <c r="U355" s="106" t="s">
        <v>4060</v>
      </c>
    </row>
    <row r="356" customFormat="false" ht="15" hidden="false" customHeight="false" outlineLevel="0" collapsed="false">
      <c r="A356" s="106" t="s">
        <v>4044</v>
      </c>
      <c r="B356" s="106" t="s">
        <v>3625</v>
      </c>
      <c r="C356" s="106" t="s">
        <v>4016</v>
      </c>
      <c r="D356" s="106" t="s">
        <v>3967</v>
      </c>
      <c r="E356" s="106" t="s">
        <v>3968</v>
      </c>
      <c r="F356" s="106" t="n">
        <v>38</v>
      </c>
      <c r="G356" s="106" t="s">
        <v>4061</v>
      </c>
      <c r="H356" s="106" t="n">
        <v>3</v>
      </c>
      <c r="I356" s="106" t="s">
        <v>4062</v>
      </c>
      <c r="J356" s="106" t="s">
        <v>4063</v>
      </c>
      <c r="K356" s="106" t="n">
        <v>23</v>
      </c>
      <c r="L356" s="106" t="n">
        <v>1.7</v>
      </c>
      <c r="M356" s="106" t="n">
        <v>6.19</v>
      </c>
      <c r="N356" s="106" t="n">
        <v>35.7</v>
      </c>
      <c r="O356" s="106" t="n">
        <v>0.83</v>
      </c>
      <c r="P356" s="106" t="s">
        <v>4064</v>
      </c>
      <c r="Q356" s="106" t="s">
        <v>4065</v>
      </c>
      <c r="R356" s="106"/>
      <c r="S356" s="106" t="s">
        <v>4066</v>
      </c>
      <c r="T356" s="106"/>
      <c r="U356" s="106" t="s">
        <v>4067</v>
      </c>
    </row>
    <row r="357" customFormat="false" ht="15" hidden="false" customHeight="false" outlineLevel="0" collapsed="false">
      <c r="A357" s="106" t="s">
        <v>4044</v>
      </c>
      <c r="B357" s="106" t="s">
        <v>3625</v>
      </c>
      <c r="C357" s="106" t="s">
        <v>4024</v>
      </c>
      <c r="D357" s="106" t="s">
        <v>4068</v>
      </c>
      <c r="E357" s="106" t="s">
        <v>4069</v>
      </c>
      <c r="F357" s="106" t="n">
        <v>14</v>
      </c>
      <c r="G357" s="106" t="s">
        <v>3664</v>
      </c>
      <c r="H357" s="106" t="n">
        <v>43</v>
      </c>
      <c r="I357" s="106" t="s">
        <v>4070</v>
      </c>
      <c r="J357" s="106" t="s">
        <v>4071</v>
      </c>
      <c r="K357" s="106" t="n">
        <v>116</v>
      </c>
      <c r="L357" s="106" t="n">
        <v>3.2</v>
      </c>
      <c r="M357" s="106" t="n">
        <v>6.88</v>
      </c>
      <c r="N357" s="106" t="n">
        <v>88.2</v>
      </c>
      <c r="O357" s="106" t="n">
        <v>2.49</v>
      </c>
      <c r="P357" s="106" t="s">
        <v>4072</v>
      </c>
      <c r="Q357" s="106" t="s">
        <v>4029</v>
      </c>
      <c r="R357" s="106"/>
      <c r="S357" s="106" t="s">
        <v>4073</v>
      </c>
      <c r="T357" s="106"/>
      <c r="U357" s="106" t="s">
        <v>4074</v>
      </c>
    </row>
    <row r="358" customFormat="false" ht="15" hidden="false" customHeight="false" outlineLevel="0" collapsed="false">
      <c r="A358" s="106" t="s">
        <v>4044</v>
      </c>
      <c r="B358" s="106" t="s">
        <v>3625</v>
      </c>
      <c r="C358" s="106" t="s">
        <v>4032</v>
      </c>
      <c r="D358" s="106" t="s">
        <v>4068</v>
      </c>
      <c r="E358" s="106" t="s">
        <v>4075</v>
      </c>
      <c r="F358" s="106" t="n">
        <v>28</v>
      </c>
      <c r="G358" s="106" t="s">
        <v>4076</v>
      </c>
      <c r="H358" s="106" t="n">
        <v>25</v>
      </c>
      <c r="I358" s="106" t="s">
        <v>4077</v>
      </c>
      <c r="J358" s="106" t="s">
        <v>4078</v>
      </c>
      <c r="K358" s="106" t="n">
        <v>106</v>
      </c>
      <c r="L358" s="106" t="n">
        <v>3.3</v>
      </c>
      <c r="M358" s="106" t="n">
        <v>7.72</v>
      </c>
      <c r="N358" s="106" t="n">
        <v>76.1</v>
      </c>
      <c r="O358" s="106" t="n">
        <v>2.47</v>
      </c>
      <c r="P358" s="106" t="s">
        <v>4079</v>
      </c>
      <c r="Q358" s="106" t="s">
        <v>4080</v>
      </c>
      <c r="R358" s="106"/>
      <c r="S358" s="106" t="s">
        <v>4081</v>
      </c>
      <c r="T358" s="106"/>
      <c r="U358" s="106" t="s">
        <v>4082</v>
      </c>
    </row>
    <row r="359" customFormat="false" ht="15" hidden="false" customHeight="false" outlineLevel="0" collapsed="false">
      <c r="A359" s="106" t="s">
        <v>4044</v>
      </c>
      <c r="B359" s="106" t="s">
        <v>3625</v>
      </c>
      <c r="C359" s="106" t="s">
        <v>4040</v>
      </c>
      <c r="D359" s="106" t="s">
        <v>3967</v>
      </c>
      <c r="E359" s="106" t="s">
        <v>3968</v>
      </c>
      <c r="F359" s="106" t="n">
        <v>38</v>
      </c>
      <c r="G359" s="106" t="s">
        <v>4083</v>
      </c>
      <c r="H359" s="106"/>
      <c r="I359" s="106" t="s">
        <v>4084</v>
      </c>
      <c r="J359" s="106" t="s">
        <v>4085</v>
      </c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</row>
    <row r="360" customFormat="false" ht="15" hidden="false" customHeight="false" outlineLevel="0" collapsed="false">
      <c r="A360" s="106" t="s">
        <v>4086</v>
      </c>
      <c r="B360" s="106" t="s">
        <v>3625</v>
      </c>
      <c r="C360" s="106" t="s">
        <v>3998</v>
      </c>
      <c r="D360" s="106" t="s">
        <v>4087</v>
      </c>
      <c r="E360" s="106" t="s">
        <v>4088</v>
      </c>
      <c r="F360" s="106" t="n">
        <v>28</v>
      </c>
      <c r="G360" s="106" t="s">
        <v>4076</v>
      </c>
      <c r="H360" s="106" t="n">
        <v>21</v>
      </c>
      <c r="I360" s="106" t="s">
        <v>3975</v>
      </c>
      <c r="J360" s="106" t="s">
        <v>4089</v>
      </c>
      <c r="K360" s="106" t="n">
        <v>33</v>
      </c>
      <c r="L360" s="106" t="n">
        <v>1.3</v>
      </c>
      <c r="M360" s="106" t="n">
        <v>6.37</v>
      </c>
      <c r="N360" s="106" t="n">
        <v>65.6</v>
      </c>
      <c r="O360" s="106" t="n">
        <v>1.62</v>
      </c>
      <c r="P360" s="106" t="s">
        <v>4090</v>
      </c>
      <c r="Q360" s="106" t="s">
        <v>4037</v>
      </c>
      <c r="R360" s="106"/>
      <c r="S360" s="106" t="s">
        <v>4091</v>
      </c>
      <c r="T360" s="106"/>
      <c r="U360" s="106" t="s">
        <v>4039</v>
      </c>
    </row>
    <row r="361" customFormat="false" ht="15" hidden="false" customHeight="false" outlineLevel="0" collapsed="false">
      <c r="A361" s="106" t="s">
        <v>4086</v>
      </c>
      <c r="B361" s="106" t="s">
        <v>3625</v>
      </c>
      <c r="C361" s="106" t="s">
        <v>4007</v>
      </c>
      <c r="D361" s="106" t="s">
        <v>4092</v>
      </c>
      <c r="E361" s="106" t="s">
        <v>4088</v>
      </c>
      <c r="F361" s="106" t="n">
        <v>14</v>
      </c>
      <c r="G361" s="106" t="s">
        <v>3664</v>
      </c>
      <c r="H361" s="106" t="n">
        <v>43</v>
      </c>
      <c r="I361" s="106" t="s">
        <v>4093</v>
      </c>
      <c r="J361" s="106" t="s">
        <v>4094</v>
      </c>
      <c r="K361" s="106" t="n">
        <v>52</v>
      </c>
      <c r="L361" s="106" t="n">
        <v>1.6</v>
      </c>
      <c r="M361" s="106" t="n">
        <v>6.3</v>
      </c>
      <c r="N361" s="106" t="n">
        <v>81.8</v>
      </c>
      <c r="O361" s="106" t="n">
        <v>2</v>
      </c>
      <c r="P361" s="106" t="s">
        <v>4095</v>
      </c>
      <c r="Q361" s="106" t="s">
        <v>4029</v>
      </c>
      <c r="R361" s="106"/>
      <c r="S361" s="106" t="s">
        <v>4096</v>
      </c>
      <c r="T361" s="106"/>
      <c r="U361" s="106" t="s">
        <v>4097</v>
      </c>
    </row>
    <row r="362" customFormat="false" ht="15" hidden="false" customHeight="false" outlineLevel="0" collapsed="false">
      <c r="A362" s="106" t="s">
        <v>4086</v>
      </c>
      <c r="B362" s="106" t="s">
        <v>3625</v>
      </c>
      <c r="C362" s="106" t="s">
        <v>4016</v>
      </c>
      <c r="D362" s="106" t="s">
        <v>3970</v>
      </c>
      <c r="E362" s="106" t="s">
        <v>4098</v>
      </c>
      <c r="F362" s="106" t="n">
        <v>29</v>
      </c>
      <c r="G362" s="106" t="s">
        <v>4099</v>
      </c>
      <c r="H362" s="106" t="n">
        <v>3</v>
      </c>
      <c r="I362" s="106" t="s">
        <v>4100</v>
      </c>
      <c r="J362" s="106" t="s">
        <v>4101</v>
      </c>
      <c r="K362" s="106" t="n">
        <v>101</v>
      </c>
      <c r="L362" s="106" t="n">
        <v>3.3</v>
      </c>
      <c r="M362" s="106" t="n">
        <v>8.2</v>
      </c>
      <c r="N362" s="106" t="n">
        <v>71.6</v>
      </c>
      <c r="O362" s="106" t="n">
        <v>2.5</v>
      </c>
      <c r="P362" s="106" t="s">
        <v>4102</v>
      </c>
      <c r="Q362" s="106" t="s">
        <v>4103</v>
      </c>
      <c r="R362" s="106"/>
      <c r="S362" s="106" t="s">
        <v>4104</v>
      </c>
      <c r="T362" s="106"/>
      <c r="U362" s="106" t="s">
        <v>4105</v>
      </c>
    </row>
    <row r="363" customFormat="false" ht="15" hidden="false" customHeight="false" outlineLevel="0" collapsed="false">
      <c r="A363" s="106" t="s">
        <v>4086</v>
      </c>
      <c r="B363" s="106" t="s">
        <v>3625</v>
      </c>
      <c r="C363" s="106" t="s">
        <v>4040</v>
      </c>
      <c r="D363" s="106" t="s">
        <v>3970</v>
      </c>
      <c r="E363" s="106" t="s">
        <v>4098</v>
      </c>
      <c r="F363" s="106" t="n">
        <v>29</v>
      </c>
      <c r="G363" s="106" t="s">
        <v>4106</v>
      </c>
      <c r="H363" s="106"/>
      <c r="I363" s="106" t="s">
        <v>4084</v>
      </c>
      <c r="J363" s="106" t="s">
        <v>4107</v>
      </c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</row>
    <row r="365" customFormat="false" ht="15" hidden="false" customHeight="false" outlineLevel="0" collapsed="false">
      <c r="A365" s="82" t="s">
        <v>4108</v>
      </c>
    </row>
    <row r="366" customFormat="false" ht="15" hidden="false" customHeight="false" outlineLevel="0" collapsed="false">
      <c r="A366" s="90" t="s">
        <v>4109</v>
      </c>
      <c r="B366" s="90" t="s">
        <v>4110</v>
      </c>
      <c r="C366" s="90" t="s">
        <v>4111</v>
      </c>
      <c r="D366" s="90" t="s">
        <v>4112</v>
      </c>
      <c r="E366" s="90" t="s">
        <v>4113</v>
      </c>
      <c r="F366" s="90" t="s">
        <v>4114</v>
      </c>
      <c r="G366" s="90" t="s">
        <v>4115</v>
      </c>
    </row>
    <row r="367" customFormat="false" ht="22.35" hidden="false" customHeight="false" outlineLevel="0" collapsed="false">
      <c r="A367" s="106" t="s">
        <v>4116</v>
      </c>
      <c r="B367" s="106" t="s">
        <v>4117</v>
      </c>
      <c r="C367" s="27" t="s">
        <v>4118</v>
      </c>
      <c r="D367" s="27" t="s">
        <v>4119</v>
      </c>
      <c r="E367" s="27" t="s">
        <v>4120</v>
      </c>
      <c r="F367" s="106" t="s">
        <v>4121</v>
      </c>
      <c r="G367" s="106" t="s">
        <v>4122</v>
      </c>
    </row>
    <row r="368" customFormat="false" ht="22.35" hidden="false" customHeight="false" outlineLevel="0" collapsed="false">
      <c r="A368" s="106" t="s">
        <v>4123</v>
      </c>
      <c r="B368" s="106" t="s">
        <v>4124</v>
      </c>
      <c r="C368" s="27" t="s">
        <v>4125</v>
      </c>
      <c r="D368" s="27" t="s">
        <v>4126</v>
      </c>
      <c r="E368" s="27" t="s">
        <v>4127</v>
      </c>
      <c r="F368" s="106" t="s">
        <v>4128</v>
      </c>
      <c r="G368" s="106" t="s">
        <v>4129</v>
      </c>
    </row>
    <row r="369" customFormat="false" ht="22.35" hidden="false" customHeight="false" outlineLevel="0" collapsed="false">
      <c r="A369" s="106" t="s">
        <v>4130</v>
      </c>
      <c r="B369" s="106" t="s">
        <v>4117</v>
      </c>
      <c r="C369" s="27" t="s">
        <v>4131</v>
      </c>
      <c r="D369" s="27" t="s">
        <v>4132</v>
      </c>
      <c r="E369" s="27" t="s">
        <v>4133</v>
      </c>
      <c r="F369" s="106" t="s">
        <v>4134</v>
      </c>
      <c r="G369" s="106" t="s">
        <v>4122</v>
      </c>
    </row>
    <row r="370" customFormat="false" ht="15" hidden="false" customHeight="false" outlineLevel="0" collapsed="false">
      <c r="A370" s="106" t="s">
        <v>4135</v>
      </c>
      <c r="B370" s="106" t="s">
        <v>4136</v>
      </c>
      <c r="C370" s="27" t="s">
        <v>4137</v>
      </c>
      <c r="D370" s="27" t="s">
        <v>4138</v>
      </c>
      <c r="E370" s="27" t="s">
        <v>4139</v>
      </c>
      <c r="F370" s="106" t="s">
        <v>342</v>
      </c>
      <c r="G370" s="106" t="s">
        <v>4129</v>
      </c>
    </row>
    <row r="371" customFormat="false" ht="15" hidden="false" customHeight="false" outlineLevel="0" collapsed="false">
      <c r="A371" s="106" t="s">
        <v>4140</v>
      </c>
      <c r="B371" s="106" t="s">
        <v>4141</v>
      </c>
      <c r="C371" s="27" t="s">
        <v>4142</v>
      </c>
      <c r="D371" s="27" t="s">
        <v>4143</v>
      </c>
      <c r="E371" s="27" t="s">
        <v>4144</v>
      </c>
      <c r="F371" s="106" t="s">
        <v>4145</v>
      </c>
      <c r="G371" s="106" t="s">
        <v>4129</v>
      </c>
    </row>
    <row r="372" customFormat="false" ht="22.35" hidden="false" customHeight="false" outlineLevel="0" collapsed="false">
      <c r="A372" s="106" t="s">
        <v>4146</v>
      </c>
      <c r="B372" s="106" t="s">
        <v>4117</v>
      </c>
      <c r="C372" s="27" t="s">
        <v>4147</v>
      </c>
      <c r="D372" s="27" t="s">
        <v>4148</v>
      </c>
      <c r="E372" s="27" t="s">
        <v>4149</v>
      </c>
      <c r="F372" s="106" t="s">
        <v>188</v>
      </c>
      <c r="G372" s="106" t="s">
        <v>4122</v>
      </c>
    </row>
    <row r="373" customFormat="false" ht="22.35" hidden="false" customHeight="false" outlineLevel="0" collapsed="false">
      <c r="A373" s="106" t="s">
        <v>4150</v>
      </c>
      <c r="B373" s="106" t="s">
        <v>4124</v>
      </c>
      <c r="C373" s="27" t="s">
        <v>4151</v>
      </c>
      <c r="D373" s="27" t="s">
        <v>4152</v>
      </c>
      <c r="E373" s="27" t="s">
        <v>4153</v>
      </c>
      <c r="F373" s="106" t="s">
        <v>4154</v>
      </c>
      <c r="G373" s="106" t="s">
        <v>4155</v>
      </c>
    </row>
    <row r="374" customFormat="false" ht="22.35" hidden="false" customHeight="false" outlineLevel="0" collapsed="false">
      <c r="A374" s="106" t="s">
        <v>4156</v>
      </c>
      <c r="B374" s="106" t="s">
        <v>4117</v>
      </c>
      <c r="C374" s="27" t="s">
        <v>4157</v>
      </c>
      <c r="D374" s="27" t="s">
        <v>4158</v>
      </c>
      <c r="E374" s="27" t="s">
        <v>4159</v>
      </c>
      <c r="F374" s="106" t="s">
        <v>4160</v>
      </c>
      <c r="G374" s="106" t="s">
        <v>4161</v>
      </c>
    </row>
    <row r="375" customFormat="false" ht="15" hidden="false" customHeight="false" outlineLevel="0" collapsed="false">
      <c r="A375" s="106" t="s">
        <v>4162</v>
      </c>
      <c r="B375" s="106" t="s">
        <v>4124</v>
      </c>
      <c r="C375" s="27" t="s">
        <v>4163</v>
      </c>
      <c r="D375" s="27" t="s">
        <v>4164</v>
      </c>
      <c r="E375" s="27" t="s">
        <v>4165</v>
      </c>
      <c r="F375" s="106" t="s">
        <v>188</v>
      </c>
      <c r="G375" s="106" t="s">
        <v>4129</v>
      </c>
    </row>
    <row r="376" customFormat="false" ht="15" hidden="false" customHeight="false" outlineLevel="0" collapsed="false">
      <c r="A376" s="106" t="s">
        <v>4166</v>
      </c>
      <c r="B376" s="106" t="s">
        <v>4117</v>
      </c>
      <c r="C376" s="27" t="s">
        <v>4167</v>
      </c>
      <c r="D376" s="27" t="s">
        <v>4168</v>
      </c>
      <c r="E376" s="27" t="s">
        <v>4169</v>
      </c>
      <c r="F376" s="106" t="s">
        <v>342</v>
      </c>
      <c r="G376" s="106" t="s">
        <v>4161</v>
      </c>
    </row>
    <row r="377" customFormat="false" ht="22.35" hidden="false" customHeight="false" outlineLevel="0" collapsed="false">
      <c r="A377" s="106" t="s">
        <v>4170</v>
      </c>
      <c r="B377" s="106" t="s">
        <v>4171</v>
      </c>
      <c r="C377" s="27" t="s">
        <v>4172</v>
      </c>
      <c r="D377" s="27" t="s">
        <v>4173</v>
      </c>
      <c r="E377" s="27" t="s">
        <v>4174</v>
      </c>
      <c r="F377" s="106" t="s">
        <v>4175</v>
      </c>
      <c r="G377" s="106" t="s">
        <v>4176</v>
      </c>
    </row>
    <row r="378" customFormat="false" ht="22.35" hidden="false" customHeight="false" outlineLevel="0" collapsed="false">
      <c r="A378" s="106" t="s">
        <v>4177</v>
      </c>
      <c r="B378" s="106" t="s">
        <v>4178</v>
      </c>
      <c r="C378" s="27" t="s">
        <v>4179</v>
      </c>
      <c r="D378" s="27" t="s">
        <v>4180</v>
      </c>
      <c r="E378" s="27" t="s">
        <v>4181</v>
      </c>
      <c r="F378" s="106" t="s">
        <v>188</v>
      </c>
      <c r="G378" s="106" t="s">
        <v>4182</v>
      </c>
    </row>
    <row r="379" customFormat="false" ht="15" hidden="false" customHeight="false" outlineLevel="0" collapsed="false">
      <c r="A379" s="106" t="s">
        <v>4183</v>
      </c>
      <c r="B379" s="106" t="s">
        <v>4141</v>
      </c>
      <c r="C379" s="27" t="s">
        <v>4184</v>
      </c>
      <c r="D379" s="27" t="s">
        <v>4185</v>
      </c>
      <c r="E379" s="27" t="s">
        <v>4186</v>
      </c>
      <c r="F379" s="106" t="s">
        <v>4145</v>
      </c>
      <c r="G379" s="106" t="s">
        <v>4129</v>
      </c>
    </row>
    <row r="380" customFormat="false" ht="22.35" hidden="false" customHeight="false" outlineLevel="0" collapsed="false">
      <c r="A380" s="106" t="s">
        <v>4187</v>
      </c>
      <c r="B380" s="106" t="s">
        <v>4188</v>
      </c>
      <c r="C380" s="27" t="s">
        <v>4189</v>
      </c>
      <c r="D380" s="27" t="s">
        <v>4190</v>
      </c>
      <c r="E380" s="27" t="s">
        <v>4191</v>
      </c>
      <c r="F380" s="106" t="s">
        <v>4192</v>
      </c>
      <c r="G380" s="106" t="s">
        <v>4129</v>
      </c>
    </row>
    <row r="381" customFormat="false" ht="32.8" hidden="false" customHeight="false" outlineLevel="0" collapsed="false">
      <c r="A381" s="106" t="s">
        <v>4193</v>
      </c>
      <c r="B381" s="106" t="s">
        <v>4194</v>
      </c>
      <c r="C381" s="27" t="s">
        <v>4195</v>
      </c>
      <c r="D381" s="27" t="s">
        <v>4196</v>
      </c>
      <c r="E381" s="27" t="s">
        <v>4197</v>
      </c>
      <c r="F381" s="106" t="s">
        <v>4198</v>
      </c>
      <c r="G381" s="106" t="s">
        <v>4199</v>
      </c>
    </row>
    <row r="382" customFormat="false" ht="32.8" hidden="false" customHeight="false" outlineLevel="0" collapsed="false">
      <c r="A382" s="106" t="s">
        <v>4200</v>
      </c>
      <c r="B382" s="106" t="s">
        <v>4201</v>
      </c>
      <c r="C382" s="27" t="s">
        <v>4202</v>
      </c>
      <c r="D382" s="27" t="s">
        <v>4203</v>
      </c>
      <c r="E382" s="27" t="s">
        <v>4204</v>
      </c>
      <c r="F382" s="106" t="s">
        <v>4205</v>
      </c>
      <c r="G382" s="106" t="s">
        <v>4206</v>
      </c>
    </row>
    <row r="383" customFormat="false" ht="22.35" hidden="false" customHeight="false" outlineLevel="0" collapsed="false">
      <c r="A383" s="106" t="s">
        <v>4207</v>
      </c>
      <c r="B383" s="106" t="s">
        <v>4208</v>
      </c>
      <c r="C383" s="27" t="s">
        <v>4209</v>
      </c>
      <c r="D383" s="27" t="s">
        <v>4210</v>
      </c>
      <c r="E383" s="27" t="s">
        <v>4211</v>
      </c>
      <c r="F383" s="106" t="s">
        <v>188</v>
      </c>
      <c r="G383" s="106" t="s">
        <v>4212</v>
      </c>
    </row>
    <row r="384" customFormat="false" ht="22.35" hidden="false" customHeight="false" outlineLevel="0" collapsed="false">
      <c r="A384" s="106" t="s">
        <v>4213</v>
      </c>
      <c r="B384" s="106" t="s">
        <v>4214</v>
      </c>
      <c r="C384" s="27" t="s">
        <v>4215</v>
      </c>
      <c r="D384" s="27" t="s">
        <v>4216</v>
      </c>
      <c r="E384" s="27" t="s">
        <v>4217</v>
      </c>
      <c r="F384" s="106" t="s">
        <v>4218</v>
      </c>
      <c r="G384" s="106" t="s">
        <v>4219</v>
      </c>
    </row>
    <row r="385" customFormat="false" ht="32.8" hidden="false" customHeight="false" outlineLevel="0" collapsed="false">
      <c r="A385" s="106" t="s">
        <v>4220</v>
      </c>
      <c r="B385" s="106" t="s">
        <v>4221</v>
      </c>
      <c r="C385" s="27" t="s">
        <v>4222</v>
      </c>
      <c r="D385" s="27" t="s">
        <v>4223</v>
      </c>
      <c r="E385" s="27" t="s">
        <v>4224</v>
      </c>
      <c r="F385" s="106" t="s">
        <v>4225</v>
      </c>
      <c r="G385" s="106" t="s">
        <v>4226</v>
      </c>
    </row>
    <row r="386" customFormat="false" ht="32.8" hidden="false" customHeight="false" outlineLevel="0" collapsed="false">
      <c r="A386" s="106" t="s">
        <v>4227</v>
      </c>
      <c r="B386" s="106" t="s">
        <v>4228</v>
      </c>
      <c r="C386" s="27" t="s">
        <v>4229</v>
      </c>
      <c r="D386" s="27" t="s">
        <v>4230</v>
      </c>
      <c r="E386" s="27" t="s">
        <v>4231</v>
      </c>
      <c r="F386" s="106" t="s">
        <v>4232</v>
      </c>
      <c r="G386" s="106" t="s">
        <v>4233</v>
      </c>
    </row>
    <row r="387" customFormat="false" ht="22.35" hidden="false" customHeight="false" outlineLevel="0" collapsed="false">
      <c r="A387" s="106" t="s">
        <v>3947</v>
      </c>
      <c r="B387" s="106" t="s">
        <v>4234</v>
      </c>
      <c r="C387" s="27" t="s">
        <v>4235</v>
      </c>
      <c r="D387" s="27" t="s">
        <v>4236</v>
      </c>
      <c r="E387" s="27" t="s">
        <v>4237</v>
      </c>
      <c r="F387" s="106" t="s">
        <v>4238</v>
      </c>
      <c r="G387" s="106" t="s">
        <v>4239</v>
      </c>
    </row>
    <row r="388" customFormat="false" ht="22.35" hidden="false" customHeight="false" outlineLevel="0" collapsed="false">
      <c r="A388" s="106" t="s">
        <v>4240</v>
      </c>
      <c r="B388" s="106" t="s">
        <v>4141</v>
      </c>
      <c r="C388" s="27" t="s">
        <v>4241</v>
      </c>
      <c r="D388" s="27" t="s">
        <v>4242</v>
      </c>
      <c r="E388" s="27" t="s">
        <v>4243</v>
      </c>
      <c r="F388" s="106" t="s">
        <v>4244</v>
      </c>
      <c r="G388" s="106" t="s">
        <v>4219</v>
      </c>
    </row>
    <row r="389" customFormat="false" ht="22.35" hidden="false" customHeight="false" outlineLevel="0" collapsed="false">
      <c r="A389" s="106" t="s">
        <v>4245</v>
      </c>
      <c r="B389" s="106" t="s">
        <v>4124</v>
      </c>
      <c r="C389" s="27" t="s">
        <v>4246</v>
      </c>
      <c r="D389" s="27" t="s">
        <v>4247</v>
      </c>
      <c r="E389" s="27" t="s">
        <v>4248</v>
      </c>
      <c r="F389" s="106" t="s">
        <v>188</v>
      </c>
      <c r="G389" s="106" t="s">
        <v>4249</v>
      </c>
    </row>
    <row r="390" customFormat="false" ht="22.35" hidden="false" customHeight="false" outlineLevel="0" collapsed="false">
      <c r="A390" s="106" t="s">
        <v>4250</v>
      </c>
      <c r="B390" s="106" t="s">
        <v>4251</v>
      </c>
      <c r="C390" s="27" t="s">
        <v>4252</v>
      </c>
      <c r="D390" s="27" t="s">
        <v>4253</v>
      </c>
      <c r="E390" s="27" t="s">
        <v>4254</v>
      </c>
      <c r="F390" s="106" t="s">
        <v>188</v>
      </c>
      <c r="G390" s="106" t="s">
        <v>4255</v>
      </c>
    </row>
    <row r="391" customFormat="false" ht="22.35" hidden="false" customHeight="false" outlineLevel="0" collapsed="false">
      <c r="A391" s="106" t="s">
        <v>4256</v>
      </c>
      <c r="B391" s="106" t="s">
        <v>4257</v>
      </c>
      <c r="C391" s="27" t="s">
        <v>4258</v>
      </c>
      <c r="D391" s="27" t="s">
        <v>4259</v>
      </c>
      <c r="E391" s="27" t="s">
        <v>4260</v>
      </c>
      <c r="F391" s="106" t="s">
        <v>4261</v>
      </c>
      <c r="G391" s="106" t="s">
        <v>4262</v>
      </c>
    </row>
    <row r="392" customFormat="false" ht="22.35" hidden="false" customHeight="false" outlineLevel="0" collapsed="false">
      <c r="A392" s="106" t="s">
        <v>4263</v>
      </c>
      <c r="B392" s="106" t="s">
        <v>4264</v>
      </c>
      <c r="C392" s="27" t="s">
        <v>4265</v>
      </c>
      <c r="D392" s="27" t="s">
        <v>4266</v>
      </c>
      <c r="E392" s="27" t="s">
        <v>4267</v>
      </c>
      <c r="F392" s="106" t="s">
        <v>4268</v>
      </c>
      <c r="G392" s="106" t="s">
        <v>4269</v>
      </c>
    </row>
    <row r="394" customFormat="false" ht="15" hidden="false" customHeight="false" outlineLevel="0" collapsed="false">
      <c r="A394" s="82" t="s">
        <v>4270</v>
      </c>
    </row>
    <row r="395" customFormat="false" ht="15" hidden="false" customHeight="false" outlineLevel="0" collapsed="false">
      <c r="A395" s="105" t="s">
        <v>4271</v>
      </c>
    </row>
    <row r="396" customFormat="false" ht="22.35" hidden="false" customHeight="false" outlineLevel="0" collapsed="false">
      <c r="A396" s="90" t="s">
        <v>3778</v>
      </c>
      <c r="B396" s="90" t="s">
        <v>4272</v>
      </c>
      <c r="C396" s="90" t="s">
        <v>4273</v>
      </c>
      <c r="D396" s="90" t="s">
        <v>4274</v>
      </c>
      <c r="E396" s="90" t="s">
        <v>3321</v>
      </c>
      <c r="F396" s="90" t="s">
        <v>3320</v>
      </c>
      <c r="G396" s="90" t="s">
        <v>4275</v>
      </c>
      <c r="H396" s="90" t="s">
        <v>3317</v>
      </c>
      <c r="I396" s="90" t="s">
        <v>3284</v>
      </c>
      <c r="J396" s="90" t="s">
        <v>4276</v>
      </c>
      <c r="K396" s="90" t="s">
        <v>3313</v>
      </c>
      <c r="L396" s="90" t="s">
        <v>3601</v>
      </c>
      <c r="M396" s="90" t="s">
        <v>4277</v>
      </c>
      <c r="N396" s="90" t="s">
        <v>4278</v>
      </c>
      <c r="O396" s="90" t="s">
        <v>4279</v>
      </c>
    </row>
    <row r="397" customFormat="false" ht="15" hidden="false" customHeight="false" outlineLevel="0" collapsed="false">
      <c r="A397" s="106" t="s">
        <v>183</v>
      </c>
      <c r="B397" s="106" t="s">
        <v>4280</v>
      </c>
      <c r="C397" s="106" t="s">
        <v>4281</v>
      </c>
      <c r="D397" s="106" t="n">
        <v>30225</v>
      </c>
      <c r="E397" s="107" t="n">
        <v>136103</v>
      </c>
      <c r="F397" s="106" t="n">
        <v>2048</v>
      </c>
      <c r="G397" s="118" t="n">
        <v>0.015</v>
      </c>
      <c r="H397" s="116" t="n">
        <v>1.21</v>
      </c>
      <c r="I397" s="106" t="n">
        <v>142</v>
      </c>
      <c r="J397" s="117" t="n">
        <v>0.0693</v>
      </c>
      <c r="K397" s="108" t="n">
        <v>2487.18</v>
      </c>
      <c r="L397" s="108" t="n">
        <v>5412.95</v>
      </c>
      <c r="M397" s="117" t="n">
        <v>0.459</v>
      </c>
      <c r="N397" s="106" t="n">
        <v>29</v>
      </c>
      <c r="O397" s="106" t="s">
        <v>4282</v>
      </c>
    </row>
    <row r="398" customFormat="false" ht="15" hidden="false" customHeight="false" outlineLevel="0" collapsed="false">
      <c r="A398" s="106" t="s">
        <v>4283</v>
      </c>
      <c r="B398" s="106" t="s">
        <v>4284</v>
      </c>
      <c r="C398" s="106"/>
      <c r="D398" s="106"/>
      <c r="E398" s="107" t="n">
        <v>68712</v>
      </c>
      <c r="F398" s="106" t="n">
        <v>755</v>
      </c>
      <c r="G398" s="118" t="n">
        <v>0.011</v>
      </c>
      <c r="H398" s="116" t="n">
        <v>0.82</v>
      </c>
      <c r="I398" s="106" t="n">
        <v>100</v>
      </c>
      <c r="J398" s="117" t="n">
        <v>0.1325</v>
      </c>
      <c r="K398" s="108" t="n">
        <v>617.29</v>
      </c>
      <c r="L398" s="108" t="n">
        <v>2826.23</v>
      </c>
      <c r="M398" s="117" t="n">
        <v>0.218</v>
      </c>
      <c r="N398" s="106"/>
      <c r="O398" s="106" t="s">
        <v>4285</v>
      </c>
    </row>
    <row r="399" customFormat="false" ht="15" hidden="false" customHeight="false" outlineLevel="0" collapsed="false">
      <c r="A399" s="106" t="s">
        <v>4286</v>
      </c>
      <c r="B399" s="106" t="s">
        <v>4284</v>
      </c>
      <c r="C399" s="106"/>
      <c r="D399" s="106"/>
      <c r="E399" s="107" t="n">
        <v>76535</v>
      </c>
      <c r="F399" s="106" t="n">
        <v>584</v>
      </c>
      <c r="G399" s="118" t="n">
        <v>0.0076</v>
      </c>
      <c r="H399" s="116" t="n">
        <v>0.72</v>
      </c>
      <c r="I399" s="106" t="n">
        <v>90</v>
      </c>
      <c r="J399" s="117" t="n">
        <v>0.1541</v>
      </c>
      <c r="K399" s="108" t="n">
        <v>422.52</v>
      </c>
      <c r="L399" s="108" t="n">
        <v>2644.41</v>
      </c>
      <c r="M399" s="117" t="n">
        <v>0.16</v>
      </c>
      <c r="N399" s="106"/>
      <c r="O399" s="106" t="s">
        <v>4285</v>
      </c>
    </row>
    <row r="400" customFormat="false" ht="15" hidden="false" customHeight="false" outlineLevel="0" collapsed="false">
      <c r="A400" s="106" t="s">
        <v>478</v>
      </c>
      <c r="B400" s="106" t="s">
        <v>4280</v>
      </c>
      <c r="C400" s="106" t="s">
        <v>4287</v>
      </c>
      <c r="D400" s="106" t="n">
        <v>6228</v>
      </c>
      <c r="E400" s="107" t="n">
        <v>40715</v>
      </c>
      <c r="F400" s="106" t="n">
        <v>488</v>
      </c>
      <c r="G400" s="118" t="n">
        <v>0.012</v>
      </c>
      <c r="H400" s="116" t="n">
        <v>1.3</v>
      </c>
      <c r="I400" s="106" t="n">
        <v>32</v>
      </c>
      <c r="J400" s="117" t="n">
        <v>0.0656</v>
      </c>
      <c r="K400" s="108" t="n">
        <v>635.51</v>
      </c>
      <c r="L400" s="108" t="n">
        <v>1174.87</v>
      </c>
      <c r="M400" s="117" t="n">
        <v>0.541</v>
      </c>
      <c r="N400" s="106" t="n">
        <v>57</v>
      </c>
      <c r="O400" s="106" t="s">
        <v>4282</v>
      </c>
    </row>
    <row r="401" customFormat="false" ht="15" hidden="false" customHeight="false" outlineLevel="0" collapsed="false">
      <c r="A401" s="106" t="s">
        <v>370</v>
      </c>
      <c r="B401" s="106" t="s">
        <v>4280</v>
      </c>
      <c r="C401" s="106" t="s">
        <v>4288</v>
      </c>
      <c r="D401" s="106" t="n">
        <v>77377</v>
      </c>
      <c r="E401" s="107" t="n">
        <v>16179</v>
      </c>
      <c r="F401" s="106" t="n">
        <v>376</v>
      </c>
      <c r="G401" s="118" t="n">
        <v>0.0232</v>
      </c>
      <c r="H401" s="116" t="n">
        <v>0.77</v>
      </c>
      <c r="I401" s="106" t="n">
        <v>11</v>
      </c>
      <c r="J401" s="117" t="n">
        <v>0.0293</v>
      </c>
      <c r="K401" s="108" t="n">
        <v>291.07</v>
      </c>
      <c r="L401" s="108" t="n">
        <v>468.54</v>
      </c>
      <c r="M401" s="117" t="n">
        <v>0.621</v>
      </c>
      <c r="N401" s="106" t="n">
        <v>37</v>
      </c>
      <c r="O401" s="106" t="s">
        <v>4289</v>
      </c>
    </row>
    <row r="402" customFormat="false" ht="15" hidden="false" customHeight="false" outlineLevel="0" collapsed="false">
      <c r="A402" s="106" t="s">
        <v>695</v>
      </c>
      <c r="B402" s="106" t="s">
        <v>4280</v>
      </c>
      <c r="C402" s="106" t="s">
        <v>4290</v>
      </c>
      <c r="D402" s="106" t="n">
        <v>2976</v>
      </c>
      <c r="E402" s="107" t="n">
        <v>93275</v>
      </c>
      <c r="F402" s="106" t="n">
        <v>296</v>
      </c>
      <c r="G402" s="118" t="n">
        <v>0.0032</v>
      </c>
      <c r="H402" s="116" t="n">
        <v>1.13</v>
      </c>
      <c r="I402" s="106" t="n">
        <v>19</v>
      </c>
      <c r="J402" s="117" t="n">
        <v>0.0642</v>
      </c>
      <c r="K402" s="108" t="n">
        <v>335.36</v>
      </c>
      <c r="L402" s="108" t="n">
        <v>888.31</v>
      </c>
      <c r="M402" s="117" t="n">
        <v>0.378</v>
      </c>
      <c r="N402" s="106" t="n">
        <v>24</v>
      </c>
      <c r="O402" s="106" t="s">
        <v>4291</v>
      </c>
    </row>
    <row r="403" customFormat="false" ht="15" hidden="false" customHeight="false" outlineLevel="0" collapsed="false">
      <c r="A403" s="106" t="s">
        <v>4292</v>
      </c>
      <c r="B403" s="106" t="s">
        <v>4284</v>
      </c>
      <c r="C403" s="106"/>
      <c r="D403" s="106"/>
      <c r="E403" s="107" t="n">
        <v>10832</v>
      </c>
      <c r="F403" s="106" t="n">
        <v>295</v>
      </c>
      <c r="G403" s="118" t="n">
        <v>0.0272</v>
      </c>
      <c r="H403" s="116" t="n">
        <v>0.8</v>
      </c>
      <c r="I403" s="106" t="n">
        <v>13</v>
      </c>
      <c r="J403" s="117" t="n">
        <v>0.0441</v>
      </c>
      <c r="K403" s="108" t="n">
        <v>236.2</v>
      </c>
      <c r="L403" s="108" t="n">
        <v>491.4</v>
      </c>
      <c r="M403" s="117" t="n">
        <v>0.481</v>
      </c>
      <c r="N403" s="106"/>
      <c r="O403" s="106" t="s">
        <v>4282</v>
      </c>
    </row>
    <row r="404" customFormat="false" ht="15" hidden="false" customHeight="false" outlineLevel="0" collapsed="false">
      <c r="A404" s="106" t="s">
        <v>4293</v>
      </c>
      <c r="B404" s="106" t="s">
        <v>4284</v>
      </c>
      <c r="C404" s="106"/>
      <c r="D404" s="106"/>
      <c r="E404" s="107" t="n">
        <v>17966</v>
      </c>
      <c r="F404" s="106" t="n">
        <v>260</v>
      </c>
      <c r="G404" s="118" t="n">
        <v>0.0145</v>
      </c>
      <c r="H404" s="116" t="n">
        <v>0.85</v>
      </c>
      <c r="I404" s="106" t="n">
        <v>8</v>
      </c>
      <c r="J404" s="117" t="n">
        <v>0.0308</v>
      </c>
      <c r="K404" s="108" t="n">
        <v>221.85</v>
      </c>
      <c r="L404" s="108" t="n">
        <v>230.61</v>
      </c>
      <c r="M404" s="117" t="n">
        <v>0.962</v>
      </c>
      <c r="N404" s="106"/>
      <c r="O404" s="106" t="s">
        <v>4289</v>
      </c>
    </row>
    <row r="405" customFormat="false" ht="15" hidden="false" customHeight="false" outlineLevel="0" collapsed="false">
      <c r="A405" s="106" t="s">
        <v>4294</v>
      </c>
      <c r="B405" s="106" t="s">
        <v>1403</v>
      </c>
      <c r="C405" s="106"/>
      <c r="D405" s="106" t="n">
        <v>1023</v>
      </c>
      <c r="E405" s="107" t="n">
        <v>41086</v>
      </c>
      <c r="F405" s="106" t="n">
        <v>235</v>
      </c>
      <c r="G405" s="118" t="n">
        <v>0.0057</v>
      </c>
      <c r="H405" s="116" t="n">
        <v>2.39</v>
      </c>
      <c r="I405" s="106" t="n">
        <v>26</v>
      </c>
      <c r="J405" s="117" t="n">
        <v>0.1106</v>
      </c>
      <c r="K405" s="108" t="n">
        <v>561.15</v>
      </c>
      <c r="L405" s="108" t="n">
        <v>1485.77</v>
      </c>
      <c r="M405" s="117" t="n">
        <v>0.378</v>
      </c>
      <c r="N405" s="106"/>
      <c r="O405" s="106" t="s">
        <v>4291</v>
      </c>
    </row>
    <row r="406" customFormat="false" ht="15" hidden="false" customHeight="false" outlineLevel="0" collapsed="false">
      <c r="A406" s="106" t="s">
        <v>4295</v>
      </c>
      <c r="B406" s="106" t="s">
        <v>4284</v>
      </c>
      <c r="C406" s="106"/>
      <c r="D406" s="106"/>
      <c r="E406" s="107" t="n">
        <v>13380</v>
      </c>
      <c r="F406" s="106" t="n">
        <v>231</v>
      </c>
      <c r="G406" s="118" t="n">
        <v>0.0173</v>
      </c>
      <c r="H406" s="116" t="n">
        <v>0.67</v>
      </c>
      <c r="I406" s="106" t="n">
        <v>51</v>
      </c>
      <c r="J406" s="117" t="n">
        <v>0.2208</v>
      </c>
      <c r="K406" s="108" t="n">
        <v>154.94</v>
      </c>
      <c r="L406" s="108" t="n">
        <v>1563.99</v>
      </c>
      <c r="M406" s="117" t="n">
        <v>0.099</v>
      </c>
      <c r="N406" s="106"/>
      <c r="O406" s="106" t="s">
        <v>4285</v>
      </c>
    </row>
    <row r="407" customFormat="false" ht="15" hidden="false" customHeight="false" outlineLevel="0" collapsed="false">
      <c r="A407" s="106" t="s">
        <v>4296</v>
      </c>
      <c r="B407" s="106" t="s">
        <v>4284</v>
      </c>
      <c r="C407" s="106"/>
      <c r="D407" s="106"/>
      <c r="E407" s="107" t="n">
        <v>17854</v>
      </c>
      <c r="F407" s="106" t="n">
        <v>225</v>
      </c>
      <c r="G407" s="118" t="n">
        <v>0.0126</v>
      </c>
      <c r="H407" s="116" t="n">
        <v>0.74</v>
      </c>
      <c r="I407" s="106" t="n">
        <v>51</v>
      </c>
      <c r="J407" s="117" t="n">
        <v>0.2267</v>
      </c>
      <c r="K407" s="108" t="n">
        <v>166.57</v>
      </c>
      <c r="L407" s="108" t="n">
        <v>1276.34</v>
      </c>
      <c r="M407" s="117" t="n">
        <v>0.131</v>
      </c>
      <c r="N407" s="106"/>
      <c r="O407" s="106" t="s">
        <v>4285</v>
      </c>
    </row>
    <row r="408" customFormat="false" ht="15" hidden="false" customHeight="false" outlineLevel="0" collapsed="false">
      <c r="A408" s="106" t="s">
        <v>3869</v>
      </c>
      <c r="B408" s="106" t="s">
        <v>4297</v>
      </c>
      <c r="C408" s="106" t="s">
        <v>4298</v>
      </c>
      <c r="D408" s="106" t="n">
        <v>116207</v>
      </c>
      <c r="E408" s="107" t="n">
        <v>6863</v>
      </c>
      <c r="F408" s="106" t="n">
        <v>225</v>
      </c>
      <c r="G408" s="118" t="n">
        <v>0.0328</v>
      </c>
      <c r="H408" s="116" t="n">
        <v>0.7</v>
      </c>
      <c r="I408" s="106" t="n">
        <v>15</v>
      </c>
      <c r="J408" s="117" t="n">
        <v>0.0667</v>
      </c>
      <c r="K408" s="108" t="n">
        <v>156.66</v>
      </c>
      <c r="L408" s="108" t="n">
        <v>624.56</v>
      </c>
      <c r="M408" s="117" t="n">
        <v>0.251</v>
      </c>
      <c r="N408" s="106" t="n">
        <v>95</v>
      </c>
      <c r="O408" s="106" t="s">
        <v>4285</v>
      </c>
    </row>
    <row r="409" customFormat="false" ht="15" hidden="false" customHeight="false" outlineLevel="0" collapsed="false">
      <c r="A409" s="106" t="s">
        <v>4299</v>
      </c>
      <c r="B409" s="106" t="s">
        <v>4284</v>
      </c>
      <c r="C409" s="106"/>
      <c r="D409" s="106"/>
      <c r="E409" s="107" t="n">
        <v>10769</v>
      </c>
      <c r="F409" s="106" t="n">
        <v>205</v>
      </c>
      <c r="G409" s="118" t="n">
        <v>0.019</v>
      </c>
      <c r="H409" s="116" t="n">
        <v>0.87</v>
      </c>
      <c r="I409" s="106" t="n">
        <v>26</v>
      </c>
      <c r="J409" s="117" t="n">
        <v>0.1268</v>
      </c>
      <c r="K409" s="108" t="n">
        <v>177.53</v>
      </c>
      <c r="L409" s="108" t="n">
        <v>779.12</v>
      </c>
      <c r="M409" s="117" t="n">
        <v>0.228</v>
      </c>
      <c r="N409" s="106"/>
      <c r="O409" s="106" t="s">
        <v>4285</v>
      </c>
    </row>
    <row r="410" customFormat="false" ht="15" hidden="false" customHeight="false" outlineLevel="0" collapsed="false">
      <c r="A410" s="106" t="s">
        <v>269</v>
      </c>
      <c r="B410" s="106" t="s">
        <v>4280</v>
      </c>
      <c r="C410" s="106" t="s">
        <v>4281</v>
      </c>
      <c r="D410" s="106" t="n">
        <v>2630</v>
      </c>
      <c r="E410" s="107" t="n">
        <v>26946</v>
      </c>
      <c r="F410" s="106" t="n">
        <v>204</v>
      </c>
      <c r="G410" s="118" t="n">
        <v>0.0076</v>
      </c>
      <c r="H410" s="116" t="n">
        <v>1.27</v>
      </c>
      <c r="I410" s="106" t="n">
        <v>10</v>
      </c>
      <c r="J410" s="117" t="n">
        <v>0.049</v>
      </c>
      <c r="K410" s="108" t="n">
        <v>259.29</v>
      </c>
      <c r="L410" s="108" t="n">
        <v>349.45</v>
      </c>
      <c r="M410" s="117" t="n">
        <v>0.742</v>
      </c>
      <c r="N410" s="106" t="n">
        <v>24</v>
      </c>
      <c r="O410" s="106" t="s">
        <v>4289</v>
      </c>
    </row>
    <row r="411" customFormat="false" ht="15" hidden="false" customHeight="false" outlineLevel="0" collapsed="false">
      <c r="A411" s="106" t="s">
        <v>4300</v>
      </c>
      <c r="B411" s="106" t="s">
        <v>4284</v>
      </c>
      <c r="C411" s="106"/>
      <c r="D411" s="106"/>
      <c r="E411" s="107" t="n">
        <v>6637</v>
      </c>
      <c r="F411" s="106" t="n">
        <v>181</v>
      </c>
      <c r="G411" s="118" t="n">
        <v>0.0273</v>
      </c>
      <c r="H411" s="116" t="n">
        <v>0.87</v>
      </c>
      <c r="I411" s="106" t="n">
        <v>14</v>
      </c>
      <c r="J411" s="117" t="n">
        <v>0.0773</v>
      </c>
      <c r="K411" s="108" t="n">
        <v>158.21</v>
      </c>
      <c r="L411" s="108" t="n">
        <v>367.71</v>
      </c>
      <c r="M411" s="117" t="n">
        <v>0.43</v>
      </c>
      <c r="N411" s="106"/>
      <c r="O411" s="106" t="s">
        <v>4291</v>
      </c>
    </row>
    <row r="412" customFormat="false" ht="15" hidden="false" customHeight="false" outlineLevel="0" collapsed="false">
      <c r="A412" s="106" t="s">
        <v>559</v>
      </c>
      <c r="B412" s="106" t="s">
        <v>4280</v>
      </c>
      <c r="C412" s="106" t="s">
        <v>4301</v>
      </c>
      <c r="D412" s="106" t="n">
        <v>19413</v>
      </c>
      <c r="E412" s="107" t="n">
        <v>2663</v>
      </c>
      <c r="F412" s="106" t="n">
        <v>160</v>
      </c>
      <c r="G412" s="118" t="n">
        <v>0.0601</v>
      </c>
      <c r="H412" s="116" t="n">
        <v>1.37</v>
      </c>
      <c r="I412" s="106" t="n">
        <v>8</v>
      </c>
      <c r="J412" s="117" t="n">
        <v>0.05</v>
      </c>
      <c r="K412" s="108" t="n">
        <v>218.82</v>
      </c>
      <c r="L412" s="108" t="n">
        <v>363.64</v>
      </c>
      <c r="M412" s="117" t="n">
        <v>0.602</v>
      </c>
      <c r="N412" s="106" t="n">
        <v>42</v>
      </c>
      <c r="O412" s="106" t="s">
        <v>4289</v>
      </c>
    </row>
    <row r="413" customFormat="false" ht="15" hidden="false" customHeight="false" outlineLevel="0" collapsed="false">
      <c r="A413" s="106" t="s">
        <v>4302</v>
      </c>
      <c r="B413" s="106" t="s">
        <v>4284</v>
      </c>
      <c r="C413" s="106"/>
      <c r="D413" s="106"/>
      <c r="E413" s="107" t="n">
        <v>9317</v>
      </c>
      <c r="F413" s="106" t="n">
        <v>157</v>
      </c>
      <c r="G413" s="118" t="n">
        <v>0.0169</v>
      </c>
      <c r="H413" s="116" t="n">
        <v>0.44</v>
      </c>
      <c r="I413" s="106" t="n">
        <v>4</v>
      </c>
      <c r="J413" s="117" t="n">
        <v>0.0255</v>
      </c>
      <c r="K413" s="108" t="n">
        <v>68.59</v>
      </c>
      <c r="L413" s="108" t="n">
        <v>125</v>
      </c>
      <c r="M413" s="117" t="n">
        <v>0.549</v>
      </c>
      <c r="N413" s="106"/>
      <c r="O413" s="106" t="s">
        <v>4282</v>
      </c>
    </row>
    <row r="414" customFormat="false" ht="15" hidden="false" customHeight="false" outlineLevel="0" collapsed="false">
      <c r="A414" s="106" t="s">
        <v>4303</v>
      </c>
      <c r="B414" s="106" t="s">
        <v>4284</v>
      </c>
      <c r="C414" s="106"/>
      <c r="D414" s="106"/>
      <c r="E414" s="107" t="n">
        <v>9370</v>
      </c>
      <c r="F414" s="106" t="n">
        <v>152</v>
      </c>
      <c r="G414" s="118" t="n">
        <v>0.0162</v>
      </c>
      <c r="H414" s="116" t="n">
        <v>0.44</v>
      </c>
      <c r="I414" s="106" t="n">
        <v>7</v>
      </c>
      <c r="J414" s="117" t="n">
        <v>0.0461</v>
      </c>
      <c r="K414" s="108" t="n">
        <v>67.57</v>
      </c>
      <c r="L414" s="108" t="n">
        <v>190.1</v>
      </c>
      <c r="M414" s="117" t="n">
        <v>0.355</v>
      </c>
      <c r="N414" s="106"/>
      <c r="O414" s="106" t="s">
        <v>4291</v>
      </c>
    </row>
    <row r="415" customFormat="false" ht="15" hidden="false" customHeight="false" outlineLevel="0" collapsed="false">
      <c r="A415" s="106" t="s">
        <v>610</v>
      </c>
      <c r="B415" s="106" t="s">
        <v>4280</v>
      </c>
      <c r="C415" s="106" t="s">
        <v>4301</v>
      </c>
      <c r="D415" s="106" t="n">
        <v>3492</v>
      </c>
      <c r="E415" s="107" t="n">
        <v>3453</v>
      </c>
      <c r="F415" s="106" t="n">
        <v>147</v>
      </c>
      <c r="G415" s="118" t="n">
        <v>0.0426</v>
      </c>
      <c r="H415" s="116" t="n">
        <v>2.3</v>
      </c>
      <c r="I415" s="106" t="n">
        <v>9</v>
      </c>
      <c r="J415" s="117" t="n">
        <v>0.0612</v>
      </c>
      <c r="K415" s="108" t="n">
        <v>337.65</v>
      </c>
      <c r="L415" s="108" t="n">
        <v>351.55</v>
      </c>
      <c r="M415" s="117" t="n">
        <v>0.96</v>
      </c>
      <c r="N415" s="106" t="n">
        <v>76</v>
      </c>
      <c r="O415" s="106" t="s">
        <v>4289</v>
      </c>
    </row>
    <row r="416" customFormat="false" ht="15" hidden="false" customHeight="false" outlineLevel="0" collapsed="false">
      <c r="A416" s="106" t="s">
        <v>4304</v>
      </c>
      <c r="B416" s="106" t="s">
        <v>4284</v>
      </c>
      <c r="C416" s="106"/>
      <c r="D416" s="106"/>
      <c r="E416" s="107" t="n">
        <v>6990</v>
      </c>
      <c r="F416" s="106" t="n">
        <v>134</v>
      </c>
      <c r="G416" s="118" t="n">
        <v>0.0192</v>
      </c>
      <c r="H416" s="116" t="n">
        <v>0.53</v>
      </c>
      <c r="I416" s="106" t="n">
        <v>21</v>
      </c>
      <c r="J416" s="117" t="n">
        <v>0.1567</v>
      </c>
      <c r="K416" s="108" t="n">
        <v>71.65</v>
      </c>
      <c r="L416" s="108" t="n">
        <v>585.65</v>
      </c>
      <c r="M416" s="117" t="n">
        <v>0.122</v>
      </c>
      <c r="N416" s="106"/>
      <c r="O416" s="106" t="s">
        <v>4285</v>
      </c>
    </row>
    <row r="417" customFormat="false" ht="15" hidden="false" customHeight="false" outlineLevel="0" collapsed="false">
      <c r="A417" s="106" t="s">
        <v>4305</v>
      </c>
      <c r="B417" s="106" t="s">
        <v>1403</v>
      </c>
      <c r="C417" s="106"/>
      <c r="D417" s="106" t="n">
        <v>25</v>
      </c>
      <c r="E417" s="107" t="n">
        <v>5666</v>
      </c>
      <c r="F417" s="106" t="n">
        <v>130</v>
      </c>
      <c r="G417" s="118" t="n">
        <v>0.0229</v>
      </c>
      <c r="H417" s="116" t="n">
        <v>1.37</v>
      </c>
      <c r="I417" s="106" t="n">
        <v>17</v>
      </c>
      <c r="J417" s="117" t="n">
        <v>0.1308</v>
      </c>
      <c r="K417" s="108" t="n">
        <v>177.74</v>
      </c>
      <c r="L417" s="108" t="n">
        <v>900.28</v>
      </c>
      <c r="M417" s="117" t="n">
        <v>0.197</v>
      </c>
      <c r="N417" s="106"/>
      <c r="O417" s="106" t="s">
        <v>4285</v>
      </c>
    </row>
    <row r="418" customFormat="false" ht="15" hidden="false" customHeight="false" outlineLevel="0" collapsed="false">
      <c r="A418" s="106" t="s">
        <v>4306</v>
      </c>
      <c r="B418" s="106" t="s">
        <v>4284</v>
      </c>
      <c r="C418" s="106"/>
      <c r="D418" s="106"/>
      <c r="E418" s="107" t="n">
        <v>6708</v>
      </c>
      <c r="F418" s="106" t="n">
        <v>126</v>
      </c>
      <c r="G418" s="118" t="n">
        <v>0.0188</v>
      </c>
      <c r="H418" s="116" t="n">
        <v>0.45</v>
      </c>
      <c r="I418" s="106" t="n">
        <v>0</v>
      </c>
      <c r="J418" s="117" t="n">
        <v>0</v>
      </c>
      <c r="K418" s="108" t="n">
        <v>56.08</v>
      </c>
      <c r="L418" s="108" t="n">
        <v>0</v>
      </c>
      <c r="M418" s="117"/>
      <c r="N418" s="106"/>
      <c r="O418" s="106" t="s">
        <v>4289</v>
      </c>
    </row>
    <row r="419" customFormat="false" ht="15" hidden="false" customHeight="false" outlineLevel="0" collapsed="false">
      <c r="A419" s="106" t="s">
        <v>4307</v>
      </c>
      <c r="B419" s="106" t="s">
        <v>4284</v>
      </c>
      <c r="C419" s="106"/>
      <c r="D419" s="106"/>
      <c r="E419" s="107" t="n">
        <v>5773</v>
      </c>
      <c r="F419" s="106" t="n">
        <v>117</v>
      </c>
      <c r="G419" s="118" t="n">
        <v>0.0203</v>
      </c>
      <c r="H419" s="116" t="n">
        <v>0.45</v>
      </c>
      <c r="I419" s="106" t="n">
        <v>9</v>
      </c>
      <c r="J419" s="117" t="n">
        <v>0.0769</v>
      </c>
      <c r="K419" s="108" t="n">
        <v>52.28</v>
      </c>
      <c r="L419" s="108" t="n">
        <v>255.4</v>
      </c>
      <c r="M419" s="117" t="n">
        <v>0.205</v>
      </c>
      <c r="N419" s="106"/>
      <c r="O419" s="106" t="s">
        <v>4285</v>
      </c>
    </row>
    <row r="420" customFormat="false" ht="15" hidden="false" customHeight="false" outlineLevel="0" collapsed="false">
      <c r="A420" s="106" t="s">
        <v>4308</v>
      </c>
      <c r="B420" s="106" t="s">
        <v>4284</v>
      </c>
      <c r="C420" s="106"/>
      <c r="D420" s="106"/>
      <c r="E420" s="107" t="n">
        <v>20677</v>
      </c>
      <c r="F420" s="106" t="n">
        <v>117</v>
      </c>
      <c r="G420" s="118" t="n">
        <v>0.0057</v>
      </c>
      <c r="H420" s="116" t="n">
        <v>0.45</v>
      </c>
      <c r="I420" s="106" t="n">
        <v>14</v>
      </c>
      <c r="J420" s="117" t="n">
        <v>0.1197</v>
      </c>
      <c r="K420" s="108" t="n">
        <v>52.53</v>
      </c>
      <c r="L420" s="108" t="n">
        <v>405.85</v>
      </c>
      <c r="M420" s="117" t="n">
        <v>0.129</v>
      </c>
      <c r="N420" s="106"/>
      <c r="O420" s="106" t="s">
        <v>4285</v>
      </c>
    </row>
    <row r="421" customFormat="false" ht="15" hidden="false" customHeight="false" outlineLevel="0" collapsed="false">
      <c r="A421" s="106" t="s">
        <v>3874</v>
      </c>
      <c r="B421" s="106" t="s">
        <v>4309</v>
      </c>
      <c r="C421" s="106"/>
      <c r="D421" s="106" t="n">
        <v>141869</v>
      </c>
      <c r="E421" s="107" t="n">
        <v>2826</v>
      </c>
      <c r="F421" s="106" t="n">
        <v>115</v>
      </c>
      <c r="G421" s="118" t="n">
        <v>0.0407</v>
      </c>
      <c r="H421" s="116" t="n">
        <v>0.62</v>
      </c>
      <c r="I421" s="106" t="n">
        <v>6</v>
      </c>
      <c r="J421" s="117" t="n">
        <v>0.0522</v>
      </c>
      <c r="K421" s="108" t="n">
        <v>71.22</v>
      </c>
      <c r="L421" s="108" t="n">
        <v>217.8</v>
      </c>
      <c r="M421" s="117" t="n">
        <v>0.327</v>
      </c>
      <c r="N421" s="106"/>
      <c r="O421" s="106" t="s">
        <v>4291</v>
      </c>
    </row>
    <row r="422" customFormat="false" ht="15" hidden="false" customHeight="false" outlineLevel="0" collapsed="false">
      <c r="A422" s="106" t="s">
        <v>4310</v>
      </c>
      <c r="B422" s="106" t="s">
        <v>4284</v>
      </c>
      <c r="C422" s="106"/>
      <c r="D422" s="106"/>
      <c r="E422" s="107" t="n">
        <v>4867</v>
      </c>
      <c r="F422" s="106" t="n">
        <v>113</v>
      </c>
      <c r="G422" s="118" t="n">
        <v>0.0232</v>
      </c>
      <c r="H422" s="116" t="n">
        <v>0.77</v>
      </c>
      <c r="I422" s="106" t="n">
        <v>11</v>
      </c>
      <c r="J422" s="117" t="n">
        <v>0.0973</v>
      </c>
      <c r="K422" s="108" t="n">
        <v>87.23</v>
      </c>
      <c r="L422" s="108" t="n">
        <v>391.5</v>
      </c>
      <c r="M422" s="117" t="n">
        <v>0.223</v>
      </c>
      <c r="N422" s="106"/>
      <c r="O422" s="106" t="s">
        <v>4285</v>
      </c>
    </row>
    <row r="423" customFormat="false" ht="15" hidden="false" customHeight="false" outlineLevel="0" collapsed="false">
      <c r="A423" s="106" t="s">
        <v>4311</v>
      </c>
      <c r="B423" s="106" t="s">
        <v>4284</v>
      </c>
      <c r="C423" s="106"/>
      <c r="D423" s="106"/>
      <c r="E423" s="107" t="n">
        <v>8454</v>
      </c>
      <c r="F423" s="106" t="n">
        <v>110</v>
      </c>
      <c r="G423" s="118" t="n">
        <v>0.013</v>
      </c>
      <c r="H423" s="116" t="n">
        <v>1.31</v>
      </c>
      <c r="I423" s="106" t="n">
        <v>15</v>
      </c>
      <c r="J423" s="117" t="n">
        <v>0.1364</v>
      </c>
      <c r="K423" s="108" t="n">
        <v>144.03</v>
      </c>
      <c r="L423" s="108" t="n">
        <v>1197.22</v>
      </c>
      <c r="M423" s="117" t="n">
        <v>0.12</v>
      </c>
      <c r="N423" s="106"/>
      <c r="O423" s="106" t="s">
        <v>4285</v>
      </c>
    </row>
    <row r="424" customFormat="false" ht="15" hidden="false" customHeight="false" outlineLevel="0" collapsed="false">
      <c r="A424" s="106" t="s">
        <v>4312</v>
      </c>
      <c r="B424" s="106" t="s">
        <v>4284</v>
      </c>
      <c r="C424" s="106"/>
      <c r="D424" s="106"/>
      <c r="E424" s="107" t="n">
        <v>4280</v>
      </c>
      <c r="F424" s="106" t="n">
        <v>105</v>
      </c>
      <c r="G424" s="118" t="n">
        <v>0.0245</v>
      </c>
      <c r="H424" s="116" t="n">
        <v>0.79</v>
      </c>
      <c r="I424" s="106" t="n">
        <v>21</v>
      </c>
      <c r="J424" s="117" t="n">
        <v>0.2</v>
      </c>
      <c r="K424" s="108" t="n">
        <v>82.64</v>
      </c>
      <c r="L424" s="108" t="n">
        <v>612.16</v>
      </c>
      <c r="M424" s="117" t="n">
        <v>0.135</v>
      </c>
      <c r="N424" s="106"/>
      <c r="O424" s="106" t="s">
        <v>4285</v>
      </c>
    </row>
    <row r="425" customFormat="false" ht="15" hidden="false" customHeight="false" outlineLevel="0" collapsed="false">
      <c r="A425" s="106" t="s">
        <v>4313</v>
      </c>
      <c r="B425" s="106" t="s">
        <v>4309</v>
      </c>
      <c r="C425" s="106"/>
      <c r="D425" s="106" t="n">
        <v>18413</v>
      </c>
      <c r="E425" s="107" t="n">
        <v>3258</v>
      </c>
      <c r="F425" s="106" t="n">
        <v>104</v>
      </c>
      <c r="G425" s="118" t="n">
        <v>0.0319</v>
      </c>
      <c r="H425" s="116" t="n">
        <v>0.58</v>
      </c>
      <c r="I425" s="106" t="n">
        <v>3</v>
      </c>
      <c r="J425" s="117" t="n">
        <v>0.0288</v>
      </c>
      <c r="K425" s="108" t="n">
        <v>59.9</v>
      </c>
      <c r="L425" s="108" t="n">
        <v>111.95</v>
      </c>
      <c r="M425" s="117" t="n">
        <v>0.535</v>
      </c>
      <c r="N425" s="106"/>
      <c r="O425" s="106" t="s">
        <v>4282</v>
      </c>
    </row>
    <row r="426" customFormat="false" ht="15" hidden="false" customHeight="false" outlineLevel="0" collapsed="false">
      <c r="A426" s="106" t="s">
        <v>4314</v>
      </c>
      <c r="B426" s="106" t="s">
        <v>4284</v>
      </c>
      <c r="C426" s="106"/>
      <c r="D426" s="106"/>
      <c r="E426" s="107" t="n">
        <v>4627</v>
      </c>
      <c r="F426" s="106" t="n">
        <v>103</v>
      </c>
      <c r="G426" s="118" t="n">
        <v>0.0223</v>
      </c>
      <c r="H426" s="116" t="n">
        <v>0.45</v>
      </c>
      <c r="I426" s="106" t="n">
        <v>8</v>
      </c>
      <c r="J426" s="117" t="n">
        <v>0.0777</v>
      </c>
      <c r="K426" s="108" t="n">
        <v>45.98</v>
      </c>
      <c r="L426" s="108" t="n">
        <v>287</v>
      </c>
      <c r="M426" s="117" t="n">
        <v>0.16</v>
      </c>
      <c r="N426" s="106"/>
      <c r="O426" s="106" t="s">
        <v>4285</v>
      </c>
    </row>
    <row r="427" customFormat="false" ht="15" hidden="false" customHeight="false" outlineLevel="0" collapsed="false">
      <c r="A427" s="106" t="s">
        <v>4315</v>
      </c>
      <c r="B427" s="106" t="s">
        <v>4284</v>
      </c>
      <c r="C427" s="106"/>
      <c r="D427" s="106"/>
      <c r="E427" s="107" t="n">
        <v>5304</v>
      </c>
      <c r="F427" s="106" t="n">
        <v>97</v>
      </c>
      <c r="G427" s="118" t="n">
        <v>0.0183</v>
      </c>
      <c r="H427" s="116" t="n">
        <v>0.86</v>
      </c>
      <c r="I427" s="106" t="n">
        <v>9</v>
      </c>
      <c r="J427" s="117" t="n">
        <v>0.0928</v>
      </c>
      <c r="K427" s="108" t="n">
        <v>83.02</v>
      </c>
      <c r="L427" s="108" t="n">
        <v>269.76</v>
      </c>
      <c r="M427" s="117" t="n">
        <v>0.308</v>
      </c>
      <c r="N427" s="106"/>
      <c r="O427" s="106" t="s">
        <v>4291</v>
      </c>
    </row>
    <row r="428" customFormat="false" ht="15" hidden="false" customHeight="false" outlineLevel="0" collapsed="false">
      <c r="A428" s="106" t="s">
        <v>4316</v>
      </c>
      <c r="B428" s="106" t="s">
        <v>4284</v>
      </c>
      <c r="C428" s="106"/>
      <c r="D428" s="106"/>
      <c r="E428" s="107" t="n">
        <v>4507</v>
      </c>
      <c r="F428" s="106" t="n">
        <v>91</v>
      </c>
      <c r="G428" s="118" t="n">
        <v>0.0202</v>
      </c>
      <c r="H428" s="116" t="n">
        <v>0.88</v>
      </c>
      <c r="I428" s="106" t="n">
        <v>15</v>
      </c>
      <c r="J428" s="117" t="n">
        <v>0.1648</v>
      </c>
      <c r="K428" s="108" t="n">
        <v>80</v>
      </c>
      <c r="L428" s="108" t="n">
        <v>436.01</v>
      </c>
      <c r="M428" s="117" t="n">
        <v>0.183</v>
      </c>
      <c r="N428" s="106"/>
      <c r="O428" s="106" t="s">
        <v>4285</v>
      </c>
    </row>
    <row r="429" customFormat="false" ht="15" hidden="false" customHeight="false" outlineLevel="0" collapsed="false">
      <c r="A429" s="106" t="s">
        <v>4317</v>
      </c>
      <c r="B429" s="106" t="s">
        <v>4309</v>
      </c>
      <c r="C429" s="106"/>
      <c r="D429" s="106" t="n">
        <v>4356</v>
      </c>
      <c r="E429" s="107" t="n">
        <v>9106</v>
      </c>
      <c r="F429" s="106" t="n">
        <v>90</v>
      </c>
      <c r="G429" s="118" t="n">
        <v>0.0099</v>
      </c>
      <c r="H429" s="116" t="n">
        <v>1.44</v>
      </c>
      <c r="I429" s="106" t="n">
        <v>2</v>
      </c>
      <c r="J429" s="117" t="n">
        <v>0.0222</v>
      </c>
      <c r="K429" s="108" t="n">
        <v>130.03</v>
      </c>
      <c r="L429" s="108" t="n">
        <v>72.1</v>
      </c>
      <c r="M429" s="117" t="n">
        <v>1.803</v>
      </c>
      <c r="N429" s="106"/>
      <c r="O429" s="106" t="s">
        <v>4289</v>
      </c>
    </row>
    <row r="430" customFormat="false" ht="15" hidden="false" customHeight="false" outlineLevel="0" collapsed="false">
      <c r="A430" s="106" t="s">
        <v>4318</v>
      </c>
      <c r="B430" s="106" t="s">
        <v>4284</v>
      </c>
      <c r="C430" s="106"/>
      <c r="D430" s="106"/>
      <c r="E430" s="107" t="n">
        <v>4537</v>
      </c>
      <c r="F430" s="106" t="n">
        <v>89</v>
      </c>
      <c r="G430" s="118" t="n">
        <v>0.0196</v>
      </c>
      <c r="H430" s="116" t="n">
        <v>0.57</v>
      </c>
      <c r="I430" s="106" t="n">
        <v>20</v>
      </c>
      <c r="J430" s="117" t="n">
        <v>0.2247</v>
      </c>
      <c r="K430" s="108" t="n">
        <v>51.12</v>
      </c>
      <c r="L430" s="108" t="n">
        <v>755.94</v>
      </c>
      <c r="M430" s="117" t="n">
        <v>0.068</v>
      </c>
      <c r="N430" s="106"/>
      <c r="O430" s="106" t="s">
        <v>4285</v>
      </c>
    </row>
    <row r="431" customFormat="false" ht="15" hidden="false" customHeight="false" outlineLevel="0" collapsed="false">
      <c r="A431" s="106" t="s">
        <v>234</v>
      </c>
      <c r="B431" s="106" t="s">
        <v>4280</v>
      </c>
      <c r="C431" s="106" t="s">
        <v>4281</v>
      </c>
      <c r="D431" s="106" t="n">
        <v>4728</v>
      </c>
      <c r="E431" s="107" t="n">
        <v>5624</v>
      </c>
      <c r="F431" s="106" t="n">
        <v>88</v>
      </c>
      <c r="G431" s="118" t="n">
        <v>0.0156</v>
      </c>
      <c r="H431" s="116" t="n">
        <v>1.04</v>
      </c>
      <c r="I431" s="106" t="n">
        <v>4</v>
      </c>
      <c r="J431" s="117" t="n">
        <v>0.0455</v>
      </c>
      <c r="K431" s="108" t="n">
        <v>91.91</v>
      </c>
      <c r="L431" s="108" t="n">
        <v>139.84</v>
      </c>
      <c r="M431" s="117" t="n">
        <v>0.657</v>
      </c>
      <c r="N431" s="106" t="n">
        <v>21</v>
      </c>
      <c r="O431" s="106" t="s">
        <v>4289</v>
      </c>
    </row>
    <row r="432" customFormat="false" ht="15" hidden="false" customHeight="false" outlineLevel="0" collapsed="false">
      <c r="A432" s="106" t="s">
        <v>391</v>
      </c>
      <c r="B432" s="106" t="s">
        <v>4280</v>
      </c>
      <c r="C432" s="106" t="s">
        <v>4288</v>
      </c>
      <c r="D432" s="106" t="n">
        <v>12715</v>
      </c>
      <c r="E432" s="107" t="n">
        <v>1365</v>
      </c>
      <c r="F432" s="106" t="n">
        <v>87</v>
      </c>
      <c r="G432" s="118" t="n">
        <v>0.0637</v>
      </c>
      <c r="H432" s="116" t="n">
        <v>1.29</v>
      </c>
      <c r="I432" s="106" t="n">
        <v>8</v>
      </c>
      <c r="J432" s="117" t="n">
        <v>0.092</v>
      </c>
      <c r="K432" s="108" t="n">
        <v>112.02</v>
      </c>
      <c r="L432" s="108" t="n">
        <v>319.6</v>
      </c>
      <c r="M432" s="117" t="n">
        <v>0.351</v>
      </c>
      <c r="N432" s="106" t="n">
        <v>26</v>
      </c>
      <c r="O432" s="106" t="s">
        <v>4291</v>
      </c>
    </row>
    <row r="433" customFormat="false" ht="15" hidden="false" customHeight="false" outlineLevel="0" collapsed="false">
      <c r="A433" s="106" t="s">
        <v>4319</v>
      </c>
      <c r="B433" s="106" t="s">
        <v>4284</v>
      </c>
      <c r="C433" s="106"/>
      <c r="D433" s="106"/>
      <c r="E433" s="107" t="n">
        <v>8928</v>
      </c>
      <c r="F433" s="106" t="n">
        <v>87</v>
      </c>
      <c r="G433" s="118" t="n">
        <v>0.0097</v>
      </c>
      <c r="H433" s="116" t="n">
        <v>0.74</v>
      </c>
      <c r="I433" s="106" t="n">
        <v>5</v>
      </c>
      <c r="J433" s="117" t="n">
        <v>0.0575</v>
      </c>
      <c r="K433" s="108" t="n">
        <v>64.5</v>
      </c>
      <c r="L433" s="108" t="n">
        <v>154.55</v>
      </c>
      <c r="M433" s="117" t="n">
        <v>0.417</v>
      </c>
      <c r="N433" s="106"/>
      <c r="O433" s="106" t="s">
        <v>4291</v>
      </c>
    </row>
    <row r="434" customFormat="false" ht="15" hidden="false" customHeight="false" outlineLevel="0" collapsed="false">
      <c r="A434" s="106" t="s">
        <v>4320</v>
      </c>
      <c r="B434" s="106" t="s">
        <v>4284</v>
      </c>
      <c r="C434" s="106"/>
      <c r="D434" s="106"/>
      <c r="E434" s="107" t="n">
        <v>3825</v>
      </c>
      <c r="F434" s="106" t="n">
        <v>86</v>
      </c>
      <c r="G434" s="118" t="n">
        <v>0.0225</v>
      </c>
      <c r="H434" s="116" t="n">
        <v>0.44</v>
      </c>
      <c r="I434" s="106" t="n">
        <v>3</v>
      </c>
      <c r="J434" s="117" t="n">
        <v>0.0349</v>
      </c>
      <c r="K434" s="108" t="n">
        <v>37.72</v>
      </c>
      <c r="L434" s="108" t="n">
        <v>97.85</v>
      </c>
      <c r="M434" s="117" t="n">
        <v>0.385</v>
      </c>
      <c r="N434" s="106"/>
      <c r="O434" s="106" t="s">
        <v>4321</v>
      </c>
    </row>
    <row r="435" customFormat="false" ht="15" hidden="false" customHeight="false" outlineLevel="0" collapsed="false">
      <c r="A435" s="106" t="s">
        <v>3886</v>
      </c>
      <c r="B435" s="106" t="s">
        <v>4309</v>
      </c>
      <c r="C435" s="106"/>
      <c r="D435" s="106" t="n">
        <v>113557</v>
      </c>
      <c r="E435" s="107" t="n">
        <v>16971</v>
      </c>
      <c r="F435" s="106" t="n">
        <v>84</v>
      </c>
      <c r="G435" s="118" t="n">
        <v>0.0049</v>
      </c>
      <c r="H435" s="116" t="n">
        <v>0.69</v>
      </c>
      <c r="I435" s="106" t="n">
        <v>1</v>
      </c>
      <c r="J435" s="117" t="n">
        <v>0.0119</v>
      </c>
      <c r="K435" s="108" t="n">
        <v>57.69</v>
      </c>
      <c r="L435" s="108" t="n">
        <v>37.95</v>
      </c>
      <c r="M435" s="117" t="n">
        <v>1.52</v>
      </c>
      <c r="N435" s="106"/>
      <c r="O435" s="106" t="s">
        <v>4289</v>
      </c>
    </row>
    <row r="436" customFormat="false" ht="15" hidden="false" customHeight="false" outlineLevel="0" collapsed="false">
      <c r="A436" s="106" t="s">
        <v>4322</v>
      </c>
      <c r="B436" s="106" t="s">
        <v>4284</v>
      </c>
      <c r="C436" s="106"/>
      <c r="D436" s="106"/>
      <c r="E436" s="107" t="n">
        <v>3196</v>
      </c>
      <c r="F436" s="106" t="n">
        <v>84</v>
      </c>
      <c r="G436" s="118" t="n">
        <v>0.0263</v>
      </c>
      <c r="H436" s="116" t="n">
        <v>0.82</v>
      </c>
      <c r="I436" s="106" t="n">
        <v>7</v>
      </c>
      <c r="J436" s="117" t="n">
        <v>0.0833</v>
      </c>
      <c r="K436" s="108" t="n">
        <v>68.73</v>
      </c>
      <c r="L436" s="108" t="n">
        <v>216.86</v>
      </c>
      <c r="M436" s="117" t="n">
        <v>0.317</v>
      </c>
      <c r="N436" s="106"/>
      <c r="O436" s="106" t="s">
        <v>4291</v>
      </c>
    </row>
    <row r="437" customFormat="false" ht="15" hidden="false" customHeight="false" outlineLevel="0" collapsed="false">
      <c r="A437" s="106" t="s">
        <v>4323</v>
      </c>
      <c r="B437" s="106" t="s">
        <v>4284</v>
      </c>
      <c r="C437" s="106"/>
      <c r="D437" s="106" t="n">
        <v>51852</v>
      </c>
      <c r="E437" s="107" t="n">
        <v>2484</v>
      </c>
      <c r="F437" s="106" t="n">
        <v>84</v>
      </c>
      <c r="G437" s="118" t="n">
        <v>0.0338</v>
      </c>
      <c r="H437" s="116" t="n">
        <v>0.55</v>
      </c>
      <c r="I437" s="106" t="n">
        <v>6</v>
      </c>
      <c r="J437" s="117" t="n">
        <v>0.0714</v>
      </c>
      <c r="K437" s="108" t="n">
        <v>46.51</v>
      </c>
      <c r="L437" s="108" t="n">
        <v>176</v>
      </c>
      <c r="M437" s="117" t="n">
        <v>0.264</v>
      </c>
      <c r="N437" s="106"/>
      <c r="O437" s="106" t="s">
        <v>4285</v>
      </c>
    </row>
    <row r="438" customFormat="false" ht="15" hidden="false" customHeight="false" outlineLevel="0" collapsed="false">
      <c r="A438" s="106" t="s">
        <v>3875</v>
      </c>
      <c r="B438" s="106" t="s">
        <v>4309</v>
      </c>
      <c r="C438" s="106"/>
      <c r="D438" s="106" t="n">
        <v>40723</v>
      </c>
      <c r="E438" s="107" t="n">
        <v>9557</v>
      </c>
      <c r="F438" s="106" t="n">
        <v>81</v>
      </c>
      <c r="G438" s="118" t="n">
        <v>0.0085</v>
      </c>
      <c r="H438" s="116" t="n">
        <v>0.7</v>
      </c>
      <c r="I438" s="106" t="n">
        <v>5</v>
      </c>
      <c r="J438" s="117" t="n">
        <v>0.0617</v>
      </c>
      <c r="K438" s="108" t="n">
        <v>56.55</v>
      </c>
      <c r="L438" s="108" t="n">
        <v>187.85</v>
      </c>
      <c r="M438" s="117" t="n">
        <v>0.301</v>
      </c>
      <c r="N438" s="106"/>
      <c r="O438" s="106" t="s">
        <v>4291</v>
      </c>
    </row>
    <row r="439" customFormat="false" ht="15" hidden="false" customHeight="false" outlineLevel="0" collapsed="false">
      <c r="A439" s="106" t="s">
        <v>4324</v>
      </c>
      <c r="B439" s="106" t="s">
        <v>4284</v>
      </c>
      <c r="C439" s="106"/>
      <c r="D439" s="106"/>
      <c r="E439" s="107" t="n">
        <v>6466</v>
      </c>
      <c r="F439" s="106" t="n">
        <v>78</v>
      </c>
      <c r="G439" s="118" t="n">
        <v>0.0121</v>
      </c>
      <c r="H439" s="116" t="n">
        <v>0.45</v>
      </c>
      <c r="I439" s="106" t="n">
        <v>3</v>
      </c>
      <c r="J439" s="117" t="n">
        <v>0.0385</v>
      </c>
      <c r="K439" s="108" t="n">
        <v>35.33</v>
      </c>
      <c r="L439" s="108" t="n">
        <v>84.39</v>
      </c>
      <c r="M439" s="117" t="n">
        <v>0.419</v>
      </c>
      <c r="N439" s="106"/>
      <c r="O439" s="106" t="s">
        <v>4321</v>
      </c>
    </row>
    <row r="440" customFormat="false" ht="15" hidden="false" customHeight="false" outlineLevel="0" collapsed="false">
      <c r="A440" s="106" t="s">
        <v>4325</v>
      </c>
      <c r="B440" s="106" t="s">
        <v>4284</v>
      </c>
      <c r="C440" s="106"/>
      <c r="D440" s="106" t="n">
        <v>7792</v>
      </c>
      <c r="E440" s="107" t="n">
        <v>2461</v>
      </c>
      <c r="F440" s="106" t="n">
        <v>77</v>
      </c>
      <c r="G440" s="118" t="n">
        <v>0.0313</v>
      </c>
      <c r="H440" s="116" t="n">
        <v>0.48</v>
      </c>
      <c r="I440" s="106" t="n">
        <v>8</v>
      </c>
      <c r="J440" s="117" t="n">
        <v>0.1039</v>
      </c>
      <c r="K440" s="108" t="n">
        <v>37.16</v>
      </c>
      <c r="L440" s="108" t="n">
        <v>222.85</v>
      </c>
      <c r="M440" s="117" t="n">
        <v>0.167</v>
      </c>
      <c r="N440" s="106"/>
      <c r="O440" s="106" t="s">
        <v>4285</v>
      </c>
    </row>
    <row r="441" customFormat="false" ht="15" hidden="false" customHeight="false" outlineLevel="0" collapsed="false">
      <c r="A441" s="106" t="s">
        <v>4326</v>
      </c>
      <c r="B441" s="106" t="s">
        <v>4284</v>
      </c>
      <c r="C441" s="106"/>
      <c r="D441" s="106"/>
      <c r="E441" s="107" t="n">
        <v>2272</v>
      </c>
      <c r="F441" s="106" t="n">
        <v>77</v>
      </c>
      <c r="G441" s="118" t="n">
        <v>0.0339</v>
      </c>
      <c r="H441" s="116" t="n">
        <v>0.87</v>
      </c>
      <c r="I441" s="106" t="n">
        <v>10</v>
      </c>
      <c r="J441" s="117" t="n">
        <v>0.1299</v>
      </c>
      <c r="K441" s="108" t="n">
        <v>66.62</v>
      </c>
      <c r="L441" s="108" t="n">
        <v>263.02</v>
      </c>
      <c r="M441" s="117" t="n">
        <v>0.253</v>
      </c>
      <c r="N441" s="106"/>
      <c r="O441" s="106" t="s">
        <v>4285</v>
      </c>
    </row>
    <row r="442" customFormat="false" ht="15" hidden="false" customHeight="false" outlineLevel="0" collapsed="false">
      <c r="A442" s="106" t="s">
        <v>4327</v>
      </c>
      <c r="B442" s="106" t="s">
        <v>1403</v>
      </c>
      <c r="C442" s="106"/>
      <c r="D442" s="106" t="n">
        <v>355</v>
      </c>
      <c r="E442" s="107" t="n">
        <v>4524</v>
      </c>
      <c r="F442" s="106" t="n">
        <v>75</v>
      </c>
      <c r="G442" s="118" t="n">
        <v>0.0166</v>
      </c>
      <c r="H442" s="116" t="n">
        <v>1.28</v>
      </c>
      <c r="I442" s="106" t="n">
        <v>9</v>
      </c>
      <c r="J442" s="117" t="n">
        <v>0.12</v>
      </c>
      <c r="K442" s="108" t="n">
        <v>96.22</v>
      </c>
      <c r="L442" s="108" t="n">
        <v>314.12</v>
      </c>
      <c r="M442" s="117" t="n">
        <v>0.306</v>
      </c>
      <c r="N442" s="106"/>
      <c r="O442" s="106" t="s">
        <v>4291</v>
      </c>
    </row>
    <row r="443" customFormat="false" ht="15" hidden="false" customHeight="false" outlineLevel="0" collapsed="false">
      <c r="A443" s="106" t="s">
        <v>4328</v>
      </c>
      <c r="B443" s="106" t="s">
        <v>4329</v>
      </c>
      <c r="C443" s="106"/>
      <c r="D443" s="106" t="n">
        <v>1817</v>
      </c>
      <c r="E443" s="107" t="n">
        <v>1091</v>
      </c>
      <c r="F443" s="106" t="n">
        <v>71</v>
      </c>
      <c r="G443" s="118" t="n">
        <v>0.0651</v>
      </c>
      <c r="H443" s="116" t="n">
        <v>0.59</v>
      </c>
      <c r="I443" s="106" t="n">
        <v>1</v>
      </c>
      <c r="J443" s="117" t="n">
        <v>0.0141</v>
      </c>
      <c r="K443" s="108" t="n">
        <v>41.68</v>
      </c>
      <c r="L443" s="108" t="n">
        <v>37.95</v>
      </c>
      <c r="M443" s="117" t="n">
        <v>1.098</v>
      </c>
      <c r="N443" s="106"/>
      <c r="O443" s="106" t="s">
        <v>4289</v>
      </c>
    </row>
    <row r="444" customFormat="false" ht="15" hidden="false" customHeight="false" outlineLevel="0" collapsed="false">
      <c r="A444" s="106" t="s">
        <v>4330</v>
      </c>
      <c r="B444" s="106" t="s">
        <v>4284</v>
      </c>
      <c r="C444" s="106"/>
      <c r="D444" s="106"/>
      <c r="E444" s="107" t="n">
        <v>1940</v>
      </c>
      <c r="F444" s="106" t="n">
        <v>68</v>
      </c>
      <c r="G444" s="118" t="n">
        <v>0.0351</v>
      </c>
      <c r="H444" s="116" t="n">
        <v>0.63</v>
      </c>
      <c r="I444" s="106" t="n">
        <v>13</v>
      </c>
      <c r="J444" s="117" t="n">
        <v>0.1912</v>
      </c>
      <c r="K444" s="108" t="n">
        <v>42.63</v>
      </c>
      <c r="L444" s="108" t="n">
        <v>388.38</v>
      </c>
      <c r="M444" s="117" t="n">
        <v>0.11</v>
      </c>
      <c r="N444" s="106"/>
      <c r="O444" s="106" t="s">
        <v>4285</v>
      </c>
    </row>
    <row r="445" customFormat="false" ht="15" hidden="false" customHeight="false" outlineLevel="0" collapsed="false">
      <c r="A445" s="106" t="s">
        <v>513</v>
      </c>
      <c r="B445" s="106" t="s">
        <v>4280</v>
      </c>
      <c r="C445" s="106" t="s">
        <v>4287</v>
      </c>
      <c r="D445" s="106" t="n">
        <v>1216</v>
      </c>
      <c r="E445" s="107" t="n">
        <v>776</v>
      </c>
      <c r="F445" s="106" t="n">
        <v>67</v>
      </c>
      <c r="G445" s="118" t="n">
        <v>0.0863</v>
      </c>
      <c r="H445" s="116" t="n">
        <v>1.26</v>
      </c>
      <c r="I445" s="106" t="n">
        <v>5</v>
      </c>
      <c r="J445" s="117" t="n">
        <v>0.0746</v>
      </c>
      <c r="K445" s="108" t="n">
        <v>84.7</v>
      </c>
      <c r="L445" s="108" t="n">
        <v>177.93</v>
      </c>
      <c r="M445" s="117" t="n">
        <v>0.476</v>
      </c>
      <c r="N445" s="106" t="n">
        <v>46</v>
      </c>
      <c r="O445" s="106" t="s">
        <v>4282</v>
      </c>
    </row>
    <row r="446" customFormat="false" ht="15" hidden="false" customHeight="false" outlineLevel="0" collapsed="false">
      <c r="A446" s="106" t="s">
        <v>4331</v>
      </c>
      <c r="B446" s="106" t="s">
        <v>4280</v>
      </c>
      <c r="C446" s="106" t="s">
        <v>4281</v>
      </c>
      <c r="D446" s="106" t="n">
        <v>2632</v>
      </c>
      <c r="E446" s="107" t="n">
        <v>5864</v>
      </c>
      <c r="F446" s="106" t="n">
        <v>67</v>
      </c>
      <c r="G446" s="118" t="n">
        <v>0.0114</v>
      </c>
      <c r="H446" s="116" t="n">
        <v>1.24</v>
      </c>
      <c r="I446" s="106" t="n">
        <v>3</v>
      </c>
      <c r="J446" s="117" t="n">
        <v>0.0448</v>
      </c>
      <c r="K446" s="108" t="n">
        <v>82.81</v>
      </c>
      <c r="L446" s="108" t="n">
        <v>111.95</v>
      </c>
      <c r="M446" s="117" t="n">
        <v>0.74</v>
      </c>
      <c r="N446" s="106" t="n">
        <v>25</v>
      </c>
      <c r="O446" s="106" t="s">
        <v>4289</v>
      </c>
    </row>
    <row r="447" customFormat="false" ht="15" hidden="false" customHeight="false" outlineLevel="0" collapsed="false">
      <c r="A447" s="106" t="s">
        <v>4332</v>
      </c>
      <c r="B447" s="106" t="s">
        <v>4284</v>
      </c>
      <c r="C447" s="106"/>
      <c r="D447" s="106"/>
      <c r="E447" s="107" t="n">
        <v>1477</v>
      </c>
      <c r="F447" s="106" t="n">
        <v>67</v>
      </c>
      <c r="G447" s="118" t="n">
        <v>0.0454</v>
      </c>
      <c r="H447" s="116" t="n">
        <v>0.87</v>
      </c>
      <c r="I447" s="106" t="n">
        <v>5</v>
      </c>
      <c r="J447" s="117" t="n">
        <v>0.0746</v>
      </c>
      <c r="K447" s="108" t="n">
        <v>58.12</v>
      </c>
      <c r="L447" s="108" t="n">
        <v>152.76</v>
      </c>
      <c r="M447" s="117" t="n">
        <v>0.38</v>
      </c>
      <c r="N447" s="106"/>
      <c r="O447" s="106" t="s">
        <v>4291</v>
      </c>
    </row>
    <row r="448" customFormat="false" ht="15" hidden="false" customHeight="false" outlineLevel="0" collapsed="false">
      <c r="A448" s="106" t="s">
        <v>4333</v>
      </c>
      <c r="B448" s="106" t="s">
        <v>4284</v>
      </c>
      <c r="C448" s="106"/>
      <c r="D448" s="106"/>
      <c r="E448" s="107" t="n">
        <v>1755</v>
      </c>
      <c r="F448" s="106" t="n">
        <v>66</v>
      </c>
      <c r="G448" s="118" t="n">
        <v>0.0376</v>
      </c>
      <c r="H448" s="116" t="n">
        <v>0.82</v>
      </c>
      <c r="I448" s="106" t="n">
        <v>8</v>
      </c>
      <c r="J448" s="117" t="n">
        <v>0.1212</v>
      </c>
      <c r="K448" s="108" t="n">
        <v>54.05</v>
      </c>
      <c r="L448" s="108" t="n">
        <v>236.8</v>
      </c>
      <c r="M448" s="117" t="n">
        <v>0.228</v>
      </c>
      <c r="N448" s="106"/>
      <c r="O448" s="106" t="s">
        <v>4285</v>
      </c>
    </row>
    <row r="449" customFormat="false" ht="15" hidden="false" customHeight="false" outlineLevel="0" collapsed="false">
      <c r="A449" s="106" t="s">
        <v>341</v>
      </c>
      <c r="B449" s="106" t="s">
        <v>4280</v>
      </c>
      <c r="C449" s="106" t="s">
        <v>4281</v>
      </c>
      <c r="D449" s="106" t="n">
        <v>924</v>
      </c>
      <c r="E449" s="107" t="n">
        <v>2056</v>
      </c>
      <c r="F449" s="106" t="n">
        <v>65</v>
      </c>
      <c r="G449" s="118" t="n">
        <v>0.0316</v>
      </c>
      <c r="H449" s="116" t="n">
        <v>1</v>
      </c>
      <c r="I449" s="106" t="n">
        <v>2</v>
      </c>
      <c r="J449" s="117" t="n">
        <v>0.0308</v>
      </c>
      <c r="K449" s="108" t="n">
        <v>65.13</v>
      </c>
      <c r="L449" s="108" t="n">
        <v>74</v>
      </c>
      <c r="M449" s="117" t="n">
        <v>0.88</v>
      </c>
      <c r="N449" s="106" t="n">
        <v>32</v>
      </c>
      <c r="O449" s="106" t="s">
        <v>4289</v>
      </c>
    </row>
    <row r="450" customFormat="false" ht="15" hidden="false" customHeight="false" outlineLevel="0" collapsed="false">
      <c r="A450" s="106" t="s">
        <v>4334</v>
      </c>
      <c r="B450" s="106" t="s">
        <v>4284</v>
      </c>
      <c r="C450" s="106"/>
      <c r="D450" s="106"/>
      <c r="E450" s="107" t="n">
        <v>2934</v>
      </c>
      <c r="F450" s="106" t="n">
        <v>65</v>
      </c>
      <c r="G450" s="118" t="n">
        <v>0.0222</v>
      </c>
      <c r="H450" s="116" t="n">
        <v>0.63</v>
      </c>
      <c r="I450" s="106" t="n">
        <v>6</v>
      </c>
      <c r="J450" s="117" t="n">
        <v>0.0923</v>
      </c>
      <c r="K450" s="108" t="n">
        <v>40.74</v>
      </c>
      <c r="L450" s="108" t="n">
        <v>225.8</v>
      </c>
      <c r="M450" s="117" t="n">
        <v>0.18</v>
      </c>
      <c r="N450" s="106"/>
      <c r="O450" s="106" t="s">
        <v>4285</v>
      </c>
    </row>
    <row r="451" customFormat="false" ht="15" hidden="false" customHeight="false" outlineLevel="0" collapsed="false">
      <c r="A451" s="106" t="s">
        <v>4335</v>
      </c>
      <c r="B451" s="106" t="s">
        <v>4284</v>
      </c>
      <c r="C451" s="106"/>
      <c r="D451" s="106"/>
      <c r="E451" s="107" t="n">
        <v>1983</v>
      </c>
      <c r="F451" s="106" t="n">
        <v>64</v>
      </c>
      <c r="G451" s="118" t="n">
        <v>0.0323</v>
      </c>
      <c r="H451" s="116" t="n">
        <v>0.86</v>
      </c>
      <c r="I451" s="106" t="n">
        <v>7</v>
      </c>
      <c r="J451" s="117" t="n">
        <v>0.1094</v>
      </c>
      <c r="K451" s="108" t="n">
        <v>55.24</v>
      </c>
      <c r="L451" s="108" t="n">
        <v>215.64</v>
      </c>
      <c r="M451" s="117" t="n">
        <v>0.256</v>
      </c>
      <c r="N451" s="106"/>
      <c r="O451" s="106" t="s">
        <v>4285</v>
      </c>
    </row>
    <row r="452" customFormat="false" ht="15" hidden="false" customHeight="false" outlineLevel="0" collapsed="false">
      <c r="A452" s="106" t="s">
        <v>4336</v>
      </c>
      <c r="B452" s="106" t="s">
        <v>4284</v>
      </c>
      <c r="C452" s="106"/>
      <c r="D452" s="106"/>
      <c r="E452" s="107" t="n">
        <v>2392</v>
      </c>
      <c r="F452" s="106" t="n">
        <v>64</v>
      </c>
      <c r="G452" s="118" t="n">
        <v>0.0268</v>
      </c>
      <c r="H452" s="116" t="n">
        <v>0.82</v>
      </c>
      <c r="I452" s="106" t="n">
        <v>9</v>
      </c>
      <c r="J452" s="117" t="n">
        <v>0.1406</v>
      </c>
      <c r="K452" s="108" t="n">
        <v>52.77</v>
      </c>
      <c r="L452" s="108" t="n">
        <v>264.58</v>
      </c>
      <c r="M452" s="117" t="n">
        <v>0.199</v>
      </c>
      <c r="N452" s="106"/>
      <c r="O452" s="106" t="s">
        <v>4285</v>
      </c>
    </row>
    <row r="453" customFormat="false" ht="15" hidden="false" customHeight="false" outlineLevel="0" collapsed="false">
      <c r="A453" s="106" t="s">
        <v>3872</v>
      </c>
      <c r="B453" s="106" t="s">
        <v>4297</v>
      </c>
      <c r="C453" s="106" t="s">
        <v>4337</v>
      </c>
      <c r="D453" s="106" t="n">
        <v>21541</v>
      </c>
      <c r="E453" s="107" t="n">
        <v>1198</v>
      </c>
      <c r="F453" s="106" t="n">
        <v>64</v>
      </c>
      <c r="G453" s="118" t="n">
        <v>0.0534</v>
      </c>
      <c r="H453" s="116" t="n">
        <v>0.76</v>
      </c>
      <c r="I453" s="106" t="n">
        <v>6</v>
      </c>
      <c r="J453" s="117" t="n">
        <v>0.0938</v>
      </c>
      <c r="K453" s="108" t="n">
        <v>48.67</v>
      </c>
      <c r="L453" s="108" t="n">
        <v>233.69</v>
      </c>
      <c r="M453" s="117" t="n">
        <v>0.208</v>
      </c>
      <c r="N453" s="106" t="n">
        <v>94</v>
      </c>
      <c r="O453" s="106" t="s">
        <v>4285</v>
      </c>
    </row>
    <row r="454" customFormat="false" ht="15" hidden="false" customHeight="false" outlineLevel="0" collapsed="false">
      <c r="A454" s="106" t="s">
        <v>4338</v>
      </c>
      <c r="B454" s="106" t="s">
        <v>4284</v>
      </c>
      <c r="C454" s="106"/>
      <c r="D454" s="106"/>
      <c r="E454" s="107" t="n">
        <v>1779</v>
      </c>
      <c r="F454" s="106" t="n">
        <v>63</v>
      </c>
      <c r="G454" s="118" t="n">
        <v>0.0354</v>
      </c>
      <c r="H454" s="116" t="n">
        <v>0.83</v>
      </c>
      <c r="I454" s="106" t="n">
        <v>4</v>
      </c>
      <c r="J454" s="117" t="n">
        <v>0.0635</v>
      </c>
      <c r="K454" s="108" t="n">
        <v>52.4</v>
      </c>
      <c r="L454" s="108" t="n">
        <v>125.61</v>
      </c>
      <c r="M454" s="117" t="n">
        <v>0.417</v>
      </c>
      <c r="N454" s="106"/>
      <c r="O454" s="106" t="s">
        <v>4321</v>
      </c>
    </row>
    <row r="455" customFormat="false" ht="15" hidden="false" customHeight="false" outlineLevel="0" collapsed="false">
      <c r="A455" s="106" t="s">
        <v>4339</v>
      </c>
      <c r="B455" s="106" t="s">
        <v>4284</v>
      </c>
      <c r="C455" s="106"/>
      <c r="D455" s="106"/>
      <c r="E455" s="107" t="n">
        <v>1755</v>
      </c>
      <c r="F455" s="106" t="n">
        <v>62</v>
      </c>
      <c r="G455" s="118" t="n">
        <v>0.0353</v>
      </c>
      <c r="H455" s="116" t="n">
        <v>0.86</v>
      </c>
      <c r="I455" s="106" t="n">
        <v>4</v>
      </c>
      <c r="J455" s="117" t="n">
        <v>0.0645</v>
      </c>
      <c r="K455" s="108" t="n">
        <v>53.61</v>
      </c>
      <c r="L455" s="108" t="n">
        <v>126.2</v>
      </c>
      <c r="M455" s="117" t="n">
        <v>0.425</v>
      </c>
      <c r="N455" s="106"/>
      <c r="O455" s="106" t="s">
        <v>4321</v>
      </c>
    </row>
    <row r="456" customFormat="false" ht="15" hidden="false" customHeight="false" outlineLevel="0" collapsed="false">
      <c r="A456" s="106" t="s">
        <v>4340</v>
      </c>
      <c r="B456" s="106" t="s">
        <v>4309</v>
      </c>
      <c r="C456" s="106"/>
      <c r="D456" s="106" t="n">
        <v>56962</v>
      </c>
      <c r="E456" s="107" t="n">
        <v>1695</v>
      </c>
      <c r="F456" s="106" t="n">
        <v>62</v>
      </c>
      <c r="G456" s="118" t="n">
        <v>0.0366</v>
      </c>
      <c r="H456" s="116" t="n">
        <v>0.58</v>
      </c>
      <c r="I456" s="106" t="n">
        <v>4</v>
      </c>
      <c r="J456" s="117" t="n">
        <v>0.0645</v>
      </c>
      <c r="K456" s="108" t="n">
        <v>36.02</v>
      </c>
      <c r="L456" s="108" t="n">
        <v>151.8</v>
      </c>
      <c r="M456" s="117" t="n">
        <v>0.237</v>
      </c>
      <c r="N456" s="106"/>
      <c r="O456" s="106" t="s">
        <v>4285</v>
      </c>
    </row>
    <row r="457" customFormat="false" ht="15" hidden="false" customHeight="false" outlineLevel="0" collapsed="false">
      <c r="A457" s="106" t="s">
        <v>4341</v>
      </c>
      <c r="B457" s="106" t="s">
        <v>4284</v>
      </c>
      <c r="C457" s="106"/>
      <c r="D457" s="106"/>
      <c r="E457" s="107" t="n">
        <v>1830</v>
      </c>
      <c r="F457" s="106" t="n">
        <v>60</v>
      </c>
      <c r="G457" s="118" t="n">
        <v>0.0328</v>
      </c>
      <c r="H457" s="116" t="n">
        <v>0.82</v>
      </c>
      <c r="I457" s="106" t="n">
        <v>7</v>
      </c>
      <c r="J457" s="117" t="n">
        <v>0.1167</v>
      </c>
      <c r="K457" s="108" t="n">
        <v>49.43</v>
      </c>
      <c r="L457" s="108" t="n">
        <v>218.18</v>
      </c>
      <c r="M457" s="117" t="n">
        <v>0.227</v>
      </c>
      <c r="N457" s="106"/>
      <c r="O457" s="106" t="s">
        <v>4285</v>
      </c>
    </row>
    <row r="458" customFormat="false" ht="15" hidden="false" customHeight="false" outlineLevel="0" collapsed="false">
      <c r="A458" s="106" t="s">
        <v>4342</v>
      </c>
      <c r="B458" s="106" t="s">
        <v>4284</v>
      </c>
      <c r="C458" s="106"/>
      <c r="D458" s="106"/>
      <c r="E458" s="107" t="n">
        <v>4482</v>
      </c>
      <c r="F458" s="106" t="n">
        <v>60</v>
      </c>
      <c r="G458" s="118" t="n">
        <v>0.0134</v>
      </c>
      <c r="H458" s="116" t="n">
        <v>0.75</v>
      </c>
      <c r="I458" s="106" t="n">
        <v>8</v>
      </c>
      <c r="J458" s="117" t="n">
        <v>0.1333</v>
      </c>
      <c r="K458" s="108" t="n">
        <v>44.89</v>
      </c>
      <c r="L458" s="108" t="n">
        <v>261.29</v>
      </c>
      <c r="M458" s="117" t="n">
        <v>0.172</v>
      </c>
      <c r="N458" s="106"/>
      <c r="O458" s="106" t="s">
        <v>4285</v>
      </c>
    </row>
    <row r="459" customFormat="false" ht="15" hidden="false" customHeight="false" outlineLevel="0" collapsed="false">
      <c r="A459" s="106" t="s">
        <v>4343</v>
      </c>
      <c r="B459" s="106" t="s">
        <v>4284</v>
      </c>
      <c r="C459" s="106"/>
      <c r="D459" s="106"/>
      <c r="E459" s="107" t="n">
        <v>7398</v>
      </c>
      <c r="F459" s="106" t="n">
        <v>60</v>
      </c>
      <c r="G459" s="118" t="n">
        <v>0.0081</v>
      </c>
      <c r="H459" s="116" t="n">
        <v>0.44</v>
      </c>
      <c r="I459" s="106" t="n">
        <v>4</v>
      </c>
      <c r="J459" s="117" t="n">
        <v>0.0667</v>
      </c>
      <c r="K459" s="108" t="n">
        <v>26.64</v>
      </c>
      <c r="L459" s="108" t="n">
        <v>86.96</v>
      </c>
      <c r="M459" s="117" t="n">
        <v>0.306</v>
      </c>
      <c r="N459" s="106"/>
      <c r="O459" s="106" t="s">
        <v>4321</v>
      </c>
    </row>
    <row r="460" customFormat="false" ht="15" hidden="false" customHeight="false" outlineLevel="0" collapsed="false">
      <c r="A460" s="106" t="s">
        <v>4344</v>
      </c>
      <c r="B460" s="106" t="s">
        <v>4284</v>
      </c>
      <c r="C460" s="106"/>
      <c r="D460" s="106"/>
      <c r="E460" s="107" t="n">
        <v>2402</v>
      </c>
      <c r="F460" s="106" t="n">
        <v>59</v>
      </c>
      <c r="G460" s="118" t="n">
        <v>0.0246</v>
      </c>
      <c r="H460" s="116" t="n">
        <v>0.43</v>
      </c>
      <c r="I460" s="106" t="n">
        <v>16</v>
      </c>
      <c r="J460" s="117" t="n">
        <v>0.2712</v>
      </c>
      <c r="K460" s="108" t="n">
        <v>25.29</v>
      </c>
      <c r="L460" s="108" t="n">
        <v>532.64</v>
      </c>
      <c r="M460" s="117" t="n">
        <v>0.047</v>
      </c>
      <c r="N460" s="106"/>
      <c r="O460" s="106" t="s">
        <v>4285</v>
      </c>
    </row>
    <row r="461" customFormat="false" ht="15" hidden="false" customHeight="false" outlineLevel="0" collapsed="false">
      <c r="A461" s="106" t="s">
        <v>3871</v>
      </c>
      <c r="B461" s="106" t="s">
        <v>4297</v>
      </c>
      <c r="C461" s="106" t="s">
        <v>4345</v>
      </c>
      <c r="D461" s="106" t="n">
        <v>30200</v>
      </c>
      <c r="E461" s="107" t="n">
        <v>1378</v>
      </c>
      <c r="F461" s="106" t="n">
        <v>59</v>
      </c>
      <c r="G461" s="118" t="n">
        <v>0.0428</v>
      </c>
      <c r="H461" s="116" t="n">
        <v>0.6</v>
      </c>
      <c r="I461" s="106" t="n">
        <v>10</v>
      </c>
      <c r="J461" s="117" t="n">
        <v>0.1695</v>
      </c>
      <c r="K461" s="108" t="n">
        <v>35.27</v>
      </c>
      <c r="L461" s="108" t="n">
        <v>424.74</v>
      </c>
      <c r="M461" s="117" t="n">
        <v>0.083</v>
      </c>
      <c r="N461" s="106" t="n">
        <v>97</v>
      </c>
      <c r="O461" s="106" t="s">
        <v>4285</v>
      </c>
    </row>
    <row r="462" customFormat="false" ht="15" hidden="false" customHeight="false" outlineLevel="0" collapsed="false">
      <c r="A462" s="106" t="s">
        <v>4346</v>
      </c>
      <c r="B462" s="106" t="s">
        <v>4284</v>
      </c>
      <c r="C462" s="106"/>
      <c r="D462" s="106" t="n">
        <v>15189</v>
      </c>
      <c r="E462" s="107" t="n">
        <v>2464</v>
      </c>
      <c r="F462" s="106" t="n">
        <v>58</v>
      </c>
      <c r="G462" s="118" t="n">
        <v>0.0235</v>
      </c>
      <c r="H462" s="116" t="n">
        <v>0.52</v>
      </c>
      <c r="I462" s="106" t="n">
        <v>2</v>
      </c>
      <c r="J462" s="117" t="n">
        <v>0.0345</v>
      </c>
      <c r="K462" s="108" t="n">
        <v>29.97</v>
      </c>
      <c r="L462" s="108" t="n">
        <v>63.44</v>
      </c>
      <c r="M462" s="117" t="n">
        <v>0.472</v>
      </c>
      <c r="N462" s="106"/>
      <c r="O462" s="106" t="s">
        <v>4282</v>
      </c>
    </row>
    <row r="463" customFormat="false" ht="15" hidden="false" customHeight="false" outlineLevel="0" collapsed="false">
      <c r="A463" s="106" t="s">
        <v>4347</v>
      </c>
      <c r="B463" s="106" t="s">
        <v>4284</v>
      </c>
      <c r="C463" s="106"/>
      <c r="D463" s="106"/>
      <c r="E463" s="107" t="n">
        <v>1403</v>
      </c>
      <c r="F463" s="106" t="n">
        <v>58</v>
      </c>
      <c r="G463" s="118" t="n">
        <v>0.0413</v>
      </c>
      <c r="H463" s="116" t="n">
        <v>0.45</v>
      </c>
      <c r="I463" s="106" t="n">
        <v>5</v>
      </c>
      <c r="J463" s="117" t="n">
        <v>0.0862</v>
      </c>
      <c r="K463" s="108" t="n">
        <v>25.96</v>
      </c>
      <c r="L463" s="108" t="n">
        <v>181.05</v>
      </c>
      <c r="M463" s="117" t="n">
        <v>0.143</v>
      </c>
      <c r="N463" s="106"/>
      <c r="O463" s="106" t="s">
        <v>4285</v>
      </c>
    </row>
    <row r="464" customFormat="false" ht="15" hidden="false" customHeight="false" outlineLevel="0" collapsed="false">
      <c r="A464" s="106" t="s">
        <v>4348</v>
      </c>
      <c r="B464" s="106" t="s">
        <v>4284</v>
      </c>
      <c r="C464" s="106"/>
      <c r="D464" s="106" t="n">
        <v>30210</v>
      </c>
      <c r="E464" s="107" t="n">
        <v>1516</v>
      </c>
      <c r="F464" s="106" t="n">
        <v>57</v>
      </c>
      <c r="G464" s="118" t="n">
        <v>0.0376</v>
      </c>
      <c r="H464" s="116" t="n">
        <v>0.55</v>
      </c>
      <c r="I464" s="106" t="n">
        <v>4</v>
      </c>
      <c r="J464" s="117" t="n">
        <v>0.0702</v>
      </c>
      <c r="K464" s="108" t="n">
        <v>31.59</v>
      </c>
      <c r="L464" s="108" t="n">
        <v>135.01</v>
      </c>
      <c r="M464" s="117" t="n">
        <v>0.234</v>
      </c>
      <c r="N464" s="106"/>
      <c r="O464" s="106" t="s">
        <v>4285</v>
      </c>
    </row>
    <row r="465" customFormat="false" ht="15" hidden="false" customHeight="false" outlineLevel="0" collapsed="false">
      <c r="A465" s="106" t="s">
        <v>4349</v>
      </c>
      <c r="B465" s="106" t="s">
        <v>4284</v>
      </c>
      <c r="C465" s="106"/>
      <c r="D465" s="106"/>
      <c r="E465" s="107" t="n">
        <v>1683</v>
      </c>
      <c r="F465" s="106" t="n">
        <v>56</v>
      </c>
      <c r="G465" s="118" t="n">
        <v>0.0333</v>
      </c>
      <c r="H465" s="116" t="n">
        <v>0.83</v>
      </c>
      <c r="I465" s="106" t="n">
        <v>5</v>
      </c>
      <c r="J465" s="117" t="n">
        <v>0.0893</v>
      </c>
      <c r="K465" s="108" t="n">
        <v>46.42</v>
      </c>
      <c r="L465" s="108" t="n">
        <v>161.01</v>
      </c>
      <c r="M465" s="117" t="n">
        <v>0.288</v>
      </c>
      <c r="N465" s="106"/>
      <c r="O465" s="106" t="s">
        <v>4291</v>
      </c>
    </row>
    <row r="466" customFormat="false" ht="15" hidden="false" customHeight="false" outlineLevel="0" collapsed="false">
      <c r="A466" s="106" t="s">
        <v>4350</v>
      </c>
      <c r="B466" s="106" t="s">
        <v>4309</v>
      </c>
      <c r="C466" s="106"/>
      <c r="D466" s="106" t="n">
        <v>27749</v>
      </c>
      <c r="E466" s="107" t="n">
        <v>2352</v>
      </c>
      <c r="F466" s="106" t="n">
        <v>55</v>
      </c>
      <c r="G466" s="118" t="n">
        <v>0.0234</v>
      </c>
      <c r="H466" s="116" t="n">
        <v>0.59</v>
      </c>
      <c r="I466" s="106" t="n">
        <v>0</v>
      </c>
      <c r="J466" s="117" t="n">
        <v>0</v>
      </c>
      <c r="K466" s="108" t="n">
        <v>32.27</v>
      </c>
      <c r="L466" s="108" t="n">
        <v>0</v>
      </c>
      <c r="M466" s="117"/>
      <c r="N466" s="106"/>
      <c r="O466" s="106" t="s">
        <v>4289</v>
      </c>
    </row>
    <row r="467" customFormat="false" ht="15" hidden="false" customHeight="false" outlineLevel="0" collapsed="false">
      <c r="A467" s="106" t="s">
        <v>4351</v>
      </c>
      <c r="B467" s="106" t="s">
        <v>4284</v>
      </c>
      <c r="C467" s="106"/>
      <c r="D467" s="106"/>
      <c r="E467" s="107" t="n">
        <v>1624</v>
      </c>
      <c r="F467" s="106" t="n">
        <v>54</v>
      </c>
      <c r="G467" s="118" t="n">
        <v>0.0333</v>
      </c>
      <c r="H467" s="116" t="n">
        <v>0.82</v>
      </c>
      <c r="I467" s="106" t="n">
        <v>10</v>
      </c>
      <c r="J467" s="117" t="n">
        <v>0.1852</v>
      </c>
      <c r="K467" s="108" t="n">
        <v>44.5</v>
      </c>
      <c r="L467" s="108" t="n">
        <v>338.11</v>
      </c>
      <c r="M467" s="117" t="n">
        <v>0.132</v>
      </c>
      <c r="N467" s="106"/>
      <c r="O467" s="106" t="s">
        <v>4285</v>
      </c>
    </row>
    <row r="468" customFormat="false" ht="15" hidden="false" customHeight="false" outlineLevel="0" collapsed="false">
      <c r="A468" s="106" t="s">
        <v>4352</v>
      </c>
      <c r="B468" s="106" t="s">
        <v>4284</v>
      </c>
      <c r="C468" s="106"/>
      <c r="D468" s="106" t="n">
        <v>12374</v>
      </c>
      <c r="E468" s="107" t="n">
        <v>1956</v>
      </c>
      <c r="F468" s="106" t="n">
        <v>53</v>
      </c>
      <c r="G468" s="118" t="n">
        <v>0.0271</v>
      </c>
      <c r="H468" s="116" t="n">
        <v>0.52</v>
      </c>
      <c r="I468" s="106" t="n">
        <v>1</v>
      </c>
      <c r="J468" s="117" t="n">
        <v>0.0189</v>
      </c>
      <c r="K468" s="108" t="n">
        <v>27.72</v>
      </c>
      <c r="L468" s="108" t="n">
        <v>17.95</v>
      </c>
      <c r="M468" s="117" t="n">
        <v>1.544</v>
      </c>
      <c r="N468" s="106"/>
      <c r="O468" s="106" t="s">
        <v>4289</v>
      </c>
    </row>
    <row r="469" customFormat="false" ht="15" hidden="false" customHeight="false" outlineLevel="0" collapsed="false">
      <c r="A469" s="106" t="s">
        <v>4353</v>
      </c>
      <c r="B469" s="106" t="s">
        <v>4284</v>
      </c>
      <c r="C469" s="106"/>
      <c r="D469" s="106"/>
      <c r="E469" s="107" t="n">
        <v>2245</v>
      </c>
      <c r="F469" s="106" t="n">
        <v>53</v>
      </c>
      <c r="G469" s="118" t="n">
        <v>0.0236</v>
      </c>
      <c r="H469" s="116" t="n">
        <v>0.45</v>
      </c>
      <c r="I469" s="106" t="n">
        <v>1</v>
      </c>
      <c r="J469" s="117" t="n">
        <v>0.0189</v>
      </c>
      <c r="K469" s="108" t="n">
        <v>23.59</v>
      </c>
      <c r="L469" s="108" t="n">
        <v>33.95</v>
      </c>
      <c r="M469" s="117" t="n">
        <v>0.695</v>
      </c>
      <c r="N469" s="106"/>
      <c r="O469" s="106" t="s">
        <v>4289</v>
      </c>
    </row>
    <row r="470" customFormat="false" ht="15" hidden="false" customHeight="false" outlineLevel="0" collapsed="false">
      <c r="A470" s="106" t="s">
        <v>4354</v>
      </c>
      <c r="B470" s="106" t="s">
        <v>4284</v>
      </c>
      <c r="C470" s="106"/>
      <c r="D470" s="106"/>
      <c r="E470" s="107" t="n">
        <v>855</v>
      </c>
      <c r="F470" s="106" t="n">
        <v>52</v>
      </c>
      <c r="G470" s="118" t="n">
        <v>0.0608</v>
      </c>
      <c r="H470" s="116" t="n">
        <v>0.35</v>
      </c>
      <c r="I470" s="106" t="n">
        <v>0</v>
      </c>
      <c r="J470" s="117" t="n">
        <v>0</v>
      </c>
      <c r="K470" s="108" t="n">
        <v>18.01</v>
      </c>
      <c r="L470" s="108" t="n">
        <v>0</v>
      </c>
      <c r="M470" s="117"/>
      <c r="N470" s="106"/>
      <c r="O470" s="106" t="s">
        <v>4289</v>
      </c>
    </row>
    <row r="471" customFormat="false" ht="15" hidden="false" customHeight="false" outlineLevel="0" collapsed="false">
      <c r="A471" s="106" t="s">
        <v>4355</v>
      </c>
      <c r="B471" s="106" t="s">
        <v>4284</v>
      </c>
      <c r="C471" s="106"/>
      <c r="D471" s="106"/>
      <c r="E471" s="107" t="n">
        <v>1466</v>
      </c>
      <c r="F471" s="106" t="n">
        <v>52</v>
      </c>
      <c r="G471" s="118" t="n">
        <v>0.0355</v>
      </c>
      <c r="H471" s="116" t="n">
        <v>0.86</v>
      </c>
      <c r="I471" s="106" t="n">
        <v>4</v>
      </c>
      <c r="J471" s="117" t="n">
        <v>0.0769</v>
      </c>
      <c r="K471" s="108" t="n">
        <v>44.65</v>
      </c>
      <c r="L471" s="108" t="n">
        <v>118.8</v>
      </c>
      <c r="M471" s="117" t="n">
        <v>0.376</v>
      </c>
      <c r="N471" s="106"/>
      <c r="O471" s="106" t="s">
        <v>4321</v>
      </c>
    </row>
    <row r="472" customFormat="false" ht="15" hidden="false" customHeight="false" outlineLevel="0" collapsed="false">
      <c r="A472" s="106" t="s">
        <v>1462</v>
      </c>
      <c r="B472" s="106" t="s">
        <v>4280</v>
      </c>
      <c r="C472" s="106" t="s">
        <v>4288</v>
      </c>
      <c r="D472" s="106" t="n">
        <v>1023</v>
      </c>
      <c r="E472" s="107" t="n">
        <v>482</v>
      </c>
      <c r="F472" s="106" t="n">
        <v>52</v>
      </c>
      <c r="G472" s="118" t="n">
        <v>0.1079</v>
      </c>
      <c r="H472" s="116" t="n">
        <v>3.44</v>
      </c>
      <c r="I472" s="106" t="n">
        <v>2</v>
      </c>
      <c r="J472" s="117" t="n">
        <v>0.0385</v>
      </c>
      <c r="K472" s="108" t="n">
        <v>178.83</v>
      </c>
      <c r="L472" s="108" t="n">
        <v>77.9</v>
      </c>
      <c r="M472" s="117" t="n">
        <v>2.296</v>
      </c>
      <c r="N472" s="106" t="n">
        <v>26</v>
      </c>
      <c r="O472" s="106" t="s">
        <v>4289</v>
      </c>
    </row>
    <row r="473" customFormat="false" ht="15" hidden="false" customHeight="false" outlineLevel="0" collapsed="false">
      <c r="A473" s="106" t="s">
        <v>4356</v>
      </c>
      <c r="B473" s="106" t="s">
        <v>4284</v>
      </c>
      <c r="C473" s="106"/>
      <c r="D473" s="106"/>
      <c r="E473" s="107" t="n">
        <v>1693</v>
      </c>
      <c r="F473" s="106" t="n">
        <v>51</v>
      </c>
      <c r="G473" s="118" t="n">
        <v>0.0301</v>
      </c>
      <c r="H473" s="116" t="n">
        <v>0.8</v>
      </c>
      <c r="I473" s="106" t="n">
        <v>8</v>
      </c>
      <c r="J473" s="117" t="n">
        <v>0.1569</v>
      </c>
      <c r="K473" s="108" t="n">
        <v>40.96</v>
      </c>
      <c r="L473" s="108" t="n">
        <v>265.55</v>
      </c>
      <c r="M473" s="117" t="n">
        <v>0.154</v>
      </c>
      <c r="N473" s="106"/>
      <c r="O473" s="106" t="s">
        <v>4285</v>
      </c>
    </row>
    <row r="474" customFormat="false" ht="15" hidden="false" customHeight="false" outlineLevel="0" collapsed="false">
      <c r="A474" s="106" t="s">
        <v>4357</v>
      </c>
      <c r="B474" s="106" t="s">
        <v>4284</v>
      </c>
      <c r="C474" s="106"/>
      <c r="D474" s="106"/>
      <c r="E474" s="107" t="n">
        <v>1523</v>
      </c>
      <c r="F474" s="106" t="n">
        <v>51</v>
      </c>
      <c r="G474" s="118" t="n">
        <v>0.0335</v>
      </c>
      <c r="H474" s="116" t="n">
        <v>0.76</v>
      </c>
      <c r="I474" s="106" t="n">
        <v>4</v>
      </c>
      <c r="J474" s="117" t="n">
        <v>0.0784</v>
      </c>
      <c r="K474" s="108" t="n">
        <v>38.85</v>
      </c>
      <c r="L474" s="108" t="n">
        <v>118.85</v>
      </c>
      <c r="M474" s="117" t="n">
        <v>0.327</v>
      </c>
      <c r="N474" s="106"/>
      <c r="O474" s="106" t="s">
        <v>4321</v>
      </c>
    </row>
    <row r="475" customFormat="false" ht="15" hidden="false" customHeight="false" outlineLevel="0" collapsed="false">
      <c r="A475" s="106" t="s">
        <v>4358</v>
      </c>
      <c r="B475" s="106" t="s">
        <v>4309</v>
      </c>
      <c r="C475" s="106"/>
      <c r="D475" s="106" t="n">
        <v>43812</v>
      </c>
      <c r="E475" s="107" t="n">
        <v>1098</v>
      </c>
      <c r="F475" s="106" t="n">
        <v>51</v>
      </c>
      <c r="G475" s="118" t="n">
        <v>0.0464</v>
      </c>
      <c r="H475" s="116" t="n">
        <v>0.54</v>
      </c>
      <c r="I475" s="106" t="n">
        <v>2</v>
      </c>
      <c r="J475" s="117" t="n">
        <v>0.0392</v>
      </c>
      <c r="K475" s="108" t="n">
        <v>27.76</v>
      </c>
      <c r="L475" s="108" t="n">
        <v>77.9</v>
      </c>
      <c r="M475" s="117" t="n">
        <v>0.356</v>
      </c>
      <c r="N475" s="106"/>
      <c r="O475" s="106" t="s">
        <v>4321</v>
      </c>
    </row>
    <row r="476" customFormat="false" ht="15" hidden="false" customHeight="false" outlineLevel="0" collapsed="false">
      <c r="A476" s="106" t="s">
        <v>4359</v>
      </c>
      <c r="B476" s="106" t="s">
        <v>4284</v>
      </c>
      <c r="C476" s="106"/>
      <c r="D476" s="106"/>
      <c r="E476" s="107" t="n">
        <v>1383</v>
      </c>
      <c r="F476" s="106" t="n">
        <v>50</v>
      </c>
      <c r="G476" s="118" t="n">
        <v>0.0362</v>
      </c>
      <c r="H476" s="116" t="n">
        <v>0.88</v>
      </c>
      <c r="I476" s="106" t="n">
        <v>9</v>
      </c>
      <c r="J476" s="117" t="n">
        <v>0.18</v>
      </c>
      <c r="K476" s="108" t="n">
        <v>44.11</v>
      </c>
      <c r="L476" s="108" t="n">
        <v>281.07</v>
      </c>
      <c r="M476" s="117" t="n">
        <v>0.157</v>
      </c>
      <c r="N476" s="106"/>
      <c r="O476" s="106" t="s">
        <v>4285</v>
      </c>
    </row>
    <row r="477" customFormat="false" ht="15" hidden="false" customHeight="false" outlineLevel="0" collapsed="false">
      <c r="A477" s="106" t="s">
        <v>4360</v>
      </c>
      <c r="B477" s="106" t="s">
        <v>4284</v>
      </c>
      <c r="C477" s="106"/>
      <c r="D477" s="106"/>
      <c r="E477" s="107" t="n">
        <v>1740</v>
      </c>
      <c r="F477" s="106" t="n">
        <v>50</v>
      </c>
      <c r="G477" s="118" t="n">
        <v>0.0287</v>
      </c>
      <c r="H477" s="116" t="n">
        <v>0.85</v>
      </c>
      <c r="I477" s="106" t="n">
        <v>15</v>
      </c>
      <c r="J477" s="117" t="n">
        <v>0.3</v>
      </c>
      <c r="K477" s="108" t="n">
        <v>42.63</v>
      </c>
      <c r="L477" s="108" t="n">
        <v>522.4</v>
      </c>
      <c r="M477" s="117" t="n">
        <v>0.082</v>
      </c>
      <c r="N477" s="106"/>
      <c r="O477" s="106" t="s">
        <v>4285</v>
      </c>
    </row>
    <row r="478" customFormat="false" ht="15" hidden="false" customHeight="false" outlineLevel="0" collapsed="false">
      <c r="A478" s="106" t="s">
        <v>4361</v>
      </c>
      <c r="B478" s="106" t="s">
        <v>4284</v>
      </c>
      <c r="C478" s="106"/>
      <c r="D478" s="106" t="n">
        <v>186091</v>
      </c>
      <c r="E478" s="107" t="n">
        <v>1012</v>
      </c>
      <c r="F478" s="106" t="n">
        <v>49</v>
      </c>
      <c r="G478" s="118" t="n">
        <v>0.0484</v>
      </c>
      <c r="H478" s="116" t="n">
        <v>0.59</v>
      </c>
      <c r="I478" s="106" t="n">
        <v>2</v>
      </c>
      <c r="J478" s="117" t="n">
        <v>0.0408</v>
      </c>
      <c r="K478" s="108" t="n">
        <v>28.77</v>
      </c>
      <c r="L478" s="108" t="n">
        <v>74</v>
      </c>
      <c r="M478" s="117" t="n">
        <v>0.389</v>
      </c>
      <c r="N478" s="106"/>
      <c r="O478" s="106" t="s">
        <v>4321</v>
      </c>
    </row>
    <row r="479" customFormat="false" ht="15" hidden="false" customHeight="false" outlineLevel="0" collapsed="false">
      <c r="A479" s="106" t="s">
        <v>4362</v>
      </c>
      <c r="B479" s="106" t="s">
        <v>4284</v>
      </c>
      <c r="C479" s="106"/>
      <c r="D479" s="106"/>
      <c r="E479" s="107" t="n">
        <v>2590</v>
      </c>
      <c r="F479" s="106" t="n">
        <v>49</v>
      </c>
      <c r="G479" s="118" t="n">
        <v>0.0189</v>
      </c>
      <c r="H479" s="116" t="n">
        <v>0.6</v>
      </c>
      <c r="I479" s="106" t="n">
        <v>1</v>
      </c>
      <c r="J479" s="117" t="n">
        <v>0.0204</v>
      </c>
      <c r="K479" s="108" t="n">
        <v>29.62</v>
      </c>
      <c r="L479" s="108" t="n">
        <v>36.05</v>
      </c>
      <c r="M479" s="117" t="n">
        <v>0.822</v>
      </c>
      <c r="N479" s="106"/>
      <c r="O479" s="106" t="s">
        <v>4289</v>
      </c>
    </row>
    <row r="480" customFormat="false" ht="15" hidden="false" customHeight="false" outlineLevel="0" collapsed="false">
      <c r="A480" s="106" t="s">
        <v>4363</v>
      </c>
      <c r="B480" s="106" t="s">
        <v>4329</v>
      </c>
      <c r="C480" s="106"/>
      <c r="D480" s="106" t="n">
        <v>1109</v>
      </c>
      <c r="E480" s="107" t="n">
        <v>584</v>
      </c>
      <c r="F480" s="106" t="n">
        <v>49</v>
      </c>
      <c r="G480" s="118" t="n">
        <v>0.0839</v>
      </c>
      <c r="H480" s="116" t="n">
        <v>0.62</v>
      </c>
      <c r="I480" s="106" t="n">
        <v>0</v>
      </c>
      <c r="J480" s="117" t="n">
        <v>0</v>
      </c>
      <c r="K480" s="108" t="n">
        <v>30.22</v>
      </c>
      <c r="L480" s="108" t="n">
        <v>0</v>
      </c>
      <c r="M480" s="117"/>
      <c r="N480" s="106" t="n">
        <v>19</v>
      </c>
      <c r="O480" s="106" t="s">
        <v>4289</v>
      </c>
    </row>
    <row r="481" customFormat="false" ht="15" hidden="false" customHeight="false" outlineLevel="0" collapsed="false">
      <c r="A481" s="106" t="s">
        <v>445</v>
      </c>
      <c r="B481" s="106" t="s">
        <v>4280</v>
      </c>
      <c r="C481" s="106" t="s">
        <v>4364</v>
      </c>
      <c r="D481" s="106" t="n">
        <v>672</v>
      </c>
      <c r="E481" s="107" t="n">
        <v>1272</v>
      </c>
      <c r="F481" s="106" t="n">
        <v>48</v>
      </c>
      <c r="G481" s="118" t="n">
        <v>0.0377</v>
      </c>
      <c r="H481" s="116" t="n">
        <v>1.59</v>
      </c>
      <c r="I481" s="106" t="n">
        <v>2</v>
      </c>
      <c r="J481" s="117" t="n">
        <v>0.0417</v>
      </c>
      <c r="K481" s="108" t="n">
        <v>76.29</v>
      </c>
      <c r="L481" s="108" t="n">
        <v>71.91</v>
      </c>
      <c r="M481" s="117" t="n">
        <v>1.061</v>
      </c>
      <c r="N481" s="106" t="n">
        <v>42</v>
      </c>
      <c r="O481" s="106" t="s">
        <v>4289</v>
      </c>
    </row>
    <row r="482" customFormat="false" ht="15" hidden="false" customHeight="false" outlineLevel="0" collapsed="false">
      <c r="A482" s="106" t="s">
        <v>4365</v>
      </c>
      <c r="B482" s="106" t="s">
        <v>4284</v>
      </c>
      <c r="C482" s="106"/>
      <c r="D482" s="106"/>
      <c r="E482" s="107" t="n">
        <v>1764</v>
      </c>
      <c r="F482" s="106" t="n">
        <v>47</v>
      </c>
      <c r="G482" s="118" t="n">
        <v>0.0266</v>
      </c>
      <c r="H482" s="116" t="n">
        <v>0.79</v>
      </c>
      <c r="I482" s="106" t="n">
        <v>5</v>
      </c>
      <c r="J482" s="117" t="n">
        <v>0.1064</v>
      </c>
      <c r="K482" s="108" t="n">
        <v>37.21</v>
      </c>
      <c r="L482" s="108" t="n">
        <v>159.75</v>
      </c>
      <c r="M482" s="117" t="n">
        <v>0.233</v>
      </c>
      <c r="N482" s="106"/>
      <c r="O482" s="106" t="s">
        <v>4285</v>
      </c>
    </row>
    <row r="483" customFormat="false" ht="15" hidden="false" customHeight="false" outlineLevel="0" collapsed="false">
      <c r="A483" s="106" t="s">
        <v>4366</v>
      </c>
      <c r="B483" s="106" t="s">
        <v>4284</v>
      </c>
      <c r="C483" s="106"/>
      <c r="D483" s="106"/>
      <c r="E483" s="107" t="n">
        <v>757</v>
      </c>
      <c r="F483" s="106" t="n">
        <v>46</v>
      </c>
      <c r="G483" s="118" t="n">
        <v>0.0608</v>
      </c>
      <c r="H483" s="116" t="n">
        <v>0.44</v>
      </c>
      <c r="I483" s="106" t="n">
        <v>5</v>
      </c>
      <c r="J483" s="117" t="n">
        <v>0.1087</v>
      </c>
      <c r="K483" s="108" t="n">
        <v>20.33</v>
      </c>
      <c r="L483" s="108" t="n">
        <v>177.75</v>
      </c>
      <c r="M483" s="117" t="n">
        <v>0.114</v>
      </c>
      <c r="N483" s="106"/>
      <c r="O483" s="106" t="s">
        <v>4285</v>
      </c>
    </row>
    <row r="484" customFormat="false" ht="15" hidden="false" customHeight="false" outlineLevel="0" collapsed="false">
      <c r="A484" s="106" t="s">
        <v>4367</v>
      </c>
      <c r="B484" s="106" t="s">
        <v>4284</v>
      </c>
      <c r="C484" s="106"/>
      <c r="D484" s="106"/>
      <c r="E484" s="107" t="n">
        <v>1278</v>
      </c>
      <c r="F484" s="106" t="n">
        <v>46</v>
      </c>
      <c r="G484" s="118" t="n">
        <v>0.036</v>
      </c>
      <c r="H484" s="116" t="n">
        <v>0.83</v>
      </c>
      <c r="I484" s="106" t="n">
        <v>11</v>
      </c>
      <c r="J484" s="117" t="n">
        <v>0.2391</v>
      </c>
      <c r="K484" s="108" t="n">
        <v>38.06</v>
      </c>
      <c r="L484" s="108" t="n">
        <v>385.21</v>
      </c>
      <c r="M484" s="117" t="n">
        <v>0.099</v>
      </c>
      <c r="N484" s="106"/>
      <c r="O484" s="106" t="s">
        <v>4285</v>
      </c>
    </row>
    <row r="485" customFormat="false" ht="15" hidden="false" customHeight="false" outlineLevel="0" collapsed="false">
      <c r="A485" s="106" t="s">
        <v>3815</v>
      </c>
      <c r="B485" s="106" t="s">
        <v>4280</v>
      </c>
      <c r="C485" s="106" t="s">
        <v>4281</v>
      </c>
      <c r="D485" s="106" t="n">
        <v>2976</v>
      </c>
      <c r="E485" s="107" t="n">
        <v>600</v>
      </c>
      <c r="F485" s="106" t="n">
        <v>46</v>
      </c>
      <c r="G485" s="118" t="n">
        <v>0.0767</v>
      </c>
      <c r="H485" s="116" t="n">
        <v>2.12</v>
      </c>
      <c r="I485" s="106" t="n">
        <v>2</v>
      </c>
      <c r="J485" s="117" t="n">
        <v>0.0435</v>
      </c>
      <c r="K485" s="108" t="n">
        <v>97.33</v>
      </c>
      <c r="L485" s="108" t="n">
        <v>75.9</v>
      </c>
      <c r="M485" s="117" t="n">
        <v>1.282</v>
      </c>
      <c r="N485" s="106" t="n">
        <v>21</v>
      </c>
      <c r="O485" s="106" t="s">
        <v>4289</v>
      </c>
    </row>
    <row r="486" customFormat="false" ht="15" hidden="false" customHeight="false" outlineLevel="0" collapsed="false">
      <c r="A486" s="106" t="s">
        <v>4368</v>
      </c>
      <c r="B486" s="106" t="s">
        <v>4284</v>
      </c>
      <c r="C486" s="106"/>
      <c r="D486" s="106"/>
      <c r="E486" s="107" t="n">
        <v>1177</v>
      </c>
      <c r="F486" s="106" t="n">
        <v>46</v>
      </c>
      <c r="G486" s="118" t="n">
        <v>0.0391</v>
      </c>
      <c r="H486" s="116" t="n">
        <v>0.74</v>
      </c>
      <c r="I486" s="106" t="n">
        <v>10</v>
      </c>
      <c r="J486" s="117" t="n">
        <v>0.2174</v>
      </c>
      <c r="K486" s="108" t="n">
        <v>33.82</v>
      </c>
      <c r="L486" s="108" t="n">
        <v>301.32</v>
      </c>
      <c r="M486" s="117" t="n">
        <v>0.112</v>
      </c>
      <c r="N486" s="106"/>
      <c r="O486" s="106" t="s">
        <v>4285</v>
      </c>
    </row>
    <row r="487" customFormat="false" ht="15" hidden="false" customHeight="false" outlineLevel="0" collapsed="false">
      <c r="A487" s="106" t="s">
        <v>4369</v>
      </c>
      <c r="B487" s="106" t="s">
        <v>4284</v>
      </c>
      <c r="C487" s="106"/>
      <c r="D487" s="106"/>
      <c r="E487" s="107" t="n">
        <v>5042</v>
      </c>
      <c r="F487" s="106" t="n">
        <v>45</v>
      </c>
      <c r="G487" s="118" t="n">
        <v>0.0089</v>
      </c>
      <c r="H487" s="116" t="n">
        <v>0.84</v>
      </c>
      <c r="I487" s="106" t="n">
        <v>5</v>
      </c>
      <c r="J487" s="117" t="n">
        <v>0.1111</v>
      </c>
      <c r="K487" s="108" t="n">
        <v>37.93</v>
      </c>
      <c r="L487" s="108" t="n">
        <v>125.65</v>
      </c>
      <c r="M487" s="117" t="n">
        <v>0.302</v>
      </c>
      <c r="N487" s="106"/>
      <c r="O487" s="106" t="s">
        <v>4291</v>
      </c>
    </row>
    <row r="488" customFormat="false" ht="15" hidden="false" customHeight="false" outlineLevel="0" collapsed="false">
      <c r="A488" s="106" t="s">
        <v>216</v>
      </c>
      <c r="B488" s="106" t="s">
        <v>4280</v>
      </c>
      <c r="C488" s="106" t="s">
        <v>4281</v>
      </c>
      <c r="D488" s="106" t="n">
        <v>4964</v>
      </c>
      <c r="E488" s="107" t="n">
        <v>823</v>
      </c>
      <c r="F488" s="106" t="n">
        <v>45</v>
      </c>
      <c r="G488" s="118" t="n">
        <v>0.0547</v>
      </c>
      <c r="H488" s="116" t="n">
        <v>1.62</v>
      </c>
      <c r="I488" s="106" t="n">
        <v>4</v>
      </c>
      <c r="J488" s="117" t="n">
        <v>0.0889</v>
      </c>
      <c r="K488" s="108" t="n">
        <v>72.97</v>
      </c>
      <c r="L488" s="108" t="n">
        <v>151.8</v>
      </c>
      <c r="M488" s="117" t="n">
        <v>0.481</v>
      </c>
      <c r="N488" s="106" t="n">
        <v>57</v>
      </c>
      <c r="O488" s="106" t="s">
        <v>4282</v>
      </c>
    </row>
    <row r="489" customFormat="false" ht="15" hidden="false" customHeight="false" outlineLevel="0" collapsed="false">
      <c r="A489" s="106" t="s">
        <v>4370</v>
      </c>
      <c r="B489" s="106" t="s">
        <v>4284</v>
      </c>
      <c r="C489" s="106"/>
      <c r="D489" s="106"/>
      <c r="E489" s="107" t="n">
        <v>620</v>
      </c>
      <c r="F489" s="106" t="n">
        <v>44</v>
      </c>
      <c r="G489" s="118" t="n">
        <v>0.071</v>
      </c>
      <c r="H489" s="116" t="n">
        <v>0.9</v>
      </c>
      <c r="I489" s="106" t="n">
        <v>1</v>
      </c>
      <c r="J489" s="117" t="n">
        <v>0.0227</v>
      </c>
      <c r="K489" s="108" t="n">
        <v>39.5</v>
      </c>
      <c r="L489" s="108" t="n">
        <v>67.68</v>
      </c>
      <c r="M489" s="117" t="n">
        <v>0.584</v>
      </c>
      <c r="N489" s="106"/>
      <c r="O489" s="106" t="s">
        <v>4282</v>
      </c>
    </row>
    <row r="490" customFormat="false" ht="15" hidden="false" customHeight="false" outlineLevel="0" collapsed="false">
      <c r="A490" s="106" t="s">
        <v>4371</v>
      </c>
      <c r="B490" s="106" t="s">
        <v>4284</v>
      </c>
      <c r="C490" s="106"/>
      <c r="D490" s="106"/>
      <c r="E490" s="107" t="n">
        <v>1340</v>
      </c>
      <c r="F490" s="106" t="n">
        <v>44</v>
      </c>
      <c r="G490" s="118" t="n">
        <v>0.0328</v>
      </c>
      <c r="H490" s="116" t="n">
        <v>0.84</v>
      </c>
      <c r="I490" s="106" t="n">
        <v>6</v>
      </c>
      <c r="J490" s="117" t="n">
        <v>0.1364</v>
      </c>
      <c r="K490" s="108" t="n">
        <v>36.95</v>
      </c>
      <c r="L490" s="108" t="n">
        <v>151.44</v>
      </c>
      <c r="M490" s="117" t="n">
        <v>0.244</v>
      </c>
      <c r="N490" s="106"/>
      <c r="O490" s="106" t="s">
        <v>4285</v>
      </c>
    </row>
    <row r="491" customFormat="false" ht="15" hidden="false" customHeight="false" outlineLevel="0" collapsed="false">
      <c r="A491" s="106" t="s">
        <v>4372</v>
      </c>
      <c r="B491" s="106" t="s">
        <v>4284</v>
      </c>
      <c r="C491" s="106"/>
      <c r="D491" s="106"/>
      <c r="E491" s="107" t="n">
        <v>1371</v>
      </c>
      <c r="F491" s="106" t="n">
        <v>43</v>
      </c>
      <c r="G491" s="118" t="n">
        <v>0.0314</v>
      </c>
      <c r="H491" s="116" t="n">
        <v>0.84</v>
      </c>
      <c r="I491" s="106" t="n">
        <v>5</v>
      </c>
      <c r="J491" s="117" t="n">
        <v>0.1163</v>
      </c>
      <c r="K491" s="108" t="n">
        <v>36.1</v>
      </c>
      <c r="L491" s="108" t="n">
        <v>305.62</v>
      </c>
      <c r="M491" s="117" t="n">
        <v>0.118</v>
      </c>
      <c r="N491" s="106"/>
      <c r="O491" s="106" t="s">
        <v>4285</v>
      </c>
    </row>
    <row r="492" customFormat="false" ht="15" hidden="false" customHeight="false" outlineLevel="0" collapsed="false">
      <c r="A492" s="106" t="s">
        <v>4373</v>
      </c>
      <c r="B492" s="106" t="s">
        <v>4309</v>
      </c>
      <c r="C492" s="106"/>
      <c r="D492" s="106" t="n">
        <v>158688</v>
      </c>
      <c r="E492" s="107" t="n">
        <v>24161</v>
      </c>
      <c r="F492" s="106" t="n">
        <v>43</v>
      </c>
      <c r="G492" s="118" t="n">
        <v>0.0018</v>
      </c>
      <c r="H492" s="116" t="n">
        <v>0.54</v>
      </c>
      <c r="I492" s="106" t="n">
        <v>2</v>
      </c>
      <c r="J492" s="117" t="n">
        <v>0.0465</v>
      </c>
      <c r="K492" s="108" t="n">
        <v>23.24</v>
      </c>
      <c r="L492" s="108" t="n">
        <v>75.9</v>
      </c>
      <c r="M492" s="117" t="n">
        <v>0.306</v>
      </c>
      <c r="N492" s="106"/>
      <c r="O492" s="106" t="s">
        <v>4321</v>
      </c>
    </row>
    <row r="493" customFormat="false" ht="15" hidden="false" customHeight="false" outlineLevel="0" collapsed="false">
      <c r="A493" s="106" t="s">
        <v>4374</v>
      </c>
      <c r="B493" s="106" t="s">
        <v>4309</v>
      </c>
      <c r="C493" s="106"/>
      <c r="D493" s="106" t="n">
        <v>25566</v>
      </c>
      <c r="E493" s="107" t="n">
        <v>793</v>
      </c>
      <c r="F493" s="106" t="n">
        <v>43</v>
      </c>
      <c r="G493" s="118" t="n">
        <v>0.0542</v>
      </c>
      <c r="H493" s="116" t="n">
        <v>0.61</v>
      </c>
      <c r="I493" s="106" t="n">
        <v>1</v>
      </c>
      <c r="J493" s="117" t="n">
        <v>0.0233</v>
      </c>
      <c r="K493" s="108" t="n">
        <v>26.23</v>
      </c>
      <c r="L493" s="108" t="n">
        <v>37.95</v>
      </c>
      <c r="M493" s="117" t="n">
        <v>0.691</v>
      </c>
      <c r="N493" s="106"/>
      <c r="O493" s="106" t="s">
        <v>4289</v>
      </c>
    </row>
    <row r="494" customFormat="false" ht="15" hidden="false" customHeight="false" outlineLevel="0" collapsed="false">
      <c r="A494" s="106" t="s">
        <v>4375</v>
      </c>
      <c r="B494" s="106" t="s">
        <v>4284</v>
      </c>
      <c r="C494" s="106"/>
      <c r="D494" s="106"/>
      <c r="E494" s="107" t="n">
        <v>933</v>
      </c>
      <c r="F494" s="106" t="n">
        <v>43</v>
      </c>
      <c r="G494" s="118" t="n">
        <v>0.0461</v>
      </c>
      <c r="H494" s="116" t="n">
        <v>0.5</v>
      </c>
      <c r="I494" s="106" t="n">
        <v>7</v>
      </c>
      <c r="J494" s="117" t="n">
        <v>0.1628</v>
      </c>
      <c r="K494" s="108" t="n">
        <v>21.56</v>
      </c>
      <c r="L494" s="108" t="n">
        <v>252.85</v>
      </c>
      <c r="M494" s="117" t="n">
        <v>0.085</v>
      </c>
      <c r="N494" s="106"/>
      <c r="O494" s="106" t="s">
        <v>4285</v>
      </c>
    </row>
    <row r="495" customFormat="false" ht="15" hidden="false" customHeight="false" outlineLevel="0" collapsed="false">
      <c r="A495" s="106" t="s">
        <v>4376</v>
      </c>
      <c r="B495" s="106" t="s">
        <v>4284</v>
      </c>
      <c r="C495" s="106"/>
      <c r="D495" s="106"/>
      <c r="E495" s="107" t="n">
        <v>670</v>
      </c>
      <c r="F495" s="106" t="n">
        <v>43</v>
      </c>
      <c r="G495" s="118" t="n">
        <v>0.0642</v>
      </c>
      <c r="H495" s="116" t="n">
        <v>0.42</v>
      </c>
      <c r="I495" s="106" t="n">
        <v>3</v>
      </c>
      <c r="J495" s="117" t="n">
        <v>0.0698</v>
      </c>
      <c r="K495" s="108" t="n">
        <v>18.15</v>
      </c>
      <c r="L495" s="108" t="n">
        <v>95.85</v>
      </c>
      <c r="M495" s="117" t="n">
        <v>0.189</v>
      </c>
      <c r="N495" s="106"/>
      <c r="O495" s="106" t="s">
        <v>4285</v>
      </c>
    </row>
    <row r="496" customFormat="false" ht="15" hidden="false" customHeight="false" outlineLevel="0" collapsed="false">
      <c r="A496" s="106" t="s">
        <v>4377</v>
      </c>
      <c r="B496" s="106" t="s">
        <v>4309</v>
      </c>
      <c r="C496" s="106"/>
      <c r="D496" s="106" t="n">
        <v>39916</v>
      </c>
      <c r="E496" s="107" t="n">
        <v>679</v>
      </c>
      <c r="F496" s="106" t="n">
        <v>41</v>
      </c>
      <c r="G496" s="118" t="n">
        <v>0.0604</v>
      </c>
      <c r="H496" s="116" t="n">
        <v>0.58</v>
      </c>
      <c r="I496" s="106" t="n">
        <v>1</v>
      </c>
      <c r="J496" s="117" t="n">
        <v>0.0244</v>
      </c>
      <c r="K496" s="108" t="n">
        <v>23.77</v>
      </c>
      <c r="L496" s="108" t="n">
        <v>37.95</v>
      </c>
      <c r="M496" s="117" t="n">
        <v>0.626</v>
      </c>
      <c r="N496" s="106"/>
      <c r="O496" s="106" t="s">
        <v>4289</v>
      </c>
    </row>
    <row r="497" customFormat="false" ht="15" hidden="false" customHeight="false" outlineLevel="0" collapsed="false">
      <c r="A497" s="106" t="s">
        <v>4378</v>
      </c>
      <c r="B497" s="106" t="s">
        <v>4309</v>
      </c>
      <c r="C497" s="106"/>
      <c r="D497" s="106" t="n">
        <v>16092</v>
      </c>
      <c r="E497" s="107" t="n">
        <v>1303</v>
      </c>
      <c r="F497" s="106" t="n">
        <v>41</v>
      </c>
      <c r="G497" s="118" t="n">
        <v>0.0315</v>
      </c>
      <c r="H497" s="116" t="n">
        <v>0.58</v>
      </c>
      <c r="I497" s="106" t="n">
        <v>0</v>
      </c>
      <c r="J497" s="117" t="n">
        <v>0</v>
      </c>
      <c r="K497" s="108" t="n">
        <v>23.58</v>
      </c>
      <c r="L497" s="108" t="n">
        <v>0</v>
      </c>
      <c r="M497" s="117"/>
      <c r="N497" s="106"/>
      <c r="O497" s="106" t="s">
        <v>4289</v>
      </c>
    </row>
    <row r="498" customFormat="false" ht="15" hidden="false" customHeight="false" outlineLevel="0" collapsed="false">
      <c r="A498" s="106" t="s">
        <v>4379</v>
      </c>
      <c r="B498" s="106" t="s">
        <v>4284</v>
      </c>
      <c r="C498" s="106"/>
      <c r="D498" s="106"/>
      <c r="E498" s="107" t="n">
        <v>1506</v>
      </c>
      <c r="F498" s="106" t="n">
        <v>41</v>
      </c>
      <c r="G498" s="118" t="n">
        <v>0.0272</v>
      </c>
      <c r="H498" s="116" t="n">
        <v>0.82</v>
      </c>
      <c r="I498" s="106" t="n">
        <v>8</v>
      </c>
      <c r="J498" s="117" t="n">
        <v>0.1951</v>
      </c>
      <c r="K498" s="108" t="n">
        <v>33.71</v>
      </c>
      <c r="L498" s="108" t="n">
        <v>257.64</v>
      </c>
      <c r="M498" s="117" t="n">
        <v>0.131</v>
      </c>
      <c r="N498" s="106"/>
      <c r="O498" s="106" t="s">
        <v>4285</v>
      </c>
    </row>
    <row r="499" customFormat="false" ht="15" hidden="false" customHeight="false" outlineLevel="0" collapsed="false">
      <c r="A499" s="106" t="s">
        <v>4380</v>
      </c>
      <c r="B499" s="106" t="s">
        <v>4284</v>
      </c>
      <c r="C499" s="106"/>
      <c r="D499" s="106" t="n">
        <v>94713</v>
      </c>
      <c r="E499" s="107" t="n">
        <v>1305</v>
      </c>
      <c r="F499" s="106" t="n">
        <v>41</v>
      </c>
      <c r="G499" s="118" t="n">
        <v>0.0314</v>
      </c>
      <c r="H499" s="116" t="n">
        <v>0.59</v>
      </c>
      <c r="I499" s="106" t="n">
        <v>2</v>
      </c>
      <c r="J499" s="117" t="n">
        <v>0.0488</v>
      </c>
      <c r="K499" s="108" t="n">
        <v>24.04</v>
      </c>
      <c r="L499" s="108" t="n">
        <v>75.9</v>
      </c>
      <c r="M499" s="117" t="n">
        <v>0.317</v>
      </c>
      <c r="N499" s="106"/>
      <c r="O499" s="106" t="s">
        <v>4321</v>
      </c>
    </row>
    <row r="500" customFormat="false" ht="15" hidden="false" customHeight="false" outlineLevel="0" collapsed="false">
      <c r="A500" s="106" t="s">
        <v>4381</v>
      </c>
      <c r="B500" s="106" t="s">
        <v>4284</v>
      </c>
      <c r="C500" s="106"/>
      <c r="D500" s="106"/>
      <c r="E500" s="107" t="n">
        <v>874</v>
      </c>
      <c r="F500" s="106" t="n">
        <v>40</v>
      </c>
      <c r="G500" s="118" t="n">
        <v>0.0458</v>
      </c>
      <c r="H500" s="116" t="n">
        <v>0.88</v>
      </c>
      <c r="I500" s="106" t="n">
        <v>9</v>
      </c>
      <c r="J500" s="117" t="n">
        <v>0.225</v>
      </c>
      <c r="K500" s="108" t="n">
        <v>35.19</v>
      </c>
      <c r="L500" s="108" t="n">
        <v>289.53</v>
      </c>
      <c r="M500" s="117" t="n">
        <v>0.122</v>
      </c>
      <c r="N500" s="106"/>
      <c r="O500" s="106" t="s">
        <v>4285</v>
      </c>
    </row>
    <row r="501" customFormat="false" ht="15" hidden="false" customHeight="false" outlineLevel="0" collapsed="false">
      <c r="A501" s="106" t="s">
        <v>4382</v>
      </c>
      <c r="B501" s="106" t="s">
        <v>4284</v>
      </c>
      <c r="C501" s="106"/>
      <c r="D501" s="106"/>
      <c r="E501" s="107" t="n">
        <v>1751</v>
      </c>
      <c r="F501" s="106" t="n">
        <v>40</v>
      </c>
      <c r="G501" s="118" t="n">
        <v>0.0228</v>
      </c>
      <c r="H501" s="116" t="n">
        <v>0.85</v>
      </c>
      <c r="I501" s="106" t="n">
        <v>6</v>
      </c>
      <c r="J501" s="117" t="n">
        <v>0.15</v>
      </c>
      <c r="K501" s="108" t="n">
        <v>34.07</v>
      </c>
      <c r="L501" s="108" t="n">
        <v>186.6</v>
      </c>
      <c r="M501" s="117" t="n">
        <v>0.183</v>
      </c>
      <c r="N501" s="106"/>
      <c r="O501" s="106" t="s">
        <v>4285</v>
      </c>
    </row>
    <row r="502" customFormat="false" ht="15" hidden="false" customHeight="false" outlineLevel="0" collapsed="false">
      <c r="A502" s="106" t="s">
        <v>1066</v>
      </c>
      <c r="B502" s="106" t="s">
        <v>4280</v>
      </c>
      <c r="C502" s="106" t="s">
        <v>4281</v>
      </c>
      <c r="D502" s="106" t="n">
        <v>1023</v>
      </c>
      <c r="E502" s="107" t="n">
        <v>2505</v>
      </c>
      <c r="F502" s="106" t="n">
        <v>40</v>
      </c>
      <c r="G502" s="118" t="n">
        <v>0.016</v>
      </c>
      <c r="H502" s="116" t="n">
        <v>1.91</v>
      </c>
      <c r="I502" s="106" t="n">
        <v>2</v>
      </c>
      <c r="J502" s="117" t="n">
        <v>0.05</v>
      </c>
      <c r="K502" s="108" t="n">
        <v>76.57</v>
      </c>
      <c r="L502" s="108" t="n">
        <v>90.9</v>
      </c>
      <c r="M502" s="117" t="n">
        <v>0.842</v>
      </c>
      <c r="N502" s="106" t="n">
        <v>37</v>
      </c>
      <c r="O502" s="106" t="s">
        <v>4289</v>
      </c>
    </row>
    <row r="503" customFormat="false" ht="15" hidden="false" customHeight="false" outlineLevel="0" collapsed="false">
      <c r="A503" s="106" t="s">
        <v>4383</v>
      </c>
      <c r="B503" s="106" t="s">
        <v>4309</v>
      </c>
      <c r="C503" s="106"/>
      <c r="D503" s="106" t="n">
        <v>44089</v>
      </c>
      <c r="E503" s="107" t="n">
        <v>858</v>
      </c>
      <c r="F503" s="106" t="n">
        <v>40</v>
      </c>
      <c r="G503" s="118" t="n">
        <v>0.0466</v>
      </c>
      <c r="H503" s="116" t="n">
        <v>0.59</v>
      </c>
      <c r="I503" s="106" t="n">
        <v>0</v>
      </c>
      <c r="J503" s="117" t="n">
        <v>0</v>
      </c>
      <c r="K503" s="108" t="n">
        <v>23.55</v>
      </c>
      <c r="L503" s="108" t="n">
        <v>0</v>
      </c>
      <c r="M503" s="117"/>
      <c r="N503" s="106"/>
      <c r="O503" s="106" t="s">
        <v>4289</v>
      </c>
    </row>
    <row r="504" customFormat="false" ht="15" hidden="false" customHeight="false" outlineLevel="0" collapsed="false">
      <c r="A504" s="106" t="s">
        <v>4384</v>
      </c>
      <c r="B504" s="106" t="s">
        <v>4284</v>
      </c>
      <c r="C504" s="106"/>
      <c r="D504" s="106"/>
      <c r="E504" s="107" t="n">
        <v>22387</v>
      </c>
      <c r="F504" s="106" t="n">
        <v>40</v>
      </c>
      <c r="G504" s="118" t="n">
        <v>0.0018</v>
      </c>
      <c r="H504" s="116" t="n">
        <v>0.44</v>
      </c>
      <c r="I504" s="106" t="n">
        <v>3</v>
      </c>
      <c r="J504" s="117" t="n">
        <v>0.075</v>
      </c>
      <c r="K504" s="108" t="n">
        <v>17.57</v>
      </c>
      <c r="L504" s="108" t="n">
        <v>85.97</v>
      </c>
      <c r="M504" s="117" t="n">
        <v>0.204</v>
      </c>
      <c r="N504" s="106"/>
      <c r="O504" s="106" t="s">
        <v>4285</v>
      </c>
    </row>
    <row r="505" customFormat="false" ht="15" hidden="false" customHeight="false" outlineLevel="0" collapsed="false">
      <c r="A505" s="106" t="s">
        <v>4385</v>
      </c>
      <c r="B505" s="106" t="s">
        <v>4284</v>
      </c>
      <c r="C505" s="106"/>
      <c r="D505" s="106"/>
      <c r="E505" s="107" t="n">
        <v>1047</v>
      </c>
      <c r="F505" s="106" t="n">
        <v>39</v>
      </c>
      <c r="G505" s="118" t="n">
        <v>0.0372</v>
      </c>
      <c r="H505" s="116" t="n">
        <v>0.83</v>
      </c>
      <c r="I505" s="106" t="n">
        <v>2</v>
      </c>
      <c r="J505" s="117" t="n">
        <v>0.0513</v>
      </c>
      <c r="K505" s="108" t="n">
        <v>32.34</v>
      </c>
      <c r="L505" s="108" t="n">
        <v>34.88</v>
      </c>
      <c r="M505" s="117" t="n">
        <v>0.927</v>
      </c>
      <c r="N505" s="106"/>
      <c r="O505" s="106" t="s">
        <v>4289</v>
      </c>
    </row>
    <row r="506" customFormat="false" ht="15" hidden="false" customHeight="false" outlineLevel="0" collapsed="false">
      <c r="A506" s="106" t="s">
        <v>4386</v>
      </c>
      <c r="B506" s="106" t="s">
        <v>4309</v>
      </c>
      <c r="C506" s="106"/>
      <c r="D506" s="106" t="n">
        <v>12710</v>
      </c>
      <c r="E506" s="107" t="n">
        <v>1143</v>
      </c>
      <c r="F506" s="106" t="n">
        <v>39</v>
      </c>
      <c r="G506" s="118" t="n">
        <v>0.0341</v>
      </c>
      <c r="H506" s="116" t="n">
        <v>0.59</v>
      </c>
      <c r="I506" s="106" t="n">
        <v>0</v>
      </c>
      <c r="J506" s="117" t="n">
        <v>0</v>
      </c>
      <c r="K506" s="108" t="n">
        <v>22.84</v>
      </c>
      <c r="L506" s="108" t="n">
        <v>0</v>
      </c>
      <c r="M506" s="117"/>
      <c r="N506" s="106"/>
      <c r="O506" s="106" t="s">
        <v>4289</v>
      </c>
    </row>
    <row r="507" customFormat="false" ht="15" hidden="false" customHeight="false" outlineLevel="0" collapsed="false">
      <c r="A507" s="106" t="s">
        <v>4387</v>
      </c>
      <c r="B507" s="106" t="s">
        <v>4284</v>
      </c>
      <c r="C507" s="106"/>
      <c r="D507" s="106" t="n">
        <v>36126</v>
      </c>
      <c r="E507" s="107" t="n">
        <v>1091</v>
      </c>
      <c r="F507" s="106" t="n">
        <v>39</v>
      </c>
      <c r="G507" s="118" t="n">
        <v>0.0357</v>
      </c>
      <c r="H507" s="116" t="n">
        <v>0.58</v>
      </c>
      <c r="I507" s="106" t="n">
        <v>0</v>
      </c>
      <c r="J507" s="117" t="n">
        <v>0</v>
      </c>
      <c r="K507" s="108" t="n">
        <v>22.57</v>
      </c>
      <c r="L507" s="108" t="n">
        <v>0</v>
      </c>
      <c r="M507" s="117"/>
      <c r="N507" s="106"/>
      <c r="O507" s="106" t="s">
        <v>4289</v>
      </c>
    </row>
    <row r="508" customFormat="false" ht="15" hidden="false" customHeight="false" outlineLevel="0" collapsed="false">
      <c r="A508" s="106" t="s">
        <v>580</v>
      </c>
      <c r="B508" s="106" t="s">
        <v>4280</v>
      </c>
      <c r="C508" s="106" t="s">
        <v>4301</v>
      </c>
      <c r="D508" s="106" t="n">
        <v>4967</v>
      </c>
      <c r="E508" s="107" t="n">
        <v>355</v>
      </c>
      <c r="F508" s="106" t="n">
        <v>38</v>
      </c>
      <c r="G508" s="118" t="n">
        <v>0.107</v>
      </c>
      <c r="H508" s="116" t="n">
        <v>0.59</v>
      </c>
      <c r="I508" s="106" t="n">
        <v>0</v>
      </c>
      <c r="J508" s="117" t="n">
        <v>0</v>
      </c>
      <c r="K508" s="108" t="n">
        <v>22.42</v>
      </c>
      <c r="L508" s="108" t="n">
        <v>0</v>
      </c>
      <c r="M508" s="117"/>
      <c r="N508" s="106" t="n">
        <v>26</v>
      </c>
      <c r="O508" s="106" t="s">
        <v>4289</v>
      </c>
    </row>
    <row r="509" customFormat="false" ht="15" hidden="false" customHeight="false" outlineLevel="0" collapsed="false">
      <c r="A509" s="106" t="s">
        <v>4388</v>
      </c>
      <c r="B509" s="106" t="s">
        <v>4284</v>
      </c>
      <c r="C509" s="106"/>
      <c r="D509" s="106"/>
      <c r="E509" s="107" t="n">
        <v>1594</v>
      </c>
      <c r="F509" s="106" t="n">
        <v>38</v>
      </c>
      <c r="G509" s="118" t="n">
        <v>0.0238</v>
      </c>
      <c r="H509" s="116" t="n">
        <v>0.87</v>
      </c>
      <c r="I509" s="106" t="n">
        <v>4</v>
      </c>
      <c r="J509" s="117" t="n">
        <v>0.1053</v>
      </c>
      <c r="K509" s="108" t="n">
        <v>33.01</v>
      </c>
      <c r="L509" s="108" t="n">
        <v>99.79</v>
      </c>
      <c r="M509" s="117" t="n">
        <v>0.331</v>
      </c>
      <c r="N509" s="106"/>
      <c r="O509" s="106" t="s">
        <v>4321</v>
      </c>
    </row>
    <row r="510" customFormat="false" ht="15" hidden="false" customHeight="false" outlineLevel="0" collapsed="false">
      <c r="A510" s="106" t="s">
        <v>4389</v>
      </c>
      <c r="B510" s="106" t="s">
        <v>4284</v>
      </c>
      <c r="C510" s="106"/>
      <c r="D510" s="106"/>
      <c r="E510" s="107" t="n">
        <v>1289</v>
      </c>
      <c r="F510" s="106" t="n">
        <v>38</v>
      </c>
      <c r="G510" s="118" t="n">
        <v>0.0295</v>
      </c>
      <c r="H510" s="116" t="n">
        <v>0.75</v>
      </c>
      <c r="I510" s="106" t="n">
        <v>7</v>
      </c>
      <c r="J510" s="117" t="n">
        <v>0.1842</v>
      </c>
      <c r="K510" s="108" t="n">
        <v>28.6</v>
      </c>
      <c r="L510" s="108" t="n">
        <v>217.59</v>
      </c>
      <c r="M510" s="117" t="n">
        <v>0.131</v>
      </c>
      <c r="N510" s="106"/>
      <c r="O510" s="106" t="s">
        <v>4285</v>
      </c>
    </row>
    <row r="511" customFormat="false" ht="15" hidden="false" customHeight="false" outlineLevel="0" collapsed="false">
      <c r="A511" s="106" t="s">
        <v>4390</v>
      </c>
      <c r="B511" s="106" t="s">
        <v>4284</v>
      </c>
      <c r="C511" s="106"/>
      <c r="D511" s="106"/>
      <c r="E511" s="107" t="n">
        <v>874</v>
      </c>
      <c r="F511" s="106" t="n">
        <v>37</v>
      </c>
      <c r="G511" s="118" t="n">
        <v>0.0423</v>
      </c>
      <c r="H511" s="116" t="n">
        <v>0.45</v>
      </c>
      <c r="I511" s="106" t="n">
        <v>3</v>
      </c>
      <c r="J511" s="117" t="n">
        <v>0.0811</v>
      </c>
      <c r="K511" s="108" t="n">
        <v>16.52</v>
      </c>
      <c r="L511" s="108" t="n">
        <v>91.25</v>
      </c>
      <c r="M511" s="117" t="n">
        <v>0.181</v>
      </c>
      <c r="N511" s="106"/>
      <c r="O511" s="106" t="s">
        <v>4285</v>
      </c>
    </row>
    <row r="512" customFormat="false" ht="15" hidden="false" customHeight="false" outlineLevel="0" collapsed="false">
      <c r="A512" s="106" t="s">
        <v>4391</v>
      </c>
      <c r="B512" s="106" t="s">
        <v>4284</v>
      </c>
      <c r="C512" s="106"/>
      <c r="D512" s="106"/>
      <c r="E512" s="107" t="n">
        <v>1200</v>
      </c>
      <c r="F512" s="106" t="n">
        <v>37</v>
      </c>
      <c r="G512" s="118" t="n">
        <v>0.0308</v>
      </c>
      <c r="H512" s="116" t="n">
        <v>0.42</v>
      </c>
      <c r="I512" s="106" t="n">
        <v>1</v>
      </c>
      <c r="J512" s="117" t="n">
        <v>0.027</v>
      </c>
      <c r="K512" s="108" t="n">
        <v>15.7</v>
      </c>
      <c r="L512" s="108" t="n">
        <v>31.95</v>
      </c>
      <c r="M512" s="117" t="n">
        <v>0.491</v>
      </c>
      <c r="N512" s="106"/>
      <c r="O512" s="106" t="s">
        <v>4282</v>
      </c>
    </row>
    <row r="513" customFormat="false" ht="15" hidden="false" customHeight="false" outlineLevel="0" collapsed="false">
      <c r="A513" s="106" t="s">
        <v>4392</v>
      </c>
      <c r="B513" s="106" t="s">
        <v>4284</v>
      </c>
      <c r="C513" s="106"/>
      <c r="D513" s="106"/>
      <c r="E513" s="107" t="n">
        <v>1471</v>
      </c>
      <c r="F513" s="106" t="n">
        <v>37</v>
      </c>
      <c r="G513" s="118" t="n">
        <v>0.0252</v>
      </c>
      <c r="H513" s="116" t="n">
        <v>0.58</v>
      </c>
      <c r="I513" s="106" t="n">
        <v>2</v>
      </c>
      <c r="J513" s="117" t="n">
        <v>0.0541</v>
      </c>
      <c r="K513" s="108" t="n">
        <v>21.44</v>
      </c>
      <c r="L513" s="108" t="n">
        <v>85.9</v>
      </c>
      <c r="M513" s="117" t="n">
        <v>0.25</v>
      </c>
      <c r="N513" s="106"/>
      <c r="O513" s="106" t="s">
        <v>4285</v>
      </c>
    </row>
    <row r="514" customFormat="false" ht="15" hidden="false" customHeight="false" outlineLevel="0" collapsed="false">
      <c r="A514" s="106" t="s">
        <v>4393</v>
      </c>
      <c r="B514" s="106" t="s">
        <v>4284</v>
      </c>
      <c r="C514" s="106"/>
      <c r="D514" s="106"/>
      <c r="E514" s="107" t="n">
        <v>1815</v>
      </c>
      <c r="F514" s="106" t="n">
        <v>37</v>
      </c>
      <c r="G514" s="118" t="n">
        <v>0.0204</v>
      </c>
      <c r="H514" s="116" t="n">
        <v>0.59</v>
      </c>
      <c r="I514" s="106" t="n">
        <v>0</v>
      </c>
      <c r="J514" s="117" t="n">
        <v>0</v>
      </c>
      <c r="K514" s="108" t="n">
        <v>21.83</v>
      </c>
      <c r="L514" s="108" t="n">
        <v>0</v>
      </c>
      <c r="M514" s="117"/>
      <c r="N514" s="106"/>
      <c r="O514" s="106" t="s">
        <v>4289</v>
      </c>
    </row>
    <row r="515" customFormat="false" ht="15" hidden="false" customHeight="false" outlineLevel="0" collapsed="false">
      <c r="A515" s="106" t="s">
        <v>1020</v>
      </c>
      <c r="B515" s="106" t="s">
        <v>4280</v>
      </c>
      <c r="C515" s="106"/>
      <c r="D515" s="106" t="n">
        <v>245</v>
      </c>
      <c r="E515" s="107" t="n">
        <v>350</v>
      </c>
      <c r="F515" s="106" t="n">
        <v>37</v>
      </c>
      <c r="G515" s="118" t="n">
        <v>0.1057</v>
      </c>
      <c r="H515" s="116" t="n">
        <v>3.65</v>
      </c>
      <c r="I515" s="106" t="n">
        <v>5</v>
      </c>
      <c r="J515" s="117" t="n">
        <v>0.1351</v>
      </c>
      <c r="K515" s="108" t="n">
        <v>135.2</v>
      </c>
      <c r="L515" s="108" t="n">
        <v>234.75</v>
      </c>
      <c r="M515" s="117" t="n">
        <v>0.576</v>
      </c>
      <c r="N515" s="106" t="n">
        <v>89</v>
      </c>
      <c r="O515" s="106" t="s">
        <v>4282</v>
      </c>
    </row>
    <row r="516" customFormat="false" ht="15" hidden="false" customHeight="false" outlineLevel="0" collapsed="false">
      <c r="A516" s="106" t="s">
        <v>4394</v>
      </c>
      <c r="B516" s="106" t="s">
        <v>1403</v>
      </c>
      <c r="C516" s="106"/>
      <c r="D516" s="106" t="n">
        <v>11</v>
      </c>
      <c r="E516" s="107" t="n">
        <v>2170</v>
      </c>
      <c r="F516" s="106" t="n">
        <v>37</v>
      </c>
      <c r="G516" s="118" t="n">
        <v>0.0171</v>
      </c>
      <c r="H516" s="116" t="n">
        <v>2.73</v>
      </c>
      <c r="I516" s="106" t="n">
        <v>7</v>
      </c>
      <c r="J516" s="117" t="n">
        <v>0.1892</v>
      </c>
      <c r="K516" s="108" t="n">
        <v>101.02</v>
      </c>
      <c r="L516" s="108" t="n">
        <v>425.06</v>
      </c>
      <c r="M516" s="117" t="n">
        <v>0.238</v>
      </c>
      <c r="N516" s="106"/>
      <c r="O516" s="106" t="s">
        <v>4285</v>
      </c>
    </row>
    <row r="517" customFormat="false" ht="15" hidden="false" customHeight="false" outlineLevel="0" collapsed="false">
      <c r="A517" s="106" t="s">
        <v>4395</v>
      </c>
      <c r="B517" s="106" t="s">
        <v>4284</v>
      </c>
      <c r="C517" s="106"/>
      <c r="D517" s="106"/>
      <c r="E517" s="107" t="n">
        <v>1086</v>
      </c>
      <c r="F517" s="106" t="n">
        <v>36</v>
      </c>
      <c r="G517" s="118" t="n">
        <v>0.0331</v>
      </c>
      <c r="H517" s="116" t="n">
        <v>0.86</v>
      </c>
      <c r="I517" s="106" t="n">
        <v>8</v>
      </c>
      <c r="J517" s="117" t="n">
        <v>0.2222</v>
      </c>
      <c r="K517" s="108" t="n">
        <v>31.06</v>
      </c>
      <c r="L517" s="108" t="n">
        <v>246.31</v>
      </c>
      <c r="M517" s="117" t="n">
        <v>0.126</v>
      </c>
      <c r="N517" s="106"/>
      <c r="O517" s="106" t="s">
        <v>4285</v>
      </c>
    </row>
    <row r="518" customFormat="false" ht="15" hidden="false" customHeight="false" outlineLevel="0" collapsed="false">
      <c r="A518" s="106" t="s">
        <v>4396</v>
      </c>
      <c r="B518" s="106" t="s">
        <v>4284</v>
      </c>
      <c r="C518" s="106"/>
      <c r="D518" s="106"/>
      <c r="E518" s="107" t="n">
        <v>2322</v>
      </c>
      <c r="F518" s="106" t="n">
        <v>36</v>
      </c>
      <c r="G518" s="118" t="n">
        <v>0.0155</v>
      </c>
      <c r="H518" s="116" t="n">
        <v>0.45</v>
      </c>
      <c r="I518" s="106" t="n">
        <v>0</v>
      </c>
      <c r="J518" s="117" t="n">
        <v>0</v>
      </c>
      <c r="K518" s="108" t="n">
        <v>16.09</v>
      </c>
      <c r="L518" s="108" t="n">
        <v>0</v>
      </c>
      <c r="M518" s="117"/>
      <c r="N518" s="106"/>
      <c r="O518" s="106" t="s">
        <v>4289</v>
      </c>
    </row>
    <row r="519" customFormat="false" ht="15" hidden="false" customHeight="false" outlineLevel="0" collapsed="false">
      <c r="A519" s="106" t="s">
        <v>4397</v>
      </c>
      <c r="B519" s="106" t="s">
        <v>4284</v>
      </c>
      <c r="C519" s="106"/>
      <c r="D519" s="106" t="n">
        <v>4280</v>
      </c>
      <c r="E519" s="107" t="n">
        <v>332</v>
      </c>
      <c r="F519" s="106" t="n">
        <v>36</v>
      </c>
      <c r="G519" s="118" t="n">
        <v>0.1084</v>
      </c>
      <c r="H519" s="116" t="n">
        <v>0.44</v>
      </c>
      <c r="I519" s="106" t="n">
        <v>5</v>
      </c>
      <c r="J519" s="117" t="n">
        <v>0.1389</v>
      </c>
      <c r="K519" s="108" t="n">
        <v>15.86</v>
      </c>
      <c r="L519" s="108" t="n">
        <v>156.78</v>
      </c>
      <c r="M519" s="117" t="n">
        <v>0.101</v>
      </c>
      <c r="N519" s="106"/>
      <c r="O519" s="106" t="s">
        <v>4285</v>
      </c>
    </row>
    <row r="520" customFormat="false" ht="15" hidden="false" customHeight="false" outlineLevel="0" collapsed="false">
      <c r="A520" s="106" t="s">
        <v>4398</v>
      </c>
      <c r="B520" s="106" t="s">
        <v>4309</v>
      </c>
      <c r="C520" s="106"/>
      <c r="D520" s="106" t="n">
        <v>19613</v>
      </c>
      <c r="E520" s="107" t="n">
        <v>1049</v>
      </c>
      <c r="F520" s="106" t="n">
        <v>36</v>
      </c>
      <c r="G520" s="118" t="n">
        <v>0.0343</v>
      </c>
      <c r="H520" s="116" t="n">
        <v>0.59</v>
      </c>
      <c r="I520" s="106" t="n">
        <v>0</v>
      </c>
      <c r="J520" s="117" t="n">
        <v>0</v>
      </c>
      <c r="K520" s="108" t="n">
        <v>21.16</v>
      </c>
      <c r="L520" s="108" t="n">
        <v>0</v>
      </c>
      <c r="M520" s="117"/>
      <c r="N520" s="106"/>
      <c r="O520" s="106" t="s">
        <v>4289</v>
      </c>
    </row>
    <row r="521" customFormat="false" ht="15" hidden="false" customHeight="false" outlineLevel="0" collapsed="false">
      <c r="A521" s="106" t="s">
        <v>4399</v>
      </c>
      <c r="B521" s="106" t="s">
        <v>4284</v>
      </c>
      <c r="C521" s="106"/>
      <c r="D521" s="106"/>
      <c r="E521" s="107" t="n">
        <v>1032</v>
      </c>
      <c r="F521" s="106" t="n">
        <v>36</v>
      </c>
      <c r="G521" s="118" t="n">
        <v>0.0349</v>
      </c>
      <c r="H521" s="116" t="n">
        <v>0.45</v>
      </c>
      <c r="I521" s="106" t="n">
        <v>1</v>
      </c>
      <c r="J521" s="117" t="n">
        <v>0.0278</v>
      </c>
      <c r="K521" s="108" t="n">
        <v>16.22</v>
      </c>
      <c r="L521" s="108" t="n">
        <v>29.95</v>
      </c>
      <c r="M521" s="117" t="n">
        <v>0.542</v>
      </c>
      <c r="N521" s="106"/>
      <c r="O521" s="106" t="s">
        <v>4282</v>
      </c>
    </row>
    <row r="522" customFormat="false" ht="15" hidden="false" customHeight="false" outlineLevel="0" collapsed="false">
      <c r="A522" s="106" t="s">
        <v>4400</v>
      </c>
      <c r="B522" s="106" t="s">
        <v>4284</v>
      </c>
      <c r="C522" s="106"/>
      <c r="D522" s="106"/>
      <c r="E522" s="107" t="n">
        <v>961</v>
      </c>
      <c r="F522" s="106" t="n">
        <v>35</v>
      </c>
      <c r="G522" s="118" t="n">
        <v>0.0364</v>
      </c>
      <c r="H522" s="116" t="n">
        <v>0.84</v>
      </c>
      <c r="I522" s="106" t="n">
        <v>4</v>
      </c>
      <c r="J522" s="117" t="n">
        <v>0.1143</v>
      </c>
      <c r="K522" s="108" t="n">
        <v>29.31</v>
      </c>
      <c r="L522" s="108" t="n">
        <v>159.75</v>
      </c>
      <c r="M522" s="117" t="n">
        <v>0.183</v>
      </c>
      <c r="N522" s="106"/>
      <c r="O522" s="106" t="s">
        <v>4285</v>
      </c>
    </row>
    <row r="523" customFormat="false" ht="15" hidden="false" customHeight="false" outlineLevel="0" collapsed="false">
      <c r="A523" s="106" t="s">
        <v>4401</v>
      </c>
      <c r="B523" s="106" t="s">
        <v>4284</v>
      </c>
      <c r="C523" s="106"/>
      <c r="D523" s="106"/>
      <c r="E523" s="107" t="n">
        <v>794</v>
      </c>
      <c r="F523" s="106" t="n">
        <v>35</v>
      </c>
      <c r="G523" s="118" t="n">
        <v>0.0441</v>
      </c>
      <c r="H523" s="116" t="n">
        <v>0.82</v>
      </c>
      <c r="I523" s="106" t="n">
        <v>7</v>
      </c>
      <c r="J523" s="117" t="n">
        <v>0.2</v>
      </c>
      <c r="K523" s="108" t="n">
        <v>28.54</v>
      </c>
      <c r="L523" s="108" t="n">
        <v>204.55</v>
      </c>
      <c r="M523" s="117" t="n">
        <v>0.14</v>
      </c>
      <c r="N523" s="106"/>
      <c r="O523" s="106" t="s">
        <v>4285</v>
      </c>
    </row>
    <row r="524" customFormat="false" ht="15" hidden="false" customHeight="false" outlineLevel="0" collapsed="false">
      <c r="A524" s="106" t="s">
        <v>1164</v>
      </c>
      <c r="B524" s="106" t="s">
        <v>4280</v>
      </c>
      <c r="C524" s="106" t="s">
        <v>4288</v>
      </c>
      <c r="D524" s="106" t="n">
        <v>924</v>
      </c>
      <c r="E524" s="107" t="n">
        <v>497</v>
      </c>
      <c r="F524" s="106" t="n">
        <v>35</v>
      </c>
      <c r="G524" s="118" t="n">
        <v>0.0704</v>
      </c>
      <c r="H524" s="116" t="n">
        <v>3.16</v>
      </c>
      <c r="I524" s="106" t="n">
        <v>2</v>
      </c>
      <c r="J524" s="117" t="n">
        <v>0.0571</v>
      </c>
      <c r="K524" s="108" t="n">
        <v>110.67</v>
      </c>
      <c r="L524" s="108" t="n">
        <v>81.9</v>
      </c>
      <c r="M524" s="117" t="n">
        <v>1.351</v>
      </c>
      <c r="N524" s="106" t="n">
        <v>36</v>
      </c>
      <c r="O524" s="106" t="s">
        <v>4289</v>
      </c>
    </row>
    <row r="525" customFormat="false" ht="15" hidden="false" customHeight="false" outlineLevel="0" collapsed="false">
      <c r="A525" s="106" t="s">
        <v>4402</v>
      </c>
      <c r="B525" s="106" t="s">
        <v>4284</v>
      </c>
      <c r="C525" s="106"/>
      <c r="D525" s="106"/>
      <c r="E525" s="107" t="n">
        <v>2008</v>
      </c>
      <c r="F525" s="106" t="n">
        <v>35</v>
      </c>
      <c r="G525" s="118" t="n">
        <v>0.0174</v>
      </c>
      <c r="H525" s="116" t="n">
        <v>0.6</v>
      </c>
      <c r="I525" s="106" t="n">
        <v>0</v>
      </c>
      <c r="J525" s="117" t="n">
        <v>0</v>
      </c>
      <c r="K525" s="108" t="n">
        <v>21</v>
      </c>
      <c r="L525" s="108" t="n">
        <v>0</v>
      </c>
      <c r="M525" s="117"/>
      <c r="N525" s="106"/>
      <c r="O525" s="106" t="s">
        <v>4289</v>
      </c>
    </row>
    <row r="526" customFormat="false" ht="15" hidden="false" customHeight="false" outlineLevel="0" collapsed="false">
      <c r="A526" s="106" t="s">
        <v>4403</v>
      </c>
      <c r="B526" s="106" t="s">
        <v>4284</v>
      </c>
      <c r="C526" s="106"/>
      <c r="D526" s="106"/>
      <c r="E526" s="107" t="n">
        <v>1447</v>
      </c>
      <c r="F526" s="106" t="n">
        <v>35</v>
      </c>
      <c r="G526" s="118" t="n">
        <v>0.0242</v>
      </c>
      <c r="H526" s="116" t="n">
        <v>0.44</v>
      </c>
      <c r="I526" s="106" t="n">
        <v>1</v>
      </c>
      <c r="J526" s="117" t="n">
        <v>0.0286</v>
      </c>
      <c r="K526" s="108" t="n">
        <v>15.53</v>
      </c>
      <c r="L526" s="108" t="n">
        <v>33.95</v>
      </c>
      <c r="M526" s="117" t="n">
        <v>0.457</v>
      </c>
      <c r="N526" s="106"/>
      <c r="O526" s="106" t="s">
        <v>4282</v>
      </c>
    </row>
    <row r="527" customFormat="false" ht="15" hidden="false" customHeight="false" outlineLevel="0" collapsed="false">
      <c r="A527" s="106" t="s">
        <v>4404</v>
      </c>
      <c r="B527" s="106" t="s">
        <v>4309</v>
      </c>
      <c r="C527" s="106"/>
      <c r="D527" s="106" t="n">
        <v>33249</v>
      </c>
      <c r="E527" s="107" t="n">
        <v>645</v>
      </c>
      <c r="F527" s="106" t="n">
        <v>34</v>
      </c>
      <c r="G527" s="118" t="n">
        <v>0.0527</v>
      </c>
      <c r="H527" s="116" t="n">
        <v>0.58</v>
      </c>
      <c r="I527" s="106" t="n">
        <v>0</v>
      </c>
      <c r="J527" s="117" t="n">
        <v>0</v>
      </c>
      <c r="K527" s="108" t="n">
        <v>19.58</v>
      </c>
      <c r="L527" s="108" t="n">
        <v>0</v>
      </c>
      <c r="M527" s="117"/>
      <c r="N527" s="106"/>
      <c r="O527" s="106" t="s">
        <v>4289</v>
      </c>
    </row>
    <row r="528" customFormat="false" ht="15" hidden="false" customHeight="false" outlineLevel="0" collapsed="false">
      <c r="A528" s="106" t="s">
        <v>4405</v>
      </c>
      <c r="B528" s="106" t="s">
        <v>4309</v>
      </c>
      <c r="C528" s="106"/>
      <c r="D528" s="106" t="n">
        <v>9249</v>
      </c>
      <c r="E528" s="107" t="n">
        <v>257</v>
      </c>
      <c r="F528" s="106" t="n">
        <v>34</v>
      </c>
      <c r="G528" s="118" t="n">
        <v>0.1323</v>
      </c>
      <c r="H528" s="116" t="n">
        <v>0.62</v>
      </c>
      <c r="I528" s="106" t="n">
        <v>5</v>
      </c>
      <c r="J528" s="117" t="n">
        <v>0.1471</v>
      </c>
      <c r="K528" s="108" t="n">
        <v>21.19</v>
      </c>
      <c r="L528" s="108" t="n">
        <v>185.95</v>
      </c>
      <c r="M528" s="117" t="n">
        <v>0.114</v>
      </c>
      <c r="N528" s="106"/>
      <c r="O528" s="106" t="s">
        <v>4285</v>
      </c>
    </row>
    <row r="529" customFormat="false" ht="15" hidden="false" customHeight="false" outlineLevel="0" collapsed="false">
      <c r="A529" s="106" t="s">
        <v>4406</v>
      </c>
      <c r="B529" s="106" t="s">
        <v>4284</v>
      </c>
      <c r="C529" s="106"/>
      <c r="D529" s="106"/>
      <c r="E529" s="107" t="n">
        <v>631</v>
      </c>
      <c r="F529" s="106" t="n">
        <v>34</v>
      </c>
      <c r="G529" s="118" t="n">
        <v>0.0539</v>
      </c>
      <c r="H529" s="116" t="n">
        <v>0.83</v>
      </c>
      <c r="I529" s="106" t="n">
        <v>7</v>
      </c>
      <c r="J529" s="117" t="n">
        <v>0.2059</v>
      </c>
      <c r="K529" s="108" t="n">
        <v>28.33</v>
      </c>
      <c r="L529" s="108" t="n">
        <v>204.56</v>
      </c>
      <c r="M529" s="117" t="n">
        <v>0.138</v>
      </c>
      <c r="N529" s="106"/>
      <c r="O529" s="106" t="s">
        <v>4285</v>
      </c>
    </row>
    <row r="530" customFormat="false" ht="15" hidden="false" customHeight="false" outlineLevel="0" collapsed="false">
      <c r="A530" s="106" t="s">
        <v>4407</v>
      </c>
      <c r="B530" s="106" t="s">
        <v>4284</v>
      </c>
      <c r="C530" s="106"/>
      <c r="D530" s="106"/>
      <c r="E530" s="107" t="n">
        <v>1879</v>
      </c>
      <c r="F530" s="106" t="n">
        <v>34</v>
      </c>
      <c r="G530" s="118" t="n">
        <v>0.0181</v>
      </c>
      <c r="H530" s="116" t="n">
        <v>0.86</v>
      </c>
      <c r="I530" s="106" t="n">
        <v>3</v>
      </c>
      <c r="J530" s="117" t="n">
        <v>0.0882</v>
      </c>
      <c r="K530" s="108" t="n">
        <v>29.15</v>
      </c>
      <c r="L530" s="108" t="n">
        <v>101.85</v>
      </c>
      <c r="M530" s="117" t="n">
        <v>0.286</v>
      </c>
      <c r="N530" s="106"/>
      <c r="O530" s="106" t="s">
        <v>4321</v>
      </c>
    </row>
    <row r="531" customFormat="false" ht="15" hidden="false" customHeight="false" outlineLevel="0" collapsed="false">
      <c r="A531" s="106" t="s">
        <v>4408</v>
      </c>
      <c r="B531" s="106" t="s">
        <v>4329</v>
      </c>
      <c r="C531" s="106"/>
      <c r="D531" s="106" t="n">
        <v>1093</v>
      </c>
      <c r="E531" s="107" t="n">
        <v>341</v>
      </c>
      <c r="F531" s="106" t="n">
        <v>34</v>
      </c>
      <c r="G531" s="118" t="n">
        <v>0.0997</v>
      </c>
      <c r="H531" s="116" t="n">
        <v>0.58</v>
      </c>
      <c r="I531" s="106" t="n">
        <v>1</v>
      </c>
      <c r="J531" s="117" t="n">
        <v>0.0294</v>
      </c>
      <c r="K531" s="108" t="n">
        <v>19.79</v>
      </c>
      <c r="L531" s="108" t="n">
        <v>46.95</v>
      </c>
      <c r="M531" s="117" t="n">
        <v>0.422</v>
      </c>
      <c r="N531" s="106" t="n">
        <v>81</v>
      </c>
      <c r="O531" s="106" t="s">
        <v>4321</v>
      </c>
    </row>
    <row r="532" customFormat="false" ht="15" hidden="false" customHeight="false" outlineLevel="0" collapsed="false">
      <c r="A532" s="106" t="s">
        <v>4409</v>
      </c>
      <c r="B532" s="106" t="s">
        <v>4284</v>
      </c>
      <c r="C532" s="106"/>
      <c r="D532" s="106" t="n">
        <v>1245</v>
      </c>
      <c r="E532" s="107" t="n">
        <v>327</v>
      </c>
      <c r="F532" s="106" t="n">
        <v>34</v>
      </c>
      <c r="G532" s="118" t="n">
        <v>0.104</v>
      </c>
      <c r="H532" s="116" t="n">
        <v>0.59</v>
      </c>
      <c r="I532" s="106" t="n">
        <v>0</v>
      </c>
      <c r="J532" s="117" t="n">
        <v>0</v>
      </c>
      <c r="K532" s="108" t="n">
        <v>20.06</v>
      </c>
      <c r="L532" s="108" t="n">
        <v>0</v>
      </c>
      <c r="M532" s="117"/>
      <c r="N532" s="106"/>
      <c r="O532" s="106" t="s">
        <v>4289</v>
      </c>
    </row>
    <row r="533" customFormat="false" ht="15" hidden="false" customHeight="false" outlineLevel="0" collapsed="false">
      <c r="A533" s="106" t="s">
        <v>4410</v>
      </c>
      <c r="B533" s="106" t="s">
        <v>4284</v>
      </c>
      <c r="C533" s="106"/>
      <c r="D533" s="106"/>
      <c r="E533" s="107" t="n">
        <v>937</v>
      </c>
      <c r="F533" s="106" t="n">
        <v>34</v>
      </c>
      <c r="G533" s="118" t="n">
        <v>0.0363</v>
      </c>
      <c r="H533" s="116" t="n">
        <v>0.52</v>
      </c>
      <c r="I533" s="106" t="n">
        <v>5</v>
      </c>
      <c r="J533" s="117" t="n">
        <v>0.1471</v>
      </c>
      <c r="K533" s="108" t="n">
        <v>17.64</v>
      </c>
      <c r="L533" s="108" t="n">
        <v>136.74</v>
      </c>
      <c r="M533" s="117" t="n">
        <v>0.129</v>
      </c>
      <c r="N533" s="106"/>
      <c r="O533" s="106" t="s">
        <v>4285</v>
      </c>
    </row>
    <row r="534" customFormat="false" ht="15" hidden="false" customHeight="false" outlineLevel="0" collapsed="false">
      <c r="A534" s="106" t="s">
        <v>4411</v>
      </c>
      <c r="B534" s="106" t="s">
        <v>4284</v>
      </c>
      <c r="C534" s="106"/>
      <c r="D534" s="106"/>
      <c r="E534" s="107" t="n">
        <v>948</v>
      </c>
      <c r="F534" s="106" t="n">
        <v>34</v>
      </c>
      <c r="G534" s="118" t="n">
        <v>0.0359</v>
      </c>
      <c r="H534" s="116" t="n">
        <v>0.8</v>
      </c>
      <c r="I534" s="106" t="n">
        <v>13</v>
      </c>
      <c r="J534" s="117" t="n">
        <v>0.3824</v>
      </c>
      <c r="K534" s="108" t="n">
        <v>27.17</v>
      </c>
      <c r="L534" s="108" t="n">
        <v>429.34</v>
      </c>
      <c r="M534" s="117" t="n">
        <v>0.063</v>
      </c>
      <c r="N534" s="106"/>
      <c r="O534" s="106" t="s">
        <v>4285</v>
      </c>
    </row>
    <row r="535" customFormat="false" ht="15" hidden="false" customHeight="false" outlineLevel="0" collapsed="false">
      <c r="A535" s="106" t="s">
        <v>4412</v>
      </c>
      <c r="B535" s="106" t="s">
        <v>4284</v>
      </c>
      <c r="C535" s="106"/>
      <c r="D535" s="106"/>
      <c r="E535" s="107" t="n">
        <v>1097</v>
      </c>
      <c r="F535" s="106" t="n">
        <v>34</v>
      </c>
      <c r="G535" s="118" t="n">
        <v>0.031</v>
      </c>
      <c r="H535" s="116" t="n">
        <v>0.87</v>
      </c>
      <c r="I535" s="106" t="n">
        <v>4</v>
      </c>
      <c r="J535" s="117" t="n">
        <v>0.1176</v>
      </c>
      <c r="K535" s="108" t="n">
        <v>29.49</v>
      </c>
      <c r="L535" s="108" t="n">
        <v>108.84</v>
      </c>
      <c r="M535" s="117" t="n">
        <v>0.271</v>
      </c>
      <c r="N535" s="106"/>
      <c r="O535" s="106" t="s">
        <v>4285</v>
      </c>
    </row>
    <row r="536" customFormat="false" ht="15" hidden="false" customHeight="false" outlineLevel="0" collapsed="false">
      <c r="A536" s="106" t="s">
        <v>4413</v>
      </c>
      <c r="B536" s="106" t="s">
        <v>4284</v>
      </c>
      <c r="C536" s="106"/>
      <c r="D536" s="106"/>
      <c r="E536" s="107" t="n">
        <v>687</v>
      </c>
      <c r="F536" s="106" t="n">
        <v>34</v>
      </c>
      <c r="G536" s="118" t="n">
        <v>0.0495</v>
      </c>
      <c r="H536" s="116" t="n">
        <v>0.76</v>
      </c>
      <c r="I536" s="106" t="n">
        <v>3</v>
      </c>
      <c r="J536" s="117" t="n">
        <v>0.0882</v>
      </c>
      <c r="K536" s="108" t="n">
        <v>25.79</v>
      </c>
      <c r="L536" s="108" t="n">
        <v>210.43</v>
      </c>
      <c r="M536" s="117" t="n">
        <v>0.123</v>
      </c>
      <c r="N536" s="106"/>
      <c r="O536" s="106" t="s">
        <v>4285</v>
      </c>
    </row>
    <row r="537" customFormat="false" ht="15" hidden="false" customHeight="false" outlineLevel="0" collapsed="false">
      <c r="A537" s="106" t="s">
        <v>4414</v>
      </c>
      <c r="B537" s="106" t="s">
        <v>4284</v>
      </c>
      <c r="C537" s="106"/>
      <c r="D537" s="106"/>
      <c r="E537" s="107" t="n">
        <v>1008</v>
      </c>
      <c r="F537" s="106" t="n">
        <v>33</v>
      </c>
      <c r="G537" s="118" t="n">
        <v>0.0327</v>
      </c>
      <c r="H537" s="116" t="n">
        <v>0.79</v>
      </c>
      <c r="I537" s="106" t="n">
        <v>6</v>
      </c>
      <c r="J537" s="117" t="n">
        <v>0.1818</v>
      </c>
      <c r="K537" s="108" t="n">
        <v>26.22</v>
      </c>
      <c r="L537" s="108" t="n">
        <v>189.24</v>
      </c>
      <c r="M537" s="117" t="n">
        <v>0.139</v>
      </c>
      <c r="N537" s="106"/>
      <c r="O537" s="106" t="s">
        <v>4285</v>
      </c>
    </row>
    <row r="538" customFormat="false" ht="15" hidden="false" customHeight="false" outlineLevel="0" collapsed="false">
      <c r="A538" s="106" t="s">
        <v>4415</v>
      </c>
      <c r="B538" s="106" t="s">
        <v>4284</v>
      </c>
      <c r="C538" s="106"/>
      <c r="D538" s="106" t="n">
        <v>908</v>
      </c>
      <c r="E538" s="107" t="n">
        <v>272</v>
      </c>
      <c r="F538" s="106" t="n">
        <v>33</v>
      </c>
      <c r="G538" s="118" t="n">
        <v>0.1213</v>
      </c>
      <c r="H538" s="116" t="n">
        <v>0.59</v>
      </c>
      <c r="I538" s="106" t="n">
        <v>2</v>
      </c>
      <c r="J538" s="117" t="n">
        <v>0.0606</v>
      </c>
      <c r="K538" s="108" t="n">
        <v>19.43</v>
      </c>
      <c r="L538" s="108" t="n">
        <v>75.9</v>
      </c>
      <c r="M538" s="117" t="n">
        <v>0.256</v>
      </c>
      <c r="N538" s="106"/>
      <c r="O538" s="106" t="s">
        <v>4285</v>
      </c>
    </row>
    <row r="539" customFormat="false" ht="15" hidden="false" customHeight="false" outlineLevel="0" collapsed="false">
      <c r="A539" s="106" t="s">
        <v>4416</v>
      </c>
      <c r="B539" s="106" t="s">
        <v>4284</v>
      </c>
      <c r="C539" s="106"/>
      <c r="D539" s="106"/>
      <c r="E539" s="107" t="n">
        <v>1724</v>
      </c>
      <c r="F539" s="106" t="n">
        <v>33</v>
      </c>
      <c r="G539" s="118" t="n">
        <v>0.0191</v>
      </c>
      <c r="H539" s="116" t="n">
        <v>0.85</v>
      </c>
      <c r="I539" s="106" t="n">
        <v>8</v>
      </c>
      <c r="J539" s="117" t="n">
        <v>0.2424</v>
      </c>
      <c r="K539" s="108" t="n">
        <v>28.1</v>
      </c>
      <c r="L539" s="108" t="n">
        <v>242.6</v>
      </c>
      <c r="M539" s="117" t="n">
        <v>0.116</v>
      </c>
      <c r="N539" s="106"/>
      <c r="O539" s="106" t="s">
        <v>4285</v>
      </c>
    </row>
    <row r="540" customFormat="false" ht="15" hidden="false" customHeight="false" outlineLevel="0" collapsed="false">
      <c r="A540" s="106" t="s">
        <v>4417</v>
      </c>
      <c r="B540" s="106" t="s">
        <v>4284</v>
      </c>
      <c r="C540" s="106"/>
      <c r="D540" s="106" t="n">
        <v>89804</v>
      </c>
      <c r="E540" s="107" t="n">
        <v>1132</v>
      </c>
      <c r="F540" s="106" t="n">
        <v>33</v>
      </c>
      <c r="G540" s="118" t="n">
        <v>0.0292</v>
      </c>
      <c r="H540" s="116" t="n">
        <v>0.59</v>
      </c>
      <c r="I540" s="106" t="n">
        <v>3</v>
      </c>
      <c r="J540" s="117" t="n">
        <v>0.0909</v>
      </c>
      <c r="K540" s="108" t="n">
        <v>19.4</v>
      </c>
      <c r="L540" s="108" t="n">
        <v>113.85</v>
      </c>
      <c r="M540" s="117" t="n">
        <v>0.17</v>
      </c>
      <c r="N540" s="106"/>
      <c r="O540" s="106" t="s">
        <v>4285</v>
      </c>
    </row>
    <row r="541" customFormat="false" ht="15" hidden="false" customHeight="false" outlineLevel="0" collapsed="false">
      <c r="A541" s="106" t="s">
        <v>4418</v>
      </c>
      <c r="B541" s="106" t="s">
        <v>4284</v>
      </c>
      <c r="C541" s="106"/>
      <c r="D541" s="106"/>
      <c r="E541" s="107" t="n">
        <v>2098</v>
      </c>
      <c r="F541" s="106" t="n">
        <v>33</v>
      </c>
      <c r="G541" s="118" t="n">
        <v>0.0157</v>
      </c>
      <c r="H541" s="116" t="n">
        <v>0.64</v>
      </c>
      <c r="I541" s="106" t="n">
        <v>1</v>
      </c>
      <c r="J541" s="117" t="n">
        <v>0.0303</v>
      </c>
      <c r="K541" s="108" t="n">
        <v>21.21</v>
      </c>
      <c r="L541" s="108" t="n">
        <v>39.95</v>
      </c>
      <c r="M541" s="117" t="n">
        <v>0.531</v>
      </c>
      <c r="N541" s="106"/>
      <c r="O541" s="106" t="s">
        <v>4282</v>
      </c>
    </row>
    <row r="542" customFormat="false" ht="15" hidden="false" customHeight="false" outlineLevel="0" collapsed="false">
      <c r="A542" s="106" t="s">
        <v>996</v>
      </c>
      <c r="B542" s="106" t="s">
        <v>4280</v>
      </c>
      <c r="C542" s="106" t="s">
        <v>4281</v>
      </c>
      <c r="D542" s="106" t="n">
        <v>1023</v>
      </c>
      <c r="E542" s="107" t="n">
        <v>1197</v>
      </c>
      <c r="F542" s="106" t="n">
        <v>33</v>
      </c>
      <c r="G542" s="118" t="n">
        <v>0.0276</v>
      </c>
      <c r="H542" s="116" t="n">
        <v>4.22</v>
      </c>
      <c r="I542" s="106" t="n">
        <v>7</v>
      </c>
      <c r="J542" s="117" t="n">
        <v>0.2121</v>
      </c>
      <c r="K542" s="108" t="n">
        <v>139.14</v>
      </c>
      <c r="L542" s="108" t="n">
        <v>265.65</v>
      </c>
      <c r="M542" s="117" t="n">
        <v>0.524</v>
      </c>
      <c r="N542" s="106" t="n">
        <v>52</v>
      </c>
      <c r="O542" s="106" t="s">
        <v>4282</v>
      </c>
    </row>
    <row r="543" customFormat="false" ht="15" hidden="false" customHeight="false" outlineLevel="0" collapsed="false">
      <c r="A543" s="106" t="s">
        <v>4419</v>
      </c>
      <c r="B543" s="106" t="s">
        <v>4284</v>
      </c>
      <c r="C543" s="106"/>
      <c r="D543" s="106"/>
      <c r="E543" s="107" t="n">
        <v>354</v>
      </c>
      <c r="F543" s="106" t="n">
        <v>33</v>
      </c>
      <c r="G543" s="118" t="n">
        <v>0.0932</v>
      </c>
      <c r="H543" s="116" t="n">
        <v>0.87</v>
      </c>
      <c r="I543" s="106" t="n">
        <v>3</v>
      </c>
      <c r="J543" s="117" t="n">
        <v>0.0909</v>
      </c>
      <c r="K543" s="108" t="n">
        <v>28.8</v>
      </c>
      <c r="L543" s="108" t="n">
        <v>115.85</v>
      </c>
      <c r="M543" s="117" t="n">
        <v>0.249</v>
      </c>
      <c r="N543" s="106"/>
      <c r="O543" s="106" t="s">
        <v>4285</v>
      </c>
    </row>
    <row r="544" customFormat="false" ht="15" hidden="false" customHeight="false" outlineLevel="0" collapsed="false">
      <c r="A544" s="106" t="s">
        <v>4420</v>
      </c>
      <c r="B544" s="106" t="s">
        <v>4280</v>
      </c>
      <c r="C544" s="106" t="s">
        <v>4421</v>
      </c>
      <c r="D544" s="106" t="n">
        <v>2271</v>
      </c>
      <c r="E544" s="107" t="n">
        <v>388</v>
      </c>
      <c r="F544" s="106" t="n">
        <v>33</v>
      </c>
      <c r="G544" s="118" t="n">
        <v>0.0851</v>
      </c>
      <c r="H544" s="116" t="n">
        <v>1.15</v>
      </c>
      <c r="I544" s="106" t="n">
        <v>2</v>
      </c>
      <c r="J544" s="117" t="n">
        <v>0.0606</v>
      </c>
      <c r="K544" s="108" t="n">
        <v>37.91</v>
      </c>
      <c r="L544" s="108" t="n">
        <v>73.99</v>
      </c>
      <c r="M544" s="117" t="n">
        <v>0.512</v>
      </c>
      <c r="N544" s="106" t="n">
        <v>66</v>
      </c>
      <c r="O544" s="106" t="s">
        <v>4282</v>
      </c>
    </row>
    <row r="545" customFormat="false" ht="15" hidden="false" customHeight="false" outlineLevel="0" collapsed="false">
      <c r="A545" s="106" t="s">
        <v>529</v>
      </c>
      <c r="B545" s="106" t="s">
        <v>4280</v>
      </c>
      <c r="C545" s="106" t="s">
        <v>4287</v>
      </c>
      <c r="D545" s="106" t="n">
        <v>822</v>
      </c>
      <c r="E545" s="107" t="n">
        <v>389</v>
      </c>
      <c r="F545" s="106" t="n">
        <v>32</v>
      </c>
      <c r="G545" s="118" t="n">
        <v>0.0823</v>
      </c>
      <c r="H545" s="116" t="n">
        <v>1.09</v>
      </c>
      <c r="I545" s="106" t="n">
        <v>3</v>
      </c>
      <c r="J545" s="117" t="n">
        <v>0.0938</v>
      </c>
      <c r="K545" s="108" t="n">
        <v>34.93</v>
      </c>
      <c r="L545" s="108" t="n">
        <v>145.8</v>
      </c>
      <c r="M545" s="117" t="n">
        <v>0.24</v>
      </c>
      <c r="N545" s="106" t="n">
        <v>81</v>
      </c>
      <c r="O545" s="106" t="s">
        <v>4285</v>
      </c>
    </row>
    <row r="546" customFormat="false" ht="15" hidden="false" customHeight="false" outlineLevel="0" collapsed="false">
      <c r="A546" s="106" t="s">
        <v>4422</v>
      </c>
      <c r="B546" s="106" t="s">
        <v>4284</v>
      </c>
      <c r="C546" s="106"/>
      <c r="D546" s="106"/>
      <c r="E546" s="107" t="n">
        <v>925</v>
      </c>
      <c r="F546" s="106" t="n">
        <v>32</v>
      </c>
      <c r="G546" s="118" t="n">
        <v>0.0346</v>
      </c>
      <c r="H546" s="116" t="n">
        <v>0.88</v>
      </c>
      <c r="I546" s="106" t="n">
        <v>2</v>
      </c>
      <c r="J546" s="117" t="n">
        <v>0.0625</v>
      </c>
      <c r="K546" s="108" t="n">
        <v>28.12</v>
      </c>
      <c r="L546" s="108" t="n">
        <v>65.9</v>
      </c>
      <c r="M546" s="117" t="n">
        <v>0.427</v>
      </c>
      <c r="N546" s="106"/>
      <c r="O546" s="106" t="s">
        <v>4321</v>
      </c>
    </row>
    <row r="547" customFormat="false" ht="15" hidden="false" customHeight="false" outlineLevel="0" collapsed="false">
      <c r="A547" s="106" t="s">
        <v>4423</v>
      </c>
      <c r="B547" s="106" t="s">
        <v>4284</v>
      </c>
      <c r="C547" s="106"/>
      <c r="D547" s="106"/>
      <c r="E547" s="107" t="n">
        <v>714</v>
      </c>
      <c r="F547" s="106" t="n">
        <v>32</v>
      </c>
      <c r="G547" s="118" t="n">
        <v>0.0448</v>
      </c>
      <c r="H547" s="116" t="n">
        <v>0.45</v>
      </c>
      <c r="I547" s="106" t="n">
        <v>5</v>
      </c>
      <c r="J547" s="117" t="n">
        <v>0.1563</v>
      </c>
      <c r="K547" s="108" t="n">
        <v>14.28</v>
      </c>
      <c r="L547" s="108" t="n">
        <v>145.2</v>
      </c>
      <c r="M547" s="117" t="n">
        <v>0.098</v>
      </c>
      <c r="N547" s="106"/>
      <c r="O547" s="106" t="s">
        <v>4285</v>
      </c>
    </row>
    <row r="548" customFormat="false" ht="15" hidden="false" customHeight="false" outlineLevel="0" collapsed="false">
      <c r="A548" s="106" t="s">
        <v>4424</v>
      </c>
      <c r="B548" s="106" t="s">
        <v>4284</v>
      </c>
      <c r="C548" s="106"/>
      <c r="D548" s="106"/>
      <c r="E548" s="107" t="n">
        <v>1504</v>
      </c>
      <c r="F548" s="106" t="n">
        <v>32</v>
      </c>
      <c r="G548" s="118" t="n">
        <v>0.0213</v>
      </c>
      <c r="H548" s="116" t="n">
        <v>0.8</v>
      </c>
      <c r="I548" s="106" t="n">
        <v>4</v>
      </c>
      <c r="J548" s="117" t="n">
        <v>0.125</v>
      </c>
      <c r="K548" s="108" t="n">
        <v>25.52</v>
      </c>
      <c r="L548" s="108" t="n">
        <v>129.75</v>
      </c>
      <c r="M548" s="117" t="n">
        <v>0.197</v>
      </c>
      <c r="N548" s="106"/>
      <c r="O548" s="106" t="s">
        <v>4285</v>
      </c>
    </row>
    <row r="549" customFormat="false" ht="15" hidden="false" customHeight="false" outlineLevel="0" collapsed="false">
      <c r="A549" s="106" t="s">
        <v>4425</v>
      </c>
      <c r="B549" s="106" t="s">
        <v>4284</v>
      </c>
      <c r="C549" s="106"/>
      <c r="D549" s="106"/>
      <c r="E549" s="107" t="n">
        <v>752</v>
      </c>
      <c r="F549" s="106" t="n">
        <v>32</v>
      </c>
      <c r="G549" s="118" t="n">
        <v>0.0426</v>
      </c>
      <c r="H549" s="116" t="n">
        <v>0.79</v>
      </c>
      <c r="I549" s="106" t="n">
        <v>4</v>
      </c>
      <c r="J549" s="117" t="n">
        <v>0.125</v>
      </c>
      <c r="K549" s="108" t="n">
        <v>25.26</v>
      </c>
      <c r="L549" s="108" t="n">
        <v>120.61</v>
      </c>
      <c r="M549" s="117" t="n">
        <v>0.209</v>
      </c>
      <c r="N549" s="106"/>
      <c r="O549" s="106" t="s">
        <v>4285</v>
      </c>
    </row>
    <row r="550" customFormat="false" ht="15" hidden="false" customHeight="false" outlineLevel="0" collapsed="false">
      <c r="A550" s="106" t="s">
        <v>4426</v>
      </c>
      <c r="B550" s="106" t="s">
        <v>4309</v>
      </c>
      <c r="C550" s="106"/>
      <c r="D550" s="106" t="n">
        <v>56164</v>
      </c>
      <c r="E550" s="107" t="n">
        <v>792</v>
      </c>
      <c r="F550" s="106" t="n">
        <v>32</v>
      </c>
      <c r="G550" s="118" t="n">
        <v>0.0404</v>
      </c>
      <c r="H550" s="116" t="n">
        <v>0.56</v>
      </c>
      <c r="I550" s="106" t="n">
        <v>1</v>
      </c>
      <c r="J550" s="117" t="n">
        <v>0.0313</v>
      </c>
      <c r="K550" s="108" t="n">
        <v>17.89</v>
      </c>
      <c r="L550" s="108" t="n">
        <v>33.96</v>
      </c>
      <c r="M550" s="117" t="n">
        <v>0.527</v>
      </c>
      <c r="N550" s="106"/>
      <c r="O550" s="106" t="s">
        <v>4282</v>
      </c>
    </row>
    <row r="551" customFormat="false" ht="15" hidden="false" customHeight="false" outlineLevel="0" collapsed="false">
      <c r="A551" s="106" t="s">
        <v>4427</v>
      </c>
      <c r="B551" s="106" t="s">
        <v>4284</v>
      </c>
      <c r="C551" s="106"/>
      <c r="D551" s="106" t="n">
        <v>1224</v>
      </c>
      <c r="E551" s="107" t="n">
        <v>273</v>
      </c>
      <c r="F551" s="106" t="n">
        <v>32</v>
      </c>
      <c r="G551" s="118" t="n">
        <v>0.1172</v>
      </c>
      <c r="H551" s="116" t="n">
        <v>0.59</v>
      </c>
      <c r="I551" s="106" t="n">
        <v>1</v>
      </c>
      <c r="J551" s="117" t="n">
        <v>0.0313</v>
      </c>
      <c r="K551" s="108" t="n">
        <v>18.84</v>
      </c>
      <c r="L551" s="108" t="n">
        <v>39.95</v>
      </c>
      <c r="M551" s="117" t="n">
        <v>0.472</v>
      </c>
      <c r="N551" s="106"/>
      <c r="O551" s="106" t="s">
        <v>4282</v>
      </c>
    </row>
    <row r="552" customFormat="false" ht="15" hidden="false" customHeight="false" outlineLevel="0" collapsed="false">
      <c r="A552" s="106" t="s">
        <v>1079</v>
      </c>
      <c r="B552" s="106" t="s">
        <v>4280</v>
      </c>
      <c r="C552" s="106" t="s">
        <v>4281</v>
      </c>
      <c r="D552" s="106" t="n">
        <v>695</v>
      </c>
      <c r="E552" s="107" t="n">
        <v>512</v>
      </c>
      <c r="F552" s="106" t="n">
        <v>32</v>
      </c>
      <c r="G552" s="118" t="n">
        <v>0.0625</v>
      </c>
      <c r="H552" s="116" t="n">
        <v>1.13</v>
      </c>
      <c r="I552" s="106" t="n">
        <v>0</v>
      </c>
      <c r="J552" s="117" t="n">
        <v>0</v>
      </c>
      <c r="K552" s="108" t="n">
        <v>36.3</v>
      </c>
      <c r="L552" s="108" t="n">
        <v>0</v>
      </c>
      <c r="M552" s="117"/>
      <c r="N552" s="106" t="n">
        <v>125</v>
      </c>
      <c r="O552" s="106" t="s">
        <v>4289</v>
      </c>
    </row>
    <row r="553" customFormat="false" ht="15" hidden="false" customHeight="false" outlineLevel="0" collapsed="false">
      <c r="A553" s="106" t="s">
        <v>4428</v>
      </c>
      <c r="B553" s="106" t="s">
        <v>4284</v>
      </c>
      <c r="C553" s="106"/>
      <c r="D553" s="106"/>
      <c r="E553" s="107" t="n">
        <v>675</v>
      </c>
      <c r="F553" s="106" t="n">
        <v>32</v>
      </c>
      <c r="G553" s="118" t="n">
        <v>0.0474</v>
      </c>
      <c r="H553" s="116" t="n">
        <v>0.85</v>
      </c>
      <c r="I553" s="106" t="n">
        <v>4</v>
      </c>
      <c r="J553" s="117" t="n">
        <v>0.125</v>
      </c>
      <c r="K553" s="108" t="n">
        <v>27.2</v>
      </c>
      <c r="L553" s="108" t="n">
        <v>131.8</v>
      </c>
      <c r="M553" s="117" t="n">
        <v>0.206</v>
      </c>
      <c r="N553" s="106"/>
      <c r="O553" s="106" t="s">
        <v>4285</v>
      </c>
    </row>
    <row r="554" customFormat="false" ht="15" hidden="false" customHeight="false" outlineLevel="0" collapsed="false">
      <c r="A554" s="106" t="s">
        <v>4429</v>
      </c>
      <c r="B554" s="106" t="s">
        <v>4284</v>
      </c>
      <c r="C554" s="106"/>
      <c r="D554" s="106"/>
      <c r="E554" s="107" t="n">
        <v>879</v>
      </c>
      <c r="F554" s="106" t="n">
        <v>32</v>
      </c>
      <c r="G554" s="118" t="n">
        <v>0.0364</v>
      </c>
      <c r="H554" s="116" t="n">
        <v>0.88</v>
      </c>
      <c r="I554" s="106" t="n">
        <v>2</v>
      </c>
      <c r="J554" s="117" t="n">
        <v>0.0625</v>
      </c>
      <c r="K554" s="108" t="n">
        <v>28.27</v>
      </c>
      <c r="L554" s="108" t="n">
        <v>65.9</v>
      </c>
      <c r="M554" s="117" t="n">
        <v>0.429</v>
      </c>
      <c r="N554" s="106"/>
      <c r="O554" s="106" t="s">
        <v>4321</v>
      </c>
    </row>
    <row r="555" customFormat="false" ht="15" hidden="false" customHeight="false" outlineLevel="0" collapsed="false">
      <c r="A555" s="106" t="s">
        <v>4430</v>
      </c>
      <c r="B555" s="106" t="s">
        <v>4284</v>
      </c>
      <c r="C555" s="106"/>
      <c r="D555" s="106"/>
      <c r="E555" s="107" t="n">
        <v>782</v>
      </c>
      <c r="F555" s="106" t="n">
        <v>31</v>
      </c>
      <c r="G555" s="118" t="n">
        <v>0.0396</v>
      </c>
      <c r="H555" s="116" t="n">
        <v>0.87</v>
      </c>
      <c r="I555" s="106" t="n">
        <v>1</v>
      </c>
      <c r="J555" s="117" t="n">
        <v>0.0323</v>
      </c>
      <c r="K555" s="108" t="n">
        <v>26.85</v>
      </c>
      <c r="L555" s="108" t="n">
        <v>24.95</v>
      </c>
      <c r="M555" s="117" t="n">
        <v>1.076</v>
      </c>
      <c r="N555" s="106"/>
      <c r="O555" s="106" t="s">
        <v>4289</v>
      </c>
    </row>
    <row r="556" customFormat="false" ht="15" hidden="false" customHeight="false" outlineLevel="0" collapsed="false">
      <c r="A556" s="106" t="s">
        <v>4431</v>
      </c>
      <c r="B556" s="106" t="s">
        <v>4284</v>
      </c>
      <c r="C556" s="106"/>
      <c r="D556" s="106"/>
      <c r="E556" s="107" t="n">
        <v>664</v>
      </c>
      <c r="F556" s="106" t="n">
        <v>31</v>
      </c>
      <c r="G556" s="118" t="n">
        <v>0.0467</v>
      </c>
      <c r="H556" s="116" t="n">
        <v>0.79</v>
      </c>
      <c r="I556" s="106" t="n">
        <v>3</v>
      </c>
      <c r="J556" s="117" t="n">
        <v>0.0968</v>
      </c>
      <c r="K556" s="108" t="n">
        <v>24.63</v>
      </c>
      <c r="L556" s="108" t="n">
        <v>99.85</v>
      </c>
      <c r="M556" s="117" t="n">
        <v>0.247</v>
      </c>
      <c r="N556" s="106"/>
      <c r="O556" s="106" t="s">
        <v>4285</v>
      </c>
    </row>
    <row r="557" customFormat="false" ht="15" hidden="false" customHeight="false" outlineLevel="0" collapsed="false">
      <c r="A557" s="106" t="s">
        <v>4432</v>
      </c>
      <c r="B557" s="106" t="s">
        <v>4284</v>
      </c>
      <c r="C557" s="106"/>
      <c r="D557" s="106"/>
      <c r="E557" s="107" t="n">
        <v>641</v>
      </c>
      <c r="F557" s="106" t="n">
        <v>31</v>
      </c>
      <c r="G557" s="118" t="n">
        <v>0.0484</v>
      </c>
      <c r="H557" s="116" t="n">
        <v>0.87</v>
      </c>
      <c r="I557" s="106" t="n">
        <v>3</v>
      </c>
      <c r="J557" s="117" t="n">
        <v>0.0968</v>
      </c>
      <c r="K557" s="108" t="n">
        <v>27.12</v>
      </c>
      <c r="L557" s="108" t="n">
        <v>91.85</v>
      </c>
      <c r="M557" s="117" t="n">
        <v>0.295</v>
      </c>
      <c r="N557" s="106"/>
      <c r="O557" s="106" t="s">
        <v>4321</v>
      </c>
    </row>
    <row r="558" customFormat="false" ht="15" hidden="false" customHeight="false" outlineLevel="0" collapsed="false">
      <c r="A558" s="106" t="s">
        <v>4433</v>
      </c>
      <c r="B558" s="106" t="s">
        <v>4284</v>
      </c>
      <c r="C558" s="106"/>
      <c r="D558" s="106"/>
      <c r="E558" s="107" t="n">
        <v>509</v>
      </c>
      <c r="F558" s="106" t="n">
        <v>31</v>
      </c>
      <c r="G558" s="118" t="n">
        <v>0.0609</v>
      </c>
      <c r="H558" s="116" t="n">
        <v>0.44</v>
      </c>
      <c r="I558" s="106" t="n">
        <v>2</v>
      </c>
      <c r="J558" s="117" t="n">
        <v>0.0645</v>
      </c>
      <c r="K558" s="108" t="n">
        <v>13.67</v>
      </c>
      <c r="L558" s="108" t="n">
        <v>81.9</v>
      </c>
      <c r="M558" s="117" t="n">
        <v>0.167</v>
      </c>
      <c r="N558" s="106"/>
      <c r="O558" s="106" t="s">
        <v>4285</v>
      </c>
    </row>
    <row r="559" customFormat="false" ht="15" hidden="false" customHeight="false" outlineLevel="0" collapsed="false">
      <c r="A559" s="106" t="s">
        <v>4434</v>
      </c>
      <c r="B559" s="106" t="s">
        <v>4284</v>
      </c>
      <c r="C559" s="106"/>
      <c r="D559" s="106"/>
      <c r="E559" s="107" t="n">
        <v>753</v>
      </c>
      <c r="F559" s="106" t="n">
        <v>31</v>
      </c>
      <c r="G559" s="118" t="n">
        <v>0.0412</v>
      </c>
      <c r="H559" s="116" t="n">
        <v>0.69</v>
      </c>
      <c r="I559" s="106" t="n">
        <v>3</v>
      </c>
      <c r="J559" s="117" t="n">
        <v>0.0968</v>
      </c>
      <c r="K559" s="108" t="n">
        <v>21.51</v>
      </c>
      <c r="L559" s="108" t="n">
        <v>225.34</v>
      </c>
      <c r="M559" s="117" t="n">
        <v>0.095</v>
      </c>
      <c r="N559" s="106"/>
      <c r="O559" s="106" t="s">
        <v>4285</v>
      </c>
    </row>
    <row r="560" customFormat="false" ht="15" hidden="false" customHeight="false" outlineLevel="0" collapsed="false">
      <c r="A560" s="106" t="s">
        <v>4435</v>
      </c>
      <c r="B560" s="106" t="s">
        <v>4284</v>
      </c>
      <c r="C560" s="106"/>
      <c r="D560" s="106"/>
      <c r="E560" s="107" t="n">
        <v>507</v>
      </c>
      <c r="F560" s="106" t="n">
        <v>31</v>
      </c>
      <c r="G560" s="118" t="n">
        <v>0.0611</v>
      </c>
      <c r="H560" s="116" t="n">
        <v>0.62</v>
      </c>
      <c r="I560" s="106" t="n">
        <v>3</v>
      </c>
      <c r="J560" s="117" t="n">
        <v>0.0968</v>
      </c>
      <c r="K560" s="108" t="n">
        <v>19.3</v>
      </c>
      <c r="L560" s="108" t="n">
        <v>115.85</v>
      </c>
      <c r="M560" s="117" t="n">
        <v>0.167</v>
      </c>
      <c r="N560" s="106"/>
      <c r="O560" s="106" t="s">
        <v>4285</v>
      </c>
    </row>
    <row r="561" customFormat="false" ht="15" hidden="false" customHeight="false" outlineLevel="0" collapsed="false">
      <c r="A561" s="106" t="s">
        <v>4436</v>
      </c>
      <c r="B561" s="106" t="s">
        <v>1403</v>
      </c>
      <c r="C561" s="106"/>
      <c r="D561" s="106"/>
      <c r="E561" s="107" t="n">
        <v>176</v>
      </c>
      <c r="F561" s="106" t="n">
        <v>30</v>
      </c>
      <c r="G561" s="118" t="n">
        <v>0.1705</v>
      </c>
      <c r="H561" s="116" t="n">
        <v>0.45</v>
      </c>
      <c r="I561" s="106" t="n">
        <v>5</v>
      </c>
      <c r="J561" s="117" t="n">
        <v>0.1667</v>
      </c>
      <c r="K561" s="108" t="n">
        <v>13.5</v>
      </c>
      <c r="L561" s="108" t="n">
        <v>106.84</v>
      </c>
      <c r="M561" s="117" t="n">
        <v>0.126</v>
      </c>
      <c r="N561" s="106"/>
      <c r="O561" s="106" t="s">
        <v>4285</v>
      </c>
    </row>
    <row r="562" customFormat="false" ht="15" hidden="false" customHeight="false" outlineLevel="0" collapsed="false">
      <c r="A562" s="106" t="s">
        <v>4437</v>
      </c>
      <c r="B562" s="106" t="s">
        <v>4284</v>
      </c>
      <c r="C562" s="106"/>
      <c r="D562" s="106"/>
      <c r="E562" s="107" t="n">
        <v>720</v>
      </c>
      <c r="F562" s="106" t="n">
        <v>30</v>
      </c>
      <c r="G562" s="118" t="n">
        <v>0.0417</v>
      </c>
      <c r="H562" s="116" t="n">
        <v>0.89</v>
      </c>
      <c r="I562" s="106" t="n">
        <v>5</v>
      </c>
      <c r="J562" s="117" t="n">
        <v>0.1667</v>
      </c>
      <c r="K562" s="108" t="n">
        <v>26.59</v>
      </c>
      <c r="L562" s="108" t="n">
        <v>113.75</v>
      </c>
      <c r="M562" s="117" t="n">
        <v>0.234</v>
      </c>
      <c r="N562" s="106"/>
      <c r="O562" s="106" t="s">
        <v>4285</v>
      </c>
    </row>
    <row r="563" customFormat="false" ht="15" hidden="false" customHeight="false" outlineLevel="0" collapsed="false">
      <c r="A563" s="106" t="s">
        <v>4438</v>
      </c>
      <c r="B563" s="106" t="s">
        <v>4284</v>
      </c>
      <c r="C563" s="106"/>
      <c r="D563" s="106"/>
      <c r="E563" s="107" t="n">
        <v>936</v>
      </c>
      <c r="F563" s="106" t="n">
        <v>30</v>
      </c>
      <c r="G563" s="118" t="n">
        <v>0.0321</v>
      </c>
      <c r="H563" s="116" t="n">
        <v>0.82</v>
      </c>
      <c r="I563" s="106" t="n">
        <v>6</v>
      </c>
      <c r="J563" s="117" t="n">
        <v>0.2</v>
      </c>
      <c r="K563" s="108" t="n">
        <v>24.51</v>
      </c>
      <c r="L563" s="108" t="n">
        <v>181.19</v>
      </c>
      <c r="M563" s="117" t="n">
        <v>0.135</v>
      </c>
      <c r="N563" s="106"/>
      <c r="O563" s="106" t="s">
        <v>4285</v>
      </c>
    </row>
    <row r="564" customFormat="false" ht="15" hidden="false" customHeight="false" outlineLevel="0" collapsed="false">
      <c r="A564" s="106" t="s">
        <v>4439</v>
      </c>
      <c r="B564" s="106" t="s">
        <v>4284</v>
      </c>
      <c r="C564" s="106"/>
      <c r="D564" s="106"/>
      <c r="E564" s="107" t="n">
        <v>937</v>
      </c>
      <c r="F564" s="106" t="n">
        <v>30</v>
      </c>
      <c r="G564" s="118" t="n">
        <v>0.032</v>
      </c>
      <c r="H564" s="116" t="n">
        <v>0.81</v>
      </c>
      <c r="I564" s="106" t="n">
        <v>3</v>
      </c>
      <c r="J564" s="117" t="n">
        <v>0.1</v>
      </c>
      <c r="K564" s="108" t="n">
        <v>24.17</v>
      </c>
      <c r="L564" s="108" t="n">
        <v>81.35</v>
      </c>
      <c r="M564" s="117" t="n">
        <v>0.297</v>
      </c>
      <c r="N564" s="106"/>
      <c r="O564" s="106" t="s">
        <v>4321</v>
      </c>
    </row>
    <row r="565" customFormat="false" ht="15" hidden="false" customHeight="false" outlineLevel="0" collapsed="false">
      <c r="A565" s="106" t="s">
        <v>4440</v>
      </c>
      <c r="B565" s="106" t="s">
        <v>4284</v>
      </c>
      <c r="C565" s="106"/>
      <c r="D565" s="106"/>
      <c r="E565" s="107" t="n">
        <v>391</v>
      </c>
      <c r="F565" s="106" t="n">
        <v>30</v>
      </c>
      <c r="G565" s="118" t="n">
        <v>0.0767</v>
      </c>
      <c r="H565" s="116" t="n">
        <v>0.82</v>
      </c>
      <c r="I565" s="106" t="n">
        <v>6</v>
      </c>
      <c r="J565" s="117" t="n">
        <v>0.2</v>
      </c>
      <c r="K565" s="108" t="n">
        <v>24.75</v>
      </c>
      <c r="L565" s="108" t="n">
        <v>295.78</v>
      </c>
      <c r="M565" s="117" t="n">
        <v>0.084</v>
      </c>
      <c r="N565" s="106"/>
      <c r="O565" s="106" t="s">
        <v>4285</v>
      </c>
    </row>
    <row r="566" customFormat="false" ht="15" hidden="false" customHeight="false" outlineLevel="0" collapsed="false">
      <c r="A566" s="106" t="s">
        <v>4441</v>
      </c>
      <c r="B566" s="106" t="s">
        <v>4284</v>
      </c>
      <c r="C566" s="106"/>
      <c r="D566" s="106"/>
      <c r="E566" s="107" t="n">
        <v>553</v>
      </c>
      <c r="F566" s="106" t="n">
        <v>30</v>
      </c>
      <c r="G566" s="118" t="n">
        <v>0.0542</v>
      </c>
      <c r="H566" s="116" t="n">
        <v>0.44</v>
      </c>
      <c r="I566" s="106" t="n">
        <v>3</v>
      </c>
      <c r="J566" s="117" t="n">
        <v>0.1</v>
      </c>
      <c r="K566" s="108" t="n">
        <v>13.19</v>
      </c>
      <c r="L566" s="108" t="n">
        <v>87.25</v>
      </c>
      <c r="M566" s="117" t="n">
        <v>0.151</v>
      </c>
      <c r="N566" s="106"/>
      <c r="O566" s="106" t="s">
        <v>4285</v>
      </c>
    </row>
    <row r="567" customFormat="false" ht="15" hidden="false" customHeight="false" outlineLevel="0" collapsed="false">
      <c r="A567" s="106" t="s">
        <v>4442</v>
      </c>
      <c r="B567" s="106" t="s">
        <v>4284</v>
      </c>
      <c r="C567" s="106"/>
      <c r="D567" s="106" t="n">
        <v>33924</v>
      </c>
      <c r="E567" s="107" t="n">
        <v>641</v>
      </c>
      <c r="F567" s="106" t="n">
        <v>30</v>
      </c>
      <c r="G567" s="118" t="n">
        <v>0.0468</v>
      </c>
      <c r="H567" s="116" t="n">
        <v>0.59</v>
      </c>
      <c r="I567" s="106" t="n">
        <v>1</v>
      </c>
      <c r="J567" s="117" t="n">
        <v>0.0333</v>
      </c>
      <c r="K567" s="108" t="n">
        <v>17.61</v>
      </c>
      <c r="L567" s="108" t="n">
        <v>35.95</v>
      </c>
      <c r="M567" s="117" t="n">
        <v>0.49</v>
      </c>
      <c r="N567" s="106"/>
      <c r="O567" s="106" t="s">
        <v>4282</v>
      </c>
    </row>
    <row r="568" customFormat="false" ht="15" hidden="false" customHeight="false" outlineLevel="0" collapsed="false">
      <c r="A568" s="106" t="s">
        <v>4443</v>
      </c>
      <c r="B568" s="106" t="s">
        <v>4284</v>
      </c>
      <c r="C568" s="106"/>
      <c r="D568" s="106"/>
      <c r="E568" s="107" t="n">
        <v>946</v>
      </c>
      <c r="F568" s="106" t="n">
        <v>30</v>
      </c>
      <c r="G568" s="118" t="n">
        <v>0.0317</v>
      </c>
      <c r="H568" s="116" t="n">
        <v>0.88</v>
      </c>
      <c r="I568" s="106" t="n">
        <v>3</v>
      </c>
      <c r="J568" s="117" t="n">
        <v>0.1</v>
      </c>
      <c r="K568" s="108" t="n">
        <v>26.29</v>
      </c>
      <c r="L568" s="108" t="n">
        <v>74.39</v>
      </c>
      <c r="M568" s="117" t="n">
        <v>0.353</v>
      </c>
      <c r="N568" s="106"/>
      <c r="O568" s="106" t="s">
        <v>4321</v>
      </c>
    </row>
    <row r="569" customFormat="false" ht="15" hidden="false" customHeight="false" outlineLevel="0" collapsed="false">
      <c r="A569" s="106" t="s">
        <v>4444</v>
      </c>
      <c r="B569" s="106" t="s">
        <v>4284</v>
      </c>
      <c r="C569" s="106"/>
      <c r="D569" s="106"/>
      <c r="E569" s="107" t="n">
        <v>1212</v>
      </c>
      <c r="F569" s="106" t="n">
        <v>30</v>
      </c>
      <c r="G569" s="118" t="n">
        <v>0.0248</v>
      </c>
      <c r="H569" s="116" t="n">
        <v>0.85</v>
      </c>
      <c r="I569" s="106" t="n">
        <v>4</v>
      </c>
      <c r="J569" s="117" t="n">
        <v>0.1333</v>
      </c>
      <c r="K569" s="108" t="n">
        <v>25.65</v>
      </c>
      <c r="L569" s="108" t="n">
        <v>106.3</v>
      </c>
      <c r="M569" s="117" t="n">
        <v>0.241</v>
      </c>
      <c r="N569" s="106"/>
      <c r="O569" s="106" t="s">
        <v>4285</v>
      </c>
    </row>
    <row r="570" customFormat="false" ht="15" hidden="false" customHeight="false" outlineLevel="0" collapsed="false">
      <c r="A570" s="106" t="s">
        <v>4445</v>
      </c>
      <c r="B570" s="106" t="s">
        <v>4284</v>
      </c>
      <c r="C570" s="106"/>
      <c r="D570" s="106"/>
      <c r="E570" s="107" t="n">
        <v>839</v>
      </c>
      <c r="F570" s="106" t="n">
        <v>30</v>
      </c>
      <c r="G570" s="118" t="n">
        <v>0.0358</v>
      </c>
      <c r="H570" s="116" t="n">
        <v>0.8</v>
      </c>
      <c r="I570" s="106" t="n">
        <v>6</v>
      </c>
      <c r="J570" s="117" t="n">
        <v>0.2</v>
      </c>
      <c r="K570" s="108" t="n">
        <v>24.01</v>
      </c>
      <c r="L570" s="108" t="n">
        <v>191.69</v>
      </c>
      <c r="M570" s="117" t="n">
        <v>0.125</v>
      </c>
      <c r="N570" s="106"/>
      <c r="O570" s="106" t="s">
        <v>4285</v>
      </c>
    </row>
    <row r="571" customFormat="false" ht="15" hidden="false" customHeight="false" outlineLevel="0" collapsed="false">
      <c r="A571" s="106" t="s">
        <v>4446</v>
      </c>
      <c r="B571" s="106" t="s">
        <v>4284</v>
      </c>
      <c r="C571" s="106"/>
      <c r="D571" s="106"/>
      <c r="E571" s="107" t="n">
        <v>529</v>
      </c>
      <c r="F571" s="106" t="n">
        <v>29</v>
      </c>
      <c r="G571" s="118" t="n">
        <v>0.0548</v>
      </c>
      <c r="H571" s="116" t="n">
        <v>0.85</v>
      </c>
      <c r="I571" s="106" t="n">
        <v>11</v>
      </c>
      <c r="J571" s="117" t="n">
        <v>0.3793</v>
      </c>
      <c r="K571" s="108" t="n">
        <v>24.51</v>
      </c>
      <c r="L571" s="108" t="n">
        <v>347.65</v>
      </c>
      <c r="M571" s="117" t="n">
        <v>0.071</v>
      </c>
      <c r="N571" s="106"/>
      <c r="O571" s="106" t="s">
        <v>4285</v>
      </c>
    </row>
    <row r="572" customFormat="false" ht="15" hidden="false" customHeight="false" outlineLevel="0" collapsed="false">
      <c r="A572" s="106" t="s">
        <v>4447</v>
      </c>
      <c r="B572" s="106" t="s">
        <v>4284</v>
      </c>
      <c r="C572" s="106"/>
      <c r="D572" s="106"/>
      <c r="E572" s="107" t="n">
        <v>559</v>
      </c>
      <c r="F572" s="106" t="n">
        <v>29</v>
      </c>
      <c r="G572" s="118" t="n">
        <v>0.0519</v>
      </c>
      <c r="H572" s="116" t="n">
        <v>0.89</v>
      </c>
      <c r="I572" s="106" t="n">
        <v>2</v>
      </c>
      <c r="J572" s="117" t="n">
        <v>0.069</v>
      </c>
      <c r="K572" s="108" t="n">
        <v>25.69</v>
      </c>
      <c r="L572" s="108" t="n">
        <v>51.9</v>
      </c>
      <c r="M572" s="117" t="n">
        <v>0.495</v>
      </c>
      <c r="N572" s="106"/>
      <c r="O572" s="106" t="s">
        <v>4282</v>
      </c>
    </row>
    <row r="573" customFormat="false" ht="15" hidden="false" customHeight="false" outlineLevel="0" collapsed="false">
      <c r="A573" s="106" t="s">
        <v>4448</v>
      </c>
      <c r="B573" s="106" t="s">
        <v>4284</v>
      </c>
      <c r="C573" s="106"/>
      <c r="D573" s="106"/>
      <c r="E573" s="107" t="n">
        <v>570</v>
      </c>
      <c r="F573" s="106" t="n">
        <v>29</v>
      </c>
      <c r="G573" s="118" t="n">
        <v>0.0509</v>
      </c>
      <c r="H573" s="116" t="n">
        <v>0.64</v>
      </c>
      <c r="I573" s="106" t="n">
        <v>8</v>
      </c>
      <c r="J573" s="117" t="n">
        <v>0.2759</v>
      </c>
      <c r="K573" s="108" t="n">
        <v>18.49</v>
      </c>
      <c r="L573" s="108" t="n">
        <v>548.41</v>
      </c>
      <c r="M573" s="117" t="n">
        <v>0.034</v>
      </c>
      <c r="N573" s="106"/>
      <c r="O573" s="106" t="s">
        <v>4285</v>
      </c>
    </row>
    <row r="574" customFormat="false" ht="15" hidden="false" customHeight="false" outlineLevel="0" collapsed="false">
      <c r="A574" s="106" t="s">
        <v>4449</v>
      </c>
      <c r="B574" s="106" t="s">
        <v>4284</v>
      </c>
      <c r="C574" s="106"/>
      <c r="D574" s="106" t="n">
        <v>4026</v>
      </c>
      <c r="E574" s="107" t="n">
        <v>664</v>
      </c>
      <c r="F574" s="106" t="n">
        <v>28</v>
      </c>
      <c r="G574" s="118" t="n">
        <v>0.0422</v>
      </c>
      <c r="H574" s="116" t="n">
        <v>0.52</v>
      </c>
      <c r="I574" s="106" t="n">
        <v>0</v>
      </c>
      <c r="J574" s="117" t="n">
        <v>0</v>
      </c>
      <c r="K574" s="108" t="n">
        <v>14.65</v>
      </c>
      <c r="L574" s="108" t="n">
        <v>0</v>
      </c>
      <c r="M574" s="117"/>
      <c r="N574" s="106"/>
      <c r="O574" s="106" t="s">
        <v>4289</v>
      </c>
    </row>
    <row r="575" customFormat="false" ht="15" hidden="false" customHeight="false" outlineLevel="0" collapsed="false">
      <c r="A575" s="106" t="s">
        <v>4450</v>
      </c>
      <c r="B575" s="106" t="s">
        <v>4309</v>
      </c>
      <c r="C575" s="106"/>
      <c r="D575" s="106" t="n">
        <v>35049</v>
      </c>
      <c r="E575" s="107" t="n">
        <v>1079</v>
      </c>
      <c r="F575" s="106" t="n">
        <v>28</v>
      </c>
      <c r="G575" s="118" t="n">
        <v>0.0259</v>
      </c>
      <c r="H575" s="116" t="n">
        <v>0.54</v>
      </c>
      <c r="I575" s="106" t="n">
        <v>2</v>
      </c>
      <c r="J575" s="117" t="n">
        <v>0.0714</v>
      </c>
      <c r="K575" s="108" t="n">
        <v>15.05</v>
      </c>
      <c r="L575" s="108" t="n">
        <v>90.9</v>
      </c>
      <c r="M575" s="117" t="n">
        <v>0.166</v>
      </c>
      <c r="N575" s="106"/>
      <c r="O575" s="106" t="s">
        <v>4285</v>
      </c>
    </row>
    <row r="576" customFormat="false" ht="15" hidden="false" customHeight="false" outlineLevel="0" collapsed="false">
      <c r="A576" s="106" t="s">
        <v>4451</v>
      </c>
      <c r="B576" s="106" t="s">
        <v>4284</v>
      </c>
      <c r="C576" s="106"/>
      <c r="D576" s="106"/>
      <c r="E576" s="107" t="n">
        <v>381</v>
      </c>
      <c r="F576" s="106" t="n">
        <v>28</v>
      </c>
      <c r="G576" s="118" t="n">
        <v>0.0735</v>
      </c>
      <c r="H576" s="116" t="n">
        <v>0.57</v>
      </c>
      <c r="I576" s="106" t="n">
        <v>0</v>
      </c>
      <c r="J576" s="117" t="n">
        <v>0</v>
      </c>
      <c r="K576" s="108" t="n">
        <v>15.84</v>
      </c>
      <c r="L576" s="108" t="n">
        <v>0</v>
      </c>
      <c r="M576" s="117"/>
      <c r="N576" s="106"/>
      <c r="O576" s="106" t="s">
        <v>4289</v>
      </c>
    </row>
    <row r="577" customFormat="false" ht="15" hidden="false" customHeight="false" outlineLevel="0" collapsed="false">
      <c r="A577" s="106" t="s">
        <v>4452</v>
      </c>
      <c r="B577" s="106" t="s">
        <v>4284</v>
      </c>
      <c r="C577" s="106"/>
      <c r="D577" s="106"/>
      <c r="E577" s="107" t="n">
        <v>415</v>
      </c>
      <c r="F577" s="106" t="n">
        <v>28</v>
      </c>
      <c r="G577" s="118" t="n">
        <v>0.0675</v>
      </c>
      <c r="H577" s="116" t="n">
        <v>0.89</v>
      </c>
      <c r="I577" s="106" t="n">
        <v>3</v>
      </c>
      <c r="J577" s="117" t="n">
        <v>0.1071</v>
      </c>
      <c r="K577" s="108" t="n">
        <v>24.94</v>
      </c>
      <c r="L577" s="108" t="n">
        <v>84.85</v>
      </c>
      <c r="M577" s="117" t="n">
        <v>0.294</v>
      </c>
      <c r="N577" s="106"/>
      <c r="O577" s="106" t="s">
        <v>4321</v>
      </c>
    </row>
    <row r="578" customFormat="false" ht="15" hidden="false" customHeight="false" outlineLevel="0" collapsed="false">
      <c r="A578" s="106" t="s">
        <v>4453</v>
      </c>
      <c r="B578" s="106" t="s">
        <v>1403</v>
      </c>
      <c r="C578" s="106"/>
      <c r="D578" s="106" t="n">
        <v>2177</v>
      </c>
      <c r="E578" s="107" t="n">
        <v>2475</v>
      </c>
      <c r="F578" s="106" t="n">
        <v>28</v>
      </c>
      <c r="G578" s="118" t="n">
        <v>0.0113</v>
      </c>
      <c r="H578" s="116" t="n">
        <v>1.17</v>
      </c>
      <c r="I578" s="106" t="n">
        <v>1</v>
      </c>
      <c r="J578" s="117" t="n">
        <v>0.0357</v>
      </c>
      <c r="K578" s="108" t="n">
        <v>32.89</v>
      </c>
      <c r="L578" s="108" t="n">
        <v>35.95</v>
      </c>
      <c r="M578" s="117" t="n">
        <v>0.915</v>
      </c>
      <c r="N578" s="106"/>
      <c r="O578" s="106" t="s">
        <v>4289</v>
      </c>
    </row>
    <row r="579" customFormat="false" ht="15" hidden="false" customHeight="false" outlineLevel="0" collapsed="false">
      <c r="A579" s="106" t="s">
        <v>640</v>
      </c>
      <c r="B579" s="106" t="s">
        <v>4280</v>
      </c>
      <c r="C579" s="106" t="s">
        <v>4301</v>
      </c>
      <c r="D579" s="106" t="n">
        <v>2630</v>
      </c>
      <c r="E579" s="107" t="n">
        <v>257</v>
      </c>
      <c r="F579" s="106" t="n">
        <v>28</v>
      </c>
      <c r="G579" s="118" t="n">
        <v>0.1089</v>
      </c>
      <c r="H579" s="116" t="n">
        <v>1.78</v>
      </c>
      <c r="I579" s="106" t="n">
        <v>5</v>
      </c>
      <c r="J579" s="117" t="n">
        <v>0.1786</v>
      </c>
      <c r="K579" s="108" t="n">
        <v>49.89</v>
      </c>
      <c r="L579" s="108" t="n">
        <v>211.75</v>
      </c>
      <c r="M579" s="117" t="n">
        <v>0.236</v>
      </c>
      <c r="N579" s="106" t="n">
        <v>56</v>
      </c>
      <c r="O579" s="106" t="s">
        <v>4285</v>
      </c>
    </row>
    <row r="580" customFormat="false" ht="15" hidden="false" customHeight="false" outlineLevel="0" collapsed="false">
      <c r="A580" s="106" t="s">
        <v>4454</v>
      </c>
      <c r="B580" s="106" t="s">
        <v>4284</v>
      </c>
      <c r="C580" s="106"/>
      <c r="D580" s="106"/>
      <c r="E580" s="107" t="n">
        <v>1028</v>
      </c>
      <c r="F580" s="106" t="n">
        <v>28</v>
      </c>
      <c r="G580" s="118" t="n">
        <v>0.0272</v>
      </c>
      <c r="H580" s="116" t="n">
        <v>0.85</v>
      </c>
      <c r="I580" s="106" t="n">
        <v>3</v>
      </c>
      <c r="J580" s="117" t="n">
        <v>0.1071</v>
      </c>
      <c r="K580" s="108" t="n">
        <v>23.94</v>
      </c>
      <c r="L580" s="108" t="n">
        <v>73.15</v>
      </c>
      <c r="M580" s="117" t="n">
        <v>0.327</v>
      </c>
      <c r="N580" s="106"/>
      <c r="O580" s="106" t="s">
        <v>4321</v>
      </c>
    </row>
    <row r="581" customFormat="false" ht="15" hidden="false" customHeight="false" outlineLevel="0" collapsed="false">
      <c r="A581" s="106" t="s">
        <v>4455</v>
      </c>
      <c r="B581" s="106" t="s">
        <v>4284</v>
      </c>
      <c r="C581" s="106"/>
      <c r="D581" s="106"/>
      <c r="E581" s="107" t="n">
        <v>600</v>
      </c>
      <c r="F581" s="106" t="n">
        <v>28</v>
      </c>
      <c r="G581" s="118" t="n">
        <v>0.0467</v>
      </c>
      <c r="H581" s="116" t="n">
        <v>0.77</v>
      </c>
      <c r="I581" s="106" t="n">
        <v>3</v>
      </c>
      <c r="J581" s="117" t="n">
        <v>0.1071</v>
      </c>
      <c r="K581" s="108" t="n">
        <v>21.56</v>
      </c>
      <c r="L581" s="108" t="n">
        <v>74.37</v>
      </c>
      <c r="M581" s="117" t="n">
        <v>0.29</v>
      </c>
      <c r="N581" s="106"/>
      <c r="O581" s="106" t="s">
        <v>4321</v>
      </c>
    </row>
    <row r="582" customFormat="false" ht="15" hidden="false" customHeight="false" outlineLevel="0" collapsed="false">
      <c r="A582" s="106" t="s">
        <v>1228</v>
      </c>
      <c r="B582" s="106" t="s">
        <v>4280</v>
      </c>
      <c r="C582" s="106" t="s">
        <v>4287</v>
      </c>
      <c r="D582" s="106" t="n">
        <v>924</v>
      </c>
      <c r="E582" s="107" t="n">
        <v>125</v>
      </c>
      <c r="F582" s="106" t="n">
        <v>28</v>
      </c>
      <c r="G582" s="118" t="n">
        <v>0.224</v>
      </c>
      <c r="H582" s="116" t="n">
        <v>2.18</v>
      </c>
      <c r="I582" s="106" t="n">
        <v>3</v>
      </c>
      <c r="J582" s="117" t="n">
        <v>0.1071</v>
      </c>
      <c r="K582" s="108" t="n">
        <v>60.96</v>
      </c>
      <c r="L582" s="108" t="n">
        <v>107.85</v>
      </c>
      <c r="M582" s="117" t="n">
        <v>0.565</v>
      </c>
      <c r="N582" s="106" t="n">
        <v>46</v>
      </c>
      <c r="O582" s="106" t="s">
        <v>4282</v>
      </c>
    </row>
    <row r="583" customFormat="false" ht="15" hidden="false" customHeight="false" outlineLevel="0" collapsed="false">
      <c r="A583" s="106" t="s">
        <v>4456</v>
      </c>
      <c r="B583" s="106" t="s">
        <v>4329</v>
      </c>
      <c r="C583" s="106"/>
      <c r="D583" s="106" t="n">
        <v>639</v>
      </c>
      <c r="E583" s="107" t="n">
        <v>117</v>
      </c>
      <c r="F583" s="106" t="n">
        <v>27</v>
      </c>
      <c r="G583" s="118" t="n">
        <v>0.2308</v>
      </c>
      <c r="H583" s="116" t="n">
        <v>0.66</v>
      </c>
      <c r="I583" s="106" t="n">
        <v>3</v>
      </c>
      <c r="J583" s="117" t="n">
        <v>0.1111</v>
      </c>
      <c r="K583" s="108" t="n">
        <v>17.82</v>
      </c>
      <c r="L583" s="108" t="n">
        <v>111.95</v>
      </c>
      <c r="M583" s="117" t="n">
        <v>0.159</v>
      </c>
      <c r="N583" s="106" t="n">
        <v>48</v>
      </c>
      <c r="O583" s="106" t="s">
        <v>4285</v>
      </c>
    </row>
    <row r="584" customFormat="false" ht="15" hidden="false" customHeight="false" outlineLevel="0" collapsed="false">
      <c r="A584" s="106" t="s">
        <v>4457</v>
      </c>
      <c r="B584" s="106" t="s">
        <v>4284</v>
      </c>
      <c r="C584" s="106"/>
      <c r="D584" s="106" t="n">
        <v>49657</v>
      </c>
      <c r="E584" s="107" t="n">
        <v>638</v>
      </c>
      <c r="F584" s="106" t="n">
        <v>27</v>
      </c>
      <c r="G584" s="118" t="n">
        <v>0.0423</v>
      </c>
      <c r="H584" s="116" t="n">
        <v>0.59</v>
      </c>
      <c r="I584" s="106" t="n">
        <v>0</v>
      </c>
      <c r="J584" s="117" t="n">
        <v>0</v>
      </c>
      <c r="K584" s="108" t="n">
        <v>15.82</v>
      </c>
      <c r="L584" s="108" t="n">
        <v>0</v>
      </c>
      <c r="M584" s="117"/>
      <c r="N584" s="106"/>
      <c r="O584" s="106" t="s">
        <v>4289</v>
      </c>
    </row>
    <row r="585" customFormat="false" ht="15" hidden="false" customHeight="false" outlineLevel="0" collapsed="false">
      <c r="A585" s="106" t="s">
        <v>4458</v>
      </c>
      <c r="B585" s="106" t="s">
        <v>4284</v>
      </c>
      <c r="C585" s="106"/>
      <c r="D585" s="106"/>
      <c r="E585" s="107" t="n">
        <v>466</v>
      </c>
      <c r="F585" s="106" t="n">
        <v>27</v>
      </c>
      <c r="G585" s="118" t="n">
        <v>0.0579</v>
      </c>
      <c r="H585" s="116" t="n">
        <v>0.86</v>
      </c>
      <c r="I585" s="106" t="n">
        <v>3</v>
      </c>
      <c r="J585" s="117" t="n">
        <v>0.1111</v>
      </c>
      <c r="K585" s="108" t="n">
        <v>23.15</v>
      </c>
      <c r="L585" s="108" t="n">
        <v>93.85</v>
      </c>
      <c r="M585" s="117" t="n">
        <v>0.247</v>
      </c>
      <c r="N585" s="106"/>
      <c r="O585" s="106" t="s">
        <v>4285</v>
      </c>
    </row>
    <row r="586" customFormat="false" ht="15" hidden="false" customHeight="false" outlineLevel="0" collapsed="false">
      <c r="A586" s="106" t="s">
        <v>4459</v>
      </c>
      <c r="B586" s="106" t="s">
        <v>4284</v>
      </c>
      <c r="C586" s="106"/>
      <c r="D586" s="106"/>
      <c r="E586" s="107" t="n">
        <v>559</v>
      </c>
      <c r="F586" s="106" t="n">
        <v>27</v>
      </c>
      <c r="G586" s="118" t="n">
        <v>0.0483</v>
      </c>
      <c r="H586" s="116" t="n">
        <v>0.77</v>
      </c>
      <c r="I586" s="106" t="n">
        <v>4</v>
      </c>
      <c r="J586" s="117" t="n">
        <v>0.1481</v>
      </c>
      <c r="K586" s="108" t="n">
        <v>20.74</v>
      </c>
      <c r="L586" s="108" t="n">
        <v>135.8</v>
      </c>
      <c r="M586" s="117" t="n">
        <v>0.153</v>
      </c>
      <c r="N586" s="106"/>
      <c r="O586" s="106" t="s">
        <v>4285</v>
      </c>
    </row>
    <row r="587" customFormat="false" ht="15" hidden="false" customHeight="false" outlineLevel="0" collapsed="false">
      <c r="A587" s="106" t="s">
        <v>4460</v>
      </c>
      <c r="B587" s="106" t="s">
        <v>4284</v>
      </c>
      <c r="C587" s="106"/>
      <c r="D587" s="106"/>
      <c r="E587" s="107" t="n">
        <v>1567</v>
      </c>
      <c r="F587" s="106" t="n">
        <v>27</v>
      </c>
      <c r="G587" s="118" t="n">
        <v>0.0172</v>
      </c>
      <c r="H587" s="116" t="n">
        <v>0.74</v>
      </c>
      <c r="I587" s="106" t="n">
        <v>3</v>
      </c>
      <c r="J587" s="117" t="n">
        <v>0.1111</v>
      </c>
      <c r="K587" s="108" t="n">
        <v>19.97</v>
      </c>
      <c r="L587" s="108" t="n">
        <v>77.39</v>
      </c>
      <c r="M587" s="117" t="n">
        <v>0.258</v>
      </c>
      <c r="N587" s="106"/>
      <c r="O587" s="106" t="s">
        <v>4285</v>
      </c>
    </row>
    <row r="588" customFormat="false" ht="15" hidden="false" customHeight="false" outlineLevel="0" collapsed="false">
      <c r="A588" s="106" t="s">
        <v>4461</v>
      </c>
      <c r="B588" s="106" t="s">
        <v>4284</v>
      </c>
      <c r="C588" s="106"/>
      <c r="D588" s="106"/>
      <c r="E588" s="107" t="n">
        <v>536</v>
      </c>
      <c r="F588" s="106" t="n">
        <v>27</v>
      </c>
      <c r="G588" s="118" t="n">
        <v>0.0504</v>
      </c>
      <c r="H588" s="116" t="n">
        <v>0.82</v>
      </c>
      <c r="I588" s="106" t="n">
        <v>5</v>
      </c>
      <c r="J588" s="117" t="n">
        <v>0.1852</v>
      </c>
      <c r="K588" s="108" t="n">
        <v>22.23</v>
      </c>
      <c r="L588" s="108" t="n">
        <v>175.69</v>
      </c>
      <c r="M588" s="117" t="n">
        <v>0.127</v>
      </c>
      <c r="N588" s="106"/>
      <c r="O588" s="106" t="s">
        <v>4285</v>
      </c>
    </row>
    <row r="589" customFormat="false" ht="15" hidden="false" customHeight="false" outlineLevel="0" collapsed="false">
      <c r="A589" s="106" t="s">
        <v>4462</v>
      </c>
      <c r="B589" s="106" t="s">
        <v>4284</v>
      </c>
      <c r="C589" s="106"/>
      <c r="D589" s="106" t="n">
        <v>38522</v>
      </c>
      <c r="E589" s="107" t="n">
        <v>686</v>
      </c>
      <c r="F589" s="106" t="n">
        <v>27</v>
      </c>
      <c r="G589" s="118" t="n">
        <v>0.0394</v>
      </c>
      <c r="H589" s="116" t="n">
        <v>0.53</v>
      </c>
      <c r="I589" s="106" t="n">
        <v>1</v>
      </c>
      <c r="J589" s="117" t="n">
        <v>0.037</v>
      </c>
      <c r="K589" s="108" t="n">
        <v>14.37</v>
      </c>
      <c r="L589" s="108" t="n">
        <v>39.95</v>
      </c>
      <c r="M589" s="117" t="n">
        <v>0.36</v>
      </c>
      <c r="N589" s="106"/>
      <c r="O589" s="106" t="s">
        <v>4321</v>
      </c>
    </row>
    <row r="590" customFormat="false" ht="15" hidden="false" customHeight="false" outlineLevel="0" collapsed="false">
      <c r="A590" s="106" t="s">
        <v>303</v>
      </c>
      <c r="B590" s="106" t="s">
        <v>4280</v>
      </c>
      <c r="C590" s="106" t="s">
        <v>4281</v>
      </c>
      <c r="D590" s="106" t="n">
        <v>766</v>
      </c>
      <c r="E590" s="107" t="n">
        <v>218</v>
      </c>
      <c r="F590" s="106" t="n">
        <v>27</v>
      </c>
      <c r="G590" s="118" t="n">
        <v>0.1239</v>
      </c>
      <c r="H590" s="116" t="n">
        <v>1</v>
      </c>
      <c r="I590" s="106" t="n">
        <v>4</v>
      </c>
      <c r="J590" s="117" t="n">
        <v>0.1481</v>
      </c>
      <c r="K590" s="108" t="n">
        <v>27.09</v>
      </c>
      <c r="L590" s="108" t="n">
        <v>151.77</v>
      </c>
      <c r="M590" s="117" t="n">
        <v>0.178</v>
      </c>
      <c r="N590" s="106" t="n">
        <v>34</v>
      </c>
      <c r="O590" s="106" t="s">
        <v>4285</v>
      </c>
    </row>
    <row r="591" customFormat="false" ht="15" hidden="false" customHeight="false" outlineLevel="0" collapsed="false">
      <c r="A591" s="106" t="s">
        <v>4463</v>
      </c>
      <c r="B591" s="106" t="s">
        <v>4284</v>
      </c>
      <c r="C591" s="106"/>
      <c r="D591" s="106"/>
      <c r="E591" s="107" t="n">
        <v>686</v>
      </c>
      <c r="F591" s="106" t="n">
        <v>27</v>
      </c>
      <c r="G591" s="118" t="n">
        <v>0.0394</v>
      </c>
      <c r="H591" s="116" t="n">
        <v>0.45</v>
      </c>
      <c r="I591" s="106" t="n">
        <v>3</v>
      </c>
      <c r="J591" s="117" t="n">
        <v>0.1111</v>
      </c>
      <c r="K591" s="108" t="n">
        <v>12.09</v>
      </c>
      <c r="L591" s="108" t="n">
        <v>97.85</v>
      </c>
      <c r="M591" s="117" t="n">
        <v>0.124</v>
      </c>
      <c r="N591" s="106"/>
      <c r="O591" s="106" t="s">
        <v>4285</v>
      </c>
    </row>
    <row r="592" customFormat="false" ht="15" hidden="false" customHeight="false" outlineLevel="0" collapsed="false">
      <c r="A592" s="106" t="s">
        <v>4464</v>
      </c>
      <c r="B592" s="106" t="s">
        <v>4284</v>
      </c>
      <c r="C592" s="106"/>
      <c r="D592" s="106"/>
      <c r="E592" s="107" t="n">
        <v>1985</v>
      </c>
      <c r="F592" s="106" t="n">
        <v>27</v>
      </c>
      <c r="G592" s="118" t="n">
        <v>0.0136</v>
      </c>
      <c r="H592" s="116" t="n">
        <v>0.61</v>
      </c>
      <c r="I592" s="106" t="n">
        <v>2</v>
      </c>
      <c r="J592" s="117" t="n">
        <v>0.0741</v>
      </c>
      <c r="K592" s="108" t="n">
        <v>16.54</v>
      </c>
      <c r="L592" s="108" t="n">
        <v>76</v>
      </c>
      <c r="M592" s="117" t="n">
        <v>0.218</v>
      </c>
      <c r="N592" s="106"/>
      <c r="O592" s="106" t="s">
        <v>4285</v>
      </c>
    </row>
    <row r="593" customFormat="false" ht="15" hidden="false" customHeight="false" outlineLevel="0" collapsed="false">
      <c r="A593" s="106" t="s">
        <v>4465</v>
      </c>
      <c r="B593" s="106" t="s">
        <v>4284</v>
      </c>
      <c r="C593" s="106"/>
      <c r="D593" s="106"/>
      <c r="E593" s="107" t="n">
        <v>791</v>
      </c>
      <c r="F593" s="106" t="n">
        <v>27</v>
      </c>
      <c r="G593" s="118" t="n">
        <v>0.0341</v>
      </c>
      <c r="H593" s="116" t="n">
        <v>0.84</v>
      </c>
      <c r="I593" s="106" t="n">
        <v>3</v>
      </c>
      <c r="J593" s="117" t="n">
        <v>0.1111</v>
      </c>
      <c r="K593" s="108" t="n">
        <v>22.8</v>
      </c>
      <c r="L593" s="108" t="n">
        <v>99.85</v>
      </c>
      <c r="M593" s="117" t="n">
        <v>0.228</v>
      </c>
      <c r="N593" s="106"/>
      <c r="O593" s="106" t="s">
        <v>4285</v>
      </c>
    </row>
    <row r="594" customFormat="false" ht="15" hidden="false" customHeight="false" outlineLevel="0" collapsed="false">
      <c r="A594" s="106" t="s">
        <v>4466</v>
      </c>
      <c r="B594" s="106" t="s">
        <v>4284</v>
      </c>
      <c r="C594" s="106"/>
      <c r="D594" s="106"/>
      <c r="E594" s="107" t="n">
        <v>807</v>
      </c>
      <c r="F594" s="106" t="n">
        <v>27</v>
      </c>
      <c r="G594" s="118" t="n">
        <v>0.0335</v>
      </c>
      <c r="H594" s="116" t="n">
        <v>0.81</v>
      </c>
      <c r="I594" s="106" t="n">
        <v>4</v>
      </c>
      <c r="J594" s="117" t="n">
        <v>0.1481</v>
      </c>
      <c r="K594" s="108" t="n">
        <v>21.9</v>
      </c>
      <c r="L594" s="108" t="n">
        <v>133.8</v>
      </c>
      <c r="M594" s="117" t="n">
        <v>0.164</v>
      </c>
      <c r="N594" s="106"/>
      <c r="O594" s="106" t="s">
        <v>4285</v>
      </c>
    </row>
    <row r="595" customFormat="false" ht="15" hidden="false" customHeight="false" outlineLevel="0" collapsed="false">
      <c r="A595" s="106" t="s">
        <v>4467</v>
      </c>
      <c r="B595" s="106" t="s">
        <v>4284</v>
      </c>
      <c r="C595" s="106"/>
      <c r="D595" s="106"/>
      <c r="E595" s="107" t="n">
        <v>625</v>
      </c>
      <c r="F595" s="106" t="n">
        <v>27</v>
      </c>
      <c r="G595" s="118" t="n">
        <v>0.0432</v>
      </c>
      <c r="H595" s="116" t="n">
        <v>0.78</v>
      </c>
      <c r="I595" s="106" t="n">
        <v>1</v>
      </c>
      <c r="J595" s="117" t="n">
        <v>0.037</v>
      </c>
      <c r="K595" s="108" t="n">
        <v>20.97</v>
      </c>
      <c r="L595" s="108" t="n">
        <v>31.95</v>
      </c>
      <c r="M595" s="117" t="n">
        <v>0.656</v>
      </c>
      <c r="N595" s="106"/>
      <c r="O595" s="106" t="s">
        <v>4289</v>
      </c>
    </row>
    <row r="596" customFormat="false" ht="15" hidden="false" customHeight="false" outlineLevel="0" collapsed="false">
      <c r="A596" s="106" t="s">
        <v>4468</v>
      </c>
      <c r="B596" s="106" t="s">
        <v>4284</v>
      </c>
      <c r="C596" s="106"/>
      <c r="D596" s="106"/>
      <c r="E596" s="107" t="n">
        <v>992</v>
      </c>
      <c r="F596" s="106" t="n">
        <v>27</v>
      </c>
      <c r="G596" s="118" t="n">
        <v>0.0272</v>
      </c>
      <c r="H596" s="116" t="n">
        <v>0.85</v>
      </c>
      <c r="I596" s="106" t="n">
        <v>2</v>
      </c>
      <c r="J596" s="117" t="n">
        <v>0.0741</v>
      </c>
      <c r="K596" s="108" t="n">
        <v>22.86</v>
      </c>
      <c r="L596" s="108" t="n">
        <v>52.2</v>
      </c>
      <c r="M596" s="117" t="n">
        <v>0.438</v>
      </c>
      <c r="N596" s="106"/>
      <c r="O596" s="106" t="s">
        <v>4321</v>
      </c>
    </row>
    <row r="597" customFormat="false" ht="15" hidden="false" customHeight="false" outlineLevel="0" collapsed="false">
      <c r="A597" s="106" t="s">
        <v>718</v>
      </c>
      <c r="B597" s="106" t="s">
        <v>4280</v>
      </c>
      <c r="C597" s="106" t="s">
        <v>4290</v>
      </c>
      <c r="D597" s="106" t="n">
        <v>1305</v>
      </c>
      <c r="E597" s="107" t="n">
        <v>1228</v>
      </c>
      <c r="F597" s="106" t="n">
        <v>26</v>
      </c>
      <c r="G597" s="118" t="n">
        <v>0.0212</v>
      </c>
      <c r="H597" s="116" t="n">
        <v>1.84</v>
      </c>
      <c r="I597" s="106" t="n">
        <v>2</v>
      </c>
      <c r="J597" s="117" t="n">
        <v>0.0769</v>
      </c>
      <c r="K597" s="108" t="n">
        <v>47.78</v>
      </c>
      <c r="L597" s="108" t="n">
        <v>93.93</v>
      </c>
      <c r="M597" s="117" t="n">
        <v>0.509</v>
      </c>
      <c r="N597" s="106" t="n">
        <v>23</v>
      </c>
      <c r="O597" s="106" t="s">
        <v>4282</v>
      </c>
    </row>
    <row r="598" customFormat="false" ht="15" hidden="false" customHeight="false" outlineLevel="0" collapsed="false">
      <c r="A598" s="106" t="s">
        <v>4469</v>
      </c>
      <c r="B598" s="106" t="s">
        <v>4284</v>
      </c>
      <c r="C598" s="106"/>
      <c r="D598" s="106"/>
      <c r="E598" s="107" t="n">
        <v>378</v>
      </c>
      <c r="F598" s="106" t="n">
        <v>26</v>
      </c>
      <c r="G598" s="118" t="n">
        <v>0.0688</v>
      </c>
      <c r="H598" s="116" t="n">
        <v>0.85</v>
      </c>
      <c r="I598" s="106" t="n">
        <v>8</v>
      </c>
      <c r="J598" s="117" t="n">
        <v>0.3077</v>
      </c>
      <c r="K598" s="108" t="n">
        <v>22.01</v>
      </c>
      <c r="L598" s="108" t="n">
        <v>229.55</v>
      </c>
      <c r="M598" s="117" t="n">
        <v>0.096</v>
      </c>
      <c r="N598" s="106"/>
      <c r="O598" s="106" t="s">
        <v>4285</v>
      </c>
    </row>
    <row r="599" customFormat="false" ht="15" hidden="false" customHeight="false" outlineLevel="0" collapsed="false">
      <c r="A599" s="106" t="s">
        <v>4470</v>
      </c>
      <c r="B599" s="106" t="s">
        <v>4284</v>
      </c>
      <c r="C599" s="106"/>
      <c r="D599" s="106"/>
      <c r="E599" s="107" t="n">
        <v>599</v>
      </c>
      <c r="F599" s="106" t="n">
        <v>26</v>
      </c>
      <c r="G599" s="118" t="n">
        <v>0.0434</v>
      </c>
      <c r="H599" s="116" t="n">
        <v>0.86</v>
      </c>
      <c r="I599" s="106" t="n">
        <v>7</v>
      </c>
      <c r="J599" s="117" t="n">
        <v>0.2692</v>
      </c>
      <c r="K599" s="108" t="n">
        <v>22.24</v>
      </c>
      <c r="L599" s="108" t="n">
        <v>235.85</v>
      </c>
      <c r="M599" s="117" t="n">
        <v>0.094</v>
      </c>
      <c r="N599" s="106"/>
      <c r="O599" s="106" t="s">
        <v>4285</v>
      </c>
    </row>
    <row r="600" customFormat="false" ht="15" hidden="false" customHeight="false" outlineLevel="0" collapsed="false">
      <c r="A600" s="106" t="s">
        <v>4471</v>
      </c>
      <c r="B600" s="106" t="s">
        <v>4284</v>
      </c>
      <c r="C600" s="106"/>
      <c r="D600" s="106"/>
      <c r="E600" s="107" t="n">
        <v>601</v>
      </c>
      <c r="F600" s="106" t="n">
        <v>26</v>
      </c>
      <c r="G600" s="118" t="n">
        <v>0.0433</v>
      </c>
      <c r="H600" s="116" t="n">
        <v>0.7</v>
      </c>
      <c r="I600" s="106" t="n">
        <v>3</v>
      </c>
      <c r="J600" s="117" t="n">
        <v>0.1154</v>
      </c>
      <c r="K600" s="108" t="n">
        <v>18.1</v>
      </c>
      <c r="L600" s="108" t="n">
        <v>113.85</v>
      </c>
      <c r="M600" s="117" t="n">
        <v>0.159</v>
      </c>
      <c r="N600" s="106"/>
      <c r="O600" s="106" t="s">
        <v>4285</v>
      </c>
    </row>
    <row r="601" customFormat="false" ht="15" hidden="false" customHeight="false" outlineLevel="0" collapsed="false">
      <c r="A601" s="106" t="s">
        <v>4472</v>
      </c>
      <c r="B601" s="106" t="s">
        <v>4284</v>
      </c>
      <c r="C601" s="106"/>
      <c r="D601" s="106"/>
      <c r="E601" s="107" t="n">
        <v>463</v>
      </c>
      <c r="F601" s="106" t="n">
        <v>26</v>
      </c>
      <c r="G601" s="118" t="n">
        <v>0.0562</v>
      </c>
      <c r="H601" s="116" t="n">
        <v>0.9</v>
      </c>
      <c r="I601" s="106" t="n">
        <v>1</v>
      </c>
      <c r="J601" s="117" t="n">
        <v>0.0385</v>
      </c>
      <c r="K601" s="108" t="n">
        <v>23.4</v>
      </c>
      <c r="L601" s="108" t="n">
        <v>31.95</v>
      </c>
      <c r="M601" s="117" t="n">
        <v>0.732</v>
      </c>
      <c r="N601" s="106"/>
      <c r="O601" s="106" t="s">
        <v>4289</v>
      </c>
    </row>
    <row r="602" customFormat="false" ht="15" hidden="false" customHeight="false" outlineLevel="0" collapsed="false">
      <c r="A602" s="106" t="s">
        <v>4473</v>
      </c>
      <c r="B602" s="106" t="s">
        <v>4284</v>
      </c>
      <c r="C602" s="106"/>
      <c r="D602" s="106"/>
      <c r="E602" s="107" t="n">
        <v>1098</v>
      </c>
      <c r="F602" s="106" t="n">
        <v>26</v>
      </c>
      <c r="G602" s="118" t="n">
        <v>0.0237</v>
      </c>
      <c r="H602" s="116" t="n">
        <v>0.89</v>
      </c>
      <c r="I602" s="106" t="n">
        <v>2</v>
      </c>
      <c r="J602" s="117" t="n">
        <v>0.0769</v>
      </c>
      <c r="K602" s="108" t="n">
        <v>23.2</v>
      </c>
      <c r="L602" s="108" t="n">
        <v>59.9</v>
      </c>
      <c r="M602" s="117" t="n">
        <v>0.387</v>
      </c>
      <c r="N602" s="106"/>
      <c r="O602" s="106" t="s">
        <v>4321</v>
      </c>
    </row>
    <row r="603" customFormat="false" ht="15" hidden="false" customHeight="false" outlineLevel="0" collapsed="false">
      <c r="A603" s="106" t="s">
        <v>1206</v>
      </c>
      <c r="B603" s="106" t="s">
        <v>4280</v>
      </c>
      <c r="C603" s="106" t="s">
        <v>4287</v>
      </c>
      <c r="D603" s="106" t="n">
        <v>1735</v>
      </c>
      <c r="E603" s="107" t="n">
        <v>130</v>
      </c>
      <c r="F603" s="106" t="n">
        <v>25</v>
      </c>
      <c r="G603" s="118" t="n">
        <v>0.1923</v>
      </c>
      <c r="H603" s="116" t="n">
        <v>1.05</v>
      </c>
      <c r="I603" s="106" t="n">
        <v>2</v>
      </c>
      <c r="J603" s="117" t="n">
        <v>0.08</v>
      </c>
      <c r="K603" s="108" t="n">
        <v>26.21</v>
      </c>
      <c r="L603" s="108" t="n">
        <v>73.9</v>
      </c>
      <c r="M603" s="117" t="n">
        <v>0.355</v>
      </c>
      <c r="N603" s="106" t="n">
        <v>62</v>
      </c>
      <c r="O603" s="106" t="s">
        <v>4321</v>
      </c>
    </row>
    <row r="604" customFormat="false" ht="15" hidden="false" customHeight="false" outlineLevel="0" collapsed="false">
      <c r="A604" s="106" t="s">
        <v>1309</v>
      </c>
      <c r="B604" s="106" t="s">
        <v>4280</v>
      </c>
      <c r="C604" s="106"/>
      <c r="D604" s="106" t="n">
        <v>203</v>
      </c>
      <c r="E604" s="107" t="n">
        <v>245</v>
      </c>
      <c r="F604" s="106" t="n">
        <v>25</v>
      </c>
      <c r="G604" s="118" t="n">
        <v>0.102</v>
      </c>
      <c r="H604" s="116" t="n">
        <v>3.54</v>
      </c>
      <c r="I604" s="106" t="n">
        <v>4</v>
      </c>
      <c r="J604" s="117" t="n">
        <v>0.16</v>
      </c>
      <c r="K604" s="108" t="n">
        <v>88.49</v>
      </c>
      <c r="L604" s="108" t="n">
        <v>153.8</v>
      </c>
      <c r="M604" s="117" t="n">
        <v>0.575</v>
      </c>
      <c r="N604" s="106" t="n">
        <v>69</v>
      </c>
      <c r="O604" s="106" t="s">
        <v>4282</v>
      </c>
    </row>
    <row r="605" customFormat="false" ht="15" hidden="false" customHeight="false" outlineLevel="0" collapsed="false">
      <c r="A605" s="106" t="s">
        <v>4474</v>
      </c>
      <c r="B605" s="106" t="s">
        <v>1403</v>
      </c>
      <c r="C605" s="106"/>
      <c r="D605" s="106" t="n">
        <v>294</v>
      </c>
      <c r="E605" s="107" t="n">
        <v>192</v>
      </c>
      <c r="F605" s="106" t="n">
        <v>25</v>
      </c>
      <c r="G605" s="118" t="n">
        <v>0.1302</v>
      </c>
      <c r="H605" s="116" t="n">
        <v>0.42</v>
      </c>
      <c r="I605" s="106" t="n">
        <v>11</v>
      </c>
      <c r="J605" s="117" t="n">
        <v>0.44</v>
      </c>
      <c r="K605" s="108" t="n">
        <v>10.6</v>
      </c>
      <c r="L605" s="108" t="n">
        <v>328.34</v>
      </c>
      <c r="M605" s="117" t="n">
        <v>0.032</v>
      </c>
      <c r="N605" s="106"/>
      <c r="O605" s="106" t="s">
        <v>4285</v>
      </c>
    </row>
    <row r="606" customFormat="false" ht="15" hidden="false" customHeight="false" outlineLevel="0" collapsed="false">
      <c r="A606" s="106" t="s">
        <v>4475</v>
      </c>
      <c r="B606" s="106" t="s">
        <v>4284</v>
      </c>
      <c r="C606" s="106"/>
      <c r="D606" s="106"/>
      <c r="E606" s="107" t="n">
        <v>908</v>
      </c>
      <c r="F606" s="106" t="n">
        <v>25</v>
      </c>
      <c r="G606" s="118" t="n">
        <v>0.0275</v>
      </c>
      <c r="H606" s="116" t="n">
        <v>0.9</v>
      </c>
      <c r="I606" s="106" t="n">
        <v>5</v>
      </c>
      <c r="J606" s="117" t="n">
        <v>0.2</v>
      </c>
      <c r="K606" s="108" t="n">
        <v>22.4</v>
      </c>
      <c r="L606" s="108" t="n">
        <v>157.86</v>
      </c>
      <c r="M606" s="117" t="n">
        <v>0.142</v>
      </c>
      <c r="N606" s="106"/>
      <c r="O606" s="106" t="s">
        <v>4285</v>
      </c>
    </row>
    <row r="607" customFormat="false" ht="15" hidden="false" customHeight="false" outlineLevel="0" collapsed="false">
      <c r="A607" s="106" t="s">
        <v>4476</v>
      </c>
      <c r="B607" s="106" t="s">
        <v>4284</v>
      </c>
      <c r="C607" s="106"/>
      <c r="D607" s="106"/>
      <c r="E607" s="107" t="n">
        <v>257</v>
      </c>
      <c r="F607" s="106" t="n">
        <v>25</v>
      </c>
      <c r="G607" s="118" t="n">
        <v>0.0973</v>
      </c>
      <c r="H607" s="116" t="n">
        <v>0.86</v>
      </c>
      <c r="I607" s="106" t="n">
        <v>9</v>
      </c>
      <c r="J607" s="117" t="n">
        <v>0.36</v>
      </c>
      <c r="K607" s="108" t="n">
        <v>21.59</v>
      </c>
      <c r="L607" s="108" t="n">
        <v>852.89</v>
      </c>
      <c r="M607" s="117" t="n">
        <v>0.025</v>
      </c>
      <c r="N607" s="106"/>
      <c r="O607" s="106" t="s">
        <v>4285</v>
      </c>
    </row>
    <row r="608" customFormat="false" ht="15" hidden="false" customHeight="false" outlineLevel="0" collapsed="false">
      <c r="A608" s="106" t="s">
        <v>4477</v>
      </c>
      <c r="B608" s="106" t="s">
        <v>4284</v>
      </c>
      <c r="C608" s="106"/>
      <c r="D608" s="106"/>
      <c r="E608" s="107" t="n">
        <v>860</v>
      </c>
      <c r="F608" s="106" t="n">
        <v>25</v>
      </c>
      <c r="G608" s="118" t="n">
        <v>0.0291</v>
      </c>
      <c r="H608" s="116" t="n">
        <v>0.77</v>
      </c>
      <c r="I608" s="106" t="n">
        <v>5</v>
      </c>
      <c r="J608" s="117" t="n">
        <v>0.2</v>
      </c>
      <c r="K608" s="108" t="n">
        <v>19.35</v>
      </c>
      <c r="L608" s="108" t="n">
        <v>177.39</v>
      </c>
      <c r="M608" s="117" t="n">
        <v>0.109</v>
      </c>
      <c r="N608" s="106"/>
      <c r="O608" s="106" t="s">
        <v>4285</v>
      </c>
    </row>
    <row r="609" customFormat="false" ht="15" hidden="false" customHeight="false" outlineLevel="0" collapsed="false">
      <c r="A609" s="106" t="s">
        <v>4478</v>
      </c>
      <c r="B609" s="106" t="s">
        <v>4284</v>
      </c>
      <c r="C609" s="106"/>
      <c r="D609" s="106"/>
      <c r="E609" s="107" t="n">
        <v>579</v>
      </c>
      <c r="F609" s="106" t="n">
        <v>25</v>
      </c>
      <c r="G609" s="118" t="n">
        <v>0.0432</v>
      </c>
      <c r="H609" s="116" t="n">
        <v>0.8</v>
      </c>
      <c r="I609" s="106" t="n">
        <v>7</v>
      </c>
      <c r="J609" s="117" t="n">
        <v>0.28</v>
      </c>
      <c r="K609" s="108" t="n">
        <v>19.89</v>
      </c>
      <c r="L609" s="108" t="n">
        <v>241.95</v>
      </c>
      <c r="M609" s="117" t="n">
        <v>0.082</v>
      </c>
      <c r="N609" s="106"/>
      <c r="O609" s="106" t="s">
        <v>4285</v>
      </c>
    </row>
    <row r="610" customFormat="false" ht="15" hidden="false" customHeight="false" outlineLevel="0" collapsed="false">
      <c r="A610" s="106" t="s">
        <v>4479</v>
      </c>
      <c r="B610" s="106" t="s">
        <v>4284</v>
      </c>
      <c r="C610" s="106"/>
      <c r="D610" s="106"/>
      <c r="E610" s="107" t="n">
        <v>3764</v>
      </c>
      <c r="F610" s="106" t="n">
        <v>25</v>
      </c>
      <c r="G610" s="118" t="n">
        <v>0.0066</v>
      </c>
      <c r="H610" s="116" t="n">
        <v>0.89</v>
      </c>
      <c r="I610" s="106" t="n">
        <v>2</v>
      </c>
      <c r="J610" s="117" t="n">
        <v>0.08</v>
      </c>
      <c r="K610" s="108" t="n">
        <v>22.19</v>
      </c>
      <c r="L610" s="108" t="n">
        <v>53.89</v>
      </c>
      <c r="M610" s="117" t="n">
        <v>0.412</v>
      </c>
      <c r="N610" s="106"/>
      <c r="O610" s="106" t="s">
        <v>4321</v>
      </c>
    </row>
    <row r="611" customFormat="false" ht="15" hidden="false" customHeight="false" outlineLevel="0" collapsed="false">
      <c r="A611" s="106" t="s">
        <v>4480</v>
      </c>
      <c r="B611" s="106" t="s">
        <v>4284</v>
      </c>
      <c r="C611" s="106"/>
      <c r="D611" s="106"/>
      <c r="E611" s="107" t="n">
        <v>478</v>
      </c>
      <c r="F611" s="106" t="n">
        <v>25</v>
      </c>
      <c r="G611" s="118" t="n">
        <v>0.0523</v>
      </c>
      <c r="H611" s="116" t="n">
        <v>0.88</v>
      </c>
      <c r="I611" s="106" t="n">
        <v>2</v>
      </c>
      <c r="J611" s="117" t="n">
        <v>0.08</v>
      </c>
      <c r="K611" s="108" t="n">
        <v>21.99</v>
      </c>
      <c r="L611" s="108" t="n">
        <v>55.9</v>
      </c>
      <c r="M611" s="117" t="n">
        <v>0.393</v>
      </c>
      <c r="N611" s="106"/>
      <c r="O611" s="106" t="s">
        <v>4321</v>
      </c>
    </row>
    <row r="612" customFormat="false" ht="15" hidden="false" customHeight="false" outlineLevel="0" collapsed="false">
      <c r="A612" s="106" t="s">
        <v>4481</v>
      </c>
      <c r="B612" s="106" t="s">
        <v>4284</v>
      </c>
      <c r="C612" s="106"/>
      <c r="D612" s="106"/>
      <c r="E612" s="107" t="n">
        <v>542</v>
      </c>
      <c r="F612" s="106" t="n">
        <v>24</v>
      </c>
      <c r="G612" s="118" t="n">
        <v>0.0443</v>
      </c>
      <c r="H612" s="116" t="n">
        <v>0.8</v>
      </c>
      <c r="I612" s="106" t="n">
        <v>7</v>
      </c>
      <c r="J612" s="117" t="n">
        <v>0.2917</v>
      </c>
      <c r="K612" s="108" t="n">
        <v>19.21</v>
      </c>
      <c r="L612" s="108" t="n">
        <v>592.27</v>
      </c>
      <c r="M612" s="117" t="n">
        <v>0.032</v>
      </c>
      <c r="N612" s="106"/>
      <c r="O612" s="106" t="s">
        <v>4285</v>
      </c>
    </row>
    <row r="613" customFormat="false" ht="15" hidden="false" customHeight="false" outlineLevel="0" collapsed="false">
      <c r="A613" s="106" t="s">
        <v>4482</v>
      </c>
      <c r="B613" s="106" t="s">
        <v>4284</v>
      </c>
      <c r="C613" s="106"/>
      <c r="D613" s="106"/>
      <c r="E613" s="107" t="n">
        <v>602</v>
      </c>
      <c r="F613" s="106" t="n">
        <v>24</v>
      </c>
      <c r="G613" s="118" t="n">
        <v>0.0399</v>
      </c>
      <c r="H613" s="116" t="n">
        <v>0.83</v>
      </c>
      <c r="I613" s="106" t="n">
        <v>4</v>
      </c>
      <c r="J613" s="117" t="n">
        <v>0.1667</v>
      </c>
      <c r="K613" s="108" t="n">
        <v>20.04</v>
      </c>
      <c r="L613" s="108" t="n">
        <v>127.31</v>
      </c>
      <c r="M613" s="117" t="n">
        <v>0.157</v>
      </c>
      <c r="N613" s="106"/>
      <c r="O613" s="106" t="s">
        <v>4285</v>
      </c>
    </row>
    <row r="614" customFormat="false" ht="15" hidden="false" customHeight="false" outlineLevel="0" collapsed="false">
      <c r="A614" s="106" t="s">
        <v>4483</v>
      </c>
      <c r="B614" s="106" t="s">
        <v>4284</v>
      </c>
      <c r="C614" s="106"/>
      <c r="D614" s="106"/>
      <c r="E614" s="107" t="n">
        <v>500</v>
      </c>
      <c r="F614" s="106" t="n">
        <v>24</v>
      </c>
      <c r="G614" s="118" t="n">
        <v>0.048</v>
      </c>
      <c r="H614" s="116" t="n">
        <v>0.76</v>
      </c>
      <c r="I614" s="106" t="n">
        <v>6</v>
      </c>
      <c r="J614" s="117" t="n">
        <v>0.25</v>
      </c>
      <c r="K614" s="108" t="n">
        <v>18.35</v>
      </c>
      <c r="L614" s="108" t="n">
        <v>188.61</v>
      </c>
      <c r="M614" s="117" t="n">
        <v>0.097</v>
      </c>
      <c r="N614" s="106"/>
      <c r="O614" s="106" t="s">
        <v>4285</v>
      </c>
    </row>
    <row r="615" customFormat="false" ht="15" hidden="false" customHeight="false" outlineLevel="0" collapsed="false">
      <c r="A615" s="106" t="s">
        <v>4484</v>
      </c>
      <c r="B615" s="106" t="s">
        <v>4284</v>
      </c>
      <c r="C615" s="106"/>
      <c r="D615" s="106"/>
      <c r="E615" s="107" t="n">
        <v>735</v>
      </c>
      <c r="F615" s="106" t="n">
        <v>23</v>
      </c>
      <c r="G615" s="118" t="n">
        <v>0.0313</v>
      </c>
      <c r="H615" s="116" t="n">
        <v>0.89</v>
      </c>
      <c r="I615" s="106" t="n">
        <v>4</v>
      </c>
      <c r="J615" s="117" t="n">
        <v>0.1739</v>
      </c>
      <c r="K615" s="108" t="n">
        <v>20.58</v>
      </c>
      <c r="L615" s="108" t="n">
        <v>115.01</v>
      </c>
      <c r="M615" s="117" t="n">
        <v>0.179</v>
      </c>
      <c r="N615" s="106"/>
      <c r="O615" s="106" t="s">
        <v>4285</v>
      </c>
    </row>
    <row r="616" customFormat="false" ht="15" hidden="false" customHeight="false" outlineLevel="0" collapsed="false">
      <c r="A616" s="106" t="s">
        <v>4485</v>
      </c>
      <c r="B616" s="106" t="s">
        <v>4284</v>
      </c>
      <c r="C616" s="106"/>
      <c r="D616" s="106"/>
      <c r="E616" s="107" t="n">
        <v>1333</v>
      </c>
      <c r="F616" s="106" t="n">
        <v>23</v>
      </c>
      <c r="G616" s="118" t="n">
        <v>0.0173</v>
      </c>
      <c r="H616" s="116" t="n">
        <v>0.8</v>
      </c>
      <c r="I616" s="106" t="n">
        <v>4</v>
      </c>
      <c r="J616" s="117" t="n">
        <v>0.1739</v>
      </c>
      <c r="K616" s="108" t="n">
        <v>18.3</v>
      </c>
      <c r="L616" s="108" t="n">
        <v>162.6</v>
      </c>
      <c r="M616" s="117" t="n">
        <v>0.113</v>
      </c>
      <c r="N616" s="106"/>
      <c r="O616" s="106" t="s">
        <v>4285</v>
      </c>
    </row>
    <row r="617" customFormat="false" ht="15" hidden="false" customHeight="false" outlineLevel="0" collapsed="false">
      <c r="A617" s="106" t="s">
        <v>927</v>
      </c>
      <c r="B617" s="106" t="s">
        <v>4280</v>
      </c>
      <c r="C617" s="106" t="s">
        <v>4288</v>
      </c>
      <c r="D617" s="106" t="n">
        <v>924</v>
      </c>
      <c r="E617" s="107" t="n">
        <v>1877</v>
      </c>
      <c r="F617" s="106" t="n">
        <v>23</v>
      </c>
      <c r="G617" s="118" t="n">
        <v>0.0123</v>
      </c>
      <c r="H617" s="116" t="n">
        <v>1.37</v>
      </c>
      <c r="I617" s="106" t="n">
        <v>0</v>
      </c>
      <c r="J617" s="117" t="n">
        <v>0</v>
      </c>
      <c r="K617" s="108" t="n">
        <v>31.62</v>
      </c>
      <c r="L617" s="108" t="n">
        <v>0</v>
      </c>
      <c r="M617" s="117"/>
      <c r="N617" s="106" t="n">
        <v>43</v>
      </c>
      <c r="O617" s="106" t="s">
        <v>4289</v>
      </c>
    </row>
    <row r="618" customFormat="false" ht="15" hidden="false" customHeight="false" outlineLevel="0" collapsed="false">
      <c r="A618" s="106" t="s">
        <v>4486</v>
      </c>
      <c r="B618" s="106" t="s">
        <v>4284</v>
      </c>
      <c r="C618" s="106"/>
      <c r="D618" s="106"/>
      <c r="E618" s="107" t="n">
        <v>401</v>
      </c>
      <c r="F618" s="106" t="n">
        <v>22</v>
      </c>
      <c r="G618" s="118" t="n">
        <v>0.0549</v>
      </c>
      <c r="H618" s="116" t="n">
        <v>0.88</v>
      </c>
      <c r="I618" s="106" t="n">
        <v>4</v>
      </c>
      <c r="J618" s="117" t="n">
        <v>0.1818</v>
      </c>
      <c r="K618" s="108" t="n">
        <v>19.35</v>
      </c>
      <c r="L618" s="108" t="n">
        <v>138.79</v>
      </c>
      <c r="M618" s="117" t="n">
        <v>0.139</v>
      </c>
      <c r="N618" s="106"/>
      <c r="O618" s="106" t="s">
        <v>4285</v>
      </c>
    </row>
    <row r="619" customFormat="false" ht="15" hidden="false" customHeight="false" outlineLevel="0" collapsed="false">
      <c r="A619" s="106" t="s">
        <v>4487</v>
      </c>
      <c r="B619" s="106" t="s">
        <v>4284</v>
      </c>
      <c r="C619" s="106"/>
      <c r="D619" s="106"/>
      <c r="E619" s="107" t="n">
        <v>300</v>
      </c>
      <c r="F619" s="106" t="n">
        <v>22</v>
      </c>
      <c r="G619" s="118" t="n">
        <v>0.0733</v>
      </c>
      <c r="H619" s="116" t="n">
        <v>0.62</v>
      </c>
      <c r="I619" s="106" t="n">
        <v>3</v>
      </c>
      <c r="J619" s="117" t="n">
        <v>0.1364</v>
      </c>
      <c r="K619" s="108" t="n">
        <v>13.56</v>
      </c>
      <c r="L619" s="108" t="n">
        <v>113.85</v>
      </c>
      <c r="M619" s="117" t="n">
        <v>0.119</v>
      </c>
      <c r="N619" s="106"/>
      <c r="O619" s="106" t="s">
        <v>4285</v>
      </c>
    </row>
    <row r="620" customFormat="false" ht="15" hidden="false" customHeight="false" outlineLevel="0" collapsed="false">
      <c r="A620" s="106" t="s">
        <v>4488</v>
      </c>
      <c r="B620" s="106" t="s">
        <v>1403</v>
      </c>
      <c r="C620" s="106"/>
      <c r="D620" s="106" t="n">
        <v>200</v>
      </c>
      <c r="E620" s="107" t="n">
        <v>224</v>
      </c>
      <c r="F620" s="106" t="n">
        <v>22</v>
      </c>
      <c r="G620" s="118" t="n">
        <v>0.0982</v>
      </c>
      <c r="H620" s="116" t="n">
        <v>0.59</v>
      </c>
      <c r="I620" s="106" t="n">
        <v>5</v>
      </c>
      <c r="J620" s="117" t="n">
        <v>0.2273</v>
      </c>
      <c r="K620" s="108" t="n">
        <v>13.08</v>
      </c>
      <c r="L620" s="108" t="n">
        <v>182.03</v>
      </c>
      <c r="M620" s="117" t="n">
        <v>0.072</v>
      </c>
      <c r="N620" s="106"/>
      <c r="O620" s="106" t="s">
        <v>4285</v>
      </c>
    </row>
    <row r="621" customFormat="false" ht="15" hidden="false" customHeight="false" outlineLevel="0" collapsed="false">
      <c r="A621" s="106" t="s">
        <v>4489</v>
      </c>
      <c r="B621" s="106" t="s">
        <v>4284</v>
      </c>
      <c r="C621" s="106"/>
      <c r="D621" s="106"/>
      <c r="E621" s="107" t="n">
        <v>918</v>
      </c>
      <c r="F621" s="106" t="n">
        <v>22</v>
      </c>
      <c r="G621" s="118" t="n">
        <v>0.024</v>
      </c>
      <c r="H621" s="116" t="n">
        <v>0.79</v>
      </c>
      <c r="I621" s="106" t="n">
        <v>4</v>
      </c>
      <c r="J621" s="117" t="n">
        <v>0.1818</v>
      </c>
      <c r="K621" s="108" t="n">
        <v>17.36</v>
      </c>
      <c r="L621" s="108" t="n">
        <v>123.41</v>
      </c>
      <c r="M621" s="117" t="n">
        <v>0.141</v>
      </c>
      <c r="N621" s="106"/>
      <c r="O621" s="106" t="s">
        <v>4285</v>
      </c>
    </row>
    <row r="622" customFormat="false" ht="15" hidden="false" customHeight="false" outlineLevel="0" collapsed="false">
      <c r="A622" s="106" t="s">
        <v>4490</v>
      </c>
      <c r="B622" s="106" t="s">
        <v>4284</v>
      </c>
      <c r="C622" s="106"/>
      <c r="D622" s="106"/>
      <c r="E622" s="107" t="n">
        <v>386</v>
      </c>
      <c r="F622" s="106" t="n">
        <v>22</v>
      </c>
      <c r="G622" s="118" t="n">
        <v>0.057</v>
      </c>
      <c r="H622" s="116" t="n">
        <v>0.86</v>
      </c>
      <c r="I622" s="106" t="n">
        <v>4</v>
      </c>
      <c r="J622" s="117" t="n">
        <v>0.1818</v>
      </c>
      <c r="K622" s="108" t="n">
        <v>18.96</v>
      </c>
      <c r="L622" s="108" t="n">
        <v>126.71</v>
      </c>
      <c r="M622" s="117" t="n">
        <v>0.15</v>
      </c>
      <c r="N622" s="106"/>
      <c r="O622" s="106" t="s">
        <v>4285</v>
      </c>
    </row>
    <row r="623" customFormat="false" ht="15" hidden="false" customHeight="false" outlineLevel="0" collapsed="false">
      <c r="A623" s="106" t="s">
        <v>4491</v>
      </c>
      <c r="B623" s="106" t="s">
        <v>4284</v>
      </c>
      <c r="C623" s="106"/>
      <c r="D623" s="106"/>
      <c r="E623" s="107" t="n">
        <v>674</v>
      </c>
      <c r="F623" s="106" t="n">
        <v>22</v>
      </c>
      <c r="G623" s="118" t="n">
        <v>0.0326</v>
      </c>
      <c r="H623" s="116" t="n">
        <v>0.83</v>
      </c>
      <c r="I623" s="106" t="n">
        <v>5</v>
      </c>
      <c r="J623" s="117" t="n">
        <v>0.2273</v>
      </c>
      <c r="K623" s="108" t="n">
        <v>18.32</v>
      </c>
      <c r="L623" s="108" t="n">
        <v>138.69</v>
      </c>
      <c r="M623" s="117" t="n">
        <v>0.132</v>
      </c>
      <c r="N623" s="106"/>
      <c r="O623" s="106" t="s">
        <v>4285</v>
      </c>
    </row>
    <row r="624" customFormat="false" ht="15" hidden="false" customHeight="false" outlineLevel="0" collapsed="false">
      <c r="A624" s="106" t="s">
        <v>4492</v>
      </c>
      <c r="B624" s="106" t="s">
        <v>4284</v>
      </c>
      <c r="C624" s="106"/>
      <c r="D624" s="106"/>
      <c r="E624" s="107" t="n">
        <v>472</v>
      </c>
      <c r="F624" s="106" t="n">
        <v>22</v>
      </c>
      <c r="G624" s="118" t="n">
        <v>0.0466</v>
      </c>
      <c r="H624" s="116" t="n">
        <v>0.78</v>
      </c>
      <c r="I624" s="106" t="n">
        <v>8</v>
      </c>
      <c r="J624" s="117" t="n">
        <v>0.3636</v>
      </c>
      <c r="K624" s="108" t="n">
        <v>17.14</v>
      </c>
      <c r="L624" s="108" t="n">
        <v>257.14</v>
      </c>
      <c r="M624" s="117" t="n">
        <v>0.067</v>
      </c>
      <c r="N624" s="106"/>
      <c r="O624" s="106" t="s">
        <v>4285</v>
      </c>
    </row>
    <row r="625" customFormat="false" ht="15" hidden="false" customHeight="false" outlineLevel="0" collapsed="false">
      <c r="A625" s="106" t="s">
        <v>4493</v>
      </c>
      <c r="B625" s="106" t="s">
        <v>4284</v>
      </c>
      <c r="C625" s="106"/>
      <c r="D625" s="106"/>
      <c r="E625" s="107" t="n">
        <v>1094</v>
      </c>
      <c r="F625" s="106" t="n">
        <v>21</v>
      </c>
      <c r="G625" s="118" t="n">
        <v>0.0192</v>
      </c>
      <c r="H625" s="116" t="n">
        <v>0.74</v>
      </c>
      <c r="I625" s="106" t="n">
        <v>4</v>
      </c>
      <c r="J625" s="117" t="n">
        <v>0.1905</v>
      </c>
      <c r="K625" s="108" t="n">
        <v>15.54</v>
      </c>
      <c r="L625" s="108" t="n">
        <v>141.61</v>
      </c>
      <c r="M625" s="117" t="n">
        <v>0.11</v>
      </c>
      <c r="N625" s="106"/>
      <c r="O625" s="106" t="s">
        <v>4285</v>
      </c>
    </row>
    <row r="626" customFormat="false" ht="15" hidden="false" customHeight="false" outlineLevel="0" collapsed="false">
      <c r="A626" s="106" t="s">
        <v>4494</v>
      </c>
      <c r="B626" s="106" t="s">
        <v>4284</v>
      </c>
      <c r="C626" s="106"/>
      <c r="D626" s="106"/>
      <c r="E626" s="107" t="n">
        <v>810</v>
      </c>
      <c r="F626" s="106" t="n">
        <v>21</v>
      </c>
      <c r="G626" s="118" t="n">
        <v>0.0259</v>
      </c>
      <c r="H626" s="116" t="n">
        <v>0.81</v>
      </c>
      <c r="I626" s="106" t="n">
        <v>5</v>
      </c>
      <c r="J626" s="117" t="n">
        <v>0.2381</v>
      </c>
      <c r="K626" s="108" t="n">
        <v>17.02</v>
      </c>
      <c r="L626" s="108" t="n">
        <v>183.79</v>
      </c>
      <c r="M626" s="117" t="n">
        <v>0.093</v>
      </c>
      <c r="N626" s="106"/>
      <c r="O626" s="106" t="s">
        <v>4285</v>
      </c>
    </row>
    <row r="627" customFormat="false" ht="15" hidden="false" customHeight="false" outlineLevel="0" collapsed="false">
      <c r="A627" s="106" t="s">
        <v>4495</v>
      </c>
      <c r="B627" s="106" t="s">
        <v>4284</v>
      </c>
      <c r="C627" s="106"/>
      <c r="D627" s="106"/>
      <c r="E627" s="107" t="n">
        <v>381</v>
      </c>
      <c r="F627" s="106" t="n">
        <v>21</v>
      </c>
      <c r="G627" s="118" t="n">
        <v>0.0551</v>
      </c>
      <c r="H627" s="116" t="n">
        <v>0.86</v>
      </c>
      <c r="I627" s="106" t="n">
        <v>3</v>
      </c>
      <c r="J627" s="117" t="n">
        <v>0.1429</v>
      </c>
      <c r="K627" s="108" t="n">
        <v>18</v>
      </c>
      <c r="L627" s="108" t="n">
        <v>195.93</v>
      </c>
      <c r="M627" s="117" t="n">
        <v>0.092</v>
      </c>
      <c r="N627" s="106"/>
      <c r="O627" s="106" t="s">
        <v>4285</v>
      </c>
    </row>
    <row r="628" customFormat="false" ht="15" hidden="false" customHeight="false" outlineLevel="0" collapsed="false">
      <c r="A628" s="106" t="s">
        <v>4496</v>
      </c>
      <c r="B628" s="106" t="s">
        <v>4284</v>
      </c>
      <c r="C628" s="106"/>
      <c r="D628" s="106"/>
      <c r="E628" s="107" t="n">
        <v>606</v>
      </c>
      <c r="F628" s="106" t="n">
        <v>21</v>
      </c>
      <c r="G628" s="118" t="n">
        <v>0.0347</v>
      </c>
      <c r="H628" s="116" t="n">
        <v>0.85</v>
      </c>
      <c r="I628" s="106" t="n">
        <v>4</v>
      </c>
      <c r="J628" s="117" t="n">
        <v>0.1905</v>
      </c>
      <c r="K628" s="108" t="n">
        <v>17.84</v>
      </c>
      <c r="L628" s="108" t="n">
        <v>126.2</v>
      </c>
      <c r="M628" s="117" t="n">
        <v>0.141</v>
      </c>
      <c r="N628" s="106"/>
      <c r="O628" s="106" t="s">
        <v>4285</v>
      </c>
    </row>
    <row r="629" customFormat="false" ht="15" hidden="false" customHeight="false" outlineLevel="0" collapsed="false">
      <c r="A629" s="106" t="s">
        <v>4497</v>
      </c>
      <c r="B629" s="106" t="s">
        <v>4284</v>
      </c>
      <c r="C629" s="106"/>
      <c r="D629" s="106"/>
      <c r="E629" s="107" t="n">
        <v>645</v>
      </c>
      <c r="F629" s="106" t="n">
        <v>21</v>
      </c>
      <c r="G629" s="118" t="n">
        <v>0.0326</v>
      </c>
      <c r="H629" s="116" t="n">
        <v>0.88</v>
      </c>
      <c r="I629" s="106" t="n">
        <v>8</v>
      </c>
      <c r="J629" s="117" t="n">
        <v>0.381</v>
      </c>
      <c r="K629" s="108" t="n">
        <v>18.45</v>
      </c>
      <c r="L629" s="108" t="n">
        <v>261.6</v>
      </c>
      <c r="M629" s="117" t="n">
        <v>0.071</v>
      </c>
      <c r="N629" s="106"/>
      <c r="O629" s="106" t="s">
        <v>4285</v>
      </c>
    </row>
    <row r="630" customFormat="false" ht="15" hidden="false" customHeight="false" outlineLevel="0" collapsed="false">
      <c r="A630" s="106" t="s">
        <v>4498</v>
      </c>
      <c r="B630" s="106" t="s">
        <v>4284</v>
      </c>
      <c r="C630" s="106"/>
      <c r="D630" s="106"/>
      <c r="E630" s="107" t="n">
        <v>357</v>
      </c>
      <c r="F630" s="106" t="n">
        <v>21</v>
      </c>
      <c r="G630" s="118" t="n">
        <v>0.0588</v>
      </c>
      <c r="H630" s="116" t="n">
        <v>0.84</v>
      </c>
      <c r="I630" s="106" t="n">
        <v>5</v>
      </c>
      <c r="J630" s="117" t="n">
        <v>0.2381</v>
      </c>
      <c r="K630" s="108" t="n">
        <v>17.59</v>
      </c>
      <c r="L630" s="108" t="n">
        <v>158.75</v>
      </c>
      <c r="M630" s="117" t="n">
        <v>0.111</v>
      </c>
      <c r="N630" s="106"/>
      <c r="O630" s="106" t="s">
        <v>4285</v>
      </c>
    </row>
    <row r="631" customFormat="false" ht="15" hidden="false" customHeight="false" outlineLevel="0" collapsed="false">
      <c r="A631" s="106" t="s">
        <v>1263</v>
      </c>
      <c r="B631" s="106" t="s">
        <v>4280</v>
      </c>
      <c r="C631" s="106" t="s">
        <v>4301</v>
      </c>
      <c r="D631" s="106" t="n">
        <v>3271</v>
      </c>
      <c r="E631" s="107" t="n">
        <v>162</v>
      </c>
      <c r="F631" s="106" t="n">
        <v>20</v>
      </c>
      <c r="G631" s="118" t="n">
        <v>0.1235</v>
      </c>
      <c r="H631" s="116" t="n">
        <v>1.03</v>
      </c>
      <c r="I631" s="106" t="n">
        <v>0</v>
      </c>
      <c r="J631" s="117" t="n">
        <v>0</v>
      </c>
      <c r="K631" s="108" t="n">
        <v>20.62</v>
      </c>
      <c r="L631" s="108" t="n">
        <v>0</v>
      </c>
      <c r="M631" s="117"/>
      <c r="N631" s="106" t="n">
        <v>66</v>
      </c>
      <c r="O631" s="106" t="s">
        <v>4289</v>
      </c>
    </row>
    <row r="632" customFormat="false" ht="15" hidden="false" customHeight="false" outlineLevel="0" collapsed="false">
      <c r="A632" s="106" t="s">
        <v>4499</v>
      </c>
      <c r="B632" s="106" t="s">
        <v>4284</v>
      </c>
      <c r="C632" s="106"/>
      <c r="D632" s="106"/>
      <c r="E632" s="107" t="n">
        <v>321</v>
      </c>
      <c r="F632" s="106" t="n">
        <v>20</v>
      </c>
      <c r="G632" s="118" t="n">
        <v>0.0623</v>
      </c>
      <c r="H632" s="116" t="n">
        <v>0.87</v>
      </c>
      <c r="I632" s="106" t="n">
        <v>4</v>
      </c>
      <c r="J632" s="117" t="n">
        <v>0.2</v>
      </c>
      <c r="K632" s="108" t="n">
        <v>17.38</v>
      </c>
      <c r="L632" s="108" t="n">
        <v>137.8</v>
      </c>
      <c r="M632" s="117" t="n">
        <v>0.126</v>
      </c>
      <c r="N632" s="106"/>
      <c r="O632" s="106" t="s">
        <v>4285</v>
      </c>
    </row>
    <row r="633" customFormat="false" ht="15" hidden="false" customHeight="false" outlineLevel="0" collapsed="false">
      <c r="A633" s="106" t="s">
        <v>4500</v>
      </c>
      <c r="B633" s="106" t="s">
        <v>4284</v>
      </c>
      <c r="C633" s="106"/>
      <c r="D633" s="106"/>
      <c r="E633" s="107" t="n">
        <v>405</v>
      </c>
      <c r="F633" s="106" t="n">
        <v>20</v>
      </c>
      <c r="G633" s="118" t="n">
        <v>0.0494</v>
      </c>
      <c r="H633" s="116" t="n">
        <v>0.8</v>
      </c>
      <c r="I633" s="106" t="n">
        <v>7</v>
      </c>
      <c r="J633" s="117" t="n">
        <v>0.35</v>
      </c>
      <c r="K633" s="108" t="n">
        <v>16.09</v>
      </c>
      <c r="L633" s="108" t="n">
        <v>144.47</v>
      </c>
      <c r="M633" s="117" t="n">
        <v>0.111</v>
      </c>
      <c r="N633" s="106"/>
      <c r="O633" s="106" t="s">
        <v>4285</v>
      </c>
    </row>
    <row r="634" customFormat="false" ht="15" hidden="false" customHeight="false" outlineLevel="0" collapsed="false">
      <c r="A634" s="106" t="s">
        <v>4501</v>
      </c>
      <c r="B634" s="106" t="s">
        <v>4284</v>
      </c>
      <c r="C634" s="106"/>
      <c r="D634" s="106"/>
      <c r="E634" s="107" t="n">
        <v>516</v>
      </c>
      <c r="F634" s="106" t="n">
        <v>20</v>
      </c>
      <c r="G634" s="118" t="n">
        <v>0.0388</v>
      </c>
      <c r="H634" s="116" t="n">
        <v>0.86</v>
      </c>
      <c r="I634" s="106" t="n">
        <v>5</v>
      </c>
      <c r="J634" s="117" t="n">
        <v>0.25</v>
      </c>
      <c r="K634" s="108" t="n">
        <v>17.24</v>
      </c>
      <c r="L634" s="108" t="n">
        <v>151.75</v>
      </c>
      <c r="M634" s="117" t="n">
        <v>0.114</v>
      </c>
      <c r="N634" s="106"/>
      <c r="O634" s="106" t="s">
        <v>4285</v>
      </c>
    </row>
    <row r="635" customFormat="false" ht="15" hidden="false" customHeight="false" outlineLevel="0" collapsed="false">
      <c r="A635" s="106" t="s">
        <v>1092</v>
      </c>
      <c r="B635" s="106" t="s">
        <v>4280</v>
      </c>
      <c r="C635" s="106"/>
      <c r="D635" s="106" t="n">
        <v>111</v>
      </c>
      <c r="E635" s="107" t="n">
        <v>123</v>
      </c>
      <c r="F635" s="106" t="n">
        <v>20</v>
      </c>
      <c r="G635" s="118" t="n">
        <v>0.1626</v>
      </c>
      <c r="H635" s="116" t="n">
        <v>2.86</v>
      </c>
      <c r="I635" s="106" t="n">
        <v>0</v>
      </c>
      <c r="J635" s="117" t="n">
        <v>0</v>
      </c>
      <c r="K635" s="108" t="n">
        <v>57.15</v>
      </c>
      <c r="L635" s="108" t="n">
        <v>0</v>
      </c>
      <c r="M635" s="117"/>
      <c r="N635" s="106" t="n">
        <v>132</v>
      </c>
      <c r="O635" s="106" t="s">
        <v>4289</v>
      </c>
    </row>
    <row r="636" customFormat="false" ht="15" hidden="false" customHeight="false" outlineLevel="0" collapsed="false">
      <c r="A636" s="106" t="s">
        <v>4502</v>
      </c>
      <c r="B636" s="106" t="s">
        <v>4284</v>
      </c>
      <c r="C636" s="106"/>
      <c r="D636" s="106"/>
      <c r="E636" s="107" t="n">
        <v>474</v>
      </c>
      <c r="F636" s="106" t="n">
        <v>19</v>
      </c>
      <c r="G636" s="118" t="n">
        <v>0.0401</v>
      </c>
      <c r="H636" s="116" t="n">
        <v>0.85</v>
      </c>
      <c r="I636" s="106" t="n">
        <v>8</v>
      </c>
      <c r="J636" s="117" t="n">
        <v>0.4211</v>
      </c>
      <c r="K636" s="108" t="n">
        <v>16.08</v>
      </c>
      <c r="L636" s="108" t="n">
        <v>220.4</v>
      </c>
      <c r="M636" s="117" t="n">
        <v>0.073</v>
      </c>
      <c r="N636" s="106"/>
      <c r="O636" s="106" t="s">
        <v>4285</v>
      </c>
    </row>
    <row r="637" customFormat="false" ht="15" hidden="false" customHeight="false" outlineLevel="0" collapsed="false">
      <c r="A637" s="106" t="s">
        <v>4503</v>
      </c>
      <c r="B637" s="106" t="s">
        <v>4284</v>
      </c>
      <c r="C637" s="106"/>
      <c r="D637" s="106"/>
      <c r="E637" s="107" t="n">
        <v>636</v>
      </c>
      <c r="F637" s="106" t="n">
        <v>19</v>
      </c>
      <c r="G637" s="118" t="n">
        <v>0.0299</v>
      </c>
      <c r="H637" s="116" t="n">
        <v>0.8</v>
      </c>
      <c r="I637" s="106" t="n">
        <v>4</v>
      </c>
      <c r="J637" s="117" t="n">
        <v>0.2105</v>
      </c>
      <c r="K637" s="108" t="n">
        <v>15.25</v>
      </c>
      <c r="L637" s="108" t="n">
        <v>137.8</v>
      </c>
      <c r="M637" s="117" t="n">
        <v>0.111</v>
      </c>
      <c r="N637" s="106"/>
      <c r="O637" s="106" t="s">
        <v>4285</v>
      </c>
    </row>
    <row r="638" customFormat="false" ht="15" hidden="false" customHeight="false" outlineLevel="0" collapsed="false">
      <c r="A638" s="106" t="s">
        <v>4504</v>
      </c>
      <c r="B638" s="106" t="s">
        <v>4284</v>
      </c>
      <c r="C638" s="106"/>
      <c r="D638" s="106"/>
      <c r="E638" s="107" t="n">
        <v>519</v>
      </c>
      <c r="F638" s="106" t="n">
        <v>19</v>
      </c>
      <c r="G638" s="118" t="n">
        <v>0.0366</v>
      </c>
      <c r="H638" s="116" t="n">
        <v>0.83</v>
      </c>
      <c r="I638" s="106" t="n">
        <v>12</v>
      </c>
      <c r="J638" s="117" t="n">
        <v>0.6316</v>
      </c>
      <c r="K638" s="108" t="n">
        <v>15.79</v>
      </c>
      <c r="L638" s="108" t="n">
        <v>337.28</v>
      </c>
      <c r="M638" s="117" t="n">
        <v>0.047</v>
      </c>
      <c r="N638" s="106"/>
      <c r="O638" s="106" t="s">
        <v>4285</v>
      </c>
    </row>
    <row r="639" customFormat="false" ht="15" hidden="false" customHeight="false" outlineLevel="0" collapsed="false">
      <c r="A639" s="106" t="s">
        <v>4505</v>
      </c>
      <c r="B639" s="106" t="s">
        <v>4284</v>
      </c>
      <c r="C639" s="106"/>
      <c r="D639" s="106"/>
      <c r="E639" s="107" t="n">
        <v>374</v>
      </c>
      <c r="F639" s="106" t="n">
        <v>19</v>
      </c>
      <c r="G639" s="118" t="n">
        <v>0.0508</v>
      </c>
      <c r="H639" s="116" t="n">
        <v>0.85</v>
      </c>
      <c r="I639" s="106" t="n">
        <v>5</v>
      </c>
      <c r="J639" s="117" t="n">
        <v>0.2632</v>
      </c>
      <c r="K639" s="108" t="n">
        <v>16.15</v>
      </c>
      <c r="L639" s="108" t="n">
        <v>164.12</v>
      </c>
      <c r="M639" s="117" t="n">
        <v>0.098</v>
      </c>
      <c r="N639" s="106"/>
      <c r="O639" s="106" t="s">
        <v>4285</v>
      </c>
    </row>
    <row r="640" customFormat="false" ht="15" hidden="false" customHeight="false" outlineLevel="0" collapsed="false">
      <c r="A640" s="106" t="s">
        <v>4506</v>
      </c>
      <c r="B640" s="106" t="s">
        <v>4284</v>
      </c>
      <c r="C640" s="106"/>
      <c r="D640" s="106"/>
      <c r="E640" s="107" t="n">
        <v>112</v>
      </c>
      <c r="F640" s="106" t="n">
        <v>18</v>
      </c>
      <c r="G640" s="118" t="n">
        <v>0.1607</v>
      </c>
      <c r="H640" s="116" t="n">
        <v>0.45</v>
      </c>
      <c r="I640" s="106" t="n">
        <v>4</v>
      </c>
      <c r="J640" s="117" t="n">
        <v>0.2222</v>
      </c>
      <c r="K640" s="108" t="n">
        <v>8.1</v>
      </c>
      <c r="L640" s="108" t="n">
        <v>141.79</v>
      </c>
      <c r="M640" s="117" t="n">
        <v>0.057</v>
      </c>
      <c r="N640" s="106"/>
      <c r="O640" s="106" t="s">
        <v>4285</v>
      </c>
    </row>
    <row r="641" customFormat="false" ht="15" hidden="false" customHeight="false" outlineLevel="0" collapsed="false">
      <c r="A641" s="106" t="s">
        <v>4507</v>
      </c>
      <c r="B641" s="106" t="s">
        <v>4284</v>
      </c>
      <c r="C641" s="106"/>
      <c r="D641" s="106"/>
      <c r="E641" s="107" t="n">
        <v>408</v>
      </c>
      <c r="F641" s="106" t="n">
        <v>18</v>
      </c>
      <c r="G641" s="118" t="n">
        <v>0.0441</v>
      </c>
      <c r="H641" s="116" t="n">
        <v>0.85</v>
      </c>
      <c r="I641" s="106" t="n">
        <v>4</v>
      </c>
      <c r="J641" s="117" t="n">
        <v>0.2222</v>
      </c>
      <c r="K641" s="108" t="n">
        <v>15.37</v>
      </c>
      <c r="L641" s="108" t="n">
        <v>129.8</v>
      </c>
      <c r="M641" s="117" t="n">
        <v>0.118</v>
      </c>
      <c r="N641" s="106"/>
      <c r="O641" s="106" t="s">
        <v>4285</v>
      </c>
    </row>
    <row r="642" customFormat="false" ht="15" hidden="false" customHeight="false" outlineLevel="0" collapsed="false">
      <c r="A642" s="106" t="s">
        <v>1297</v>
      </c>
      <c r="B642" s="106" t="s">
        <v>4280</v>
      </c>
      <c r="C642" s="106" t="s">
        <v>4301</v>
      </c>
      <c r="D642" s="106" t="n">
        <v>644</v>
      </c>
      <c r="E642" s="107" t="n">
        <v>219</v>
      </c>
      <c r="F642" s="106" t="n">
        <v>18</v>
      </c>
      <c r="G642" s="118" t="n">
        <v>0.0822</v>
      </c>
      <c r="H642" s="116" t="n">
        <v>3.53</v>
      </c>
      <c r="I642" s="106" t="n">
        <v>0</v>
      </c>
      <c r="J642" s="117" t="n">
        <v>0</v>
      </c>
      <c r="K642" s="108" t="n">
        <v>63.55</v>
      </c>
      <c r="L642" s="108" t="n">
        <v>0</v>
      </c>
      <c r="M642" s="117"/>
      <c r="N642" s="106" t="n">
        <v>104</v>
      </c>
      <c r="O642" s="106" t="s">
        <v>4289</v>
      </c>
    </row>
    <row r="643" customFormat="false" ht="15" hidden="false" customHeight="false" outlineLevel="0" collapsed="false">
      <c r="A643" s="106" t="s">
        <v>4508</v>
      </c>
      <c r="B643" s="106" t="s">
        <v>4284</v>
      </c>
      <c r="C643" s="106"/>
      <c r="D643" s="106"/>
      <c r="E643" s="107" t="n">
        <v>319</v>
      </c>
      <c r="F643" s="106" t="n">
        <v>18</v>
      </c>
      <c r="G643" s="118" t="n">
        <v>0.0564</v>
      </c>
      <c r="H643" s="116" t="n">
        <v>0.88</v>
      </c>
      <c r="I643" s="106" t="n">
        <v>7</v>
      </c>
      <c r="J643" s="117" t="n">
        <v>0.3889</v>
      </c>
      <c r="K643" s="108" t="n">
        <v>15.77</v>
      </c>
      <c r="L643" s="108" t="n">
        <v>173.19</v>
      </c>
      <c r="M643" s="117" t="n">
        <v>0.091</v>
      </c>
      <c r="N643" s="106"/>
      <c r="O643" s="106" t="s">
        <v>4285</v>
      </c>
    </row>
    <row r="644" customFormat="false" ht="15" hidden="false" customHeight="false" outlineLevel="0" collapsed="false">
      <c r="A644" s="106" t="s">
        <v>4509</v>
      </c>
      <c r="B644" s="106" t="s">
        <v>4284</v>
      </c>
      <c r="C644" s="106"/>
      <c r="D644" s="106"/>
      <c r="E644" s="107" t="n">
        <v>444</v>
      </c>
      <c r="F644" s="106" t="n">
        <v>18</v>
      </c>
      <c r="G644" s="118" t="n">
        <v>0.0405</v>
      </c>
      <c r="H644" s="116" t="n">
        <v>0.88</v>
      </c>
      <c r="I644" s="106" t="n">
        <v>4</v>
      </c>
      <c r="J644" s="117" t="n">
        <v>0.2222</v>
      </c>
      <c r="K644" s="108" t="n">
        <v>15.81</v>
      </c>
      <c r="L644" s="108" t="n">
        <v>118.2</v>
      </c>
      <c r="M644" s="117" t="n">
        <v>0.134</v>
      </c>
      <c r="N644" s="106"/>
      <c r="O644" s="106" t="s">
        <v>4285</v>
      </c>
    </row>
    <row r="645" customFormat="false" ht="15" hidden="false" customHeight="false" outlineLevel="0" collapsed="false">
      <c r="A645" s="106" t="s">
        <v>984</v>
      </c>
      <c r="B645" s="106" t="s">
        <v>4280</v>
      </c>
      <c r="C645" s="106" t="s">
        <v>4288</v>
      </c>
      <c r="D645" s="106" t="n">
        <v>575</v>
      </c>
      <c r="E645" s="107" t="n">
        <v>155</v>
      </c>
      <c r="F645" s="106" t="n">
        <v>18</v>
      </c>
      <c r="G645" s="118" t="n">
        <v>0.1161</v>
      </c>
      <c r="H645" s="116" t="n">
        <v>2.76</v>
      </c>
      <c r="I645" s="106" t="n">
        <v>0</v>
      </c>
      <c r="J645" s="117" t="n">
        <v>0</v>
      </c>
      <c r="K645" s="108" t="n">
        <v>49.66</v>
      </c>
      <c r="L645" s="108" t="n">
        <v>0</v>
      </c>
      <c r="M645" s="117"/>
      <c r="N645" s="106"/>
      <c r="O645" s="106" t="s">
        <v>4289</v>
      </c>
    </row>
    <row r="646" customFormat="false" ht="15" hidden="false" customHeight="false" outlineLevel="0" collapsed="false">
      <c r="A646" s="106" t="s">
        <v>4510</v>
      </c>
      <c r="B646" s="106" t="s">
        <v>4284</v>
      </c>
      <c r="C646" s="106"/>
      <c r="D646" s="106"/>
      <c r="E646" s="107" t="n">
        <v>395</v>
      </c>
      <c r="F646" s="106" t="n">
        <v>18</v>
      </c>
      <c r="G646" s="118" t="n">
        <v>0.0456</v>
      </c>
      <c r="H646" s="116" t="n">
        <v>0.43</v>
      </c>
      <c r="I646" s="106" t="n">
        <v>4</v>
      </c>
      <c r="J646" s="117" t="n">
        <v>0.2222</v>
      </c>
      <c r="K646" s="108" t="n">
        <v>7.71</v>
      </c>
      <c r="L646" s="108" t="n">
        <v>117.95</v>
      </c>
      <c r="M646" s="117" t="n">
        <v>0.065</v>
      </c>
      <c r="N646" s="106"/>
      <c r="O646" s="106" t="s">
        <v>4285</v>
      </c>
    </row>
    <row r="647" customFormat="false" ht="15" hidden="false" customHeight="false" outlineLevel="0" collapsed="false">
      <c r="A647" s="106" t="s">
        <v>4511</v>
      </c>
      <c r="B647" s="106" t="s">
        <v>4284</v>
      </c>
      <c r="C647" s="106"/>
      <c r="D647" s="106"/>
      <c r="E647" s="107" t="n">
        <v>121</v>
      </c>
      <c r="F647" s="106" t="n">
        <v>18</v>
      </c>
      <c r="G647" s="118" t="n">
        <v>0.1488</v>
      </c>
      <c r="H647" s="116" t="n">
        <v>0.45</v>
      </c>
      <c r="I647" s="106" t="n">
        <v>4</v>
      </c>
      <c r="J647" s="117" t="n">
        <v>0.2222</v>
      </c>
      <c r="K647" s="108" t="n">
        <v>8.1</v>
      </c>
      <c r="L647" s="108" t="n">
        <v>122.71</v>
      </c>
      <c r="M647" s="117" t="n">
        <v>0.066</v>
      </c>
      <c r="N647" s="106"/>
      <c r="O647" s="106" t="s">
        <v>4285</v>
      </c>
    </row>
    <row r="648" customFormat="false" ht="15" hidden="false" customHeight="false" outlineLevel="0" collapsed="false">
      <c r="A648" s="106" t="s">
        <v>4512</v>
      </c>
      <c r="B648" s="106" t="s">
        <v>4284</v>
      </c>
      <c r="C648" s="106"/>
      <c r="D648" s="106"/>
      <c r="E648" s="107" t="n">
        <v>315</v>
      </c>
      <c r="F648" s="106" t="n">
        <v>17</v>
      </c>
      <c r="G648" s="118" t="n">
        <v>0.054</v>
      </c>
      <c r="H648" s="116" t="n">
        <v>0.88</v>
      </c>
      <c r="I648" s="106" t="n">
        <v>4</v>
      </c>
      <c r="J648" s="117" t="n">
        <v>0.2353</v>
      </c>
      <c r="K648" s="108" t="n">
        <v>14.94</v>
      </c>
      <c r="L648" s="108" t="n">
        <v>131.22</v>
      </c>
      <c r="M648" s="117" t="n">
        <v>0.114</v>
      </c>
      <c r="N648" s="106"/>
      <c r="O648" s="106" t="s">
        <v>4285</v>
      </c>
    </row>
    <row r="649" customFormat="false" ht="15" hidden="false" customHeight="false" outlineLevel="0" collapsed="false">
      <c r="A649" s="106" t="s">
        <v>4513</v>
      </c>
      <c r="B649" s="106" t="s">
        <v>4284</v>
      </c>
      <c r="C649" s="106"/>
      <c r="D649" s="106"/>
      <c r="E649" s="107" t="n">
        <v>306</v>
      </c>
      <c r="F649" s="106" t="n">
        <v>17</v>
      </c>
      <c r="G649" s="118" t="n">
        <v>0.0556</v>
      </c>
      <c r="H649" s="116" t="n">
        <v>0.84</v>
      </c>
      <c r="I649" s="106" t="n">
        <v>6</v>
      </c>
      <c r="J649" s="117" t="n">
        <v>0.3529</v>
      </c>
      <c r="K649" s="108" t="n">
        <v>14.3</v>
      </c>
      <c r="L649" s="108" t="n">
        <v>203.7</v>
      </c>
      <c r="M649" s="117" t="n">
        <v>0.07</v>
      </c>
      <c r="N649" s="106"/>
      <c r="O649" s="106" t="s">
        <v>4285</v>
      </c>
    </row>
    <row r="650" customFormat="false" ht="15" hidden="false" customHeight="false" outlineLevel="0" collapsed="false">
      <c r="A650" s="106" t="s">
        <v>4514</v>
      </c>
      <c r="B650" s="106" t="s">
        <v>4284</v>
      </c>
      <c r="C650" s="106"/>
      <c r="D650" s="106"/>
      <c r="E650" s="107" t="n">
        <v>364</v>
      </c>
      <c r="F650" s="106" t="n">
        <v>17</v>
      </c>
      <c r="G650" s="118" t="n">
        <v>0.0467</v>
      </c>
      <c r="H650" s="116" t="n">
        <v>0.83</v>
      </c>
      <c r="I650" s="106" t="n">
        <v>4</v>
      </c>
      <c r="J650" s="117" t="n">
        <v>0.2353</v>
      </c>
      <c r="K650" s="108" t="n">
        <v>14.03</v>
      </c>
      <c r="L650" s="108" t="n">
        <v>118.8</v>
      </c>
      <c r="M650" s="117" t="n">
        <v>0.118</v>
      </c>
      <c r="N650" s="106"/>
      <c r="O650" s="106" t="s">
        <v>4285</v>
      </c>
    </row>
    <row r="651" customFormat="false" ht="15" hidden="false" customHeight="false" outlineLevel="0" collapsed="false">
      <c r="A651" s="106" t="s">
        <v>1285</v>
      </c>
      <c r="B651" s="106" t="s">
        <v>4280</v>
      </c>
      <c r="C651" s="106" t="s">
        <v>4301</v>
      </c>
      <c r="D651" s="106" t="n">
        <v>1023</v>
      </c>
      <c r="E651" s="107" t="n">
        <v>138</v>
      </c>
      <c r="F651" s="106" t="n">
        <v>17</v>
      </c>
      <c r="G651" s="118" t="n">
        <v>0.1232</v>
      </c>
      <c r="H651" s="116" t="n">
        <v>2.96</v>
      </c>
      <c r="I651" s="106" t="n">
        <v>0</v>
      </c>
      <c r="J651" s="117" t="n">
        <v>0</v>
      </c>
      <c r="K651" s="108" t="n">
        <v>50.31</v>
      </c>
      <c r="L651" s="108" t="n">
        <v>0</v>
      </c>
      <c r="M651" s="117"/>
      <c r="N651" s="106" t="n">
        <v>63</v>
      </c>
      <c r="O651" s="106" t="s">
        <v>4289</v>
      </c>
    </row>
    <row r="652" customFormat="false" ht="15" hidden="false" customHeight="false" outlineLevel="0" collapsed="false">
      <c r="A652" s="106" t="s">
        <v>4515</v>
      </c>
      <c r="B652" s="106" t="s">
        <v>4284</v>
      </c>
      <c r="C652" s="106"/>
      <c r="D652" s="106"/>
      <c r="E652" s="107" t="n">
        <v>343</v>
      </c>
      <c r="F652" s="106" t="n">
        <v>16</v>
      </c>
      <c r="G652" s="118" t="n">
        <v>0.0466</v>
      </c>
      <c r="H652" s="116" t="n">
        <v>0.9</v>
      </c>
      <c r="I652" s="106" t="n">
        <v>4</v>
      </c>
      <c r="J652" s="117" t="n">
        <v>0.25</v>
      </c>
      <c r="K652" s="108" t="n">
        <v>14.4</v>
      </c>
      <c r="L652" s="108" t="n">
        <v>122.6</v>
      </c>
      <c r="M652" s="117" t="n">
        <v>0.117</v>
      </c>
      <c r="N652" s="106"/>
      <c r="O652" s="106" t="s">
        <v>4285</v>
      </c>
    </row>
    <row r="653" customFormat="false" ht="15" hidden="false" customHeight="false" outlineLevel="0" collapsed="false">
      <c r="A653" s="106" t="s">
        <v>4516</v>
      </c>
      <c r="B653" s="106" t="s">
        <v>4284</v>
      </c>
      <c r="C653" s="106"/>
      <c r="D653" s="106"/>
      <c r="E653" s="107" t="n">
        <v>370</v>
      </c>
      <c r="F653" s="106" t="n">
        <v>16</v>
      </c>
      <c r="G653" s="118" t="n">
        <v>0.0432</v>
      </c>
      <c r="H653" s="116" t="n">
        <v>0.91</v>
      </c>
      <c r="I653" s="106" t="n">
        <v>4</v>
      </c>
      <c r="J653" s="117" t="n">
        <v>0.25</v>
      </c>
      <c r="K653" s="108" t="n">
        <v>14.51</v>
      </c>
      <c r="L653" s="108" t="n">
        <v>279.12</v>
      </c>
      <c r="M653" s="117" t="n">
        <v>0.052</v>
      </c>
      <c r="N653" s="106"/>
      <c r="O653" s="106" t="s">
        <v>4285</v>
      </c>
    </row>
    <row r="654" customFormat="false" ht="15" hidden="false" customHeight="false" outlineLevel="0" collapsed="false">
      <c r="A654" s="106" t="s">
        <v>4517</v>
      </c>
      <c r="B654" s="106" t="s">
        <v>4284</v>
      </c>
      <c r="C654" s="106"/>
      <c r="D654" s="106"/>
      <c r="E654" s="107" t="n">
        <v>418</v>
      </c>
      <c r="F654" s="106" t="n">
        <v>16</v>
      </c>
      <c r="G654" s="118" t="n">
        <v>0.0383</v>
      </c>
      <c r="H654" s="116" t="n">
        <v>0.85</v>
      </c>
      <c r="I654" s="106" t="n">
        <v>7</v>
      </c>
      <c r="J654" s="117" t="n">
        <v>0.4375</v>
      </c>
      <c r="K654" s="108" t="n">
        <v>13.52</v>
      </c>
      <c r="L654" s="108" t="n">
        <v>185.67</v>
      </c>
      <c r="M654" s="117" t="n">
        <v>0.073</v>
      </c>
      <c r="N654" s="106"/>
      <c r="O654" s="106" t="s">
        <v>4285</v>
      </c>
    </row>
    <row r="655" customFormat="false" ht="15" hidden="false" customHeight="false" outlineLevel="0" collapsed="false">
      <c r="A655" s="106" t="s">
        <v>4518</v>
      </c>
      <c r="B655" s="106" t="s">
        <v>4284</v>
      </c>
      <c r="C655" s="106"/>
      <c r="D655" s="106"/>
      <c r="E655" s="107" t="n">
        <v>242</v>
      </c>
      <c r="F655" s="106" t="n">
        <v>16</v>
      </c>
      <c r="G655" s="118" t="n">
        <v>0.0661</v>
      </c>
      <c r="H655" s="116" t="n">
        <v>0.85</v>
      </c>
      <c r="I655" s="106" t="n">
        <v>5</v>
      </c>
      <c r="J655" s="117" t="n">
        <v>0.3125</v>
      </c>
      <c r="K655" s="108" t="n">
        <v>13.52</v>
      </c>
      <c r="L655" s="108" t="n">
        <v>148.96</v>
      </c>
      <c r="M655" s="117" t="n">
        <v>0.091</v>
      </c>
      <c r="N655" s="106"/>
      <c r="O655" s="106" t="s">
        <v>4285</v>
      </c>
    </row>
    <row r="656" customFormat="false" ht="15" hidden="false" customHeight="false" outlineLevel="0" collapsed="false">
      <c r="A656" s="106" t="s">
        <v>4519</v>
      </c>
      <c r="B656" s="106" t="s">
        <v>4284</v>
      </c>
      <c r="C656" s="106"/>
      <c r="D656" s="106"/>
      <c r="E656" s="107" t="n">
        <v>339</v>
      </c>
      <c r="F656" s="106" t="n">
        <v>16</v>
      </c>
      <c r="G656" s="118" t="n">
        <v>0.0472</v>
      </c>
      <c r="H656" s="116" t="n">
        <v>0.85</v>
      </c>
      <c r="I656" s="106" t="n">
        <v>5</v>
      </c>
      <c r="J656" s="117" t="n">
        <v>0.3125</v>
      </c>
      <c r="K656" s="108" t="n">
        <v>13.6</v>
      </c>
      <c r="L656" s="108" t="n">
        <v>164.95</v>
      </c>
      <c r="M656" s="117" t="n">
        <v>0.082</v>
      </c>
      <c r="N656" s="106"/>
      <c r="O656" s="106" t="s">
        <v>4285</v>
      </c>
    </row>
    <row r="657" customFormat="false" ht="15" hidden="false" customHeight="false" outlineLevel="0" collapsed="false">
      <c r="A657" s="106" t="s">
        <v>4520</v>
      </c>
      <c r="B657" s="106" t="s">
        <v>4280</v>
      </c>
      <c r="C657" s="106" t="s">
        <v>4288</v>
      </c>
      <c r="D657" s="106" t="n">
        <v>901</v>
      </c>
      <c r="E657" s="107" t="n">
        <v>58</v>
      </c>
      <c r="F657" s="106" t="n">
        <v>16</v>
      </c>
      <c r="G657" s="118" t="n">
        <v>0.2759</v>
      </c>
      <c r="H657" s="116" t="n">
        <v>2.2</v>
      </c>
      <c r="I657" s="106" t="n">
        <v>0</v>
      </c>
      <c r="J657" s="117" t="n">
        <v>0</v>
      </c>
      <c r="K657" s="108" t="n">
        <v>35.24</v>
      </c>
      <c r="L657" s="108" t="n">
        <v>0</v>
      </c>
      <c r="M657" s="117"/>
      <c r="N657" s="106" t="n">
        <v>118</v>
      </c>
      <c r="O657" s="106" t="s">
        <v>4289</v>
      </c>
    </row>
    <row r="658" customFormat="false" ht="15" hidden="false" customHeight="false" outlineLevel="0" collapsed="false">
      <c r="A658" s="106" t="s">
        <v>4521</v>
      </c>
      <c r="B658" s="106" t="s">
        <v>4284</v>
      </c>
      <c r="C658" s="106"/>
      <c r="D658" s="106"/>
      <c r="E658" s="107" t="n">
        <v>241</v>
      </c>
      <c r="F658" s="106" t="n">
        <v>16</v>
      </c>
      <c r="G658" s="118" t="n">
        <v>0.0664</v>
      </c>
      <c r="H658" s="116" t="n">
        <v>0.89</v>
      </c>
      <c r="I658" s="106" t="n">
        <v>4</v>
      </c>
      <c r="J658" s="117" t="n">
        <v>0.25</v>
      </c>
      <c r="K658" s="108" t="n">
        <v>14.16</v>
      </c>
      <c r="L658" s="108" t="n">
        <v>127.8</v>
      </c>
      <c r="M658" s="117" t="n">
        <v>0.111</v>
      </c>
      <c r="N658" s="106"/>
      <c r="O658" s="106" t="s">
        <v>4285</v>
      </c>
    </row>
    <row r="659" customFormat="false" ht="15" hidden="false" customHeight="false" outlineLevel="0" collapsed="false">
      <c r="A659" s="106" t="s">
        <v>4522</v>
      </c>
      <c r="B659" s="106" t="s">
        <v>4284</v>
      </c>
      <c r="C659" s="106"/>
      <c r="D659" s="106"/>
      <c r="E659" s="107" t="n">
        <v>154</v>
      </c>
      <c r="F659" s="106" t="n">
        <v>16</v>
      </c>
      <c r="G659" s="118" t="n">
        <v>0.1039</v>
      </c>
      <c r="H659" s="116" t="n">
        <v>0.44</v>
      </c>
      <c r="I659" s="106" t="n">
        <v>5</v>
      </c>
      <c r="J659" s="117" t="n">
        <v>0.3125</v>
      </c>
      <c r="K659" s="108" t="n">
        <v>7.04</v>
      </c>
      <c r="L659" s="108" t="n">
        <v>142.15</v>
      </c>
      <c r="M659" s="117" t="n">
        <v>0.05</v>
      </c>
      <c r="N659" s="106"/>
      <c r="O659" s="106" t="s">
        <v>4285</v>
      </c>
    </row>
    <row r="660" customFormat="false" ht="15" hidden="false" customHeight="false" outlineLevel="0" collapsed="false">
      <c r="A660" s="106" t="s">
        <v>1106</v>
      </c>
      <c r="B660" s="106" t="s">
        <v>4280</v>
      </c>
      <c r="C660" s="106" t="s">
        <v>4281</v>
      </c>
      <c r="D660" s="106" t="n">
        <v>649</v>
      </c>
      <c r="E660" s="107" t="n">
        <v>168</v>
      </c>
      <c r="F660" s="106" t="n">
        <v>15</v>
      </c>
      <c r="G660" s="118" t="n">
        <v>0.0893</v>
      </c>
      <c r="H660" s="116" t="n">
        <v>1.39</v>
      </c>
      <c r="I660" s="106" t="n">
        <v>3</v>
      </c>
      <c r="J660" s="117" t="n">
        <v>0.2</v>
      </c>
      <c r="K660" s="108" t="n">
        <v>20.79</v>
      </c>
      <c r="L660" s="108" t="n">
        <v>113.84</v>
      </c>
      <c r="M660" s="117" t="n">
        <v>0.183</v>
      </c>
      <c r="N660" s="106" t="n">
        <v>34</v>
      </c>
      <c r="O660" s="106" t="s">
        <v>4285</v>
      </c>
    </row>
    <row r="661" customFormat="false" ht="15" hidden="false" customHeight="false" outlineLevel="0" collapsed="false">
      <c r="A661" s="106" t="s">
        <v>4523</v>
      </c>
      <c r="B661" s="106" t="s">
        <v>4284</v>
      </c>
      <c r="C661" s="106"/>
      <c r="D661" s="106"/>
      <c r="E661" s="107" t="n">
        <v>289</v>
      </c>
      <c r="F661" s="106" t="n">
        <v>15</v>
      </c>
      <c r="G661" s="118" t="n">
        <v>0.0519</v>
      </c>
      <c r="H661" s="116" t="n">
        <v>0.9</v>
      </c>
      <c r="I661" s="106" t="n">
        <v>2</v>
      </c>
      <c r="J661" s="117" t="n">
        <v>0.1333</v>
      </c>
      <c r="K661" s="108" t="n">
        <v>13.5</v>
      </c>
      <c r="L661" s="108" t="n">
        <v>122.24</v>
      </c>
      <c r="M661" s="117" t="n">
        <v>0.11</v>
      </c>
      <c r="N661" s="106"/>
      <c r="O661" s="106" t="s">
        <v>4285</v>
      </c>
    </row>
    <row r="662" customFormat="false" ht="15" hidden="false" customHeight="false" outlineLevel="0" collapsed="false">
      <c r="A662" s="106" t="s">
        <v>4524</v>
      </c>
      <c r="B662" s="106" t="s">
        <v>4284</v>
      </c>
      <c r="C662" s="106"/>
      <c r="D662" s="106"/>
      <c r="E662" s="107" t="n">
        <v>306</v>
      </c>
      <c r="F662" s="106" t="n">
        <v>14</v>
      </c>
      <c r="G662" s="118" t="n">
        <v>0.0458</v>
      </c>
      <c r="H662" s="116" t="n">
        <v>0.87</v>
      </c>
      <c r="I662" s="106" t="n">
        <v>4</v>
      </c>
      <c r="J662" s="117" t="n">
        <v>0.2857</v>
      </c>
      <c r="K662" s="108" t="n">
        <v>12.14</v>
      </c>
      <c r="L662" s="108" t="n">
        <v>134.8</v>
      </c>
      <c r="M662" s="117" t="n">
        <v>0.09</v>
      </c>
      <c r="N662" s="106"/>
      <c r="O662" s="106" t="s">
        <v>4285</v>
      </c>
    </row>
    <row r="663" customFormat="false" ht="15" hidden="false" customHeight="false" outlineLevel="0" collapsed="false">
      <c r="A663" s="106" t="s">
        <v>4525</v>
      </c>
      <c r="B663" s="106" t="s">
        <v>4284</v>
      </c>
      <c r="C663" s="106"/>
      <c r="D663" s="106"/>
      <c r="E663" s="107" t="n">
        <v>187</v>
      </c>
      <c r="F663" s="106" t="n">
        <v>14</v>
      </c>
      <c r="G663" s="118" t="n">
        <v>0.0749</v>
      </c>
      <c r="H663" s="116" t="n">
        <v>0.71</v>
      </c>
      <c r="I663" s="106" t="n">
        <v>2</v>
      </c>
      <c r="J663" s="117" t="n">
        <v>0.1429</v>
      </c>
      <c r="K663" s="108" t="n">
        <v>9.9</v>
      </c>
      <c r="L663" s="108" t="n">
        <v>179.98</v>
      </c>
      <c r="M663" s="117" t="n">
        <v>0.055</v>
      </c>
      <c r="N663" s="106"/>
      <c r="O663" s="106" t="s">
        <v>4285</v>
      </c>
    </row>
    <row r="664" customFormat="false" ht="15" hidden="false" customHeight="false" outlineLevel="0" collapsed="false">
      <c r="A664" s="106" t="s">
        <v>4526</v>
      </c>
      <c r="B664" s="106" t="s">
        <v>4284</v>
      </c>
      <c r="C664" s="106"/>
      <c r="D664" s="106"/>
      <c r="E664" s="107" t="n">
        <v>307</v>
      </c>
      <c r="F664" s="106" t="n">
        <v>14</v>
      </c>
      <c r="G664" s="118" t="n">
        <v>0.0456</v>
      </c>
      <c r="H664" s="116" t="n">
        <v>0.84</v>
      </c>
      <c r="I664" s="106" t="n">
        <v>9</v>
      </c>
      <c r="J664" s="117" t="n">
        <v>0.6429</v>
      </c>
      <c r="K664" s="108" t="n">
        <v>11.77</v>
      </c>
      <c r="L664" s="108" t="n">
        <v>229.08</v>
      </c>
      <c r="M664" s="117" t="n">
        <v>0.051</v>
      </c>
      <c r="N664" s="106"/>
      <c r="O664" s="106" t="s">
        <v>4285</v>
      </c>
    </row>
    <row r="665" customFormat="false" ht="15" hidden="false" customHeight="false" outlineLevel="0" collapsed="false">
      <c r="A665" s="106" t="s">
        <v>4527</v>
      </c>
      <c r="B665" s="106" t="s">
        <v>4284</v>
      </c>
      <c r="C665" s="106"/>
      <c r="D665" s="106"/>
      <c r="E665" s="107" t="n">
        <v>125</v>
      </c>
      <c r="F665" s="106" t="n">
        <v>14</v>
      </c>
      <c r="G665" s="118" t="n">
        <v>0.112</v>
      </c>
      <c r="H665" s="116" t="n">
        <v>0.87</v>
      </c>
      <c r="I665" s="106" t="n">
        <v>4</v>
      </c>
      <c r="J665" s="117" t="n">
        <v>0.2857</v>
      </c>
      <c r="K665" s="108" t="n">
        <v>12.17</v>
      </c>
      <c r="L665" s="108" t="n">
        <v>135.8</v>
      </c>
      <c r="M665" s="117" t="n">
        <v>0.09</v>
      </c>
      <c r="N665" s="106"/>
      <c r="O665" s="106" t="s">
        <v>4285</v>
      </c>
    </row>
    <row r="666" customFormat="false" ht="15" hidden="false" customHeight="false" outlineLevel="0" collapsed="false">
      <c r="A666" s="106" t="s">
        <v>4528</v>
      </c>
      <c r="B666" s="106" t="s">
        <v>4284</v>
      </c>
      <c r="C666" s="106"/>
      <c r="D666" s="106"/>
      <c r="E666" s="107" t="n">
        <v>230</v>
      </c>
      <c r="F666" s="106" t="n">
        <v>14</v>
      </c>
      <c r="G666" s="118" t="n">
        <v>0.0609</v>
      </c>
      <c r="H666" s="116" t="n">
        <v>0.86</v>
      </c>
      <c r="I666" s="106" t="n">
        <v>6</v>
      </c>
      <c r="J666" s="117" t="n">
        <v>0.4286</v>
      </c>
      <c r="K666" s="108" t="n">
        <v>11.97</v>
      </c>
      <c r="L666" s="108" t="n">
        <v>128.75</v>
      </c>
      <c r="M666" s="117" t="n">
        <v>0.093</v>
      </c>
      <c r="N666" s="106"/>
      <c r="O666" s="106" t="s">
        <v>4285</v>
      </c>
    </row>
    <row r="667" customFormat="false" ht="15" hidden="false" customHeight="false" outlineLevel="0" collapsed="false">
      <c r="A667" s="106" t="s">
        <v>4529</v>
      </c>
      <c r="B667" s="106" t="s">
        <v>4284</v>
      </c>
      <c r="C667" s="106"/>
      <c r="D667" s="106"/>
      <c r="E667" s="107" t="n">
        <v>245</v>
      </c>
      <c r="F667" s="106" t="n">
        <v>14</v>
      </c>
      <c r="G667" s="118" t="n">
        <v>0.0571</v>
      </c>
      <c r="H667" s="116" t="n">
        <v>0.86</v>
      </c>
      <c r="I667" s="106" t="n">
        <v>5</v>
      </c>
      <c r="J667" s="117" t="n">
        <v>0.3571</v>
      </c>
      <c r="K667" s="108" t="n">
        <v>12.09</v>
      </c>
      <c r="L667" s="108" t="n">
        <v>139.8</v>
      </c>
      <c r="M667" s="117" t="n">
        <v>0.086</v>
      </c>
      <c r="N667" s="106"/>
      <c r="O667" s="106" t="s">
        <v>4285</v>
      </c>
    </row>
    <row r="668" customFormat="false" ht="15" hidden="false" customHeight="false" outlineLevel="0" collapsed="false">
      <c r="A668" s="106" t="s">
        <v>4530</v>
      </c>
      <c r="B668" s="106" t="s">
        <v>4284</v>
      </c>
      <c r="C668" s="106"/>
      <c r="D668" s="106"/>
      <c r="E668" s="107" t="n">
        <v>157</v>
      </c>
      <c r="F668" s="106" t="n">
        <v>13</v>
      </c>
      <c r="G668" s="118" t="n">
        <v>0.0828</v>
      </c>
      <c r="H668" s="116" t="n">
        <v>0.9</v>
      </c>
      <c r="I668" s="106" t="n">
        <v>2</v>
      </c>
      <c r="J668" s="117" t="n">
        <v>0.1538</v>
      </c>
      <c r="K668" s="108" t="n">
        <v>11.7</v>
      </c>
      <c r="L668" s="108" t="n">
        <v>169.98</v>
      </c>
      <c r="M668" s="117" t="n">
        <v>0.069</v>
      </c>
      <c r="N668" s="106"/>
      <c r="O668" s="106" t="s">
        <v>4285</v>
      </c>
    </row>
    <row r="669" customFormat="false" ht="15" hidden="false" customHeight="false" outlineLevel="0" collapsed="false">
      <c r="A669" s="106" t="s">
        <v>320</v>
      </c>
      <c r="B669" s="106" t="s">
        <v>4280</v>
      </c>
      <c r="C669" s="106" t="s">
        <v>4288</v>
      </c>
      <c r="D669" s="106" t="n">
        <v>1961</v>
      </c>
      <c r="E669" s="107" t="n">
        <v>556</v>
      </c>
      <c r="F669" s="106" t="n">
        <v>13</v>
      </c>
      <c r="G669" s="118" t="n">
        <v>0.0234</v>
      </c>
      <c r="H669" s="116" t="n">
        <v>1.82</v>
      </c>
      <c r="I669" s="106" t="n">
        <v>2</v>
      </c>
      <c r="J669" s="117" t="n">
        <v>0.1538</v>
      </c>
      <c r="K669" s="108" t="n">
        <v>23.63</v>
      </c>
      <c r="L669" s="108" t="n">
        <v>77.9</v>
      </c>
      <c r="M669" s="117" t="n">
        <v>0.303</v>
      </c>
      <c r="N669" s="106" t="n">
        <v>55</v>
      </c>
      <c r="O669" s="106" t="s">
        <v>4321</v>
      </c>
    </row>
    <row r="670" customFormat="false" ht="15" hidden="false" customHeight="false" outlineLevel="0" collapsed="false">
      <c r="A670" s="106" t="s">
        <v>4531</v>
      </c>
      <c r="B670" s="106" t="s">
        <v>4284</v>
      </c>
      <c r="C670" s="106"/>
      <c r="D670" s="106"/>
      <c r="E670" s="107" t="n">
        <v>274</v>
      </c>
      <c r="F670" s="106" t="n">
        <v>13</v>
      </c>
      <c r="G670" s="118" t="n">
        <v>0.0474</v>
      </c>
      <c r="H670" s="116" t="n">
        <v>0.87</v>
      </c>
      <c r="I670" s="106" t="n">
        <v>4</v>
      </c>
      <c r="J670" s="117" t="n">
        <v>0.3077</v>
      </c>
      <c r="K670" s="108" t="n">
        <v>11.3</v>
      </c>
      <c r="L670" s="108" t="n">
        <v>124.68</v>
      </c>
      <c r="M670" s="117" t="n">
        <v>0.091</v>
      </c>
      <c r="N670" s="106"/>
      <c r="O670" s="106" t="s">
        <v>4285</v>
      </c>
    </row>
    <row r="671" customFormat="false" ht="15" hidden="false" customHeight="false" outlineLevel="0" collapsed="false">
      <c r="A671" s="106" t="s">
        <v>4532</v>
      </c>
      <c r="B671" s="106" t="s">
        <v>4284</v>
      </c>
      <c r="C671" s="106"/>
      <c r="D671" s="106"/>
      <c r="E671" s="107" t="n">
        <v>232</v>
      </c>
      <c r="F671" s="106" t="n">
        <v>13</v>
      </c>
      <c r="G671" s="118" t="n">
        <v>0.056</v>
      </c>
      <c r="H671" s="116" t="n">
        <v>0.88</v>
      </c>
      <c r="I671" s="106" t="n">
        <v>4</v>
      </c>
      <c r="J671" s="117" t="n">
        <v>0.3077</v>
      </c>
      <c r="K671" s="108" t="n">
        <v>11.46</v>
      </c>
      <c r="L671" s="108" t="n">
        <v>128.59</v>
      </c>
      <c r="M671" s="117" t="n">
        <v>0.089</v>
      </c>
      <c r="N671" s="106"/>
      <c r="O671" s="106" t="s">
        <v>4285</v>
      </c>
    </row>
    <row r="672" customFormat="false" ht="15" hidden="false" customHeight="false" outlineLevel="0" collapsed="false">
      <c r="A672" s="106" t="s">
        <v>4533</v>
      </c>
      <c r="B672" s="106" t="s">
        <v>4284</v>
      </c>
      <c r="C672" s="106"/>
      <c r="D672" s="106"/>
      <c r="E672" s="107" t="n">
        <v>307</v>
      </c>
      <c r="F672" s="106" t="n">
        <v>13</v>
      </c>
      <c r="G672" s="118" t="n">
        <v>0.0423</v>
      </c>
      <c r="H672" s="116" t="n">
        <v>0.83</v>
      </c>
      <c r="I672" s="106" t="n">
        <v>4</v>
      </c>
      <c r="J672" s="117" t="n">
        <v>0.3077</v>
      </c>
      <c r="K672" s="108" t="n">
        <v>10.84</v>
      </c>
      <c r="L672" s="108" t="n">
        <v>335.96</v>
      </c>
      <c r="M672" s="117" t="n">
        <v>0.032</v>
      </c>
      <c r="N672" s="106"/>
      <c r="O672" s="106" t="s">
        <v>4285</v>
      </c>
    </row>
    <row r="673" customFormat="false" ht="15" hidden="false" customHeight="false" outlineLevel="0" collapsed="false">
      <c r="A673" s="106" t="s">
        <v>4534</v>
      </c>
      <c r="B673" s="106" t="s">
        <v>4280</v>
      </c>
      <c r="C673" s="106" t="s">
        <v>4301</v>
      </c>
      <c r="D673" s="106" t="n">
        <v>580</v>
      </c>
      <c r="E673" s="107" t="n">
        <v>64</v>
      </c>
      <c r="F673" s="106" t="n">
        <v>13</v>
      </c>
      <c r="G673" s="118" t="n">
        <v>0.2031</v>
      </c>
      <c r="H673" s="116" t="n">
        <v>2.52</v>
      </c>
      <c r="I673" s="106" t="n">
        <v>1</v>
      </c>
      <c r="J673" s="117" t="n">
        <v>0.0769</v>
      </c>
      <c r="K673" s="108" t="n">
        <v>32.72</v>
      </c>
      <c r="L673" s="108" t="n">
        <v>39.95</v>
      </c>
      <c r="M673" s="117" t="n">
        <v>0.819</v>
      </c>
      <c r="N673" s="106"/>
      <c r="O673" s="106" t="s">
        <v>4289</v>
      </c>
    </row>
    <row r="674" customFormat="false" ht="15" hidden="false" customHeight="false" outlineLevel="0" collapsed="false">
      <c r="A674" s="106" t="s">
        <v>4535</v>
      </c>
      <c r="B674" s="106" t="s">
        <v>4284</v>
      </c>
      <c r="C674" s="106"/>
      <c r="D674" s="106"/>
      <c r="E674" s="107" t="n">
        <v>270</v>
      </c>
      <c r="F674" s="106" t="n">
        <v>13</v>
      </c>
      <c r="G674" s="118" t="n">
        <v>0.0481</v>
      </c>
      <c r="H674" s="116" t="n">
        <v>0.9</v>
      </c>
      <c r="I674" s="106" t="n">
        <v>2</v>
      </c>
      <c r="J674" s="117" t="n">
        <v>0.1538</v>
      </c>
      <c r="K674" s="108" t="n">
        <v>11.7</v>
      </c>
      <c r="L674" s="108" t="n">
        <v>132.98</v>
      </c>
      <c r="M674" s="117" t="n">
        <v>0.088</v>
      </c>
      <c r="N674" s="106"/>
      <c r="O674" s="106" t="s">
        <v>4285</v>
      </c>
    </row>
    <row r="675" customFormat="false" ht="15" hidden="false" customHeight="false" outlineLevel="0" collapsed="false">
      <c r="A675" s="106" t="s">
        <v>4536</v>
      </c>
      <c r="B675" s="106" t="s">
        <v>4280</v>
      </c>
      <c r="C675" s="106" t="s">
        <v>4288</v>
      </c>
      <c r="D675" s="106" t="n">
        <v>401</v>
      </c>
      <c r="E675" s="107" t="n">
        <v>88</v>
      </c>
      <c r="F675" s="106" t="n">
        <v>12</v>
      </c>
      <c r="G675" s="118" t="n">
        <v>0.1364</v>
      </c>
      <c r="H675" s="116" t="n">
        <v>3.73</v>
      </c>
      <c r="I675" s="106" t="n">
        <v>0</v>
      </c>
      <c r="J675" s="117" t="n">
        <v>0</v>
      </c>
      <c r="K675" s="108" t="n">
        <v>44.72</v>
      </c>
      <c r="L675" s="108" t="n">
        <v>0</v>
      </c>
      <c r="M675" s="117"/>
      <c r="N675" s="106"/>
      <c r="O675" s="106" t="s">
        <v>4537</v>
      </c>
    </row>
    <row r="676" customFormat="false" ht="15" hidden="false" customHeight="false" outlineLevel="0" collapsed="false">
      <c r="A676" s="106" t="s">
        <v>4538</v>
      </c>
      <c r="B676" s="106" t="s">
        <v>4284</v>
      </c>
      <c r="C676" s="106"/>
      <c r="D676" s="106"/>
      <c r="E676" s="107" t="n">
        <v>341</v>
      </c>
      <c r="F676" s="106" t="n">
        <v>12</v>
      </c>
      <c r="G676" s="118" t="n">
        <v>0.0352</v>
      </c>
      <c r="H676" s="116" t="n">
        <v>0.85</v>
      </c>
      <c r="I676" s="106" t="n">
        <v>5</v>
      </c>
      <c r="J676" s="117" t="n">
        <v>0.4167</v>
      </c>
      <c r="K676" s="108" t="n">
        <v>10.25</v>
      </c>
      <c r="L676" s="108" t="n">
        <v>161.75</v>
      </c>
      <c r="M676" s="117" t="n">
        <v>0.063</v>
      </c>
      <c r="N676" s="106"/>
      <c r="O676" s="106" t="s">
        <v>4285</v>
      </c>
    </row>
    <row r="677" customFormat="false" ht="15" hidden="false" customHeight="false" outlineLevel="0" collapsed="false">
      <c r="A677" s="106" t="s">
        <v>4539</v>
      </c>
      <c r="B677" s="106" t="s">
        <v>4284</v>
      </c>
      <c r="C677" s="106"/>
      <c r="D677" s="106"/>
      <c r="E677" s="107" t="n">
        <v>217</v>
      </c>
      <c r="F677" s="106" t="n">
        <v>12</v>
      </c>
      <c r="G677" s="118" t="n">
        <v>0.0553</v>
      </c>
      <c r="H677" s="116" t="n">
        <v>0.78</v>
      </c>
      <c r="I677" s="106" t="n">
        <v>5</v>
      </c>
      <c r="J677" s="117" t="n">
        <v>0.4167</v>
      </c>
      <c r="K677" s="108" t="n">
        <v>9.36</v>
      </c>
      <c r="L677" s="108" t="n">
        <v>173.75</v>
      </c>
      <c r="M677" s="117" t="n">
        <v>0.054</v>
      </c>
      <c r="N677" s="106"/>
      <c r="O677" s="106" t="s">
        <v>4285</v>
      </c>
    </row>
    <row r="678" customFormat="false" ht="15" hidden="false" customHeight="false" outlineLevel="0" collapsed="false">
      <c r="A678" s="106" t="s">
        <v>4540</v>
      </c>
      <c r="B678" s="106" t="s">
        <v>4280</v>
      </c>
      <c r="C678" s="106" t="s">
        <v>4281</v>
      </c>
      <c r="D678" s="106" t="n">
        <v>392</v>
      </c>
      <c r="E678" s="107" t="n">
        <v>50</v>
      </c>
      <c r="F678" s="106" t="n">
        <v>12</v>
      </c>
      <c r="G678" s="118" t="n">
        <v>0.24</v>
      </c>
      <c r="H678" s="116" t="n">
        <v>1.89</v>
      </c>
      <c r="I678" s="106" t="n">
        <v>2</v>
      </c>
      <c r="J678" s="117" t="n">
        <v>0.1667</v>
      </c>
      <c r="K678" s="108" t="n">
        <v>22.66</v>
      </c>
      <c r="L678" s="108" t="n">
        <v>112.94</v>
      </c>
      <c r="M678" s="117" t="n">
        <v>0.201</v>
      </c>
      <c r="N678" s="106"/>
      <c r="O678" s="106" t="s">
        <v>4285</v>
      </c>
    </row>
    <row r="679" customFormat="false" ht="15" hidden="false" customHeight="false" outlineLevel="0" collapsed="false">
      <c r="A679" s="106" t="s">
        <v>870</v>
      </c>
      <c r="B679" s="106" t="s">
        <v>4280</v>
      </c>
      <c r="C679" s="106" t="s">
        <v>4301</v>
      </c>
      <c r="D679" s="106" t="n">
        <v>369</v>
      </c>
      <c r="E679" s="107" t="n">
        <v>49</v>
      </c>
      <c r="F679" s="106" t="n">
        <v>11</v>
      </c>
      <c r="G679" s="118" t="n">
        <v>0.2245</v>
      </c>
      <c r="H679" s="116" t="n">
        <v>3.72</v>
      </c>
      <c r="I679" s="106" t="n">
        <v>1</v>
      </c>
      <c r="J679" s="117" t="n">
        <v>0.0909</v>
      </c>
      <c r="K679" s="108" t="n">
        <v>40.87</v>
      </c>
      <c r="L679" s="108" t="n">
        <v>39.95</v>
      </c>
      <c r="M679" s="117" t="n">
        <v>1.023</v>
      </c>
      <c r="N679" s="106"/>
      <c r="O679" s="106" t="s">
        <v>4289</v>
      </c>
    </row>
    <row r="680" customFormat="false" ht="15" hidden="false" customHeight="false" outlineLevel="0" collapsed="false">
      <c r="A680" s="106" t="s">
        <v>4541</v>
      </c>
      <c r="B680" s="106" t="s">
        <v>4284</v>
      </c>
      <c r="C680" s="106"/>
      <c r="D680" s="106"/>
      <c r="E680" s="107" t="n">
        <v>106</v>
      </c>
      <c r="F680" s="106" t="n">
        <v>11</v>
      </c>
      <c r="G680" s="118" t="n">
        <v>0.1038</v>
      </c>
      <c r="H680" s="116" t="n">
        <v>0.9</v>
      </c>
      <c r="I680" s="106" t="n">
        <v>3</v>
      </c>
      <c r="J680" s="117" t="n">
        <v>0.2727</v>
      </c>
      <c r="K680" s="108" t="n">
        <v>9.9</v>
      </c>
      <c r="L680" s="108" t="n">
        <v>172.43</v>
      </c>
      <c r="M680" s="117" t="n">
        <v>0.057</v>
      </c>
      <c r="N680" s="106"/>
      <c r="O680" s="106" t="s">
        <v>4285</v>
      </c>
    </row>
    <row r="681" customFormat="false" ht="15" hidden="false" customHeight="false" outlineLevel="0" collapsed="false">
      <c r="A681" s="106" t="s">
        <v>4542</v>
      </c>
      <c r="B681" s="106" t="s">
        <v>4284</v>
      </c>
      <c r="C681" s="106"/>
      <c r="D681" s="106"/>
      <c r="E681" s="107" t="n">
        <v>236</v>
      </c>
      <c r="F681" s="106" t="n">
        <v>11</v>
      </c>
      <c r="G681" s="118" t="n">
        <v>0.0466</v>
      </c>
      <c r="H681" s="116" t="n">
        <v>0.86</v>
      </c>
      <c r="I681" s="106" t="n">
        <v>5</v>
      </c>
      <c r="J681" s="117" t="n">
        <v>0.4545</v>
      </c>
      <c r="K681" s="108" t="n">
        <v>9.5</v>
      </c>
      <c r="L681" s="108" t="n">
        <v>148.25</v>
      </c>
      <c r="M681" s="117" t="n">
        <v>0.064</v>
      </c>
      <c r="N681" s="106"/>
      <c r="O681" s="106" t="s">
        <v>4285</v>
      </c>
    </row>
    <row r="682" customFormat="false" ht="15" hidden="false" customHeight="false" outlineLevel="0" collapsed="false">
      <c r="A682" s="106" t="s">
        <v>4543</v>
      </c>
      <c r="B682" s="106" t="s">
        <v>4284</v>
      </c>
      <c r="C682" s="106"/>
      <c r="D682" s="106"/>
      <c r="E682" s="107" t="n">
        <v>175</v>
      </c>
      <c r="F682" s="106" t="n">
        <v>10</v>
      </c>
      <c r="G682" s="118" t="n">
        <v>0.0571</v>
      </c>
      <c r="H682" s="116" t="n">
        <v>0.9</v>
      </c>
      <c r="I682" s="106" t="n">
        <v>2</v>
      </c>
      <c r="J682" s="117" t="n">
        <v>0.2</v>
      </c>
      <c r="K682" s="108" t="n">
        <v>9</v>
      </c>
      <c r="L682" s="108" t="n">
        <v>214.97</v>
      </c>
      <c r="M682" s="117" t="n">
        <v>0.042</v>
      </c>
      <c r="N682" s="106"/>
      <c r="O682" s="106" t="s">
        <v>4285</v>
      </c>
    </row>
    <row r="683" customFormat="false" ht="15" hidden="false" customHeight="false" outlineLevel="0" collapsed="false">
      <c r="A683" s="106" t="s">
        <v>4544</v>
      </c>
      <c r="B683" s="106" t="s">
        <v>4280</v>
      </c>
      <c r="C683" s="106" t="s">
        <v>4421</v>
      </c>
      <c r="D683" s="106" t="n">
        <v>412</v>
      </c>
      <c r="E683" s="107" t="n">
        <v>49</v>
      </c>
      <c r="F683" s="106" t="n">
        <v>10</v>
      </c>
      <c r="G683" s="118" t="n">
        <v>0.2041</v>
      </c>
      <c r="H683" s="116" t="n">
        <v>5.92</v>
      </c>
      <c r="I683" s="106" t="n">
        <v>1</v>
      </c>
      <c r="J683" s="117" t="n">
        <v>0.1</v>
      </c>
      <c r="K683" s="108" t="n">
        <v>59.16</v>
      </c>
      <c r="L683" s="108" t="n">
        <v>75.9</v>
      </c>
      <c r="M683" s="117" t="n">
        <v>0.779</v>
      </c>
      <c r="N683" s="106" t="n">
        <v>48</v>
      </c>
      <c r="O683" s="106" t="s">
        <v>4289</v>
      </c>
    </row>
    <row r="684" customFormat="false" ht="15" hidden="false" customHeight="false" outlineLevel="0" collapsed="false">
      <c r="A684" s="106" t="s">
        <v>4545</v>
      </c>
      <c r="B684" s="106" t="s">
        <v>4280</v>
      </c>
      <c r="C684" s="106" t="s">
        <v>4421</v>
      </c>
      <c r="D684" s="106" t="n">
        <v>308</v>
      </c>
      <c r="E684" s="107" t="n">
        <v>57</v>
      </c>
      <c r="F684" s="106" t="n">
        <v>10</v>
      </c>
      <c r="G684" s="118" t="n">
        <v>0.1754</v>
      </c>
      <c r="H684" s="116" t="n">
        <v>4.06</v>
      </c>
      <c r="I684" s="106" t="n">
        <v>0</v>
      </c>
      <c r="J684" s="117" t="n">
        <v>0</v>
      </c>
      <c r="K684" s="108" t="n">
        <v>40.65</v>
      </c>
      <c r="L684" s="108" t="n">
        <v>0</v>
      </c>
      <c r="M684" s="117"/>
      <c r="N684" s="106"/>
      <c r="O684" s="106" t="s">
        <v>4537</v>
      </c>
    </row>
    <row r="685" customFormat="false" ht="15" hidden="false" customHeight="false" outlineLevel="0" collapsed="false">
      <c r="A685" s="106" t="s">
        <v>4546</v>
      </c>
      <c r="B685" s="106" t="s">
        <v>4284</v>
      </c>
      <c r="C685" s="106"/>
      <c r="D685" s="106"/>
      <c r="E685" s="107" t="n">
        <v>181</v>
      </c>
      <c r="F685" s="106" t="n">
        <v>10</v>
      </c>
      <c r="G685" s="118" t="n">
        <v>0.0552</v>
      </c>
      <c r="H685" s="116" t="n">
        <v>0.86</v>
      </c>
      <c r="I685" s="106" t="n">
        <v>5</v>
      </c>
      <c r="J685" s="117" t="n">
        <v>0.5</v>
      </c>
      <c r="K685" s="108" t="n">
        <v>8.62</v>
      </c>
      <c r="L685" s="108" t="n">
        <v>163.75</v>
      </c>
      <c r="M685" s="117" t="n">
        <v>0.053</v>
      </c>
      <c r="N685" s="106"/>
      <c r="O685" s="106" t="s">
        <v>4285</v>
      </c>
    </row>
    <row r="686" customFormat="false" ht="15" hidden="false" customHeight="false" outlineLevel="0" collapsed="false">
      <c r="A686" s="106" t="s">
        <v>4547</v>
      </c>
      <c r="B686" s="106" t="s">
        <v>1403</v>
      </c>
      <c r="C686" s="106"/>
      <c r="D686" s="106" t="n">
        <v>232</v>
      </c>
      <c r="E686" s="107" t="n">
        <v>38</v>
      </c>
      <c r="F686" s="106" t="n">
        <v>9</v>
      </c>
      <c r="G686" s="118" t="n">
        <v>0.2368</v>
      </c>
      <c r="H686" s="116" t="n">
        <v>0.77</v>
      </c>
      <c r="I686" s="106" t="n">
        <v>3</v>
      </c>
      <c r="J686" s="117" t="n">
        <v>0.3333</v>
      </c>
      <c r="K686" s="108" t="n">
        <v>6.9</v>
      </c>
      <c r="L686" s="108" t="n">
        <v>219.22</v>
      </c>
      <c r="M686" s="117" t="n">
        <v>0.031</v>
      </c>
      <c r="N686" s="106"/>
      <c r="O686" s="106" t="s">
        <v>4285</v>
      </c>
    </row>
    <row r="687" customFormat="false" ht="15" hidden="false" customHeight="false" outlineLevel="0" collapsed="false">
      <c r="A687" s="106" t="s">
        <v>4548</v>
      </c>
      <c r="B687" s="106" t="s">
        <v>4297</v>
      </c>
      <c r="C687" s="106" t="s">
        <v>4288</v>
      </c>
      <c r="D687" s="106" t="n">
        <v>250</v>
      </c>
      <c r="E687" s="107" t="n">
        <v>34</v>
      </c>
      <c r="F687" s="106" t="n">
        <v>9</v>
      </c>
      <c r="G687" s="118" t="n">
        <v>0.2647</v>
      </c>
      <c r="H687" s="116" t="n">
        <v>3.75</v>
      </c>
      <c r="I687" s="106" t="n">
        <v>1</v>
      </c>
      <c r="J687" s="117" t="n">
        <v>0.1111</v>
      </c>
      <c r="K687" s="108" t="n">
        <v>33.71</v>
      </c>
      <c r="L687" s="108" t="n">
        <v>35.95</v>
      </c>
      <c r="M687" s="117" t="n">
        <v>0.938</v>
      </c>
      <c r="N687" s="106"/>
      <c r="O687" s="106" t="s">
        <v>4289</v>
      </c>
    </row>
    <row r="688" customFormat="false" ht="15" hidden="false" customHeight="false" outlineLevel="0" collapsed="false">
      <c r="A688" s="106" t="s">
        <v>4549</v>
      </c>
      <c r="B688" s="106" t="s">
        <v>4284</v>
      </c>
      <c r="C688" s="106"/>
      <c r="D688" s="106"/>
      <c r="E688" s="107" t="n">
        <v>191</v>
      </c>
      <c r="F688" s="106" t="n">
        <v>8</v>
      </c>
      <c r="G688" s="118" t="n">
        <v>0.0419</v>
      </c>
      <c r="H688" s="116" t="n">
        <v>0.78</v>
      </c>
      <c r="I688" s="106" t="n">
        <v>2</v>
      </c>
      <c r="J688" s="117" t="n">
        <v>0.25</v>
      </c>
      <c r="K688" s="108" t="n">
        <v>6.27</v>
      </c>
      <c r="L688" s="108" t="n">
        <v>164.98</v>
      </c>
      <c r="M688" s="117" t="n">
        <v>0.038</v>
      </c>
      <c r="N688" s="106"/>
      <c r="O688" s="106" t="s">
        <v>4285</v>
      </c>
    </row>
    <row r="689" customFormat="false" ht="15" hidden="false" customHeight="false" outlineLevel="0" collapsed="false">
      <c r="A689" s="106" t="s">
        <v>4550</v>
      </c>
      <c r="B689" s="106" t="s">
        <v>4284</v>
      </c>
      <c r="C689" s="106"/>
      <c r="D689" s="106"/>
      <c r="E689" s="107" t="n">
        <v>78</v>
      </c>
      <c r="F689" s="106" t="n">
        <v>8</v>
      </c>
      <c r="G689" s="118" t="n">
        <v>0.1026</v>
      </c>
      <c r="H689" s="116" t="n">
        <v>0.9</v>
      </c>
      <c r="I689" s="106" t="n">
        <v>11</v>
      </c>
      <c r="J689" s="117" t="n">
        <v>1.375</v>
      </c>
      <c r="K689" s="108" t="n">
        <v>7.2</v>
      </c>
      <c r="L689" s="108" t="n">
        <v>974.88</v>
      </c>
      <c r="M689" s="117" t="n">
        <v>0.007</v>
      </c>
      <c r="N689" s="106"/>
      <c r="O689" s="106" t="s">
        <v>4285</v>
      </c>
    </row>
    <row r="690" customFormat="false" ht="15" hidden="false" customHeight="false" outlineLevel="0" collapsed="false">
      <c r="A690" s="106" t="s">
        <v>4551</v>
      </c>
      <c r="B690" s="106" t="s">
        <v>1403</v>
      </c>
      <c r="C690" s="106"/>
      <c r="D690" s="106"/>
      <c r="E690" s="107" t="n">
        <v>13</v>
      </c>
      <c r="F690" s="106" t="n">
        <v>8</v>
      </c>
      <c r="G690" s="118" t="n">
        <v>0.6154</v>
      </c>
      <c r="H690" s="116" t="n">
        <v>0.45</v>
      </c>
      <c r="I690" s="106" t="n">
        <v>3</v>
      </c>
      <c r="J690" s="117" t="n">
        <v>0.375</v>
      </c>
      <c r="K690" s="108" t="n">
        <v>3.6</v>
      </c>
      <c r="L690" s="108" t="n">
        <v>134.93</v>
      </c>
      <c r="M690" s="117" t="n">
        <v>0.027</v>
      </c>
      <c r="N690" s="106"/>
      <c r="O690" s="106" t="s">
        <v>4285</v>
      </c>
    </row>
    <row r="691" customFormat="false" ht="15" hidden="false" customHeight="false" outlineLevel="0" collapsed="false">
      <c r="A691" s="106" t="s">
        <v>4552</v>
      </c>
      <c r="B691" s="106" t="s">
        <v>1403</v>
      </c>
      <c r="C691" s="106"/>
      <c r="D691" s="106" t="n">
        <v>538</v>
      </c>
      <c r="E691" s="107" t="n">
        <v>44</v>
      </c>
      <c r="F691" s="106" t="n">
        <v>7</v>
      </c>
      <c r="G691" s="118" t="n">
        <v>0.1591</v>
      </c>
      <c r="H691" s="116" t="n">
        <v>0.52</v>
      </c>
      <c r="I691" s="106" t="n">
        <v>2</v>
      </c>
      <c r="J691" s="117" t="n">
        <v>0.2857</v>
      </c>
      <c r="K691" s="108" t="n">
        <v>3.61</v>
      </c>
      <c r="L691" s="108" t="n">
        <v>119.94</v>
      </c>
      <c r="M691" s="117" t="n">
        <v>0.03</v>
      </c>
      <c r="N691" s="106"/>
      <c r="O691" s="106" t="s">
        <v>4285</v>
      </c>
    </row>
    <row r="692" customFormat="false" ht="15" hidden="false" customHeight="false" outlineLevel="0" collapsed="false">
      <c r="A692" s="106" t="s">
        <v>4553</v>
      </c>
      <c r="B692" s="106" t="s">
        <v>4284</v>
      </c>
      <c r="C692" s="106"/>
      <c r="D692" s="106"/>
      <c r="E692" s="107" t="n">
        <v>120</v>
      </c>
      <c r="F692" s="106" t="n">
        <v>7</v>
      </c>
      <c r="G692" s="118" t="n">
        <v>0.0583</v>
      </c>
      <c r="H692" s="116" t="n">
        <v>0.76</v>
      </c>
      <c r="I692" s="106" t="n">
        <v>2</v>
      </c>
      <c r="J692" s="117" t="n">
        <v>0.2857</v>
      </c>
      <c r="K692" s="108" t="n">
        <v>5.32</v>
      </c>
      <c r="L692" s="108" t="n">
        <v>139.23</v>
      </c>
      <c r="M692" s="117" t="n">
        <v>0.038</v>
      </c>
      <c r="N692" s="106"/>
      <c r="O692" s="106" t="s">
        <v>4285</v>
      </c>
    </row>
    <row r="693" customFormat="false" ht="15" hidden="false" customHeight="false" outlineLevel="0" collapsed="false">
      <c r="A693" s="106" t="s">
        <v>4554</v>
      </c>
      <c r="B693" s="106" t="s">
        <v>4297</v>
      </c>
      <c r="C693" s="106"/>
      <c r="D693" s="106" t="n">
        <v>37</v>
      </c>
      <c r="E693" s="107" t="n">
        <v>23</v>
      </c>
      <c r="F693" s="106" t="n">
        <v>6</v>
      </c>
      <c r="G693" s="118" t="n">
        <v>0.2609</v>
      </c>
      <c r="H693" s="116" t="n">
        <v>4.76</v>
      </c>
      <c r="I693" s="106" t="n">
        <v>0</v>
      </c>
      <c r="J693" s="117" t="n">
        <v>0</v>
      </c>
      <c r="K693" s="108" t="n">
        <v>28.55</v>
      </c>
      <c r="L693" s="108" t="n">
        <v>0</v>
      </c>
      <c r="M693" s="117"/>
      <c r="N693" s="106"/>
      <c r="O693" s="106" t="s">
        <v>4537</v>
      </c>
    </row>
    <row r="694" customFormat="false" ht="15" hidden="false" customHeight="false" outlineLevel="0" collapsed="false">
      <c r="A694" s="106" t="s">
        <v>4555</v>
      </c>
      <c r="B694" s="106" t="s">
        <v>4284</v>
      </c>
      <c r="C694" s="106"/>
      <c r="D694" s="106"/>
      <c r="E694" s="107" t="n">
        <v>49</v>
      </c>
      <c r="F694" s="106" t="n">
        <v>6</v>
      </c>
      <c r="G694" s="118" t="n">
        <v>0.1224</v>
      </c>
      <c r="H694" s="116" t="n">
        <v>0.9</v>
      </c>
      <c r="I694" s="106" t="n">
        <v>2</v>
      </c>
      <c r="J694" s="117" t="n">
        <v>0.3333</v>
      </c>
      <c r="K694" s="108" t="n">
        <v>5.38</v>
      </c>
      <c r="L694" s="108" t="n">
        <v>129.23</v>
      </c>
      <c r="M694" s="117" t="n">
        <v>0.042</v>
      </c>
      <c r="N694" s="106"/>
      <c r="O694" s="106" t="s">
        <v>4285</v>
      </c>
    </row>
    <row r="695" customFormat="false" ht="15" hidden="false" customHeight="false" outlineLevel="0" collapsed="false">
      <c r="A695" s="106" t="s">
        <v>4556</v>
      </c>
      <c r="B695" s="106" t="s">
        <v>4284</v>
      </c>
      <c r="C695" s="106"/>
      <c r="D695" s="106"/>
      <c r="E695" s="107" t="n">
        <v>58</v>
      </c>
      <c r="F695" s="106" t="n">
        <v>6</v>
      </c>
      <c r="G695" s="118" t="n">
        <v>0.1034</v>
      </c>
      <c r="H695" s="116" t="n">
        <v>0.9</v>
      </c>
      <c r="I695" s="106" t="n">
        <v>2</v>
      </c>
      <c r="J695" s="117" t="n">
        <v>0.3333</v>
      </c>
      <c r="K695" s="108" t="n">
        <v>5.4</v>
      </c>
      <c r="L695" s="108" t="n">
        <v>149.98</v>
      </c>
      <c r="M695" s="117" t="n">
        <v>0.036</v>
      </c>
      <c r="N695" s="106"/>
      <c r="O695" s="106" t="s">
        <v>4285</v>
      </c>
    </row>
    <row r="696" customFormat="false" ht="15" hidden="false" customHeight="false" outlineLevel="0" collapsed="false">
      <c r="A696" s="106" t="s">
        <v>4557</v>
      </c>
      <c r="B696" s="106" t="s">
        <v>4284</v>
      </c>
      <c r="C696" s="106"/>
      <c r="D696" s="106"/>
      <c r="E696" s="107" t="n">
        <v>133</v>
      </c>
      <c r="F696" s="106" t="n">
        <v>6</v>
      </c>
      <c r="G696" s="118" t="n">
        <v>0.0451</v>
      </c>
      <c r="H696" s="116" t="n">
        <v>0.68</v>
      </c>
      <c r="I696" s="106" t="n">
        <v>3</v>
      </c>
      <c r="J696" s="117" t="n">
        <v>0.5</v>
      </c>
      <c r="K696" s="108" t="n">
        <v>4.05</v>
      </c>
      <c r="L696" s="108" t="n">
        <v>215.84</v>
      </c>
      <c r="M696" s="117" t="n">
        <v>0.019</v>
      </c>
      <c r="N696" s="106"/>
      <c r="O696" s="106" t="s">
        <v>4285</v>
      </c>
    </row>
    <row r="697" customFormat="false" ht="15" hidden="false" customHeight="false" outlineLevel="0" collapsed="false">
      <c r="A697" s="106" t="s">
        <v>4558</v>
      </c>
      <c r="B697" s="106" t="s">
        <v>4284</v>
      </c>
      <c r="C697" s="106"/>
      <c r="D697" s="106"/>
      <c r="E697" s="107" t="n">
        <v>168</v>
      </c>
      <c r="F697" s="106" t="n">
        <v>6</v>
      </c>
      <c r="G697" s="118" t="n">
        <v>0.0357</v>
      </c>
      <c r="H697" s="116" t="n">
        <v>0.85</v>
      </c>
      <c r="I697" s="106" t="n">
        <v>5</v>
      </c>
      <c r="J697" s="117" t="n">
        <v>0.8333</v>
      </c>
      <c r="K697" s="108" t="n">
        <v>5.09</v>
      </c>
      <c r="L697" s="108" t="n">
        <v>137.97</v>
      </c>
      <c r="M697" s="117" t="n">
        <v>0.037</v>
      </c>
      <c r="N697" s="106"/>
      <c r="O697" s="106" t="s">
        <v>4285</v>
      </c>
    </row>
    <row r="698" customFormat="false" ht="15" hidden="false" customHeight="false" outlineLevel="0" collapsed="false">
      <c r="A698" s="106" t="s">
        <v>4559</v>
      </c>
      <c r="B698" s="106" t="s">
        <v>4284</v>
      </c>
      <c r="C698" s="106"/>
      <c r="D698" s="106"/>
      <c r="E698" s="107" t="n">
        <v>21</v>
      </c>
      <c r="F698" s="106" t="n">
        <v>5</v>
      </c>
      <c r="G698" s="118" t="n">
        <v>0.2381</v>
      </c>
      <c r="H698" s="116" t="n">
        <v>0.74</v>
      </c>
      <c r="I698" s="106" t="n">
        <v>2</v>
      </c>
      <c r="J698" s="117" t="n">
        <v>0.4</v>
      </c>
      <c r="K698" s="108" t="n">
        <v>3.71</v>
      </c>
      <c r="L698" s="108" t="n">
        <v>154.98</v>
      </c>
      <c r="M698" s="117" t="n">
        <v>0.024</v>
      </c>
      <c r="N698" s="106"/>
      <c r="O698" s="106" t="s">
        <v>4285</v>
      </c>
    </row>
    <row r="699" customFormat="false" ht="15" hidden="false" customHeight="false" outlineLevel="0" collapsed="false">
      <c r="A699" s="106" t="s">
        <v>4560</v>
      </c>
      <c r="B699" s="106" t="s">
        <v>4284</v>
      </c>
      <c r="C699" s="106"/>
      <c r="D699" s="106"/>
      <c r="E699" s="107" t="n">
        <v>64</v>
      </c>
      <c r="F699" s="106" t="n">
        <v>4</v>
      </c>
      <c r="G699" s="118" t="n">
        <v>0.0625</v>
      </c>
      <c r="H699" s="116" t="n">
        <v>0.9</v>
      </c>
      <c r="I699" s="106" t="n">
        <v>3</v>
      </c>
      <c r="J699" s="117" t="n">
        <v>0.75</v>
      </c>
      <c r="K699" s="108" t="n">
        <v>3.6</v>
      </c>
      <c r="L699" s="108" t="n">
        <v>163.93</v>
      </c>
      <c r="M699" s="117" t="n">
        <v>0.022</v>
      </c>
      <c r="N699" s="106"/>
      <c r="O699" s="106" t="s">
        <v>4285</v>
      </c>
    </row>
    <row r="700" customFormat="false" ht="15" hidden="false" customHeight="false" outlineLevel="0" collapsed="false">
      <c r="A700" s="106" t="s">
        <v>4561</v>
      </c>
      <c r="B700" s="106" t="s">
        <v>4284</v>
      </c>
      <c r="C700" s="106"/>
      <c r="D700" s="106"/>
      <c r="E700" s="107" t="n">
        <v>39</v>
      </c>
      <c r="F700" s="106" t="n">
        <v>4</v>
      </c>
      <c r="G700" s="118" t="n">
        <v>0.1026</v>
      </c>
      <c r="H700" s="116" t="n">
        <v>0.79</v>
      </c>
      <c r="I700" s="106" t="n">
        <v>3</v>
      </c>
      <c r="J700" s="117" t="n">
        <v>0.75</v>
      </c>
      <c r="K700" s="108" t="n">
        <v>3.15</v>
      </c>
      <c r="L700" s="108" t="n">
        <v>236.71</v>
      </c>
      <c r="M700" s="117" t="n">
        <v>0.013</v>
      </c>
      <c r="N700" s="106"/>
      <c r="O700" s="106" t="s">
        <v>4285</v>
      </c>
    </row>
    <row r="701" customFormat="false" ht="15" hidden="false" customHeight="false" outlineLevel="0" collapsed="false">
      <c r="A701" s="106" t="s">
        <v>4562</v>
      </c>
      <c r="B701" s="106" t="s">
        <v>4284</v>
      </c>
      <c r="C701" s="106"/>
      <c r="D701" s="106"/>
      <c r="E701" s="107" t="n">
        <v>21</v>
      </c>
      <c r="F701" s="106" t="n">
        <v>3</v>
      </c>
      <c r="G701" s="118" t="n">
        <v>0.1429</v>
      </c>
      <c r="H701" s="116" t="n">
        <v>0.9</v>
      </c>
      <c r="I701" s="106" t="n">
        <v>1</v>
      </c>
      <c r="J701" s="117" t="n">
        <v>0.3333</v>
      </c>
      <c r="K701" s="108" t="n">
        <v>2.7</v>
      </c>
      <c r="L701" s="108" t="n">
        <v>143.98</v>
      </c>
      <c r="M701" s="117" t="n">
        <v>0.019</v>
      </c>
      <c r="N701" s="106"/>
      <c r="O701" s="106" t="s">
        <v>4285</v>
      </c>
    </row>
    <row r="702" customFormat="false" ht="15" hidden="false" customHeight="false" outlineLevel="0" collapsed="false">
      <c r="A702" s="106" t="s">
        <v>4563</v>
      </c>
      <c r="B702" s="106" t="s">
        <v>4284</v>
      </c>
      <c r="C702" s="106"/>
      <c r="D702" s="106"/>
      <c r="E702" s="107" t="n">
        <v>35</v>
      </c>
      <c r="F702" s="106" t="n">
        <v>3</v>
      </c>
      <c r="G702" s="118" t="n">
        <v>0.0857</v>
      </c>
      <c r="H702" s="116" t="n">
        <v>0.76</v>
      </c>
      <c r="I702" s="106" t="n">
        <v>2</v>
      </c>
      <c r="J702" s="117" t="n">
        <v>0.6667</v>
      </c>
      <c r="K702" s="108" t="n">
        <v>2.28</v>
      </c>
      <c r="L702" s="108" t="n">
        <v>148.42</v>
      </c>
      <c r="M702" s="117" t="n">
        <v>0.015</v>
      </c>
      <c r="N702" s="106"/>
      <c r="O702" s="106" t="s">
        <v>4285</v>
      </c>
    </row>
    <row r="703" customFormat="false" ht="15" hidden="false" customHeight="false" outlineLevel="0" collapsed="false">
      <c r="A703" s="106" t="s">
        <v>4564</v>
      </c>
      <c r="B703" s="106" t="s">
        <v>4284</v>
      </c>
      <c r="C703" s="106"/>
      <c r="D703" s="106"/>
      <c r="E703" s="107" t="n">
        <v>38</v>
      </c>
      <c r="F703" s="106" t="n">
        <v>3</v>
      </c>
      <c r="G703" s="118" t="n">
        <v>0.0789</v>
      </c>
      <c r="H703" s="116" t="n">
        <v>0.75</v>
      </c>
      <c r="I703" s="106" t="n">
        <v>2</v>
      </c>
      <c r="J703" s="117" t="n">
        <v>0.6667</v>
      </c>
      <c r="K703" s="108" t="n">
        <v>2.25</v>
      </c>
      <c r="L703" s="108" t="n">
        <v>155.98</v>
      </c>
      <c r="M703" s="117" t="n">
        <v>0.014</v>
      </c>
      <c r="N703" s="106"/>
      <c r="O703" s="106" t="s">
        <v>4285</v>
      </c>
    </row>
    <row r="704" customFormat="false" ht="15" hidden="false" customHeight="false" outlineLevel="0" collapsed="false">
      <c r="A704" s="106" t="s">
        <v>4565</v>
      </c>
      <c r="B704" s="106" t="s">
        <v>4284</v>
      </c>
      <c r="C704" s="106"/>
      <c r="D704" s="106"/>
      <c r="E704" s="107" t="n">
        <v>22</v>
      </c>
      <c r="F704" s="106" t="n">
        <v>3</v>
      </c>
      <c r="G704" s="118" t="n">
        <v>0.1364</v>
      </c>
      <c r="H704" s="116" t="n">
        <v>0.59</v>
      </c>
      <c r="I704" s="106" t="n">
        <v>3</v>
      </c>
      <c r="J704" s="117" t="n">
        <v>1</v>
      </c>
      <c r="K704" s="108" t="n">
        <v>1.77</v>
      </c>
      <c r="L704" s="108" t="n">
        <v>115.85</v>
      </c>
      <c r="M704" s="117" t="n">
        <v>0.015</v>
      </c>
      <c r="N704" s="106"/>
      <c r="O704" s="106" t="s">
        <v>4285</v>
      </c>
    </row>
    <row r="705" customFormat="false" ht="15" hidden="false" customHeight="false" outlineLevel="0" collapsed="false">
      <c r="A705" s="106" t="s">
        <v>4566</v>
      </c>
      <c r="B705" s="106" t="s">
        <v>4284</v>
      </c>
      <c r="C705" s="106"/>
      <c r="D705" s="106"/>
      <c r="E705" s="107" t="n">
        <v>28</v>
      </c>
      <c r="F705" s="106" t="n">
        <v>2</v>
      </c>
      <c r="G705" s="118" t="n">
        <v>0.0714</v>
      </c>
      <c r="H705" s="116" t="n">
        <v>0.9</v>
      </c>
      <c r="I705" s="106" t="n">
        <v>1</v>
      </c>
      <c r="J705" s="117" t="n">
        <v>0.5</v>
      </c>
      <c r="K705" s="108" t="n">
        <v>1.8</v>
      </c>
      <c r="L705" s="108" t="n">
        <v>159.98</v>
      </c>
      <c r="M705" s="117" t="n">
        <v>0.011</v>
      </c>
      <c r="N705" s="106"/>
      <c r="O705" s="106" t="s">
        <v>4285</v>
      </c>
    </row>
    <row r="706" customFormat="false" ht="15" hidden="false" customHeight="false" outlineLevel="0" collapsed="false">
      <c r="A706" s="106" t="s">
        <v>4567</v>
      </c>
      <c r="B706" s="106" t="s">
        <v>4297</v>
      </c>
      <c r="C706" s="106"/>
      <c r="D706" s="106"/>
      <c r="E706" s="107" t="n">
        <v>2</v>
      </c>
      <c r="F706" s="106" t="n">
        <v>2</v>
      </c>
      <c r="G706" s="118" t="n">
        <v>1</v>
      </c>
      <c r="H706" s="116" t="n">
        <v>0.52</v>
      </c>
      <c r="I706" s="106" t="n">
        <v>4</v>
      </c>
      <c r="J706" s="117" t="n">
        <v>2</v>
      </c>
      <c r="K706" s="108" t="n">
        <v>1.04</v>
      </c>
      <c r="L706" s="108" t="n">
        <v>151.8</v>
      </c>
      <c r="M706" s="117" t="n">
        <v>0.007</v>
      </c>
      <c r="N706" s="106"/>
      <c r="O706" s="106" t="s">
        <v>4285</v>
      </c>
    </row>
    <row r="707" customFormat="false" ht="15" hidden="false" customHeight="false" outlineLevel="0" collapsed="false">
      <c r="A707" s="106" t="s">
        <v>4568</v>
      </c>
      <c r="B707" s="106" t="s">
        <v>4309</v>
      </c>
      <c r="C707" s="106"/>
      <c r="D707" s="106"/>
      <c r="E707" s="107" t="n">
        <v>1</v>
      </c>
      <c r="F707" s="106" t="n">
        <v>1</v>
      </c>
      <c r="G707" s="118" t="n">
        <v>1</v>
      </c>
      <c r="H707" s="116" t="n">
        <v>0.59</v>
      </c>
      <c r="I707" s="106" t="n">
        <v>3</v>
      </c>
      <c r="J707" s="117" t="n">
        <v>3</v>
      </c>
      <c r="K707" s="108" t="n">
        <v>0.59</v>
      </c>
      <c r="L707" s="108" t="n">
        <v>124.85</v>
      </c>
      <c r="M707" s="117" t="n">
        <v>0.005</v>
      </c>
      <c r="N707" s="106"/>
      <c r="O707" s="106" t="s">
        <v>4285</v>
      </c>
    </row>
    <row r="708" customFormat="false" ht="15" hidden="false" customHeight="false" outlineLevel="0" collapsed="false">
      <c r="A708" s="106" t="s">
        <v>4569</v>
      </c>
      <c r="B708" s="106" t="s">
        <v>4297</v>
      </c>
      <c r="C708" s="106"/>
      <c r="D708" s="106"/>
      <c r="E708" s="107" t="n">
        <v>7</v>
      </c>
      <c r="F708" s="106" t="n">
        <v>1</v>
      </c>
      <c r="G708" s="118" t="n">
        <v>0.1429</v>
      </c>
      <c r="H708" s="116" t="n">
        <v>0.45</v>
      </c>
      <c r="I708" s="106" t="n">
        <v>2</v>
      </c>
      <c r="J708" s="117" t="n">
        <v>2</v>
      </c>
      <c r="K708" s="108" t="n">
        <v>0.45</v>
      </c>
      <c r="L708" s="108" t="n">
        <v>169.98</v>
      </c>
      <c r="M708" s="117" t="n">
        <v>0.003</v>
      </c>
      <c r="N708" s="106"/>
      <c r="O708" s="106" t="s">
        <v>4285</v>
      </c>
    </row>
    <row r="709" customFormat="false" ht="15" hidden="false" customHeight="false" outlineLevel="0" collapsed="false">
      <c r="A709" s="106" t="s">
        <v>4570</v>
      </c>
      <c r="B709" s="106" t="s">
        <v>4284</v>
      </c>
      <c r="C709" s="106"/>
      <c r="D709" s="106"/>
      <c r="E709" s="107" t="n">
        <v>2</v>
      </c>
      <c r="F709" s="106" t="n">
        <v>1</v>
      </c>
      <c r="G709" s="118" t="n">
        <v>0.5</v>
      </c>
      <c r="H709" s="116" t="n">
        <v>0.45</v>
      </c>
      <c r="I709" s="106" t="n">
        <v>4</v>
      </c>
      <c r="J709" s="117" t="n">
        <v>4</v>
      </c>
      <c r="K709" s="108" t="n">
        <v>0.45</v>
      </c>
      <c r="L709" s="108" t="n">
        <v>155.8</v>
      </c>
      <c r="M709" s="117" t="n">
        <v>0.003</v>
      </c>
      <c r="N709" s="106"/>
      <c r="O709" s="106" t="s">
        <v>4285</v>
      </c>
    </row>
  </sheetData>
  <mergeCells count="8">
    <mergeCell ref="A5:N5"/>
    <mergeCell ref="A6:N6"/>
    <mergeCell ref="A7:N7"/>
    <mergeCell ref="A8:N8"/>
    <mergeCell ref="A9:N9"/>
    <mergeCell ref="A10:N10"/>
    <mergeCell ref="A11:N11"/>
    <mergeCell ref="A12: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19" min="5" style="0" width="13"/>
  </cols>
  <sheetData>
    <row r="1" customFormat="false" ht="17.35" hidden="false" customHeight="false" outlineLevel="0" collapsed="false">
      <c r="A1" s="1" t="s">
        <v>4571</v>
      </c>
    </row>
    <row r="2" customFormat="false" ht="15" hidden="false" customHeight="false" outlineLevel="0" collapsed="false">
      <c r="A2" s="2" t="s">
        <v>4572</v>
      </c>
    </row>
    <row r="4" customFormat="false" ht="15" hidden="false" customHeight="false" outlineLevel="0" collapsed="false">
      <c r="A4" s="82" t="s">
        <v>4573</v>
      </c>
    </row>
    <row r="5" customFormat="false" ht="25.5" hidden="false" customHeight="true" outlineLevel="0" collapsed="false">
      <c r="A5" s="88" t="s">
        <v>4574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</row>
    <row r="6" customFormat="false" ht="25.5" hidden="false" customHeight="true" outlineLevel="0" collapsed="false">
      <c r="A6" s="88" t="s">
        <v>4575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customFormat="false" ht="25.5" hidden="false" customHeight="true" outlineLevel="0" collapsed="false">
      <c r="A7" s="88" t="s">
        <v>4576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customFormat="false" ht="25.5" hidden="false" customHeight="true" outlineLevel="0" collapsed="false">
      <c r="A8" s="88" t="s">
        <v>4577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</row>
    <row r="9" customFormat="false" ht="25.5" hidden="false" customHeight="true" outlineLevel="0" collapsed="false">
      <c r="A9" s="88" t="s">
        <v>4578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</row>
    <row r="10" customFormat="false" ht="25.5" hidden="false" customHeight="true" outlineLevel="0" collapsed="false">
      <c r="A10" s="88" t="s">
        <v>4579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</row>
    <row r="11" customFormat="false" ht="25.5" hidden="false" customHeight="true" outlineLevel="0" collapsed="false">
      <c r="A11" s="88" t="s">
        <v>4580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</row>
    <row r="12" customFormat="false" ht="25.5" hidden="false" customHeight="true" outlineLevel="0" collapsed="false">
      <c r="A12" s="88" t="s">
        <v>4581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</row>
    <row r="13" customFormat="false" ht="25.5" hidden="false" customHeight="true" outlineLevel="0" collapsed="false">
      <c r="A13" s="88" t="s">
        <v>4582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</row>
    <row r="15" customFormat="false" ht="15" hidden="false" customHeight="false" outlineLevel="0" collapsed="false">
      <c r="A15" s="82" t="s">
        <v>4583</v>
      </c>
    </row>
    <row r="16" customFormat="false" ht="15" hidden="false" customHeight="false" outlineLevel="0" collapsed="false">
      <c r="A16" s="3" t="s">
        <v>3261</v>
      </c>
      <c r="B16" s="111" t="n">
        <v>799721.58</v>
      </c>
    </row>
    <row r="17" customFormat="false" ht="15" hidden="false" customHeight="false" outlineLevel="0" collapsed="false">
      <c r="A17" s="3" t="s">
        <v>3262</v>
      </c>
      <c r="B17" s="112" t="n">
        <v>12161</v>
      </c>
    </row>
    <row r="18" customFormat="false" ht="15" hidden="false" customHeight="false" outlineLevel="0" collapsed="false">
      <c r="A18" s="3" t="s">
        <v>4584</v>
      </c>
      <c r="B18" s="111" t="n">
        <v>76713.93</v>
      </c>
    </row>
    <row r="19" customFormat="false" ht="15" hidden="false" customHeight="false" outlineLevel="0" collapsed="false">
      <c r="A19" s="3" t="s">
        <v>3265</v>
      </c>
      <c r="B19" s="113" t="n">
        <v>0.0959257970755272</v>
      </c>
    </row>
    <row r="20" customFormat="false" ht="15" hidden="false" customHeight="false" outlineLevel="0" collapsed="false">
      <c r="A20" s="3" t="s">
        <v>3266</v>
      </c>
      <c r="B20" s="111" t="n">
        <v>135672.4</v>
      </c>
    </row>
    <row r="21" customFormat="false" ht="15" hidden="false" customHeight="false" outlineLevel="0" collapsed="false">
      <c r="A21" s="3" t="s">
        <v>4585</v>
      </c>
      <c r="B21" s="113" t="n">
        <v>0.169649542281953</v>
      </c>
    </row>
    <row r="22" customFormat="false" ht="15" hidden="false" customHeight="false" outlineLevel="0" collapsed="false">
      <c r="A22" s="3" t="s">
        <v>3267</v>
      </c>
      <c r="B22" s="114" t="n">
        <v>65.7611693117342</v>
      </c>
    </row>
    <row r="23" customFormat="false" ht="15" hidden="false" customHeight="false" outlineLevel="0" collapsed="false">
      <c r="A23" s="3" t="s">
        <v>3268</v>
      </c>
      <c r="B23" s="115" t="s">
        <v>1791</v>
      </c>
    </row>
    <row r="24" customFormat="false" ht="15" hidden="false" customHeight="false" outlineLevel="0" collapsed="false">
      <c r="A24" s="3" t="s">
        <v>4586</v>
      </c>
      <c r="B24" s="115" t="s">
        <v>4587</v>
      </c>
    </row>
    <row r="26" customFormat="false" ht="15" hidden="false" customHeight="false" outlineLevel="0" collapsed="false">
      <c r="A26" s="82" t="s">
        <v>3270</v>
      </c>
    </row>
    <row r="27" customFormat="false" ht="15" hidden="false" customHeight="false" outlineLevel="0" collapsed="false">
      <c r="A27" s="105" t="s">
        <v>4588</v>
      </c>
    </row>
    <row r="28" customFormat="false" ht="22.35" hidden="false" customHeight="false" outlineLevel="0" collapsed="false">
      <c r="A28" s="90" t="s">
        <v>3272</v>
      </c>
      <c r="B28" s="90" t="s">
        <v>3601</v>
      </c>
      <c r="C28" s="90" t="s">
        <v>3283</v>
      </c>
      <c r="D28" s="90" t="s">
        <v>3284</v>
      </c>
      <c r="E28" s="90" t="s">
        <v>3286</v>
      </c>
      <c r="F28" s="90" t="s">
        <v>3287</v>
      </c>
      <c r="G28" s="90" t="s">
        <v>3285</v>
      </c>
      <c r="H28" s="90" t="s">
        <v>3606</v>
      </c>
      <c r="I28" s="90" t="s">
        <v>3316</v>
      </c>
      <c r="J28" s="90" t="s">
        <v>3292</v>
      </c>
      <c r="K28" s="90" t="s">
        <v>4589</v>
      </c>
      <c r="L28" s="90" t="s">
        <v>4590</v>
      </c>
      <c r="M28" s="90" t="s">
        <v>3273</v>
      </c>
      <c r="N28" s="90" t="s">
        <v>3314</v>
      </c>
      <c r="O28" s="90" t="s">
        <v>3278</v>
      </c>
      <c r="P28" s="90" t="s">
        <v>3320</v>
      </c>
      <c r="Q28" s="90" t="s">
        <v>3281</v>
      </c>
      <c r="R28" s="90" t="s">
        <v>3279</v>
      </c>
      <c r="S28" s="90" t="s">
        <v>3280</v>
      </c>
      <c r="T28" s="90" t="s">
        <v>3276</v>
      </c>
    </row>
    <row r="29" customFormat="false" ht="15" hidden="false" customHeight="false" outlineLevel="0" collapsed="false">
      <c r="A29" s="106" t="s">
        <v>1776</v>
      </c>
      <c r="B29" s="108" t="n">
        <v>1919.68</v>
      </c>
      <c r="C29" s="106" t="n">
        <v>32</v>
      </c>
      <c r="D29" s="106" t="n">
        <v>32</v>
      </c>
      <c r="E29" s="106" t="n">
        <v>99</v>
      </c>
      <c r="F29" s="106" t="n">
        <v>32.32</v>
      </c>
      <c r="G29" s="116" t="n">
        <v>59.99</v>
      </c>
      <c r="H29" s="108" t="n">
        <v>0</v>
      </c>
      <c r="I29" s="106" t="n">
        <v>0</v>
      </c>
      <c r="J29" s="108" t="n">
        <v>-982.87</v>
      </c>
      <c r="K29" s="106" t="n">
        <v>-51.2</v>
      </c>
      <c r="L29" s="106" t="n">
        <v>0</v>
      </c>
      <c r="M29" s="108"/>
      <c r="N29" s="108"/>
      <c r="O29" s="106"/>
      <c r="P29" s="106"/>
      <c r="Q29" s="106"/>
      <c r="R29" s="116"/>
      <c r="S29" s="106"/>
      <c r="T29" s="106"/>
    </row>
    <row r="30" customFormat="false" ht="15" hidden="false" customHeight="false" outlineLevel="0" collapsed="false">
      <c r="A30" s="106" t="s">
        <v>1779</v>
      </c>
      <c r="B30" s="108" t="n">
        <v>2849.53</v>
      </c>
      <c r="C30" s="106" t="n">
        <v>47</v>
      </c>
      <c r="D30" s="106" t="n">
        <v>44</v>
      </c>
      <c r="E30" s="106" t="n">
        <v>3834</v>
      </c>
      <c r="F30" s="106" t="n">
        <v>1.23</v>
      </c>
      <c r="G30" s="116" t="n">
        <v>60.63</v>
      </c>
      <c r="H30" s="108" t="n">
        <v>0</v>
      </c>
      <c r="I30" s="106" t="n">
        <v>0</v>
      </c>
      <c r="J30" s="108" t="n">
        <v>329.56</v>
      </c>
      <c r="K30" s="106" t="n">
        <v>11.57</v>
      </c>
      <c r="L30" s="106" t="n">
        <v>0</v>
      </c>
      <c r="M30" s="108"/>
      <c r="N30" s="108"/>
      <c r="O30" s="106"/>
      <c r="P30" s="106"/>
      <c r="Q30" s="106"/>
      <c r="R30" s="116"/>
      <c r="S30" s="106"/>
      <c r="T30" s="106"/>
    </row>
    <row r="31" customFormat="false" ht="15" hidden="false" customHeight="false" outlineLevel="0" collapsed="false">
      <c r="A31" s="106" t="s">
        <v>3306</v>
      </c>
      <c r="B31" s="108" t="n">
        <v>4529.18</v>
      </c>
      <c r="C31" s="106" t="n">
        <v>82</v>
      </c>
      <c r="D31" s="106" t="n">
        <v>76</v>
      </c>
      <c r="E31" s="106" t="n">
        <v>2887</v>
      </c>
      <c r="F31" s="106" t="n">
        <v>2.84</v>
      </c>
      <c r="G31" s="116" t="n">
        <v>55.23</v>
      </c>
      <c r="H31" s="108" t="n">
        <v>0</v>
      </c>
      <c r="I31" s="106" t="n">
        <v>0</v>
      </c>
      <c r="J31" s="108" t="n">
        <v>908.06</v>
      </c>
      <c r="K31" s="106" t="n">
        <v>20.05</v>
      </c>
      <c r="L31" s="106" t="n">
        <v>4.9</v>
      </c>
      <c r="M31" s="108"/>
      <c r="N31" s="108"/>
      <c r="O31" s="106"/>
      <c r="P31" s="106"/>
      <c r="Q31" s="106"/>
      <c r="R31" s="116"/>
      <c r="S31" s="106"/>
      <c r="T31" s="106"/>
    </row>
    <row r="32" customFormat="false" ht="15" hidden="false" customHeight="false" outlineLevel="0" collapsed="false">
      <c r="A32" s="106" t="s">
        <v>3307</v>
      </c>
      <c r="B32" s="108" t="n">
        <v>72449.24</v>
      </c>
      <c r="C32" s="106" t="n">
        <v>1187</v>
      </c>
      <c r="D32" s="106" t="n">
        <v>1162</v>
      </c>
      <c r="E32" s="106" t="n">
        <v>19407</v>
      </c>
      <c r="F32" s="106" t="n">
        <v>6.12</v>
      </c>
      <c r="G32" s="116" t="n">
        <v>61.04</v>
      </c>
      <c r="H32" s="108" t="n">
        <v>17635.66</v>
      </c>
      <c r="I32" s="106" t="n">
        <v>24.3</v>
      </c>
      <c r="J32" s="108" t="n">
        <v>2031.89</v>
      </c>
      <c r="K32" s="106" t="n">
        <v>2.8</v>
      </c>
      <c r="L32" s="106" t="n">
        <v>2.8</v>
      </c>
      <c r="M32" s="108" t="n">
        <v>17636</v>
      </c>
      <c r="N32" s="108" t="n">
        <v>36174</v>
      </c>
      <c r="O32" s="106" t="n">
        <v>48.8</v>
      </c>
      <c r="P32" s="106" t="n">
        <v>3621</v>
      </c>
      <c r="Q32" s="106" t="n">
        <v>1.42</v>
      </c>
      <c r="R32" s="116" t="n">
        <v>4.87</v>
      </c>
      <c r="S32" s="106" t="n">
        <v>16.2</v>
      </c>
      <c r="T32" s="106" t="n">
        <v>587</v>
      </c>
    </row>
    <row r="33" customFormat="false" ht="15" hidden="false" customHeight="false" outlineLevel="0" collapsed="false">
      <c r="A33" s="106" t="s">
        <v>1721</v>
      </c>
      <c r="B33" s="108" t="n">
        <v>76508.15</v>
      </c>
      <c r="C33" s="106" t="n">
        <v>1186</v>
      </c>
      <c r="D33" s="106" t="n">
        <v>1167</v>
      </c>
      <c r="E33" s="106" t="n">
        <v>20061</v>
      </c>
      <c r="F33" s="106" t="n">
        <v>5.91</v>
      </c>
      <c r="G33" s="116" t="n">
        <v>64.51</v>
      </c>
      <c r="H33" s="108" t="n">
        <v>11480.77</v>
      </c>
      <c r="I33" s="106" t="n">
        <v>15</v>
      </c>
      <c r="J33" s="108" t="n">
        <v>8601.15</v>
      </c>
      <c r="K33" s="106" t="n">
        <v>11.24</v>
      </c>
      <c r="L33" s="106" t="n">
        <v>5</v>
      </c>
      <c r="M33" s="108" t="n">
        <v>11481</v>
      </c>
      <c r="N33" s="108" t="n">
        <v>25610</v>
      </c>
      <c r="O33" s="106" t="n">
        <v>44.8</v>
      </c>
      <c r="P33" s="106" t="n">
        <v>2709</v>
      </c>
      <c r="Q33" s="106" t="n">
        <v>1.37</v>
      </c>
      <c r="R33" s="116" t="n">
        <v>4.24</v>
      </c>
      <c r="S33" s="106" t="n">
        <v>14.9</v>
      </c>
      <c r="T33" s="106" t="n">
        <v>403</v>
      </c>
    </row>
    <row r="34" customFormat="false" ht="15" hidden="false" customHeight="false" outlineLevel="0" collapsed="false">
      <c r="A34" s="106" t="s">
        <v>1709</v>
      </c>
      <c r="B34" s="108" t="n">
        <v>63859.59</v>
      </c>
      <c r="C34" s="106" t="n">
        <v>1003</v>
      </c>
      <c r="D34" s="106" t="n">
        <v>988</v>
      </c>
      <c r="E34" s="106" t="n">
        <v>15284</v>
      </c>
      <c r="F34" s="106" t="n">
        <v>6.56</v>
      </c>
      <c r="G34" s="116" t="n">
        <v>63.67</v>
      </c>
      <c r="H34" s="108" t="n">
        <v>6361.05</v>
      </c>
      <c r="I34" s="106" t="n">
        <v>10</v>
      </c>
      <c r="J34" s="108" t="n">
        <v>10539.7</v>
      </c>
      <c r="K34" s="106" t="n">
        <v>16.5</v>
      </c>
      <c r="L34" s="106" t="n">
        <v>4.9</v>
      </c>
      <c r="M34" s="108" t="n">
        <v>6361</v>
      </c>
      <c r="N34" s="108" t="n">
        <v>23684</v>
      </c>
      <c r="O34" s="106" t="n">
        <v>26.9</v>
      </c>
      <c r="P34" s="106" t="n">
        <v>2554</v>
      </c>
      <c r="Q34" s="106" t="n">
        <v>1</v>
      </c>
      <c r="R34" s="116" t="n">
        <v>2.49</v>
      </c>
      <c r="S34" s="106" t="n">
        <v>15.1</v>
      </c>
      <c r="T34" s="106" t="n">
        <v>386</v>
      </c>
    </row>
    <row r="35" customFormat="false" ht="15" hidden="false" customHeight="false" outlineLevel="0" collapsed="false">
      <c r="A35" s="106" t="s">
        <v>1718</v>
      </c>
      <c r="B35" s="108" t="n">
        <v>24375.16</v>
      </c>
      <c r="C35" s="106" t="n">
        <v>372</v>
      </c>
      <c r="D35" s="106" t="n">
        <v>358</v>
      </c>
      <c r="E35" s="106" t="n">
        <v>9518</v>
      </c>
      <c r="F35" s="106" t="n">
        <v>3.91</v>
      </c>
      <c r="G35" s="116" t="n">
        <v>65.52</v>
      </c>
      <c r="H35" s="108" t="n">
        <v>1634.34</v>
      </c>
      <c r="I35" s="106" t="n">
        <v>6.7</v>
      </c>
      <c r="J35" s="108" t="n">
        <v>4013</v>
      </c>
      <c r="K35" s="106" t="n">
        <v>16.46</v>
      </c>
      <c r="L35" s="106" t="n">
        <v>12.4</v>
      </c>
      <c r="M35" s="108" t="n">
        <v>1634</v>
      </c>
      <c r="N35" s="108" t="n">
        <v>5355</v>
      </c>
      <c r="O35" s="106" t="n">
        <v>30.5</v>
      </c>
      <c r="P35" s="106" t="n">
        <v>820</v>
      </c>
      <c r="Q35" s="106" t="n">
        <v>0.93</v>
      </c>
      <c r="R35" s="116" t="n">
        <v>1.99</v>
      </c>
      <c r="S35" s="106" t="n">
        <v>11.1</v>
      </c>
      <c r="T35" s="106" t="n">
        <v>91</v>
      </c>
    </row>
    <row r="36" customFormat="false" ht="15" hidden="false" customHeight="false" outlineLevel="0" collapsed="false">
      <c r="A36" s="106" t="s">
        <v>1713</v>
      </c>
      <c r="B36" s="108" t="n">
        <v>57344.39</v>
      </c>
      <c r="C36" s="106" t="n">
        <v>866</v>
      </c>
      <c r="D36" s="106" t="n">
        <v>855</v>
      </c>
      <c r="E36" s="106" t="n">
        <v>16412</v>
      </c>
      <c r="F36" s="106" t="n">
        <v>5.28</v>
      </c>
      <c r="G36" s="116" t="n">
        <v>66.22</v>
      </c>
      <c r="H36" s="108" t="n">
        <v>3290.88</v>
      </c>
      <c r="I36" s="106" t="n">
        <v>5.7</v>
      </c>
      <c r="J36" s="108" t="n">
        <v>12784.12</v>
      </c>
      <c r="K36" s="106" t="n">
        <v>22.29</v>
      </c>
      <c r="L36" s="106" t="n">
        <v>4.5</v>
      </c>
      <c r="M36" s="108" t="n">
        <v>3291</v>
      </c>
      <c r="N36" s="108" t="n">
        <v>13909</v>
      </c>
      <c r="O36" s="106" t="n">
        <v>23.7</v>
      </c>
      <c r="P36" s="106" t="n">
        <v>1435</v>
      </c>
      <c r="Q36" s="106" t="n">
        <v>1.2</v>
      </c>
      <c r="R36" s="116" t="n">
        <v>2.29</v>
      </c>
      <c r="S36" s="106" t="n">
        <v>15.4</v>
      </c>
      <c r="T36" s="106" t="n">
        <v>221</v>
      </c>
    </row>
    <row r="37" customFormat="false" ht="15" hidden="false" customHeight="false" outlineLevel="0" collapsed="false">
      <c r="A37" s="106" t="s">
        <v>1791</v>
      </c>
      <c r="B37" s="108" t="n">
        <v>122501.4</v>
      </c>
      <c r="C37" s="106" t="n">
        <v>1873</v>
      </c>
      <c r="D37" s="106" t="n">
        <v>1845</v>
      </c>
      <c r="E37" s="106" t="n">
        <v>59708</v>
      </c>
      <c r="F37" s="106" t="n">
        <v>3.14</v>
      </c>
      <c r="G37" s="116" t="n">
        <v>65.4</v>
      </c>
      <c r="H37" s="108" t="n">
        <v>5376.24</v>
      </c>
      <c r="I37" s="106" t="n">
        <v>4.4</v>
      </c>
      <c r="J37" s="108" t="n">
        <v>29172.14</v>
      </c>
      <c r="K37" s="106" t="n">
        <v>23.81</v>
      </c>
      <c r="L37" s="106" t="n">
        <v>3.3</v>
      </c>
      <c r="M37" s="108" t="n">
        <v>5382</v>
      </c>
      <c r="N37" s="108" t="n">
        <v>24656</v>
      </c>
      <c r="O37" s="106" t="n">
        <v>21.8</v>
      </c>
      <c r="P37" s="106" t="n">
        <v>2353</v>
      </c>
      <c r="Q37" s="106" t="n">
        <v>1.48</v>
      </c>
      <c r="R37" s="116" t="n">
        <v>2.29</v>
      </c>
      <c r="S37" s="106" t="n">
        <v>16.5</v>
      </c>
      <c r="T37" s="106" t="n">
        <v>389</v>
      </c>
    </row>
    <row r="38" customFormat="false" ht="15" hidden="false" customHeight="false" outlineLevel="0" collapsed="false">
      <c r="A38" s="106" t="s">
        <v>3308</v>
      </c>
      <c r="B38" s="108" t="n">
        <v>103299.26</v>
      </c>
      <c r="C38" s="106" t="n">
        <v>1586</v>
      </c>
      <c r="D38" s="106" t="n">
        <v>1568</v>
      </c>
      <c r="E38" s="106" t="n">
        <v>63352</v>
      </c>
      <c r="F38" s="106" t="n">
        <v>2.5</v>
      </c>
      <c r="G38" s="116" t="n">
        <v>65.13</v>
      </c>
      <c r="H38" s="108" t="n">
        <v>4159.69</v>
      </c>
      <c r="I38" s="106" t="n">
        <v>4</v>
      </c>
      <c r="J38" s="108" t="n">
        <v>21419.36</v>
      </c>
      <c r="K38" s="106" t="n">
        <v>20.74</v>
      </c>
      <c r="L38" s="106" t="n">
        <v>7.4</v>
      </c>
      <c r="M38" s="108" t="n">
        <v>4165</v>
      </c>
      <c r="N38" s="108" t="n">
        <v>15644</v>
      </c>
      <c r="O38" s="106" t="n">
        <v>26.6</v>
      </c>
      <c r="P38" s="106" t="n">
        <v>2094</v>
      </c>
      <c r="Q38" s="106" t="n">
        <v>1.32</v>
      </c>
      <c r="R38" s="116" t="n">
        <v>1.99</v>
      </c>
      <c r="S38" s="106" t="n">
        <v>12.2</v>
      </c>
      <c r="T38" s="106" t="n">
        <v>256</v>
      </c>
    </row>
    <row r="39" customFormat="false" ht="15" hidden="false" customHeight="false" outlineLevel="0" collapsed="false">
      <c r="A39" s="106" t="s">
        <v>1745</v>
      </c>
      <c r="B39" s="108" t="n">
        <v>57946.17</v>
      </c>
      <c r="C39" s="106" t="n">
        <v>888</v>
      </c>
      <c r="D39" s="106" t="n">
        <v>871</v>
      </c>
      <c r="E39" s="106" t="n">
        <v>22122</v>
      </c>
      <c r="F39" s="106" t="n">
        <v>4.01</v>
      </c>
      <c r="G39" s="116" t="n">
        <v>65.25</v>
      </c>
      <c r="H39" s="108" t="n">
        <v>4408.76</v>
      </c>
      <c r="I39" s="106" t="n">
        <v>7.6</v>
      </c>
      <c r="J39" s="108" t="n">
        <v>9986.32</v>
      </c>
      <c r="K39" s="106" t="n">
        <v>17.23</v>
      </c>
      <c r="L39" s="106" t="n">
        <v>7.3</v>
      </c>
      <c r="M39" s="108" t="n">
        <v>4411</v>
      </c>
      <c r="N39" s="108" t="n">
        <v>16069</v>
      </c>
      <c r="O39" s="106" t="n">
        <v>27.5</v>
      </c>
      <c r="P39" s="106" t="n">
        <v>2137</v>
      </c>
      <c r="Q39" s="106" t="n">
        <v>0.7</v>
      </c>
      <c r="R39" s="116" t="n">
        <v>2.06</v>
      </c>
      <c r="S39" s="106" t="n">
        <v>12.1</v>
      </c>
      <c r="T39" s="106" t="n">
        <v>259</v>
      </c>
    </row>
    <row r="40" customFormat="false" ht="15" hidden="false" customHeight="false" outlineLevel="0" collapsed="false">
      <c r="A40" s="106" t="s">
        <v>1773</v>
      </c>
      <c r="B40" s="108" t="n">
        <v>34284.34</v>
      </c>
      <c r="C40" s="106" t="n">
        <v>560</v>
      </c>
      <c r="D40" s="106" t="n">
        <v>548</v>
      </c>
      <c r="E40" s="106" t="n">
        <v>21322</v>
      </c>
      <c r="F40" s="106" t="n">
        <v>2.63</v>
      </c>
      <c r="G40" s="116" t="n">
        <v>61.22</v>
      </c>
      <c r="H40" s="108" t="n">
        <v>4912.76</v>
      </c>
      <c r="I40" s="106" t="n">
        <v>14.3</v>
      </c>
      <c r="J40" s="108" t="n">
        <v>3494.75</v>
      </c>
      <c r="K40" s="106" t="n">
        <v>10.19</v>
      </c>
      <c r="L40" s="106" t="n">
        <v>7.7</v>
      </c>
      <c r="M40" s="108" t="n">
        <v>4916</v>
      </c>
      <c r="N40" s="108" t="n">
        <v>13512</v>
      </c>
      <c r="O40" s="106" t="n">
        <v>36.4</v>
      </c>
      <c r="P40" s="106" t="n">
        <v>2383</v>
      </c>
      <c r="Q40" s="106" t="n">
        <v>1.03</v>
      </c>
      <c r="R40" s="116" t="n">
        <v>2.06</v>
      </c>
      <c r="S40" s="106" t="n">
        <v>9.9</v>
      </c>
      <c r="T40" s="106" t="n">
        <v>235</v>
      </c>
    </row>
    <row r="41" customFormat="false" ht="15" hidden="false" customHeight="false" outlineLevel="0" collapsed="false">
      <c r="A41" s="106" t="s">
        <v>1754</v>
      </c>
      <c r="B41" s="108" t="n">
        <v>29850.38</v>
      </c>
      <c r="C41" s="106" t="n">
        <v>481</v>
      </c>
      <c r="D41" s="106" t="n">
        <v>464</v>
      </c>
      <c r="E41" s="106" t="n">
        <v>11231</v>
      </c>
      <c r="F41" s="106" t="n">
        <v>4.28</v>
      </c>
      <c r="G41" s="116" t="n">
        <v>62.06</v>
      </c>
      <c r="H41" s="108" t="n">
        <v>2017.52</v>
      </c>
      <c r="I41" s="106" t="n">
        <v>6.8</v>
      </c>
      <c r="J41" s="108" t="n">
        <v>5560.19</v>
      </c>
      <c r="K41" s="106" t="n">
        <v>18.63</v>
      </c>
      <c r="L41" s="106" t="n">
        <v>4.8</v>
      </c>
      <c r="M41" s="108" t="n">
        <v>2025</v>
      </c>
      <c r="N41" s="108" t="n">
        <v>8791</v>
      </c>
      <c r="O41" s="106" t="n">
        <v>23</v>
      </c>
      <c r="P41" s="106" t="n">
        <v>1350</v>
      </c>
      <c r="Q41" s="106" t="n">
        <v>1.03</v>
      </c>
      <c r="R41" s="116" t="n">
        <v>1.5</v>
      </c>
      <c r="S41" s="106" t="n">
        <v>11.2</v>
      </c>
      <c r="T41" s="106" t="n">
        <v>151</v>
      </c>
    </row>
    <row r="42" customFormat="false" ht="15" hidden="false" customHeight="false" outlineLevel="0" collapsed="false">
      <c r="A42" s="106" t="s">
        <v>3309</v>
      </c>
      <c r="B42" s="108" t="n">
        <v>74434.59</v>
      </c>
      <c r="C42" s="106" t="n">
        <v>1051</v>
      </c>
      <c r="D42" s="106" t="n">
        <v>993</v>
      </c>
      <c r="E42" s="106" t="n">
        <v>21766</v>
      </c>
      <c r="F42" s="106" t="n">
        <v>4.83</v>
      </c>
      <c r="G42" s="116" t="n">
        <v>70.82</v>
      </c>
      <c r="H42" s="108" t="n">
        <v>6551.12</v>
      </c>
      <c r="I42" s="106" t="n">
        <v>8.8</v>
      </c>
      <c r="J42" s="108" t="n">
        <v>14490.35</v>
      </c>
      <c r="K42" s="106" t="n">
        <v>19.47</v>
      </c>
      <c r="L42" s="106" t="n">
        <v>4.4</v>
      </c>
      <c r="M42" s="108" t="n">
        <v>6578</v>
      </c>
      <c r="N42" s="108" t="n">
        <v>28302</v>
      </c>
      <c r="O42" s="106" t="n">
        <v>23.2</v>
      </c>
      <c r="P42" s="106" t="n">
        <v>3407</v>
      </c>
      <c r="Q42" s="106" t="n">
        <v>0.71</v>
      </c>
      <c r="R42" s="116" t="n">
        <v>1.93</v>
      </c>
      <c r="S42" s="106" t="n">
        <v>11.7</v>
      </c>
      <c r="T42" s="106" t="n">
        <v>397</v>
      </c>
    </row>
    <row r="43" customFormat="false" ht="15" hidden="false" customHeight="false" outlineLevel="0" collapsed="false">
      <c r="A43" s="106" t="s">
        <v>1763</v>
      </c>
      <c r="B43" s="108" t="n">
        <v>63301.82</v>
      </c>
      <c r="C43" s="106" t="n">
        <v>816</v>
      </c>
      <c r="D43" s="106" t="n">
        <v>768</v>
      </c>
      <c r="E43" s="106" t="n">
        <v>13671</v>
      </c>
      <c r="F43" s="106" t="n">
        <v>5.97</v>
      </c>
      <c r="G43" s="116" t="n">
        <v>77.58</v>
      </c>
      <c r="H43" s="108" t="n">
        <v>7403.09</v>
      </c>
      <c r="I43" s="106" t="n">
        <v>11.7</v>
      </c>
      <c r="J43" s="108" t="n">
        <v>11312.06</v>
      </c>
      <c r="K43" s="106" t="n">
        <v>17.87</v>
      </c>
      <c r="L43" s="106" t="n">
        <v>7.5</v>
      </c>
      <c r="M43" s="108" t="n">
        <v>7423</v>
      </c>
      <c r="N43" s="108" t="n">
        <v>26676</v>
      </c>
      <c r="O43" s="106" t="n">
        <v>27.8</v>
      </c>
      <c r="P43" s="106" t="n">
        <v>3656</v>
      </c>
      <c r="Q43" s="106" t="n">
        <v>0.72</v>
      </c>
      <c r="R43" s="116" t="n">
        <v>2.03</v>
      </c>
      <c r="S43" s="106" t="n">
        <v>9.4</v>
      </c>
      <c r="T43" s="106" t="n">
        <v>344</v>
      </c>
    </row>
    <row r="44" customFormat="false" ht="15" hidden="false" customHeight="false" outlineLevel="0" collapsed="false">
      <c r="A44" s="106" t="s">
        <v>4591</v>
      </c>
      <c r="B44" s="108" t="n">
        <v>10268.7</v>
      </c>
      <c r="C44" s="106" t="n">
        <v>131</v>
      </c>
      <c r="D44" s="106" t="n">
        <v>131</v>
      </c>
      <c r="E44" s="106" t="n">
        <v>2750</v>
      </c>
      <c r="F44" s="106" t="n">
        <v>4.76</v>
      </c>
      <c r="G44" s="116" t="n">
        <v>78.39</v>
      </c>
      <c r="H44" s="108" t="n">
        <v>1482.05</v>
      </c>
      <c r="I44" s="106" t="n">
        <v>14.4</v>
      </c>
      <c r="J44" s="108" t="n">
        <v>2012.62</v>
      </c>
      <c r="K44" s="106" t="n">
        <v>19.6</v>
      </c>
      <c r="L44" s="106" t="n">
        <v>5.3</v>
      </c>
      <c r="M44" s="108"/>
      <c r="N44" s="108"/>
      <c r="O44" s="106"/>
      <c r="P44" s="106"/>
      <c r="Q44" s="106"/>
      <c r="R44" s="116"/>
      <c r="S44" s="106"/>
      <c r="T44" s="106"/>
    </row>
    <row r="46" customFormat="false" ht="15" hidden="false" customHeight="false" outlineLevel="0" collapsed="false">
      <c r="A46" s="82" t="s">
        <v>4592</v>
      </c>
    </row>
    <row r="47" customFormat="false" ht="22.35" hidden="false" customHeight="false" outlineLevel="0" collapsed="false">
      <c r="A47" s="90" t="s">
        <v>4593</v>
      </c>
      <c r="B47" s="90" t="s">
        <v>3888</v>
      </c>
      <c r="C47" s="90" t="s">
        <v>3889</v>
      </c>
      <c r="D47" s="90" t="s">
        <v>3890</v>
      </c>
      <c r="E47" s="90" t="s">
        <v>3313</v>
      </c>
      <c r="F47" s="90" t="s">
        <v>3314</v>
      </c>
      <c r="G47" s="90" t="s">
        <v>4277</v>
      </c>
      <c r="H47" s="90" t="s">
        <v>3282</v>
      </c>
      <c r="I47" s="90" t="s">
        <v>4594</v>
      </c>
      <c r="J47" s="90" t="s">
        <v>4595</v>
      </c>
      <c r="K47" s="90" t="s">
        <v>3321</v>
      </c>
      <c r="L47" s="90" t="s">
        <v>3320</v>
      </c>
      <c r="M47" s="90" t="s">
        <v>4275</v>
      </c>
      <c r="N47" s="90" t="s">
        <v>3317</v>
      </c>
      <c r="O47" s="90" t="s">
        <v>4276</v>
      </c>
      <c r="P47" s="90" t="s">
        <v>3284</v>
      </c>
      <c r="Q47" s="90" t="s">
        <v>4596</v>
      </c>
      <c r="R47" s="90" t="s">
        <v>4597</v>
      </c>
      <c r="S47" s="90" t="s">
        <v>4598</v>
      </c>
      <c r="T47" s="90" t="s">
        <v>4599</v>
      </c>
      <c r="U47" s="90" t="s">
        <v>4600</v>
      </c>
    </row>
    <row r="48" customFormat="false" ht="15" hidden="false" customHeight="false" outlineLevel="0" collapsed="false">
      <c r="A48" s="106" t="s">
        <v>4601</v>
      </c>
      <c r="B48" s="106" t="s">
        <v>3964</v>
      </c>
      <c r="C48" s="106" t="s">
        <v>4098</v>
      </c>
      <c r="D48" s="106" t="n">
        <v>99</v>
      </c>
      <c r="E48" s="108" t="n">
        <v>17508.34</v>
      </c>
      <c r="F48" s="108" t="n">
        <v>67512.92</v>
      </c>
      <c r="G48" s="106" t="n">
        <v>25.9</v>
      </c>
      <c r="H48" s="108" t="n">
        <v>176215.69</v>
      </c>
      <c r="I48" s="106" t="n">
        <v>9.8</v>
      </c>
      <c r="J48" s="106" t="n">
        <v>38.3</v>
      </c>
      <c r="K48" s="106" t="n">
        <v>1288002</v>
      </c>
      <c r="L48" s="106" t="n">
        <v>9206</v>
      </c>
      <c r="M48" s="106" t="n">
        <v>0.71</v>
      </c>
      <c r="N48" s="106" t="n">
        <v>1.9</v>
      </c>
      <c r="O48" s="106" t="n">
        <v>10.2</v>
      </c>
      <c r="P48" s="106" t="n">
        <v>941</v>
      </c>
      <c r="Q48" s="106" t="n">
        <v>176.85</v>
      </c>
      <c r="R48" s="106" t="n">
        <v>681.95</v>
      </c>
      <c r="S48" s="106" t="n">
        <v>1779.96</v>
      </c>
      <c r="T48" s="106" t="n">
        <v>9.5</v>
      </c>
      <c r="U48" s="106" t="n">
        <v>6</v>
      </c>
    </row>
    <row r="49" customFormat="false" ht="15" hidden="false" customHeight="false" outlineLevel="0" collapsed="false">
      <c r="A49" s="106" t="s">
        <v>4602</v>
      </c>
      <c r="B49" s="106" t="s">
        <v>4587</v>
      </c>
      <c r="C49" s="106" t="s">
        <v>4603</v>
      </c>
      <c r="D49" s="106" t="n">
        <v>90</v>
      </c>
      <c r="E49" s="108" t="n">
        <v>35477.48</v>
      </c>
      <c r="F49" s="108" t="n">
        <v>85467.12</v>
      </c>
      <c r="G49" s="106" t="n">
        <v>41.5</v>
      </c>
      <c r="H49" s="108" t="n">
        <v>212437.04</v>
      </c>
      <c r="I49" s="106" t="n">
        <v>16.7</v>
      </c>
      <c r="J49" s="106" t="n">
        <v>40.2</v>
      </c>
      <c r="K49" s="106" t="n">
        <v>709168</v>
      </c>
      <c r="L49" s="106" t="n">
        <v>8884</v>
      </c>
      <c r="M49" s="106" t="n">
        <v>1.25</v>
      </c>
      <c r="N49" s="106" t="n">
        <v>3.99</v>
      </c>
      <c r="O49" s="106" t="n">
        <v>15.5</v>
      </c>
      <c r="P49" s="106" t="n">
        <v>1376</v>
      </c>
      <c r="Q49" s="106" t="n">
        <v>394.19</v>
      </c>
      <c r="R49" s="106" t="n">
        <v>949.63</v>
      </c>
      <c r="S49" s="106" t="n">
        <v>2360.41</v>
      </c>
      <c r="T49" s="106" t="n">
        <v>15.3</v>
      </c>
      <c r="U49" s="106" t="n">
        <v>0</v>
      </c>
    </row>
    <row r="50" customFormat="false" ht="15" hidden="false" customHeight="false" outlineLevel="0" collapsed="false">
      <c r="A50" s="106" t="s">
        <v>4604</v>
      </c>
      <c r="B50" s="106" t="s">
        <v>4605</v>
      </c>
      <c r="C50" s="106" t="s">
        <v>4606</v>
      </c>
      <c r="D50" s="106" t="n">
        <v>120</v>
      </c>
      <c r="E50" s="108" t="n">
        <v>17248.43</v>
      </c>
      <c r="F50" s="108" t="n">
        <v>70276.88</v>
      </c>
      <c r="G50" s="106" t="n">
        <v>24.5</v>
      </c>
      <c r="H50" s="108" t="n">
        <v>343273.9</v>
      </c>
      <c r="I50" s="106" t="n">
        <v>5</v>
      </c>
      <c r="J50" s="106" t="n">
        <v>20.5</v>
      </c>
      <c r="K50" s="106" t="n">
        <v>743291</v>
      </c>
      <c r="L50" s="106" t="n">
        <v>8019</v>
      </c>
      <c r="M50" s="106" t="n">
        <v>1.08</v>
      </c>
      <c r="N50" s="106" t="n">
        <v>2.15</v>
      </c>
      <c r="O50" s="106" t="n">
        <v>14</v>
      </c>
      <c r="P50" s="106" t="n">
        <v>1125</v>
      </c>
      <c r="Q50" s="106" t="n">
        <v>143.74</v>
      </c>
      <c r="R50" s="106" t="n">
        <v>585.64</v>
      </c>
      <c r="S50" s="106" t="n">
        <v>2860.62</v>
      </c>
      <c r="T50" s="106" t="n">
        <v>9.4</v>
      </c>
      <c r="U50" s="106" t="n">
        <v>0</v>
      </c>
    </row>
    <row r="51" customFormat="false" ht="15" hidden="false" customHeight="false" outlineLevel="0" collapsed="false">
      <c r="A51" s="106" t="s">
        <v>4607</v>
      </c>
      <c r="B51" s="106" t="s">
        <v>4088</v>
      </c>
      <c r="C51" s="106" t="s">
        <v>4098</v>
      </c>
      <c r="D51" s="106" t="n">
        <v>30</v>
      </c>
      <c r="E51" s="108" t="n">
        <v>6674.71</v>
      </c>
      <c r="F51" s="108" t="n">
        <v>22242.9</v>
      </c>
      <c r="G51" s="106" t="n">
        <v>30</v>
      </c>
      <c r="H51" s="108" t="n">
        <v>49893.52</v>
      </c>
      <c r="I51" s="106" t="n">
        <v>13</v>
      </c>
      <c r="J51" s="106" t="n">
        <v>44.6</v>
      </c>
      <c r="K51" s="106" t="n">
        <v>538987</v>
      </c>
      <c r="L51" s="106" t="n">
        <v>3391</v>
      </c>
      <c r="M51" s="106" t="n">
        <v>0.63</v>
      </c>
      <c r="N51" s="106" t="n">
        <v>1.97</v>
      </c>
      <c r="O51" s="106" t="n">
        <v>8.5</v>
      </c>
      <c r="P51" s="106" t="n">
        <v>289</v>
      </c>
      <c r="Q51" s="106" t="n">
        <v>222.49</v>
      </c>
      <c r="R51" s="106" t="n">
        <v>741.43</v>
      </c>
      <c r="S51" s="106" t="n">
        <v>1663.12</v>
      </c>
      <c r="T51" s="106" t="n">
        <v>9.6</v>
      </c>
      <c r="U51" s="106" t="n">
        <v>6</v>
      </c>
    </row>
    <row r="52" customFormat="false" ht="15" hidden="false" customHeight="false" outlineLevel="0" collapsed="false">
      <c r="A52" s="106" t="s">
        <v>4608</v>
      </c>
      <c r="B52" s="106" t="s">
        <v>4609</v>
      </c>
      <c r="C52" s="106" t="s">
        <v>4610</v>
      </c>
      <c r="D52" s="106" t="n">
        <v>30</v>
      </c>
      <c r="E52" s="108" t="n">
        <v>8189.7</v>
      </c>
      <c r="F52" s="108" t="n">
        <v>33299.04</v>
      </c>
      <c r="G52" s="106" t="n">
        <v>24.6</v>
      </c>
      <c r="H52" s="108" t="n">
        <v>80816.22</v>
      </c>
      <c r="I52" s="106" t="n">
        <v>10.1</v>
      </c>
      <c r="J52" s="106" t="n">
        <v>41.2</v>
      </c>
      <c r="K52" s="106" t="n">
        <v>532688</v>
      </c>
      <c r="L52" s="106" t="n">
        <v>3905</v>
      </c>
      <c r="M52" s="106" t="n">
        <v>0.73</v>
      </c>
      <c r="N52" s="106" t="n">
        <v>2.1</v>
      </c>
      <c r="O52" s="106" t="n">
        <v>11.5</v>
      </c>
      <c r="P52" s="106" t="n">
        <v>449</v>
      </c>
      <c r="Q52" s="106" t="n">
        <v>272.99</v>
      </c>
      <c r="R52" s="106" t="n">
        <v>1109.97</v>
      </c>
      <c r="S52" s="106" t="n">
        <v>2693.87</v>
      </c>
      <c r="T52" s="106" t="n">
        <v>15</v>
      </c>
      <c r="U52" s="106" t="n">
        <v>0</v>
      </c>
    </row>
    <row r="53" customFormat="false" ht="15" hidden="false" customHeight="false" outlineLevel="0" collapsed="false">
      <c r="A53" s="106" t="s">
        <v>4611</v>
      </c>
      <c r="B53" s="106" t="s">
        <v>3968</v>
      </c>
      <c r="C53" s="106" t="s">
        <v>1766</v>
      </c>
      <c r="D53" s="106" t="n">
        <v>30</v>
      </c>
      <c r="E53" s="108" t="n">
        <v>7308.81</v>
      </c>
      <c r="F53" s="108" t="n">
        <v>25934.43</v>
      </c>
      <c r="G53" s="106" t="n">
        <v>28.2</v>
      </c>
      <c r="H53" s="108" t="n">
        <v>62106.98</v>
      </c>
      <c r="I53" s="106" t="n">
        <v>11.8</v>
      </c>
      <c r="J53" s="106" t="n">
        <v>41.8</v>
      </c>
      <c r="K53" s="106" t="n">
        <v>507343</v>
      </c>
      <c r="L53" s="106" t="n">
        <v>3612</v>
      </c>
      <c r="M53" s="106" t="n">
        <v>0.71</v>
      </c>
      <c r="N53" s="106" t="n">
        <v>2.02</v>
      </c>
      <c r="O53" s="106" t="n">
        <v>9.2</v>
      </c>
      <c r="P53" s="106" t="n">
        <v>334</v>
      </c>
      <c r="Q53" s="106" t="n">
        <v>243.63</v>
      </c>
      <c r="R53" s="106" t="n">
        <v>864.48</v>
      </c>
      <c r="S53" s="106" t="n">
        <v>2070.23</v>
      </c>
      <c r="T53" s="106" t="n">
        <v>11.1</v>
      </c>
      <c r="U53" s="106" t="n">
        <v>0</v>
      </c>
    </row>
    <row r="54" customFormat="false" ht="15" hidden="false" customHeight="false" outlineLevel="0" collapsed="false">
      <c r="A54" s="106" t="s">
        <v>4612</v>
      </c>
      <c r="B54" s="106" t="s">
        <v>4613</v>
      </c>
      <c r="C54" s="106" t="s">
        <v>4614</v>
      </c>
      <c r="D54" s="106" t="n">
        <v>30</v>
      </c>
      <c r="E54" s="108" t="n">
        <v>6745.28</v>
      </c>
      <c r="F54" s="108" t="n">
        <v>28705.18</v>
      </c>
      <c r="G54" s="106" t="n">
        <v>23.5</v>
      </c>
      <c r="H54" s="108" t="n">
        <v>73079.1</v>
      </c>
      <c r="I54" s="106" t="n">
        <v>9.2</v>
      </c>
      <c r="J54" s="106" t="n">
        <v>39.3</v>
      </c>
      <c r="K54" s="106" t="n">
        <v>450947</v>
      </c>
      <c r="L54" s="106" t="n">
        <v>3440</v>
      </c>
      <c r="M54" s="106" t="n">
        <v>0.76</v>
      </c>
      <c r="N54" s="106" t="n">
        <v>1.96</v>
      </c>
      <c r="O54" s="106" t="n">
        <v>11.6</v>
      </c>
      <c r="P54" s="106" t="n">
        <v>398</v>
      </c>
      <c r="Q54" s="106" t="n">
        <v>224.84</v>
      </c>
      <c r="R54" s="106" t="n">
        <v>956.84</v>
      </c>
      <c r="S54" s="106" t="n">
        <v>2435.97</v>
      </c>
      <c r="T54" s="106" t="n">
        <v>13.3</v>
      </c>
      <c r="U54" s="106" t="n">
        <v>0</v>
      </c>
    </row>
    <row r="56" customFormat="false" ht="15" hidden="false" customHeight="false" outlineLevel="0" collapsed="false">
      <c r="A56" s="82" t="s">
        <v>4615</v>
      </c>
    </row>
    <row r="57" customFormat="false" ht="22.35" hidden="false" customHeight="false" outlineLevel="0" collapsed="false">
      <c r="A57" s="90" t="s">
        <v>3778</v>
      </c>
      <c r="B57" s="90" t="s">
        <v>3850</v>
      </c>
      <c r="C57" s="90" t="s">
        <v>3852</v>
      </c>
      <c r="D57" s="90" t="s">
        <v>4616</v>
      </c>
      <c r="E57" s="90" t="s">
        <v>4617</v>
      </c>
      <c r="F57" s="90" t="s">
        <v>4618</v>
      </c>
      <c r="G57" s="90" t="s">
        <v>4619</v>
      </c>
      <c r="H57" s="90" t="s">
        <v>4620</v>
      </c>
      <c r="I57" s="90" t="s">
        <v>4621</v>
      </c>
    </row>
    <row r="58" customFormat="false" ht="15" hidden="false" customHeight="false" outlineLevel="0" collapsed="false">
      <c r="A58" s="106" t="s">
        <v>478</v>
      </c>
      <c r="B58" s="106" t="s">
        <v>4622</v>
      </c>
      <c r="C58" s="106" t="s">
        <v>4623</v>
      </c>
      <c r="D58" s="106" t="n">
        <v>11</v>
      </c>
      <c r="E58" s="106" t="n">
        <v>358.56</v>
      </c>
      <c r="F58" s="106" t="n">
        <v>12.36</v>
      </c>
      <c r="G58" s="106" t="n">
        <v>2.7</v>
      </c>
      <c r="H58" s="106" t="n">
        <v>0.31</v>
      </c>
      <c r="I58" s="106" t="n">
        <v>76.4</v>
      </c>
    </row>
    <row r="59" customFormat="false" ht="15" hidden="false" customHeight="false" outlineLevel="0" collapsed="false">
      <c r="A59" s="106" t="s">
        <v>183</v>
      </c>
      <c r="B59" s="106" t="s">
        <v>4624</v>
      </c>
      <c r="C59" s="106" t="s">
        <v>4625</v>
      </c>
      <c r="D59" s="106" t="n">
        <v>9</v>
      </c>
      <c r="E59" s="106" t="n">
        <v>1185.21</v>
      </c>
      <c r="F59" s="106" t="n">
        <v>40.87</v>
      </c>
      <c r="G59" s="106" t="n">
        <v>7.8</v>
      </c>
      <c r="H59" s="106" t="n">
        <v>1.34</v>
      </c>
      <c r="I59" s="106" t="n">
        <v>46.8</v>
      </c>
    </row>
    <row r="60" customFormat="false" ht="15" hidden="false" customHeight="false" outlineLevel="0" collapsed="false">
      <c r="A60" s="106" t="s">
        <v>580</v>
      </c>
      <c r="B60" s="106" t="s">
        <v>4626</v>
      </c>
      <c r="C60" s="106" t="s">
        <v>4623</v>
      </c>
      <c r="D60" s="106" t="n">
        <v>11</v>
      </c>
      <c r="E60" s="106" t="n">
        <v>540.23</v>
      </c>
      <c r="F60" s="106" t="n">
        <v>18.63</v>
      </c>
      <c r="G60" s="106" t="n">
        <v>2.9</v>
      </c>
      <c r="H60" s="106" t="n">
        <v>0.76</v>
      </c>
      <c r="I60" s="106" t="n">
        <v>37.9</v>
      </c>
    </row>
    <row r="61" customFormat="false" ht="15" hidden="false" customHeight="false" outlineLevel="0" collapsed="false">
      <c r="A61" s="106" t="s">
        <v>559</v>
      </c>
      <c r="B61" s="106" t="s">
        <v>4624</v>
      </c>
      <c r="C61" s="106" t="s">
        <v>4625</v>
      </c>
      <c r="D61" s="106" t="n">
        <v>9</v>
      </c>
      <c r="E61" s="106" t="n">
        <v>875.57</v>
      </c>
      <c r="F61" s="106" t="n">
        <v>30.19</v>
      </c>
      <c r="G61" s="106" t="n">
        <v>5.1</v>
      </c>
      <c r="H61" s="106" t="n">
        <v>0.97</v>
      </c>
      <c r="I61" s="106" t="n">
        <v>47.7</v>
      </c>
    </row>
    <row r="62" customFormat="false" ht="15" hidden="false" customHeight="false" outlineLevel="0" collapsed="false">
      <c r="A62" s="106" t="s">
        <v>1263</v>
      </c>
      <c r="B62" s="106" t="s">
        <v>4625</v>
      </c>
      <c r="C62" s="106" t="s">
        <v>4622</v>
      </c>
      <c r="D62" s="106" t="n">
        <v>10</v>
      </c>
      <c r="E62" s="106" t="n">
        <v>284.6</v>
      </c>
      <c r="F62" s="106" t="n">
        <v>9.81</v>
      </c>
      <c r="G62" s="106" t="n">
        <v>1.7</v>
      </c>
      <c r="H62" s="106" t="n">
        <v>0.24</v>
      </c>
      <c r="I62" s="106" t="n">
        <v>59.9</v>
      </c>
    </row>
    <row r="63" customFormat="false" ht="15" hidden="false" customHeight="false" outlineLevel="0" collapsed="false">
      <c r="A63" s="106" t="s">
        <v>421</v>
      </c>
      <c r="B63" s="106" t="s">
        <v>4627</v>
      </c>
      <c r="C63" s="106" t="s">
        <v>4626</v>
      </c>
      <c r="D63" s="106" t="n">
        <v>6</v>
      </c>
      <c r="E63" s="106"/>
      <c r="F63" s="106"/>
      <c r="G63" s="106"/>
      <c r="H63" s="106"/>
      <c r="I63" s="106"/>
    </row>
    <row r="64" customFormat="false" ht="15" hidden="false" customHeight="false" outlineLevel="0" collapsed="false">
      <c r="A64" s="106" t="s">
        <v>718</v>
      </c>
      <c r="B64" s="106" t="s">
        <v>4625</v>
      </c>
      <c r="C64" s="106" t="s">
        <v>4623</v>
      </c>
      <c r="D64" s="106" t="n">
        <v>11</v>
      </c>
      <c r="E64" s="106"/>
      <c r="F64" s="106"/>
      <c r="G64" s="106"/>
      <c r="H64" s="106"/>
      <c r="I64" s="106"/>
    </row>
    <row r="65" customFormat="false" ht="15" hidden="false" customHeight="false" outlineLevel="0" collapsed="false">
      <c r="A65" s="106" t="s">
        <v>370</v>
      </c>
      <c r="B65" s="106" t="s">
        <v>4628</v>
      </c>
      <c r="C65" s="106" t="s">
        <v>4622</v>
      </c>
      <c r="D65" s="106" t="n">
        <v>10</v>
      </c>
      <c r="E65" s="106" t="n">
        <v>810.05</v>
      </c>
      <c r="F65" s="106" t="n">
        <v>27.93</v>
      </c>
      <c r="G65" s="106" t="n">
        <v>5</v>
      </c>
      <c r="H65" s="106" t="n">
        <v>0.38</v>
      </c>
      <c r="I65" s="106" t="n">
        <v>117.2</v>
      </c>
    </row>
    <row r="66" customFormat="false" ht="15" hidden="false" customHeight="false" outlineLevel="0" collapsed="false">
      <c r="A66" s="106" t="s">
        <v>445</v>
      </c>
      <c r="B66" s="106" t="s">
        <v>4629</v>
      </c>
      <c r="C66" s="106" t="s">
        <v>4630</v>
      </c>
      <c r="D66" s="106" t="n">
        <v>20</v>
      </c>
      <c r="E66" s="106"/>
      <c r="F66" s="106"/>
      <c r="G66" s="106"/>
      <c r="H66" s="106"/>
      <c r="I66" s="106"/>
    </row>
    <row r="67" customFormat="false" ht="15" hidden="false" customHeight="false" outlineLevel="0" collapsed="false">
      <c r="A67" s="106" t="s">
        <v>341</v>
      </c>
      <c r="B67" s="106" t="s">
        <v>4623</v>
      </c>
      <c r="C67" s="106" t="s">
        <v>4631</v>
      </c>
      <c r="D67" s="106" t="n">
        <v>14</v>
      </c>
      <c r="E67" s="106" t="n">
        <v>373.17</v>
      </c>
      <c r="F67" s="106" t="n">
        <v>12.87</v>
      </c>
      <c r="G67" s="106" t="n">
        <v>2.2</v>
      </c>
      <c r="H67" s="106" t="n">
        <v>0.31</v>
      </c>
      <c r="I67" s="106" t="n">
        <v>68.3</v>
      </c>
    </row>
    <row r="68" customFormat="false" ht="15" hidden="false" customHeight="false" outlineLevel="0" collapsed="false">
      <c r="A68" s="106" t="s">
        <v>252</v>
      </c>
      <c r="B68" s="106" t="s">
        <v>4625</v>
      </c>
      <c r="C68" s="106" t="s">
        <v>4622</v>
      </c>
      <c r="D68" s="106" t="n">
        <v>10</v>
      </c>
      <c r="E68" s="106" t="n">
        <v>197.45</v>
      </c>
      <c r="F68" s="106" t="n">
        <v>6.81</v>
      </c>
      <c r="G68" s="106" t="n">
        <v>1.2</v>
      </c>
      <c r="H68" s="106" t="n">
        <v>0.28</v>
      </c>
      <c r="I68" s="106" t="n">
        <v>41.5</v>
      </c>
    </row>
    <row r="69" customFormat="false" ht="15" hidden="false" customHeight="false" outlineLevel="0" collapsed="false">
      <c r="A69" s="106" t="s">
        <v>391</v>
      </c>
      <c r="B69" s="106" t="s">
        <v>4632</v>
      </c>
      <c r="C69" s="106" t="s">
        <v>4625</v>
      </c>
      <c r="D69" s="106" t="n">
        <v>9</v>
      </c>
      <c r="E69" s="106" t="n">
        <v>308.66</v>
      </c>
      <c r="F69" s="106" t="n">
        <v>10.64</v>
      </c>
      <c r="G69" s="106" t="n">
        <v>2.6</v>
      </c>
      <c r="H69" s="106" t="n">
        <v>0.28</v>
      </c>
      <c r="I69" s="106" t="n">
        <v>61.1</v>
      </c>
    </row>
    <row r="70" customFormat="false" ht="15" hidden="false" customHeight="false" outlineLevel="0" collapsed="false">
      <c r="A70" s="106" t="s">
        <v>513</v>
      </c>
      <c r="B70" s="106" t="s">
        <v>4625</v>
      </c>
      <c r="C70" s="106" t="s">
        <v>4633</v>
      </c>
      <c r="D70" s="106" t="n">
        <v>12</v>
      </c>
      <c r="E70" s="106" t="n">
        <v>276.86</v>
      </c>
      <c r="F70" s="106" t="n">
        <v>9.55</v>
      </c>
      <c r="G70" s="106" t="n">
        <v>2.3</v>
      </c>
      <c r="H70" s="106" t="n">
        <v>0.31</v>
      </c>
      <c r="I70" s="106" t="n">
        <v>60</v>
      </c>
    </row>
    <row r="71" customFormat="false" ht="15" hidden="false" customHeight="false" outlineLevel="0" collapsed="false">
      <c r="A71" s="106" t="s">
        <v>640</v>
      </c>
      <c r="B71" s="106" t="s">
        <v>4626</v>
      </c>
      <c r="C71" s="106" t="s">
        <v>4633</v>
      </c>
      <c r="D71" s="106" t="n">
        <v>12</v>
      </c>
      <c r="E71" s="106"/>
      <c r="F71" s="106"/>
      <c r="G71" s="106"/>
      <c r="H71" s="106"/>
      <c r="I71" s="106"/>
    </row>
    <row r="72" customFormat="false" ht="15" hidden="false" customHeight="false" outlineLevel="0" collapsed="false">
      <c r="A72" s="106" t="s">
        <v>1197</v>
      </c>
      <c r="B72" s="106"/>
      <c r="C72" s="106"/>
      <c r="D72" s="106"/>
      <c r="E72" s="106"/>
      <c r="F72" s="106"/>
      <c r="G72" s="106"/>
      <c r="H72" s="106"/>
      <c r="I72" s="106"/>
    </row>
    <row r="74" customFormat="false" ht="15" hidden="false" customHeight="false" outlineLevel="0" collapsed="false">
      <c r="A74" s="82" t="s">
        <v>4634</v>
      </c>
    </row>
    <row r="75" customFormat="false" ht="22.35" hidden="false" customHeight="false" outlineLevel="0" collapsed="false">
      <c r="A75" s="90" t="s">
        <v>1664</v>
      </c>
      <c r="B75" s="90" t="s">
        <v>3312</v>
      </c>
      <c r="C75" s="90" t="s">
        <v>3599</v>
      </c>
      <c r="D75" s="90" t="s">
        <v>3283</v>
      </c>
      <c r="E75" s="90" t="s">
        <v>3600</v>
      </c>
      <c r="F75" s="90" t="s">
        <v>3601</v>
      </c>
      <c r="G75" s="90" t="s">
        <v>3285</v>
      </c>
      <c r="H75" s="90" t="s">
        <v>3286</v>
      </c>
      <c r="I75" s="90" t="s">
        <v>3319</v>
      </c>
      <c r="J75" s="90" t="s">
        <v>3602</v>
      </c>
      <c r="K75" s="90" t="s">
        <v>3603</v>
      </c>
      <c r="L75" s="90" t="s">
        <v>3604</v>
      </c>
      <c r="M75" s="90" t="s">
        <v>3605</v>
      </c>
      <c r="N75" s="90" t="s">
        <v>3606</v>
      </c>
      <c r="O75" s="90" t="s">
        <v>3607</v>
      </c>
    </row>
    <row r="76" customFormat="false" ht="15" hidden="false" customHeight="false" outlineLevel="0" collapsed="false">
      <c r="A76" s="106" t="s">
        <v>185</v>
      </c>
      <c r="B76" s="106" t="s">
        <v>3608</v>
      </c>
      <c r="C76" s="106" t="n">
        <v>12</v>
      </c>
      <c r="D76" s="106" t="n">
        <v>5107</v>
      </c>
      <c r="E76" s="106" t="n">
        <v>42</v>
      </c>
      <c r="F76" s="108" t="n">
        <v>334747</v>
      </c>
      <c r="G76" s="106" t="n">
        <v>65.55</v>
      </c>
      <c r="H76" s="106" t="n">
        <v>152935</v>
      </c>
      <c r="I76" s="106" t="n">
        <v>3.34</v>
      </c>
      <c r="J76" s="106" t="n">
        <v>5.2</v>
      </c>
      <c r="K76" s="108" t="n">
        <v>51240</v>
      </c>
      <c r="L76" s="106" t="n">
        <v>10.03</v>
      </c>
      <c r="M76" s="106" t="n">
        <v>18</v>
      </c>
      <c r="N76" s="108" t="n">
        <v>40670</v>
      </c>
      <c r="O76" s="106" t="n">
        <v>53</v>
      </c>
    </row>
    <row r="77" customFormat="false" ht="15" hidden="false" customHeight="false" outlineLevel="0" collapsed="false">
      <c r="A77" s="106" t="s">
        <v>560</v>
      </c>
      <c r="B77" s="106" t="s">
        <v>3608</v>
      </c>
      <c r="C77" s="106" t="n">
        <v>12</v>
      </c>
      <c r="D77" s="106" t="n">
        <v>3178</v>
      </c>
      <c r="E77" s="106" t="n">
        <v>26.1</v>
      </c>
      <c r="F77" s="108" t="n">
        <v>234182</v>
      </c>
      <c r="G77" s="106" t="n">
        <v>73.69</v>
      </c>
      <c r="H77" s="106" t="n">
        <v>63698</v>
      </c>
      <c r="I77" s="106" t="n">
        <v>4.99</v>
      </c>
      <c r="J77" s="106" t="n">
        <v>5.3</v>
      </c>
      <c r="K77" s="108" t="n">
        <v>44584</v>
      </c>
      <c r="L77" s="106" t="n">
        <v>14.03</v>
      </c>
      <c r="M77" s="106" t="n">
        <v>19.82</v>
      </c>
      <c r="N77" s="108" t="n">
        <v>18399</v>
      </c>
      <c r="O77" s="106" t="n">
        <v>24</v>
      </c>
    </row>
    <row r="78" customFormat="false" ht="15" hidden="false" customHeight="false" outlineLevel="0" collapsed="false">
      <c r="A78" s="106" t="s">
        <v>479</v>
      </c>
      <c r="B78" s="106" t="s">
        <v>3608</v>
      </c>
      <c r="C78" s="106" t="n">
        <v>12</v>
      </c>
      <c r="D78" s="106" t="n">
        <v>1806</v>
      </c>
      <c r="E78" s="106" t="n">
        <v>14.9</v>
      </c>
      <c r="F78" s="108" t="n">
        <v>103291</v>
      </c>
      <c r="G78" s="106" t="n">
        <v>57.19</v>
      </c>
      <c r="H78" s="106" t="n">
        <v>40448</v>
      </c>
      <c r="I78" s="106" t="n">
        <v>4.46</v>
      </c>
      <c r="J78" s="106" t="n">
        <v>5.7</v>
      </c>
      <c r="K78" s="108" t="n">
        <v>12920</v>
      </c>
      <c r="L78" s="106" t="n">
        <v>7.15</v>
      </c>
      <c r="M78" s="106" t="n">
        <v>13.4</v>
      </c>
      <c r="N78" s="108" t="n">
        <v>11285</v>
      </c>
      <c r="O78" s="106" t="n">
        <v>14.7</v>
      </c>
    </row>
    <row r="79" customFormat="false" ht="15" hidden="false" customHeight="false" outlineLevel="0" collapsed="false">
      <c r="A79" s="106" t="s">
        <v>696</v>
      </c>
      <c r="B79" s="106" t="s">
        <v>3608</v>
      </c>
      <c r="C79" s="106" t="n">
        <v>12</v>
      </c>
      <c r="D79" s="106" t="n">
        <v>1080</v>
      </c>
      <c r="E79" s="106" t="n">
        <v>8.9</v>
      </c>
      <c r="F79" s="108" t="n">
        <v>55762</v>
      </c>
      <c r="G79" s="106" t="n">
        <v>51.63</v>
      </c>
      <c r="H79" s="106" t="n">
        <v>24212</v>
      </c>
      <c r="I79" s="106" t="n">
        <v>4.46</v>
      </c>
      <c r="J79" s="106" t="n">
        <v>4.6</v>
      </c>
      <c r="K79" s="108" t="n">
        <v>13169</v>
      </c>
      <c r="L79" s="106" t="n">
        <v>12.19</v>
      </c>
      <c r="M79" s="106" t="n">
        <v>14.58</v>
      </c>
      <c r="N79" s="108" t="n">
        <v>2576</v>
      </c>
      <c r="O79" s="106" t="n">
        <v>3.4</v>
      </c>
    </row>
    <row r="80" customFormat="false" ht="15" hidden="false" customHeight="false" outlineLevel="0" collapsed="false">
      <c r="A80" s="106" t="s">
        <v>1689</v>
      </c>
      <c r="B80" s="106" t="s">
        <v>3608</v>
      </c>
      <c r="C80" s="106" t="n">
        <v>12</v>
      </c>
      <c r="D80" s="106" t="n">
        <v>990</v>
      </c>
      <c r="E80" s="106" t="n">
        <v>8.1</v>
      </c>
      <c r="F80" s="108" t="n">
        <v>71740</v>
      </c>
      <c r="G80" s="106" t="n">
        <v>72.46</v>
      </c>
      <c r="H80" s="106" t="n">
        <v>22131</v>
      </c>
      <c r="I80" s="106" t="n">
        <v>4.47</v>
      </c>
      <c r="J80" s="106" t="n">
        <v>6.8</v>
      </c>
      <c r="K80" s="108" t="n">
        <v>13761</v>
      </c>
      <c r="L80" s="106" t="n">
        <v>13.9</v>
      </c>
      <c r="M80" s="106" t="n">
        <v>17.72</v>
      </c>
      <c r="N80" s="108" t="n">
        <v>3784</v>
      </c>
      <c r="O80" s="106" t="n">
        <v>4.9</v>
      </c>
    </row>
    <row r="81" customFormat="false" ht="15" hidden="false" customHeight="false" outlineLevel="0" collapsed="false">
      <c r="A81" s="106" t="s">
        <v>185</v>
      </c>
      <c r="B81" s="106" t="s">
        <v>3609</v>
      </c>
      <c r="C81" s="106" t="n">
        <v>12</v>
      </c>
      <c r="D81" s="106" t="n">
        <v>816</v>
      </c>
      <c r="E81" s="106" t="n">
        <v>34.3</v>
      </c>
      <c r="F81" s="108" t="n">
        <v>59766</v>
      </c>
      <c r="G81" s="106" t="n">
        <v>73.24</v>
      </c>
      <c r="H81" s="106" t="n">
        <v>20894</v>
      </c>
      <c r="I81" s="106" t="n">
        <v>3.91</v>
      </c>
      <c r="J81" s="106" t="n">
        <v>5.6</v>
      </c>
      <c r="K81" s="108" t="n">
        <v>9530</v>
      </c>
      <c r="L81" s="106" t="n">
        <v>11.68</v>
      </c>
      <c r="M81" s="106" t="n">
        <v>22.24</v>
      </c>
      <c r="N81" s="108" t="n">
        <v>8622</v>
      </c>
      <c r="O81" s="106" t="n">
        <v>52.4</v>
      </c>
    </row>
    <row r="82" customFormat="false" ht="15" hidden="false" customHeight="false" outlineLevel="0" collapsed="false">
      <c r="A82" s="106" t="s">
        <v>560</v>
      </c>
      <c r="B82" s="106" t="s">
        <v>3609</v>
      </c>
      <c r="C82" s="106" t="n">
        <v>12</v>
      </c>
      <c r="D82" s="106" t="n">
        <v>691</v>
      </c>
      <c r="E82" s="106" t="n">
        <v>29</v>
      </c>
      <c r="F82" s="108" t="n">
        <v>55132</v>
      </c>
      <c r="G82" s="106" t="n">
        <v>79.79</v>
      </c>
      <c r="H82" s="106" t="n">
        <v>11222</v>
      </c>
      <c r="I82" s="106" t="n">
        <v>6.16</v>
      </c>
      <c r="J82" s="106" t="n">
        <v>4.5</v>
      </c>
      <c r="K82" s="108" t="n">
        <v>10384</v>
      </c>
      <c r="L82" s="106" t="n">
        <v>15.03</v>
      </c>
      <c r="M82" s="106" t="n">
        <v>22.38</v>
      </c>
      <c r="N82" s="108" t="n">
        <v>5082</v>
      </c>
      <c r="O82" s="106" t="n">
        <v>30.9</v>
      </c>
    </row>
    <row r="83" customFormat="false" ht="15" hidden="false" customHeight="false" outlineLevel="0" collapsed="false">
      <c r="A83" s="106" t="s">
        <v>479</v>
      </c>
      <c r="B83" s="106" t="s">
        <v>3609</v>
      </c>
      <c r="C83" s="106" t="n">
        <v>12</v>
      </c>
      <c r="D83" s="106" t="n">
        <v>330</v>
      </c>
      <c r="E83" s="106" t="n">
        <v>13.9</v>
      </c>
      <c r="F83" s="108" t="n">
        <v>20282</v>
      </c>
      <c r="G83" s="106" t="n">
        <v>61.46</v>
      </c>
      <c r="H83" s="106" t="n">
        <v>6177</v>
      </c>
      <c r="I83" s="106" t="n">
        <v>5.34</v>
      </c>
      <c r="J83" s="106" t="n">
        <v>7.6</v>
      </c>
      <c r="K83" s="108" t="n">
        <v>3425</v>
      </c>
      <c r="L83" s="106" t="n">
        <v>10.38</v>
      </c>
      <c r="M83" s="106" t="n">
        <v>15.11</v>
      </c>
      <c r="N83" s="108" t="n">
        <v>1560</v>
      </c>
      <c r="O83" s="106" t="n">
        <v>9.5</v>
      </c>
    </row>
    <row r="84" customFormat="false" ht="15" hidden="false" customHeight="false" outlineLevel="0" collapsed="false">
      <c r="A84" s="106" t="s">
        <v>696</v>
      </c>
      <c r="B84" s="106" t="s">
        <v>3609</v>
      </c>
      <c r="C84" s="106" t="n">
        <v>11</v>
      </c>
      <c r="D84" s="106" t="n">
        <v>273</v>
      </c>
      <c r="E84" s="106" t="n">
        <v>11.5</v>
      </c>
      <c r="F84" s="108" t="n">
        <v>15183</v>
      </c>
      <c r="G84" s="106" t="n">
        <v>55.61</v>
      </c>
      <c r="H84" s="106" t="n">
        <v>4666</v>
      </c>
      <c r="I84" s="106" t="n">
        <v>5.85</v>
      </c>
      <c r="J84" s="106" t="n">
        <v>4.4</v>
      </c>
      <c r="K84" s="108" t="n">
        <v>4283</v>
      </c>
      <c r="L84" s="106" t="n">
        <v>15.69</v>
      </c>
      <c r="M84" s="106" t="n">
        <v>17.85</v>
      </c>
      <c r="N84" s="108" t="n">
        <v>591</v>
      </c>
      <c r="O84" s="106" t="n">
        <v>3.6</v>
      </c>
    </row>
    <row r="85" customFormat="false" ht="15" hidden="false" customHeight="false" outlineLevel="0" collapsed="false">
      <c r="A85" s="106" t="s">
        <v>1689</v>
      </c>
      <c r="B85" s="106" t="s">
        <v>3609</v>
      </c>
      <c r="C85" s="106" t="n">
        <v>9</v>
      </c>
      <c r="D85" s="106" t="n">
        <v>272</v>
      </c>
      <c r="E85" s="106" t="n">
        <v>11.4</v>
      </c>
      <c r="F85" s="108" t="n">
        <v>21449</v>
      </c>
      <c r="G85" s="106" t="n">
        <v>78.86</v>
      </c>
      <c r="H85" s="106" t="n">
        <v>3458</v>
      </c>
      <c r="I85" s="106" t="n">
        <v>7.87</v>
      </c>
      <c r="J85" s="106" t="n">
        <v>5.9</v>
      </c>
      <c r="K85" s="108" t="n">
        <v>5330</v>
      </c>
      <c r="L85" s="106" t="n">
        <v>19.59</v>
      </c>
      <c r="M85" s="106" t="n">
        <v>21.8</v>
      </c>
      <c r="N85" s="108" t="n">
        <v>601</v>
      </c>
      <c r="O85" s="106" t="n">
        <v>3.6</v>
      </c>
    </row>
    <row r="87" customFormat="false" ht="15" hidden="false" customHeight="false" outlineLevel="0" collapsed="false">
      <c r="A87" s="82" t="s">
        <v>4635</v>
      </c>
    </row>
    <row r="88" customFormat="false" ht="15" hidden="false" customHeight="false" outlineLevel="0" collapsed="false">
      <c r="A88" s="105" t="s">
        <v>4636</v>
      </c>
    </row>
    <row r="89" customFormat="false" ht="32.8" hidden="false" customHeight="false" outlineLevel="0" collapsed="false">
      <c r="A89" s="90" t="s">
        <v>1513</v>
      </c>
      <c r="B89" s="90" t="s">
        <v>1514</v>
      </c>
      <c r="C89" s="90" t="s">
        <v>1664</v>
      </c>
      <c r="D89" s="90" t="s">
        <v>1697</v>
      </c>
      <c r="E89" s="90" t="s">
        <v>3611</v>
      </c>
      <c r="F89" s="90" t="s">
        <v>3612</v>
      </c>
      <c r="G89" s="90" t="s">
        <v>3613</v>
      </c>
      <c r="H89" s="90" t="s">
        <v>3614</v>
      </c>
      <c r="I89" s="90" t="s">
        <v>3615</v>
      </c>
      <c r="J89" s="90" t="s">
        <v>3616</v>
      </c>
      <c r="K89" s="90" t="s">
        <v>3617</v>
      </c>
      <c r="L89" s="90" t="s">
        <v>3618</v>
      </c>
      <c r="M89" s="90" t="s">
        <v>3619</v>
      </c>
      <c r="N89" s="90" t="s">
        <v>3620</v>
      </c>
      <c r="O89" s="90" t="s">
        <v>3621</v>
      </c>
      <c r="P89" s="90" t="s">
        <v>3622</v>
      </c>
      <c r="Q89" s="90" t="s">
        <v>3623</v>
      </c>
      <c r="R89" s="90" t="s">
        <v>3624</v>
      </c>
    </row>
    <row r="90" customFormat="false" ht="15" hidden="false" customHeight="false" outlineLevel="0" collapsed="false">
      <c r="A90" s="106" t="s">
        <v>4637</v>
      </c>
      <c r="B90" s="106" t="s">
        <v>4638</v>
      </c>
      <c r="C90" s="106" t="s">
        <v>185</v>
      </c>
      <c r="D90" s="106" t="s">
        <v>1725</v>
      </c>
      <c r="E90" s="106" t="n">
        <v>1</v>
      </c>
      <c r="F90" s="106" t="n">
        <v>1021</v>
      </c>
      <c r="G90" s="108" t="n">
        <v>66915.46</v>
      </c>
      <c r="H90" s="106" t="n">
        <v>8.4</v>
      </c>
      <c r="I90" s="106" t="n">
        <v>2.83</v>
      </c>
      <c r="J90" s="106" t="n">
        <v>-1.82</v>
      </c>
      <c r="K90" s="108" t="n">
        <v>19443.6</v>
      </c>
      <c r="L90" s="106" t="n">
        <v>25.3</v>
      </c>
      <c r="M90" s="106" t="n">
        <v>157</v>
      </c>
      <c r="N90" s="106" t="n">
        <v>1.79</v>
      </c>
      <c r="O90" s="106" t="n">
        <v>-27</v>
      </c>
      <c r="P90" s="106" t="n">
        <v>460</v>
      </c>
      <c r="Q90" s="106" t="n">
        <v>0</v>
      </c>
      <c r="R90" s="106" t="s">
        <v>4639</v>
      </c>
    </row>
    <row r="91" customFormat="false" ht="15" hidden="false" customHeight="false" outlineLevel="0" collapsed="false">
      <c r="A91" s="106" t="s">
        <v>4640</v>
      </c>
      <c r="B91" s="106" t="s">
        <v>4641</v>
      </c>
      <c r="C91" s="106" t="s">
        <v>185</v>
      </c>
      <c r="D91" s="106" t="s">
        <v>1708</v>
      </c>
      <c r="E91" s="106" t="n">
        <v>2</v>
      </c>
      <c r="F91" s="106" t="n">
        <v>716</v>
      </c>
      <c r="G91" s="108" t="n">
        <v>45717.47</v>
      </c>
      <c r="H91" s="106" t="n">
        <v>5.89</v>
      </c>
      <c r="I91" s="106" t="n">
        <v>2.43</v>
      </c>
      <c r="J91" s="106" t="n">
        <v>-6.92</v>
      </c>
      <c r="K91" s="108" t="n">
        <v>17074.47</v>
      </c>
      <c r="L91" s="106" t="n">
        <v>22.3</v>
      </c>
      <c r="M91" s="106" t="n">
        <v>4</v>
      </c>
      <c r="N91" s="106" t="n">
        <v>6.06</v>
      </c>
      <c r="O91" s="106" t="n">
        <v>3.9</v>
      </c>
      <c r="P91" s="106" t="n">
        <v>0</v>
      </c>
      <c r="Q91" s="106" t="n">
        <v>0</v>
      </c>
      <c r="R91" s="106" t="s">
        <v>4642</v>
      </c>
    </row>
    <row r="92" customFormat="false" ht="15" hidden="false" customHeight="false" outlineLevel="0" collapsed="false">
      <c r="A92" s="106" t="s">
        <v>4643</v>
      </c>
      <c r="B92" s="106" t="s">
        <v>4644</v>
      </c>
      <c r="C92" s="106" t="s">
        <v>560</v>
      </c>
      <c r="D92" s="106" t="s">
        <v>1725</v>
      </c>
      <c r="E92" s="106" t="n">
        <v>3</v>
      </c>
      <c r="F92" s="106" t="n">
        <v>631</v>
      </c>
      <c r="G92" s="108" t="n">
        <v>47505.87</v>
      </c>
      <c r="H92" s="106" t="n">
        <v>5.19</v>
      </c>
      <c r="I92" s="106" t="n">
        <v>4.21</v>
      </c>
      <c r="J92" s="106" t="n">
        <v>4.43</v>
      </c>
      <c r="K92" s="108" t="n">
        <v>11137.48</v>
      </c>
      <c r="L92" s="106" t="n">
        <v>14.5</v>
      </c>
      <c r="M92" s="106" t="n">
        <v>184</v>
      </c>
      <c r="N92" s="106" t="n">
        <v>4.55</v>
      </c>
      <c r="O92" s="106" t="n">
        <v>0.4</v>
      </c>
      <c r="P92" s="106" t="n">
        <v>0</v>
      </c>
      <c r="Q92" s="106" t="n">
        <v>0</v>
      </c>
      <c r="R92" s="106" t="s">
        <v>4645</v>
      </c>
    </row>
    <row r="93" customFormat="false" ht="15" hidden="false" customHeight="false" outlineLevel="0" collapsed="false">
      <c r="A93" s="106" t="s">
        <v>4646</v>
      </c>
      <c r="B93" s="106" t="s">
        <v>4647</v>
      </c>
      <c r="C93" s="106" t="s">
        <v>185</v>
      </c>
      <c r="D93" s="106" t="s">
        <v>1750</v>
      </c>
      <c r="E93" s="106" t="n">
        <v>4</v>
      </c>
      <c r="F93" s="106" t="n">
        <v>418</v>
      </c>
      <c r="G93" s="108" t="n">
        <v>27143.18</v>
      </c>
      <c r="H93" s="106" t="n">
        <v>3.44</v>
      </c>
      <c r="I93" s="106" t="n">
        <v>4.11</v>
      </c>
      <c r="J93" s="106" t="n">
        <v>18.45</v>
      </c>
      <c r="K93" s="108" t="n">
        <v>0</v>
      </c>
      <c r="L93" s="106" t="n">
        <v>0</v>
      </c>
      <c r="M93" s="106" t="n">
        <v>58</v>
      </c>
      <c r="N93" s="106" t="n">
        <v>4.18</v>
      </c>
      <c r="O93" s="106" t="n">
        <v>22.65</v>
      </c>
      <c r="P93" s="106" t="n">
        <v>168</v>
      </c>
      <c r="Q93" s="106" t="n">
        <v>42</v>
      </c>
      <c r="R93" s="106" t="s">
        <v>4648</v>
      </c>
    </row>
    <row r="94" customFormat="false" ht="15" hidden="false" customHeight="false" outlineLevel="0" collapsed="false">
      <c r="A94" s="106" t="s">
        <v>4649</v>
      </c>
      <c r="B94" s="106" t="s">
        <v>4650</v>
      </c>
      <c r="C94" s="106" t="s">
        <v>185</v>
      </c>
      <c r="D94" s="106" t="s">
        <v>1704</v>
      </c>
      <c r="E94" s="106" t="n">
        <v>5</v>
      </c>
      <c r="F94" s="106" t="n">
        <v>415</v>
      </c>
      <c r="G94" s="108" t="n">
        <v>27458.61</v>
      </c>
      <c r="H94" s="106" t="n">
        <v>3.41</v>
      </c>
      <c r="I94" s="106" t="n">
        <v>1.51</v>
      </c>
      <c r="J94" s="106" t="n">
        <v>10.74</v>
      </c>
      <c r="K94" s="108" t="n">
        <v>3319.04</v>
      </c>
      <c r="L94" s="106" t="n">
        <v>4.3</v>
      </c>
      <c r="M94" s="106" t="n">
        <v>90</v>
      </c>
      <c r="N94" s="106" t="n">
        <v>4.18</v>
      </c>
      <c r="O94" s="106" t="n">
        <v>18.38</v>
      </c>
      <c r="P94" s="106" t="n">
        <v>81</v>
      </c>
      <c r="Q94" s="106" t="n">
        <v>48</v>
      </c>
      <c r="R94" s="106" t="s">
        <v>3644</v>
      </c>
    </row>
    <row r="95" customFormat="false" ht="15" hidden="false" customHeight="false" outlineLevel="0" collapsed="false">
      <c r="A95" s="106" t="s">
        <v>4651</v>
      </c>
      <c r="B95" s="106" t="s">
        <v>4652</v>
      </c>
      <c r="C95" s="106" t="s">
        <v>185</v>
      </c>
      <c r="D95" s="106" t="s">
        <v>1716</v>
      </c>
      <c r="E95" s="106" t="n">
        <v>6</v>
      </c>
      <c r="F95" s="106" t="n">
        <v>412</v>
      </c>
      <c r="G95" s="108" t="n">
        <v>27231.09</v>
      </c>
      <c r="H95" s="106" t="n">
        <v>3.39</v>
      </c>
      <c r="I95" s="106" t="n">
        <v>6.4</v>
      </c>
      <c r="J95" s="106" t="n">
        <v>19.41</v>
      </c>
      <c r="K95" s="108" t="n">
        <v>0</v>
      </c>
      <c r="L95" s="106" t="n">
        <v>0</v>
      </c>
      <c r="M95" s="106" t="n">
        <v>84</v>
      </c>
      <c r="N95" s="106" t="n">
        <v>7.21</v>
      </c>
      <c r="O95" s="106" t="n">
        <v>23.37</v>
      </c>
      <c r="P95" s="106" t="n">
        <v>133</v>
      </c>
      <c r="Q95" s="106" t="n">
        <v>96</v>
      </c>
      <c r="R95" s="106" t="s">
        <v>4653</v>
      </c>
    </row>
    <row r="96" customFormat="false" ht="15" hidden="false" customHeight="false" outlineLevel="0" collapsed="false">
      <c r="A96" s="106" t="s">
        <v>4654</v>
      </c>
      <c r="B96" s="106" t="s">
        <v>4655</v>
      </c>
      <c r="C96" s="106" t="s">
        <v>185</v>
      </c>
      <c r="D96" s="106" t="s">
        <v>1720</v>
      </c>
      <c r="E96" s="106" t="n">
        <v>7</v>
      </c>
      <c r="F96" s="106" t="n">
        <v>408</v>
      </c>
      <c r="G96" s="108" t="n">
        <v>26434.77</v>
      </c>
      <c r="H96" s="106" t="n">
        <v>3.35</v>
      </c>
      <c r="I96" s="106" t="n">
        <v>6.33</v>
      </c>
      <c r="J96" s="106" t="n">
        <v>15.77</v>
      </c>
      <c r="K96" s="108" t="n">
        <v>61.59</v>
      </c>
      <c r="L96" s="106" t="n">
        <v>0.1</v>
      </c>
      <c r="M96" s="106" t="n">
        <v>68</v>
      </c>
      <c r="N96" s="106" t="n">
        <v>6.95</v>
      </c>
      <c r="O96" s="106" t="n">
        <v>17.74</v>
      </c>
      <c r="P96" s="106" t="n">
        <v>70</v>
      </c>
      <c r="Q96" s="106" t="n">
        <v>150</v>
      </c>
      <c r="R96" s="106" t="s">
        <v>4656</v>
      </c>
    </row>
    <row r="97" customFormat="false" ht="15" hidden="false" customHeight="false" outlineLevel="0" collapsed="false">
      <c r="A97" s="106" t="s">
        <v>4657</v>
      </c>
      <c r="B97" s="106" t="s">
        <v>4658</v>
      </c>
      <c r="C97" s="106" t="s">
        <v>560</v>
      </c>
      <c r="D97" s="106" t="s">
        <v>1708</v>
      </c>
      <c r="E97" s="106" t="n">
        <v>8</v>
      </c>
      <c r="F97" s="106" t="n">
        <v>385</v>
      </c>
      <c r="G97" s="108" t="n">
        <v>27610.02</v>
      </c>
      <c r="H97" s="106" t="n">
        <v>3.17</v>
      </c>
      <c r="I97" s="106" t="n">
        <v>4.27</v>
      </c>
      <c r="J97" s="106" t="n">
        <v>3.25</v>
      </c>
      <c r="K97" s="108" t="n">
        <v>6471.38</v>
      </c>
      <c r="L97" s="106" t="n">
        <v>8.4</v>
      </c>
      <c r="M97" s="106" t="n">
        <v>0</v>
      </c>
      <c r="N97" s="106"/>
      <c r="O97" s="106"/>
      <c r="P97" s="106" t="n">
        <v>0</v>
      </c>
      <c r="Q97" s="106" t="n">
        <v>0</v>
      </c>
      <c r="R97" s="106" t="s">
        <v>3659</v>
      </c>
    </row>
    <row r="98" customFormat="false" ht="15" hidden="false" customHeight="false" outlineLevel="0" collapsed="false">
      <c r="A98" s="106" t="s">
        <v>4659</v>
      </c>
      <c r="B98" s="106" t="s">
        <v>4660</v>
      </c>
      <c r="C98" s="106" t="s">
        <v>185</v>
      </c>
      <c r="D98" s="106" t="s">
        <v>1712</v>
      </c>
      <c r="E98" s="106" t="n">
        <v>9</v>
      </c>
      <c r="F98" s="106" t="n">
        <v>376</v>
      </c>
      <c r="G98" s="108" t="n">
        <v>25075.74</v>
      </c>
      <c r="H98" s="106" t="n">
        <v>3.09</v>
      </c>
      <c r="I98" s="106" t="n">
        <v>6.68</v>
      </c>
      <c r="J98" s="106" t="n">
        <v>18.6</v>
      </c>
      <c r="K98" s="108" t="n">
        <v>165.72</v>
      </c>
      <c r="L98" s="106" t="n">
        <v>0.2</v>
      </c>
      <c r="M98" s="106" t="n">
        <v>95</v>
      </c>
      <c r="N98" s="106" t="n">
        <v>7.38</v>
      </c>
      <c r="O98" s="106" t="n">
        <v>19.99</v>
      </c>
      <c r="P98" s="106" t="n">
        <v>404</v>
      </c>
      <c r="Q98" s="106" t="n">
        <v>0</v>
      </c>
      <c r="R98" s="106" t="s">
        <v>4661</v>
      </c>
    </row>
    <row r="99" customFormat="false" ht="15" hidden="false" customHeight="false" outlineLevel="0" collapsed="false">
      <c r="A99" s="106" t="s">
        <v>4662</v>
      </c>
      <c r="B99" s="106" t="s">
        <v>4663</v>
      </c>
      <c r="C99" s="106" t="s">
        <v>560</v>
      </c>
      <c r="D99" s="106" t="s">
        <v>1752</v>
      </c>
      <c r="E99" s="106" t="n">
        <v>10</v>
      </c>
      <c r="F99" s="106" t="n">
        <v>336</v>
      </c>
      <c r="G99" s="108" t="n">
        <v>24570.1</v>
      </c>
      <c r="H99" s="106" t="n">
        <v>2.76</v>
      </c>
      <c r="I99" s="106" t="n">
        <v>6.55</v>
      </c>
      <c r="J99" s="106" t="n">
        <v>19.19</v>
      </c>
      <c r="K99" s="108" t="n">
        <v>0</v>
      </c>
      <c r="L99" s="106" t="n">
        <v>0</v>
      </c>
      <c r="M99" s="106" t="n">
        <v>92</v>
      </c>
      <c r="N99" s="106" t="n">
        <v>7.97</v>
      </c>
      <c r="O99" s="106" t="n">
        <v>25.01</v>
      </c>
      <c r="P99" s="106" t="n">
        <v>63</v>
      </c>
      <c r="Q99" s="106" t="n">
        <v>138</v>
      </c>
      <c r="R99" s="106" t="s">
        <v>4664</v>
      </c>
    </row>
    <row r="100" customFormat="false" ht="15" hidden="false" customHeight="false" outlineLevel="0" collapsed="false">
      <c r="A100" s="106" t="s">
        <v>4665</v>
      </c>
      <c r="B100" s="106" t="s">
        <v>4666</v>
      </c>
      <c r="C100" s="106" t="s">
        <v>185</v>
      </c>
      <c r="D100" s="106" t="s">
        <v>1733</v>
      </c>
      <c r="E100" s="106" t="n">
        <v>11</v>
      </c>
      <c r="F100" s="106" t="n">
        <v>328</v>
      </c>
      <c r="G100" s="108" t="n">
        <v>21585.33</v>
      </c>
      <c r="H100" s="106" t="n">
        <v>2.7</v>
      </c>
      <c r="I100" s="106" t="n">
        <v>3.82</v>
      </c>
      <c r="J100" s="106" t="n">
        <v>17.77</v>
      </c>
      <c r="K100" s="108" t="n">
        <v>461.73</v>
      </c>
      <c r="L100" s="106" t="n">
        <v>0.6</v>
      </c>
      <c r="M100" s="106" t="n">
        <v>60</v>
      </c>
      <c r="N100" s="106" t="n">
        <v>4.12</v>
      </c>
      <c r="O100" s="106" t="n">
        <v>24.98</v>
      </c>
      <c r="P100" s="106" t="n">
        <v>21</v>
      </c>
      <c r="Q100" s="106" t="n">
        <v>90</v>
      </c>
      <c r="R100" s="106" t="s">
        <v>4667</v>
      </c>
    </row>
    <row r="101" customFormat="false" ht="15" hidden="false" customHeight="false" outlineLevel="0" collapsed="false">
      <c r="A101" s="106" t="s">
        <v>4668</v>
      </c>
      <c r="B101" s="106" t="s">
        <v>4669</v>
      </c>
      <c r="C101" s="106" t="s">
        <v>560</v>
      </c>
      <c r="D101" s="106" t="s">
        <v>1712</v>
      </c>
      <c r="E101" s="106" t="n">
        <v>12</v>
      </c>
      <c r="F101" s="106" t="n">
        <v>307</v>
      </c>
      <c r="G101" s="108" t="n">
        <v>22986.43</v>
      </c>
      <c r="H101" s="106" t="n">
        <v>2.52</v>
      </c>
      <c r="I101" s="106" t="n">
        <v>6.77</v>
      </c>
      <c r="J101" s="106" t="n">
        <v>21.42</v>
      </c>
      <c r="K101" s="108" t="n">
        <v>0</v>
      </c>
      <c r="L101" s="106" t="n">
        <v>0</v>
      </c>
      <c r="M101" s="106" t="n">
        <v>66</v>
      </c>
      <c r="N101" s="106" t="n">
        <v>7.98</v>
      </c>
      <c r="O101" s="106" t="n">
        <v>20.58</v>
      </c>
      <c r="P101" s="106" t="n">
        <v>0</v>
      </c>
      <c r="Q101" s="106" t="n">
        <v>0</v>
      </c>
      <c r="R101" s="106" t="s">
        <v>4656</v>
      </c>
    </row>
    <row r="102" customFormat="false" ht="15" hidden="false" customHeight="false" outlineLevel="0" collapsed="false">
      <c r="A102" s="106" t="s">
        <v>4670</v>
      </c>
      <c r="B102" s="106" t="s">
        <v>4671</v>
      </c>
      <c r="C102" s="106" t="s">
        <v>479</v>
      </c>
      <c r="D102" s="106" t="s">
        <v>1708</v>
      </c>
      <c r="E102" s="106" t="n">
        <v>13</v>
      </c>
      <c r="F102" s="106" t="n">
        <v>298</v>
      </c>
      <c r="G102" s="108" t="n">
        <v>16530.54</v>
      </c>
      <c r="H102" s="106" t="n">
        <v>2.45</v>
      </c>
      <c r="I102" s="106" t="n">
        <v>3.43</v>
      </c>
      <c r="J102" s="106" t="n">
        <v>-19.82</v>
      </c>
      <c r="K102" s="108" t="n">
        <v>9669.79</v>
      </c>
      <c r="L102" s="106" t="n">
        <v>12.6</v>
      </c>
      <c r="M102" s="106" t="n">
        <v>36</v>
      </c>
      <c r="N102" s="106" t="n">
        <v>2.67</v>
      </c>
      <c r="O102" s="106" t="n">
        <v>-13.11</v>
      </c>
      <c r="P102" s="106" t="n">
        <v>80</v>
      </c>
      <c r="Q102" s="106" t="n">
        <v>0</v>
      </c>
      <c r="R102" s="106" t="s">
        <v>4672</v>
      </c>
    </row>
    <row r="103" customFormat="false" ht="15" hidden="false" customHeight="false" outlineLevel="0" collapsed="false">
      <c r="A103" s="106" t="s">
        <v>4673</v>
      </c>
      <c r="B103" s="106" t="s">
        <v>4674</v>
      </c>
      <c r="C103" s="106" t="s">
        <v>185</v>
      </c>
      <c r="D103" s="106" t="s">
        <v>1737</v>
      </c>
      <c r="E103" s="106" t="n">
        <v>14</v>
      </c>
      <c r="F103" s="106" t="n">
        <v>281</v>
      </c>
      <c r="G103" s="108" t="n">
        <v>18870.49</v>
      </c>
      <c r="H103" s="106" t="n">
        <v>2.31</v>
      </c>
      <c r="I103" s="106" t="n">
        <v>4.37</v>
      </c>
      <c r="J103" s="106" t="n">
        <v>18.79</v>
      </c>
      <c r="K103" s="108" t="n">
        <v>4.82</v>
      </c>
      <c r="L103" s="106" t="n">
        <v>0</v>
      </c>
      <c r="M103" s="106" t="n">
        <v>71</v>
      </c>
      <c r="N103" s="106" t="n">
        <v>7</v>
      </c>
      <c r="O103" s="106" t="n">
        <v>20.72</v>
      </c>
      <c r="P103" s="106" t="n">
        <v>135</v>
      </c>
      <c r="Q103" s="106" t="n">
        <v>18</v>
      </c>
      <c r="R103" s="106" t="s">
        <v>4675</v>
      </c>
    </row>
    <row r="104" customFormat="false" ht="15" hidden="false" customHeight="false" outlineLevel="0" collapsed="false">
      <c r="A104" s="106" t="s">
        <v>4676</v>
      </c>
      <c r="B104" s="106" t="s">
        <v>4677</v>
      </c>
      <c r="C104" s="106" t="s">
        <v>185</v>
      </c>
      <c r="D104" s="106" t="s">
        <v>1748</v>
      </c>
      <c r="E104" s="106" t="n">
        <v>15</v>
      </c>
      <c r="F104" s="106" t="n">
        <v>261</v>
      </c>
      <c r="G104" s="108" t="n">
        <v>17075.32</v>
      </c>
      <c r="H104" s="106" t="n">
        <v>2.15</v>
      </c>
      <c r="I104" s="106" t="n">
        <v>3.65</v>
      </c>
      <c r="J104" s="106" t="n">
        <v>17.34</v>
      </c>
      <c r="K104" s="108" t="n">
        <v>93.26</v>
      </c>
      <c r="L104" s="106" t="n">
        <v>0.1</v>
      </c>
      <c r="M104" s="106" t="n">
        <v>32</v>
      </c>
      <c r="N104" s="106" t="n">
        <v>3.81</v>
      </c>
      <c r="O104" s="106" t="n">
        <v>19.31</v>
      </c>
      <c r="P104" s="106" t="n">
        <v>64</v>
      </c>
      <c r="Q104" s="106" t="n">
        <v>0</v>
      </c>
      <c r="R104" s="106" t="s">
        <v>4678</v>
      </c>
    </row>
    <row r="105" customFormat="false" ht="15" hidden="false" customHeight="false" outlineLevel="0" collapsed="false">
      <c r="A105" s="106" t="s">
        <v>4679</v>
      </c>
      <c r="B105" s="106" t="s">
        <v>4680</v>
      </c>
      <c r="C105" s="106" t="s">
        <v>185</v>
      </c>
      <c r="D105" s="106" t="s">
        <v>1772</v>
      </c>
      <c r="E105" s="106" t="n">
        <v>16</v>
      </c>
      <c r="F105" s="106" t="n">
        <v>242</v>
      </c>
      <c r="G105" s="108" t="n">
        <v>15788.98</v>
      </c>
      <c r="H105" s="106" t="n">
        <v>1.99</v>
      </c>
      <c r="I105" s="106" t="n">
        <v>4.41</v>
      </c>
      <c r="J105" s="106" t="n">
        <v>17.83</v>
      </c>
      <c r="K105" s="108" t="n">
        <v>45.88</v>
      </c>
      <c r="L105" s="106" t="n">
        <v>0.1</v>
      </c>
      <c r="M105" s="106" t="n">
        <v>32</v>
      </c>
      <c r="N105" s="106" t="n">
        <v>4.11</v>
      </c>
      <c r="O105" s="106" t="n">
        <v>20.35</v>
      </c>
      <c r="P105" s="106" t="n">
        <v>32</v>
      </c>
      <c r="Q105" s="106" t="n">
        <v>66</v>
      </c>
      <c r="R105" s="106" t="s">
        <v>3639</v>
      </c>
    </row>
    <row r="106" customFormat="false" ht="15" hidden="false" customHeight="false" outlineLevel="0" collapsed="false">
      <c r="A106" s="106" t="s">
        <v>4681</v>
      </c>
      <c r="B106" s="106" t="s">
        <v>4682</v>
      </c>
      <c r="C106" s="106" t="s">
        <v>560</v>
      </c>
      <c r="D106" s="106" t="s">
        <v>1733</v>
      </c>
      <c r="E106" s="106" t="n">
        <v>17</v>
      </c>
      <c r="F106" s="106" t="n">
        <v>240</v>
      </c>
      <c r="G106" s="108" t="n">
        <v>16827.62</v>
      </c>
      <c r="H106" s="106" t="n">
        <v>1.97</v>
      </c>
      <c r="I106" s="106" t="n">
        <v>5.94</v>
      </c>
      <c r="J106" s="106" t="n">
        <v>17.75</v>
      </c>
      <c r="K106" s="108" t="n">
        <v>0</v>
      </c>
      <c r="L106" s="106" t="n">
        <v>0</v>
      </c>
      <c r="M106" s="106" t="n">
        <v>10</v>
      </c>
      <c r="N106" s="106" t="n">
        <v>7.63</v>
      </c>
      <c r="O106" s="106" t="n">
        <v>11.06</v>
      </c>
      <c r="P106" s="106" t="n">
        <v>20</v>
      </c>
      <c r="Q106" s="106" t="n">
        <v>0</v>
      </c>
      <c r="R106" s="106" t="s">
        <v>3639</v>
      </c>
    </row>
    <row r="107" customFormat="false" ht="15" hidden="false" customHeight="false" outlineLevel="0" collapsed="false">
      <c r="A107" s="106" t="s">
        <v>4683</v>
      </c>
      <c r="B107" s="106" t="s">
        <v>4684</v>
      </c>
      <c r="C107" s="106" t="s">
        <v>696</v>
      </c>
      <c r="D107" s="106" t="s">
        <v>1725</v>
      </c>
      <c r="E107" s="106" t="n">
        <v>18</v>
      </c>
      <c r="F107" s="106" t="n">
        <v>236</v>
      </c>
      <c r="G107" s="108" t="n">
        <v>12185.45</v>
      </c>
      <c r="H107" s="106" t="n">
        <v>1.94</v>
      </c>
      <c r="I107" s="106" t="n">
        <v>4.84</v>
      </c>
      <c r="J107" s="106" t="n">
        <v>6.01</v>
      </c>
      <c r="K107" s="108" t="n">
        <v>1875.82</v>
      </c>
      <c r="L107" s="106" t="n">
        <v>2.4</v>
      </c>
      <c r="M107" s="106" t="n">
        <v>63</v>
      </c>
      <c r="N107" s="106" t="n">
        <v>5.31</v>
      </c>
      <c r="O107" s="106" t="n">
        <v>9.63</v>
      </c>
      <c r="P107" s="106" t="n">
        <v>32</v>
      </c>
      <c r="Q107" s="106" t="n">
        <v>30</v>
      </c>
      <c r="R107" s="106" t="s">
        <v>4685</v>
      </c>
    </row>
    <row r="108" customFormat="false" ht="15" hidden="false" customHeight="false" outlineLevel="0" collapsed="false">
      <c r="A108" s="106" t="s">
        <v>4686</v>
      </c>
      <c r="B108" s="106" t="s">
        <v>4687</v>
      </c>
      <c r="C108" s="106" t="s">
        <v>185</v>
      </c>
      <c r="D108" s="106" t="s">
        <v>1752</v>
      </c>
      <c r="E108" s="106" t="n">
        <v>19</v>
      </c>
      <c r="F108" s="106" t="n">
        <v>229</v>
      </c>
      <c r="G108" s="108" t="n">
        <v>15450.51</v>
      </c>
      <c r="H108" s="106" t="n">
        <v>1.88</v>
      </c>
      <c r="I108" s="106" t="n">
        <v>6.45</v>
      </c>
      <c r="J108" s="106" t="n">
        <v>19.73</v>
      </c>
      <c r="K108" s="108" t="n">
        <v>0</v>
      </c>
      <c r="L108" s="106" t="n">
        <v>0</v>
      </c>
      <c r="M108" s="106" t="n">
        <v>65</v>
      </c>
      <c r="N108" s="106" t="n">
        <v>6.6</v>
      </c>
      <c r="O108" s="106" t="n">
        <v>22.72</v>
      </c>
      <c r="P108" s="106" t="n">
        <v>131</v>
      </c>
      <c r="Q108" s="106" t="n">
        <v>0</v>
      </c>
      <c r="R108" s="106" t="s">
        <v>3639</v>
      </c>
    </row>
    <row r="109" customFormat="false" ht="15" hidden="false" customHeight="false" outlineLevel="0" collapsed="false">
      <c r="A109" s="106" t="s">
        <v>4688</v>
      </c>
      <c r="B109" s="106" t="s">
        <v>4689</v>
      </c>
      <c r="C109" s="106" t="s">
        <v>560</v>
      </c>
      <c r="D109" s="106" t="s">
        <v>1720</v>
      </c>
      <c r="E109" s="106" t="n">
        <v>20</v>
      </c>
      <c r="F109" s="106" t="n">
        <v>224</v>
      </c>
      <c r="G109" s="108" t="n">
        <v>16704.18</v>
      </c>
      <c r="H109" s="106" t="n">
        <v>1.84</v>
      </c>
      <c r="I109" s="106" t="n">
        <v>8.11</v>
      </c>
      <c r="J109" s="106" t="n">
        <v>12.9</v>
      </c>
      <c r="K109" s="108" t="n">
        <v>52.02</v>
      </c>
      <c r="L109" s="106" t="n">
        <v>0.1</v>
      </c>
      <c r="M109" s="106" t="n">
        <v>69</v>
      </c>
      <c r="N109" s="106" t="n">
        <v>8.97</v>
      </c>
      <c r="O109" s="106" t="n">
        <v>1.74</v>
      </c>
      <c r="P109" s="106" t="n">
        <v>740</v>
      </c>
      <c r="Q109" s="106" t="n">
        <v>0</v>
      </c>
      <c r="R109" s="106" t="s">
        <v>4690</v>
      </c>
    </row>
    <row r="110" customFormat="false" ht="15" hidden="false" customHeight="false" outlineLevel="0" collapsed="false">
      <c r="A110" s="106" t="s">
        <v>4691</v>
      </c>
      <c r="B110" s="106" t="s">
        <v>4692</v>
      </c>
      <c r="C110" s="106" t="s">
        <v>560</v>
      </c>
      <c r="D110" s="106" t="s">
        <v>1748</v>
      </c>
      <c r="E110" s="106" t="n">
        <v>21</v>
      </c>
      <c r="F110" s="106" t="n">
        <v>219</v>
      </c>
      <c r="G110" s="108" t="n">
        <v>16517.32</v>
      </c>
      <c r="H110" s="106" t="n">
        <v>1.8</v>
      </c>
      <c r="I110" s="106" t="n">
        <v>4.85</v>
      </c>
      <c r="J110" s="106" t="n">
        <v>21.02</v>
      </c>
      <c r="K110" s="108" t="n">
        <v>0</v>
      </c>
      <c r="L110" s="106" t="n">
        <v>0</v>
      </c>
      <c r="M110" s="106" t="n">
        <v>53</v>
      </c>
      <c r="N110" s="106" t="n">
        <v>7.08</v>
      </c>
      <c r="O110" s="106" t="n">
        <v>26.26</v>
      </c>
      <c r="P110" s="106" t="n">
        <v>50</v>
      </c>
      <c r="Q110" s="106" t="n">
        <v>126</v>
      </c>
      <c r="R110" s="106" t="s">
        <v>3639</v>
      </c>
    </row>
    <row r="111" customFormat="false" ht="15" hidden="false" customHeight="false" outlineLevel="0" collapsed="false">
      <c r="A111" s="106" t="s">
        <v>4693</v>
      </c>
      <c r="B111" s="106" t="s">
        <v>4694</v>
      </c>
      <c r="C111" s="106" t="s">
        <v>560</v>
      </c>
      <c r="D111" s="106" t="s">
        <v>1737</v>
      </c>
      <c r="E111" s="106" t="n">
        <v>22</v>
      </c>
      <c r="F111" s="106" t="n">
        <v>213</v>
      </c>
      <c r="G111" s="108" t="n">
        <v>15766.38</v>
      </c>
      <c r="H111" s="106" t="n">
        <v>1.75</v>
      </c>
      <c r="I111" s="106" t="n">
        <v>5.06</v>
      </c>
      <c r="J111" s="106" t="n">
        <v>21.44</v>
      </c>
      <c r="K111" s="108" t="n">
        <v>0</v>
      </c>
      <c r="L111" s="106" t="n">
        <v>0</v>
      </c>
      <c r="M111" s="106" t="n">
        <v>46</v>
      </c>
      <c r="N111" s="106" t="n">
        <v>7.65</v>
      </c>
      <c r="O111" s="106" t="n">
        <v>23.6</v>
      </c>
      <c r="P111" s="106" t="n">
        <v>0</v>
      </c>
      <c r="Q111" s="106" t="n">
        <v>102</v>
      </c>
      <c r="R111" s="106" t="s">
        <v>3639</v>
      </c>
    </row>
    <row r="112" customFormat="false" ht="15" hidden="false" customHeight="false" outlineLevel="0" collapsed="false">
      <c r="A112" s="106" t="s">
        <v>4695</v>
      </c>
      <c r="B112" s="106" t="s">
        <v>4696</v>
      </c>
      <c r="C112" s="106" t="s">
        <v>1689</v>
      </c>
      <c r="D112" s="106" t="s">
        <v>1725</v>
      </c>
      <c r="E112" s="106" t="n">
        <v>23</v>
      </c>
      <c r="F112" s="106" t="n">
        <v>206</v>
      </c>
      <c r="G112" s="108" t="n">
        <v>15028.71</v>
      </c>
      <c r="H112" s="106" t="n">
        <v>1.69</v>
      </c>
      <c r="I112" s="106" t="n">
        <v>4.27</v>
      </c>
      <c r="J112" s="106" t="n">
        <v>4.77</v>
      </c>
      <c r="K112" s="108" t="n">
        <v>3071.32</v>
      </c>
      <c r="L112" s="106" t="n">
        <v>4</v>
      </c>
      <c r="M112" s="106" t="n">
        <v>62</v>
      </c>
      <c r="N112" s="106" t="n">
        <v>6.37</v>
      </c>
      <c r="O112" s="106" t="n">
        <v>18.32</v>
      </c>
      <c r="P112" s="106" t="n">
        <v>85</v>
      </c>
      <c r="Q112" s="106" t="n">
        <v>6</v>
      </c>
      <c r="R112" s="106" t="s">
        <v>3467</v>
      </c>
    </row>
    <row r="113" customFormat="false" ht="15" hidden="false" customHeight="false" outlineLevel="0" collapsed="false">
      <c r="A113" s="106" t="s">
        <v>4697</v>
      </c>
      <c r="B113" s="106" t="s">
        <v>4698</v>
      </c>
      <c r="C113" s="106" t="s">
        <v>560</v>
      </c>
      <c r="D113" s="106" t="s">
        <v>1704</v>
      </c>
      <c r="E113" s="106" t="n">
        <v>24</v>
      </c>
      <c r="F113" s="106" t="n">
        <v>202</v>
      </c>
      <c r="G113" s="108" t="n">
        <v>14598.74</v>
      </c>
      <c r="H113" s="106" t="n">
        <v>1.66</v>
      </c>
      <c r="I113" s="106" t="n">
        <v>3.3</v>
      </c>
      <c r="J113" s="106" t="n">
        <v>14.45</v>
      </c>
      <c r="K113" s="108" t="n">
        <v>737.71</v>
      </c>
      <c r="L113" s="106" t="n">
        <v>1</v>
      </c>
      <c r="M113" s="106" t="n">
        <v>44</v>
      </c>
      <c r="N113" s="106" t="n">
        <v>5.78</v>
      </c>
      <c r="O113" s="106" t="n">
        <v>27.69</v>
      </c>
      <c r="P113" s="106" t="n">
        <v>36</v>
      </c>
      <c r="Q113" s="106" t="n">
        <v>60</v>
      </c>
      <c r="R113" s="106" t="s">
        <v>3639</v>
      </c>
    </row>
    <row r="114" customFormat="false" ht="15" hidden="false" customHeight="false" outlineLevel="0" collapsed="false">
      <c r="A114" s="106" t="s">
        <v>4699</v>
      </c>
      <c r="B114" s="106" t="s">
        <v>4700</v>
      </c>
      <c r="C114" s="106" t="s">
        <v>479</v>
      </c>
      <c r="D114" s="106" t="s">
        <v>1725</v>
      </c>
      <c r="E114" s="106" t="n">
        <v>25</v>
      </c>
      <c r="F114" s="106" t="n">
        <v>196</v>
      </c>
      <c r="G114" s="108" t="n">
        <v>10901.29</v>
      </c>
      <c r="H114" s="106" t="n">
        <v>1.61</v>
      </c>
      <c r="I114" s="106" t="n">
        <v>5.6</v>
      </c>
      <c r="J114" s="106" t="n">
        <v>13.45</v>
      </c>
      <c r="K114" s="108" t="n">
        <v>0</v>
      </c>
      <c r="L114" s="106" t="n">
        <v>0</v>
      </c>
      <c r="M114" s="106" t="n">
        <v>32</v>
      </c>
      <c r="N114" s="106" t="n">
        <v>4.29</v>
      </c>
      <c r="O114" s="106" t="n">
        <v>18.19</v>
      </c>
      <c r="P114" s="106" t="n">
        <v>43</v>
      </c>
      <c r="Q114" s="106" t="n">
        <v>0</v>
      </c>
      <c r="R114" s="106" t="s">
        <v>4701</v>
      </c>
    </row>
    <row r="115" customFormat="false" ht="15" hidden="false" customHeight="false" outlineLevel="0" collapsed="false">
      <c r="A115" s="106" t="s">
        <v>4702</v>
      </c>
      <c r="B115" s="106" t="s">
        <v>4703</v>
      </c>
      <c r="C115" s="106" t="s">
        <v>479</v>
      </c>
      <c r="D115" s="106" t="s">
        <v>1733</v>
      </c>
      <c r="E115" s="106" t="n">
        <v>26</v>
      </c>
      <c r="F115" s="106" t="n">
        <v>187</v>
      </c>
      <c r="G115" s="108" t="n">
        <v>10930.64</v>
      </c>
      <c r="H115" s="106" t="n">
        <v>1.54</v>
      </c>
      <c r="I115" s="106" t="n">
        <v>6.78</v>
      </c>
      <c r="J115" s="106" t="n">
        <v>13.7</v>
      </c>
      <c r="K115" s="108" t="n">
        <v>313.25</v>
      </c>
      <c r="L115" s="106" t="n">
        <v>0.4</v>
      </c>
      <c r="M115" s="106" t="n">
        <v>41</v>
      </c>
      <c r="N115" s="106" t="n">
        <v>7.26</v>
      </c>
      <c r="O115" s="106" t="n">
        <v>6.86</v>
      </c>
      <c r="P115" s="106" t="n">
        <v>0</v>
      </c>
      <c r="Q115" s="106" t="n">
        <v>36</v>
      </c>
      <c r="R115" s="106" t="s">
        <v>3639</v>
      </c>
    </row>
    <row r="116" customFormat="false" ht="15" hidden="false" customHeight="false" outlineLevel="0" collapsed="false">
      <c r="A116" s="106" t="s">
        <v>4704</v>
      </c>
      <c r="B116" s="106" t="s">
        <v>4705</v>
      </c>
      <c r="C116" s="106" t="s">
        <v>560</v>
      </c>
      <c r="D116" s="106" t="s">
        <v>1716</v>
      </c>
      <c r="E116" s="106" t="n">
        <v>27</v>
      </c>
      <c r="F116" s="106" t="n">
        <v>185</v>
      </c>
      <c r="G116" s="108" t="n">
        <v>13575.66</v>
      </c>
      <c r="H116" s="106" t="n">
        <v>1.52</v>
      </c>
      <c r="I116" s="106" t="n">
        <v>7.25</v>
      </c>
      <c r="J116" s="106" t="n">
        <v>18.35</v>
      </c>
      <c r="K116" s="108" t="n">
        <v>0</v>
      </c>
      <c r="L116" s="106" t="n">
        <v>0</v>
      </c>
      <c r="M116" s="106" t="n">
        <v>81</v>
      </c>
      <c r="N116" s="106" t="n">
        <v>9.28</v>
      </c>
      <c r="O116" s="106" t="n">
        <v>19.92</v>
      </c>
      <c r="P116" s="106" t="n">
        <v>61</v>
      </c>
      <c r="Q116" s="106" t="n">
        <v>0</v>
      </c>
      <c r="R116" s="106" t="s">
        <v>3639</v>
      </c>
    </row>
    <row r="117" customFormat="false" ht="15" hidden="false" customHeight="false" outlineLevel="0" collapsed="false">
      <c r="A117" s="106" t="s">
        <v>4706</v>
      </c>
      <c r="B117" s="106" t="s">
        <v>4707</v>
      </c>
      <c r="C117" s="106" t="s">
        <v>479</v>
      </c>
      <c r="D117" s="106" t="s">
        <v>1716</v>
      </c>
      <c r="E117" s="106" t="n">
        <v>28</v>
      </c>
      <c r="F117" s="106" t="n">
        <v>179</v>
      </c>
      <c r="G117" s="108" t="n">
        <v>10620.26</v>
      </c>
      <c r="H117" s="106" t="n">
        <v>1.47</v>
      </c>
      <c r="I117" s="106" t="n">
        <v>5.84</v>
      </c>
      <c r="J117" s="106" t="n">
        <v>14.84</v>
      </c>
      <c r="K117" s="108" t="n">
        <v>0</v>
      </c>
      <c r="L117" s="106" t="n">
        <v>0</v>
      </c>
      <c r="M117" s="106" t="n">
        <v>38</v>
      </c>
      <c r="N117" s="106" t="n">
        <v>9.29</v>
      </c>
      <c r="O117" s="106" t="n">
        <v>18.46</v>
      </c>
      <c r="P117" s="106" t="n">
        <v>16</v>
      </c>
      <c r="Q117" s="106" t="n">
        <v>54</v>
      </c>
      <c r="R117" s="106" t="s">
        <v>3639</v>
      </c>
    </row>
    <row r="118" customFormat="false" ht="15" hidden="false" customHeight="false" outlineLevel="0" collapsed="false">
      <c r="A118" s="106" t="s">
        <v>4708</v>
      </c>
      <c r="B118" s="106" t="s">
        <v>4709</v>
      </c>
      <c r="C118" s="106" t="s">
        <v>479</v>
      </c>
      <c r="D118" s="106" t="s">
        <v>1712</v>
      </c>
      <c r="E118" s="106" t="n">
        <v>29</v>
      </c>
      <c r="F118" s="106" t="n">
        <v>179</v>
      </c>
      <c r="G118" s="108" t="n">
        <v>10045.21</v>
      </c>
      <c r="H118" s="106" t="n">
        <v>1.47</v>
      </c>
      <c r="I118" s="106" t="n">
        <v>7.24</v>
      </c>
      <c r="J118" s="106" t="n">
        <v>11.43</v>
      </c>
      <c r="K118" s="108" t="n">
        <v>0</v>
      </c>
      <c r="L118" s="106" t="n">
        <v>0</v>
      </c>
      <c r="M118" s="106" t="n">
        <v>36</v>
      </c>
      <c r="N118" s="106" t="n">
        <v>9.38</v>
      </c>
      <c r="O118" s="106" t="n">
        <v>11.46</v>
      </c>
      <c r="P118" s="106" t="n">
        <v>158</v>
      </c>
      <c r="Q118" s="106" t="n">
        <v>0</v>
      </c>
      <c r="R118" s="106" t="s">
        <v>3639</v>
      </c>
    </row>
    <row r="119" customFormat="false" ht="15" hidden="false" customHeight="false" outlineLevel="0" collapsed="false">
      <c r="A119" s="106" t="s">
        <v>4710</v>
      </c>
      <c r="B119" s="106" t="s">
        <v>4711</v>
      </c>
      <c r="C119" s="106" t="s">
        <v>696</v>
      </c>
      <c r="D119" s="106" t="s">
        <v>1712</v>
      </c>
      <c r="E119" s="106" t="n">
        <v>30</v>
      </c>
      <c r="F119" s="106" t="n">
        <v>176</v>
      </c>
      <c r="G119" s="108" t="n">
        <v>9246.4</v>
      </c>
      <c r="H119" s="106" t="n">
        <v>1.45</v>
      </c>
      <c r="I119" s="106" t="n">
        <v>7.42</v>
      </c>
      <c r="J119" s="106" t="n">
        <v>13.89</v>
      </c>
      <c r="K119" s="108" t="n">
        <v>220.91</v>
      </c>
      <c r="L119" s="106" t="n">
        <v>0.3</v>
      </c>
      <c r="M119" s="106" t="n">
        <v>56</v>
      </c>
      <c r="N119" s="106" t="n">
        <v>16.09</v>
      </c>
      <c r="O119" s="106" t="n">
        <v>19.18</v>
      </c>
      <c r="P119" s="106" t="n">
        <v>11</v>
      </c>
      <c r="Q119" s="106" t="n">
        <v>0</v>
      </c>
      <c r="R119" s="106" t="s">
        <v>3639</v>
      </c>
    </row>
    <row r="120" customFormat="false" ht="15" hidden="false" customHeight="false" outlineLevel="0" collapsed="false">
      <c r="A120" s="106" t="s">
        <v>4712</v>
      </c>
      <c r="B120" s="106" t="s">
        <v>4713</v>
      </c>
      <c r="C120" s="106" t="s">
        <v>479</v>
      </c>
      <c r="D120" s="106" t="s">
        <v>1752</v>
      </c>
      <c r="E120" s="106" t="n">
        <v>31</v>
      </c>
      <c r="F120" s="106" t="n">
        <v>143</v>
      </c>
      <c r="G120" s="108" t="n">
        <v>8535.17</v>
      </c>
      <c r="H120" s="106" t="n">
        <v>1.18</v>
      </c>
      <c r="I120" s="106" t="n">
        <v>5.86</v>
      </c>
      <c r="J120" s="106" t="n">
        <v>15.1</v>
      </c>
      <c r="K120" s="108" t="n">
        <v>0</v>
      </c>
      <c r="L120" s="106" t="n">
        <v>0</v>
      </c>
      <c r="M120" s="106" t="n">
        <v>23</v>
      </c>
      <c r="N120" s="106" t="n">
        <v>6.5</v>
      </c>
      <c r="O120" s="106" t="n">
        <v>13.95</v>
      </c>
      <c r="P120" s="106" t="n">
        <v>3</v>
      </c>
      <c r="Q120" s="106" t="n">
        <v>0</v>
      </c>
      <c r="R120" s="106" t="s">
        <v>3639</v>
      </c>
    </row>
    <row r="121" customFormat="false" ht="15" hidden="false" customHeight="false" outlineLevel="0" collapsed="false">
      <c r="A121" s="106" t="s">
        <v>4714</v>
      </c>
      <c r="B121" s="106" t="s">
        <v>4715</v>
      </c>
      <c r="C121" s="106" t="s">
        <v>479</v>
      </c>
      <c r="D121" s="106" t="s">
        <v>1720</v>
      </c>
      <c r="E121" s="106" t="n">
        <v>32</v>
      </c>
      <c r="F121" s="106" t="n">
        <v>140</v>
      </c>
      <c r="G121" s="108" t="n">
        <v>7888.13</v>
      </c>
      <c r="H121" s="106" t="n">
        <v>1.15</v>
      </c>
      <c r="I121" s="106" t="n">
        <v>3.73</v>
      </c>
      <c r="J121" s="106" t="n">
        <v>1.83</v>
      </c>
      <c r="K121" s="108" t="n">
        <v>1301.49</v>
      </c>
      <c r="L121" s="106" t="n">
        <v>1.7</v>
      </c>
      <c r="M121" s="106" t="n">
        <v>28</v>
      </c>
      <c r="N121" s="106" t="n">
        <v>5.81</v>
      </c>
      <c r="O121" s="106" t="n">
        <v>6</v>
      </c>
      <c r="P121" s="106" t="n">
        <v>6</v>
      </c>
      <c r="Q121" s="106" t="n">
        <v>36</v>
      </c>
      <c r="R121" s="106" t="s">
        <v>3639</v>
      </c>
    </row>
    <row r="122" customFormat="false" ht="15" hidden="false" customHeight="false" outlineLevel="0" collapsed="false">
      <c r="A122" s="106" t="s">
        <v>4716</v>
      </c>
      <c r="B122" s="106" t="s">
        <v>4717</v>
      </c>
      <c r="C122" s="106" t="s">
        <v>1689</v>
      </c>
      <c r="D122" s="106" t="s">
        <v>1708</v>
      </c>
      <c r="E122" s="106" t="n">
        <v>33</v>
      </c>
      <c r="F122" s="106" t="n">
        <v>132</v>
      </c>
      <c r="G122" s="108" t="n">
        <v>9648.89</v>
      </c>
      <c r="H122" s="106" t="n">
        <v>1.09</v>
      </c>
      <c r="I122" s="106" t="n">
        <v>4.19</v>
      </c>
      <c r="J122" s="106" t="n">
        <v>17.64</v>
      </c>
      <c r="K122" s="108" t="n">
        <v>247.43</v>
      </c>
      <c r="L122" s="106" t="n">
        <v>0.3</v>
      </c>
      <c r="M122" s="106" t="n">
        <v>34</v>
      </c>
      <c r="N122" s="106" t="n">
        <v>6.48</v>
      </c>
      <c r="O122" s="106" t="n">
        <v>24.29</v>
      </c>
      <c r="P122" s="106" t="n">
        <v>35</v>
      </c>
      <c r="Q122" s="106" t="n">
        <v>0</v>
      </c>
      <c r="R122" s="106" t="s">
        <v>4718</v>
      </c>
    </row>
    <row r="123" customFormat="false" ht="15" hidden="false" customHeight="false" outlineLevel="0" collapsed="false">
      <c r="A123" s="106" t="s">
        <v>4719</v>
      </c>
      <c r="B123" s="106" t="s">
        <v>4720</v>
      </c>
      <c r="C123" s="106" t="s">
        <v>560</v>
      </c>
      <c r="D123" s="106" t="s">
        <v>1772</v>
      </c>
      <c r="E123" s="106" t="n">
        <v>34</v>
      </c>
      <c r="F123" s="106" t="n">
        <v>126</v>
      </c>
      <c r="G123" s="108" t="n">
        <v>9298.01</v>
      </c>
      <c r="H123" s="106" t="n">
        <v>1.04</v>
      </c>
      <c r="I123" s="106" t="n">
        <v>3.79</v>
      </c>
      <c r="J123" s="106" t="n">
        <v>20.48</v>
      </c>
      <c r="K123" s="108" t="n">
        <v>0</v>
      </c>
      <c r="L123" s="106" t="n">
        <v>0</v>
      </c>
      <c r="M123" s="106" t="n">
        <v>26</v>
      </c>
      <c r="N123" s="106" t="n">
        <v>3.62</v>
      </c>
      <c r="O123" s="106" t="n">
        <v>20.97</v>
      </c>
      <c r="P123" s="106" t="n">
        <v>3</v>
      </c>
      <c r="Q123" s="106" t="n">
        <v>66</v>
      </c>
      <c r="R123" s="106" t="s">
        <v>3639</v>
      </c>
    </row>
    <row r="124" customFormat="false" ht="15" hidden="false" customHeight="false" outlineLevel="0" collapsed="false">
      <c r="A124" s="106" t="s">
        <v>4721</v>
      </c>
      <c r="B124" s="106" t="s">
        <v>4722</v>
      </c>
      <c r="C124" s="106" t="s">
        <v>479</v>
      </c>
      <c r="D124" s="106" t="s">
        <v>1750</v>
      </c>
      <c r="E124" s="106" t="n">
        <v>35</v>
      </c>
      <c r="F124" s="106" t="n">
        <v>117</v>
      </c>
      <c r="G124" s="108" t="n">
        <v>6602.08</v>
      </c>
      <c r="H124" s="106" t="n">
        <v>0.96</v>
      </c>
      <c r="I124" s="106" t="n">
        <v>4.03</v>
      </c>
      <c r="J124" s="106" t="n">
        <v>13.29</v>
      </c>
      <c r="K124" s="108" t="n">
        <v>0</v>
      </c>
      <c r="L124" s="106" t="n">
        <v>0</v>
      </c>
      <c r="M124" s="106" t="n">
        <v>18</v>
      </c>
      <c r="N124" s="106" t="n">
        <v>5.56</v>
      </c>
      <c r="O124" s="106" t="n">
        <v>10.25</v>
      </c>
      <c r="P124" s="106" t="n">
        <v>77</v>
      </c>
      <c r="Q124" s="106" t="n">
        <v>0</v>
      </c>
      <c r="R124" s="106" t="s">
        <v>3639</v>
      </c>
    </row>
    <row r="125" customFormat="false" ht="15" hidden="false" customHeight="false" outlineLevel="0" collapsed="false">
      <c r="A125" s="106" t="s">
        <v>4723</v>
      </c>
      <c r="B125" s="106" t="s">
        <v>4724</v>
      </c>
      <c r="C125" s="106" t="s">
        <v>1689</v>
      </c>
      <c r="D125" s="106" t="s">
        <v>1712</v>
      </c>
      <c r="E125" s="106" t="n">
        <v>36</v>
      </c>
      <c r="F125" s="106" t="n">
        <v>111</v>
      </c>
      <c r="G125" s="108" t="n">
        <v>8262.15</v>
      </c>
      <c r="H125" s="106" t="n">
        <v>0.91</v>
      </c>
      <c r="I125" s="106" t="n">
        <v>7.12</v>
      </c>
      <c r="J125" s="106" t="n">
        <v>18.24</v>
      </c>
      <c r="K125" s="108" t="n">
        <v>0</v>
      </c>
      <c r="L125" s="106" t="n">
        <v>0</v>
      </c>
      <c r="M125" s="106" t="n">
        <v>38</v>
      </c>
      <c r="N125" s="106" t="n">
        <v>13.1</v>
      </c>
      <c r="O125" s="106" t="n">
        <v>23.1</v>
      </c>
      <c r="P125" s="106" t="n">
        <v>42</v>
      </c>
      <c r="Q125" s="106" t="n">
        <v>30</v>
      </c>
      <c r="R125" s="106" t="s">
        <v>3639</v>
      </c>
    </row>
    <row r="126" customFormat="false" ht="15" hidden="false" customHeight="false" outlineLevel="0" collapsed="false">
      <c r="A126" s="106" t="s">
        <v>4725</v>
      </c>
      <c r="B126" s="106" t="s">
        <v>4726</v>
      </c>
      <c r="C126" s="106" t="s">
        <v>479</v>
      </c>
      <c r="D126" s="106" t="s">
        <v>1704</v>
      </c>
      <c r="E126" s="106" t="n">
        <v>37</v>
      </c>
      <c r="F126" s="106" t="n">
        <v>110</v>
      </c>
      <c r="G126" s="108" t="n">
        <v>6543.1</v>
      </c>
      <c r="H126" s="106" t="n">
        <v>0.9</v>
      </c>
      <c r="I126" s="106" t="n">
        <v>2.22</v>
      </c>
      <c r="J126" s="106" t="n">
        <v>15.26</v>
      </c>
      <c r="K126" s="108" t="n">
        <v>0</v>
      </c>
      <c r="L126" s="106" t="n">
        <v>0</v>
      </c>
      <c r="M126" s="106" t="n">
        <v>28</v>
      </c>
      <c r="N126" s="106" t="n">
        <v>3.93</v>
      </c>
      <c r="O126" s="106" t="n">
        <v>18.6</v>
      </c>
      <c r="P126" s="106" t="n">
        <v>32</v>
      </c>
      <c r="Q126" s="106" t="n">
        <v>30</v>
      </c>
      <c r="R126" s="106" t="s">
        <v>3639</v>
      </c>
    </row>
    <row r="127" customFormat="false" ht="15" hidden="false" customHeight="false" outlineLevel="0" collapsed="false">
      <c r="A127" s="106" t="s">
        <v>4727</v>
      </c>
      <c r="B127" s="106" t="s">
        <v>4728</v>
      </c>
      <c r="C127" s="106" t="s">
        <v>560</v>
      </c>
      <c r="D127" s="106" t="s">
        <v>1750</v>
      </c>
      <c r="E127" s="106" t="n">
        <v>38</v>
      </c>
      <c r="F127" s="106" t="n">
        <v>110</v>
      </c>
      <c r="G127" s="108" t="n">
        <v>8221.96</v>
      </c>
      <c r="H127" s="106" t="n">
        <v>0.9</v>
      </c>
      <c r="I127" s="106" t="n">
        <v>4.37</v>
      </c>
      <c r="J127" s="106" t="n">
        <v>20.92</v>
      </c>
      <c r="K127" s="108" t="n">
        <v>0</v>
      </c>
      <c r="L127" s="106" t="n">
        <v>0</v>
      </c>
      <c r="M127" s="106" t="n">
        <v>20</v>
      </c>
      <c r="N127" s="106" t="n">
        <v>3.34</v>
      </c>
      <c r="O127" s="106" t="n">
        <v>23.79</v>
      </c>
      <c r="P127" s="106" t="n">
        <v>0</v>
      </c>
      <c r="Q127" s="106" t="n">
        <v>120</v>
      </c>
      <c r="R127" s="106" t="s">
        <v>3639</v>
      </c>
    </row>
    <row r="128" customFormat="false" ht="15" hidden="false" customHeight="false" outlineLevel="0" collapsed="false">
      <c r="A128" s="106" t="s">
        <v>4729</v>
      </c>
      <c r="B128" s="106" t="s">
        <v>4730</v>
      </c>
      <c r="C128" s="106" t="s">
        <v>696</v>
      </c>
      <c r="D128" s="106" t="s">
        <v>1720</v>
      </c>
      <c r="E128" s="106" t="n">
        <v>39</v>
      </c>
      <c r="F128" s="106" t="n">
        <v>107</v>
      </c>
      <c r="G128" s="108" t="n">
        <v>5406.89</v>
      </c>
      <c r="H128" s="106" t="n">
        <v>0.88</v>
      </c>
      <c r="I128" s="106" t="n">
        <v>4.88</v>
      </c>
      <c r="J128" s="106" t="n">
        <v>5.93</v>
      </c>
      <c r="K128" s="108" t="n">
        <v>479.65</v>
      </c>
      <c r="L128" s="106" t="n">
        <v>0.6</v>
      </c>
      <c r="M128" s="106" t="n">
        <v>16</v>
      </c>
      <c r="N128" s="106" t="n">
        <v>4.08</v>
      </c>
      <c r="O128" s="106" t="n">
        <v>-1.08</v>
      </c>
      <c r="P128" s="106" t="n">
        <v>11</v>
      </c>
      <c r="Q128" s="106" t="n">
        <v>0</v>
      </c>
      <c r="R128" s="106" t="s">
        <v>3639</v>
      </c>
    </row>
    <row r="129" customFormat="false" ht="15" hidden="false" customHeight="false" outlineLevel="0" collapsed="false">
      <c r="A129" s="106" t="s">
        <v>4731</v>
      </c>
      <c r="B129" s="106" t="s">
        <v>4732</v>
      </c>
      <c r="C129" s="106" t="s">
        <v>479</v>
      </c>
      <c r="D129" s="106" t="s">
        <v>1772</v>
      </c>
      <c r="E129" s="106" t="n">
        <v>40</v>
      </c>
      <c r="F129" s="106" t="n">
        <v>105</v>
      </c>
      <c r="G129" s="108" t="n">
        <v>5753.72</v>
      </c>
      <c r="H129" s="106" t="n">
        <v>0.86</v>
      </c>
      <c r="I129" s="106" t="n">
        <v>5.81</v>
      </c>
      <c r="J129" s="106" t="n">
        <v>11.57</v>
      </c>
      <c r="K129" s="108" t="n">
        <v>0</v>
      </c>
      <c r="L129" s="106" t="n">
        <v>0</v>
      </c>
      <c r="M129" s="106" t="n">
        <v>16</v>
      </c>
      <c r="N129" s="106" t="n">
        <v>5.44</v>
      </c>
      <c r="O129" s="106" t="n">
        <v>13.07</v>
      </c>
      <c r="P129" s="106" t="n">
        <v>14</v>
      </c>
      <c r="Q129" s="106" t="n">
        <v>36</v>
      </c>
      <c r="R129" s="106" t="s">
        <v>3639</v>
      </c>
    </row>
    <row r="130" customFormat="false" ht="15" hidden="false" customHeight="false" outlineLevel="0" collapsed="false">
      <c r="A130" s="106" t="s">
        <v>4733</v>
      </c>
      <c r="B130" s="106" t="s">
        <v>4734</v>
      </c>
      <c r="C130" s="106" t="s">
        <v>696</v>
      </c>
      <c r="D130" s="106" t="s">
        <v>1716</v>
      </c>
      <c r="E130" s="106" t="n">
        <v>41</v>
      </c>
      <c r="F130" s="106" t="n">
        <v>102</v>
      </c>
      <c r="G130" s="108" t="n">
        <v>5330.36</v>
      </c>
      <c r="H130" s="106" t="n">
        <v>0.84</v>
      </c>
      <c r="I130" s="106" t="n">
        <v>7.09</v>
      </c>
      <c r="J130" s="106" t="n">
        <v>15.77</v>
      </c>
      <c r="K130" s="108" t="n">
        <v>0</v>
      </c>
      <c r="L130" s="106" t="n">
        <v>0</v>
      </c>
      <c r="M130" s="106" t="n">
        <v>35</v>
      </c>
      <c r="N130" s="106" t="n">
        <v>11.29</v>
      </c>
      <c r="O130" s="106" t="n">
        <v>18.73</v>
      </c>
      <c r="P130" s="106" t="n">
        <v>0</v>
      </c>
      <c r="Q130" s="106" t="n">
        <v>48</v>
      </c>
      <c r="R130" s="106" t="s">
        <v>3639</v>
      </c>
    </row>
    <row r="131" customFormat="false" ht="15" hidden="false" customHeight="false" outlineLevel="0" collapsed="false">
      <c r="A131" s="106" t="s">
        <v>4735</v>
      </c>
      <c r="B131" s="106" t="s">
        <v>4736</v>
      </c>
      <c r="C131" s="106" t="s">
        <v>1689</v>
      </c>
      <c r="D131" s="106" t="s">
        <v>1720</v>
      </c>
      <c r="E131" s="106" t="n">
        <v>42</v>
      </c>
      <c r="F131" s="106" t="n">
        <v>99</v>
      </c>
      <c r="G131" s="108" t="n">
        <v>7247.24</v>
      </c>
      <c r="H131" s="106" t="n">
        <v>0.81</v>
      </c>
      <c r="I131" s="106" t="n">
        <v>6.49</v>
      </c>
      <c r="J131" s="106" t="n">
        <v>17.49</v>
      </c>
      <c r="K131" s="108" t="n">
        <v>0</v>
      </c>
      <c r="L131" s="106" t="n">
        <v>0</v>
      </c>
      <c r="M131" s="106" t="n">
        <v>33</v>
      </c>
      <c r="N131" s="106" t="n">
        <v>13.41</v>
      </c>
      <c r="O131" s="106" t="n">
        <v>21.31</v>
      </c>
      <c r="P131" s="106" t="n">
        <v>62</v>
      </c>
      <c r="Q131" s="106" t="n">
        <v>30</v>
      </c>
      <c r="R131" s="106" t="s">
        <v>3639</v>
      </c>
    </row>
    <row r="132" customFormat="false" ht="15" hidden="false" customHeight="false" outlineLevel="0" collapsed="false">
      <c r="A132" s="106" t="s">
        <v>4737</v>
      </c>
      <c r="B132" s="106" t="s">
        <v>4738</v>
      </c>
      <c r="C132" s="106" t="s">
        <v>1689</v>
      </c>
      <c r="D132" s="106" t="s">
        <v>1733</v>
      </c>
      <c r="E132" s="106" t="n">
        <v>43</v>
      </c>
      <c r="F132" s="106" t="n">
        <v>91</v>
      </c>
      <c r="G132" s="108" t="n">
        <v>6532.1</v>
      </c>
      <c r="H132" s="106" t="n">
        <v>0.75</v>
      </c>
      <c r="I132" s="106" t="n">
        <v>5.08</v>
      </c>
      <c r="J132" s="106" t="n">
        <v>19.65</v>
      </c>
      <c r="K132" s="108" t="n">
        <v>0</v>
      </c>
      <c r="L132" s="106" t="n">
        <v>0</v>
      </c>
      <c r="M132" s="106" t="n">
        <v>22</v>
      </c>
      <c r="N132" s="106" t="n">
        <v>7.36</v>
      </c>
      <c r="O132" s="106" t="n">
        <v>17.64</v>
      </c>
      <c r="P132" s="106" t="n">
        <v>25</v>
      </c>
      <c r="Q132" s="106" t="n">
        <v>0</v>
      </c>
      <c r="R132" s="106" t="s">
        <v>3639</v>
      </c>
    </row>
    <row r="133" customFormat="false" ht="15" hidden="false" customHeight="false" outlineLevel="0" collapsed="false">
      <c r="A133" s="106" t="s">
        <v>4739</v>
      </c>
      <c r="B133" s="106" t="s">
        <v>4740</v>
      </c>
      <c r="C133" s="106" t="s">
        <v>479</v>
      </c>
      <c r="D133" s="106" t="s">
        <v>1737</v>
      </c>
      <c r="E133" s="106" t="n">
        <v>44</v>
      </c>
      <c r="F133" s="106" t="n">
        <v>86</v>
      </c>
      <c r="G133" s="108" t="n">
        <v>5133.39</v>
      </c>
      <c r="H133" s="106" t="n">
        <v>0.71</v>
      </c>
      <c r="I133" s="106" t="n">
        <v>4.83</v>
      </c>
      <c r="J133" s="106" t="n">
        <v>14.04</v>
      </c>
      <c r="K133" s="108" t="n">
        <v>0</v>
      </c>
      <c r="L133" s="106" t="n">
        <v>0</v>
      </c>
      <c r="M133" s="106" t="n">
        <v>23</v>
      </c>
      <c r="N133" s="106" t="n">
        <v>7.28</v>
      </c>
      <c r="O133" s="106" t="n">
        <v>14.12</v>
      </c>
      <c r="P133" s="106" t="n">
        <v>68</v>
      </c>
      <c r="Q133" s="106" t="n">
        <v>0</v>
      </c>
      <c r="R133" s="106" t="s">
        <v>3639</v>
      </c>
    </row>
    <row r="134" customFormat="false" ht="15" hidden="false" customHeight="false" outlineLevel="0" collapsed="false">
      <c r="A134" s="106" t="s">
        <v>4741</v>
      </c>
      <c r="B134" s="106" t="s">
        <v>4742</v>
      </c>
      <c r="C134" s="106" t="s">
        <v>1689</v>
      </c>
      <c r="D134" s="106" t="s">
        <v>1737</v>
      </c>
      <c r="E134" s="106" t="n">
        <v>45</v>
      </c>
      <c r="F134" s="106" t="n">
        <v>79</v>
      </c>
      <c r="G134" s="108" t="n">
        <v>5471.47</v>
      </c>
      <c r="H134" s="106" t="n">
        <v>0.65</v>
      </c>
      <c r="I134" s="106" t="n">
        <v>4.64</v>
      </c>
      <c r="J134" s="106" t="n">
        <v>8.21</v>
      </c>
      <c r="K134" s="108" t="n">
        <v>465.57</v>
      </c>
      <c r="L134" s="106" t="n">
        <v>0.6</v>
      </c>
      <c r="M134" s="106" t="n">
        <v>15</v>
      </c>
      <c r="N134" s="106" t="n">
        <v>5.07</v>
      </c>
      <c r="O134" s="106" t="n">
        <v>-11.44</v>
      </c>
      <c r="P134" s="106" t="n">
        <v>0</v>
      </c>
      <c r="Q134" s="106" t="n">
        <v>36</v>
      </c>
      <c r="R134" s="106" t="s">
        <v>3639</v>
      </c>
    </row>
    <row r="135" customFormat="false" ht="15" hidden="false" customHeight="false" outlineLevel="0" collapsed="false">
      <c r="A135" s="106" t="s">
        <v>4743</v>
      </c>
      <c r="B135" s="106" t="s">
        <v>4744</v>
      </c>
      <c r="C135" s="106" t="s">
        <v>696</v>
      </c>
      <c r="D135" s="106" t="s">
        <v>1708</v>
      </c>
      <c r="E135" s="106" t="n">
        <v>46</v>
      </c>
      <c r="F135" s="106" t="n">
        <v>79</v>
      </c>
      <c r="G135" s="108" t="n">
        <v>4162.51</v>
      </c>
      <c r="H135" s="106" t="n">
        <v>0.65</v>
      </c>
      <c r="I135" s="106" t="n">
        <v>2.88</v>
      </c>
      <c r="J135" s="106" t="n">
        <v>16.98</v>
      </c>
      <c r="K135" s="108" t="n">
        <v>0</v>
      </c>
      <c r="L135" s="106" t="n">
        <v>0</v>
      </c>
      <c r="M135" s="106" t="n">
        <v>30</v>
      </c>
      <c r="N135" s="106" t="n">
        <v>2.44</v>
      </c>
      <c r="O135" s="106" t="n">
        <v>19.87</v>
      </c>
      <c r="P135" s="106" t="n">
        <v>1</v>
      </c>
      <c r="Q135" s="106" t="n">
        <v>48</v>
      </c>
      <c r="R135" s="106" t="s">
        <v>4745</v>
      </c>
    </row>
    <row r="136" customFormat="false" ht="15" hidden="false" customHeight="false" outlineLevel="0" collapsed="false">
      <c r="A136" s="106" t="s">
        <v>4746</v>
      </c>
      <c r="B136" s="106" t="s">
        <v>4747</v>
      </c>
      <c r="C136" s="106" t="s">
        <v>696</v>
      </c>
      <c r="D136" s="106" t="s">
        <v>1752</v>
      </c>
      <c r="E136" s="106" t="n">
        <v>47</v>
      </c>
      <c r="F136" s="106" t="n">
        <v>77</v>
      </c>
      <c r="G136" s="108" t="n">
        <v>3911.03</v>
      </c>
      <c r="H136" s="106" t="n">
        <v>0.63</v>
      </c>
      <c r="I136" s="106" t="n">
        <v>5.29</v>
      </c>
      <c r="J136" s="106" t="n">
        <v>14.48</v>
      </c>
      <c r="K136" s="108" t="n">
        <v>0</v>
      </c>
      <c r="L136" s="106" t="n">
        <v>0</v>
      </c>
      <c r="M136" s="106" t="n">
        <v>17</v>
      </c>
      <c r="N136" s="106" t="n">
        <v>9.44</v>
      </c>
      <c r="O136" s="106" t="n">
        <v>17.4</v>
      </c>
      <c r="P136" s="106" t="n">
        <v>0</v>
      </c>
      <c r="Q136" s="106" t="n">
        <v>0</v>
      </c>
      <c r="R136" s="106" t="s">
        <v>3639</v>
      </c>
    </row>
    <row r="137" customFormat="false" ht="15" hidden="false" customHeight="false" outlineLevel="0" collapsed="false">
      <c r="A137" s="106" t="s">
        <v>4748</v>
      </c>
      <c r="B137" s="106" t="s">
        <v>2266</v>
      </c>
      <c r="C137" s="106" t="s">
        <v>1689</v>
      </c>
      <c r="D137" s="106" t="s">
        <v>1750</v>
      </c>
      <c r="E137" s="106" t="n">
        <v>48</v>
      </c>
      <c r="F137" s="106" t="n">
        <v>76</v>
      </c>
      <c r="G137" s="108" t="n">
        <v>5521.75</v>
      </c>
      <c r="H137" s="106" t="n">
        <v>0.62</v>
      </c>
      <c r="I137" s="106" t="n">
        <v>5.83</v>
      </c>
      <c r="J137" s="106" t="n">
        <v>19.74</v>
      </c>
      <c r="K137" s="108" t="n">
        <v>0</v>
      </c>
      <c r="L137" s="106" t="n">
        <v>0</v>
      </c>
      <c r="M137" s="106" t="n">
        <v>35</v>
      </c>
      <c r="N137" s="106" t="n">
        <v>10.29</v>
      </c>
      <c r="O137" s="106" t="n">
        <v>25.6</v>
      </c>
      <c r="P137" s="106" t="n">
        <v>0</v>
      </c>
      <c r="Q137" s="106" t="n">
        <v>48</v>
      </c>
      <c r="R137" s="106" t="s">
        <v>3639</v>
      </c>
    </row>
    <row r="138" customFormat="false" ht="15" hidden="false" customHeight="false" outlineLevel="0" collapsed="false">
      <c r="A138" s="106" t="s">
        <v>4749</v>
      </c>
      <c r="B138" s="106" t="s">
        <v>4750</v>
      </c>
      <c r="C138" s="106" t="s">
        <v>696</v>
      </c>
      <c r="D138" s="106" t="s">
        <v>1704</v>
      </c>
      <c r="E138" s="106" t="n">
        <v>49</v>
      </c>
      <c r="F138" s="106" t="n">
        <v>71</v>
      </c>
      <c r="G138" s="108" t="n">
        <v>3614.29</v>
      </c>
      <c r="H138" s="106" t="n">
        <v>0.58</v>
      </c>
      <c r="I138" s="106" t="n">
        <v>3.17</v>
      </c>
      <c r="J138" s="106" t="n">
        <v>14.51</v>
      </c>
      <c r="K138" s="108" t="n">
        <v>0</v>
      </c>
      <c r="L138" s="106" t="n">
        <v>0</v>
      </c>
      <c r="M138" s="106" t="n">
        <v>11</v>
      </c>
      <c r="N138" s="106" t="n">
        <v>6.4</v>
      </c>
      <c r="O138" s="106" t="n">
        <v>17.82</v>
      </c>
      <c r="P138" s="106" t="n">
        <v>0</v>
      </c>
      <c r="Q138" s="106" t="n">
        <v>30</v>
      </c>
      <c r="R138" s="106" t="s">
        <v>3639</v>
      </c>
    </row>
    <row r="139" customFormat="false" ht="15" hidden="false" customHeight="false" outlineLevel="0" collapsed="false">
      <c r="A139" s="106" t="s">
        <v>4751</v>
      </c>
      <c r="B139" s="106" t="s">
        <v>4752</v>
      </c>
      <c r="C139" s="106" t="s">
        <v>1689</v>
      </c>
      <c r="D139" s="106" t="s">
        <v>1716</v>
      </c>
      <c r="E139" s="106" t="n">
        <v>50</v>
      </c>
      <c r="F139" s="106" t="n">
        <v>66</v>
      </c>
      <c r="G139" s="108" t="n">
        <v>4671.84</v>
      </c>
      <c r="H139" s="106" t="n">
        <v>0.54</v>
      </c>
      <c r="I139" s="106" t="n">
        <v>4.51</v>
      </c>
      <c r="J139" s="106" t="n">
        <v>14.07</v>
      </c>
      <c r="K139" s="108" t="n">
        <v>0</v>
      </c>
      <c r="L139" s="106" t="n">
        <v>0</v>
      </c>
      <c r="M139" s="106" t="n">
        <v>17</v>
      </c>
      <c r="N139" s="106" t="n">
        <v>8.54</v>
      </c>
      <c r="O139" s="106" t="n">
        <v>22.2</v>
      </c>
      <c r="P139" s="106" t="n">
        <v>0</v>
      </c>
      <c r="Q139" s="106" t="n">
        <v>42</v>
      </c>
      <c r="R139" s="106" t="s">
        <v>3639</v>
      </c>
    </row>
    <row r="140" customFormat="false" ht="15" hidden="false" customHeight="false" outlineLevel="0" collapsed="false">
      <c r="A140" s="106" t="s">
        <v>4753</v>
      </c>
      <c r="B140" s="106" t="s">
        <v>4754</v>
      </c>
      <c r="C140" s="106" t="s">
        <v>479</v>
      </c>
      <c r="D140" s="106" t="s">
        <v>1748</v>
      </c>
      <c r="E140" s="106" t="n">
        <v>51</v>
      </c>
      <c r="F140" s="106" t="n">
        <v>66</v>
      </c>
      <c r="G140" s="108" t="n">
        <v>3807.06</v>
      </c>
      <c r="H140" s="106" t="n">
        <v>0.54</v>
      </c>
      <c r="I140" s="106" t="n">
        <v>2.84</v>
      </c>
      <c r="J140" s="106" t="n">
        <v>12.93</v>
      </c>
      <c r="K140" s="108" t="n">
        <v>0</v>
      </c>
      <c r="L140" s="106" t="n">
        <v>0</v>
      </c>
      <c r="M140" s="106" t="n">
        <v>11</v>
      </c>
      <c r="N140" s="106" t="n">
        <v>4.53</v>
      </c>
      <c r="O140" s="106" t="n">
        <v>17.42</v>
      </c>
      <c r="P140" s="106" t="n">
        <v>19</v>
      </c>
      <c r="Q140" s="106" t="n">
        <v>0</v>
      </c>
      <c r="R140" s="106" t="s">
        <v>3639</v>
      </c>
    </row>
    <row r="141" customFormat="false" ht="15" hidden="false" customHeight="false" outlineLevel="0" collapsed="false">
      <c r="A141" s="106" t="s">
        <v>4755</v>
      </c>
      <c r="B141" s="106" t="s">
        <v>4756</v>
      </c>
      <c r="C141" s="106" t="s">
        <v>696</v>
      </c>
      <c r="D141" s="106" t="s">
        <v>1737</v>
      </c>
      <c r="E141" s="106" t="n">
        <v>52</v>
      </c>
      <c r="F141" s="106" t="n">
        <v>63</v>
      </c>
      <c r="G141" s="108" t="n">
        <v>3157.87</v>
      </c>
      <c r="H141" s="106" t="n">
        <v>0.52</v>
      </c>
      <c r="I141" s="106" t="n">
        <v>4.14</v>
      </c>
      <c r="J141" s="106" t="n">
        <v>13.82</v>
      </c>
      <c r="K141" s="108" t="n">
        <v>0</v>
      </c>
      <c r="L141" s="106" t="n">
        <v>0</v>
      </c>
      <c r="M141" s="106" t="n">
        <v>5</v>
      </c>
      <c r="N141" s="106" t="n">
        <v>4.63</v>
      </c>
      <c r="O141" s="106" t="n">
        <v>16.78</v>
      </c>
      <c r="P141" s="106" t="n">
        <v>0</v>
      </c>
      <c r="Q141" s="106" t="n">
        <v>30</v>
      </c>
      <c r="R141" s="106" t="s">
        <v>3639</v>
      </c>
    </row>
    <row r="142" customFormat="false" ht="15" hidden="false" customHeight="false" outlineLevel="0" collapsed="false">
      <c r="A142" s="106" t="s">
        <v>4757</v>
      </c>
      <c r="B142" s="106" t="s">
        <v>4758</v>
      </c>
      <c r="C142" s="106" t="s">
        <v>1689</v>
      </c>
      <c r="D142" s="106" t="s">
        <v>1704</v>
      </c>
      <c r="E142" s="106" t="n">
        <v>53</v>
      </c>
      <c r="F142" s="106" t="n">
        <v>55</v>
      </c>
      <c r="G142" s="108" t="n">
        <v>4009.19</v>
      </c>
      <c r="H142" s="106" t="n">
        <v>0.45</v>
      </c>
      <c r="I142" s="106" t="n">
        <v>2.52</v>
      </c>
      <c r="J142" s="106" t="n">
        <v>13.67</v>
      </c>
      <c r="K142" s="108" t="n">
        <v>0</v>
      </c>
      <c r="L142" s="106" t="n">
        <v>0</v>
      </c>
      <c r="M142" s="106" t="n">
        <v>16</v>
      </c>
      <c r="N142" s="106" t="n">
        <v>5.52</v>
      </c>
      <c r="O142" s="106" t="n">
        <v>18.56</v>
      </c>
      <c r="P142" s="106" t="n">
        <v>55</v>
      </c>
      <c r="Q142" s="106" t="n">
        <v>0</v>
      </c>
      <c r="R142" s="106" t="s">
        <v>3639</v>
      </c>
    </row>
    <row r="143" customFormat="false" ht="15" hidden="false" customHeight="false" outlineLevel="0" collapsed="false">
      <c r="A143" s="106" t="s">
        <v>4759</v>
      </c>
      <c r="B143" s="106" t="s">
        <v>4760</v>
      </c>
      <c r="C143" s="106" t="s">
        <v>696</v>
      </c>
      <c r="D143" s="106" t="s">
        <v>1772</v>
      </c>
      <c r="E143" s="106" t="n">
        <v>54</v>
      </c>
      <c r="F143" s="106" t="n">
        <v>54</v>
      </c>
      <c r="G143" s="108" t="n">
        <v>2842.26</v>
      </c>
      <c r="H143" s="106" t="n">
        <v>0.44</v>
      </c>
      <c r="I143" s="106" t="n">
        <v>5.57</v>
      </c>
      <c r="J143" s="106" t="n">
        <v>17.25</v>
      </c>
      <c r="K143" s="108" t="n">
        <v>0</v>
      </c>
      <c r="L143" s="106" t="n">
        <v>0</v>
      </c>
      <c r="M143" s="106" t="n">
        <v>21</v>
      </c>
      <c r="N143" s="106" t="n">
        <v>9.05</v>
      </c>
      <c r="O143" s="106" t="n">
        <v>20.55</v>
      </c>
      <c r="P143" s="106" t="n">
        <v>0</v>
      </c>
      <c r="Q143" s="106" t="n">
        <v>42</v>
      </c>
      <c r="R143" s="106" t="s">
        <v>3639</v>
      </c>
    </row>
    <row r="144" customFormat="false" ht="15" hidden="false" customHeight="false" outlineLevel="0" collapsed="false">
      <c r="A144" s="106" t="s">
        <v>4761</v>
      </c>
      <c r="B144" s="106" t="s">
        <v>4762</v>
      </c>
      <c r="C144" s="106" t="s">
        <v>696</v>
      </c>
      <c r="D144" s="106" t="s">
        <v>1733</v>
      </c>
      <c r="E144" s="106" t="n">
        <v>55</v>
      </c>
      <c r="F144" s="106" t="n">
        <v>46</v>
      </c>
      <c r="G144" s="108" t="n">
        <v>2335.54</v>
      </c>
      <c r="H144" s="106" t="n">
        <v>0.38</v>
      </c>
      <c r="I144" s="106" t="n">
        <v>3.96</v>
      </c>
      <c r="J144" s="106" t="n">
        <v>15.12</v>
      </c>
      <c r="K144" s="108" t="n">
        <v>0</v>
      </c>
      <c r="L144" s="106" t="n">
        <v>0</v>
      </c>
      <c r="M144" s="106" t="n">
        <v>0</v>
      </c>
      <c r="N144" s="106"/>
      <c r="O144" s="106"/>
      <c r="P144" s="106" t="n">
        <v>0</v>
      </c>
      <c r="Q144" s="106" t="n">
        <v>42</v>
      </c>
      <c r="R144" s="106" t="s">
        <v>3639</v>
      </c>
    </row>
    <row r="145" customFormat="false" ht="15" hidden="false" customHeight="false" outlineLevel="0" collapsed="false">
      <c r="A145" s="106" t="s">
        <v>4763</v>
      </c>
      <c r="B145" s="106" t="s">
        <v>4764</v>
      </c>
      <c r="C145" s="106" t="s">
        <v>696</v>
      </c>
      <c r="D145" s="106" t="s">
        <v>1750</v>
      </c>
      <c r="E145" s="106" t="n">
        <v>56</v>
      </c>
      <c r="F145" s="106" t="n">
        <v>45</v>
      </c>
      <c r="G145" s="108" t="n">
        <v>2309.55</v>
      </c>
      <c r="H145" s="106" t="n">
        <v>0.37</v>
      </c>
      <c r="I145" s="106" t="n">
        <v>2.32</v>
      </c>
      <c r="J145" s="106" t="n">
        <v>16.72</v>
      </c>
      <c r="K145" s="108" t="n">
        <v>0</v>
      </c>
      <c r="L145" s="106" t="n">
        <v>0</v>
      </c>
      <c r="M145" s="106" t="n">
        <v>13</v>
      </c>
      <c r="N145" s="106" t="n">
        <v>4.18</v>
      </c>
      <c r="O145" s="106" t="n">
        <v>19.47</v>
      </c>
      <c r="P145" s="106" t="n">
        <v>7</v>
      </c>
      <c r="Q145" s="106" t="n">
        <v>0</v>
      </c>
      <c r="R145" s="106" t="s">
        <v>3639</v>
      </c>
    </row>
    <row r="146" customFormat="false" ht="15" hidden="false" customHeight="false" outlineLevel="0" collapsed="false">
      <c r="A146" s="106" t="s">
        <v>4765</v>
      </c>
      <c r="B146" s="106" t="s">
        <v>4766</v>
      </c>
      <c r="C146" s="106" t="s">
        <v>1689</v>
      </c>
      <c r="D146" s="106" t="s">
        <v>1772</v>
      </c>
      <c r="E146" s="106" t="n">
        <v>57</v>
      </c>
      <c r="F146" s="106" t="n">
        <v>28</v>
      </c>
      <c r="G146" s="108" t="n">
        <v>2007.97</v>
      </c>
      <c r="H146" s="106" t="n">
        <v>0.23</v>
      </c>
      <c r="I146" s="106" t="n">
        <v>2.75</v>
      </c>
      <c r="J146" s="106" t="n">
        <v>19.8</v>
      </c>
      <c r="K146" s="108" t="n">
        <v>0</v>
      </c>
      <c r="L146" s="106" t="n">
        <v>0</v>
      </c>
      <c r="M146" s="106" t="n">
        <v>0</v>
      </c>
      <c r="N146" s="106"/>
      <c r="O146" s="106"/>
      <c r="P146" s="106" t="n">
        <v>0</v>
      </c>
      <c r="Q146" s="106" t="n">
        <v>0</v>
      </c>
      <c r="R146" s="106" t="s">
        <v>3639</v>
      </c>
    </row>
    <row r="147" customFormat="false" ht="15" hidden="false" customHeight="false" outlineLevel="0" collapsed="false">
      <c r="A147" s="106" t="s">
        <v>4767</v>
      </c>
      <c r="B147" s="106" t="s">
        <v>4768</v>
      </c>
      <c r="C147" s="106" t="s">
        <v>1689</v>
      </c>
      <c r="D147" s="106" t="s">
        <v>1748</v>
      </c>
      <c r="E147" s="106" t="n">
        <v>58</v>
      </c>
      <c r="F147" s="106" t="n">
        <v>24</v>
      </c>
      <c r="G147" s="108" t="n">
        <v>1700.76</v>
      </c>
      <c r="H147" s="106" t="n">
        <v>0.2</v>
      </c>
      <c r="I147" s="106" t="n">
        <v>2.29</v>
      </c>
      <c r="J147" s="106" t="n">
        <v>8.36</v>
      </c>
      <c r="K147" s="108" t="n">
        <v>0</v>
      </c>
      <c r="L147" s="106" t="n">
        <v>0</v>
      </c>
      <c r="M147" s="106" t="n">
        <v>0</v>
      </c>
      <c r="N147" s="106"/>
      <c r="O147" s="106"/>
      <c r="P147" s="106" t="n">
        <v>0</v>
      </c>
      <c r="Q147" s="106" t="n">
        <v>0</v>
      </c>
      <c r="R147" s="106" t="s">
        <v>3639</v>
      </c>
    </row>
    <row r="148" customFormat="false" ht="15" hidden="false" customHeight="false" outlineLevel="0" collapsed="false">
      <c r="A148" s="106" t="s">
        <v>4769</v>
      </c>
      <c r="B148" s="106" t="s">
        <v>4770</v>
      </c>
      <c r="C148" s="106" t="s">
        <v>696</v>
      </c>
      <c r="D148" s="106" t="s">
        <v>1748</v>
      </c>
      <c r="E148" s="106" t="n">
        <v>59</v>
      </c>
      <c r="F148" s="106" t="n">
        <v>24</v>
      </c>
      <c r="G148" s="108" t="n">
        <v>1259.76</v>
      </c>
      <c r="H148" s="106" t="n">
        <v>0.2</v>
      </c>
      <c r="I148" s="106" t="n">
        <v>1.85</v>
      </c>
      <c r="J148" s="106" t="n">
        <v>13.53</v>
      </c>
      <c r="K148" s="108" t="n">
        <v>0</v>
      </c>
      <c r="L148" s="106" t="n">
        <v>0</v>
      </c>
      <c r="M148" s="106" t="n">
        <v>6</v>
      </c>
      <c r="N148" s="106" t="n">
        <v>3.05</v>
      </c>
      <c r="O148" s="106" t="n">
        <v>17.97</v>
      </c>
      <c r="P148" s="106" t="n">
        <v>35</v>
      </c>
      <c r="Q148" s="106" t="n">
        <v>0</v>
      </c>
      <c r="R148" s="106" t="s">
        <v>3639</v>
      </c>
    </row>
    <row r="149" customFormat="false" ht="15" hidden="false" customHeight="false" outlineLevel="0" collapsed="false">
      <c r="A149" s="106" t="s">
        <v>4771</v>
      </c>
      <c r="B149" s="106" t="s">
        <v>4772</v>
      </c>
      <c r="C149" s="106" t="s">
        <v>1689</v>
      </c>
      <c r="D149" s="106" t="s">
        <v>1752</v>
      </c>
      <c r="E149" s="106" t="n">
        <v>60</v>
      </c>
      <c r="F149" s="106" t="n">
        <v>23</v>
      </c>
      <c r="G149" s="108" t="n">
        <v>1637.77</v>
      </c>
      <c r="H149" s="106" t="n">
        <v>0.19</v>
      </c>
      <c r="I149" s="106" t="n">
        <v>3.99</v>
      </c>
      <c r="J149" s="106" t="n">
        <v>13.96</v>
      </c>
      <c r="K149" s="108" t="n">
        <v>0</v>
      </c>
      <c r="L149" s="106" t="n">
        <v>0</v>
      </c>
      <c r="M149" s="106" t="n">
        <v>0</v>
      </c>
      <c r="N149" s="106"/>
      <c r="O149" s="106"/>
      <c r="P149" s="106" t="n">
        <v>0</v>
      </c>
      <c r="Q149" s="106" t="n">
        <v>0</v>
      </c>
      <c r="R149" s="106" t="s">
        <v>3639</v>
      </c>
    </row>
    <row r="151" customFormat="false" ht="15" hidden="false" customHeight="false" outlineLevel="0" collapsed="false">
      <c r="A151" s="82" t="s">
        <v>4773</v>
      </c>
    </row>
    <row r="152" customFormat="false" ht="15" hidden="false" customHeight="false" outlineLevel="0" collapsed="false">
      <c r="A152" s="90" t="s">
        <v>4774</v>
      </c>
      <c r="B152" s="90" t="s">
        <v>3313</v>
      </c>
      <c r="C152" s="90" t="s">
        <v>3601</v>
      </c>
      <c r="D152" s="90" t="s">
        <v>3284</v>
      </c>
      <c r="E152" s="90" t="s">
        <v>3320</v>
      </c>
      <c r="F152" s="90" t="s">
        <v>3762</v>
      </c>
      <c r="G152" s="90" t="s">
        <v>3763</v>
      </c>
      <c r="H152" s="90" t="s">
        <v>3764</v>
      </c>
    </row>
    <row r="153" customFormat="false" ht="15" hidden="false" customHeight="false" outlineLevel="0" collapsed="false">
      <c r="A153" s="106" t="s">
        <v>4637</v>
      </c>
      <c r="B153" s="108" t="n">
        <v>29991.82</v>
      </c>
      <c r="C153" s="108" t="n">
        <v>84135.97</v>
      </c>
      <c r="D153" s="106" t="n">
        <v>1279</v>
      </c>
      <c r="E153" s="106" t="n">
        <v>10759</v>
      </c>
      <c r="F153" s="117" t="n">
        <v>0.356468464082603</v>
      </c>
      <c r="G153" s="117" t="n">
        <v>0.118877219072405</v>
      </c>
      <c r="H153" s="116" t="n">
        <v>2.78760293707594</v>
      </c>
    </row>
    <row r="154" customFormat="false" ht="15" hidden="false" customHeight="false" outlineLevel="0" collapsed="false">
      <c r="A154" s="106" t="s">
        <v>4643</v>
      </c>
      <c r="B154" s="108" t="n">
        <v>16064.55</v>
      </c>
      <c r="C154" s="108" t="n">
        <v>38487.57</v>
      </c>
      <c r="D154" s="106" t="n">
        <v>519</v>
      </c>
      <c r="E154" s="106" t="n">
        <v>3804</v>
      </c>
      <c r="F154" s="117" t="n">
        <v>0.417395798175879</v>
      </c>
      <c r="G154" s="117" t="n">
        <v>0.136435331230284</v>
      </c>
      <c r="H154" s="116" t="n">
        <v>4.22306782334385</v>
      </c>
    </row>
    <row r="155" customFormat="false" ht="15" hidden="false" customHeight="false" outlineLevel="0" collapsed="false">
      <c r="A155" s="106" t="s">
        <v>4775</v>
      </c>
      <c r="B155" s="108" t="n">
        <v>12142.16</v>
      </c>
      <c r="C155" s="108" t="n">
        <v>89007.85</v>
      </c>
      <c r="D155" s="106" t="n">
        <v>1860</v>
      </c>
      <c r="E155" s="106" t="n">
        <v>8252</v>
      </c>
      <c r="F155" s="117" t="n">
        <v>0.136416731782646</v>
      </c>
      <c r="G155" s="117" t="n">
        <v>0.225399903053805</v>
      </c>
      <c r="H155" s="116" t="n">
        <v>1.47142026175473</v>
      </c>
    </row>
    <row r="156" customFormat="false" ht="15" hidden="false" customHeight="false" outlineLevel="0" collapsed="false">
      <c r="A156" s="106" t="s">
        <v>4670</v>
      </c>
      <c r="B156" s="108" t="n">
        <v>8998.8</v>
      </c>
      <c r="C156" s="108" t="n">
        <v>25385.6</v>
      </c>
      <c r="D156" s="106" t="n">
        <v>435</v>
      </c>
      <c r="E156" s="106" t="n">
        <v>3479</v>
      </c>
      <c r="F156" s="117" t="n">
        <v>0.354484432118997</v>
      </c>
      <c r="G156" s="117" t="n">
        <v>0.125035929864904</v>
      </c>
      <c r="H156" s="116" t="n">
        <v>2.5866053463639</v>
      </c>
    </row>
    <row r="157" customFormat="false" ht="15" hidden="false" customHeight="false" outlineLevel="0" collapsed="false">
      <c r="A157" s="106" t="s">
        <v>4649</v>
      </c>
      <c r="B157" s="108" t="n">
        <v>5053.46</v>
      </c>
      <c r="C157" s="108" t="n">
        <v>25803.18</v>
      </c>
      <c r="D157" s="106" t="n">
        <v>415</v>
      </c>
      <c r="E157" s="106" t="n">
        <v>3598</v>
      </c>
      <c r="F157" s="117" t="n">
        <v>0.195846403427795</v>
      </c>
      <c r="G157" s="117" t="n">
        <v>0.115341856586993</v>
      </c>
      <c r="H157" s="116" t="n">
        <v>1.40451917732073</v>
      </c>
    </row>
    <row r="158" customFormat="false" ht="15" hidden="false" customHeight="false" outlineLevel="0" collapsed="false">
      <c r="A158" s="106" t="s">
        <v>4776</v>
      </c>
      <c r="B158" s="108" t="n">
        <v>4018.66</v>
      </c>
      <c r="C158" s="108" t="n">
        <v>2356.18</v>
      </c>
      <c r="D158" s="106" t="n">
        <v>31</v>
      </c>
      <c r="E158" s="106" t="n">
        <v>599</v>
      </c>
      <c r="F158" s="117" t="n">
        <v>1.70558276532353</v>
      </c>
      <c r="G158" s="117" t="n">
        <v>0.0517529215358932</v>
      </c>
      <c r="H158" s="116" t="n">
        <v>6.70894824707846</v>
      </c>
    </row>
    <row r="159" customFormat="false" ht="15" hidden="false" customHeight="false" outlineLevel="0" collapsed="false">
      <c r="A159" s="106" t="s">
        <v>4695</v>
      </c>
      <c r="B159" s="108" t="n">
        <v>3495.11</v>
      </c>
      <c r="C159" s="108" t="n">
        <v>10217.56</v>
      </c>
      <c r="D159" s="106" t="n">
        <v>141</v>
      </c>
      <c r="E159" s="106" t="n">
        <v>928</v>
      </c>
      <c r="F159" s="117" t="n">
        <v>0.342068947968008</v>
      </c>
      <c r="G159" s="117" t="n">
        <v>0.151939655172414</v>
      </c>
      <c r="H159" s="116" t="n">
        <v>3.76628232758621</v>
      </c>
    </row>
    <row r="160" customFormat="false" ht="15" hidden="false" customHeight="false" outlineLevel="0" collapsed="false">
      <c r="A160" s="106" t="s">
        <v>4683</v>
      </c>
      <c r="B160" s="108" t="n">
        <v>2190.12</v>
      </c>
      <c r="C160" s="108" t="n">
        <v>6935.43</v>
      </c>
      <c r="D160" s="106" t="n">
        <v>128</v>
      </c>
      <c r="E160" s="106" t="n">
        <v>1014</v>
      </c>
      <c r="F160" s="117" t="n">
        <v>0.31578719704474</v>
      </c>
      <c r="G160" s="117" t="n">
        <v>0.126232741617357</v>
      </c>
      <c r="H160" s="116" t="n">
        <v>2.15988165680473</v>
      </c>
    </row>
    <row r="161" customFormat="false" ht="15" hidden="false" customHeight="false" outlineLevel="0" collapsed="false">
      <c r="A161" s="106" t="s">
        <v>4757</v>
      </c>
      <c r="B161" s="108" t="n">
        <v>1308.95</v>
      </c>
      <c r="C161" s="108" t="n">
        <v>3206.55</v>
      </c>
      <c r="D161" s="106" t="n">
        <v>44</v>
      </c>
      <c r="E161" s="106" t="n">
        <v>320</v>
      </c>
      <c r="F161" s="117" t="n">
        <v>0.408211317459575</v>
      </c>
      <c r="G161" s="117" t="n">
        <v>0.1375</v>
      </c>
      <c r="H161" s="116" t="n">
        <v>4.09046875</v>
      </c>
    </row>
    <row r="162" customFormat="false" ht="15" hidden="false" customHeight="false" outlineLevel="0" collapsed="false">
      <c r="A162" s="106" t="s">
        <v>4665</v>
      </c>
      <c r="B162" s="108" t="n">
        <v>324.8</v>
      </c>
      <c r="C162" s="108" t="n">
        <v>417.29</v>
      </c>
      <c r="D162" s="106" t="n">
        <v>7</v>
      </c>
      <c r="E162" s="106" t="n">
        <v>110</v>
      </c>
      <c r="F162" s="117" t="n">
        <v>0.778355580052242</v>
      </c>
      <c r="G162" s="117" t="n">
        <v>0.0636363636363636</v>
      </c>
      <c r="H162" s="116" t="n">
        <v>2.95272727272727</v>
      </c>
    </row>
    <row r="163" customFormat="false" ht="15" hidden="false" customHeight="false" outlineLevel="0" collapsed="false">
      <c r="A163" s="106" t="s">
        <v>4654</v>
      </c>
      <c r="B163" s="108" t="n">
        <v>10.68</v>
      </c>
      <c r="C163" s="108" t="n">
        <v>0</v>
      </c>
      <c r="D163" s="106" t="n">
        <v>0</v>
      </c>
      <c r="E163" s="106" t="n">
        <v>4</v>
      </c>
      <c r="F163" s="117"/>
      <c r="G163" s="117" t="n">
        <v>0</v>
      </c>
      <c r="H163" s="116" t="n">
        <v>2.67</v>
      </c>
    </row>
    <row r="164" customFormat="false" ht="15" hidden="false" customHeight="false" outlineLevel="0" collapsed="false">
      <c r="A164" s="106" t="s">
        <v>4712</v>
      </c>
      <c r="B164" s="108" t="n">
        <v>6</v>
      </c>
      <c r="C164" s="108" t="n">
        <v>0</v>
      </c>
      <c r="D164" s="106" t="n">
        <v>0</v>
      </c>
      <c r="E164" s="106" t="n">
        <v>2</v>
      </c>
      <c r="F164" s="117"/>
      <c r="G164" s="117" t="n">
        <v>0</v>
      </c>
      <c r="H164" s="116" t="n">
        <v>3</v>
      </c>
    </row>
    <row r="165" customFormat="false" ht="15" hidden="false" customHeight="false" outlineLevel="0" collapsed="false">
      <c r="A165" s="106" t="s">
        <v>4688</v>
      </c>
      <c r="B165" s="108" t="n">
        <v>5.09</v>
      </c>
      <c r="C165" s="108" t="n">
        <v>0</v>
      </c>
      <c r="D165" s="106" t="n">
        <v>0</v>
      </c>
      <c r="E165" s="106" t="n">
        <v>3</v>
      </c>
      <c r="F165" s="117"/>
      <c r="G165" s="117" t="n">
        <v>0</v>
      </c>
      <c r="H165" s="116" t="n">
        <v>1.69666666666667</v>
      </c>
    </row>
    <row r="166" customFormat="false" ht="15" hidden="false" customHeight="false" outlineLevel="0" collapsed="false">
      <c r="A166" s="106" t="s">
        <v>4673</v>
      </c>
      <c r="B166" s="108" t="n">
        <v>4.82</v>
      </c>
      <c r="C166" s="108" t="n">
        <v>0</v>
      </c>
      <c r="D166" s="106" t="n">
        <v>0</v>
      </c>
      <c r="E166" s="106" t="n">
        <v>2</v>
      </c>
      <c r="F166" s="117"/>
      <c r="G166" s="117" t="n">
        <v>0</v>
      </c>
      <c r="H166" s="116" t="n">
        <v>2.41</v>
      </c>
    </row>
    <row r="167" customFormat="false" ht="15" hidden="false" customHeight="false" outlineLevel="0" collapsed="false">
      <c r="A167" s="106" t="s">
        <v>4702</v>
      </c>
      <c r="B167" s="108" t="n">
        <v>2.35</v>
      </c>
      <c r="C167" s="108" t="n">
        <v>0</v>
      </c>
      <c r="D167" s="106" t="n">
        <v>0</v>
      </c>
      <c r="E167" s="106" t="n">
        <v>1</v>
      </c>
      <c r="F167" s="117"/>
      <c r="G167" s="117" t="n">
        <v>0</v>
      </c>
      <c r="H167" s="116" t="n">
        <v>2.35</v>
      </c>
    </row>
    <row r="169" customFormat="false" ht="15" hidden="false" customHeight="false" outlineLevel="0" collapsed="false">
      <c r="A169" s="82" t="s">
        <v>4777</v>
      </c>
    </row>
    <row r="170" customFormat="false" ht="15" hidden="false" customHeight="false" outlineLevel="0" collapsed="false">
      <c r="A170" s="90" t="s">
        <v>4778</v>
      </c>
      <c r="B170" s="90" t="s">
        <v>3313</v>
      </c>
      <c r="C170" s="90" t="s">
        <v>3601</v>
      </c>
      <c r="D170" s="90" t="s">
        <v>3284</v>
      </c>
      <c r="E170" s="90" t="s">
        <v>3320</v>
      </c>
      <c r="F170" s="90" t="s">
        <v>3762</v>
      </c>
      <c r="G170" s="90" t="s">
        <v>3763</v>
      </c>
      <c r="H170" s="90" t="s">
        <v>3764</v>
      </c>
    </row>
    <row r="171" customFormat="false" ht="15" hidden="false" customHeight="false" outlineLevel="0" collapsed="false">
      <c r="A171" s="106" t="s">
        <v>198</v>
      </c>
      <c r="B171" s="108" t="n">
        <v>65494.8</v>
      </c>
      <c r="C171" s="108" t="n">
        <v>172215.92</v>
      </c>
      <c r="D171" s="106" t="n">
        <v>2613</v>
      </c>
      <c r="E171" s="106" t="n">
        <v>20360</v>
      </c>
      <c r="F171" s="117" t="n">
        <v>0.380306303853906</v>
      </c>
      <c r="G171" s="117" t="n">
        <v>0.128339882121808</v>
      </c>
      <c r="H171" s="116" t="n">
        <v>3.21683693516699</v>
      </c>
    </row>
    <row r="172" customFormat="false" ht="15" hidden="false" customHeight="false" outlineLevel="0" collapsed="false">
      <c r="A172" s="106" t="s">
        <v>4779</v>
      </c>
      <c r="B172" s="108" t="n">
        <v>12142.16</v>
      </c>
      <c r="C172" s="108" t="n">
        <v>89007.85</v>
      </c>
      <c r="D172" s="106" t="n">
        <v>1860</v>
      </c>
      <c r="E172" s="106" t="n">
        <v>8252</v>
      </c>
      <c r="F172" s="117" t="n">
        <v>0.136416731782646</v>
      </c>
      <c r="G172" s="117" t="n">
        <v>0.225399903053805</v>
      </c>
      <c r="H172" s="116" t="n">
        <v>1.47142026175473</v>
      </c>
    </row>
    <row r="173" customFormat="false" ht="15" hidden="false" customHeight="false" outlineLevel="0" collapsed="false">
      <c r="A173" s="106" t="s">
        <v>4780</v>
      </c>
      <c r="B173" s="108" t="n">
        <v>3534.25</v>
      </c>
      <c r="C173" s="108" t="n">
        <v>0</v>
      </c>
      <c r="D173" s="106" t="n">
        <v>0</v>
      </c>
      <c r="E173" s="106" t="n">
        <v>0</v>
      </c>
      <c r="F173" s="117"/>
      <c r="G173" s="117"/>
      <c r="H173" s="116"/>
    </row>
    <row r="174" customFormat="false" ht="15" hidden="false" customHeight="false" outlineLevel="0" collapsed="false">
      <c r="A174" s="106" t="s">
        <v>3766</v>
      </c>
      <c r="B174" s="108" t="n">
        <v>1100.08</v>
      </c>
      <c r="C174" s="108" t="n">
        <v>17361.93</v>
      </c>
      <c r="D174" s="106" t="n">
        <v>290</v>
      </c>
      <c r="E174" s="106" t="n">
        <v>2816</v>
      </c>
      <c r="F174" s="117" t="n">
        <v>0.0633616193591381</v>
      </c>
      <c r="G174" s="117" t="n">
        <v>0.102982954545455</v>
      </c>
      <c r="H174" s="116" t="n">
        <v>0.390653409090909</v>
      </c>
    </row>
    <row r="175" customFormat="false" ht="15" hidden="false" customHeight="false" outlineLevel="0" collapsed="false">
      <c r="A175" s="106" t="s">
        <v>3768</v>
      </c>
      <c r="B175" s="108" t="n">
        <v>673.08</v>
      </c>
      <c r="C175" s="108" t="n">
        <v>3215.06</v>
      </c>
      <c r="D175" s="106" t="n">
        <v>43</v>
      </c>
      <c r="E175" s="106" t="n">
        <v>807</v>
      </c>
      <c r="F175" s="117" t="n">
        <v>0.209352236039141</v>
      </c>
      <c r="G175" s="117" t="n">
        <v>0.0532837670384139</v>
      </c>
      <c r="H175" s="116" t="n">
        <v>0.834052044609666</v>
      </c>
    </row>
    <row r="176" customFormat="false" ht="15" hidden="false" customHeight="false" outlineLevel="0" collapsed="false">
      <c r="A176" s="106" t="s">
        <v>3767</v>
      </c>
      <c r="B176" s="108" t="n">
        <v>668.66</v>
      </c>
      <c r="C176" s="108" t="n">
        <v>4087.43</v>
      </c>
      <c r="D176" s="106" t="n">
        <v>52</v>
      </c>
      <c r="E176" s="106" t="n">
        <v>632</v>
      </c>
      <c r="F176" s="117" t="n">
        <v>0.16358934587259</v>
      </c>
      <c r="G176" s="117" t="n">
        <v>0.0822784810126582</v>
      </c>
      <c r="H176" s="116" t="n">
        <v>1.05800632911392</v>
      </c>
    </row>
    <row r="177" customFormat="false" ht="15" hidden="false" customHeight="false" outlineLevel="0" collapsed="false">
      <c r="A177" s="106" t="s">
        <v>4781</v>
      </c>
      <c r="B177" s="108" t="n">
        <v>4.34</v>
      </c>
      <c r="C177" s="108" t="n">
        <v>64.99</v>
      </c>
      <c r="D177" s="106" t="n">
        <v>1</v>
      </c>
      <c r="E177" s="106" t="n">
        <v>8</v>
      </c>
      <c r="F177" s="117" t="n">
        <v>0.0667795045391599</v>
      </c>
      <c r="G177" s="117" t="n">
        <v>0.125</v>
      </c>
      <c r="H177" s="116" t="n">
        <v>0.5425</v>
      </c>
    </row>
    <row r="178" customFormat="false" ht="15" hidden="false" customHeight="false" outlineLevel="0" collapsed="false">
      <c r="A178" s="90" t="s">
        <v>4782</v>
      </c>
      <c r="B178" s="90" t="s">
        <v>3313</v>
      </c>
      <c r="C178" s="90" t="s">
        <v>3601</v>
      </c>
      <c r="D178" s="90" t="s">
        <v>3284</v>
      </c>
      <c r="E178" s="90" t="s">
        <v>3320</v>
      </c>
      <c r="F178" s="90" t="s">
        <v>3762</v>
      </c>
      <c r="G178" s="90" t="s">
        <v>3763</v>
      </c>
      <c r="H178" s="90" t="s">
        <v>3764</v>
      </c>
    </row>
    <row r="179" customFormat="false" ht="15" hidden="false" customHeight="false" outlineLevel="0" collapsed="false">
      <c r="A179" s="106" t="s">
        <v>32</v>
      </c>
      <c r="B179" s="108" t="n">
        <v>78978.7</v>
      </c>
      <c r="C179" s="108" t="n">
        <v>268526.26</v>
      </c>
      <c r="D179" s="106" t="n">
        <v>4568</v>
      </c>
      <c r="E179" s="106" t="n">
        <v>30051</v>
      </c>
      <c r="F179" s="117" t="n">
        <v>0.294119092858926</v>
      </c>
      <c r="G179" s="117" t="n">
        <v>0.152008252637184</v>
      </c>
      <c r="H179" s="116" t="n">
        <v>2.62815546903597</v>
      </c>
    </row>
    <row r="180" customFormat="false" ht="15" hidden="false" customHeight="false" outlineLevel="0" collapsed="false">
      <c r="A180" s="106" t="s">
        <v>4780</v>
      </c>
      <c r="B180" s="108" t="n">
        <v>3534.25</v>
      </c>
      <c r="C180" s="108" t="n">
        <v>0</v>
      </c>
      <c r="D180" s="106" t="n">
        <v>0</v>
      </c>
      <c r="E180" s="106" t="n">
        <v>0</v>
      </c>
      <c r="F180" s="117"/>
      <c r="G180" s="117"/>
      <c r="H180" s="116"/>
    </row>
    <row r="181" customFormat="false" ht="15" hidden="false" customHeight="false" outlineLevel="0" collapsed="false">
      <c r="A181" s="106" t="s">
        <v>3766</v>
      </c>
      <c r="B181" s="108" t="n">
        <v>1100.08</v>
      </c>
      <c r="C181" s="108" t="n">
        <v>17361.93</v>
      </c>
      <c r="D181" s="106" t="n">
        <v>290</v>
      </c>
      <c r="E181" s="106" t="n">
        <v>2816</v>
      </c>
      <c r="F181" s="117" t="n">
        <v>0.0633616193591381</v>
      </c>
      <c r="G181" s="117" t="n">
        <v>0.102982954545455</v>
      </c>
      <c r="H181" s="116" t="n">
        <v>0.390653409090909</v>
      </c>
    </row>
    <row r="182" customFormat="false" ht="15" hidden="false" customHeight="false" outlineLevel="0" collapsed="false">
      <c r="A182" s="106" t="s">
        <v>4783</v>
      </c>
      <c r="B182" s="108" t="n">
        <v>4.34</v>
      </c>
      <c r="C182" s="108" t="n">
        <v>64.99</v>
      </c>
      <c r="D182" s="106" t="n">
        <v>1</v>
      </c>
      <c r="E182" s="106" t="n">
        <v>8</v>
      </c>
      <c r="F182" s="117" t="n">
        <v>0.0667795045391599</v>
      </c>
      <c r="G182" s="117" t="n">
        <v>0.125</v>
      </c>
      <c r="H182" s="116" t="n">
        <v>0.5425</v>
      </c>
    </row>
    <row r="183" customFormat="false" ht="15" hidden="false" customHeight="false" outlineLevel="0" collapsed="false">
      <c r="A183" s="90" t="s">
        <v>3771</v>
      </c>
      <c r="B183" s="90" t="s">
        <v>3313</v>
      </c>
      <c r="C183" s="90" t="s">
        <v>3601</v>
      </c>
      <c r="D183" s="90" t="s">
        <v>3284</v>
      </c>
      <c r="E183" s="90" t="s">
        <v>3320</v>
      </c>
      <c r="F183" s="90" t="s">
        <v>3762</v>
      </c>
      <c r="G183" s="90" t="s">
        <v>3763</v>
      </c>
      <c r="H183" s="90" t="s">
        <v>3764</v>
      </c>
    </row>
    <row r="184" customFormat="false" ht="15" hidden="false" customHeight="false" outlineLevel="0" collapsed="false">
      <c r="A184" s="106" t="s">
        <v>4784</v>
      </c>
      <c r="B184" s="108" t="n">
        <v>17235.78</v>
      </c>
      <c r="C184" s="108" t="n">
        <v>61843.14</v>
      </c>
      <c r="D184" s="106" t="n">
        <v>981</v>
      </c>
      <c r="E184" s="106" t="n">
        <v>6635</v>
      </c>
      <c r="F184" s="117" t="n">
        <v>0.278701566576341</v>
      </c>
      <c r="G184" s="117" t="n">
        <v>0.147852298417483</v>
      </c>
      <c r="H184" s="116" t="n">
        <v>2.59770610399397</v>
      </c>
    </row>
    <row r="185" customFormat="false" ht="15" hidden="false" customHeight="false" outlineLevel="0" collapsed="false">
      <c r="A185" s="106" t="s">
        <v>4785</v>
      </c>
      <c r="B185" s="108" t="n">
        <v>10097.28</v>
      </c>
      <c r="C185" s="108" t="n">
        <v>44634.98</v>
      </c>
      <c r="D185" s="106" t="n">
        <v>777</v>
      </c>
      <c r="E185" s="106" t="n">
        <v>6315</v>
      </c>
      <c r="F185" s="117" t="n">
        <v>0.226218987887975</v>
      </c>
      <c r="G185" s="117" t="n">
        <v>0.123040380047506</v>
      </c>
      <c r="H185" s="116" t="n">
        <v>1.59893586698337</v>
      </c>
    </row>
    <row r="186" customFormat="false" ht="15" hidden="false" customHeight="false" outlineLevel="0" collapsed="false">
      <c r="A186" s="106" t="s">
        <v>4786</v>
      </c>
      <c r="B186" s="108" t="n">
        <v>4683.72</v>
      </c>
      <c r="C186" s="108" t="n">
        <v>21385.64</v>
      </c>
      <c r="D186" s="106" t="n">
        <v>351</v>
      </c>
      <c r="E186" s="106" t="n">
        <v>2954</v>
      </c>
      <c r="F186" s="117" t="n">
        <v>0.219012384010953</v>
      </c>
      <c r="G186" s="117" t="n">
        <v>0.118821936357481</v>
      </c>
      <c r="H186" s="116" t="n">
        <v>1.58555179417739</v>
      </c>
    </row>
    <row r="187" customFormat="false" ht="15" hidden="false" customHeight="false" outlineLevel="0" collapsed="false">
      <c r="A187" s="106" t="s">
        <v>4787</v>
      </c>
      <c r="B187" s="108" t="n">
        <v>661.43</v>
      </c>
      <c r="C187" s="108" t="n">
        <v>0</v>
      </c>
      <c r="D187" s="106" t="n">
        <v>0</v>
      </c>
      <c r="E187" s="106" t="n">
        <v>1170</v>
      </c>
      <c r="F187" s="117"/>
      <c r="G187" s="117" t="n">
        <v>0</v>
      </c>
      <c r="H187" s="116" t="n">
        <v>0.565324786324786</v>
      </c>
    </row>
    <row r="189" customFormat="false" ht="15" hidden="false" customHeight="false" outlineLevel="0" collapsed="false">
      <c r="A189" s="82" t="s">
        <v>4788</v>
      </c>
    </row>
    <row r="190" customFormat="false" ht="22.35" hidden="false" customHeight="false" outlineLevel="0" collapsed="false">
      <c r="A190" s="90" t="s">
        <v>3778</v>
      </c>
      <c r="B190" s="90" t="s">
        <v>4789</v>
      </c>
      <c r="C190" s="90" t="s">
        <v>3307</v>
      </c>
      <c r="D190" s="90" t="s">
        <v>1721</v>
      </c>
      <c r="E190" s="90" t="s">
        <v>1709</v>
      </c>
      <c r="F190" s="90" t="s">
        <v>1718</v>
      </c>
      <c r="G190" s="90" t="s">
        <v>1713</v>
      </c>
      <c r="H190" s="90" t="s">
        <v>1791</v>
      </c>
      <c r="I190" s="90" t="s">
        <v>3308</v>
      </c>
      <c r="J190" s="90" t="s">
        <v>1745</v>
      </c>
      <c r="K190" s="90" t="s">
        <v>1773</v>
      </c>
      <c r="L190" s="90" t="s">
        <v>1754</v>
      </c>
      <c r="M190" s="90" t="s">
        <v>3309</v>
      </c>
      <c r="N190" s="90" t="s">
        <v>1763</v>
      </c>
      <c r="O190" s="90" t="s">
        <v>3310</v>
      </c>
      <c r="P190" s="90" t="s">
        <v>4790</v>
      </c>
      <c r="Q190" s="90" t="s">
        <v>3850</v>
      </c>
      <c r="R190" s="90" t="s">
        <v>3852</v>
      </c>
      <c r="S190" s="90" t="s">
        <v>4791</v>
      </c>
    </row>
    <row r="191" customFormat="false" ht="15" hidden="false" customHeight="false" outlineLevel="0" collapsed="false">
      <c r="A191" s="106" t="s">
        <v>370</v>
      </c>
      <c r="B191" s="107" t="n">
        <v>116610</v>
      </c>
      <c r="C191" s="106" t="n">
        <v>5</v>
      </c>
      <c r="D191" s="106" t="n">
        <v>6</v>
      </c>
      <c r="E191" s="106" t="n">
        <v>12</v>
      </c>
      <c r="F191" s="106" t="n">
        <v>14</v>
      </c>
      <c r="G191" s="106" t="n">
        <v>4.5</v>
      </c>
      <c r="H191" s="106" t="n">
        <v>3</v>
      </c>
      <c r="I191" s="106" t="n">
        <v>4</v>
      </c>
      <c r="J191" s="106" t="n">
        <v>19</v>
      </c>
      <c r="K191" s="106" t="n">
        <v>42</v>
      </c>
      <c r="L191" s="106" t="n">
        <v>101</v>
      </c>
      <c r="M191" s="106" t="n">
        <v>9</v>
      </c>
      <c r="N191" s="106" t="n">
        <v>16</v>
      </c>
      <c r="O191" s="106" t="n">
        <v>18</v>
      </c>
      <c r="P191" s="106" t="n">
        <v>1</v>
      </c>
      <c r="Q191" s="106" t="s">
        <v>4628</v>
      </c>
      <c r="R191" s="106" t="s">
        <v>4622</v>
      </c>
      <c r="S191" s="106" t="s">
        <v>4792</v>
      </c>
    </row>
    <row r="192" customFormat="false" ht="15" hidden="false" customHeight="false" outlineLevel="0" collapsed="false">
      <c r="A192" s="106" t="s">
        <v>183</v>
      </c>
      <c r="B192" s="107" t="n">
        <v>39490</v>
      </c>
      <c r="C192" s="106" t="n">
        <v>5</v>
      </c>
      <c r="D192" s="106" t="n">
        <v>5</v>
      </c>
      <c r="E192" s="106" t="n">
        <v>18</v>
      </c>
      <c r="F192" s="106" t="n">
        <v>67</v>
      </c>
      <c r="G192" s="106" t="n">
        <v>11</v>
      </c>
      <c r="H192" s="106" t="n">
        <v>8</v>
      </c>
      <c r="I192" s="106" t="n">
        <v>9.5</v>
      </c>
      <c r="J192" s="106" t="n">
        <v>24</v>
      </c>
      <c r="K192" s="106" t="n">
        <v>42</v>
      </c>
      <c r="L192" s="106" t="n">
        <v>101</v>
      </c>
      <c r="M192" s="106" t="n">
        <v>39</v>
      </c>
      <c r="N192" s="106" t="n">
        <v>33</v>
      </c>
      <c r="O192" s="106" t="n">
        <v>45</v>
      </c>
      <c r="P192" s="106" t="n">
        <v>0</v>
      </c>
      <c r="Q192" s="106" t="s">
        <v>4624</v>
      </c>
      <c r="R192" s="106" t="s">
        <v>4625</v>
      </c>
      <c r="S192" s="106" t="s">
        <v>4793</v>
      </c>
    </row>
    <row r="193" customFormat="false" ht="15" hidden="false" customHeight="false" outlineLevel="0" collapsed="false">
      <c r="A193" s="106" t="s">
        <v>559</v>
      </c>
      <c r="B193" s="107" t="n">
        <v>25230</v>
      </c>
      <c r="C193" s="106" t="n">
        <v>8</v>
      </c>
      <c r="D193" s="106" t="n">
        <v>5</v>
      </c>
      <c r="E193" s="106" t="n">
        <v>90</v>
      </c>
      <c r="F193" s="106" t="n">
        <v>17</v>
      </c>
      <c r="G193" s="106" t="n">
        <v>6</v>
      </c>
      <c r="H193" s="106" t="n">
        <v>5</v>
      </c>
      <c r="I193" s="106" t="n">
        <v>6</v>
      </c>
      <c r="J193" s="106" t="n">
        <v>14</v>
      </c>
      <c r="K193" s="106" t="n">
        <v>24</v>
      </c>
      <c r="L193" s="106" t="n">
        <v>46</v>
      </c>
      <c r="M193" s="106" t="n">
        <v>47</v>
      </c>
      <c r="N193" s="106" t="n">
        <v>11</v>
      </c>
      <c r="O193" s="106" t="n">
        <v>17</v>
      </c>
      <c r="P193" s="106" t="n">
        <v>16</v>
      </c>
      <c r="Q193" s="106" t="s">
        <v>4624</v>
      </c>
      <c r="R193" s="106" t="s">
        <v>4625</v>
      </c>
      <c r="S193" s="106" t="s">
        <v>4794</v>
      </c>
    </row>
    <row r="194" customFormat="false" ht="15" hidden="false" customHeight="false" outlineLevel="0" collapsed="false">
      <c r="A194" s="106" t="s">
        <v>391</v>
      </c>
      <c r="B194" s="107" t="n">
        <v>15460</v>
      </c>
      <c r="C194" s="106" t="n">
        <v>5</v>
      </c>
      <c r="D194" s="106" t="n">
        <v>6</v>
      </c>
      <c r="E194" s="106" t="n">
        <v>11</v>
      </c>
      <c r="F194" s="106" t="n">
        <v>12</v>
      </c>
      <c r="G194" s="106" t="n">
        <v>9</v>
      </c>
      <c r="H194" s="106" t="n">
        <v>5</v>
      </c>
      <c r="I194" s="106" t="n">
        <v>4</v>
      </c>
      <c r="J194" s="106" t="n">
        <v>17</v>
      </c>
      <c r="K194" s="106" t="n">
        <v>22.5</v>
      </c>
      <c r="L194" s="106" t="n">
        <v>39</v>
      </c>
      <c r="M194" s="106" t="n">
        <v>20</v>
      </c>
      <c r="N194" s="106" t="n">
        <v>16.5</v>
      </c>
      <c r="O194" s="106" t="n">
        <v>18</v>
      </c>
      <c r="P194" s="106" t="n">
        <v>1</v>
      </c>
      <c r="Q194" s="106" t="s">
        <v>4632</v>
      </c>
      <c r="R194" s="106" t="s">
        <v>4625</v>
      </c>
      <c r="S194" s="106" t="s">
        <v>4795</v>
      </c>
    </row>
    <row r="195" customFormat="false" ht="15" hidden="false" customHeight="false" outlineLevel="0" collapsed="false">
      <c r="A195" s="106" t="s">
        <v>4796</v>
      </c>
      <c r="B195" s="107" t="n">
        <v>11955</v>
      </c>
      <c r="C195" s="106"/>
      <c r="D195" s="106"/>
      <c r="E195" s="106"/>
      <c r="F195" s="106"/>
      <c r="G195" s="106"/>
      <c r="H195" s="106"/>
      <c r="I195" s="106"/>
      <c r="J195" s="106"/>
      <c r="K195" s="106"/>
      <c r="L195" s="106" t="n">
        <v>101</v>
      </c>
      <c r="M195" s="106" t="n">
        <v>101</v>
      </c>
      <c r="N195" s="106" t="n">
        <v>101</v>
      </c>
      <c r="O195" s="106" t="n">
        <v>101</v>
      </c>
      <c r="P195" s="106" t="n">
        <v>0</v>
      </c>
      <c r="Q195" s="106"/>
      <c r="R195" s="106"/>
      <c r="S195" s="106"/>
    </row>
    <row r="196" customFormat="false" ht="15" hidden="false" customHeight="false" outlineLevel="0" collapsed="false">
      <c r="A196" s="106" t="s">
        <v>596</v>
      </c>
      <c r="B196" s="107" t="n">
        <v>6385</v>
      </c>
      <c r="C196" s="106" t="n">
        <v>41.5</v>
      </c>
      <c r="D196" s="106" t="n">
        <v>30.5</v>
      </c>
      <c r="E196" s="106" t="n">
        <v>101</v>
      </c>
      <c r="F196" s="106" t="n">
        <v>77</v>
      </c>
      <c r="G196" s="106" t="n">
        <v>37.5</v>
      </c>
      <c r="H196" s="106" t="n">
        <v>31</v>
      </c>
      <c r="I196" s="106" t="n">
        <v>30</v>
      </c>
      <c r="J196" s="106" t="n">
        <v>56</v>
      </c>
      <c r="K196" s="106" t="n">
        <v>83.5</v>
      </c>
      <c r="L196" s="106" t="n">
        <v>101</v>
      </c>
      <c r="M196" s="106" t="n">
        <v>101</v>
      </c>
      <c r="N196" s="106" t="n">
        <v>29</v>
      </c>
      <c r="O196" s="106" t="n">
        <v>10</v>
      </c>
      <c r="P196" s="106" t="n">
        <v>9</v>
      </c>
      <c r="Q196" s="106" t="s">
        <v>4797</v>
      </c>
      <c r="R196" s="106" t="s">
        <v>4798</v>
      </c>
      <c r="S196" s="106" t="s">
        <v>4799</v>
      </c>
    </row>
    <row r="197" customFormat="false" ht="15" hidden="false" customHeight="false" outlineLevel="0" collapsed="false">
      <c r="A197" s="106" t="s">
        <v>478</v>
      </c>
      <c r="B197" s="107" t="n">
        <v>6126</v>
      </c>
      <c r="C197" s="106" t="n">
        <v>8</v>
      </c>
      <c r="D197" s="106" t="n">
        <v>4.5</v>
      </c>
      <c r="E197" s="106" t="n">
        <v>17</v>
      </c>
      <c r="F197" s="106" t="n">
        <v>12</v>
      </c>
      <c r="G197" s="106" t="n">
        <v>5</v>
      </c>
      <c r="H197" s="106" t="n">
        <v>5</v>
      </c>
      <c r="I197" s="106" t="n">
        <v>5</v>
      </c>
      <c r="J197" s="106" t="n">
        <v>5</v>
      </c>
      <c r="K197" s="106" t="n">
        <v>75</v>
      </c>
      <c r="L197" s="106" t="n">
        <v>24</v>
      </c>
      <c r="M197" s="106" t="n">
        <v>19</v>
      </c>
      <c r="N197" s="106" t="n">
        <v>17</v>
      </c>
      <c r="O197" s="106" t="n">
        <v>21</v>
      </c>
      <c r="P197" s="106" t="n">
        <v>2</v>
      </c>
      <c r="Q197" s="106" t="s">
        <v>4622</v>
      </c>
      <c r="R197" s="106" t="s">
        <v>4623</v>
      </c>
      <c r="S197" s="106" t="s">
        <v>4800</v>
      </c>
    </row>
    <row r="198" customFormat="false" ht="15" hidden="false" customHeight="false" outlineLevel="0" collapsed="false">
      <c r="A198" s="106" t="s">
        <v>580</v>
      </c>
      <c r="B198" s="107" t="n">
        <v>5975</v>
      </c>
      <c r="C198" s="106" t="n">
        <v>8</v>
      </c>
      <c r="D198" s="106" t="n">
        <v>8</v>
      </c>
      <c r="E198" s="106" t="n">
        <v>101</v>
      </c>
      <c r="F198" s="106" t="n">
        <v>18</v>
      </c>
      <c r="G198" s="106" t="n">
        <v>7</v>
      </c>
      <c r="H198" s="106" t="n">
        <v>7</v>
      </c>
      <c r="I198" s="106" t="n">
        <v>6</v>
      </c>
      <c r="J198" s="106" t="n">
        <v>10</v>
      </c>
      <c r="K198" s="106" t="n">
        <v>34</v>
      </c>
      <c r="L198" s="106" t="n">
        <v>31</v>
      </c>
      <c r="M198" s="106" t="n">
        <v>27</v>
      </c>
      <c r="N198" s="106" t="n">
        <v>8.5</v>
      </c>
      <c r="O198" s="106" t="n">
        <v>4</v>
      </c>
      <c r="P198" s="106" t="n">
        <v>24</v>
      </c>
      <c r="Q198" s="106" t="s">
        <v>4626</v>
      </c>
      <c r="R198" s="106" t="s">
        <v>4623</v>
      </c>
      <c r="S198" s="106" t="s">
        <v>4801</v>
      </c>
    </row>
    <row r="199" customFormat="false" ht="15" hidden="false" customHeight="false" outlineLevel="0" collapsed="false">
      <c r="A199" s="106" t="s">
        <v>216</v>
      </c>
      <c r="B199" s="107" t="n">
        <v>5790</v>
      </c>
      <c r="C199" s="106" t="n">
        <v>13</v>
      </c>
      <c r="D199" s="106" t="n">
        <v>8</v>
      </c>
      <c r="E199" s="106" t="n">
        <v>17</v>
      </c>
      <c r="F199" s="106" t="n">
        <v>49</v>
      </c>
      <c r="G199" s="106" t="n">
        <v>11</v>
      </c>
      <c r="H199" s="106" t="n">
        <v>11</v>
      </c>
      <c r="I199" s="106" t="n">
        <v>18</v>
      </c>
      <c r="J199" s="106" t="n">
        <v>39</v>
      </c>
      <c r="K199" s="106" t="n">
        <v>59</v>
      </c>
      <c r="L199" s="106" t="n">
        <v>101</v>
      </c>
      <c r="M199" s="106" t="n">
        <v>101</v>
      </c>
      <c r="N199" s="106" t="n">
        <v>48</v>
      </c>
      <c r="O199" s="106" t="n">
        <v>64</v>
      </c>
      <c r="P199" s="106" t="n">
        <v>0</v>
      </c>
      <c r="Q199" s="106" t="s">
        <v>4625</v>
      </c>
      <c r="R199" s="106" t="s">
        <v>4633</v>
      </c>
      <c r="S199" s="106" t="s">
        <v>4802</v>
      </c>
    </row>
    <row r="200" customFormat="false" ht="15" hidden="false" customHeight="false" outlineLevel="0" collapsed="false">
      <c r="A200" s="106" t="s">
        <v>234</v>
      </c>
      <c r="B200" s="107" t="n">
        <v>5358</v>
      </c>
      <c r="C200" s="106" t="n">
        <v>5.5</v>
      </c>
      <c r="D200" s="106" t="n">
        <v>5</v>
      </c>
      <c r="E200" s="106" t="n">
        <v>12</v>
      </c>
      <c r="F200" s="106" t="n">
        <v>56</v>
      </c>
      <c r="G200" s="106" t="n">
        <v>10</v>
      </c>
      <c r="H200" s="106" t="n">
        <v>11</v>
      </c>
      <c r="I200" s="106" t="n">
        <v>18</v>
      </c>
      <c r="J200" s="106" t="n">
        <v>49</v>
      </c>
      <c r="K200" s="106" t="n">
        <v>46.5</v>
      </c>
      <c r="L200" s="106" t="n">
        <v>101</v>
      </c>
      <c r="M200" s="106" t="n">
        <v>101</v>
      </c>
      <c r="N200" s="106" t="n">
        <v>39</v>
      </c>
      <c r="O200" s="106" t="n">
        <v>13</v>
      </c>
      <c r="P200" s="106" t="n">
        <v>0</v>
      </c>
      <c r="Q200" s="106" t="s">
        <v>4632</v>
      </c>
      <c r="R200" s="106" t="s">
        <v>4625</v>
      </c>
      <c r="S200" s="106" t="s">
        <v>4803</v>
      </c>
    </row>
    <row r="201" customFormat="false" ht="15" hidden="false" customHeight="false" outlineLevel="0" collapsed="false">
      <c r="A201" s="106" t="s">
        <v>610</v>
      </c>
      <c r="B201" s="107" t="n">
        <v>5292</v>
      </c>
      <c r="C201" s="106" t="n">
        <v>101</v>
      </c>
      <c r="D201" s="106" t="n">
        <v>101</v>
      </c>
      <c r="E201" s="106" t="n">
        <v>101</v>
      </c>
      <c r="F201" s="106"/>
      <c r="G201" s="106"/>
      <c r="H201" s="106"/>
      <c r="I201" s="106"/>
      <c r="J201" s="106"/>
      <c r="K201" s="106" t="n">
        <v>63</v>
      </c>
      <c r="L201" s="106" t="n">
        <v>101</v>
      </c>
      <c r="M201" s="106" t="n">
        <v>101</v>
      </c>
      <c r="N201" s="106" t="n">
        <v>55.5</v>
      </c>
      <c r="O201" s="106" t="n">
        <v>51</v>
      </c>
      <c r="P201" s="106" t="n">
        <v>0</v>
      </c>
      <c r="Q201" s="106" t="s">
        <v>4798</v>
      </c>
      <c r="R201" s="106"/>
      <c r="S201" s="106" t="s">
        <v>4804</v>
      </c>
    </row>
    <row r="202" customFormat="false" ht="15" hidden="false" customHeight="false" outlineLevel="0" collapsed="false">
      <c r="A202" s="106" t="s">
        <v>640</v>
      </c>
      <c r="B202" s="107" t="n">
        <v>5075</v>
      </c>
      <c r="C202" s="106" t="n">
        <v>25</v>
      </c>
      <c r="D202" s="106" t="n">
        <v>15</v>
      </c>
      <c r="E202" s="106" t="n">
        <v>101</v>
      </c>
      <c r="F202" s="106" t="n">
        <v>24</v>
      </c>
      <c r="G202" s="106" t="n">
        <v>10</v>
      </c>
      <c r="H202" s="106" t="n">
        <v>8</v>
      </c>
      <c r="I202" s="106" t="n">
        <v>15</v>
      </c>
      <c r="J202" s="106" t="n">
        <v>27</v>
      </c>
      <c r="K202" s="106" t="n">
        <v>43.5</v>
      </c>
      <c r="L202" s="106" t="n">
        <v>101</v>
      </c>
      <c r="M202" s="106" t="n">
        <v>83</v>
      </c>
      <c r="N202" s="106" t="n">
        <v>19</v>
      </c>
      <c r="O202" s="106" t="n">
        <v>22</v>
      </c>
      <c r="P202" s="106" t="n">
        <v>4</v>
      </c>
      <c r="Q202" s="106" t="s">
        <v>4626</v>
      </c>
      <c r="R202" s="106" t="s">
        <v>4633</v>
      </c>
      <c r="S202" s="106" t="s">
        <v>4805</v>
      </c>
    </row>
    <row r="203" customFormat="false" ht="15" hidden="false" customHeight="false" outlineLevel="0" collapsed="false">
      <c r="A203" s="106" t="s">
        <v>1263</v>
      </c>
      <c r="B203" s="107" t="n">
        <v>4713</v>
      </c>
      <c r="C203" s="106" t="n">
        <v>14</v>
      </c>
      <c r="D203" s="106" t="n">
        <v>15.5</v>
      </c>
      <c r="E203" s="106" t="n">
        <v>101</v>
      </c>
      <c r="F203" s="106" t="n">
        <v>48</v>
      </c>
      <c r="G203" s="106" t="n">
        <v>10</v>
      </c>
      <c r="H203" s="106" t="n">
        <v>11</v>
      </c>
      <c r="I203" s="106" t="n">
        <v>16</v>
      </c>
      <c r="J203" s="106" t="n">
        <v>24</v>
      </c>
      <c r="K203" s="106" t="n">
        <v>39</v>
      </c>
      <c r="L203" s="106" t="n">
        <v>85</v>
      </c>
      <c r="M203" s="106" t="n">
        <v>82</v>
      </c>
      <c r="N203" s="106" t="n">
        <v>19</v>
      </c>
      <c r="O203" s="106" t="n">
        <v>17</v>
      </c>
      <c r="P203" s="106" t="n">
        <v>5</v>
      </c>
      <c r="Q203" s="106" t="s">
        <v>4625</v>
      </c>
      <c r="R203" s="106" t="s">
        <v>4622</v>
      </c>
      <c r="S203" s="106" t="s">
        <v>4806</v>
      </c>
    </row>
    <row r="204" customFormat="false" ht="15" hidden="false" customHeight="false" outlineLevel="0" collapsed="false">
      <c r="A204" s="106" t="s">
        <v>3815</v>
      </c>
      <c r="B204" s="107" t="n">
        <v>4300</v>
      </c>
      <c r="C204" s="106" t="n">
        <v>5</v>
      </c>
      <c r="D204" s="106" t="n">
        <v>4</v>
      </c>
      <c r="E204" s="106" t="n">
        <v>8</v>
      </c>
      <c r="F204" s="106" t="n">
        <v>13</v>
      </c>
      <c r="G204" s="106" t="n">
        <v>7</v>
      </c>
      <c r="H204" s="106" t="n">
        <v>5</v>
      </c>
      <c r="I204" s="106" t="n">
        <v>4</v>
      </c>
      <c r="J204" s="106" t="n">
        <v>10</v>
      </c>
      <c r="K204" s="106" t="n">
        <v>57</v>
      </c>
      <c r="L204" s="106" t="n">
        <v>101</v>
      </c>
      <c r="M204" s="106" t="n">
        <v>53</v>
      </c>
      <c r="N204" s="106" t="n">
        <v>12</v>
      </c>
      <c r="O204" s="106" t="n">
        <v>9</v>
      </c>
      <c r="P204" s="106" t="n">
        <v>11</v>
      </c>
      <c r="Q204" s="106" t="s">
        <v>4626</v>
      </c>
      <c r="R204" s="106" t="s">
        <v>4624</v>
      </c>
      <c r="S204" s="106" t="s">
        <v>4795</v>
      </c>
    </row>
    <row r="205" customFormat="false" ht="15" hidden="false" customHeight="false" outlineLevel="0" collapsed="false">
      <c r="A205" s="106" t="s">
        <v>627</v>
      </c>
      <c r="B205" s="107" t="n">
        <v>4030</v>
      </c>
      <c r="C205" s="106" t="n">
        <v>10</v>
      </c>
      <c r="D205" s="106" t="n">
        <v>10</v>
      </c>
      <c r="E205" s="106" t="n">
        <v>101</v>
      </c>
      <c r="F205" s="106" t="n">
        <v>46</v>
      </c>
      <c r="G205" s="106" t="n">
        <v>14</v>
      </c>
      <c r="H205" s="106" t="n">
        <v>9</v>
      </c>
      <c r="I205" s="106" t="n">
        <v>10</v>
      </c>
      <c r="J205" s="106" t="n">
        <v>22</v>
      </c>
      <c r="K205" s="106" t="n">
        <v>40.5</v>
      </c>
      <c r="L205" s="106" t="n">
        <v>101</v>
      </c>
      <c r="M205" s="106" t="n">
        <v>69</v>
      </c>
      <c r="N205" s="106" t="n">
        <v>20</v>
      </c>
      <c r="O205" s="106" t="n">
        <v>17</v>
      </c>
      <c r="P205" s="106" t="n">
        <v>2</v>
      </c>
      <c r="Q205" s="106" t="s">
        <v>4632</v>
      </c>
      <c r="R205" s="106" t="s">
        <v>4622</v>
      </c>
      <c r="S205" s="106" t="s">
        <v>4807</v>
      </c>
    </row>
    <row r="206" customFormat="false" ht="15" hidden="false" customHeight="false" outlineLevel="0" collapsed="false">
      <c r="A206" s="106" t="s">
        <v>4808</v>
      </c>
      <c r="B206" s="107" t="n">
        <v>3865</v>
      </c>
      <c r="C206" s="106"/>
      <c r="D206" s="106"/>
      <c r="E206" s="106"/>
      <c r="F206" s="106"/>
      <c r="G206" s="106"/>
      <c r="H206" s="106"/>
      <c r="I206" s="106"/>
      <c r="J206" s="106"/>
      <c r="K206" s="106"/>
      <c r="L206" s="106" t="n">
        <v>101</v>
      </c>
      <c r="M206" s="106" t="n">
        <v>101</v>
      </c>
      <c r="N206" s="106" t="n">
        <v>101</v>
      </c>
      <c r="O206" s="106" t="n">
        <v>101</v>
      </c>
      <c r="P206" s="106" t="n">
        <v>0</v>
      </c>
      <c r="Q206" s="106"/>
      <c r="R206" s="106"/>
      <c r="S206" s="106" t="s">
        <v>4809</v>
      </c>
    </row>
    <row r="207" customFormat="false" ht="15" hidden="false" customHeight="false" outlineLevel="0" collapsed="false">
      <c r="A207" s="106" t="s">
        <v>4810</v>
      </c>
      <c r="B207" s="107" t="n">
        <v>3701</v>
      </c>
      <c r="C207" s="106"/>
      <c r="D207" s="106"/>
      <c r="E207" s="106"/>
      <c r="F207" s="106"/>
      <c r="G207" s="106"/>
      <c r="H207" s="106"/>
      <c r="I207" s="106"/>
      <c r="J207" s="106"/>
      <c r="K207" s="106" t="n">
        <v>101</v>
      </c>
      <c r="L207" s="106" t="n">
        <v>101</v>
      </c>
      <c r="M207" s="106" t="n">
        <v>101</v>
      </c>
      <c r="N207" s="106" t="n">
        <v>101</v>
      </c>
      <c r="O207" s="106" t="n">
        <v>101</v>
      </c>
      <c r="P207" s="106" t="n">
        <v>0</v>
      </c>
      <c r="Q207" s="106"/>
      <c r="R207" s="106"/>
      <c r="S207" s="106" t="s">
        <v>4811</v>
      </c>
    </row>
    <row r="208" customFormat="false" ht="15" hidden="false" customHeight="false" outlineLevel="0" collapsed="false">
      <c r="A208" s="106" t="s">
        <v>4812</v>
      </c>
      <c r="B208" s="107" t="n">
        <v>3606</v>
      </c>
      <c r="C208" s="106"/>
      <c r="D208" s="106"/>
      <c r="E208" s="106"/>
      <c r="F208" s="106"/>
      <c r="G208" s="106"/>
      <c r="H208" s="106"/>
      <c r="I208" s="106"/>
      <c r="J208" s="106"/>
      <c r="K208" s="106"/>
      <c r="L208" s="106" t="n">
        <v>101</v>
      </c>
      <c r="M208" s="106" t="n">
        <v>101</v>
      </c>
      <c r="N208" s="106" t="n">
        <v>71</v>
      </c>
      <c r="O208" s="106" t="n">
        <v>69</v>
      </c>
      <c r="P208" s="106" t="n">
        <v>0</v>
      </c>
      <c r="Q208" s="106"/>
      <c r="R208" s="106"/>
      <c r="S208" s="106" t="s">
        <v>4813</v>
      </c>
    </row>
    <row r="209" customFormat="false" ht="15" hidden="false" customHeight="false" outlineLevel="0" collapsed="false">
      <c r="A209" s="106" t="s">
        <v>4814</v>
      </c>
      <c r="B209" s="107" t="n">
        <v>3203</v>
      </c>
      <c r="C209" s="106"/>
      <c r="D209" s="106"/>
      <c r="E209" s="106"/>
      <c r="F209" s="106"/>
      <c r="G209" s="106"/>
      <c r="H209" s="106"/>
      <c r="I209" s="106"/>
      <c r="J209" s="106"/>
      <c r="K209" s="106"/>
      <c r="L209" s="106" t="n">
        <v>101</v>
      </c>
      <c r="M209" s="106" t="n">
        <v>101</v>
      </c>
      <c r="N209" s="106" t="n">
        <v>101</v>
      </c>
      <c r="O209" s="106" t="n">
        <v>101</v>
      </c>
      <c r="P209" s="106" t="n">
        <v>0</v>
      </c>
      <c r="Q209" s="106"/>
      <c r="R209" s="106"/>
      <c r="S209" s="106"/>
    </row>
    <row r="210" customFormat="false" ht="15" hidden="false" customHeight="false" outlineLevel="0" collapsed="false">
      <c r="A210" s="106" t="s">
        <v>4331</v>
      </c>
      <c r="B210" s="107" t="n">
        <v>2948</v>
      </c>
      <c r="C210" s="106" t="n">
        <v>8</v>
      </c>
      <c r="D210" s="106" t="n">
        <v>5</v>
      </c>
      <c r="E210" s="106" t="n">
        <v>8</v>
      </c>
      <c r="F210" s="106" t="n">
        <v>54</v>
      </c>
      <c r="G210" s="106" t="n">
        <v>7</v>
      </c>
      <c r="H210" s="106" t="n">
        <v>6</v>
      </c>
      <c r="I210" s="106" t="n">
        <v>8</v>
      </c>
      <c r="J210" s="106" t="n">
        <v>18</v>
      </c>
      <c r="K210" s="106" t="n">
        <v>34</v>
      </c>
      <c r="L210" s="106" t="n">
        <v>93</v>
      </c>
      <c r="M210" s="106" t="n">
        <v>35</v>
      </c>
      <c r="N210" s="106" t="n">
        <v>36</v>
      </c>
      <c r="O210" s="106" t="n">
        <v>39</v>
      </c>
      <c r="P210" s="106" t="n">
        <v>2</v>
      </c>
      <c r="Q210" s="106" t="s">
        <v>4625</v>
      </c>
      <c r="R210" s="106" t="s">
        <v>4815</v>
      </c>
      <c r="S210" s="106" t="s">
        <v>4816</v>
      </c>
    </row>
    <row r="211" customFormat="false" ht="15" hidden="false" customHeight="false" outlineLevel="0" collapsed="false">
      <c r="A211" s="106" t="s">
        <v>252</v>
      </c>
      <c r="B211" s="107" t="n">
        <v>2892</v>
      </c>
      <c r="C211" s="106" t="n">
        <v>5</v>
      </c>
      <c r="D211" s="106" t="n">
        <v>6</v>
      </c>
      <c r="E211" s="106" t="n">
        <v>13</v>
      </c>
      <c r="F211" s="106" t="n">
        <v>50</v>
      </c>
      <c r="G211" s="106" t="n">
        <v>15.5</v>
      </c>
      <c r="H211" s="106" t="n">
        <v>11</v>
      </c>
      <c r="I211" s="106" t="n">
        <v>18</v>
      </c>
      <c r="J211" s="106" t="n">
        <v>51</v>
      </c>
      <c r="K211" s="106" t="n">
        <v>30.5</v>
      </c>
      <c r="L211" s="106" t="n">
        <v>101</v>
      </c>
      <c r="M211" s="106" t="n">
        <v>54</v>
      </c>
      <c r="N211" s="106" t="n">
        <v>17.5</v>
      </c>
      <c r="O211" s="106" t="n">
        <v>15</v>
      </c>
      <c r="P211" s="106" t="n">
        <v>9</v>
      </c>
      <c r="Q211" s="106" t="s">
        <v>4625</v>
      </c>
      <c r="R211" s="106" t="s">
        <v>4622</v>
      </c>
      <c r="S211" s="106" t="s">
        <v>4817</v>
      </c>
    </row>
    <row r="212" customFormat="false" ht="15" hidden="false" customHeight="false" outlineLevel="0" collapsed="false">
      <c r="A212" s="106" t="s">
        <v>4818</v>
      </c>
      <c r="B212" s="107" t="n">
        <v>2826</v>
      </c>
      <c r="C212" s="106"/>
      <c r="D212" s="106"/>
      <c r="E212" s="106"/>
      <c r="F212" s="106"/>
      <c r="G212" s="106"/>
      <c r="H212" s="106"/>
      <c r="I212" s="106"/>
      <c r="J212" s="106"/>
      <c r="K212" s="106"/>
      <c r="L212" s="106" t="n">
        <v>101</v>
      </c>
      <c r="M212" s="106" t="n">
        <v>101</v>
      </c>
      <c r="N212" s="106" t="n">
        <v>101</v>
      </c>
      <c r="O212" s="106" t="n">
        <v>101</v>
      </c>
      <c r="P212" s="106" t="n">
        <v>0</v>
      </c>
      <c r="Q212" s="106"/>
      <c r="R212" s="106"/>
      <c r="S212" s="106" t="s">
        <v>4819</v>
      </c>
    </row>
    <row r="213" customFormat="false" ht="15" hidden="false" customHeight="false" outlineLevel="0" collapsed="false">
      <c r="A213" s="106" t="s">
        <v>1136</v>
      </c>
      <c r="B213" s="107" t="n">
        <v>2709</v>
      </c>
      <c r="C213" s="106" t="n">
        <v>5</v>
      </c>
      <c r="D213" s="106" t="n">
        <v>6</v>
      </c>
      <c r="E213" s="106" t="n">
        <v>8</v>
      </c>
      <c r="F213" s="106" t="n">
        <v>24</v>
      </c>
      <c r="G213" s="106" t="n">
        <v>6</v>
      </c>
      <c r="H213" s="106" t="n">
        <v>6</v>
      </c>
      <c r="I213" s="106" t="n">
        <v>6</v>
      </c>
      <c r="J213" s="106" t="n">
        <v>10</v>
      </c>
      <c r="K213" s="106" t="n">
        <v>31</v>
      </c>
      <c r="L213" s="106" t="n">
        <v>37</v>
      </c>
      <c r="M213" s="106" t="n">
        <v>39</v>
      </c>
      <c r="N213" s="106" t="n">
        <v>19</v>
      </c>
      <c r="O213" s="106" t="n">
        <v>11</v>
      </c>
      <c r="P213" s="106" t="n">
        <v>10</v>
      </c>
      <c r="Q213" s="106" t="s">
        <v>4632</v>
      </c>
      <c r="R213" s="106" t="s">
        <v>4625</v>
      </c>
      <c r="S213" s="106" t="s">
        <v>4820</v>
      </c>
    </row>
    <row r="214" customFormat="false" ht="15" hidden="false" customHeight="false" outlineLevel="0" collapsed="false">
      <c r="A214" s="106" t="s">
        <v>695</v>
      </c>
      <c r="B214" s="107" t="n">
        <v>2689</v>
      </c>
      <c r="C214" s="106" t="n">
        <v>4</v>
      </c>
      <c r="D214" s="106" t="n">
        <v>4</v>
      </c>
      <c r="E214" s="106" t="n">
        <v>101</v>
      </c>
      <c r="F214" s="106" t="n">
        <v>10</v>
      </c>
      <c r="G214" s="106" t="n">
        <v>2</v>
      </c>
      <c r="H214" s="106" t="n">
        <v>2</v>
      </c>
      <c r="I214" s="106" t="n">
        <v>2</v>
      </c>
      <c r="J214" s="106" t="n">
        <v>3</v>
      </c>
      <c r="K214" s="106" t="n">
        <v>8</v>
      </c>
      <c r="L214" s="106" t="n">
        <v>6</v>
      </c>
      <c r="M214" s="106" t="n">
        <v>3</v>
      </c>
      <c r="N214" s="106" t="n">
        <v>4</v>
      </c>
      <c r="O214" s="106" t="n">
        <v>5</v>
      </c>
      <c r="P214" s="106" t="n">
        <v>30</v>
      </c>
      <c r="Q214" s="106" t="s">
        <v>4821</v>
      </c>
      <c r="R214" s="106" t="s">
        <v>4822</v>
      </c>
      <c r="S214" s="106" t="s">
        <v>4823</v>
      </c>
    </row>
    <row r="215" customFormat="false" ht="15" hidden="false" customHeight="false" outlineLevel="0" collapsed="false">
      <c r="A215" s="106" t="s">
        <v>4824</v>
      </c>
      <c r="B215" s="107" t="n">
        <v>2641</v>
      </c>
      <c r="C215" s="106"/>
      <c r="D215" s="106"/>
      <c r="E215" s="106"/>
      <c r="F215" s="106"/>
      <c r="G215" s="106"/>
      <c r="H215" s="106"/>
      <c r="I215" s="106"/>
      <c r="J215" s="106"/>
      <c r="K215" s="106" t="n">
        <v>101</v>
      </c>
      <c r="L215" s="106" t="n">
        <v>101</v>
      </c>
      <c r="M215" s="106" t="n">
        <v>101</v>
      </c>
      <c r="N215" s="106" t="n">
        <v>101</v>
      </c>
      <c r="O215" s="106" t="n">
        <v>101</v>
      </c>
      <c r="P215" s="106" t="n">
        <v>0</v>
      </c>
      <c r="Q215" s="106"/>
      <c r="R215" s="106"/>
      <c r="S215" s="106" t="s">
        <v>4825</v>
      </c>
    </row>
    <row r="216" customFormat="false" ht="15" hidden="false" customHeight="false" outlineLevel="0" collapsed="false">
      <c r="A216" s="106" t="s">
        <v>996</v>
      </c>
      <c r="B216" s="107" t="n">
        <v>2597</v>
      </c>
      <c r="C216" s="106" t="n">
        <v>56.5</v>
      </c>
      <c r="D216" s="106" t="n">
        <v>36</v>
      </c>
      <c r="E216" s="106" t="n">
        <v>43</v>
      </c>
      <c r="F216" s="106" t="n">
        <v>92</v>
      </c>
      <c r="G216" s="106" t="n">
        <v>34.5</v>
      </c>
      <c r="H216" s="106" t="n">
        <v>28</v>
      </c>
      <c r="I216" s="106" t="n">
        <v>30</v>
      </c>
      <c r="J216" s="106" t="n">
        <v>59</v>
      </c>
      <c r="K216" s="106" t="n">
        <v>101</v>
      </c>
      <c r="L216" s="106" t="n">
        <v>101</v>
      </c>
      <c r="M216" s="106" t="n">
        <v>101</v>
      </c>
      <c r="N216" s="106" t="n">
        <v>73</v>
      </c>
      <c r="O216" s="106" t="n">
        <v>28</v>
      </c>
      <c r="P216" s="106" t="n">
        <v>1</v>
      </c>
      <c r="Q216" s="106" t="s">
        <v>4826</v>
      </c>
      <c r="R216" s="106" t="s">
        <v>1766</v>
      </c>
      <c r="S216" s="106" t="s">
        <v>4827</v>
      </c>
    </row>
    <row r="217" customFormat="false" ht="15" hidden="false" customHeight="false" outlineLevel="0" collapsed="false">
      <c r="A217" s="106" t="s">
        <v>407</v>
      </c>
      <c r="B217" s="107" t="n">
        <v>2566</v>
      </c>
      <c r="C217" s="106" t="n">
        <v>34</v>
      </c>
      <c r="D217" s="106" t="n">
        <v>11.5</v>
      </c>
      <c r="E217" s="106" t="n">
        <v>9</v>
      </c>
      <c r="F217" s="106" t="n">
        <v>42</v>
      </c>
      <c r="G217" s="106" t="n">
        <v>21</v>
      </c>
      <c r="H217" s="106" t="n">
        <v>15</v>
      </c>
      <c r="I217" s="106" t="n">
        <v>13.5</v>
      </c>
      <c r="J217" s="106" t="n">
        <v>56</v>
      </c>
      <c r="K217" s="106" t="n">
        <v>87.5</v>
      </c>
      <c r="L217" s="106" t="n">
        <v>101</v>
      </c>
      <c r="M217" s="106" t="n">
        <v>52</v>
      </c>
      <c r="N217" s="106" t="n">
        <v>35</v>
      </c>
      <c r="O217" s="106" t="n">
        <v>38</v>
      </c>
      <c r="P217" s="106" t="n">
        <v>2</v>
      </c>
      <c r="Q217" s="106" t="s">
        <v>4631</v>
      </c>
      <c r="R217" s="106" t="s">
        <v>4828</v>
      </c>
      <c r="S217" s="106" t="s">
        <v>4829</v>
      </c>
    </row>
    <row r="218" customFormat="false" ht="15" hidden="false" customHeight="false" outlineLevel="0" collapsed="false">
      <c r="A218" s="106" t="s">
        <v>269</v>
      </c>
      <c r="B218" s="107" t="n">
        <v>2560</v>
      </c>
      <c r="C218" s="106" t="n">
        <v>10</v>
      </c>
      <c r="D218" s="106" t="n">
        <v>9</v>
      </c>
      <c r="E218" s="106" t="n">
        <v>17</v>
      </c>
      <c r="F218" s="106" t="n">
        <v>67</v>
      </c>
      <c r="G218" s="106" t="n">
        <v>16</v>
      </c>
      <c r="H218" s="106" t="n">
        <v>14</v>
      </c>
      <c r="I218" s="106" t="n">
        <v>7.5</v>
      </c>
      <c r="J218" s="106" t="n">
        <v>22</v>
      </c>
      <c r="K218" s="106" t="n">
        <v>60.5</v>
      </c>
      <c r="L218" s="106" t="n">
        <v>84</v>
      </c>
      <c r="M218" s="106" t="n">
        <v>75</v>
      </c>
      <c r="N218" s="106" t="n">
        <v>33</v>
      </c>
      <c r="O218" s="106" t="n">
        <v>30</v>
      </c>
      <c r="P218" s="106" t="n">
        <v>0</v>
      </c>
      <c r="Q218" s="106" t="s">
        <v>4623</v>
      </c>
      <c r="R218" s="106" t="s">
        <v>4633</v>
      </c>
      <c r="S218" s="106" t="s">
        <v>4830</v>
      </c>
    </row>
    <row r="219" customFormat="false" ht="15" hidden="false" customHeight="false" outlineLevel="0" collapsed="false">
      <c r="A219" s="106" t="s">
        <v>1206</v>
      </c>
      <c r="B219" s="107" t="n">
        <v>2174</v>
      </c>
      <c r="C219" s="106" t="n">
        <v>20.5</v>
      </c>
      <c r="D219" s="106" t="n">
        <v>8</v>
      </c>
      <c r="E219" s="106" t="n">
        <v>28</v>
      </c>
      <c r="F219" s="106" t="n">
        <v>17</v>
      </c>
      <c r="G219" s="106" t="n">
        <v>11</v>
      </c>
      <c r="H219" s="106" t="n">
        <v>8</v>
      </c>
      <c r="I219" s="106" t="n">
        <v>9</v>
      </c>
      <c r="J219" s="106" t="n">
        <v>9</v>
      </c>
      <c r="K219" s="106" t="n">
        <v>90</v>
      </c>
      <c r="L219" s="106" t="n">
        <v>38</v>
      </c>
      <c r="M219" s="106" t="n">
        <v>29</v>
      </c>
      <c r="N219" s="106" t="n">
        <v>27.5</v>
      </c>
      <c r="O219" s="106" t="n">
        <v>20</v>
      </c>
      <c r="P219" s="106" t="n">
        <v>3</v>
      </c>
      <c r="Q219" s="106" t="s">
        <v>4623</v>
      </c>
      <c r="R219" s="106" t="s">
        <v>4815</v>
      </c>
      <c r="S219" s="106" t="s">
        <v>4831</v>
      </c>
    </row>
    <row r="220" customFormat="false" ht="15" hidden="false" customHeight="false" outlineLevel="0" collapsed="false">
      <c r="A220" s="106" t="s">
        <v>320</v>
      </c>
      <c r="B220" s="107" t="n">
        <v>2161</v>
      </c>
      <c r="C220" s="106" t="n">
        <v>24</v>
      </c>
      <c r="D220" s="106" t="n">
        <v>11</v>
      </c>
      <c r="E220" s="106" t="n">
        <v>8</v>
      </c>
      <c r="F220" s="106" t="n">
        <v>9</v>
      </c>
      <c r="G220" s="106" t="n">
        <v>9</v>
      </c>
      <c r="H220" s="106" t="n">
        <v>7</v>
      </c>
      <c r="I220" s="106" t="n">
        <v>8</v>
      </c>
      <c r="J220" s="106" t="n">
        <v>13</v>
      </c>
      <c r="K220" s="106" t="n">
        <v>27</v>
      </c>
      <c r="L220" s="106" t="n">
        <v>61</v>
      </c>
      <c r="M220" s="106" t="n">
        <v>41</v>
      </c>
      <c r="N220" s="106" t="n">
        <v>18</v>
      </c>
      <c r="O220" s="106" t="n">
        <v>13</v>
      </c>
      <c r="P220" s="106" t="n">
        <v>9</v>
      </c>
      <c r="Q220" s="106" t="s">
        <v>4624</v>
      </c>
      <c r="R220" s="106" t="s">
        <v>4622</v>
      </c>
      <c r="S220" s="106" t="s">
        <v>4832</v>
      </c>
    </row>
    <row r="221" customFormat="false" ht="15" hidden="false" customHeight="false" outlineLevel="0" collapsed="false">
      <c r="A221" s="106" t="s">
        <v>1156</v>
      </c>
      <c r="B221" s="107" t="n">
        <v>2137</v>
      </c>
      <c r="C221" s="106" t="n">
        <v>8.5</v>
      </c>
      <c r="D221" s="106" t="n">
        <v>7</v>
      </c>
      <c r="E221" s="106" t="n">
        <v>14</v>
      </c>
      <c r="F221" s="106" t="n">
        <v>16</v>
      </c>
      <c r="G221" s="106" t="n">
        <v>10</v>
      </c>
      <c r="H221" s="106" t="n">
        <v>6</v>
      </c>
      <c r="I221" s="106" t="n">
        <v>9</v>
      </c>
      <c r="J221" s="106" t="n">
        <v>23</v>
      </c>
      <c r="K221" s="106" t="n">
        <v>51</v>
      </c>
      <c r="L221" s="106" t="n">
        <v>101</v>
      </c>
      <c r="M221" s="106" t="n">
        <v>24</v>
      </c>
      <c r="N221" s="106" t="n">
        <v>15.5</v>
      </c>
      <c r="O221" s="106" t="n">
        <v>15</v>
      </c>
      <c r="P221" s="106" t="n">
        <v>0</v>
      </c>
      <c r="Q221" s="106" t="s">
        <v>4623</v>
      </c>
      <c r="R221" s="106" t="s">
        <v>4623</v>
      </c>
      <c r="S221" s="106" t="s">
        <v>4833</v>
      </c>
    </row>
    <row r="222" customFormat="false" ht="15" hidden="false" customHeight="false" outlineLevel="0" collapsed="false">
      <c r="A222" s="106" t="s">
        <v>1144</v>
      </c>
      <c r="B222" s="107" t="n">
        <v>1821</v>
      </c>
      <c r="C222" s="106" t="n">
        <v>35.5</v>
      </c>
      <c r="D222" s="106" t="n">
        <v>14</v>
      </c>
      <c r="E222" s="106" t="n">
        <v>20</v>
      </c>
      <c r="F222" s="106" t="n">
        <v>32</v>
      </c>
      <c r="G222" s="106" t="n">
        <v>10.5</v>
      </c>
      <c r="H222" s="106" t="n">
        <v>9</v>
      </c>
      <c r="I222" s="106" t="n">
        <v>15.5</v>
      </c>
      <c r="J222" s="106" t="n">
        <v>22</v>
      </c>
      <c r="K222" s="106" t="n">
        <v>68</v>
      </c>
      <c r="L222" s="106" t="n">
        <v>52</v>
      </c>
      <c r="M222" s="106" t="n">
        <v>48</v>
      </c>
      <c r="N222" s="106" t="n">
        <v>23</v>
      </c>
      <c r="O222" s="106" t="n">
        <v>16</v>
      </c>
      <c r="P222" s="106" t="n">
        <v>8</v>
      </c>
      <c r="Q222" s="106" t="s">
        <v>4631</v>
      </c>
      <c r="R222" s="106" t="s">
        <v>4834</v>
      </c>
      <c r="S222" s="106" t="s">
        <v>4835</v>
      </c>
    </row>
    <row r="223" customFormat="false" ht="15" hidden="false" customHeight="false" outlineLevel="0" collapsed="false">
      <c r="A223" s="106" t="s">
        <v>4836</v>
      </c>
      <c r="B223" s="107" t="n">
        <v>1768</v>
      </c>
      <c r="C223" s="106"/>
      <c r="D223" s="106"/>
      <c r="E223" s="106"/>
      <c r="F223" s="106"/>
      <c r="G223" s="106"/>
      <c r="H223" s="106"/>
      <c r="I223" s="106"/>
      <c r="J223" s="106" t="n">
        <v>101</v>
      </c>
      <c r="K223" s="106"/>
      <c r="L223" s="106" t="n">
        <v>101</v>
      </c>
      <c r="M223" s="106" t="n">
        <v>101</v>
      </c>
      <c r="N223" s="106" t="n">
        <v>101</v>
      </c>
      <c r="O223" s="106" t="n">
        <v>101</v>
      </c>
      <c r="P223" s="106" t="n">
        <v>0</v>
      </c>
      <c r="Q223" s="106" t="s">
        <v>4837</v>
      </c>
      <c r="R223" s="106"/>
      <c r="S223" s="106" t="s">
        <v>4838</v>
      </c>
    </row>
    <row r="224" customFormat="false" ht="15" hidden="false" customHeight="false" outlineLevel="0" collapsed="false">
      <c r="A224" s="106" t="s">
        <v>655</v>
      </c>
      <c r="B224" s="107" t="n">
        <v>1725</v>
      </c>
      <c r="C224" s="106" t="n">
        <v>9</v>
      </c>
      <c r="D224" s="106" t="n">
        <v>11.5</v>
      </c>
      <c r="E224" s="106" t="n">
        <v>73</v>
      </c>
      <c r="F224" s="106" t="n">
        <v>101</v>
      </c>
      <c r="G224" s="106" t="n">
        <v>34.5</v>
      </c>
      <c r="H224" s="106" t="n">
        <v>35</v>
      </c>
      <c r="I224" s="106" t="n">
        <v>41</v>
      </c>
      <c r="J224" s="106" t="n">
        <v>55</v>
      </c>
      <c r="K224" s="106" t="n">
        <v>45.5</v>
      </c>
      <c r="L224" s="106" t="n">
        <v>101</v>
      </c>
      <c r="M224" s="106" t="n">
        <v>76</v>
      </c>
      <c r="N224" s="106" t="n">
        <v>10.5</v>
      </c>
      <c r="O224" s="106" t="n">
        <v>16</v>
      </c>
      <c r="P224" s="106" t="n">
        <v>14</v>
      </c>
      <c r="Q224" s="106" t="s">
        <v>4625</v>
      </c>
      <c r="R224" s="106" t="s">
        <v>4815</v>
      </c>
      <c r="S224" s="106" t="s">
        <v>4839</v>
      </c>
    </row>
    <row r="225" customFormat="false" ht="15" hidden="false" customHeight="false" outlineLevel="0" collapsed="false">
      <c r="A225" s="106" t="s">
        <v>1276</v>
      </c>
      <c r="B225" s="107" t="n">
        <v>1692</v>
      </c>
      <c r="C225" s="106" t="n">
        <v>20.5</v>
      </c>
      <c r="D225" s="106" t="n">
        <v>23</v>
      </c>
      <c r="E225" s="106" t="n">
        <v>101</v>
      </c>
      <c r="F225" s="106" t="n">
        <v>101</v>
      </c>
      <c r="G225" s="106" t="n">
        <v>51</v>
      </c>
      <c r="H225" s="106" t="n">
        <v>49</v>
      </c>
      <c r="I225" s="106" t="n">
        <v>54</v>
      </c>
      <c r="J225" s="106" t="n">
        <v>62</v>
      </c>
      <c r="K225" s="106" t="n">
        <v>58</v>
      </c>
      <c r="L225" s="106" t="n">
        <v>101</v>
      </c>
      <c r="M225" s="106" t="n">
        <v>101</v>
      </c>
      <c r="N225" s="106" t="n">
        <v>26</v>
      </c>
      <c r="O225" s="106" t="n">
        <v>19</v>
      </c>
      <c r="P225" s="106" t="n">
        <v>3</v>
      </c>
      <c r="Q225" s="106" t="s">
        <v>4633</v>
      </c>
      <c r="R225" s="106" t="s">
        <v>4815</v>
      </c>
      <c r="S225" s="106" t="s">
        <v>4840</v>
      </c>
    </row>
    <row r="226" customFormat="false" ht="15" hidden="false" customHeight="false" outlineLevel="0" collapsed="false">
      <c r="A226" s="106" t="s">
        <v>513</v>
      </c>
      <c r="B226" s="107" t="n">
        <v>1586</v>
      </c>
      <c r="C226" s="106" t="n">
        <v>6</v>
      </c>
      <c r="D226" s="106" t="n">
        <v>6</v>
      </c>
      <c r="E226" s="106" t="n">
        <v>81</v>
      </c>
      <c r="F226" s="106" t="n">
        <v>13</v>
      </c>
      <c r="G226" s="106" t="n">
        <v>6</v>
      </c>
      <c r="H226" s="106" t="n">
        <v>8</v>
      </c>
      <c r="I226" s="106" t="n">
        <v>6</v>
      </c>
      <c r="J226" s="106" t="n">
        <v>5</v>
      </c>
      <c r="K226" s="106" t="n">
        <v>101</v>
      </c>
      <c r="L226" s="106" t="n">
        <v>17</v>
      </c>
      <c r="M226" s="106" t="n">
        <v>11</v>
      </c>
      <c r="N226" s="106" t="n">
        <v>17.5</v>
      </c>
      <c r="O226" s="106" t="n">
        <v>18</v>
      </c>
      <c r="P226" s="106" t="n">
        <v>8</v>
      </c>
      <c r="Q226" s="106" t="s">
        <v>4625</v>
      </c>
      <c r="R226" s="106" t="s">
        <v>4633</v>
      </c>
      <c r="S226" s="106" t="s">
        <v>4841</v>
      </c>
    </row>
    <row r="227" customFormat="false" ht="15" hidden="false" customHeight="false" outlineLevel="0" collapsed="false">
      <c r="A227" s="106" t="s">
        <v>499</v>
      </c>
      <c r="B227" s="107" t="n">
        <v>1519</v>
      </c>
      <c r="C227" s="106" t="n">
        <v>31.5</v>
      </c>
      <c r="D227" s="106" t="n">
        <v>11.5</v>
      </c>
      <c r="E227" s="106" t="n">
        <v>30</v>
      </c>
      <c r="F227" s="106" t="n">
        <v>29</v>
      </c>
      <c r="G227" s="106" t="n">
        <v>12.5</v>
      </c>
      <c r="H227" s="106" t="n">
        <v>11</v>
      </c>
      <c r="I227" s="106" t="n">
        <v>12</v>
      </c>
      <c r="J227" s="106" t="n">
        <v>14</v>
      </c>
      <c r="K227" s="106" t="n">
        <v>92.5</v>
      </c>
      <c r="L227" s="106" t="n">
        <v>56</v>
      </c>
      <c r="M227" s="106" t="n">
        <v>36</v>
      </c>
      <c r="N227" s="106" t="n">
        <v>35</v>
      </c>
      <c r="O227" s="106" t="n">
        <v>33</v>
      </c>
      <c r="P227" s="106" t="n">
        <v>0</v>
      </c>
      <c r="Q227" s="106" t="s">
        <v>4815</v>
      </c>
      <c r="R227" s="106" t="s">
        <v>4815</v>
      </c>
      <c r="S227" s="106" t="s">
        <v>4842</v>
      </c>
    </row>
    <row r="228" customFormat="false" ht="15" hidden="false" customHeight="false" outlineLevel="0" collapsed="false">
      <c r="A228" s="106" t="s">
        <v>4520</v>
      </c>
      <c r="B228" s="107" t="n">
        <v>1505</v>
      </c>
      <c r="C228" s="106" t="n">
        <v>20</v>
      </c>
      <c r="D228" s="106" t="n">
        <v>23</v>
      </c>
      <c r="E228" s="106" t="n">
        <v>30</v>
      </c>
      <c r="F228" s="106" t="n">
        <v>101</v>
      </c>
      <c r="G228" s="106" t="n">
        <v>92.5</v>
      </c>
      <c r="H228" s="106" t="n">
        <v>25</v>
      </c>
      <c r="I228" s="106" t="n">
        <v>26</v>
      </c>
      <c r="J228" s="106" t="n">
        <v>49</v>
      </c>
      <c r="K228" s="106" t="n">
        <v>63</v>
      </c>
      <c r="L228" s="106" t="n">
        <v>101</v>
      </c>
      <c r="M228" s="106" t="n">
        <v>101</v>
      </c>
      <c r="N228" s="106" t="n">
        <v>42</v>
      </c>
      <c r="O228" s="106" t="n">
        <v>14</v>
      </c>
      <c r="P228" s="106" t="n">
        <v>6</v>
      </c>
      <c r="Q228" s="106" t="s">
        <v>4625</v>
      </c>
      <c r="R228" s="106" t="s">
        <v>4633</v>
      </c>
      <c r="S228" s="106" t="s">
        <v>4843</v>
      </c>
    </row>
    <row r="229" customFormat="false" ht="15" hidden="false" customHeight="false" outlineLevel="0" collapsed="false">
      <c r="A229" s="106" t="s">
        <v>1285</v>
      </c>
      <c r="B229" s="107" t="n">
        <v>1485</v>
      </c>
      <c r="C229" s="106" t="n">
        <v>31</v>
      </c>
      <c r="D229" s="106" t="n">
        <v>40</v>
      </c>
      <c r="E229" s="106" t="n">
        <v>101</v>
      </c>
      <c r="F229" s="106" t="n">
        <v>101</v>
      </c>
      <c r="G229" s="106" t="n">
        <v>91.5</v>
      </c>
      <c r="H229" s="106" t="n">
        <v>71</v>
      </c>
      <c r="I229" s="106" t="n">
        <v>94.5</v>
      </c>
      <c r="J229" s="106" t="n">
        <v>101</v>
      </c>
      <c r="K229" s="106" t="n">
        <v>63.5</v>
      </c>
      <c r="L229" s="106" t="n">
        <v>101</v>
      </c>
      <c r="M229" s="106" t="n">
        <v>101</v>
      </c>
      <c r="N229" s="106" t="n">
        <v>68</v>
      </c>
      <c r="O229" s="106" t="n">
        <v>77</v>
      </c>
      <c r="P229" s="106" t="n">
        <v>0</v>
      </c>
      <c r="Q229" s="106" t="s">
        <v>4633</v>
      </c>
      <c r="R229" s="106" t="s">
        <v>4631</v>
      </c>
      <c r="S229" s="106" t="s">
        <v>4844</v>
      </c>
    </row>
    <row r="230" customFormat="false" ht="15" hidden="false" customHeight="false" outlineLevel="0" collapsed="false">
      <c r="A230" s="106" t="s">
        <v>1164</v>
      </c>
      <c r="B230" s="107" t="n">
        <v>1459</v>
      </c>
      <c r="C230" s="106" t="n">
        <v>7.5</v>
      </c>
      <c r="D230" s="106" t="n">
        <v>8</v>
      </c>
      <c r="E230" s="106" t="n">
        <v>9</v>
      </c>
      <c r="F230" s="106" t="n">
        <v>20</v>
      </c>
      <c r="G230" s="106" t="n">
        <v>9</v>
      </c>
      <c r="H230" s="106" t="n">
        <v>5</v>
      </c>
      <c r="I230" s="106" t="n">
        <v>4.5</v>
      </c>
      <c r="J230" s="106" t="n">
        <v>19</v>
      </c>
      <c r="K230" s="106" t="n">
        <v>67.5</v>
      </c>
      <c r="L230" s="106" t="n">
        <v>101</v>
      </c>
      <c r="M230" s="106" t="n">
        <v>9</v>
      </c>
      <c r="N230" s="106" t="n">
        <v>9.5</v>
      </c>
      <c r="O230" s="106" t="n">
        <v>12</v>
      </c>
      <c r="P230" s="106" t="n">
        <v>15</v>
      </c>
      <c r="Q230" s="106" t="s">
        <v>4622</v>
      </c>
      <c r="R230" s="106" t="s">
        <v>4633</v>
      </c>
      <c r="S230" s="106" t="s">
        <v>4845</v>
      </c>
    </row>
    <row r="231" customFormat="false" ht="15" hidden="false" customHeight="false" outlineLevel="0" collapsed="false">
      <c r="A231" s="106" t="s">
        <v>1309</v>
      </c>
      <c r="B231" s="107" t="n">
        <v>1401</v>
      </c>
      <c r="C231" s="106" t="n">
        <v>11.5</v>
      </c>
      <c r="D231" s="106" t="n">
        <v>11</v>
      </c>
      <c r="E231" s="106" t="n">
        <v>101</v>
      </c>
      <c r="F231" s="106" t="n">
        <v>101</v>
      </c>
      <c r="G231" s="106" t="n">
        <v>17.5</v>
      </c>
      <c r="H231" s="106" t="n">
        <v>12</v>
      </c>
      <c r="I231" s="106" t="n">
        <v>21.5</v>
      </c>
      <c r="J231" s="106" t="n">
        <v>35</v>
      </c>
      <c r="K231" s="106" t="n">
        <v>77.5</v>
      </c>
      <c r="L231" s="106" t="n">
        <v>101</v>
      </c>
      <c r="M231" s="106" t="n">
        <v>77</v>
      </c>
      <c r="N231" s="106" t="n">
        <v>27.5</v>
      </c>
      <c r="O231" s="106" t="n">
        <v>36</v>
      </c>
      <c r="P231" s="106" t="n">
        <v>1</v>
      </c>
      <c r="Q231" s="106" t="s">
        <v>4633</v>
      </c>
      <c r="R231" s="106" t="s">
        <v>4815</v>
      </c>
      <c r="S231" s="106" t="s">
        <v>4846</v>
      </c>
    </row>
    <row r="232" customFormat="false" ht="15" hidden="false" customHeight="false" outlineLevel="0" collapsed="false">
      <c r="A232" s="106" t="s">
        <v>4363</v>
      </c>
      <c r="B232" s="107" t="n">
        <v>1394</v>
      </c>
      <c r="C232" s="106" t="n">
        <v>77</v>
      </c>
      <c r="D232" s="106" t="n">
        <v>101</v>
      </c>
      <c r="E232" s="106" t="n">
        <v>90</v>
      </c>
      <c r="F232" s="106" t="n">
        <v>88</v>
      </c>
      <c r="G232" s="106" t="n">
        <v>95</v>
      </c>
      <c r="H232" s="106" t="n">
        <v>45</v>
      </c>
      <c r="I232" s="106" t="n">
        <v>63.5</v>
      </c>
      <c r="J232" s="106" t="n">
        <v>101</v>
      </c>
      <c r="K232" s="106" t="n">
        <v>101</v>
      </c>
      <c r="L232" s="106" t="n">
        <v>101</v>
      </c>
      <c r="M232" s="106" t="n">
        <v>101</v>
      </c>
      <c r="N232" s="106" t="n">
        <v>29</v>
      </c>
      <c r="O232" s="106" t="n">
        <v>42</v>
      </c>
      <c r="P232" s="106" t="n">
        <v>4</v>
      </c>
      <c r="Q232" s="106" t="s">
        <v>4847</v>
      </c>
      <c r="R232" s="106" t="s">
        <v>4847</v>
      </c>
      <c r="S232" s="106" t="s">
        <v>4848</v>
      </c>
    </row>
    <row r="233" customFormat="false" ht="15" hidden="false" customHeight="false" outlineLevel="0" collapsed="false">
      <c r="A233" s="106" t="s">
        <v>1020</v>
      </c>
      <c r="B233" s="107" t="n">
        <v>1359</v>
      </c>
      <c r="C233" s="106" t="n">
        <v>101</v>
      </c>
      <c r="D233" s="106" t="n">
        <v>101</v>
      </c>
      <c r="E233" s="106"/>
      <c r="F233" s="106"/>
      <c r="G233" s="106"/>
      <c r="H233" s="106"/>
      <c r="I233" s="106"/>
      <c r="J233" s="106"/>
      <c r="K233" s="106"/>
      <c r="L233" s="106" t="n">
        <v>101</v>
      </c>
      <c r="M233" s="106" t="n">
        <v>101</v>
      </c>
      <c r="N233" s="106" t="n">
        <v>57</v>
      </c>
      <c r="O233" s="106" t="n">
        <v>60</v>
      </c>
      <c r="P233" s="106" t="n">
        <v>4</v>
      </c>
      <c r="Q233" s="106" t="s">
        <v>4798</v>
      </c>
      <c r="R233" s="106" t="s">
        <v>4849</v>
      </c>
      <c r="S233" s="106" t="s">
        <v>4850</v>
      </c>
    </row>
    <row r="234" customFormat="false" ht="15" hidden="false" customHeight="false" outlineLevel="0" collapsed="false">
      <c r="A234" s="106" t="s">
        <v>718</v>
      </c>
      <c r="B234" s="107" t="n">
        <v>1353</v>
      </c>
      <c r="C234" s="106" t="n">
        <v>12</v>
      </c>
      <c r="D234" s="106" t="n">
        <v>5</v>
      </c>
      <c r="E234" s="106" t="n">
        <v>86</v>
      </c>
      <c r="F234" s="106" t="n">
        <v>19</v>
      </c>
      <c r="G234" s="106" t="n">
        <v>4</v>
      </c>
      <c r="H234" s="106" t="n">
        <v>3</v>
      </c>
      <c r="I234" s="106" t="n">
        <v>3</v>
      </c>
      <c r="J234" s="106" t="n">
        <v>3</v>
      </c>
      <c r="K234" s="106" t="n">
        <v>17.5</v>
      </c>
      <c r="L234" s="106" t="n">
        <v>17</v>
      </c>
      <c r="M234" s="106" t="n">
        <v>4</v>
      </c>
      <c r="N234" s="106" t="n">
        <v>7.5</v>
      </c>
      <c r="O234" s="106" t="n">
        <v>9</v>
      </c>
      <c r="P234" s="106" t="n">
        <v>24</v>
      </c>
      <c r="Q234" s="106" t="s">
        <v>4625</v>
      </c>
      <c r="R234" s="106" t="s">
        <v>4623</v>
      </c>
      <c r="S234" s="106" t="s">
        <v>4851</v>
      </c>
    </row>
    <row r="235" customFormat="false" ht="15" hidden="false" customHeight="false" outlineLevel="0" collapsed="false">
      <c r="A235" s="106" t="s">
        <v>4852</v>
      </c>
      <c r="B235" s="107" t="n">
        <v>1290</v>
      </c>
      <c r="C235" s="106"/>
      <c r="D235" s="106"/>
      <c r="E235" s="106"/>
      <c r="F235" s="106"/>
      <c r="G235" s="106"/>
      <c r="H235" s="106"/>
      <c r="I235" s="106"/>
      <c r="J235" s="106"/>
      <c r="K235" s="106"/>
      <c r="L235" s="106" t="n">
        <v>101</v>
      </c>
      <c r="M235" s="106" t="n">
        <v>101</v>
      </c>
      <c r="N235" s="106" t="n">
        <v>101</v>
      </c>
      <c r="O235" s="106" t="n">
        <v>101</v>
      </c>
      <c r="P235" s="106" t="n">
        <v>0</v>
      </c>
      <c r="Q235" s="106"/>
      <c r="R235" s="106"/>
      <c r="S235" s="106" t="s">
        <v>4853</v>
      </c>
    </row>
    <row r="236" customFormat="false" ht="15" hidden="false" customHeight="false" outlineLevel="0" collapsed="false">
      <c r="A236" s="106" t="s">
        <v>288</v>
      </c>
      <c r="B236" s="107" t="n">
        <v>1278</v>
      </c>
      <c r="C236" s="106" t="n">
        <v>8.5</v>
      </c>
      <c r="D236" s="106" t="n">
        <v>11.5</v>
      </c>
      <c r="E236" s="106" t="n">
        <v>20</v>
      </c>
      <c r="F236" s="106" t="n">
        <v>101</v>
      </c>
      <c r="G236" s="106" t="n">
        <v>18</v>
      </c>
      <c r="H236" s="106" t="n">
        <v>13</v>
      </c>
      <c r="I236" s="106" t="n">
        <v>19.5</v>
      </c>
      <c r="J236" s="106" t="n">
        <v>44</v>
      </c>
      <c r="K236" s="106" t="n">
        <v>41</v>
      </c>
      <c r="L236" s="106" t="n">
        <v>69</v>
      </c>
      <c r="M236" s="106" t="n">
        <v>53</v>
      </c>
      <c r="N236" s="106" t="n">
        <v>47.5</v>
      </c>
      <c r="O236" s="106" t="n">
        <v>52</v>
      </c>
      <c r="P236" s="106" t="n">
        <v>0</v>
      </c>
      <c r="Q236" s="106" t="s">
        <v>4625</v>
      </c>
      <c r="R236" s="106" t="s">
        <v>4623</v>
      </c>
      <c r="S236" s="106" t="s">
        <v>4831</v>
      </c>
    </row>
    <row r="237" customFormat="false" ht="15" hidden="false" customHeight="false" outlineLevel="0" collapsed="false">
      <c r="A237" s="106" t="s">
        <v>3867</v>
      </c>
      <c r="B237" s="107" t="n">
        <v>1248</v>
      </c>
      <c r="C237" s="106" t="n">
        <v>18</v>
      </c>
      <c r="D237" s="106" t="n">
        <v>11.5</v>
      </c>
      <c r="E237" s="106" t="n">
        <v>20</v>
      </c>
      <c r="F237" s="106" t="n">
        <v>23</v>
      </c>
      <c r="G237" s="106" t="n">
        <v>13</v>
      </c>
      <c r="H237" s="106" t="n">
        <v>4</v>
      </c>
      <c r="I237" s="106" t="n">
        <v>7.5</v>
      </c>
      <c r="J237" s="106" t="n">
        <v>14</v>
      </c>
      <c r="K237" s="106" t="n">
        <v>25.5</v>
      </c>
      <c r="L237" s="106" t="n">
        <v>67</v>
      </c>
      <c r="M237" s="106" t="n">
        <v>92</v>
      </c>
      <c r="N237" s="106" t="n">
        <v>22.5</v>
      </c>
      <c r="O237" s="106" t="n">
        <v>13</v>
      </c>
      <c r="P237" s="106" t="n">
        <v>4</v>
      </c>
      <c r="Q237" s="106" t="s">
        <v>4625</v>
      </c>
      <c r="R237" s="106" t="s">
        <v>4623</v>
      </c>
      <c r="S237" s="106" t="s">
        <v>4854</v>
      </c>
    </row>
    <row r="238" customFormat="false" ht="15" hidden="false" customHeight="false" outlineLevel="0" collapsed="false">
      <c r="A238" s="106" t="s">
        <v>1228</v>
      </c>
      <c r="B238" s="107" t="n">
        <v>1236</v>
      </c>
      <c r="C238" s="106" t="n">
        <v>19.5</v>
      </c>
      <c r="D238" s="106" t="n">
        <v>7</v>
      </c>
      <c r="E238" s="106" t="n">
        <v>101</v>
      </c>
      <c r="F238" s="106" t="n">
        <v>101</v>
      </c>
      <c r="G238" s="106" t="n">
        <v>8.5</v>
      </c>
      <c r="H238" s="106" t="n">
        <v>8</v>
      </c>
      <c r="I238" s="106" t="n">
        <v>6</v>
      </c>
      <c r="J238" s="106" t="n">
        <v>5</v>
      </c>
      <c r="K238" s="106" t="n">
        <v>101</v>
      </c>
      <c r="L238" s="106" t="n">
        <v>9</v>
      </c>
      <c r="M238" s="106" t="n">
        <v>8</v>
      </c>
      <c r="N238" s="106" t="n">
        <v>9</v>
      </c>
      <c r="O238" s="106" t="n">
        <v>11</v>
      </c>
      <c r="P238" s="106" t="n">
        <v>19</v>
      </c>
      <c r="Q238" s="106" t="s">
        <v>4815</v>
      </c>
      <c r="R238" s="106" t="s">
        <v>4815</v>
      </c>
      <c r="S238" s="106" t="s">
        <v>4855</v>
      </c>
    </row>
    <row r="239" customFormat="false" ht="15" hidden="false" customHeight="false" outlineLevel="0" collapsed="false">
      <c r="A239" s="106" t="s">
        <v>943</v>
      </c>
      <c r="B239" s="107" t="n">
        <v>1209</v>
      </c>
      <c r="C239" s="106" t="n">
        <v>7</v>
      </c>
      <c r="D239" s="106" t="n">
        <v>7</v>
      </c>
      <c r="E239" s="106" t="n">
        <v>11</v>
      </c>
      <c r="F239" s="106" t="n">
        <v>15</v>
      </c>
      <c r="G239" s="106" t="n">
        <v>10</v>
      </c>
      <c r="H239" s="106" t="n">
        <v>10</v>
      </c>
      <c r="I239" s="106" t="n">
        <v>14</v>
      </c>
      <c r="J239" s="106" t="n">
        <v>18</v>
      </c>
      <c r="K239" s="106" t="n">
        <v>32</v>
      </c>
      <c r="L239" s="106" t="n">
        <v>57</v>
      </c>
      <c r="M239" s="106" t="n">
        <v>43</v>
      </c>
      <c r="N239" s="106" t="n">
        <v>3</v>
      </c>
      <c r="O239" s="106" t="n">
        <v>4</v>
      </c>
      <c r="P239" s="106" t="n">
        <v>30</v>
      </c>
      <c r="Q239" s="106" t="s">
        <v>4622</v>
      </c>
      <c r="R239" s="106" t="s">
        <v>4633</v>
      </c>
      <c r="S239" s="106" t="s">
        <v>4856</v>
      </c>
    </row>
    <row r="240" customFormat="false" ht="15" hidden="false" customHeight="false" outlineLevel="0" collapsed="false">
      <c r="A240" s="106" t="s">
        <v>341</v>
      </c>
      <c r="B240" s="107" t="n">
        <v>1190</v>
      </c>
      <c r="C240" s="106" t="n">
        <v>11</v>
      </c>
      <c r="D240" s="106" t="n">
        <v>8</v>
      </c>
      <c r="E240" s="106" t="n">
        <v>13</v>
      </c>
      <c r="F240" s="106" t="n">
        <v>75</v>
      </c>
      <c r="G240" s="106" t="n">
        <v>7</v>
      </c>
      <c r="H240" s="106" t="n">
        <v>6</v>
      </c>
      <c r="I240" s="106" t="n">
        <v>9</v>
      </c>
      <c r="J240" s="106" t="n">
        <v>18</v>
      </c>
      <c r="K240" s="106" t="n">
        <v>27</v>
      </c>
      <c r="L240" s="106" t="n">
        <v>65</v>
      </c>
      <c r="M240" s="106" t="n">
        <v>39</v>
      </c>
      <c r="N240" s="106" t="n">
        <v>42</v>
      </c>
      <c r="O240" s="106" t="n">
        <v>54</v>
      </c>
      <c r="P240" s="106" t="n">
        <v>2</v>
      </c>
      <c r="Q240" s="106" t="s">
        <v>4623</v>
      </c>
      <c r="R240" s="106" t="s">
        <v>4631</v>
      </c>
      <c r="S240" s="106" t="s">
        <v>4857</v>
      </c>
    </row>
    <row r="241" customFormat="false" ht="15" hidden="false" customHeight="false" outlineLevel="0" collapsed="false">
      <c r="A241" s="106" t="s">
        <v>1331</v>
      </c>
      <c r="B241" s="107" t="n">
        <v>1185</v>
      </c>
      <c r="C241" s="106" t="n">
        <v>10</v>
      </c>
      <c r="D241" s="106" t="n">
        <v>11.5</v>
      </c>
      <c r="E241" s="106" t="n">
        <v>101</v>
      </c>
      <c r="F241" s="106" t="n">
        <v>24</v>
      </c>
      <c r="G241" s="106" t="n">
        <v>11</v>
      </c>
      <c r="H241" s="106" t="n">
        <v>13</v>
      </c>
      <c r="I241" s="106" t="n">
        <v>11.5</v>
      </c>
      <c r="J241" s="106" t="n">
        <v>21</v>
      </c>
      <c r="K241" s="106" t="n">
        <v>49</v>
      </c>
      <c r="L241" s="106" t="n">
        <v>88</v>
      </c>
      <c r="M241" s="106" t="n">
        <v>78</v>
      </c>
      <c r="N241" s="106" t="n">
        <v>15</v>
      </c>
      <c r="O241" s="106" t="n">
        <v>17</v>
      </c>
      <c r="P241" s="106" t="n">
        <v>4</v>
      </c>
      <c r="Q241" s="106" t="s">
        <v>4815</v>
      </c>
      <c r="R241" s="106" t="s">
        <v>4631</v>
      </c>
      <c r="S241" s="106" t="s">
        <v>4858</v>
      </c>
    </row>
    <row r="242" customFormat="false" ht="15" hidden="false" customHeight="false" outlineLevel="0" collapsed="false">
      <c r="A242" s="106" t="s">
        <v>1408</v>
      </c>
      <c r="B242" s="107" t="n">
        <v>1173</v>
      </c>
      <c r="C242" s="106" t="n">
        <v>101</v>
      </c>
      <c r="D242" s="106" t="n">
        <v>101</v>
      </c>
      <c r="E242" s="106"/>
      <c r="F242" s="106"/>
      <c r="G242" s="106"/>
      <c r="H242" s="106"/>
      <c r="I242" s="106"/>
      <c r="J242" s="106"/>
      <c r="K242" s="106" t="n">
        <v>33.5</v>
      </c>
      <c r="L242" s="106" t="n">
        <v>80</v>
      </c>
      <c r="M242" s="106" t="n">
        <v>101</v>
      </c>
      <c r="N242" s="106" t="n">
        <v>41</v>
      </c>
      <c r="O242" s="106" t="n">
        <v>41</v>
      </c>
      <c r="P242" s="106" t="n">
        <v>2</v>
      </c>
      <c r="Q242" s="106" t="s">
        <v>4859</v>
      </c>
      <c r="R242" s="106" t="s">
        <v>4860</v>
      </c>
      <c r="S242" s="106" t="s">
        <v>4861</v>
      </c>
    </row>
    <row r="243" customFormat="false" ht="15" hidden="false" customHeight="false" outlineLevel="0" collapsed="false">
      <c r="A243" s="106" t="s">
        <v>1462</v>
      </c>
      <c r="B243" s="107" t="n">
        <v>1171</v>
      </c>
      <c r="C243" s="106" t="n">
        <v>9</v>
      </c>
      <c r="D243" s="106" t="n">
        <v>9</v>
      </c>
      <c r="E243" s="106" t="n">
        <v>11</v>
      </c>
      <c r="F243" s="106" t="n">
        <v>21</v>
      </c>
      <c r="G243" s="106" t="n">
        <v>15</v>
      </c>
      <c r="H243" s="106" t="n">
        <v>9</v>
      </c>
      <c r="I243" s="106" t="n">
        <v>9</v>
      </c>
      <c r="J243" s="106" t="n">
        <v>21</v>
      </c>
      <c r="K243" s="106" t="n">
        <v>33.5</v>
      </c>
      <c r="L243" s="106" t="n">
        <v>101</v>
      </c>
      <c r="M243" s="106" t="n">
        <v>31</v>
      </c>
      <c r="N243" s="106" t="n">
        <v>18</v>
      </c>
      <c r="O243" s="106" t="n">
        <v>24</v>
      </c>
      <c r="P243" s="106" t="n">
        <v>8</v>
      </c>
      <c r="Q243" s="106" t="s">
        <v>4622</v>
      </c>
      <c r="R243" s="106" t="s">
        <v>4623</v>
      </c>
      <c r="S243" s="106" t="s">
        <v>4862</v>
      </c>
    </row>
    <row r="244" customFormat="false" ht="15" hidden="false" customHeight="false" outlineLevel="0" collapsed="false">
      <c r="A244" s="106" t="s">
        <v>4863</v>
      </c>
      <c r="B244" s="107" t="n">
        <v>1148</v>
      </c>
      <c r="C244" s="106" t="n">
        <v>22</v>
      </c>
      <c r="D244" s="106" t="n">
        <v>28</v>
      </c>
      <c r="E244" s="106" t="n">
        <v>77</v>
      </c>
      <c r="F244" s="106" t="n">
        <v>101</v>
      </c>
      <c r="G244" s="106" t="n">
        <v>101</v>
      </c>
      <c r="H244" s="106" t="n">
        <v>24</v>
      </c>
      <c r="I244" s="106" t="n">
        <v>26.5</v>
      </c>
      <c r="J244" s="106" t="n">
        <v>57</v>
      </c>
      <c r="K244" s="106" t="n">
        <v>91</v>
      </c>
      <c r="L244" s="106" t="n">
        <v>101</v>
      </c>
      <c r="M244" s="106" t="n">
        <v>101</v>
      </c>
      <c r="N244" s="106" t="n">
        <v>70</v>
      </c>
      <c r="O244" s="106" t="n">
        <v>61</v>
      </c>
      <c r="P244" s="106" t="n">
        <v>0</v>
      </c>
      <c r="Q244" s="106" t="s">
        <v>4623</v>
      </c>
      <c r="R244" s="106" t="s">
        <v>4633</v>
      </c>
      <c r="S244" s="106" t="s">
        <v>4864</v>
      </c>
    </row>
    <row r="245" customFormat="false" ht="15" hidden="false" customHeight="false" outlineLevel="0" collapsed="false">
      <c r="A245" s="106" t="s">
        <v>670</v>
      </c>
      <c r="B245" s="107" t="n">
        <v>1133</v>
      </c>
      <c r="C245" s="106" t="n">
        <v>11.5</v>
      </c>
      <c r="D245" s="106" t="n">
        <v>18</v>
      </c>
      <c r="E245" s="106" t="n">
        <v>101</v>
      </c>
      <c r="F245" s="106" t="n">
        <v>101</v>
      </c>
      <c r="G245" s="106" t="n">
        <v>22.5</v>
      </c>
      <c r="H245" s="106" t="n">
        <v>35</v>
      </c>
      <c r="I245" s="106" t="n">
        <v>33.5</v>
      </c>
      <c r="J245" s="106" t="n">
        <v>37</v>
      </c>
      <c r="K245" s="106" t="n">
        <v>23.5</v>
      </c>
      <c r="L245" s="106" t="n">
        <v>101</v>
      </c>
      <c r="M245" s="106" t="n">
        <v>95</v>
      </c>
      <c r="N245" s="106" t="n">
        <v>21</v>
      </c>
      <c r="O245" s="106" t="n">
        <v>36</v>
      </c>
      <c r="P245" s="106" t="n">
        <v>2</v>
      </c>
      <c r="Q245" s="106" t="s">
        <v>4625</v>
      </c>
      <c r="R245" s="106" t="s">
        <v>4622</v>
      </c>
      <c r="S245" s="106" t="s">
        <v>4842</v>
      </c>
    </row>
    <row r="246" customFormat="false" ht="15" hidden="false" customHeight="false" outlineLevel="0" collapsed="false">
      <c r="A246" s="106" t="s">
        <v>4865</v>
      </c>
      <c r="B246" s="107" t="n">
        <v>1113</v>
      </c>
      <c r="C246" s="106" t="n">
        <v>28</v>
      </c>
      <c r="D246" s="106" t="n">
        <v>8.5</v>
      </c>
      <c r="E246" s="106" t="n">
        <v>15</v>
      </c>
      <c r="F246" s="106" t="n">
        <v>26</v>
      </c>
      <c r="G246" s="106" t="n">
        <v>8.5</v>
      </c>
      <c r="H246" s="106" t="n">
        <v>11</v>
      </c>
      <c r="I246" s="106" t="n">
        <v>3</v>
      </c>
      <c r="J246" s="106" t="n">
        <v>6</v>
      </c>
      <c r="K246" s="106" t="n">
        <v>101</v>
      </c>
      <c r="L246" s="106" t="n">
        <v>101</v>
      </c>
      <c r="M246" s="106" t="n">
        <v>5</v>
      </c>
      <c r="N246" s="106" t="n">
        <v>4</v>
      </c>
      <c r="O246" s="106" t="n">
        <v>3</v>
      </c>
      <c r="P246" s="106" t="n">
        <v>30</v>
      </c>
      <c r="Q246" s="106" t="s">
        <v>4866</v>
      </c>
      <c r="R246" s="106" t="s">
        <v>4867</v>
      </c>
      <c r="S246" s="106" t="s">
        <v>4868</v>
      </c>
    </row>
    <row r="247" customFormat="false" ht="15" hidden="false" customHeight="false" outlineLevel="0" collapsed="false">
      <c r="A247" s="106" t="s">
        <v>4869</v>
      </c>
      <c r="B247" s="107" t="n">
        <v>1110</v>
      </c>
      <c r="C247" s="106"/>
      <c r="D247" s="106"/>
      <c r="E247" s="106"/>
      <c r="F247" s="106"/>
      <c r="G247" s="106"/>
      <c r="H247" s="106"/>
      <c r="I247" s="106"/>
      <c r="J247" s="106"/>
      <c r="K247" s="106"/>
      <c r="L247" s="106" t="n">
        <v>101</v>
      </c>
      <c r="M247" s="106" t="n">
        <v>101</v>
      </c>
      <c r="N247" s="106" t="n">
        <v>101</v>
      </c>
      <c r="O247" s="106" t="n">
        <v>101</v>
      </c>
      <c r="P247" s="106" t="n">
        <v>0</v>
      </c>
      <c r="Q247" s="106"/>
      <c r="R247" s="106"/>
      <c r="S247" s="106"/>
    </row>
    <row r="248" customFormat="false" ht="15" hidden="false" customHeight="false" outlineLevel="0" collapsed="false">
      <c r="A248" s="106" t="s">
        <v>421</v>
      </c>
      <c r="B248" s="107" t="n">
        <v>1105</v>
      </c>
      <c r="C248" s="106" t="n">
        <v>8.5</v>
      </c>
      <c r="D248" s="106" t="n">
        <v>6</v>
      </c>
      <c r="E248" s="106" t="n">
        <v>5</v>
      </c>
      <c r="F248" s="106" t="n">
        <v>6</v>
      </c>
      <c r="G248" s="106" t="n">
        <v>5</v>
      </c>
      <c r="H248" s="106" t="n">
        <v>4</v>
      </c>
      <c r="I248" s="106" t="n">
        <v>5</v>
      </c>
      <c r="J248" s="106" t="n">
        <v>6</v>
      </c>
      <c r="K248" s="106" t="n">
        <v>17</v>
      </c>
      <c r="L248" s="106" t="n">
        <v>20</v>
      </c>
      <c r="M248" s="106" t="n">
        <v>5</v>
      </c>
      <c r="N248" s="106" t="n">
        <v>5</v>
      </c>
      <c r="O248" s="106" t="n">
        <v>5</v>
      </c>
      <c r="P248" s="106" t="n">
        <v>29</v>
      </c>
      <c r="Q248" s="106" t="s">
        <v>4627</v>
      </c>
      <c r="R248" s="106" t="s">
        <v>4626</v>
      </c>
      <c r="S248" s="106" t="s">
        <v>4870</v>
      </c>
    </row>
    <row r="249" customFormat="false" ht="15" hidden="false" customHeight="false" outlineLevel="0" collapsed="false">
      <c r="A249" s="106" t="s">
        <v>1011</v>
      </c>
      <c r="B249" s="107" t="n">
        <v>1103</v>
      </c>
      <c r="C249" s="106" t="n">
        <v>24</v>
      </c>
      <c r="D249" s="106" t="n">
        <v>22</v>
      </c>
      <c r="E249" s="106" t="n">
        <v>43</v>
      </c>
      <c r="F249" s="106" t="n">
        <v>101</v>
      </c>
      <c r="G249" s="106" t="n">
        <v>23</v>
      </c>
      <c r="H249" s="106" t="n">
        <v>19</v>
      </c>
      <c r="I249" s="106" t="n">
        <v>15.5</v>
      </c>
      <c r="J249" s="106" t="n">
        <v>38</v>
      </c>
      <c r="K249" s="106" t="n">
        <v>58.5</v>
      </c>
      <c r="L249" s="106" t="n">
        <v>101</v>
      </c>
      <c r="M249" s="106" t="n">
        <v>69</v>
      </c>
      <c r="N249" s="106" t="n">
        <v>59.5</v>
      </c>
      <c r="O249" s="106" t="n">
        <v>41</v>
      </c>
      <c r="P249" s="106" t="n">
        <v>1</v>
      </c>
      <c r="Q249" s="106" t="s">
        <v>4633</v>
      </c>
      <c r="R249" s="106" t="s">
        <v>4866</v>
      </c>
      <c r="S249" s="106" t="s">
        <v>4871</v>
      </c>
    </row>
    <row r="250" customFormat="false" ht="15" hidden="false" customHeight="false" outlineLevel="0" collapsed="false">
      <c r="A250" s="106" t="s">
        <v>682</v>
      </c>
      <c r="B250" s="107" t="n">
        <v>1091</v>
      </c>
      <c r="C250" s="106" t="n">
        <v>15</v>
      </c>
      <c r="D250" s="106" t="n">
        <v>9</v>
      </c>
      <c r="E250" s="106" t="n">
        <v>101</v>
      </c>
      <c r="F250" s="106" t="n">
        <v>21</v>
      </c>
      <c r="G250" s="106" t="n">
        <v>8</v>
      </c>
      <c r="H250" s="106" t="n">
        <v>8</v>
      </c>
      <c r="I250" s="106" t="n">
        <v>8</v>
      </c>
      <c r="J250" s="106" t="n">
        <v>18</v>
      </c>
      <c r="K250" s="106" t="n">
        <v>45.5</v>
      </c>
      <c r="L250" s="106" t="n">
        <v>74</v>
      </c>
      <c r="M250" s="106" t="n">
        <v>64</v>
      </c>
      <c r="N250" s="106" t="n">
        <v>11</v>
      </c>
      <c r="O250" s="106" t="n">
        <v>17</v>
      </c>
      <c r="P250" s="106" t="n">
        <v>13</v>
      </c>
      <c r="Q250" s="106" t="s">
        <v>4622</v>
      </c>
      <c r="R250" s="106" t="s">
        <v>4623</v>
      </c>
      <c r="S250" s="106" t="s">
        <v>4872</v>
      </c>
    </row>
    <row r="251" customFormat="false" ht="15" hidden="false" customHeight="false" outlineLevel="0" collapsed="false">
      <c r="A251" s="106" t="s">
        <v>1079</v>
      </c>
      <c r="B251" s="107" t="n">
        <v>1083</v>
      </c>
      <c r="C251" s="106" t="n">
        <v>15.5</v>
      </c>
      <c r="D251" s="106" t="n">
        <v>22.5</v>
      </c>
      <c r="E251" s="106" t="n">
        <v>101</v>
      </c>
      <c r="F251" s="106" t="n">
        <v>101</v>
      </c>
      <c r="G251" s="106" t="n">
        <v>90.5</v>
      </c>
      <c r="H251" s="106" t="n">
        <v>11</v>
      </c>
      <c r="I251" s="106" t="n">
        <v>10</v>
      </c>
      <c r="J251" s="106" t="n">
        <v>17</v>
      </c>
      <c r="K251" s="106" t="n">
        <v>82.5</v>
      </c>
      <c r="L251" s="106" t="n">
        <v>101</v>
      </c>
      <c r="M251" s="106" t="n">
        <v>101</v>
      </c>
      <c r="N251" s="106" t="n">
        <v>47</v>
      </c>
      <c r="O251" s="106" t="n">
        <v>46</v>
      </c>
      <c r="P251" s="106" t="n">
        <v>6</v>
      </c>
      <c r="Q251" s="106" t="s">
        <v>4625</v>
      </c>
      <c r="R251" s="106" t="s">
        <v>4633</v>
      </c>
      <c r="S251" s="106" t="s">
        <v>4873</v>
      </c>
    </row>
    <row r="252" customFormat="false" ht="15" hidden="false" customHeight="false" outlineLevel="0" collapsed="false">
      <c r="A252" s="106" t="s">
        <v>4874</v>
      </c>
      <c r="B252" s="107" t="n">
        <v>1083</v>
      </c>
      <c r="C252" s="106"/>
      <c r="D252" s="106"/>
      <c r="E252" s="106"/>
      <c r="F252" s="106"/>
      <c r="G252" s="106"/>
      <c r="H252" s="106"/>
      <c r="I252" s="106"/>
      <c r="J252" s="106"/>
      <c r="K252" s="106" t="n">
        <v>101</v>
      </c>
      <c r="L252" s="106" t="n">
        <v>101</v>
      </c>
      <c r="M252" s="106" t="n">
        <v>101</v>
      </c>
      <c r="N252" s="106" t="n">
        <v>101</v>
      </c>
      <c r="O252" s="106" t="n">
        <v>101</v>
      </c>
      <c r="P252" s="106" t="n">
        <v>0</v>
      </c>
      <c r="Q252" s="106"/>
      <c r="R252" s="106"/>
      <c r="S252" s="106" t="s">
        <v>4875</v>
      </c>
    </row>
    <row r="253" customFormat="false" ht="15" hidden="false" customHeight="false" outlineLevel="0" collapsed="false">
      <c r="A253" s="106" t="s">
        <v>1176</v>
      </c>
      <c r="B253" s="107" t="n">
        <v>1061</v>
      </c>
      <c r="C253" s="106" t="n">
        <v>9</v>
      </c>
      <c r="D253" s="106" t="n">
        <v>4.5</v>
      </c>
      <c r="E253" s="106" t="n">
        <v>5</v>
      </c>
      <c r="F253" s="106" t="n">
        <v>8</v>
      </c>
      <c r="G253" s="106" t="n">
        <v>5</v>
      </c>
      <c r="H253" s="106" t="n">
        <v>4</v>
      </c>
      <c r="I253" s="106" t="n">
        <v>5</v>
      </c>
      <c r="J253" s="106" t="n">
        <v>7</v>
      </c>
      <c r="K253" s="106" t="n">
        <v>15</v>
      </c>
      <c r="L253" s="106" t="n">
        <v>25</v>
      </c>
      <c r="M253" s="106" t="n">
        <v>4</v>
      </c>
      <c r="N253" s="106" t="n">
        <v>5</v>
      </c>
      <c r="O253" s="106" t="n">
        <v>3</v>
      </c>
      <c r="P253" s="106" t="n">
        <v>30</v>
      </c>
      <c r="Q253" s="106" t="s">
        <v>4876</v>
      </c>
      <c r="R253" s="106" t="s">
        <v>4625</v>
      </c>
      <c r="S253" s="106" t="s">
        <v>4877</v>
      </c>
    </row>
    <row r="254" customFormat="false" ht="15" hidden="false" customHeight="false" outlineLevel="0" collapsed="false">
      <c r="A254" s="106" t="s">
        <v>1320</v>
      </c>
      <c r="B254" s="107" t="n">
        <v>1058</v>
      </c>
      <c r="C254" s="106" t="n">
        <v>11</v>
      </c>
      <c r="D254" s="106" t="n">
        <v>13</v>
      </c>
      <c r="E254" s="106" t="n">
        <v>101</v>
      </c>
      <c r="F254" s="106" t="n">
        <v>101</v>
      </c>
      <c r="G254" s="106" t="n">
        <v>101</v>
      </c>
      <c r="H254" s="106" t="n">
        <v>38</v>
      </c>
      <c r="I254" s="106" t="n">
        <v>38</v>
      </c>
      <c r="J254" s="106" t="n">
        <v>101</v>
      </c>
      <c r="K254" s="106" t="n">
        <v>101</v>
      </c>
      <c r="L254" s="106" t="n">
        <v>101</v>
      </c>
      <c r="M254" s="106" t="n">
        <v>86</v>
      </c>
      <c r="N254" s="106" t="n">
        <v>43.5</v>
      </c>
      <c r="O254" s="106" t="n">
        <v>54</v>
      </c>
      <c r="P254" s="106" t="n">
        <v>1</v>
      </c>
      <c r="Q254" s="106" t="s">
        <v>4624</v>
      </c>
      <c r="R254" s="106" t="s">
        <v>4633</v>
      </c>
      <c r="S254" s="106" t="s">
        <v>4844</v>
      </c>
    </row>
    <row r="255" customFormat="false" ht="15" hidden="false" customHeight="false" outlineLevel="0" collapsed="false">
      <c r="A255" s="106" t="s">
        <v>4878</v>
      </c>
      <c r="B255" s="107" t="n">
        <v>1056</v>
      </c>
      <c r="C255" s="106" t="n">
        <v>101</v>
      </c>
      <c r="D255" s="106"/>
      <c r="E255" s="106"/>
      <c r="F255" s="106"/>
      <c r="G255" s="106"/>
      <c r="H255" s="106"/>
      <c r="I255" s="106"/>
      <c r="J255" s="106"/>
      <c r="K255" s="106" t="n">
        <v>101</v>
      </c>
      <c r="L255" s="106" t="n">
        <v>101</v>
      </c>
      <c r="M255" s="106" t="n">
        <v>101</v>
      </c>
      <c r="N255" s="106" t="n">
        <v>101</v>
      </c>
      <c r="O255" s="106" t="n">
        <v>101</v>
      </c>
      <c r="P255" s="106" t="n">
        <v>0</v>
      </c>
      <c r="Q255" s="106"/>
      <c r="R255" s="106"/>
      <c r="S255" s="106" t="s">
        <v>4879</v>
      </c>
    </row>
    <row r="256" customFormat="false" ht="15" hidden="false" customHeight="false" outlineLevel="0" collapsed="false">
      <c r="A256" s="106" t="s">
        <v>4880</v>
      </c>
      <c r="B256" s="107" t="n">
        <v>994</v>
      </c>
      <c r="C256" s="106"/>
      <c r="D256" s="106"/>
      <c r="E256" s="106"/>
      <c r="F256" s="106"/>
      <c r="G256" s="106"/>
      <c r="H256" s="106"/>
      <c r="I256" s="106"/>
      <c r="J256" s="106"/>
      <c r="K256" s="106"/>
      <c r="L256" s="106" t="n">
        <v>101</v>
      </c>
      <c r="M256" s="106" t="n">
        <v>101</v>
      </c>
      <c r="N256" s="106" t="n">
        <v>101</v>
      </c>
      <c r="O256" s="106" t="n">
        <v>101</v>
      </c>
      <c r="P256" s="106" t="n">
        <v>0</v>
      </c>
      <c r="Q256" s="106"/>
      <c r="R256" s="106"/>
      <c r="S256" s="106"/>
    </row>
    <row r="257" customFormat="false" ht="15" hidden="false" customHeight="false" outlineLevel="0" collapsed="false">
      <c r="A257" s="106" t="s">
        <v>463</v>
      </c>
      <c r="B257" s="107" t="n">
        <v>986</v>
      </c>
      <c r="C257" s="106" t="n">
        <v>101</v>
      </c>
      <c r="D257" s="106" t="n">
        <v>101</v>
      </c>
      <c r="E257" s="106" t="n">
        <v>101</v>
      </c>
      <c r="F257" s="106"/>
      <c r="G257" s="106"/>
      <c r="H257" s="106"/>
      <c r="I257" s="106"/>
      <c r="J257" s="106"/>
      <c r="K257" s="106"/>
      <c r="L257" s="106" t="n">
        <v>18</v>
      </c>
      <c r="M257" s="106" t="n">
        <v>5</v>
      </c>
      <c r="N257" s="106" t="n">
        <v>7</v>
      </c>
      <c r="O257" s="106" t="n">
        <v>9</v>
      </c>
      <c r="P257" s="106" t="n">
        <v>26</v>
      </c>
      <c r="Q257" s="106" t="s">
        <v>1739</v>
      </c>
      <c r="R257" s="106" t="s">
        <v>4613</v>
      </c>
      <c r="S257" s="106" t="s">
        <v>4881</v>
      </c>
    </row>
    <row r="258" customFormat="false" ht="15" hidden="false" customHeight="false" outlineLevel="0" collapsed="false">
      <c r="A258" s="106" t="s">
        <v>821</v>
      </c>
      <c r="B258" s="107" t="n">
        <v>978</v>
      </c>
      <c r="C258" s="106" t="n">
        <v>61.5</v>
      </c>
      <c r="D258" s="106" t="n">
        <v>85.5</v>
      </c>
      <c r="E258" s="106" t="n">
        <v>34</v>
      </c>
      <c r="F258" s="106" t="n">
        <v>101</v>
      </c>
      <c r="G258" s="106" t="n">
        <v>41.5</v>
      </c>
      <c r="H258" s="106" t="n">
        <v>90</v>
      </c>
      <c r="I258" s="106" t="n">
        <v>43</v>
      </c>
      <c r="J258" s="106" t="n">
        <v>63</v>
      </c>
      <c r="K258" s="106" t="n">
        <v>101</v>
      </c>
      <c r="L258" s="106" t="n">
        <v>50</v>
      </c>
      <c r="M258" s="106" t="n">
        <v>23</v>
      </c>
      <c r="N258" s="106" t="n">
        <v>23</v>
      </c>
      <c r="O258" s="106" t="n">
        <v>10</v>
      </c>
      <c r="P258" s="106" t="n">
        <v>5</v>
      </c>
      <c r="Q258" s="106" t="s">
        <v>4882</v>
      </c>
      <c r="R258" s="106" t="s">
        <v>1735</v>
      </c>
      <c r="S258" s="106" t="s">
        <v>4883</v>
      </c>
    </row>
    <row r="259" customFormat="false" ht="15" hidden="false" customHeight="false" outlineLevel="0" collapsed="false">
      <c r="A259" s="106" t="s">
        <v>1057</v>
      </c>
      <c r="B259" s="107" t="n">
        <v>974</v>
      </c>
      <c r="C259" s="106" t="n">
        <v>11.5</v>
      </c>
      <c r="D259" s="106" t="n">
        <v>18</v>
      </c>
      <c r="E259" s="106" t="n">
        <v>101</v>
      </c>
      <c r="F259" s="106" t="n">
        <v>101</v>
      </c>
      <c r="G259" s="106" t="n">
        <v>29</v>
      </c>
      <c r="H259" s="106" t="n">
        <v>18</v>
      </c>
      <c r="I259" s="106" t="n">
        <v>20</v>
      </c>
      <c r="J259" s="106" t="n">
        <v>55</v>
      </c>
      <c r="K259" s="106" t="n">
        <v>101</v>
      </c>
      <c r="L259" s="106" t="n">
        <v>101</v>
      </c>
      <c r="M259" s="106" t="n">
        <v>101</v>
      </c>
      <c r="N259" s="106" t="n">
        <v>39</v>
      </c>
      <c r="O259" s="106" t="n">
        <v>58</v>
      </c>
      <c r="P259" s="106" t="n">
        <v>1</v>
      </c>
      <c r="Q259" s="106" t="s">
        <v>4632</v>
      </c>
      <c r="R259" s="106" t="s">
        <v>4622</v>
      </c>
      <c r="S259" s="106" t="s">
        <v>4884</v>
      </c>
    </row>
    <row r="260" customFormat="false" ht="15" hidden="false" customHeight="false" outlineLevel="0" collapsed="false">
      <c r="A260" s="106" t="s">
        <v>959</v>
      </c>
      <c r="B260" s="107" t="n">
        <v>972</v>
      </c>
      <c r="C260" s="106" t="n">
        <v>51</v>
      </c>
      <c r="D260" s="106" t="n">
        <v>3</v>
      </c>
      <c r="E260" s="106" t="n">
        <v>4</v>
      </c>
      <c r="F260" s="106" t="n">
        <v>30</v>
      </c>
      <c r="G260" s="106" t="n">
        <v>6.5</v>
      </c>
      <c r="H260" s="106" t="n">
        <v>5</v>
      </c>
      <c r="I260" s="106" t="n">
        <v>5</v>
      </c>
      <c r="J260" s="106" t="n">
        <v>3</v>
      </c>
      <c r="K260" s="106" t="n">
        <v>101</v>
      </c>
      <c r="L260" s="106" t="n">
        <v>101</v>
      </c>
      <c r="M260" s="106" t="n">
        <v>12</v>
      </c>
      <c r="N260" s="106" t="n">
        <v>5</v>
      </c>
      <c r="O260" s="106" t="n">
        <v>6</v>
      </c>
      <c r="P260" s="106" t="n">
        <v>30</v>
      </c>
      <c r="Q260" s="106" t="s">
        <v>4629</v>
      </c>
      <c r="R260" s="106" t="s">
        <v>4629</v>
      </c>
      <c r="S260" s="106" t="s">
        <v>4885</v>
      </c>
    </row>
    <row r="261" customFormat="false" ht="15" hidden="false" customHeight="false" outlineLevel="0" collapsed="false">
      <c r="A261" s="106" t="s">
        <v>359</v>
      </c>
      <c r="B261" s="107" t="n">
        <v>969</v>
      </c>
      <c r="C261" s="106"/>
      <c r="D261" s="106"/>
      <c r="E261" s="106"/>
      <c r="F261" s="106"/>
      <c r="G261" s="106"/>
      <c r="H261" s="106"/>
      <c r="I261" s="106"/>
      <c r="J261" s="106"/>
      <c r="K261" s="106" t="n">
        <v>47</v>
      </c>
      <c r="L261" s="106" t="n">
        <v>101</v>
      </c>
      <c r="M261" s="106" t="n">
        <v>101</v>
      </c>
      <c r="N261" s="106" t="n">
        <v>27.5</v>
      </c>
      <c r="O261" s="106" t="n">
        <v>39</v>
      </c>
      <c r="P261" s="106" t="n">
        <v>5</v>
      </c>
      <c r="Q261" s="106" t="s">
        <v>4069</v>
      </c>
      <c r="R261" s="106" t="s">
        <v>4069</v>
      </c>
      <c r="S261" s="106" t="s">
        <v>4886</v>
      </c>
    </row>
    <row r="262" customFormat="false" ht="15" hidden="false" customHeight="false" outlineLevel="0" collapsed="false">
      <c r="A262" s="106" t="s">
        <v>1297</v>
      </c>
      <c r="B262" s="107" t="n">
        <v>961</v>
      </c>
      <c r="C262" s="106" t="n">
        <v>33.5</v>
      </c>
      <c r="D262" s="106" t="n">
        <v>34.5</v>
      </c>
      <c r="E262" s="106" t="n">
        <v>101</v>
      </c>
      <c r="F262" s="106" t="n">
        <v>101</v>
      </c>
      <c r="G262" s="106" t="n">
        <v>101</v>
      </c>
      <c r="H262" s="106" t="n">
        <v>94</v>
      </c>
      <c r="I262" s="106" t="n">
        <v>85</v>
      </c>
      <c r="J262" s="106" t="n">
        <v>101</v>
      </c>
      <c r="K262" s="106" t="n">
        <v>75</v>
      </c>
      <c r="L262" s="106" t="n">
        <v>101</v>
      </c>
      <c r="M262" s="106" t="n">
        <v>101</v>
      </c>
      <c r="N262" s="106" t="n">
        <v>65.5</v>
      </c>
      <c r="O262" s="106" t="n">
        <v>82</v>
      </c>
      <c r="P262" s="106" t="n">
        <v>0</v>
      </c>
      <c r="Q262" s="106" t="s">
        <v>4887</v>
      </c>
      <c r="R262" s="106"/>
      <c r="S262" s="106" t="s">
        <v>4888</v>
      </c>
    </row>
    <row r="263" customFormat="false" ht="15" hidden="false" customHeight="false" outlineLevel="0" collapsed="false">
      <c r="A263" s="106" t="s">
        <v>4889</v>
      </c>
      <c r="B263" s="107" t="n">
        <v>940</v>
      </c>
      <c r="C263" s="106"/>
      <c r="D263" s="106"/>
      <c r="E263" s="106"/>
      <c r="F263" s="106"/>
      <c r="G263" s="106"/>
      <c r="H263" s="106"/>
      <c r="I263" s="106"/>
      <c r="J263" s="106"/>
      <c r="K263" s="106"/>
      <c r="L263" s="106" t="n">
        <v>101</v>
      </c>
      <c r="M263" s="106" t="n">
        <v>101</v>
      </c>
      <c r="N263" s="106" t="n">
        <v>101</v>
      </c>
      <c r="O263" s="106" t="n">
        <v>101</v>
      </c>
      <c r="P263" s="106" t="n">
        <v>0</v>
      </c>
      <c r="Q263" s="106" t="s">
        <v>4890</v>
      </c>
      <c r="R263" s="106"/>
      <c r="S263" s="106" t="s">
        <v>4891</v>
      </c>
    </row>
    <row r="264" customFormat="false" ht="15" hidden="false" customHeight="false" outlineLevel="0" collapsed="false">
      <c r="A264" s="106" t="s">
        <v>4892</v>
      </c>
      <c r="B264" s="107" t="n">
        <v>938</v>
      </c>
      <c r="C264" s="106"/>
      <c r="D264" s="106"/>
      <c r="E264" s="106"/>
      <c r="F264" s="106"/>
      <c r="G264" s="106"/>
      <c r="H264" s="106"/>
      <c r="I264" s="106"/>
      <c r="J264" s="106"/>
      <c r="K264" s="106"/>
      <c r="L264" s="106" t="n">
        <v>101</v>
      </c>
      <c r="M264" s="106" t="n">
        <v>101</v>
      </c>
      <c r="N264" s="106" t="n">
        <v>86</v>
      </c>
      <c r="O264" s="106" t="n">
        <v>101</v>
      </c>
      <c r="P264" s="106" t="n">
        <v>0</v>
      </c>
      <c r="Q264" s="106"/>
      <c r="R264" s="106"/>
      <c r="S264" s="106" t="s">
        <v>4893</v>
      </c>
    </row>
    <row r="265" customFormat="false" ht="15" hidden="false" customHeight="false" outlineLevel="0" collapsed="false">
      <c r="A265" s="106" t="s">
        <v>1451</v>
      </c>
      <c r="B265" s="107" t="n">
        <v>802</v>
      </c>
      <c r="C265" s="106" t="n">
        <v>24</v>
      </c>
      <c r="D265" s="106" t="n">
        <v>21</v>
      </c>
      <c r="E265" s="106" t="n">
        <v>22</v>
      </c>
      <c r="F265" s="106" t="n">
        <v>101</v>
      </c>
      <c r="G265" s="106" t="n">
        <v>22</v>
      </c>
      <c r="H265" s="106" t="n">
        <v>32</v>
      </c>
      <c r="I265" s="106" t="n">
        <v>24.5</v>
      </c>
      <c r="J265" s="106" t="n">
        <v>42</v>
      </c>
      <c r="K265" s="106" t="n">
        <v>101</v>
      </c>
      <c r="L265" s="106" t="n">
        <v>101</v>
      </c>
      <c r="M265" s="106" t="n">
        <v>101</v>
      </c>
      <c r="N265" s="106" t="n">
        <v>45</v>
      </c>
      <c r="O265" s="106" t="n">
        <v>43</v>
      </c>
      <c r="P265" s="106" t="n">
        <v>1</v>
      </c>
      <c r="Q265" s="106" t="s">
        <v>4622</v>
      </c>
      <c r="R265" s="106" t="s">
        <v>4894</v>
      </c>
      <c r="S265" s="106" t="s">
        <v>4895</v>
      </c>
    </row>
    <row r="266" customFormat="false" ht="15" hidden="false" customHeight="false" outlineLevel="0" collapsed="false">
      <c r="A266" s="106" t="s">
        <v>767</v>
      </c>
      <c r="B266" s="107" t="n">
        <v>790</v>
      </c>
      <c r="C266" s="106" t="n">
        <v>19</v>
      </c>
      <c r="D266" s="106" t="n">
        <v>10</v>
      </c>
      <c r="E266" s="106" t="n">
        <v>19</v>
      </c>
      <c r="F266" s="106" t="n">
        <v>12</v>
      </c>
      <c r="G266" s="106" t="n">
        <v>4.5</v>
      </c>
      <c r="H266" s="106" t="n">
        <v>5</v>
      </c>
      <c r="I266" s="106" t="n">
        <v>15</v>
      </c>
      <c r="J266" s="106" t="n">
        <v>15</v>
      </c>
      <c r="K266" s="106" t="n">
        <v>26</v>
      </c>
      <c r="L266" s="106" t="n">
        <v>50</v>
      </c>
      <c r="M266" s="106" t="n">
        <v>10</v>
      </c>
      <c r="N266" s="106" t="n">
        <v>11</v>
      </c>
      <c r="O266" s="106" t="n">
        <v>19</v>
      </c>
      <c r="P266" s="106" t="n">
        <v>10</v>
      </c>
      <c r="Q266" s="106" t="s">
        <v>4628</v>
      </c>
      <c r="R266" s="106" t="s">
        <v>4626</v>
      </c>
      <c r="S266" s="106" t="s">
        <v>4896</v>
      </c>
    </row>
    <row r="267" customFormat="false" ht="15" hidden="false" customHeight="false" outlineLevel="0" collapsed="false">
      <c r="A267" s="106" t="s">
        <v>1189</v>
      </c>
      <c r="B267" s="107" t="n">
        <v>790</v>
      </c>
      <c r="C267" s="106" t="n">
        <v>11.5</v>
      </c>
      <c r="D267" s="106" t="n">
        <v>7</v>
      </c>
      <c r="E267" s="106" t="n">
        <v>6</v>
      </c>
      <c r="F267" s="106" t="n">
        <v>8</v>
      </c>
      <c r="G267" s="106" t="n">
        <v>5</v>
      </c>
      <c r="H267" s="106" t="n">
        <v>6</v>
      </c>
      <c r="I267" s="106" t="n">
        <v>7</v>
      </c>
      <c r="J267" s="106" t="n">
        <v>8</v>
      </c>
      <c r="K267" s="106" t="n">
        <v>12</v>
      </c>
      <c r="L267" s="106" t="n">
        <v>17</v>
      </c>
      <c r="M267" s="106" t="n">
        <v>5</v>
      </c>
      <c r="N267" s="106" t="n">
        <v>5</v>
      </c>
      <c r="O267" s="106" t="n">
        <v>2</v>
      </c>
      <c r="P267" s="106" t="n">
        <v>30</v>
      </c>
      <c r="Q267" s="106" t="s">
        <v>4628</v>
      </c>
      <c r="R267" s="106" t="s">
        <v>4633</v>
      </c>
      <c r="S267" s="106" t="s">
        <v>4897</v>
      </c>
    </row>
    <row r="268" customFormat="false" ht="15" hidden="false" customHeight="false" outlineLevel="0" collapsed="false">
      <c r="A268" s="106" t="s">
        <v>1424</v>
      </c>
      <c r="B268" s="107" t="n">
        <v>779</v>
      </c>
      <c r="C268" s="106"/>
      <c r="D268" s="106"/>
      <c r="E268" s="106"/>
      <c r="F268" s="106"/>
      <c r="G268" s="106"/>
      <c r="H268" s="106"/>
      <c r="I268" s="106"/>
      <c r="J268" s="106"/>
      <c r="K268" s="106" t="n">
        <v>24</v>
      </c>
      <c r="L268" s="106" t="n">
        <v>43</v>
      </c>
      <c r="M268" s="106" t="n">
        <v>20</v>
      </c>
      <c r="N268" s="106" t="n">
        <v>11</v>
      </c>
      <c r="O268" s="106" t="n">
        <v>18</v>
      </c>
      <c r="P268" s="106" t="n">
        <v>6</v>
      </c>
      <c r="Q268" s="106" t="s">
        <v>1759</v>
      </c>
      <c r="R268" s="106" t="s">
        <v>4898</v>
      </c>
      <c r="S268" s="106" t="s">
        <v>4899</v>
      </c>
    </row>
    <row r="269" customFormat="false" ht="15" hidden="false" customHeight="false" outlineLevel="0" collapsed="false">
      <c r="A269" s="106" t="s">
        <v>4900</v>
      </c>
      <c r="B269" s="107" t="n">
        <v>768</v>
      </c>
      <c r="C269" s="106" t="n">
        <v>86.5</v>
      </c>
      <c r="D269" s="106" t="n">
        <v>101</v>
      </c>
      <c r="E269" s="106" t="n">
        <v>101</v>
      </c>
      <c r="F269" s="106" t="n">
        <v>101</v>
      </c>
      <c r="G269" s="106" t="n">
        <v>101</v>
      </c>
      <c r="H269" s="106" t="n">
        <v>101</v>
      </c>
      <c r="I269" s="106" t="n">
        <v>101</v>
      </c>
      <c r="J269" s="106" t="n">
        <v>101</v>
      </c>
      <c r="K269" s="106" t="n">
        <v>101</v>
      </c>
      <c r="L269" s="106" t="n">
        <v>101</v>
      </c>
      <c r="M269" s="106" t="n">
        <v>101</v>
      </c>
      <c r="N269" s="106" t="n">
        <v>95</v>
      </c>
      <c r="O269" s="106" t="n">
        <v>101</v>
      </c>
      <c r="P269" s="106" t="n">
        <v>0</v>
      </c>
      <c r="Q269" s="106"/>
      <c r="R269" s="106"/>
      <c r="S269" s="106" t="s">
        <v>4901</v>
      </c>
    </row>
    <row r="270" customFormat="false" ht="15" hidden="false" customHeight="false" outlineLevel="0" collapsed="false">
      <c r="A270" s="106" t="s">
        <v>927</v>
      </c>
      <c r="B270" s="107" t="n">
        <v>760</v>
      </c>
      <c r="C270" s="106" t="n">
        <v>101</v>
      </c>
      <c r="D270" s="106" t="n">
        <v>101</v>
      </c>
      <c r="E270" s="106"/>
      <c r="F270" s="106"/>
      <c r="G270" s="106"/>
      <c r="H270" s="106"/>
      <c r="I270" s="106"/>
      <c r="J270" s="106"/>
      <c r="K270" s="106" t="n">
        <v>101</v>
      </c>
      <c r="L270" s="106" t="n">
        <v>44</v>
      </c>
      <c r="M270" s="106" t="n">
        <v>40</v>
      </c>
      <c r="N270" s="106" t="n">
        <v>29.5</v>
      </c>
      <c r="O270" s="106" t="n">
        <v>16</v>
      </c>
      <c r="P270" s="106" t="n">
        <v>3</v>
      </c>
      <c r="Q270" s="106" t="s">
        <v>4902</v>
      </c>
      <c r="R270" s="106" t="s">
        <v>4860</v>
      </c>
      <c r="S270" s="106" t="s">
        <v>4903</v>
      </c>
    </row>
    <row r="271" customFormat="false" ht="15" hidden="false" customHeight="false" outlineLevel="0" collapsed="false">
      <c r="A271" s="106" t="s">
        <v>4904</v>
      </c>
      <c r="B271" s="107" t="n">
        <v>749</v>
      </c>
      <c r="C271" s="106" t="n">
        <v>101</v>
      </c>
      <c r="D271" s="106" t="n">
        <v>101</v>
      </c>
      <c r="E271" s="106"/>
      <c r="F271" s="106"/>
      <c r="G271" s="106"/>
      <c r="H271" s="106"/>
      <c r="I271" s="106"/>
      <c r="J271" s="106"/>
      <c r="K271" s="106" t="n">
        <v>79.5</v>
      </c>
      <c r="L271" s="106" t="n">
        <v>101</v>
      </c>
      <c r="M271" s="106" t="n">
        <v>101</v>
      </c>
      <c r="N271" s="106" t="n">
        <v>60</v>
      </c>
      <c r="O271" s="106" t="n">
        <v>101</v>
      </c>
      <c r="P271" s="106" t="n">
        <v>0</v>
      </c>
      <c r="Q271" s="106"/>
      <c r="R271" s="106"/>
      <c r="S271" s="106" t="s">
        <v>4905</v>
      </c>
    </row>
    <row r="272" customFormat="false" ht="15" hidden="false" customHeight="false" outlineLevel="0" collapsed="false">
      <c r="A272" s="106" t="s">
        <v>1216</v>
      </c>
      <c r="B272" s="107" t="n">
        <v>744</v>
      </c>
      <c r="C272" s="106" t="n">
        <v>37</v>
      </c>
      <c r="D272" s="106" t="n">
        <v>16</v>
      </c>
      <c r="E272" s="106" t="n">
        <v>85</v>
      </c>
      <c r="F272" s="106" t="n">
        <v>26</v>
      </c>
      <c r="G272" s="106" t="n">
        <v>15</v>
      </c>
      <c r="H272" s="106" t="n">
        <v>14</v>
      </c>
      <c r="I272" s="106" t="n">
        <v>12</v>
      </c>
      <c r="J272" s="106" t="n">
        <v>8</v>
      </c>
      <c r="K272" s="106" t="n">
        <v>101</v>
      </c>
      <c r="L272" s="106" t="n">
        <v>18</v>
      </c>
      <c r="M272" s="106" t="n">
        <v>18</v>
      </c>
      <c r="N272" s="106" t="n">
        <v>17</v>
      </c>
      <c r="O272" s="106" t="n">
        <v>32</v>
      </c>
      <c r="P272" s="106" t="n">
        <v>6</v>
      </c>
      <c r="Q272" s="106" t="s">
        <v>4906</v>
      </c>
      <c r="R272" s="106" t="s">
        <v>4907</v>
      </c>
      <c r="S272" s="106" t="s">
        <v>4908</v>
      </c>
    </row>
    <row r="273" customFormat="false" ht="15" hidden="false" customHeight="false" outlineLevel="0" collapsed="false">
      <c r="A273" s="106" t="s">
        <v>1116</v>
      </c>
      <c r="B273" s="107" t="n">
        <v>741</v>
      </c>
      <c r="C273" s="106"/>
      <c r="D273" s="106"/>
      <c r="E273" s="106"/>
      <c r="F273" s="106"/>
      <c r="G273" s="106"/>
      <c r="H273" s="106"/>
      <c r="I273" s="106"/>
      <c r="J273" s="106"/>
      <c r="K273" s="106" t="n">
        <v>101</v>
      </c>
      <c r="L273" s="106" t="n">
        <v>101</v>
      </c>
      <c r="M273" s="106" t="n">
        <v>33</v>
      </c>
      <c r="N273" s="106" t="n">
        <v>12</v>
      </c>
      <c r="O273" s="106" t="n">
        <v>10</v>
      </c>
      <c r="P273" s="106" t="n">
        <v>16</v>
      </c>
      <c r="Q273" s="106" t="s">
        <v>1739</v>
      </c>
      <c r="R273" s="106" t="s">
        <v>4610</v>
      </c>
      <c r="S273" s="106" t="s">
        <v>4909</v>
      </c>
    </row>
    <row r="274" customFormat="false" ht="15" hidden="false" customHeight="false" outlineLevel="0" collapsed="false">
      <c r="A274" s="106" t="s">
        <v>1092</v>
      </c>
      <c r="B274" s="107" t="n">
        <v>734</v>
      </c>
      <c r="C274" s="106" t="n">
        <v>32.5</v>
      </c>
      <c r="D274" s="106" t="n">
        <v>32</v>
      </c>
      <c r="E274" s="106" t="n">
        <v>43</v>
      </c>
      <c r="F274" s="106" t="n">
        <v>101</v>
      </c>
      <c r="G274" s="106" t="n">
        <v>101</v>
      </c>
      <c r="H274" s="106" t="n">
        <v>24</v>
      </c>
      <c r="I274" s="106" t="n">
        <v>20</v>
      </c>
      <c r="J274" s="106" t="n">
        <v>47</v>
      </c>
      <c r="K274" s="106" t="n">
        <v>65.5</v>
      </c>
      <c r="L274" s="106" t="n">
        <v>101</v>
      </c>
      <c r="M274" s="106" t="n">
        <v>101</v>
      </c>
      <c r="N274" s="106" t="n">
        <v>64</v>
      </c>
      <c r="O274" s="106" t="n">
        <v>73</v>
      </c>
      <c r="P274" s="106" t="n">
        <v>4</v>
      </c>
      <c r="Q274" s="106" t="s">
        <v>4631</v>
      </c>
      <c r="R274" s="106" t="s">
        <v>3882</v>
      </c>
      <c r="S274" s="106" t="s">
        <v>4910</v>
      </c>
    </row>
    <row r="275" customFormat="false" ht="15" hidden="false" customHeight="false" outlineLevel="0" collapsed="false">
      <c r="A275" s="106" t="s">
        <v>1106</v>
      </c>
      <c r="B275" s="107" t="n">
        <v>730</v>
      </c>
      <c r="C275" s="106" t="n">
        <v>24</v>
      </c>
      <c r="D275" s="106" t="n">
        <v>20.5</v>
      </c>
      <c r="E275" s="106" t="n">
        <v>29</v>
      </c>
      <c r="F275" s="106" t="n">
        <v>101</v>
      </c>
      <c r="G275" s="106" t="n">
        <v>30</v>
      </c>
      <c r="H275" s="106" t="n">
        <v>19</v>
      </c>
      <c r="I275" s="106" t="n">
        <v>19</v>
      </c>
      <c r="J275" s="106" t="n">
        <v>46</v>
      </c>
      <c r="K275" s="106" t="n">
        <v>55.5</v>
      </c>
      <c r="L275" s="106" t="n">
        <v>101</v>
      </c>
      <c r="M275" s="106" t="n">
        <v>101</v>
      </c>
      <c r="N275" s="106" t="n">
        <v>44</v>
      </c>
      <c r="O275" s="106" t="n">
        <v>57</v>
      </c>
      <c r="P275" s="106" t="n">
        <v>0</v>
      </c>
      <c r="Q275" s="106" t="s">
        <v>4815</v>
      </c>
      <c r="R275" s="106" t="s">
        <v>4631</v>
      </c>
      <c r="S275" s="106" t="s">
        <v>4846</v>
      </c>
    </row>
    <row r="276" customFormat="false" ht="15" hidden="false" customHeight="false" outlineLevel="0" collapsed="false">
      <c r="A276" s="106" t="s">
        <v>735</v>
      </c>
      <c r="B276" s="107" t="n">
        <v>713</v>
      </c>
      <c r="C276" s="106" t="n">
        <v>5</v>
      </c>
      <c r="D276" s="106" t="n">
        <v>5</v>
      </c>
      <c r="E276" s="106" t="n">
        <v>101</v>
      </c>
      <c r="F276" s="106" t="n">
        <v>15</v>
      </c>
      <c r="G276" s="106" t="n">
        <v>3</v>
      </c>
      <c r="H276" s="106" t="n">
        <v>3</v>
      </c>
      <c r="I276" s="106" t="n">
        <v>3</v>
      </c>
      <c r="J276" s="106" t="n">
        <v>3</v>
      </c>
      <c r="K276" s="106" t="n">
        <v>17</v>
      </c>
      <c r="L276" s="106" t="n">
        <v>11</v>
      </c>
      <c r="M276" s="106" t="n">
        <v>4</v>
      </c>
      <c r="N276" s="106" t="n">
        <v>3.5</v>
      </c>
      <c r="O276" s="106" t="n">
        <v>3</v>
      </c>
      <c r="P276" s="106" t="n">
        <v>30</v>
      </c>
      <c r="Q276" s="106" t="s">
        <v>4626</v>
      </c>
      <c r="R276" s="106" t="s">
        <v>4624</v>
      </c>
      <c r="S276" s="106" t="s">
        <v>4833</v>
      </c>
    </row>
    <row r="277" customFormat="false" ht="15" hidden="false" customHeight="false" outlineLevel="0" collapsed="false">
      <c r="A277" s="106" t="s">
        <v>904</v>
      </c>
      <c r="B277" s="107" t="n">
        <v>712</v>
      </c>
      <c r="C277" s="106" t="n">
        <v>6</v>
      </c>
      <c r="D277" s="106" t="n">
        <v>3.5</v>
      </c>
      <c r="E277" s="106" t="n">
        <v>101</v>
      </c>
      <c r="F277" s="106" t="n">
        <v>49</v>
      </c>
      <c r="G277" s="106" t="n">
        <v>8</v>
      </c>
      <c r="H277" s="106" t="n">
        <v>3</v>
      </c>
      <c r="I277" s="106" t="n">
        <v>3</v>
      </c>
      <c r="J277" s="106" t="n">
        <v>4</v>
      </c>
      <c r="K277" s="106" t="n">
        <v>69</v>
      </c>
      <c r="L277" s="106" t="n">
        <v>7</v>
      </c>
      <c r="M277" s="106" t="n">
        <v>3</v>
      </c>
      <c r="N277" s="106" t="n">
        <v>4</v>
      </c>
      <c r="O277" s="106" t="n">
        <v>3</v>
      </c>
      <c r="P277" s="106" t="n">
        <v>30</v>
      </c>
      <c r="Q277" s="106" t="s">
        <v>4632</v>
      </c>
      <c r="R277" s="106" t="s">
        <v>4625</v>
      </c>
      <c r="S277" s="106" t="s">
        <v>4911</v>
      </c>
    </row>
    <row r="278" customFormat="false" ht="15" hidden="false" customHeight="false" outlineLevel="0" collapsed="false">
      <c r="A278" s="106" t="s">
        <v>4912</v>
      </c>
      <c r="B278" s="107" t="n">
        <v>704</v>
      </c>
      <c r="C278" s="106" t="n">
        <v>11</v>
      </c>
      <c r="D278" s="106" t="n">
        <v>15</v>
      </c>
      <c r="E278" s="106" t="n">
        <v>52</v>
      </c>
      <c r="F278" s="106" t="n">
        <v>73</v>
      </c>
      <c r="G278" s="106" t="n">
        <v>57.5</v>
      </c>
      <c r="H278" s="106" t="n">
        <v>44</v>
      </c>
      <c r="I278" s="106" t="n">
        <v>42.5</v>
      </c>
      <c r="J278" s="106" t="n">
        <v>81</v>
      </c>
      <c r="K278" s="106" t="n">
        <v>101</v>
      </c>
      <c r="L278" s="106" t="n">
        <v>79</v>
      </c>
      <c r="M278" s="106" t="n">
        <v>62</v>
      </c>
      <c r="N278" s="106" t="n">
        <v>95</v>
      </c>
      <c r="O278" s="106" t="n">
        <v>80</v>
      </c>
      <c r="P278" s="106" t="n">
        <v>1</v>
      </c>
      <c r="Q278" s="106" t="s">
        <v>4821</v>
      </c>
      <c r="R278" s="106" t="s">
        <v>4821</v>
      </c>
      <c r="S278" s="106" t="s">
        <v>4913</v>
      </c>
    </row>
    <row r="279" customFormat="false" ht="15" hidden="false" customHeight="false" outlineLevel="0" collapsed="false">
      <c r="A279" s="106" t="s">
        <v>1125</v>
      </c>
      <c r="B279" s="107" t="n">
        <v>702</v>
      </c>
      <c r="C279" s="106" t="n">
        <v>33</v>
      </c>
      <c r="D279" s="106" t="n">
        <v>39.5</v>
      </c>
      <c r="E279" s="106" t="n">
        <v>101</v>
      </c>
      <c r="F279" s="106" t="n">
        <v>101</v>
      </c>
      <c r="G279" s="106" t="n">
        <v>101</v>
      </c>
      <c r="H279" s="106" t="n">
        <v>31</v>
      </c>
      <c r="I279" s="106" t="n">
        <v>29</v>
      </c>
      <c r="J279" s="106" t="n">
        <v>65</v>
      </c>
      <c r="K279" s="106" t="n">
        <v>101</v>
      </c>
      <c r="L279" s="106" t="n">
        <v>101</v>
      </c>
      <c r="M279" s="106" t="n">
        <v>101</v>
      </c>
      <c r="N279" s="106" t="n">
        <v>97</v>
      </c>
      <c r="O279" s="106" t="n">
        <v>101</v>
      </c>
      <c r="P279" s="106" t="n">
        <v>0</v>
      </c>
      <c r="Q279" s="106" t="s">
        <v>4815</v>
      </c>
      <c r="R279" s="106"/>
      <c r="S279" s="106" t="s">
        <v>4914</v>
      </c>
    </row>
    <row r="280" customFormat="false" ht="15" hidden="false" customHeight="false" outlineLevel="0" collapsed="false">
      <c r="A280" s="106" t="s">
        <v>1045</v>
      </c>
      <c r="B280" s="107" t="n">
        <v>679</v>
      </c>
      <c r="C280" s="106" t="n">
        <v>39</v>
      </c>
      <c r="D280" s="106" t="n">
        <v>27</v>
      </c>
      <c r="E280" s="106" t="n">
        <v>26</v>
      </c>
      <c r="F280" s="106" t="n">
        <v>16</v>
      </c>
      <c r="G280" s="106" t="n">
        <v>8</v>
      </c>
      <c r="H280" s="106" t="n">
        <v>6</v>
      </c>
      <c r="I280" s="106" t="n">
        <v>7</v>
      </c>
      <c r="J280" s="106" t="n">
        <v>12</v>
      </c>
      <c r="K280" s="106" t="n">
        <v>63.5</v>
      </c>
      <c r="L280" s="106" t="n">
        <v>101</v>
      </c>
      <c r="M280" s="106" t="n">
        <v>71</v>
      </c>
      <c r="N280" s="106" t="n">
        <v>56</v>
      </c>
      <c r="O280" s="106" t="n">
        <v>18</v>
      </c>
      <c r="P280" s="106" t="n">
        <v>2</v>
      </c>
      <c r="Q280" s="106" t="s">
        <v>4867</v>
      </c>
      <c r="R280" s="106" t="s">
        <v>4915</v>
      </c>
      <c r="S280" s="106" t="s">
        <v>4916</v>
      </c>
    </row>
    <row r="281" customFormat="false" ht="15" hidden="false" customHeight="false" outlineLevel="0" collapsed="false">
      <c r="A281" s="106" t="s">
        <v>1432</v>
      </c>
      <c r="B281" s="107" t="n">
        <v>666</v>
      </c>
      <c r="C281" s="106" t="n">
        <v>101</v>
      </c>
      <c r="D281" s="106" t="n">
        <v>35</v>
      </c>
      <c r="E281" s="106" t="n">
        <v>30</v>
      </c>
      <c r="F281" s="106" t="n">
        <v>29</v>
      </c>
      <c r="G281" s="106" t="n">
        <v>21</v>
      </c>
      <c r="H281" s="106" t="n">
        <v>18</v>
      </c>
      <c r="I281" s="106" t="n">
        <v>13.5</v>
      </c>
      <c r="J281" s="106" t="n">
        <v>25</v>
      </c>
      <c r="K281" s="106" t="n">
        <v>74.5</v>
      </c>
      <c r="L281" s="106" t="n">
        <v>84</v>
      </c>
      <c r="M281" s="106" t="n">
        <v>101</v>
      </c>
      <c r="N281" s="106" t="n">
        <v>28</v>
      </c>
      <c r="O281" s="106" t="n">
        <v>43</v>
      </c>
      <c r="P281" s="106" t="n">
        <v>2</v>
      </c>
      <c r="Q281" s="106" t="s">
        <v>4917</v>
      </c>
      <c r="R281" s="106" t="s">
        <v>4918</v>
      </c>
      <c r="S281" s="106" t="s">
        <v>4919</v>
      </c>
    </row>
    <row r="282" customFormat="false" ht="15" hidden="false" customHeight="false" outlineLevel="0" collapsed="false">
      <c r="A282" s="106" t="s">
        <v>4920</v>
      </c>
      <c r="B282" s="107" t="n">
        <v>665</v>
      </c>
      <c r="C282" s="106"/>
      <c r="D282" s="106"/>
      <c r="E282" s="106"/>
      <c r="F282" s="106"/>
      <c r="G282" s="106"/>
      <c r="H282" s="106"/>
      <c r="I282" s="106"/>
      <c r="J282" s="106"/>
      <c r="K282" s="106"/>
      <c r="L282" s="106" t="n">
        <v>77</v>
      </c>
      <c r="M282" s="106" t="n">
        <v>14</v>
      </c>
      <c r="N282" s="106" t="n">
        <v>14</v>
      </c>
      <c r="O282" s="106" t="n">
        <v>29</v>
      </c>
      <c r="P282" s="106" t="n">
        <v>6</v>
      </c>
      <c r="Q282" s="106" t="s">
        <v>4921</v>
      </c>
      <c r="R282" s="106" t="s">
        <v>4837</v>
      </c>
      <c r="S282" s="106" t="s">
        <v>4922</v>
      </c>
    </row>
    <row r="283" customFormat="false" ht="15" hidden="false" customHeight="false" outlineLevel="0" collapsed="false">
      <c r="A283" s="106" t="s">
        <v>1352</v>
      </c>
      <c r="B283" s="107" t="n">
        <v>657</v>
      </c>
      <c r="C283" s="106" t="n">
        <v>101</v>
      </c>
      <c r="D283" s="106" t="n">
        <v>101</v>
      </c>
      <c r="E283" s="106" t="n">
        <v>101</v>
      </c>
      <c r="F283" s="106"/>
      <c r="G283" s="106"/>
      <c r="H283" s="106"/>
      <c r="I283" s="106"/>
      <c r="J283" s="106"/>
      <c r="K283" s="106"/>
      <c r="L283" s="106" t="n">
        <v>101</v>
      </c>
      <c r="M283" s="106" t="n">
        <v>90</v>
      </c>
      <c r="N283" s="106" t="n">
        <v>21.5</v>
      </c>
      <c r="O283" s="106" t="n">
        <v>27</v>
      </c>
      <c r="P283" s="106" t="n">
        <v>0</v>
      </c>
      <c r="Q283" s="106" t="s">
        <v>4610</v>
      </c>
      <c r="R283" s="106"/>
      <c r="S283" s="106" t="s">
        <v>4923</v>
      </c>
    </row>
    <row r="284" customFormat="false" ht="15" hidden="false" customHeight="false" outlineLevel="0" collapsed="false">
      <c r="A284" s="106" t="s">
        <v>4924</v>
      </c>
      <c r="B284" s="107" t="n">
        <v>657</v>
      </c>
      <c r="C284" s="106" t="n">
        <v>101</v>
      </c>
      <c r="D284" s="106"/>
      <c r="E284" s="106"/>
      <c r="F284" s="106"/>
      <c r="G284" s="106"/>
      <c r="H284" s="106"/>
      <c r="I284" s="106"/>
      <c r="J284" s="106"/>
      <c r="K284" s="106"/>
      <c r="L284" s="106" t="n">
        <v>101</v>
      </c>
      <c r="M284" s="106" t="n">
        <v>101</v>
      </c>
      <c r="N284" s="106" t="n">
        <v>91</v>
      </c>
      <c r="O284" s="106" t="n">
        <v>101</v>
      </c>
      <c r="P284" s="106" t="n">
        <v>0</v>
      </c>
      <c r="Q284" s="106"/>
      <c r="R284" s="106"/>
      <c r="S284" s="106" t="s">
        <v>4925</v>
      </c>
    </row>
    <row r="285" customFormat="false" ht="15" hidden="false" customHeight="false" outlineLevel="0" collapsed="false">
      <c r="A285" s="106" t="s">
        <v>4926</v>
      </c>
      <c r="B285" s="107" t="n">
        <v>634</v>
      </c>
      <c r="C285" s="106"/>
      <c r="D285" s="106"/>
      <c r="E285" s="106"/>
      <c r="F285" s="106"/>
      <c r="G285" s="106"/>
      <c r="H285" s="106"/>
      <c r="I285" s="106"/>
      <c r="J285" s="106"/>
      <c r="K285" s="106"/>
      <c r="L285" s="106" t="n">
        <v>101</v>
      </c>
      <c r="M285" s="106" t="n">
        <v>101</v>
      </c>
      <c r="N285" s="106" t="n">
        <v>92.5</v>
      </c>
      <c r="O285" s="106" t="n">
        <v>94</v>
      </c>
      <c r="P285" s="106" t="n">
        <v>0</v>
      </c>
      <c r="Q285" s="106"/>
      <c r="R285" s="106"/>
      <c r="S285" s="106" t="s">
        <v>4927</v>
      </c>
    </row>
    <row r="286" customFormat="false" ht="15" hidden="false" customHeight="false" outlineLevel="0" collapsed="false">
      <c r="A286" s="106" t="s">
        <v>4928</v>
      </c>
      <c r="B286" s="107" t="n">
        <v>632</v>
      </c>
      <c r="C286" s="106"/>
      <c r="D286" s="106"/>
      <c r="E286" s="106"/>
      <c r="F286" s="106"/>
      <c r="G286" s="106"/>
      <c r="H286" s="106"/>
      <c r="I286" s="106"/>
      <c r="J286" s="106"/>
      <c r="K286" s="106"/>
      <c r="L286" s="106" t="n">
        <v>101</v>
      </c>
      <c r="M286" s="106" t="n">
        <v>101</v>
      </c>
      <c r="N286" s="106" t="n">
        <v>101</v>
      </c>
      <c r="O286" s="106" t="n">
        <v>101</v>
      </c>
      <c r="P286" s="106" t="n">
        <v>0</v>
      </c>
      <c r="Q286" s="106"/>
      <c r="R286" s="106"/>
      <c r="S286" s="106"/>
    </row>
    <row r="287" customFormat="false" ht="15" hidden="false" customHeight="false" outlineLevel="0" collapsed="false">
      <c r="A287" s="106" t="s">
        <v>969</v>
      </c>
      <c r="B287" s="107" t="n">
        <v>628</v>
      </c>
      <c r="C287" s="106" t="n">
        <v>24</v>
      </c>
      <c r="D287" s="106" t="n">
        <v>21</v>
      </c>
      <c r="E287" s="106" t="n">
        <v>101</v>
      </c>
      <c r="F287" s="106" t="n">
        <v>101</v>
      </c>
      <c r="G287" s="106" t="n">
        <v>43</v>
      </c>
      <c r="H287" s="106" t="n">
        <v>39</v>
      </c>
      <c r="I287" s="106" t="n">
        <v>101</v>
      </c>
      <c r="J287" s="106" t="n">
        <v>101</v>
      </c>
      <c r="K287" s="106" t="n">
        <v>101</v>
      </c>
      <c r="L287" s="106" t="n">
        <v>101</v>
      </c>
      <c r="M287" s="106" t="n">
        <v>91</v>
      </c>
      <c r="N287" s="106" t="n">
        <v>71.5</v>
      </c>
      <c r="O287" s="106" t="n">
        <v>66</v>
      </c>
      <c r="P287" s="106" t="n">
        <v>1</v>
      </c>
      <c r="Q287" s="106" t="s">
        <v>4623</v>
      </c>
      <c r="R287" s="106" t="s">
        <v>4631</v>
      </c>
      <c r="S287" s="106" t="s">
        <v>4929</v>
      </c>
    </row>
    <row r="288" customFormat="false" ht="15" hidden="false" customHeight="false" outlineLevel="0" collapsed="false">
      <c r="A288" s="106" t="s">
        <v>529</v>
      </c>
      <c r="B288" s="107" t="n">
        <v>626</v>
      </c>
      <c r="C288" s="106" t="n">
        <v>8.5</v>
      </c>
      <c r="D288" s="106" t="n">
        <v>5</v>
      </c>
      <c r="E288" s="106" t="n">
        <v>25</v>
      </c>
      <c r="F288" s="106" t="n">
        <v>22</v>
      </c>
      <c r="G288" s="106" t="n">
        <v>8</v>
      </c>
      <c r="H288" s="106" t="n">
        <v>4</v>
      </c>
      <c r="I288" s="106" t="n">
        <v>5.5</v>
      </c>
      <c r="J288" s="106" t="n">
        <v>9</v>
      </c>
      <c r="K288" s="106" t="n">
        <v>101</v>
      </c>
      <c r="L288" s="106" t="n">
        <v>27</v>
      </c>
      <c r="M288" s="106" t="n">
        <v>22</v>
      </c>
      <c r="N288" s="106" t="n">
        <v>23</v>
      </c>
      <c r="O288" s="106" t="n">
        <v>26</v>
      </c>
      <c r="P288" s="106" t="n">
        <v>2</v>
      </c>
      <c r="Q288" s="106" t="s">
        <v>4625</v>
      </c>
      <c r="R288" s="106" t="s">
        <v>4625</v>
      </c>
      <c r="S288" s="106" t="s">
        <v>4930</v>
      </c>
    </row>
    <row r="289" customFormat="false" ht="15" hidden="false" customHeight="false" outlineLevel="0" collapsed="false">
      <c r="A289" s="106" t="s">
        <v>4931</v>
      </c>
      <c r="B289" s="107" t="n">
        <v>595</v>
      </c>
      <c r="C289" s="106"/>
      <c r="D289" s="106"/>
      <c r="E289" s="106"/>
      <c r="F289" s="106"/>
      <c r="G289" s="106"/>
      <c r="H289" s="106"/>
      <c r="I289" s="106"/>
      <c r="J289" s="106"/>
      <c r="K289" s="106"/>
      <c r="L289" s="106" t="n">
        <v>101</v>
      </c>
      <c r="M289" s="106" t="n">
        <v>101</v>
      </c>
      <c r="N289" s="106" t="n">
        <v>101</v>
      </c>
      <c r="O289" s="106" t="n">
        <v>101</v>
      </c>
      <c r="P289" s="106" t="n">
        <v>0</v>
      </c>
      <c r="Q289" s="106"/>
      <c r="R289" s="106"/>
      <c r="S289" s="106" t="s">
        <v>4809</v>
      </c>
    </row>
    <row r="290" customFormat="false" ht="15" hidden="false" customHeight="false" outlineLevel="0" collapsed="false">
      <c r="A290" s="106" t="s">
        <v>1343</v>
      </c>
      <c r="B290" s="107" t="n">
        <v>594</v>
      </c>
      <c r="C290" s="106" t="n">
        <v>53</v>
      </c>
      <c r="D290" s="106" t="n">
        <v>39</v>
      </c>
      <c r="E290" s="106" t="n">
        <v>101</v>
      </c>
      <c r="F290" s="106" t="n">
        <v>101</v>
      </c>
      <c r="G290" s="106" t="n">
        <v>54</v>
      </c>
      <c r="H290" s="106" t="n">
        <v>53</v>
      </c>
      <c r="I290" s="106" t="n">
        <v>70.5</v>
      </c>
      <c r="J290" s="106" t="n">
        <v>101</v>
      </c>
      <c r="K290" s="106" t="n">
        <v>67</v>
      </c>
      <c r="L290" s="106" t="n">
        <v>101</v>
      </c>
      <c r="M290" s="106" t="n">
        <v>101</v>
      </c>
      <c r="N290" s="106" t="n">
        <v>53</v>
      </c>
      <c r="O290" s="106" t="n">
        <v>66</v>
      </c>
      <c r="P290" s="106" t="n">
        <v>0</v>
      </c>
      <c r="Q290" s="106" t="s">
        <v>4623</v>
      </c>
      <c r="R290" s="106" t="s">
        <v>4631</v>
      </c>
      <c r="S290" s="106" t="s">
        <v>4932</v>
      </c>
    </row>
    <row r="291" customFormat="false" ht="15" hidden="false" customHeight="false" outlineLevel="0" collapsed="false">
      <c r="A291" s="106" t="s">
        <v>445</v>
      </c>
      <c r="B291" s="107" t="n">
        <v>548</v>
      </c>
      <c r="C291" s="106" t="n">
        <v>33</v>
      </c>
      <c r="D291" s="106" t="n">
        <v>9</v>
      </c>
      <c r="E291" s="106" t="n">
        <v>9</v>
      </c>
      <c r="F291" s="106" t="n">
        <v>14</v>
      </c>
      <c r="G291" s="106" t="n">
        <v>7</v>
      </c>
      <c r="H291" s="106" t="n">
        <v>5</v>
      </c>
      <c r="I291" s="106" t="n">
        <v>6</v>
      </c>
      <c r="J291" s="106" t="n">
        <v>7</v>
      </c>
      <c r="K291" s="106" t="n">
        <v>17</v>
      </c>
      <c r="L291" s="106" t="n">
        <v>24</v>
      </c>
      <c r="M291" s="106" t="n">
        <v>6</v>
      </c>
      <c r="N291" s="106" t="n">
        <v>5</v>
      </c>
      <c r="O291" s="106" t="n">
        <v>3</v>
      </c>
      <c r="P291" s="106" t="n">
        <v>24</v>
      </c>
      <c r="Q291" s="106" t="s">
        <v>4629</v>
      </c>
      <c r="R291" s="106" t="s">
        <v>4630</v>
      </c>
      <c r="S291" s="106" t="s">
        <v>4933</v>
      </c>
    </row>
    <row r="292" customFormat="false" ht="15" hidden="false" customHeight="false" outlineLevel="0" collapsed="false">
      <c r="A292" s="106" t="s">
        <v>1066</v>
      </c>
      <c r="B292" s="107" t="n">
        <v>538</v>
      </c>
      <c r="C292" s="106" t="n">
        <v>54.5</v>
      </c>
      <c r="D292" s="106" t="n">
        <v>36.5</v>
      </c>
      <c r="E292" s="106" t="n">
        <v>21</v>
      </c>
      <c r="F292" s="106" t="n">
        <v>16</v>
      </c>
      <c r="G292" s="106" t="n">
        <v>12</v>
      </c>
      <c r="H292" s="106" t="n">
        <v>6</v>
      </c>
      <c r="I292" s="106" t="n">
        <v>6</v>
      </c>
      <c r="J292" s="106" t="n">
        <v>17</v>
      </c>
      <c r="K292" s="106" t="n">
        <v>101</v>
      </c>
      <c r="L292" s="106" t="n">
        <v>101</v>
      </c>
      <c r="M292" s="106" t="n">
        <v>70</v>
      </c>
      <c r="N292" s="106" t="n">
        <v>57.5</v>
      </c>
      <c r="O292" s="106" t="n">
        <v>35</v>
      </c>
      <c r="P292" s="106" t="n">
        <v>0</v>
      </c>
      <c r="Q292" s="106" t="s">
        <v>4934</v>
      </c>
      <c r="R292" s="106" t="s">
        <v>4935</v>
      </c>
      <c r="S292" s="106" t="s">
        <v>4936</v>
      </c>
    </row>
    <row r="293" customFormat="false" ht="15" hidden="false" customHeight="false" outlineLevel="0" collapsed="false">
      <c r="A293" s="106" t="s">
        <v>749</v>
      </c>
      <c r="B293" s="107" t="n">
        <v>532</v>
      </c>
      <c r="C293" s="106" t="n">
        <v>18.5</v>
      </c>
      <c r="D293" s="106" t="n">
        <v>13</v>
      </c>
      <c r="E293" s="106" t="n">
        <v>18</v>
      </c>
      <c r="F293" s="106" t="n">
        <v>29</v>
      </c>
      <c r="G293" s="106" t="n">
        <v>22</v>
      </c>
      <c r="H293" s="106" t="n">
        <v>16</v>
      </c>
      <c r="I293" s="106" t="n">
        <v>8</v>
      </c>
      <c r="J293" s="106" t="n">
        <v>5</v>
      </c>
      <c r="K293" s="106" t="n">
        <v>48</v>
      </c>
      <c r="L293" s="106" t="n">
        <v>44</v>
      </c>
      <c r="M293" s="106" t="n">
        <v>37</v>
      </c>
      <c r="N293" s="106" t="n">
        <v>15</v>
      </c>
      <c r="O293" s="106" t="n">
        <v>8</v>
      </c>
      <c r="P293" s="106" t="n">
        <v>17</v>
      </c>
      <c r="Q293" s="106" t="s">
        <v>4815</v>
      </c>
      <c r="R293" s="106" t="s">
        <v>4815</v>
      </c>
      <c r="S293" s="106" t="s">
        <v>4937</v>
      </c>
    </row>
    <row r="294" customFormat="false" ht="15" hidden="false" customHeight="false" outlineLevel="0" collapsed="false">
      <c r="A294" s="106" t="s">
        <v>1251</v>
      </c>
      <c r="B294" s="107" t="n">
        <v>526</v>
      </c>
      <c r="C294" s="106"/>
      <c r="D294" s="106"/>
      <c r="E294" s="106"/>
      <c r="F294" s="106"/>
      <c r="G294" s="106"/>
      <c r="H294" s="106"/>
      <c r="I294" s="106"/>
      <c r="J294" s="106"/>
      <c r="K294" s="106"/>
      <c r="L294" s="106" t="n">
        <v>36</v>
      </c>
      <c r="M294" s="106" t="n">
        <v>38</v>
      </c>
      <c r="N294" s="106" t="n">
        <v>50</v>
      </c>
      <c r="O294" s="106" t="n">
        <v>92</v>
      </c>
      <c r="P294" s="106" t="n">
        <v>0</v>
      </c>
      <c r="Q294" s="106" t="s">
        <v>4609</v>
      </c>
      <c r="R294" s="106"/>
      <c r="S294" s="106" t="s">
        <v>4938</v>
      </c>
    </row>
    <row r="295" customFormat="false" ht="15" hidden="false" customHeight="false" outlineLevel="0" collapsed="false">
      <c r="A295" s="106" t="s">
        <v>1242</v>
      </c>
      <c r="B295" s="107" t="n">
        <v>480</v>
      </c>
      <c r="C295" s="106" t="n">
        <v>83</v>
      </c>
      <c r="D295" s="106" t="n">
        <v>12</v>
      </c>
      <c r="E295" s="106" t="n">
        <v>101</v>
      </c>
      <c r="F295" s="106" t="n">
        <v>85</v>
      </c>
      <c r="G295" s="106" t="n">
        <v>15.5</v>
      </c>
      <c r="H295" s="106" t="n">
        <v>12</v>
      </c>
      <c r="I295" s="106" t="n">
        <v>12</v>
      </c>
      <c r="J295" s="106" t="n">
        <v>15</v>
      </c>
      <c r="K295" s="106" t="n">
        <v>101</v>
      </c>
      <c r="L295" s="106" t="n">
        <v>29</v>
      </c>
      <c r="M295" s="106" t="n">
        <v>28</v>
      </c>
      <c r="N295" s="106" t="n">
        <v>22</v>
      </c>
      <c r="O295" s="106" t="n">
        <v>12</v>
      </c>
      <c r="P295" s="106" t="n">
        <v>6</v>
      </c>
      <c r="Q295" s="106" t="s">
        <v>4939</v>
      </c>
      <c r="R295" s="106" t="s">
        <v>4939</v>
      </c>
      <c r="S295" s="106" t="s">
        <v>4940</v>
      </c>
    </row>
    <row r="296" customFormat="false" ht="15" hidden="false" customHeight="false" outlineLevel="0" collapsed="false">
      <c r="A296" s="106" t="s">
        <v>812</v>
      </c>
      <c r="B296" s="107" t="n">
        <v>250</v>
      </c>
      <c r="C296" s="106" t="n">
        <v>7</v>
      </c>
      <c r="D296" s="106" t="n">
        <v>5</v>
      </c>
      <c r="E296" s="106" t="n">
        <v>5</v>
      </c>
      <c r="F296" s="106" t="n">
        <v>8</v>
      </c>
      <c r="G296" s="106" t="n">
        <v>6</v>
      </c>
      <c r="H296" s="106" t="n">
        <v>6</v>
      </c>
      <c r="I296" s="106" t="n">
        <v>7</v>
      </c>
      <c r="J296" s="106" t="n">
        <v>25</v>
      </c>
      <c r="K296" s="106" t="n">
        <v>43</v>
      </c>
      <c r="L296" s="106" t="n">
        <v>95</v>
      </c>
      <c r="M296" s="106" t="n">
        <v>61</v>
      </c>
      <c r="N296" s="106" t="n">
        <v>8</v>
      </c>
      <c r="O296" s="106" t="n">
        <v>10</v>
      </c>
      <c r="P296" s="106" t="n">
        <v>26</v>
      </c>
      <c r="Q296" s="106" t="s">
        <v>4633</v>
      </c>
      <c r="R296" s="106" t="s">
        <v>4633</v>
      </c>
      <c r="S296" s="106" t="s">
        <v>4941</v>
      </c>
    </row>
    <row r="297" customFormat="false" ht="15" hidden="false" customHeight="false" outlineLevel="0" collapsed="false">
      <c r="A297" s="106" t="s">
        <v>842</v>
      </c>
      <c r="B297" s="107" t="n">
        <v>250</v>
      </c>
      <c r="C297" s="106" t="n">
        <v>24.5</v>
      </c>
      <c r="D297" s="106" t="n">
        <v>12</v>
      </c>
      <c r="E297" s="106" t="n">
        <v>95</v>
      </c>
      <c r="F297" s="106" t="n">
        <v>27</v>
      </c>
      <c r="G297" s="106" t="n">
        <v>16.5</v>
      </c>
      <c r="H297" s="106" t="n">
        <v>18</v>
      </c>
      <c r="I297" s="106" t="n">
        <v>9</v>
      </c>
      <c r="J297" s="106" t="n">
        <v>9</v>
      </c>
      <c r="K297" s="106" t="n">
        <v>14.5</v>
      </c>
      <c r="L297" s="106" t="n">
        <v>29</v>
      </c>
      <c r="M297" s="106" t="n">
        <v>28</v>
      </c>
      <c r="N297" s="106" t="n">
        <v>32</v>
      </c>
      <c r="O297" s="106" t="n">
        <v>36</v>
      </c>
      <c r="P297" s="106" t="n">
        <v>4</v>
      </c>
      <c r="Q297" s="106" t="s">
        <v>4815</v>
      </c>
      <c r="R297" s="106" t="s">
        <v>4942</v>
      </c>
      <c r="S297" s="106" t="s">
        <v>4943</v>
      </c>
    </row>
    <row r="298" customFormat="false" ht="15" hidden="false" customHeight="false" outlineLevel="0" collapsed="false">
      <c r="A298" s="106" t="s">
        <v>4944</v>
      </c>
      <c r="B298" s="107" t="n">
        <v>250</v>
      </c>
      <c r="C298" s="106"/>
      <c r="D298" s="106"/>
      <c r="E298" s="106"/>
      <c r="F298" s="106"/>
      <c r="G298" s="106"/>
      <c r="H298" s="106"/>
      <c r="I298" s="106"/>
      <c r="J298" s="106"/>
      <c r="K298" s="106"/>
      <c r="L298" s="106" t="n">
        <v>101</v>
      </c>
      <c r="M298" s="106" t="n">
        <v>101</v>
      </c>
      <c r="N298" s="106" t="n">
        <v>63</v>
      </c>
      <c r="O298" s="106" t="n">
        <v>74</v>
      </c>
      <c r="P298" s="106" t="n">
        <v>0</v>
      </c>
      <c r="Q298" s="106"/>
      <c r="R298" s="106"/>
      <c r="S298" s="106" t="s">
        <v>4945</v>
      </c>
    </row>
    <row r="299" customFormat="false" ht="15" hidden="false" customHeight="false" outlineLevel="0" collapsed="false">
      <c r="A299" s="106" t="s">
        <v>895</v>
      </c>
      <c r="B299" s="107" t="n">
        <v>250</v>
      </c>
      <c r="C299" s="106" t="n">
        <v>101</v>
      </c>
      <c r="D299" s="106" t="n">
        <v>101</v>
      </c>
      <c r="E299" s="106"/>
      <c r="F299" s="106"/>
      <c r="G299" s="106"/>
      <c r="H299" s="106"/>
      <c r="I299" s="106"/>
      <c r="J299" s="106"/>
      <c r="K299" s="106"/>
      <c r="L299" s="106" t="n">
        <v>27</v>
      </c>
      <c r="M299" s="106" t="n">
        <v>17</v>
      </c>
      <c r="N299" s="106" t="n">
        <v>17</v>
      </c>
      <c r="O299" s="106" t="n">
        <v>21</v>
      </c>
      <c r="P299" s="106" t="n">
        <v>8</v>
      </c>
      <c r="Q299" s="106" t="s">
        <v>4946</v>
      </c>
      <c r="R299" s="106" t="s">
        <v>4947</v>
      </c>
      <c r="S299" s="106" t="s">
        <v>4948</v>
      </c>
    </row>
    <row r="300" customFormat="false" ht="15" hidden="false" customHeight="false" outlineLevel="0" collapsed="false">
      <c r="A300" s="106" t="s">
        <v>4949</v>
      </c>
      <c r="B300" s="107" t="n">
        <v>250</v>
      </c>
      <c r="C300" s="106"/>
      <c r="D300" s="106"/>
      <c r="E300" s="106"/>
      <c r="F300" s="106"/>
      <c r="G300" s="106"/>
      <c r="H300" s="106"/>
      <c r="I300" s="106"/>
      <c r="J300" s="106"/>
      <c r="K300" s="106"/>
      <c r="L300" s="106" t="n">
        <v>101</v>
      </c>
      <c r="M300" s="106" t="n">
        <v>101</v>
      </c>
      <c r="N300" s="106" t="n">
        <v>101</v>
      </c>
      <c r="O300" s="106" t="n">
        <v>101</v>
      </c>
      <c r="P300" s="106" t="n">
        <v>0</v>
      </c>
      <c r="Q300" s="106" t="s">
        <v>4068</v>
      </c>
      <c r="R300" s="106"/>
      <c r="S300" s="106" t="s">
        <v>4950</v>
      </c>
    </row>
    <row r="301" customFormat="false" ht="15" hidden="false" customHeight="false" outlineLevel="0" collapsed="false">
      <c r="A301" s="106" t="s">
        <v>1362</v>
      </c>
      <c r="B301" s="107" t="n">
        <v>250</v>
      </c>
      <c r="C301" s="106" t="n">
        <v>10</v>
      </c>
      <c r="D301" s="106" t="n">
        <v>14.5</v>
      </c>
      <c r="E301" s="106" t="n">
        <v>80</v>
      </c>
      <c r="F301" s="106" t="n">
        <v>82</v>
      </c>
      <c r="G301" s="106" t="n">
        <v>14.5</v>
      </c>
      <c r="H301" s="106" t="n">
        <v>8</v>
      </c>
      <c r="I301" s="106" t="n">
        <v>10</v>
      </c>
      <c r="J301" s="106" t="n">
        <v>30</v>
      </c>
      <c r="K301" s="106" t="n">
        <v>24</v>
      </c>
      <c r="L301" s="106" t="n">
        <v>53</v>
      </c>
      <c r="M301" s="106" t="n">
        <v>44</v>
      </c>
      <c r="N301" s="106" t="n">
        <v>16</v>
      </c>
      <c r="O301" s="106" t="n">
        <v>23</v>
      </c>
      <c r="P301" s="106" t="n">
        <v>8</v>
      </c>
      <c r="Q301" s="106" t="s">
        <v>4622</v>
      </c>
      <c r="R301" s="106" t="s">
        <v>4633</v>
      </c>
      <c r="S301" s="106" t="s">
        <v>4941</v>
      </c>
    </row>
    <row r="302" customFormat="false" ht="15" hidden="false" customHeight="false" outlineLevel="0" collapsed="false">
      <c r="A302" s="106" t="s">
        <v>4951</v>
      </c>
      <c r="B302" s="107" t="n">
        <v>250</v>
      </c>
      <c r="C302" s="106"/>
      <c r="D302" s="106"/>
      <c r="E302" s="106"/>
      <c r="F302" s="106"/>
      <c r="G302" s="106"/>
      <c r="H302" s="106"/>
      <c r="I302" s="106"/>
      <c r="J302" s="106"/>
      <c r="K302" s="106"/>
      <c r="L302" s="106" t="n">
        <v>101</v>
      </c>
      <c r="M302" s="106" t="n">
        <v>101</v>
      </c>
      <c r="N302" s="106" t="n">
        <v>101</v>
      </c>
      <c r="O302" s="106" t="n">
        <v>82</v>
      </c>
      <c r="P302" s="106" t="n">
        <v>0</v>
      </c>
      <c r="Q302" s="106" t="s">
        <v>4952</v>
      </c>
      <c r="R302" s="106"/>
      <c r="S302" s="106" t="s">
        <v>4953</v>
      </c>
    </row>
    <row r="303" customFormat="false" ht="15" hidden="false" customHeight="false" outlineLevel="0" collapsed="false">
      <c r="A303" s="106" t="s">
        <v>4954</v>
      </c>
      <c r="B303" s="107" t="n">
        <v>250</v>
      </c>
      <c r="C303" s="106" t="n">
        <v>101</v>
      </c>
      <c r="D303" s="106" t="n">
        <v>101</v>
      </c>
      <c r="E303" s="106" t="n">
        <v>101</v>
      </c>
      <c r="F303" s="106" t="n">
        <v>101</v>
      </c>
      <c r="G303" s="106"/>
      <c r="H303" s="106"/>
      <c r="I303" s="106"/>
      <c r="J303" s="106"/>
      <c r="K303" s="106"/>
      <c r="L303" s="106" t="n">
        <v>101</v>
      </c>
      <c r="M303" s="106" t="n">
        <v>101</v>
      </c>
      <c r="N303" s="106" t="n">
        <v>101</v>
      </c>
      <c r="O303" s="106" t="n">
        <v>101</v>
      </c>
      <c r="P303" s="106" t="n">
        <v>0</v>
      </c>
      <c r="Q303" s="106"/>
      <c r="R303" s="106"/>
      <c r="S303" s="106" t="s">
        <v>4955</v>
      </c>
    </row>
    <row r="304" customFormat="false" ht="15" hidden="false" customHeight="false" outlineLevel="0" collapsed="false">
      <c r="A304" s="106" t="s">
        <v>1372</v>
      </c>
      <c r="B304" s="107" t="n">
        <v>250</v>
      </c>
      <c r="C304" s="106" t="n">
        <v>13</v>
      </c>
      <c r="D304" s="106" t="n">
        <v>6</v>
      </c>
      <c r="E304" s="106" t="n">
        <v>101</v>
      </c>
      <c r="F304" s="106" t="n">
        <v>26</v>
      </c>
      <c r="G304" s="106" t="n">
        <v>3</v>
      </c>
      <c r="H304" s="106" t="n">
        <v>3</v>
      </c>
      <c r="I304" s="106" t="n">
        <v>3</v>
      </c>
      <c r="J304" s="106" t="n">
        <v>4</v>
      </c>
      <c r="K304" s="106" t="n">
        <v>19</v>
      </c>
      <c r="L304" s="106" t="n">
        <v>16</v>
      </c>
      <c r="M304" s="106" t="n">
        <v>6</v>
      </c>
      <c r="N304" s="106" t="n">
        <v>6</v>
      </c>
      <c r="O304" s="106" t="n">
        <v>9</v>
      </c>
      <c r="P304" s="106" t="n">
        <v>29</v>
      </c>
      <c r="Q304" s="106" t="s">
        <v>4624</v>
      </c>
      <c r="R304" s="106" t="s">
        <v>4815</v>
      </c>
      <c r="S304" s="106" t="s">
        <v>4956</v>
      </c>
    </row>
    <row r="305" customFormat="false" ht="15" hidden="false" customHeight="false" outlineLevel="0" collapsed="false">
      <c r="A305" s="106" t="s">
        <v>4957</v>
      </c>
      <c r="B305" s="107" t="n">
        <v>250</v>
      </c>
      <c r="C305" s="106" t="n">
        <v>101</v>
      </c>
      <c r="D305" s="106" t="n">
        <v>101</v>
      </c>
      <c r="E305" s="106" t="n">
        <v>101</v>
      </c>
      <c r="F305" s="106" t="n">
        <v>101</v>
      </c>
      <c r="G305" s="106" t="n">
        <v>101</v>
      </c>
      <c r="H305" s="106" t="n">
        <v>101</v>
      </c>
      <c r="I305" s="106" t="n">
        <v>101</v>
      </c>
      <c r="J305" s="106" t="n">
        <v>101</v>
      </c>
      <c r="K305" s="106" t="n">
        <v>101</v>
      </c>
      <c r="L305" s="106" t="n">
        <v>101</v>
      </c>
      <c r="M305" s="106" t="n">
        <v>101</v>
      </c>
      <c r="N305" s="106" t="n">
        <v>101</v>
      </c>
      <c r="O305" s="106" t="n">
        <v>101</v>
      </c>
      <c r="P305" s="106" t="n">
        <v>0</v>
      </c>
      <c r="Q305" s="106"/>
      <c r="R305" s="106"/>
      <c r="S305" s="106" t="s">
        <v>4958</v>
      </c>
    </row>
    <row r="306" customFormat="false" ht="15" hidden="false" customHeight="false" outlineLevel="0" collapsed="false">
      <c r="A306" s="106" t="s">
        <v>918</v>
      </c>
      <c r="B306" s="107" t="n">
        <v>250</v>
      </c>
      <c r="C306" s="106" t="n">
        <v>101</v>
      </c>
      <c r="D306" s="106" t="n">
        <v>101</v>
      </c>
      <c r="E306" s="106"/>
      <c r="F306" s="106"/>
      <c r="G306" s="106" t="n">
        <v>101</v>
      </c>
      <c r="H306" s="106" t="n">
        <v>101</v>
      </c>
      <c r="I306" s="106" t="n">
        <v>101</v>
      </c>
      <c r="J306" s="106" t="n">
        <v>101</v>
      </c>
      <c r="K306" s="106" t="n">
        <v>101</v>
      </c>
      <c r="L306" s="106" t="n">
        <v>12</v>
      </c>
      <c r="M306" s="106" t="n">
        <v>4</v>
      </c>
      <c r="N306" s="106" t="n">
        <v>4</v>
      </c>
      <c r="O306" s="106" t="n">
        <v>5</v>
      </c>
      <c r="P306" s="106" t="n">
        <v>29</v>
      </c>
      <c r="Q306" s="106" t="s">
        <v>1714</v>
      </c>
      <c r="R306" s="106" t="s">
        <v>1722</v>
      </c>
      <c r="S306" s="106" t="s">
        <v>4959</v>
      </c>
    </row>
    <row r="307" customFormat="false" ht="15" hidden="false" customHeight="false" outlineLevel="0" collapsed="false">
      <c r="A307" s="106" t="s">
        <v>4960</v>
      </c>
      <c r="B307" s="107" t="n">
        <v>250</v>
      </c>
      <c r="C307" s="106" t="n">
        <v>39</v>
      </c>
      <c r="D307" s="106" t="n">
        <v>24.5</v>
      </c>
      <c r="E307" s="106" t="n">
        <v>101</v>
      </c>
      <c r="F307" s="106" t="n">
        <v>55</v>
      </c>
      <c r="G307" s="106" t="n">
        <v>50.5</v>
      </c>
      <c r="H307" s="106" t="n">
        <v>36</v>
      </c>
      <c r="I307" s="106" t="n">
        <v>44.5</v>
      </c>
      <c r="J307" s="106" t="n">
        <v>86</v>
      </c>
      <c r="K307" s="106" t="n">
        <v>101</v>
      </c>
      <c r="L307" s="106" t="n">
        <v>101</v>
      </c>
      <c r="M307" s="106" t="n">
        <v>73</v>
      </c>
      <c r="N307" s="106" t="n">
        <v>25.5</v>
      </c>
      <c r="O307" s="106" t="n">
        <v>45</v>
      </c>
      <c r="P307" s="106" t="n">
        <v>0</v>
      </c>
      <c r="Q307" s="106" t="s">
        <v>4887</v>
      </c>
      <c r="R307" s="106"/>
      <c r="S307" s="106" t="s">
        <v>4961</v>
      </c>
    </row>
    <row r="308" customFormat="false" ht="15" hidden="false" customHeight="false" outlineLevel="0" collapsed="false">
      <c r="A308" s="106" t="s">
        <v>4962</v>
      </c>
      <c r="B308" s="107" t="n">
        <v>250</v>
      </c>
      <c r="C308" s="106"/>
      <c r="D308" s="106"/>
      <c r="E308" s="106"/>
      <c r="F308" s="106"/>
      <c r="G308" s="106"/>
      <c r="H308" s="106"/>
      <c r="I308" s="106"/>
      <c r="J308" s="106"/>
      <c r="K308" s="106"/>
      <c r="L308" s="106" t="n">
        <v>101</v>
      </c>
      <c r="M308" s="106" t="n">
        <v>101</v>
      </c>
      <c r="N308" s="106" t="n">
        <v>101</v>
      </c>
      <c r="O308" s="106" t="n">
        <v>101</v>
      </c>
      <c r="P308" s="106" t="n">
        <v>0</v>
      </c>
      <c r="Q308" s="106" t="s">
        <v>4963</v>
      </c>
      <c r="R308" s="106" t="s">
        <v>4068</v>
      </c>
      <c r="S308" s="106" t="s">
        <v>4964</v>
      </c>
    </row>
    <row r="309" customFormat="false" ht="15" hidden="false" customHeight="false" outlineLevel="0" collapsed="false">
      <c r="A309" s="106" t="s">
        <v>303</v>
      </c>
      <c r="B309" s="107" t="n">
        <v>250</v>
      </c>
      <c r="C309" s="106" t="n">
        <v>5</v>
      </c>
      <c r="D309" s="106" t="n">
        <v>5</v>
      </c>
      <c r="E309" s="106" t="n">
        <v>7</v>
      </c>
      <c r="F309" s="106" t="n">
        <v>41</v>
      </c>
      <c r="G309" s="106" t="n">
        <v>17</v>
      </c>
      <c r="H309" s="106" t="n">
        <v>14</v>
      </c>
      <c r="I309" s="106" t="n">
        <v>16</v>
      </c>
      <c r="J309" s="106" t="n">
        <v>14</v>
      </c>
      <c r="K309" s="106" t="n">
        <v>33</v>
      </c>
      <c r="L309" s="106" t="n">
        <v>70</v>
      </c>
      <c r="M309" s="106" t="n">
        <v>47</v>
      </c>
      <c r="N309" s="106" t="n">
        <v>21</v>
      </c>
      <c r="O309" s="106" t="n">
        <v>7</v>
      </c>
      <c r="P309" s="106" t="n">
        <v>7</v>
      </c>
      <c r="Q309" s="106" t="s">
        <v>4626</v>
      </c>
      <c r="R309" s="106" t="s">
        <v>4625</v>
      </c>
      <c r="S309" s="106" t="s">
        <v>4965</v>
      </c>
    </row>
    <row r="310" customFormat="false" ht="15" hidden="false" customHeight="false" outlineLevel="0" collapsed="false">
      <c r="A310" s="106" t="s">
        <v>4966</v>
      </c>
      <c r="B310" s="107" t="n">
        <v>250</v>
      </c>
      <c r="C310" s="106"/>
      <c r="D310" s="106"/>
      <c r="E310" s="106"/>
      <c r="F310" s="106"/>
      <c r="G310" s="106"/>
      <c r="H310" s="106"/>
      <c r="I310" s="106"/>
      <c r="J310" s="106"/>
      <c r="K310" s="106"/>
      <c r="L310" s="106" t="n">
        <v>101</v>
      </c>
      <c r="M310" s="106" t="n">
        <v>101</v>
      </c>
      <c r="N310" s="106" t="n">
        <v>101</v>
      </c>
      <c r="O310" s="106" t="n">
        <v>101</v>
      </c>
      <c r="P310" s="106" t="n">
        <v>0</v>
      </c>
      <c r="Q310" s="106"/>
      <c r="R310" s="106"/>
      <c r="S310" s="106" t="s">
        <v>4967</v>
      </c>
    </row>
    <row r="311" customFormat="false" ht="15" hidden="false" customHeight="false" outlineLevel="0" collapsed="false">
      <c r="A311" s="106" t="s">
        <v>4968</v>
      </c>
      <c r="B311" s="107" t="n">
        <v>250</v>
      </c>
      <c r="C311" s="106" t="n">
        <v>81.5</v>
      </c>
      <c r="D311" s="106" t="n">
        <v>32.5</v>
      </c>
      <c r="E311" s="106" t="n">
        <v>101</v>
      </c>
      <c r="F311" s="106" t="n">
        <v>101</v>
      </c>
      <c r="G311" s="106" t="n">
        <v>101</v>
      </c>
      <c r="H311" s="106" t="n">
        <v>101</v>
      </c>
      <c r="I311" s="106" t="n">
        <v>38</v>
      </c>
      <c r="J311" s="106" t="n">
        <v>63</v>
      </c>
      <c r="K311" s="106" t="n">
        <v>101</v>
      </c>
      <c r="L311" s="106" t="n">
        <v>101</v>
      </c>
      <c r="M311" s="106" t="n">
        <v>92</v>
      </c>
      <c r="N311" s="106" t="n">
        <v>72</v>
      </c>
      <c r="O311" s="106" t="n">
        <v>74</v>
      </c>
      <c r="P311" s="106" t="n">
        <v>0</v>
      </c>
      <c r="Q311" s="106" t="s">
        <v>4934</v>
      </c>
      <c r="R311" s="106"/>
      <c r="S311" s="106" t="s">
        <v>4969</v>
      </c>
    </row>
    <row r="312" customFormat="false" ht="15" hidden="false" customHeight="false" outlineLevel="0" collapsed="false">
      <c r="A312" s="106" t="s">
        <v>4970</v>
      </c>
      <c r="B312" s="107" t="n">
        <v>250</v>
      </c>
      <c r="C312" s="106"/>
      <c r="D312" s="106"/>
      <c r="E312" s="106"/>
      <c r="F312" s="106"/>
      <c r="G312" s="106"/>
      <c r="H312" s="106"/>
      <c r="I312" s="106"/>
      <c r="J312" s="106"/>
      <c r="K312" s="106" t="n">
        <v>101</v>
      </c>
      <c r="L312" s="106" t="n">
        <v>101</v>
      </c>
      <c r="M312" s="106" t="n">
        <v>101</v>
      </c>
      <c r="N312" s="106" t="n">
        <v>101</v>
      </c>
      <c r="O312" s="106" t="n">
        <v>101</v>
      </c>
      <c r="P312" s="106" t="n">
        <v>0</v>
      </c>
      <c r="Q312" s="106"/>
      <c r="R312" s="106"/>
      <c r="S312" s="106" t="s">
        <v>4971</v>
      </c>
    </row>
    <row r="313" customFormat="false" ht="15" hidden="false" customHeight="false" outlineLevel="0" collapsed="false">
      <c r="A313" s="106" t="s">
        <v>4972</v>
      </c>
      <c r="B313" s="107" t="n">
        <v>250</v>
      </c>
      <c r="C313" s="106"/>
      <c r="D313" s="106"/>
      <c r="E313" s="106"/>
      <c r="F313" s="106"/>
      <c r="G313" s="106"/>
      <c r="H313" s="106"/>
      <c r="I313" s="106"/>
      <c r="J313" s="106"/>
      <c r="K313" s="106"/>
      <c r="L313" s="106" t="n">
        <v>101</v>
      </c>
      <c r="M313" s="106" t="n">
        <v>101</v>
      </c>
      <c r="N313" s="106" t="n">
        <v>101</v>
      </c>
      <c r="O313" s="106" t="n">
        <v>101</v>
      </c>
      <c r="P313" s="106" t="n">
        <v>0</v>
      </c>
      <c r="Q313" s="106" t="s">
        <v>4087</v>
      </c>
      <c r="R313" s="106"/>
      <c r="S313" s="106" t="s">
        <v>4973</v>
      </c>
    </row>
    <row r="314" customFormat="false" ht="15" hidden="false" customHeight="false" outlineLevel="0" collapsed="false">
      <c r="A314" s="106" t="s">
        <v>1036</v>
      </c>
      <c r="B314" s="107" t="n">
        <v>250</v>
      </c>
      <c r="C314" s="106" t="n">
        <v>32</v>
      </c>
      <c r="D314" s="106" t="n">
        <v>30.5</v>
      </c>
      <c r="E314" s="106" t="n">
        <v>47</v>
      </c>
      <c r="F314" s="106" t="n">
        <v>101</v>
      </c>
      <c r="G314" s="106" t="n">
        <v>43.5</v>
      </c>
      <c r="H314" s="106" t="n">
        <v>41</v>
      </c>
      <c r="I314" s="106" t="n">
        <v>47</v>
      </c>
      <c r="J314" s="106" t="n">
        <v>101</v>
      </c>
      <c r="K314" s="106" t="n">
        <v>101</v>
      </c>
      <c r="L314" s="106" t="n">
        <v>101</v>
      </c>
      <c r="M314" s="106" t="n">
        <v>101</v>
      </c>
      <c r="N314" s="106" t="n">
        <v>55</v>
      </c>
      <c r="O314" s="106" t="n">
        <v>101</v>
      </c>
      <c r="P314" s="106" t="n">
        <v>0</v>
      </c>
      <c r="Q314" s="106" t="s">
        <v>4866</v>
      </c>
      <c r="R314" s="106" t="s">
        <v>4974</v>
      </c>
      <c r="S314" s="106" t="s">
        <v>4840</v>
      </c>
    </row>
    <row r="315" customFormat="false" ht="15" hidden="false" customHeight="false" outlineLevel="0" collapsed="false">
      <c r="A315" s="106" t="s">
        <v>1383</v>
      </c>
      <c r="B315" s="107" t="n">
        <v>250</v>
      </c>
      <c r="C315" s="106" t="n">
        <v>32.5</v>
      </c>
      <c r="D315" s="106" t="n">
        <v>10</v>
      </c>
      <c r="E315" s="106" t="n">
        <v>101</v>
      </c>
      <c r="F315" s="106" t="n">
        <v>101</v>
      </c>
      <c r="G315" s="106" t="n">
        <v>19</v>
      </c>
      <c r="H315" s="106" t="n">
        <v>6</v>
      </c>
      <c r="I315" s="106" t="n">
        <v>6</v>
      </c>
      <c r="J315" s="106" t="n">
        <v>8</v>
      </c>
      <c r="K315" s="106" t="n">
        <v>70</v>
      </c>
      <c r="L315" s="106" t="n">
        <v>20</v>
      </c>
      <c r="M315" s="106" t="n">
        <v>8</v>
      </c>
      <c r="N315" s="106" t="n">
        <v>15</v>
      </c>
      <c r="O315" s="106" t="n">
        <v>10</v>
      </c>
      <c r="P315" s="106" t="n">
        <v>10</v>
      </c>
      <c r="Q315" s="106" t="s">
        <v>4623</v>
      </c>
      <c r="R315" s="106" t="s">
        <v>4623</v>
      </c>
      <c r="S315" s="106" t="s">
        <v>4975</v>
      </c>
    </row>
    <row r="316" customFormat="false" ht="15" hidden="false" customHeight="false" outlineLevel="0" collapsed="false">
      <c r="A316" s="106" t="s">
        <v>4976</v>
      </c>
      <c r="B316" s="107" t="n">
        <v>250</v>
      </c>
      <c r="C316" s="106"/>
      <c r="D316" s="106"/>
      <c r="E316" s="106"/>
      <c r="F316" s="106"/>
      <c r="G316" s="106"/>
      <c r="H316" s="106"/>
      <c r="I316" s="106"/>
      <c r="J316" s="106"/>
      <c r="K316" s="106"/>
      <c r="L316" s="106" t="n">
        <v>101</v>
      </c>
      <c r="M316" s="106" t="n">
        <v>101</v>
      </c>
      <c r="N316" s="106" t="n">
        <v>25</v>
      </c>
      <c r="O316" s="106" t="n">
        <v>27</v>
      </c>
      <c r="P316" s="106" t="n">
        <v>2</v>
      </c>
      <c r="Q316" s="106" t="s">
        <v>4068</v>
      </c>
      <c r="R316" s="106" t="s">
        <v>4798</v>
      </c>
      <c r="S316" s="106" t="s">
        <v>4977</v>
      </c>
    </row>
    <row r="317" customFormat="false" ht="15" hidden="false" customHeight="false" outlineLevel="0" collapsed="false">
      <c r="A317" s="106" t="s">
        <v>984</v>
      </c>
      <c r="B317" s="107" t="n">
        <v>250</v>
      </c>
      <c r="C317" s="106" t="n">
        <v>101</v>
      </c>
      <c r="D317" s="106" t="n">
        <v>101</v>
      </c>
      <c r="E317" s="106" t="n">
        <v>101</v>
      </c>
      <c r="F317" s="106" t="n">
        <v>101</v>
      </c>
      <c r="G317" s="106" t="n">
        <v>101</v>
      </c>
      <c r="H317" s="106"/>
      <c r="I317" s="106"/>
      <c r="J317" s="106"/>
      <c r="K317" s="106" t="n">
        <v>36</v>
      </c>
      <c r="L317" s="106" t="n">
        <v>64</v>
      </c>
      <c r="M317" s="106" t="n">
        <v>29</v>
      </c>
      <c r="N317" s="106" t="n">
        <v>19</v>
      </c>
      <c r="O317" s="106" t="n">
        <v>21</v>
      </c>
      <c r="P317" s="106" t="n">
        <v>9</v>
      </c>
      <c r="Q317" s="106" t="s">
        <v>4978</v>
      </c>
      <c r="R317" s="106" t="s">
        <v>4979</v>
      </c>
      <c r="S317" s="106" t="s">
        <v>4980</v>
      </c>
    </row>
    <row r="318" customFormat="false" ht="15" hidden="false" customHeight="false" outlineLevel="0" collapsed="false">
      <c r="A318" s="106" t="s">
        <v>1471</v>
      </c>
      <c r="B318" s="107" t="n">
        <v>250</v>
      </c>
      <c r="C318" s="106" t="n">
        <v>22</v>
      </c>
      <c r="D318" s="106" t="n">
        <v>22</v>
      </c>
      <c r="E318" s="106" t="n">
        <v>101</v>
      </c>
      <c r="F318" s="106" t="n">
        <v>101</v>
      </c>
      <c r="G318" s="106" t="n">
        <v>45.5</v>
      </c>
      <c r="H318" s="106" t="n">
        <v>14</v>
      </c>
      <c r="I318" s="106" t="n">
        <v>13.5</v>
      </c>
      <c r="J318" s="106" t="n">
        <v>21</v>
      </c>
      <c r="K318" s="106" t="n">
        <v>61</v>
      </c>
      <c r="L318" s="106" t="n">
        <v>101</v>
      </c>
      <c r="M318" s="106" t="n">
        <v>80</v>
      </c>
      <c r="N318" s="106" t="n">
        <v>25.5</v>
      </c>
      <c r="O318" s="106" t="n">
        <v>34</v>
      </c>
      <c r="P318" s="106" t="n">
        <v>4</v>
      </c>
      <c r="Q318" s="106" t="s">
        <v>4631</v>
      </c>
      <c r="R318" s="106" t="s">
        <v>4629</v>
      </c>
      <c r="S318" s="106" t="s">
        <v>4981</v>
      </c>
    </row>
    <row r="319" customFormat="false" ht="15" hidden="false" customHeight="false" outlineLevel="0" collapsed="false">
      <c r="A319" s="106" t="s">
        <v>4982</v>
      </c>
      <c r="B319" s="107" t="n">
        <v>250</v>
      </c>
      <c r="C319" s="106"/>
      <c r="D319" s="106"/>
      <c r="E319" s="106"/>
      <c r="F319" s="106"/>
      <c r="G319" s="106"/>
      <c r="H319" s="106"/>
      <c r="I319" s="106"/>
      <c r="J319" s="106"/>
      <c r="K319" s="106"/>
      <c r="L319" s="106" t="n">
        <v>101</v>
      </c>
      <c r="M319" s="106" t="n">
        <v>101</v>
      </c>
      <c r="N319" s="106" t="n">
        <v>101</v>
      </c>
      <c r="O319" s="106" t="n">
        <v>101</v>
      </c>
      <c r="P319" s="106" t="n">
        <v>0</v>
      </c>
      <c r="Q319" s="106"/>
      <c r="R319" s="106"/>
      <c r="S319" s="106" t="s">
        <v>4983</v>
      </c>
    </row>
    <row r="320" customFormat="false" ht="15" hidden="false" customHeight="false" outlineLevel="0" collapsed="false">
      <c r="A320" s="106" t="s">
        <v>4984</v>
      </c>
      <c r="B320" s="107" t="n">
        <v>250</v>
      </c>
      <c r="C320" s="106" t="n">
        <v>101</v>
      </c>
      <c r="D320" s="106"/>
      <c r="E320" s="106"/>
      <c r="F320" s="106"/>
      <c r="G320" s="106" t="n">
        <v>101</v>
      </c>
      <c r="H320" s="106" t="n">
        <v>101</v>
      </c>
      <c r="I320" s="106" t="n">
        <v>101</v>
      </c>
      <c r="J320" s="106"/>
      <c r="K320" s="106"/>
      <c r="L320" s="106" t="n">
        <v>20</v>
      </c>
      <c r="M320" s="106" t="n">
        <v>14</v>
      </c>
      <c r="N320" s="106" t="n">
        <v>12.5</v>
      </c>
      <c r="O320" s="106" t="n">
        <v>14</v>
      </c>
      <c r="P320" s="106" t="n">
        <v>14</v>
      </c>
      <c r="Q320" s="106" t="s">
        <v>1739</v>
      </c>
      <c r="R320" s="106" t="s">
        <v>4985</v>
      </c>
      <c r="S320" s="106" t="s">
        <v>4986</v>
      </c>
    </row>
    <row r="321" customFormat="false" ht="15" hidden="false" customHeight="false" outlineLevel="0" collapsed="false">
      <c r="A321" s="106" t="s">
        <v>1442</v>
      </c>
      <c r="B321" s="107" t="n">
        <v>250</v>
      </c>
      <c r="C321" s="106" t="n">
        <v>4.5</v>
      </c>
      <c r="D321" s="106" t="n">
        <v>6</v>
      </c>
      <c r="E321" s="106" t="n">
        <v>7</v>
      </c>
      <c r="F321" s="106" t="n">
        <v>17</v>
      </c>
      <c r="G321" s="106" t="n">
        <v>8</v>
      </c>
      <c r="H321" s="106" t="n">
        <v>7</v>
      </c>
      <c r="I321" s="106" t="n">
        <v>8</v>
      </c>
      <c r="J321" s="106" t="n">
        <v>32</v>
      </c>
      <c r="K321" s="106" t="n">
        <v>53</v>
      </c>
      <c r="L321" s="106" t="n">
        <v>101</v>
      </c>
      <c r="M321" s="106" t="n">
        <v>49</v>
      </c>
      <c r="N321" s="106" t="n">
        <v>18</v>
      </c>
      <c r="O321" s="106" t="n">
        <v>21</v>
      </c>
      <c r="P321" s="106" t="n">
        <v>9</v>
      </c>
      <c r="Q321" s="106" t="s">
        <v>4625</v>
      </c>
      <c r="R321" s="106" t="s">
        <v>4625</v>
      </c>
      <c r="S321" s="106" t="s">
        <v>4987</v>
      </c>
    </row>
    <row r="322" customFormat="false" ht="15" hidden="false" customHeight="false" outlineLevel="0" collapsed="false">
      <c r="A322" s="106" t="s">
        <v>546</v>
      </c>
      <c r="B322" s="107" t="n">
        <v>250</v>
      </c>
      <c r="C322" s="106" t="n">
        <v>19</v>
      </c>
      <c r="D322" s="106" t="n">
        <v>9.5</v>
      </c>
      <c r="E322" s="106" t="n">
        <v>101</v>
      </c>
      <c r="F322" s="106" t="n">
        <v>101</v>
      </c>
      <c r="G322" s="106" t="n">
        <v>14</v>
      </c>
      <c r="H322" s="106" t="n">
        <v>12</v>
      </c>
      <c r="I322" s="106" t="n">
        <v>4.5</v>
      </c>
      <c r="J322" s="106" t="n">
        <v>5</v>
      </c>
      <c r="K322" s="106" t="n">
        <v>101</v>
      </c>
      <c r="L322" s="106" t="n">
        <v>19</v>
      </c>
      <c r="M322" s="106" t="n">
        <v>12</v>
      </c>
      <c r="N322" s="106" t="n">
        <v>16.5</v>
      </c>
      <c r="O322" s="106" t="n">
        <v>23</v>
      </c>
      <c r="P322" s="106" t="n">
        <v>3</v>
      </c>
      <c r="Q322" s="106" t="s">
        <v>4633</v>
      </c>
      <c r="R322" s="106" t="s">
        <v>4631</v>
      </c>
      <c r="S322" s="106" t="s">
        <v>4988</v>
      </c>
    </row>
    <row r="324" customFormat="false" ht="15" hidden="false" customHeight="false" outlineLevel="0" collapsed="false">
      <c r="A324" s="82" t="s">
        <v>4989</v>
      </c>
    </row>
    <row r="325" customFormat="false" ht="22.35" hidden="false" customHeight="false" outlineLevel="0" collapsed="false">
      <c r="A325" s="90" t="s">
        <v>1513</v>
      </c>
      <c r="B325" s="90" t="s">
        <v>1664</v>
      </c>
      <c r="C325" s="90" t="s">
        <v>1697</v>
      </c>
      <c r="D325" s="90" t="s">
        <v>3888</v>
      </c>
      <c r="E325" s="90" t="s">
        <v>3889</v>
      </c>
      <c r="F325" s="90" t="s">
        <v>3890</v>
      </c>
      <c r="G325" s="90" t="s">
        <v>3891</v>
      </c>
      <c r="H325" s="90" t="s">
        <v>3892</v>
      </c>
      <c r="I325" s="90" t="s">
        <v>3893</v>
      </c>
      <c r="J325" s="90" t="s">
        <v>3894</v>
      </c>
      <c r="K325" s="90" t="s">
        <v>3895</v>
      </c>
    </row>
    <row r="326" customFormat="false" ht="15" hidden="false" customHeight="false" outlineLevel="0" collapsed="false">
      <c r="A326" s="106" t="s">
        <v>4727</v>
      </c>
      <c r="B326" s="106" t="s">
        <v>560</v>
      </c>
      <c r="C326" s="106" t="s">
        <v>1750</v>
      </c>
      <c r="D326" s="106" t="s">
        <v>1721</v>
      </c>
      <c r="E326" s="106" t="s">
        <v>1721</v>
      </c>
      <c r="F326" s="106" t="s">
        <v>3896</v>
      </c>
      <c r="G326" s="106" t="s">
        <v>3899</v>
      </c>
      <c r="H326" s="106"/>
      <c r="I326" s="106" t="n">
        <v>0.33</v>
      </c>
      <c r="J326" s="106" t="s">
        <v>3924</v>
      </c>
      <c r="K326" s="108" t="n">
        <v>1450</v>
      </c>
    </row>
    <row r="327" customFormat="false" ht="15" hidden="false" customHeight="false" outlineLevel="0" collapsed="false">
      <c r="A327" s="106" t="s">
        <v>4704</v>
      </c>
      <c r="B327" s="106" t="s">
        <v>560</v>
      </c>
      <c r="C327" s="106" t="s">
        <v>1716</v>
      </c>
      <c r="D327" s="106" t="s">
        <v>1721</v>
      </c>
      <c r="E327" s="106" t="s">
        <v>1721</v>
      </c>
      <c r="F327" s="106" t="s">
        <v>3896</v>
      </c>
      <c r="G327" s="106" t="s">
        <v>3899</v>
      </c>
      <c r="H327" s="106"/>
      <c r="I327" s="106" t="n">
        <v>0.45</v>
      </c>
      <c r="J327" s="106" t="s">
        <v>3925</v>
      </c>
      <c r="K327" s="108" t="n">
        <v>2073</v>
      </c>
    </row>
    <row r="328" customFormat="false" ht="15" hidden="false" customHeight="false" outlineLevel="0" collapsed="false">
      <c r="A328" s="106" t="s">
        <v>4688</v>
      </c>
      <c r="B328" s="106" t="s">
        <v>560</v>
      </c>
      <c r="C328" s="106" t="s">
        <v>1720</v>
      </c>
      <c r="D328" s="106" t="s">
        <v>1721</v>
      </c>
      <c r="E328" s="106" t="s">
        <v>1721</v>
      </c>
      <c r="F328" s="106" t="s">
        <v>3896</v>
      </c>
      <c r="G328" s="106" t="s">
        <v>3905</v>
      </c>
      <c r="H328" s="106"/>
      <c r="I328" s="106" t="n">
        <v>0.95</v>
      </c>
      <c r="J328" s="106" t="s">
        <v>4990</v>
      </c>
      <c r="K328" s="108" t="n">
        <v>4498</v>
      </c>
    </row>
    <row r="329" customFormat="false" ht="15" hidden="false" customHeight="false" outlineLevel="0" collapsed="false">
      <c r="A329" s="106" t="s">
        <v>4735</v>
      </c>
      <c r="B329" s="106" t="s">
        <v>1689</v>
      </c>
      <c r="C329" s="106" t="s">
        <v>1720</v>
      </c>
      <c r="D329" s="106" t="s">
        <v>1709</v>
      </c>
      <c r="E329" s="106" t="s">
        <v>1709</v>
      </c>
      <c r="F329" s="106" t="s">
        <v>3896</v>
      </c>
      <c r="G329" s="106" t="s">
        <v>3899</v>
      </c>
      <c r="H329" s="106"/>
      <c r="I329" s="106" t="n">
        <v>0.37</v>
      </c>
      <c r="J329" s="106" t="s">
        <v>3919</v>
      </c>
      <c r="K329" s="108" t="n">
        <v>790</v>
      </c>
    </row>
    <row r="330" customFormat="false" ht="15" hidden="false" customHeight="false" outlineLevel="0" collapsed="false">
      <c r="A330" s="106" t="s">
        <v>4706</v>
      </c>
      <c r="B330" s="106" t="s">
        <v>479</v>
      </c>
      <c r="C330" s="106" t="s">
        <v>1716</v>
      </c>
      <c r="D330" s="106" t="s">
        <v>1709</v>
      </c>
      <c r="E330" s="106" t="s">
        <v>1709</v>
      </c>
      <c r="F330" s="106" t="s">
        <v>3896</v>
      </c>
      <c r="G330" s="106" t="s">
        <v>3899</v>
      </c>
      <c r="H330" s="106"/>
      <c r="I330" s="106" t="n">
        <v>0.5</v>
      </c>
      <c r="J330" s="106" t="s">
        <v>3912</v>
      </c>
      <c r="K330" s="108" t="n">
        <v>824</v>
      </c>
    </row>
    <row r="331" customFormat="false" ht="15" hidden="false" customHeight="false" outlineLevel="0" collapsed="false">
      <c r="A331" s="106" t="s">
        <v>4657</v>
      </c>
      <c r="B331" s="106" t="s">
        <v>560</v>
      </c>
      <c r="C331" s="106" t="s">
        <v>1708</v>
      </c>
      <c r="D331" s="106" t="s">
        <v>1709</v>
      </c>
      <c r="E331" s="106" t="s">
        <v>1709</v>
      </c>
      <c r="F331" s="106" t="s">
        <v>3896</v>
      </c>
      <c r="G331" s="106" t="s">
        <v>3897</v>
      </c>
      <c r="H331" s="106"/>
      <c r="I331" s="106" t="n">
        <v>1.67</v>
      </c>
      <c r="J331" s="106" t="s">
        <v>4991</v>
      </c>
      <c r="K331" s="108" t="n">
        <v>2919</v>
      </c>
    </row>
    <row r="332" customFormat="false" ht="15" hidden="false" customHeight="false" outlineLevel="0" collapsed="false">
      <c r="A332" s="106" t="s">
        <v>4691</v>
      </c>
      <c r="B332" s="106" t="s">
        <v>560</v>
      </c>
      <c r="C332" s="106" t="s">
        <v>1748</v>
      </c>
      <c r="D332" s="106" t="s">
        <v>1709</v>
      </c>
      <c r="E332" s="106" t="s">
        <v>1709</v>
      </c>
      <c r="F332" s="106" t="s">
        <v>3896</v>
      </c>
      <c r="G332" s="106" t="s">
        <v>3905</v>
      </c>
      <c r="H332" s="106"/>
      <c r="I332" s="106" t="n">
        <v>0.78</v>
      </c>
      <c r="J332" s="106" t="s">
        <v>3930</v>
      </c>
      <c r="K332" s="108" t="n">
        <v>1674</v>
      </c>
    </row>
    <row r="333" customFormat="false" ht="15" hidden="false" customHeight="false" outlineLevel="0" collapsed="false">
      <c r="A333" s="106" t="s">
        <v>4704</v>
      </c>
      <c r="B333" s="106" t="s">
        <v>560</v>
      </c>
      <c r="C333" s="106" t="s">
        <v>1716</v>
      </c>
      <c r="D333" s="106" t="s">
        <v>1709</v>
      </c>
      <c r="E333" s="106" t="s">
        <v>1709</v>
      </c>
      <c r="F333" s="106" t="s">
        <v>3896</v>
      </c>
      <c r="G333" s="106" t="s">
        <v>3899</v>
      </c>
      <c r="H333" s="106"/>
      <c r="I333" s="106" t="n">
        <v>0.45</v>
      </c>
      <c r="J333" s="106" t="s">
        <v>3903</v>
      </c>
      <c r="K333" s="108" t="n">
        <v>938</v>
      </c>
    </row>
    <row r="334" customFormat="false" ht="15" hidden="false" customHeight="false" outlineLevel="0" collapsed="false">
      <c r="A334" s="106" t="s">
        <v>4662</v>
      </c>
      <c r="B334" s="106" t="s">
        <v>560</v>
      </c>
      <c r="C334" s="106" t="s">
        <v>1752</v>
      </c>
      <c r="D334" s="106" t="s">
        <v>1709</v>
      </c>
      <c r="E334" s="106" t="s">
        <v>1709</v>
      </c>
      <c r="F334" s="106" t="s">
        <v>3896</v>
      </c>
      <c r="G334" s="106" t="s">
        <v>3899</v>
      </c>
      <c r="H334" s="106"/>
      <c r="I334" s="106" t="n">
        <v>0.58</v>
      </c>
      <c r="J334" s="106" t="s">
        <v>3911</v>
      </c>
      <c r="K334" s="108" t="n">
        <v>1257</v>
      </c>
    </row>
    <row r="335" customFormat="false" ht="15" hidden="false" customHeight="false" outlineLevel="0" collapsed="false">
      <c r="A335" s="106" t="s">
        <v>4719</v>
      </c>
      <c r="B335" s="106" t="s">
        <v>560</v>
      </c>
      <c r="C335" s="106" t="s">
        <v>1772</v>
      </c>
      <c r="D335" s="106" t="s">
        <v>1709</v>
      </c>
      <c r="E335" s="106" t="s">
        <v>1709</v>
      </c>
      <c r="F335" s="106" t="s">
        <v>3896</v>
      </c>
      <c r="G335" s="106" t="s">
        <v>3899</v>
      </c>
      <c r="H335" s="106"/>
      <c r="I335" s="106" t="n">
        <v>0.45</v>
      </c>
      <c r="J335" s="106" t="s">
        <v>3903</v>
      </c>
      <c r="K335" s="108" t="n">
        <v>970</v>
      </c>
    </row>
    <row r="336" customFormat="false" ht="15" hidden="false" customHeight="false" outlineLevel="0" collapsed="false">
      <c r="A336" s="106" t="s">
        <v>4668</v>
      </c>
      <c r="B336" s="106" t="s">
        <v>560</v>
      </c>
      <c r="C336" s="106" t="s">
        <v>1712</v>
      </c>
      <c r="D336" s="106" t="s">
        <v>1709</v>
      </c>
      <c r="E336" s="106" t="s">
        <v>1709</v>
      </c>
      <c r="F336" s="106" t="s">
        <v>3896</v>
      </c>
      <c r="G336" s="106" t="s">
        <v>3905</v>
      </c>
      <c r="H336" s="106"/>
      <c r="I336" s="106" t="n">
        <v>1.23</v>
      </c>
      <c r="J336" s="106" t="s">
        <v>3924</v>
      </c>
      <c r="K336" s="108" t="n">
        <v>1638</v>
      </c>
    </row>
    <row r="337" customFormat="false" ht="15" hidden="false" customHeight="false" outlineLevel="0" collapsed="false">
      <c r="A337" s="106" t="s">
        <v>4688</v>
      </c>
      <c r="B337" s="106" t="s">
        <v>560</v>
      </c>
      <c r="C337" s="106" t="s">
        <v>1720</v>
      </c>
      <c r="D337" s="106" t="s">
        <v>1709</v>
      </c>
      <c r="E337" s="106" t="s">
        <v>1709</v>
      </c>
      <c r="F337" s="106" t="s">
        <v>3896</v>
      </c>
      <c r="G337" s="106" t="s">
        <v>3905</v>
      </c>
      <c r="H337" s="106"/>
      <c r="I337" s="106" t="n">
        <v>0.8</v>
      </c>
      <c r="J337" s="106" t="s">
        <v>3930</v>
      </c>
      <c r="K337" s="108" t="n">
        <v>1713</v>
      </c>
    </row>
    <row r="338" customFormat="false" ht="15" hidden="false" customHeight="false" outlineLevel="0" collapsed="false">
      <c r="A338" s="106" t="s">
        <v>4646</v>
      </c>
      <c r="B338" s="106" t="s">
        <v>185</v>
      </c>
      <c r="C338" s="106" t="s">
        <v>1750</v>
      </c>
      <c r="D338" s="106" t="s">
        <v>1709</v>
      </c>
      <c r="E338" s="106" t="s">
        <v>1709</v>
      </c>
      <c r="F338" s="106" t="s">
        <v>3896</v>
      </c>
      <c r="G338" s="106" t="s">
        <v>3897</v>
      </c>
      <c r="H338" s="106"/>
      <c r="I338" s="106" t="n">
        <v>1.57</v>
      </c>
      <c r="J338" s="106" t="s">
        <v>3926</v>
      </c>
      <c r="K338" s="108" t="n">
        <v>3178</v>
      </c>
    </row>
    <row r="339" customFormat="false" ht="15" hidden="false" customHeight="false" outlineLevel="0" collapsed="false">
      <c r="A339" s="106" t="s">
        <v>4651</v>
      </c>
      <c r="B339" s="106" t="s">
        <v>185</v>
      </c>
      <c r="C339" s="106" t="s">
        <v>1716</v>
      </c>
      <c r="D339" s="106" t="s">
        <v>1709</v>
      </c>
      <c r="E339" s="106" t="s">
        <v>1709</v>
      </c>
      <c r="F339" s="106" t="s">
        <v>3896</v>
      </c>
      <c r="G339" s="106" t="s">
        <v>3897</v>
      </c>
      <c r="H339" s="106"/>
      <c r="I339" s="106" t="n">
        <v>1.7</v>
      </c>
      <c r="J339" s="106" t="s">
        <v>4992</v>
      </c>
      <c r="K339" s="108" t="n">
        <v>3449</v>
      </c>
    </row>
    <row r="340" customFormat="false" ht="15" hidden="false" customHeight="false" outlineLevel="0" collapsed="false">
      <c r="A340" s="106" t="s">
        <v>4683</v>
      </c>
      <c r="B340" s="106" t="s">
        <v>696</v>
      </c>
      <c r="C340" s="106" t="s">
        <v>1725</v>
      </c>
      <c r="D340" s="106" t="s">
        <v>1709</v>
      </c>
      <c r="E340" s="106" t="s">
        <v>1709</v>
      </c>
      <c r="F340" s="106" t="s">
        <v>3896</v>
      </c>
      <c r="G340" s="106" t="s">
        <v>3899</v>
      </c>
      <c r="H340" s="106"/>
      <c r="I340" s="106" t="n">
        <v>0.62</v>
      </c>
      <c r="J340" s="106" t="s">
        <v>3913</v>
      </c>
      <c r="K340" s="108" t="n">
        <v>895</v>
      </c>
    </row>
    <row r="341" customFormat="false" ht="15" hidden="false" customHeight="false" outlineLevel="0" collapsed="false">
      <c r="A341" s="106" t="s">
        <v>4716</v>
      </c>
      <c r="B341" s="106" t="s">
        <v>1689</v>
      </c>
      <c r="C341" s="106" t="s">
        <v>1708</v>
      </c>
      <c r="D341" s="106" t="s">
        <v>1718</v>
      </c>
      <c r="E341" s="106" t="s">
        <v>1718</v>
      </c>
      <c r="F341" s="106" t="s">
        <v>3896</v>
      </c>
      <c r="G341" s="106" t="s">
        <v>3899</v>
      </c>
      <c r="H341" s="106"/>
      <c r="I341" s="106" t="n">
        <v>0.42</v>
      </c>
      <c r="J341" s="106" t="s">
        <v>3901</v>
      </c>
      <c r="K341" s="108" t="n">
        <v>361</v>
      </c>
    </row>
    <row r="342" customFormat="false" ht="15" hidden="false" customHeight="false" outlineLevel="0" collapsed="false">
      <c r="A342" s="106" t="s">
        <v>4712</v>
      </c>
      <c r="B342" s="106" t="s">
        <v>479</v>
      </c>
      <c r="C342" s="106" t="s">
        <v>1752</v>
      </c>
      <c r="D342" s="106" t="s">
        <v>1718</v>
      </c>
      <c r="E342" s="106" t="s">
        <v>1718</v>
      </c>
      <c r="F342" s="106" t="s">
        <v>3896</v>
      </c>
      <c r="G342" s="106" t="s">
        <v>3899</v>
      </c>
      <c r="H342" s="106"/>
      <c r="I342" s="106" t="n">
        <v>0.42</v>
      </c>
      <c r="J342" s="106" t="s">
        <v>3901</v>
      </c>
      <c r="K342" s="108" t="n">
        <v>264</v>
      </c>
    </row>
    <row r="343" customFormat="false" ht="15" hidden="false" customHeight="false" outlineLevel="0" collapsed="false">
      <c r="A343" s="106" t="s">
        <v>4702</v>
      </c>
      <c r="B343" s="106" t="s">
        <v>479</v>
      </c>
      <c r="C343" s="106" t="s">
        <v>1733</v>
      </c>
      <c r="D343" s="106" t="s">
        <v>1718</v>
      </c>
      <c r="E343" s="106" t="s">
        <v>1718</v>
      </c>
      <c r="F343" s="106" t="s">
        <v>3896</v>
      </c>
      <c r="G343" s="106" t="s">
        <v>3899</v>
      </c>
      <c r="H343" s="106"/>
      <c r="I343" s="106" t="n">
        <v>0.65</v>
      </c>
      <c r="J343" s="106" t="s">
        <v>3908</v>
      </c>
      <c r="K343" s="108" t="n">
        <v>431</v>
      </c>
    </row>
    <row r="344" customFormat="false" ht="15" hidden="false" customHeight="false" outlineLevel="0" collapsed="false">
      <c r="A344" s="106" t="s">
        <v>4708</v>
      </c>
      <c r="B344" s="106" t="s">
        <v>479</v>
      </c>
      <c r="C344" s="106" t="s">
        <v>1712</v>
      </c>
      <c r="D344" s="106" t="s">
        <v>1718</v>
      </c>
      <c r="E344" s="106" t="s">
        <v>1718</v>
      </c>
      <c r="F344" s="106" t="s">
        <v>3896</v>
      </c>
      <c r="G344" s="106" t="s">
        <v>3905</v>
      </c>
      <c r="H344" s="106"/>
      <c r="I344" s="106" t="n">
        <v>0.73</v>
      </c>
      <c r="J344" s="106" t="s">
        <v>3908</v>
      </c>
      <c r="K344" s="108" t="n">
        <v>459</v>
      </c>
    </row>
    <row r="345" customFormat="false" ht="15" hidden="false" customHeight="false" outlineLevel="0" collapsed="false">
      <c r="A345" s="106" t="s">
        <v>4714</v>
      </c>
      <c r="B345" s="106" t="s">
        <v>479</v>
      </c>
      <c r="C345" s="106" t="s">
        <v>1720</v>
      </c>
      <c r="D345" s="106" t="s">
        <v>1718</v>
      </c>
      <c r="E345" s="106" t="s">
        <v>1718</v>
      </c>
      <c r="F345" s="106" t="s">
        <v>3896</v>
      </c>
      <c r="G345" s="106" t="s">
        <v>3905</v>
      </c>
      <c r="H345" s="106"/>
      <c r="I345" s="106" t="n">
        <v>0.75</v>
      </c>
      <c r="J345" s="106" t="s">
        <v>3921</v>
      </c>
      <c r="K345" s="108" t="n">
        <v>433</v>
      </c>
    </row>
    <row r="346" customFormat="false" ht="15" hidden="false" customHeight="false" outlineLevel="0" collapsed="false">
      <c r="A346" s="106" t="s">
        <v>4643</v>
      </c>
      <c r="B346" s="106" t="s">
        <v>560</v>
      </c>
      <c r="C346" s="106" t="s">
        <v>1725</v>
      </c>
      <c r="D346" s="106" t="s">
        <v>1718</v>
      </c>
      <c r="E346" s="106" t="s">
        <v>1718</v>
      </c>
      <c r="F346" s="106" t="s">
        <v>3896</v>
      </c>
      <c r="G346" s="106" t="s">
        <v>3897</v>
      </c>
      <c r="H346" s="106"/>
      <c r="I346" s="106" t="n">
        <v>1.7</v>
      </c>
      <c r="J346" s="106" t="s">
        <v>3919</v>
      </c>
      <c r="K346" s="108" t="n">
        <v>791</v>
      </c>
    </row>
    <row r="347" customFormat="false" ht="15" hidden="false" customHeight="false" outlineLevel="0" collapsed="false">
      <c r="A347" s="106" t="s">
        <v>4693</v>
      </c>
      <c r="B347" s="106" t="s">
        <v>560</v>
      </c>
      <c r="C347" s="106" t="s">
        <v>1737</v>
      </c>
      <c r="D347" s="106" t="s">
        <v>1718</v>
      </c>
      <c r="E347" s="106" t="s">
        <v>1718</v>
      </c>
      <c r="F347" s="106" t="s">
        <v>3896</v>
      </c>
      <c r="G347" s="106" t="s">
        <v>3905</v>
      </c>
      <c r="H347" s="106"/>
      <c r="I347" s="106" t="n">
        <v>0.78</v>
      </c>
      <c r="J347" s="106" t="s">
        <v>3921</v>
      </c>
      <c r="K347" s="108" t="n">
        <v>650</v>
      </c>
    </row>
    <row r="348" customFormat="false" ht="15" hidden="false" customHeight="false" outlineLevel="0" collapsed="false">
      <c r="A348" s="106" t="s">
        <v>4640</v>
      </c>
      <c r="B348" s="106" t="s">
        <v>185</v>
      </c>
      <c r="C348" s="106" t="s">
        <v>1708</v>
      </c>
      <c r="D348" s="106" t="s">
        <v>1718</v>
      </c>
      <c r="E348" s="106" t="s">
        <v>1718</v>
      </c>
      <c r="F348" s="106" t="s">
        <v>3896</v>
      </c>
      <c r="G348" s="106" t="s">
        <v>3897</v>
      </c>
      <c r="H348" s="106"/>
      <c r="I348" s="106" t="n">
        <v>3.35</v>
      </c>
      <c r="J348" s="106" t="s">
        <v>3930</v>
      </c>
      <c r="K348" s="108" t="n">
        <v>1204</v>
      </c>
    </row>
    <row r="349" customFormat="false" ht="15" hidden="false" customHeight="false" outlineLevel="0" collapsed="false">
      <c r="A349" s="106" t="s">
        <v>4686</v>
      </c>
      <c r="B349" s="106" t="s">
        <v>185</v>
      </c>
      <c r="C349" s="106" t="s">
        <v>1752</v>
      </c>
      <c r="D349" s="106" t="s">
        <v>1718</v>
      </c>
      <c r="E349" s="106" t="s">
        <v>1718</v>
      </c>
      <c r="F349" s="106" t="s">
        <v>3896</v>
      </c>
      <c r="G349" s="106" t="s">
        <v>3897</v>
      </c>
      <c r="H349" s="106"/>
      <c r="I349" s="106" t="n">
        <v>1.5</v>
      </c>
      <c r="J349" s="106" t="s">
        <v>3910</v>
      </c>
      <c r="K349" s="108" t="n">
        <v>823</v>
      </c>
    </row>
    <row r="350" customFormat="false" ht="15" hidden="false" customHeight="false" outlineLevel="0" collapsed="false">
      <c r="A350" s="106" t="s">
        <v>4708</v>
      </c>
      <c r="B350" s="106" t="s">
        <v>479</v>
      </c>
      <c r="C350" s="106" t="s">
        <v>1712</v>
      </c>
      <c r="D350" s="106" t="s">
        <v>1713</v>
      </c>
      <c r="E350" s="106" t="s">
        <v>1713</v>
      </c>
      <c r="F350" s="106" t="s">
        <v>3896</v>
      </c>
      <c r="G350" s="106" t="s">
        <v>3899</v>
      </c>
      <c r="H350" s="106"/>
      <c r="I350" s="106" t="n">
        <v>0.47</v>
      </c>
      <c r="J350" s="106" t="s">
        <v>3927</v>
      </c>
      <c r="K350" s="108" t="n">
        <v>1082</v>
      </c>
    </row>
    <row r="351" customFormat="false" ht="15" hidden="false" customHeight="false" outlineLevel="0" collapsed="false">
      <c r="A351" s="106" t="s">
        <v>4676</v>
      </c>
      <c r="B351" s="106" t="s">
        <v>185</v>
      </c>
      <c r="C351" s="106" t="s">
        <v>1748</v>
      </c>
      <c r="D351" s="106" t="s">
        <v>1713</v>
      </c>
      <c r="E351" s="106" t="s">
        <v>1713</v>
      </c>
      <c r="F351" s="106" t="s">
        <v>3896</v>
      </c>
      <c r="G351" s="106" t="s">
        <v>3905</v>
      </c>
      <c r="H351" s="106"/>
      <c r="I351" s="106" t="n">
        <v>1.32</v>
      </c>
      <c r="J351" s="106" t="s">
        <v>4993</v>
      </c>
      <c r="K351" s="108" t="n">
        <v>2879</v>
      </c>
    </row>
    <row r="352" customFormat="false" ht="15" hidden="false" customHeight="false" outlineLevel="0" collapsed="false">
      <c r="A352" s="106" t="s">
        <v>4659</v>
      </c>
      <c r="B352" s="106" t="s">
        <v>185</v>
      </c>
      <c r="C352" s="106" t="s">
        <v>1712</v>
      </c>
      <c r="D352" s="106" t="s">
        <v>1713</v>
      </c>
      <c r="E352" s="106" t="s">
        <v>1713</v>
      </c>
      <c r="F352" s="106" t="s">
        <v>3896</v>
      </c>
      <c r="G352" s="106" t="s">
        <v>3905</v>
      </c>
      <c r="H352" s="106"/>
      <c r="I352" s="106" t="n">
        <v>1.6</v>
      </c>
      <c r="J352" s="106" t="s">
        <v>4994</v>
      </c>
      <c r="K352" s="108" t="n">
        <v>3877</v>
      </c>
    </row>
    <row r="353" customFormat="false" ht="15" hidden="false" customHeight="false" outlineLevel="0" collapsed="false">
      <c r="A353" s="106" t="s">
        <v>4733</v>
      </c>
      <c r="B353" s="106" t="s">
        <v>696</v>
      </c>
      <c r="C353" s="106" t="s">
        <v>1716</v>
      </c>
      <c r="D353" s="106" t="s">
        <v>1791</v>
      </c>
      <c r="E353" s="106" t="s">
        <v>1791</v>
      </c>
      <c r="F353" s="106" t="s">
        <v>3896</v>
      </c>
      <c r="G353" s="106" t="s">
        <v>3899</v>
      </c>
      <c r="H353" s="106"/>
      <c r="I353" s="106" t="n">
        <v>0.35</v>
      </c>
      <c r="J353" s="106" t="s">
        <v>1792</v>
      </c>
      <c r="K353" s="108" t="n">
        <v>1906</v>
      </c>
    </row>
    <row r="354" customFormat="false" ht="15" hidden="false" customHeight="false" outlineLevel="0" collapsed="false">
      <c r="A354" s="106" t="s">
        <v>4723</v>
      </c>
      <c r="B354" s="106" t="s">
        <v>1689</v>
      </c>
      <c r="C354" s="106" t="s">
        <v>1712</v>
      </c>
      <c r="D354" s="106" t="s">
        <v>3308</v>
      </c>
      <c r="E354" s="106" t="s">
        <v>3308</v>
      </c>
      <c r="F354" s="106" t="s">
        <v>3896</v>
      </c>
      <c r="G354" s="106" t="s">
        <v>3899</v>
      </c>
      <c r="H354" s="106"/>
      <c r="I354" s="106" t="n">
        <v>0.43</v>
      </c>
      <c r="J354" s="106" t="s">
        <v>3911</v>
      </c>
      <c r="K354" s="108" t="n">
        <v>1280</v>
      </c>
    </row>
    <row r="355" customFormat="false" ht="15" hidden="false" customHeight="false" outlineLevel="0" collapsed="false">
      <c r="A355" s="106" t="s">
        <v>4727</v>
      </c>
      <c r="B355" s="106" t="s">
        <v>560</v>
      </c>
      <c r="C355" s="106" t="s">
        <v>1750</v>
      </c>
      <c r="D355" s="106" t="s">
        <v>3308</v>
      </c>
      <c r="E355" s="106" t="s">
        <v>3308</v>
      </c>
      <c r="F355" s="106" t="s">
        <v>3896</v>
      </c>
      <c r="G355" s="106" t="s">
        <v>3905</v>
      </c>
      <c r="H355" s="106"/>
      <c r="I355" s="106" t="n">
        <v>0.93</v>
      </c>
      <c r="J355" s="106" t="s">
        <v>1792</v>
      </c>
      <c r="K355" s="108" t="n">
        <v>2516</v>
      </c>
    </row>
    <row r="356" customFormat="false" ht="15" hidden="false" customHeight="false" outlineLevel="0" collapsed="false">
      <c r="A356" s="106" t="s">
        <v>4704</v>
      </c>
      <c r="B356" s="106" t="s">
        <v>560</v>
      </c>
      <c r="C356" s="106" t="s">
        <v>1716</v>
      </c>
      <c r="D356" s="106" t="s">
        <v>3308</v>
      </c>
      <c r="E356" s="106" t="s">
        <v>3308</v>
      </c>
      <c r="F356" s="106" t="s">
        <v>3896</v>
      </c>
      <c r="G356" s="106" t="s">
        <v>3897</v>
      </c>
      <c r="H356" s="106"/>
      <c r="I356" s="106" t="n">
        <v>1.07</v>
      </c>
      <c r="J356" s="106" t="s">
        <v>3898</v>
      </c>
      <c r="K356" s="108" t="n">
        <v>3044</v>
      </c>
    </row>
    <row r="357" customFormat="false" ht="15" hidden="false" customHeight="false" outlineLevel="0" collapsed="false">
      <c r="A357" s="106" t="s">
        <v>4686</v>
      </c>
      <c r="B357" s="106" t="s">
        <v>185</v>
      </c>
      <c r="C357" s="106" t="s">
        <v>1752</v>
      </c>
      <c r="D357" s="106" t="s">
        <v>3308</v>
      </c>
      <c r="E357" s="106" t="s">
        <v>3308</v>
      </c>
      <c r="F357" s="106" t="s">
        <v>3896</v>
      </c>
      <c r="G357" s="106" t="s">
        <v>3905</v>
      </c>
      <c r="H357" s="106"/>
      <c r="I357" s="106" t="n">
        <v>0.75</v>
      </c>
      <c r="J357" s="106" t="s">
        <v>3915</v>
      </c>
      <c r="K357" s="108" t="n">
        <v>2084</v>
      </c>
    </row>
    <row r="358" customFormat="false" ht="15" hidden="false" customHeight="false" outlineLevel="0" collapsed="false">
      <c r="A358" s="106" t="s">
        <v>4688</v>
      </c>
      <c r="B358" s="106" t="s">
        <v>560</v>
      </c>
      <c r="C358" s="106" t="s">
        <v>1720</v>
      </c>
      <c r="D358" s="106" t="s">
        <v>3932</v>
      </c>
      <c r="E358" s="106" t="s">
        <v>1722</v>
      </c>
      <c r="F358" s="106" t="s">
        <v>4995</v>
      </c>
      <c r="G358" s="106" t="s">
        <v>3934</v>
      </c>
      <c r="H358" s="106"/>
      <c r="I358" s="106" t="n">
        <v>1.61</v>
      </c>
      <c r="J358" s="106" t="s">
        <v>4996</v>
      </c>
      <c r="K358" s="108" t="n">
        <v>13331</v>
      </c>
    </row>
    <row r="359" customFormat="false" ht="15" hidden="false" customHeight="false" outlineLevel="0" collapsed="false">
      <c r="A359" s="106" t="s">
        <v>4659</v>
      </c>
      <c r="B359" s="106" t="s">
        <v>185</v>
      </c>
      <c r="C359" s="106" t="s">
        <v>1712</v>
      </c>
      <c r="D359" s="106" t="s">
        <v>3932</v>
      </c>
      <c r="E359" s="106" t="s">
        <v>1714</v>
      </c>
      <c r="F359" s="106" t="s">
        <v>4997</v>
      </c>
      <c r="G359" s="106" t="s">
        <v>3934</v>
      </c>
      <c r="H359" s="106"/>
      <c r="I359" s="106" t="n">
        <v>2.39</v>
      </c>
      <c r="J359" s="106" t="s">
        <v>4998</v>
      </c>
      <c r="K359" s="108" t="n">
        <v>17678</v>
      </c>
    </row>
    <row r="360" customFormat="false" ht="15" hidden="false" customHeight="false" outlineLevel="0" collapsed="false">
      <c r="A360" s="106" t="s">
        <v>4649</v>
      </c>
      <c r="B360" s="106" t="s">
        <v>185</v>
      </c>
      <c r="C360" s="106" t="s">
        <v>1704</v>
      </c>
      <c r="D360" s="106" t="s">
        <v>1705</v>
      </c>
      <c r="E360" s="106" t="s">
        <v>1706</v>
      </c>
      <c r="F360" s="106" t="s">
        <v>4999</v>
      </c>
      <c r="G360" s="106" t="s">
        <v>3934</v>
      </c>
      <c r="H360" s="106"/>
      <c r="I360" s="106" t="n">
        <v>4.14</v>
      </c>
      <c r="J360" s="106" t="s">
        <v>1707</v>
      </c>
      <c r="K360" s="108" t="n">
        <v>27229</v>
      </c>
    </row>
    <row r="361" customFormat="false" ht="15" hidden="false" customHeight="false" outlineLevel="0" collapsed="false">
      <c r="A361" s="106" t="s">
        <v>4673</v>
      </c>
      <c r="B361" s="106" t="s">
        <v>185</v>
      </c>
      <c r="C361" s="106" t="s">
        <v>1737</v>
      </c>
      <c r="D361" s="106" t="s">
        <v>1738</v>
      </c>
      <c r="E361" s="106" t="s">
        <v>1739</v>
      </c>
      <c r="F361" s="106" t="s">
        <v>5000</v>
      </c>
      <c r="G361" s="106" t="s">
        <v>3934</v>
      </c>
      <c r="H361" s="106"/>
      <c r="I361" s="106" t="n">
        <v>1.44</v>
      </c>
      <c r="J361" s="106" t="s">
        <v>1740</v>
      </c>
      <c r="K361" s="108" t="n">
        <v>9775</v>
      </c>
    </row>
    <row r="362" customFormat="false" ht="15" hidden="false" customHeight="false" outlineLevel="0" collapsed="false">
      <c r="A362" s="106" t="s">
        <v>4654</v>
      </c>
      <c r="B362" s="106" t="s">
        <v>185</v>
      </c>
      <c r="C362" s="106" t="s">
        <v>1720</v>
      </c>
      <c r="D362" s="106" t="s">
        <v>1730</v>
      </c>
      <c r="E362" s="106" t="s">
        <v>1706</v>
      </c>
      <c r="F362" s="106" t="s">
        <v>3821</v>
      </c>
      <c r="G362" s="106" t="s">
        <v>3934</v>
      </c>
      <c r="H362" s="106"/>
      <c r="I362" s="106" t="n">
        <v>1.94</v>
      </c>
      <c r="J362" s="106" t="s">
        <v>1731</v>
      </c>
      <c r="K362" s="108" t="n">
        <v>10677</v>
      </c>
    </row>
    <row r="363" customFormat="false" ht="15" hidden="false" customHeight="false" outlineLevel="0" collapsed="false">
      <c r="A363" s="106" t="s">
        <v>4651</v>
      </c>
      <c r="B363" s="106" t="s">
        <v>185</v>
      </c>
      <c r="C363" s="106" t="s">
        <v>1716</v>
      </c>
      <c r="D363" s="106" t="s">
        <v>5001</v>
      </c>
      <c r="E363" s="106" t="s">
        <v>1706</v>
      </c>
      <c r="F363" s="106" t="s">
        <v>3842</v>
      </c>
      <c r="G363" s="106" t="s">
        <v>3934</v>
      </c>
      <c r="H363" s="106"/>
      <c r="I363" s="106" t="n">
        <v>2.86</v>
      </c>
      <c r="J363" s="106" t="s">
        <v>5002</v>
      </c>
      <c r="K363" s="108" t="n">
        <v>16526</v>
      </c>
    </row>
    <row r="364" customFormat="false" ht="15" hidden="false" customHeight="false" outlineLevel="0" collapsed="false">
      <c r="A364" s="106" t="s">
        <v>4735</v>
      </c>
      <c r="B364" s="106" t="s">
        <v>1689</v>
      </c>
      <c r="C364" s="106" t="s">
        <v>1720</v>
      </c>
      <c r="D364" s="106" t="s">
        <v>1745</v>
      </c>
      <c r="E364" s="106" t="s">
        <v>1745</v>
      </c>
      <c r="F364" s="106" t="s">
        <v>3896</v>
      </c>
      <c r="G364" s="106" t="s">
        <v>3899</v>
      </c>
      <c r="H364" s="106"/>
      <c r="I364" s="106" t="n">
        <v>0.33</v>
      </c>
      <c r="J364" s="106" t="s">
        <v>3902</v>
      </c>
      <c r="K364" s="108" t="n">
        <v>436</v>
      </c>
    </row>
    <row r="365" customFormat="false" ht="15" hidden="false" customHeight="false" outlineLevel="0" collapsed="false">
      <c r="A365" s="106" t="s">
        <v>4727</v>
      </c>
      <c r="B365" s="106" t="s">
        <v>560</v>
      </c>
      <c r="C365" s="106" t="s">
        <v>1750</v>
      </c>
      <c r="D365" s="106" t="s">
        <v>1745</v>
      </c>
      <c r="E365" s="106" t="s">
        <v>1745</v>
      </c>
      <c r="F365" s="106" t="s">
        <v>3896</v>
      </c>
      <c r="G365" s="106" t="s">
        <v>3899</v>
      </c>
      <c r="H365" s="106"/>
      <c r="I365" s="106" t="n">
        <v>0.55</v>
      </c>
      <c r="J365" s="106" t="s">
        <v>3921</v>
      </c>
      <c r="K365" s="108" t="n">
        <v>657</v>
      </c>
    </row>
    <row r="366" customFormat="false" ht="15" hidden="false" customHeight="false" outlineLevel="0" collapsed="false">
      <c r="A366" s="106" t="s">
        <v>4704</v>
      </c>
      <c r="B366" s="106" t="s">
        <v>560</v>
      </c>
      <c r="C366" s="106" t="s">
        <v>1716</v>
      </c>
      <c r="D366" s="106" t="s">
        <v>1745</v>
      </c>
      <c r="E366" s="106" t="s">
        <v>1745</v>
      </c>
      <c r="F366" s="106" t="s">
        <v>3896</v>
      </c>
      <c r="G366" s="106" t="s">
        <v>3899</v>
      </c>
      <c r="H366" s="106"/>
      <c r="I366" s="106" t="n">
        <v>0.55</v>
      </c>
      <c r="J366" s="106" t="s">
        <v>3921</v>
      </c>
      <c r="K366" s="108" t="n">
        <v>696</v>
      </c>
    </row>
    <row r="367" customFormat="false" ht="15" hidden="false" customHeight="false" outlineLevel="0" collapsed="false">
      <c r="A367" s="106" t="s">
        <v>4719</v>
      </c>
      <c r="B367" s="106" t="s">
        <v>560</v>
      </c>
      <c r="C367" s="106" t="s">
        <v>1772</v>
      </c>
      <c r="D367" s="106" t="s">
        <v>1745</v>
      </c>
      <c r="E367" s="106" t="s">
        <v>1745</v>
      </c>
      <c r="F367" s="106" t="s">
        <v>3896</v>
      </c>
      <c r="G367" s="106" t="s">
        <v>3905</v>
      </c>
      <c r="H367" s="106"/>
      <c r="I367" s="106" t="n">
        <v>0.8</v>
      </c>
      <c r="J367" s="106" t="s">
        <v>3920</v>
      </c>
      <c r="K367" s="108" t="n">
        <v>1047</v>
      </c>
    </row>
    <row r="368" customFormat="false" ht="15" hidden="false" customHeight="false" outlineLevel="0" collapsed="false">
      <c r="A368" s="106" t="s">
        <v>4697</v>
      </c>
      <c r="B368" s="106" t="s">
        <v>560</v>
      </c>
      <c r="C368" s="106" t="s">
        <v>1704</v>
      </c>
      <c r="D368" s="106" t="s">
        <v>1745</v>
      </c>
      <c r="E368" s="106" t="s">
        <v>1745</v>
      </c>
      <c r="F368" s="106" t="s">
        <v>3896</v>
      </c>
      <c r="G368" s="106" t="s">
        <v>3897</v>
      </c>
      <c r="H368" s="106"/>
      <c r="I368" s="106" t="n">
        <v>1.08</v>
      </c>
      <c r="J368" s="106" t="s">
        <v>3963</v>
      </c>
      <c r="K368" s="108" t="n">
        <v>1418</v>
      </c>
    </row>
    <row r="369" customFormat="false" ht="15" hidden="false" customHeight="false" outlineLevel="0" collapsed="false">
      <c r="A369" s="106" t="s">
        <v>4686</v>
      </c>
      <c r="B369" s="106" t="s">
        <v>185</v>
      </c>
      <c r="C369" s="106" t="s">
        <v>1752</v>
      </c>
      <c r="D369" s="106" t="s">
        <v>1745</v>
      </c>
      <c r="E369" s="106" t="s">
        <v>1745</v>
      </c>
      <c r="F369" s="106" t="s">
        <v>3896</v>
      </c>
      <c r="G369" s="106" t="s">
        <v>3899</v>
      </c>
      <c r="H369" s="106"/>
      <c r="I369" s="106" t="n">
        <v>0.52</v>
      </c>
      <c r="J369" s="106" t="s">
        <v>3921</v>
      </c>
      <c r="K369" s="108" t="n">
        <v>637</v>
      </c>
    </row>
    <row r="370" customFormat="false" ht="15" hidden="false" customHeight="false" outlineLevel="0" collapsed="false">
      <c r="A370" s="106" t="s">
        <v>4679</v>
      </c>
      <c r="B370" s="106" t="s">
        <v>185</v>
      </c>
      <c r="C370" s="106" t="s">
        <v>1772</v>
      </c>
      <c r="D370" s="106" t="s">
        <v>1745</v>
      </c>
      <c r="E370" s="106" t="s">
        <v>1745</v>
      </c>
      <c r="F370" s="106" t="s">
        <v>3896</v>
      </c>
      <c r="G370" s="106" t="s">
        <v>3897</v>
      </c>
      <c r="H370" s="106"/>
      <c r="I370" s="106" t="n">
        <v>1.25</v>
      </c>
      <c r="J370" s="106" t="s">
        <v>3924</v>
      </c>
      <c r="K370" s="108" t="n">
        <v>1540</v>
      </c>
    </row>
    <row r="371" customFormat="false" ht="15" hidden="false" customHeight="false" outlineLevel="0" collapsed="false">
      <c r="A371" s="106" t="s">
        <v>4699</v>
      </c>
      <c r="B371" s="106" t="s">
        <v>479</v>
      </c>
      <c r="C371" s="106" t="s">
        <v>1725</v>
      </c>
      <c r="D371" s="106" t="s">
        <v>1728</v>
      </c>
      <c r="E371" s="106" t="s">
        <v>5003</v>
      </c>
      <c r="F371" s="106" t="s">
        <v>3948</v>
      </c>
      <c r="G371" s="106" t="s">
        <v>3949</v>
      </c>
      <c r="H371" s="106" t="n">
        <v>17.5</v>
      </c>
      <c r="I371" s="106" t="n">
        <v>0.86</v>
      </c>
      <c r="J371" s="106"/>
      <c r="K371" s="108"/>
    </row>
    <row r="372" customFormat="false" ht="15" hidden="false" customHeight="false" outlineLevel="0" collapsed="false">
      <c r="A372" s="106" t="s">
        <v>4637</v>
      </c>
      <c r="B372" s="106" t="s">
        <v>185</v>
      </c>
      <c r="C372" s="106" t="s">
        <v>1725</v>
      </c>
      <c r="D372" s="106" t="s">
        <v>1728</v>
      </c>
      <c r="E372" s="106" t="s">
        <v>5003</v>
      </c>
      <c r="F372" s="106" t="s">
        <v>3948</v>
      </c>
      <c r="G372" s="106" t="s">
        <v>3949</v>
      </c>
      <c r="H372" s="106" t="n">
        <v>20.5</v>
      </c>
      <c r="I372" s="106" t="n">
        <v>3.86</v>
      </c>
      <c r="J372" s="106"/>
      <c r="K372" s="108"/>
    </row>
    <row r="373" customFormat="false" ht="15" hidden="false" customHeight="false" outlineLevel="0" collapsed="false">
      <c r="A373" s="106" t="s">
        <v>4668</v>
      </c>
      <c r="B373" s="106" t="s">
        <v>560</v>
      </c>
      <c r="C373" s="106" t="s">
        <v>1712</v>
      </c>
      <c r="D373" s="106" t="s">
        <v>3953</v>
      </c>
      <c r="E373" s="106" t="s">
        <v>1714</v>
      </c>
      <c r="F373" s="106" t="s">
        <v>3831</v>
      </c>
      <c r="G373" s="106" t="s">
        <v>3934</v>
      </c>
      <c r="H373" s="106" t="n">
        <v>20.5</v>
      </c>
      <c r="I373" s="106" t="n">
        <v>1.54</v>
      </c>
      <c r="J373" s="106" t="s">
        <v>5004</v>
      </c>
      <c r="K373" s="108" t="n">
        <v>6791</v>
      </c>
    </row>
    <row r="374" customFormat="false" ht="15" hidden="false" customHeight="false" outlineLevel="0" collapsed="false">
      <c r="A374" s="106" t="s">
        <v>4699</v>
      </c>
      <c r="B374" s="106" t="s">
        <v>479</v>
      </c>
      <c r="C374" s="106" t="s">
        <v>1725</v>
      </c>
      <c r="D374" s="106" t="s">
        <v>5005</v>
      </c>
      <c r="E374" s="106" t="s">
        <v>1739</v>
      </c>
      <c r="F374" s="106" t="s">
        <v>3813</v>
      </c>
      <c r="G374" s="106" t="s">
        <v>3934</v>
      </c>
      <c r="H374" s="106" t="n">
        <v>7.9</v>
      </c>
      <c r="I374" s="106" t="n">
        <v>0.75</v>
      </c>
      <c r="J374" s="106" t="s">
        <v>1787</v>
      </c>
      <c r="K374" s="108" t="n">
        <v>2132</v>
      </c>
    </row>
    <row r="375" customFormat="false" ht="15" hidden="false" customHeight="false" outlineLevel="0" collapsed="false">
      <c r="A375" s="106" t="s">
        <v>4637</v>
      </c>
      <c r="B375" s="106" t="s">
        <v>185</v>
      </c>
      <c r="C375" s="106" t="s">
        <v>1725</v>
      </c>
      <c r="D375" s="106" t="s">
        <v>5005</v>
      </c>
      <c r="E375" s="106" t="s">
        <v>1714</v>
      </c>
      <c r="F375" s="106" t="s">
        <v>3808</v>
      </c>
      <c r="G375" s="106" t="s">
        <v>3934</v>
      </c>
      <c r="H375" s="106" t="n">
        <v>12.9</v>
      </c>
      <c r="I375" s="106" t="n">
        <v>3.5</v>
      </c>
      <c r="J375" s="106" t="s">
        <v>1729</v>
      </c>
      <c r="K375" s="108" t="n">
        <v>12591</v>
      </c>
    </row>
    <row r="376" customFormat="false" ht="15" hidden="false" customHeight="false" outlineLevel="0" collapsed="false">
      <c r="A376" s="106" t="s">
        <v>4743</v>
      </c>
      <c r="B376" s="106" t="s">
        <v>696</v>
      </c>
      <c r="C376" s="106" t="s">
        <v>1708</v>
      </c>
      <c r="D376" s="106" t="s">
        <v>5006</v>
      </c>
      <c r="E376" s="106" t="s">
        <v>1789</v>
      </c>
      <c r="F376" s="106" t="s">
        <v>5007</v>
      </c>
      <c r="G376" s="106" t="s">
        <v>3934</v>
      </c>
      <c r="H376" s="106" t="n">
        <v>140</v>
      </c>
      <c r="I376" s="106" t="n">
        <v>0.14</v>
      </c>
      <c r="J376" s="106" t="s">
        <v>5008</v>
      </c>
      <c r="K376" s="108" t="n">
        <v>318</v>
      </c>
    </row>
    <row r="377" customFormat="false" ht="15" hidden="false" customHeight="false" outlineLevel="0" collapsed="false">
      <c r="A377" s="106" t="s">
        <v>4735</v>
      </c>
      <c r="B377" s="106" t="s">
        <v>1689</v>
      </c>
      <c r="C377" s="106" t="s">
        <v>1720</v>
      </c>
      <c r="D377" s="106" t="s">
        <v>1773</v>
      </c>
      <c r="E377" s="106" t="s">
        <v>1773</v>
      </c>
      <c r="F377" s="106" t="s">
        <v>3896</v>
      </c>
      <c r="G377" s="106" t="s">
        <v>3899</v>
      </c>
      <c r="H377" s="106"/>
      <c r="I377" s="106" t="n">
        <v>0.33</v>
      </c>
      <c r="J377" s="106" t="s">
        <v>3902</v>
      </c>
      <c r="K377" s="108" t="n">
        <v>385</v>
      </c>
    </row>
    <row r="378" customFormat="false" ht="15" hidden="false" customHeight="false" outlineLevel="0" collapsed="false">
      <c r="A378" s="106" t="s">
        <v>4731</v>
      </c>
      <c r="B378" s="106" t="s">
        <v>479</v>
      </c>
      <c r="C378" s="106" t="s">
        <v>1772</v>
      </c>
      <c r="D378" s="106" t="s">
        <v>1773</v>
      </c>
      <c r="E378" s="106" t="s">
        <v>1773</v>
      </c>
      <c r="F378" s="106" t="s">
        <v>3896</v>
      </c>
      <c r="G378" s="106" t="s">
        <v>3899</v>
      </c>
      <c r="H378" s="106"/>
      <c r="I378" s="106" t="n">
        <v>0.42</v>
      </c>
      <c r="J378" s="106" t="s">
        <v>3907</v>
      </c>
      <c r="K378" s="108" t="n">
        <v>311</v>
      </c>
    </row>
    <row r="379" customFormat="false" ht="15" hidden="false" customHeight="false" outlineLevel="0" collapsed="false">
      <c r="A379" s="106" t="s">
        <v>4708</v>
      </c>
      <c r="B379" s="106" t="s">
        <v>479</v>
      </c>
      <c r="C379" s="106" t="s">
        <v>1712</v>
      </c>
      <c r="D379" s="106" t="s">
        <v>1773</v>
      </c>
      <c r="E379" s="106" t="s">
        <v>1773</v>
      </c>
      <c r="F379" s="106" t="s">
        <v>3896</v>
      </c>
      <c r="G379" s="106" t="s">
        <v>3905</v>
      </c>
      <c r="H379" s="106"/>
      <c r="I379" s="106" t="n">
        <v>0.88</v>
      </c>
      <c r="J379" s="106" t="s">
        <v>3920</v>
      </c>
      <c r="K379" s="108" t="n">
        <v>736</v>
      </c>
    </row>
    <row r="380" customFormat="false" ht="15" hidden="false" customHeight="false" outlineLevel="0" collapsed="false">
      <c r="A380" s="106" t="s">
        <v>4725</v>
      </c>
      <c r="B380" s="106" t="s">
        <v>479</v>
      </c>
      <c r="C380" s="106" t="s">
        <v>1704</v>
      </c>
      <c r="D380" s="106" t="s">
        <v>1773</v>
      </c>
      <c r="E380" s="106" t="s">
        <v>1773</v>
      </c>
      <c r="F380" s="106" t="s">
        <v>3896</v>
      </c>
      <c r="G380" s="106" t="s">
        <v>3899</v>
      </c>
      <c r="H380" s="106"/>
      <c r="I380" s="106" t="n">
        <v>0.42</v>
      </c>
      <c r="J380" s="106" t="s">
        <v>3902</v>
      </c>
      <c r="K380" s="108" t="n">
        <v>303</v>
      </c>
    </row>
    <row r="381" customFormat="false" ht="15" hidden="false" customHeight="false" outlineLevel="0" collapsed="false">
      <c r="A381" s="106" t="s">
        <v>4691</v>
      </c>
      <c r="B381" s="106" t="s">
        <v>560</v>
      </c>
      <c r="C381" s="106" t="s">
        <v>1748</v>
      </c>
      <c r="D381" s="106" t="s">
        <v>1773</v>
      </c>
      <c r="E381" s="106" t="s">
        <v>1773</v>
      </c>
      <c r="F381" s="106" t="s">
        <v>3896</v>
      </c>
      <c r="G381" s="106" t="s">
        <v>3897</v>
      </c>
      <c r="H381" s="106"/>
      <c r="I381" s="106" t="n">
        <v>1.3</v>
      </c>
      <c r="J381" s="106" t="s">
        <v>3927</v>
      </c>
      <c r="K381" s="108" t="n">
        <v>1488</v>
      </c>
    </row>
    <row r="382" customFormat="false" ht="15" hidden="false" customHeight="false" outlineLevel="0" collapsed="false">
      <c r="A382" s="106" t="s">
        <v>4719</v>
      </c>
      <c r="B382" s="106" t="s">
        <v>560</v>
      </c>
      <c r="C382" s="106" t="s">
        <v>1772</v>
      </c>
      <c r="D382" s="106" t="s">
        <v>1773</v>
      </c>
      <c r="E382" s="106" t="s">
        <v>1773</v>
      </c>
      <c r="F382" s="106" t="s">
        <v>3896</v>
      </c>
      <c r="G382" s="106" t="s">
        <v>3899</v>
      </c>
      <c r="H382" s="106"/>
      <c r="I382" s="106" t="n">
        <v>0.5</v>
      </c>
      <c r="J382" s="106" t="s">
        <v>3908</v>
      </c>
      <c r="K382" s="108" t="n">
        <v>577</v>
      </c>
    </row>
    <row r="383" customFormat="false" ht="15" hidden="false" customHeight="false" outlineLevel="0" collapsed="false">
      <c r="A383" s="106" t="s">
        <v>4681</v>
      </c>
      <c r="B383" s="106" t="s">
        <v>560</v>
      </c>
      <c r="C383" s="106" t="s">
        <v>1733</v>
      </c>
      <c r="D383" s="106" t="s">
        <v>1773</v>
      </c>
      <c r="E383" s="106" t="s">
        <v>1773</v>
      </c>
      <c r="F383" s="106" t="s">
        <v>3896</v>
      </c>
      <c r="G383" s="106" t="s">
        <v>3905</v>
      </c>
      <c r="H383" s="106"/>
      <c r="I383" s="106" t="n">
        <v>0.98</v>
      </c>
      <c r="J383" s="106" t="s">
        <v>3912</v>
      </c>
      <c r="K383" s="108" t="n">
        <v>998</v>
      </c>
    </row>
    <row r="384" customFormat="false" ht="15" hidden="false" customHeight="false" outlineLevel="0" collapsed="false">
      <c r="A384" s="106" t="s">
        <v>4693</v>
      </c>
      <c r="B384" s="106" t="s">
        <v>560</v>
      </c>
      <c r="C384" s="106" t="s">
        <v>1737</v>
      </c>
      <c r="D384" s="106" t="s">
        <v>1773</v>
      </c>
      <c r="E384" s="106" t="s">
        <v>1773</v>
      </c>
      <c r="F384" s="106" t="s">
        <v>3896</v>
      </c>
      <c r="G384" s="106" t="s">
        <v>3897</v>
      </c>
      <c r="H384" s="106"/>
      <c r="I384" s="106" t="n">
        <v>1.05</v>
      </c>
      <c r="J384" s="106" t="s">
        <v>3920</v>
      </c>
      <c r="K384" s="108" t="n">
        <v>997</v>
      </c>
    </row>
    <row r="385" customFormat="false" ht="15" hidden="false" customHeight="false" outlineLevel="0" collapsed="false">
      <c r="A385" s="106" t="s">
        <v>4679</v>
      </c>
      <c r="B385" s="106" t="s">
        <v>185</v>
      </c>
      <c r="C385" s="106" t="s">
        <v>1772</v>
      </c>
      <c r="D385" s="106" t="s">
        <v>1773</v>
      </c>
      <c r="E385" s="106" t="s">
        <v>1773</v>
      </c>
      <c r="F385" s="106" t="s">
        <v>3896</v>
      </c>
      <c r="G385" s="106" t="s">
        <v>3899</v>
      </c>
      <c r="H385" s="106"/>
      <c r="I385" s="106" t="n">
        <v>0.53</v>
      </c>
      <c r="J385" s="106" t="s">
        <v>3908</v>
      </c>
      <c r="K385" s="108" t="n">
        <v>579</v>
      </c>
    </row>
    <row r="386" customFormat="false" ht="15" hidden="false" customHeight="false" outlineLevel="0" collapsed="false">
      <c r="A386" s="106" t="s">
        <v>4643</v>
      </c>
      <c r="B386" s="106" t="s">
        <v>560</v>
      </c>
      <c r="C386" s="106" t="s">
        <v>1725</v>
      </c>
      <c r="D386" s="106" t="s">
        <v>5009</v>
      </c>
      <c r="E386" s="106" t="s">
        <v>1706</v>
      </c>
      <c r="F386" s="106" t="s">
        <v>5010</v>
      </c>
      <c r="G386" s="106" t="s">
        <v>3934</v>
      </c>
      <c r="H386" s="106" t="n">
        <v>23.6</v>
      </c>
      <c r="I386" s="106" t="n">
        <v>1.75</v>
      </c>
      <c r="J386" s="106" t="s">
        <v>1760</v>
      </c>
      <c r="K386" s="108" t="n">
        <v>4914</v>
      </c>
    </row>
    <row r="387" customFormat="false" ht="15" hidden="false" customHeight="false" outlineLevel="0" collapsed="false">
      <c r="A387" s="106" t="s">
        <v>4676</v>
      </c>
      <c r="B387" s="106" t="s">
        <v>185</v>
      </c>
      <c r="C387" s="106" t="s">
        <v>1748</v>
      </c>
      <c r="D387" s="106" t="s">
        <v>5009</v>
      </c>
      <c r="E387" s="106" t="s">
        <v>1714</v>
      </c>
      <c r="F387" s="106" t="s">
        <v>3817</v>
      </c>
      <c r="G387" s="106" t="s">
        <v>3934</v>
      </c>
      <c r="H387" s="106" t="n">
        <v>11.9</v>
      </c>
      <c r="I387" s="106" t="n">
        <v>0.86</v>
      </c>
      <c r="J387" s="106" t="s">
        <v>5011</v>
      </c>
      <c r="K387" s="108" t="n">
        <v>1961</v>
      </c>
    </row>
    <row r="388" customFormat="false" ht="15" hidden="false" customHeight="false" outlineLevel="0" collapsed="false">
      <c r="A388" s="106" t="s">
        <v>4670</v>
      </c>
      <c r="B388" s="106" t="s">
        <v>479</v>
      </c>
      <c r="C388" s="106" t="s">
        <v>1708</v>
      </c>
      <c r="D388" s="106" t="s">
        <v>1759</v>
      </c>
      <c r="E388" s="106" t="s">
        <v>5012</v>
      </c>
      <c r="F388" s="106" t="s">
        <v>3972</v>
      </c>
      <c r="G388" s="106" t="s">
        <v>3949</v>
      </c>
      <c r="H388" s="106" t="n">
        <v>22.9</v>
      </c>
      <c r="I388" s="106" t="n">
        <v>1.75</v>
      </c>
      <c r="J388" s="106"/>
      <c r="K388" s="108"/>
    </row>
    <row r="389" customFormat="false" ht="15" hidden="false" customHeight="false" outlineLevel="0" collapsed="false">
      <c r="A389" s="106" t="s">
        <v>4662</v>
      </c>
      <c r="B389" s="106" t="s">
        <v>560</v>
      </c>
      <c r="C389" s="106" t="s">
        <v>1752</v>
      </c>
      <c r="D389" s="106" t="s">
        <v>1759</v>
      </c>
      <c r="E389" s="106" t="s">
        <v>5013</v>
      </c>
      <c r="F389" s="106" t="s">
        <v>5014</v>
      </c>
      <c r="G389" s="106" t="s">
        <v>3949</v>
      </c>
      <c r="H389" s="106" t="n">
        <v>29.7</v>
      </c>
      <c r="I389" s="106" t="n">
        <v>1.18</v>
      </c>
      <c r="J389" s="106"/>
      <c r="K389" s="108"/>
    </row>
    <row r="390" customFormat="false" ht="15" hidden="false" customHeight="false" outlineLevel="0" collapsed="false">
      <c r="A390" s="106" t="s">
        <v>4695</v>
      </c>
      <c r="B390" s="106" t="s">
        <v>1689</v>
      </c>
      <c r="C390" s="106" t="s">
        <v>1725</v>
      </c>
      <c r="D390" s="106" t="s">
        <v>4978</v>
      </c>
      <c r="E390" s="106" t="s">
        <v>5012</v>
      </c>
      <c r="F390" s="106" t="s">
        <v>3974</v>
      </c>
      <c r="G390" s="106" t="s">
        <v>3949</v>
      </c>
      <c r="H390" s="106" t="n">
        <v>20.5</v>
      </c>
      <c r="I390" s="106" t="n">
        <v>0.54</v>
      </c>
      <c r="J390" s="106"/>
      <c r="K390" s="108"/>
    </row>
    <row r="391" customFormat="false" ht="15" hidden="false" customHeight="false" outlineLevel="0" collapsed="false">
      <c r="A391" s="106" t="s">
        <v>4683</v>
      </c>
      <c r="B391" s="106" t="s">
        <v>696</v>
      </c>
      <c r="C391" s="106" t="s">
        <v>1725</v>
      </c>
      <c r="D391" s="106" t="s">
        <v>5015</v>
      </c>
      <c r="E391" s="106" t="s">
        <v>1714</v>
      </c>
      <c r="F391" s="106" t="s">
        <v>3816</v>
      </c>
      <c r="G391" s="106" t="s">
        <v>3934</v>
      </c>
      <c r="H391" s="106" t="n">
        <v>15</v>
      </c>
      <c r="I391" s="106" t="n">
        <v>0.93</v>
      </c>
      <c r="J391" s="106" t="s">
        <v>5016</v>
      </c>
      <c r="K391" s="108" t="n">
        <v>1809</v>
      </c>
    </row>
    <row r="392" customFormat="false" ht="15" hidden="false" customHeight="false" outlineLevel="0" collapsed="false">
      <c r="A392" s="106" t="s">
        <v>4662</v>
      </c>
      <c r="B392" s="106" t="s">
        <v>560</v>
      </c>
      <c r="C392" s="106" t="s">
        <v>1752</v>
      </c>
      <c r="D392" s="106" t="s">
        <v>5017</v>
      </c>
      <c r="E392" s="106" t="s">
        <v>1714</v>
      </c>
      <c r="F392" s="106" t="s">
        <v>5018</v>
      </c>
      <c r="G392" s="106" t="s">
        <v>3934</v>
      </c>
      <c r="H392" s="106" t="n">
        <v>18.1</v>
      </c>
      <c r="I392" s="106" t="n">
        <v>1.07</v>
      </c>
      <c r="J392" s="106" t="s">
        <v>5019</v>
      </c>
      <c r="K392" s="108" t="n">
        <v>2830</v>
      </c>
    </row>
    <row r="393" customFormat="false" ht="15" hidden="false" customHeight="false" outlineLevel="0" collapsed="false">
      <c r="A393" s="106" t="s">
        <v>4670</v>
      </c>
      <c r="B393" s="106" t="s">
        <v>479</v>
      </c>
      <c r="C393" s="106" t="s">
        <v>1708</v>
      </c>
      <c r="D393" s="106" t="s">
        <v>5020</v>
      </c>
      <c r="E393" s="106" t="s">
        <v>1714</v>
      </c>
      <c r="F393" s="106" t="s">
        <v>3812</v>
      </c>
      <c r="G393" s="106" t="s">
        <v>3934</v>
      </c>
      <c r="H393" s="106" t="n">
        <v>16.7</v>
      </c>
      <c r="I393" s="106" t="n">
        <v>2</v>
      </c>
      <c r="J393" s="106" t="s">
        <v>1760</v>
      </c>
      <c r="K393" s="108" t="n">
        <v>3769</v>
      </c>
    </row>
    <row r="394" customFormat="false" ht="15" hidden="false" customHeight="false" outlineLevel="0" collapsed="false">
      <c r="A394" s="106" t="s">
        <v>4716</v>
      </c>
      <c r="B394" s="106" t="s">
        <v>1689</v>
      </c>
      <c r="C394" s="106" t="s">
        <v>1708</v>
      </c>
      <c r="D394" s="106" t="s">
        <v>5021</v>
      </c>
      <c r="E394" s="106" t="s">
        <v>1789</v>
      </c>
      <c r="F394" s="106" t="s">
        <v>3783</v>
      </c>
      <c r="G394" s="106" t="s">
        <v>3934</v>
      </c>
      <c r="H394" s="106" t="n">
        <v>31.5</v>
      </c>
      <c r="I394" s="106" t="n">
        <v>0.71</v>
      </c>
      <c r="J394" s="106" t="s">
        <v>5022</v>
      </c>
      <c r="K394" s="108" t="n">
        <v>1564</v>
      </c>
    </row>
    <row r="395" customFormat="false" ht="15" hidden="false" customHeight="false" outlineLevel="0" collapsed="false">
      <c r="A395" s="106" t="s">
        <v>4695</v>
      </c>
      <c r="B395" s="106" t="s">
        <v>1689</v>
      </c>
      <c r="C395" s="106" t="s">
        <v>1725</v>
      </c>
      <c r="D395" s="106" t="s">
        <v>5023</v>
      </c>
      <c r="E395" s="106" t="s">
        <v>1739</v>
      </c>
      <c r="F395" s="106" t="s">
        <v>5024</v>
      </c>
      <c r="G395" s="106" t="s">
        <v>3934</v>
      </c>
      <c r="H395" s="106" t="n">
        <v>6</v>
      </c>
      <c r="I395" s="106" t="n">
        <v>0.25</v>
      </c>
      <c r="J395" s="106" t="s">
        <v>5025</v>
      </c>
      <c r="K395" s="108" t="n">
        <v>280</v>
      </c>
    </row>
    <row r="396" customFormat="false" ht="15" hidden="false" customHeight="false" outlineLevel="0" collapsed="false">
      <c r="A396" s="106" t="s">
        <v>4665</v>
      </c>
      <c r="B396" s="106" t="s">
        <v>185</v>
      </c>
      <c r="C396" s="106" t="s">
        <v>1733</v>
      </c>
      <c r="D396" s="106" t="s">
        <v>5023</v>
      </c>
      <c r="E396" s="106" t="s">
        <v>1714</v>
      </c>
      <c r="F396" s="106" t="s">
        <v>3782</v>
      </c>
      <c r="G396" s="106" t="s">
        <v>3934</v>
      </c>
      <c r="H396" s="106" t="n">
        <v>12</v>
      </c>
      <c r="I396" s="106" t="n">
        <v>1.07</v>
      </c>
      <c r="J396" s="106" t="s">
        <v>5026</v>
      </c>
      <c r="K396" s="108" t="n">
        <v>1632</v>
      </c>
    </row>
    <row r="397" customFormat="false" ht="15" hidden="false" customHeight="false" outlineLevel="0" collapsed="false">
      <c r="A397" s="106" t="s">
        <v>4657</v>
      </c>
      <c r="B397" s="106" t="s">
        <v>560</v>
      </c>
      <c r="C397" s="106" t="s">
        <v>1708</v>
      </c>
      <c r="D397" s="106" t="s">
        <v>5027</v>
      </c>
      <c r="E397" s="106" t="s">
        <v>1710</v>
      </c>
      <c r="F397" s="106" t="s">
        <v>3942</v>
      </c>
      <c r="G397" s="106" t="s">
        <v>3934</v>
      </c>
      <c r="H397" s="106" t="n">
        <v>44.6</v>
      </c>
      <c r="I397" s="106" t="n">
        <v>3.5</v>
      </c>
      <c r="J397" s="106" t="s">
        <v>5028</v>
      </c>
      <c r="K397" s="108" t="n">
        <v>23995</v>
      </c>
    </row>
    <row r="398" customFormat="false" ht="15" hidden="false" customHeight="false" outlineLevel="0" collapsed="false">
      <c r="A398" s="106" t="s">
        <v>4721</v>
      </c>
      <c r="B398" s="106" t="s">
        <v>479</v>
      </c>
      <c r="C398" s="106" t="s">
        <v>1750</v>
      </c>
      <c r="D398" s="106" t="s">
        <v>1754</v>
      </c>
      <c r="E398" s="106" t="s">
        <v>1754</v>
      </c>
      <c r="F398" s="106" t="s">
        <v>3896</v>
      </c>
      <c r="G398" s="106" t="s">
        <v>3899</v>
      </c>
      <c r="H398" s="106"/>
      <c r="I398" s="106" t="n">
        <v>0.4</v>
      </c>
      <c r="J398" s="106" t="s">
        <v>3921</v>
      </c>
      <c r="K398" s="108" t="n">
        <v>438</v>
      </c>
    </row>
    <row r="399" customFormat="false" ht="15" hidden="false" customHeight="false" outlineLevel="0" collapsed="false">
      <c r="A399" s="106" t="s">
        <v>4706</v>
      </c>
      <c r="B399" s="106" t="s">
        <v>479</v>
      </c>
      <c r="C399" s="106" t="s">
        <v>1716</v>
      </c>
      <c r="D399" s="106" t="s">
        <v>1754</v>
      </c>
      <c r="E399" s="106" t="s">
        <v>1754</v>
      </c>
      <c r="F399" s="106" t="s">
        <v>3896</v>
      </c>
      <c r="G399" s="106" t="s">
        <v>3899</v>
      </c>
      <c r="H399" s="106"/>
      <c r="I399" s="106" t="n">
        <v>0.6</v>
      </c>
      <c r="J399" s="106" t="s">
        <v>3920</v>
      </c>
      <c r="K399" s="108" t="n">
        <v>777</v>
      </c>
    </row>
    <row r="400" customFormat="false" ht="15" hidden="false" customHeight="false" outlineLevel="0" collapsed="false">
      <c r="A400" s="106" t="s">
        <v>4691</v>
      </c>
      <c r="B400" s="106" t="s">
        <v>560</v>
      </c>
      <c r="C400" s="106" t="s">
        <v>1748</v>
      </c>
      <c r="D400" s="106" t="s">
        <v>1754</v>
      </c>
      <c r="E400" s="106" t="s">
        <v>1754</v>
      </c>
      <c r="F400" s="106" t="s">
        <v>3896</v>
      </c>
      <c r="G400" s="106" t="s">
        <v>3899</v>
      </c>
      <c r="H400" s="106"/>
      <c r="I400" s="106" t="n">
        <v>0.47</v>
      </c>
      <c r="J400" s="106" t="s">
        <v>3919</v>
      </c>
      <c r="K400" s="108" t="n">
        <v>784</v>
      </c>
    </row>
    <row r="401" customFormat="false" ht="15" hidden="false" customHeight="false" outlineLevel="0" collapsed="false">
      <c r="A401" s="106" t="s">
        <v>4710</v>
      </c>
      <c r="B401" s="106" t="s">
        <v>696</v>
      </c>
      <c r="C401" s="106" t="s">
        <v>1712</v>
      </c>
      <c r="D401" s="106" t="s">
        <v>1754</v>
      </c>
      <c r="E401" s="106" t="s">
        <v>1754</v>
      </c>
      <c r="F401" s="106" t="s">
        <v>3896</v>
      </c>
      <c r="G401" s="106" t="s">
        <v>3905</v>
      </c>
      <c r="H401" s="106"/>
      <c r="I401" s="106" t="n">
        <v>0.7</v>
      </c>
      <c r="J401" s="106" t="s">
        <v>3909</v>
      </c>
      <c r="K401" s="108" t="n">
        <v>837</v>
      </c>
    </row>
    <row r="402" customFormat="false" ht="15" hidden="false" customHeight="false" outlineLevel="0" collapsed="false">
      <c r="A402" s="106" t="s">
        <v>4729</v>
      </c>
      <c r="B402" s="106" t="s">
        <v>696</v>
      </c>
      <c r="C402" s="106" t="s">
        <v>1720</v>
      </c>
      <c r="D402" s="106" t="s">
        <v>1754</v>
      </c>
      <c r="E402" s="106" t="s">
        <v>1754</v>
      </c>
      <c r="F402" s="106" t="s">
        <v>3896</v>
      </c>
      <c r="G402" s="106" t="s">
        <v>3899</v>
      </c>
      <c r="H402" s="106"/>
      <c r="I402" s="106" t="n">
        <v>0.38</v>
      </c>
      <c r="J402" s="106" t="s">
        <v>3921</v>
      </c>
      <c r="K402" s="108" t="n">
        <v>376</v>
      </c>
    </row>
    <row r="403" customFormat="false" ht="15" hidden="false" customHeight="false" outlineLevel="0" collapsed="false">
      <c r="A403" s="106" t="s">
        <v>4640</v>
      </c>
      <c r="B403" s="106" t="s">
        <v>185</v>
      </c>
      <c r="C403" s="106" t="s">
        <v>1708</v>
      </c>
      <c r="D403" s="106" t="s">
        <v>5029</v>
      </c>
      <c r="E403" s="106" t="s">
        <v>5030</v>
      </c>
      <c r="F403" s="106" t="s">
        <v>3948</v>
      </c>
      <c r="G403" s="106" t="s">
        <v>3949</v>
      </c>
      <c r="H403" s="106" t="n">
        <v>20.8</v>
      </c>
      <c r="I403" s="106" t="n">
        <v>3.46</v>
      </c>
      <c r="J403" s="106"/>
      <c r="K403" s="108"/>
    </row>
    <row r="404" customFormat="false" ht="15" hidden="false" customHeight="false" outlineLevel="0" collapsed="false">
      <c r="A404" s="106" t="s">
        <v>4646</v>
      </c>
      <c r="B404" s="106" t="s">
        <v>185</v>
      </c>
      <c r="C404" s="106" t="s">
        <v>1750</v>
      </c>
      <c r="D404" s="106" t="s">
        <v>5031</v>
      </c>
      <c r="E404" s="106" t="s">
        <v>1739</v>
      </c>
      <c r="F404" s="106" t="s">
        <v>3972</v>
      </c>
      <c r="G404" s="106" t="s">
        <v>3934</v>
      </c>
      <c r="H404" s="106" t="n">
        <v>32.8</v>
      </c>
      <c r="I404" s="106" t="n">
        <v>1.54</v>
      </c>
      <c r="J404" s="106" t="s">
        <v>5032</v>
      </c>
      <c r="K404" s="108" t="n">
        <v>664</v>
      </c>
    </row>
    <row r="405" customFormat="false" ht="15" hidden="false" customHeight="false" outlineLevel="0" collapsed="false">
      <c r="A405" s="106" t="s">
        <v>4640</v>
      </c>
      <c r="B405" s="106" t="s">
        <v>185</v>
      </c>
      <c r="C405" s="106" t="s">
        <v>1708</v>
      </c>
      <c r="D405" s="106" t="s">
        <v>5033</v>
      </c>
      <c r="E405" s="106" t="s">
        <v>1710</v>
      </c>
      <c r="F405" s="106" t="s">
        <v>4997</v>
      </c>
      <c r="G405" s="106" t="s">
        <v>3934</v>
      </c>
      <c r="H405" s="106" t="n">
        <v>14</v>
      </c>
      <c r="I405" s="106" t="n">
        <v>3.43</v>
      </c>
      <c r="J405" s="106" t="s">
        <v>5034</v>
      </c>
      <c r="K405" s="108" t="n">
        <v>18756</v>
      </c>
    </row>
    <row r="406" customFormat="false" ht="15" hidden="false" customHeight="false" outlineLevel="0" collapsed="false">
      <c r="A406" s="106" t="s">
        <v>4741</v>
      </c>
      <c r="B406" s="106" t="s">
        <v>1689</v>
      </c>
      <c r="C406" s="106" t="s">
        <v>1737</v>
      </c>
      <c r="D406" s="106" t="s">
        <v>3309</v>
      </c>
      <c r="E406" s="106" t="s">
        <v>3309</v>
      </c>
      <c r="F406" s="106" t="s">
        <v>3896</v>
      </c>
      <c r="G406" s="106" t="s">
        <v>3899</v>
      </c>
      <c r="H406" s="106"/>
      <c r="I406" s="106" t="n">
        <v>0.4</v>
      </c>
      <c r="J406" s="106" t="s">
        <v>3917</v>
      </c>
      <c r="K406" s="108" t="n">
        <v>1706</v>
      </c>
    </row>
    <row r="407" customFormat="false" ht="15" hidden="false" customHeight="false" outlineLevel="0" collapsed="false">
      <c r="A407" s="106" t="s">
        <v>4746</v>
      </c>
      <c r="B407" s="106" t="s">
        <v>696</v>
      </c>
      <c r="C407" s="106" t="s">
        <v>1752</v>
      </c>
      <c r="D407" s="106" t="s">
        <v>3309</v>
      </c>
      <c r="E407" s="106" t="s">
        <v>3309</v>
      </c>
      <c r="F407" s="106" t="s">
        <v>3896</v>
      </c>
      <c r="G407" s="106" t="s">
        <v>3899</v>
      </c>
      <c r="H407" s="106"/>
      <c r="I407" s="106" t="n">
        <v>0.5</v>
      </c>
      <c r="J407" s="106" t="s">
        <v>5035</v>
      </c>
      <c r="K407" s="108" t="n">
        <v>1491</v>
      </c>
    </row>
    <row r="408" customFormat="false" ht="15" hidden="false" customHeight="false" outlineLevel="0" collapsed="false">
      <c r="A408" s="106" t="s">
        <v>4712</v>
      </c>
      <c r="B408" s="106" t="s">
        <v>479</v>
      </c>
      <c r="C408" s="106" t="s">
        <v>1752</v>
      </c>
      <c r="D408" s="106" t="s">
        <v>1763</v>
      </c>
      <c r="E408" s="106" t="s">
        <v>1763</v>
      </c>
      <c r="F408" s="106" t="s">
        <v>3896</v>
      </c>
      <c r="G408" s="106" t="s">
        <v>3899</v>
      </c>
      <c r="H408" s="106"/>
      <c r="I408" s="106" t="n">
        <v>0.47</v>
      </c>
      <c r="J408" s="106" t="s">
        <v>3911</v>
      </c>
      <c r="K408" s="108" t="n">
        <v>926</v>
      </c>
    </row>
    <row r="409" customFormat="false" ht="15" hidden="false" customHeight="false" outlineLevel="0" collapsed="false">
      <c r="A409" s="106" t="s">
        <v>4708</v>
      </c>
      <c r="B409" s="106" t="s">
        <v>479</v>
      </c>
      <c r="C409" s="106" t="s">
        <v>1712</v>
      </c>
      <c r="D409" s="106" t="s">
        <v>1763</v>
      </c>
      <c r="E409" s="106" t="s">
        <v>1763</v>
      </c>
      <c r="F409" s="106" t="s">
        <v>3896</v>
      </c>
      <c r="G409" s="106" t="s">
        <v>3899</v>
      </c>
      <c r="H409" s="106"/>
      <c r="I409" s="106" t="n">
        <v>0.47</v>
      </c>
      <c r="J409" s="106" t="s">
        <v>3911</v>
      </c>
      <c r="K409" s="108" t="n">
        <v>915</v>
      </c>
    </row>
    <row r="410" customFormat="false" ht="15" hidden="false" customHeight="false" outlineLevel="0" collapsed="false">
      <c r="A410" s="106" t="s">
        <v>4714</v>
      </c>
      <c r="B410" s="106" t="s">
        <v>479</v>
      </c>
      <c r="C410" s="106" t="s">
        <v>1720</v>
      </c>
      <c r="D410" s="106" t="s">
        <v>1763</v>
      </c>
      <c r="E410" s="106" t="s">
        <v>1763</v>
      </c>
      <c r="F410" s="106" t="s">
        <v>3896</v>
      </c>
      <c r="G410" s="106" t="s">
        <v>3899</v>
      </c>
      <c r="H410" s="106"/>
      <c r="I410" s="106" t="n">
        <v>0.42</v>
      </c>
      <c r="J410" s="106" t="s">
        <v>3912</v>
      </c>
      <c r="K410" s="108" t="n">
        <v>754</v>
      </c>
    </row>
    <row r="411" customFormat="false" ht="15" hidden="false" customHeight="false" outlineLevel="0" collapsed="false">
      <c r="A411" s="106" t="s">
        <v>4668</v>
      </c>
      <c r="B411" s="106" t="s">
        <v>560</v>
      </c>
      <c r="C411" s="106" t="s">
        <v>1712</v>
      </c>
      <c r="D411" s="106" t="s">
        <v>3970</v>
      </c>
      <c r="E411" s="106" t="s">
        <v>4069</v>
      </c>
      <c r="F411" s="106" t="s">
        <v>3972</v>
      </c>
      <c r="G411" s="106" t="s">
        <v>3934</v>
      </c>
      <c r="H411" s="106" t="n">
        <v>46.4</v>
      </c>
      <c r="I411" s="106" t="n">
        <v>1.04</v>
      </c>
      <c r="J411" s="106" t="s">
        <v>1834</v>
      </c>
      <c r="K411" s="108" t="n">
        <v>365</v>
      </c>
    </row>
    <row r="412" customFormat="false" ht="15" hidden="false" customHeight="false" outlineLevel="0" collapsed="false">
      <c r="A412" s="106" t="s">
        <v>4668</v>
      </c>
      <c r="B412" s="106" t="s">
        <v>560</v>
      </c>
      <c r="C412" s="106" t="s">
        <v>1712</v>
      </c>
      <c r="D412" s="106" t="s">
        <v>4849</v>
      </c>
      <c r="E412" s="106" t="s">
        <v>1710</v>
      </c>
      <c r="F412" s="106" t="s">
        <v>5036</v>
      </c>
      <c r="G412" s="106" t="s">
        <v>3934</v>
      </c>
      <c r="H412" s="106" t="n">
        <v>0</v>
      </c>
      <c r="I412" s="106" t="n">
        <v>0.93</v>
      </c>
      <c r="J412" s="106" t="s">
        <v>5037</v>
      </c>
      <c r="K412" s="108" t="n">
        <v>1266</v>
      </c>
    </row>
    <row r="413" customFormat="false" ht="15" hidden="false" customHeight="false" outlineLevel="0" collapsed="false">
      <c r="A413" s="106" t="s">
        <v>4643</v>
      </c>
      <c r="B413" s="106" t="s">
        <v>560</v>
      </c>
      <c r="C413" s="106" t="s">
        <v>1725</v>
      </c>
      <c r="D413" s="106" t="s">
        <v>5038</v>
      </c>
      <c r="E413" s="106" t="s">
        <v>4263</v>
      </c>
      <c r="F413" s="106" t="s">
        <v>3974</v>
      </c>
      <c r="G413" s="106" t="s">
        <v>3949</v>
      </c>
      <c r="H413" s="106" t="n">
        <v>28</v>
      </c>
      <c r="I413" s="106" t="n">
        <v>2.57</v>
      </c>
      <c r="J413" s="106"/>
      <c r="K413" s="108"/>
    </row>
    <row r="414" customFormat="false" ht="15" hidden="false" customHeight="false" outlineLevel="0" collapsed="false">
      <c r="A414" s="106" t="s">
        <v>4643</v>
      </c>
      <c r="B414" s="106" t="s">
        <v>560</v>
      </c>
      <c r="C414" s="106" t="s">
        <v>1725</v>
      </c>
      <c r="D414" s="106" t="s">
        <v>5039</v>
      </c>
      <c r="E414" s="106" t="s">
        <v>1710</v>
      </c>
      <c r="F414" s="106" t="s">
        <v>5040</v>
      </c>
      <c r="G414" s="106" t="s">
        <v>3934</v>
      </c>
      <c r="H414" s="106" t="n">
        <v>10.5</v>
      </c>
      <c r="I414" s="106" t="n">
        <v>1.93</v>
      </c>
      <c r="J414" s="106" t="s">
        <v>5041</v>
      </c>
      <c r="K414" s="108" t="n">
        <v>153</v>
      </c>
    </row>
    <row r="415" customFormat="false" ht="43.25" hidden="false" customHeight="false" outlineLevel="0" collapsed="false">
      <c r="A415" s="90" t="s">
        <v>3981</v>
      </c>
      <c r="B415" s="90" t="s">
        <v>3599</v>
      </c>
      <c r="C415" s="90" t="s">
        <v>3312</v>
      </c>
      <c r="D415" s="90" t="s">
        <v>3982</v>
      </c>
      <c r="E415" s="90" t="s">
        <v>3983</v>
      </c>
      <c r="F415" s="90" t="s">
        <v>3890</v>
      </c>
      <c r="G415" s="90" t="s">
        <v>3984</v>
      </c>
      <c r="H415" s="90" t="s">
        <v>3985</v>
      </c>
      <c r="I415" s="90" t="s">
        <v>3986</v>
      </c>
      <c r="J415" s="90" t="s">
        <v>3987</v>
      </c>
      <c r="K415" s="90" t="s">
        <v>3988</v>
      </c>
      <c r="L415" s="90" t="s">
        <v>3989</v>
      </c>
      <c r="M415" s="90" t="s">
        <v>3990</v>
      </c>
      <c r="N415" s="90" t="s">
        <v>3315</v>
      </c>
      <c r="O415" s="90" t="s">
        <v>3317</v>
      </c>
      <c r="P415" s="90" t="s">
        <v>3991</v>
      </c>
      <c r="Q415" s="90" t="s">
        <v>3992</v>
      </c>
      <c r="R415" s="90" t="s">
        <v>3993</v>
      </c>
      <c r="S415" s="90" t="s">
        <v>3994</v>
      </c>
      <c r="T415" s="90" t="s">
        <v>3995</v>
      </c>
      <c r="U415" s="90" t="s">
        <v>3996</v>
      </c>
    </row>
    <row r="416" customFormat="false" ht="15" hidden="false" customHeight="false" outlineLevel="0" collapsed="false">
      <c r="A416" s="106" t="s">
        <v>5042</v>
      </c>
      <c r="B416" s="106" t="s">
        <v>4637</v>
      </c>
      <c r="C416" s="106" t="s">
        <v>3998</v>
      </c>
      <c r="D416" s="106" t="s">
        <v>5043</v>
      </c>
      <c r="E416" s="106" t="s">
        <v>5003</v>
      </c>
      <c r="F416" s="106" t="n">
        <v>28</v>
      </c>
      <c r="G416" s="106" t="s">
        <v>5025</v>
      </c>
      <c r="H416" s="106" t="n">
        <v>100</v>
      </c>
      <c r="I416" s="106" t="s">
        <v>5044</v>
      </c>
      <c r="J416" s="106" t="s">
        <v>5045</v>
      </c>
      <c r="K416" s="106" t="n">
        <v>137</v>
      </c>
      <c r="L416" s="106" t="n">
        <v>7.9</v>
      </c>
      <c r="M416" s="106" t="n">
        <v>11.73</v>
      </c>
      <c r="N416" s="106" t="n">
        <v>27.9</v>
      </c>
      <c r="O416" s="106" t="n">
        <v>2.04</v>
      </c>
      <c r="P416" s="106"/>
      <c r="Q416" s="106" t="s">
        <v>5046</v>
      </c>
      <c r="R416" s="106" t="s">
        <v>5047</v>
      </c>
      <c r="S416" s="106" t="s">
        <v>5048</v>
      </c>
      <c r="T416" s="106" t="s">
        <v>5049</v>
      </c>
      <c r="U416" s="106"/>
    </row>
    <row r="417" customFormat="false" ht="15" hidden="false" customHeight="false" outlineLevel="0" collapsed="false">
      <c r="A417" s="106" t="s">
        <v>5042</v>
      </c>
      <c r="B417" s="106" t="s">
        <v>4637</v>
      </c>
      <c r="C417" s="106" t="s">
        <v>4007</v>
      </c>
      <c r="D417" s="106" t="s">
        <v>5050</v>
      </c>
      <c r="E417" s="106" t="s">
        <v>5003</v>
      </c>
      <c r="F417" s="106" t="n">
        <v>14</v>
      </c>
      <c r="G417" s="106" t="s">
        <v>5051</v>
      </c>
      <c r="H417" s="106" t="n">
        <v>100</v>
      </c>
      <c r="I417" s="106" t="s">
        <v>5052</v>
      </c>
      <c r="J417" s="106" t="s">
        <v>5053</v>
      </c>
      <c r="K417" s="106" t="n">
        <v>161</v>
      </c>
      <c r="L417" s="106" t="n">
        <v>9.5</v>
      </c>
      <c r="M417" s="106" t="n">
        <v>11.61</v>
      </c>
      <c r="N417" s="106" t="n">
        <v>27.4</v>
      </c>
      <c r="O417" s="106" t="n">
        <v>1.97</v>
      </c>
      <c r="P417" s="106"/>
      <c r="Q417" s="106" t="s">
        <v>5054</v>
      </c>
      <c r="R417" s="106" t="s">
        <v>5055</v>
      </c>
      <c r="S417" s="106" t="s">
        <v>5056</v>
      </c>
      <c r="T417" s="106" t="s">
        <v>5057</v>
      </c>
      <c r="U417" s="106"/>
    </row>
    <row r="418" customFormat="false" ht="15" hidden="false" customHeight="false" outlineLevel="0" collapsed="false">
      <c r="A418" s="106" t="s">
        <v>5042</v>
      </c>
      <c r="B418" s="106" t="s">
        <v>4637</v>
      </c>
      <c r="C418" s="106" t="s">
        <v>4016</v>
      </c>
      <c r="D418" s="106" t="s">
        <v>5005</v>
      </c>
      <c r="E418" s="106" t="s">
        <v>1714</v>
      </c>
      <c r="F418" s="106" t="n">
        <v>47</v>
      </c>
      <c r="G418" s="106" t="s">
        <v>5058</v>
      </c>
      <c r="H418" s="106" t="n">
        <v>2</v>
      </c>
      <c r="I418" s="106" t="s">
        <v>5059</v>
      </c>
      <c r="J418" s="106" t="s">
        <v>5060</v>
      </c>
      <c r="K418" s="106" t="n">
        <v>151</v>
      </c>
      <c r="L418" s="106" t="n">
        <v>7.5</v>
      </c>
      <c r="M418" s="106" t="n">
        <v>9.81</v>
      </c>
      <c r="N418" s="106" t="n">
        <v>34.7</v>
      </c>
      <c r="O418" s="106" t="n">
        <v>1.97</v>
      </c>
      <c r="P418" s="106"/>
      <c r="Q418" s="106" t="s">
        <v>5061</v>
      </c>
      <c r="R418" s="106" t="s">
        <v>5062</v>
      </c>
      <c r="S418" s="106" t="s">
        <v>5063</v>
      </c>
      <c r="T418" s="106" t="s">
        <v>5064</v>
      </c>
      <c r="U418" s="106"/>
    </row>
    <row r="419" customFormat="false" ht="15" hidden="false" customHeight="false" outlineLevel="0" collapsed="false">
      <c r="A419" s="106" t="s">
        <v>5042</v>
      </c>
      <c r="B419" s="106" t="s">
        <v>4637</v>
      </c>
      <c r="C419" s="106" t="s">
        <v>4024</v>
      </c>
      <c r="D419" s="106" t="s">
        <v>1706</v>
      </c>
      <c r="E419" s="106" t="s">
        <v>5065</v>
      </c>
      <c r="F419" s="106" t="n">
        <v>14</v>
      </c>
      <c r="G419" s="106" t="s">
        <v>4009</v>
      </c>
      <c r="H419" s="106" t="n">
        <v>100</v>
      </c>
      <c r="I419" s="106" t="s">
        <v>5025</v>
      </c>
      <c r="J419" s="106" t="s">
        <v>5066</v>
      </c>
      <c r="K419" s="106" t="n">
        <v>40</v>
      </c>
      <c r="L419" s="106" t="n">
        <v>2.8</v>
      </c>
      <c r="M419" s="106" t="n">
        <v>11.54</v>
      </c>
      <c r="N419" s="106" t="n">
        <v>25.4</v>
      </c>
      <c r="O419" s="106" t="n">
        <v>1.67</v>
      </c>
      <c r="P419" s="106"/>
      <c r="Q419" s="106" t="s">
        <v>5067</v>
      </c>
      <c r="R419" s="106" t="s">
        <v>5068</v>
      </c>
      <c r="S419" s="106" t="s">
        <v>5068</v>
      </c>
      <c r="T419" s="106" t="s">
        <v>5069</v>
      </c>
      <c r="U419" s="106"/>
    </row>
    <row r="420" customFormat="false" ht="15" hidden="false" customHeight="false" outlineLevel="0" collapsed="false">
      <c r="A420" s="106" t="s">
        <v>5042</v>
      </c>
      <c r="B420" s="106" t="s">
        <v>4637</v>
      </c>
      <c r="C420" s="106" t="s">
        <v>4032</v>
      </c>
      <c r="D420" s="106" t="s">
        <v>1706</v>
      </c>
      <c r="E420" s="106" t="s">
        <v>4947</v>
      </c>
      <c r="F420" s="106" t="n">
        <v>28</v>
      </c>
      <c r="G420" s="106" t="s">
        <v>5070</v>
      </c>
      <c r="H420" s="106" t="n">
        <v>100</v>
      </c>
      <c r="I420" s="106" t="s">
        <v>5071</v>
      </c>
      <c r="J420" s="106" t="s">
        <v>5072</v>
      </c>
      <c r="K420" s="106" t="n">
        <v>54</v>
      </c>
      <c r="L420" s="106" t="n">
        <v>5.3</v>
      </c>
      <c r="M420" s="106" t="n">
        <v>13.52</v>
      </c>
      <c r="N420" s="106" t="n">
        <v>17.2</v>
      </c>
      <c r="O420" s="106" t="n">
        <v>1.36</v>
      </c>
      <c r="P420" s="106"/>
      <c r="Q420" s="106" t="s">
        <v>5073</v>
      </c>
      <c r="R420" s="106" t="s">
        <v>5074</v>
      </c>
      <c r="S420" s="106" t="s">
        <v>5074</v>
      </c>
      <c r="T420" s="106" t="s">
        <v>5075</v>
      </c>
      <c r="U420" s="106"/>
    </row>
    <row r="421" customFormat="false" ht="15" hidden="false" customHeight="false" outlineLevel="0" collapsed="false">
      <c r="A421" s="106" t="s">
        <v>5042</v>
      </c>
      <c r="B421" s="106" t="s">
        <v>4637</v>
      </c>
      <c r="C421" s="106" t="s">
        <v>4040</v>
      </c>
      <c r="D421" s="106" t="s">
        <v>5005</v>
      </c>
      <c r="E421" s="106" t="s">
        <v>1714</v>
      </c>
      <c r="F421" s="106" t="n">
        <v>47</v>
      </c>
      <c r="G421" s="106" t="s">
        <v>5076</v>
      </c>
      <c r="H421" s="106"/>
      <c r="I421" s="106" t="s">
        <v>5077</v>
      </c>
      <c r="J421" s="106" t="s">
        <v>5078</v>
      </c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</row>
    <row r="422" customFormat="false" ht="15" hidden="false" customHeight="false" outlineLevel="0" collapsed="false">
      <c r="A422" s="106" t="s">
        <v>5079</v>
      </c>
      <c r="B422" s="106" t="s">
        <v>4643</v>
      </c>
      <c r="C422" s="106" t="s">
        <v>3998</v>
      </c>
      <c r="D422" s="106" t="s">
        <v>3941</v>
      </c>
      <c r="E422" s="106" t="s">
        <v>4606</v>
      </c>
      <c r="F422" s="106" t="n">
        <v>28</v>
      </c>
      <c r="G422" s="106" t="s">
        <v>5080</v>
      </c>
      <c r="H422" s="106" t="n">
        <v>100</v>
      </c>
      <c r="I422" s="106" t="s">
        <v>5081</v>
      </c>
      <c r="J422" s="106" t="s">
        <v>5082</v>
      </c>
      <c r="K422" s="106" t="n">
        <v>144</v>
      </c>
      <c r="L422" s="106" t="n">
        <v>8.7</v>
      </c>
      <c r="M422" s="106" t="n">
        <v>12.37</v>
      </c>
      <c r="N422" s="106" t="n">
        <v>26.9</v>
      </c>
      <c r="O422" s="106" t="n">
        <v>2.05</v>
      </c>
      <c r="P422" s="106"/>
      <c r="Q422" s="106" t="s">
        <v>5083</v>
      </c>
      <c r="R422" s="106" t="s">
        <v>5084</v>
      </c>
      <c r="S422" s="106" t="s">
        <v>5075</v>
      </c>
      <c r="T422" s="106" t="s">
        <v>5085</v>
      </c>
      <c r="U422" s="106"/>
    </row>
    <row r="423" customFormat="false" ht="15" hidden="false" customHeight="false" outlineLevel="0" collapsed="false">
      <c r="A423" s="106" t="s">
        <v>5079</v>
      </c>
      <c r="B423" s="106" t="s">
        <v>4643</v>
      </c>
      <c r="C423" s="106" t="s">
        <v>4007</v>
      </c>
      <c r="D423" s="106" t="s">
        <v>1728</v>
      </c>
      <c r="E423" s="106" t="s">
        <v>4606</v>
      </c>
      <c r="F423" s="106" t="n">
        <v>14</v>
      </c>
      <c r="G423" s="106" t="s">
        <v>5086</v>
      </c>
      <c r="H423" s="106" t="n">
        <v>100</v>
      </c>
      <c r="I423" s="106" t="s">
        <v>4054</v>
      </c>
      <c r="J423" s="106" t="s">
        <v>5087</v>
      </c>
      <c r="K423" s="106" t="n">
        <v>168</v>
      </c>
      <c r="L423" s="106" t="n">
        <v>10.2</v>
      </c>
      <c r="M423" s="106" t="n">
        <v>12.78</v>
      </c>
      <c r="N423" s="106" t="n">
        <v>27.5</v>
      </c>
      <c r="O423" s="106" t="n">
        <v>2.1</v>
      </c>
      <c r="P423" s="106"/>
      <c r="Q423" s="106" t="s">
        <v>4014</v>
      </c>
      <c r="R423" s="106" t="s">
        <v>5088</v>
      </c>
      <c r="S423" s="106" t="s">
        <v>5089</v>
      </c>
      <c r="T423" s="106" t="s">
        <v>5057</v>
      </c>
      <c r="U423" s="106"/>
    </row>
    <row r="424" customFormat="false" ht="15" hidden="false" customHeight="false" outlineLevel="0" collapsed="false">
      <c r="A424" s="106" t="s">
        <v>5079</v>
      </c>
      <c r="B424" s="106" t="s">
        <v>4643</v>
      </c>
      <c r="C424" s="106" t="s">
        <v>4016</v>
      </c>
      <c r="D424" s="106" t="s">
        <v>5009</v>
      </c>
      <c r="E424" s="106" t="s">
        <v>1706</v>
      </c>
      <c r="F424" s="106" t="n">
        <v>40</v>
      </c>
      <c r="G424" s="106" t="s">
        <v>5090</v>
      </c>
      <c r="H424" s="106" t="n">
        <v>2</v>
      </c>
      <c r="I424" s="106" t="s">
        <v>5091</v>
      </c>
      <c r="J424" s="106" t="s">
        <v>5092</v>
      </c>
      <c r="K424" s="106" t="n">
        <v>148</v>
      </c>
      <c r="L424" s="106" t="n">
        <v>7</v>
      </c>
      <c r="M424" s="106" t="n">
        <v>9.14</v>
      </c>
      <c r="N424" s="106" t="n">
        <v>36.8</v>
      </c>
      <c r="O424" s="106" t="n">
        <v>1.93</v>
      </c>
      <c r="P424" s="106"/>
      <c r="Q424" s="106" t="s">
        <v>5093</v>
      </c>
      <c r="R424" s="106" t="s">
        <v>5094</v>
      </c>
      <c r="S424" s="106" t="s">
        <v>5095</v>
      </c>
      <c r="T424" s="106" t="s">
        <v>5096</v>
      </c>
      <c r="U424" s="106"/>
    </row>
    <row r="425" customFormat="false" ht="15" hidden="false" customHeight="false" outlineLevel="0" collapsed="false">
      <c r="A425" s="106" t="s">
        <v>5079</v>
      </c>
      <c r="B425" s="106" t="s">
        <v>4643</v>
      </c>
      <c r="C425" s="106" t="s">
        <v>4024</v>
      </c>
      <c r="D425" s="106" t="s">
        <v>1739</v>
      </c>
      <c r="E425" s="106" t="s">
        <v>5097</v>
      </c>
      <c r="F425" s="106" t="n">
        <v>14</v>
      </c>
      <c r="G425" s="106" t="s">
        <v>5098</v>
      </c>
      <c r="H425" s="106" t="n">
        <v>100</v>
      </c>
      <c r="I425" s="106" t="s">
        <v>4055</v>
      </c>
      <c r="J425" s="106" t="s">
        <v>5099</v>
      </c>
      <c r="K425" s="106" t="n">
        <v>42</v>
      </c>
      <c r="L425" s="106" t="n">
        <v>2.9</v>
      </c>
      <c r="M425" s="106" t="n">
        <v>11.4</v>
      </c>
      <c r="N425" s="106" t="n">
        <v>25.7</v>
      </c>
      <c r="O425" s="106" t="n">
        <v>1.67</v>
      </c>
      <c r="P425" s="106"/>
      <c r="Q425" s="106" t="s">
        <v>5100</v>
      </c>
      <c r="R425" s="106" t="s">
        <v>5068</v>
      </c>
      <c r="S425" s="106" t="s">
        <v>5068</v>
      </c>
      <c r="T425" s="106" t="s">
        <v>5055</v>
      </c>
      <c r="U425" s="106"/>
    </row>
    <row r="426" customFormat="false" ht="15" hidden="false" customHeight="false" outlineLevel="0" collapsed="false">
      <c r="A426" s="106" t="s">
        <v>5079</v>
      </c>
      <c r="B426" s="106" t="s">
        <v>4643</v>
      </c>
      <c r="C426" s="106" t="s">
        <v>4032</v>
      </c>
      <c r="D426" s="106" t="s">
        <v>1739</v>
      </c>
      <c r="E426" s="106" t="s">
        <v>5101</v>
      </c>
      <c r="F426" s="106" t="n">
        <v>28</v>
      </c>
      <c r="G426" s="106" t="s">
        <v>5070</v>
      </c>
      <c r="H426" s="106" t="n">
        <v>100</v>
      </c>
      <c r="I426" s="106" t="s">
        <v>5102</v>
      </c>
      <c r="J426" s="106" t="s">
        <v>5103</v>
      </c>
      <c r="K426" s="106" t="n">
        <v>56</v>
      </c>
      <c r="L426" s="106" t="n">
        <v>5.5</v>
      </c>
      <c r="M426" s="106" t="n">
        <v>13.09</v>
      </c>
      <c r="N426" s="106" t="n">
        <v>17.2</v>
      </c>
      <c r="O426" s="106" t="n">
        <v>1.34</v>
      </c>
      <c r="P426" s="106"/>
      <c r="Q426" s="106" t="s">
        <v>5104</v>
      </c>
      <c r="R426" s="106" t="s">
        <v>5074</v>
      </c>
      <c r="S426" s="106" t="s">
        <v>5074</v>
      </c>
      <c r="T426" s="106" t="s">
        <v>5075</v>
      </c>
      <c r="U426" s="106"/>
    </row>
    <row r="427" customFormat="false" ht="15" hidden="false" customHeight="false" outlineLevel="0" collapsed="false">
      <c r="A427" s="106" t="s">
        <v>5079</v>
      </c>
      <c r="B427" s="106" t="s">
        <v>4643</v>
      </c>
      <c r="C427" s="106" t="s">
        <v>4040</v>
      </c>
      <c r="D427" s="106" t="s">
        <v>5009</v>
      </c>
      <c r="E427" s="106" t="s">
        <v>1706</v>
      </c>
      <c r="F427" s="106" t="n">
        <v>40</v>
      </c>
      <c r="G427" s="106" t="s">
        <v>5105</v>
      </c>
      <c r="H427" s="106"/>
      <c r="I427" s="106" t="s">
        <v>5106</v>
      </c>
      <c r="J427" s="106" t="s">
        <v>5107</v>
      </c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</row>
    <row r="428" customFormat="false" ht="15" hidden="false" customHeight="false" outlineLevel="0" collapsed="false">
      <c r="A428" s="106" t="s">
        <v>5108</v>
      </c>
      <c r="B428" s="106" t="s">
        <v>4643</v>
      </c>
      <c r="C428" s="106" t="s">
        <v>3998</v>
      </c>
      <c r="D428" s="106" t="s">
        <v>4614</v>
      </c>
      <c r="E428" s="106" t="s">
        <v>1785</v>
      </c>
      <c r="F428" s="106" t="n">
        <v>28</v>
      </c>
      <c r="G428" s="106" t="s">
        <v>5109</v>
      </c>
      <c r="H428" s="106" t="n">
        <v>100</v>
      </c>
      <c r="I428" s="106" t="s">
        <v>3906</v>
      </c>
      <c r="J428" s="106" t="s">
        <v>5110</v>
      </c>
      <c r="K428" s="106" t="n">
        <v>253</v>
      </c>
      <c r="L428" s="106" t="n">
        <v>11.8</v>
      </c>
      <c r="M428" s="106" t="n">
        <v>9.48</v>
      </c>
      <c r="N428" s="106" t="n">
        <v>27.6</v>
      </c>
      <c r="O428" s="106" t="n">
        <v>2.03</v>
      </c>
      <c r="P428" s="106"/>
      <c r="Q428" s="106" t="s">
        <v>5111</v>
      </c>
      <c r="R428" s="106" t="s">
        <v>5083</v>
      </c>
      <c r="S428" s="106" t="s">
        <v>5112</v>
      </c>
      <c r="T428" s="106" t="s">
        <v>5113</v>
      </c>
      <c r="U428" s="106"/>
    </row>
    <row r="429" customFormat="false" ht="15" hidden="false" customHeight="false" outlineLevel="0" collapsed="false">
      <c r="A429" s="106" t="s">
        <v>5108</v>
      </c>
      <c r="B429" s="106" t="s">
        <v>4643</v>
      </c>
      <c r="C429" s="106" t="s">
        <v>4007</v>
      </c>
      <c r="D429" s="106" t="s">
        <v>5114</v>
      </c>
      <c r="E429" s="106" t="s">
        <v>1785</v>
      </c>
      <c r="F429" s="106" t="n">
        <v>14</v>
      </c>
      <c r="G429" s="106" t="s">
        <v>3900</v>
      </c>
      <c r="H429" s="106" t="n">
        <v>100</v>
      </c>
      <c r="I429" s="106" t="s">
        <v>5115</v>
      </c>
      <c r="J429" s="106" t="s">
        <v>5116</v>
      </c>
      <c r="K429" s="106" t="n">
        <v>202</v>
      </c>
      <c r="L429" s="106" t="n">
        <v>8.5</v>
      </c>
      <c r="M429" s="106" t="n">
        <v>8.32</v>
      </c>
      <c r="N429" s="106" t="n">
        <v>31.3</v>
      </c>
      <c r="O429" s="106" t="n">
        <v>1.97</v>
      </c>
      <c r="P429" s="106"/>
      <c r="Q429" s="106" t="s">
        <v>5054</v>
      </c>
      <c r="R429" s="106" t="s">
        <v>5117</v>
      </c>
      <c r="S429" s="106" t="s">
        <v>5055</v>
      </c>
      <c r="T429" s="106" t="s">
        <v>5118</v>
      </c>
      <c r="U429" s="106"/>
    </row>
    <row r="430" customFormat="false" ht="15" hidden="false" customHeight="false" outlineLevel="0" collapsed="false">
      <c r="A430" s="106" t="s">
        <v>5108</v>
      </c>
      <c r="B430" s="106" t="s">
        <v>4643</v>
      </c>
      <c r="C430" s="106" t="s">
        <v>4016</v>
      </c>
      <c r="D430" s="106" t="s">
        <v>5038</v>
      </c>
      <c r="E430" s="106" t="s">
        <v>4098</v>
      </c>
      <c r="F430" s="106" t="n">
        <v>9</v>
      </c>
      <c r="G430" s="106" t="s">
        <v>5102</v>
      </c>
      <c r="H430" s="106" t="n">
        <v>78</v>
      </c>
      <c r="I430" s="106" t="s">
        <v>5119</v>
      </c>
      <c r="J430" s="106" t="s">
        <v>5120</v>
      </c>
      <c r="K430" s="106" t="n">
        <v>203</v>
      </c>
      <c r="L430" s="106" t="n">
        <v>7</v>
      </c>
      <c r="M430" s="106" t="n">
        <v>6.5</v>
      </c>
      <c r="N430" s="106" t="n">
        <v>38.6</v>
      </c>
      <c r="O430" s="106" t="n">
        <v>1.89</v>
      </c>
      <c r="P430" s="106"/>
      <c r="Q430" s="106" t="s">
        <v>5121</v>
      </c>
      <c r="R430" s="106" t="s">
        <v>5122</v>
      </c>
      <c r="S430" s="106" t="s">
        <v>5123</v>
      </c>
      <c r="T430" s="106" t="s">
        <v>5124</v>
      </c>
      <c r="U430" s="106"/>
    </row>
    <row r="431" customFormat="false" ht="15" hidden="false" customHeight="false" outlineLevel="0" collapsed="false">
      <c r="A431" s="106" t="s">
        <v>5108</v>
      </c>
      <c r="B431" s="106" t="s">
        <v>4643</v>
      </c>
      <c r="C431" s="106" t="s">
        <v>4040</v>
      </c>
      <c r="D431" s="106" t="s">
        <v>5038</v>
      </c>
      <c r="E431" s="106" t="s">
        <v>4098</v>
      </c>
      <c r="F431" s="106" t="n">
        <v>9</v>
      </c>
      <c r="G431" s="106" t="s">
        <v>5125</v>
      </c>
      <c r="H431" s="106"/>
      <c r="I431" s="106" t="s">
        <v>5126</v>
      </c>
      <c r="J431" s="106" t="s">
        <v>5127</v>
      </c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</row>
    <row r="432" customFormat="false" ht="15" hidden="false" customHeight="false" outlineLevel="0" collapsed="false">
      <c r="A432" s="106" t="s">
        <v>5128</v>
      </c>
      <c r="B432" s="106" t="s">
        <v>5129</v>
      </c>
      <c r="C432" s="106" t="s">
        <v>3998</v>
      </c>
      <c r="D432" s="106" t="s">
        <v>5012</v>
      </c>
      <c r="E432" s="106" t="s">
        <v>5030</v>
      </c>
      <c r="F432" s="106" t="n">
        <v>28</v>
      </c>
      <c r="G432" s="106" t="s">
        <v>5130</v>
      </c>
      <c r="H432" s="106" t="n">
        <v>86</v>
      </c>
      <c r="I432" s="106" t="s">
        <v>5131</v>
      </c>
      <c r="J432" s="106" t="s">
        <v>5132</v>
      </c>
      <c r="K432" s="106" t="n">
        <v>143</v>
      </c>
      <c r="L432" s="106" t="n">
        <v>6.7</v>
      </c>
      <c r="M432" s="106" t="n">
        <v>8.66</v>
      </c>
      <c r="N432" s="106" t="n">
        <v>37.3</v>
      </c>
      <c r="O432" s="106" t="n">
        <v>1.84</v>
      </c>
      <c r="P432" s="106"/>
      <c r="Q432" s="106" t="s">
        <v>5133</v>
      </c>
      <c r="R432" s="106" t="s">
        <v>5073</v>
      </c>
      <c r="S432" s="106" t="s">
        <v>5134</v>
      </c>
      <c r="T432" s="106" t="s">
        <v>5135</v>
      </c>
      <c r="U432" s="106"/>
    </row>
    <row r="433" customFormat="false" ht="15" hidden="false" customHeight="false" outlineLevel="0" collapsed="false">
      <c r="A433" s="106" t="s">
        <v>5128</v>
      </c>
      <c r="B433" s="106" t="s">
        <v>5129</v>
      </c>
      <c r="C433" s="106" t="s">
        <v>4007</v>
      </c>
      <c r="D433" s="106" t="s">
        <v>5136</v>
      </c>
      <c r="E433" s="106" t="s">
        <v>5030</v>
      </c>
      <c r="F433" s="106" t="n">
        <v>14</v>
      </c>
      <c r="G433" s="106" t="s">
        <v>5137</v>
      </c>
      <c r="H433" s="106" t="n">
        <v>71</v>
      </c>
      <c r="I433" s="106" t="s">
        <v>4070</v>
      </c>
      <c r="J433" s="106" t="s">
        <v>5138</v>
      </c>
      <c r="K433" s="106" t="n">
        <v>151</v>
      </c>
      <c r="L433" s="106" t="n">
        <v>7.4</v>
      </c>
      <c r="M433" s="106" t="n">
        <v>8.02</v>
      </c>
      <c r="N433" s="106" t="n">
        <v>36.1</v>
      </c>
      <c r="O433" s="106" t="n">
        <v>1.63</v>
      </c>
      <c r="P433" s="106"/>
      <c r="Q433" s="106" t="s">
        <v>5089</v>
      </c>
      <c r="R433" s="106" t="s">
        <v>5139</v>
      </c>
      <c r="S433" s="106" t="s">
        <v>5140</v>
      </c>
      <c r="T433" s="106" t="s">
        <v>5141</v>
      </c>
      <c r="U433" s="106"/>
    </row>
    <row r="434" customFormat="false" ht="15" hidden="false" customHeight="false" outlineLevel="0" collapsed="false">
      <c r="A434" s="106" t="s">
        <v>5128</v>
      </c>
      <c r="B434" s="106" t="s">
        <v>5129</v>
      </c>
      <c r="C434" s="106" t="s">
        <v>4016</v>
      </c>
      <c r="D434" s="106" t="s">
        <v>5033</v>
      </c>
      <c r="E434" s="106" t="s">
        <v>4098</v>
      </c>
      <c r="F434" s="106" t="n">
        <v>92</v>
      </c>
      <c r="G434" s="106" t="s">
        <v>5142</v>
      </c>
      <c r="H434" s="106" t="n">
        <v>2</v>
      </c>
      <c r="I434" s="106" t="s">
        <v>5143</v>
      </c>
      <c r="J434" s="106" t="s">
        <v>5144</v>
      </c>
      <c r="K434" s="106" t="n">
        <v>180</v>
      </c>
      <c r="L434" s="106" t="n">
        <v>9.8</v>
      </c>
      <c r="M434" s="106" t="n">
        <v>10.44</v>
      </c>
      <c r="N434" s="106" t="n">
        <v>25.5</v>
      </c>
      <c r="O434" s="106" t="n">
        <v>1.93</v>
      </c>
      <c r="P434" s="106"/>
      <c r="Q434" s="106" t="s">
        <v>5145</v>
      </c>
      <c r="R434" s="106" t="s">
        <v>5146</v>
      </c>
      <c r="S434" s="106" t="s">
        <v>5147</v>
      </c>
      <c r="T434" s="106" t="s">
        <v>5148</v>
      </c>
      <c r="U434" s="106"/>
    </row>
    <row r="435" customFormat="false" ht="15" hidden="false" customHeight="false" outlineLevel="0" collapsed="false">
      <c r="A435" s="106" t="s">
        <v>5128</v>
      </c>
      <c r="B435" s="106" t="s">
        <v>5129</v>
      </c>
      <c r="C435" s="106" t="s">
        <v>4040</v>
      </c>
      <c r="D435" s="106" t="s">
        <v>5033</v>
      </c>
      <c r="E435" s="106" t="s">
        <v>4098</v>
      </c>
      <c r="F435" s="106" t="n">
        <v>92</v>
      </c>
      <c r="G435" s="106" t="s">
        <v>5149</v>
      </c>
      <c r="H435" s="106"/>
      <c r="I435" s="106" t="s">
        <v>5150</v>
      </c>
      <c r="J435" s="106" t="s">
        <v>5151</v>
      </c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</row>
    <row r="437" customFormat="false" ht="15" hidden="false" customHeight="false" outlineLevel="0" collapsed="false">
      <c r="A437" s="82" t="s">
        <v>5152</v>
      </c>
    </row>
    <row r="438" customFormat="false" ht="15" hidden="false" customHeight="false" outlineLevel="0" collapsed="false">
      <c r="A438" s="90" t="s">
        <v>4593</v>
      </c>
      <c r="B438" s="90" t="s">
        <v>4110</v>
      </c>
      <c r="C438" s="90" t="s">
        <v>4113</v>
      </c>
      <c r="D438" s="90" t="s">
        <v>5153</v>
      </c>
      <c r="E438" s="90" t="s">
        <v>4114</v>
      </c>
    </row>
    <row r="439" customFormat="false" ht="22.35" hidden="false" customHeight="false" outlineLevel="0" collapsed="false">
      <c r="A439" s="106" t="s">
        <v>5154</v>
      </c>
      <c r="B439" s="106" t="s">
        <v>5155</v>
      </c>
      <c r="C439" s="27" t="s">
        <v>5156</v>
      </c>
      <c r="D439" s="27" t="s">
        <v>5157</v>
      </c>
      <c r="E439" s="106" t="s">
        <v>5158</v>
      </c>
    </row>
    <row r="440" customFormat="false" ht="22.35" hidden="false" customHeight="false" outlineLevel="0" collapsed="false">
      <c r="A440" s="106" t="s">
        <v>5159</v>
      </c>
      <c r="B440" s="106" t="s">
        <v>5160</v>
      </c>
      <c r="C440" s="27" t="s">
        <v>5161</v>
      </c>
      <c r="D440" s="27" t="s">
        <v>5162</v>
      </c>
      <c r="E440" s="106" t="s">
        <v>5163</v>
      </c>
    </row>
    <row r="441" customFormat="false" ht="22.35" hidden="false" customHeight="false" outlineLevel="0" collapsed="false">
      <c r="A441" s="106" t="s">
        <v>5164</v>
      </c>
      <c r="B441" s="106" t="s">
        <v>5165</v>
      </c>
      <c r="C441" s="27" t="s">
        <v>5166</v>
      </c>
      <c r="D441" s="27" t="s">
        <v>5167</v>
      </c>
      <c r="E441" s="106" t="s">
        <v>5168</v>
      </c>
    </row>
    <row r="442" customFormat="false" ht="32.8" hidden="false" customHeight="false" outlineLevel="0" collapsed="false">
      <c r="A442" s="106" t="s">
        <v>5169</v>
      </c>
      <c r="B442" s="106" t="s">
        <v>5170</v>
      </c>
      <c r="C442" s="27" t="s">
        <v>5171</v>
      </c>
      <c r="D442" s="27" t="s">
        <v>5172</v>
      </c>
      <c r="E442" s="106" t="s">
        <v>5173</v>
      </c>
    </row>
    <row r="443" customFormat="false" ht="22.35" hidden="false" customHeight="false" outlineLevel="0" collapsed="false">
      <c r="A443" s="106" t="s">
        <v>5174</v>
      </c>
      <c r="B443" s="106" t="s">
        <v>5175</v>
      </c>
      <c r="C443" s="27" t="s">
        <v>5176</v>
      </c>
      <c r="D443" s="27" t="s">
        <v>5177</v>
      </c>
      <c r="E443" s="106" t="s">
        <v>5178</v>
      </c>
    </row>
    <row r="444" customFormat="false" ht="32.8" hidden="false" customHeight="false" outlineLevel="0" collapsed="false">
      <c r="A444" s="106" t="s">
        <v>5179</v>
      </c>
      <c r="B444" s="106" t="s">
        <v>5180</v>
      </c>
      <c r="C444" s="27" t="s">
        <v>5181</v>
      </c>
      <c r="D444" s="27" t="s">
        <v>5182</v>
      </c>
      <c r="E444" s="106" t="s">
        <v>5183</v>
      </c>
    </row>
    <row r="445" customFormat="false" ht="43.25" hidden="false" customHeight="false" outlineLevel="0" collapsed="false">
      <c r="A445" s="106" t="s">
        <v>5184</v>
      </c>
      <c r="B445" s="106" t="s">
        <v>5185</v>
      </c>
      <c r="C445" s="27" t="s">
        <v>5186</v>
      </c>
      <c r="D445" s="27" t="s">
        <v>5187</v>
      </c>
      <c r="E445" s="106" t="s">
        <v>5188</v>
      </c>
    </row>
    <row r="446" customFormat="false" ht="22.35" hidden="false" customHeight="false" outlineLevel="0" collapsed="false">
      <c r="A446" s="106" t="s">
        <v>5189</v>
      </c>
      <c r="B446" s="106" t="s">
        <v>5190</v>
      </c>
      <c r="C446" s="27" t="s">
        <v>5191</v>
      </c>
      <c r="D446" s="27" t="s">
        <v>5192</v>
      </c>
      <c r="E446" s="106" t="s">
        <v>5193</v>
      </c>
    </row>
    <row r="447" customFormat="false" ht="22.35" hidden="false" customHeight="false" outlineLevel="0" collapsed="false">
      <c r="A447" s="106" t="s">
        <v>5194</v>
      </c>
      <c r="B447" s="106" t="s">
        <v>5195</v>
      </c>
      <c r="C447" s="27" t="s">
        <v>5196</v>
      </c>
      <c r="D447" s="27" t="s">
        <v>5197</v>
      </c>
      <c r="E447" s="106" t="s">
        <v>5198</v>
      </c>
    </row>
    <row r="448" customFormat="false" ht="32.8" hidden="false" customHeight="false" outlineLevel="0" collapsed="false">
      <c r="A448" s="106" t="s">
        <v>5199</v>
      </c>
      <c r="B448" s="106" t="s">
        <v>5200</v>
      </c>
      <c r="C448" s="27" t="s">
        <v>5201</v>
      </c>
      <c r="D448" s="27" t="s">
        <v>5202</v>
      </c>
      <c r="E448" s="106" t="s">
        <v>5203</v>
      </c>
    </row>
    <row r="449" customFormat="false" ht="32.8" hidden="false" customHeight="false" outlineLevel="0" collapsed="false">
      <c r="A449" s="106" t="s">
        <v>5204</v>
      </c>
      <c r="B449" s="106" t="s">
        <v>5180</v>
      </c>
      <c r="C449" s="27" t="s">
        <v>5205</v>
      </c>
      <c r="D449" s="27" t="s">
        <v>5206</v>
      </c>
      <c r="E449" s="106" t="s">
        <v>5207</v>
      </c>
    </row>
    <row r="451" customFormat="false" ht="15" hidden="false" customHeight="false" outlineLevel="0" collapsed="false">
      <c r="A451" s="82" t="s">
        <v>5208</v>
      </c>
    </row>
    <row r="452" customFormat="false" ht="15" hidden="false" customHeight="false" outlineLevel="0" collapsed="false">
      <c r="A452" s="105" t="s">
        <v>5209</v>
      </c>
    </row>
    <row r="453" customFormat="false" ht="22.35" hidden="false" customHeight="false" outlineLevel="0" collapsed="false">
      <c r="A453" s="90" t="s">
        <v>3778</v>
      </c>
      <c r="B453" s="90" t="s">
        <v>4272</v>
      </c>
      <c r="C453" s="90" t="s">
        <v>5210</v>
      </c>
      <c r="D453" s="90" t="s">
        <v>5211</v>
      </c>
      <c r="E453" s="90" t="s">
        <v>3321</v>
      </c>
      <c r="F453" s="90" t="s">
        <v>3320</v>
      </c>
      <c r="G453" s="90" t="s">
        <v>4275</v>
      </c>
      <c r="H453" s="90" t="s">
        <v>3317</v>
      </c>
      <c r="I453" s="90" t="s">
        <v>3284</v>
      </c>
      <c r="J453" s="90" t="s">
        <v>4276</v>
      </c>
      <c r="K453" s="90" t="s">
        <v>3313</v>
      </c>
      <c r="L453" s="90" t="s">
        <v>3601</v>
      </c>
      <c r="M453" s="90" t="s">
        <v>4277</v>
      </c>
      <c r="N453" s="90" t="s">
        <v>5212</v>
      </c>
      <c r="O453" s="90" t="s">
        <v>5213</v>
      </c>
      <c r="P453" s="90" t="s">
        <v>5214</v>
      </c>
      <c r="Q453" s="90" t="s">
        <v>5215</v>
      </c>
      <c r="R453" s="90" t="s">
        <v>4279</v>
      </c>
    </row>
    <row r="454" customFormat="false" ht="15" hidden="false" customHeight="false" outlineLevel="0" collapsed="false">
      <c r="A454" s="106" t="s">
        <v>4552</v>
      </c>
      <c r="B454" s="106" t="s">
        <v>1403</v>
      </c>
      <c r="C454" s="106"/>
      <c r="D454" s="106" t="n">
        <v>924</v>
      </c>
      <c r="E454" s="107" t="n">
        <v>307708</v>
      </c>
      <c r="F454" s="106" t="n">
        <v>4146</v>
      </c>
      <c r="G454" s="118" t="n">
        <v>0.0135</v>
      </c>
      <c r="H454" s="116" t="n">
        <v>1.48</v>
      </c>
      <c r="I454" s="106" t="n">
        <v>913</v>
      </c>
      <c r="J454" s="117" t="n">
        <v>0.2202</v>
      </c>
      <c r="K454" s="108" t="n">
        <v>6139.18</v>
      </c>
      <c r="L454" s="108" t="n">
        <v>41672.67</v>
      </c>
      <c r="M454" s="117" t="n">
        <v>0.147</v>
      </c>
      <c r="N454" s="106"/>
      <c r="O454" s="106"/>
      <c r="P454" s="106"/>
      <c r="Q454" s="106"/>
      <c r="R454" s="106" t="s">
        <v>4285</v>
      </c>
    </row>
    <row r="455" customFormat="false" ht="15" hidden="false" customHeight="false" outlineLevel="0" collapsed="false">
      <c r="A455" s="106" t="s">
        <v>183</v>
      </c>
      <c r="B455" s="106" t="s">
        <v>4280</v>
      </c>
      <c r="C455" s="106" t="s">
        <v>4281</v>
      </c>
      <c r="D455" s="106" t="n">
        <v>30225</v>
      </c>
      <c r="E455" s="107" t="n">
        <v>169257</v>
      </c>
      <c r="F455" s="106" t="n">
        <v>2552</v>
      </c>
      <c r="G455" s="118" t="n">
        <v>0.0151</v>
      </c>
      <c r="H455" s="116" t="n">
        <v>2.24</v>
      </c>
      <c r="I455" s="106" t="n">
        <v>303</v>
      </c>
      <c r="J455" s="117" t="n">
        <v>0.1187</v>
      </c>
      <c r="K455" s="108" t="n">
        <v>5718.99</v>
      </c>
      <c r="L455" s="108" t="n">
        <v>19776.51</v>
      </c>
      <c r="M455" s="117" t="n">
        <v>0.289</v>
      </c>
      <c r="N455" s="106" t="n">
        <v>23</v>
      </c>
      <c r="O455" s="106" t="n">
        <v>2</v>
      </c>
      <c r="P455" s="106" t="s">
        <v>4625</v>
      </c>
      <c r="Q455" s="106" t="n">
        <v>45</v>
      </c>
      <c r="R455" s="106" t="s">
        <v>4285</v>
      </c>
    </row>
    <row r="456" customFormat="false" ht="15" hidden="false" customHeight="false" outlineLevel="0" collapsed="false">
      <c r="A456" s="106" t="s">
        <v>478</v>
      </c>
      <c r="B456" s="106" t="s">
        <v>4280</v>
      </c>
      <c r="C456" s="106" t="s">
        <v>4287</v>
      </c>
      <c r="D456" s="106" t="n">
        <v>6228</v>
      </c>
      <c r="E456" s="107" t="n">
        <v>340921</v>
      </c>
      <c r="F456" s="106" t="n">
        <v>2305</v>
      </c>
      <c r="G456" s="118" t="n">
        <v>0.0068</v>
      </c>
      <c r="H456" s="116" t="n">
        <v>2.49</v>
      </c>
      <c r="I456" s="106" t="n">
        <v>277</v>
      </c>
      <c r="J456" s="117" t="n">
        <v>0.1202</v>
      </c>
      <c r="K456" s="108" t="n">
        <v>5739.76</v>
      </c>
      <c r="L456" s="108" t="n">
        <v>16455.32</v>
      </c>
      <c r="M456" s="117" t="n">
        <v>0.349</v>
      </c>
      <c r="N456" s="106" t="n">
        <v>11</v>
      </c>
      <c r="O456" s="106" t="n">
        <v>2</v>
      </c>
      <c r="P456" s="106" t="s">
        <v>4623</v>
      </c>
      <c r="Q456" s="106" t="n">
        <v>21</v>
      </c>
      <c r="R456" s="106" t="s">
        <v>4291</v>
      </c>
    </row>
    <row r="457" customFormat="false" ht="15" hidden="false" customHeight="false" outlineLevel="0" collapsed="false">
      <c r="A457" s="106" t="s">
        <v>5216</v>
      </c>
      <c r="B457" s="106" t="s">
        <v>1403</v>
      </c>
      <c r="C457" s="106"/>
      <c r="D457" s="106" t="n">
        <v>682</v>
      </c>
      <c r="E457" s="107" t="n">
        <v>124189</v>
      </c>
      <c r="F457" s="106" t="n">
        <v>2070</v>
      </c>
      <c r="G457" s="118" t="n">
        <v>0.0167</v>
      </c>
      <c r="H457" s="116" t="n">
        <v>1.39</v>
      </c>
      <c r="I457" s="106" t="n">
        <v>323</v>
      </c>
      <c r="J457" s="117" t="n">
        <v>0.156</v>
      </c>
      <c r="K457" s="108" t="n">
        <v>2874.65</v>
      </c>
      <c r="L457" s="108" t="n">
        <v>20053.79</v>
      </c>
      <c r="M457" s="117" t="n">
        <v>0.143</v>
      </c>
      <c r="N457" s="106"/>
      <c r="O457" s="106"/>
      <c r="P457" s="106"/>
      <c r="Q457" s="106"/>
      <c r="R457" s="106" t="s">
        <v>4285</v>
      </c>
    </row>
    <row r="458" customFormat="false" ht="15" hidden="false" customHeight="false" outlineLevel="0" collapsed="false">
      <c r="A458" s="106" t="s">
        <v>580</v>
      </c>
      <c r="B458" s="106" t="s">
        <v>4280</v>
      </c>
      <c r="C458" s="106" t="s">
        <v>4301</v>
      </c>
      <c r="D458" s="106" t="n">
        <v>4967</v>
      </c>
      <c r="E458" s="107" t="n">
        <v>117767</v>
      </c>
      <c r="F458" s="106" t="n">
        <v>1029</v>
      </c>
      <c r="G458" s="118" t="n">
        <v>0.0087</v>
      </c>
      <c r="H458" s="116" t="n">
        <v>3.91</v>
      </c>
      <c r="I458" s="106" t="n">
        <v>163</v>
      </c>
      <c r="J458" s="117" t="n">
        <v>0.1584</v>
      </c>
      <c r="K458" s="108" t="n">
        <v>4023.11</v>
      </c>
      <c r="L458" s="108" t="n">
        <v>12083.33</v>
      </c>
      <c r="M458" s="117" t="n">
        <v>0.333</v>
      </c>
      <c r="N458" s="106" t="n">
        <v>13</v>
      </c>
      <c r="O458" s="106" t="n">
        <v>2</v>
      </c>
      <c r="P458" s="106" t="s">
        <v>4623</v>
      </c>
      <c r="Q458" s="106" t="n">
        <v>4</v>
      </c>
      <c r="R458" s="106" t="s">
        <v>4291</v>
      </c>
    </row>
    <row r="459" customFormat="false" ht="15" hidden="false" customHeight="false" outlineLevel="0" collapsed="false">
      <c r="A459" s="106" t="s">
        <v>559</v>
      </c>
      <c r="B459" s="106" t="s">
        <v>4280</v>
      </c>
      <c r="C459" s="106" t="s">
        <v>4301</v>
      </c>
      <c r="D459" s="106" t="n">
        <v>19413</v>
      </c>
      <c r="E459" s="107" t="n">
        <v>81032</v>
      </c>
      <c r="F459" s="106" t="n">
        <v>651</v>
      </c>
      <c r="G459" s="118" t="n">
        <v>0.008</v>
      </c>
      <c r="H459" s="116" t="n">
        <v>3.28</v>
      </c>
      <c r="I459" s="106" t="n">
        <v>72</v>
      </c>
      <c r="J459" s="117" t="n">
        <v>0.1106</v>
      </c>
      <c r="K459" s="108" t="n">
        <v>2134.37</v>
      </c>
      <c r="L459" s="108" t="n">
        <v>5728.74</v>
      </c>
      <c r="M459" s="117" t="n">
        <v>0.373</v>
      </c>
      <c r="N459" s="106" t="n">
        <v>13</v>
      </c>
      <c r="O459" s="106" t="n">
        <v>2</v>
      </c>
      <c r="P459" s="106" t="s">
        <v>4625</v>
      </c>
      <c r="Q459" s="106" t="n">
        <v>17</v>
      </c>
      <c r="R459" s="106" t="s">
        <v>4291</v>
      </c>
    </row>
    <row r="460" customFormat="false" ht="15" hidden="false" customHeight="false" outlineLevel="0" collapsed="false">
      <c r="A460" s="106" t="s">
        <v>718</v>
      </c>
      <c r="B460" s="106" t="s">
        <v>4280</v>
      </c>
      <c r="C460" s="106" t="s">
        <v>4290</v>
      </c>
      <c r="D460" s="106" t="n">
        <v>1305</v>
      </c>
      <c r="E460" s="107" t="n">
        <v>58405</v>
      </c>
      <c r="F460" s="106" t="n">
        <v>614</v>
      </c>
      <c r="G460" s="118" t="n">
        <v>0.0105</v>
      </c>
      <c r="H460" s="116" t="n">
        <v>1.7</v>
      </c>
      <c r="I460" s="106" t="n">
        <v>66</v>
      </c>
      <c r="J460" s="117" t="n">
        <v>0.1075</v>
      </c>
      <c r="K460" s="108" t="n">
        <v>1041.08</v>
      </c>
      <c r="L460" s="108" t="n">
        <v>3554.99</v>
      </c>
      <c r="M460" s="117" t="n">
        <v>0.293</v>
      </c>
      <c r="N460" s="106" t="n">
        <v>5</v>
      </c>
      <c r="O460" s="106" t="n">
        <v>2</v>
      </c>
      <c r="P460" s="106" t="s">
        <v>4623</v>
      </c>
      <c r="Q460" s="106" t="n">
        <v>9</v>
      </c>
      <c r="R460" s="106" t="s">
        <v>4285</v>
      </c>
    </row>
    <row r="461" customFormat="false" ht="15" hidden="false" customHeight="false" outlineLevel="0" collapsed="false">
      <c r="A461" s="106" t="s">
        <v>341</v>
      </c>
      <c r="B461" s="106" t="s">
        <v>4280</v>
      </c>
      <c r="C461" s="106" t="s">
        <v>4281</v>
      </c>
      <c r="D461" s="106" t="n">
        <v>924</v>
      </c>
      <c r="E461" s="107" t="n">
        <v>44222</v>
      </c>
      <c r="F461" s="106" t="n">
        <v>504</v>
      </c>
      <c r="G461" s="118" t="n">
        <v>0.0114</v>
      </c>
      <c r="H461" s="116" t="n">
        <v>1.4</v>
      </c>
      <c r="I461" s="106" t="n">
        <v>29</v>
      </c>
      <c r="J461" s="117" t="n">
        <v>0.0575</v>
      </c>
      <c r="K461" s="108" t="n">
        <v>705.93</v>
      </c>
      <c r="L461" s="108" t="n">
        <v>1828.63</v>
      </c>
      <c r="M461" s="117" t="n">
        <v>0.386</v>
      </c>
      <c r="N461" s="106" t="n">
        <v>20</v>
      </c>
      <c r="O461" s="106" t="n">
        <v>4</v>
      </c>
      <c r="P461" s="106" t="s">
        <v>4631</v>
      </c>
      <c r="Q461" s="106" t="n">
        <v>54</v>
      </c>
      <c r="R461" s="106" t="s">
        <v>4291</v>
      </c>
    </row>
    <row r="462" customFormat="false" ht="15" hidden="false" customHeight="false" outlineLevel="0" collapsed="false">
      <c r="A462" s="106" t="s">
        <v>370</v>
      </c>
      <c r="B462" s="106" t="s">
        <v>4280</v>
      </c>
      <c r="C462" s="106" t="s">
        <v>4288</v>
      </c>
      <c r="D462" s="106" t="n">
        <v>77377</v>
      </c>
      <c r="E462" s="107" t="n">
        <v>43272</v>
      </c>
      <c r="F462" s="106" t="n">
        <v>485</v>
      </c>
      <c r="G462" s="118" t="n">
        <v>0.0112</v>
      </c>
      <c r="H462" s="116" t="n">
        <v>2.01</v>
      </c>
      <c r="I462" s="106" t="n">
        <v>46</v>
      </c>
      <c r="J462" s="117" t="n">
        <v>0.0948</v>
      </c>
      <c r="K462" s="108" t="n">
        <v>972.58</v>
      </c>
      <c r="L462" s="108" t="n">
        <v>3298.46</v>
      </c>
      <c r="M462" s="117" t="n">
        <v>0.295</v>
      </c>
      <c r="N462" s="106" t="n">
        <v>11</v>
      </c>
      <c r="O462" s="106" t="n">
        <v>1</v>
      </c>
      <c r="P462" s="106" t="s">
        <v>4622</v>
      </c>
      <c r="Q462" s="106" t="n">
        <v>18</v>
      </c>
      <c r="R462" s="106" t="s">
        <v>4285</v>
      </c>
    </row>
    <row r="463" customFormat="false" ht="15" hidden="false" customHeight="false" outlineLevel="0" collapsed="false">
      <c r="A463" s="106" t="s">
        <v>421</v>
      </c>
      <c r="B463" s="106" t="s">
        <v>4280</v>
      </c>
      <c r="C463" s="106" t="s">
        <v>4364</v>
      </c>
      <c r="D463" s="106" t="n">
        <v>924</v>
      </c>
      <c r="E463" s="107" t="n">
        <v>8615</v>
      </c>
      <c r="F463" s="106" t="n">
        <v>324</v>
      </c>
      <c r="G463" s="118" t="n">
        <v>0.0376</v>
      </c>
      <c r="H463" s="116" t="n">
        <v>3.69</v>
      </c>
      <c r="I463" s="106" t="n">
        <v>54</v>
      </c>
      <c r="J463" s="117" t="n">
        <v>0.1667</v>
      </c>
      <c r="K463" s="108" t="n">
        <v>1196.48</v>
      </c>
      <c r="L463" s="108" t="n">
        <v>3934.45</v>
      </c>
      <c r="M463" s="117" t="n">
        <v>0.304</v>
      </c>
      <c r="N463" s="106" t="n">
        <v>6</v>
      </c>
      <c r="O463" s="106" t="n">
        <v>1</v>
      </c>
      <c r="P463" s="106" t="s">
        <v>4626</v>
      </c>
      <c r="Q463" s="106" t="n">
        <v>5</v>
      </c>
      <c r="R463" s="106" t="s">
        <v>4285</v>
      </c>
    </row>
    <row r="464" customFormat="false" ht="15" hidden="false" customHeight="false" outlineLevel="0" collapsed="false">
      <c r="A464" s="106" t="s">
        <v>5217</v>
      </c>
      <c r="B464" s="106" t="s">
        <v>1403</v>
      </c>
      <c r="C464" s="106"/>
      <c r="D464" s="106" t="n">
        <v>46</v>
      </c>
      <c r="E464" s="107" t="n">
        <v>6001</v>
      </c>
      <c r="F464" s="106" t="n">
        <v>303</v>
      </c>
      <c r="G464" s="118" t="n">
        <v>0.0505</v>
      </c>
      <c r="H464" s="116" t="n">
        <v>0.9</v>
      </c>
      <c r="I464" s="106" t="n">
        <v>38</v>
      </c>
      <c r="J464" s="117" t="n">
        <v>0.1254</v>
      </c>
      <c r="K464" s="108" t="n">
        <v>272.53</v>
      </c>
      <c r="L464" s="108" t="n">
        <v>2449.85</v>
      </c>
      <c r="M464" s="117" t="n">
        <v>0.111</v>
      </c>
      <c r="N464" s="106"/>
      <c r="O464" s="106"/>
      <c r="P464" s="106"/>
      <c r="Q464" s="106"/>
      <c r="R464" s="106" t="s">
        <v>4285</v>
      </c>
    </row>
    <row r="465" customFormat="false" ht="15" hidden="false" customHeight="false" outlineLevel="0" collapsed="false">
      <c r="A465" s="106" t="s">
        <v>1263</v>
      </c>
      <c r="B465" s="106" t="s">
        <v>4280</v>
      </c>
      <c r="C465" s="106" t="s">
        <v>4301</v>
      </c>
      <c r="D465" s="106" t="n">
        <v>3271</v>
      </c>
      <c r="E465" s="107" t="n">
        <v>22887</v>
      </c>
      <c r="F465" s="106" t="n">
        <v>300</v>
      </c>
      <c r="G465" s="118" t="n">
        <v>0.0131</v>
      </c>
      <c r="H465" s="116" t="n">
        <v>4.17</v>
      </c>
      <c r="I465" s="106" t="n">
        <v>27</v>
      </c>
      <c r="J465" s="117" t="n">
        <v>0.09</v>
      </c>
      <c r="K465" s="108" t="n">
        <v>1251.08</v>
      </c>
      <c r="L465" s="108" t="n">
        <v>2073.73</v>
      </c>
      <c r="M465" s="117" t="n">
        <v>0.603</v>
      </c>
      <c r="N465" s="106" t="n">
        <v>34</v>
      </c>
      <c r="O465" s="106" t="n">
        <v>5</v>
      </c>
      <c r="P465" s="106" t="s">
        <v>4622</v>
      </c>
      <c r="Q465" s="106" t="n">
        <v>17</v>
      </c>
      <c r="R465" s="106" t="s">
        <v>4289</v>
      </c>
    </row>
    <row r="466" customFormat="false" ht="15" hidden="false" customHeight="false" outlineLevel="0" collapsed="false">
      <c r="A466" s="106" t="s">
        <v>391</v>
      </c>
      <c r="B466" s="106" t="s">
        <v>4280</v>
      </c>
      <c r="C466" s="106" t="s">
        <v>4288</v>
      </c>
      <c r="D466" s="106" t="n">
        <v>12715</v>
      </c>
      <c r="E466" s="107" t="n">
        <v>15682</v>
      </c>
      <c r="F466" s="106" t="n">
        <v>259</v>
      </c>
      <c r="G466" s="118" t="n">
        <v>0.0165</v>
      </c>
      <c r="H466" s="116" t="n">
        <v>2.45</v>
      </c>
      <c r="I466" s="106" t="n">
        <v>20</v>
      </c>
      <c r="J466" s="117" t="n">
        <v>0.0772</v>
      </c>
      <c r="K466" s="108" t="n">
        <v>635.41</v>
      </c>
      <c r="L466" s="108" t="n">
        <v>1508.3</v>
      </c>
      <c r="M466" s="117" t="n">
        <v>0.421</v>
      </c>
      <c r="N466" s="106" t="n">
        <v>13</v>
      </c>
      <c r="O466" s="106" t="n">
        <v>1</v>
      </c>
      <c r="P466" s="106" t="s">
        <v>4625</v>
      </c>
      <c r="Q466" s="106" t="n">
        <v>18</v>
      </c>
      <c r="R466" s="106" t="s">
        <v>4291</v>
      </c>
    </row>
    <row r="467" customFormat="false" ht="15" hidden="false" customHeight="false" outlineLevel="0" collapsed="false">
      <c r="A467" s="106" t="s">
        <v>252</v>
      </c>
      <c r="B467" s="106" t="s">
        <v>4280</v>
      </c>
      <c r="C467" s="106" t="s">
        <v>4281</v>
      </c>
      <c r="D467" s="106" t="n">
        <v>2635</v>
      </c>
      <c r="E467" s="107" t="n">
        <v>26834</v>
      </c>
      <c r="F467" s="106" t="n">
        <v>234</v>
      </c>
      <c r="G467" s="118" t="n">
        <v>0.0087</v>
      </c>
      <c r="H467" s="116" t="n">
        <v>2.95</v>
      </c>
      <c r="I467" s="106" t="n">
        <v>26</v>
      </c>
      <c r="J467" s="117" t="n">
        <v>0.1111</v>
      </c>
      <c r="K467" s="108" t="n">
        <v>690.27</v>
      </c>
      <c r="L467" s="108" t="n">
        <v>1814.7</v>
      </c>
      <c r="M467" s="117" t="n">
        <v>0.38</v>
      </c>
      <c r="N467" s="106" t="n">
        <v>20</v>
      </c>
      <c r="O467" s="106" t="n">
        <v>4</v>
      </c>
      <c r="P467" s="106" t="s">
        <v>4622</v>
      </c>
      <c r="Q467" s="106" t="n">
        <v>15</v>
      </c>
      <c r="R467" s="106" t="s">
        <v>4291</v>
      </c>
    </row>
    <row r="468" customFormat="false" ht="15" hidden="false" customHeight="false" outlineLevel="0" collapsed="false">
      <c r="A468" s="106" t="s">
        <v>445</v>
      </c>
      <c r="B468" s="106" t="s">
        <v>4280</v>
      </c>
      <c r="C468" s="106" t="s">
        <v>4364</v>
      </c>
      <c r="D468" s="106" t="n">
        <v>672</v>
      </c>
      <c r="E468" s="107" t="n">
        <v>14214</v>
      </c>
      <c r="F468" s="106" t="n">
        <v>227</v>
      </c>
      <c r="G468" s="118" t="n">
        <v>0.016</v>
      </c>
      <c r="H468" s="116" t="n">
        <v>3.71</v>
      </c>
      <c r="I468" s="106" t="n">
        <v>39</v>
      </c>
      <c r="J468" s="117" t="n">
        <v>0.1718</v>
      </c>
      <c r="K468" s="108" t="n">
        <v>842.189999999999</v>
      </c>
      <c r="L468" s="108" t="n">
        <v>2831.6</v>
      </c>
      <c r="M468" s="117" t="n">
        <v>0.297</v>
      </c>
      <c r="N468" s="106" t="n">
        <v>10</v>
      </c>
      <c r="O468" s="106" t="n">
        <v>1</v>
      </c>
      <c r="P468" s="106" t="s">
        <v>4630</v>
      </c>
      <c r="Q468" s="106" t="n">
        <v>3</v>
      </c>
      <c r="R468" s="106" t="s">
        <v>4285</v>
      </c>
    </row>
    <row r="469" customFormat="false" ht="15" hidden="false" customHeight="false" outlineLevel="0" collapsed="false">
      <c r="A469" s="106" t="s">
        <v>1144</v>
      </c>
      <c r="B469" s="106" t="s">
        <v>4280</v>
      </c>
      <c r="C469" s="106" t="s">
        <v>4288</v>
      </c>
      <c r="D469" s="106" t="n">
        <v>1023</v>
      </c>
      <c r="E469" s="107" t="n">
        <v>9282</v>
      </c>
      <c r="F469" s="106" t="n">
        <v>211</v>
      </c>
      <c r="G469" s="118" t="n">
        <v>0.0227</v>
      </c>
      <c r="H469" s="116" t="n">
        <v>1.32</v>
      </c>
      <c r="I469" s="106" t="n">
        <v>11</v>
      </c>
      <c r="J469" s="117" t="n">
        <v>0.0521</v>
      </c>
      <c r="K469" s="108" t="n">
        <v>279.27</v>
      </c>
      <c r="L469" s="108" t="n">
        <v>747.89</v>
      </c>
      <c r="M469" s="117" t="n">
        <v>0.373</v>
      </c>
      <c r="N469" s="106" t="n">
        <v>23</v>
      </c>
      <c r="O469" s="106" t="n">
        <v>4</v>
      </c>
      <c r="P469" s="106" t="s">
        <v>4834</v>
      </c>
      <c r="Q469" s="106" t="n">
        <v>16</v>
      </c>
      <c r="R469" s="106" t="s">
        <v>4291</v>
      </c>
    </row>
    <row r="470" customFormat="false" ht="15" hidden="false" customHeight="false" outlineLevel="0" collapsed="false">
      <c r="A470" s="106" t="s">
        <v>4354</v>
      </c>
      <c r="B470" s="106" t="s">
        <v>4284</v>
      </c>
      <c r="C470" s="106"/>
      <c r="D470" s="106"/>
      <c r="E470" s="107" t="n">
        <v>2591</v>
      </c>
      <c r="F470" s="106" t="n">
        <v>182</v>
      </c>
      <c r="G470" s="118" t="n">
        <v>0.0702</v>
      </c>
      <c r="H470" s="116" t="n">
        <v>0.35</v>
      </c>
      <c r="I470" s="106" t="n">
        <v>2</v>
      </c>
      <c r="J470" s="117" t="n">
        <v>0.011</v>
      </c>
      <c r="K470" s="108" t="n">
        <v>64.5499999999999</v>
      </c>
      <c r="L470" s="108" t="n">
        <v>141.98</v>
      </c>
      <c r="M470" s="117" t="n">
        <v>0.455</v>
      </c>
      <c r="N470" s="106"/>
      <c r="O470" s="106"/>
      <c r="P470" s="106"/>
      <c r="Q470" s="106"/>
      <c r="R470" s="106" t="s">
        <v>4282</v>
      </c>
    </row>
    <row r="471" customFormat="false" ht="15" hidden="false" customHeight="false" outlineLevel="0" collapsed="false">
      <c r="A471" s="106" t="s">
        <v>695</v>
      </c>
      <c r="B471" s="106" t="s">
        <v>4280</v>
      </c>
      <c r="C471" s="106" t="s">
        <v>4290</v>
      </c>
      <c r="D471" s="106" t="n">
        <v>2976</v>
      </c>
      <c r="E471" s="107" t="n">
        <v>40277</v>
      </c>
      <c r="F471" s="106" t="n">
        <v>172</v>
      </c>
      <c r="G471" s="118" t="n">
        <v>0.0043</v>
      </c>
      <c r="H471" s="116" t="n">
        <v>1.71</v>
      </c>
      <c r="I471" s="106" t="n">
        <v>23</v>
      </c>
      <c r="J471" s="117" t="n">
        <v>0.1337</v>
      </c>
      <c r="K471" s="108" t="n">
        <v>293.71</v>
      </c>
      <c r="L471" s="108" t="n">
        <v>1392.64</v>
      </c>
      <c r="M471" s="117" t="n">
        <v>0.211</v>
      </c>
      <c r="N471" s="106" t="n">
        <v>4</v>
      </c>
      <c r="O471" s="106" t="n">
        <v>1</v>
      </c>
      <c r="P471" s="106" t="s">
        <v>4822</v>
      </c>
      <c r="Q471" s="106" t="n">
        <v>5</v>
      </c>
      <c r="R471" s="106" t="s">
        <v>4285</v>
      </c>
    </row>
    <row r="472" customFormat="false" ht="15" hidden="false" customHeight="false" outlineLevel="0" collapsed="false">
      <c r="A472" s="106" t="s">
        <v>529</v>
      </c>
      <c r="B472" s="106" t="s">
        <v>4280</v>
      </c>
      <c r="C472" s="106" t="s">
        <v>4287</v>
      </c>
      <c r="D472" s="106" t="n">
        <v>822</v>
      </c>
      <c r="E472" s="107" t="n">
        <v>13839</v>
      </c>
      <c r="F472" s="106" t="n">
        <v>155</v>
      </c>
      <c r="G472" s="118" t="n">
        <v>0.0112</v>
      </c>
      <c r="H472" s="116" t="n">
        <v>1.59</v>
      </c>
      <c r="I472" s="106" t="n">
        <v>17</v>
      </c>
      <c r="J472" s="117" t="n">
        <v>0.1097</v>
      </c>
      <c r="K472" s="108" t="n">
        <v>246.9</v>
      </c>
      <c r="L472" s="108" t="n">
        <v>948.79</v>
      </c>
      <c r="M472" s="117" t="n">
        <v>0.26</v>
      </c>
      <c r="N472" s="106" t="n">
        <v>13</v>
      </c>
      <c r="O472" s="106" t="n">
        <v>2</v>
      </c>
      <c r="P472" s="106" t="s">
        <v>4625</v>
      </c>
      <c r="Q472" s="106" t="n">
        <v>26</v>
      </c>
      <c r="R472" s="106" t="s">
        <v>4285</v>
      </c>
    </row>
    <row r="473" customFormat="false" ht="15" hidden="false" customHeight="false" outlineLevel="0" collapsed="false">
      <c r="A473" s="106" t="s">
        <v>513</v>
      </c>
      <c r="B473" s="106" t="s">
        <v>4280</v>
      </c>
      <c r="C473" s="106" t="s">
        <v>4287</v>
      </c>
      <c r="D473" s="106" t="n">
        <v>1216</v>
      </c>
      <c r="E473" s="107" t="n">
        <v>2764</v>
      </c>
      <c r="F473" s="106" t="n">
        <v>151</v>
      </c>
      <c r="G473" s="118" t="n">
        <v>0.0546</v>
      </c>
      <c r="H473" s="116" t="n">
        <v>3.12</v>
      </c>
      <c r="I473" s="106" t="n">
        <v>17</v>
      </c>
      <c r="J473" s="117" t="n">
        <v>0.1126</v>
      </c>
      <c r="K473" s="108" t="n">
        <v>471.61</v>
      </c>
      <c r="L473" s="108" t="n">
        <v>1042.83</v>
      </c>
      <c r="M473" s="117" t="n">
        <v>0.452</v>
      </c>
      <c r="N473" s="106" t="n">
        <v>10</v>
      </c>
      <c r="O473" s="106" t="n">
        <v>1</v>
      </c>
      <c r="P473" s="106" t="s">
        <v>4633</v>
      </c>
      <c r="Q473" s="106" t="n">
        <v>18</v>
      </c>
      <c r="R473" s="106" t="s">
        <v>4282</v>
      </c>
    </row>
    <row r="474" customFormat="false" ht="15" hidden="false" customHeight="false" outlineLevel="0" collapsed="false">
      <c r="A474" s="106" t="s">
        <v>303</v>
      </c>
      <c r="B474" s="106" t="s">
        <v>4280</v>
      </c>
      <c r="C474" s="106" t="s">
        <v>4281</v>
      </c>
      <c r="D474" s="106" t="n">
        <v>766</v>
      </c>
      <c r="E474" s="107" t="n">
        <v>2338</v>
      </c>
      <c r="F474" s="106" t="n">
        <v>120</v>
      </c>
      <c r="G474" s="118" t="n">
        <v>0.0513</v>
      </c>
      <c r="H474" s="116" t="n">
        <v>2.39</v>
      </c>
      <c r="I474" s="106" t="n">
        <v>18</v>
      </c>
      <c r="J474" s="117" t="n">
        <v>0.15</v>
      </c>
      <c r="K474" s="108" t="n">
        <v>286.63</v>
      </c>
      <c r="L474" s="108" t="n">
        <v>1254.81</v>
      </c>
      <c r="M474" s="117" t="n">
        <v>0.228</v>
      </c>
      <c r="N474" s="106" t="n">
        <v>19</v>
      </c>
      <c r="O474" s="106" t="n">
        <v>2</v>
      </c>
      <c r="P474" s="106" t="s">
        <v>4625</v>
      </c>
      <c r="Q474" s="106" t="n">
        <v>7</v>
      </c>
      <c r="R474" s="106" t="s">
        <v>4285</v>
      </c>
    </row>
    <row r="475" customFormat="false" ht="15" hidden="false" customHeight="false" outlineLevel="0" collapsed="false">
      <c r="A475" s="106" t="s">
        <v>640</v>
      </c>
      <c r="B475" s="106" t="s">
        <v>4280</v>
      </c>
      <c r="C475" s="106" t="s">
        <v>4301</v>
      </c>
      <c r="D475" s="106" t="n">
        <v>2630</v>
      </c>
      <c r="E475" s="107" t="n">
        <v>4646</v>
      </c>
      <c r="F475" s="106" t="n">
        <v>115</v>
      </c>
      <c r="G475" s="118" t="n">
        <v>0.0248</v>
      </c>
      <c r="H475" s="116" t="n">
        <v>3.27</v>
      </c>
      <c r="I475" s="106" t="n">
        <v>11</v>
      </c>
      <c r="J475" s="117" t="n">
        <v>0.0957</v>
      </c>
      <c r="K475" s="108" t="n">
        <v>376.43</v>
      </c>
      <c r="L475" s="108" t="n">
        <v>876.89</v>
      </c>
      <c r="M475" s="117" t="n">
        <v>0.429</v>
      </c>
      <c r="N475" s="106" t="n">
        <v>28</v>
      </c>
      <c r="O475" s="106" t="n">
        <v>4</v>
      </c>
      <c r="P475" s="106" t="s">
        <v>4633</v>
      </c>
      <c r="Q475" s="106" t="n">
        <v>22</v>
      </c>
      <c r="R475" s="106" t="s">
        <v>4291</v>
      </c>
    </row>
    <row r="476" customFormat="false" ht="15" hidden="false" customHeight="false" outlineLevel="0" collapsed="false">
      <c r="A476" s="106" t="s">
        <v>5218</v>
      </c>
      <c r="B476" s="106" t="s">
        <v>4280</v>
      </c>
      <c r="C476" s="106"/>
      <c r="D476" s="106" t="n">
        <v>70</v>
      </c>
      <c r="E476" s="107" t="n">
        <v>2411</v>
      </c>
      <c r="F476" s="106" t="n">
        <v>113</v>
      </c>
      <c r="G476" s="118" t="n">
        <v>0.0469</v>
      </c>
      <c r="H476" s="116" t="n">
        <v>2.43</v>
      </c>
      <c r="I476" s="106" t="n">
        <v>11</v>
      </c>
      <c r="J476" s="117" t="n">
        <v>0.0973</v>
      </c>
      <c r="K476" s="108" t="n">
        <v>274.47</v>
      </c>
      <c r="L476" s="108" t="n">
        <v>732.89</v>
      </c>
      <c r="M476" s="117" t="n">
        <v>0.375</v>
      </c>
      <c r="N476" s="106"/>
      <c r="O476" s="106"/>
      <c r="P476" s="106"/>
      <c r="Q476" s="106"/>
      <c r="R476" s="106" t="s">
        <v>4291</v>
      </c>
    </row>
    <row r="477" customFormat="false" ht="15" hidden="false" customHeight="false" outlineLevel="0" collapsed="false">
      <c r="A477" s="106" t="s">
        <v>499</v>
      </c>
      <c r="B477" s="106" t="s">
        <v>4280</v>
      </c>
      <c r="C477" s="106" t="s">
        <v>4287</v>
      </c>
      <c r="D477" s="106" t="n">
        <v>1959</v>
      </c>
      <c r="E477" s="107" t="n">
        <v>29471</v>
      </c>
      <c r="F477" s="106" t="n">
        <v>112</v>
      </c>
      <c r="G477" s="118" t="n">
        <v>0.0038</v>
      </c>
      <c r="H477" s="116" t="n">
        <v>1.45</v>
      </c>
      <c r="I477" s="106" t="n">
        <v>10</v>
      </c>
      <c r="J477" s="117" t="n">
        <v>0.0893</v>
      </c>
      <c r="K477" s="108" t="n">
        <v>161.99</v>
      </c>
      <c r="L477" s="108" t="n">
        <v>596.55</v>
      </c>
      <c r="M477" s="117" t="n">
        <v>0.272</v>
      </c>
      <c r="N477" s="106" t="n">
        <v>20</v>
      </c>
      <c r="O477" s="106" t="n">
        <v>5</v>
      </c>
      <c r="P477" s="106" t="s">
        <v>4815</v>
      </c>
      <c r="Q477" s="106" t="n">
        <v>33</v>
      </c>
      <c r="R477" s="106" t="s">
        <v>4285</v>
      </c>
    </row>
    <row r="478" customFormat="false" ht="15" hidden="false" customHeight="false" outlineLevel="0" collapsed="false">
      <c r="A478" s="106" t="s">
        <v>943</v>
      </c>
      <c r="B478" s="106" t="s">
        <v>4280</v>
      </c>
      <c r="C478" s="106" t="s">
        <v>4288</v>
      </c>
      <c r="D478" s="106" t="n">
        <v>822</v>
      </c>
      <c r="E478" s="107" t="n">
        <v>7781</v>
      </c>
      <c r="F478" s="106" t="n">
        <v>103</v>
      </c>
      <c r="G478" s="118" t="n">
        <v>0.0132</v>
      </c>
      <c r="H478" s="116" t="n">
        <v>2.34</v>
      </c>
      <c r="I478" s="106" t="n">
        <v>8</v>
      </c>
      <c r="J478" s="117" t="n">
        <v>0.0777</v>
      </c>
      <c r="K478" s="108" t="n">
        <v>241.49</v>
      </c>
      <c r="L478" s="108" t="n">
        <v>644.92</v>
      </c>
      <c r="M478" s="117" t="n">
        <v>0.374</v>
      </c>
      <c r="N478" s="106" t="n">
        <v>15</v>
      </c>
      <c r="O478" s="106" t="n">
        <v>2</v>
      </c>
      <c r="P478" s="106" t="s">
        <v>4633</v>
      </c>
      <c r="Q478" s="106" t="n">
        <v>4</v>
      </c>
      <c r="R478" s="106" t="s">
        <v>4291</v>
      </c>
    </row>
    <row r="479" customFormat="false" ht="15" hidden="false" customHeight="false" outlineLevel="0" collapsed="false">
      <c r="A479" s="106" t="s">
        <v>5219</v>
      </c>
      <c r="B479" s="106" t="s">
        <v>1403</v>
      </c>
      <c r="C479" s="106"/>
      <c r="D479" s="106" t="n">
        <v>41</v>
      </c>
      <c r="E479" s="107" t="n">
        <v>1374</v>
      </c>
      <c r="F479" s="106" t="n">
        <v>101</v>
      </c>
      <c r="G479" s="118" t="n">
        <v>0.0735</v>
      </c>
      <c r="H479" s="116" t="n">
        <v>1.28</v>
      </c>
      <c r="I479" s="106" t="n">
        <v>46</v>
      </c>
      <c r="J479" s="117" t="n">
        <v>0.4554</v>
      </c>
      <c r="K479" s="108" t="n">
        <v>129.45</v>
      </c>
      <c r="L479" s="108" t="n">
        <v>1438.47</v>
      </c>
      <c r="M479" s="117" t="n">
        <v>0.09</v>
      </c>
      <c r="N479" s="106"/>
      <c r="O479" s="106"/>
      <c r="P479" s="106"/>
      <c r="Q479" s="106"/>
      <c r="R479" s="106" t="s">
        <v>4285</v>
      </c>
    </row>
    <row r="480" customFormat="false" ht="15" hidden="false" customHeight="false" outlineLevel="0" collapsed="false">
      <c r="A480" s="106" t="s">
        <v>5220</v>
      </c>
      <c r="B480" s="106" t="s">
        <v>1403</v>
      </c>
      <c r="C480" s="106"/>
      <c r="D480" s="106" t="n">
        <v>534</v>
      </c>
      <c r="E480" s="107" t="n">
        <v>1137</v>
      </c>
      <c r="F480" s="106" t="n">
        <v>99</v>
      </c>
      <c r="G480" s="118" t="n">
        <v>0.0871</v>
      </c>
      <c r="H480" s="116" t="n">
        <v>0.38</v>
      </c>
      <c r="I480" s="106" t="n">
        <v>1</v>
      </c>
      <c r="J480" s="117" t="n">
        <v>0.0101</v>
      </c>
      <c r="K480" s="108" t="n">
        <v>37.75</v>
      </c>
      <c r="L480" s="108" t="n">
        <v>84.99</v>
      </c>
      <c r="M480" s="117" t="n">
        <v>0.444</v>
      </c>
      <c r="N480" s="106"/>
      <c r="O480" s="106"/>
      <c r="P480" s="106"/>
      <c r="Q480" s="106"/>
      <c r="R480" s="106" t="s">
        <v>4291</v>
      </c>
    </row>
    <row r="481" customFormat="false" ht="15" hidden="false" customHeight="false" outlineLevel="0" collapsed="false">
      <c r="A481" s="106" t="s">
        <v>1197</v>
      </c>
      <c r="B481" s="106" t="s">
        <v>4280</v>
      </c>
      <c r="C481" s="106" t="s">
        <v>4301</v>
      </c>
      <c r="D481" s="106" t="n">
        <v>402</v>
      </c>
      <c r="E481" s="107" t="n">
        <v>2480</v>
      </c>
      <c r="F481" s="106" t="n">
        <v>92</v>
      </c>
      <c r="G481" s="118" t="n">
        <v>0.0371</v>
      </c>
      <c r="H481" s="116" t="n">
        <v>3.46</v>
      </c>
      <c r="I481" s="106" t="n">
        <v>16</v>
      </c>
      <c r="J481" s="117" t="n">
        <v>0.1739</v>
      </c>
      <c r="K481" s="108" t="n">
        <v>318.01</v>
      </c>
      <c r="L481" s="108" t="n">
        <v>1169.34</v>
      </c>
      <c r="M481" s="117" t="n">
        <v>0.272</v>
      </c>
      <c r="N481" s="106"/>
      <c r="O481" s="106"/>
      <c r="P481" s="106"/>
      <c r="Q481" s="106"/>
      <c r="R481" s="106" t="s">
        <v>4285</v>
      </c>
    </row>
    <row r="482" customFormat="false" ht="15" hidden="false" customHeight="false" outlineLevel="0" collapsed="false">
      <c r="A482" s="106" t="s">
        <v>5221</v>
      </c>
      <c r="B482" s="106" t="s">
        <v>1403</v>
      </c>
      <c r="C482" s="106"/>
      <c r="D482" s="106" t="n">
        <v>47</v>
      </c>
      <c r="E482" s="107" t="n">
        <v>2452</v>
      </c>
      <c r="F482" s="106" t="n">
        <v>87</v>
      </c>
      <c r="G482" s="118" t="n">
        <v>0.0355</v>
      </c>
      <c r="H482" s="116" t="n">
        <v>1.46</v>
      </c>
      <c r="I482" s="106" t="n">
        <v>19</v>
      </c>
      <c r="J482" s="117" t="n">
        <v>0.2184</v>
      </c>
      <c r="K482" s="108" t="n">
        <v>127.28</v>
      </c>
      <c r="L482" s="108" t="n">
        <v>1120.74</v>
      </c>
      <c r="M482" s="117" t="n">
        <v>0.114</v>
      </c>
      <c r="N482" s="106"/>
      <c r="O482" s="106"/>
      <c r="P482" s="106"/>
      <c r="Q482" s="106"/>
      <c r="R482" s="106" t="s">
        <v>4285</v>
      </c>
    </row>
    <row r="483" customFormat="false" ht="15" hidden="false" customHeight="false" outlineLevel="0" collapsed="false">
      <c r="A483" s="106" t="s">
        <v>3815</v>
      </c>
      <c r="B483" s="106" t="s">
        <v>4280</v>
      </c>
      <c r="C483" s="106" t="s">
        <v>4281</v>
      </c>
      <c r="D483" s="106" t="n">
        <v>2976</v>
      </c>
      <c r="E483" s="107" t="n">
        <v>14580</v>
      </c>
      <c r="F483" s="106" t="n">
        <v>86</v>
      </c>
      <c r="G483" s="118" t="n">
        <v>0.0059</v>
      </c>
      <c r="H483" s="116" t="n">
        <v>1.96</v>
      </c>
      <c r="I483" s="106" t="n">
        <v>4</v>
      </c>
      <c r="J483" s="117" t="n">
        <v>0.0465</v>
      </c>
      <c r="K483" s="108" t="n">
        <v>168.66</v>
      </c>
      <c r="L483" s="108" t="n">
        <v>296.21</v>
      </c>
      <c r="M483" s="117" t="n">
        <v>0.569</v>
      </c>
      <c r="N483" s="106" t="n">
        <v>9</v>
      </c>
      <c r="O483" s="106" t="n">
        <v>1</v>
      </c>
      <c r="P483" s="106" t="s">
        <v>4624</v>
      </c>
      <c r="Q483" s="106" t="n">
        <v>9</v>
      </c>
      <c r="R483" s="106" t="s">
        <v>4282</v>
      </c>
    </row>
    <row r="484" customFormat="false" ht="15" hidden="false" customHeight="false" outlineLevel="0" collapsed="false">
      <c r="A484" s="106" t="s">
        <v>3867</v>
      </c>
      <c r="B484" s="106" t="s">
        <v>4280</v>
      </c>
      <c r="C484" s="106" t="s">
        <v>4288</v>
      </c>
      <c r="D484" s="106" t="n">
        <v>901</v>
      </c>
      <c r="E484" s="107" t="n">
        <v>6746</v>
      </c>
      <c r="F484" s="106" t="n">
        <v>80</v>
      </c>
      <c r="G484" s="118" t="n">
        <v>0.0119</v>
      </c>
      <c r="H484" s="116" t="n">
        <v>1.96</v>
      </c>
      <c r="I484" s="106" t="n">
        <v>1</v>
      </c>
      <c r="J484" s="117" t="n">
        <v>0.0125</v>
      </c>
      <c r="K484" s="108" t="n">
        <v>156.48</v>
      </c>
      <c r="L484" s="108" t="n">
        <v>54.99</v>
      </c>
      <c r="M484" s="117" t="n">
        <v>2.846</v>
      </c>
      <c r="N484" s="106" t="n">
        <v>19</v>
      </c>
      <c r="O484" s="106" t="n">
        <v>2</v>
      </c>
      <c r="P484" s="106" t="s">
        <v>4623</v>
      </c>
      <c r="Q484" s="106" t="n">
        <v>13</v>
      </c>
      <c r="R484" s="106" t="s">
        <v>4289</v>
      </c>
    </row>
    <row r="485" customFormat="false" ht="15" hidden="false" customHeight="false" outlineLevel="0" collapsed="false">
      <c r="A485" s="106" t="s">
        <v>234</v>
      </c>
      <c r="B485" s="106" t="s">
        <v>4280</v>
      </c>
      <c r="C485" s="106" t="s">
        <v>4281</v>
      </c>
      <c r="D485" s="106" t="n">
        <v>4728</v>
      </c>
      <c r="E485" s="107" t="n">
        <v>9876</v>
      </c>
      <c r="F485" s="106" t="n">
        <v>78</v>
      </c>
      <c r="G485" s="118" t="n">
        <v>0.0079</v>
      </c>
      <c r="H485" s="116" t="n">
        <v>2.38</v>
      </c>
      <c r="I485" s="106" t="n">
        <v>10</v>
      </c>
      <c r="J485" s="117" t="n">
        <v>0.1282</v>
      </c>
      <c r="K485" s="108" t="n">
        <v>185.26</v>
      </c>
      <c r="L485" s="108" t="n">
        <v>804.9</v>
      </c>
      <c r="M485" s="117" t="n">
        <v>0.23</v>
      </c>
      <c r="N485" s="106" t="n">
        <v>29</v>
      </c>
      <c r="O485" s="106" t="n">
        <v>3</v>
      </c>
      <c r="P485" s="106" t="s">
        <v>4625</v>
      </c>
      <c r="Q485" s="106" t="n">
        <v>13</v>
      </c>
      <c r="R485" s="106" t="s">
        <v>4285</v>
      </c>
    </row>
    <row r="486" customFormat="false" ht="15" hidden="false" customHeight="false" outlineLevel="0" collapsed="false">
      <c r="A486" s="106" t="s">
        <v>320</v>
      </c>
      <c r="B486" s="106" t="s">
        <v>4280</v>
      </c>
      <c r="C486" s="106" t="s">
        <v>4288</v>
      </c>
      <c r="D486" s="106" t="n">
        <v>1961</v>
      </c>
      <c r="E486" s="107" t="n">
        <v>1974</v>
      </c>
      <c r="F486" s="106" t="n">
        <v>71</v>
      </c>
      <c r="G486" s="118" t="n">
        <v>0.036</v>
      </c>
      <c r="H486" s="116" t="n">
        <v>2.81</v>
      </c>
      <c r="I486" s="106" t="n">
        <v>7</v>
      </c>
      <c r="J486" s="117" t="n">
        <v>0.0986</v>
      </c>
      <c r="K486" s="108" t="n">
        <v>199.69</v>
      </c>
      <c r="L486" s="108" t="n">
        <v>564.93</v>
      </c>
      <c r="M486" s="117" t="n">
        <v>0.353</v>
      </c>
      <c r="N486" s="106" t="n">
        <v>14</v>
      </c>
      <c r="O486" s="106" t="n">
        <v>2</v>
      </c>
      <c r="P486" s="106" t="s">
        <v>4622</v>
      </c>
      <c r="Q486" s="106" t="n">
        <v>13</v>
      </c>
      <c r="R486" s="106" t="s">
        <v>4291</v>
      </c>
    </row>
    <row r="487" customFormat="false" ht="15" hidden="false" customHeight="false" outlineLevel="0" collapsed="false">
      <c r="A487" s="106" t="s">
        <v>655</v>
      </c>
      <c r="B487" s="106" t="s">
        <v>4280</v>
      </c>
      <c r="C487" s="106" t="s">
        <v>4301</v>
      </c>
      <c r="D487" s="106" t="n">
        <v>1961</v>
      </c>
      <c r="E487" s="107" t="n">
        <v>8637</v>
      </c>
      <c r="F487" s="106" t="n">
        <v>69</v>
      </c>
      <c r="G487" s="118" t="n">
        <v>0.008</v>
      </c>
      <c r="H487" s="116" t="n">
        <v>3.39</v>
      </c>
      <c r="I487" s="106" t="n">
        <v>10</v>
      </c>
      <c r="J487" s="117" t="n">
        <v>0.1449</v>
      </c>
      <c r="K487" s="108" t="n">
        <v>233.93</v>
      </c>
      <c r="L487" s="108" t="n">
        <v>829.9</v>
      </c>
      <c r="M487" s="117" t="n">
        <v>0.282</v>
      </c>
      <c r="N487" s="106" t="n">
        <v>47</v>
      </c>
      <c r="O487" s="106" t="n">
        <v>2</v>
      </c>
      <c r="P487" s="106" t="s">
        <v>4815</v>
      </c>
      <c r="Q487" s="106" t="n">
        <v>16</v>
      </c>
      <c r="R487" s="106" t="s">
        <v>4285</v>
      </c>
    </row>
    <row r="488" customFormat="false" ht="15" hidden="false" customHeight="false" outlineLevel="0" collapsed="false">
      <c r="A488" s="106" t="s">
        <v>5222</v>
      </c>
      <c r="B488" s="106" t="s">
        <v>1403</v>
      </c>
      <c r="C488" s="106"/>
      <c r="D488" s="106" t="n">
        <v>5</v>
      </c>
      <c r="E488" s="107" t="n">
        <v>756</v>
      </c>
      <c r="F488" s="106" t="n">
        <v>67</v>
      </c>
      <c r="G488" s="118" t="n">
        <v>0.0886</v>
      </c>
      <c r="H488" s="116" t="n">
        <v>0.71</v>
      </c>
      <c r="I488" s="106" t="n">
        <v>2</v>
      </c>
      <c r="J488" s="117" t="n">
        <v>0.0299</v>
      </c>
      <c r="K488" s="108" t="n">
        <v>47.87</v>
      </c>
      <c r="L488" s="108" t="n">
        <v>124.98</v>
      </c>
      <c r="M488" s="117" t="n">
        <v>0.383</v>
      </c>
      <c r="N488" s="106"/>
      <c r="O488" s="106"/>
      <c r="P488" s="106"/>
      <c r="Q488" s="106"/>
      <c r="R488" s="106" t="s">
        <v>4291</v>
      </c>
    </row>
    <row r="489" customFormat="false" ht="15" hidden="false" customHeight="false" outlineLevel="0" collapsed="false">
      <c r="A489" s="106" t="s">
        <v>627</v>
      </c>
      <c r="B489" s="106" t="s">
        <v>4280</v>
      </c>
      <c r="C489" s="106" t="s">
        <v>4301</v>
      </c>
      <c r="D489" s="106" t="n">
        <v>2637</v>
      </c>
      <c r="E489" s="107" t="n">
        <v>2197</v>
      </c>
      <c r="F489" s="106" t="n">
        <v>66</v>
      </c>
      <c r="G489" s="118" t="n">
        <v>0.03</v>
      </c>
      <c r="H489" s="116" t="n">
        <v>3.62</v>
      </c>
      <c r="I489" s="106" t="n">
        <v>6</v>
      </c>
      <c r="J489" s="117" t="n">
        <v>0.0909</v>
      </c>
      <c r="K489" s="108" t="n">
        <v>239.17</v>
      </c>
      <c r="L489" s="108" t="n">
        <v>464.94</v>
      </c>
      <c r="M489" s="117" t="n">
        <v>0.514</v>
      </c>
      <c r="N489" s="106" t="n">
        <v>26</v>
      </c>
      <c r="O489" s="106" t="n">
        <v>5</v>
      </c>
      <c r="P489" s="106" t="s">
        <v>4622</v>
      </c>
      <c r="Q489" s="106" t="n">
        <v>17</v>
      </c>
      <c r="R489" s="106" t="s">
        <v>4282</v>
      </c>
    </row>
    <row r="490" customFormat="false" ht="15" hidden="false" customHeight="false" outlineLevel="0" collapsed="false">
      <c r="A490" s="106" t="s">
        <v>1228</v>
      </c>
      <c r="B490" s="106" t="s">
        <v>4280</v>
      </c>
      <c r="C490" s="106" t="s">
        <v>4287</v>
      </c>
      <c r="D490" s="106" t="n">
        <v>924</v>
      </c>
      <c r="E490" s="107" t="n">
        <v>1355</v>
      </c>
      <c r="F490" s="106" t="n">
        <v>65</v>
      </c>
      <c r="G490" s="118" t="n">
        <v>0.048</v>
      </c>
      <c r="H490" s="116" t="n">
        <v>2.13</v>
      </c>
      <c r="I490" s="106" t="n">
        <v>4</v>
      </c>
      <c r="J490" s="117" t="n">
        <v>0.0615</v>
      </c>
      <c r="K490" s="108" t="n">
        <v>138.34</v>
      </c>
      <c r="L490" s="108" t="n">
        <v>249.96</v>
      </c>
      <c r="M490" s="117" t="n">
        <v>0.553</v>
      </c>
      <c r="N490" s="106" t="n">
        <v>10</v>
      </c>
      <c r="O490" s="106" t="n">
        <v>3</v>
      </c>
      <c r="P490" s="106" t="s">
        <v>4815</v>
      </c>
      <c r="Q490" s="106" t="n">
        <v>11</v>
      </c>
      <c r="R490" s="106" t="s">
        <v>4282</v>
      </c>
    </row>
    <row r="491" customFormat="false" ht="15" hidden="false" customHeight="false" outlineLevel="0" collapsed="false">
      <c r="A491" s="106" t="s">
        <v>5223</v>
      </c>
      <c r="B491" s="106" t="s">
        <v>4284</v>
      </c>
      <c r="C491" s="106"/>
      <c r="D491" s="106"/>
      <c r="E491" s="107" t="n">
        <v>6328</v>
      </c>
      <c r="F491" s="106" t="n">
        <v>65</v>
      </c>
      <c r="G491" s="118" t="n">
        <v>0.0103</v>
      </c>
      <c r="H491" s="116" t="n">
        <v>2.09</v>
      </c>
      <c r="I491" s="106" t="n">
        <v>5</v>
      </c>
      <c r="J491" s="117" t="n">
        <v>0.0769</v>
      </c>
      <c r="K491" s="108" t="n">
        <v>136</v>
      </c>
      <c r="L491" s="108" t="n">
        <v>317.2</v>
      </c>
      <c r="M491" s="117" t="n">
        <v>0.429</v>
      </c>
      <c r="N491" s="106"/>
      <c r="O491" s="106"/>
      <c r="P491" s="106"/>
      <c r="Q491" s="106"/>
      <c r="R491" s="106" t="s">
        <v>4291</v>
      </c>
    </row>
    <row r="492" customFormat="false" ht="15" hidden="false" customHeight="false" outlineLevel="0" collapsed="false">
      <c r="A492" s="106" t="s">
        <v>407</v>
      </c>
      <c r="B492" s="106" t="s">
        <v>4280</v>
      </c>
      <c r="C492" s="106" t="s">
        <v>4288</v>
      </c>
      <c r="D492" s="106" t="n">
        <v>1669</v>
      </c>
      <c r="E492" s="107" t="n">
        <v>5586</v>
      </c>
      <c r="F492" s="106" t="n">
        <v>61</v>
      </c>
      <c r="G492" s="118" t="n">
        <v>0.0109</v>
      </c>
      <c r="H492" s="116" t="n">
        <v>2.35</v>
      </c>
      <c r="I492" s="106" t="n">
        <v>6</v>
      </c>
      <c r="J492" s="117" t="n">
        <v>0.0984</v>
      </c>
      <c r="K492" s="108" t="n">
        <v>143.3</v>
      </c>
      <c r="L492" s="108" t="n">
        <v>474.94</v>
      </c>
      <c r="M492" s="117" t="n">
        <v>0.302</v>
      </c>
      <c r="N492" s="106" t="n">
        <v>32</v>
      </c>
      <c r="O492" s="106" t="n">
        <v>4</v>
      </c>
      <c r="P492" s="106" t="s">
        <v>4828</v>
      </c>
      <c r="Q492" s="106" t="n">
        <v>38</v>
      </c>
      <c r="R492" s="106" t="s">
        <v>4285</v>
      </c>
    </row>
    <row r="493" customFormat="false" ht="15" hidden="false" customHeight="false" outlineLevel="0" collapsed="false">
      <c r="A493" s="106" t="s">
        <v>5224</v>
      </c>
      <c r="B493" s="106" t="s">
        <v>1403</v>
      </c>
      <c r="C493" s="106"/>
      <c r="D493" s="106" t="n">
        <v>35</v>
      </c>
      <c r="E493" s="107" t="n">
        <v>517</v>
      </c>
      <c r="F493" s="106" t="n">
        <v>57</v>
      </c>
      <c r="G493" s="118" t="n">
        <v>0.1103</v>
      </c>
      <c r="H493" s="116" t="n">
        <v>0.92</v>
      </c>
      <c r="I493" s="106" t="n">
        <v>12</v>
      </c>
      <c r="J493" s="117" t="n">
        <v>0.2105</v>
      </c>
      <c r="K493" s="108" t="n">
        <v>52.16</v>
      </c>
      <c r="L493" s="108" t="n">
        <v>818.87</v>
      </c>
      <c r="M493" s="117" t="n">
        <v>0.064</v>
      </c>
      <c r="N493" s="106"/>
      <c r="O493" s="106"/>
      <c r="P493" s="106"/>
      <c r="Q493" s="106"/>
      <c r="R493" s="106" t="s">
        <v>4285</v>
      </c>
    </row>
    <row r="494" customFormat="false" ht="15" hidden="false" customHeight="false" outlineLevel="0" collapsed="false">
      <c r="A494" s="106" t="s">
        <v>5225</v>
      </c>
      <c r="B494" s="106" t="s">
        <v>1403</v>
      </c>
      <c r="C494" s="106"/>
      <c r="D494" s="106" t="n">
        <v>22</v>
      </c>
      <c r="E494" s="107" t="n">
        <v>3306</v>
      </c>
      <c r="F494" s="106" t="n">
        <v>56</v>
      </c>
      <c r="G494" s="118" t="n">
        <v>0.0169</v>
      </c>
      <c r="H494" s="116" t="n">
        <v>1.72</v>
      </c>
      <c r="I494" s="106" t="n">
        <v>9</v>
      </c>
      <c r="J494" s="117" t="n">
        <v>0.1607</v>
      </c>
      <c r="K494" s="108" t="n">
        <v>96.1</v>
      </c>
      <c r="L494" s="108" t="n">
        <v>542.41</v>
      </c>
      <c r="M494" s="117" t="n">
        <v>0.177</v>
      </c>
      <c r="N494" s="106"/>
      <c r="O494" s="106"/>
      <c r="P494" s="106"/>
      <c r="Q494" s="106"/>
      <c r="R494" s="106" t="s">
        <v>4285</v>
      </c>
    </row>
    <row r="495" customFormat="false" ht="15" hidden="false" customHeight="false" outlineLevel="0" collapsed="false">
      <c r="A495" s="106" t="s">
        <v>216</v>
      </c>
      <c r="B495" s="106" t="s">
        <v>4280</v>
      </c>
      <c r="C495" s="106" t="s">
        <v>4281</v>
      </c>
      <c r="D495" s="106" t="n">
        <v>4964</v>
      </c>
      <c r="E495" s="107" t="n">
        <v>4751</v>
      </c>
      <c r="F495" s="106" t="n">
        <v>55</v>
      </c>
      <c r="G495" s="118" t="n">
        <v>0.0116</v>
      </c>
      <c r="H495" s="116" t="n">
        <v>2.42</v>
      </c>
      <c r="I495" s="106" t="n">
        <v>5</v>
      </c>
      <c r="J495" s="117" t="n">
        <v>0.0909</v>
      </c>
      <c r="K495" s="108" t="n">
        <v>133.36</v>
      </c>
      <c r="L495" s="108" t="n">
        <v>359.95</v>
      </c>
      <c r="M495" s="117" t="n">
        <v>0.37</v>
      </c>
      <c r="N495" s="106" t="n">
        <v>30</v>
      </c>
      <c r="O495" s="106" t="n">
        <v>4</v>
      </c>
      <c r="P495" s="106" t="s">
        <v>4633</v>
      </c>
      <c r="Q495" s="106" t="n">
        <v>64</v>
      </c>
      <c r="R495" s="106" t="s">
        <v>4291</v>
      </c>
    </row>
    <row r="496" customFormat="false" ht="15" hidden="false" customHeight="false" outlineLevel="0" collapsed="false">
      <c r="A496" s="106" t="s">
        <v>918</v>
      </c>
      <c r="B496" s="106" t="s">
        <v>4280</v>
      </c>
      <c r="C496" s="106" t="s">
        <v>4290</v>
      </c>
      <c r="D496" s="106" t="n">
        <v>319</v>
      </c>
      <c r="E496" s="107" t="n">
        <v>406</v>
      </c>
      <c r="F496" s="106" t="n">
        <v>54</v>
      </c>
      <c r="G496" s="118" t="n">
        <v>0.133</v>
      </c>
      <c r="H496" s="116" t="n">
        <v>2.49</v>
      </c>
      <c r="I496" s="106" t="n">
        <v>6</v>
      </c>
      <c r="J496" s="117" t="n">
        <v>0.1111</v>
      </c>
      <c r="K496" s="108" t="n">
        <v>134.2</v>
      </c>
      <c r="L496" s="108" t="n">
        <v>299.94</v>
      </c>
      <c r="M496" s="117" t="n">
        <v>0.447</v>
      </c>
      <c r="N496" s="106" t="n">
        <v>5</v>
      </c>
      <c r="O496" s="106" t="n">
        <v>1</v>
      </c>
      <c r="P496" s="106" t="s">
        <v>1722</v>
      </c>
      <c r="Q496" s="106" t="n">
        <v>5</v>
      </c>
      <c r="R496" s="106" t="s">
        <v>4291</v>
      </c>
    </row>
    <row r="497" customFormat="false" ht="15" hidden="false" customHeight="false" outlineLevel="0" collapsed="false">
      <c r="A497" s="106" t="s">
        <v>670</v>
      </c>
      <c r="B497" s="106" t="s">
        <v>4280</v>
      </c>
      <c r="C497" s="106" t="s">
        <v>4301</v>
      </c>
      <c r="D497" s="106" t="n">
        <v>819</v>
      </c>
      <c r="E497" s="107" t="n">
        <v>6358</v>
      </c>
      <c r="F497" s="106" t="n">
        <v>50</v>
      </c>
      <c r="G497" s="118" t="n">
        <v>0.0079</v>
      </c>
      <c r="H497" s="116" t="n">
        <v>2.91</v>
      </c>
      <c r="I497" s="106" t="n">
        <v>6</v>
      </c>
      <c r="J497" s="117" t="n">
        <v>0.12</v>
      </c>
      <c r="K497" s="108" t="n">
        <v>145.4</v>
      </c>
      <c r="L497" s="108" t="n">
        <v>494.94</v>
      </c>
      <c r="M497" s="117" t="n">
        <v>0.294</v>
      </c>
      <c r="N497" s="106" t="n">
        <v>34</v>
      </c>
      <c r="O497" s="106" t="n">
        <v>5</v>
      </c>
      <c r="P497" s="106" t="s">
        <v>4622</v>
      </c>
      <c r="Q497" s="106" t="n">
        <v>36</v>
      </c>
      <c r="R497" s="106" t="s">
        <v>4285</v>
      </c>
    </row>
    <row r="498" customFormat="false" ht="15" hidden="false" customHeight="false" outlineLevel="0" collapsed="false">
      <c r="A498" s="106" t="s">
        <v>927</v>
      </c>
      <c r="B498" s="106" t="s">
        <v>4280</v>
      </c>
      <c r="C498" s="106" t="s">
        <v>4288</v>
      </c>
      <c r="D498" s="106" t="n">
        <v>924</v>
      </c>
      <c r="E498" s="107" t="n">
        <v>10199</v>
      </c>
      <c r="F498" s="106" t="n">
        <v>48</v>
      </c>
      <c r="G498" s="118" t="n">
        <v>0.0047</v>
      </c>
      <c r="H498" s="116" t="n">
        <v>2.7</v>
      </c>
      <c r="I498" s="106" t="n">
        <v>3</v>
      </c>
      <c r="J498" s="117" t="n">
        <v>0.0625</v>
      </c>
      <c r="K498" s="108" t="n">
        <v>129.84</v>
      </c>
      <c r="L498" s="108" t="n">
        <v>209.97</v>
      </c>
      <c r="M498" s="117" t="n">
        <v>0.618</v>
      </c>
      <c r="N498" s="106" t="n">
        <v>40</v>
      </c>
      <c r="O498" s="106" t="n">
        <v>8</v>
      </c>
      <c r="P498" s="106" t="s">
        <v>4860</v>
      </c>
      <c r="Q498" s="106" t="n">
        <v>16</v>
      </c>
      <c r="R498" s="106" t="s">
        <v>4289</v>
      </c>
    </row>
    <row r="499" customFormat="false" ht="15" hidden="false" customHeight="false" outlineLevel="0" collapsed="false">
      <c r="A499" s="106" t="s">
        <v>5226</v>
      </c>
      <c r="B499" s="106" t="s">
        <v>4280</v>
      </c>
      <c r="C499" s="106" t="s">
        <v>4281</v>
      </c>
      <c r="D499" s="106" t="n">
        <v>489</v>
      </c>
      <c r="E499" s="107" t="n">
        <v>1154</v>
      </c>
      <c r="F499" s="106" t="n">
        <v>46</v>
      </c>
      <c r="G499" s="118" t="n">
        <v>0.0399</v>
      </c>
      <c r="H499" s="116" t="n">
        <v>2.58</v>
      </c>
      <c r="I499" s="106" t="n">
        <v>6</v>
      </c>
      <c r="J499" s="117" t="n">
        <v>0.1304</v>
      </c>
      <c r="K499" s="108" t="n">
        <v>118.74</v>
      </c>
      <c r="L499" s="108" t="n">
        <v>415.94</v>
      </c>
      <c r="M499" s="117" t="n">
        <v>0.285</v>
      </c>
      <c r="N499" s="106"/>
      <c r="O499" s="106"/>
      <c r="P499" s="106"/>
      <c r="Q499" s="106"/>
      <c r="R499" s="106" t="s">
        <v>4285</v>
      </c>
    </row>
    <row r="500" customFormat="false" ht="15" hidden="false" customHeight="false" outlineLevel="0" collapsed="false">
      <c r="A500" s="106" t="s">
        <v>767</v>
      </c>
      <c r="B500" s="106" t="s">
        <v>4280</v>
      </c>
      <c r="C500" s="106" t="s">
        <v>4288</v>
      </c>
      <c r="D500" s="106" t="n">
        <v>439</v>
      </c>
      <c r="E500" s="107" t="n">
        <v>1243</v>
      </c>
      <c r="F500" s="106" t="n">
        <v>46</v>
      </c>
      <c r="G500" s="118" t="n">
        <v>0.037</v>
      </c>
      <c r="H500" s="116" t="n">
        <v>2.33</v>
      </c>
      <c r="I500" s="106" t="n">
        <v>4</v>
      </c>
      <c r="J500" s="117" t="n">
        <v>0.087</v>
      </c>
      <c r="K500" s="108" t="n">
        <v>107.34</v>
      </c>
      <c r="L500" s="108" t="n">
        <v>284.96</v>
      </c>
      <c r="M500" s="117" t="n">
        <v>0.377</v>
      </c>
      <c r="N500" s="106" t="n">
        <v>16</v>
      </c>
      <c r="O500" s="106" t="n">
        <v>1</v>
      </c>
      <c r="P500" s="106" t="s">
        <v>4626</v>
      </c>
      <c r="Q500" s="106" t="n">
        <v>19</v>
      </c>
      <c r="R500" s="106" t="s">
        <v>4291</v>
      </c>
    </row>
    <row r="501" customFormat="false" ht="15" hidden="false" customHeight="false" outlineLevel="0" collapsed="false">
      <c r="A501" s="106" t="s">
        <v>5227</v>
      </c>
      <c r="B501" s="106" t="s">
        <v>1403</v>
      </c>
      <c r="C501" s="106"/>
      <c r="D501" s="106" t="n">
        <v>13</v>
      </c>
      <c r="E501" s="107" t="n">
        <v>378</v>
      </c>
      <c r="F501" s="106" t="n">
        <v>45</v>
      </c>
      <c r="G501" s="118" t="n">
        <v>0.119</v>
      </c>
      <c r="H501" s="116" t="n">
        <v>1.35</v>
      </c>
      <c r="I501" s="106" t="n">
        <v>6</v>
      </c>
      <c r="J501" s="117" t="n">
        <v>0.1333</v>
      </c>
      <c r="K501" s="108" t="n">
        <v>60.94</v>
      </c>
      <c r="L501" s="108" t="n">
        <v>352.94</v>
      </c>
      <c r="M501" s="117" t="n">
        <v>0.173</v>
      </c>
      <c r="N501" s="106"/>
      <c r="O501" s="106"/>
      <c r="P501" s="106"/>
      <c r="Q501" s="106"/>
      <c r="R501" s="106" t="s">
        <v>4285</v>
      </c>
    </row>
    <row r="502" customFormat="false" ht="15" hidden="false" customHeight="false" outlineLevel="0" collapsed="false">
      <c r="A502" s="106" t="s">
        <v>1206</v>
      </c>
      <c r="B502" s="106" t="s">
        <v>4280</v>
      </c>
      <c r="C502" s="106" t="s">
        <v>4287</v>
      </c>
      <c r="D502" s="106" t="n">
        <v>1735</v>
      </c>
      <c r="E502" s="107" t="n">
        <v>1170</v>
      </c>
      <c r="F502" s="106" t="n">
        <v>45</v>
      </c>
      <c r="G502" s="118" t="n">
        <v>0.0385</v>
      </c>
      <c r="H502" s="116" t="n">
        <v>2.23</v>
      </c>
      <c r="I502" s="106" t="n">
        <v>3</v>
      </c>
      <c r="J502" s="117" t="n">
        <v>0.0667</v>
      </c>
      <c r="K502" s="108" t="n">
        <v>100.24</v>
      </c>
      <c r="L502" s="108" t="n">
        <v>184.97</v>
      </c>
      <c r="M502" s="117" t="n">
        <v>0.542</v>
      </c>
      <c r="N502" s="106" t="n">
        <v>15</v>
      </c>
      <c r="O502" s="106" t="n">
        <v>4</v>
      </c>
      <c r="P502" s="106" t="s">
        <v>4815</v>
      </c>
      <c r="Q502" s="106" t="n">
        <v>20</v>
      </c>
      <c r="R502" s="106" t="s">
        <v>4282</v>
      </c>
    </row>
    <row r="503" customFormat="false" ht="15" hidden="false" customHeight="false" outlineLevel="0" collapsed="false">
      <c r="A503" s="106" t="s">
        <v>5228</v>
      </c>
      <c r="B503" s="106" t="s">
        <v>4280</v>
      </c>
      <c r="C503" s="106" t="s">
        <v>4288</v>
      </c>
      <c r="D503" s="106" t="n">
        <v>344</v>
      </c>
      <c r="E503" s="107" t="n">
        <v>3212</v>
      </c>
      <c r="F503" s="106" t="n">
        <v>44</v>
      </c>
      <c r="G503" s="118" t="n">
        <v>0.0137</v>
      </c>
      <c r="H503" s="116" t="n">
        <v>0.8</v>
      </c>
      <c r="I503" s="106" t="n">
        <v>2</v>
      </c>
      <c r="J503" s="117" t="n">
        <v>0.0455</v>
      </c>
      <c r="K503" s="108" t="n">
        <v>35.11</v>
      </c>
      <c r="L503" s="108" t="n">
        <v>159.98</v>
      </c>
      <c r="M503" s="117" t="n">
        <v>0.219</v>
      </c>
      <c r="N503" s="106"/>
      <c r="O503" s="106"/>
      <c r="P503" s="106"/>
      <c r="Q503" s="106"/>
      <c r="R503" s="106" t="s">
        <v>4285</v>
      </c>
    </row>
    <row r="504" customFormat="false" ht="15" hidden="false" customHeight="false" outlineLevel="0" collapsed="false">
      <c r="A504" s="106" t="s">
        <v>984</v>
      </c>
      <c r="B504" s="106" t="s">
        <v>4280</v>
      </c>
      <c r="C504" s="106" t="s">
        <v>4288</v>
      </c>
      <c r="D504" s="106" t="n">
        <v>575</v>
      </c>
      <c r="E504" s="107" t="n">
        <v>2242</v>
      </c>
      <c r="F504" s="106" t="n">
        <v>44</v>
      </c>
      <c r="G504" s="118" t="n">
        <v>0.0196</v>
      </c>
      <c r="H504" s="116" t="n">
        <v>2.5</v>
      </c>
      <c r="I504" s="106" t="n">
        <v>5</v>
      </c>
      <c r="J504" s="117" t="n">
        <v>0.1136</v>
      </c>
      <c r="K504" s="108" t="n">
        <v>109.96</v>
      </c>
      <c r="L504" s="108" t="n">
        <v>363.95</v>
      </c>
      <c r="M504" s="117" t="n">
        <v>0.302</v>
      </c>
      <c r="N504" s="106" t="n">
        <v>33</v>
      </c>
      <c r="O504" s="106" t="n">
        <v>6</v>
      </c>
      <c r="P504" s="106" t="s">
        <v>4979</v>
      </c>
      <c r="Q504" s="106" t="n">
        <v>21</v>
      </c>
      <c r="R504" s="106" t="s">
        <v>4285</v>
      </c>
    </row>
    <row r="505" customFormat="false" ht="15" hidden="false" customHeight="false" outlineLevel="0" collapsed="false">
      <c r="A505" s="106" t="s">
        <v>4331</v>
      </c>
      <c r="B505" s="106" t="s">
        <v>4280</v>
      </c>
      <c r="C505" s="106" t="s">
        <v>4281</v>
      </c>
      <c r="D505" s="106" t="n">
        <v>2632</v>
      </c>
      <c r="E505" s="107" t="n">
        <v>7547</v>
      </c>
      <c r="F505" s="106" t="n">
        <v>37</v>
      </c>
      <c r="G505" s="118" t="n">
        <v>0.0049</v>
      </c>
      <c r="H505" s="116" t="n">
        <v>3.05</v>
      </c>
      <c r="I505" s="106" t="n">
        <v>1</v>
      </c>
      <c r="J505" s="117" t="n">
        <v>0.027</v>
      </c>
      <c r="K505" s="108" t="n">
        <v>112.99</v>
      </c>
      <c r="L505" s="108" t="n">
        <v>79.99</v>
      </c>
      <c r="M505" s="117" t="n">
        <v>1.413</v>
      </c>
      <c r="N505" s="106" t="n">
        <v>15</v>
      </c>
      <c r="O505" s="106" t="n">
        <v>2</v>
      </c>
      <c r="P505" s="106" t="s">
        <v>4815</v>
      </c>
      <c r="Q505" s="106" t="n">
        <v>39</v>
      </c>
      <c r="R505" s="106" t="s">
        <v>4289</v>
      </c>
    </row>
    <row r="506" customFormat="false" ht="15" hidden="false" customHeight="false" outlineLevel="0" collapsed="false">
      <c r="A506" s="106" t="s">
        <v>959</v>
      </c>
      <c r="B506" s="106" t="s">
        <v>4280</v>
      </c>
      <c r="C506" s="106" t="s">
        <v>4288</v>
      </c>
      <c r="D506" s="106" t="n">
        <v>924</v>
      </c>
      <c r="E506" s="107" t="n">
        <v>1360</v>
      </c>
      <c r="F506" s="106" t="n">
        <v>37</v>
      </c>
      <c r="G506" s="118" t="n">
        <v>0.0272</v>
      </c>
      <c r="H506" s="116" t="n">
        <v>2.72</v>
      </c>
      <c r="I506" s="106" t="n">
        <v>2</v>
      </c>
      <c r="J506" s="117" t="n">
        <v>0.0541</v>
      </c>
      <c r="K506" s="108" t="n">
        <v>100.57</v>
      </c>
      <c r="L506" s="108" t="n">
        <v>154.98</v>
      </c>
      <c r="M506" s="117" t="n">
        <v>0.649</v>
      </c>
      <c r="N506" s="106" t="n">
        <v>7</v>
      </c>
      <c r="O506" s="106" t="n">
        <v>1</v>
      </c>
      <c r="P506" s="106" t="s">
        <v>4629</v>
      </c>
      <c r="Q506" s="106" t="n">
        <v>6</v>
      </c>
      <c r="R506" s="106" t="s">
        <v>4289</v>
      </c>
    </row>
    <row r="507" customFormat="false" ht="15" hidden="false" customHeight="false" outlineLevel="0" collapsed="false">
      <c r="A507" s="106" t="s">
        <v>5229</v>
      </c>
      <c r="B507" s="106" t="s">
        <v>1403</v>
      </c>
      <c r="C507" s="106"/>
      <c r="D507" s="106"/>
      <c r="E507" s="107" t="n">
        <v>112</v>
      </c>
      <c r="F507" s="106" t="n">
        <v>35</v>
      </c>
      <c r="G507" s="118" t="n">
        <v>0.3125</v>
      </c>
      <c r="H507" s="116" t="n">
        <v>0.81</v>
      </c>
      <c r="I507" s="106" t="n">
        <v>29</v>
      </c>
      <c r="J507" s="117" t="n">
        <v>0.8286</v>
      </c>
      <c r="K507" s="108" t="n">
        <v>28.36</v>
      </c>
      <c r="L507" s="108" t="n">
        <v>811.68</v>
      </c>
      <c r="M507" s="117" t="n">
        <v>0.035</v>
      </c>
      <c r="N507" s="106"/>
      <c r="O507" s="106"/>
      <c r="P507" s="106"/>
      <c r="Q507" s="106"/>
      <c r="R507" s="106" t="s">
        <v>4285</v>
      </c>
    </row>
    <row r="508" customFormat="false" ht="15" hidden="false" customHeight="false" outlineLevel="0" collapsed="false">
      <c r="A508" s="106" t="s">
        <v>269</v>
      </c>
      <c r="B508" s="106" t="s">
        <v>4280</v>
      </c>
      <c r="C508" s="106" t="s">
        <v>4281</v>
      </c>
      <c r="D508" s="106" t="n">
        <v>2630</v>
      </c>
      <c r="E508" s="107" t="n">
        <v>13827</v>
      </c>
      <c r="F508" s="106" t="n">
        <v>35</v>
      </c>
      <c r="G508" s="118" t="n">
        <v>0.0025</v>
      </c>
      <c r="H508" s="116" t="n">
        <v>3.14</v>
      </c>
      <c r="I508" s="106" t="n">
        <v>4</v>
      </c>
      <c r="J508" s="117" t="n">
        <v>0.1143</v>
      </c>
      <c r="K508" s="108" t="n">
        <v>109.97</v>
      </c>
      <c r="L508" s="108" t="n">
        <v>309.96</v>
      </c>
      <c r="M508" s="117" t="n">
        <v>0.355</v>
      </c>
      <c r="N508" s="106" t="n">
        <v>26</v>
      </c>
      <c r="O508" s="106" t="n">
        <v>4</v>
      </c>
      <c r="P508" s="106" t="s">
        <v>4633</v>
      </c>
      <c r="Q508" s="106" t="n">
        <v>30</v>
      </c>
      <c r="R508" s="106" t="s">
        <v>4291</v>
      </c>
    </row>
    <row r="509" customFormat="false" ht="15" hidden="false" customHeight="false" outlineLevel="0" collapsed="false">
      <c r="A509" s="106" t="s">
        <v>1020</v>
      </c>
      <c r="B509" s="106" t="s">
        <v>4280</v>
      </c>
      <c r="C509" s="106" t="s">
        <v>4281</v>
      </c>
      <c r="D509" s="106" t="n">
        <v>766</v>
      </c>
      <c r="E509" s="107" t="n">
        <v>8065</v>
      </c>
      <c r="F509" s="106" t="n">
        <v>34</v>
      </c>
      <c r="G509" s="118" t="n">
        <v>0.0042</v>
      </c>
      <c r="H509" s="116" t="n">
        <v>1.83</v>
      </c>
      <c r="I509" s="106" t="n">
        <v>2</v>
      </c>
      <c r="J509" s="117" t="n">
        <v>0.0588</v>
      </c>
      <c r="K509" s="108" t="n">
        <v>62.26</v>
      </c>
      <c r="L509" s="108" t="n">
        <v>159.98</v>
      </c>
      <c r="M509" s="117" t="n">
        <v>0.389</v>
      </c>
      <c r="N509" s="106" t="n">
        <v>62</v>
      </c>
      <c r="O509" s="106" t="n">
        <v>8</v>
      </c>
      <c r="P509" s="106" t="s">
        <v>4849</v>
      </c>
      <c r="Q509" s="106" t="n">
        <v>60</v>
      </c>
      <c r="R509" s="106" t="s">
        <v>4291</v>
      </c>
    </row>
    <row r="510" customFormat="false" ht="15" hidden="false" customHeight="false" outlineLevel="0" collapsed="false">
      <c r="A510" s="106" t="s">
        <v>4393</v>
      </c>
      <c r="B510" s="106" t="s">
        <v>4284</v>
      </c>
      <c r="C510" s="106"/>
      <c r="D510" s="106"/>
      <c r="E510" s="107" t="n">
        <v>1825</v>
      </c>
      <c r="F510" s="106" t="n">
        <v>32</v>
      </c>
      <c r="G510" s="118" t="n">
        <v>0.0175</v>
      </c>
      <c r="H510" s="116" t="n">
        <v>0.56</v>
      </c>
      <c r="I510" s="106" t="n">
        <v>5</v>
      </c>
      <c r="J510" s="117" t="n">
        <v>0.1563</v>
      </c>
      <c r="K510" s="108" t="n">
        <v>17.96</v>
      </c>
      <c r="L510" s="108" t="n">
        <v>360.94</v>
      </c>
      <c r="M510" s="117" t="n">
        <v>0.05</v>
      </c>
      <c r="N510" s="106"/>
      <c r="O510" s="106"/>
      <c r="P510" s="106"/>
      <c r="Q510" s="106"/>
      <c r="R510" s="106" t="s">
        <v>4285</v>
      </c>
    </row>
    <row r="511" customFormat="false" ht="15" hidden="false" customHeight="false" outlineLevel="0" collapsed="false">
      <c r="A511" s="106" t="s">
        <v>5230</v>
      </c>
      <c r="B511" s="106" t="s">
        <v>1403</v>
      </c>
      <c r="C511" s="106"/>
      <c r="D511" s="106" t="n">
        <v>4</v>
      </c>
      <c r="E511" s="107" t="n">
        <v>363</v>
      </c>
      <c r="F511" s="106" t="n">
        <v>32</v>
      </c>
      <c r="G511" s="118" t="n">
        <v>0.0882</v>
      </c>
      <c r="H511" s="116" t="n">
        <v>0.65</v>
      </c>
      <c r="I511" s="106" t="n">
        <v>3</v>
      </c>
      <c r="J511" s="117" t="n">
        <v>0.0938</v>
      </c>
      <c r="K511" s="108" t="n">
        <v>20.74</v>
      </c>
      <c r="L511" s="108" t="n">
        <v>96.97</v>
      </c>
      <c r="M511" s="117" t="n">
        <v>0.214</v>
      </c>
      <c r="N511" s="106"/>
      <c r="O511" s="106"/>
      <c r="P511" s="106"/>
      <c r="Q511" s="106"/>
      <c r="R511" s="106" t="s">
        <v>4285</v>
      </c>
    </row>
    <row r="512" customFormat="false" ht="15" hidden="false" customHeight="false" outlineLevel="0" collapsed="false">
      <c r="A512" s="106" t="s">
        <v>5231</v>
      </c>
      <c r="B512" s="106" t="s">
        <v>1403</v>
      </c>
      <c r="C512" s="106"/>
      <c r="D512" s="106" t="n">
        <v>1305</v>
      </c>
      <c r="E512" s="107" t="n">
        <v>944</v>
      </c>
      <c r="F512" s="106" t="n">
        <v>30</v>
      </c>
      <c r="G512" s="118" t="n">
        <v>0.0318</v>
      </c>
      <c r="H512" s="116" t="n">
        <v>0.7</v>
      </c>
      <c r="I512" s="106" t="n">
        <v>1</v>
      </c>
      <c r="J512" s="117" t="n">
        <v>0.0333</v>
      </c>
      <c r="K512" s="108" t="n">
        <v>20.85</v>
      </c>
      <c r="L512" s="108" t="n">
        <v>74.99</v>
      </c>
      <c r="M512" s="117" t="n">
        <v>0.278</v>
      </c>
      <c r="N512" s="106"/>
      <c r="O512" s="106"/>
      <c r="P512" s="106"/>
      <c r="Q512" s="106"/>
      <c r="R512" s="106" t="s">
        <v>4285</v>
      </c>
    </row>
    <row r="513" customFormat="false" ht="15" hidden="false" customHeight="false" outlineLevel="0" collapsed="false">
      <c r="A513" s="106" t="s">
        <v>3869</v>
      </c>
      <c r="B513" s="106" t="s">
        <v>4284</v>
      </c>
      <c r="C513" s="106"/>
      <c r="D513" s="106" t="n">
        <v>116207</v>
      </c>
      <c r="E513" s="107" t="n">
        <v>636</v>
      </c>
      <c r="F513" s="106" t="n">
        <v>30</v>
      </c>
      <c r="G513" s="118" t="n">
        <v>0.0472</v>
      </c>
      <c r="H513" s="116" t="n">
        <v>0.71</v>
      </c>
      <c r="I513" s="106" t="n">
        <v>1</v>
      </c>
      <c r="J513" s="117" t="n">
        <v>0.0333</v>
      </c>
      <c r="K513" s="108" t="n">
        <v>21.26</v>
      </c>
      <c r="L513" s="108" t="n">
        <v>79.99</v>
      </c>
      <c r="M513" s="117" t="n">
        <v>0.266</v>
      </c>
      <c r="N513" s="106"/>
      <c r="O513" s="106"/>
      <c r="P513" s="106"/>
      <c r="Q513" s="106"/>
      <c r="R513" s="106" t="s">
        <v>4285</v>
      </c>
    </row>
    <row r="514" customFormat="false" ht="15" hidden="false" customHeight="false" outlineLevel="0" collapsed="false">
      <c r="A514" s="106" t="s">
        <v>610</v>
      </c>
      <c r="B514" s="106" t="s">
        <v>4280</v>
      </c>
      <c r="C514" s="106" t="s">
        <v>4301</v>
      </c>
      <c r="D514" s="106" t="n">
        <v>3492</v>
      </c>
      <c r="E514" s="107" t="n">
        <v>1048</v>
      </c>
      <c r="F514" s="106" t="n">
        <v>30</v>
      </c>
      <c r="G514" s="118" t="n">
        <v>0.0286</v>
      </c>
      <c r="H514" s="116" t="n">
        <v>2.59</v>
      </c>
      <c r="I514" s="106" t="n">
        <v>4</v>
      </c>
      <c r="J514" s="117" t="n">
        <v>0.1333</v>
      </c>
      <c r="K514" s="108" t="n">
        <v>77.76</v>
      </c>
      <c r="L514" s="108" t="n">
        <v>339.96</v>
      </c>
      <c r="M514" s="117" t="n">
        <v>0.229</v>
      </c>
      <c r="N514" s="106" t="n">
        <v>60</v>
      </c>
      <c r="O514" s="106" t="n">
        <v>12</v>
      </c>
      <c r="P514" s="106"/>
      <c r="Q514" s="106" t="n">
        <v>51</v>
      </c>
      <c r="R514" s="106" t="s">
        <v>4285</v>
      </c>
    </row>
    <row r="515" customFormat="false" ht="15" hidden="false" customHeight="false" outlineLevel="0" collapsed="false">
      <c r="A515" s="106" t="s">
        <v>5232</v>
      </c>
      <c r="B515" s="106" t="s">
        <v>4280</v>
      </c>
      <c r="C515" s="106" t="s">
        <v>4288</v>
      </c>
      <c r="D515" s="106" t="n">
        <v>364</v>
      </c>
      <c r="E515" s="107" t="n">
        <v>1695</v>
      </c>
      <c r="F515" s="106" t="n">
        <v>29</v>
      </c>
      <c r="G515" s="118" t="n">
        <v>0.0171</v>
      </c>
      <c r="H515" s="116" t="n">
        <v>1.9</v>
      </c>
      <c r="I515" s="106" t="n">
        <v>2</v>
      </c>
      <c r="J515" s="117" t="n">
        <v>0.069</v>
      </c>
      <c r="K515" s="108" t="n">
        <v>55.17</v>
      </c>
      <c r="L515" s="108" t="n">
        <v>129.98</v>
      </c>
      <c r="M515" s="117" t="n">
        <v>0.424</v>
      </c>
      <c r="N515" s="106" t="n">
        <v>6</v>
      </c>
      <c r="O515" s="106"/>
      <c r="P515" s="106"/>
      <c r="Q515" s="106"/>
      <c r="R515" s="106" t="s">
        <v>4291</v>
      </c>
    </row>
    <row r="516" customFormat="false" ht="15" hidden="false" customHeight="false" outlineLevel="0" collapsed="false">
      <c r="A516" s="106" t="s">
        <v>5233</v>
      </c>
      <c r="B516" s="106" t="s">
        <v>1403</v>
      </c>
      <c r="C516" s="106"/>
      <c r="D516" s="106" t="n">
        <v>7</v>
      </c>
      <c r="E516" s="107" t="n">
        <v>248</v>
      </c>
      <c r="F516" s="106" t="n">
        <v>29</v>
      </c>
      <c r="G516" s="118" t="n">
        <v>0.1169</v>
      </c>
      <c r="H516" s="116" t="n">
        <v>1.54</v>
      </c>
      <c r="I516" s="106" t="n">
        <v>10</v>
      </c>
      <c r="J516" s="117" t="n">
        <v>0.3448</v>
      </c>
      <c r="K516" s="108" t="n">
        <v>44.61</v>
      </c>
      <c r="L516" s="108" t="n">
        <v>602.85</v>
      </c>
      <c r="M516" s="117" t="n">
        <v>0.074</v>
      </c>
      <c r="N516" s="106"/>
      <c r="O516" s="106"/>
      <c r="P516" s="106"/>
      <c r="Q516" s="106"/>
      <c r="R516" s="106" t="s">
        <v>4285</v>
      </c>
    </row>
    <row r="517" customFormat="false" ht="15" hidden="false" customHeight="false" outlineLevel="0" collapsed="false">
      <c r="A517" s="106" t="s">
        <v>5234</v>
      </c>
      <c r="B517" s="106" t="s">
        <v>4280</v>
      </c>
      <c r="C517" s="106"/>
      <c r="D517" s="106" t="n">
        <v>207</v>
      </c>
      <c r="E517" s="107" t="n">
        <v>183</v>
      </c>
      <c r="F517" s="106" t="n">
        <v>29</v>
      </c>
      <c r="G517" s="118" t="n">
        <v>0.1585</v>
      </c>
      <c r="H517" s="116" t="n">
        <v>2.98</v>
      </c>
      <c r="I517" s="106" t="n">
        <v>2</v>
      </c>
      <c r="J517" s="117" t="n">
        <v>0.069</v>
      </c>
      <c r="K517" s="108" t="n">
        <v>86.43</v>
      </c>
      <c r="L517" s="108" t="n">
        <v>119.98</v>
      </c>
      <c r="M517" s="117" t="n">
        <v>0.72</v>
      </c>
      <c r="N517" s="106"/>
      <c r="O517" s="106"/>
      <c r="P517" s="106"/>
      <c r="Q517" s="106"/>
      <c r="R517" s="106" t="s">
        <v>4289</v>
      </c>
    </row>
    <row r="518" customFormat="false" ht="15" hidden="false" customHeight="false" outlineLevel="0" collapsed="false">
      <c r="A518" s="106" t="s">
        <v>5235</v>
      </c>
      <c r="B518" s="106" t="s">
        <v>4280</v>
      </c>
      <c r="C518" s="106" t="s">
        <v>4281</v>
      </c>
      <c r="D518" s="106" t="n">
        <v>512</v>
      </c>
      <c r="E518" s="107" t="n">
        <v>302</v>
      </c>
      <c r="F518" s="106" t="n">
        <v>28</v>
      </c>
      <c r="G518" s="118" t="n">
        <v>0.0927</v>
      </c>
      <c r="H518" s="116" t="n">
        <v>3.15</v>
      </c>
      <c r="I518" s="106" t="n">
        <v>6</v>
      </c>
      <c r="J518" s="117" t="n">
        <v>0.2143</v>
      </c>
      <c r="K518" s="108" t="n">
        <v>88.22</v>
      </c>
      <c r="L518" s="108" t="n">
        <v>419.94</v>
      </c>
      <c r="M518" s="117" t="n">
        <v>0.21</v>
      </c>
      <c r="N518" s="106"/>
      <c r="O518" s="106"/>
      <c r="P518" s="106"/>
      <c r="Q518" s="106"/>
      <c r="R518" s="106" t="s">
        <v>4285</v>
      </c>
    </row>
    <row r="519" customFormat="false" ht="15" hidden="false" customHeight="false" outlineLevel="0" collapsed="false">
      <c r="A519" s="106" t="s">
        <v>4865</v>
      </c>
      <c r="B519" s="106" t="s">
        <v>4280</v>
      </c>
      <c r="C519" s="106" t="s">
        <v>4288</v>
      </c>
      <c r="D519" s="106" t="n">
        <v>924</v>
      </c>
      <c r="E519" s="107" t="n">
        <v>653</v>
      </c>
      <c r="F519" s="106" t="n">
        <v>28</v>
      </c>
      <c r="G519" s="118" t="n">
        <v>0.0429</v>
      </c>
      <c r="H519" s="116" t="n">
        <v>1.9</v>
      </c>
      <c r="I519" s="106" t="n">
        <v>0</v>
      </c>
      <c r="J519" s="117" t="n">
        <v>0</v>
      </c>
      <c r="K519" s="108" t="n">
        <v>53.19</v>
      </c>
      <c r="L519" s="108" t="n">
        <v>0</v>
      </c>
      <c r="M519" s="117"/>
      <c r="N519" s="106" t="n">
        <v>11</v>
      </c>
      <c r="O519" s="106" t="n">
        <v>1</v>
      </c>
      <c r="P519" s="106" t="s">
        <v>4867</v>
      </c>
      <c r="Q519" s="106" t="n">
        <v>3</v>
      </c>
      <c r="R519" s="106" t="s">
        <v>4289</v>
      </c>
    </row>
    <row r="520" customFormat="false" ht="15" hidden="false" customHeight="false" outlineLevel="0" collapsed="false">
      <c r="A520" s="106" t="s">
        <v>4984</v>
      </c>
      <c r="B520" s="106" t="s">
        <v>4280</v>
      </c>
      <c r="C520" s="106" t="s">
        <v>4287</v>
      </c>
      <c r="D520" s="106" t="n">
        <v>598</v>
      </c>
      <c r="E520" s="107" t="n">
        <v>413</v>
      </c>
      <c r="F520" s="106" t="n">
        <v>28</v>
      </c>
      <c r="G520" s="118" t="n">
        <v>0.0678</v>
      </c>
      <c r="H520" s="116" t="n">
        <v>2.35</v>
      </c>
      <c r="I520" s="106" t="n">
        <v>8</v>
      </c>
      <c r="J520" s="117" t="n">
        <v>0.2857</v>
      </c>
      <c r="K520" s="108" t="n">
        <v>65.93</v>
      </c>
      <c r="L520" s="108" t="n">
        <v>491.92</v>
      </c>
      <c r="M520" s="117" t="n">
        <v>0.134</v>
      </c>
      <c r="N520" s="106" t="n">
        <v>20</v>
      </c>
      <c r="O520" s="106" t="n">
        <v>3</v>
      </c>
      <c r="P520" s="106" t="s">
        <v>4985</v>
      </c>
      <c r="Q520" s="106" t="n">
        <v>14</v>
      </c>
      <c r="R520" s="106" t="s">
        <v>4285</v>
      </c>
    </row>
    <row r="521" customFormat="false" ht="15" hidden="false" customHeight="false" outlineLevel="0" collapsed="false">
      <c r="A521" s="106" t="s">
        <v>596</v>
      </c>
      <c r="B521" s="106" t="s">
        <v>4280</v>
      </c>
      <c r="C521" s="106" t="s">
        <v>4301</v>
      </c>
      <c r="D521" s="106" t="n">
        <v>4954</v>
      </c>
      <c r="E521" s="107" t="n">
        <v>725</v>
      </c>
      <c r="F521" s="106" t="n">
        <v>27</v>
      </c>
      <c r="G521" s="118" t="n">
        <v>0.0372</v>
      </c>
      <c r="H521" s="116" t="n">
        <v>4.68</v>
      </c>
      <c r="I521" s="106" t="n">
        <v>5</v>
      </c>
      <c r="J521" s="117" t="n">
        <v>0.1852</v>
      </c>
      <c r="K521" s="108" t="n">
        <v>126.39</v>
      </c>
      <c r="L521" s="108" t="n">
        <v>419.95</v>
      </c>
      <c r="M521" s="117" t="n">
        <v>0.301</v>
      </c>
      <c r="N521" s="106" t="n">
        <v>51</v>
      </c>
      <c r="O521" s="106" t="n">
        <v>7</v>
      </c>
      <c r="P521" s="106" t="s">
        <v>4798</v>
      </c>
      <c r="Q521" s="106" t="n">
        <v>10</v>
      </c>
      <c r="R521" s="106" t="s">
        <v>4285</v>
      </c>
    </row>
    <row r="522" customFormat="false" ht="15" hidden="false" customHeight="false" outlineLevel="0" collapsed="false">
      <c r="A522" s="106" t="s">
        <v>5236</v>
      </c>
      <c r="B522" s="106" t="s">
        <v>1403</v>
      </c>
      <c r="C522" s="106"/>
      <c r="D522" s="106" t="n">
        <v>43</v>
      </c>
      <c r="E522" s="107" t="n">
        <v>341</v>
      </c>
      <c r="F522" s="106" t="n">
        <v>27</v>
      </c>
      <c r="G522" s="118" t="n">
        <v>0.0792</v>
      </c>
      <c r="H522" s="116" t="n">
        <v>1.66</v>
      </c>
      <c r="I522" s="106" t="n">
        <v>7</v>
      </c>
      <c r="J522" s="117" t="n">
        <v>0.2593</v>
      </c>
      <c r="K522" s="108" t="n">
        <v>44.84</v>
      </c>
      <c r="L522" s="108" t="n">
        <v>261.93</v>
      </c>
      <c r="M522" s="117" t="n">
        <v>0.171</v>
      </c>
      <c r="N522" s="106"/>
      <c r="O522" s="106"/>
      <c r="P522" s="106"/>
      <c r="Q522" s="106"/>
      <c r="R522" s="106" t="s">
        <v>4285</v>
      </c>
    </row>
    <row r="523" customFormat="false" ht="15" hidden="false" customHeight="false" outlineLevel="0" collapsed="false">
      <c r="A523" s="106" t="s">
        <v>5237</v>
      </c>
      <c r="B523" s="106" t="s">
        <v>1403</v>
      </c>
      <c r="C523" s="106"/>
      <c r="D523" s="106" t="n">
        <v>7</v>
      </c>
      <c r="E523" s="107" t="n">
        <v>95</v>
      </c>
      <c r="F523" s="106" t="n">
        <v>27</v>
      </c>
      <c r="G523" s="118" t="n">
        <v>0.2842</v>
      </c>
      <c r="H523" s="116" t="n">
        <v>1.73</v>
      </c>
      <c r="I523" s="106" t="n">
        <v>5</v>
      </c>
      <c r="J523" s="117" t="n">
        <v>0.1852</v>
      </c>
      <c r="K523" s="108" t="n">
        <v>46.78</v>
      </c>
      <c r="L523" s="108" t="n">
        <v>379.95</v>
      </c>
      <c r="M523" s="117" t="n">
        <v>0.123</v>
      </c>
      <c r="N523" s="106"/>
      <c r="O523" s="106"/>
      <c r="P523" s="106"/>
      <c r="Q523" s="106"/>
      <c r="R523" s="106" t="s">
        <v>4285</v>
      </c>
    </row>
    <row r="524" customFormat="false" ht="15" hidden="false" customHeight="false" outlineLevel="0" collapsed="false">
      <c r="A524" s="106" t="s">
        <v>4796</v>
      </c>
      <c r="B524" s="106" t="s">
        <v>4284</v>
      </c>
      <c r="C524" s="106"/>
      <c r="D524" s="106" t="n">
        <v>2531</v>
      </c>
      <c r="E524" s="107" t="n">
        <v>4681</v>
      </c>
      <c r="F524" s="106" t="n">
        <v>27</v>
      </c>
      <c r="G524" s="118" t="n">
        <v>0.0058</v>
      </c>
      <c r="H524" s="116" t="n">
        <v>0.76</v>
      </c>
      <c r="I524" s="106" t="n">
        <v>1</v>
      </c>
      <c r="J524" s="117" t="n">
        <v>0.037</v>
      </c>
      <c r="K524" s="108" t="n">
        <v>20.61</v>
      </c>
      <c r="L524" s="108" t="n">
        <v>79.99</v>
      </c>
      <c r="M524" s="117" t="n">
        <v>0.258</v>
      </c>
      <c r="N524" s="106"/>
      <c r="O524" s="106"/>
      <c r="P524" s="106"/>
      <c r="Q524" s="106" t="n">
        <v>101</v>
      </c>
      <c r="R524" s="106" t="s">
        <v>4285</v>
      </c>
    </row>
    <row r="525" customFormat="false" ht="15" hidden="false" customHeight="false" outlineLevel="0" collapsed="false">
      <c r="A525" s="106" t="s">
        <v>5238</v>
      </c>
      <c r="B525" s="106" t="s">
        <v>4329</v>
      </c>
      <c r="C525" s="106"/>
      <c r="D525" s="106"/>
      <c r="E525" s="107" t="n">
        <v>358</v>
      </c>
      <c r="F525" s="106" t="n">
        <v>26</v>
      </c>
      <c r="G525" s="118" t="n">
        <v>0.0726</v>
      </c>
      <c r="H525" s="116" t="n">
        <v>0.64</v>
      </c>
      <c r="I525" s="106" t="n">
        <v>0</v>
      </c>
      <c r="J525" s="117" t="n">
        <v>0</v>
      </c>
      <c r="K525" s="108" t="n">
        <v>16.63</v>
      </c>
      <c r="L525" s="108" t="n">
        <v>0</v>
      </c>
      <c r="M525" s="117"/>
      <c r="N525" s="106"/>
      <c r="O525" s="106"/>
      <c r="P525" s="106"/>
      <c r="Q525" s="106"/>
      <c r="R525" s="106" t="s">
        <v>4289</v>
      </c>
    </row>
    <row r="526" customFormat="false" ht="15" hidden="false" customHeight="false" outlineLevel="0" collapsed="false">
      <c r="A526" s="106" t="s">
        <v>5239</v>
      </c>
      <c r="B526" s="106" t="s">
        <v>4309</v>
      </c>
      <c r="C526" s="106"/>
      <c r="D526" s="106" t="n">
        <v>4962</v>
      </c>
      <c r="E526" s="107" t="n">
        <v>1034</v>
      </c>
      <c r="F526" s="106" t="n">
        <v>25</v>
      </c>
      <c r="G526" s="118" t="n">
        <v>0.0242</v>
      </c>
      <c r="H526" s="116" t="n">
        <v>0.78</v>
      </c>
      <c r="I526" s="106" t="n">
        <v>0</v>
      </c>
      <c r="J526" s="117" t="n">
        <v>0</v>
      </c>
      <c r="K526" s="108" t="n">
        <v>19.44</v>
      </c>
      <c r="L526" s="108" t="n">
        <v>0</v>
      </c>
      <c r="M526" s="117"/>
      <c r="N526" s="106"/>
      <c r="O526" s="106"/>
      <c r="P526" s="106"/>
      <c r="Q526" s="106"/>
      <c r="R526" s="106" t="s">
        <v>4289</v>
      </c>
    </row>
    <row r="527" customFormat="false" ht="15" hidden="false" customHeight="false" outlineLevel="0" collapsed="false">
      <c r="A527" s="106" t="s">
        <v>4810</v>
      </c>
      <c r="B527" s="106" t="s">
        <v>4329</v>
      </c>
      <c r="C527" s="106" t="s">
        <v>4288</v>
      </c>
      <c r="D527" s="106" t="n">
        <v>2922</v>
      </c>
      <c r="E527" s="107" t="n">
        <v>380</v>
      </c>
      <c r="F527" s="106" t="n">
        <v>25</v>
      </c>
      <c r="G527" s="118" t="n">
        <v>0.0658</v>
      </c>
      <c r="H527" s="116" t="n">
        <v>0.79</v>
      </c>
      <c r="I527" s="106" t="n">
        <v>0</v>
      </c>
      <c r="J527" s="117" t="n">
        <v>0</v>
      </c>
      <c r="K527" s="108" t="n">
        <v>19.82</v>
      </c>
      <c r="L527" s="108" t="n">
        <v>0</v>
      </c>
      <c r="M527" s="117"/>
      <c r="N527" s="106"/>
      <c r="O527" s="106" t="n">
        <v>89</v>
      </c>
      <c r="P527" s="106"/>
      <c r="Q527" s="106" t="n">
        <v>101</v>
      </c>
      <c r="R527" s="106" t="s">
        <v>4289</v>
      </c>
    </row>
    <row r="528" customFormat="false" ht="15" hidden="false" customHeight="false" outlineLevel="0" collapsed="false">
      <c r="A528" s="106" t="s">
        <v>4520</v>
      </c>
      <c r="B528" s="106" t="s">
        <v>4280</v>
      </c>
      <c r="C528" s="106" t="s">
        <v>4288</v>
      </c>
      <c r="D528" s="106" t="n">
        <v>901</v>
      </c>
      <c r="E528" s="107" t="n">
        <v>1673</v>
      </c>
      <c r="F528" s="106" t="n">
        <v>23</v>
      </c>
      <c r="G528" s="118" t="n">
        <v>0.0137</v>
      </c>
      <c r="H528" s="116" t="n">
        <v>1.98</v>
      </c>
      <c r="I528" s="106" t="n">
        <v>1</v>
      </c>
      <c r="J528" s="117" t="n">
        <v>0.0435</v>
      </c>
      <c r="K528" s="108" t="n">
        <v>45.52</v>
      </c>
      <c r="L528" s="108" t="n">
        <v>84.99</v>
      </c>
      <c r="M528" s="117" t="n">
        <v>0.536</v>
      </c>
      <c r="N528" s="106" t="n">
        <v>40</v>
      </c>
      <c r="O528" s="106" t="n">
        <v>5</v>
      </c>
      <c r="P528" s="106" t="s">
        <v>4633</v>
      </c>
      <c r="Q528" s="106" t="n">
        <v>14</v>
      </c>
      <c r="R528" s="106" t="s">
        <v>4282</v>
      </c>
    </row>
    <row r="529" customFormat="false" ht="15" hidden="false" customHeight="false" outlineLevel="0" collapsed="false">
      <c r="A529" s="106" t="s">
        <v>4863</v>
      </c>
      <c r="B529" s="106" t="s">
        <v>4280</v>
      </c>
      <c r="C529" s="106" t="s">
        <v>4281</v>
      </c>
      <c r="D529" s="106" t="n">
        <v>766</v>
      </c>
      <c r="E529" s="107" t="n">
        <v>4070</v>
      </c>
      <c r="F529" s="106" t="n">
        <v>22</v>
      </c>
      <c r="G529" s="118" t="n">
        <v>0.0054</v>
      </c>
      <c r="H529" s="116" t="n">
        <v>1.63</v>
      </c>
      <c r="I529" s="106" t="n">
        <v>1</v>
      </c>
      <c r="J529" s="117" t="n">
        <v>0.0455</v>
      </c>
      <c r="K529" s="108" t="n">
        <v>35.8</v>
      </c>
      <c r="L529" s="108" t="n">
        <v>74.99</v>
      </c>
      <c r="M529" s="117" t="n">
        <v>0.477</v>
      </c>
      <c r="N529" s="106" t="n">
        <v>54</v>
      </c>
      <c r="O529" s="106" t="n">
        <v>5</v>
      </c>
      <c r="P529" s="106" t="s">
        <v>4633</v>
      </c>
      <c r="Q529" s="106" t="n">
        <v>61</v>
      </c>
      <c r="R529" s="106" t="s">
        <v>4282</v>
      </c>
    </row>
    <row r="530" customFormat="false" ht="15" hidden="false" customHeight="false" outlineLevel="0" collapsed="false">
      <c r="A530" s="106" t="s">
        <v>5240</v>
      </c>
      <c r="B530" s="106" t="s">
        <v>4280</v>
      </c>
      <c r="C530" s="106" t="s">
        <v>4281</v>
      </c>
      <c r="D530" s="106" t="n">
        <v>501</v>
      </c>
      <c r="E530" s="107" t="n">
        <v>627</v>
      </c>
      <c r="F530" s="106" t="n">
        <v>21</v>
      </c>
      <c r="G530" s="118" t="n">
        <v>0.0335</v>
      </c>
      <c r="H530" s="116" t="n">
        <v>1.84</v>
      </c>
      <c r="I530" s="106" t="n">
        <v>4</v>
      </c>
      <c r="J530" s="117" t="n">
        <v>0.1905</v>
      </c>
      <c r="K530" s="108" t="n">
        <v>38.69</v>
      </c>
      <c r="L530" s="108" t="n">
        <v>314.96</v>
      </c>
      <c r="M530" s="117" t="n">
        <v>0.123</v>
      </c>
      <c r="N530" s="106"/>
      <c r="O530" s="106"/>
      <c r="P530" s="106"/>
      <c r="Q530" s="106"/>
      <c r="R530" s="106" t="s">
        <v>4285</v>
      </c>
    </row>
    <row r="531" customFormat="false" ht="15" hidden="false" customHeight="false" outlineLevel="0" collapsed="false">
      <c r="A531" s="106" t="s">
        <v>5241</v>
      </c>
      <c r="B531" s="106" t="s">
        <v>1403</v>
      </c>
      <c r="C531" s="106"/>
      <c r="D531" s="106" t="n">
        <v>5920</v>
      </c>
      <c r="E531" s="107" t="n">
        <v>264</v>
      </c>
      <c r="F531" s="106" t="n">
        <v>20</v>
      </c>
      <c r="G531" s="118" t="n">
        <v>0.0758</v>
      </c>
      <c r="H531" s="116" t="n">
        <v>0.78</v>
      </c>
      <c r="I531" s="106" t="n">
        <v>0</v>
      </c>
      <c r="J531" s="117" t="n">
        <v>0</v>
      </c>
      <c r="K531" s="108" t="n">
        <v>15.59</v>
      </c>
      <c r="L531" s="108" t="n">
        <v>0</v>
      </c>
      <c r="M531" s="117"/>
      <c r="N531" s="106"/>
      <c r="O531" s="106"/>
      <c r="P531" s="106"/>
      <c r="Q531" s="106"/>
      <c r="R531" s="106" t="s">
        <v>4289</v>
      </c>
    </row>
    <row r="532" customFormat="false" ht="15" hidden="false" customHeight="false" outlineLevel="0" collapsed="false">
      <c r="A532" s="106" t="s">
        <v>1176</v>
      </c>
      <c r="B532" s="106" t="s">
        <v>4280</v>
      </c>
      <c r="C532" s="106" t="s">
        <v>4364</v>
      </c>
      <c r="D532" s="106" t="n">
        <v>1025</v>
      </c>
      <c r="E532" s="107" t="n">
        <v>159</v>
      </c>
      <c r="F532" s="106" t="n">
        <v>19</v>
      </c>
      <c r="G532" s="118" t="n">
        <v>0.1195</v>
      </c>
      <c r="H532" s="116" t="n">
        <v>2.9</v>
      </c>
      <c r="I532" s="106" t="n">
        <v>0</v>
      </c>
      <c r="J532" s="117" t="n">
        <v>0</v>
      </c>
      <c r="K532" s="108" t="n">
        <v>55.13</v>
      </c>
      <c r="L532" s="108" t="n">
        <v>0</v>
      </c>
      <c r="M532" s="117"/>
      <c r="N532" s="106" t="n">
        <v>6</v>
      </c>
      <c r="O532" s="106" t="n">
        <v>1</v>
      </c>
      <c r="P532" s="106" t="s">
        <v>4625</v>
      </c>
      <c r="Q532" s="106" t="n">
        <v>3</v>
      </c>
      <c r="R532" s="106" t="s">
        <v>4289</v>
      </c>
    </row>
    <row r="533" customFormat="false" ht="15" hidden="false" customHeight="false" outlineLevel="0" collapsed="false">
      <c r="A533" s="106" t="s">
        <v>5242</v>
      </c>
      <c r="B533" s="106" t="s">
        <v>4329</v>
      </c>
      <c r="C533" s="106"/>
      <c r="D533" s="106" t="n">
        <v>47</v>
      </c>
      <c r="E533" s="107" t="n">
        <v>62</v>
      </c>
      <c r="F533" s="106" t="n">
        <v>19</v>
      </c>
      <c r="G533" s="118" t="n">
        <v>0.3065</v>
      </c>
      <c r="H533" s="116" t="n">
        <v>4.8</v>
      </c>
      <c r="I533" s="106" t="n">
        <v>2</v>
      </c>
      <c r="J533" s="117" t="n">
        <v>0.1053</v>
      </c>
      <c r="K533" s="108" t="n">
        <v>91.22</v>
      </c>
      <c r="L533" s="108" t="n">
        <v>145.98</v>
      </c>
      <c r="M533" s="117" t="n">
        <v>0.625</v>
      </c>
      <c r="N533" s="106"/>
      <c r="O533" s="106"/>
      <c r="P533" s="106"/>
      <c r="Q533" s="106"/>
      <c r="R533" s="106" t="s">
        <v>4289</v>
      </c>
    </row>
    <row r="534" customFormat="false" ht="15" hidden="false" customHeight="false" outlineLevel="0" collapsed="false">
      <c r="A534" s="106" t="s">
        <v>5243</v>
      </c>
      <c r="B534" s="106" t="s">
        <v>4329</v>
      </c>
      <c r="C534" s="106"/>
      <c r="D534" s="106" t="n">
        <v>82</v>
      </c>
      <c r="E534" s="107" t="n">
        <v>127</v>
      </c>
      <c r="F534" s="106" t="n">
        <v>18</v>
      </c>
      <c r="G534" s="118" t="n">
        <v>0.1417</v>
      </c>
      <c r="H534" s="116" t="n">
        <v>2.35</v>
      </c>
      <c r="I534" s="106" t="n">
        <v>5</v>
      </c>
      <c r="J534" s="117" t="n">
        <v>0.2778</v>
      </c>
      <c r="K534" s="108" t="n">
        <v>42.22</v>
      </c>
      <c r="L534" s="108" t="n">
        <v>221.95</v>
      </c>
      <c r="M534" s="117" t="n">
        <v>0.19</v>
      </c>
      <c r="N534" s="106"/>
      <c r="O534" s="106"/>
      <c r="P534" s="106"/>
      <c r="Q534" s="106"/>
      <c r="R534" s="106" t="s">
        <v>4285</v>
      </c>
    </row>
    <row r="535" customFormat="false" ht="15" hidden="false" customHeight="false" outlineLevel="0" collapsed="false">
      <c r="A535" s="106" t="s">
        <v>1331</v>
      </c>
      <c r="B535" s="106" t="s">
        <v>4280</v>
      </c>
      <c r="C535" s="106" t="s">
        <v>4301</v>
      </c>
      <c r="D535" s="106" t="n">
        <v>659</v>
      </c>
      <c r="E535" s="107" t="n">
        <v>235</v>
      </c>
      <c r="F535" s="106" t="n">
        <v>18</v>
      </c>
      <c r="G535" s="118" t="n">
        <v>0.0766</v>
      </c>
      <c r="H535" s="116" t="n">
        <v>3.4</v>
      </c>
      <c r="I535" s="106" t="n">
        <v>0</v>
      </c>
      <c r="J535" s="117" t="n">
        <v>0</v>
      </c>
      <c r="K535" s="108" t="n">
        <v>61.24</v>
      </c>
      <c r="L535" s="108" t="n">
        <v>0</v>
      </c>
      <c r="M535" s="117"/>
      <c r="N535" s="106" t="n">
        <v>21</v>
      </c>
      <c r="O535" s="106" t="n">
        <v>4</v>
      </c>
      <c r="P535" s="106" t="s">
        <v>4631</v>
      </c>
      <c r="Q535" s="106" t="n">
        <v>17</v>
      </c>
      <c r="R535" s="106" t="s">
        <v>4289</v>
      </c>
    </row>
    <row r="536" customFormat="false" ht="15" hidden="false" customHeight="false" outlineLevel="0" collapsed="false">
      <c r="A536" s="106" t="s">
        <v>682</v>
      </c>
      <c r="B536" s="106" t="s">
        <v>4280</v>
      </c>
      <c r="C536" s="106" t="s">
        <v>4301</v>
      </c>
      <c r="D536" s="106" t="n">
        <v>1023</v>
      </c>
      <c r="E536" s="107" t="n">
        <v>231</v>
      </c>
      <c r="F536" s="106" t="n">
        <v>18</v>
      </c>
      <c r="G536" s="118" t="n">
        <v>0.0779</v>
      </c>
      <c r="H536" s="116" t="n">
        <v>3.23</v>
      </c>
      <c r="I536" s="106" t="n">
        <v>1</v>
      </c>
      <c r="J536" s="117" t="n">
        <v>0.0556</v>
      </c>
      <c r="K536" s="108" t="n">
        <v>58.14</v>
      </c>
      <c r="L536" s="108" t="n">
        <v>84.99</v>
      </c>
      <c r="M536" s="117" t="n">
        <v>0.684</v>
      </c>
      <c r="N536" s="106" t="n">
        <v>17</v>
      </c>
      <c r="O536" s="106" t="n">
        <v>3</v>
      </c>
      <c r="P536" s="106" t="s">
        <v>4623</v>
      </c>
      <c r="Q536" s="106" t="n">
        <v>17</v>
      </c>
      <c r="R536" s="106" t="s">
        <v>4289</v>
      </c>
    </row>
    <row r="537" customFormat="false" ht="15" hidden="false" customHeight="false" outlineLevel="0" collapsed="false">
      <c r="A537" s="106" t="s">
        <v>5244</v>
      </c>
      <c r="B537" s="106" t="s">
        <v>4280</v>
      </c>
      <c r="C537" s="106"/>
      <c r="D537" s="106" t="n">
        <v>118</v>
      </c>
      <c r="E537" s="107" t="n">
        <v>303</v>
      </c>
      <c r="F537" s="106" t="n">
        <v>18</v>
      </c>
      <c r="G537" s="118" t="n">
        <v>0.0594</v>
      </c>
      <c r="H537" s="116" t="n">
        <v>2.97</v>
      </c>
      <c r="I537" s="106" t="n">
        <v>0</v>
      </c>
      <c r="J537" s="117" t="n">
        <v>0</v>
      </c>
      <c r="K537" s="108" t="n">
        <v>53.51</v>
      </c>
      <c r="L537" s="108" t="n">
        <v>0</v>
      </c>
      <c r="M537" s="117"/>
      <c r="N537" s="106"/>
      <c r="O537" s="106"/>
      <c r="P537" s="106"/>
      <c r="Q537" s="106"/>
      <c r="R537" s="106" t="s">
        <v>4289</v>
      </c>
    </row>
    <row r="538" customFormat="false" ht="15" hidden="false" customHeight="false" outlineLevel="0" collapsed="false">
      <c r="A538" s="106" t="s">
        <v>5245</v>
      </c>
      <c r="B538" s="106" t="s">
        <v>1403</v>
      </c>
      <c r="C538" s="106"/>
      <c r="D538" s="106" t="n">
        <v>6</v>
      </c>
      <c r="E538" s="107" t="n">
        <v>339</v>
      </c>
      <c r="F538" s="106" t="n">
        <v>17</v>
      </c>
      <c r="G538" s="118" t="n">
        <v>0.0501</v>
      </c>
      <c r="H538" s="116" t="n">
        <v>2</v>
      </c>
      <c r="I538" s="106" t="n">
        <v>1</v>
      </c>
      <c r="J538" s="117" t="n">
        <v>0.0588</v>
      </c>
      <c r="K538" s="108" t="n">
        <v>34.06</v>
      </c>
      <c r="L538" s="108" t="n">
        <v>21.99</v>
      </c>
      <c r="M538" s="117" t="n">
        <v>1.549</v>
      </c>
      <c r="N538" s="106"/>
      <c r="O538" s="106"/>
      <c r="P538" s="106"/>
      <c r="Q538" s="106"/>
      <c r="R538" s="106" t="s">
        <v>4289</v>
      </c>
    </row>
    <row r="539" customFormat="false" ht="15" hidden="false" customHeight="false" outlineLevel="0" collapsed="false">
      <c r="A539" s="106" t="s">
        <v>5246</v>
      </c>
      <c r="B539" s="106" t="s">
        <v>1403</v>
      </c>
      <c r="C539" s="106"/>
      <c r="D539" s="106" t="n">
        <v>529</v>
      </c>
      <c r="E539" s="107" t="n">
        <v>913</v>
      </c>
      <c r="F539" s="106" t="n">
        <v>17</v>
      </c>
      <c r="G539" s="118" t="n">
        <v>0.0186</v>
      </c>
      <c r="H539" s="116" t="n">
        <v>0.92</v>
      </c>
      <c r="I539" s="106" t="n">
        <v>4</v>
      </c>
      <c r="J539" s="117" t="n">
        <v>0.2353</v>
      </c>
      <c r="K539" s="108" t="n">
        <v>15.59</v>
      </c>
      <c r="L539" s="108" t="n">
        <v>271.96</v>
      </c>
      <c r="M539" s="117" t="n">
        <v>0.057</v>
      </c>
      <c r="N539" s="106"/>
      <c r="O539" s="106"/>
      <c r="P539" s="106"/>
      <c r="Q539" s="106"/>
      <c r="R539" s="106" t="s">
        <v>4285</v>
      </c>
    </row>
    <row r="540" customFormat="false" ht="15" hidden="false" customHeight="false" outlineLevel="0" collapsed="false">
      <c r="A540" s="106" t="s">
        <v>5247</v>
      </c>
      <c r="B540" s="106" t="s">
        <v>4329</v>
      </c>
      <c r="C540" s="106"/>
      <c r="D540" s="106" t="n">
        <v>67</v>
      </c>
      <c r="E540" s="107" t="n">
        <v>307</v>
      </c>
      <c r="F540" s="106" t="n">
        <v>17</v>
      </c>
      <c r="G540" s="118" t="n">
        <v>0.0554</v>
      </c>
      <c r="H540" s="116" t="n">
        <v>2.13</v>
      </c>
      <c r="I540" s="106" t="n">
        <v>1</v>
      </c>
      <c r="J540" s="117" t="n">
        <v>0.0588</v>
      </c>
      <c r="K540" s="108" t="n">
        <v>36.23</v>
      </c>
      <c r="L540" s="108" t="n">
        <v>79.99</v>
      </c>
      <c r="M540" s="117" t="n">
        <v>0.453</v>
      </c>
      <c r="N540" s="106"/>
      <c r="O540" s="106"/>
      <c r="P540" s="106"/>
      <c r="Q540" s="106"/>
      <c r="R540" s="106" t="s">
        <v>4282</v>
      </c>
    </row>
    <row r="541" customFormat="false" ht="15" hidden="false" customHeight="false" outlineLevel="0" collapsed="false">
      <c r="A541" s="106" t="s">
        <v>5248</v>
      </c>
      <c r="B541" s="106" t="s">
        <v>4284</v>
      </c>
      <c r="C541" s="106"/>
      <c r="D541" s="106" t="n">
        <v>163</v>
      </c>
      <c r="E541" s="107" t="n">
        <v>1381</v>
      </c>
      <c r="F541" s="106" t="n">
        <v>16</v>
      </c>
      <c r="G541" s="118" t="n">
        <v>0.0116</v>
      </c>
      <c r="H541" s="116" t="n">
        <v>0.79</v>
      </c>
      <c r="I541" s="106" t="n">
        <v>0</v>
      </c>
      <c r="J541" s="117" t="n">
        <v>0</v>
      </c>
      <c r="K541" s="108" t="n">
        <v>12.56</v>
      </c>
      <c r="L541" s="108" t="n">
        <v>0</v>
      </c>
      <c r="M541" s="117"/>
      <c r="N541" s="106"/>
      <c r="O541" s="106"/>
      <c r="P541" s="106"/>
      <c r="Q541" s="106"/>
      <c r="R541" s="106" t="s">
        <v>4289</v>
      </c>
    </row>
    <row r="542" customFormat="false" ht="15" hidden="false" customHeight="false" outlineLevel="0" collapsed="false">
      <c r="A542" s="106" t="s">
        <v>5249</v>
      </c>
      <c r="B542" s="106" t="s">
        <v>4329</v>
      </c>
      <c r="C542" s="106"/>
      <c r="D542" s="106" t="n">
        <v>70</v>
      </c>
      <c r="E542" s="107" t="n">
        <v>69</v>
      </c>
      <c r="F542" s="106" t="n">
        <v>16</v>
      </c>
      <c r="G542" s="118" t="n">
        <v>0.2319</v>
      </c>
      <c r="H542" s="116" t="n">
        <v>4.14</v>
      </c>
      <c r="I542" s="106" t="n">
        <v>1</v>
      </c>
      <c r="J542" s="117" t="n">
        <v>0.0625</v>
      </c>
      <c r="K542" s="108" t="n">
        <v>66.27</v>
      </c>
      <c r="L542" s="108" t="n">
        <v>84.99</v>
      </c>
      <c r="M542" s="117" t="n">
        <v>0.78</v>
      </c>
      <c r="N542" s="106"/>
      <c r="O542" s="106"/>
      <c r="P542" s="106"/>
      <c r="Q542" s="106"/>
      <c r="R542" s="106" t="s">
        <v>4289</v>
      </c>
    </row>
    <row r="543" customFormat="false" ht="15" hidden="false" customHeight="false" outlineLevel="0" collapsed="false">
      <c r="A543" s="106" t="s">
        <v>5250</v>
      </c>
      <c r="B543" s="106" t="s">
        <v>4280</v>
      </c>
      <c r="C543" s="106"/>
      <c r="D543" s="106" t="n">
        <v>72</v>
      </c>
      <c r="E543" s="107" t="n">
        <v>72</v>
      </c>
      <c r="F543" s="106" t="n">
        <v>16</v>
      </c>
      <c r="G543" s="118" t="n">
        <v>0.2222</v>
      </c>
      <c r="H543" s="116" t="n">
        <v>2.41</v>
      </c>
      <c r="I543" s="106" t="n">
        <v>1</v>
      </c>
      <c r="J543" s="117" t="n">
        <v>0.0625</v>
      </c>
      <c r="K543" s="108" t="n">
        <v>38.56</v>
      </c>
      <c r="L543" s="108" t="n">
        <v>64.99</v>
      </c>
      <c r="M543" s="117" t="n">
        <v>0.593</v>
      </c>
      <c r="N543" s="106"/>
      <c r="O543" s="106"/>
      <c r="P543" s="106"/>
      <c r="Q543" s="106"/>
      <c r="R543" s="106" t="s">
        <v>4282</v>
      </c>
    </row>
    <row r="544" customFormat="false" ht="15" hidden="false" customHeight="false" outlineLevel="0" collapsed="false">
      <c r="A544" s="106" t="s">
        <v>5251</v>
      </c>
      <c r="B544" s="106" t="s">
        <v>4284</v>
      </c>
      <c r="C544" s="106"/>
      <c r="D544" s="106" t="n">
        <v>214</v>
      </c>
      <c r="E544" s="107" t="n">
        <v>38</v>
      </c>
      <c r="F544" s="106" t="n">
        <v>15</v>
      </c>
      <c r="G544" s="118" t="n">
        <v>0.3947</v>
      </c>
      <c r="H544" s="116" t="n">
        <v>0.86</v>
      </c>
      <c r="I544" s="106" t="n">
        <v>3</v>
      </c>
      <c r="J544" s="117" t="n">
        <v>0.2</v>
      </c>
      <c r="K544" s="108" t="n">
        <v>12.85</v>
      </c>
      <c r="L544" s="108" t="n">
        <v>289.96</v>
      </c>
      <c r="M544" s="117" t="n">
        <v>0.044</v>
      </c>
      <c r="N544" s="106"/>
      <c r="O544" s="106"/>
      <c r="P544" s="106"/>
      <c r="Q544" s="106"/>
      <c r="R544" s="106" t="s">
        <v>4285</v>
      </c>
    </row>
    <row r="545" customFormat="false" ht="15" hidden="false" customHeight="false" outlineLevel="0" collapsed="false">
      <c r="A545" s="106" t="s">
        <v>5252</v>
      </c>
      <c r="B545" s="106" t="s">
        <v>4280</v>
      </c>
      <c r="C545" s="106"/>
      <c r="D545" s="106" t="n">
        <v>15</v>
      </c>
      <c r="E545" s="107" t="n">
        <v>57</v>
      </c>
      <c r="F545" s="106" t="n">
        <v>15</v>
      </c>
      <c r="G545" s="118" t="n">
        <v>0.2632</v>
      </c>
      <c r="H545" s="116" t="n">
        <v>3.52</v>
      </c>
      <c r="I545" s="106" t="n">
        <v>2</v>
      </c>
      <c r="J545" s="117" t="n">
        <v>0.1333</v>
      </c>
      <c r="K545" s="108" t="n">
        <v>52.81</v>
      </c>
      <c r="L545" s="108" t="n">
        <v>254.97</v>
      </c>
      <c r="M545" s="117" t="n">
        <v>0.207</v>
      </c>
      <c r="N545" s="106"/>
      <c r="O545" s="106"/>
      <c r="P545" s="106"/>
      <c r="Q545" s="106"/>
      <c r="R545" s="106" t="s">
        <v>4285</v>
      </c>
    </row>
    <row r="546" customFormat="false" ht="15" hidden="false" customHeight="false" outlineLevel="0" collapsed="false">
      <c r="A546" s="106" t="s">
        <v>4904</v>
      </c>
      <c r="B546" s="106" t="s">
        <v>4280</v>
      </c>
      <c r="C546" s="106" t="s">
        <v>4281</v>
      </c>
      <c r="D546" s="106" t="n">
        <v>535</v>
      </c>
      <c r="E546" s="107" t="n">
        <v>1417</v>
      </c>
      <c r="F546" s="106" t="n">
        <v>15</v>
      </c>
      <c r="G546" s="118" t="n">
        <v>0.0106</v>
      </c>
      <c r="H546" s="116" t="n">
        <v>1.96</v>
      </c>
      <c r="I546" s="106" t="n">
        <v>1</v>
      </c>
      <c r="J546" s="117" t="n">
        <v>0.0667</v>
      </c>
      <c r="K546" s="108" t="n">
        <v>29.45</v>
      </c>
      <c r="L546" s="108" t="n">
        <v>79.99</v>
      </c>
      <c r="M546" s="117" t="n">
        <v>0.368</v>
      </c>
      <c r="N546" s="106" t="n">
        <v>74</v>
      </c>
      <c r="O546" s="106" t="n">
        <v>34</v>
      </c>
      <c r="P546" s="106"/>
      <c r="Q546" s="106" t="n">
        <v>101</v>
      </c>
      <c r="R546" s="106" t="s">
        <v>4291</v>
      </c>
    </row>
    <row r="547" customFormat="false" ht="15" hidden="false" customHeight="false" outlineLevel="0" collapsed="false">
      <c r="A547" s="106" t="s">
        <v>1276</v>
      </c>
      <c r="B547" s="106" t="s">
        <v>4280</v>
      </c>
      <c r="C547" s="106" t="s">
        <v>4301</v>
      </c>
      <c r="D547" s="106" t="n">
        <v>1109</v>
      </c>
      <c r="E547" s="107" t="n">
        <v>126</v>
      </c>
      <c r="F547" s="106" t="n">
        <v>14</v>
      </c>
      <c r="G547" s="118" t="n">
        <v>0.1111</v>
      </c>
      <c r="H547" s="116" t="n">
        <v>3.42</v>
      </c>
      <c r="I547" s="106" t="n">
        <v>4</v>
      </c>
      <c r="J547" s="117" t="n">
        <v>0.2857</v>
      </c>
      <c r="K547" s="108" t="n">
        <v>47.92</v>
      </c>
      <c r="L547" s="108" t="n">
        <v>334.96</v>
      </c>
      <c r="M547" s="117" t="n">
        <v>0.143</v>
      </c>
      <c r="N547" s="106" t="n">
        <v>62</v>
      </c>
      <c r="O547" s="106" t="n">
        <v>9</v>
      </c>
      <c r="P547" s="106" t="s">
        <v>4815</v>
      </c>
      <c r="Q547" s="106" t="n">
        <v>19</v>
      </c>
      <c r="R547" s="106" t="s">
        <v>4285</v>
      </c>
    </row>
    <row r="548" customFormat="false" ht="15" hidden="false" customHeight="false" outlineLevel="0" collapsed="false">
      <c r="A548" s="106" t="s">
        <v>1092</v>
      </c>
      <c r="B548" s="106" t="s">
        <v>4280</v>
      </c>
      <c r="C548" s="106" t="s">
        <v>4281</v>
      </c>
      <c r="D548" s="106" t="n">
        <v>677</v>
      </c>
      <c r="E548" s="107" t="n">
        <v>232</v>
      </c>
      <c r="F548" s="106" t="n">
        <v>14</v>
      </c>
      <c r="G548" s="118" t="n">
        <v>0.0603</v>
      </c>
      <c r="H548" s="116" t="n">
        <v>2.25</v>
      </c>
      <c r="I548" s="106" t="n">
        <v>0</v>
      </c>
      <c r="J548" s="117" t="n">
        <v>0</v>
      </c>
      <c r="K548" s="108" t="n">
        <v>31.54</v>
      </c>
      <c r="L548" s="108" t="n">
        <v>0</v>
      </c>
      <c r="M548" s="117"/>
      <c r="N548" s="106" t="n">
        <v>47</v>
      </c>
      <c r="O548" s="106" t="n">
        <v>10</v>
      </c>
      <c r="P548" s="106" t="s">
        <v>3882</v>
      </c>
      <c r="Q548" s="106" t="n">
        <v>73</v>
      </c>
      <c r="R548" s="106" t="s">
        <v>4289</v>
      </c>
    </row>
    <row r="549" customFormat="false" ht="15" hidden="false" customHeight="false" outlineLevel="0" collapsed="false">
      <c r="A549" s="106" t="s">
        <v>5253</v>
      </c>
      <c r="B549" s="106" t="s">
        <v>4280</v>
      </c>
      <c r="C549" s="106" t="s">
        <v>4288</v>
      </c>
      <c r="D549" s="106" t="n">
        <v>285</v>
      </c>
      <c r="E549" s="107" t="n">
        <v>1404</v>
      </c>
      <c r="F549" s="106" t="n">
        <v>14</v>
      </c>
      <c r="G549" s="118" t="n">
        <v>0.01</v>
      </c>
      <c r="H549" s="116" t="n">
        <v>2.74</v>
      </c>
      <c r="I549" s="106" t="n">
        <v>2</v>
      </c>
      <c r="J549" s="117" t="n">
        <v>0.1429</v>
      </c>
      <c r="K549" s="108" t="n">
        <v>38.34</v>
      </c>
      <c r="L549" s="108" t="n">
        <v>134.98</v>
      </c>
      <c r="M549" s="117" t="n">
        <v>0.284</v>
      </c>
      <c r="N549" s="106"/>
      <c r="O549" s="106"/>
      <c r="P549" s="106"/>
      <c r="Q549" s="106"/>
      <c r="R549" s="106" t="s">
        <v>4285</v>
      </c>
    </row>
    <row r="550" customFormat="false" ht="15" hidden="false" customHeight="false" outlineLevel="0" collapsed="false">
      <c r="A550" s="106" t="s">
        <v>5254</v>
      </c>
      <c r="B550" s="106" t="s">
        <v>4284</v>
      </c>
      <c r="C550" s="106"/>
      <c r="D550" s="106"/>
      <c r="E550" s="107" t="n">
        <v>611</v>
      </c>
      <c r="F550" s="106" t="n">
        <v>14</v>
      </c>
      <c r="G550" s="118" t="n">
        <v>0.0229</v>
      </c>
      <c r="H550" s="116" t="n">
        <v>0.85</v>
      </c>
      <c r="I550" s="106" t="n">
        <v>0</v>
      </c>
      <c r="J550" s="117" t="n">
        <v>0</v>
      </c>
      <c r="K550" s="108" t="n">
        <v>11.88</v>
      </c>
      <c r="L550" s="108" t="n">
        <v>0</v>
      </c>
      <c r="M550" s="117"/>
      <c r="N550" s="106"/>
      <c r="O550" s="106"/>
      <c r="P550" s="106"/>
      <c r="Q550" s="106"/>
      <c r="R550" s="106" t="s">
        <v>4537</v>
      </c>
    </row>
    <row r="551" customFormat="false" ht="15" hidden="false" customHeight="false" outlineLevel="0" collapsed="false">
      <c r="A551" s="106" t="s">
        <v>5255</v>
      </c>
      <c r="B551" s="106" t="s">
        <v>4280</v>
      </c>
      <c r="C551" s="106" t="s">
        <v>4364</v>
      </c>
      <c r="D551" s="106" t="n">
        <v>537</v>
      </c>
      <c r="E551" s="107" t="n">
        <v>1002</v>
      </c>
      <c r="F551" s="106" t="n">
        <v>14</v>
      </c>
      <c r="G551" s="118" t="n">
        <v>0.014</v>
      </c>
      <c r="H551" s="116" t="n">
        <v>2.08</v>
      </c>
      <c r="I551" s="106" t="n">
        <v>2</v>
      </c>
      <c r="J551" s="117" t="n">
        <v>0.1429</v>
      </c>
      <c r="K551" s="108" t="n">
        <v>29.09</v>
      </c>
      <c r="L551" s="108" t="n">
        <v>164.98</v>
      </c>
      <c r="M551" s="117" t="n">
        <v>0.176</v>
      </c>
      <c r="N551" s="106"/>
      <c r="O551" s="106"/>
      <c r="P551" s="106"/>
      <c r="Q551" s="106"/>
      <c r="R551" s="106" t="s">
        <v>4285</v>
      </c>
    </row>
    <row r="552" customFormat="false" ht="15" hidden="false" customHeight="false" outlineLevel="0" collapsed="false">
      <c r="A552" s="106" t="s">
        <v>5256</v>
      </c>
      <c r="B552" s="106" t="s">
        <v>4280</v>
      </c>
      <c r="C552" s="106"/>
      <c r="D552" s="106" t="n">
        <v>38</v>
      </c>
      <c r="E552" s="107" t="n">
        <v>82</v>
      </c>
      <c r="F552" s="106" t="n">
        <v>14</v>
      </c>
      <c r="G552" s="118" t="n">
        <v>0.1707</v>
      </c>
      <c r="H552" s="116" t="n">
        <v>4.13</v>
      </c>
      <c r="I552" s="106" t="n">
        <v>2</v>
      </c>
      <c r="J552" s="117" t="n">
        <v>0.1429</v>
      </c>
      <c r="K552" s="108" t="n">
        <v>57.8</v>
      </c>
      <c r="L552" s="108" t="n">
        <v>161.98</v>
      </c>
      <c r="M552" s="117" t="n">
        <v>0.357</v>
      </c>
      <c r="N552" s="106"/>
      <c r="O552" s="106"/>
      <c r="P552" s="106"/>
      <c r="Q552" s="106"/>
      <c r="R552" s="106" t="s">
        <v>4291</v>
      </c>
    </row>
    <row r="553" customFormat="false" ht="15" hidden="false" customHeight="false" outlineLevel="0" collapsed="false">
      <c r="A553" s="106" t="s">
        <v>5257</v>
      </c>
      <c r="B553" s="106" t="s">
        <v>4280</v>
      </c>
      <c r="C553" s="106"/>
      <c r="D553" s="106" t="n">
        <v>34</v>
      </c>
      <c r="E553" s="107" t="n">
        <v>44</v>
      </c>
      <c r="F553" s="106" t="n">
        <v>13</v>
      </c>
      <c r="G553" s="118" t="n">
        <v>0.2955</v>
      </c>
      <c r="H553" s="116" t="n">
        <v>3.72</v>
      </c>
      <c r="I553" s="106" t="n">
        <v>0</v>
      </c>
      <c r="J553" s="117" t="n">
        <v>0</v>
      </c>
      <c r="K553" s="108" t="n">
        <v>48.31</v>
      </c>
      <c r="L553" s="108" t="n">
        <v>0</v>
      </c>
      <c r="M553" s="117"/>
      <c r="N553" s="106"/>
      <c r="O553" s="106"/>
      <c r="P553" s="106"/>
      <c r="Q553" s="106"/>
      <c r="R553" s="106" t="s">
        <v>4289</v>
      </c>
    </row>
    <row r="554" customFormat="false" ht="15" hidden="false" customHeight="false" outlineLevel="0" collapsed="false">
      <c r="A554" s="106" t="s">
        <v>812</v>
      </c>
      <c r="B554" s="106" t="s">
        <v>4280</v>
      </c>
      <c r="C554" s="106" t="s">
        <v>4281</v>
      </c>
      <c r="D554" s="106" t="n">
        <v>588</v>
      </c>
      <c r="E554" s="107" t="n">
        <v>456</v>
      </c>
      <c r="F554" s="106" t="n">
        <v>13</v>
      </c>
      <c r="G554" s="118" t="n">
        <v>0.0285</v>
      </c>
      <c r="H554" s="116" t="n">
        <v>2.45</v>
      </c>
      <c r="I554" s="106" t="n">
        <v>0</v>
      </c>
      <c r="J554" s="117" t="n">
        <v>0</v>
      </c>
      <c r="K554" s="108" t="n">
        <v>31.9</v>
      </c>
      <c r="L554" s="108" t="n">
        <v>0</v>
      </c>
      <c r="M554" s="117"/>
      <c r="N554" s="106" t="n">
        <v>9</v>
      </c>
      <c r="O554" s="106" t="n">
        <v>3</v>
      </c>
      <c r="P554" s="106" t="s">
        <v>4633</v>
      </c>
      <c r="Q554" s="106" t="n">
        <v>10</v>
      </c>
      <c r="R554" s="106" t="s">
        <v>4289</v>
      </c>
    </row>
    <row r="555" customFormat="false" ht="15" hidden="false" customHeight="false" outlineLevel="0" collapsed="false">
      <c r="A555" s="106" t="s">
        <v>1309</v>
      </c>
      <c r="B555" s="106" t="s">
        <v>4280</v>
      </c>
      <c r="C555" s="106" t="s">
        <v>4301</v>
      </c>
      <c r="D555" s="106" t="n">
        <v>1023</v>
      </c>
      <c r="E555" s="107" t="n">
        <v>139</v>
      </c>
      <c r="F555" s="106" t="n">
        <v>13</v>
      </c>
      <c r="G555" s="118" t="n">
        <v>0.0935</v>
      </c>
      <c r="H555" s="116" t="n">
        <v>3.12</v>
      </c>
      <c r="I555" s="106" t="n">
        <v>4</v>
      </c>
      <c r="J555" s="117" t="n">
        <v>0.3077</v>
      </c>
      <c r="K555" s="108" t="n">
        <v>40.52</v>
      </c>
      <c r="L555" s="108" t="n">
        <v>314.96</v>
      </c>
      <c r="M555" s="117" t="n">
        <v>0.129</v>
      </c>
      <c r="N555" s="106" t="n">
        <v>33</v>
      </c>
      <c r="O555" s="106" t="n">
        <v>5</v>
      </c>
      <c r="P555" s="106" t="s">
        <v>4815</v>
      </c>
      <c r="Q555" s="106" t="n">
        <v>36</v>
      </c>
      <c r="R555" s="106" t="s">
        <v>4285</v>
      </c>
    </row>
    <row r="556" customFormat="false" ht="15" hidden="false" customHeight="false" outlineLevel="0" collapsed="false">
      <c r="A556" s="106" t="s">
        <v>463</v>
      </c>
      <c r="B556" s="106" t="s">
        <v>4280</v>
      </c>
      <c r="C556" s="106" t="s">
        <v>4364</v>
      </c>
      <c r="D556" s="106" t="n">
        <v>639</v>
      </c>
      <c r="E556" s="107" t="n">
        <v>3260</v>
      </c>
      <c r="F556" s="106" t="n">
        <v>13</v>
      </c>
      <c r="G556" s="118" t="n">
        <v>0.004</v>
      </c>
      <c r="H556" s="116" t="n">
        <v>2.05</v>
      </c>
      <c r="I556" s="106" t="n">
        <v>0</v>
      </c>
      <c r="J556" s="117" t="n">
        <v>0</v>
      </c>
      <c r="K556" s="108" t="n">
        <v>26.61</v>
      </c>
      <c r="L556" s="108" t="n">
        <v>0</v>
      </c>
      <c r="M556" s="117"/>
      <c r="N556" s="106" t="n">
        <v>10</v>
      </c>
      <c r="O556" s="106" t="n">
        <v>1</v>
      </c>
      <c r="P556" s="106" t="s">
        <v>4613</v>
      </c>
      <c r="Q556" s="106" t="n">
        <v>9</v>
      </c>
      <c r="R556" s="106" t="s">
        <v>4537</v>
      </c>
    </row>
    <row r="557" customFormat="false" ht="15" hidden="false" customHeight="false" outlineLevel="0" collapsed="false">
      <c r="A557" s="106" t="s">
        <v>5258</v>
      </c>
      <c r="B557" s="106" t="s">
        <v>4280</v>
      </c>
      <c r="C557" s="106" t="s">
        <v>4301</v>
      </c>
      <c r="D557" s="106" t="n">
        <v>479</v>
      </c>
      <c r="E557" s="107" t="n">
        <v>485</v>
      </c>
      <c r="F557" s="106" t="n">
        <v>13</v>
      </c>
      <c r="G557" s="118" t="n">
        <v>0.0268</v>
      </c>
      <c r="H557" s="116" t="n">
        <v>2.19</v>
      </c>
      <c r="I557" s="106" t="n">
        <v>2</v>
      </c>
      <c r="J557" s="117" t="n">
        <v>0.1538</v>
      </c>
      <c r="K557" s="108" t="n">
        <v>28.52</v>
      </c>
      <c r="L557" s="108" t="n">
        <v>144.98</v>
      </c>
      <c r="M557" s="117" t="n">
        <v>0.197</v>
      </c>
      <c r="N557" s="106"/>
      <c r="O557" s="106"/>
      <c r="P557" s="106"/>
      <c r="Q557" s="106"/>
      <c r="R557" s="106" t="s">
        <v>4285</v>
      </c>
    </row>
    <row r="558" customFormat="false" ht="15" hidden="false" customHeight="false" outlineLevel="0" collapsed="false">
      <c r="A558" s="106" t="s">
        <v>5259</v>
      </c>
      <c r="B558" s="106" t="s">
        <v>4329</v>
      </c>
      <c r="C558" s="106"/>
      <c r="D558" s="106" t="n">
        <v>59</v>
      </c>
      <c r="E558" s="107" t="n">
        <v>483</v>
      </c>
      <c r="F558" s="106" t="n">
        <v>13</v>
      </c>
      <c r="G558" s="118" t="n">
        <v>0.0269</v>
      </c>
      <c r="H558" s="116" t="n">
        <v>4.1</v>
      </c>
      <c r="I558" s="106" t="n">
        <v>3</v>
      </c>
      <c r="J558" s="117" t="n">
        <v>0.2308</v>
      </c>
      <c r="K558" s="108" t="n">
        <v>53.32</v>
      </c>
      <c r="L558" s="108" t="n">
        <v>226.97</v>
      </c>
      <c r="M558" s="117" t="n">
        <v>0.235</v>
      </c>
      <c r="N558" s="106"/>
      <c r="O558" s="106"/>
      <c r="P558" s="106"/>
      <c r="Q558" s="106"/>
      <c r="R558" s="106" t="s">
        <v>4285</v>
      </c>
    </row>
    <row r="559" customFormat="false" ht="15" hidden="false" customHeight="false" outlineLevel="0" collapsed="false">
      <c r="A559" s="106" t="s">
        <v>1362</v>
      </c>
      <c r="B559" s="106" t="s">
        <v>4280</v>
      </c>
      <c r="C559" s="106" t="s">
        <v>4301</v>
      </c>
      <c r="D559" s="106" t="n">
        <v>646</v>
      </c>
      <c r="E559" s="107" t="n">
        <v>91</v>
      </c>
      <c r="F559" s="106" t="n">
        <v>13</v>
      </c>
      <c r="G559" s="118" t="n">
        <v>0.1429</v>
      </c>
      <c r="H559" s="116" t="n">
        <v>2.81</v>
      </c>
      <c r="I559" s="106" t="n">
        <v>3</v>
      </c>
      <c r="J559" s="117" t="n">
        <v>0.2308</v>
      </c>
      <c r="K559" s="108" t="n">
        <v>36.51</v>
      </c>
      <c r="L559" s="108" t="n">
        <v>204.97</v>
      </c>
      <c r="M559" s="117" t="n">
        <v>0.178</v>
      </c>
      <c r="N559" s="106" t="n">
        <v>22</v>
      </c>
      <c r="O559" s="106" t="n">
        <v>3</v>
      </c>
      <c r="P559" s="106" t="s">
        <v>4633</v>
      </c>
      <c r="Q559" s="106" t="n">
        <v>23</v>
      </c>
      <c r="R559" s="106" t="s">
        <v>4285</v>
      </c>
    </row>
    <row r="560" customFormat="false" ht="15" hidden="false" customHeight="false" outlineLevel="0" collapsed="false">
      <c r="A560" s="106" t="s">
        <v>5260</v>
      </c>
      <c r="B560" s="106" t="s">
        <v>1403</v>
      </c>
      <c r="C560" s="106"/>
      <c r="D560" s="106" t="n">
        <v>13</v>
      </c>
      <c r="E560" s="107" t="n">
        <v>139</v>
      </c>
      <c r="F560" s="106" t="n">
        <v>13</v>
      </c>
      <c r="G560" s="118" t="n">
        <v>0.0935</v>
      </c>
      <c r="H560" s="116" t="n">
        <v>1.57</v>
      </c>
      <c r="I560" s="106" t="n">
        <v>3</v>
      </c>
      <c r="J560" s="117" t="n">
        <v>0.2308</v>
      </c>
      <c r="K560" s="108" t="n">
        <v>20.43</v>
      </c>
      <c r="L560" s="108" t="n">
        <v>179.97</v>
      </c>
      <c r="M560" s="117" t="n">
        <v>0.114</v>
      </c>
      <c r="N560" s="106"/>
      <c r="O560" s="106"/>
      <c r="P560" s="106"/>
      <c r="Q560" s="106"/>
      <c r="R560" s="106" t="s">
        <v>4285</v>
      </c>
    </row>
    <row r="561" customFormat="false" ht="15" hidden="false" customHeight="false" outlineLevel="0" collapsed="false">
      <c r="A561" s="106" t="s">
        <v>4954</v>
      </c>
      <c r="B561" s="106" t="s">
        <v>4280</v>
      </c>
      <c r="C561" s="106" t="s">
        <v>4301</v>
      </c>
      <c r="D561" s="106" t="n">
        <v>651</v>
      </c>
      <c r="E561" s="107" t="n">
        <v>1456</v>
      </c>
      <c r="F561" s="106" t="n">
        <v>13</v>
      </c>
      <c r="G561" s="118" t="n">
        <v>0.0089</v>
      </c>
      <c r="H561" s="116" t="n">
        <v>1.88</v>
      </c>
      <c r="I561" s="106" t="n">
        <v>1</v>
      </c>
      <c r="J561" s="117" t="n">
        <v>0.0769</v>
      </c>
      <c r="K561" s="108" t="n">
        <v>24.41</v>
      </c>
      <c r="L561" s="108" t="n">
        <v>84.99</v>
      </c>
      <c r="M561" s="117" t="n">
        <v>0.287</v>
      </c>
      <c r="N561" s="106" t="n">
        <v>137</v>
      </c>
      <c r="O561" s="106" t="n">
        <v>52</v>
      </c>
      <c r="P561" s="106"/>
      <c r="Q561" s="106" t="n">
        <v>101</v>
      </c>
      <c r="R561" s="106" t="s">
        <v>4285</v>
      </c>
    </row>
    <row r="562" customFormat="false" ht="15" hidden="false" customHeight="false" outlineLevel="0" collapsed="false">
      <c r="A562" s="106" t="s">
        <v>5261</v>
      </c>
      <c r="B562" s="106" t="s">
        <v>4280</v>
      </c>
      <c r="C562" s="106" t="s">
        <v>4288</v>
      </c>
      <c r="D562" s="106" t="n">
        <v>489</v>
      </c>
      <c r="E562" s="107" t="n">
        <v>629</v>
      </c>
      <c r="F562" s="106" t="n">
        <v>12</v>
      </c>
      <c r="G562" s="118" t="n">
        <v>0.0191</v>
      </c>
      <c r="H562" s="116" t="n">
        <v>1.74</v>
      </c>
      <c r="I562" s="106" t="n">
        <v>0</v>
      </c>
      <c r="J562" s="117" t="n">
        <v>0</v>
      </c>
      <c r="K562" s="108" t="n">
        <v>20.83</v>
      </c>
      <c r="L562" s="108" t="n">
        <v>0</v>
      </c>
      <c r="M562" s="117"/>
      <c r="N562" s="106"/>
      <c r="O562" s="106"/>
      <c r="P562" s="106"/>
      <c r="Q562" s="106"/>
      <c r="R562" s="106" t="s">
        <v>4537</v>
      </c>
    </row>
    <row r="563" customFormat="false" ht="15" hidden="false" customHeight="false" outlineLevel="0" collapsed="false">
      <c r="A563" s="106" t="s">
        <v>288</v>
      </c>
      <c r="B563" s="106" t="s">
        <v>4280</v>
      </c>
      <c r="C563" s="106" t="s">
        <v>4281</v>
      </c>
      <c r="D563" s="106" t="n">
        <v>1023</v>
      </c>
      <c r="E563" s="107" t="n">
        <v>1201</v>
      </c>
      <c r="F563" s="106" t="n">
        <v>12</v>
      </c>
      <c r="G563" s="118" t="n">
        <v>0.01</v>
      </c>
      <c r="H563" s="116" t="n">
        <v>2.41</v>
      </c>
      <c r="I563" s="106" t="n">
        <v>1</v>
      </c>
      <c r="J563" s="117" t="n">
        <v>0.0833</v>
      </c>
      <c r="K563" s="108" t="n">
        <v>28.91</v>
      </c>
      <c r="L563" s="108" t="n">
        <v>79.99</v>
      </c>
      <c r="M563" s="117" t="n">
        <v>0.361</v>
      </c>
      <c r="N563" s="106" t="n">
        <v>30</v>
      </c>
      <c r="O563" s="106" t="n">
        <v>4</v>
      </c>
      <c r="P563" s="106" t="s">
        <v>4623</v>
      </c>
      <c r="Q563" s="106" t="n">
        <v>52</v>
      </c>
      <c r="R563" s="106" t="s">
        <v>4291</v>
      </c>
    </row>
    <row r="564" customFormat="false" ht="15" hidden="false" customHeight="false" outlineLevel="0" collapsed="false">
      <c r="A564" s="106" t="s">
        <v>821</v>
      </c>
      <c r="B564" s="106" t="s">
        <v>4280</v>
      </c>
      <c r="C564" s="106" t="s">
        <v>4364</v>
      </c>
      <c r="D564" s="106" t="n">
        <v>682</v>
      </c>
      <c r="E564" s="107" t="n">
        <v>66</v>
      </c>
      <c r="F564" s="106" t="n">
        <v>12</v>
      </c>
      <c r="G564" s="118" t="n">
        <v>0.1818</v>
      </c>
      <c r="H564" s="116" t="n">
        <v>3.15</v>
      </c>
      <c r="I564" s="106" t="n">
        <v>1</v>
      </c>
      <c r="J564" s="117" t="n">
        <v>0.0833</v>
      </c>
      <c r="K564" s="108" t="n">
        <v>37.85</v>
      </c>
      <c r="L564" s="108" t="n">
        <v>169.98</v>
      </c>
      <c r="M564" s="117" t="n">
        <v>0.223</v>
      </c>
      <c r="N564" s="106" t="n">
        <v>46</v>
      </c>
      <c r="O564" s="106" t="n">
        <v>7</v>
      </c>
      <c r="P564" s="106" t="s">
        <v>1735</v>
      </c>
      <c r="Q564" s="106" t="n">
        <v>10</v>
      </c>
      <c r="R564" s="106" t="s">
        <v>4285</v>
      </c>
    </row>
    <row r="565" customFormat="false" ht="15" hidden="false" customHeight="false" outlineLevel="0" collapsed="false">
      <c r="A565" s="106" t="s">
        <v>3828</v>
      </c>
      <c r="B565" s="106" t="s">
        <v>4284</v>
      </c>
      <c r="C565" s="106"/>
      <c r="D565" s="106" t="n">
        <v>8166</v>
      </c>
      <c r="E565" s="107" t="n">
        <v>242</v>
      </c>
      <c r="F565" s="106" t="n">
        <v>12</v>
      </c>
      <c r="G565" s="118" t="n">
        <v>0.0496</v>
      </c>
      <c r="H565" s="116" t="n">
        <v>0.79</v>
      </c>
      <c r="I565" s="106" t="n">
        <v>1</v>
      </c>
      <c r="J565" s="117" t="n">
        <v>0.0833</v>
      </c>
      <c r="K565" s="108" t="n">
        <v>9.49</v>
      </c>
      <c r="L565" s="108" t="n">
        <v>84.99</v>
      </c>
      <c r="M565" s="117" t="n">
        <v>0.112</v>
      </c>
      <c r="N565" s="106"/>
      <c r="O565" s="106"/>
      <c r="P565" s="106"/>
      <c r="Q565" s="106"/>
      <c r="R565" s="106" t="s">
        <v>4285</v>
      </c>
    </row>
    <row r="566" customFormat="false" ht="15" hidden="false" customHeight="false" outlineLevel="0" collapsed="false">
      <c r="A566" s="106" t="s">
        <v>4363</v>
      </c>
      <c r="B566" s="106" t="s">
        <v>4329</v>
      </c>
      <c r="C566" s="106" t="s">
        <v>4288</v>
      </c>
      <c r="D566" s="106" t="n">
        <v>1109</v>
      </c>
      <c r="E566" s="107" t="n">
        <v>615</v>
      </c>
      <c r="F566" s="106" t="n">
        <v>12</v>
      </c>
      <c r="G566" s="118" t="n">
        <v>0.0195</v>
      </c>
      <c r="H566" s="116" t="n">
        <v>2.62</v>
      </c>
      <c r="I566" s="106" t="n">
        <v>0</v>
      </c>
      <c r="J566" s="117" t="n">
        <v>0</v>
      </c>
      <c r="K566" s="108" t="n">
        <v>31.42</v>
      </c>
      <c r="L566" s="108" t="n">
        <v>0</v>
      </c>
      <c r="M566" s="117"/>
      <c r="N566" s="106" t="n">
        <v>87</v>
      </c>
      <c r="O566" s="106" t="n">
        <v>6</v>
      </c>
      <c r="P566" s="106" t="s">
        <v>4847</v>
      </c>
      <c r="Q566" s="106" t="n">
        <v>42</v>
      </c>
      <c r="R566" s="106" t="s">
        <v>4289</v>
      </c>
    </row>
    <row r="567" customFormat="false" ht="15" hidden="false" customHeight="false" outlineLevel="0" collapsed="false">
      <c r="A567" s="106" t="s">
        <v>5262</v>
      </c>
      <c r="B567" s="106" t="s">
        <v>1403</v>
      </c>
      <c r="C567" s="106"/>
      <c r="D567" s="106" t="n">
        <v>664</v>
      </c>
      <c r="E567" s="107" t="n">
        <v>1958</v>
      </c>
      <c r="F567" s="106" t="n">
        <v>11</v>
      </c>
      <c r="G567" s="118" t="n">
        <v>0.0056</v>
      </c>
      <c r="H567" s="116" t="n">
        <v>1.1</v>
      </c>
      <c r="I567" s="106" t="n">
        <v>1</v>
      </c>
      <c r="J567" s="117" t="n">
        <v>0.0909</v>
      </c>
      <c r="K567" s="108" t="n">
        <v>12.08</v>
      </c>
      <c r="L567" s="108" t="n">
        <v>79.99</v>
      </c>
      <c r="M567" s="117" t="n">
        <v>0.151</v>
      </c>
      <c r="N567" s="106"/>
      <c r="O567" s="106"/>
      <c r="P567" s="106"/>
      <c r="Q567" s="106"/>
      <c r="R567" s="106" t="s">
        <v>4285</v>
      </c>
    </row>
    <row r="568" customFormat="false" ht="15" hidden="false" customHeight="false" outlineLevel="0" collapsed="false">
      <c r="A568" s="106" t="s">
        <v>4824</v>
      </c>
      <c r="B568" s="106" t="s">
        <v>4329</v>
      </c>
      <c r="C568" s="106" t="s">
        <v>4281</v>
      </c>
      <c r="D568" s="106" t="n">
        <v>2625</v>
      </c>
      <c r="E568" s="107" t="n">
        <v>91</v>
      </c>
      <c r="F568" s="106" t="n">
        <v>11</v>
      </c>
      <c r="G568" s="118" t="n">
        <v>0.1209</v>
      </c>
      <c r="H568" s="116" t="n">
        <v>0.75</v>
      </c>
      <c r="I568" s="106" t="n">
        <v>0</v>
      </c>
      <c r="J568" s="117" t="n">
        <v>0</v>
      </c>
      <c r="K568" s="108" t="n">
        <v>8.24</v>
      </c>
      <c r="L568" s="108" t="n">
        <v>0</v>
      </c>
      <c r="M568" s="117"/>
      <c r="N568" s="106"/>
      <c r="O568" s="106" t="n">
        <v>90</v>
      </c>
      <c r="P568" s="106"/>
      <c r="Q568" s="106" t="n">
        <v>101</v>
      </c>
      <c r="R568" s="106" t="s">
        <v>4537</v>
      </c>
    </row>
    <row r="569" customFormat="false" ht="15" hidden="false" customHeight="false" outlineLevel="0" collapsed="false">
      <c r="A569" s="106" t="s">
        <v>5263</v>
      </c>
      <c r="B569" s="106" t="s">
        <v>1403</v>
      </c>
      <c r="C569" s="106"/>
      <c r="D569" s="106"/>
      <c r="E569" s="107" t="n">
        <v>113</v>
      </c>
      <c r="F569" s="106" t="n">
        <v>11</v>
      </c>
      <c r="G569" s="118" t="n">
        <v>0.0973</v>
      </c>
      <c r="H569" s="116" t="n">
        <v>1.52</v>
      </c>
      <c r="I569" s="106" t="n">
        <v>3</v>
      </c>
      <c r="J569" s="117" t="n">
        <v>0.2727</v>
      </c>
      <c r="K569" s="108" t="n">
        <v>16.7</v>
      </c>
      <c r="L569" s="108" t="n">
        <v>170.47</v>
      </c>
      <c r="M569" s="117" t="n">
        <v>0.098</v>
      </c>
      <c r="N569" s="106"/>
      <c r="O569" s="106"/>
      <c r="P569" s="106"/>
      <c r="Q569" s="106"/>
      <c r="R569" s="106" t="s">
        <v>4285</v>
      </c>
    </row>
    <row r="570" customFormat="false" ht="15" hidden="false" customHeight="false" outlineLevel="0" collapsed="false">
      <c r="A570" s="106" t="s">
        <v>4900</v>
      </c>
      <c r="B570" s="106" t="s">
        <v>4280</v>
      </c>
      <c r="C570" s="106" t="s">
        <v>4301</v>
      </c>
      <c r="D570" s="106" t="n">
        <v>636</v>
      </c>
      <c r="E570" s="107" t="n">
        <v>62</v>
      </c>
      <c r="F570" s="106" t="n">
        <v>11</v>
      </c>
      <c r="G570" s="118" t="n">
        <v>0.1774</v>
      </c>
      <c r="H570" s="116" t="n">
        <v>3.13</v>
      </c>
      <c r="I570" s="106" t="n">
        <v>0</v>
      </c>
      <c r="J570" s="117" t="n">
        <v>0</v>
      </c>
      <c r="K570" s="108" t="n">
        <v>34.44</v>
      </c>
      <c r="L570" s="108" t="n">
        <v>0</v>
      </c>
      <c r="M570" s="117"/>
      <c r="N570" s="106"/>
      <c r="O570" s="106" t="n">
        <v>33</v>
      </c>
      <c r="P570" s="106"/>
      <c r="Q570" s="106" t="n">
        <v>101</v>
      </c>
      <c r="R570" s="106" t="s">
        <v>4289</v>
      </c>
    </row>
    <row r="571" customFormat="false" ht="15" hidden="false" customHeight="false" outlineLevel="0" collapsed="false">
      <c r="A571" s="106" t="s">
        <v>5264</v>
      </c>
      <c r="B571" s="106" t="s">
        <v>1403</v>
      </c>
      <c r="C571" s="106"/>
      <c r="D571" s="106" t="n">
        <v>4</v>
      </c>
      <c r="E571" s="107" t="n">
        <v>345</v>
      </c>
      <c r="F571" s="106" t="n">
        <v>11</v>
      </c>
      <c r="G571" s="118" t="n">
        <v>0.0319</v>
      </c>
      <c r="H571" s="116" t="n">
        <v>1.91</v>
      </c>
      <c r="I571" s="106" t="n">
        <v>2</v>
      </c>
      <c r="J571" s="117" t="n">
        <v>0.1818</v>
      </c>
      <c r="K571" s="108" t="n">
        <v>20.97</v>
      </c>
      <c r="L571" s="108" t="n">
        <v>209.97</v>
      </c>
      <c r="M571" s="117" t="n">
        <v>0.1</v>
      </c>
      <c r="N571" s="106"/>
      <c r="O571" s="106"/>
      <c r="P571" s="106"/>
      <c r="Q571" s="106"/>
      <c r="R571" s="106" t="s">
        <v>4285</v>
      </c>
    </row>
    <row r="572" customFormat="false" ht="15" hidden="false" customHeight="false" outlineLevel="0" collapsed="false">
      <c r="A572" s="106" t="s">
        <v>5265</v>
      </c>
      <c r="B572" s="106" t="s">
        <v>1403</v>
      </c>
      <c r="C572" s="106"/>
      <c r="D572" s="106" t="n">
        <v>6</v>
      </c>
      <c r="E572" s="107" t="n">
        <v>78</v>
      </c>
      <c r="F572" s="106" t="n">
        <v>11</v>
      </c>
      <c r="G572" s="118" t="n">
        <v>0.141</v>
      </c>
      <c r="H572" s="116" t="n">
        <v>1.16</v>
      </c>
      <c r="I572" s="106" t="n">
        <v>2</v>
      </c>
      <c r="J572" s="117" t="n">
        <v>0.1818</v>
      </c>
      <c r="K572" s="108" t="n">
        <v>12.71</v>
      </c>
      <c r="L572" s="108" t="n">
        <v>109.48</v>
      </c>
      <c r="M572" s="117" t="n">
        <v>0.116</v>
      </c>
      <c r="N572" s="106"/>
      <c r="O572" s="106"/>
      <c r="P572" s="106"/>
      <c r="Q572" s="106"/>
      <c r="R572" s="106" t="s">
        <v>4285</v>
      </c>
    </row>
    <row r="573" customFormat="false" ht="15" hidden="false" customHeight="false" outlineLevel="0" collapsed="false">
      <c r="A573" s="106" t="s">
        <v>4836</v>
      </c>
      <c r="B573" s="106" t="s">
        <v>4329</v>
      </c>
      <c r="C573" s="106" t="s">
        <v>4301</v>
      </c>
      <c r="D573" s="106" t="n">
        <v>1961</v>
      </c>
      <c r="E573" s="107" t="n">
        <v>56</v>
      </c>
      <c r="F573" s="106" t="n">
        <v>11</v>
      </c>
      <c r="G573" s="118" t="n">
        <v>0.1964</v>
      </c>
      <c r="H573" s="116" t="n">
        <v>0.82</v>
      </c>
      <c r="I573" s="106" t="n">
        <v>1</v>
      </c>
      <c r="J573" s="117" t="n">
        <v>0.0909</v>
      </c>
      <c r="K573" s="108" t="n">
        <v>9.06</v>
      </c>
      <c r="L573" s="108" t="n">
        <v>69.99</v>
      </c>
      <c r="M573" s="117" t="n">
        <v>0.129</v>
      </c>
      <c r="N573" s="106"/>
      <c r="O573" s="106" t="n">
        <v>16</v>
      </c>
      <c r="P573" s="106"/>
      <c r="Q573" s="106" t="n">
        <v>101</v>
      </c>
      <c r="R573" s="106" t="s">
        <v>4285</v>
      </c>
    </row>
    <row r="574" customFormat="false" ht="15" hidden="false" customHeight="false" outlineLevel="0" collapsed="false">
      <c r="A574" s="106" t="s">
        <v>5266</v>
      </c>
      <c r="B574" s="106" t="s">
        <v>4284</v>
      </c>
      <c r="C574" s="106"/>
      <c r="D574" s="106"/>
      <c r="E574" s="107" t="n">
        <v>115</v>
      </c>
      <c r="F574" s="106" t="n">
        <v>10</v>
      </c>
      <c r="G574" s="118" t="n">
        <v>0.087</v>
      </c>
      <c r="H574" s="116" t="n">
        <v>0.33</v>
      </c>
      <c r="I574" s="106" t="n">
        <v>1</v>
      </c>
      <c r="J574" s="117" t="n">
        <v>0.1</v>
      </c>
      <c r="K574" s="108" t="n">
        <v>3.34</v>
      </c>
      <c r="L574" s="108" t="n">
        <v>69.99</v>
      </c>
      <c r="M574" s="117" t="n">
        <v>0.048</v>
      </c>
      <c r="N574" s="106"/>
      <c r="O574" s="106"/>
      <c r="P574" s="106"/>
      <c r="Q574" s="106"/>
      <c r="R574" s="106" t="s">
        <v>4285</v>
      </c>
    </row>
    <row r="575" customFormat="false" ht="15" hidden="false" customHeight="false" outlineLevel="0" collapsed="false">
      <c r="A575" s="106" t="s">
        <v>5267</v>
      </c>
      <c r="B575" s="106" t="s">
        <v>4284</v>
      </c>
      <c r="C575" s="106"/>
      <c r="D575" s="106" t="n">
        <v>1457</v>
      </c>
      <c r="E575" s="107" t="n">
        <v>314</v>
      </c>
      <c r="F575" s="106" t="n">
        <v>10</v>
      </c>
      <c r="G575" s="118" t="n">
        <v>0.0318</v>
      </c>
      <c r="H575" s="116" t="n">
        <v>0.76</v>
      </c>
      <c r="I575" s="106" t="n">
        <v>0</v>
      </c>
      <c r="J575" s="117" t="n">
        <v>0</v>
      </c>
      <c r="K575" s="108" t="n">
        <v>7.6</v>
      </c>
      <c r="L575" s="108" t="n">
        <v>0</v>
      </c>
      <c r="M575" s="117"/>
      <c r="N575" s="106"/>
      <c r="O575" s="106"/>
      <c r="P575" s="106"/>
      <c r="Q575" s="106"/>
      <c r="R575" s="106" t="s">
        <v>4537</v>
      </c>
    </row>
    <row r="576" customFormat="false" ht="15" hidden="false" customHeight="false" outlineLevel="0" collapsed="false">
      <c r="A576" s="106" t="s">
        <v>5268</v>
      </c>
      <c r="B576" s="106" t="s">
        <v>1403</v>
      </c>
      <c r="C576" s="106"/>
      <c r="D576" s="106"/>
      <c r="E576" s="107" t="n">
        <v>78</v>
      </c>
      <c r="F576" s="106" t="n">
        <v>10</v>
      </c>
      <c r="G576" s="118" t="n">
        <v>0.1282</v>
      </c>
      <c r="H576" s="116" t="n">
        <v>1.21</v>
      </c>
      <c r="I576" s="106" t="n">
        <v>6</v>
      </c>
      <c r="J576" s="117" t="n">
        <v>0.6</v>
      </c>
      <c r="K576" s="108" t="n">
        <v>12.07</v>
      </c>
      <c r="L576" s="108" t="n">
        <v>161.93</v>
      </c>
      <c r="M576" s="117" t="n">
        <v>0.075</v>
      </c>
      <c r="N576" s="106"/>
      <c r="O576" s="106"/>
      <c r="P576" s="106"/>
      <c r="Q576" s="106"/>
      <c r="R576" s="106" t="s">
        <v>4285</v>
      </c>
    </row>
    <row r="577" customFormat="false" ht="15" hidden="false" customHeight="false" outlineLevel="0" collapsed="false">
      <c r="A577" s="106" t="s">
        <v>5269</v>
      </c>
      <c r="B577" s="106" t="s">
        <v>4284</v>
      </c>
      <c r="C577" s="106"/>
      <c r="D577" s="106"/>
      <c r="E577" s="107" t="n">
        <v>86</v>
      </c>
      <c r="F577" s="106" t="n">
        <v>10</v>
      </c>
      <c r="G577" s="118" t="n">
        <v>0.1163</v>
      </c>
      <c r="H577" s="116" t="n">
        <v>0.55</v>
      </c>
      <c r="I577" s="106" t="n">
        <v>0</v>
      </c>
      <c r="J577" s="117" t="n">
        <v>0</v>
      </c>
      <c r="K577" s="108" t="n">
        <v>5.5</v>
      </c>
      <c r="L577" s="108" t="n">
        <v>0</v>
      </c>
      <c r="M577" s="117"/>
      <c r="N577" s="106"/>
      <c r="O577" s="106"/>
      <c r="P577" s="106"/>
      <c r="Q577" s="106"/>
      <c r="R577" s="106" t="s">
        <v>4537</v>
      </c>
    </row>
    <row r="578" customFormat="false" ht="15" hidden="false" customHeight="false" outlineLevel="0" collapsed="false">
      <c r="A578" s="106" t="s">
        <v>5270</v>
      </c>
      <c r="B578" s="106" t="s">
        <v>4329</v>
      </c>
      <c r="C578" s="106"/>
      <c r="D578" s="106" t="n">
        <v>49</v>
      </c>
      <c r="E578" s="107" t="n">
        <v>1820</v>
      </c>
      <c r="F578" s="106" t="n">
        <v>10</v>
      </c>
      <c r="G578" s="118" t="n">
        <v>0.0055</v>
      </c>
      <c r="H578" s="116" t="n">
        <v>1.58</v>
      </c>
      <c r="I578" s="106" t="n">
        <v>0</v>
      </c>
      <c r="J578" s="117" t="n">
        <v>0</v>
      </c>
      <c r="K578" s="108" t="n">
        <v>15.79</v>
      </c>
      <c r="L578" s="108" t="n">
        <v>0</v>
      </c>
      <c r="M578" s="117"/>
      <c r="N578" s="106"/>
      <c r="O578" s="106"/>
      <c r="P578" s="106"/>
      <c r="Q578" s="106"/>
      <c r="R578" s="106" t="s">
        <v>4537</v>
      </c>
    </row>
    <row r="579" customFormat="false" ht="15" hidden="false" customHeight="false" outlineLevel="0" collapsed="false">
      <c r="A579" s="106" t="s">
        <v>1408</v>
      </c>
      <c r="B579" s="106" t="s">
        <v>4280</v>
      </c>
      <c r="C579" s="106" t="s">
        <v>4288</v>
      </c>
      <c r="D579" s="106" t="n">
        <v>939</v>
      </c>
      <c r="E579" s="107" t="n">
        <v>262</v>
      </c>
      <c r="F579" s="106" t="n">
        <v>10</v>
      </c>
      <c r="G579" s="118" t="n">
        <v>0.0382</v>
      </c>
      <c r="H579" s="116" t="n">
        <v>2.8</v>
      </c>
      <c r="I579" s="106" t="n">
        <v>0</v>
      </c>
      <c r="J579" s="117" t="n">
        <v>0</v>
      </c>
      <c r="K579" s="108" t="n">
        <v>27.99</v>
      </c>
      <c r="L579" s="108" t="n">
        <v>0</v>
      </c>
      <c r="M579" s="117"/>
      <c r="N579" s="106" t="n">
        <v>35</v>
      </c>
      <c r="O579" s="106" t="n">
        <v>9</v>
      </c>
      <c r="P579" s="106" t="s">
        <v>4860</v>
      </c>
      <c r="Q579" s="106" t="n">
        <v>41</v>
      </c>
      <c r="R579" s="106" t="s">
        <v>4537</v>
      </c>
    </row>
    <row r="580" customFormat="false" ht="15" hidden="false" customHeight="false" outlineLevel="0" collapsed="false">
      <c r="A580" s="106" t="s">
        <v>5271</v>
      </c>
      <c r="B580" s="106" t="s">
        <v>4280</v>
      </c>
      <c r="C580" s="106"/>
      <c r="D580" s="106" t="n">
        <v>248</v>
      </c>
      <c r="E580" s="107" t="n">
        <v>68</v>
      </c>
      <c r="F580" s="106" t="n">
        <v>10</v>
      </c>
      <c r="G580" s="118" t="n">
        <v>0.1471</v>
      </c>
      <c r="H580" s="116" t="n">
        <v>2.8</v>
      </c>
      <c r="I580" s="106" t="n">
        <v>2</v>
      </c>
      <c r="J580" s="117" t="n">
        <v>0.2</v>
      </c>
      <c r="K580" s="108" t="n">
        <v>27.96</v>
      </c>
      <c r="L580" s="108" t="n">
        <v>149.98</v>
      </c>
      <c r="M580" s="117" t="n">
        <v>0.186</v>
      </c>
      <c r="N580" s="106"/>
      <c r="O580" s="106"/>
      <c r="P580" s="106"/>
      <c r="Q580" s="106"/>
      <c r="R580" s="106" t="s">
        <v>4285</v>
      </c>
    </row>
    <row r="581" customFormat="false" ht="15" hidden="false" customHeight="false" outlineLevel="0" collapsed="false">
      <c r="A581" s="106" t="s">
        <v>1442</v>
      </c>
      <c r="B581" s="106" t="s">
        <v>4280</v>
      </c>
      <c r="C581" s="106" t="s">
        <v>4288</v>
      </c>
      <c r="D581" s="106" t="n">
        <v>672</v>
      </c>
      <c r="E581" s="107" t="n">
        <v>41</v>
      </c>
      <c r="F581" s="106" t="n">
        <v>10</v>
      </c>
      <c r="G581" s="118" t="n">
        <v>0.2439</v>
      </c>
      <c r="H581" s="116" t="n">
        <v>2.75</v>
      </c>
      <c r="I581" s="106" t="n">
        <v>1</v>
      </c>
      <c r="J581" s="117" t="n">
        <v>0.1</v>
      </c>
      <c r="K581" s="108" t="n">
        <v>27.54</v>
      </c>
      <c r="L581" s="108" t="n">
        <v>84.99</v>
      </c>
      <c r="M581" s="117" t="n">
        <v>0.324</v>
      </c>
      <c r="N581" s="106" t="n">
        <v>18</v>
      </c>
      <c r="O581" s="106" t="n">
        <v>1</v>
      </c>
      <c r="P581" s="106" t="s">
        <v>4625</v>
      </c>
      <c r="Q581" s="106" t="n">
        <v>21</v>
      </c>
      <c r="R581" s="106" t="s">
        <v>4291</v>
      </c>
    </row>
    <row r="582" customFormat="false" ht="15" hidden="false" customHeight="false" outlineLevel="0" collapsed="false">
      <c r="A582" s="106" t="s">
        <v>5272</v>
      </c>
      <c r="B582" s="106" t="s">
        <v>4280</v>
      </c>
      <c r="C582" s="106" t="s">
        <v>4288</v>
      </c>
      <c r="D582" s="106" t="n">
        <v>659</v>
      </c>
      <c r="E582" s="107" t="n">
        <v>86</v>
      </c>
      <c r="F582" s="106" t="n">
        <v>10</v>
      </c>
      <c r="G582" s="118" t="n">
        <v>0.1163</v>
      </c>
      <c r="H582" s="116" t="n">
        <v>2.79</v>
      </c>
      <c r="I582" s="106" t="n">
        <v>2</v>
      </c>
      <c r="J582" s="117" t="n">
        <v>0.2</v>
      </c>
      <c r="K582" s="108" t="n">
        <v>27.85</v>
      </c>
      <c r="L582" s="108" t="n">
        <v>144.98</v>
      </c>
      <c r="M582" s="117" t="n">
        <v>0.192</v>
      </c>
      <c r="N582" s="106"/>
      <c r="O582" s="106"/>
      <c r="P582" s="106"/>
      <c r="Q582" s="106"/>
      <c r="R582" s="106" t="s">
        <v>4285</v>
      </c>
    </row>
    <row r="583" customFormat="false" ht="15" hidden="false" customHeight="false" outlineLevel="0" collapsed="false">
      <c r="A583" s="106" t="s">
        <v>1285</v>
      </c>
      <c r="B583" s="106" t="s">
        <v>4280</v>
      </c>
      <c r="C583" s="106" t="s">
        <v>4301</v>
      </c>
      <c r="D583" s="106" t="n">
        <v>1023</v>
      </c>
      <c r="E583" s="107" t="n">
        <v>185</v>
      </c>
      <c r="F583" s="106" t="n">
        <v>10</v>
      </c>
      <c r="G583" s="118" t="n">
        <v>0.0541</v>
      </c>
      <c r="H583" s="116" t="n">
        <v>3.19</v>
      </c>
      <c r="I583" s="106" t="n">
        <v>0</v>
      </c>
      <c r="J583" s="117" t="n">
        <v>0</v>
      </c>
      <c r="K583" s="108" t="n">
        <v>31.89</v>
      </c>
      <c r="L583" s="108" t="n">
        <v>0</v>
      </c>
      <c r="M583" s="117"/>
      <c r="N583" s="106" t="n">
        <v>77</v>
      </c>
      <c r="O583" s="106" t="n">
        <v>7</v>
      </c>
      <c r="P583" s="106" t="s">
        <v>4631</v>
      </c>
      <c r="Q583" s="106" t="n">
        <v>77</v>
      </c>
      <c r="R583" s="106" t="s">
        <v>4289</v>
      </c>
    </row>
    <row r="584" customFormat="false" ht="15" hidden="false" customHeight="false" outlineLevel="0" collapsed="false">
      <c r="A584" s="106" t="s">
        <v>5273</v>
      </c>
      <c r="B584" s="106" t="s">
        <v>4280</v>
      </c>
      <c r="C584" s="106"/>
      <c r="D584" s="106" t="n">
        <v>62</v>
      </c>
      <c r="E584" s="107" t="n">
        <v>27</v>
      </c>
      <c r="F584" s="106" t="n">
        <v>10</v>
      </c>
      <c r="G584" s="118" t="n">
        <v>0.3704</v>
      </c>
      <c r="H584" s="116" t="n">
        <v>1.13</v>
      </c>
      <c r="I584" s="106" t="n">
        <v>0</v>
      </c>
      <c r="J584" s="117" t="n">
        <v>0</v>
      </c>
      <c r="K584" s="108" t="n">
        <v>11.34</v>
      </c>
      <c r="L584" s="108" t="n">
        <v>0</v>
      </c>
      <c r="M584" s="117"/>
      <c r="N584" s="106"/>
      <c r="O584" s="106"/>
      <c r="P584" s="106"/>
      <c r="Q584" s="106"/>
      <c r="R584" s="106" t="s">
        <v>4537</v>
      </c>
    </row>
    <row r="585" customFormat="false" ht="15" hidden="false" customHeight="false" outlineLevel="0" collapsed="false">
      <c r="A585" s="106" t="s">
        <v>5274</v>
      </c>
      <c r="B585" s="106" t="s">
        <v>4284</v>
      </c>
      <c r="C585" s="106"/>
      <c r="D585" s="106" t="n">
        <v>357</v>
      </c>
      <c r="E585" s="107" t="n">
        <v>314</v>
      </c>
      <c r="F585" s="106" t="n">
        <v>10</v>
      </c>
      <c r="G585" s="118" t="n">
        <v>0.0318</v>
      </c>
      <c r="H585" s="116" t="n">
        <v>2.13</v>
      </c>
      <c r="I585" s="106" t="n">
        <v>0</v>
      </c>
      <c r="J585" s="117" t="n">
        <v>0</v>
      </c>
      <c r="K585" s="108" t="n">
        <v>21.31</v>
      </c>
      <c r="L585" s="108" t="n">
        <v>0</v>
      </c>
      <c r="M585" s="117"/>
      <c r="N585" s="106"/>
      <c r="O585" s="106"/>
      <c r="P585" s="106"/>
      <c r="Q585" s="106"/>
      <c r="R585" s="106" t="s">
        <v>4537</v>
      </c>
    </row>
    <row r="586" customFormat="false" ht="15" hidden="false" customHeight="false" outlineLevel="0" collapsed="false">
      <c r="A586" s="106" t="s">
        <v>5275</v>
      </c>
      <c r="B586" s="106" t="s">
        <v>4309</v>
      </c>
      <c r="C586" s="106"/>
      <c r="D586" s="106" t="n">
        <v>1961</v>
      </c>
      <c r="E586" s="107" t="n">
        <v>668</v>
      </c>
      <c r="F586" s="106" t="n">
        <v>10</v>
      </c>
      <c r="G586" s="118" t="n">
        <v>0.015</v>
      </c>
      <c r="H586" s="116" t="n">
        <v>0.74</v>
      </c>
      <c r="I586" s="106" t="n">
        <v>0</v>
      </c>
      <c r="J586" s="117" t="n">
        <v>0</v>
      </c>
      <c r="K586" s="108" t="n">
        <v>7.4</v>
      </c>
      <c r="L586" s="108" t="n">
        <v>0</v>
      </c>
      <c r="M586" s="117"/>
      <c r="N586" s="106"/>
      <c r="O586" s="106"/>
      <c r="P586" s="106"/>
      <c r="Q586" s="106"/>
      <c r="R586" s="106" t="s">
        <v>4537</v>
      </c>
    </row>
    <row r="587" customFormat="false" ht="15" hidden="false" customHeight="false" outlineLevel="0" collapsed="false">
      <c r="A587" s="106" t="s">
        <v>4812</v>
      </c>
      <c r="B587" s="106" t="s">
        <v>4329</v>
      </c>
      <c r="C587" s="106"/>
      <c r="D587" s="106" t="n">
        <v>2973</v>
      </c>
      <c r="E587" s="107" t="n">
        <v>726</v>
      </c>
      <c r="F587" s="106" t="n">
        <v>9</v>
      </c>
      <c r="G587" s="118" t="n">
        <v>0.0124</v>
      </c>
      <c r="H587" s="116" t="n">
        <v>0.75</v>
      </c>
      <c r="I587" s="106" t="n">
        <v>1</v>
      </c>
      <c r="J587" s="117" t="n">
        <v>0.1111</v>
      </c>
      <c r="K587" s="108" t="n">
        <v>6.73</v>
      </c>
      <c r="L587" s="108" t="n">
        <v>59.99</v>
      </c>
      <c r="M587" s="117" t="n">
        <v>0.112</v>
      </c>
      <c r="N587" s="106" t="n">
        <v>87</v>
      </c>
      <c r="O587" s="106" t="n">
        <v>44</v>
      </c>
      <c r="P587" s="106"/>
      <c r="Q587" s="106" t="n">
        <v>69</v>
      </c>
      <c r="R587" s="106" t="s">
        <v>4285</v>
      </c>
    </row>
    <row r="588" customFormat="false" ht="15" hidden="false" customHeight="false" outlineLevel="0" collapsed="false">
      <c r="A588" s="106" t="s">
        <v>546</v>
      </c>
      <c r="B588" s="106" t="s">
        <v>4280</v>
      </c>
      <c r="C588" s="106" t="s">
        <v>4287</v>
      </c>
      <c r="D588" s="106" t="n">
        <v>590</v>
      </c>
      <c r="E588" s="107" t="n">
        <v>53</v>
      </c>
      <c r="F588" s="106" t="n">
        <v>9</v>
      </c>
      <c r="G588" s="118" t="n">
        <v>0.1698</v>
      </c>
      <c r="H588" s="116" t="n">
        <v>2.34</v>
      </c>
      <c r="I588" s="106" t="n">
        <v>2</v>
      </c>
      <c r="J588" s="117" t="n">
        <v>0.2222</v>
      </c>
      <c r="K588" s="108" t="n">
        <v>21.02</v>
      </c>
      <c r="L588" s="108" t="n">
        <v>169.98</v>
      </c>
      <c r="M588" s="117" t="n">
        <v>0.124</v>
      </c>
      <c r="N588" s="106" t="n">
        <v>15</v>
      </c>
      <c r="O588" s="106" t="n">
        <v>2</v>
      </c>
      <c r="P588" s="106" t="s">
        <v>4631</v>
      </c>
      <c r="Q588" s="106" t="n">
        <v>23</v>
      </c>
      <c r="R588" s="106" t="s">
        <v>4285</v>
      </c>
    </row>
    <row r="589" customFormat="false" ht="15" hidden="false" customHeight="false" outlineLevel="0" collapsed="false">
      <c r="A589" s="106" t="s">
        <v>1136</v>
      </c>
      <c r="B589" s="106" t="s">
        <v>4280</v>
      </c>
      <c r="C589" s="106" t="s">
        <v>4288</v>
      </c>
      <c r="D589" s="106" t="n">
        <v>2203</v>
      </c>
      <c r="E589" s="107" t="n">
        <v>108</v>
      </c>
      <c r="F589" s="106" t="n">
        <v>9</v>
      </c>
      <c r="G589" s="118" t="n">
        <v>0.0833</v>
      </c>
      <c r="H589" s="116" t="n">
        <v>2.53</v>
      </c>
      <c r="I589" s="106" t="n">
        <v>0</v>
      </c>
      <c r="J589" s="117" t="n">
        <v>0</v>
      </c>
      <c r="K589" s="108" t="n">
        <v>22.73</v>
      </c>
      <c r="L589" s="108" t="n">
        <v>0</v>
      </c>
      <c r="M589" s="117"/>
      <c r="N589" s="106" t="n">
        <v>13</v>
      </c>
      <c r="O589" s="106" t="n">
        <v>1</v>
      </c>
      <c r="P589" s="106" t="s">
        <v>4625</v>
      </c>
      <c r="Q589" s="106" t="n">
        <v>11</v>
      </c>
      <c r="R589" s="106" t="s">
        <v>4537</v>
      </c>
    </row>
    <row r="590" customFormat="false" ht="15" hidden="false" customHeight="false" outlineLevel="0" collapsed="false">
      <c r="A590" s="106" t="s">
        <v>5276</v>
      </c>
      <c r="B590" s="106" t="s">
        <v>1403</v>
      </c>
      <c r="C590" s="106"/>
      <c r="D590" s="106" t="n">
        <v>7</v>
      </c>
      <c r="E590" s="107" t="n">
        <v>99</v>
      </c>
      <c r="F590" s="106" t="n">
        <v>9</v>
      </c>
      <c r="G590" s="118" t="n">
        <v>0.0909</v>
      </c>
      <c r="H590" s="116" t="n">
        <v>1.52</v>
      </c>
      <c r="I590" s="106" t="n">
        <v>0</v>
      </c>
      <c r="J590" s="117" t="n">
        <v>0</v>
      </c>
      <c r="K590" s="108" t="n">
        <v>13.65</v>
      </c>
      <c r="L590" s="108" t="n">
        <v>0</v>
      </c>
      <c r="M590" s="117"/>
      <c r="N590" s="106"/>
      <c r="O590" s="106"/>
      <c r="P590" s="106"/>
      <c r="Q590" s="106"/>
      <c r="R590" s="106" t="s">
        <v>4537</v>
      </c>
    </row>
    <row r="591" customFormat="false" ht="15" hidden="false" customHeight="false" outlineLevel="0" collapsed="false">
      <c r="A591" s="106" t="s">
        <v>4976</v>
      </c>
      <c r="B591" s="106" t="s">
        <v>4329</v>
      </c>
      <c r="C591" s="106" t="s">
        <v>4301</v>
      </c>
      <c r="D591" s="106" t="n">
        <v>319</v>
      </c>
      <c r="E591" s="107" t="n">
        <v>84</v>
      </c>
      <c r="F591" s="106" t="n">
        <v>9</v>
      </c>
      <c r="G591" s="118" t="n">
        <v>0.1071</v>
      </c>
      <c r="H591" s="116" t="n">
        <v>2.64</v>
      </c>
      <c r="I591" s="106" t="n">
        <v>2</v>
      </c>
      <c r="J591" s="117" t="n">
        <v>0.2222</v>
      </c>
      <c r="K591" s="108" t="n">
        <v>23.72</v>
      </c>
      <c r="L591" s="108" t="n">
        <v>124.98</v>
      </c>
      <c r="M591" s="117" t="n">
        <v>0.19</v>
      </c>
      <c r="N591" s="106" t="n">
        <v>44</v>
      </c>
      <c r="O591" s="106" t="n">
        <v>8</v>
      </c>
      <c r="P591" s="106" t="s">
        <v>4798</v>
      </c>
      <c r="Q591" s="106" t="n">
        <v>27</v>
      </c>
      <c r="R591" s="106" t="s">
        <v>4285</v>
      </c>
    </row>
    <row r="592" customFormat="false" ht="15" hidden="false" customHeight="false" outlineLevel="0" collapsed="false">
      <c r="A592" s="106" t="s">
        <v>5277</v>
      </c>
      <c r="B592" s="106" t="s">
        <v>4329</v>
      </c>
      <c r="C592" s="106"/>
      <c r="D592" s="106" t="n">
        <v>22</v>
      </c>
      <c r="E592" s="107" t="n">
        <v>51</v>
      </c>
      <c r="F592" s="106" t="n">
        <v>9</v>
      </c>
      <c r="G592" s="118" t="n">
        <v>0.1765</v>
      </c>
      <c r="H592" s="116" t="n">
        <v>2.54</v>
      </c>
      <c r="I592" s="106" t="n">
        <v>1</v>
      </c>
      <c r="J592" s="117" t="n">
        <v>0.1111</v>
      </c>
      <c r="K592" s="108" t="n">
        <v>22.82</v>
      </c>
      <c r="L592" s="108" t="n">
        <v>79.99</v>
      </c>
      <c r="M592" s="117" t="n">
        <v>0.285</v>
      </c>
      <c r="N592" s="106"/>
      <c r="O592" s="106"/>
      <c r="P592" s="106"/>
      <c r="Q592" s="106"/>
      <c r="R592" s="106" t="s">
        <v>4285</v>
      </c>
    </row>
    <row r="593" customFormat="false" ht="15" hidden="false" customHeight="false" outlineLevel="0" collapsed="false">
      <c r="A593" s="106" t="s">
        <v>1343</v>
      </c>
      <c r="B593" s="106" t="s">
        <v>4280</v>
      </c>
      <c r="C593" s="106" t="s">
        <v>4301</v>
      </c>
      <c r="D593" s="106" t="n">
        <v>601</v>
      </c>
      <c r="E593" s="107" t="n">
        <v>133</v>
      </c>
      <c r="F593" s="106" t="n">
        <v>9</v>
      </c>
      <c r="G593" s="118" t="n">
        <v>0.0677</v>
      </c>
      <c r="H593" s="116" t="n">
        <v>2.81</v>
      </c>
      <c r="I593" s="106" t="n">
        <v>0</v>
      </c>
      <c r="J593" s="117" t="n">
        <v>0</v>
      </c>
      <c r="K593" s="108" t="n">
        <v>25.3</v>
      </c>
      <c r="L593" s="108" t="n">
        <v>0</v>
      </c>
      <c r="M593" s="117"/>
      <c r="N593" s="106" t="n">
        <v>61</v>
      </c>
      <c r="O593" s="106" t="n">
        <v>8</v>
      </c>
      <c r="P593" s="106" t="s">
        <v>4631</v>
      </c>
      <c r="Q593" s="106" t="n">
        <v>66</v>
      </c>
      <c r="R593" s="106" t="s">
        <v>4537</v>
      </c>
    </row>
    <row r="594" customFormat="false" ht="15" hidden="false" customHeight="false" outlineLevel="0" collapsed="false">
      <c r="A594" s="106" t="s">
        <v>5278</v>
      </c>
      <c r="B594" s="106" t="s">
        <v>1403</v>
      </c>
      <c r="C594" s="106"/>
      <c r="D594" s="106" t="n">
        <v>8</v>
      </c>
      <c r="E594" s="107" t="n">
        <v>115</v>
      </c>
      <c r="F594" s="106" t="n">
        <v>9</v>
      </c>
      <c r="G594" s="118" t="n">
        <v>0.0783</v>
      </c>
      <c r="H594" s="116" t="n">
        <v>1.02</v>
      </c>
      <c r="I594" s="106" t="n">
        <v>4</v>
      </c>
      <c r="J594" s="117" t="n">
        <v>0.4444</v>
      </c>
      <c r="K594" s="108" t="n">
        <v>9.15</v>
      </c>
      <c r="L594" s="108" t="n">
        <v>181.87</v>
      </c>
      <c r="M594" s="117" t="n">
        <v>0.05</v>
      </c>
      <c r="N594" s="106"/>
      <c r="O594" s="106"/>
      <c r="P594" s="106"/>
      <c r="Q594" s="106"/>
      <c r="R594" s="106" t="s">
        <v>4285</v>
      </c>
    </row>
    <row r="595" customFormat="false" ht="15" hidden="false" customHeight="false" outlineLevel="0" collapsed="false">
      <c r="A595" s="106" t="s">
        <v>5279</v>
      </c>
      <c r="B595" s="106" t="s">
        <v>1403</v>
      </c>
      <c r="C595" s="106"/>
      <c r="D595" s="106" t="n">
        <v>9</v>
      </c>
      <c r="E595" s="107" t="n">
        <v>56</v>
      </c>
      <c r="F595" s="106" t="n">
        <v>9</v>
      </c>
      <c r="G595" s="118" t="n">
        <v>0.1607</v>
      </c>
      <c r="H595" s="116" t="n">
        <v>1.15</v>
      </c>
      <c r="I595" s="106" t="n">
        <v>1</v>
      </c>
      <c r="J595" s="117" t="n">
        <v>0.1111</v>
      </c>
      <c r="K595" s="108" t="n">
        <v>10.33</v>
      </c>
      <c r="L595" s="108" t="n">
        <v>64.99</v>
      </c>
      <c r="M595" s="117" t="n">
        <v>0.159</v>
      </c>
      <c r="N595" s="106"/>
      <c r="O595" s="106"/>
      <c r="P595" s="106"/>
      <c r="Q595" s="106"/>
      <c r="R595" s="106" t="s">
        <v>4285</v>
      </c>
    </row>
    <row r="596" customFormat="false" ht="15" hidden="false" customHeight="false" outlineLevel="0" collapsed="false">
      <c r="A596" s="106" t="s">
        <v>5280</v>
      </c>
      <c r="B596" s="106" t="s">
        <v>4284</v>
      </c>
      <c r="C596" s="106"/>
      <c r="D596" s="106" t="n">
        <v>692</v>
      </c>
      <c r="E596" s="107" t="n">
        <v>2268</v>
      </c>
      <c r="F596" s="106" t="n">
        <v>9</v>
      </c>
      <c r="G596" s="118" t="n">
        <v>0.004</v>
      </c>
      <c r="H596" s="116" t="n">
        <v>1.22</v>
      </c>
      <c r="I596" s="106" t="n">
        <v>1</v>
      </c>
      <c r="J596" s="117" t="n">
        <v>0.1111</v>
      </c>
      <c r="K596" s="108" t="n">
        <v>11.01</v>
      </c>
      <c r="L596" s="108" t="n">
        <v>79.99</v>
      </c>
      <c r="M596" s="117" t="n">
        <v>0.138</v>
      </c>
      <c r="N596" s="106"/>
      <c r="O596" s="106"/>
      <c r="P596" s="106"/>
      <c r="Q596" s="106"/>
      <c r="R596" s="106" t="s">
        <v>4285</v>
      </c>
    </row>
    <row r="597" customFormat="false" ht="15" hidden="false" customHeight="false" outlineLevel="0" collapsed="false">
      <c r="A597" s="106" t="s">
        <v>4457</v>
      </c>
      <c r="B597" s="106" t="s">
        <v>4284</v>
      </c>
      <c r="C597" s="106"/>
      <c r="D597" s="106" t="n">
        <v>15754</v>
      </c>
      <c r="E597" s="107" t="n">
        <v>209</v>
      </c>
      <c r="F597" s="106" t="n">
        <v>9</v>
      </c>
      <c r="G597" s="118" t="n">
        <v>0.0431</v>
      </c>
      <c r="H597" s="116" t="n">
        <v>0.64</v>
      </c>
      <c r="I597" s="106" t="n">
        <v>2</v>
      </c>
      <c r="J597" s="117" t="n">
        <v>0.2222</v>
      </c>
      <c r="K597" s="108" t="n">
        <v>5.74</v>
      </c>
      <c r="L597" s="108" t="n">
        <v>149.98</v>
      </c>
      <c r="M597" s="117" t="n">
        <v>0.038</v>
      </c>
      <c r="N597" s="106"/>
      <c r="O597" s="106"/>
      <c r="P597" s="106"/>
      <c r="Q597" s="106"/>
      <c r="R597" s="106" t="s">
        <v>4285</v>
      </c>
    </row>
    <row r="598" customFormat="false" ht="15" hidden="false" customHeight="false" outlineLevel="0" collapsed="false">
      <c r="A598" s="106" t="s">
        <v>5281</v>
      </c>
      <c r="B598" s="106" t="s">
        <v>4284</v>
      </c>
      <c r="C598" s="106"/>
      <c r="D598" s="106"/>
      <c r="E598" s="107" t="n">
        <v>42</v>
      </c>
      <c r="F598" s="106" t="n">
        <v>8</v>
      </c>
      <c r="G598" s="118" t="n">
        <v>0.1905</v>
      </c>
      <c r="H598" s="116" t="n">
        <v>0.35</v>
      </c>
      <c r="I598" s="106" t="n">
        <v>1</v>
      </c>
      <c r="J598" s="117" t="n">
        <v>0.125</v>
      </c>
      <c r="K598" s="108" t="n">
        <v>2.8</v>
      </c>
      <c r="L598" s="108" t="n">
        <v>76.99</v>
      </c>
      <c r="M598" s="117" t="n">
        <v>0.036</v>
      </c>
      <c r="N598" s="106"/>
      <c r="O598" s="106"/>
      <c r="P598" s="106"/>
      <c r="Q598" s="106"/>
      <c r="R598" s="106" t="s">
        <v>4285</v>
      </c>
    </row>
    <row r="599" customFormat="false" ht="15" hidden="false" customHeight="false" outlineLevel="0" collapsed="false">
      <c r="A599" s="106" t="s">
        <v>5282</v>
      </c>
      <c r="B599" s="106" t="s">
        <v>1403</v>
      </c>
      <c r="C599" s="106"/>
      <c r="D599" s="106"/>
      <c r="E599" s="107" t="n">
        <v>65</v>
      </c>
      <c r="F599" s="106" t="n">
        <v>8</v>
      </c>
      <c r="G599" s="118" t="n">
        <v>0.1231</v>
      </c>
      <c r="H599" s="116" t="n">
        <v>1.5</v>
      </c>
      <c r="I599" s="106" t="n">
        <v>6</v>
      </c>
      <c r="J599" s="117" t="n">
        <v>0.75</v>
      </c>
      <c r="K599" s="108" t="n">
        <v>12.02</v>
      </c>
      <c r="L599" s="108" t="n">
        <v>379.94</v>
      </c>
      <c r="M599" s="117" t="n">
        <v>0.032</v>
      </c>
      <c r="N599" s="106"/>
      <c r="O599" s="106"/>
      <c r="P599" s="106"/>
      <c r="Q599" s="106"/>
      <c r="R599" s="106" t="s">
        <v>4285</v>
      </c>
    </row>
    <row r="600" customFormat="false" ht="15" hidden="false" customHeight="false" outlineLevel="0" collapsed="false">
      <c r="A600" s="106" t="s">
        <v>996</v>
      </c>
      <c r="B600" s="106" t="s">
        <v>4280</v>
      </c>
      <c r="C600" s="106" t="s">
        <v>4281</v>
      </c>
      <c r="D600" s="106" t="n">
        <v>1023</v>
      </c>
      <c r="E600" s="107" t="n">
        <v>412</v>
      </c>
      <c r="F600" s="106" t="n">
        <v>8</v>
      </c>
      <c r="G600" s="118" t="n">
        <v>0.0194</v>
      </c>
      <c r="H600" s="116" t="n">
        <v>2.11</v>
      </c>
      <c r="I600" s="106" t="n">
        <v>3</v>
      </c>
      <c r="J600" s="117" t="n">
        <v>0.375</v>
      </c>
      <c r="K600" s="108" t="n">
        <v>16.9</v>
      </c>
      <c r="L600" s="108" t="n">
        <v>197.93</v>
      </c>
      <c r="M600" s="117" t="n">
        <v>0.085</v>
      </c>
      <c r="N600" s="106" t="n">
        <v>43</v>
      </c>
      <c r="O600" s="106" t="n">
        <v>9</v>
      </c>
      <c r="P600" s="106" t="s">
        <v>1766</v>
      </c>
      <c r="Q600" s="106" t="n">
        <v>28</v>
      </c>
      <c r="R600" s="106" t="s">
        <v>4285</v>
      </c>
    </row>
    <row r="601" customFormat="false" ht="15" hidden="false" customHeight="false" outlineLevel="0" collapsed="false">
      <c r="A601" s="106" t="s">
        <v>5283</v>
      </c>
      <c r="B601" s="106" t="s">
        <v>4280</v>
      </c>
      <c r="C601" s="106" t="s">
        <v>4281</v>
      </c>
      <c r="D601" s="106" t="n">
        <v>674</v>
      </c>
      <c r="E601" s="107" t="n">
        <v>207</v>
      </c>
      <c r="F601" s="106" t="n">
        <v>8</v>
      </c>
      <c r="G601" s="118" t="n">
        <v>0.0386</v>
      </c>
      <c r="H601" s="116" t="n">
        <v>2.23</v>
      </c>
      <c r="I601" s="106" t="n">
        <v>2</v>
      </c>
      <c r="J601" s="117" t="n">
        <v>0.25</v>
      </c>
      <c r="K601" s="108" t="n">
        <v>17.85</v>
      </c>
      <c r="L601" s="108" t="n">
        <v>159.98</v>
      </c>
      <c r="M601" s="117" t="n">
        <v>0.112</v>
      </c>
      <c r="N601" s="106" t="n">
        <v>5</v>
      </c>
      <c r="O601" s="106"/>
      <c r="P601" s="106"/>
      <c r="Q601" s="106"/>
      <c r="R601" s="106" t="s">
        <v>4285</v>
      </c>
    </row>
    <row r="602" customFormat="false" ht="15" hidden="false" customHeight="false" outlineLevel="0" collapsed="false">
      <c r="A602" s="106" t="s">
        <v>4313</v>
      </c>
      <c r="B602" s="106" t="s">
        <v>4309</v>
      </c>
      <c r="C602" s="106"/>
      <c r="D602" s="106"/>
      <c r="E602" s="107" t="n">
        <v>661</v>
      </c>
      <c r="F602" s="106" t="n">
        <v>8</v>
      </c>
      <c r="G602" s="118" t="n">
        <v>0.0121</v>
      </c>
      <c r="H602" s="116" t="n">
        <v>0.47</v>
      </c>
      <c r="I602" s="106" t="n">
        <v>0</v>
      </c>
      <c r="J602" s="117" t="n">
        <v>0</v>
      </c>
      <c r="K602" s="108" t="n">
        <v>3.76</v>
      </c>
      <c r="L602" s="108" t="n">
        <v>0</v>
      </c>
      <c r="M602" s="117"/>
      <c r="N602" s="106"/>
      <c r="O602" s="106"/>
      <c r="P602" s="106"/>
      <c r="Q602" s="106"/>
      <c r="R602" s="106" t="s">
        <v>4537</v>
      </c>
    </row>
    <row r="603" customFormat="false" ht="15" hidden="false" customHeight="false" outlineLevel="0" collapsed="false">
      <c r="A603" s="106" t="s">
        <v>5284</v>
      </c>
      <c r="B603" s="106" t="s">
        <v>4280</v>
      </c>
      <c r="C603" s="106" t="s">
        <v>4301</v>
      </c>
      <c r="D603" s="106" t="n">
        <v>593</v>
      </c>
      <c r="E603" s="107" t="n">
        <v>62</v>
      </c>
      <c r="F603" s="106" t="n">
        <v>8</v>
      </c>
      <c r="G603" s="118" t="n">
        <v>0.129</v>
      </c>
      <c r="H603" s="116" t="n">
        <v>3.17</v>
      </c>
      <c r="I603" s="106" t="n">
        <v>1</v>
      </c>
      <c r="J603" s="117" t="n">
        <v>0.125</v>
      </c>
      <c r="K603" s="108" t="n">
        <v>25.36</v>
      </c>
      <c r="L603" s="108" t="n">
        <v>84.99</v>
      </c>
      <c r="M603" s="117" t="n">
        <v>0.298</v>
      </c>
      <c r="N603" s="106"/>
      <c r="O603" s="106"/>
      <c r="P603" s="106"/>
      <c r="Q603" s="106"/>
      <c r="R603" s="106" t="s">
        <v>4285</v>
      </c>
    </row>
    <row r="604" customFormat="false" ht="15" hidden="false" customHeight="false" outlineLevel="0" collapsed="false">
      <c r="A604" s="106" t="s">
        <v>4456</v>
      </c>
      <c r="B604" s="106" t="s">
        <v>4329</v>
      </c>
      <c r="C604" s="106" t="s">
        <v>4281</v>
      </c>
      <c r="D604" s="106" t="n">
        <v>639</v>
      </c>
      <c r="E604" s="107" t="n">
        <v>68</v>
      </c>
      <c r="F604" s="106" t="n">
        <v>8</v>
      </c>
      <c r="G604" s="118" t="n">
        <v>0.1176</v>
      </c>
      <c r="H604" s="116" t="n">
        <v>1.93</v>
      </c>
      <c r="I604" s="106" t="n">
        <v>0</v>
      </c>
      <c r="J604" s="117" t="n">
        <v>0</v>
      </c>
      <c r="K604" s="108" t="n">
        <v>15.43</v>
      </c>
      <c r="L604" s="108" t="n">
        <v>0</v>
      </c>
      <c r="M604" s="117"/>
      <c r="N604" s="106"/>
      <c r="O604" s="106"/>
      <c r="P604" s="106"/>
      <c r="Q604" s="106"/>
      <c r="R604" s="106" t="s">
        <v>4537</v>
      </c>
    </row>
    <row r="605" customFormat="false" ht="15" hidden="false" customHeight="false" outlineLevel="0" collapsed="false">
      <c r="A605" s="106" t="s">
        <v>1352</v>
      </c>
      <c r="B605" s="106" t="s">
        <v>4280</v>
      </c>
      <c r="C605" s="106" t="s">
        <v>4301</v>
      </c>
      <c r="D605" s="106" t="n">
        <v>624</v>
      </c>
      <c r="E605" s="107" t="n">
        <v>207</v>
      </c>
      <c r="F605" s="106" t="n">
        <v>8</v>
      </c>
      <c r="G605" s="118" t="n">
        <v>0.0386</v>
      </c>
      <c r="H605" s="116" t="n">
        <v>2.63</v>
      </c>
      <c r="I605" s="106" t="n">
        <v>1</v>
      </c>
      <c r="J605" s="117" t="n">
        <v>0.125</v>
      </c>
      <c r="K605" s="108" t="n">
        <v>21.02</v>
      </c>
      <c r="L605" s="108" t="n">
        <v>79.99</v>
      </c>
      <c r="M605" s="117" t="n">
        <v>0.263</v>
      </c>
      <c r="N605" s="106" t="n">
        <v>96</v>
      </c>
      <c r="O605" s="106" t="n">
        <v>11</v>
      </c>
      <c r="P605" s="106"/>
      <c r="Q605" s="106" t="n">
        <v>27</v>
      </c>
      <c r="R605" s="106" t="s">
        <v>4285</v>
      </c>
    </row>
    <row r="606" customFormat="false" ht="15" hidden="false" customHeight="false" outlineLevel="0" collapsed="false">
      <c r="A606" s="106" t="s">
        <v>5285</v>
      </c>
      <c r="B606" s="106" t="s">
        <v>4329</v>
      </c>
      <c r="C606" s="106"/>
      <c r="D606" s="106" t="n">
        <v>55</v>
      </c>
      <c r="E606" s="107" t="n">
        <v>29</v>
      </c>
      <c r="F606" s="106" t="n">
        <v>8</v>
      </c>
      <c r="G606" s="118" t="n">
        <v>0.2759</v>
      </c>
      <c r="H606" s="116" t="n">
        <v>2.91</v>
      </c>
      <c r="I606" s="106" t="n">
        <v>1</v>
      </c>
      <c r="J606" s="117" t="n">
        <v>0.125</v>
      </c>
      <c r="K606" s="108" t="n">
        <v>23.27</v>
      </c>
      <c r="L606" s="108" t="n">
        <v>60.99</v>
      </c>
      <c r="M606" s="117" t="n">
        <v>0.382</v>
      </c>
      <c r="N606" s="106"/>
      <c r="O606" s="106"/>
      <c r="P606" s="106"/>
      <c r="Q606" s="106"/>
      <c r="R606" s="106" t="s">
        <v>4291</v>
      </c>
    </row>
    <row r="607" customFormat="false" ht="15" hidden="false" customHeight="false" outlineLevel="0" collapsed="false">
      <c r="A607" s="106" t="s">
        <v>5286</v>
      </c>
      <c r="B607" s="106" t="s">
        <v>4280</v>
      </c>
      <c r="C607" s="106" t="s">
        <v>4301</v>
      </c>
      <c r="D607" s="106" t="n">
        <v>424</v>
      </c>
      <c r="E607" s="107" t="n">
        <v>43</v>
      </c>
      <c r="F607" s="106" t="n">
        <v>7</v>
      </c>
      <c r="G607" s="118" t="n">
        <v>0.1628</v>
      </c>
      <c r="H607" s="116" t="n">
        <v>3.47</v>
      </c>
      <c r="I607" s="106" t="n">
        <v>0</v>
      </c>
      <c r="J607" s="117" t="n">
        <v>0</v>
      </c>
      <c r="K607" s="108" t="n">
        <v>24.26</v>
      </c>
      <c r="L607" s="108" t="n">
        <v>0</v>
      </c>
      <c r="M607" s="117"/>
      <c r="N607" s="106"/>
      <c r="O607" s="106"/>
      <c r="P607" s="106"/>
      <c r="Q607" s="106"/>
      <c r="R607" s="106" t="s">
        <v>4537</v>
      </c>
    </row>
    <row r="608" customFormat="false" ht="15" hidden="false" customHeight="false" outlineLevel="0" collapsed="false">
      <c r="A608" s="106" t="s">
        <v>1057</v>
      </c>
      <c r="B608" s="106" t="s">
        <v>4280</v>
      </c>
      <c r="C608" s="106" t="s">
        <v>4281</v>
      </c>
      <c r="D608" s="106" t="n">
        <v>697</v>
      </c>
      <c r="E608" s="107" t="n">
        <v>81</v>
      </c>
      <c r="F608" s="106" t="n">
        <v>7</v>
      </c>
      <c r="G608" s="118" t="n">
        <v>0.0864</v>
      </c>
      <c r="H608" s="116" t="n">
        <v>2.95</v>
      </c>
      <c r="I608" s="106" t="n">
        <v>1</v>
      </c>
      <c r="J608" s="117" t="n">
        <v>0.1429</v>
      </c>
      <c r="K608" s="108" t="n">
        <v>20.68</v>
      </c>
      <c r="L608" s="108" t="n">
        <v>79.99</v>
      </c>
      <c r="M608" s="117" t="n">
        <v>0.259</v>
      </c>
      <c r="N608" s="106" t="n">
        <v>36</v>
      </c>
      <c r="O608" s="106" t="n">
        <v>5</v>
      </c>
      <c r="P608" s="106" t="s">
        <v>4622</v>
      </c>
      <c r="Q608" s="106" t="n">
        <v>58</v>
      </c>
      <c r="R608" s="106" t="s">
        <v>4285</v>
      </c>
    </row>
    <row r="609" customFormat="false" ht="15" hidden="false" customHeight="false" outlineLevel="0" collapsed="false">
      <c r="A609" s="106" t="s">
        <v>5287</v>
      </c>
      <c r="B609" s="106" t="s">
        <v>4280</v>
      </c>
      <c r="C609" s="106"/>
      <c r="D609" s="106" t="n">
        <v>127</v>
      </c>
      <c r="E609" s="107" t="n">
        <v>35</v>
      </c>
      <c r="F609" s="106" t="n">
        <v>7</v>
      </c>
      <c r="G609" s="118" t="n">
        <v>0.2</v>
      </c>
      <c r="H609" s="116" t="n">
        <v>2.92</v>
      </c>
      <c r="I609" s="106" t="n">
        <v>2</v>
      </c>
      <c r="J609" s="117" t="n">
        <v>0.2857</v>
      </c>
      <c r="K609" s="108" t="n">
        <v>20.43</v>
      </c>
      <c r="L609" s="108" t="n">
        <v>154.98</v>
      </c>
      <c r="M609" s="117" t="n">
        <v>0.132</v>
      </c>
      <c r="N609" s="106"/>
      <c r="O609" s="106"/>
      <c r="P609" s="106"/>
      <c r="Q609" s="106"/>
      <c r="R609" s="106" t="s">
        <v>4285</v>
      </c>
    </row>
    <row r="610" customFormat="false" ht="15" hidden="false" customHeight="false" outlineLevel="0" collapsed="false">
      <c r="A610" s="106" t="s">
        <v>1045</v>
      </c>
      <c r="B610" s="106" t="s">
        <v>4280</v>
      </c>
      <c r="C610" s="106" t="s">
        <v>4281</v>
      </c>
      <c r="D610" s="106" t="n">
        <v>766</v>
      </c>
      <c r="E610" s="107" t="n">
        <v>68</v>
      </c>
      <c r="F610" s="106" t="n">
        <v>7</v>
      </c>
      <c r="G610" s="118" t="n">
        <v>0.1029</v>
      </c>
      <c r="H610" s="116" t="n">
        <v>2.08</v>
      </c>
      <c r="I610" s="106" t="n">
        <v>2</v>
      </c>
      <c r="J610" s="117" t="n">
        <v>0.2857</v>
      </c>
      <c r="K610" s="108" t="n">
        <v>14.54</v>
      </c>
      <c r="L610" s="108" t="n">
        <v>115.98</v>
      </c>
      <c r="M610" s="117" t="n">
        <v>0.125</v>
      </c>
      <c r="N610" s="106" t="n">
        <v>28</v>
      </c>
      <c r="O610" s="106" t="n">
        <v>4</v>
      </c>
      <c r="P610" s="106" t="s">
        <v>4915</v>
      </c>
      <c r="Q610" s="106" t="n">
        <v>18</v>
      </c>
      <c r="R610" s="106" t="s">
        <v>4285</v>
      </c>
    </row>
    <row r="611" customFormat="false" ht="15" hidden="false" customHeight="false" outlineLevel="0" collapsed="false">
      <c r="A611" s="106" t="s">
        <v>5288</v>
      </c>
      <c r="B611" s="106" t="s">
        <v>1403</v>
      </c>
      <c r="C611" s="106"/>
      <c r="D611" s="106" t="n">
        <v>9241</v>
      </c>
      <c r="E611" s="107" t="n">
        <v>66</v>
      </c>
      <c r="F611" s="106" t="n">
        <v>7</v>
      </c>
      <c r="G611" s="118" t="n">
        <v>0.1061</v>
      </c>
      <c r="H611" s="116" t="n">
        <v>0.48</v>
      </c>
      <c r="I611" s="106" t="n">
        <v>0</v>
      </c>
      <c r="J611" s="117" t="n">
        <v>0</v>
      </c>
      <c r="K611" s="108" t="n">
        <v>3.36</v>
      </c>
      <c r="L611" s="108" t="n">
        <v>0</v>
      </c>
      <c r="M611" s="117"/>
      <c r="N611" s="106"/>
      <c r="O611" s="106"/>
      <c r="P611" s="106"/>
      <c r="Q611" s="106"/>
      <c r="R611" s="106" t="s">
        <v>4537</v>
      </c>
    </row>
    <row r="612" customFormat="false" ht="15" hidden="false" customHeight="false" outlineLevel="0" collapsed="false">
      <c r="A612" s="106" t="s">
        <v>5289</v>
      </c>
      <c r="B612" s="106" t="s">
        <v>4280</v>
      </c>
      <c r="C612" s="106" t="s">
        <v>4301</v>
      </c>
      <c r="D612" s="106" t="n">
        <v>486</v>
      </c>
      <c r="E612" s="107" t="n">
        <v>20</v>
      </c>
      <c r="F612" s="106" t="n">
        <v>7</v>
      </c>
      <c r="G612" s="118" t="n">
        <v>0.35</v>
      </c>
      <c r="H612" s="116" t="n">
        <v>2.88</v>
      </c>
      <c r="I612" s="106" t="n">
        <v>1</v>
      </c>
      <c r="J612" s="117" t="n">
        <v>0.1429</v>
      </c>
      <c r="K612" s="108" t="n">
        <v>20.14</v>
      </c>
      <c r="L612" s="108" t="n">
        <v>79.99</v>
      </c>
      <c r="M612" s="117" t="n">
        <v>0.252</v>
      </c>
      <c r="N612" s="106"/>
      <c r="O612" s="106"/>
      <c r="P612" s="106"/>
      <c r="Q612" s="106"/>
      <c r="R612" s="106" t="s">
        <v>4285</v>
      </c>
    </row>
    <row r="613" customFormat="false" ht="15" hidden="false" customHeight="false" outlineLevel="0" collapsed="false">
      <c r="A613" s="106" t="s">
        <v>802</v>
      </c>
      <c r="B613" s="106" t="s">
        <v>4280</v>
      </c>
      <c r="C613" s="106" t="s">
        <v>4281</v>
      </c>
      <c r="D613" s="106" t="n">
        <v>337</v>
      </c>
      <c r="E613" s="107" t="n">
        <v>33</v>
      </c>
      <c r="F613" s="106" t="n">
        <v>7</v>
      </c>
      <c r="G613" s="118" t="n">
        <v>0.2121</v>
      </c>
      <c r="H613" s="116" t="n">
        <v>2.48</v>
      </c>
      <c r="I613" s="106" t="n">
        <v>2</v>
      </c>
      <c r="J613" s="117" t="n">
        <v>0.2857</v>
      </c>
      <c r="K613" s="108" t="n">
        <v>17.38</v>
      </c>
      <c r="L613" s="108" t="n">
        <v>144.98</v>
      </c>
      <c r="M613" s="117" t="n">
        <v>0.12</v>
      </c>
      <c r="N613" s="106"/>
      <c r="O613" s="106"/>
      <c r="P613" s="106"/>
      <c r="Q613" s="106"/>
      <c r="R613" s="106" t="s">
        <v>4285</v>
      </c>
    </row>
    <row r="614" customFormat="false" ht="15" hidden="false" customHeight="false" outlineLevel="0" collapsed="false">
      <c r="A614" s="106" t="s">
        <v>5290</v>
      </c>
      <c r="B614" s="106" t="s">
        <v>1403</v>
      </c>
      <c r="C614" s="106"/>
      <c r="D614" s="106" t="n">
        <v>7</v>
      </c>
      <c r="E614" s="107" t="n">
        <v>34</v>
      </c>
      <c r="F614" s="106" t="n">
        <v>7</v>
      </c>
      <c r="G614" s="118" t="n">
        <v>0.2059</v>
      </c>
      <c r="H614" s="116" t="n">
        <v>0.78</v>
      </c>
      <c r="I614" s="106" t="n">
        <v>1</v>
      </c>
      <c r="J614" s="117" t="n">
        <v>0.1429</v>
      </c>
      <c r="K614" s="108" t="n">
        <v>5.44</v>
      </c>
      <c r="L614" s="108" t="n">
        <v>64.99</v>
      </c>
      <c r="M614" s="117" t="n">
        <v>0.084</v>
      </c>
      <c r="N614" s="106"/>
      <c r="O614" s="106"/>
      <c r="P614" s="106"/>
      <c r="Q614" s="106"/>
      <c r="R614" s="106" t="s">
        <v>4285</v>
      </c>
    </row>
    <row r="615" customFormat="false" ht="15" hidden="false" customHeight="false" outlineLevel="0" collapsed="false">
      <c r="A615" s="106" t="s">
        <v>5291</v>
      </c>
      <c r="B615" s="106" t="s">
        <v>4280</v>
      </c>
      <c r="C615" s="106" t="s">
        <v>4301</v>
      </c>
      <c r="D615" s="106" t="n">
        <v>463</v>
      </c>
      <c r="E615" s="107" t="n">
        <v>223</v>
      </c>
      <c r="F615" s="106" t="n">
        <v>7</v>
      </c>
      <c r="G615" s="118" t="n">
        <v>0.0314</v>
      </c>
      <c r="H615" s="116" t="n">
        <v>2.29</v>
      </c>
      <c r="I615" s="106" t="n">
        <v>0</v>
      </c>
      <c r="J615" s="117" t="n">
        <v>0</v>
      </c>
      <c r="K615" s="108" t="n">
        <v>16.05</v>
      </c>
      <c r="L615" s="108" t="n">
        <v>0</v>
      </c>
      <c r="M615" s="117"/>
      <c r="N615" s="106"/>
      <c r="O615" s="106"/>
      <c r="P615" s="106"/>
      <c r="Q615" s="106"/>
      <c r="R615" s="106" t="s">
        <v>4537</v>
      </c>
    </row>
    <row r="616" customFormat="false" ht="15" hidden="false" customHeight="false" outlineLevel="0" collapsed="false">
      <c r="A616" s="106" t="s">
        <v>5292</v>
      </c>
      <c r="B616" s="106" t="s">
        <v>4280</v>
      </c>
      <c r="C616" s="106" t="s">
        <v>4288</v>
      </c>
      <c r="D616" s="106" t="n">
        <v>333</v>
      </c>
      <c r="E616" s="107" t="n">
        <v>251</v>
      </c>
      <c r="F616" s="106" t="n">
        <v>7</v>
      </c>
      <c r="G616" s="118" t="n">
        <v>0.0279</v>
      </c>
      <c r="H616" s="116" t="n">
        <v>2.44</v>
      </c>
      <c r="I616" s="106" t="n">
        <v>0</v>
      </c>
      <c r="J616" s="117" t="n">
        <v>0</v>
      </c>
      <c r="K616" s="108" t="n">
        <v>17.08</v>
      </c>
      <c r="L616" s="108" t="n">
        <v>0</v>
      </c>
      <c r="M616" s="117"/>
      <c r="N616" s="106"/>
      <c r="O616" s="106"/>
      <c r="P616" s="106"/>
      <c r="Q616" s="106"/>
      <c r="R616" s="106" t="s">
        <v>4537</v>
      </c>
    </row>
    <row r="617" customFormat="false" ht="15" hidden="false" customHeight="false" outlineLevel="0" collapsed="false">
      <c r="A617" s="106" t="s">
        <v>5293</v>
      </c>
      <c r="B617" s="106" t="s">
        <v>4284</v>
      </c>
      <c r="C617" s="106"/>
      <c r="D617" s="106"/>
      <c r="E617" s="107" t="n">
        <v>557</v>
      </c>
      <c r="F617" s="106" t="n">
        <v>7</v>
      </c>
      <c r="G617" s="118" t="n">
        <v>0.0126</v>
      </c>
      <c r="H617" s="116" t="n">
        <v>2.13</v>
      </c>
      <c r="I617" s="106" t="n">
        <v>1</v>
      </c>
      <c r="J617" s="117" t="n">
        <v>0.1429</v>
      </c>
      <c r="K617" s="108" t="n">
        <v>14.91</v>
      </c>
      <c r="L617" s="108" t="n">
        <v>79.99</v>
      </c>
      <c r="M617" s="117" t="n">
        <v>0.186</v>
      </c>
      <c r="N617" s="106"/>
      <c r="O617" s="106"/>
      <c r="P617" s="106"/>
      <c r="Q617" s="106"/>
      <c r="R617" s="106" t="s">
        <v>4285</v>
      </c>
    </row>
    <row r="618" customFormat="false" ht="15" hidden="false" customHeight="false" outlineLevel="0" collapsed="false">
      <c r="A618" s="106" t="s">
        <v>5294</v>
      </c>
      <c r="B618" s="106" t="s">
        <v>1403</v>
      </c>
      <c r="C618" s="106"/>
      <c r="D618" s="106"/>
      <c r="E618" s="107" t="n">
        <v>40</v>
      </c>
      <c r="F618" s="106" t="n">
        <v>7</v>
      </c>
      <c r="G618" s="118" t="n">
        <v>0.175</v>
      </c>
      <c r="H618" s="116" t="n">
        <v>1.07</v>
      </c>
      <c r="I618" s="106" t="n">
        <v>4</v>
      </c>
      <c r="J618" s="117" t="n">
        <v>0.5714</v>
      </c>
      <c r="K618" s="108" t="n">
        <v>7.49</v>
      </c>
      <c r="L618" s="108" t="n">
        <v>81.96</v>
      </c>
      <c r="M618" s="117" t="n">
        <v>0.091</v>
      </c>
      <c r="N618" s="106"/>
      <c r="O618" s="106"/>
      <c r="P618" s="106"/>
      <c r="Q618" s="106"/>
      <c r="R618" s="106" t="s">
        <v>4285</v>
      </c>
    </row>
    <row r="619" customFormat="false" ht="15" hidden="false" customHeight="false" outlineLevel="0" collapsed="false">
      <c r="A619" s="106" t="s">
        <v>3886</v>
      </c>
      <c r="B619" s="106" t="s">
        <v>4309</v>
      </c>
      <c r="C619" s="106"/>
      <c r="D619" s="106" t="n">
        <v>113453</v>
      </c>
      <c r="E619" s="107" t="n">
        <v>86</v>
      </c>
      <c r="F619" s="106" t="n">
        <v>6</v>
      </c>
      <c r="G619" s="118" t="n">
        <v>0.0698</v>
      </c>
      <c r="H619" s="116" t="n">
        <v>0.73</v>
      </c>
      <c r="I619" s="106" t="n">
        <v>0</v>
      </c>
      <c r="J619" s="117" t="n">
        <v>0</v>
      </c>
      <c r="K619" s="108" t="n">
        <v>4.39</v>
      </c>
      <c r="L619" s="108" t="n">
        <v>0</v>
      </c>
      <c r="M619" s="117"/>
      <c r="N619" s="106"/>
      <c r="O619" s="106"/>
      <c r="P619" s="106"/>
      <c r="Q619" s="106"/>
      <c r="R619" s="106" t="s">
        <v>4537</v>
      </c>
    </row>
    <row r="620" customFormat="false" ht="15" hidden="false" customHeight="false" outlineLevel="0" collapsed="false">
      <c r="A620" s="106" t="s">
        <v>5295</v>
      </c>
      <c r="B620" s="106" t="s">
        <v>4280</v>
      </c>
      <c r="C620" s="106"/>
      <c r="D620" s="106" t="n">
        <v>22</v>
      </c>
      <c r="E620" s="107" t="n">
        <v>18</v>
      </c>
      <c r="F620" s="106" t="n">
        <v>6</v>
      </c>
      <c r="G620" s="118" t="n">
        <v>0.3333</v>
      </c>
      <c r="H620" s="116" t="n">
        <v>2.64</v>
      </c>
      <c r="I620" s="106" t="n">
        <v>3</v>
      </c>
      <c r="J620" s="117" t="n">
        <v>0.5</v>
      </c>
      <c r="K620" s="108" t="n">
        <v>15.83</v>
      </c>
      <c r="L620" s="108" t="n">
        <v>209.97</v>
      </c>
      <c r="M620" s="117" t="n">
        <v>0.075</v>
      </c>
      <c r="N620" s="106"/>
      <c r="O620" s="106"/>
      <c r="P620" s="106"/>
      <c r="Q620" s="106"/>
      <c r="R620" s="106" t="s">
        <v>4285</v>
      </c>
    </row>
    <row r="621" customFormat="false" ht="15" hidden="false" customHeight="false" outlineLevel="0" collapsed="false">
      <c r="A621" s="106" t="s">
        <v>5296</v>
      </c>
      <c r="B621" s="106" t="s">
        <v>4309</v>
      </c>
      <c r="C621" s="106"/>
      <c r="D621" s="106" t="n">
        <v>1847</v>
      </c>
      <c r="E621" s="107" t="n">
        <v>96</v>
      </c>
      <c r="F621" s="106" t="n">
        <v>6</v>
      </c>
      <c r="G621" s="118" t="n">
        <v>0.0625</v>
      </c>
      <c r="H621" s="116" t="n">
        <v>0.67</v>
      </c>
      <c r="I621" s="106" t="n">
        <v>0</v>
      </c>
      <c r="J621" s="117" t="n">
        <v>0</v>
      </c>
      <c r="K621" s="108" t="n">
        <v>4.01</v>
      </c>
      <c r="L621" s="108" t="n">
        <v>0</v>
      </c>
      <c r="M621" s="117"/>
      <c r="N621" s="106"/>
      <c r="O621" s="106"/>
      <c r="P621" s="106"/>
      <c r="Q621" s="106"/>
      <c r="R621" s="106" t="s">
        <v>4537</v>
      </c>
    </row>
    <row r="622" customFormat="false" ht="15" hidden="false" customHeight="false" outlineLevel="0" collapsed="false">
      <c r="A622" s="106" t="s">
        <v>5297</v>
      </c>
      <c r="B622" s="106" t="s">
        <v>4280</v>
      </c>
      <c r="C622" s="106"/>
      <c r="D622" s="106" t="n">
        <v>14</v>
      </c>
      <c r="E622" s="107" t="n">
        <v>19</v>
      </c>
      <c r="F622" s="106" t="n">
        <v>6</v>
      </c>
      <c r="G622" s="118" t="n">
        <v>0.3158</v>
      </c>
      <c r="H622" s="116" t="n">
        <v>2.13</v>
      </c>
      <c r="I622" s="106" t="n">
        <v>0</v>
      </c>
      <c r="J622" s="117" t="n">
        <v>0</v>
      </c>
      <c r="K622" s="108" t="n">
        <v>12.76</v>
      </c>
      <c r="L622" s="108" t="n">
        <v>0</v>
      </c>
      <c r="M622" s="117"/>
      <c r="N622" s="106"/>
      <c r="O622" s="106"/>
      <c r="P622" s="106"/>
      <c r="Q622" s="106"/>
      <c r="R622" s="106" t="s">
        <v>4537</v>
      </c>
    </row>
    <row r="623" customFormat="false" ht="15" hidden="false" customHeight="false" outlineLevel="0" collapsed="false">
      <c r="A623" s="106" t="s">
        <v>5298</v>
      </c>
      <c r="B623" s="106" t="s">
        <v>4280</v>
      </c>
      <c r="C623" s="106"/>
      <c r="D623" s="106" t="n">
        <v>27</v>
      </c>
      <c r="E623" s="107" t="n">
        <v>123</v>
      </c>
      <c r="F623" s="106" t="n">
        <v>6</v>
      </c>
      <c r="G623" s="118" t="n">
        <v>0.0488</v>
      </c>
      <c r="H623" s="116" t="n">
        <v>2.58</v>
      </c>
      <c r="I623" s="106" t="n">
        <v>0</v>
      </c>
      <c r="J623" s="117" t="n">
        <v>0</v>
      </c>
      <c r="K623" s="108" t="n">
        <v>15.5</v>
      </c>
      <c r="L623" s="108" t="n">
        <v>0</v>
      </c>
      <c r="M623" s="117"/>
      <c r="N623" s="106"/>
      <c r="O623" s="106"/>
      <c r="P623" s="106"/>
      <c r="Q623" s="106"/>
      <c r="R623" s="106" t="s">
        <v>4537</v>
      </c>
    </row>
    <row r="624" customFormat="false" ht="15" hidden="false" customHeight="false" outlineLevel="0" collapsed="false">
      <c r="A624" s="106" t="s">
        <v>5299</v>
      </c>
      <c r="B624" s="106" t="s">
        <v>4280</v>
      </c>
      <c r="C624" s="106" t="s">
        <v>4281</v>
      </c>
      <c r="D624" s="106" t="n">
        <v>491</v>
      </c>
      <c r="E624" s="107" t="n">
        <v>105</v>
      </c>
      <c r="F624" s="106" t="n">
        <v>6</v>
      </c>
      <c r="G624" s="118" t="n">
        <v>0.0571</v>
      </c>
      <c r="H624" s="116" t="n">
        <v>2.55</v>
      </c>
      <c r="I624" s="106" t="n">
        <v>0</v>
      </c>
      <c r="J624" s="117" t="n">
        <v>0</v>
      </c>
      <c r="K624" s="108" t="n">
        <v>15.29</v>
      </c>
      <c r="L624" s="108" t="n">
        <v>0</v>
      </c>
      <c r="M624" s="117"/>
      <c r="N624" s="106"/>
      <c r="O624" s="106"/>
      <c r="P624" s="106"/>
      <c r="Q624" s="106"/>
      <c r="R624" s="106" t="s">
        <v>4537</v>
      </c>
    </row>
    <row r="625" customFormat="false" ht="15" hidden="false" customHeight="false" outlineLevel="0" collapsed="false">
      <c r="A625" s="106" t="s">
        <v>5300</v>
      </c>
      <c r="B625" s="106" t="s">
        <v>4280</v>
      </c>
      <c r="C625" s="106"/>
      <c r="D625" s="106" t="n">
        <v>12</v>
      </c>
      <c r="E625" s="107" t="n">
        <v>21</v>
      </c>
      <c r="F625" s="106" t="n">
        <v>6</v>
      </c>
      <c r="G625" s="118" t="n">
        <v>0.2857</v>
      </c>
      <c r="H625" s="116" t="n">
        <v>4.22</v>
      </c>
      <c r="I625" s="106" t="n">
        <v>1</v>
      </c>
      <c r="J625" s="117" t="n">
        <v>0.1667</v>
      </c>
      <c r="K625" s="108" t="n">
        <v>25.29</v>
      </c>
      <c r="L625" s="108" t="n">
        <v>69.99</v>
      </c>
      <c r="M625" s="117" t="n">
        <v>0.361</v>
      </c>
      <c r="N625" s="106"/>
      <c r="O625" s="106"/>
      <c r="P625" s="106"/>
      <c r="Q625" s="106"/>
      <c r="R625" s="106" t="s">
        <v>4291</v>
      </c>
    </row>
    <row r="626" customFormat="false" ht="15" hidden="false" customHeight="false" outlineLevel="0" collapsed="false">
      <c r="A626" s="106" t="s">
        <v>5301</v>
      </c>
      <c r="B626" s="106" t="s">
        <v>1403</v>
      </c>
      <c r="C626" s="106"/>
      <c r="D626" s="106"/>
      <c r="E626" s="107" t="n">
        <v>246</v>
      </c>
      <c r="F626" s="106" t="n">
        <v>6</v>
      </c>
      <c r="G626" s="118" t="n">
        <v>0.0244</v>
      </c>
      <c r="H626" s="116" t="n">
        <v>1.58</v>
      </c>
      <c r="I626" s="106" t="n">
        <v>0</v>
      </c>
      <c r="J626" s="117" t="n">
        <v>0</v>
      </c>
      <c r="K626" s="108" t="n">
        <v>9.48</v>
      </c>
      <c r="L626" s="108" t="n">
        <v>0</v>
      </c>
      <c r="M626" s="117"/>
      <c r="N626" s="106"/>
      <c r="O626" s="106"/>
      <c r="P626" s="106"/>
      <c r="Q626" s="106"/>
      <c r="R626" s="106" t="s">
        <v>4537</v>
      </c>
    </row>
    <row r="627" customFormat="false" ht="15" hidden="false" customHeight="false" outlineLevel="0" collapsed="false">
      <c r="A627" s="106" t="s">
        <v>5302</v>
      </c>
      <c r="B627" s="106" t="s">
        <v>1403</v>
      </c>
      <c r="C627" s="106"/>
      <c r="D627" s="106" t="n">
        <v>6</v>
      </c>
      <c r="E627" s="107" t="n">
        <v>26</v>
      </c>
      <c r="F627" s="106" t="n">
        <v>6</v>
      </c>
      <c r="G627" s="118" t="n">
        <v>0.2308</v>
      </c>
      <c r="H627" s="116" t="n">
        <v>1.37</v>
      </c>
      <c r="I627" s="106" t="n">
        <v>1</v>
      </c>
      <c r="J627" s="117" t="n">
        <v>0.1667</v>
      </c>
      <c r="K627" s="108" t="n">
        <v>8.22</v>
      </c>
      <c r="L627" s="108" t="n">
        <v>36.99</v>
      </c>
      <c r="M627" s="117" t="n">
        <v>0.222</v>
      </c>
      <c r="N627" s="106"/>
      <c r="O627" s="106"/>
      <c r="P627" s="106"/>
      <c r="Q627" s="106"/>
      <c r="R627" s="106" t="s">
        <v>4285</v>
      </c>
    </row>
    <row r="628" customFormat="false" ht="15" hidden="false" customHeight="false" outlineLevel="0" collapsed="false">
      <c r="A628" s="106" t="s">
        <v>5303</v>
      </c>
      <c r="B628" s="106" t="s">
        <v>1403</v>
      </c>
      <c r="C628" s="106"/>
      <c r="D628" s="106" t="n">
        <v>2</v>
      </c>
      <c r="E628" s="107" t="n">
        <v>73</v>
      </c>
      <c r="F628" s="106" t="n">
        <v>6</v>
      </c>
      <c r="G628" s="118" t="n">
        <v>0.0822</v>
      </c>
      <c r="H628" s="116" t="n">
        <v>2.01</v>
      </c>
      <c r="I628" s="106" t="n">
        <v>5</v>
      </c>
      <c r="J628" s="117" t="n">
        <v>0.8333</v>
      </c>
      <c r="K628" s="108" t="n">
        <v>12.05</v>
      </c>
      <c r="L628" s="108" t="n">
        <v>124.94</v>
      </c>
      <c r="M628" s="117" t="n">
        <v>0.096</v>
      </c>
      <c r="N628" s="106"/>
      <c r="O628" s="106"/>
      <c r="P628" s="106"/>
      <c r="Q628" s="106"/>
      <c r="R628" s="106" t="s">
        <v>4285</v>
      </c>
    </row>
    <row r="629" customFormat="false" ht="15" hidden="false" customHeight="false" outlineLevel="0" collapsed="false">
      <c r="A629" s="106" t="s">
        <v>5304</v>
      </c>
      <c r="B629" s="106" t="s">
        <v>1403</v>
      </c>
      <c r="C629" s="106"/>
      <c r="D629" s="106"/>
      <c r="E629" s="107" t="n">
        <v>10</v>
      </c>
      <c r="F629" s="106" t="n">
        <v>6</v>
      </c>
      <c r="G629" s="118" t="n">
        <v>0.6</v>
      </c>
      <c r="H629" s="116" t="n">
        <v>0.6</v>
      </c>
      <c r="I629" s="106" t="n">
        <v>0</v>
      </c>
      <c r="J629" s="117" t="n">
        <v>0</v>
      </c>
      <c r="K629" s="108" t="n">
        <v>3.59</v>
      </c>
      <c r="L629" s="108" t="n">
        <v>0</v>
      </c>
      <c r="M629" s="117"/>
      <c r="N629" s="106"/>
      <c r="O629" s="106"/>
      <c r="P629" s="106"/>
      <c r="Q629" s="106"/>
      <c r="R629" s="106" t="s">
        <v>4537</v>
      </c>
    </row>
    <row r="630" customFormat="false" ht="15" hidden="false" customHeight="false" outlineLevel="0" collapsed="false">
      <c r="A630" s="106" t="s">
        <v>5305</v>
      </c>
      <c r="B630" s="106" t="s">
        <v>4280</v>
      </c>
      <c r="C630" s="106" t="s">
        <v>4301</v>
      </c>
      <c r="D630" s="106" t="n">
        <v>573</v>
      </c>
      <c r="E630" s="107" t="n">
        <v>27</v>
      </c>
      <c r="F630" s="106" t="n">
        <v>6</v>
      </c>
      <c r="G630" s="118" t="n">
        <v>0.2222</v>
      </c>
      <c r="H630" s="116" t="n">
        <v>3.15</v>
      </c>
      <c r="I630" s="106" t="n">
        <v>0</v>
      </c>
      <c r="J630" s="117" t="n">
        <v>0</v>
      </c>
      <c r="K630" s="108" t="n">
        <v>18.88</v>
      </c>
      <c r="L630" s="108" t="n">
        <v>0</v>
      </c>
      <c r="M630" s="117"/>
      <c r="N630" s="106"/>
      <c r="O630" s="106"/>
      <c r="P630" s="106"/>
      <c r="Q630" s="106"/>
      <c r="R630" s="106" t="s">
        <v>4537</v>
      </c>
    </row>
    <row r="631" customFormat="false" ht="15" hidden="false" customHeight="false" outlineLevel="0" collapsed="false">
      <c r="A631" s="106" t="s">
        <v>1320</v>
      </c>
      <c r="B631" s="106" t="s">
        <v>4280</v>
      </c>
      <c r="C631" s="106" t="s">
        <v>4301</v>
      </c>
      <c r="D631" s="106" t="n">
        <v>822</v>
      </c>
      <c r="E631" s="107" t="n">
        <v>56</v>
      </c>
      <c r="F631" s="106" t="n">
        <v>6</v>
      </c>
      <c r="G631" s="118" t="n">
        <v>0.1071</v>
      </c>
      <c r="H631" s="116" t="n">
        <v>3.11</v>
      </c>
      <c r="I631" s="106" t="n">
        <v>0</v>
      </c>
      <c r="J631" s="117" t="n">
        <v>0</v>
      </c>
      <c r="K631" s="108" t="n">
        <v>18.66</v>
      </c>
      <c r="L631" s="108" t="n">
        <v>0</v>
      </c>
      <c r="M631" s="117"/>
      <c r="N631" s="106" t="n">
        <v>62</v>
      </c>
      <c r="O631" s="106" t="n">
        <v>7</v>
      </c>
      <c r="P631" s="106" t="s">
        <v>4633</v>
      </c>
      <c r="Q631" s="106" t="n">
        <v>54</v>
      </c>
      <c r="R631" s="106" t="s">
        <v>4537</v>
      </c>
    </row>
    <row r="632" customFormat="false" ht="15" hidden="false" customHeight="false" outlineLevel="0" collapsed="false">
      <c r="A632" s="106" t="s">
        <v>3871</v>
      </c>
      <c r="B632" s="106" t="s">
        <v>4284</v>
      </c>
      <c r="C632" s="106"/>
      <c r="D632" s="106" t="n">
        <v>54467</v>
      </c>
      <c r="E632" s="107" t="n">
        <v>29</v>
      </c>
      <c r="F632" s="106" t="n">
        <v>6</v>
      </c>
      <c r="G632" s="118" t="n">
        <v>0.2069</v>
      </c>
      <c r="H632" s="116" t="n">
        <v>0.71</v>
      </c>
      <c r="I632" s="106" t="n">
        <v>0</v>
      </c>
      <c r="J632" s="117" t="n">
        <v>0</v>
      </c>
      <c r="K632" s="108" t="n">
        <v>4.25</v>
      </c>
      <c r="L632" s="108" t="n">
        <v>0</v>
      </c>
      <c r="M632" s="117"/>
      <c r="N632" s="106"/>
      <c r="O632" s="106"/>
      <c r="P632" s="106"/>
      <c r="Q632" s="106"/>
      <c r="R632" s="106" t="s">
        <v>4537</v>
      </c>
    </row>
    <row r="633" customFormat="false" ht="15" hidden="false" customHeight="false" outlineLevel="0" collapsed="false">
      <c r="A633" s="106" t="s">
        <v>5306</v>
      </c>
      <c r="B633" s="106" t="s">
        <v>4280</v>
      </c>
      <c r="C633" s="106"/>
      <c r="D633" s="106" t="n">
        <v>47</v>
      </c>
      <c r="E633" s="107" t="n">
        <v>47</v>
      </c>
      <c r="F633" s="106" t="n">
        <v>6</v>
      </c>
      <c r="G633" s="118" t="n">
        <v>0.1277</v>
      </c>
      <c r="H633" s="116" t="n">
        <v>2.8</v>
      </c>
      <c r="I633" s="106" t="n">
        <v>1</v>
      </c>
      <c r="J633" s="117" t="n">
        <v>0.1667</v>
      </c>
      <c r="K633" s="108" t="n">
        <v>16.79</v>
      </c>
      <c r="L633" s="108" t="n">
        <v>49.95</v>
      </c>
      <c r="M633" s="117" t="n">
        <v>0.336</v>
      </c>
      <c r="N633" s="106"/>
      <c r="O633" s="106"/>
      <c r="P633" s="106"/>
      <c r="Q633" s="106"/>
      <c r="R633" s="106" t="s">
        <v>4291</v>
      </c>
    </row>
    <row r="634" customFormat="false" ht="15" hidden="false" customHeight="false" outlineLevel="0" collapsed="false">
      <c r="A634" s="106" t="s">
        <v>5307</v>
      </c>
      <c r="B634" s="106" t="s">
        <v>4284</v>
      </c>
      <c r="C634" s="106"/>
      <c r="D634" s="106"/>
      <c r="E634" s="107" t="n">
        <v>134</v>
      </c>
      <c r="F634" s="106" t="n">
        <v>6</v>
      </c>
      <c r="G634" s="118" t="n">
        <v>0.0448</v>
      </c>
      <c r="H634" s="116" t="n">
        <v>0.86</v>
      </c>
      <c r="I634" s="106" t="n">
        <v>0</v>
      </c>
      <c r="J634" s="117" t="n">
        <v>0</v>
      </c>
      <c r="K634" s="108" t="n">
        <v>5.13</v>
      </c>
      <c r="L634" s="108" t="n">
        <v>0</v>
      </c>
      <c r="M634" s="117"/>
      <c r="N634" s="106"/>
      <c r="O634" s="106"/>
      <c r="P634" s="106"/>
      <c r="Q634" s="106"/>
      <c r="R634" s="106" t="s">
        <v>4537</v>
      </c>
    </row>
    <row r="635" customFormat="false" ht="15" hidden="false" customHeight="false" outlineLevel="0" collapsed="false">
      <c r="A635" s="106" t="s">
        <v>5308</v>
      </c>
      <c r="B635" s="106" t="s">
        <v>4329</v>
      </c>
      <c r="C635" s="106"/>
      <c r="D635" s="106"/>
      <c r="E635" s="107" t="n">
        <v>467</v>
      </c>
      <c r="F635" s="106" t="n">
        <v>6</v>
      </c>
      <c r="G635" s="118" t="n">
        <v>0.0128</v>
      </c>
      <c r="H635" s="116" t="n">
        <v>1.47</v>
      </c>
      <c r="I635" s="106" t="n">
        <v>0</v>
      </c>
      <c r="J635" s="117" t="n">
        <v>0</v>
      </c>
      <c r="K635" s="108" t="n">
        <v>8.83</v>
      </c>
      <c r="L635" s="108" t="n">
        <v>0</v>
      </c>
      <c r="M635" s="117"/>
      <c r="N635" s="106"/>
      <c r="O635" s="106"/>
      <c r="P635" s="106"/>
      <c r="Q635" s="106"/>
      <c r="R635" s="106" t="s">
        <v>4537</v>
      </c>
    </row>
    <row r="636" customFormat="false" ht="15" hidden="false" customHeight="false" outlineLevel="0" collapsed="false">
      <c r="A636" s="106" t="s">
        <v>1164</v>
      </c>
      <c r="B636" s="106" t="s">
        <v>4280</v>
      </c>
      <c r="C636" s="106" t="s">
        <v>4288</v>
      </c>
      <c r="D636" s="106" t="n">
        <v>924</v>
      </c>
      <c r="E636" s="107" t="n">
        <v>81</v>
      </c>
      <c r="F636" s="106" t="n">
        <v>5</v>
      </c>
      <c r="G636" s="118" t="n">
        <v>0.0617</v>
      </c>
      <c r="H636" s="116" t="n">
        <v>2.57</v>
      </c>
      <c r="I636" s="106" t="n">
        <v>0</v>
      </c>
      <c r="J636" s="117" t="n">
        <v>0</v>
      </c>
      <c r="K636" s="108" t="n">
        <v>12.83</v>
      </c>
      <c r="L636" s="108" t="n">
        <v>0</v>
      </c>
      <c r="M636" s="117"/>
      <c r="N636" s="106" t="n">
        <v>10</v>
      </c>
      <c r="O636" s="106" t="n">
        <v>2</v>
      </c>
      <c r="P636" s="106" t="s">
        <v>4633</v>
      </c>
      <c r="Q636" s="106" t="n">
        <v>12</v>
      </c>
      <c r="R636" s="106" t="s">
        <v>4537</v>
      </c>
    </row>
    <row r="637" customFormat="false" ht="15" hidden="false" customHeight="false" outlineLevel="0" collapsed="false">
      <c r="A637" s="106" t="s">
        <v>5309</v>
      </c>
      <c r="B637" s="106" t="s">
        <v>4280</v>
      </c>
      <c r="C637" s="106"/>
      <c r="D637" s="106" t="n">
        <v>154</v>
      </c>
      <c r="E637" s="107" t="n">
        <v>56</v>
      </c>
      <c r="F637" s="106" t="n">
        <v>5</v>
      </c>
      <c r="G637" s="118" t="n">
        <v>0.0893</v>
      </c>
      <c r="H637" s="116" t="n">
        <v>2.71</v>
      </c>
      <c r="I637" s="106" t="n">
        <v>0</v>
      </c>
      <c r="J637" s="117" t="n">
        <v>0</v>
      </c>
      <c r="K637" s="108" t="n">
        <v>13.55</v>
      </c>
      <c r="L637" s="108" t="n">
        <v>0</v>
      </c>
      <c r="M637" s="117"/>
      <c r="N637" s="106"/>
      <c r="O637" s="106"/>
      <c r="P637" s="106"/>
      <c r="Q637" s="106"/>
      <c r="R637" s="106" t="s">
        <v>4537</v>
      </c>
    </row>
    <row r="638" customFormat="false" ht="15" hidden="false" customHeight="false" outlineLevel="0" collapsed="false">
      <c r="A638" s="106" t="s">
        <v>5310</v>
      </c>
      <c r="B638" s="106" t="s">
        <v>4329</v>
      </c>
      <c r="C638" s="106"/>
      <c r="D638" s="106" t="n">
        <v>25</v>
      </c>
      <c r="E638" s="107" t="n">
        <v>18</v>
      </c>
      <c r="F638" s="106" t="n">
        <v>5</v>
      </c>
      <c r="G638" s="118" t="n">
        <v>0.2778</v>
      </c>
      <c r="H638" s="116" t="n">
        <v>2.7</v>
      </c>
      <c r="I638" s="106" t="n">
        <v>1</v>
      </c>
      <c r="J638" s="117" t="n">
        <v>0.2</v>
      </c>
      <c r="K638" s="108" t="n">
        <v>13.52</v>
      </c>
      <c r="L638" s="108" t="n">
        <v>59.99</v>
      </c>
      <c r="M638" s="117" t="n">
        <v>0.225</v>
      </c>
      <c r="N638" s="106"/>
      <c r="O638" s="106"/>
      <c r="P638" s="106"/>
      <c r="Q638" s="106"/>
      <c r="R638" s="106" t="s">
        <v>4285</v>
      </c>
    </row>
    <row r="639" customFormat="false" ht="15" hidden="false" customHeight="false" outlineLevel="0" collapsed="false">
      <c r="A639" s="106" t="s">
        <v>5311</v>
      </c>
      <c r="B639" s="106" t="s">
        <v>1403</v>
      </c>
      <c r="C639" s="106"/>
      <c r="D639" s="106" t="n">
        <v>10</v>
      </c>
      <c r="E639" s="107" t="n">
        <v>30</v>
      </c>
      <c r="F639" s="106" t="n">
        <v>5</v>
      </c>
      <c r="G639" s="118" t="n">
        <v>0.1667</v>
      </c>
      <c r="H639" s="116" t="n">
        <v>1.47</v>
      </c>
      <c r="I639" s="106" t="n">
        <v>1</v>
      </c>
      <c r="J639" s="117" t="n">
        <v>0.2</v>
      </c>
      <c r="K639" s="108" t="n">
        <v>7.36</v>
      </c>
      <c r="L639" s="108" t="n">
        <v>34.99</v>
      </c>
      <c r="M639" s="117" t="n">
        <v>0.21</v>
      </c>
      <c r="N639" s="106"/>
      <c r="O639" s="106"/>
      <c r="P639" s="106"/>
      <c r="Q639" s="106"/>
      <c r="R639" s="106" t="s">
        <v>4285</v>
      </c>
    </row>
    <row r="640" customFormat="false" ht="15" hidden="false" customHeight="false" outlineLevel="0" collapsed="false">
      <c r="A640" s="106" t="s">
        <v>5312</v>
      </c>
      <c r="B640" s="106" t="s">
        <v>1403</v>
      </c>
      <c r="C640" s="106"/>
      <c r="D640" s="106" t="n">
        <v>1</v>
      </c>
      <c r="E640" s="107" t="n">
        <v>20</v>
      </c>
      <c r="F640" s="106" t="n">
        <v>5</v>
      </c>
      <c r="G640" s="118" t="n">
        <v>0.25</v>
      </c>
      <c r="H640" s="116" t="n">
        <v>1.3</v>
      </c>
      <c r="I640" s="106" t="n">
        <v>1</v>
      </c>
      <c r="J640" s="117" t="n">
        <v>0.2</v>
      </c>
      <c r="K640" s="108" t="n">
        <v>6.51</v>
      </c>
      <c r="L640" s="108" t="n">
        <v>79.99</v>
      </c>
      <c r="M640" s="117" t="n">
        <v>0.081</v>
      </c>
      <c r="N640" s="106"/>
      <c r="O640" s="106"/>
      <c r="P640" s="106"/>
      <c r="Q640" s="106"/>
      <c r="R640" s="106" t="s">
        <v>4285</v>
      </c>
    </row>
    <row r="641" customFormat="false" ht="15" hidden="false" customHeight="false" outlineLevel="0" collapsed="false">
      <c r="A641" s="106" t="s">
        <v>5313</v>
      </c>
      <c r="B641" s="106" t="s">
        <v>4280</v>
      </c>
      <c r="C641" s="106"/>
      <c r="D641" s="106" t="n">
        <v>1735</v>
      </c>
      <c r="E641" s="107" t="n">
        <v>12</v>
      </c>
      <c r="F641" s="106" t="n">
        <v>5</v>
      </c>
      <c r="G641" s="118" t="n">
        <v>0.4167</v>
      </c>
      <c r="H641" s="116" t="n">
        <v>0.71</v>
      </c>
      <c r="I641" s="106" t="n">
        <v>0</v>
      </c>
      <c r="J641" s="117" t="n">
        <v>0</v>
      </c>
      <c r="K641" s="108" t="n">
        <v>3.55</v>
      </c>
      <c r="L641" s="108" t="n">
        <v>0</v>
      </c>
      <c r="M641" s="117"/>
      <c r="N641" s="106" t="n">
        <v>13</v>
      </c>
      <c r="O641" s="106"/>
      <c r="P641" s="106"/>
      <c r="Q641" s="106"/>
      <c r="R641" s="106" t="s">
        <v>4537</v>
      </c>
    </row>
    <row r="642" customFormat="false" ht="15" hidden="false" customHeight="false" outlineLevel="0" collapsed="false">
      <c r="A642" s="106" t="s">
        <v>842</v>
      </c>
      <c r="B642" s="106" t="s">
        <v>4280</v>
      </c>
      <c r="C642" s="106" t="s">
        <v>4287</v>
      </c>
      <c r="D642" s="106" t="n">
        <v>649</v>
      </c>
      <c r="E642" s="107" t="n">
        <v>77</v>
      </c>
      <c r="F642" s="106" t="n">
        <v>5</v>
      </c>
      <c r="G642" s="118" t="n">
        <v>0.0649</v>
      </c>
      <c r="H642" s="116" t="n">
        <v>2.08</v>
      </c>
      <c r="I642" s="106" t="n">
        <v>0</v>
      </c>
      <c r="J642" s="117" t="n">
        <v>0</v>
      </c>
      <c r="K642" s="108" t="n">
        <v>10.38</v>
      </c>
      <c r="L642" s="108" t="n">
        <v>0</v>
      </c>
      <c r="M642" s="117"/>
      <c r="N642" s="106" t="n">
        <v>22</v>
      </c>
      <c r="O642" s="106" t="n">
        <v>6</v>
      </c>
      <c r="P642" s="106" t="s">
        <v>4942</v>
      </c>
      <c r="Q642" s="106" t="n">
        <v>36</v>
      </c>
      <c r="R642" s="106" t="s">
        <v>4537</v>
      </c>
    </row>
    <row r="643" customFormat="false" ht="15" hidden="false" customHeight="false" outlineLevel="0" collapsed="false">
      <c r="A643" s="106" t="s">
        <v>5314</v>
      </c>
      <c r="B643" s="106" t="s">
        <v>4280</v>
      </c>
      <c r="C643" s="106" t="s">
        <v>4288</v>
      </c>
      <c r="D643" s="106" t="n">
        <v>476</v>
      </c>
      <c r="E643" s="107" t="n">
        <v>70</v>
      </c>
      <c r="F643" s="106" t="n">
        <v>5</v>
      </c>
      <c r="G643" s="118" t="n">
        <v>0.0714</v>
      </c>
      <c r="H643" s="116" t="n">
        <v>2.16</v>
      </c>
      <c r="I643" s="106" t="n">
        <v>0</v>
      </c>
      <c r="J643" s="117" t="n">
        <v>0</v>
      </c>
      <c r="K643" s="108" t="n">
        <v>10.78</v>
      </c>
      <c r="L643" s="108" t="n">
        <v>0</v>
      </c>
      <c r="M643" s="117"/>
      <c r="N643" s="106"/>
      <c r="O643" s="106"/>
      <c r="P643" s="106"/>
      <c r="Q643" s="106"/>
      <c r="R643" s="106" t="s">
        <v>4537</v>
      </c>
    </row>
    <row r="644" customFormat="false" ht="15" hidden="false" customHeight="false" outlineLevel="0" collapsed="false">
      <c r="A644" s="106" t="s">
        <v>4926</v>
      </c>
      <c r="B644" s="106" t="s">
        <v>4329</v>
      </c>
      <c r="C644" s="106"/>
      <c r="D644" s="106" t="n">
        <v>71</v>
      </c>
      <c r="E644" s="107" t="n">
        <v>298</v>
      </c>
      <c r="F644" s="106" t="n">
        <v>5</v>
      </c>
      <c r="G644" s="118" t="n">
        <v>0.0168</v>
      </c>
      <c r="H644" s="116" t="n">
        <v>1.5</v>
      </c>
      <c r="I644" s="106" t="n">
        <v>0</v>
      </c>
      <c r="J644" s="117" t="n">
        <v>0</v>
      </c>
      <c r="K644" s="108" t="n">
        <v>7.48</v>
      </c>
      <c r="L644" s="108" t="n">
        <v>0</v>
      </c>
      <c r="M644" s="117"/>
      <c r="N644" s="106"/>
      <c r="O644" s="106" t="n">
        <v>48</v>
      </c>
      <c r="P644" s="106"/>
      <c r="Q644" s="106" t="n">
        <v>94</v>
      </c>
      <c r="R644" s="106" t="s">
        <v>4537</v>
      </c>
    </row>
    <row r="645" customFormat="false" ht="15" hidden="false" customHeight="false" outlineLevel="0" collapsed="false">
      <c r="A645" s="106" t="s">
        <v>5315</v>
      </c>
      <c r="B645" s="106" t="s">
        <v>1403</v>
      </c>
      <c r="C645" s="106"/>
      <c r="D645" s="106" t="n">
        <v>26</v>
      </c>
      <c r="E645" s="107" t="n">
        <v>17</v>
      </c>
      <c r="F645" s="106" t="n">
        <v>5</v>
      </c>
      <c r="G645" s="118" t="n">
        <v>0.2941</v>
      </c>
      <c r="H645" s="116" t="n">
        <v>1.55</v>
      </c>
      <c r="I645" s="106" t="n">
        <v>0</v>
      </c>
      <c r="J645" s="117" t="n">
        <v>0</v>
      </c>
      <c r="K645" s="108" t="n">
        <v>7.73</v>
      </c>
      <c r="L645" s="108" t="n">
        <v>0</v>
      </c>
      <c r="M645" s="117"/>
      <c r="N645" s="106"/>
      <c r="O645" s="106"/>
      <c r="P645" s="106"/>
      <c r="Q645" s="106"/>
      <c r="R645" s="106" t="s">
        <v>4537</v>
      </c>
    </row>
    <row r="646" customFormat="false" ht="15" hidden="false" customHeight="false" outlineLevel="0" collapsed="false">
      <c r="A646" s="106" t="s">
        <v>5316</v>
      </c>
      <c r="B646" s="106" t="s">
        <v>1403</v>
      </c>
      <c r="C646" s="106"/>
      <c r="D646" s="106" t="n">
        <v>3</v>
      </c>
      <c r="E646" s="107" t="n">
        <v>45</v>
      </c>
      <c r="F646" s="106" t="n">
        <v>5</v>
      </c>
      <c r="G646" s="118" t="n">
        <v>0.1111</v>
      </c>
      <c r="H646" s="116" t="n">
        <v>1.59</v>
      </c>
      <c r="I646" s="106" t="n">
        <v>0</v>
      </c>
      <c r="J646" s="117" t="n">
        <v>0</v>
      </c>
      <c r="K646" s="108" t="n">
        <v>7.97</v>
      </c>
      <c r="L646" s="108" t="n">
        <v>0</v>
      </c>
      <c r="M646" s="117"/>
      <c r="N646" s="106"/>
      <c r="O646" s="106"/>
      <c r="P646" s="106"/>
      <c r="Q646" s="106"/>
      <c r="R646" s="106" t="s">
        <v>4537</v>
      </c>
    </row>
    <row r="647" customFormat="false" ht="15" hidden="false" customHeight="false" outlineLevel="0" collapsed="false">
      <c r="A647" s="106" t="s">
        <v>5317</v>
      </c>
      <c r="B647" s="106" t="s">
        <v>1403</v>
      </c>
      <c r="C647" s="106"/>
      <c r="D647" s="106" t="n">
        <v>5</v>
      </c>
      <c r="E647" s="107" t="n">
        <v>36</v>
      </c>
      <c r="F647" s="106" t="n">
        <v>5</v>
      </c>
      <c r="G647" s="118" t="n">
        <v>0.1389</v>
      </c>
      <c r="H647" s="116" t="n">
        <v>1.11</v>
      </c>
      <c r="I647" s="106" t="n">
        <v>2</v>
      </c>
      <c r="J647" s="117" t="n">
        <v>0.4</v>
      </c>
      <c r="K647" s="108" t="n">
        <v>5.57</v>
      </c>
      <c r="L647" s="108" t="n">
        <v>129.98</v>
      </c>
      <c r="M647" s="117" t="n">
        <v>0.043</v>
      </c>
      <c r="N647" s="106"/>
      <c r="O647" s="106"/>
      <c r="P647" s="106"/>
      <c r="Q647" s="106"/>
      <c r="R647" s="106" t="s">
        <v>4285</v>
      </c>
    </row>
    <row r="648" customFormat="false" ht="15" hidden="false" customHeight="false" outlineLevel="0" collapsed="false">
      <c r="A648" s="106" t="s">
        <v>5318</v>
      </c>
      <c r="B648" s="106" t="s">
        <v>4284</v>
      </c>
      <c r="C648" s="106"/>
      <c r="D648" s="106" t="n">
        <v>770</v>
      </c>
      <c r="E648" s="107" t="n">
        <v>31</v>
      </c>
      <c r="F648" s="106" t="n">
        <v>5</v>
      </c>
      <c r="G648" s="118" t="n">
        <v>0.1613</v>
      </c>
      <c r="H648" s="116" t="n">
        <v>0.83</v>
      </c>
      <c r="I648" s="106" t="n">
        <v>0</v>
      </c>
      <c r="J648" s="117" t="n">
        <v>0</v>
      </c>
      <c r="K648" s="108" t="n">
        <v>4.14</v>
      </c>
      <c r="L648" s="108" t="n">
        <v>0</v>
      </c>
      <c r="M648" s="117"/>
      <c r="N648" s="106"/>
      <c r="O648" s="106"/>
      <c r="P648" s="106"/>
      <c r="Q648" s="106"/>
      <c r="R648" s="106" t="s">
        <v>4537</v>
      </c>
    </row>
    <row r="649" customFormat="false" ht="15" hidden="false" customHeight="false" outlineLevel="0" collapsed="false">
      <c r="A649" s="106" t="s">
        <v>5319</v>
      </c>
      <c r="B649" s="106" t="s">
        <v>1403</v>
      </c>
      <c r="C649" s="106"/>
      <c r="D649" s="106" t="n">
        <v>8</v>
      </c>
      <c r="E649" s="107" t="n">
        <v>111</v>
      </c>
      <c r="F649" s="106" t="n">
        <v>5</v>
      </c>
      <c r="G649" s="118" t="n">
        <v>0.045</v>
      </c>
      <c r="H649" s="116" t="n">
        <v>1.72</v>
      </c>
      <c r="I649" s="106" t="n">
        <v>2</v>
      </c>
      <c r="J649" s="117" t="n">
        <v>0.4</v>
      </c>
      <c r="K649" s="108" t="n">
        <v>8.61</v>
      </c>
      <c r="L649" s="108" t="n">
        <v>49.98</v>
      </c>
      <c r="M649" s="117" t="n">
        <v>0.172</v>
      </c>
      <c r="N649" s="106"/>
      <c r="O649" s="106"/>
      <c r="P649" s="106"/>
      <c r="Q649" s="106"/>
      <c r="R649" s="106" t="s">
        <v>4285</v>
      </c>
    </row>
    <row r="650" customFormat="false" ht="15" hidden="false" customHeight="false" outlineLevel="0" collapsed="false">
      <c r="A650" s="106" t="s">
        <v>5320</v>
      </c>
      <c r="B650" s="106" t="s">
        <v>1403</v>
      </c>
      <c r="C650" s="106"/>
      <c r="D650" s="106" t="n">
        <v>5</v>
      </c>
      <c r="E650" s="107" t="n">
        <v>19</v>
      </c>
      <c r="F650" s="106" t="n">
        <v>5</v>
      </c>
      <c r="G650" s="118" t="n">
        <v>0.2632</v>
      </c>
      <c r="H650" s="116" t="n">
        <v>1.77</v>
      </c>
      <c r="I650" s="106" t="n">
        <v>0</v>
      </c>
      <c r="J650" s="117" t="n">
        <v>0</v>
      </c>
      <c r="K650" s="108" t="n">
        <v>8.84</v>
      </c>
      <c r="L650" s="108" t="n">
        <v>0</v>
      </c>
      <c r="M650" s="117"/>
      <c r="N650" s="106"/>
      <c r="O650" s="106"/>
      <c r="P650" s="106"/>
      <c r="Q650" s="106"/>
      <c r="R650" s="106" t="s">
        <v>4537</v>
      </c>
    </row>
    <row r="651" customFormat="false" ht="15" hidden="false" customHeight="false" outlineLevel="0" collapsed="false">
      <c r="A651" s="106" t="s">
        <v>5321</v>
      </c>
      <c r="B651" s="106" t="s">
        <v>4284</v>
      </c>
      <c r="C651" s="106"/>
      <c r="D651" s="106" t="n">
        <v>626</v>
      </c>
      <c r="E651" s="107" t="n">
        <v>130</v>
      </c>
      <c r="F651" s="106" t="n">
        <v>5</v>
      </c>
      <c r="G651" s="118" t="n">
        <v>0.0385</v>
      </c>
      <c r="H651" s="116" t="n">
        <v>1.1</v>
      </c>
      <c r="I651" s="106" t="n">
        <v>0</v>
      </c>
      <c r="J651" s="117" t="n">
        <v>0</v>
      </c>
      <c r="K651" s="108" t="n">
        <v>5.5</v>
      </c>
      <c r="L651" s="108" t="n">
        <v>0</v>
      </c>
      <c r="M651" s="117"/>
      <c r="N651" s="106"/>
      <c r="O651" s="106"/>
      <c r="P651" s="106"/>
      <c r="Q651" s="106"/>
      <c r="R651" s="106" t="s">
        <v>4537</v>
      </c>
    </row>
    <row r="652" customFormat="false" ht="15" hidden="false" customHeight="false" outlineLevel="0" collapsed="false">
      <c r="A652" s="106" t="s">
        <v>5322</v>
      </c>
      <c r="B652" s="106" t="s">
        <v>1403</v>
      </c>
      <c r="C652" s="106"/>
      <c r="D652" s="106" t="n">
        <v>15</v>
      </c>
      <c r="E652" s="107" t="n">
        <v>85</v>
      </c>
      <c r="F652" s="106" t="n">
        <v>5</v>
      </c>
      <c r="G652" s="118" t="n">
        <v>0.0588</v>
      </c>
      <c r="H652" s="116" t="n">
        <v>2.17</v>
      </c>
      <c r="I652" s="106" t="n">
        <v>0</v>
      </c>
      <c r="J652" s="117" t="n">
        <v>0</v>
      </c>
      <c r="K652" s="108" t="n">
        <v>10.84</v>
      </c>
      <c r="L652" s="108" t="n">
        <v>0</v>
      </c>
      <c r="M652" s="117"/>
      <c r="N652" s="106"/>
      <c r="O652" s="106"/>
      <c r="P652" s="106"/>
      <c r="Q652" s="106"/>
      <c r="R652" s="106" t="s">
        <v>4537</v>
      </c>
    </row>
    <row r="653" customFormat="false" ht="15" hidden="false" customHeight="false" outlineLevel="0" collapsed="false">
      <c r="A653" s="106" t="s">
        <v>5323</v>
      </c>
      <c r="B653" s="106" t="s">
        <v>1403</v>
      </c>
      <c r="C653" s="106"/>
      <c r="D653" s="106" t="n">
        <v>9</v>
      </c>
      <c r="E653" s="107" t="n">
        <v>31</v>
      </c>
      <c r="F653" s="106" t="n">
        <v>5</v>
      </c>
      <c r="G653" s="118" t="n">
        <v>0.1613</v>
      </c>
      <c r="H653" s="116" t="n">
        <v>2.07</v>
      </c>
      <c r="I653" s="106" t="n">
        <v>0</v>
      </c>
      <c r="J653" s="117" t="n">
        <v>0</v>
      </c>
      <c r="K653" s="108" t="n">
        <v>10.34</v>
      </c>
      <c r="L653" s="108" t="n">
        <v>0</v>
      </c>
      <c r="M653" s="117"/>
      <c r="N653" s="106"/>
      <c r="O653" s="106"/>
      <c r="P653" s="106"/>
      <c r="Q653" s="106"/>
      <c r="R653" s="106" t="s">
        <v>4537</v>
      </c>
    </row>
    <row r="654" customFormat="false" ht="15" hidden="false" customHeight="false" outlineLevel="0" collapsed="false">
      <c r="A654" s="106" t="s">
        <v>3875</v>
      </c>
      <c r="B654" s="106" t="s">
        <v>4309</v>
      </c>
      <c r="C654" s="106"/>
      <c r="D654" s="106" t="n">
        <v>36673</v>
      </c>
      <c r="E654" s="107" t="n">
        <v>86</v>
      </c>
      <c r="F654" s="106" t="n">
        <v>5</v>
      </c>
      <c r="G654" s="118" t="n">
        <v>0.0581</v>
      </c>
      <c r="H654" s="116" t="n">
        <v>0.75</v>
      </c>
      <c r="I654" s="106" t="n">
        <v>0</v>
      </c>
      <c r="J654" s="117" t="n">
        <v>0</v>
      </c>
      <c r="K654" s="108" t="n">
        <v>3.75</v>
      </c>
      <c r="L654" s="108" t="n">
        <v>0</v>
      </c>
      <c r="M654" s="117"/>
      <c r="N654" s="106"/>
      <c r="O654" s="106"/>
      <c r="P654" s="106"/>
      <c r="Q654" s="106"/>
      <c r="R654" s="106" t="s">
        <v>4537</v>
      </c>
    </row>
    <row r="655" customFormat="false" ht="15" hidden="false" customHeight="false" outlineLevel="0" collapsed="false">
      <c r="A655" s="106" t="s">
        <v>4383</v>
      </c>
      <c r="B655" s="106" t="s">
        <v>4309</v>
      </c>
      <c r="C655" s="106"/>
      <c r="D655" s="106" t="n">
        <v>19405</v>
      </c>
      <c r="E655" s="107" t="n">
        <v>37</v>
      </c>
      <c r="F655" s="106" t="n">
        <v>5</v>
      </c>
      <c r="G655" s="118" t="n">
        <v>0.1351</v>
      </c>
      <c r="H655" s="116" t="n">
        <v>0.63</v>
      </c>
      <c r="I655" s="106" t="n">
        <v>1</v>
      </c>
      <c r="J655" s="117" t="n">
        <v>0.2</v>
      </c>
      <c r="K655" s="108" t="n">
        <v>3.17</v>
      </c>
      <c r="L655" s="108" t="n">
        <v>64.99</v>
      </c>
      <c r="M655" s="117" t="n">
        <v>0.049</v>
      </c>
      <c r="N655" s="106"/>
      <c r="O655" s="106"/>
      <c r="P655" s="106"/>
      <c r="Q655" s="106"/>
      <c r="R655" s="106" t="s">
        <v>4285</v>
      </c>
    </row>
    <row r="656" customFormat="false" ht="15" hidden="false" customHeight="false" outlineLevel="0" collapsed="false">
      <c r="A656" s="106" t="s">
        <v>5324</v>
      </c>
      <c r="B656" s="106" t="s">
        <v>4309</v>
      </c>
      <c r="C656" s="106"/>
      <c r="D656" s="106" t="n">
        <v>494</v>
      </c>
      <c r="E656" s="107" t="n">
        <v>82</v>
      </c>
      <c r="F656" s="106" t="n">
        <v>5</v>
      </c>
      <c r="G656" s="118" t="n">
        <v>0.061</v>
      </c>
      <c r="H656" s="116" t="n">
        <v>0.74</v>
      </c>
      <c r="I656" s="106" t="n">
        <v>0</v>
      </c>
      <c r="J656" s="117" t="n">
        <v>0</v>
      </c>
      <c r="K656" s="108" t="n">
        <v>3.72</v>
      </c>
      <c r="L656" s="108" t="n">
        <v>0</v>
      </c>
      <c r="M656" s="117"/>
      <c r="N656" s="106"/>
      <c r="O656" s="106"/>
      <c r="P656" s="106"/>
      <c r="Q656" s="106"/>
      <c r="R656" s="106" t="s">
        <v>4537</v>
      </c>
    </row>
    <row r="657" customFormat="false" ht="15" hidden="false" customHeight="false" outlineLevel="0" collapsed="false">
      <c r="A657" s="106" t="s">
        <v>5325</v>
      </c>
      <c r="B657" s="106" t="s">
        <v>4280</v>
      </c>
      <c r="C657" s="106"/>
      <c r="D657" s="106" t="n">
        <v>30</v>
      </c>
      <c r="E657" s="107" t="n">
        <v>28</v>
      </c>
      <c r="F657" s="106" t="n">
        <v>5</v>
      </c>
      <c r="G657" s="118" t="n">
        <v>0.1786</v>
      </c>
      <c r="H657" s="116" t="n">
        <v>1.83</v>
      </c>
      <c r="I657" s="106" t="n">
        <v>2</v>
      </c>
      <c r="J657" s="117" t="n">
        <v>0.4</v>
      </c>
      <c r="K657" s="108" t="n">
        <v>9.17</v>
      </c>
      <c r="L657" s="108" t="n">
        <v>114.98</v>
      </c>
      <c r="M657" s="117" t="n">
        <v>0.08</v>
      </c>
      <c r="N657" s="106"/>
      <c r="O657" s="106"/>
      <c r="P657" s="106"/>
      <c r="Q657" s="106"/>
      <c r="R657" s="106" t="s">
        <v>4285</v>
      </c>
    </row>
    <row r="658" customFormat="false" ht="15" hidden="false" customHeight="false" outlineLevel="0" collapsed="false">
      <c r="A658" s="106" t="s">
        <v>5326</v>
      </c>
      <c r="B658" s="106" t="s">
        <v>4280</v>
      </c>
      <c r="C658" s="106"/>
      <c r="D658" s="106" t="n">
        <v>60</v>
      </c>
      <c r="E658" s="107" t="n">
        <v>13</v>
      </c>
      <c r="F658" s="106" t="n">
        <v>4</v>
      </c>
      <c r="G658" s="118" t="n">
        <v>0.3077</v>
      </c>
      <c r="H658" s="116" t="n">
        <v>2.59</v>
      </c>
      <c r="I658" s="106" t="n">
        <v>1</v>
      </c>
      <c r="J658" s="117" t="n">
        <v>0.25</v>
      </c>
      <c r="K658" s="108" t="n">
        <v>10.35</v>
      </c>
      <c r="L658" s="108" t="n">
        <v>79.99</v>
      </c>
      <c r="M658" s="117" t="n">
        <v>0.129</v>
      </c>
      <c r="N658" s="106"/>
      <c r="O658" s="106"/>
      <c r="P658" s="106"/>
      <c r="Q658" s="106"/>
      <c r="R658" s="106" t="s">
        <v>4285</v>
      </c>
    </row>
    <row r="659" customFormat="false" ht="15" hidden="false" customHeight="false" outlineLevel="0" collapsed="false">
      <c r="A659" s="106" t="s">
        <v>5327</v>
      </c>
      <c r="B659" s="106" t="s">
        <v>4280</v>
      </c>
      <c r="C659" s="106"/>
      <c r="D659" s="106"/>
      <c r="E659" s="107" t="n">
        <v>11</v>
      </c>
      <c r="F659" s="106" t="n">
        <v>4</v>
      </c>
      <c r="G659" s="118" t="n">
        <v>0.3636</v>
      </c>
      <c r="H659" s="116" t="n">
        <v>2.59</v>
      </c>
      <c r="I659" s="106" t="n">
        <v>0</v>
      </c>
      <c r="J659" s="117" t="n">
        <v>0</v>
      </c>
      <c r="K659" s="108" t="n">
        <v>10.34</v>
      </c>
      <c r="L659" s="108" t="n">
        <v>0</v>
      </c>
      <c r="M659" s="117"/>
      <c r="N659" s="106"/>
      <c r="O659" s="106"/>
      <c r="P659" s="106"/>
      <c r="Q659" s="106"/>
      <c r="R659" s="106" t="s">
        <v>4537</v>
      </c>
    </row>
    <row r="660" customFormat="false" ht="15" hidden="false" customHeight="false" outlineLevel="0" collapsed="false">
      <c r="A660" s="106" t="s">
        <v>5328</v>
      </c>
      <c r="B660" s="106" t="s">
        <v>4280</v>
      </c>
      <c r="C660" s="106" t="s">
        <v>4281</v>
      </c>
      <c r="D660" s="106" t="n">
        <v>532</v>
      </c>
      <c r="E660" s="107" t="n">
        <v>41</v>
      </c>
      <c r="F660" s="106" t="n">
        <v>4</v>
      </c>
      <c r="G660" s="118" t="n">
        <v>0.0976</v>
      </c>
      <c r="H660" s="116" t="n">
        <v>2.72</v>
      </c>
      <c r="I660" s="106" t="n">
        <v>0</v>
      </c>
      <c r="J660" s="117" t="n">
        <v>0</v>
      </c>
      <c r="K660" s="108" t="n">
        <v>10.88</v>
      </c>
      <c r="L660" s="108" t="n">
        <v>0</v>
      </c>
      <c r="M660" s="117"/>
      <c r="N660" s="106"/>
      <c r="O660" s="106"/>
      <c r="P660" s="106"/>
      <c r="Q660" s="106"/>
      <c r="R660" s="106" t="s">
        <v>4537</v>
      </c>
    </row>
    <row r="661" customFormat="false" ht="15" hidden="false" customHeight="false" outlineLevel="0" collapsed="false">
      <c r="A661" s="106" t="s">
        <v>5329</v>
      </c>
      <c r="B661" s="106" t="s">
        <v>1403</v>
      </c>
      <c r="C661" s="106"/>
      <c r="D661" s="106" t="n">
        <v>3</v>
      </c>
      <c r="E661" s="107" t="n">
        <v>17</v>
      </c>
      <c r="F661" s="106" t="n">
        <v>4</v>
      </c>
      <c r="G661" s="118" t="n">
        <v>0.2353</v>
      </c>
      <c r="H661" s="116" t="n">
        <v>0.74</v>
      </c>
      <c r="I661" s="106" t="n">
        <v>0</v>
      </c>
      <c r="J661" s="117" t="n">
        <v>0</v>
      </c>
      <c r="K661" s="108" t="n">
        <v>2.96</v>
      </c>
      <c r="L661" s="108" t="n">
        <v>0</v>
      </c>
      <c r="M661" s="117"/>
      <c r="N661" s="106"/>
      <c r="O661" s="106"/>
      <c r="P661" s="106"/>
      <c r="Q661" s="106"/>
      <c r="R661" s="106" t="s">
        <v>4537</v>
      </c>
    </row>
    <row r="662" customFormat="false" ht="15" hidden="false" customHeight="false" outlineLevel="0" collapsed="false">
      <c r="A662" s="106" t="s">
        <v>5330</v>
      </c>
      <c r="B662" s="106" t="s">
        <v>4284</v>
      </c>
      <c r="C662" s="106"/>
      <c r="D662" s="106" t="n">
        <v>174</v>
      </c>
      <c r="E662" s="107" t="n">
        <v>16</v>
      </c>
      <c r="F662" s="106" t="n">
        <v>4</v>
      </c>
      <c r="G662" s="118" t="n">
        <v>0.25</v>
      </c>
      <c r="H662" s="116" t="n">
        <v>2.7</v>
      </c>
      <c r="I662" s="106" t="n">
        <v>0</v>
      </c>
      <c r="J662" s="117" t="n">
        <v>0</v>
      </c>
      <c r="K662" s="108" t="n">
        <v>10.8</v>
      </c>
      <c r="L662" s="108" t="n">
        <v>0</v>
      </c>
      <c r="M662" s="117"/>
      <c r="N662" s="106"/>
      <c r="O662" s="106"/>
      <c r="P662" s="106"/>
      <c r="Q662" s="106"/>
      <c r="R662" s="106" t="s">
        <v>4537</v>
      </c>
    </row>
    <row r="663" customFormat="false" ht="15" hidden="false" customHeight="false" outlineLevel="0" collapsed="false">
      <c r="A663" s="106" t="s">
        <v>5331</v>
      </c>
      <c r="B663" s="106" t="s">
        <v>4280</v>
      </c>
      <c r="C663" s="106"/>
      <c r="D663" s="106" t="n">
        <v>229</v>
      </c>
      <c r="E663" s="107" t="n">
        <v>12</v>
      </c>
      <c r="F663" s="106" t="n">
        <v>4</v>
      </c>
      <c r="G663" s="118" t="n">
        <v>0.3333</v>
      </c>
      <c r="H663" s="116" t="n">
        <v>2.7</v>
      </c>
      <c r="I663" s="106" t="n">
        <v>0</v>
      </c>
      <c r="J663" s="117" t="n">
        <v>0</v>
      </c>
      <c r="K663" s="108" t="n">
        <v>10.8</v>
      </c>
      <c r="L663" s="108" t="n">
        <v>0</v>
      </c>
      <c r="M663" s="117"/>
      <c r="N663" s="106"/>
      <c r="O663" s="106"/>
      <c r="P663" s="106"/>
      <c r="Q663" s="106"/>
      <c r="R663" s="106" t="s">
        <v>4537</v>
      </c>
    </row>
    <row r="664" customFormat="false" ht="15" hidden="false" customHeight="false" outlineLevel="0" collapsed="false">
      <c r="A664" s="106" t="s">
        <v>969</v>
      </c>
      <c r="B664" s="106" t="s">
        <v>4280</v>
      </c>
      <c r="C664" s="106" t="s">
        <v>4288</v>
      </c>
      <c r="D664" s="106" t="n">
        <v>644</v>
      </c>
      <c r="E664" s="107" t="n">
        <v>7</v>
      </c>
      <c r="F664" s="106" t="n">
        <v>4</v>
      </c>
      <c r="G664" s="118" t="n">
        <v>0.5714</v>
      </c>
      <c r="H664" s="116" t="n">
        <v>2.67</v>
      </c>
      <c r="I664" s="106" t="n">
        <v>0</v>
      </c>
      <c r="J664" s="117" t="n">
        <v>0</v>
      </c>
      <c r="K664" s="108" t="n">
        <v>10.68</v>
      </c>
      <c r="L664" s="108" t="n">
        <v>0</v>
      </c>
      <c r="M664" s="117"/>
      <c r="N664" s="106" t="n">
        <v>54</v>
      </c>
      <c r="O664" s="106" t="n">
        <v>9</v>
      </c>
      <c r="P664" s="106" t="s">
        <v>4631</v>
      </c>
      <c r="Q664" s="106" t="n">
        <v>66</v>
      </c>
      <c r="R664" s="106" t="s">
        <v>4537</v>
      </c>
    </row>
    <row r="665" customFormat="false" ht="15" hidden="false" customHeight="false" outlineLevel="0" collapsed="false">
      <c r="A665" s="106" t="s">
        <v>4536</v>
      </c>
      <c r="B665" s="106" t="s">
        <v>4280</v>
      </c>
      <c r="C665" s="106" t="s">
        <v>4288</v>
      </c>
      <c r="D665" s="106" t="n">
        <v>401</v>
      </c>
      <c r="E665" s="107" t="n">
        <v>23</v>
      </c>
      <c r="F665" s="106" t="n">
        <v>4</v>
      </c>
      <c r="G665" s="118" t="n">
        <v>0.1739</v>
      </c>
      <c r="H665" s="116" t="n">
        <v>2.64</v>
      </c>
      <c r="I665" s="106" t="n">
        <v>0</v>
      </c>
      <c r="J665" s="117" t="n">
        <v>0</v>
      </c>
      <c r="K665" s="108" t="n">
        <v>10.54</v>
      </c>
      <c r="L665" s="108" t="n">
        <v>0</v>
      </c>
      <c r="M665" s="117"/>
      <c r="N665" s="106"/>
      <c r="O665" s="106"/>
      <c r="P665" s="106"/>
      <c r="Q665" s="106"/>
      <c r="R665" s="106" t="s">
        <v>4537</v>
      </c>
    </row>
    <row r="666" customFormat="false" ht="15" hidden="false" customHeight="false" outlineLevel="0" collapsed="false">
      <c r="A666" s="106" t="s">
        <v>1216</v>
      </c>
      <c r="B666" s="106" t="s">
        <v>4280</v>
      </c>
      <c r="C666" s="106" t="s">
        <v>4287</v>
      </c>
      <c r="D666" s="106" t="n">
        <v>924</v>
      </c>
      <c r="E666" s="107" t="n">
        <v>23</v>
      </c>
      <c r="F666" s="106" t="n">
        <v>4</v>
      </c>
      <c r="G666" s="118" t="n">
        <v>0.1739</v>
      </c>
      <c r="H666" s="116" t="n">
        <v>2.02</v>
      </c>
      <c r="I666" s="106" t="n">
        <v>0</v>
      </c>
      <c r="J666" s="117" t="n">
        <v>0</v>
      </c>
      <c r="K666" s="108" t="n">
        <v>8.09</v>
      </c>
      <c r="L666" s="108" t="n">
        <v>0</v>
      </c>
      <c r="M666" s="117"/>
      <c r="N666" s="106" t="n">
        <v>18</v>
      </c>
      <c r="O666" s="106" t="n">
        <v>5</v>
      </c>
      <c r="P666" s="106" t="s">
        <v>4907</v>
      </c>
      <c r="Q666" s="106" t="n">
        <v>32</v>
      </c>
      <c r="R666" s="106" t="s">
        <v>4537</v>
      </c>
    </row>
    <row r="667" customFormat="false" ht="15" hidden="false" customHeight="false" outlineLevel="0" collapsed="false">
      <c r="A667" s="106" t="s">
        <v>5332</v>
      </c>
      <c r="B667" s="106" t="s">
        <v>4280</v>
      </c>
      <c r="C667" s="106" t="s">
        <v>4281</v>
      </c>
      <c r="D667" s="106" t="n">
        <v>685</v>
      </c>
      <c r="E667" s="107" t="n">
        <v>26</v>
      </c>
      <c r="F667" s="106" t="n">
        <v>4</v>
      </c>
      <c r="G667" s="118" t="n">
        <v>0.1538</v>
      </c>
      <c r="H667" s="116" t="n">
        <v>1.58</v>
      </c>
      <c r="I667" s="106" t="n">
        <v>0</v>
      </c>
      <c r="J667" s="117" t="n">
        <v>0</v>
      </c>
      <c r="K667" s="108" t="n">
        <v>6.33</v>
      </c>
      <c r="L667" s="108" t="n">
        <v>0</v>
      </c>
      <c r="M667" s="117"/>
      <c r="N667" s="106"/>
      <c r="O667" s="106"/>
      <c r="P667" s="106"/>
      <c r="Q667" s="106"/>
      <c r="R667" s="106" t="s">
        <v>4537</v>
      </c>
    </row>
    <row r="668" customFormat="false" ht="15" hidden="false" customHeight="false" outlineLevel="0" collapsed="false">
      <c r="A668" s="106" t="s">
        <v>5333</v>
      </c>
      <c r="B668" s="106" t="s">
        <v>4280</v>
      </c>
      <c r="C668" s="106"/>
      <c r="D668" s="106" t="n">
        <v>183</v>
      </c>
      <c r="E668" s="107" t="n">
        <v>84</v>
      </c>
      <c r="F668" s="106" t="n">
        <v>4</v>
      </c>
      <c r="G668" s="118" t="n">
        <v>0.0476</v>
      </c>
      <c r="H668" s="116" t="n">
        <v>1.58</v>
      </c>
      <c r="I668" s="106" t="n">
        <v>0</v>
      </c>
      <c r="J668" s="117" t="n">
        <v>0</v>
      </c>
      <c r="K668" s="108" t="n">
        <v>6.32</v>
      </c>
      <c r="L668" s="108" t="n">
        <v>0</v>
      </c>
      <c r="M668" s="117"/>
      <c r="N668" s="106"/>
      <c r="O668" s="106"/>
      <c r="P668" s="106"/>
      <c r="Q668" s="106"/>
      <c r="R668" s="106" t="s">
        <v>4537</v>
      </c>
    </row>
    <row r="669" customFormat="false" ht="15" hidden="false" customHeight="false" outlineLevel="0" collapsed="false">
      <c r="A669" s="106" t="s">
        <v>5334</v>
      </c>
      <c r="B669" s="106" t="s">
        <v>4280</v>
      </c>
      <c r="C669" s="106"/>
      <c r="D669" s="106" t="n">
        <v>29</v>
      </c>
      <c r="E669" s="107" t="n">
        <v>14</v>
      </c>
      <c r="F669" s="106" t="n">
        <v>4</v>
      </c>
      <c r="G669" s="118" t="n">
        <v>0.2857</v>
      </c>
      <c r="H669" s="116" t="n">
        <v>1.93</v>
      </c>
      <c r="I669" s="106" t="n">
        <v>0</v>
      </c>
      <c r="J669" s="117" t="n">
        <v>0</v>
      </c>
      <c r="K669" s="108" t="n">
        <v>7.74</v>
      </c>
      <c r="L669" s="108" t="n">
        <v>0</v>
      </c>
      <c r="M669" s="117"/>
      <c r="N669" s="106"/>
      <c r="O669" s="106"/>
      <c r="P669" s="106"/>
      <c r="Q669" s="106"/>
      <c r="R669" s="106" t="s">
        <v>4537</v>
      </c>
    </row>
    <row r="670" customFormat="false" ht="15" hidden="false" customHeight="false" outlineLevel="0" collapsed="false">
      <c r="A670" s="106" t="s">
        <v>5335</v>
      </c>
      <c r="B670" s="106" t="s">
        <v>4284</v>
      </c>
      <c r="C670" s="106"/>
      <c r="D670" s="106"/>
      <c r="E670" s="107" t="n">
        <v>58</v>
      </c>
      <c r="F670" s="106" t="n">
        <v>4</v>
      </c>
      <c r="G670" s="118" t="n">
        <v>0.069</v>
      </c>
      <c r="H670" s="116" t="n">
        <v>2.02</v>
      </c>
      <c r="I670" s="106" t="n">
        <v>0</v>
      </c>
      <c r="J670" s="117" t="n">
        <v>0</v>
      </c>
      <c r="K670" s="108" t="n">
        <v>8.08</v>
      </c>
      <c r="L670" s="108" t="n">
        <v>0</v>
      </c>
      <c r="M670" s="117"/>
      <c r="N670" s="106"/>
      <c r="O670" s="106"/>
      <c r="P670" s="106"/>
      <c r="Q670" s="106"/>
      <c r="R670" s="106" t="s">
        <v>4537</v>
      </c>
    </row>
    <row r="671" customFormat="false" ht="15" hidden="false" customHeight="false" outlineLevel="0" collapsed="false">
      <c r="A671" s="106" t="s">
        <v>5336</v>
      </c>
      <c r="B671" s="106" t="s">
        <v>4280</v>
      </c>
      <c r="C671" s="106" t="s">
        <v>4364</v>
      </c>
      <c r="D671" s="106" t="n">
        <v>276</v>
      </c>
      <c r="E671" s="107" t="n">
        <v>382</v>
      </c>
      <c r="F671" s="106" t="n">
        <v>4</v>
      </c>
      <c r="G671" s="118" t="n">
        <v>0.0105</v>
      </c>
      <c r="H671" s="116" t="n">
        <v>2.09</v>
      </c>
      <c r="I671" s="106" t="n">
        <v>0</v>
      </c>
      <c r="J671" s="117" t="n">
        <v>0</v>
      </c>
      <c r="K671" s="108" t="n">
        <v>8.35</v>
      </c>
      <c r="L671" s="108" t="n">
        <v>0</v>
      </c>
      <c r="M671" s="117"/>
      <c r="N671" s="106"/>
      <c r="O671" s="106"/>
      <c r="P671" s="106"/>
      <c r="Q671" s="106"/>
      <c r="R671" s="106" t="s">
        <v>4537</v>
      </c>
    </row>
    <row r="672" customFormat="false" ht="15" hidden="false" customHeight="false" outlineLevel="0" collapsed="false">
      <c r="A672" s="106" t="s">
        <v>4924</v>
      </c>
      <c r="B672" s="106" t="s">
        <v>4280</v>
      </c>
      <c r="C672" s="106" t="s">
        <v>4301</v>
      </c>
      <c r="D672" s="106" t="n">
        <v>337</v>
      </c>
      <c r="E672" s="107" t="n">
        <v>274</v>
      </c>
      <c r="F672" s="106" t="n">
        <v>4</v>
      </c>
      <c r="G672" s="118" t="n">
        <v>0.0146</v>
      </c>
      <c r="H672" s="116" t="n">
        <v>1.32</v>
      </c>
      <c r="I672" s="106" t="n">
        <v>0</v>
      </c>
      <c r="J672" s="117" t="n">
        <v>0</v>
      </c>
      <c r="K672" s="108" t="n">
        <v>5.26</v>
      </c>
      <c r="L672" s="108" t="n">
        <v>0</v>
      </c>
      <c r="M672" s="117"/>
      <c r="N672" s="106" t="n">
        <v>126</v>
      </c>
      <c r="O672" s="106" t="n">
        <v>41</v>
      </c>
      <c r="P672" s="106"/>
      <c r="Q672" s="106" t="n">
        <v>101</v>
      </c>
      <c r="R672" s="106" t="s">
        <v>4537</v>
      </c>
    </row>
    <row r="673" customFormat="false" ht="15" hidden="false" customHeight="false" outlineLevel="0" collapsed="false">
      <c r="A673" s="106" t="s">
        <v>5337</v>
      </c>
      <c r="B673" s="106" t="s">
        <v>4280</v>
      </c>
      <c r="C673" s="106"/>
      <c r="D673" s="106" t="n">
        <v>148</v>
      </c>
      <c r="E673" s="107" t="n">
        <v>19</v>
      </c>
      <c r="F673" s="106" t="n">
        <v>4</v>
      </c>
      <c r="G673" s="118" t="n">
        <v>0.2105</v>
      </c>
      <c r="H673" s="116" t="n">
        <v>2.83</v>
      </c>
      <c r="I673" s="106" t="n">
        <v>0</v>
      </c>
      <c r="J673" s="117" t="n">
        <v>0</v>
      </c>
      <c r="K673" s="108" t="n">
        <v>11.32</v>
      </c>
      <c r="L673" s="108" t="n">
        <v>0</v>
      </c>
      <c r="M673" s="117"/>
      <c r="N673" s="106" t="n">
        <v>21</v>
      </c>
      <c r="O673" s="106"/>
      <c r="P673" s="106"/>
      <c r="Q673" s="106"/>
      <c r="R673" s="106" t="s">
        <v>4537</v>
      </c>
    </row>
    <row r="674" customFormat="false" ht="15" hidden="false" customHeight="false" outlineLevel="0" collapsed="false">
      <c r="A674" s="106" t="s">
        <v>5338</v>
      </c>
      <c r="B674" s="106" t="s">
        <v>4284</v>
      </c>
      <c r="C674" s="106"/>
      <c r="D674" s="106" t="n">
        <v>363</v>
      </c>
      <c r="E674" s="107" t="n">
        <v>24</v>
      </c>
      <c r="F674" s="106" t="n">
        <v>4</v>
      </c>
      <c r="G674" s="118" t="n">
        <v>0.1667</v>
      </c>
      <c r="H674" s="116" t="n">
        <v>1.03</v>
      </c>
      <c r="I674" s="106" t="n">
        <v>1</v>
      </c>
      <c r="J674" s="117" t="n">
        <v>0.25</v>
      </c>
      <c r="K674" s="108" t="n">
        <v>4.1</v>
      </c>
      <c r="L674" s="108" t="n">
        <v>64.99</v>
      </c>
      <c r="M674" s="117" t="n">
        <v>0.063</v>
      </c>
      <c r="N674" s="106"/>
      <c r="O674" s="106"/>
      <c r="P674" s="106"/>
      <c r="Q674" s="106"/>
      <c r="R674" s="106" t="s">
        <v>4285</v>
      </c>
    </row>
    <row r="675" customFormat="false" ht="15" hidden="false" customHeight="false" outlineLevel="0" collapsed="false">
      <c r="A675" s="106" t="s">
        <v>5339</v>
      </c>
      <c r="B675" s="106" t="s">
        <v>4280</v>
      </c>
      <c r="C675" s="106" t="s">
        <v>4281</v>
      </c>
      <c r="D675" s="106" t="n">
        <v>479</v>
      </c>
      <c r="E675" s="107" t="n">
        <v>106</v>
      </c>
      <c r="F675" s="106" t="n">
        <v>4</v>
      </c>
      <c r="G675" s="118" t="n">
        <v>0.0377</v>
      </c>
      <c r="H675" s="116" t="n">
        <v>1.24</v>
      </c>
      <c r="I675" s="106" t="n">
        <v>1</v>
      </c>
      <c r="J675" s="117" t="n">
        <v>0.25</v>
      </c>
      <c r="K675" s="108" t="n">
        <v>4.96</v>
      </c>
      <c r="L675" s="108" t="n">
        <v>39.95</v>
      </c>
      <c r="M675" s="117" t="n">
        <v>0.124</v>
      </c>
      <c r="N675" s="106" t="n">
        <v>43</v>
      </c>
      <c r="O675" s="106"/>
      <c r="P675" s="106"/>
      <c r="Q675" s="106"/>
      <c r="R675" s="106" t="s">
        <v>4285</v>
      </c>
    </row>
    <row r="676" customFormat="false" ht="15" hidden="false" customHeight="false" outlineLevel="0" collapsed="false">
      <c r="A676" s="106" t="s">
        <v>5340</v>
      </c>
      <c r="B676" s="106" t="s">
        <v>4280</v>
      </c>
      <c r="C676" s="106"/>
      <c r="D676" s="106" t="n">
        <v>2531</v>
      </c>
      <c r="E676" s="107" t="n">
        <v>164</v>
      </c>
      <c r="F676" s="106" t="n">
        <v>4</v>
      </c>
      <c r="G676" s="118" t="n">
        <v>0.0244</v>
      </c>
      <c r="H676" s="116" t="n">
        <v>1.27</v>
      </c>
      <c r="I676" s="106" t="n">
        <v>0</v>
      </c>
      <c r="J676" s="117" t="n">
        <v>0</v>
      </c>
      <c r="K676" s="108" t="n">
        <v>5.06</v>
      </c>
      <c r="L676" s="108" t="n">
        <v>0</v>
      </c>
      <c r="M676" s="117"/>
      <c r="N676" s="106" t="n">
        <v>23</v>
      </c>
      <c r="O676" s="106"/>
      <c r="P676" s="106"/>
      <c r="Q676" s="106"/>
      <c r="R676" s="106" t="s">
        <v>4537</v>
      </c>
    </row>
    <row r="677" customFormat="false" ht="15" hidden="false" customHeight="false" outlineLevel="0" collapsed="false">
      <c r="A677" s="106" t="s">
        <v>5341</v>
      </c>
      <c r="B677" s="106" t="s">
        <v>1403</v>
      </c>
      <c r="C677" s="106"/>
      <c r="D677" s="106" t="n">
        <v>768</v>
      </c>
      <c r="E677" s="107" t="n">
        <v>61</v>
      </c>
      <c r="F677" s="106" t="n">
        <v>4</v>
      </c>
      <c r="G677" s="118" t="n">
        <v>0.0656</v>
      </c>
      <c r="H677" s="116" t="n">
        <v>1</v>
      </c>
      <c r="I677" s="106" t="n">
        <v>0</v>
      </c>
      <c r="J677" s="117" t="n">
        <v>0</v>
      </c>
      <c r="K677" s="108" t="n">
        <v>3.99</v>
      </c>
      <c r="L677" s="108" t="n">
        <v>0</v>
      </c>
      <c r="M677" s="117"/>
      <c r="N677" s="106"/>
      <c r="O677" s="106"/>
      <c r="P677" s="106"/>
      <c r="Q677" s="106"/>
      <c r="R677" s="106" t="s">
        <v>4537</v>
      </c>
    </row>
    <row r="678" customFormat="false" ht="15" hidden="false" customHeight="false" outlineLevel="0" collapsed="false">
      <c r="A678" s="106" t="s">
        <v>5342</v>
      </c>
      <c r="B678" s="106" t="s">
        <v>1403</v>
      </c>
      <c r="C678" s="106"/>
      <c r="D678" s="106" t="n">
        <v>7</v>
      </c>
      <c r="E678" s="107" t="n">
        <v>33</v>
      </c>
      <c r="F678" s="106" t="n">
        <v>4</v>
      </c>
      <c r="G678" s="118" t="n">
        <v>0.1212</v>
      </c>
      <c r="H678" s="116" t="n">
        <v>1.2</v>
      </c>
      <c r="I678" s="106" t="n">
        <v>0</v>
      </c>
      <c r="J678" s="117" t="n">
        <v>0</v>
      </c>
      <c r="K678" s="108" t="n">
        <v>4.81</v>
      </c>
      <c r="L678" s="108" t="n">
        <v>0</v>
      </c>
      <c r="M678" s="117"/>
      <c r="N678" s="106"/>
      <c r="O678" s="106"/>
      <c r="P678" s="106"/>
      <c r="Q678" s="106"/>
      <c r="R678" s="106" t="s">
        <v>4537</v>
      </c>
    </row>
    <row r="679" customFormat="false" ht="15" hidden="false" customHeight="false" outlineLevel="0" collapsed="false">
      <c r="A679" s="106" t="s">
        <v>1462</v>
      </c>
      <c r="B679" s="106" t="s">
        <v>4280</v>
      </c>
      <c r="C679" s="106" t="s">
        <v>4288</v>
      </c>
      <c r="D679" s="106" t="n">
        <v>1023</v>
      </c>
      <c r="E679" s="107" t="n">
        <v>100</v>
      </c>
      <c r="F679" s="106" t="n">
        <v>4</v>
      </c>
      <c r="G679" s="118" t="n">
        <v>0.04</v>
      </c>
      <c r="H679" s="116" t="n">
        <v>2.95</v>
      </c>
      <c r="I679" s="106" t="n">
        <v>0</v>
      </c>
      <c r="J679" s="117" t="n">
        <v>0</v>
      </c>
      <c r="K679" s="108" t="n">
        <v>11.78</v>
      </c>
      <c r="L679" s="108" t="n">
        <v>0</v>
      </c>
      <c r="M679" s="117"/>
      <c r="N679" s="106" t="n">
        <v>18</v>
      </c>
      <c r="O679" s="106" t="n">
        <v>3</v>
      </c>
      <c r="P679" s="106" t="s">
        <v>4623</v>
      </c>
      <c r="Q679" s="106" t="n">
        <v>24</v>
      </c>
      <c r="R679" s="106" t="s">
        <v>4537</v>
      </c>
    </row>
    <row r="680" customFormat="false" ht="15" hidden="false" customHeight="false" outlineLevel="0" collapsed="false">
      <c r="A680" s="106" t="s">
        <v>5343</v>
      </c>
      <c r="B680" s="106" t="s">
        <v>4280</v>
      </c>
      <c r="C680" s="106" t="s">
        <v>4287</v>
      </c>
      <c r="D680" s="106" t="n">
        <v>555</v>
      </c>
      <c r="E680" s="107" t="n">
        <v>21</v>
      </c>
      <c r="F680" s="106" t="n">
        <v>4</v>
      </c>
      <c r="G680" s="118" t="n">
        <v>0.1905</v>
      </c>
      <c r="H680" s="116" t="n">
        <v>2.89</v>
      </c>
      <c r="I680" s="106" t="n">
        <v>0</v>
      </c>
      <c r="J680" s="117" t="n">
        <v>0</v>
      </c>
      <c r="K680" s="108" t="n">
        <v>11.56</v>
      </c>
      <c r="L680" s="108" t="n">
        <v>0</v>
      </c>
      <c r="M680" s="117"/>
      <c r="N680" s="106"/>
      <c r="O680" s="106"/>
      <c r="P680" s="106"/>
      <c r="Q680" s="106"/>
      <c r="R680" s="106" t="s">
        <v>4537</v>
      </c>
    </row>
    <row r="681" customFormat="false" ht="15" hidden="false" customHeight="false" outlineLevel="0" collapsed="false">
      <c r="A681" s="106" t="s">
        <v>4960</v>
      </c>
      <c r="B681" s="106" t="s">
        <v>4280</v>
      </c>
      <c r="C681" s="106" t="s">
        <v>4301</v>
      </c>
      <c r="D681" s="106" t="n">
        <v>537</v>
      </c>
      <c r="E681" s="107" t="n">
        <v>19</v>
      </c>
      <c r="F681" s="106" t="n">
        <v>4</v>
      </c>
      <c r="G681" s="118" t="n">
        <v>0.2105</v>
      </c>
      <c r="H681" s="116" t="n">
        <v>3.17</v>
      </c>
      <c r="I681" s="106" t="n">
        <v>0</v>
      </c>
      <c r="J681" s="117" t="n">
        <v>0</v>
      </c>
      <c r="K681" s="108" t="n">
        <v>12.68</v>
      </c>
      <c r="L681" s="108" t="n">
        <v>0</v>
      </c>
      <c r="M681" s="117"/>
      <c r="N681" s="106" t="n">
        <v>48</v>
      </c>
      <c r="O681" s="106" t="n">
        <v>13</v>
      </c>
      <c r="P681" s="106"/>
      <c r="Q681" s="106" t="n">
        <v>45</v>
      </c>
      <c r="R681" s="106" t="s">
        <v>4537</v>
      </c>
    </row>
    <row r="682" customFormat="false" ht="15" hidden="false" customHeight="false" outlineLevel="0" collapsed="false">
      <c r="A682" s="106" t="s">
        <v>5344</v>
      </c>
      <c r="B682" s="106" t="s">
        <v>4280</v>
      </c>
      <c r="C682" s="106" t="s">
        <v>4281</v>
      </c>
      <c r="D682" s="106" t="n">
        <v>433</v>
      </c>
      <c r="E682" s="107" t="n">
        <v>27</v>
      </c>
      <c r="F682" s="106" t="n">
        <v>4</v>
      </c>
      <c r="G682" s="118" t="n">
        <v>0.1481</v>
      </c>
      <c r="H682" s="116" t="n">
        <v>3.07</v>
      </c>
      <c r="I682" s="106" t="n">
        <v>1</v>
      </c>
      <c r="J682" s="117" t="n">
        <v>0.25</v>
      </c>
      <c r="K682" s="108" t="n">
        <v>12.28</v>
      </c>
      <c r="L682" s="108" t="n">
        <v>159.98</v>
      </c>
      <c r="M682" s="117" t="n">
        <v>0.077</v>
      </c>
      <c r="N682" s="106"/>
      <c r="O682" s="106"/>
      <c r="P682" s="106"/>
      <c r="Q682" s="106"/>
      <c r="R682" s="106" t="s">
        <v>4285</v>
      </c>
    </row>
    <row r="683" customFormat="false" ht="15" hidden="false" customHeight="false" outlineLevel="0" collapsed="false">
      <c r="A683" s="106" t="s">
        <v>5345</v>
      </c>
      <c r="B683" s="106" t="s">
        <v>4280</v>
      </c>
      <c r="C683" s="106"/>
      <c r="D683" s="106" t="n">
        <v>89</v>
      </c>
      <c r="E683" s="107" t="n">
        <v>14</v>
      </c>
      <c r="F683" s="106" t="n">
        <v>4</v>
      </c>
      <c r="G683" s="118" t="n">
        <v>0.2857</v>
      </c>
      <c r="H683" s="116" t="n">
        <v>3</v>
      </c>
      <c r="I683" s="106" t="n">
        <v>0</v>
      </c>
      <c r="J683" s="117" t="n">
        <v>0</v>
      </c>
      <c r="K683" s="108" t="n">
        <v>12</v>
      </c>
      <c r="L683" s="108" t="n">
        <v>0</v>
      </c>
      <c r="M683" s="117"/>
      <c r="N683" s="106"/>
      <c r="O683" s="106"/>
      <c r="P683" s="106"/>
      <c r="Q683" s="106"/>
      <c r="R683" s="106" t="s">
        <v>4537</v>
      </c>
    </row>
    <row r="684" customFormat="false" ht="15" hidden="false" customHeight="false" outlineLevel="0" collapsed="false">
      <c r="A684" s="106" t="s">
        <v>5346</v>
      </c>
      <c r="B684" s="106" t="s">
        <v>1403</v>
      </c>
      <c r="C684" s="106"/>
      <c r="D684" s="106" t="n">
        <v>157</v>
      </c>
      <c r="E684" s="107" t="n">
        <v>54</v>
      </c>
      <c r="F684" s="106" t="n">
        <v>4</v>
      </c>
      <c r="G684" s="118" t="n">
        <v>0.0741</v>
      </c>
      <c r="H684" s="116" t="n">
        <v>0.84</v>
      </c>
      <c r="I684" s="106" t="n">
        <v>0</v>
      </c>
      <c r="J684" s="117" t="n">
        <v>0</v>
      </c>
      <c r="K684" s="108" t="n">
        <v>3.35</v>
      </c>
      <c r="L684" s="108" t="n">
        <v>0</v>
      </c>
      <c r="M684" s="117"/>
      <c r="N684" s="106"/>
      <c r="O684" s="106"/>
      <c r="P684" s="106"/>
      <c r="Q684" s="106"/>
      <c r="R684" s="106" t="s">
        <v>4537</v>
      </c>
    </row>
    <row r="685" customFormat="false" ht="15" hidden="false" customHeight="false" outlineLevel="0" collapsed="false">
      <c r="A685" s="106" t="s">
        <v>1297</v>
      </c>
      <c r="B685" s="106" t="s">
        <v>4280</v>
      </c>
      <c r="C685" s="106" t="s">
        <v>4301</v>
      </c>
      <c r="D685" s="106" t="n">
        <v>644</v>
      </c>
      <c r="E685" s="107" t="n">
        <v>9</v>
      </c>
      <c r="F685" s="106" t="n">
        <v>4</v>
      </c>
      <c r="G685" s="118" t="n">
        <v>0.4444</v>
      </c>
      <c r="H685" s="116" t="n">
        <v>2.65</v>
      </c>
      <c r="I685" s="106" t="n">
        <v>0</v>
      </c>
      <c r="J685" s="117" t="n">
        <v>0</v>
      </c>
      <c r="K685" s="108" t="n">
        <v>10.61</v>
      </c>
      <c r="L685" s="108" t="n">
        <v>0</v>
      </c>
      <c r="M685" s="117"/>
      <c r="N685" s="106" t="n">
        <v>85</v>
      </c>
      <c r="O685" s="106" t="n">
        <v>11</v>
      </c>
      <c r="P685" s="106"/>
      <c r="Q685" s="106" t="n">
        <v>82</v>
      </c>
      <c r="R685" s="106" t="s">
        <v>4537</v>
      </c>
    </row>
    <row r="686" customFormat="false" ht="15" hidden="false" customHeight="false" outlineLevel="0" collapsed="false">
      <c r="A686" s="106" t="s">
        <v>5347</v>
      </c>
      <c r="B686" s="106" t="s">
        <v>4329</v>
      </c>
      <c r="C686" s="106"/>
      <c r="D686" s="106" t="n">
        <v>29</v>
      </c>
      <c r="E686" s="107" t="n">
        <v>15</v>
      </c>
      <c r="F686" s="106" t="n">
        <v>4</v>
      </c>
      <c r="G686" s="118" t="n">
        <v>0.2667</v>
      </c>
      <c r="H686" s="116" t="n">
        <v>3.43</v>
      </c>
      <c r="I686" s="106" t="n">
        <v>0</v>
      </c>
      <c r="J686" s="117" t="n">
        <v>0</v>
      </c>
      <c r="K686" s="108" t="n">
        <v>13.73</v>
      </c>
      <c r="L686" s="108" t="n">
        <v>0</v>
      </c>
      <c r="M686" s="117"/>
      <c r="N686" s="106"/>
      <c r="O686" s="106"/>
      <c r="P686" s="106"/>
      <c r="Q686" s="106"/>
      <c r="R686" s="106" t="s">
        <v>4537</v>
      </c>
    </row>
    <row r="687" customFormat="false" ht="15" hidden="false" customHeight="false" outlineLevel="0" collapsed="false">
      <c r="A687" s="106" t="s">
        <v>5348</v>
      </c>
      <c r="B687" s="106" t="s">
        <v>1403</v>
      </c>
      <c r="C687" s="106"/>
      <c r="D687" s="106" t="n">
        <v>2</v>
      </c>
      <c r="E687" s="107" t="n">
        <v>18</v>
      </c>
      <c r="F687" s="106" t="n">
        <v>4</v>
      </c>
      <c r="G687" s="118" t="n">
        <v>0.2222</v>
      </c>
      <c r="H687" s="116" t="n">
        <v>0.72</v>
      </c>
      <c r="I687" s="106" t="n">
        <v>1</v>
      </c>
      <c r="J687" s="117" t="n">
        <v>0.25</v>
      </c>
      <c r="K687" s="108" t="n">
        <v>2.86</v>
      </c>
      <c r="L687" s="108" t="n">
        <v>69.99</v>
      </c>
      <c r="M687" s="117" t="n">
        <v>0.041</v>
      </c>
      <c r="N687" s="106"/>
      <c r="O687" s="106"/>
      <c r="P687" s="106"/>
      <c r="Q687" s="106"/>
      <c r="R687" s="106" t="s">
        <v>4285</v>
      </c>
    </row>
    <row r="688" customFormat="false" ht="15" hidden="false" customHeight="false" outlineLevel="0" collapsed="false">
      <c r="A688" s="106" t="s">
        <v>4949</v>
      </c>
      <c r="B688" s="106" t="s">
        <v>4329</v>
      </c>
      <c r="C688" s="106" t="s">
        <v>4288</v>
      </c>
      <c r="D688" s="106" t="n">
        <v>466</v>
      </c>
      <c r="E688" s="107" t="n">
        <v>114</v>
      </c>
      <c r="F688" s="106" t="n">
        <v>4</v>
      </c>
      <c r="G688" s="118" t="n">
        <v>0.0351</v>
      </c>
      <c r="H688" s="116" t="n">
        <v>1.67</v>
      </c>
      <c r="I688" s="106" t="n">
        <v>1</v>
      </c>
      <c r="J688" s="117" t="n">
        <v>0.25</v>
      </c>
      <c r="K688" s="108" t="n">
        <v>6.69</v>
      </c>
      <c r="L688" s="108" t="n">
        <v>64.99</v>
      </c>
      <c r="M688" s="117" t="n">
        <v>0.103</v>
      </c>
      <c r="N688" s="106"/>
      <c r="O688" s="106" t="n">
        <v>15</v>
      </c>
      <c r="P688" s="106"/>
      <c r="Q688" s="106" t="n">
        <v>101</v>
      </c>
      <c r="R688" s="106" t="s">
        <v>4285</v>
      </c>
    </row>
    <row r="689" customFormat="false" ht="15" hidden="false" customHeight="false" outlineLevel="0" collapsed="false">
      <c r="A689" s="106" t="s">
        <v>5349</v>
      </c>
      <c r="B689" s="106" t="s">
        <v>1403</v>
      </c>
      <c r="C689" s="106"/>
      <c r="D689" s="106"/>
      <c r="E689" s="107" t="n">
        <v>9</v>
      </c>
      <c r="F689" s="106" t="n">
        <v>4</v>
      </c>
      <c r="G689" s="118" t="n">
        <v>0.4444</v>
      </c>
      <c r="H689" s="116" t="n">
        <v>1.66</v>
      </c>
      <c r="I689" s="106" t="n">
        <v>0</v>
      </c>
      <c r="J689" s="117" t="n">
        <v>0</v>
      </c>
      <c r="K689" s="108" t="n">
        <v>6.63</v>
      </c>
      <c r="L689" s="108" t="n">
        <v>0</v>
      </c>
      <c r="M689" s="117"/>
      <c r="N689" s="106"/>
      <c r="O689" s="106"/>
      <c r="P689" s="106"/>
      <c r="Q689" s="106"/>
      <c r="R689" s="106" t="s">
        <v>4537</v>
      </c>
    </row>
    <row r="690" customFormat="false" ht="15" hidden="false" customHeight="false" outlineLevel="0" collapsed="false">
      <c r="A690" s="106" t="s">
        <v>735</v>
      </c>
      <c r="B690" s="106" t="s">
        <v>4280</v>
      </c>
      <c r="C690" s="106" t="s">
        <v>4290</v>
      </c>
      <c r="D690" s="106" t="n">
        <v>682</v>
      </c>
      <c r="E690" s="107" t="n">
        <v>90</v>
      </c>
      <c r="F690" s="106" t="n">
        <v>4</v>
      </c>
      <c r="G690" s="118" t="n">
        <v>0.0444</v>
      </c>
      <c r="H690" s="116" t="n">
        <v>1.62</v>
      </c>
      <c r="I690" s="106" t="n">
        <v>1</v>
      </c>
      <c r="J690" s="117" t="n">
        <v>0.25</v>
      </c>
      <c r="K690" s="108" t="n">
        <v>6.48</v>
      </c>
      <c r="L690" s="108" t="n">
        <v>59.99</v>
      </c>
      <c r="M690" s="117" t="n">
        <v>0.108</v>
      </c>
      <c r="N690" s="106" t="n">
        <v>4</v>
      </c>
      <c r="O690" s="106" t="n">
        <v>2</v>
      </c>
      <c r="P690" s="106" t="s">
        <v>4624</v>
      </c>
      <c r="Q690" s="106" t="n">
        <v>3</v>
      </c>
      <c r="R690" s="106" t="s">
        <v>4285</v>
      </c>
    </row>
    <row r="691" customFormat="false" ht="15" hidden="false" customHeight="false" outlineLevel="0" collapsed="false">
      <c r="A691" s="106" t="s">
        <v>5350</v>
      </c>
      <c r="B691" s="106" t="s">
        <v>4329</v>
      </c>
      <c r="C691" s="106"/>
      <c r="D691" s="106" t="n">
        <v>16</v>
      </c>
      <c r="E691" s="107" t="n">
        <v>9</v>
      </c>
      <c r="F691" s="106" t="n">
        <v>4</v>
      </c>
      <c r="G691" s="118" t="n">
        <v>0.4444</v>
      </c>
      <c r="H691" s="116" t="n">
        <v>2.17</v>
      </c>
      <c r="I691" s="106" t="n">
        <v>0</v>
      </c>
      <c r="J691" s="117" t="n">
        <v>0</v>
      </c>
      <c r="K691" s="108" t="n">
        <v>8.67</v>
      </c>
      <c r="L691" s="108" t="n">
        <v>0</v>
      </c>
      <c r="M691" s="117"/>
      <c r="N691" s="106"/>
      <c r="O691" s="106"/>
      <c r="P691" s="106"/>
      <c r="Q691" s="106"/>
      <c r="R691" s="106" t="s">
        <v>4537</v>
      </c>
    </row>
    <row r="692" customFormat="false" ht="15" hidden="false" customHeight="false" outlineLevel="0" collapsed="false">
      <c r="A692" s="106" t="s">
        <v>5351</v>
      </c>
      <c r="B692" s="106" t="s">
        <v>4280</v>
      </c>
      <c r="C692" s="106"/>
      <c r="D692" s="106" t="n">
        <v>58</v>
      </c>
      <c r="E692" s="107" t="n">
        <v>113</v>
      </c>
      <c r="F692" s="106" t="n">
        <v>4</v>
      </c>
      <c r="G692" s="118" t="n">
        <v>0.0354</v>
      </c>
      <c r="H692" s="116" t="n">
        <v>0.68</v>
      </c>
      <c r="I692" s="106" t="n">
        <v>0</v>
      </c>
      <c r="J692" s="117" t="n">
        <v>0</v>
      </c>
      <c r="K692" s="108" t="n">
        <v>2.7</v>
      </c>
      <c r="L692" s="108" t="n">
        <v>0</v>
      </c>
      <c r="M692" s="117"/>
      <c r="N692" s="106"/>
      <c r="O692" s="106"/>
      <c r="P692" s="106"/>
      <c r="Q692" s="106"/>
      <c r="R692" s="106" t="s">
        <v>4537</v>
      </c>
    </row>
    <row r="693" customFormat="false" ht="15" hidden="false" customHeight="false" outlineLevel="0" collapsed="false">
      <c r="A693" s="106" t="s">
        <v>1189</v>
      </c>
      <c r="B693" s="106" t="s">
        <v>4280</v>
      </c>
      <c r="C693" s="106" t="s">
        <v>4364</v>
      </c>
      <c r="D693" s="106" t="n">
        <v>509</v>
      </c>
      <c r="E693" s="107" t="n">
        <v>161</v>
      </c>
      <c r="F693" s="106" t="n">
        <v>4</v>
      </c>
      <c r="G693" s="118" t="n">
        <v>0.0248</v>
      </c>
      <c r="H693" s="116" t="n">
        <v>1.35</v>
      </c>
      <c r="I693" s="106" t="n">
        <v>0</v>
      </c>
      <c r="J693" s="117" t="n">
        <v>0</v>
      </c>
      <c r="K693" s="108" t="n">
        <v>5.39</v>
      </c>
      <c r="L693" s="108" t="n">
        <v>0</v>
      </c>
      <c r="M693" s="117"/>
      <c r="N693" s="106" t="n">
        <v>7</v>
      </c>
      <c r="O693" s="106" t="n">
        <v>1</v>
      </c>
      <c r="P693" s="106" t="s">
        <v>4633</v>
      </c>
      <c r="Q693" s="106" t="n">
        <v>2</v>
      </c>
      <c r="R693" s="106" t="s">
        <v>4537</v>
      </c>
    </row>
    <row r="694" customFormat="false" ht="15" hidden="false" customHeight="false" outlineLevel="0" collapsed="false">
      <c r="A694" s="106" t="s">
        <v>5352</v>
      </c>
      <c r="B694" s="106" t="s">
        <v>4329</v>
      </c>
      <c r="C694" s="106"/>
      <c r="D694" s="106" t="n">
        <v>11</v>
      </c>
      <c r="E694" s="107" t="n">
        <v>27</v>
      </c>
      <c r="F694" s="106" t="n">
        <v>4</v>
      </c>
      <c r="G694" s="118" t="n">
        <v>0.1481</v>
      </c>
      <c r="H694" s="116" t="n">
        <v>2.06</v>
      </c>
      <c r="I694" s="106" t="n">
        <v>0</v>
      </c>
      <c r="J694" s="117" t="n">
        <v>0</v>
      </c>
      <c r="K694" s="108" t="n">
        <v>8.23</v>
      </c>
      <c r="L694" s="108" t="n">
        <v>0</v>
      </c>
      <c r="M694" s="117"/>
      <c r="N694" s="106"/>
      <c r="O694" s="106"/>
      <c r="P694" s="106"/>
      <c r="Q694" s="106"/>
      <c r="R694" s="106" t="s">
        <v>4537</v>
      </c>
    </row>
    <row r="695" customFormat="false" ht="15" hidden="false" customHeight="false" outlineLevel="0" collapsed="false">
      <c r="A695" s="106" t="s">
        <v>5353</v>
      </c>
      <c r="B695" s="106" t="s">
        <v>4329</v>
      </c>
      <c r="C695" s="106"/>
      <c r="D695" s="106" t="n">
        <v>42</v>
      </c>
      <c r="E695" s="107" t="n">
        <v>25</v>
      </c>
      <c r="F695" s="106" t="n">
        <v>4</v>
      </c>
      <c r="G695" s="118" t="n">
        <v>0.16</v>
      </c>
      <c r="H695" s="116" t="n">
        <v>1.04</v>
      </c>
      <c r="I695" s="106" t="n">
        <v>0</v>
      </c>
      <c r="J695" s="117" t="n">
        <v>0</v>
      </c>
      <c r="K695" s="108" t="n">
        <v>4.17</v>
      </c>
      <c r="L695" s="108" t="n">
        <v>0</v>
      </c>
      <c r="M695" s="117"/>
      <c r="N695" s="106"/>
      <c r="O695" s="106"/>
      <c r="P695" s="106"/>
      <c r="Q695" s="106"/>
      <c r="R695" s="106" t="s">
        <v>4537</v>
      </c>
    </row>
    <row r="696" customFormat="false" ht="15" hidden="false" customHeight="false" outlineLevel="0" collapsed="false">
      <c r="A696" s="106" t="s">
        <v>853</v>
      </c>
      <c r="B696" s="106" t="s">
        <v>4280</v>
      </c>
      <c r="C696" s="106" t="s">
        <v>4287</v>
      </c>
      <c r="D696" s="106" t="n">
        <v>529</v>
      </c>
      <c r="E696" s="107" t="n">
        <v>101</v>
      </c>
      <c r="F696" s="106" t="n">
        <v>4</v>
      </c>
      <c r="G696" s="118" t="n">
        <v>0.0396</v>
      </c>
      <c r="H696" s="116" t="n">
        <v>2.44</v>
      </c>
      <c r="I696" s="106" t="n">
        <v>1</v>
      </c>
      <c r="J696" s="117" t="n">
        <v>0.25</v>
      </c>
      <c r="K696" s="108" t="n">
        <v>9.77</v>
      </c>
      <c r="L696" s="108" t="n">
        <v>64.99</v>
      </c>
      <c r="M696" s="117" t="n">
        <v>0.15</v>
      </c>
      <c r="N696" s="106"/>
      <c r="O696" s="106"/>
      <c r="P696" s="106"/>
      <c r="Q696" s="106"/>
      <c r="R696" s="106" t="s">
        <v>4285</v>
      </c>
    </row>
    <row r="697" customFormat="false" ht="15" hidden="false" customHeight="false" outlineLevel="0" collapsed="false">
      <c r="A697" s="106" t="s">
        <v>5354</v>
      </c>
      <c r="B697" s="106" t="s">
        <v>4280</v>
      </c>
      <c r="C697" s="106" t="s">
        <v>4281</v>
      </c>
      <c r="D697" s="106" t="n">
        <v>403</v>
      </c>
      <c r="E697" s="107" t="n">
        <v>100</v>
      </c>
      <c r="F697" s="106" t="n">
        <v>4</v>
      </c>
      <c r="G697" s="118" t="n">
        <v>0.04</v>
      </c>
      <c r="H697" s="116" t="n">
        <v>2.29</v>
      </c>
      <c r="I697" s="106" t="n">
        <v>1</v>
      </c>
      <c r="J697" s="117" t="n">
        <v>0.25</v>
      </c>
      <c r="K697" s="108" t="n">
        <v>9.16</v>
      </c>
      <c r="L697" s="108" t="n">
        <v>79.99</v>
      </c>
      <c r="M697" s="117" t="n">
        <v>0.115</v>
      </c>
      <c r="N697" s="106"/>
      <c r="O697" s="106"/>
      <c r="P697" s="106"/>
      <c r="Q697" s="106"/>
      <c r="R697" s="106" t="s">
        <v>4285</v>
      </c>
    </row>
    <row r="698" customFormat="false" ht="15" hidden="false" customHeight="false" outlineLevel="0" collapsed="false">
      <c r="A698" s="106" t="s">
        <v>5355</v>
      </c>
      <c r="B698" s="106" t="s">
        <v>4280</v>
      </c>
      <c r="C698" s="106"/>
      <c r="D698" s="106" t="n">
        <v>244</v>
      </c>
      <c r="E698" s="107" t="n">
        <v>17</v>
      </c>
      <c r="F698" s="106" t="n">
        <v>4</v>
      </c>
      <c r="G698" s="118" t="n">
        <v>0.2353</v>
      </c>
      <c r="H698" s="116" t="n">
        <v>2.38</v>
      </c>
      <c r="I698" s="106" t="n">
        <v>0</v>
      </c>
      <c r="J698" s="117" t="n">
        <v>0</v>
      </c>
      <c r="K698" s="108" t="n">
        <v>9.51</v>
      </c>
      <c r="L698" s="108" t="n">
        <v>0</v>
      </c>
      <c r="M698" s="117"/>
      <c r="N698" s="106"/>
      <c r="O698" s="106"/>
      <c r="P698" s="106"/>
      <c r="Q698" s="106"/>
      <c r="R698" s="106" t="s">
        <v>4537</v>
      </c>
    </row>
    <row r="699" customFormat="false" ht="15" hidden="false" customHeight="false" outlineLevel="0" collapsed="false">
      <c r="A699" s="106" t="s">
        <v>796</v>
      </c>
      <c r="B699" s="106" t="s">
        <v>4280</v>
      </c>
      <c r="C699" s="106" t="s">
        <v>4281</v>
      </c>
      <c r="D699" s="106" t="n">
        <v>339</v>
      </c>
      <c r="E699" s="107" t="n">
        <v>151</v>
      </c>
      <c r="F699" s="106" t="n">
        <v>4</v>
      </c>
      <c r="G699" s="118" t="n">
        <v>0.0265</v>
      </c>
      <c r="H699" s="116" t="n">
        <v>1.88</v>
      </c>
      <c r="I699" s="106" t="n">
        <v>0</v>
      </c>
      <c r="J699" s="117" t="n">
        <v>0</v>
      </c>
      <c r="K699" s="108" t="n">
        <v>7.53</v>
      </c>
      <c r="L699" s="108" t="n">
        <v>0</v>
      </c>
      <c r="M699" s="117"/>
      <c r="N699" s="106"/>
      <c r="O699" s="106"/>
      <c r="P699" s="106"/>
      <c r="Q699" s="106"/>
      <c r="R699" s="106" t="s">
        <v>4537</v>
      </c>
    </row>
    <row r="700" customFormat="false" ht="15" hidden="false" customHeight="false" outlineLevel="0" collapsed="false">
      <c r="A700" s="106" t="s">
        <v>1242</v>
      </c>
      <c r="B700" s="106" t="s">
        <v>4280</v>
      </c>
      <c r="C700" s="106" t="s">
        <v>4287</v>
      </c>
      <c r="D700" s="106" t="n">
        <v>662</v>
      </c>
      <c r="E700" s="107" t="n">
        <v>27</v>
      </c>
      <c r="F700" s="106" t="n">
        <v>4</v>
      </c>
      <c r="G700" s="118" t="n">
        <v>0.1481</v>
      </c>
      <c r="H700" s="116" t="n">
        <v>1.74</v>
      </c>
      <c r="I700" s="106" t="n">
        <v>0</v>
      </c>
      <c r="J700" s="117" t="n">
        <v>0</v>
      </c>
      <c r="K700" s="108" t="n">
        <v>6.96</v>
      </c>
      <c r="L700" s="108" t="n">
        <v>0</v>
      </c>
      <c r="M700" s="117"/>
      <c r="N700" s="106" t="n">
        <v>19</v>
      </c>
      <c r="O700" s="106" t="n">
        <v>6</v>
      </c>
      <c r="P700" s="106" t="s">
        <v>4939</v>
      </c>
      <c r="Q700" s="106" t="n">
        <v>12</v>
      </c>
      <c r="R700" s="106" t="s">
        <v>4537</v>
      </c>
    </row>
    <row r="701" customFormat="false" ht="15" hidden="false" customHeight="false" outlineLevel="0" collapsed="false">
      <c r="A701" s="106" t="s">
        <v>5356</v>
      </c>
      <c r="B701" s="106" t="s">
        <v>4284</v>
      </c>
      <c r="C701" s="106"/>
      <c r="D701" s="106" t="n">
        <v>2635</v>
      </c>
      <c r="E701" s="107" t="n">
        <v>29</v>
      </c>
      <c r="F701" s="106" t="n">
        <v>4</v>
      </c>
      <c r="G701" s="118" t="n">
        <v>0.1379</v>
      </c>
      <c r="H701" s="116" t="n">
        <v>1.1</v>
      </c>
      <c r="I701" s="106" t="n">
        <v>0</v>
      </c>
      <c r="J701" s="117" t="n">
        <v>0</v>
      </c>
      <c r="K701" s="108" t="n">
        <v>4.4</v>
      </c>
      <c r="L701" s="108" t="n">
        <v>0</v>
      </c>
      <c r="M701" s="117"/>
      <c r="N701" s="106"/>
      <c r="O701" s="106"/>
      <c r="P701" s="106"/>
      <c r="Q701" s="106"/>
      <c r="R701" s="106" t="s">
        <v>4537</v>
      </c>
    </row>
    <row r="702" customFormat="false" ht="15" hidden="false" customHeight="false" outlineLevel="0" collapsed="false">
      <c r="A702" s="106" t="s">
        <v>5357</v>
      </c>
      <c r="B702" s="106" t="s">
        <v>1403</v>
      </c>
      <c r="C702" s="106"/>
      <c r="D702" s="106"/>
      <c r="E702" s="107" t="n">
        <v>148</v>
      </c>
      <c r="F702" s="106" t="n">
        <v>4</v>
      </c>
      <c r="G702" s="118" t="n">
        <v>0.027</v>
      </c>
      <c r="H702" s="116" t="n">
        <v>1.08</v>
      </c>
      <c r="I702" s="106" t="n">
        <v>0</v>
      </c>
      <c r="J702" s="117" t="n">
        <v>0</v>
      </c>
      <c r="K702" s="108" t="n">
        <v>4.33</v>
      </c>
      <c r="L702" s="108" t="n">
        <v>0</v>
      </c>
      <c r="M702" s="117"/>
      <c r="N702" s="106"/>
      <c r="O702" s="106"/>
      <c r="P702" s="106"/>
      <c r="Q702" s="106"/>
      <c r="R702" s="106" t="s">
        <v>4537</v>
      </c>
    </row>
    <row r="703" customFormat="false" ht="15" hidden="false" customHeight="false" outlineLevel="0" collapsed="false">
      <c r="A703" s="106" t="s">
        <v>5358</v>
      </c>
      <c r="B703" s="106" t="s">
        <v>1403</v>
      </c>
      <c r="C703" s="106"/>
      <c r="D703" s="106" t="n">
        <v>201</v>
      </c>
      <c r="E703" s="107" t="n">
        <v>13</v>
      </c>
      <c r="F703" s="106" t="n">
        <v>4</v>
      </c>
      <c r="G703" s="118" t="n">
        <v>0.3077</v>
      </c>
      <c r="H703" s="116" t="n">
        <v>0.88</v>
      </c>
      <c r="I703" s="106" t="n">
        <v>0</v>
      </c>
      <c r="J703" s="117" t="n">
        <v>0</v>
      </c>
      <c r="K703" s="108" t="n">
        <v>3.5</v>
      </c>
      <c r="L703" s="108" t="n">
        <v>0</v>
      </c>
      <c r="M703" s="117"/>
      <c r="N703" s="106"/>
      <c r="O703" s="106"/>
      <c r="P703" s="106"/>
      <c r="Q703" s="106"/>
      <c r="R703" s="106" t="s">
        <v>4537</v>
      </c>
    </row>
    <row r="704" customFormat="false" ht="15" hidden="false" customHeight="false" outlineLevel="0" collapsed="false">
      <c r="A704" s="106" t="s">
        <v>5359</v>
      </c>
      <c r="B704" s="106" t="s">
        <v>1403</v>
      </c>
      <c r="C704" s="106"/>
      <c r="D704" s="106" t="n">
        <v>4</v>
      </c>
      <c r="E704" s="107" t="n">
        <v>20</v>
      </c>
      <c r="F704" s="106" t="n">
        <v>4</v>
      </c>
      <c r="G704" s="118" t="n">
        <v>0.2</v>
      </c>
      <c r="H704" s="116" t="n">
        <v>1.37</v>
      </c>
      <c r="I704" s="106" t="n">
        <v>1</v>
      </c>
      <c r="J704" s="117" t="n">
        <v>0.25</v>
      </c>
      <c r="K704" s="108" t="n">
        <v>5.47</v>
      </c>
      <c r="L704" s="108" t="n">
        <v>69.99</v>
      </c>
      <c r="M704" s="117" t="n">
        <v>0.078</v>
      </c>
      <c r="N704" s="106"/>
      <c r="O704" s="106"/>
      <c r="P704" s="106"/>
      <c r="Q704" s="106"/>
      <c r="R704" s="106" t="s">
        <v>4285</v>
      </c>
    </row>
    <row r="705" customFormat="false" ht="15" hidden="false" customHeight="false" outlineLevel="0" collapsed="false">
      <c r="A705" s="106" t="s">
        <v>5360</v>
      </c>
      <c r="B705" s="106" t="s">
        <v>4280</v>
      </c>
      <c r="C705" s="106"/>
      <c r="D705" s="106" t="n">
        <v>7</v>
      </c>
      <c r="E705" s="107" t="n">
        <v>10</v>
      </c>
      <c r="F705" s="106" t="n">
        <v>4</v>
      </c>
      <c r="G705" s="118" t="n">
        <v>0.4</v>
      </c>
      <c r="H705" s="116" t="n">
        <v>1.07</v>
      </c>
      <c r="I705" s="106" t="n">
        <v>0</v>
      </c>
      <c r="J705" s="117" t="n">
        <v>0</v>
      </c>
      <c r="K705" s="108" t="n">
        <v>4.26</v>
      </c>
      <c r="L705" s="108" t="n">
        <v>0</v>
      </c>
      <c r="M705" s="117"/>
      <c r="N705" s="106"/>
      <c r="O705" s="106"/>
      <c r="P705" s="106"/>
      <c r="Q705" s="106"/>
      <c r="R705" s="106" t="s">
        <v>4537</v>
      </c>
    </row>
    <row r="706" customFormat="false" ht="15" hidden="false" customHeight="false" outlineLevel="0" collapsed="false">
      <c r="A706" s="106" t="s">
        <v>5361</v>
      </c>
      <c r="B706" s="106" t="s">
        <v>1403</v>
      </c>
      <c r="C706" s="106"/>
      <c r="D706" s="106"/>
      <c r="E706" s="107" t="n">
        <v>7</v>
      </c>
      <c r="F706" s="106" t="n">
        <v>3</v>
      </c>
      <c r="G706" s="118" t="n">
        <v>0.4286</v>
      </c>
      <c r="H706" s="116" t="n">
        <v>0.56</v>
      </c>
      <c r="I706" s="106" t="n">
        <v>0</v>
      </c>
      <c r="J706" s="117" t="n">
        <v>0</v>
      </c>
      <c r="K706" s="108" t="n">
        <v>1.69</v>
      </c>
      <c r="L706" s="108" t="n">
        <v>0</v>
      </c>
      <c r="M706" s="117"/>
      <c r="N706" s="106"/>
      <c r="O706" s="106"/>
      <c r="P706" s="106"/>
      <c r="Q706" s="106"/>
      <c r="R706" s="106" t="s">
        <v>4537</v>
      </c>
    </row>
    <row r="707" customFormat="false" ht="15" hidden="false" customHeight="false" outlineLevel="0" collapsed="false">
      <c r="A707" s="106" t="s">
        <v>3874</v>
      </c>
      <c r="B707" s="106" t="s">
        <v>4309</v>
      </c>
      <c r="C707" s="106"/>
      <c r="D707" s="106" t="n">
        <v>54207</v>
      </c>
      <c r="E707" s="107" t="n">
        <v>69</v>
      </c>
      <c r="F707" s="106" t="n">
        <v>3</v>
      </c>
      <c r="G707" s="118" t="n">
        <v>0.0435</v>
      </c>
      <c r="H707" s="116" t="n">
        <v>0.65</v>
      </c>
      <c r="I707" s="106" t="n">
        <v>0</v>
      </c>
      <c r="J707" s="117" t="n">
        <v>0</v>
      </c>
      <c r="K707" s="108" t="n">
        <v>1.95</v>
      </c>
      <c r="L707" s="108" t="n">
        <v>0</v>
      </c>
      <c r="M707" s="117"/>
      <c r="N707" s="106"/>
      <c r="O707" s="106"/>
      <c r="P707" s="106"/>
      <c r="Q707" s="106"/>
      <c r="R707" s="106" t="s">
        <v>4537</v>
      </c>
    </row>
    <row r="708" customFormat="false" ht="15" hidden="false" customHeight="false" outlineLevel="0" collapsed="false">
      <c r="A708" s="106" t="s">
        <v>5362</v>
      </c>
      <c r="B708" s="106" t="s">
        <v>1403</v>
      </c>
      <c r="C708" s="106"/>
      <c r="D708" s="106" t="n">
        <v>19</v>
      </c>
      <c r="E708" s="107" t="n">
        <v>13</v>
      </c>
      <c r="F708" s="106" t="n">
        <v>3</v>
      </c>
      <c r="G708" s="118" t="n">
        <v>0.2308</v>
      </c>
      <c r="H708" s="116" t="n">
        <v>1.05</v>
      </c>
      <c r="I708" s="106" t="n">
        <v>0</v>
      </c>
      <c r="J708" s="117" t="n">
        <v>0</v>
      </c>
      <c r="K708" s="108" t="n">
        <v>3.14</v>
      </c>
      <c r="L708" s="108" t="n">
        <v>0</v>
      </c>
      <c r="M708" s="117"/>
      <c r="N708" s="106"/>
      <c r="O708" s="106"/>
      <c r="P708" s="106"/>
      <c r="Q708" s="106"/>
      <c r="R708" s="106" t="s">
        <v>4537</v>
      </c>
    </row>
    <row r="709" customFormat="false" ht="15" hidden="false" customHeight="false" outlineLevel="0" collapsed="false">
      <c r="A709" s="106" t="s">
        <v>5363</v>
      </c>
      <c r="B709" s="106" t="s">
        <v>4329</v>
      </c>
      <c r="C709" s="106"/>
      <c r="D709" s="106" t="n">
        <v>2</v>
      </c>
      <c r="E709" s="107" t="n">
        <v>215</v>
      </c>
      <c r="F709" s="106" t="n">
        <v>3</v>
      </c>
      <c r="G709" s="118" t="n">
        <v>0.014</v>
      </c>
      <c r="H709" s="116" t="n">
        <v>1.93</v>
      </c>
      <c r="I709" s="106" t="n">
        <v>0</v>
      </c>
      <c r="J709" s="117" t="n">
        <v>0</v>
      </c>
      <c r="K709" s="108" t="n">
        <v>5.78</v>
      </c>
      <c r="L709" s="108" t="n">
        <v>0</v>
      </c>
      <c r="M709" s="117"/>
      <c r="N709" s="106"/>
      <c r="O709" s="106"/>
      <c r="P709" s="106"/>
      <c r="Q709" s="106"/>
      <c r="R709" s="106" t="s">
        <v>4537</v>
      </c>
    </row>
    <row r="710" customFormat="false" ht="15" hidden="false" customHeight="false" outlineLevel="0" collapsed="false">
      <c r="A710" s="106" t="s">
        <v>5364</v>
      </c>
      <c r="B710" s="106" t="s">
        <v>4284</v>
      </c>
      <c r="C710" s="106"/>
      <c r="D710" s="106" t="n">
        <v>43</v>
      </c>
      <c r="E710" s="107" t="n">
        <v>7</v>
      </c>
      <c r="F710" s="106" t="n">
        <v>3</v>
      </c>
      <c r="G710" s="118" t="n">
        <v>0.4286</v>
      </c>
      <c r="H710" s="116" t="n">
        <v>2.05</v>
      </c>
      <c r="I710" s="106" t="n">
        <v>1</v>
      </c>
      <c r="J710" s="117" t="n">
        <v>0.3333</v>
      </c>
      <c r="K710" s="108" t="n">
        <v>6.16</v>
      </c>
      <c r="L710" s="108" t="n">
        <v>59.99</v>
      </c>
      <c r="M710" s="117" t="n">
        <v>0.103</v>
      </c>
      <c r="N710" s="106"/>
      <c r="O710" s="106"/>
      <c r="P710" s="106"/>
      <c r="Q710" s="106"/>
      <c r="R710" s="106" t="s">
        <v>4285</v>
      </c>
    </row>
    <row r="711" customFormat="false" ht="15" hidden="false" customHeight="false" outlineLevel="0" collapsed="false">
      <c r="A711" s="106" t="s">
        <v>4874</v>
      </c>
      <c r="B711" s="106" t="s">
        <v>4329</v>
      </c>
      <c r="C711" s="106" t="s">
        <v>4287</v>
      </c>
      <c r="D711" s="106" t="n">
        <v>682</v>
      </c>
      <c r="E711" s="107" t="n">
        <v>9</v>
      </c>
      <c r="F711" s="106" t="n">
        <v>3</v>
      </c>
      <c r="G711" s="118" t="n">
        <v>0.3333</v>
      </c>
      <c r="H711" s="116" t="n">
        <v>0.65</v>
      </c>
      <c r="I711" s="106" t="n">
        <v>0</v>
      </c>
      <c r="J711" s="117" t="n">
        <v>0</v>
      </c>
      <c r="K711" s="108" t="n">
        <v>1.95</v>
      </c>
      <c r="L711" s="108" t="n">
        <v>0</v>
      </c>
      <c r="M711" s="117"/>
      <c r="N711" s="106"/>
      <c r="O711" s="106" t="n">
        <v>93</v>
      </c>
      <c r="P711" s="106"/>
      <c r="Q711" s="106" t="n">
        <v>101</v>
      </c>
      <c r="R711" s="106" t="s">
        <v>4537</v>
      </c>
    </row>
    <row r="712" customFormat="false" ht="15" hidden="false" customHeight="false" outlineLevel="0" collapsed="false">
      <c r="A712" s="106" t="s">
        <v>5365</v>
      </c>
      <c r="B712" s="106" t="s">
        <v>1403</v>
      </c>
      <c r="C712" s="106"/>
      <c r="D712" s="106" t="n">
        <v>1</v>
      </c>
      <c r="E712" s="107" t="n">
        <v>12</v>
      </c>
      <c r="F712" s="106" t="n">
        <v>3</v>
      </c>
      <c r="G712" s="118" t="n">
        <v>0.25</v>
      </c>
      <c r="H712" s="116" t="n">
        <v>0.61</v>
      </c>
      <c r="I712" s="106" t="n">
        <v>0</v>
      </c>
      <c r="J712" s="117" t="n">
        <v>0</v>
      </c>
      <c r="K712" s="108" t="n">
        <v>1.84</v>
      </c>
      <c r="L712" s="108" t="n">
        <v>0</v>
      </c>
      <c r="M712" s="117"/>
      <c r="N712" s="106"/>
      <c r="O712" s="106"/>
      <c r="P712" s="106"/>
      <c r="Q712" s="106"/>
      <c r="R712" s="106" t="s">
        <v>4537</v>
      </c>
    </row>
    <row r="713" customFormat="false" ht="15" hidden="false" customHeight="false" outlineLevel="0" collapsed="false">
      <c r="A713" s="106" t="s">
        <v>5366</v>
      </c>
      <c r="B713" s="106" t="s">
        <v>4280</v>
      </c>
      <c r="C713" s="106"/>
      <c r="D713" s="106" t="n">
        <v>51</v>
      </c>
      <c r="E713" s="107" t="n">
        <v>8</v>
      </c>
      <c r="F713" s="106" t="n">
        <v>3</v>
      </c>
      <c r="G713" s="118" t="n">
        <v>0.375</v>
      </c>
      <c r="H713" s="116" t="n">
        <v>0.62</v>
      </c>
      <c r="I713" s="106" t="n">
        <v>0</v>
      </c>
      <c r="J713" s="117" t="n">
        <v>0</v>
      </c>
      <c r="K713" s="108" t="n">
        <v>1.85</v>
      </c>
      <c r="L713" s="108" t="n">
        <v>0</v>
      </c>
      <c r="M713" s="117"/>
      <c r="N713" s="106"/>
      <c r="O713" s="106"/>
      <c r="P713" s="106"/>
      <c r="Q713" s="106"/>
      <c r="R713" s="106" t="s">
        <v>4537</v>
      </c>
    </row>
    <row r="714" customFormat="false" ht="15" hidden="false" customHeight="false" outlineLevel="0" collapsed="false">
      <c r="A714" s="106" t="s">
        <v>4878</v>
      </c>
      <c r="B714" s="106" t="s">
        <v>4280</v>
      </c>
      <c r="C714" s="106" t="s">
        <v>4301</v>
      </c>
      <c r="D714" s="106" t="n">
        <v>697</v>
      </c>
      <c r="E714" s="107" t="n">
        <v>25</v>
      </c>
      <c r="F714" s="106" t="n">
        <v>3</v>
      </c>
      <c r="G714" s="118" t="n">
        <v>0.12</v>
      </c>
      <c r="H714" s="116" t="n">
        <v>2.54</v>
      </c>
      <c r="I714" s="106" t="n">
        <v>0</v>
      </c>
      <c r="J714" s="117" t="n">
        <v>0</v>
      </c>
      <c r="K714" s="108" t="n">
        <v>7.63</v>
      </c>
      <c r="L714" s="108" t="n">
        <v>0</v>
      </c>
      <c r="M714" s="117"/>
      <c r="N714" s="106" t="n">
        <v>139</v>
      </c>
      <c r="O714" s="106" t="n">
        <v>55</v>
      </c>
      <c r="P714" s="106"/>
      <c r="Q714" s="106" t="n">
        <v>101</v>
      </c>
      <c r="R714" s="106" t="s">
        <v>4537</v>
      </c>
    </row>
    <row r="715" customFormat="false" ht="15" hidden="false" customHeight="false" outlineLevel="0" collapsed="false">
      <c r="A715" s="106" t="s">
        <v>1156</v>
      </c>
      <c r="B715" s="106" t="s">
        <v>4280</v>
      </c>
      <c r="C715" s="106" t="s">
        <v>4288</v>
      </c>
      <c r="D715" s="106" t="n">
        <v>1211</v>
      </c>
      <c r="E715" s="107" t="n">
        <v>76</v>
      </c>
      <c r="F715" s="106" t="n">
        <v>3</v>
      </c>
      <c r="G715" s="118" t="n">
        <v>0.0395</v>
      </c>
      <c r="H715" s="116" t="n">
        <v>2.63</v>
      </c>
      <c r="I715" s="106" t="n">
        <v>0</v>
      </c>
      <c r="J715" s="117" t="n">
        <v>0</v>
      </c>
      <c r="K715" s="108" t="n">
        <v>7.88</v>
      </c>
      <c r="L715" s="108" t="n">
        <v>0</v>
      </c>
      <c r="M715" s="117"/>
      <c r="N715" s="106" t="n">
        <v>17</v>
      </c>
      <c r="O715" s="106" t="n">
        <v>2</v>
      </c>
      <c r="P715" s="106" t="s">
        <v>4623</v>
      </c>
      <c r="Q715" s="106" t="n">
        <v>15</v>
      </c>
      <c r="R715" s="106" t="s">
        <v>4537</v>
      </c>
    </row>
    <row r="716" customFormat="false" ht="15" hidden="false" customHeight="false" outlineLevel="0" collapsed="false">
      <c r="A716" s="106" t="s">
        <v>5367</v>
      </c>
      <c r="B716" s="106" t="s">
        <v>1403</v>
      </c>
      <c r="C716" s="106"/>
      <c r="D716" s="106" t="n">
        <v>2</v>
      </c>
      <c r="E716" s="107" t="n">
        <v>16</v>
      </c>
      <c r="F716" s="106" t="n">
        <v>3</v>
      </c>
      <c r="G716" s="118" t="n">
        <v>0.1875</v>
      </c>
      <c r="H716" s="116" t="n">
        <v>2.06</v>
      </c>
      <c r="I716" s="106" t="n">
        <v>0</v>
      </c>
      <c r="J716" s="117" t="n">
        <v>0</v>
      </c>
      <c r="K716" s="108" t="n">
        <v>6.18</v>
      </c>
      <c r="L716" s="108" t="n">
        <v>0</v>
      </c>
      <c r="M716" s="117"/>
      <c r="N716" s="106"/>
      <c r="O716" s="106"/>
      <c r="P716" s="106"/>
      <c r="Q716" s="106"/>
      <c r="R716" s="106" t="s">
        <v>4537</v>
      </c>
    </row>
    <row r="717" customFormat="false" ht="15" hidden="false" customHeight="false" outlineLevel="0" collapsed="false">
      <c r="A717" s="106" t="s">
        <v>5368</v>
      </c>
      <c r="B717" s="106" t="s">
        <v>1403</v>
      </c>
      <c r="C717" s="106"/>
      <c r="D717" s="106" t="n">
        <v>2</v>
      </c>
      <c r="E717" s="107" t="n">
        <v>11</v>
      </c>
      <c r="F717" s="106" t="n">
        <v>3</v>
      </c>
      <c r="G717" s="118" t="n">
        <v>0.2727</v>
      </c>
      <c r="H717" s="116" t="n">
        <v>1.58</v>
      </c>
      <c r="I717" s="106" t="n">
        <v>1</v>
      </c>
      <c r="J717" s="117" t="n">
        <v>0.3333</v>
      </c>
      <c r="K717" s="108" t="n">
        <v>4.74</v>
      </c>
      <c r="L717" s="108" t="n">
        <v>54.99</v>
      </c>
      <c r="M717" s="117" t="n">
        <v>0.086</v>
      </c>
      <c r="N717" s="106"/>
      <c r="O717" s="106"/>
      <c r="P717" s="106"/>
      <c r="Q717" s="106"/>
      <c r="R717" s="106" t="s">
        <v>4285</v>
      </c>
    </row>
    <row r="718" customFormat="false" ht="15" hidden="false" customHeight="false" outlineLevel="0" collapsed="false">
      <c r="A718" s="106" t="s">
        <v>5369</v>
      </c>
      <c r="B718" s="106" t="s">
        <v>1403</v>
      </c>
      <c r="C718" s="106"/>
      <c r="D718" s="106"/>
      <c r="E718" s="107" t="n">
        <v>25</v>
      </c>
      <c r="F718" s="106" t="n">
        <v>3</v>
      </c>
      <c r="G718" s="118" t="n">
        <v>0.12</v>
      </c>
      <c r="H718" s="116" t="n">
        <v>1.62</v>
      </c>
      <c r="I718" s="106" t="n">
        <v>0</v>
      </c>
      <c r="J718" s="117" t="n">
        <v>0</v>
      </c>
      <c r="K718" s="108" t="n">
        <v>4.85</v>
      </c>
      <c r="L718" s="108" t="n">
        <v>0</v>
      </c>
      <c r="M718" s="117"/>
      <c r="N718" s="106"/>
      <c r="O718" s="106"/>
      <c r="P718" s="106"/>
      <c r="Q718" s="106"/>
      <c r="R718" s="106" t="s">
        <v>4537</v>
      </c>
    </row>
    <row r="719" customFormat="false" ht="15" hidden="false" customHeight="false" outlineLevel="0" collapsed="false">
      <c r="A719" s="106" t="s">
        <v>5370</v>
      </c>
      <c r="B719" s="106" t="s">
        <v>1403</v>
      </c>
      <c r="C719" s="106"/>
      <c r="D719" s="106" t="n">
        <v>3</v>
      </c>
      <c r="E719" s="107" t="n">
        <v>24</v>
      </c>
      <c r="F719" s="106" t="n">
        <v>3</v>
      </c>
      <c r="G719" s="118" t="n">
        <v>0.125</v>
      </c>
      <c r="H719" s="116" t="n">
        <v>1.69</v>
      </c>
      <c r="I719" s="106" t="n">
        <v>0</v>
      </c>
      <c r="J719" s="117" t="n">
        <v>0</v>
      </c>
      <c r="K719" s="108" t="n">
        <v>5.06</v>
      </c>
      <c r="L719" s="108" t="n">
        <v>0</v>
      </c>
      <c r="M719" s="117"/>
      <c r="N719" s="106"/>
      <c r="O719" s="106"/>
      <c r="P719" s="106"/>
      <c r="Q719" s="106"/>
      <c r="R719" s="106" t="s">
        <v>4537</v>
      </c>
    </row>
    <row r="720" customFormat="false" ht="15" hidden="false" customHeight="false" outlineLevel="0" collapsed="false">
      <c r="A720" s="106" t="s">
        <v>5371</v>
      </c>
      <c r="B720" s="106" t="s">
        <v>4280</v>
      </c>
      <c r="C720" s="106" t="s">
        <v>4281</v>
      </c>
      <c r="D720" s="106" t="n">
        <v>415</v>
      </c>
      <c r="E720" s="107" t="n">
        <v>9</v>
      </c>
      <c r="F720" s="106" t="n">
        <v>3</v>
      </c>
      <c r="G720" s="118" t="n">
        <v>0.3333</v>
      </c>
      <c r="H720" s="116" t="n">
        <v>3.78</v>
      </c>
      <c r="I720" s="106" t="n">
        <v>0</v>
      </c>
      <c r="J720" s="117" t="n">
        <v>0</v>
      </c>
      <c r="K720" s="108" t="n">
        <v>11.33</v>
      </c>
      <c r="L720" s="108" t="n">
        <v>0</v>
      </c>
      <c r="M720" s="117"/>
      <c r="N720" s="106"/>
      <c r="O720" s="106"/>
      <c r="P720" s="106"/>
      <c r="Q720" s="106"/>
      <c r="R720" s="106" t="s">
        <v>4537</v>
      </c>
    </row>
    <row r="721" customFormat="false" ht="15" hidden="false" customHeight="false" outlineLevel="0" collapsed="false">
      <c r="A721" s="106" t="s">
        <v>5372</v>
      </c>
      <c r="B721" s="106" t="s">
        <v>4329</v>
      </c>
      <c r="C721" s="106"/>
      <c r="D721" s="106" t="n">
        <v>26</v>
      </c>
      <c r="E721" s="107" t="n">
        <v>9</v>
      </c>
      <c r="F721" s="106" t="n">
        <v>3</v>
      </c>
      <c r="G721" s="118" t="n">
        <v>0.3333</v>
      </c>
      <c r="H721" s="116" t="n">
        <v>3.88</v>
      </c>
      <c r="I721" s="106" t="n">
        <v>0</v>
      </c>
      <c r="J721" s="117" t="n">
        <v>0</v>
      </c>
      <c r="K721" s="108" t="n">
        <v>11.63</v>
      </c>
      <c r="L721" s="108" t="n">
        <v>0</v>
      </c>
      <c r="M721" s="117"/>
      <c r="N721" s="106"/>
      <c r="O721" s="106"/>
      <c r="P721" s="106"/>
      <c r="Q721" s="106"/>
      <c r="R721" s="106" t="s">
        <v>4537</v>
      </c>
    </row>
    <row r="722" customFormat="false" ht="15" hidden="false" customHeight="false" outlineLevel="0" collapsed="false">
      <c r="A722" s="106" t="s">
        <v>1011</v>
      </c>
      <c r="B722" s="106" t="s">
        <v>4280</v>
      </c>
      <c r="C722" s="106" t="s">
        <v>4281</v>
      </c>
      <c r="D722" s="106" t="n">
        <v>766</v>
      </c>
      <c r="E722" s="107" t="n">
        <v>14</v>
      </c>
      <c r="F722" s="106" t="n">
        <v>3</v>
      </c>
      <c r="G722" s="118" t="n">
        <v>0.2143</v>
      </c>
      <c r="H722" s="116" t="n">
        <v>2.84</v>
      </c>
      <c r="I722" s="106" t="n">
        <v>0</v>
      </c>
      <c r="J722" s="117" t="n">
        <v>0</v>
      </c>
      <c r="K722" s="108" t="n">
        <v>8.52</v>
      </c>
      <c r="L722" s="108" t="n">
        <v>0</v>
      </c>
      <c r="M722" s="117"/>
      <c r="N722" s="106" t="n">
        <v>31</v>
      </c>
      <c r="O722" s="106" t="n">
        <v>8</v>
      </c>
      <c r="P722" s="106" t="s">
        <v>4866</v>
      </c>
      <c r="Q722" s="106" t="n">
        <v>41</v>
      </c>
      <c r="R722" s="106" t="s">
        <v>4537</v>
      </c>
    </row>
    <row r="723" customFormat="false" ht="15" hidden="false" customHeight="false" outlineLevel="0" collapsed="false">
      <c r="A723" s="106" t="s">
        <v>5373</v>
      </c>
      <c r="B723" s="106" t="s">
        <v>4284</v>
      </c>
      <c r="C723" s="106"/>
      <c r="D723" s="106" t="n">
        <v>36</v>
      </c>
      <c r="E723" s="107" t="n">
        <v>11</v>
      </c>
      <c r="F723" s="106" t="n">
        <v>3</v>
      </c>
      <c r="G723" s="118" t="n">
        <v>0.2727</v>
      </c>
      <c r="H723" s="116" t="n">
        <v>1.09</v>
      </c>
      <c r="I723" s="106" t="n">
        <v>0</v>
      </c>
      <c r="J723" s="117" t="n">
        <v>0</v>
      </c>
      <c r="K723" s="108" t="n">
        <v>3.28</v>
      </c>
      <c r="L723" s="108" t="n">
        <v>0</v>
      </c>
      <c r="M723" s="117"/>
      <c r="N723" s="106"/>
      <c r="O723" s="106"/>
      <c r="P723" s="106"/>
      <c r="Q723" s="106"/>
      <c r="R723" s="106" t="s">
        <v>4537</v>
      </c>
    </row>
    <row r="724" customFormat="false" ht="15" hidden="false" customHeight="false" outlineLevel="0" collapsed="false">
      <c r="A724" s="106" t="s">
        <v>5374</v>
      </c>
      <c r="B724" s="106" t="s">
        <v>4329</v>
      </c>
      <c r="C724" s="106"/>
      <c r="D724" s="106" t="n">
        <v>59</v>
      </c>
      <c r="E724" s="107" t="n">
        <v>11</v>
      </c>
      <c r="F724" s="106" t="n">
        <v>3</v>
      </c>
      <c r="G724" s="118" t="n">
        <v>0.2727</v>
      </c>
      <c r="H724" s="116" t="n">
        <v>1.08</v>
      </c>
      <c r="I724" s="106" t="n">
        <v>0</v>
      </c>
      <c r="J724" s="117" t="n">
        <v>0</v>
      </c>
      <c r="K724" s="108" t="n">
        <v>3.23</v>
      </c>
      <c r="L724" s="108" t="n">
        <v>0</v>
      </c>
      <c r="M724" s="117"/>
      <c r="N724" s="106"/>
      <c r="O724" s="106"/>
      <c r="P724" s="106"/>
      <c r="Q724" s="106"/>
      <c r="R724" s="106" t="s">
        <v>4537</v>
      </c>
    </row>
    <row r="725" customFormat="false" ht="15" hidden="false" customHeight="false" outlineLevel="0" collapsed="false">
      <c r="A725" s="106" t="s">
        <v>5375</v>
      </c>
      <c r="B725" s="106" t="s">
        <v>1403</v>
      </c>
      <c r="C725" s="106"/>
      <c r="D725" s="106" t="n">
        <v>5</v>
      </c>
      <c r="E725" s="107" t="n">
        <v>15</v>
      </c>
      <c r="F725" s="106" t="n">
        <v>3</v>
      </c>
      <c r="G725" s="118" t="n">
        <v>0.2</v>
      </c>
      <c r="H725" s="116" t="n">
        <v>1.07</v>
      </c>
      <c r="I725" s="106" t="n">
        <v>1</v>
      </c>
      <c r="J725" s="117" t="n">
        <v>0.3333</v>
      </c>
      <c r="K725" s="108" t="n">
        <v>3.2</v>
      </c>
      <c r="L725" s="108" t="n">
        <v>17.09</v>
      </c>
      <c r="M725" s="117" t="n">
        <v>0.187</v>
      </c>
      <c r="N725" s="106"/>
      <c r="O725" s="106"/>
      <c r="P725" s="106"/>
      <c r="Q725" s="106"/>
      <c r="R725" s="106" t="s">
        <v>4285</v>
      </c>
    </row>
    <row r="726" customFormat="false" ht="15" hidden="false" customHeight="false" outlineLevel="0" collapsed="false">
      <c r="A726" s="106" t="s">
        <v>5376</v>
      </c>
      <c r="B726" s="106" t="s">
        <v>4329</v>
      </c>
      <c r="C726" s="106"/>
      <c r="D726" s="106"/>
      <c r="E726" s="107" t="n">
        <v>49</v>
      </c>
      <c r="F726" s="106" t="n">
        <v>3</v>
      </c>
      <c r="G726" s="118" t="n">
        <v>0.0612</v>
      </c>
      <c r="H726" s="116" t="n">
        <v>0.51</v>
      </c>
      <c r="I726" s="106" t="n">
        <v>0</v>
      </c>
      <c r="J726" s="117" t="n">
        <v>0</v>
      </c>
      <c r="K726" s="108" t="n">
        <v>1.53</v>
      </c>
      <c r="L726" s="108" t="n">
        <v>0</v>
      </c>
      <c r="M726" s="117"/>
      <c r="N726" s="106"/>
      <c r="O726" s="106"/>
      <c r="P726" s="106"/>
      <c r="Q726" s="106"/>
      <c r="R726" s="106" t="s">
        <v>4537</v>
      </c>
    </row>
    <row r="727" customFormat="false" ht="15" hidden="false" customHeight="false" outlineLevel="0" collapsed="false">
      <c r="A727" s="106" t="s">
        <v>3872</v>
      </c>
      <c r="B727" s="106" t="s">
        <v>4284</v>
      </c>
      <c r="C727" s="106"/>
      <c r="D727" s="106" t="n">
        <v>21541</v>
      </c>
      <c r="E727" s="107" t="n">
        <v>15</v>
      </c>
      <c r="F727" s="106" t="n">
        <v>3</v>
      </c>
      <c r="G727" s="118" t="n">
        <v>0.2</v>
      </c>
      <c r="H727" s="116" t="n">
        <v>0.51</v>
      </c>
      <c r="I727" s="106" t="n">
        <v>0</v>
      </c>
      <c r="J727" s="117" t="n">
        <v>0</v>
      </c>
      <c r="K727" s="108" t="n">
        <v>1.53</v>
      </c>
      <c r="L727" s="108" t="n">
        <v>0</v>
      </c>
      <c r="M727" s="117"/>
      <c r="N727" s="106"/>
      <c r="O727" s="106"/>
      <c r="P727" s="106"/>
      <c r="Q727" s="106"/>
      <c r="R727" s="106" t="s">
        <v>4537</v>
      </c>
    </row>
    <row r="728" customFormat="false" ht="15" hidden="false" customHeight="false" outlineLevel="0" collapsed="false">
      <c r="A728" s="106" t="s">
        <v>5377</v>
      </c>
      <c r="B728" s="106" t="s">
        <v>1403</v>
      </c>
      <c r="C728" s="106"/>
      <c r="D728" s="106"/>
      <c r="E728" s="107" t="n">
        <v>31</v>
      </c>
      <c r="F728" s="106" t="n">
        <v>3</v>
      </c>
      <c r="G728" s="118" t="n">
        <v>0.0968</v>
      </c>
      <c r="H728" s="116" t="n">
        <v>1.06</v>
      </c>
      <c r="I728" s="106" t="n">
        <v>0</v>
      </c>
      <c r="J728" s="117" t="n">
        <v>0</v>
      </c>
      <c r="K728" s="108" t="n">
        <v>3.18</v>
      </c>
      <c r="L728" s="108" t="n">
        <v>0</v>
      </c>
      <c r="M728" s="117"/>
      <c r="N728" s="106"/>
      <c r="O728" s="106"/>
      <c r="P728" s="106"/>
      <c r="Q728" s="106"/>
      <c r="R728" s="106" t="s">
        <v>4537</v>
      </c>
    </row>
    <row r="729" customFormat="false" ht="15" hidden="false" customHeight="false" outlineLevel="0" collapsed="false">
      <c r="A729" s="106" t="s">
        <v>5378</v>
      </c>
      <c r="B729" s="106" t="s">
        <v>4280</v>
      </c>
      <c r="C729" s="106"/>
      <c r="D729" s="106"/>
      <c r="E729" s="107" t="n">
        <v>27</v>
      </c>
      <c r="F729" s="106" t="n">
        <v>3</v>
      </c>
      <c r="G729" s="118" t="n">
        <v>0.1111</v>
      </c>
      <c r="H729" s="116" t="n">
        <v>0.5</v>
      </c>
      <c r="I729" s="106" t="n">
        <v>0</v>
      </c>
      <c r="J729" s="117" t="n">
        <v>0</v>
      </c>
      <c r="K729" s="108" t="n">
        <v>1.5</v>
      </c>
      <c r="L729" s="108" t="n">
        <v>0</v>
      </c>
      <c r="M729" s="117"/>
      <c r="N729" s="106"/>
      <c r="O729" s="106"/>
      <c r="P729" s="106"/>
      <c r="Q729" s="106"/>
      <c r="R729" s="106" t="s">
        <v>4537</v>
      </c>
    </row>
    <row r="730" customFormat="false" ht="15" hidden="false" customHeight="false" outlineLevel="0" collapsed="false">
      <c r="A730" s="106" t="s">
        <v>5379</v>
      </c>
      <c r="B730" s="106" t="s">
        <v>4280</v>
      </c>
      <c r="C730" s="106"/>
      <c r="D730" s="106"/>
      <c r="E730" s="107" t="n">
        <v>188</v>
      </c>
      <c r="F730" s="106" t="n">
        <v>3</v>
      </c>
      <c r="G730" s="118" t="n">
        <v>0.016</v>
      </c>
      <c r="H730" s="116" t="n">
        <v>0.46</v>
      </c>
      <c r="I730" s="106" t="n">
        <v>0</v>
      </c>
      <c r="J730" s="117" t="n">
        <v>0</v>
      </c>
      <c r="K730" s="108" t="n">
        <v>1.37</v>
      </c>
      <c r="L730" s="108" t="n">
        <v>0</v>
      </c>
      <c r="M730" s="117"/>
      <c r="N730" s="106"/>
      <c r="O730" s="106"/>
      <c r="P730" s="106"/>
      <c r="Q730" s="106"/>
      <c r="R730" s="106" t="s">
        <v>4537</v>
      </c>
    </row>
    <row r="731" customFormat="false" ht="15" hidden="false" customHeight="false" outlineLevel="0" collapsed="false">
      <c r="A731" s="106" t="s">
        <v>5380</v>
      </c>
      <c r="B731" s="106" t="s">
        <v>4329</v>
      </c>
      <c r="C731" s="106" t="s">
        <v>4281</v>
      </c>
      <c r="D731" s="106" t="n">
        <v>287</v>
      </c>
      <c r="E731" s="107" t="n">
        <v>7</v>
      </c>
      <c r="F731" s="106" t="n">
        <v>3</v>
      </c>
      <c r="G731" s="118" t="n">
        <v>0.4286</v>
      </c>
      <c r="H731" s="116" t="n">
        <v>2.84</v>
      </c>
      <c r="I731" s="106" t="n">
        <v>1</v>
      </c>
      <c r="J731" s="117" t="n">
        <v>0.3333</v>
      </c>
      <c r="K731" s="108" t="n">
        <v>8.52</v>
      </c>
      <c r="L731" s="108" t="n">
        <v>79.99</v>
      </c>
      <c r="M731" s="117" t="n">
        <v>0.107</v>
      </c>
      <c r="N731" s="106"/>
      <c r="O731" s="106"/>
      <c r="P731" s="106"/>
      <c r="Q731" s="106"/>
      <c r="R731" s="106" t="s">
        <v>4285</v>
      </c>
    </row>
    <row r="732" customFormat="false" ht="15" hidden="false" customHeight="false" outlineLevel="0" collapsed="false">
      <c r="A732" s="106" t="s">
        <v>5381</v>
      </c>
      <c r="B732" s="106" t="s">
        <v>4280</v>
      </c>
      <c r="C732" s="106" t="s">
        <v>4281</v>
      </c>
      <c r="D732" s="106" t="n">
        <v>383</v>
      </c>
      <c r="E732" s="107" t="n">
        <v>14</v>
      </c>
      <c r="F732" s="106" t="n">
        <v>3</v>
      </c>
      <c r="G732" s="118" t="n">
        <v>0.2143</v>
      </c>
      <c r="H732" s="116" t="n">
        <v>2.84</v>
      </c>
      <c r="I732" s="106" t="n">
        <v>1</v>
      </c>
      <c r="J732" s="117" t="n">
        <v>0.3333</v>
      </c>
      <c r="K732" s="108" t="n">
        <v>8.52</v>
      </c>
      <c r="L732" s="108" t="n">
        <v>79.99</v>
      </c>
      <c r="M732" s="117" t="n">
        <v>0.107</v>
      </c>
      <c r="N732" s="106"/>
      <c r="O732" s="106"/>
      <c r="P732" s="106"/>
      <c r="Q732" s="106"/>
      <c r="R732" s="106" t="s">
        <v>4285</v>
      </c>
    </row>
    <row r="733" customFormat="false" ht="15" hidden="false" customHeight="false" outlineLevel="0" collapsed="false">
      <c r="A733" s="106" t="s">
        <v>5382</v>
      </c>
      <c r="B733" s="106" t="s">
        <v>1403</v>
      </c>
      <c r="C733" s="106"/>
      <c r="D733" s="106" t="n">
        <v>3</v>
      </c>
      <c r="E733" s="107" t="n">
        <v>16</v>
      </c>
      <c r="F733" s="106" t="n">
        <v>3</v>
      </c>
      <c r="G733" s="118" t="n">
        <v>0.1875</v>
      </c>
      <c r="H733" s="116" t="n">
        <v>0.54</v>
      </c>
      <c r="I733" s="106" t="n">
        <v>0</v>
      </c>
      <c r="J733" s="117" t="n">
        <v>0</v>
      </c>
      <c r="K733" s="108" t="n">
        <v>1.63</v>
      </c>
      <c r="L733" s="108" t="n">
        <v>0</v>
      </c>
      <c r="M733" s="117"/>
      <c r="N733" s="106"/>
      <c r="O733" s="106"/>
      <c r="P733" s="106"/>
      <c r="Q733" s="106"/>
      <c r="R733" s="106" t="s">
        <v>4537</v>
      </c>
    </row>
    <row r="734" customFormat="false" ht="15" hidden="false" customHeight="false" outlineLevel="0" collapsed="false">
      <c r="A734" s="106" t="s">
        <v>5383</v>
      </c>
      <c r="B734" s="106" t="s">
        <v>4280</v>
      </c>
      <c r="C734" s="106" t="s">
        <v>4288</v>
      </c>
      <c r="D734" s="106" t="n">
        <v>363</v>
      </c>
      <c r="E734" s="107" t="n">
        <v>46</v>
      </c>
      <c r="F734" s="106" t="n">
        <v>3</v>
      </c>
      <c r="G734" s="118" t="n">
        <v>0.0652</v>
      </c>
      <c r="H734" s="116" t="n">
        <v>1.1</v>
      </c>
      <c r="I734" s="106" t="n">
        <v>0</v>
      </c>
      <c r="J734" s="117" t="n">
        <v>0</v>
      </c>
      <c r="K734" s="108" t="n">
        <v>3.3</v>
      </c>
      <c r="L734" s="108" t="n">
        <v>0</v>
      </c>
      <c r="M734" s="117"/>
      <c r="N734" s="106"/>
      <c r="O734" s="106"/>
      <c r="P734" s="106"/>
      <c r="Q734" s="106"/>
      <c r="R734" s="106" t="s">
        <v>4537</v>
      </c>
    </row>
    <row r="735" customFormat="false" ht="15" hidden="false" customHeight="false" outlineLevel="0" collapsed="false">
      <c r="A735" s="106" t="s">
        <v>749</v>
      </c>
      <c r="B735" s="106" t="s">
        <v>4280</v>
      </c>
      <c r="C735" s="106" t="s">
        <v>4288</v>
      </c>
      <c r="D735" s="106" t="n">
        <v>651</v>
      </c>
      <c r="E735" s="107" t="n">
        <v>28</v>
      </c>
      <c r="F735" s="106" t="n">
        <v>3</v>
      </c>
      <c r="G735" s="118" t="n">
        <v>0.1071</v>
      </c>
      <c r="H735" s="116" t="n">
        <v>3.28</v>
      </c>
      <c r="I735" s="106" t="n">
        <v>0</v>
      </c>
      <c r="J735" s="117" t="n">
        <v>0</v>
      </c>
      <c r="K735" s="108" t="n">
        <v>9.84</v>
      </c>
      <c r="L735" s="108" t="n">
        <v>0</v>
      </c>
      <c r="M735" s="117"/>
      <c r="N735" s="106" t="n">
        <v>21</v>
      </c>
      <c r="O735" s="106" t="n">
        <v>2</v>
      </c>
      <c r="P735" s="106" t="s">
        <v>4815</v>
      </c>
      <c r="Q735" s="106" t="n">
        <v>8</v>
      </c>
      <c r="R735" s="106" t="s">
        <v>4537</v>
      </c>
    </row>
    <row r="736" customFormat="false" ht="15" hidden="false" customHeight="false" outlineLevel="0" collapsed="false">
      <c r="A736" s="106" t="s">
        <v>5384</v>
      </c>
      <c r="B736" s="106" t="s">
        <v>1403</v>
      </c>
      <c r="C736" s="106"/>
      <c r="D736" s="106" t="n">
        <v>6</v>
      </c>
      <c r="E736" s="107" t="n">
        <v>12</v>
      </c>
      <c r="F736" s="106" t="n">
        <v>3</v>
      </c>
      <c r="G736" s="118" t="n">
        <v>0.25</v>
      </c>
      <c r="H736" s="116" t="n">
        <v>0.98</v>
      </c>
      <c r="I736" s="106" t="n">
        <v>1</v>
      </c>
      <c r="J736" s="117" t="n">
        <v>0.3333</v>
      </c>
      <c r="K736" s="108" t="n">
        <v>2.93</v>
      </c>
      <c r="L736" s="108" t="n">
        <v>39.98</v>
      </c>
      <c r="M736" s="117" t="n">
        <v>0.073</v>
      </c>
      <c r="N736" s="106"/>
      <c r="O736" s="106"/>
      <c r="P736" s="106"/>
      <c r="Q736" s="106"/>
      <c r="R736" s="106" t="s">
        <v>4285</v>
      </c>
    </row>
    <row r="737" customFormat="false" ht="15" hidden="false" customHeight="false" outlineLevel="0" collapsed="false">
      <c r="A737" s="106" t="s">
        <v>5385</v>
      </c>
      <c r="B737" s="106" t="s">
        <v>4329</v>
      </c>
      <c r="C737" s="106"/>
      <c r="D737" s="106" t="n">
        <v>3</v>
      </c>
      <c r="E737" s="107" t="n">
        <v>6</v>
      </c>
      <c r="F737" s="106" t="n">
        <v>3</v>
      </c>
      <c r="G737" s="118" t="n">
        <v>0.5</v>
      </c>
      <c r="H737" s="116" t="n">
        <v>3.48</v>
      </c>
      <c r="I737" s="106" t="n">
        <v>0</v>
      </c>
      <c r="J737" s="117" t="n">
        <v>0</v>
      </c>
      <c r="K737" s="108" t="n">
        <v>10.45</v>
      </c>
      <c r="L737" s="108" t="n">
        <v>0</v>
      </c>
      <c r="M737" s="117"/>
      <c r="N737" s="106"/>
      <c r="O737" s="106"/>
      <c r="P737" s="106"/>
      <c r="Q737" s="106"/>
      <c r="R737" s="106" t="s">
        <v>4537</v>
      </c>
    </row>
    <row r="738" customFormat="false" ht="15" hidden="false" customHeight="false" outlineLevel="0" collapsed="false">
      <c r="A738" s="106" t="s">
        <v>1116</v>
      </c>
      <c r="B738" s="106" t="s">
        <v>4280</v>
      </c>
      <c r="C738" s="106" t="s">
        <v>4281</v>
      </c>
      <c r="D738" s="106" t="n">
        <v>659</v>
      </c>
      <c r="E738" s="107" t="n">
        <v>16</v>
      </c>
      <c r="F738" s="106" t="n">
        <v>3</v>
      </c>
      <c r="G738" s="118" t="n">
        <v>0.1875</v>
      </c>
      <c r="H738" s="116" t="n">
        <v>2.95</v>
      </c>
      <c r="I738" s="106" t="n">
        <v>0</v>
      </c>
      <c r="J738" s="117" t="n">
        <v>0</v>
      </c>
      <c r="K738" s="108" t="n">
        <v>8.86</v>
      </c>
      <c r="L738" s="108" t="n">
        <v>0</v>
      </c>
      <c r="M738" s="117"/>
      <c r="N738" s="106" t="n">
        <v>30</v>
      </c>
      <c r="O738" s="106" t="n">
        <v>3</v>
      </c>
      <c r="P738" s="106" t="s">
        <v>4610</v>
      </c>
      <c r="Q738" s="106" t="n">
        <v>10</v>
      </c>
      <c r="R738" s="106" t="s">
        <v>4537</v>
      </c>
    </row>
    <row r="739" customFormat="false" ht="15" hidden="false" customHeight="false" outlineLevel="0" collapsed="false">
      <c r="A739" s="106" t="s">
        <v>5386</v>
      </c>
      <c r="B739" s="106" t="s">
        <v>4284</v>
      </c>
      <c r="C739" s="106"/>
      <c r="D739" s="106" t="n">
        <v>7</v>
      </c>
      <c r="E739" s="107" t="n">
        <v>3</v>
      </c>
      <c r="F739" s="106" t="n">
        <v>3</v>
      </c>
      <c r="G739" s="118" t="n">
        <v>1</v>
      </c>
      <c r="H739" s="116" t="n">
        <v>0.31</v>
      </c>
      <c r="I739" s="106" t="n">
        <v>1</v>
      </c>
      <c r="J739" s="117" t="n">
        <v>0.3333</v>
      </c>
      <c r="K739" s="108" t="n">
        <v>0.92</v>
      </c>
      <c r="L739" s="108" t="n">
        <v>84.99</v>
      </c>
      <c r="M739" s="117" t="n">
        <v>0.011</v>
      </c>
      <c r="N739" s="106"/>
      <c r="O739" s="106"/>
      <c r="P739" s="106"/>
      <c r="Q739" s="106"/>
      <c r="R739" s="106" t="s">
        <v>4285</v>
      </c>
    </row>
    <row r="740" customFormat="false" ht="15" hidden="false" customHeight="false" outlineLevel="0" collapsed="false">
      <c r="A740" s="106" t="s">
        <v>1125</v>
      </c>
      <c r="B740" s="106" t="s">
        <v>4280</v>
      </c>
      <c r="C740" s="106" t="s">
        <v>4281</v>
      </c>
      <c r="D740" s="106" t="n">
        <v>616</v>
      </c>
      <c r="E740" s="107" t="n">
        <v>1151</v>
      </c>
      <c r="F740" s="106" t="n">
        <v>3</v>
      </c>
      <c r="G740" s="118" t="n">
        <v>0.0026</v>
      </c>
      <c r="H740" s="116" t="n">
        <v>1.44</v>
      </c>
      <c r="I740" s="106" t="n">
        <v>0</v>
      </c>
      <c r="J740" s="117" t="n">
        <v>0</v>
      </c>
      <c r="K740" s="108" t="n">
        <v>4.32</v>
      </c>
      <c r="L740" s="108" t="n">
        <v>0</v>
      </c>
      <c r="M740" s="117"/>
      <c r="N740" s="106" t="n">
        <v>65</v>
      </c>
      <c r="O740" s="106" t="n">
        <v>16</v>
      </c>
      <c r="P740" s="106"/>
      <c r="Q740" s="106" t="n">
        <v>101</v>
      </c>
      <c r="R740" s="106" t="s">
        <v>4537</v>
      </c>
    </row>
    <row r="741" customFormat="false" ht="15" hidden="false" customHeight="false" outlineLevel="0" collapsed="false">
      <c r="A741" s="106" t="s">
        <v>5387</v>
      </c>
      <c r="B741" s="106" t="s">
        <v>4329</v>
      </c>
      <c r="C741" s="106"/>
      <c r="D741" s="106" t="n">
        <v>38</v>
      </c>
      <c r="E741" s="107" t="n">
        <v>5</v>
      </c>
      <c r="F741" s="106" t="n">
        <v>3</v>
      </c>
      <c r="G741" s="118" t="n">
        <v>0.6</v>
      </c>
      <c r="H741" s="116" t="n">
        <v>1.41</v>
      </c>
      <c r="I741" s="106" t="n">
        <v>0</v>
      </c>
      <c r="J741" s="117" t="n">
        <v>0</v>
      </c>
      <c r="K741" s="108" t="n">
        <v>4.23</v>
      </c>
      <c r="L741" s="108" t="n">
        <v>0</v>
      </c>
      <c r="M741" s="117"/>
      <c r="N741" s="106"/>
      <c r="O741" s="106"/>
      <c r="P741" s="106"/>
      <c r="Q741" s="106"/>
      <c r="R741" s="106" t="s">
        <v>4537</v>
      </c>
    </row>
    <row r="742" customFormat="false" ht="15" hidden="false" customHeight="false" outlineLevel="0" collapsed="false">
      <c r="A742" s="106" t="s">
        <v>5388</v>
      </c>
      <c r="B742" s="106" t="s">
        <v>1403</v>
      </c>
      <c r="C742" s="106"/>
      <c r="D742" s="106" t="n">
        <v>7</v>
      </c>
      <c r="E742" s="107" t="n">
        <v>3</v>
      </c>
      <c r="F742" s="106" t="n">
        <v>3</v>
      </c>
      <c r="G742" s="118" t="n">
        <v>1</v>
      </c>
      <c r="H742" s="116" t="n">
        <v>1.41</v>
      </c>
      <c r="I742" s="106" t="n">
        <v>1</v>
      </c>
      <c r="J742" s="117" t="n">
        <v>0.3333</v>
      </c>
      <c r="K742" s="108" t="n">
        <v>4.22</v>
      </c>
      <c r="L742" s="108" t="n">
        <v>64.99</v>
      </c>
      <c r="M742" s="117" t="n">
        <v>0.065</v>
      </c>
      <c r="N742" s="106"/>
      <c r="O742" s="106"/>
      <c r="P742" s="106"/>
      <c r="Q742" s="106"/>
      <c r="R742" s="106" t="s">
        <v>4285</v>
      </c>
    </row>
    <row r="743" customFormat="false" ht="15" hidden="false" customHeight="false" outlineLevel="0" collapsed="false">
      <c r="A743" s="106" t="s">
        <v>5389</v>
      </c>
      <c r="B743" s="106" t="s">
        <v>1403</v>
      </c>
      <c r="C743" s="106"/>
      <c r="D743" s="106" t="n">
        <v>2</v>
      </c>
      <c r="E743" s="107" t="n">
        <v>13</v>
      </c>
      <c r="F743" s="106" t="n">
        <v>3</v>
      </c>
      <c r="G743" s="118" t="n">
        <v>0.2308</v>
      </c>
      <c r="H743" s="116" t="n">
        <v>1.26</v>
      </c>
      <c r="I743" s="106" t="n">
        <v>0</v>
      </c>
      <c r="J743" s="117" t="n">
        <v>0</v>
      </c>
      <c r="K743" s="108" t="n">
        <v>3.79</v>
      </c>
      <c r="L743" s="108" t="n">
        <v>0</v>
      </c>
      <c r="M743" s="117"/>
      <c r="N743" s="106"/>
      <c r="O743" s="106"/>
      <c r="P743" s="106"/>
      <c r="Q743" s="106"/>
      <c r="R743" s="106" t="s">
        <v>4537</v>
      </c>
    </row>
    <row r="744" customFormat="false" ht="15" hidden="false" customHeight="false" outlineLevel="0" collapsed="false">
      <c r="A744" s="106" t="s">
        <v>5390</v>
      </c>
      <c r="B744" s="106" t="s">
        <v>4280</v>
      </c>
      <c r="C744" s="106"/>
      <c r="D744" s="106"/>
      <c r="E744" s="107" t="n">
        <v>14</v>
      </c>
      <c r="F744" s="106" t="n">
        <v>3</v>
      </c>
      <c r="G744" s="118" t="n">
        <v>0.2143</v>
      </c>
      <c r="H744" s="116" t="n">
        <v>0.35</v>
      </c>
      <c r="I744" s="106" t="n">
        <v>1</v>
      </c>
      <c r="J744" s="117" t="n">
        <v>0.3333</v>
      </c>
      <c r="K744" s="108" t="n">
        <v>1.05</v>
      </c>
      <c r="L744" s="108" t="n">
        <v>31.99</v>
      </c>
      <c r="M744" s="117" t="n">
        <v>0.033</v>
      </c>
      <c r="N744" s="106"/>
      <c r="O744" s="106"/>
      <c r="P744" s="106"/>
      <c r="Q744" s="106"/>
      <c r="R744" s="106" t="s">
        <v>4285</v>
      </c>
    </row>
    <row r="745" customFormat="false" ht="15" hidden="false" customHeight="false" outlineLevel="0" collapsed="false">
      <c r="A745" s="106" t="s">
        <v>5391</v>
      </c>
      <c r="B745" s="106" t="s">
        <v>1403</v>
      </c>
      <c r="C745" s="106"/>
      <c r="D745" s="106"/>
      <c r="E745" s="107" t="n">
        <v>15</v>
      </c>
      <c r="F745" s="106" t="n">
        <v>3</v>
      </c>
      <c r="G745" s="118" t="n">
        <v>0.2</v>
      </c>
      <c r="H745" s="116" t="n">
        <v>1.52</v>
      </c>
      <c r="I745" s="106" t="n">
        <v>0</v>
      </c>
      <c r="J745" s="117" t="n">
        <v>0</v>
      </c>
      <c r="K745" s="108" t="n">
        <v>4.57</v>
      </c>
      <c r="L745" s="108" t="n">
        <v>0</v>
      </c>
      <c r="M745" s="117"/>
      <c r="N745" s="106"/>
      <c r="O745" s="106"/>
      <c r="P745" s="106"/>
      <c r="Q745" s="106"/>
      <c r="R745" s="106" t="s">
        <v>4537</v>
      </c>
    </row>
    <row r="746" customFormat="false" ht="15" hidden="false" customHeight="false" outlineLevel="0" collapsed="false">
      <c r="A746" s="106" t="s">
        <v>5392</v>
      </c>
      <c r="B746" s="106" t="s">
        <v>4284</v>
      </c>
      <c r="C746" s="106"/>
      <c r="D746" s="106" t="n">
        <v>4</v>
      </c>
      <c r="E746" s="107" t="n">
        <v>3</v>
      </c>
      <c r="F746" s="106" t="n">
        <v>3</v>
      </c>
      <c r="G746" s="118" t="n">
        <v>1</v>
      </c>
      <c r="H746" s="116" t="n">
        <v>0.36</v>
      </c>
      <c r="I746" s="106" t="n">
        <v>1</v>
      </c>
      <c r="J746" s="117" t="n">
        <v>0.3333</v>
      </c>
      <c r="K746" s="108" t="n">
        <v>1.07</v>
      </c>
      <c r="L746" s="108" t="n">
        <v>58.49</v>
      </c>
      <c r="M746" s="117" t="n">
        <v>0.018</v>
      </c>
      <c r="N746" s="106"/>
      <c r="O746" s="106"/>
      <c r="P746" s="106"/>
      <c r="Q746" s="106"/>
      <c r="R746" s="106" t="s">
        <v>4285</v>
      </c>
    </row>
    <row r="747" customFormat="false" ht="15" hidden="false" customHeight="false" outlineLevel="0" collapsed="false">
      <c r="A747" s="106" t="s">
        <v>5393</v>
      </c>
      <c r="B747" s="106" t="s">
        <v>1403</v>
      </c>
      <c r="C747" s="106"/>
      <c r="D747" s="106" t="n">
        <v>649</v>
      </c>
      <c r="E747" s="107" t="n">
        <v>119</v>
      </c>
      <c r="F747" s="106" t="n">
        <v>3</v>
      </c>
      <c r="G747" s="118" t="n">
        <v>0.0252</v>
      </c>
      <c r="H747" s="116" t="n">
        <v>1.33</v>
      </c>
      <c r="I747" s="106" t="n">
        <v>0</v>
      </c>
      <c r="J747" s="117" t="n">
        <v>0</v>
      </c>
      <c r="K747" s="108" t="n">
        <v>3.98</v>
      </c>
      <c r="L747" s="108" t="n">
        <v>0</v>
      </c>
      <c r="M747" s="117"/>
      <c r="N747" s="106"/>
      <c r="O747" s="106"/>
      <c r="P747" s="106"/>
      <c r="Q747" s="106"/>
      <c r="R747" s="106" t="s">
        <v>4537</v>
      </c>
    </row>
    <row r="748" customFormat="false" ht="15" hidden="false" customHeight="false" outlineLevel="0" collapsed="false">
      <c r="A748" s="106" t="s">
        <v>1424</v>
      </c>
      <c r="B748" s="106" t="s">
        <v>4280</v>
      </c>
      <c r="C748" s="106" t="s">
        <v>4288</v>
      </c>
      <c r="D748" s="106" t="n">
        <v>677</v>
      </c>
      <c r="E748" s="107" t="n">
        <v>309</v>
      </c>
      <c r="F748" s="106" t="n">
        <v>3</v>
      </c>
      <c r="G748" s="118" t="n">
        <v>0.0097</v>
      </c>
      <c r="H748" s="116" t="n">
        <v>1.23</v>
      </c>
      <c r="I748" s="106" t="n">
        <v>0</v>
      </c>
      <c r="J748" s="117" t="n">
        <v>0</v>
      </c>
      <c r="K748" s="108" t="n">
        <v>3.69</v>
      </c>
      <c r="L748" s="108" t="n">
        <v>0</v>
      </c>
      <c r="M748" s="117"/>
      <c r="N748" s="106" t="n">
        <v>34</v>
      </c>
      <c r="O748" s="106" t="n">
        <v>6</v>
      </c>
      <c r="P748" s="106" t="s">
        <v>4898</v>
      </c>
      <c r="Q748" s="106" t="n">
        <v>18</v>
      </c>
      <c r="R748" s="106" t="s">
        <v>4537</v>
      </c>
    </row>
    <row r="749" customFormat="false" ht="15" hidden="false" customHeight="false" outlineLevel="0" collapsed="false">
      <c r="A749" s="106" t="s">
        <v>5394</v>
      </c>
      <c r="B749" s="106" t="s">
        <v>4284</v>
      </c>
      <c r="C749" s="106"/>
      <c r="D749" s="106" t="n">
        <v>4032</v>
      </c>
      <c r="E749" s="107" t="n">
        <v>19</v>
      </c>
      <c r="F749" s="106" t="n">
        <v>3</v>
      </c>
      <c r="G749" s="118" t="n">
        <v>0.1579</v>
      </c>
      <c r="H749" s="116" t="n">
        <v>0.8</v>
      </c>
      <c r="I749" s="106" t="n">
        <v>0</v>
      </c>
      <c r="J749" s="117" t="n">
        <v>0</v>
      </c>
      <c r="K749" s="108" t="n">
        <v>2.4</v>
      </c>
      <c r="L749" s="108" t="n">
        <v>0</v>
      </c>
      <c r="M749" s="117"/>
      <c r="N749" s="106"/>
      <c r="O749" s="106"/>
      <c r="P749" s="106"/>
      <c r="Q749" s="106"/>
      <c r="R749" s="106" t="s">
        <v>4537</v>
      </c>
    </row>
    <row r="750" customFormat="false" ht="15" hidden="false" customHeight="false" outlineLevel="0" collapsed="false">
      <c r="A750" s="106" t="s">
        <v>5395</v>
      </c>
      <c r="B750" s="106" t="s">
        <v>1403</v>
      </c>
      <c r="C750" s="106"/>
      <c r="D750" s="106" t="n">
        <v>6</v>
      </c>
      <c r="E750" s="107" t="n">
        <v>9</v>
      </c>
      <c r="F750" s="106" t="n">
        <v>3</v>
      </c>
      <c r="G750" s="118" t="n">
        <v>0.3333</v>
      </c>
      <c r="H750" s="116" t="n">
        <v>0.8</v>
      </c>
      <c r="I750" s="106" t="n">
        <v>2</v>
      </c>
      <c r="J750" s="117" t="n">
        <v>0.6667</v>
      </c>
      <c r="K750" s="108" t="n">
        <v>2.41</v>
      </c>
      <c r="L750" s="108" t="n">
        <v>124.98</v>
      </c>
      <c r="M750" s="117" t="n">
        <v>0.019</v>
      </c>
      <c r="N750" s="106"/>
      <c r="O750" s="106"/>
      <c r="P750" s="106"/>
      <c r="Q750" s="106"/>
      <c r="R750" s="106" t="s">
        <v>4285</v>
      </c>
    </row>
    <row r="751" customFormat="false" ht="15" hidden="false" customHeight="false" outlineLevel="0" collapsed="false">
      <c r="A751" s="106" t="s">
        <v>5396</v>
      </c>
      <c r="B751" s="106" t="s">
        <v>1403</v>
      </c>
      <c r="C751" s="106"/>
      <c r="D751" s="106" t="n">
        <v>2269</v>
      </c>
      <c r="E751" s="107" t="n">
        <v>13</v>
      </c>
      <c r="F751" s="106" t="n">
        <v>3</v>
      </c>
      <c r="G751" s="118" t="n">
        <v>0.2308</v>
      </c>
      <c r="H751" s="116" t="n">
        <v>0.85</v>
      </c>
      <c r="I751" s="106" t="n">
        <v>0</v>
      </c>
      <c r="J751" s="117" t="n">
        <v>0</v>
      </c>
      <c r="K751" s="108" t="n">
        <v>2.55</v>
      </c>
      <c r="L751" s="108" t="n">
        <v>0</v>
      </c>
      <c r="M751" s="117"/>
      <c r="N751" s="106"/>
      <c r="O751" s="106"/>
      <c r="P751" s="106"/>
      <c r="Q751" s="106"/>
      <c r="R751" s="106" t="s">
        <v>4537</v>
      </c>
    </row>
    <row r="752" customFormat="false" ht="15" hidden="false" customHeight="false" outlineLevel="0" collapsed="false">
      <c r="A752" s="106" t="s">
        <v>5397</v>
      </c>
      <c r="B752" s="106" t="s">
        <v>4309</v>
      </c>
      <c r="C752" s="106"/>
      <c r="D752" s="106" t="n">
        <v>162632</v>
      </c>
      <c r="E752" s="107" t="n">
        <v>13</v>
      </c>
      <c r="F752" s="106" t="n">
        <v>3</v>
      </c>
      <c r="G752" s="118" t="n">
        <v>0.2308</v>
      </c>
      <c r="H752" s="116" t="n">
        <v>0.87</v>
      </c>
      <c r="I752" s="106" t="n">
        <v>0</v>
      </c>
      <c r="J752" s="117" t="n">
        <v>0</v>
      </c>
      <c r="K752" s="108" t="n">
        <v>2.6</v>
      </c>
      <c r="L752" s="108" t="n">
        <v>0</v>
      </c>
      <c r="M752" s="117"/>
      <c r="N752" s="106"/>
      <c r="O752" s="106"/>
      <c r="P752" s="106"/>
      <c r="Q752" s="106"/>
      <c r="R752" s="106" t="s">
        <v>4537</v>
      </c>
    </row>
    <row r="753" customFormat="false" ht="15" hidden="false" customHeight="false" outlineLevel="0" collapsed="false">
      <c r="A753" s="106" t="s">
        <v>5398</v>
      </c>
      <c r="B753" s="106" t="s">
        <v>1403</v>
      </c>
      <c r="C753" s="106"/>
      <c r="D753" s="106"/>
      <c r="E753" s="107" t="n">
        <v>7</v>
      </c>
      <c r="F753" s="106" t="n">
        <v>3</v>
      </c>
      <c r="G753" s="118" t="n">
        <v>0.4286</v>
      </c>
      <c r="H753" s="116" t="n">
        <v>0.79</v>
      </c>
      <c r="I753" s="106" t="n">
        <v>0</v>
      </c>
      <c r="J753" s="117" t="n">
        <v>0</v>
      </c>
      <c r="K753" s="108" t="n">
        <v>2.37</v>
      </c>
      <c r="L753" s="108" t="n">
        <v>0</v>
      </c>
      <c r="M753" s="117"/>
      <c r="N753" s="106"/>
      <c r="O753" s="106"/>
      <c r="P753" s="106"/>
      <c r="Q753" s="106"/>
      <c r="R753" s="106" t="s">
        <v>4537</v>
      </c>
    </row>
    <row r="754" customFormat="false" ht="15" hidden="false" customHeight="false" outlineLevel="0" collapsed="false">
      <c r="A754" s="106" t="s">
        <v>5399</v>
      </c>
      <c r="B754" s="106" t="s">
        <v>4280</v>
      </c>
      <c r="C754" s="106"/>
      <c r="D754" s="106" t="n">
        <v>34</v>
      </c>
      <c r="E754" s="107" t="n">
        <v>3</v>
      </c>
      <c r="F754" s="106" t="n">
        <v>3</v>
      </c>
      <c r="G754" s="118" t="n">
        <v>1</v>
      </c>
      <c r="H754" s="116" t="n">
        <v>0.9</v>
      </c>
      <c r="I754" s="106" t="n">
        <v>0</v>
      </c>
      <c r="J754" s="117" t="n">
        <v>0</v>
      </c>
      <c r="K754" s="108" t="n">
        <v>2.7</v>
      </c>
      <c r="L754" s="108" t="n">
        <v>0</v>
      </c>
      <c r="M754" s="117"/>
      <c r="N754" s="106"/>
      <c r="O754" s="106"/>
      <c r="P754" s="106"/>
      <c r="Q754" s="106"/>
      <c r="R754" s="106" t="s">
        <v>4537</v>
      </c>
    </row>
    <row r="755" customFormat="false" ht="15" hidden="false" customHeight="false" outlineLevel="0" collapsed="false">
      <c r="A755" s="106" t="s">
        <v>5400</v>
      </c>
      <c r="B755" s="106" t="s">
        <v>1403</v>
      </c>
      <c r="C755" s="106"/>
      <c r="D755" s="106"/>
      <c r="E755" s="107" t="n">
        <v>10</v>
      </c>
      <c r="F755" s="106" t="n">
        <v>3</v>
      </c>
      <c r="G755" s="118" t="n">
        <v>0.3</v>
      </c>
      <c r="H755" s="116" t="n">
        <v>1.73</v>
      </c>
      <c r="I755" s="106" t="n">
        <v>1</v>
      </c>
      <c r="J755" s="117" t="n">
        <v>0.3333</v>
      </c>
      <c r="K755" s="108" t="n">
        <v>5.18</v>
      </c>
      <c r="L755" s="108" t="n">
        <v>21.99</v>
      </c>
      <c r="M755" s="117" t="n">
        <v>0.236</v>
      </c>
      <c r="N755" s="106"/>
      <c r="O755" s="106"/>
      <c r="P755" s="106"/>
      <c r="Q755" s="106"/>
      <c r="R755" s="106" t="s">
        <v>4285</v>
      </c>
    </row>
    <row r="756" customFormat="false" ht="15" hidden="false" customHeight="false" outlineLevel="0" collapsed="false">
      <c r="A756" s="106" t="s">
        <v>5401</v>
      </c>
      <c r="B756" s="106" t="s">
        <v>4329</v>
      </c>
      <c r="C756" s="106" t="s">
        <v>4288</v>
      </c>
      <c r="D756" s="106" t="n">
        <v>277</v>
      </c>
      <c r="E756" s="107" t="n">
        <v>6</v>
      </c>
      <c r="F756" s="106" t="n">
        <v>3</v>
      </c>
      <c r="G756" s="118" t="n">
        <v>0.5</v>
      </c>
      <c r="H756" s="116" t="n">
        <v>2.84</v>
      </c>
      <c r="I756" s="106" t="n">
        <v>0</v>
      </c>
      <c r="J756" s="117" t="n">
        <v>0</v>
      </c>
      <c r="K756" s="108" t="n">
        <v>8.52</v>
      </c>
      <c r="L756" s="108" t="n">
        <v>0</v>
      </c>
      <c r="M756" s="117"/>
      <c r="N756" s="106"/>
      <c r="O756" s="106"/>
      <c r="P756" s="106"/>
      <c r="Q756" s="106"/>
      <c r="R756" s="106" t="s">
        <v>4537</v>
      </c>
    </row>
    <row r="757" customFormat="false" ht="15" hidden="false" customHeight="false" outlineLevel="0" collapsed="false">
      <c r="A757" s="106" t="s">
        <v>5402</v>
      </c>
      <c r="B757" s="106" t="s">
        <v>4284</v>
      </c>
      <c r="C757" s="106"/>
      <c r="D757" s="106"/>
      <c r="E757" s="107" t="n">
        <v>19</v>
      </c>
      <c r="F757" s="106" t="n">
        <v>3</v>
      </c>
      <c r="G757" s="118" t="n">
        <v>0.1579</v>
      </c>
      <c r="H757" s="116" t="n">
        <v>0.24</v>
      </c>
      <c r="I757" s="106" t="n">
        <v>0</v>
      </c>
      <c r="J757" s="117" t="n">
        <v>0</v>
      </c>
      <c r="K757" s="108" t="n">
        <v>0.73</v>
      </c>
      <c r="L757" s="108" t="n">
        <v>0</v>
      </c>
      <c r="M757" s="117"/>
      <c r="N757" s="106"/>
      <c r="O757" s="106"/>
      <c r="P757" s="106"/>
      <c r="Q757" s="106"/>
      <c r="R757" s="106" t="s">
        <v>4537</v>
      </c>
    </row>
    <row r="758" customFormat="false" ht="15" hidden="false" customHeight="false" outlineLevel="0" collapsed="false">
      <c r="A758" s="106" t="s">
        <v>5403</v>
      </c>
      <c r="B758" s="106" t="s">
        <v>4284</v>
      </c>
      <c r="C758" s="106"/>
      <c r="D758" s="106" t="n">
        <v>22</v>
      </c>
      <c r="E758" s="107" t="n">
        <v>28</v>
      </c>
      <c r="F758" s="106" t="n">
        <v>3</v>
      </c>
      <c r="G758" s="118" t="n">
        <v>0.1071</v>
      </c>
      <c r="H758" s="116" t="n">
        <v>2.88</v>
      </c>
      <c r="I758" s="106" t="n">
        <v>0</v>
      </c>
      <c r="J758" s="117" t="n">
        <v>0</v>
      </c>
      <c r="K758" s="108" t="n">
        <v>8.64</v>
      </c>
      <c r="L758" s="108" t="n">
        <v>0</v>
      </c>
      <c r="M758" s="117"/>
      <c r="N758" s="106"/>
      <c r="O758" s="106"/>
      <c r="P758" s="106"/>
      <c r="Q758" s="106"/>
      <c r="R758" s="106" t="s">
        <v>4537</v>
      </c>
    </row>
    <row r="759" customFormat="false" ht="15" hidden="false" customHeight="false" outlineLevel="0" collapsed="false">
      <c r="A759" s="106" t="s">
        <v>5404</v>
      </c>
      <c r="B759" s="106" t="s">
        <v>4329</v>
      </c>
      <c r="C759" s="106" t="s">
        <v>4301</v>
      </c>
      <c r="D759" s="106" t="n">
        <v>463</v>
      </c>
      <c r="E759" s="107" t="n">
        <v>12</v>
      </c>
      <c r="F759" s="106" t="n">
        <v>3</v>
      </c>
      <c r="G759" s="118" t="n">
        <v>0.25</v>
      </c>
      <c r="H759" s="116" t="n">
        <v>2.9</v>
      </c>
      <c r="I759" s="106" t="n">
        <v>1</v>
      </c>
      <c r="J759" s="117" t="n">
        <v>0.3333</v>
      </c>
      <c r="K759" s="108" t="n">
        <v>8.69</v>
      </c>
      <c r="L759" s="108" t="n">
        <v>84.99</v>
      </c>
      <c r="M759" s="117" t="n">
        <v>0.102</v>
      </c>
      <c r="N759" s="106"/>
      <c r="O759" s="106"/>
      <c r="P759" s="106"/>
      <c r="Q759" s="106"/>
      <c r="R759" s="106" t="s">
        <v>4285</v>
      </c>
    </row>
    <row r="760" customFormat="false" ht="15" hidden="false" customHeight="false" outlineLevel="0" collapsed="false">
      <c r="A760" s="106" t="s">
        <v>5405</v>
      </c>
      <c r="B760" s="106" t="s">
        <v>4329</v>
      </c>
      <c r="C760" s="106"/>
      <c r="D760" s="106" t="n">
        <v>42</v>
      </c>
      <c r="E760" s="107" t="n">
        <v>16</v>
      </c>
      <c r="F760" s="106" t="n">
        <v>3</v>
      </c>
      <c r="G760" s="118" t="n">
        <v>0.1875</v>
      </c>
      <c r="H760" s="116" t="n">
        <v>2.53</v>
      </c>
      <c r="I760" s="106" t="n">
        <v>0</v>
      </c>
      <c r="J760" s="117" t="n">
        <v>0</v>
      </c>
      <c r="K760" s="108" t="n">
        <v>7.6</v>
      </c>
      <c r="L760" s="108" t="n">
        <v>0</v>
      </c>
      <c r="M760" s="117"/>
      <c r="N760" s="106"/>
      <c r="O760" s="106"/>
      <c r="P760" s="106"/>
      <c r="Q760" s="106"/>
      <c r="R760" s="106" t="s">
        <v>4537</v>
      </c>
    </row>
    <row r="761" customFormat="false" ht="15" hidden="false" customHeight="false" outlineLevel="0" collapsed="false">
      <c r="A761" s="106" t="s">
        <v>1079</v>
      </c>
      <c r="B761" s="106" t="s">
        <v>4280</v>
      </c>
      <c r="C761" s="106" t="s">
        <v>4281</v>
      </c>
      <c r="D761" s="106" t="n">
        <v>695</v>
      </c>
      <c r="E761" s="107" t="n">
        <v>90</v>
      </c>
      <c r="F761" s="106" t="n">
        <v>3</v>
      </c>
      <c r="G761" s="118" t="n">
        <v>0.0333</v>
      </c>
      <c r="H761" s="116" t="n">
        <v>2.28</v>
      </c>
      <c r="I761" s="106" t="n">
        <v>0</v>
      </c>
      <c r="J761" s="117" t="n">
        <v>0</v>
      </c>
      <c r="K761" s="108" t="n">
        <v>6.84</v>
      </c>
      <c r="L761" s="108" t="n">
        <v>0</v>
      </c>
      <c r="M761" s="117"/>
      <c r="N761" s="106" t="n">
        <v>36</v>
      </c>
      <c r="O761" s="106" t="n">
        <v>6</v>
      </c>
      <c r="P761" s="106" t="s">
        <v>4633</v>
      </c>
      <c r="Q761" s="106" t="n">
        <v>46</v>
      </c>
      <c r="R761" s="106" t="s">
        <v>4537</v>
      </c>
    </row>
    <row r="762" customFormat="false" ht="15" hidden="false" customHeight="false" outlineLevel="0" collapsed="false">
      <c r="A762" s="106" t="s">
        <v>4404</v>
      </c>
      <c r="B762" s="106" t="s">
        <v>4309</v>
      </c>
      <c r="C762" s="106"/>
      <c r="D762" s="106" t="n">
        <v>18934</v>
      </c>
      <c r="E762" s="107" t="n">
        <v>49</v>
      </c>
      <c r="F762" s="106" t="n">
        <v>3</v>
      </c>
      <c r="G762" s="118" t="n">
        <v>0.0612</v>
      </c>
      <c r="H762" s="116" t="n">
        <v>0.76</v>
      </c>
      <c r="I762" s="106" t="n">
        <v>0</v>
      </c>
      <c r="J762" s="117" t="n">
        <v>0</v>
      </c>
      <c r="K762" s="108" t="n">
        <v>2.28</v>
      </c>
      <c r="L762" s="108" t="n">
        <v>0</v>
      </c>
      <c r="M762" s="117"/>
      <c r="N762" s="106"/>
      <c r="O762" s="106"/>
      <c r="P762" s="106"/>
      <c r="Q762" s="106"/>
      <c r="R762" s="106" t="s">
        <v>4537</v>
      </c>
    </row>
    <row r="763" customFormat="false" ht="15" hidden="false" customHeight="false" outlineLevel="0" collapsed="false">
      <c r="A763" s="106" t="s">
        <v>5406</v>
      </c>
      <c r="B763" s="106" t="s">
        <v>4284</v>
      </c>
      <c r="C763" s="106"/>
      <c r="D763" s="106" t="n">
        <v>21</v>
      </c>
      <c r="E763" s="107" t="n">
        <v>17</v>
      </c>
      <c r="F763" s="106" t="n">
        <v>3</v>
      </c>
      <c r="G763" s="118" t="n">
        <v>0.1765</v>
      </c>
      <c r="H763" s="116" t="n">
        <v>1</v>
      </c>
      <c r="I763" s="106" t="n">
        <v>0</v>
      </c>
      <c r="J763" s="117" t="n">
        <v>0</v>
      </c>
      <c r="K763" s="108" t="n">
        <v>3</v>
      </c>
      <c r="L763" s="108" t="n">
        <v>0</v>
      </c>
      <c r="M763" s="117"/>
      <c r="N763" s="106"/>
      <c r="O763" s="106"/>
      <c r="P763" s="106"/>
      <c r="Q763" s="106"/>
      <c r="R763" s="106" t="s">
        <v>4537</v>
      </c>
    </row>
    <row r="764" customFormat="false" ht="15" hidden="false" customHeight="false" outlineLevel="0" collapsed="false">
      <c r="A764" s="106" t="s">
        <v>4398</v>
      </c>
      <c r="B764" s="106" t="s">
        <v>4309</v>
      </c>
      <c r="C764" s="106"/>
      <c r="D764" s="106" t="n">
        <v>10719</v>
      </c>
      <c r="E764" s="107" t="n">
        <v>21</v>
      </c>
      <c r="F764" s="106" t="n">
        <v>3</v>
      </c>
      <c r="G764" s="118" t="n">
        <v>0.1429</v>
      </c>
      <c r="H764" s="116" t="n">
        <v>0.8</v>
      </c>
      <c r="I764" s="106" t="n">
        <v>0</v>
      </c>
      <c r="J764" s="117" t="n">
        <v>0</v>
      </c>
      <c r="K764" s="108" t="n">
        <v>2.4</v>
      </c>
      <c r="L764" s="108" t="n">
        <v>0</v>
      </c>
      <c r="M764" s="117"/>
      <c r="N764" s="106"/>
      <c r="O764" s="106"/>
      <c r="P764" s="106"/>
      <c r="Q764" s="106"/>
      <c r="R764" s="106" t="s">
        <v>4537</v>
      </c>
    </row>
    <row r="765" customFormat="false" ht="15" hidden="false" customHeight="false" outlineLevel="0" collapsed="false">
      <c r="A765" s="106" t="s">
        <v>5407</v>
      </c>
      <c r="B765" s="106" t="s">
        <v>4329</v>
      </c>
      <c r="C765" s="106"/>
      <c r="D765" s="106" t="n">
        <v>24</v>
      </c>
      <c r="E765" s="107" t="n">
        <v>6</v>
      </c>
      <c r="F765" s="106" t="n">
        <v>3</v>
      </c>
      <c r="G765" s="118" t="n">
        <v>0.5</v>
      </c>
      <c r="H765" s="116" t="n">
        <v>2.15</v>
      </c>
      <c r="I765" s="106" t="n">
        <v>0</v>
      </c>
      <c r="J765" s="117" t="n">
        <v>0</v>
      </c>
      <c r="K765" s="108" t="n">
        <v>6.46</v>
      </c>
      <c r="L765" s="108" t="n">
        <v>0</v>
      </c>
      <c r="M765" s="117"/>
      <c r="N765" s="106"/>
      <c r="O765" s="106"/>
      <c r="P765" s="106"/>
      <c r="Q765" s="106"/>
      <c r="R765" s="106" t="s">
        <v>4537</v>
      </c>
    </row>
    <row r="766" customFormat="false" ht="15" hidden="false" customHeight="false" outlineLevel="0" collapsed="false">
      <c r="A766" s="106" t="s">
        <v>3884</v>
      </c>
      <c r="B766" s="106" t="s">
        <v>4280</v>
      </c>
      <c r="C766" s="106" t="s">
        <v>4281</v>
      </c>
      <c r="D766" s="106" t="n">
        <v>479</v>
      </c>
      <c r="E766" s="107" t="n">
        <v>120</v>
      </c>
      <c r="F766" s="106" t="n">
        <v>3</v>
      </c>
      <c r="G766" s="118" t="n">
        <v>0.025</v>
      </c>
      <c r="H766" s="116" t="n">
        <v>2.48</v>
      </c>
      <c r="I766" s="106" t="n">
        <v>1</v>
      </c>
      <c r="J766" s="117" t="n">
        <v>0.3333</v>
      </c>
      <c r="K766" s="108" t="n">
        <v>7.43</v>
      </c>
      <c r="L766" s="108" t="n">
        <v>74.99</v>
      </c>
      <c r="M766" s="117" t="n">
        <v>0.099</v>
      </c>
      <c r="N766" s="106"/>
      <c r="O766" s="106"/>
      <c r="P766" s="106"/>
      <c r="Q766" s="106"/>
      <c r="R766" s="106" t="s">
        <v>4285</v>
      </c>
    </row>
    <row r="767" customFormat="false" ht="15" hidden="false" customHeight="false" outlineLevel="0" collapsed="false">
      <c r="A767" s="106" t="s">
        <v>5408</v>
      </c>
      <c r="B767" s="106" t="s">
        <v>4284</v>
      </c>
      <c r="C767" s="106"/>
      <c r="D767" s="106" t="n">
        <v>452</v>
      </c>
      <c r="E767" s="107" t="n">
        <v>53</v>
      </c>
      <c r="F767" s="106" t="n">
        <v>3</v>
      </c>
      <c r="G767" s="118" t="n">
        <v>0.0566</v>
      </c>
      <c r="H767" s="116" t="n">
        <v>2.51</v>
      </c>
      <c r="I767" s="106" t="n">
        <v>0</v>
      </c>
      <c r="J767" s="117" t="n">
        <v>0</v>
      </c>
      <c r="K767" s="108" t="n">
        <v>7.54</v>
      </c>
      <c r="L767" s="108" t="n">
        <v>0</v>
      </c>
      <c r="M767" s="117"/>
      <c r="N767" s="106"/>
      <c r="O767" s="106"/>
      <c r="P767" s="106"/>
      <c r="Q767" s="106"/>
      <c r="R767" s="106" t="s">
        <v>4537</v>
      </c>
    </row>
    <row r="768" customFormat="false" ht="15" hidden="false" customHeight="false" outlineLevel="0" collapsed="false">
      <c r="A768" s="106" t="s">
        <v>5409</v>
      </c>
      <c r="B768" s="106" t="s">
        <v>1403</v>
      </c>
      <c r="C768" s="106"/>
      <c r="D768" s="106"/>
      <c r="E768" s="107" t="n">
        <v>19</v>
      </c>
      <c r="F768" s="106" t="n">
        <v>3</v>
      </c>
      <c r="G768" s="118" t="n">
        <v>0.1579</v>
      </c>
      <c r="H768" s="116" t="n">
        <v>2.51</v>
      </c>
      <c r="I768" s="106" t="n">
        <v>0</v>
      </c>
      <c r="J768" s="117" t="n">
        <v>0</v>
      </c>
      <c r="K768" s="108" t="n">
        <v>7.52</v>
      </c>
      <c r="L768" s="108" t="n">
        <v>0</v>
      </c>
      <c r="M768" s="117"/>
      <c r="N768" s="106"/>
      <c r="O768" s="106"/>
      <c r="P768" s="106"/>
      <c r="Q768" s="106"/>
      <c r="R768" s="106" t="s">
        <v>4537</v>
      </c>
    </row>
    <row r="769" customFormat="false" ht="15" hidden="false" customHeight="false" outlineLevel="0" collapsed="false">
      <c r="A769" s="106" t="s">
        <v>5410</v>
      </c>
      <c r="B769" s="106" t="s">
        <v>1403</v>
      </c>
      <c r="C769" s="106"/>
      <c r="D769" s="106" t="n">
        <v>3</v>
      </c>
      <c r="E769" s="107" t="n">
        <v>16</v>
      </c>
      <c r="F769" s="106" t="n">
        <v>3</v>
      </c>
      <c r="G769" s="118" t="n">
        <v>0.1875</v>
      </c>
      <c r="H769" s="116" t="n">
        <v>2.33</v>
      </c>
      <c r="I769" s="106" t="n">
        <v>0</v>
      </c>
      <c r="J769" s="117" t="n">
        <v>0</v>
      </c>
      <c r="K769" s="108" t="n">
        <v>6.99</v>
      </c>
      <c r="L769" s="108" t="n">
        <v>0</v>
      </c>
      <c r="M769" s="117"/>
      <c r="N769" s="106"/>
      <c r="O769" s="106"/>
      <c r="P769" s="106"/>
      <c r="Q769" s="106"/>
      <c r="R769" s="106" t="s">
        <v>4537</v>
      </c>
    </row>
    <row r="770" customFormat="false" ht="15" hidden="false" customHeight="false" outlineLevel="0" collapsed="false">
      <c r="A770" s="106" t="s">
        <v>5411</v>
      </c>
      <c r="B770" s="106" t="s">
        <v>4329</v>
      </c>
      <c r="C770" s="106"/>
      <c r="D770" s="106"/>
      <c r="E770" s="107" t="n">
        <v>8</v>
      </c>
      <c r="F770" s="106" t="n">
        <v>3</v>
      </c>
      <c r="G770" s="118" t="n">
        <v>0.375</v>
      </c>
      <c r="H770" s="116" t="n">
        <v>2.13</v>
      </c>
      <c r="I770" s="106" t="n">
        <v>1</v>
      </c>
      <c r="J770" s="117" t="n">
        <v>0.3333</v>
      </c>
      <c r="K770" s="108" t="n">
        <v>6.39</v>
      </c>
      <c r="L770" s="108" t="n">
        <v>58.49</v>
      </c>
      <c r="M770" s="117" t="n">
        <v>0.109</v>
      </c>
      <c r="N770" s="106"/>
      <c r="O770" s="106"/>
      <c r="P770" s="106"/>
      <c r="Q770" s="106"/>
      <c r="R770" s="106" t="s">
        <v>4285</v>
      </c>
    </row>
    <row r="771" customFormat="false" ht="15" hidden="false" customHeight="false" outlineLevel="0" collapsed="false">
      <c r="A771" s="106" t="s">
        <v>5412</v>
      </c>
      <c r="B771" s="106" t="s">
        <v>4284</v>
      </c>
      <c r="C771" s="106"/>
      <c r="D771" s="106" t="n">
        <v>198</v>
      </c>
      <c r="E771" s="107" t="n">
        <v>18</v>
      </c>
      <c r="F771" s="106" t="n">
        <v>3</v>
      </c>
      <c r="G771" s="118" t="n">
        <v>0.1667</v>
      </c>
      <c r="H771" s="116" t="n">
        <v>3.24</v>
      </c>
      <c r="I771" s="106" t="n">
        <v>1</v>
      </c>
      <c r="J771" s="117" t="n">
        <v>0.3333</v>
      </c>
      <c r="K771" s="108" t="n">
        <v>9.72</v>
      </c>
      <c r="L771" s="108" t="n">
        <v>84.99</v>
      </c>
      <c r="M771" s="117" t="n">
        <v>0.114</v>
      </c>
      <c r="N771" s="106"/>
      <c r="O771" s="106"/>
      <c r="P771" s="106"/>
      <c r="Q771" s="106"/>
      <c r="R771" s="106" t="s">
        <v>4285</v>
      </c>
    </row>
    <row r="772" customFormat="false" ht="15" hidden="false" customHeight="false" outlineLevel="0" collapsed="false">
      <c r="A772" s="106" t="s">
        <v>5413</v>
      </c>
      <c r="B772" s="106" t="s">
        <v>4284</v>
      </c>
      <c r="C772" s="106"/>
      <c r="D772" s="106"/>
      <c r="E772" s="107" t="n">
        <v>42</v>
      </c>
      <c r="F772" s="106" t="n">
        <v>3</v>
      </c>
      <c r="G772" s="118" t="n">
        <v>0.0714</v>
      </c>
      <c r="H772" s="116" t="n">
        <v>2.13</v>
      </c>
      <c r="I772" s="106" t="n">
        <v>0</v>
      </c>
      <c r="J772" s="117" t="n">
        <v>0</v>
      </c>
      <c r="K772" s="108" t="n">
        <v>6.39</v>
      </c>
      <c r="L772" s="108" t="n">
        <v>0</v>
      </c>
      <c r="M772" s="117"/>
      <c r="N772" s="106"/>
      <c r="O772" s="106"/>
      <c r="P772" s="106"/>
      <c r="Q772" s="106"/>
      <c r="R772" s="106" t="s">
        <v>4537</v>
      </c>
    </row>
    <row r="773" customFormat="false" ht="15" hidden="false" customHeight="false" outlineLevel="0" collapsed="false">
      <c r="A773" s="106" t="s">
        <v>1471</v>
      </c>
      <c r="B773" s="106" t="s">
        <v>4280</v>
      </c>
      <c r="C773" s="106" t="s">
        <v>4301</v>
      </c>
      <c r="D773" s="106" t="n">
        <v>466</v>
      </c>
      <c r="E773" s="107" t="n">
        <v>9</v>
      </c>
      <c r="F773" s="106" t="n">
        <v>3</v>
      </c>
      <c r="G773" s="118" t="n">
        <v>0.3333</v>
      </c>
      <c r="H773" s="116" t="n">
        <v>3.17</v>
      </c>
      <c r="I773" s="106" t="n">
        <v>2</v>
      </c>
      <c r="J773" s="117" t="n">
        <v>0.6667</v>
      </c>
      <c r="K773" s="108" t="n">
        <v>9.51</v>
      </c>
      <c r="L773" s="108" t="n">
        <v>160.98</v>
      </c>
      <c r="M773" s="117" t="n">
        <v>0.059</v>
      </c>
      <c r="N773" s="106" t="n">
        <v>32</v>
      </c>
      <c r="O773" s="106" t="n">
        <v>4</v>
      </c>
      <c r="P773" s="106" t="s">
        <v>4629</v>
      </c>
      <c r="Q773" s="106" t="n">
        <v>34</v>
      </c>
      <c r="R773" s="106" t="s">
        <v>4285</v>
      </c>
    </row>
    <row r="774" customFormat="false" ht="15" hidden="false" customHeight="false" outlineLevel="0" collapsed="false">
      <c r="A774" s="106" t="s">
        <v>5414</v>
      </c>
      <c r="B774" s="106" t="s">
        <v>4280</v>
      </c>
      <c r="C774" s="106" t="s">
        <v>4301</v>
      </c>
      <c r="D774" s="106" t="n">
        <v>476</v>
      </c>
      <c r="E774" s="107" t="n">
        <v>18</v>
      </c>
      <c r="F774" s="106" t="n">
        <v>3</v>
      </c>
      <c r="G774" s="118" t="n">
        <v>0.1667</v>
      </c>
      <c r="H774" s="116" t="n">
        <v>3.17</v>
      </c>
      <c r="I774" s="106" t="n">
        <v>0</v>
      </c>
      <c r="J774" s="117" t="n">
        <v>0</v>
      </c>
      <c r="K774" s="108" t="n">
        <v>9.51</v>
      </c>
      <c r="L774" s="108" t="n">
        <v>0</v>
      </c>
      <c r="M774" s="117"/>
      <c r="N774" s="106"/>
      <c r="O774" s="106"/>
      <c r="P774" s="106"/>
      <c r="Q774" s="106"/>
      <c r="R774" s="106" t="s">
        <v>4537</v>
      </c>
    </row>
    <row r="775" customFormat="false" ht="15" hidden="false" customHeight="false" outlineLevel="0" collapsed="false">
      <c r="A775" s="106" t="s">
        <v>5415</v>
      </c>
      <c r="B775" s="106" t="s">
        <v>4280</v>
      </c>
      <c r="C775" s="106"/>
      <c r="D775" s="106" t="n">
        <v>231</v>
      </c>
      <c r="E775" s="107" t="n">
        <v>7</v>
      </c>
      <c r="F775" s="106" t="n">
        <v>3</v>
      </c>
      <c r="G775" s="118" t="n">
        <v>0.4286</v>
      </c>
      <c r="H775" s="116" t="n">
        <v>2.23</v>
      </c>
      <c r="I775" s="106" t="n">
        <v>0</v>
      </c>
      <c r="J775" s="117" t="n">
        <v>0</v>
      </c>
      <c r="K775" s="108" t="n">
        <v>6.68</v>
      </c>
      <c r="L775" s="108" t="n">
        <v>0</v>
      </c>
      <c r="M775" s="117"/>
      <c r="N775" s="106"/>
      <c r="O775" s="106"/>
      <c r="P775" s="106"/>
      <c r="Q775" s="106"/>
      <c r="R775" s="106" t="s">
        <v>4537</v>
      </c>
    </row>
    <row r="776" customFormat="false" ht="15" hidden="false" customHeight="false" outlineLevel="0" collapsed="false">
      <c r="A776" s="106" t="s">
        <v>5416</v>
      </c>
      <c r="B776" s="106" t="s">
        <v>4329</v>
      </c>
      <c r="C776" s="106"/>
      <c r="D776" s="106" t="n">
        <v>45</v>
      </c>
      <c r="E776" s="107" t="n">
        <v>7</v>
      </c>
      <c r="F776" s="106" t="n">
        <v>3</v>
      </c>
      <c r="G776" s="118" t="n">
        <v>0.4286</v>
      </c>
      <c r="H776" s="116" t="n">
        <v>3.16</v>
      </c>
      <c r="I776" s="106" t="n">
        <v>0</v>
      </c>
      <c r="J776" s="117" t="n">
        <v>0</v>
      </c>
      <c r="K776" s="108" t="n">
        <v>9.48</v>
      </c>
      <c r="L776" s="108" t="n">
        <v>0</v>
      </c>
      <c r="M776" s="117"/>
      <c r="N776" s="106"/>
      <c r="O776" s="106"/>
      <c r="P776" s="106"/>
      <c r="Q776" s="106"/>
      <c r="R776" s="106" t="s">
        <v>4537</v>
      </c>
    </row>
    <row r="777" customFormat="false" ht="15" hidden="false" customHeight="false" outlineLevel="0" collapsed="false">
      <c r="A777" s="106" t="s">
        <v>5417</v>
      </c>
      <c r="B777" s="106" t="s">
        <v>1403</v>
      </c>
      <c r="C777" s="106"/>
      <c r="D777" s="106"/>
      <c r="E777" s="107" t="n">
        <v>24</v>
      </c>
      <c r="F777" s="106" t="n">
        <v>3</v>
      </c>
      <c r="G777" s="118" t="n">
        <v>0.125</v>
      </c>
      <c r="H777" s="116" t="n">
        <v>2.23</v>
      </c>
      <c r="I777" s="106" t="n">
        <v>2</v>
      </c>
      <c r="J777" s="117" t="n">
        <v>0.6667</v>
      </c>
      <c r="K777" s="108" t="n">
        <v>6.68</v>
      </c>
      <c r="L777" s="108" t="n">
        <v>164.98</v>
      </c>
      <c r="M777" s="117" t="n">
        <v>0.04</v>
      </c>
      <c r="N777" s="106"/>
      <c r="O777" s="106"/>
      <c r="P777" s="106"/>
      <c r="Q777" s="106"/>
      <c r="R777" s="106" t="s">
        <v>4285</v>
      </c>
    </row>
    <row r="778" customFormat="false" ht="15" hidden="false" customHeight="false" outlineLevel="0" collapsed="false">
      <c r="A778" s="106" t="s">
        <v>5418</v>
      </c>
      <c r="B778" s="106" t="s">
        <v>4280</v>
      </c>
      <c r="C778" s="106"/>
      <c r="D778" s="106" t="n">
        <v>132</v>
      </c>
      <c r="E778" s="107" t="n">
        <v>7</v>
      </c>
      <c r="F778" s="106" t="n">
        <v>3</v>
      </c>
      <c r="G778" s="118" t="n">
        <v>0.4286</v>
      </c>
      <c r="H778" s="116" t="n">
        <v>3.14</v>
      </c>
      <c r="I778" s="106" t="n">
        <v>3</v>
      </c>
      <c r="J778" s="117" t="n">
        <v>1</v>
      </c>
      <c r="K778" s="108" t="n">
        <v>9.43</v>
      </c>
      <c r="L778" s="108" t="n">
        <v>234.97</v>
      </c>
      <c r="M778" s="117" t="n">
        <v>0.04</v>
      </c>
      <c r="N778" s="106"/>
      <c r="O778" s="106"/>
      <c r="P778" s="106"/>
      <c r="Q778" s="106"/>
      <c r="R778" s="106" t="s">
        <v>4285</v>
      </c>
    </row>
    <row r="779" customFormat="false" ht="15" hidden="false" customHeight="false" outlineLevel="0" collapsed="false">
      <c r="A779" s="106" t="s">
        <v>5419</v>
      </c>
      <c r="B779" s="106" t="s">
        <v>4329</v>
      </c>
      <c r="C779" s="106"/>
      <c r="D779" s="106" t="n">
        <v>8</v>
      </c>
      <c r="E779" s="107" t="n">
        <v>9</v>
      </c>
      <c r="F779" s="106" t="n">
        <v>3</v>
      </c>
      <c r="G779" s="118" t="n">
        <v>0.3333</v>
      </c>
      <c r="H779" s="116" t="n">
        <v>3.03</v>
      </c>
      <c r="I779" s="106" t="n">
        <v>0</v>
      </c>
      <c r="J779" s="117" t="n">
        <v>0</v>
      </c>
      <c r="K779" s="108" t="n">
        <v>9.1</v>
      </c>
      <c r="L779" s="108" t="n">
        <v>0</v>
      </c>
      <c r="M779" s="117"/>
      <c r="N779" s="106"/>
      <c r="O779" s="106"/>
      <c r="P779" s="106"/>
      <c r="Q779" s="106"/>
      <c r="R779" s="106" t="s">
        <v>4537</v>
      </c>
    </row>
    <row r="780" customFormat="false" ht="15" hidden="false" customHeight="false" outlineLevel="0" collapsed="false">
      <c r="A780" s="106" t="s">
        <v>5420</v>
      </c>
      <c r="B780" s="106" t="s">
        <v>4280</v>
      </c>
      <c r="C780" s="106" t="s">
        <v>4288</v>
      </c>
      <c r="D780" s="106" t="n">
        <v>405</v>
      </c>
      <c r="E780" s="107" t="n">
        <v>13</v>
      </c>
      <c r="F780" s="106" t="n">
        <v>3</v>
      </c>
      <c r="G780" s="118" t="n">
        <v>0.2308</v>
      </c>
      <c r="H780" s="116" t="n">
        <v>3</v>
      </c>
      <c r="I780" s="106" t="n">
        <v>1</v>
      </c>
      <c r="J780" s="117" t="n">
        <v>0.3333</v>
      </c>
      <c r="K780" s="108" t="n">
        <v>9</v>
      </c>
      <c r="L780" s="108" t="n">
        <v>59.99</v>
      </c>
      <c r="M780" s="117" t="n">
        <v>0.15</v>
      </c>
      <c r="N780" s="106"/>
      <c r="O780" s="106"/>
      <c r="P780" s="106"/>
      <c r="Q780" s="106"/>
      <c r="R780" s="106" t="s">
        <v>4285</v>
      </c>
    </row>
    <row r="781" customFormat="false" ht="15" hidden="false" customHeight="false" outlineLevel="0" collapsed="false">
      <c r="A781" s="106" t="s">
        <v>5421</v>
      </c>
      <c r="B781" s="106" t="s">
        <v>4284</v>
      </c>
      <c r="C781" s="106"/>
      <c r="D781" s="106" t="n">
        <v>10</v>
      </c>
      <c r="E781" s="107" t="n">
        <v>3</v>
      </c>
      <c r="F781" s="106" t="n">
        <v>2</v>
      </c>
      <c r="G781" s="118" t="n">
        <v>0.6667</v>
      </c>
      <c r="H781" s="116" t="n">
        <v>0.35</v>
      </c>
      <c r="I781" s="106" t="n">
        <v>0</v>
      </c>
      <c r="J781" s="117" t="n">
        <v>0</v>
      </c>
      <c r="K781" s="108" t="n">
        <v>0.7</v>
      </c>
      <c r="L781" s="108" t="n">
        <v>0</v>
      </c>
      <c r="M781" s="117"/>
      <c r="N781" s="106"/>
      <c r="O781" s="106"/>
      <c r="P781" s="106"/>
      <c r="Q781" s="106"/>
      <c r="R781" s="106" t="s">
        <v>4537</v>
      </c>
    </row>
    <row r="782" customFormat="false" ht="15" hidden="false" customHeight="false" outlineLevel="0" collapsed="false">
      <c r="A782" s="106" t="s">
        <v>5422</v>
      </c>
      <c r="B782" s="106" t="s">
        <v>4284</v>
      </c>
      <c r="C782" s="106"/>
      <c r="D782" s="106"/>
      <c r="E782" s="107" t="n">
        <v>2</v>
      </c>
      <c r="F782" s="106" t="n">
        <v>2</v>
      </c>
      <c r="G782" s="118" t="n">
        <v>1</v>
      </c>
      <c r="H782" s="116" t="n">
        <v>0.35</v>
      </c>
      <c r="I782" s="106" t="n">
        <v>0</v>
      </c>
      <c r="J782" s="117" t="n">
        <v>0</v>
      </c>
      <c r="K782" s="108" t="n">
        <v>0.7</v>
      </c>
      <c r="L782" s="108" t="n">
        <v>0</v>
      </c>
      <c r="M782" s="117"/>
      <c r="N782" s="106"/>
      <c r="O782" s="106"/>
      <c r="P782" s="106"/>
      <c r="Q782" s="106"/>
      <c r="R782" s="106" t="s">
        <v>4537</v>
      </c>
    </row>
    <row r="783" customFormat="false" ht="15" hidden="false" customHeight="false" outlineLevel="0" collapsed="false">
      <c r="A783" s="106" t="s">
        <v>5423</v>
      </c>
      <c r="B783" s="106" t="s">
        <v>1403</v>
      </c>
      <c r="C783" s="106"/>
      <c r="D783" s="106" t="n">
        <v>3</v>
      </c>
      <c r="E783" s="107" t="n">
        <v>17</v>
      </c>
      <c r="F783" s="106" t="n">
        <v>2</v>
      </c>
      <c r="G783" s="118" t="n">
        <v>0.1176</v>
      </c>
      <c r="H783" s="116" t="n">
        <v>0.16</v>
      </c>
      <c r="I783" s="106" t="n">
        <v>0</v>
      </c>
      <c r="J783" s="117" t="n">
        <v>0</v>
      </c>
      <c r="K783" s="108" t="n">
        <v>0.31</v>
      </c>
      <c r="L783" s="108" t="n">
        <v>0</v>
      </c>
      <c r="M783" s="117"/>
      <c r="N783" s="106"/>
      <c r="O783" s="106"/>
      <c r="P783" s="106"/>
      <c r="Q783" s="106"/>
      <c r="R783" s="106" t="s">
        <v>4537</v>
      </c>
    </row>
    <row r="784" customFormat="false" ht="15" hidden="false" customHeight="false" outlineLevel="0" collapsed="false">
      <c r="A784" s="106" t="s">
        <v>5424</v>
      </c>
      <c r="B784" s="106" t="s">
        <v>4280</v>
      </c>
      <c r="C784" s="106"/>
      <c r="D784" s="106" t="n">
        <v>6</v>
      </c>
      <c r="E784" s="107" t="n">
        <v>2</v>
      </c>
      <c r="F784" s="106" t="n">
        <v>2</v>
      </c>
      <c r="G784" s="118" t="n">
        <v>1</v>
      </c>
      <c r="H784" s="116" t="n">
        <v>4.65</v>
      </c>
      <c r="I784" s="106" t="n">
        <v>0</v>
      </c>
      <c r="J784" s="117" t="n">
        <v>0</v>
      </c>
      <c r="K784" s="108" t="n">
        <v>9.3</v>
      </c>
      <c r="L784" s="108" t="n">
        <v>0</v>
      </c>
      <c r="M784" s="117"/>
      <c r="N784" s="106"/>
      <c r="O784" s="106"/>
      <c r="P784" s="106"/>
      <c r="Q784" s="106"/>
      <c r="R784" s="106" t="s">
        <v>4537</v>
      </c>
    </row>
    <row r="785" customFormat="false" ht="15" hidden="false" customHeight="false" outlineLevel="0" collapsed="false">
      <c r="A785" s="106" t="s">
        <v>5425</v>
      </c>
      <c r="B785" s="106" t="s">
        <v>4280</v>
      </c>
      <c r="C785" s="106"/>
      <c r="D785" s="106" t="n">
        <v>195</v>
      </c>
      <c r="E785" s="107" t="n">
        <v>5</v>
      </c>
      <c r="F785" s="106" t="n">
        <v>2</v>
      </c>
      <c r="G785" s="118" t="n">
        <v>0.4</v>
      </c>
      <c r="H785" s="116" t="n">
        <v>3.64</v>
      </c>
      <c r="I785" s="106" t="n">
        <v>0</v>
      </c>
      <c r="J785" s="117" t="n">
        <v>0</v>
      </c>
      <c r="K785" s="108" t="n">
        <v>7.28</v>
      </c>
      <c r="L785" s="108" t="n">
        <v>0</v>
      </c>
      <c r="M785" s="117"/>
      <c r="N785" s="106"/>
      <c r="O785" s="106"/>
      <c r="P785" s="106"/>
      <c r="Q785" s="106"/>
      <c r="R785" s="106" t="s">
        <v>4537</v>
      </c>
    </row>
    <row r="786" customFormat="false" ht="15" hidden="false" customHeight="false" outlineLevel="0" collapsed="false">
      <c r="A786" s="106" t="s">
        <v>5426</v>
      </c>
      <c r="B786" s="106" t="s">
        <v>4329</v>
      </c>
      <c r="C786" s="106"/>
      <c r="D786" s="106" t="n">
        <v>23</v>
      </c>
      <c r="E786" s="107" t="n">
        <v>2</v>
      </c>
      <c r="F786" s="106" t="n">
        <v>2</v>
      </c>
      <c r="G786" s="118" t="n">
        <v>1</v>
      </c>
      <c r="H786" s="116" t="n">
        <v>3.75</v>
      </c>
      <c r="I786" s="106" t="n">
        <v>0</v>
      </c>
      <c r="J786" s="117" t="n">
        <v>0</v>
      </c>
      <c r="K786" s="108" t="n">
        <v>7.49</v>
      </c>
      <c r="L786" s="108" t="n">
        <v>0</v>
      </c>
      <c r="M786" s="117"/>
      <c r="N786" s="106"/>
      <c r="O786" s="106"/>
      <c r="P786" s="106"/>
      <c r="Q786" s="106"/>
      <c r="R786" s="106" t="s">
        <v>4537</v>
      </c>
    </row>
    <row r="787" customFormat="false" ht="15" hidden="false" customHeight="false" outlineLevel="0" collapsed="false">
      <c r="A787" s="106" t="s">
        <v>5427</v>
      </c>
      <c r="B787" s="106" t="s">
        <v>1403</v>
      </c>
      <c r="C787" s="106"/>
      <c r="D787" s="106" t="n">
        <v>10</v>
      </c>
      <c r="E787" s="107" t="n">
        <v>28</v>
      </c>
      <c r="F787" s="106" t="n">
        <v>2</v>
      </c>
      <c r="G787" s="118" t="n">
        <v>0.0714</v>
      </c>
      <c r="H787" s="116" t="n">
        <v>1.49</v>
      </c>
      <c r="I787" s="106" t="n">
        <v>0</v>
      </c>
      <c r="J787" s="117" t="n">
        <v>0</v>
      </c>
      <c r="K787" s="108" t="n">
        <v>2.98</v>
      </c>
      <c r="L787" s="108" t="n">
        <v>0</v>
      </c>
      <c r="M787" s="117"/>
      <c r="N787" s="106"/>
      <c r="O787" s="106"/>
      <c r="P787" s="106"/>
      <c r="Q787" s="106"/>
      <c r="R787" s="106" t="s">
        <v>4537</v>
      </c>
    </row>
    <row r="788" customFormat="false" ht="15" hidden="false" customHeight="false" outlineLevel="0" collapsed="false">
      <c r="A788" s="106" t="s">
        <v>5428</v>
      </c>
      <c r="B788" s="106" t="s">
        <v>1403</v>
      </c>
      <c r="C788" s="106"/>
      <c r="D788" s="106" t="n">
        <v>2</v>
      </c>
      <c r="E788" s="107" t="n">
        <v>9</v>
      </c>
      <c r="F788" s="106" t="n">
        <v>2</v>
      </c>
      <c r="G788" s="118" t="n">
        <v>0.2222</v>
      </c>
      <c r="H788" s="116" t="n">
        <v>1.17</v>
      </c>
      <c r="I788" s="106" t="n">
        <v>0</v>
      </c>
      <c r="J788" s="117" t="n">
        <v>0</v>
      </c>
      <c r="K788" s="108" t="n">
        <v>2.33</v>
      </c>
      <c r="L788" s="108" t="n">
        <v>0</v>
      </c>
      <c r="M788" s="117"/>
      <c r="N788" s="106"/>
      <c r="O788" s="106"/>
      <c r="P788" s="106"/>
      <c r="Q788" s="106"/>
      <c r="R788" s="106" t="s">
        <v>4537</v>
      </c>
    </row>
    <row r="789" customFormat="false" ht="15" hidden="false" customHeight="false" outlineLevel="0" collapsed="false">
      <c r="A789" s="106" t="s">
        <v>5429</v>
      </c>
      <c r="B789" s="106" t="s">
        <v>4280</v>
      </c>
      <c r="C789" s="106"/>
      <c r="D789" s="106" t="n">
        <v>27</v>
      </c>
      <c r="E789" s="107" t="n">
        <v>45</v>
      </c>
      <c r="F789" s="106" t="n">
        <v>2</v>
      </c>
      <c r="G789" s="118" t="n">
        <v>0.0444</v>
      </c>
      <c r="H789" s="116" t="n">
        <v>1.14</v>
      </c>
      <c r="I789" s="106" t="n">
        <v>0</v>
      </c>
      <c r="J789" s="117" t="n">
        <v>0</v>
      </c>
      <c r="K789" s="108" t="n">
        <v>2.27</v>
      </c>
      <c r="L789" s="108" t="n">
        <v>0</v>
      </c>
      <c r="M789" s="117"/>
      <c r="N789" s="106"/>
      <c r="O789" s="106"/>
      <c r="P789" s="106"/>
      <c r="Q789" s="106"/>
      <c r="R789" s="106" t="s">
        <v>4537</v>
      </c>
    </row>
    <row r="790" customFormat="false" ht="15" hidden="false" customHeight="false" outlineLevel="0" collapsed="false">
      <c r="A790" s="106" t="s">
        <v>5430</v>
      </c>
      <c r="B790" s="106" t="s">
        <v>1403</v>
      </c>
      <c r="C790" s="106"/>
      <c r="D790" s="106"/>
      <c r="E790" s="107" t="n">
        <v>6</v>
      </c>
      <c r="F790" s="106" t="n">
        <v>2</v>
      </c>
      <c r="G790" s="118" t="n">
        <v>0.3333</v>
      </c>
      <c r="H790" s="116" t="n">
        <v>1.14</v>
      </c>
      <c r="I790" s="106" t="n">
        <v>2</v>
      </c>
      <c r="J790" s="117" t="n">
        <v>1</v>
      </c>
      <c r="K790" s="108" t="n">
        <v>2.27</v>
      </c>
      <c r="L790" s="108" t="n">
        <v>133.48</v>
      </c>
      <c r="M790" s="117" t="n">
        <v>0.017</v>
      </c>
      <c r="N790" s="106"/>
      <c r="O790" s="106"/>
      <c r="P790" s="106"/>
      <c r="Q790" s="106"/>
      <c r="R790" s="106" t="s">
        <v>4285</v>
      </c>
    </row>
    <row r="791" customFormat="false" ht="15" hidden="false" customHeight="false" outlineLevel="0" collapsed="false">
      <c r="A791" s="106" t="s">
        <v>5431</v>
      </c>
      <c r="B791" s="106" t="s">
        <v>4280</v>
      </c>
      <c r="C791" s="106"/>
      <c r="D791" s="106" t="n">
        <v>68</v>
      </c>
      <c r="E791" s="107" t="n">
        <v>4</v>
      </c>
      <c r="F791" s="106" t="n">
        <v>2</v>
      </c>
      <c r="G791" s="118" t="n">
        <v>0.5</v>
      </c>
      <c r="H791" s="116" t="n">
        <v>1.17</v>
      </c>
      <c r="I791" s="106" t="n">
        <v>0</v>
      </c>
      <c r="J791" s="117" t="n">
        <v>0</v>
      </c>
      <c r="K791" s="108" t="n">
        <v>2.34</v>
      </c>
      <c r="L791" s="108" t="n">
        <v>0</v>
      </c>
      <c r="M791" s="117"/>
      <c r="N791" s="106"/>
      <c r="O791" s="106"/>
      <c r="P791" s="106"/>
      <c r="Q791" s="106"/>
      <c r="R791" s="106" t="s">
        <v>4537</v>
      </c>
    </row>
    <row r="792" customFormat="false" ht="15" hidden="false" customHeight="false" outlineLevel="0" collapsed="false">
      <c r="A792" s="106" t="s">
        <v>5432</v>
      </c>
      <c r="B792" s="106" t="s">
        <v>1403</v>
      </c>
      <c r="C792" s="106"/>
      <c r="D792" s="106" t="n">
        <v>10</v>
      </c>
      <c r="E792" s="107" t="n">
        <v>48</v>
      </c>
      <c r="F792" s="106" t="n">
        <v>2</v>
      </c>
      <c r="G792" s="118" t="n">
        <v>0.0417</v>
      </c>
      <c r="H792" s="116" t="n">
        <v>1.17</v>
      </c>
      <c r="I792" s="106" t="n">
        <v>0</v>
      </c>
      <c r="J792" s="117" t="n">
        <v>0</v>
      </c>
      <c r="K792" s="108" t="n">
        <v>2.34</v>
      </c>
      <c r="L792" s="108" t="n">
        <v>0</v>
      </c>
      <c r="M792" s="117"/>
      <c r="N792" s="106"/>
      <c r="O792" s="106"/>
      <c r="P792" s="106"/>
      <c r="Q792" s="106"/>
      <c r="R792" s="106" t="s">
        <v>4537</v>
      </c>
    </row>
    <row r="793" customFormat="false" ht="15" hidden="false" customHeight="false" outlineLevel="0" collapsed="false">
      <c r="A793" s="106" t="s">
        <v>887</v>
      </c>
      <c r="B793" s="106" t="s">
        <v>4280</v>
      </c>
      <c r="C793" s="106" t="s">
        <v>4290</v>
      </c>
      <c r="D793" s="106" t="n">
        <v>392</v>
      </c>
      <c r="E793" s="107" t="n">
        <v>6</v>
      </c>
      <c r="F793" s="106" t="n">
        <v>2</v>
      </c>
      <c r="G793" s="118" t="n">
        <v>0.3333</v>
      </c>
      <c r="H793" s="116" t="n">
        <v>1.21</v>
      </c>
      <c r="I793" s="106" t="n">
        <v>0</v>
      </c>
      <c r="J793" s="117" t="n">
        <v>0</v>
      </c>
      <c r="K793" s="108" t="n">
        <v>2.43</v>
      </c>
      <c r="L793" s="108" t="n">
        <v>0</v>
      </c>
      <c r="M793" s="117"/>
      <c r="N793" s="106"/>
      <c r="O793" s="106"/>
      <c r="P793" s="106"/>
      <c r="Q793" s="106"/>
      <c r="R793" s="106" t="s">
        <v>4537</v>
      </c>
    </row>
    <row r="794" customFormat="false" ht="15" hidden="false" customHeight="false" outlineLevel="0" collapsed="false">
      <c r="A794" s="106" t="s">
        <v>5433</v>
      </c>
      <c r="B794" s="106" t="s">
        <v>1403</v>
      </c>
      <c r="C794" s="106"/>
      <c r="D794" s="106" t="n">
        <v>4</v>
      </c>
      <c r="E794" s="107" t="n">
        <v>21</v>
      </c>
      <c r="F794" s="106" t="n">
        <v>2</v>
      </c>
      <c r="G794" s="118" t="n">
        <v>0.0952</v>
      </c>
      <c r="H794" s="116" t="n">
        <v>1.21</v>
      </c>
      <c r="I794" s="106" t="n">
        <v>0</v>
      </c>
      <c r="J794" s="117" t="n">
        <v>0</v>
      </c>
      <c r="K794" s="108" t="n">
        <v>2.42</v>
      </c>
      <c r="L794" s="108" t="n">
        <v>0</v>
      </c>
      <c r="M794" s="117"/>
      <c r="N794" s="106"/>
      <c r="O794" s="106"/>
      <c r="P794" s="106"/>
      <c r="Q794" s="106"/>
      <c r="R794" s="106" t="s">
        <v>4537</v>
      </c>
    </row>
    <row r="795" customFormat="false" ht="15" hidden="false" customHeight="false" outlineLevel="0" collapsed="false">
      <c r="A795" s="106" t="s">
        <v>5434</v>
      </c>
      <c r="B795" s="106" t="s">
        <v>1403</v>
      </c>
      <c r="C795" s="106"/>
      <c r="D795" s="106"/>
      <c r="E795" s="107" t="n">
        <v>24</v>
      </c>
      <c r="F795" s="106" t="n">
        <v>2</v>
      </c>
      <c r="G795" s="118" t="n">
        <v>0.0833</v>
      </c>
      <c r="H795" s="116" t="n">
        <v>1.3</v>
      </c>
      <c r="I795" s="106" t="n">
        <v>0</v>
      </c>
      <c r="J795" s="117" t="n">
        <v>0</v>
      </c>
      <c r="K795" s="108" t="n">
        <v>2.59</v>
      </c>
      <c r="L795" s="108" t="n">
        <v>0</v>
      </c>
      <c r="M795" s="117"/>
      <c r="N795" s="106"/>
      <c r="O795" s="106"/>
      <c r="P795" s="106"/>
      <c r="Q795" s="106"/>
      <c r="R795" s="106" t="s">
        <v>4537</v>
      </c>
    </row>
    <row r="796" customFormat="false" ht="15" hidden="false" customHeight="false" outlineLevel="0" collapsed="false">
      <c r="A796" s="106" t="s">
        <v>5435</v>
      </c>
      <c r="B796" s="106" t="s">
        <v>1403</v>
      </c>
      <c r="C796" s="106"/>
      <c r="D796" s="106" t="n">
        <v>9</v>
      </c>
      <c r="E796" s="107" t="n">
        <v>12</v>
      </c>
      <c r="F796" s="106" t="n">
        <v>2</v>
      </c>
      <c r="G796" s="118" t="n">
        <v>0.1667</v>
      </c>
      <c r="H796" s="116" t="n">
        <v>1.3</v>
      </c>
      <c r="I796" s="106" t="n">
        <v>0</v>
      </c>
      <c r="J796" s="117" t="n">
        <v>0</v>
      </c>
      <c r="K796" s="108" t="n">
        <v>2.59</v>
      </c>
      <c r="L796" s="108" t="n">
        <v>0</v>
      </c>
      <c r="M796" s="117"/>
      <c r="N796" s="106"/>
      <c r="O796" s="106"/>
      <c r="P796" s="106"/>
      <c r="Q796" s="106"/>
      <c r="R796" s="106" t="s">
        <v>4537</v>
      </c>
    </row>
    <row r="797" customFormat="false" ht="15" hidden="false" customHeight="false" outlineLevel="0" collapsed="false">
      <c r="A797" s="106" t="s">
        <v>5436</v>
      </c>
      <c r="B797" s="106" t="s">
        <v>1403</v>
      </c>
      <c r="C797" s="106"/>
      <c r="D797" s="106"/>
      <c r="E797" s="107" t="n">
        <v>25</v>
      </c>
      <c r="F797" s="106" t="n">
        <v>2</v>
      </c>
      <c r="G797" s="118" t="n">
        <v>0.08</v>
      </c>
      <c r="H797" s="116" t="n">
        <v>1.29</v>
      </c>
      <c r="I797" s="106" t="n">
        <v>0</v>
      </c>
      <c r="J797" s="117" t="n">
        <v>0</v>
      </c>
      <c r="K797" s="108" t="n">
        <v>2.58</v>
      </c>
      <c r="L797" s="108" t="n">
        <v>0</v>
      </c>
      <c r="M797" s="117"/>
      <c r="N797" s="106"/>
      <c r="O797" s="106"/>
      <c r="P797" s="106"/>
      <c r="Q797" s="106"/>
      <c r="R797" s="106" t="s">
        <v>4537</v>
      </c>
    </row>
    <row r="798" customFormat="false" ht="15" hidden="false" customHeight="false" outlineLevel="0" collapsed="false">
      <c r="A798" s="106" t="s">
        <v>5437</v>
      </c>
      <c r="B798" s="106" t="s">
        <v>1403</v>
      </c>
      <c r="C798" s="106"/>
      <c r="D798" s="106" t="n">
        <v>2</v>
      </c>
      <c r="E798" s="107" t="n">
        <v>4</v>
      </c>
      <c r="F798" s="106" t="n">
        <v>2</v>
      </c>
      <c r="G798" s="118" t="n">
        <v>0.5</v>
      </c>
      <c r="H798" s="116" t="n">
        <v>1.25</v>
      </c>
      <c r="I798" s="106" t="n">
        <v>0</v>
      </c>
      <c r="J798" s="117" t="n">
        <v>0</v>
      </c>
      <c r="K798" s="108" t="n">
        <v>2.49</v>
      </c>
      <c r="L798" s="108" t="n">
        <v>0</v>
      </c>
      <c r="M798" s="117"/>
      <c r="N798" s="106"/>
      <c r="O798" s="106"/>
      <c r="P798" s="106"/>
      <c r="Q798" s="106"/>
      <c r="R798" s="106" t="s">
        <v>4537</v>
      </c>
    </row>
    <row r="799" customFormat="false" ht="15" hidden="false" customHeight="false" outlineLevel="0" collapsed="false">
      <c r="A799" s="106" t="s">
        <v>5438</v>
      </c>
      <c r="B799" s="106"/>
      <c r="C799" s="106"/>
      <c r="D799" s="106"/>
      <c r="E799" s="107" t="n">
        <v>10</v>
      </c>
      <c r="F799" s="106" t="n">
        <v>2</v>
      </c>
      <c r="G799" s="118" t="n">
        <v>0.2</v>
      </c>
      <c r="H799" s="116" t="n">
        <v>1.34</v>
      </c>
      <c r="I799" s="106" t="n">
        <v>0</v>
      </c>
      <c r="J799" s="117" t="n">
        <v>0</v>
      </c>
      <c r="K799" s="108" t="n">
        <v>2.68</v>
      </c>
      <c r="L799" s="108" t="n">
        <v>0</v>
      </c>
      <c r="M799" s="117"/>
      <c r="N799" s="106"/>
      <c r="O799" s="106"/>
      <c r="P799" s="106"/>
      <c r="Q799" s="106"/>
      <c r="R799" s="106" t="s">
        <v>4537</v>
      </c>
    </row>
    <row r="800" customFormat="false" ht="15" hidden="false" customHeight="false" outlineLevel="0" collapsed="false">
      <c r="A800" s="106" t="s">
        <v>5439</v>
      </c>
      <c r="B800" s="106" t="s">
        <v>1403</v>
      </c>
      <c r="C800" s="106"/>
      <c r="D800" s="106" t="n">
        <v>4</v>
      </c>
      <c r="E800" s="107" t="n">
        <v>10</v>
      </c>
      <c r="F800" s="106" t="n">
        <v>2</v>
      </c>
      <c r="G800" s="118" t="n">
        <v>0.2</v>
      </c>
      <c r="H800" s="116" t="n">
        <v>1.34</v>
      </c>
      <c r="I800" s="106" t="n">
        <v>0</v>
      </c>
      <c r="J800" s="117" t="n">
        <v>0</v>
      </c>
      <c r="K800" s="108" t="n">
        <v>2.68</v>
      </c>
      <c r="L800" s="108" t="n">
        <v>0</v>
      </c>
      <c r="M800" s="117"/>
      <c r="N800" s="106"/>
      <c r="O800" s="106"/>
      <c r="P800" s="106"/>
      <c r="Q800" s="106"/>
      <c r="R800" s="106" t="s">
        <v>4537</v>
      </c>
    </row>
    <row r="801" customFormat="false" ht="15" hidden="false" customHeight="false" outlineLevel="0" collapsed="false">
      <c r="A801" s="106" t="s">
        <v>5440</v>
      </c>
      <c r="B801" s="106" t="s">
        <v>1403</v>
      </c>
      <c r="C801" s="106"/>
      <c r="D801" s="106" t="n">
        <v>2</v>
      </c>
      <c r="E801" s="107" t="n">
        <v>10</v>
      </c>
      <c r="F801" s="106" t="n">
        <v>2</v>
      </c>
      <c r="G801" s="118" t="n">
        <v>0.2</v>
      </c>
      <c r="H801" s="116" t="n">
        <v>1.34</v>
      </c>
      <c r="I801" s="106" t="n">
        <v>2</v>
      </c>
      <c r="J801" s="117" t="n">
        <v>1</v>
      </c>
      <c r="K801" s="108" t="n">
        <v>2.67</v>
      </c>
      <c r="L801" s="108" t="n">
        <v>52.98</v>
      </c>
      <c r="M801" s="117" t="n">
        <v>0.05</v>
      </c>
      <c r="N801" s="106"/>
      <c r="O801" s="106"/>
      <c r="P801" s="106"/>
      <c r="Q801" s="106"/>
      <c r="R801" s="106" t="s">
        <v>4285</v>
      </c>
    </row>
    <row r="802" customFormat="false" ht="15" hidden="false" customHeight="false" outlineLevel="0" collapsed="false">
      <c r="A802" s="106" t="s">
        <v>5441</v>
      </c>
      <c r="B802" s="106" t="s">
        <v>4309</v>
      </c>
      <c r="C802" s="106"/>
      <c r="D802" s="106" t="n">
        <v>1740</v>
      </c>
      <c r="E802" s="107" t="n">
        <v>30</v>
      </c>
      <c r="F802" s="106" t="n">
        <v>2</v>
      </c>
      <c r="G802" s="118" t="n">
        <v>0.0667</v>
      </c>
      <c r="H802" s="116" t="n">
        <v>1.33</v>
      </c>
      <c r="I802" s="106" t="n">
        <v>0</v>
      </c>
      <c r="J802" s="117" t="n">
        <v>0</v>
      </c>
      <c r="K802" s="108" t="n">
        <v>2.65</v>
      </c>
      <c r="L802" s="108" t="n">
        <v>0</v>
      </c>
      <c r="M802" s="117"/>
      <c r="N802" s="106"/>
      <c r="O802" s="106"/>
      <c r="P802" s="106"/>
      <c r="Q802" s="106"/>
      <c r="R802" s="106" t="s">
        <v>4537</v>
      </c>
    </row>
    <row r="803" customFormat="false" ht="15" hidden="false" customHeight="false" outlineLevel="0" collapsed="false">
      <c r="A803" s="106" t="s">
        <v>5442</v>
      </c>
      <c r="B803" s="106" t="s">
        <v>1403</v>
      </c>
      <c r="C803" s="106"/>
      <c r="D803" s="106"/>
      <c r="E803" s="107" t="n">
        <v>18</v>
      </c>
      <c r="F803" s="106" t="n">
        <v>2</v>
      </c>
      <c r="G803" s="118" t="n">
        <v>0.1111</v>
      </c>
      <c r="H803" s="116" t="n">
        <v>1.36</v>
      </c>
      <c r="I803" s="106" t="n">
        <v>0</v>
      </c>
      <c r="J803" s="117" t="n">
        <v>0</v>
      </c>
      <c r="K803" s="108" t="n">
        <v>2.72</v>
      </c>
      <c r="L803" s="108" t="n">
        <v>0</v>
      </c>
      <c r="M803" s="117"/>
      <c r="N803" s="106"/>
      <c r="O803" s="106"/>
      <c r="P803" s="106"/>
      <c r="Q803" s="106"/>
      <c r="R803" s="106" t="s">
        <v>4537</v>
      </c>
    </row>
    <row r="804" customFormat="false" ht="15" hidden="false" customHeight="false" outlineLevel="0" collapsed="false">
      <c r="A804" s="106" t="s">
        <v>5443</v>
      </c>
      <c r="B804" s="106" t="s">
        <v>1403</v>
      </c>
      <c r="C804" s="106"/>
      <c r="D804" s="106"/>
      <c r="E804" s="107" t="n">
        <v>13</v>
      </c>
      <c r="F804" s="106" t="n">
        <v>2</v>
      </c>
      <c r="G804" s="118" t="n">
        <v>0.1538</v>
      </c>
      <c r="H804" s="116" t="n">
        <v>1.36</v>
      </c>
      <c r="I804" s="106" t="n">
        <v>1</v>
      </c>
      <c r="J804" s="117" t="n">
        <v>0.5</v>
      </c>
      <c r="K804" s="108" t="n">
        <v>2.72</v>
      </c>
      <c r="L804" s="108" t="n">
        <v>0</v>
      </c>
      <c r="M804" s="117"/>
      <c r="N804" s="106"/>
      <c r="O804" s="106"/>
      <c r="P804" s="106"/>
      <c r="Q804" s="106"/>
      <c r="R804" s="106" t="s">
        <v>4537</v>
      </c>
    </row>
    <row r="805" customFormat="false" ht="15" hidden="false" customHeight="false" outlineLevel="0" collapsed="false">
      <c r="A805" s="106" t="s">
        <v>5444</v>
      </c>
      <c r="B805" s="106" t="s">
        <v>1403</v>
      </c>
      <c r="C805" s="106"/>
      <c r="D805" s="106" t="n">
        <v>12</v>
      </c>
      <c r="E805" s="107" t="n">
        <v>3</v>
      </c>
      <c r="F805" s="106" t="n">
        <v>2</v>
      </c>
      <c r="G805" s="118" t="n">
        <v>0.6667</v>
      </c>
      <c r="H805" s="116" t="n">
        <v>1.42</v>
      </c>
      <c r="I805" s="106" t="n">
        <v>0</v>
      </c>
      <c r="J805" s="117" t="n">
        <v>0</v>
      </c>
      <c r="K805" s="108" t="n">
        <v>2.83</v>
      </c>
      <c r="L805" s="108" t="n">
        <v>0</v>
      </c>
      <c r="M805" s="117"/>
      <c r="N805" s="106"/>
      <c r="O805" s="106"/>
      <c r="P805" s="106"/>
      <c r="Q805" s="106"/>
      <c r="R805" s="106" t="s">
        <v>4537</v>
      </c>
    </row>
    <row r="806" customFormat="false" ht="15" hidden="false" customHeight="false" outlineLevel="0" collapsed="false">
      <c r="A806" s="106" t="s">
        <v>4534</v>
      </c>
      <c r="B806" s="106" t="s">
        <v>4280</v>
      </c>
      <c r="C806" s="106" t="s">
        <v>4301</v>
      </c>
      <c r="D806" s="106" t="n">
        <v>580</v>
      </c>
      <c r="E806" s="107" t="n">
        <v>5</v>
      </c>
      <c r="F806" s="106" t="n">
        <v>2</v>
      </c>
      <c r="G806" s="118" t="n">
        <v>0.4</v>
      </c>
      <c r="H806" s="116" t="n">
        <v>2.61</v>
      </c>
      <c r="I806" s="106" t="n">
        <v>1</v>
      </c>
      <c r="J806" s="117" t="n">
        <v>0.5</v>
      </c>
      <c r="K806" s="108" t="n">
        <v>5.21</v>
      </c>
      <c r="L806" s="108" t="n">
        <v>84.99</v>
      </c>
      <c r="M806" s="117" t="n">
        <v>0.061</v>
      </c>
      <c r="N806" s="106"/>
      <c r="O806" s="106"/>
      <c r="P806" s="106"/>
      <c r="Q806" s="106"/>
      <c r="R806" s="106" t="s">
        <v>4285</v>
      </c>
    </row>
    <row r="807" customFormat="false" ht="15" hidden="false" customHeight="false" outlineLevel="0" collapsed="false">
      <c r="A807" s="106" t="s">
        <v>5445</v>
      </c>
      <c r="B807" s="106" t="s">
        <v>1403</v>
      </c>
      <c r="C807" s="106"/>
      <c r="D807" s="106"/>
      <c r="E807" s="107" t="n">
        <v>31</v>
      </c>
      <c r="F807" s="106" t="n">
        <v>2</v>
      </c>
      <c r="G807" s="118" t="n">
        <v>0.0645</v>
      </c>
      <c r="H807" s="116" t="n">
        <v>2.56</v>
      </c>
      <c r="I807" s="106" t="n">
        <v>1</v>
      </c>
      <c r="J807" s="117" t="n">
        <v>0.5</v>
      </c>
      <c r="K807" s="108" t="n">
        <v>5.12</v>
      </c>
      <c r="L807" s="108" t="n">
        <v>41.98</v>
      </c>
      <c r="M807" s="117" t="n">
        <v>0.122</v>
      </c>
      <c r="N807" s="106"/>
      <c r="O807" s="106"/>
      <c r="P807" s="106"/>
      <c r="Q807" s="106"/>
      <c r="R807" s="106" t="s">
        <v>4285</v>
      </c>
    </row>
    <row r="808" customFormat="false" ht="15" hidden="false" customHeight="false" outlineLevel="0" collapsed="false">
      <c r="A808" s="106" t="s">
        <v>5446</v>
      </c>
      <c r="B808" s="106" t="s">
        <v>4280</v>
      </c>
      <c r="C808" s="106"/>
      <c r="D808" s="106" t="n">
        <v>4</v>
      </c>
      <c r="E808" s="107" t="n">
        <v>6</v>
      </c>
      <c r="F808" s="106" t="n">
        <v>2</v>
      </c>
      <c r="G808" s="118" t="n">
        <v>0.3333</v>
      </c>
      <c r="H808" s="116" t="n">
        <v>2.7</v>
      </c>
      <c r="I808" s="106" t="n">
        <v>0</v>
      </c>
      <c r="J808" s="117" t="n">
        <v>0</v>
      </c>
      <c r="K808" s="108" t="n">
        <v>5.4</v>
      </c>
      <c r="L808" s="108" t="n">
        <v>0</v>
      </c>
      <c r="M808" s="117"/>
      <c r="N808" s="106"/>
      <c r="O808" s="106"/>
      <c r="P808" s="106"/>
      <c r="Q808" s="106"/>
      <c r="R808" s="106" t="s">
        <v>4537</v>
      </c>
    </row>
    <row r="809" customFormat="false" ht="15" hidden="false" customHeight="false" outlineLevel="0" collapsed="false">
      <c r="A809" s="106" t="s">
        <v>5447</v>
      </c>
      <c r="B809" s="106" t="s">
        <v>4280</v>
      </c>
      <c r="C809" s="106" t="s">
        <v>4301</v>
      </c>
      <c r="D809" s="106" t="n">
        <v>375</v>
      </c>
      <c r="E809" s="107" t="n">
        <v>21</v>
      </c>
      <c r="F809" s="106" t="n">
        <v>2</v>
      </c>
      <c r="G809" s="118" t="n">
        <v>0.0952</v>
      </c>
      <c r="H809" s="116" t="n">
        <v>2.7</v>
      </c>
      <c r="I809" s="106" t="n">
        <v>1</v>
      </c>
      <c r="J809" s="117" t="n">
        <v>0.5</v>
      </c>
      <c r="K809" s="108" t="n">
        <v>5.4</v>
      </c>
      <c r="L809" s="108" t="n">
        <v>84.99</v>
      </c>
      <c r="M809" s="117" t="n">
        <v>0.064</v>
      </c>
      <c r="N809" s="106"/>
      <c r="O809" s="106"/>
      <c r="P809" s="106"/>
      <c r="Q809" s="106"/>
      <c r="R809" s="106" t="s">
        <v>4285</v>
      </c>
    </row>
    <row r="810" customFormat="false" ht="15" hidden="false" customHeight="false" outlineLevel="0" collapsed="false">
      <c r="A810" s="106" t="s">
        <v>5448</v>
      </c>
      <c r="B810" s="106" t="s">
        <v>4329</v>
      </c>
      <c r="C810" s="106"/>
      <c r="D810" s="106"/>
      <c r="E810" s="107" t="n">
        <v>27</v>
      </c>
      <c r="F810" s="106" t="n">
        <v>2</v>
      </c>
      <c r="G810" s="118" t="n">
        <v>0.0741</v>
      </c>
      <c r="H810" s="116" t="n">
        <v>0.43</v>
      </c>
      <c r="I810" s="106" t="n">
        <v>0</v>
      </c>
      <c r="J810" s="117" t="n">
        <v>0</v>
      </c>
      <c r="K810" s="108" t="n">
        <v>0.86</v>
      </c>
      <c r="L810" s="108" t="n">
        <v>0</v>
      </c>
      <c r="M810" s="117"/>
      <c r="N810" s="106"/>
      <c r="O810" s="106"/>
      <c r="P810" s="106"/>
      <c r="Q810" s="106"/>
      <c r="R810" s="106" t="s">
        <v>4537</v>
      </c>
    </row>
    <row r="811" customFormat="false" ht="15" hidden="false" customHeight="false" outlineLevel="0" collapsed="false">
      <c r="A811" s="106" t="s">
        <v>5449</v>
      </c>
      <c r="B811" s="106" t="s">
        <v>4284</v>
      </c>
      <c r="C811" s="106"/>
      <c r="D811" s="106"/>
      <c r="E811" s="107" t="n">
        <v>9</v>
      </c>
      <c r="F811" s="106" t="n">
        <v>2</v>
      </c>
      <c r="G811" s="118" t="n">
        <v>0.2222</v>
      </c>
      <c r="H811" s="116" t="n">
        <v>0.43</v>
      </c>
      <c r="I811" s="106" t="n">
        <v>0</v>
      </c>
      <c r="J811" s="117" t="n">
        <v>0</v>
      </c>
      <c r="K811" s="108" t="n">
        <v>0.86</v>
      </c>
      <c r="L811" s="108" t="n">
        <v>0</v>
      </c>
      <c r="M811" s="117"/>
      <c r="N811" s="106"/>
      <c r="O811" s="106"/>
      <c r="P811" s="106"/>
      <c r="Q811" s="106"/>
      <c r="R811" s="106" t="s">
        <v>4537</v>
      </c>
    </row>
    <row r="812" customFormat="false" ht="15" hidden="false" customHeight="false" outlineLevel="0" collapsed="false">
      <c r="A812" s="106" t="s">
        <v>5450</v>
      </c>
      <c r="B812" s="106" t="s">
        <v>1403</v>
      </c>
      <c r="C812" s="106"/>
      <c r="D812" s="106" t="n">
        <v>6</v>
      </c>
      <c r="E812" s="107" t="n">
        <v>20</v>
      </c>
      <c r="F812" s="106" t="n">
        <v>2</v>
      </c>
      <c r="G812" s="118" t="n">
        <v>0.1</v>
      </c>
      <c r="H812" s="116" t="n">
        <v>0.45</v>
      </c>
      <c r="I812" s="106" t="n">
        <v>0</v>
      </c>
      <c r="J812" s="117" t="n">
        <v>0</v>
      </c>
      <c r="K812" s="108" t="n">
        <v>0.9</v>
      </c>
      <c r="L812" s="108" t="n">
        <v>0</v>
      </c>
      <c r="M812" s="117"/>
      <c r="N812" s="106"/>
      <c r="O812" s="106"/>
      <c r="P812" s="106"/>
      <c r="Q812" s="106"/>
      <c r="R812" s="106" t="s">
        <v>4537</v>
      </c>
    </row>
    <row r="813" customFormat="false" ht="15" hidden="false" customHeight="false" outlineLevel="0" collapsed="false">
      <c r="A813" s="106" t="s">
        <v>904</v>
      </c>
      <c r="B813" s="106" t="s">
        <v>4280</v>
      </c>
      <c r="C813" s="106" t="s">
        <v>4290</v>
      </c>
      <c r="D813" s="106" t="n">
        <v>501</v>
      </c>
      <c r="E813" s="107" t="n">
        <v>23</v>
      </c>
      <c r="F813" s="106" t="n">
        <v>2</v>
      </c>
      <c r="G813" s="118" t="n">
        <v>0.087</v>
      </c>
      <c r="H813" s="116" t="n">
        <v>2.1</v>
      </c>
      <c r="I813" s="106" t="n">
        <v>0</v>
      </c>
      <c r="J813" s="117" t="n">
        <v>0</v>
      </c>
      <c r="K813" s="108" t="n">
        <v>4.2</v>
      </c>
      <c r="L813" s="108" t="n">
        <v>0</v>
      </c>
      <c r="M813" s="117"/>
      <c r="N813" s="106" t="n">
        <v>4</v>
      </c>
      <c r="O813" s="106" t="n">
        <v>1</v>
      </c>
      <c r="P813" s="106" t="s">
        <v>4625</v>
      </c>
      <c r="Q813" s="106" t="n">
        <v>3</v>
      </c>
      <c r="R813" s="106" t="s">
        <v>4537</v>
      </c>
    </row>
    <row r="814" customFormat="false" ht="15" hidden="false" customHeight="false" outlineLevel="0" collapsed="false">
      <c r="A814" s="106" t="s">
        <v>5451</v>
      </c>
      <c r="B814" s="106" t="s">
        <v>4284</v>
      </c>
      <c r="C814" s="106"/>
      <c r="D814" s="106"/>
      <c r="E814" s="107" t="n">
        <v>45</v>
      </c>
      <c r="F814" s="106" t="n">
        <v>2</v>
      </c>
      <c r="G814" s="118" t="n">
        <v>0.0444</v>
      </c>
      <c r="H814" s="116" t="n">
        <v>2.09</v>
      </c>
      <c r="I814" s="106" t="n">
        <v>0</v>
      </c>
      <c r="J814" s="117" t="n">
        <v>0</v>
      </c>
      <c r="K814" s="108" t="n">
        <v>4.19</v>
      </c>
      <c r="L814" s="108" t="n">
        <v>0</v>
      </c>
      <c r="M814" s="117"/>
      <c r="N814" s="106"/>
      <c r="O814" s="106"/>
      <c r="P814" s="106"/>
      <c r="Q814" s="106"/>
      <c r="R814" s="106" t="s">
        <v>4537</v>
      </c>
    </row>
    <row r="815" customFormat="false" ht="15" hidden="false" customHeight="false" outlineLevel="0" collapsed="false">
      <c r="A815" s="106" t="s">
        <v>5452</v>
      </c>
      <c r="B815" s="106" t="s">
        <v>4329</v>
      </c>
      <c r="C815" s="106"/>
      <c r="D815" s="106" t="n">
        <v>25</v>
      </c>
      <c r="E815" s="107" t="n">
        <v>25</v>
      </c>
      <c r="F815" s="106" t="n">
        <v>2</v>
      </c>
      <c r="G815" s="118" t="n">
        <v>0.08</v>
      </c>
      <c r="H815" s="116" t="n">
        <v>2.07</v>
      </c>
      <c r="I815" s="106" t="n">
        <v>0</v>
      </c>
      <c r="J815" s="117" t="n">
        <v>0</v>
      </c>
      <c r="K815" s="108" t="n">
        <v>4.14</v>
      </c>
      <c r="L815" s="108" t="n">
        <v>0</v>
      </c>
      <c r="M815" s="117"/>
      <c r="N815" s="106"/>
      <c r="O815" s="106"/>
      <c r="P815" s="106"/>
      <c r="Q815" s="106"/>
      <c r="R815" s="106" t="s">
        <v>4537</v>
      </c>
    </row>
    <row r="816" customFormat="false" ht="15" hidden="false" customHeight="false" outlineLevel="0" collapsed="false">
      <c r="A816" s="106" t="s">
        <v>5453</v>
      </c>
      <c r="B816" s="106" t="s">
        <v>1403</v>
      </c>
      <c r="C816" s="106"/>
      <c r="D816" s="106"/>
      <c r="E816" s="107" t="n">
        <v>8</v>
      </c>
      <c r="F816" s="106" t="n">
        <v>2</v>
      </c>
      <c r="G816" s="118" t="n">
        <v>0.25</v>
      </c>
      <c r="H816" s="116" t="n">
        <v>2.13</v>
      </c>
      <c r="I816" s="106" t="n">
        <v>0</v>
      </c>
      <c r="J816" s="117" t="n">
        <v>0</v>
      </c>
      <c r="K816" s="108" t="n">
        <v>4.26</v>
      </c>
      <c r="L816" s="108" t="n">
        <v>0</v>
      </c>
      <c r="M816" s="117"/>
      <c r="N816" s="106"/>
      <c r="O816" s="106"/>
      <c r="P816" s="106"/>
      <c r="Q816" s="106"/>
      <c r="R816" s="106" t="s">
        <v>4537</v>
      </c>
    </row>
    <row r="817" customFormat="false" ht="15" hidden="false" customHeight="false" outlineLevel="0" collapsed="false">
      <c r="A817" s="106" t="s">
        <v>5454</v>
      </c>
      <c r="B817" s="106" t="s">
        <v>1403</v>
      </c>
      <c r="C817" s="106"/>
      <c r="D817" s="106" t="n">
        <v>2</v>
      </c>
      <c r="E817" s="107" t="n">
        <v>5</v>
      </c>
      <c r="F817" s="106" t="n">
        <v>2</v>
      </c>
      <c r="G817" s="118" t="n">
        <v>0.4</v>
      </c>
      <c r="H817" s="116" t="n">
        <v>2.13</v>
      </c>
      <c r="I817" s="106" t="n">
        <v>0</v>
      </c>
      <c r="J817" s="117" t="n">
        <v>0</v>
      </c>
      <c r="K817" s="108" t="n">
        <v>4.26</v>
      </c>
      <c r="L817" s="108" t="n">
        <v>0</v>
      </c>
      <c r="M817" s="117"/>
      <c r="N817" s="106"/>
      <c r="O817" s="106"/>
      <c r="P817" s="106"/>
      <c r="Q817" s="106"/>
      <c r="R817" s="106" t="s">
        <v>4537</v>
      </c>
    </row>
    <row r="818" customFormat="false" ht="15" hidden="false" customHeight="false" outlineLevel="0" collapsed="false">
      <c r="A818" s="106" t="s">
        <v>5455</v>
      </c>
      <c r="B818" s="106" t="s">
        <v>1403</v>
      </c>
      <c r="C818" s="106"/>
      <c r="D818" s="106"/>
      <c r="E818" s="107" t="n">
        <v>18</v>
      </c>
      <c r="F818" s="106" t="n">
        <v>2</v>
      </c>
      <c r="G818" s="118" t="n">
        <v>0.1111</v>
      </c>
      <c r="H818" s="116" t="n">
        <v>2.13</v>
      </c>
      <c r="I818" s="106" t="n">
        <v>0</v>
      </c>
      <c r="J818" s="117" t="n">
        <v>0</v>
      </c>
      <c r="K818" s="108" t="n">
        <v>4.26</v>
      </c>
      <c r="L818" s="108" t="n">
        <v>0</v>
      </c>
      <c r="M818" s="117"/>
      <c r="N818" s="106"/>
      <c r="O818" s="106"/>
      <c r="P818" s="106"/>
      <c r="Q818" s="106"/>
      <c r="R818" s="106" t="s">
        <v>4537</v>
      </c>
    </row>
    <row r="819" customFormat="false" ht="15" hidden="false" customHeight="false" outlineLevel="0" collapsed="false">
      <c r="A819" s="106" t="s">
        <v>5456</v>
      </c>
      <c r="B819" s="106" t="s">
        <v>1403</v>
      </c>
      <c r="C819" s="106"/>
      <c r="D819" s="106"/>
      <c r="E819" s="107" t="n">
        <v>10</v>
      </c>
      <c r="F819" s="106" t="n">
        <v>2</v>
      </c>
      <c r="G819" s="118" t="n">
        <v>0.2</v>
      </c>
      <c r="H819" s="116" t="n">
        <v>2.13</v>
      </c>
      <c r="I819" s="106" t="n">
        <v>0</v>
      </c>
      <c r="J819" s="117" t="n">
        <v>0</v>
      </c>
      <c r="K819" s="108" t="n">
        <v>4.26</v>
      </c>
      <c r="L819" s="108" t="n">
        <v>0</v>
      </c>
      <c r="M819" s="117"/>
      <c r="N819" s="106"/>
      <c r="O819" s="106"/>
      <c r="P819" s="106"/>
      <c r="Q819" s="106"/>
      <c r="R819" s="106" t="s">
        <v>4537</v>
      </c>
    </row>
    <row r="820" customFormat="false" ht="15" hidden="false" customHeight="false" outlineLevel="0" collapsed="false">
      <c r="A820" s="106" t="s">
        <v>5457</v>
      </c>
      <c r="B820" s="106" t="s">
        <v>4284</v>
      </c>
      <c r="C820" s="106"/>
      <c r="D820" s="106"/>
      <c r="E820" s="107" t="n">
        <v>235</v>
      </c>
      <c r="F820" s="106" t="n">
        <v>2</v>
      </c>
      <c r="G820" s="118" t="n">
        <v>0.0085</v>
      </c>
      <c r="H820" s="116" t="n">
        <v>2.13</v>
      </c>
      <c r="I820" s="106" t="n">
        <v>0</v>
      </c>
      <c r="J820" s="117" t="n">
        <v>0</v>
      </c>
      <c r="K820" s="108" t="n">
        <v>4.26</v>
      </c>
      <c r="L820" s="108" t="n">
        <v>0</v>
      </c>
      <c r="M820" s="117"/>
      <c r="N820" s="106"/>
      <c r="O820" s="106"/>
      <c r="P820" s="106"/>
      <c r="Q820" s="106"/>
      <c r="R820" s="106" t="s">
        <v>4537</v>
      </c>
    </row>
    <row r="821" customFormat="false" ht="15" hidden="false" customHeight="false" outlineLevel="0" collapsed="false">
      <c r="A821" s="106" t="s">
        <v>5458</v>
      </c>
      <c r="B821" s="106" t="s">
        <v>4329</v>
      </c>
      <c r="C821" s="106"/>
      <c r="D821" s="106" t="n">
        <v>13</v>
      </c>
      <c r="E821" s="107" t="n">
        <v>7</v>
      </c>
      <c r="F821" s="106" t="n">
        <v>2</v>
      </c>
      <c r="G821" s="118" t="n">
        <v>0.2857</v>
      </c>
      <c r="H821" s="116" t="n">
        <v>2.2</v>
      </c>
      <c r="I821" s="106" t="n">
        <v>2</v>
      </c>
      <c r="J821" s="117" t="n">
        <v>1</v>
      </c>
      <c r="K821" s="108" t="n">
        <v>4.4</v>
      </c>
      <c r="L821" s="108" t="n">
        <v>113.98</v>
      </c>
      <c r="M821" s="117" t="n">
        <v>0.039</v>
      </c>
      <c r="N821" s="106"/>
      <c r="O821" s="106"/>
      <c r="P821" s="106"/>
      <c r="Q821" s="106"/>
      <c r="R821" s="106" t="s">
        <v>4285</v>
      </c>
    </row>
    <row r="822" customFormat="false" ht="15" hidden="false" customHeight="false" outlineLevel="0" collapsed="false">
      <c r="A822" s="106" t="s">
        <v>5459</v>
      </c>
      <c r="B822" s="106" t="s">
        <v>4280</v>
      </c>
      <c r="C822" s="106" t="s">
        <v>4281</v>
      </c>
      <c r="D822" s="106" t="n">
        <v>355</v>
      </c>
      <c r="E822" s="107" t="n">
        <v>157</v>
      </c>
      <c r="F822" s="106" t="n">
        <v>2</v>
      </c>
      <c r="G822" s="118" t="n">
        <v>0.0127</v>
      </c>
      <c r="H822" s="116" t="n">
        <v>2.29</v>
      </c>
      <c r="I822" s="106" t="n">
        <v>0</v>
      </c>
      <c r="J822" s="117" t="n">
        <v>0</v>
      </c>
      <c r="K822" s="108" t="n">
        <v>4.58</v>
      </c>
      <c r="L822" s="108" t="n">
        <v>0</v>
      </c>
      <c r="M822" s="117"/>
      <c r="N822" s="106"/>
      <c r="O822" s="106"/>
      <c r="P822" s="106"/>
      <c r="Q822" s="106"/>
      <c r="R822" s="106" t="s">
        <v>4537</v>
      </c>
    </row>
    <row r="823" customFormat="false" ht="15" hidden="false" customHeight="false" outlineLevel="0" collapsed="false">
      <c r="A823" s="106" t="s">
        <v>5460</v>
      </c>
      <c r="B823" s="106" t="s">
        <v>4280</v>
      </c>
      <c r="C823" s="106"/>
      <c r="D823" s="106" t="n">
        <v>178</v>
      </c>
      <c r="E823" s="107" t="n">
        <v>185</v>
      </c>
      <c r="F823" s="106" t="n">
        <v>2</v>
      </c>
      <c r="G823" s="118" t="n">
        <v>0.0108</v>
      </c>
      <c r="H823" s="116" t="n">
        <v>2.29</v>
      </c>
      <c r="I823" s="106" t="n">
        <v>0</v>
      </c>
      <c r="J823" s="117" t="n">
        <v>0</v>
      </c>
      <c r="K823" s="108" t="n">
        <v>4.58</v>
      </c>
      <c r="L823" s="108" t="n">
        <v>0</v>
      </c>
      <c r="M823" s="117"/>
      <c r="N823" s="106"/>
      <c r="O823" s="106"/>
      <c r="P823" s="106"/>
      <c r="Q823" s="106"/>
      <c r="R823" s="106" t="s">
        <v>4537</v>
      </c>
    </row>
    <row r="824" customFormat="false" ht="15" hidden="false" customHeight="false" outlineLevel="0" collapsed="false">
      <c r="A824" s="106" t="s">
        <v>5461</v>
      </c>
      <c r="B824" s="106" t="s">
        <v>4280</v>
      </c>
      <c r="C824" s="106" t="s">
        <v>4281</v>
      </c>
      <c r="D824" s="106" t="n">
        <v>527</v>
      </c>
      <c r="E824" s="107" t="n">
        <v>436</v>
      </c>
      <c r="F824" s="106" t="n">
        <v>2</v>
      </c>
      <c r="G824" s="118" t="n">
        <v>0.0046</v>
      </c>
      <c r="H824" s="116" t="n">
        <v>2.29</v>
      </c>
      <c r="I824" s="106" t="n">
        <v>1</v>
      </c>
      <c r="J824" s="117" t="n">
        <v>0.5</v>
      </c>
      <c r="K824" s="108" t="n">
        <v>4.58</v>
      </c>
      <c r="L824" s="108" t="n">
        <v>74.99</v>
      </c>
      <c r="M824" s="117" t="n">
        <v>0.061</v>
      </c>
      <c r="N824" s="106"/>
      <c r="O824" s="106"/>
      <c r="P824" s="106"/>
      <c r="Q824" s="106"/>
      <c r="R824" s="106" t="s">
        <v>4285</v>
      </c>
    </row>
    <row r="825" customFormat="false" ht="15" hidden="false" customHeight="false" outlineLevel="0" collapsed="false">
      <c r="A825" s="106" t="s">
        <v>5462</v>
      </c>
      <c r="B825" s="106" t="s">
        <v>4280</v>
      </c>
      <c r="C825" s="106" t="s">
        <v>4287</v>
      </c>
      <c r="D825" s="106" t="n">
        <v>454</v>
      </c>
      <c r="E825" s="107" t="n">
        <v>5</v>
      </c>
      <c r="F825" s="106" t="n">
        <v>2</v>
      </c>
      <c r="G825" s="118" t="n">
        <v>0.4</v>
      </c>
      <c r="H825" s="116" t="n">
        <v>2.26</v>
      </c>
      <c r="I825" s="106" t="n">
        <v>0</v>
      </c>
      <c r="J825" s="117" t="n">
        <v>0</v>
      </c>
      <c r="K825" s="108" t="n">
        <v>4.52</v>
      </c>
      <c r="L825" s="108" t="n">
        <v>0</v>
      </c>
      <c r="M825" s="117"/>
      <c r="N825" s="106"/>
      <c r="O825" s="106"/>
      <c r="P825" s="106"/>
      <c r="Q825" s="106"/>
      <c r="R825" s="106" t="s">
        <v>4537</v>
      </c>
    </row>
    <row r="826" customFormat="false" ht="15" hidden="false" customHeight="false" outlineLevel="0" collapsed="false">
      <c r="A826" s="106" t="s">
        <v>5463</v>
      </c>
      <c r="B826" s="106" t="s">
        <v>1403</v>
      </c>
      <c r="C826" s="106"/>
      <c r="D826" s="106" t="n">
        <v>2</v>
      </c>
      <c r="E826" s="107" t="n">
        <v>2</v>
      </c>
      <c r="F826" s="106" t="n">
        <v>2</v>
      </c>
      <c r="G826" s="118" t="n">
        <v>1</v>
      </c>
      <c r="H826" s="116" t="n">
        <v>2.21</v>
      </c>
      <c r="I826" s="106" t="n">
        <v>0</v>
      </c>
      <c r="J826" s="117" t="n">
        <v>0</v>
      </c>
      <c r="K826" s="108" t="n">
        <v>4.42</v>
      </c>
      <c r="L826" s="108" t="n">
        <v>0</v>
      </c>
      <c r="M826" s="117"/>
      <c r="N826" s="106"/>
      <c r="O826" s="106"/>
      <c r="P826" s="106"/>
      <c r="Q826" s="106"/>
      <c r="R826" s="106" t="s">
        <v>4537</v>
      </c>
    </row>
    <row r="827" customFormat="false" ht="15" hidden="false" customHeight="false" outlineLevel="0" collapsed="false">
      <c r="A827" s="106" t="s">
        <v>5464</v>
      </c>
      <c r="B827" s="106" t="s">
        <v>1403</v>
      </c>
      <c r="C827" s="106"/>
      <c r="D827" s="106"/>
      <c r="E827" s="107" t="n">
        <v>6</v>
      </c>
      <c r="F827" s="106" t="n">
        <v>2</v>
      </c>
      <c r="G827" s="118" t="n">
        <v>0.3333</v>
      </c>
      <c r="H827" s="116" t="n">
        <v>0.49</v>
      </c>
      <c r="I827" s="106" t="n">
        <v>1</v>
      </c>
      <c r="J827" s="117" t="n">
        <v>0.5</v>
      </c>
      <c r="K827" s="108" t="n">
        <v>0.97</v>
      </c>
      <c r="L827" s="108" t="n">
        <v>74.97</v>
      </c>
      <c r="M827" s="117" t="n">
        <v>0.013</v>
      </c>
      <c r="N827" s="106"/>
      <c r="O827" s="106"/>
      <c r="P827" s="106"/>
      <c r="Q827" s="106"/>
      <c r="R827" s="106" t="s">
        <v>4285</v>
      </c>
    </row>
    <row r="828" customFormat="false" ht="15" hidden="false" customHeight="false" outlineLevel="0" collapsed="false">
      <c r="A828" s="106" t="s">
        <v>5465</v>
      </c>
      <c r="B828" s="106" t="s">
        <v>1403</v>
      </c>
      <c r="C828" s="106"/>
      <c r="D828" s="106" t="n">
        <v>5</v>
      </c>
      <c r="E828" s="107" t="n">
        <v>3</v>
      </c>
      <c r="F828" s="106" t="n">
        <v>2</v>
      </c>
      <c r="G828" s="118" t="n">
        <v>0.6667</v>
      </c>
      <c r="H828" s="116" t="n">
        <v>0.51</v>
      </c>
      <c r="I828" s="106" t="n">
        <v>0</v>
      </c>
      <c r="J828" s="117" t="n">
        <v>0</v>
      </c>
      <c r="K828" s="108" t="n">
        <v>1.02</v>
      </c>
      <c r="L828" s="108" t="n">
        <v>0</v>
      </c>
      <c r="M828" s="117"/>
      <c r="N828" s="106"/>
      <c r="O828" s="106"/>
      <c r="P828" s="106"/>
      <c r="Q828" s="106"/>
      <c r="R828" s="106" t="s">
        <v>4537</v>
      </c>
    </row>
    <row r="829" customFormat="false" ht="15" hidden="false" customHeight="false" outlineLevel="0" collapsed="false">
      <c r="A829" s="106" t="s">
        <v>5466</v>
      </c>
      <c r="B829" s="106" t="s">
        <v>1403</v>
      </c>
      <c r="C829" s="106"/>
      <c r="D829" s="106" t="n">
        <v>2</v>
      </c>
      <c r="E829" s="107" t="n">
        <v>13</v>
      </c>
      <c r="F829" s="106" t="n">
        <v>2</v>
      </c>
      <c r="G829" s="118" t="n">
        <v>0.1538</v>
      </c>
      <c r="H829" s="116" t="n">
        <v>0.55</v>
      </c>
      <c r="I829" s="106" t="n">
        <v>0</v>
      </c>
      <c r="J829" s="117" t="n">
        <v>0</v>
      </c>
      <c r="K829" s="108" t="n">
        <v>1.1</v>
      </c>
      <c r="L829" s="108" t="n">
        <v>0</v>
      </c>
      <c r="M829" s="117"/>
      <c r="N829" s="106"/>
      <c r="O829" s="106"/>
      <c r="P829" s="106"/>
      <c r="Q829" s="106"/>
      <c r="R829" s="106" t="s">
        <v>4537</v>
      </c>
    </row>
    <row r="830" customFormat="false" ht="15" hidden="false" customHeight="false" outlineLevel="0" collapsed="false">
      <c r="A830" s="106" t="s">
        <v>5467</v>
      </c>
      <c r="B830" s="106" t="s">
        <v>4284</v>
      </c>
      <c r="C830" s="106"/>
      <c r="D830" s="106" t="n">
        <v>264</v>
      </c>
      <c r="E830" s="107" t="n">
        <v>5</v>
      </c>
      <c r="F830" s="106" t="n">
        <v>2</v>
      </c>
      <c r="G830" s="118" t="n">
        <v>0.4</v>
      </c>
      <c r="H830" s="116" t="n">
        <v>0.55</v>
      </c>
      <c r="I830" s="106" t="n">
        <v>0</v>
      </c>
      <c r="J830" s="117" t="n">
        <v>0</v>
      </c>
      <c r="K830" s="108" t="n">
        <v>1.1</v>
      </c>
      <c r="L830" s="108" t="n">
        <v>0</v>
      </c>
      <c r="M830" s="117"/>
      <c r="N830" s="106"/>
      <c r="O830" s="106"/>
      <c r="P830" s="106"/>
      <c r="Q830" s="106"/>
      <c r="R830" s="106" t="s">
        <v>4537</v>
      </c>
    </row>
    <row r="831" customFormat="false" ht="15" hidden="false" customHeight="false" outlineLevel="0" collapsed="false">
      <c r="A831" s="106" t="s">
        <v>5468</v>
      </c>
      <c r="B831" s="106" t="s">
        <v>4280</v>
      </c>
      <c r="C831" s="106"/>
      <c r="D831" s="106" t="n">
        <v>78</v>
      </c>
      <c r="E831" s="107" t="n">
        <v>4</v>
      </c>
      <c r="F831" s="106" t="n">
        <v>2</v>
      </c>
      <c r="G831" s="118" t="n">
        <v>0.5</v>
      </c>
      <c r="H831" s="116" t="n">
        <v>0.55</v>
      </c>
      <c r="I831" s="106" t="n">
        <v>0</v>
      </c>
      <c r="J831" s="117" t="n">
        <v>0</v>
      </c>
      <c r="K831" s="108" t="n">
        <v>1.1</v>
      </c>
      <c r="L831" s="108" t="n">
        <v>0</v>
      </c>
      <c r="M831" s="117"/>
      <c r="N831" s="106"/>
      <c r="O831" s="106"/>
      <c r="P831" s="106"/>
      <c r="Q831" s="106"/>
      <c r="R831" s="106" t="s">
        <v>4537</v>
      </c>
    </row>
    <row r="832" customFormat="false" ht="15" hidden="false" customHeight="false" outlineLevel="0" collapsed="false">
      <c r="A832" s="106" t="s">
        <v>5469</v>
      </c>
      <c r="B832" s="106" t="s">
        <v>1403</v>
      </c>
      <c r="C832" s="106"/>
      <c r="D832" s="106" t="n">
        <v>1</v>
      </c>
      <c r="E832" s="107" t="n">
        <v>13</v>
      </c>
      <c r="F832" s="106" t="n">
        <v>2</v>
      </c>
      <c r="G832" s="118" t="n">
        <v>0.1538</v>
      </c>
      <c r="H832" s="116" t="n">
        <v>1.73</v>
      </c>
      <c r="I832" s="106" t="n">
        <v>2</v>
      </c>
      <c r="J832" s="117" t="n">
        <v>1</v>
      </c>
      <c r="K832" s="108" t="n">
        <v>3.46</v>
      </c>
      <c r="L832" s="108" t="n">
        <v>62.63</v>
      </c>
      <c r="M832" s="117" t="n">
        <v>0.055</v>
      </c>
      <c r="N832" s="106"/>
      <c r="O832" s="106"/>
      <c r="P832" s="106"/>
      <c r="Q832" s="106"/>
      <c r="R832" s="106" t="s">
        <v>4285</v>
      </c>
    </row>
    <row r="833" customFormat="false" ht="15" hidden="false" customHeight="false" outlineLevel="0" collapsed="false">
      <c r="A833" s="106" t="s">
        <v>5470</v>
      </c>
      <c r="B833" s="106" t="s">
        <v>1403</v>
      </c>
      <c r="C833" s="106"/>
      <c r="D833" s="106" t="n">
        <v>1</v>
      </c>
      <c r="E833" s="107" t="n">
        <v>12</v>
      </c>
      <c r="F833" s="106" t="n">
        <v>2</v>
      </c>
      <c r="G833" s="118" t="n">
        <v>0.1667</v>
      </c>
      <c r="H833" s="116" t="n">
        <v>1.73</v>
      </c>
      <c r="I833" s="106" t="n">
        <v>0</v>
      </c>
      <c r="J833" s="117" t="n">
        <v>0</v>
      </c>
      <c r="K833" s="108" t="n">
        <v>3.45</v>
      </c>
      <c r="L833" s="108" t="n">
        <v>0</v>
      </c>
      <c r="M833" s="117"/>
      <c r="N833" s="106"/>
      <c r="O833" s="106"/>
      <c r="P833" s="106"/>
      <c r="Q833" s="106"/>
      <c r="R833" s="106" t="s">
        <v>4537</v>
      </c>
    </row>
    <row r="834" customFormat="false" ht="15" hidden="false" customHeight="false" outlineLevel="0" collapsed="false">
      <c r="A834" s="106" t="s">
        <v>5471</v>
      </c>
      <c r="B834" s="106" t="s">
        <v>1403</v>
      </c>
      <c r="C834" s="106"/>
      <c r="D834" s="106"/>
      <c r="E834" s="107" t="n">
        <v>7</v>
      </c>
      <c r="F834" s="106" t="n">
        <v>2</v>
      </c>
      <c r="G834" s="118" t="n">
        <v>0.2857</v>
      </c>
      <c r="H834" s="116" t="n">
        <v>1.8</v>
      </c>
      <c r="I834" s="106" t="n">
        <v>3</v>
      </c>
      <c r="J834" s="117" t="n">
        <v>1.5</v>
      </c>
      <c r="K834" s="108" t="n">
        <v>3.59</v>
      </c>
      <c r="L834" s="108" t="n">
        <v>105.97</v>
      </c>
      <c r="M834" s="117" t="n">
        <v>0.034</v>
      </c>
      <c r="N834" s="106"/>
      <c r="O834" s="106"/>
      <c r="P834" s="106"/>
      <c r="Q834" s="106"/>
      <c r="R834" s="106" t="s">
        <v>4285</v>
      </c>
    </row>
    <row r="835" customFormat="false" ht="15" hidden="false" customHeight="false" outlineLevel="0" collapsed="false">
      <c r="A835" s="106" t="s">
        <v>5472</v>
      </c>
      <c r="B835" s="106" t="s">
        <v>4284</v>
      </c>
      <c r="C835" s="106"/>
      <c r="D835" s="106" t="n">
        <v>2</v>
      </c>
      <c r="E835" s="107" t="n">
        <v>3</v>
      </c>
      <c r="F835" s="106" t="n">
        <v>2</v>
      </c>
      <c r="G835" s="118" t="n">
        <v>0.6667</v>
      </c>
      <c r="H835" s="116" t="n">
        <v>1.91</v>
      </c>
      <c r="I835" s="106" t="n">
        <v>1</v>
      </c>
      <c r="J835" s="117" t="n">
        <v>0.5</v>
      </c>
      <c r="K835" s="108" t="n">
        <v>3.82</v>
      </c>
      <c r="L835" s="108" t="n">
        <v>79.99</v>
      </c>
      <c r="M835" s="117" t="n">
        <v>0.048</v>
      </c>
      <c r="N835" s="106"/>
      <c r="O835" s="106"/>
      <c r="P835" s="106"/>
      <c r="Q835" s="106"/>
      <c r="R835" s="106" t="s">
        <v>4285</v>
      </c>
    </row>
    <row r="836" customFormat="false" ht="15" hidden="false" customHeight="false" outlineLevel="0" collapsed="false">
      <c r="A836" s="106" t="s">
        <v>5473</v>
      </c>
      <c r="B836" s="106" t="s">
        <v>4280</v>
      </c>
      <c r="C836" s="106" t="s">
        <v>4364</v>
      </c>
      <c r="D836" s="106" t="n">
        <v>307</v>
      </c>
      <c r="E836" s="107" t="n">
        <v>7</v>
      </c>
      <c r="F836" s="106" t="n">
        <v>2</v>
      </c>
      <c r="G836" s="118" t="n">
        <v>0.2857</v>
      </c>
      <c r="H836" s="116" t="n">
        <v>1.91</v>
      </c>
      <c r="I836" s="106" t="n">
        <v>0</v>
      </c>
      <c r="J836" s="117" t="n">
        <v>0</v>
      </c>
      <c r="K836" s="108" t="n">
        <v>3.81</v>
      </c>
      <c r="L836" s="108" t="n">
        <v>0</v>
      </c>
      <c r="M836" s="117"/>
      <c r="N836" s="106"/>
      <c r="O836" s="106"/>
      <c r="P836" s="106"/>
      <c r="Q836" s="106"/>
      <c r="R836" s="106" t="s">
        <v>4537</v>
      </c>
    </row>
    <row r="837" customFormat="false" ht="15" hidden="false" customHeight="false" outlineLevel="0" collapsed="false">
      <c r="A837" s="106" t="s">
        <v>5474</v>
      </c>
      <c r="B837" s="106" t="s">
        <v>1403</v>
      </c>
      <c r="C837" s="106"/>
      <c r="D837" s="106" t="n">
        <v>1</v>
      </c>
      <c r="E837" s="107" t="n">
        <v>9</v>
      </c>
      <c r="F837" s="106" t="n">
        <v>2</v>
      </c>
      <c r="G837" s="118" t="n">
        <v>0.2222</v>
      </c>
      <c r="H837" s="116" t="n">
        <v>1.89</v>
      </c>
      <c r="I837" s="106" t="n">
        <v>0</v>
      </c>
      <c r="J837" s="117" t="n">
        <v>0</v>
      </c>
      <c r="K837" s="108" t="n">
        <v>3.78</v>
      </c>
      <c r="L837" s="108" t="n">
        <v>0</v>
      </c>
      <c r="M837" s="117"/>
      <c r="N837" s="106"/>
      <c r="O837" s="106"/>
      <c r="P837" s="106"/>
      <c r="Q837" s="106"/>
      <c r="R837" s="106" t="s">
        <v>4537</v>
      </c>
    </row>
    <row r="838" customFormat="false" ht="15" hidden="false" customHeight="false" outlineLevel="0" collapsed="false">
      <c r="A838" s="106" t="s">
        <v>5475</v>
      </c>
      <c r="B838" s="106" t="s">
        <v>4280</v>
      </c>
      <c r="C838" s="106"/>
      <c r="D838" s="106" t="n">
        <v>30</v>
      </c>
      <c r="E838" s="107" t="n">
        <v>1</v>
      </c>
      <c r="F838" s="106" t="n">
        <v>2</v>
      </c>
      <c r="G838" s="118" t="n">
        <v>2</v>
      </c>
      <c r="H838" s="116" t="n">
        <v>2.04</v>
      </c>
      <c r="I838" s="106" t="n">
        <v>0</v>
      </c>
      <c r="J838" s="117" t="n">
        <v>0</v>
      </c>
      <c r="K838" s="108" t="n">
        <v>4.07</v>
      </c>
      <c r="L838" s="108" t="n">
        <v>0</v>
      </c>
      <c r="M838" s="117"/>
      <c r="N838" s="106"/>
      <c r="O838" s="106"/>
      <c r="P838" s="106"/>
      <c r="Q838" s="106"/>
      <c r="R838" s="106" t="s">
        <v>4537</v>
      </c>
    </row>
    <row r="839" customFormat="false" ht="15" hidden="false" customHeight="false" outlineLevel="0" collapsed="false">
      <c r="A839" s="106" t="s">
        <v>5476</v>
      </c>
      <c r="B839" s="106" t="s">
        <v>1403</v>
      </c>
      <c r="C839" s="106"/>
      <c r="D839" s="106"/>
      <c r="E839" s="107" t="n">
        <v>23</v>
      </c>
      <c r="F839" s="106" t="n">
        <v>2</v>
      </c>
      <c r="G839" s="118" t="n">
        <v>0.087</v>
      </c>
      <c r="H839" s="116" t="n">
        <v>0.57</v>
      </c>
      <c r="I839" s="106" t="n">
        <v>0</v>
      </c>
      <c r="J839" s="117" t="n">
        <v>0</v>
      </c>
      <c r="K839" s="108" t="n">
        <v>1.14</v>
      </c>
      <c r="L839" s="108" t="n">
        <v>0</v>
      </c>
      <c r="M839" s="117"/>
      <c r="N839" s="106"/>
      <c r="O839" s="106"/>
      <c r="P839" s="106"/>
      <c r="Q839" s="106"/>
      <c r="R839" s="106" t="s">
        <v>4537</v>
      </c>
    </row>
    <row r="840" customFormat="false" ht="15" hidden="false" customHeight="false" outlineLevel="0" collapsed="false">
      <c r="A840" s="106" t="s">
        <v>5477</v>
      </c>
      <c r="B840" s="106" t="s">
        <v>1403</v>
      </c>
      <c r="C840" s="106"/>
      <c r="D840" s="106" t="n">
        <v>9</v>
      </c>
      <c r="E840" s="107" t="n">
        <v>5</v>
      </c>
      <c r="F840" s="106" t="n">
        <v>2</v>
      </c>
      <c r="G840" s="118" t="n">
        <v>0.4</v>
      </c>
      <c r="H840" s="116" t="n">
        <v>0.62</v>
      </c>
      <c r="I840" s="106" t="n">
        <v>0</v>
      </c>
      <c r="J840" s="117" t="n">
        <v>0</v>
      </c>
      <c r="K840" s="108" t="n">
        <v>1.23</v>
      </c>
      <c r="L840" s="108" t="n">
        <v>0</v>
      </c>
      <c r="M840" s="117"/>
      <c r="N840" s="106"/>
      <c r="O840" s="106"/>
      <c r="P840" s="106"/>
      <c r="Q840" s="106"/>
      <c r="R840" s="106" t="s">
        <v>4537</v>
      </c>
    </row>
    <row r="841" customFormat="false" ht="15" hidden="false" customHeight="false" outlineLevel="0" collapsed="false">
      <c r="A841" s="106" t="s">
        <v>4808</v>
      </c>
      <c r="B841" s="106" t="s">
        <v>4329</v>
      </c>
      <c r="C841" s="106" t="s">
        <v>4288</v>
      </c>
      <c r="D841" s="106" t="n">
        <v>1961</v>
      </c>
      <c r="E841" s="107" t="n">
        <v>9</v>
      </c>
      <c r="F841" s="106" t="n">
        <v>2</v>
      </c>
      <c r="G841" s="118" t="n">
        <v>0.2222</v>
      </c>
      <c r="H841" s="116" t="n">
        <v>0.62</v>
      </c>
      <c r="I841" s="106" t="n">
        <v>0</v>
      </c>
      <c r="J841" s="117" t="n">
        <v>0</v>
      </c>
      <c r="K841" s="108" t="n">
        <v>1.24</v>
      </c>
      <c r="L841" s="108" t="n">
        <v>0</v>
      </c>
      <c r="M841" s="117"/>
      <c r="N841" s="106"/>
      <c r="O841" s="106" t="n">
        <v>82</v>
      </c>
      <c r="P841" s="106"/>
      <c r="Q841" s="106" t="n">
        <v>101</v>
      </c>
      <c r="R841" s="106" t="s">
        <v>4537</v>
      </c>
    </row>
    <row r="842" customFormat="false" ht="15" hidden="false" customHeight="false" outlineLevel="0" collapsed="false">
      <c r="A842" s="106" t="s">
        <v>5478</v>
      </c>
      <c r="B842" s="106" t="s">
        <v>1403</v>
      </c>
      <c r="C842" s="106"/>
      <c r="D842" s="106" t="n">
        <v>4</v>
      </c>
      <c r="E842" s="107" t="n">
        <v>25</v>
      </c>
      <c r="F842" s="106" t="n">
        <v>2</v>
      </c>
      <c r="G842" s="118" t="n">
        <v>0.08</v>
      </c>
      <c r="H842" s="116" t="n">
        <v>0.7</v>
      </c>
      <c r="I842" s="106" t="n">
        <v>1</v>
      </c>
      <c r="J842" s="117" t="n">
        <v>0.5</v>
      </c>
      <c r="K842" s="108" t="n">
        <v>1.4</v>
      </c>
      <c r="L842" s="108" t="n">
        <v>55.24</v>
      </c>
      <c r="M842" s="117" t="n">
        <v>0.025</v>
      </c>
      <c r="N842" s="106"/>
      <c r="O842" s="106"/>
      <c r="P842" s="106"/>
      <c r="Q842" s="106"/>
      <c r="R842" s="106" t="s">
        <v>4285</v>
      </c>
    </row>
    <row r="843" customFormat="false" ht="15" hidden="false" customHeight="false" outlineLevel="0" collapsed="false">
      <c r="A843" s="106" t="s">
        <v>5479</v>
      </c>
      <c r="B843" s="106" t="s">
        <v>4329</v>
      </c>
      <c r="C843" s="106"/>
      <c r="D843" s="106" t="n">
        <v>17</v>
      </c>
      <c r="E843" s="107" t="n">
        <v>2</v>
      </c>
      <c r="F843" s="106" t="n">
        <v>2</v>
      </c>
      <c r="G843" s="118" t="n">
        <v>1</v>
      </c>
      <c r="H843" s="116" t="n">
        <v>3.17</v>
      </c>
      <c r="I843" s="106" t="n">
        <v>0</v>
      </c>
      <c r="J843" s="117" t="n">
        <v>0</v>
      </c>
      <c r="K843" s="108" t="n">
        <v>6.34</v>
      </c>
      <c r="L843" s="108" t="n">
        <v>0</v>
      </c>
      <c r="M843" s="117"/>
      <c r="N843" s="106"/>
      <c r="O843" s="106"/>
      <c r="P843" s="106"/>
      <c r="Q843" s="106"/>
      <c r="R843" s="106" t="s">
        <v>4537</v>
      </c>
    </row>
    <row r="844" customFormat="false" ht="15" hidden="false" customHeight="false" outlineLevel="0" collapsed="false">
      <c r="A844" s="106" t="s">
        <v>5480</v>
      </c>
      <c r="B844" s="106" t="s">
        <v>4329</v>
      </c>
      <c r="C844" s="106"/>
      <c r="D844" s="106" t="n">
        <v>31</v>
      </c>
      <c r="E844" s="107" t="n">
        <v>2</v>
      </c>
      <c r="F844" s="106" t="n">
        <v>2</v>
      </c>
      <c r="G844" s="118" t="n">
        <v>1</v>
      </c>
      <c r="H844" s="116" t="n">
        <v>3.17</v>
      </c>
      <c r="I844" s="106" t="n">
        <v>0</v>
      </c>
      <c r="J844" s="117" t="n">
        <v>0</v>
      </c>
      <c r="K844" s="108" t="n">
        <v>6.34</v>
      </c>
      <c r="L844" s="108" t="n">
        <v>0</v>
      </c>
      <c r="M844" s="117"/>
      <c r="N844" s="106"/>
      <c r="O844" s="106"/>
      <c r="P844" s="106"/>
      <c r="Q844" s="106"/>
      <c r="R844" s="106" t="s">
        <v>4537</v>
      </c>
    </row>
    <row r="845" customFormat="false" ht="15" hidden="false" customHeight="false" outlineLevel="0" collapsed="false">
      <c r="A845" s="106" t="s">
        <v>5481</v>
      </c>
      <c r="B845" s="106" t="s">
        <v>4280</v>
      </c>
      <c r="C845" s="106" t="s">
        <v>4301</v>
      </c>
      <c r="D845" s="106" t="n">
        <v>360</v>
      </c>
      <c r="E845" s="107" t="n">
        <v>3</v>
      </c>
      <c r="F845" s="106" t="n">
        <v>2</v>
      </c>
      <c r="G845" s="118" t="n">
        <v>0.6667</v>
      </c>
      <c r="H845" s="116" t="n">
        <v>3.17</v>
      </c>
      <c r="I845" s="106" t="n">
        <v>1</v>
      </c>
      <c r="J845" s="117" t="n">
        <v>0.5</v>
      </c>
      <c r="K845" s="108" t="n">
        <v>6.33</v>
      </c>
      <c r="L845" s="108" t="n">
        <v>84.99</v>
      </c>
      <c r="M845" s="117" t="n">
        <v>0.074</v>
      </c>
      <c r="N845" s="106"/>
      <c r="O845" s="106"/>
      <c r="P845" s="106"/>
      <c r="Q845" s="106"/>
      <c r="R845" s="106" t="s">
        <v>4285</v>
      </c>
    </row>
    <row r="846" customFormat="false" ht="15" hidden="false" customHeight="false" outlineLevel="0" collapsed="false">
      <c r="A846" s="106" t="s">
        <v>5482</v>
      </c>
      <c r="B846" s="106" t="s">
        <v>4280</v>
      </c>
      <c r="C846" s="106"/>
      <c r="D846" s="106" t="n">
        <v>193</v>
      </c>
      <c r="E846" s="107" t="n">
        <v>23</v>
      </c>
      <c r="F846" s="106" t="n">
        <v>2</v>
      </c>
      <c r="G846" s="118" t="n">
        <v>0.087</v>
      </c>
      <c r="H846" s="116" t="n">
        <v>2.41</v>
      </c>
      <c r="I846" s="106" t="n">
        <v>0</v>
      </c>
      <c r="J846" s="117" t="n">
        <v>0</v>
      </c>
      <c r="K846" s="108" t="n">
        <v>4.82</v>
      </c>
      <c r="L846" s="108" t="n">
        <v>0</v>
      </c>
      <c r="M846" s="117"/>
      <c r="N846" s="106"/>
      <c r="O846" s="106"/>
      <c r="P846" s="106"/>
      <c r="Q846" s="106"/>
      <c r="R846" s="106" t="s">
        <v>4537</v>
      </c>
    </row>
    <row r="847" customFormat="false" ht="15" hidden="false" customHeight="false" outlineLevel="0" collapsed="false">
      <c r="A847" s="106" t="s">
        <v>5483</v>
      </c>
      <c r="B847" s="106" t="s">
        <v>4329</v>
      </c>
      <c r="C847" s="106"/>
      <c r="D847" s="106" t="n">
        <v>17</v>
      </c>
      <c r="E847" s="107" t="n">
        <v>16</v>
      </c>
      <c r="F847" s="106" t="n">
        <v>2</v>
      </c>
      <c r="G847" s="118" t="n">
        <v>0.125</v>
      </c>
      <c r="H847" s="116" t="n">
        <v>2.4</v>
      </c>
      <c r="I847" s="106" t="n">
        <v>0</v>
      </c>
      <c r="J847" s="117" t="n">
        <v>0</v>
      </c>
      <c r="K847" s="108" t="n">
        <v>4.8</v>
      </c>
      <c r="L847" s="108" t="n">
        <v>0</v>
      </c>
      <c r="M847" s="117"/>
      <c r="N847" s="106"/>
      <c r="O847" s="106"/>
      <c r="P847" s="106"/>
      <c r="Q847" s="106"/>
      <c r="R847" s="106" t="s">
        <v>4537</v>
      </c>
    </row>
    <row r="848" customFormat="false" ht="15" hidden="false" customHeight="false" outlineLevel="0" collapsed="false">
      <c r="A848" s="106" t="s">
        <v>5484</v>
      </c>
      <c r="B848" s="106" t="s">
        <v>4280</v>
      </c>
      <c r="C848" s="106"/>
      <c r="D848" s="106" t="n">
        <v>51</v>
      </c>
      <c r="E848" s="107" t="n">
        <v>2</v>
      </c>
      <c r="F848" s="106" t="n">
        <v>2</v>
      </c>
      <c r="G848" s="118" t="n">
        <v>1</v>
      </c>
      <c r="H848" s="116" t="n">
        <v>2.37</v>
      </c>
      <c r="I848" s="106" t="n">
        <v>0</v>
      </c>
      <c r="J848" s="117" t="n">
        <v>0</v>
      </c>
      <c r="K848" s="108" t="n">
        <v>4.73</v>
      </c>
      <c r="L848" s="108" t="n">
        <v>0</v>
      </c>
      <c r="M848" s="117"/>
      <c r="N848" s="106"/>
      <c r="O848" s="106"/>
      <c r="P848" s="106"/>
      <c r="Q848" s="106"/>
      <c r="R848" s="106" t="s">
        <v>4537</v>
      </c>
    </row>
    <row r="849" customFormat="false" ht="15" hidden="false" customHeight="false" outlineLevel="0" collapsed="false">
      <c r="A849" s="106" t="s">
        <v>5485</v>
      </c>
      <c r="B849" s="106" t="s">
        <v>4280</v>
      </c>
      <c r="C849" s="106" t="s">
        <v>4288</v>
      </c>
      <c r="D849" s="106" t="n">
        <v>250</v>
      </c>
      <c r="E849" s="107" t="n">
        <v>7</v>
      </c>
      <c r="F849" s="106" t="n">
        <v>2</v>
      </c>
      <c r="G849" s="118" t="n">
        <v>0.2857</v>
      </c>
      <c r="H849" s="116" t="n">
        <v>2.31</v>
      </c>
      <c r="I849" s="106" t="n">
        <v>0</v>
      </c>
      <c r="J849" s="117" t="n">
        <v>0</v>
      </c>
      <c r="K849" s="108" t="n">
        <v>4.62</v>
      </c>
      <c r="L849" s="108" t="n">
        <v>0</v>
      </c>
      <c r="M849" s="117"/>
      <c r="N849" s="106"/>
      <c r="O849" s="106"/>
      <c r="P849" s="106"/>
      <c r="Q849" s="106"/>
      <c r="R849" s="106" t="s">
        <v>4537</v>
      </c>
    </row>
    <row r="850" customFormat="false" ht="15" hidden="false" customHeight="false" outlineLevel="0" collapsed="false">
      <c r="A850" s="106" t="s">
        <v>5486</v>
      </c>
      <c r="B850" s="106" t="s">
        <v>4329</v>
      </c>
      <c r="C850" s="106"/>
      <c r="D850" s="106" t="n">
        <v>21</v>
      </c>
      <c r="E850" s="107" t="n">
        <v>4</v>
      </c>
      <c r="F850" s="106" t="n">
        <v>2</v>
      </c>
      <c r="G850" s="118" t="n">
        <v>0.5</v>
      </c>
      <c r="H850" s="116" t="n">
        <v>2.47</v>
      </c>
      <c r="I850" s="106" t="n">
        <v>0</v>
      </c>
      <c r="J850" s="117" t="n">
        <v>0</v>
      </c>
      <c r="K850" s="108" t="n">
        <v>4.94</v>
      </c>
      <c r="L850" s="108" t="n">
        <v>0</v>
      </c>
      <c r="M850" s="117"/>
      <c r="N850" s="106"/>
      <c r="O850" s="106"/>
      <c r="P850" s="106"/>
      <c r="Q850" s="106"/>
      <c r="R850" s="106" t="s">
        <v>4537</v>
      </c>
    </row>
    <row r="851" customFormat="false" ht="15" hidden="false" customHeight="false" outlineLevel="0" collapsed="false">
      <c r="A851" s="106" t="s">
        <v>5487</v>
      </c>
      <c r="B851" s="106" t="s">
        <v>4280</v>
      </c>
      <c r="C851" s="106"/>
      <c r="D851" s="106" t="n">
        <v>225</v>
      </c>
      <c r="E851" s="107" t="n">
        <v>12</v>
      </c>
      <c r="F851" s="106" t="n">
        <v>2</v>
      </c>
      <c r="G851" s="118" t="n">
        <v>0.1667</v>
      </c>
      <c r="H851" s="116" t="n">
        <v>2.44</v>
      </c>
      <c r="I851" s="106" t="n">
        <v>0</v>
      </c>
      <c r="J851" s="117" t="n">
        <v>0</v>
      </c>
      <c r="K851" s="108" t="n">
        <v>4.89</v>
      </c>
      <c r="L851" s="108" t="n">
        <v>0</v>
      </c>
      <c r="M851" s="117"/>
      <c r="N851" s="106"/>
      <c r="O851" s="106"/>
      <c r="P851" s="106"/>
      <c r="Q851" s="106"/>
      <c r="R851" s="106" t="s">
        <v>4537</v>
      </c>
    </row>
    <row r="852" customFormat="false" ht="15" hidden="false" customHeight="false" outlineLevel="0" collapsed="false">
      <c r="A852" s="106" t="s">
        <v>5488</v>
      </c>
      <c r="B852" s="106" t="s">
        <v>1403</v>
      </c>
      <c r="C852" s="106"/>
      <c r="D852" s="106"/>
      <c r="E852" s="107" t="n">
        <v>20</v>
      </c>
      <c r="F852" s="106" t="n">
        <v>2</v>
      </c>
      <c r="G852" s="118" t="n">
        <v>0.1</v>
      </c>
      <c r="H852" s="116" t="n">
        <v>2.44</v>
      </c>
      <c r="I852" s="106" t="n">
        <v>0</v>
      </c>
      <c r="J852" s="117" t="n">
        <v>0</v>
      </c>
      <c r="K852" s="108" t="n">
        <v>4.89</v>
      </c>
      <c r="L852" s="108" t="n">
        <v>0</v>
      </c>
      <c r="M852" s="117"/>
      <c r="N852" s="106"/>
      <c r="O852" s="106"/>
      <c r="P852" s="106"/>
      <c r="Q852" s="106"/>
      <c r="R852" s="106" t="s">
        <v>4537</v>
      </c>
    </row>
    <row r="853" customFormat="false" ht="15" hidden="false" customHeight="false" outlineLevel="0" collapsed="false">
      <c r="A853" s="106" t="s">
        <v>5489</v>
      </c>
      <c r="B853" s="106" t="s">
        <v>4280</v>
      </c>
      <c r="C853" s="106"/>
      <c r="D853" s="106" t="n">
        <v>154</v>
      </c>
      <c r="E853" s="107" t="n">
        <v>6</v>
      </c>
      <c r="F853" s="106" t="n">
        <v>2</v>
      </c>
      <c r="G853" s="118" t="n">
        <v>0.3333</v>
      </c>
      <c r="H853" s="116" t="n">
        <v>2.67</v>
      </c>
      <c r="I853" s="106" t="n">
        <v>0</v>
      </c>
      <c r="J853" s="117" t="n">
        <v>0</v>
      </c>
      <c r="K853" s="108" t="n">
        <v>5.34</v>
      </c>
      <c r="L853" s="108" t="n">
        <v>0</v>
      </c>
      <c r="M853" s="117"/>
      <c r="N853" s="106"/>
      <c r="O853" s="106"/>
      <c r="P853" s="106"/>
      <c r="Q853" s="106"/>
      <c r="R853" s="106" t="s">
        <v>4537</v>
      </c>
    </row>
    <row r="854" customFormat="false" ht="15" hidden="false" customHeight="false" outlineLevel="0" collapsed="false">
      <c r="A854" s="106" t="s">
        <v>5490</v>
      </c>
      <c r="B854" s="106" t="s">
        <v>1403</v>
      </c>
      <c r="C854" s="106"/>
      <c r="D854" s="106" t="n">
        <v>3</v>
      </c>
      <c r="E854" s="107" t="n">
        <v>5</v>
      </c>
      <c r="F854" s="106" t="n">
        <v>2</v>
      </c>
      <c r="G854" s="118" t="n">
        <v>0.4</v>
      </c>
      <c r="H854" s="116" t="n">
        <v>2.67</v>
      </c>
      <c r="I854" s="106" t="n">
        <v>0</v>
      </c>
      <c r="J854" s="117" t="n">
        <v>0</v>
      </c>
      <c r="K854" s="108" t="n">
        <v>5.33</v>
      </c>
      <c r="L854" s="108" t="n">
        <v>0</v>
      </c>
      <c r="M854" s="117"/>
      <c r="N854" s="106"/>
      <c r="O854" s="106"/>
      <c r="P854" s="106"/>
      <c r="Q854" s="106"/>
      <c r="R854" s="106" t="s">
        <v>4537</v>
      </c>
    </row>
    <row r="855" customFormat="false" ht="15" hidden="false" customHeight="false" outlineLevel="0" collapsed="false">
      <c r="A855" s="106" t="s">
        <v>5491</v>
      </c>
      <c r="B855" s="106" t="s">
        <v>4329</v>
      </c>
      <c r="C855" s="106"/>
      <c r="D855" s="106" t="n">
        <v>87</v>
      </c>
      <c r="E855" s="107" t="n">
        <v>12</v>
      </c>
      <c r="F855" s="106" t="n">
        <v>2</v>
      </c>
      <c r="G855" s="118" t="n">
        <v>0.1667</v>
      </c>
      <c r="H855" s="116" t="n">
        <v>4.25</v>
      </c>
      <c r="I855" s="106" t="n">
        <v>1</v>
      </c>
      <c r="J855" s="117" t="n">
        <v>0.5</v>
      </c>
      <c r="K855" s="108" t="n">
        <v>8.49</v>
      </c>
      <c r="L855" s="108" t="n">
        <v>79.99</v>
      </c>
      <c r="M855" s="117" t="n">
        <v>0.106</v>
      </c>
      <c r="N855" s="106"/>
      <c r="O855" s="106"/>
      <c r="P855" s="106"/>
      <c r="Q855" s="106"/>
      <c r="R855" s="106" t="s">
        <v>4285</v>
      </c>
    </row>
    <row r="856" customFormat="false" ht="15" hidden="false" customHeight="false" outlineLevel="0" collapsed="false">
      <c r="A856" s="106" t="s">
        <v>5492</v>
      </c>
      <c r="B856" s="106" t="s">
        <v>4284</v>
      </c>
      <c r="C856" s="106"/>
      <c r="D856" s="106" t="n">
        <v>6</v>
      </c>
      <c r="E856" s="107" t="n">
        <v>4</v>
      </c>
      <c r="F856" s="106" t="n">
        <v>2</v>
      </c>
      <c r="G856" s="118" t="n">
        <v>0.5</v>
      </c>
      <c r="H856" s="116" t="n">
        <v>0.72</v>
      </c>
      <c r="I856" s="106" t="n">
        <v>0</v>
      </c>
      <c r="J856" s="117" t="n">
        <v>0</v>
      </c>
      <c r="K856" s="108" t="n">
        <v>1.43</v>
      </c>
      <c r="L856" s="108" t="n">
        <v>0</v>
      </c>
      <c r="M856" s="117"/>
      <c r="N856" s="106"/>
      <c r="O856" s="106"/>
      <c r="P856" s="106"/>
      <c r="Q856" s="106"/>
      <c r="R856" s="106" t="s">
        <v>4537</v>
      </c>
    </row>
    <row r="857" customFormat="false" ht="15" hidden="false" customHeight="false" outlineLevel="0" collapsed="false">
      <c r="A857" s="106" t="s">
        <v>5493</v>
      </c>
      <c r="B857" s="106" t="s">
        <v>1403</v>
      </c>
      <c r="C857" s="106"/>
      <c r="D857" s="106" t="n">
        <v>6558</v>
      </c>
      <c r="E857" s="107" t="n">
        <v>23</v>
      </c>
      <c r="F857" s="106" t="n">
        <v>2</v>
      </c>
      <c r="G857" s="118" t="n">
        <v>0.087</v>
      </c>
      <c r="H857" s="116" t="n">
        <v>0.73</v>
      </c>
      <c r="I857" s="106" t="n">
        <v>0</v>
      </c>
      <c r="J857" s="117" t="n">
        <v>0</v>
      </c>
      <c r="K857" s="108" t="n">
        <v>1.46</v>
      </c>
      <c r="L857" s="108" t="n">
        <v>0</v>
      </c>
      <c r="M857" s="117"/>
      <c r="N857" s="106"/>
      <c r="O857" s="106"/>
      <c r="P857" s="106"/>
      <c r="Q857" s="106"/>
      <c r="R857" s="106" t="s">
        <v>4537</v>
      </c>
    </row>
    <row r="858" customFormat="false" ht="15" hidden="false" customHeight="false" outlineLevel="0" collapsed="false">
      <c r="A858" s="106" t="s">
        <v>5494</v>
      </c>
      <c r="B858" s="106" t="s">
        <v>1403</v>
      </c>
      <c r="C858" s="106"/>
      <c r="D858" s="106" t="n">
        <v>4</v>
      </c>
      <c r="E858" s="107" t="n">
        <v>6</v>
      </c>
      <c r="F858" s="106" t="n">
        <v>2</v>
      </c>
      <c r="G858" s="118" t="n">
        <v>0.3333</v>
      </c>
      <c r="H858" s="116" t="n">
        <v>0.73</v>
      </c>
      <c r="I858" s="106" t="n">
        <v>0</v>
      </c>
      <c r="J858" s="117" t="n">
        <v>0</v>
      </c>
      <c r="K858" s="108" t="n">
        <v>1.46</v>
      </c>
      <c r="L858" s="108" t="n">
        <v>0</v>
      </c>
      <c r="M858" s="117"/>
      <c r="N858" s="106"/>
      <c r="O858" s="106"/>
      <c r="P858" s="106"/>
      <c r="Q858" s="106"/>
      <c r="R858" s="106" t="s">
        <v>4537</v>
      </c>
    </row>
    <row r="859" customFormat="false" ht="15" hidden="false" customHeight="false" outlineLevel="0" collapsed="false">
      <c r="A859" s="106" t="s">
        <v>5495</v>
      </c>
      <c r="B859" s="106" t="s">
        <v>4284</v>
      </c>
      <c r="C859" s="106"/>
      <c r="D859" s="106" t="n">
        <v>34</v>
      </c>
      <c r="E859" s="107" t="n">
        <v>46</v>
      </c>
      <c r="F859" s="106" t="n">
        <v>2</v>
      </c>
      <c r="G859" s="118" t="n">
        <v>0.0435</v>
      </c>
      <c r="H859" s="116" t="n">
        <v>0.73</v>
      </c>
      <c r="I859" s="106" t="n">
        <v>0</v>
      </c>
      <c r="J859" s="117" t="n">
        <v>0</v>
      </c>
      <c r="K859" s="108" t="n">
        <v>1.45</v>
      </c>
      <c r="L859" s="108" t="n">
        <v>0</v>
      </c>
      <c r="M859" s="117"/>
      <c r="N859" s="106"/>
      <c r="O859" s="106"/>
      <c r="P859" s="106"/>
      <c r="Q859" s="106"/>
      <c r="R859" s="106" t="s">
        <v>4537</v>
      </c>
    </row>
    <row r="860" customFormat="false" ht="15" hidden="false" customHeight="false" outlineLevel="0" collapsed="false">
      <c r="A860" s="106" t="s">
        <v>5496</v>
      </c>
      <c r="B860" s="106" t="s">
        <v>4280</v>
      </c>
      <c r="C860" s="106"/>
      <c r="D860" s="106"/>
      <c r="E860" s="107" t="n">
        <v>8</v>
      </c>
      <c r="F860" s="106" t="n">
        <v>2</v>
      </c>
      <c r="G860" s="118" t="n">
        <v>0.25</v>
      </c>
      <c r="H860" s="116" t="n">
        <v>0.75</v>
      </c>
      <c r="I860" s="106" t="n">
        <v>0</v>
      </c>
      <c r="J860" s="117" t="n">
        <v>0</v>
      </c>
      <c r="K860" s="108" t="n">
        <v>1.5</v>
      </c>
      <c r="L860" s="108" t="n">
        <v>0</v>
      </c>
      <c r="M860" s="117"/>
      <c r="N860" s="106"/>
      <c r="O860" s="106"/>
      <c r="P860" s="106"/>
      <c r="Q860" s="106"/>
      <c r="R860" s="106" t="s">
        <v>4537</v>
      </c>
    </row>
    <row r="861" customFormat="false" ht="15" hidden="false" customHeight="false" outlineLevel="0" collapsed="false">
      <c r="A861" s="106" t="s">
        <v>5497</v>
      </c>
      <c r="B861" s="106" t="s">
        <v>4284</v>
      </c>
      <c r="C861" s="106"/>
      <c r="D861" s="106"/>
      <c r="E861" s="107" t="n">
        <v>73</v>
      </c>
      <c r="F861" s="106" t="n">
        <v>2</v>
      </c>
      <c r="G861" s="118" t="n">
        <v>0.0274</v>
      </c>
      <c r="H861" s="116" t="n">
        <v>0.75</v>
      </c>
      <c r="I861" s="106" t="n">
        <v>0</v>
      </c>
      <c r="J861" s="117" t="n">
        <v>0</v>
      </c>
      <c r="K861" s="108" t="n">
        <v>1.5</v>
      </c>
      <c r="L861" s="108" t="n">
        <v>0</v>
      </c>
      <c r="M861" s="117"/>
      <c r="N861" s="106"/>
      <c r="O861" s="106"/>
      <c r="P861" s="106"/>
      <c r="Q861" s="106"/>
      <c r="R861" s="106" t="s">
        <v>4537</v>
      </c>
    </row>
    <row r="862" customFormat="false" ht="15" hidden="false" customHeight="false" outlineLevel="0" collapsed="false">
      <c r="A862" s="106" t="s">
        <v>5498</v>
      </c>
      <c r="B862" s="106" t="s">
        <v>4329</v>
      </c>
      <c r="C862" s="106"/>
      <c r="D862" s="106"/>
      <c r="E862" s="107" t="n">
        <v>3</v>
      </c>
      <c r="F862" s="106" t="n">
        <v>2</v>
      </c>
      <c r="G862" s="118" t="n">
        <v>0.6667</v>
      </c>
      <c r="H862" s="116" t="n">
        <v>0.74</v>
      </c>
      <c r="I862" s="106" t="n">
        <v>0</v>
      </c>
      <c r="J862" s="117" t="n">
        <v>0</v>
      </c>
      <c r="K862" s="108" t="n">
        <v>1.48</v>
      </c>
      <c r="L862" s="108" t="n">
        <v>0</v>
      </c>
      <c r="M862" s="117"/>
      <c r="N862" s="106"/>
      <c r="O862" s="106"/>
      <c r="P862" s="106"/>
      <c r="Q862" s="106"/>
      <c r="R862" s="106" t="s">
        <v>4537</v>
      </c>
    </row>
    <row r="863" customFormat="false" ht="15" hidden="false" customHeight="false" outlineLevel="0" collapsed="false">
      <c r="A863" s="106" t="s">
        <v>5499</v>
      </c>
      <c r="B863" s="106" t="s">
        <v>4284</v>
      </c>
      <c r="C863" s="106"/>
      <c r="D863" s="106"/>
      <c r="E863" s="107" t="n">
        <v>9</v>
      </c>
      <c r="F863" s="106" t="n">
        <v>2</v>
      </c>
      <c r="G863" s="118" t="n">
        <v>0.2222</v>
      </c>
      <c r="H863" s="116" t="n">
        <v>0.74</v>
      </c>
      <c r="I863" s="106" t="n">
        <v>0</v>
      </c>
      <c r="J863" s="117" t="n">
        <v>0</v>
      </c>
      <c r="K863" s="108" t="n">
        <v>1.48</v>
      </c>
      <c r="L863" s="108" t="n">
        <v>0</v>
      </c>
      <c r="M863" s="117"/>
      <c r="N863" s="106"/>
      <c r="O863" s="106"/>
      <c r="P863" s="106"/>
      <c r="Q863" s="106"/>
      <c r="R863" s="106" t="s">
        <v>4537</v>
      </c>
    </row>
    <row r="864" customFormat="false" ht="15" hidden="false" customHeight="false" outlineLevel="0" collapsed="false">
      <c r="A864" s="106" t="s">
        <v>5500</v>
      </c>
      <c r="B864" s="106" t="s">
        <v>4284</v>
      </c>
      <c r="C864" s="106"/>
      <c r="D864" s="106"/>
      <c r="E864" s="107" t="n">
        <v>21</v>
      </c>
      <c r="F864" s="106" t="n">
        <v>2</v>
      </c>
      <c r="G864" s="118" t="n">
        <v>0.0952</v>
      </c>
      <c r="H864" s="116" t="n">
        <v>0.76</v>
      </c>
      <c r="I864" s="106" t="n">
        <v>0</v>
      </c>
      <c r="J864" s="117" t="n">
        <v>0</v>
      </c>
      <c r="K864" s="108" t="n">
        <v>1.52</v>
      </c>
      <c r="L864" s="108" t="n">
        <v>0</v>
      </c>
      <c r="M864" s="117"/>
      <c r="N864" s="106"/>
      <c r="O864" s="106"/>
      <c r="P864" s="106"/>
      <c r="Q864" s="106"/>
      <c r="R864" s="106" t="s">
        <v>4537</v>
      </c>
    </row>
    <row r="865" customFormat="false" ht="15" hidden="false" customHeight="false" outlineLevel="0" collapsed="false">
      <c r="A865" s="106" t="s">
        <v>5501</v>
      </c>
      <c r="B865" s="106" t="s">
        <v>1403</v>
      </c>
      <c r="C865" s="106"/>
      <c r="D865" s="106" t="n">
        <v>2</v>
      </c>
      <c r="E865" s="107" t="n">
        <v>13</v>
      </c>
      <c r="F865" s="106" t="n">
        <v>2</v>
      </c>
      <c r="G865" s="118" t="n">
        <v>0.1538</v>
      </c>
      <c r="H865" s="116" t="n">
        <v>0.78</v>
      </c>
      <c r="I865" s="106" t="n">
        <v>1</v>
      </c>
      <c r="J865" s="117" t="n">
        <v>0.5</v>
      </c>
      <c r="K865" s="108" t="n">
        <v>1.56</v>
      </c>
      <c r="L865" s="108" t="n">
        <v>69.99</v>
      </c>
      <c r="M865" s="117" t="n">
        <v>0.022</v>
      </c>
      <c r="N865" s="106"/>
      <c r="O865" s="106"/>
      <c r="P865" s="106"/>
      <c r="Q865" s="106"/>
      <c r="R865" s="106" t="s">
        <v>4285</v>
      </c>
    </row>
    <row r="866" customFormat="false" ht="15" hidden="false" customHeight="false" outlineLevel="0" collapsed="false">
      <c r="A866" s="106" t="s">
        <v>5502</v>
      </c>
      <c r="B866" s="106" t="s">
        <v>4280</v>
      </c>
      <c r="C866" s="106"/>
      <c r="D866" s="106" t="n">
        <v>90</v>
      </c>
      <c r="E866" s="107" t="n">
        <v>19</v>
      </c>
      <c r="F866" s="106" t="n">
        <v>2</v>
      </c>
      <c r="G866" s="118" t="n">
        <v>0.1053</v>
      </c>
      <c r="H866" s="116" t="n">
        <v>1.63</v>
      </c>
      <c r="I866" s="106" t="n">
        <v>0</v>
      </c>
      <c r="J866" s="117" t="n">
        <v>0</v>
      </c>
      <c r="K866" s="108" t="n">
        <v>3.26</v>
      </c>
      <c r="L866" s="108" t="n">
        <v>0</v>
      </c>
      <c r="M866" s="117"/>
      <c r="N866" s="106"/>
      <c r="O866" s="106"/>
      <c r="P866" s="106"/>
      <c r="Q866" s="106"/>
      <c r="R866" s="106" t="s">
        <v>4537</v>
      </c>
    </row>
    <row r="867" customFormat="false" ht="15" hidden="false" customHeight="false" outlineLevel="0" collapsed="false">
      <c r="A867" s="106" t="s">
        <v>5503</v>
      </c>
      <c r="B867" s="106" t="s">
        <v>4329</v>
      </c>
      <c r="C867" s="106"/>
      <c r="D867" s="106" t="n">
        <v>75</v>
      </c>
      <c r="E867" s="107" t="n">
        <v>5</v>
      </c>
      <c r="F867" s="106" t="n">
        <v>2</v>
      </c>
      <c r="G867" s="118" t="n">
        <v>0.4</v>
      </c>
      <c r="H867" s="116" t="n">
        <v>1.62</v>
      </c>
      <c r="I867" s="106" t="n">
        <v>1</v>
      </c>
      <c r="J867" s="117" t="n">
        <v>0.5</v>
      </c>
      <c r="K867" s="108" t="n">
        <v>3.24</v>
      </c>
      <c r="L867" s="108" t="n">
        <v>64.99</v>
      </c>
      <c r="M867" s="117" t="n">
        <v>0.05</v>
      </c>
      <c r="N867" s="106"/>
      <c r="O867" s="106"/>
      <c r="P867" s="106"/>
      <c r="Q867" s="106"/>
      <c r="R867" s="106" t="s">
        <v>4285</v>
      </c>
    </row>
    <row r="868" customFormat="false" ht="15" hidden="false" customHeight="false" outlineLevel="0" collapsed="false">
      <c r="A868" s="106" t="s">
        <v>5504</v>
      </c>
      <c r="B868" s="106" t="s">
        <v>4280</v>
      </c>
      <c r="C868" s="106"/>
      <c r="D868" s="106" t="n">
        <v>25</v>
      </c>
      <c r="E868" s="107" t="n">
        <v>6</v>
      </c>
      <c r="F868" s="106" t="n">
        <v>2</v>
      </c>
      <c r="G868" s="118" t="n">
        <v>0.3333</v>
      </c>
      <c r="H868" s="116" t="n">
        <v>0.8</v>
      </c>
      <c r="I868" s="106" t="n">
        <v>0</v>
      </c>
      <c r="J868" s="117" t="n">
        <v>0</v>
      </c>
      <c r="K868" s="108" t="n">
        <v>1.6</v>
      </c>
      <c r="L868" s="108" t="n">
        <v>0</v>
      </c>
      <c r="M868" s="117"/>
      <c r="N868" s="106"/>
      <c r="O868" s="106"/>
      <c r="P868" s="106"/>
      <c r="Q868" s="106"/>
      <c r="R868" s="106" t="s">
        <v>4537</v>
      </c>
    </row>
    <row r="869" customFormat="false" ht="15" hidden="false" customHeight="false" outlineLevel="0" collapsed="false">
      <c r="A869" s="106" t="s">
        <v>5505</v>
      </c>
      <c r="B869" s="106" t="s">
        <v>4284</v>
      </c>
      <c r="C869" s="106"/>
      <c r="D869" s="106" t="n">
        <v>14</v>
      </c>
      <c r="E869" s="107" t="n">
        <v>4</v>
      </c>
      <c r="F869" s="106" t="n">
        <v>2</v>
      </c>
      <c r="G869" s="118" t="n">
        <v>0.5</v>
      </c>
      <c r="H869" s="116" t="n">
        <v>0.8</v>
      </c>
      <c r="I869" s="106" t="n">
        <v>0</v>
      </c>
      <c r="J869" s="117" t="n">
        <v>0</v>
      </c>
      <c r="K869" s="108" t="n">
        <v>1.6</v>
      </c>
      <c r="L869" s="108" t="n">
        <v>0</v>
      </c>
      <c r="M869" s="117"/>
      <c r="N869" s="106"/>
      <c r="O869" s="106"/>
      <c r="P869" s="106"/>
      <c r="Q869" s="106"/>
      <c r="R869" s="106" t="s">
        <v>4537</v>
      </c>
    </row>
    <row r="870" customFormat="false" ht="15" hidden="false" customHeight="false" outlineLevel="0" collapsed="false">
      <c r="A870" s="106" t="s">
        <v>5506</v>
      </c>
      <c r="B870" s="106" t="s">
        <v>4284</v>
      </c>
      <c r="C870" s="106"/>
      <c r="D870" s="106" t="n">
        <v>3329</v>
      </c>
      <c r="E870" s="107" t="n">
        <v>4</v>
      </c>
      <c r="F870" s="106" t="n">
        <v>2</v>
      </c>
      <c r="G870" s="118" t="n">
        <v>0.5</v>
      </c>
      <c r="H870" s="116" t="n">
        <v>0.8</v>
      </c>
      <c r="I870" s="106" t="n">
        <v>0</v>
      </c>
      <c r="J870" s="117" t="n">
        <v>0</v>
      </c>
      <c r="K870" s="108" t="n">
        <v>1.6</v>
      </c>
      <c r="L870" s="108" t="n">
        <v>0</v>
      </c>
      <c r="M870" s="117"/>
      <c r="N870" s="106"/>
      <c r="O870" s="106"/>
      <c r="P870" s="106"/>
      <c r="Q870" s="106"/>
      <c r="R870" s="106" t="s">
        <v>4537</v>
      </c>
    </row>
    <row r="871" customFormat="false" ht="15" hidden="false" customHeight="false" outlineLevel="0" collapsed="false">
      <c r="A871" s="106" t="s">
        <v>5507</v>
      </c>
      <c r="B871" s="106" t="s">
        <v>4329</v>
      </c>
      <c r="C871" s="106" t="s">
        <v>4288</v>
      </c>
      <c r="D871" s="106" t="n">
        <v>537</v>
      </c>
      <c r="E871" s="107" t="n">
        <v>2</v>
      </c>
      <c r="F871" s="106" t="n">
        <v>2</v>
      </c>
      <c r="G871" s="118" t="n">
        <v>1</v>
      </c>
      <c r="H871" s="116" t="n">
        <v>0.79</v>
      </c>
      <c r="I871" s="106" t="n">
        <v>0</v>
      </c>
      <c r="J871" s="117" t="n">
        <v>0</v>
      </c>
      <c r="K871" s="108" t="n">
        <v>1.58</v>
      </c>
      <c r="L871" s="108" t="n">
        <v>0</v>
      </c>
      <c r="M871" s="117"/>
      <c r="N871" s="106"/>
      <c r="O871" s="106"/>
      <c r="P871" s="106"/>
      <c r="Q871" s="106"/>
      <c r="R871" s="106" t="s">
        <v>4537</v>
      </c>
    </row>
    <row r="872" customFormat="false" ht="15" hidden="false" customHeight="false" outlineLevel="0" collapsed="false">
      <c r="A872" s="106" t="s">
        <v>5508</v>
      </c>
      <c r="B872" s="106" t="s">
        <v>4284</v>
      </c>
      <c r="C872" s="106"/>
      <c r="D872" s="106"/>
      <c r="E872" s="107" t="n">
        <v>206</v>
      </c>
      <c r="F872" s="106" t="n">
        <v>2</v>
      </c>
      <c r="G872" s="118" t="n">
        <v>0.0097</v>
      </c>
      <c r="H872" s="116" t="n">
        <v>0.8</v>
      </c>
      <c r="I872" s="106" t="n">
        <v>0</v>
      </c>
      <c r="J872" s="117" t="n">
        <v>0</v>
      </c>
      <c r="K872" s="108" t="n">
        <v>1.6</v>
      </c>
      <c r="L872" s="108" t="n">
        <v>0</v>
      </c>
      <c r="M872" s="117"/>
      <c r="N872" s="106"/>
      <c r="O872" s="106"/>
      <c r="P872" s="106"/>
      <c r="Q872" s="106"/>
      <c r="R872" s="106" t="s">
        <v>4537</v>
      </c>
    </row>
    <row r="873" customFormat="false" ht="15" hidden="false" customHeight="false" outlineLevel="0" collapsed="false">
      <c r="A873" s="106" t="s">
        <v>5509</v>
      </c>
      <c r="B873" s="106" t="s">
        <v>4280</v>
      </c>
      <c r="C873" s="106"/>
      <c r="D873" s="106"/>
      <c r="E873" s="107" t="n">
        <v>13</v>
      </c>
      <c r="F873" s="106" t="n">
        <v>2</v>
      </c>
      <c r="G873" s="118" t="n">
        <v>0.1538</v>
      </c>
      <c r="H873" s="116" t="n">
        <v>0.8</v>
      </c>
      <c r="I873" s="106" t="n">
        <v>0</v>
      </c>
      <c r="J873" s="117" t="n">
        <v>0</v>
      </c>
      <c r="K873" s="108" t="n">
        <v>1.6</v>
      </c>
      <c r="L873" s="108" t="n">
        <v>0</v>
      </c>
      <c r="M873" s="117"/>
      <c r="N873" s="106"/>
      <c r="O873" s="106"/>
      <c r="P873" s="106"/>
      <c r="Q873" s="106"/>
      <c r="R873" s="106" t="s">
        <v>4537</v>
      </c>
    </row>
    <row r="874" customFormat="false" ht="15" hidden="false" customHeight="false" outlineLevel="0" collapsed="false">
      <c r="A874" s="106" t="s">
        <v>5510</v>
      </c>
      <c r="B874" s="106" t="s">
        <v>4329</v>
      </c>
      <c r="C874" s="106"/>
      <c r="D874" s="106"/>
      <c r="E874" s="107" t="n">
        <v>9</v>
      </c>
      <c r="F874" s="106" t="n">
        <v>2</v>
      </c>
      <c r="G874" s="118" t="n">
        <v>0.2222</v>
      </c>
      <c r="H874" s="116" t="n">
        <v>0.8</v>
      </c>
      <c r="I874" s="106" t="n">
        <v>0</v>
      </c>
      <c r="J874" s="117" t="n">
        <v>0</v>
      </c>
      <c r="K874" s="108" t="n">
        <v>1.6</v>
      </c>
      <c r="L874" s="108" t="n">
        <v>0</v>
      </c>
      <c r="M874" s="117"/>
      <c r="N874" s="106"/>
      <c r="O874" s="106"/>
      <c r="P874" s="106"/>
      <c r="Q874" s="106"/>
      <c r="R874" s="106" t="s">
        <v>4537</v>
      </c>
    </row>
    <row r="875" customFormat="false" ht="15" hidden="false" customHeight="false" outlineLevel="0" collapsed="false">
      <c r="A875" s="106" t="s">
        <v>5511</v>
      </c>
      <c r="B875" s="106" t="s">
        <v>4284</v>
      </c>
      <c r="C875" s="106"/>
      <c r="D875" s="106" t="n">
        <v>103</v>
      </c>
      <c r="E875" s="107" t="n">
        <v>2</v>
      </c>
      <c r="F875" s="106" t="n">
        <v>2</v>
      </c>
      <c r="G875" s="118" t="n">
        <v>1</v>
      </c>
      <c r="H875" s="116" t="n">
        <v>0.8</v>
      </c>
      <c r="I875" s="106" t="n">
        <v>0</v>
      </c>
      <c r="J875" s="117" t="n">
        <v>0</v>
      </c>
      <c r="K875" s="108" t="n">
        <v>1.6</v>
      </c>
      <c r="L875" s="108" t="n">
        <v>0</v>
      </c>
      <c r="M875" s="117"/>
      <c r="N875" s="106"/>
      <c r="O875" s="106"/>
      <c r="P875" s="106"/>
      <c r="Q875" s="106"/>
      <c r="R875" s="106" t="s">
        <v>4537</v>
      </c>
    </row>
    <row r="876" customFormat="false" ht="15" hidden="false" customHeight="false" outlineLevel="0" collapsed="false">
      <c r="A876" s="106" t="s">
        <v>5512</v>
      </c>
      <c r="B876" s="106" t="s">
        <v>4329</v>
      </c>
      <c r="C876" s="106"/>
      <c r="D876" s="106" t="n">
        <v>3207</v>
      </c>
      <c r="E876" s="107" t="n">
        <v>3</v>
      </c>
      <c r="F876" s="106" t="n">
        <v>2</v>
      </c>
      <c r="G876" s="118" t="n">
        <v>0.6667</v>
      </c>
      <c r="H876" s="116" t="n">
        <v>0.8</v>
      </c>
      <c r="I876" s="106" t="n">
        <v>0</v>
      </c>
      <c r="J876" s="117" t="n">
        <v>0</v>
      </c>
      <c r="K876" s="108" t="n">
        <v>1.6</v>
      </c>
      <c r="L876" s="108" t="n">
        <v>0</v>
      </c>
      <c r="M876" s="117"/>
      <c r="N876" s="106"/>
      <c r="O876" s="106"/>
      <c r="P876" s="106"/>
      <c r="Q876" s="106"/>
      <c r="R876" s="106" t="s">
        <v>4537</v>
      </c>
    </row>
    <row r="877" customFormat="false" ht="15" hidden="false" customHeight="false" outlineLevel="0" collapsed="false">
      <c r="A877" s="106" t="s">
        <v>5513</v>
      </c>
      <c r="B877" s="106" t="s">
        <v>4280</v>
      </c>
      <c r="C877" s="106"/>
      <c r="D877" s="106"/>
      <c r="E877" s="107" t="n">
        <v>6</v>
      </c>
      <c r="F877" s="106" t="n">
        <v>2</v>
      </c>
      <c r="G877" s="118" t="n">
        <v>0.3333</v>
      </c>
      <c r="H877" s="116" t="n">
        <v>0.8</v>
      </c>
      <c r="I877" s="106" t="n">
        <v>0</v>
      </c>
      <c r="J877" s="117" t="n">
        <v>0</v>
      </c>
      <c r="K877" s="108" t="n">
        <v>1.6</v>
      </c>
      <c r="L877" s="108" t="n">
        <v>0</v>
      </c>
      <c r="M877" s="117"/>
      <c r="N877" s="106"/>
      <c r="O877" s="106"/>
      <c r="P877" s="106"/>
      <c r="Q877" s="106"/>
      <c r="R877" s="106" t="s">
        <v>4537</v>
      </c>
    </row>
    <row r="878" customFormat="false" ht="15" hidden="false" customHeight="false" outlineLevel="0" collapsed="false">
      <c r="A878" s="106" t="s">
        <v>5514</v>
      </c>
      <c r="B878" s="106" t="s">
        <v>1403</v>
      </c>
      <c r="C878" s="106"/>
      <c r="D878" s="106"/>
      <c r="E878" s="107" t="n">
        <v>6</v>
      </c>
      <c r="F878" s="106" t="n">
        <v>2</v>
      </c>
      <c r="G878" s="118" t="n">
        <v>0.3333</v>
      </c>
      <c r="H878" s="116" t="n">
        <v>0.8</v>
      </c>
      <c r="I878" s="106" t="n">
        <v>0</v>
      </c>
      <c r="J878" s="117" t="n">
        <v>0</v>
      </c>
      <c r="K878" s="108" t="n">
        <v>1.6</v>
      </c>
      <c r="L878" s="108" t="n">
        <v>0</v>
      </c>
      <c r="M878" s="117"/>
      <c r="N878" s="106"/>
      <c r="O878" s="106"/>
      <c r="P878" s="106"/>
      <c r="Q878" s="106"/>
      <c r="R878" s="106" t="s">
        <v>4537</v>
      </c>
    </row>
    <row r="879" customFormat="false" ht="15" hidden="false" customHeight="false" outlineLevel="0" collapsed="false">
      <c r="A879" s="106" t="s">
        <v>5515</v>
      </c>
      <c r="B879" s="106" t="s">
        <v>4280</v>
      </c>
      <c r="C879" s="106"/>
      <c r="D879" s="106" t="n">
        <v>17</v>
      </c>
      <c r="E879" s="107" t="n">
        <v>2</v>
      </c>
      <c r="F879" s="106" t="n">
        <v>2</v>
      </c>
      <c r="G879" s="118" t="n">
        <v>1</v>
      </c>
      <c r="H879" s="116" t="n">
        <v>0.8</v>
      </c>
      <c r="I879" s="106" t="n">
        <v>0</v>
      </c>
      <c r="J879" s="117" t="n">
        <v>0</v>
      </c>
      <c r="K879" s="108" t="n">
        <v>1.6</v>
      </c>
      <c r="L879" s="108" t="n">
        <v>0</v>
      </c>
      <c r="M879" s="117"/>
      <c r="N879" s="106"/>
      <c r="O879" s="106"/>
      <c r="P879" s="106"/>
      <c r="Q879" s="106"/>
      <c r="R879" s="106" t="s">
        <v>4537</v>
      </c>
    </row>
    <row r="880" customFormat="false" ht="15" hidden="false" customHeight="false" outlineLevel="0" collapsed="false">
      <c r="A880" s="106" t="s">
        <v>5516</v>
      </c>
      <c r="B880" s="106" t="s">
        <v>4280</v>
      </c>
      <c r="C880" s="106"/>
      <c r="D880" s="106" t="n">
        <v>29</v>
      </c>
      <c r="E880" s="107" t="n">
        <v>3</v>
      </c>
      <c r="F880" s="106" t="n">
        <v>2</v>
      </c>
      <c r="G880" s="118" t="n">
        <v>0.6667</v>
      </c>
      <c r="H880" s="116" t="n">
        <v>0.83</v>
      </c>
      <c r="I880" s="106" t="n">
        <v>1</v>
      </c>
      <c r="J880" s="117" t="n">
        <v>0.5</v>
      </c>
      <c r="K880" s="108" t="n">
        <v>1.65</v>
      </c>
      <c r="L880" s="108" t="n">
        <v>84.99</v>
      </c>
      <c r="M880" s="117" t="n">
        <v>0.019</v>
      </c>
      <c r="N880" s="106"/>
      <c r="O880" s="106"/>
      <c r="P880" s="106"/>
      <c r="Q880" s="106"/>
      <c r="R880" s="106" t="s">
        <v>4285</v>
      </c>
    </row>
    <row r="881" customFormat="false" ht="15" hidden="false" customHeight="false" outlineLevel="0" collapsed="false">
      <c r="A881" s="106" t="s">
        <v>5517</v>
      </c>
      <c r="B881" s="106" t="s">
        <v>1403</v>
      </c>
      <c r="C881" s="106"/>
      <c r="D881" s="106"/>
      <c r="E881" s="107" t="n">
        <v>5</v>
      </c>
      <c r="F881" s="106" t="n">
        <v>2</v>
      </c>
      <c r="G881" s="118" t="n">
        <v>0.4</v>
      </c>
      <c r="H881" s="116" t="n">
        <v>1.54</v>
      </c>
      <c r="I881" s="106" t="n">
        <v>0</v>
      </c>
      <c r="J881" s="117" t="n">
        <v>0</v>
      </c>
      <c r="K881" s="108" t="n">
        <v>3.08</v>
      </c>
      <c r="L881" s="108" t="n">
        <v>0</v>
      </c>
      <c r="M881" s="117"/>
      <c r="N881" s="106"/>
      <c r="O881" s="106"/>
      <c r="P881" s="106"/>
      <c r="Q881" s="106"/>
      <c r="R881" s="106" t="s">
        <v>4537</v>
      </c>
    </row>
    <row r="882" customFormat="false" ht="15" hidden="false" customHeight="false" outlineLevel="0" collapsed="false">
      <c r="A882" s="106" t="s">
        <v>5518</v>
      </c>
      <c r="B882" s="106" t="s">
        <v>1403</v>
      </c>
      <c r="C882" s="106"/>
      <c r="D882" s="106" t="n">
        <v>3</v>
      </c>
      <c r="E882" s="107" t="n">
        <v>9</v>
      </c>
      <c r="F882" s="106" t="n">
        <v>2</v>
      </c>
      <c r="G882" s="118" t="n">
        <v>0.2222</v>
      </c>
      <c r="H882" s="116" t="n">
        <v>1.52</v>
      </c>
      <c r="I882" s="106" t="n">
        <v>0</v>
      </c>
      <c r="J882" s="117" t="n">
        <v>0</v>
      </c>
      <c r="K882" s="108" t="n">
        <v>3.03</v>
      </c>
      <c r="L882" s="108" t="n">
        <v>0</v>
      </c>
      <c r="M882" s="117"/>
      <c r="N882" s="106"/>
      <c r="O882" s="106"/>
      <c r="P882" s="106"/>
      <c r="Q882" s="106"/>
      <c r="R882" s="106" t="s">
        <v>4537</v>
      </c>
    </row>
    <row r="883" customFormat="false" ht="15" hidden="false" customHeight="false" outlineLevel="0" collapsed="false">
      <c r="A883" s="106" t="s">
        <v>5519</v>
      </c>
      <c r="B883" s="106" t="s">
        <v>4280</v>
      </c>
      <c r="C883" s="106"/>
      <c r="D883" s="106" t="n">
        <v>20</v>
      </c>
      <c r="E883" s="107" t="n">
        <v>7</v>
      </c>
      <c r="F883" s="106" t="n">
        <v>2</v>
      </c>
      <c r="G883" s="118" t="n">
        <v>0.2857</v>
      </c>
      <c r="H883" s="116" t="n">
        <v>1.51</v>
      </c>
      <c r="I883" s="106" t="n">
        <v>0</v>
      </c>
      <c r="J883" s="117" t="n">
        <v>0</v>
      </c>
      <c r="K883" s="108" t="n">
        <v>3.02</v>
      </c>
      <c r="L883" s="108" t="n">
        <v>0</v>
      </c>
      <c r="M883" s="117"/>
      <c r="N883" s="106"/>
      <c r="O883" s="106"/>
      <c r="P883" s="106"/>
      <c r="Q883" s="106"/>
      <c r="R883" s="106" t="s">
        <v>4537</v>
      </c>
    </row>
    <row r="884" customFormat="false" ht="15" hidden="false" customHeight="false" outlineLevel="0" collapsed="false">
      <c r="A884" s="106" t="s">
        <v>5520</v>
      </c>
      <c r="B884" s="106" t="s">
        <v>1403</v>
      </c>
      <c r="C884" s="106"/>
      <c r="D884" s="106"/>
      <c r="E884" s="107" t="n">
        <v>50</v>
      </c>
      <c r="F884" s="106" t="n">
        <v>2</v>
      </c>
      <c r="G884" s="118" t="n">
        <v>0.04</v>
      </c>
      <c r="H884" s="116" t="n">
        <v>1.57</v>
      </c>
      <c r="I884" s="106" t="n">
        <v>1</v>
      </c>
      <c r="J884" s="117" t="n">
        <v>0.5</v>
      </c>
      <c r="K884" s="108" t="n">
        <v>3.14</v>
      </c>
      <c r="L884" s="108" t="n">
        <v>109.98</v>
      </c>
      <c r="M884" s="117" t="n">
        <v>0.029</v>
      </c>
      <c r="N884" s="106"/>
      <c r="O884" s="106"/>
      <c r="P884" s="106"/>
      <c r="Q884" s="106"/>
      <c r="R884" s="106" t="s">
        <v>4285</v>
      </c>
    </row>
    <row r="885" customFormat="false" ht="15" hidden="false" customHeight="false" outlineLevel="0" collapsed="false">
      <c r="A885" s="106" t="s">
        <v>5521</v>
      </c>
      <c r="B885" s="106" t="s">
        <v>4284</v>
      </c>
      <c r="C885" s="106"/>
      <c r="D885" s="106" t="n">
        <v>75</v>
      </c>
      <c r="E885" s="107" t="n">
        <v>119</v>
      </c>
      <c r="F885" s="106" t="n">
        <v>2</v>
      </c>
      <c r="G885" s="118" t="n">
        <v>0.0168</v>
      </c>
      <c r="H885" s="116" t="n">
        <v>1.55</v>
      </c>
      <c r="I885" s="106" t="n">
        <v>0</v>
      </c>
      <c r="J885" s="117" t="n">
        <v>0</v>
      </c>
      <c r="K885" s="108" t="n">
        <v>3.09</v>
      </c>
      <c r="L885" s="108" t="n">
        <v>0</v>
      </c>
      <c r="M885" s="117"/>
      <c r="N885" s="106"/>
      <c r="O885" s="106"/>
      <c r="P885" s="106"/>
      <c r="Q885" s="106"/>
      <c r="R885" s="106" t="s">
        <v>4537</v>
      </c>
    </row>
    <row r="886" customFormat="false" ht="15" hidden="false" customHeight="false" outlineLevel="0" collapsed="false">
      <c r="A886" s="106" t="s">
        <v>5522</v>
      </c>
      <c r="B886" s="106" t="s">
        <v>4329</v>
      </c>
      <c r="C886" s="106"/>
      <c r="D886" s="106" t="n">
        <v>9</v>
      </c>
      <c r="E886" s="107" t="n">
        <v>9</v>
      </c>
      <c r="F886" s="106" t="n">
        <v>2</v>
      </c>
      <c r="G886" s="118" t="n">
        <v>0.2222</v>
      </c>
      <c r="H886" s="116" t="n">
        <v>1.58</v>
      </c>
      <c r="I886" s="106" t="n">
        <v>0</v>
      </c>
      <c r="J886" s="117" t="n">
        <v>0</v>
      </c>
      <c r="K886" s="108" t="n">
        <v>3.16</v>
      </c>
      <c r="L886" s="108" t="n">
        <v>0</v>
      </c>
      <c r="M886" s="117"/>
      <c r="N886" s="106"/>
      <c r="O886" s="106"/>
      <c r="P886" s="106"/>
      <c r="Q886" s="106"/>
      <c r="R886" s="106" t="s">
        <v>4537</v>
      </c>
    </row>
    <row r="887" customFormat="false" ht="15" hidden="false" customHeight="false" outlineLevel="0" collapsed="false">
      <c r="A887" s="106" t="s">
        <v>5523</v>
      </c>
      <c r="B887" s="106" t="s">
        <v>1403</v>
      </c>
      <c r="C887" s="106"/>
      <c r="D887" s="106"/>
      <c r="E887" s="107" t="n">
        <v>6</v>
      </c>
      <c r="F887" s="106" t="n">
        <v>2</v>
      </c>
      <c r="G887" s="118" t="n">
        <v>0.3333</v>
      </c>
      <c r="H887" s="116" t="n">
        <v>1.57</v>
      </c>
      <c r="I887" s="106" t="n">
        <v>0</v>
      </c>
      <c r="J887" s="117" t="n">
        <v>0</v>
      </c>
      <c r="K887" s="108" t="n">
        <v>3.14</v>
      </c>
      <c r="L887" s="108" t="n">
        <v>0</v>
      </c>
      <c r="M887" s="117"/>
      <c r="N887" s="106"/>
      <c r="O887" s="106"/>
      <c r="P887" s="106"/>
      <c r="Q887" s="106"/>
      <c r="R887" s="106" t="s">
        <v>4537</v>
      </c>
    </row>
    <row r="888" customFormat="false" ht="15" hidden="false" customHeight="false" outlineLevel="0" collapsed="false">
      <c r="A888" s="106" t="s">
        <v>5524</v>
      </c>
      <c r="B888" s="106" t="s">
        <v>4284</v>
      </c>
      <c r="C888" s="106"/>
      <c r="D888" s="106"/>
      <c r="E888" s="107" t="n">
        <v>3</v>
      </c>
      <c r="F888" s="106" t="n">
        <v>2</v>
      </c>
      <c r="G888" s="118" t="n">
        <v>0.6667</v>
      </c>
      <c r="H888" s="116" t="n">
        <v>0.85</v>
      </c>
      <c r="I888" s="106" t="n">
        <v>0</v>
      </c>
      <c r="J888" s="117" t="n">
        <v>0</v>
      </c>
      <c r="K888" s="108" t="n">
        <v>1.7</v>
      </c>
      <c r="L888" s="108" t="n">
        <v>0</v>
      </c>
      <c r="M888" s="117"/>
      <c r="N888" s="106"/>
      <c r="O888" s="106"/>
      <c r="P888" s="106"/>
      <c r="Q888" s="106"/>
      <c r="R888" s="106" t="s">
        <v>4537</v>
      </c>
    </row>
    <row r="889" customFormat="false" ht="15" hidden="false" customHeight="false" outlineLevel="0" collapsed="false">
      <c r="A889" s="106" t="s">
        <v>5525</v>
      </c>
      <c r="B889" s="106" t="s">
        <v>1403</v>
      </c>
      <c r="C889" s="106"/>
      <c r="D889" s="106"/>
      <c r="E889" s="107" t="n">
        <v>7</v>
      </c>
      <c r="F889" s="106" t="n">
        <v>2</v>
      </c>
      <c r="G889" s="118" t="n">
        <v>0.2857</v>
      </c>
      <c r="H889" s="116" t="n">
        <v>0.85</v>
      </c>
      <c r="I889" s="106" t="n">
        <v>0</v>
      </c>
      <c r="J889" s="117" t="n">
        <v>0</v>
      </c>
      <c r="K889" s="108" t="n">
        <v>1.7</v>
      </c>
      <c r="L889" s="108" t="n">
        <v>0</v>
      </c>
      <c r="M889" s="117"/>
      <c r="N889" s="106"/>
      <c r="O889" s="106"/>
      <c r="P889" s="106"/>
      <c r="Q889" s="106"/>
      <c r="R889" s="106" t="s">
        <v>4537</v>
      </c>
    </row>
    <row r="890" customFormat="false" ht="15" hidden="false" customHeight="false" outlineLevel="0" collapsed="false">
      <c r="A890" s="106" t="s">
        <v>5526</v>
      </c>
      <c r="B890" s="106" t="s">
        <v>4329</v>
      </c>
      <c r="C890" s="106"/>
      <c r="D890" s="106" t="n">
        <v>9</v>
      </c>
      <c r="E890" s="107" t="n">
        <v>5</v>
      </c>
      <c r="F890" s="106" t="n">
        <v>2</v>
      </c>
      <c r="G890" s="118" t="n">
        <v>0.4</v>
      </c>
      <c r="H890" s="116" t="n">
        <v>0.85</v>
      </c>
      <c r="I890" s="106" t="n">
        <v>0</v>
      </c>
      <c r="J890" s="117" t="n">
        <v>0</v>
      </c>
      <c r="K890" s="108" t="n">
        <v>1.7</v>
      </c>
      <c r="L890" s="108" t="n">
        <v>0</v>
      </c>
      <c r="M890" s="117"/>
      <c r="N890" s="106"/>
      <c r="O890" s="106"/>
      <c r="P890" s="106"/>
      <c r="Q890" s="106"/>
      <c r="R890" s="106" t="s">
        <v>4537</v>
      </c>
    </row>
    <row r="891" customFormat="false" ht="15" hidden="false" customHeight="false" outlineLevel="0" collapsed="false">
      <c r="A891" s="106" t="s">
        <v>5527</v>
      </c>
      <c r="B891" s="106" t="s">
        <v>4284</v>
      </c>
      <c r="C891" s="106"/>
      <c r="D891" s="106" t="n">
        <v>8</v>
      </c>
      <c r="E891" s="107" t="n">
        <v>2</v>
      </c>
      <c r="F891" s="106" t="n">
        <v>2</v>
      </c>
      <c r="G891" s="118" t="n">
        <v>1</v>
      </c>
      <c r="H891" s="116" t="n">
        <v>0.85</v>
      </c>
      <c r="I891" s="106" t="n">
        <v>0</v>
      </c>
      <c r="J891" s="117" t="n">
        <v>0</v>
      </c>
      <c r="K891" s="108" t="n">
        <v>1.7</v>
      </c>
      <c r="L891" s="108" t="n">
        <v>0</v>
      </c>
      <c r="M891" s="117"/>
      <c r="N891" s="106"/>
      <c r="O891" s="106"/>
      <c r="P891" s="106"/>
      <c r="Q891" s="106"/>
      <c r="R891" s="106" t="s">
        <v>4537</v>
      </c>
    </row>
    <row r="892" customFormat="false" ht="15" hidden="false" customHeight="false" outlineLevel="0" collapsed="false">
      <c r="A892" s="106" t="s">
        <v>5528</v>
      </c>
      <c r="B892" s="106" t="s">
        <v>4329</v>
      </c>
      <c r="C892" s="106"/>
      <c r="D892" s="106" t="n">
        <v>44</v>
      </c>
      <c r="E892" s="107" t="n">
        <v>3</v>
      </c>
      <c r="F892" s="106" t="n">
        <v>2</v>
      </c>
      <c r="G892" s="118" t="n">
        <v>0.6667</v>
      </c>
      <c r="H892" s="116" t="n">
        <v>0.85</v>
      </c>
      <c r="I892" s="106" t="n">
        <v>0</v>
      </c>
      <c r="J892" s="117" t="n">
        <v>0</v>
      </c>
      <c r="K892" s="108" t="n">
        <v>1.7</v>
      </c>
      <c r="L892" s="108" t="n">
        <v>0</v>
      </c>
      <c r="M892" s="117"/>
      <c r="N892" s="106"/>
      <c r="O892" s="106"/>
      <c r="P892" s="106"/>
      <c r="Q892" s="106"/>
      <c r="R892" s="106" t="s">
        <v>4537</v>
      </c>
    </row>
    <row r="893" customFormat="false" ht="15" hidden="false" customHeight="false" outlineLevel="0" collapsed="false">
      <c r="A893" s="106" t="s">
        <v>5529</v>
      </c>
      <c r="B893" s="106" t="s">
        <v>1403</v>
      </c>
      <c r="C893" s="106"/>
      <c r="D893" s="106" t="n">
        <v>4</v>
      </c>
      <c r="E893" s="107" t="n">
        <v>5</v>
      </c>
      <c r="F893" s="106" t="n">
        <v>2</v>
      </c>
      <c r="G893" s="118" t="n">
        <v>0.4</v>
      </c>
      <c r="H893" s="116" t="n">
        <v>0.85</v>
      </c>
      <c r="I893" s="106" t="n">
        <v>0</v>
      </c>
      <c r="J893" s="117" t="n">
        <v>0</v>
      </c>
      <c r="K893" s="108" t="n">
        <v>1.7</v>
      </c>
      <c r="L893" s="108" t="n">
        <v>0</v>
      </c>
      <c r="M893" s="117"/>
      <c r="N893" s="106"/>
      <c r="O893" s="106"/>
      <c r="P893" s="106"/>
      <c r="Q893" s="106"/>
      <c r="R893" s="106" t="s">
        <v>4537</v>
      </c>
    </row>
    <row r="894" customFormat="false" ht="15" hidden="false" customHeight="false" outlineLevel="0" collapsed="false">
      <c r="A894" s="106" t="s">
        <v>5530</v>
      </c>
      <c r="B894" s="106" t="s">
        <v>4280</v>
      </c>
      <c r="C894" s="106"/>
      <c r="D894" s="106" t="n">
        <v>6</v>
      </c>
      <c r="E894" s="107" t="n">
        <v>3</v>
      </c>
      <c r="F894" s="106" t="n">
        <v>2</v>
      </c>
      <c r="G894" s="118" t="n">
        <v>0.6667</v>
      </c>
      <c r="H894" s="116" t="n">
        <v>0.85</v>
      </c>
      <c r="I894" s="106" t="n">
        <v>0</v>
      </c>
      <c r="J894" s="117" t="n">
        <v>0</v>
      </c>
      <c r="K894" s="108" t="n">
        <v>1.7</v>
      </c>
      <c r="L894" s="108" t="n">
        <v>0</v>
      </c>
      <c r="M894" s="117"/>
      <c r="N894" s="106"/>
      <c r="O894" s="106"/>
      <c r="P894" s="106"/>
      <c r="Q894" s="106"/>
      <c r="R894" s="106" t="s">
        <v>4537</v>
      </c>
    </row>
    <row r="895" customFormat="false" ht="15" hidden="false" customHeight="false" outlineLevel="0" collapsed="false">
      <c r="A895" s="106" t="s">
        <v>5531</v>
      </c>
      <c r="B895" s="106" t="s">
        <v>4284</v>
      </c>
      <c r="C895" s="106"/>
      <c r="D895" s="106" t="n">
        <v>560</v>
      </c>
      <c r="E895" s="107" t="n">
        <v>40</v>
      </c>
      <c r="F895" s="106" t="n">
        <v>2</v>
      </c>
      <c r="G895" s="118" t="n">
        <v>0.05</v>
      </c>
      <c r="H895" s="116" t="n">
        <v>0.9</v>
      </c>
      <c r="I895" s="106" t="n">
        <v>0</v>
      </c>
      <c r="J895" s="117" t="n">
        <v>0</v>
      </c>
      <c r="K895" s="108" t="n">
        <v>1.8</v>
      </c>
      <c r="L895" s="108" t="n">
        <v>0</v>
      </c>
      <c r="M895" s="117"/>
      <c r="N895" s="106"/>
      <c r="O895" s="106"/>
      <c r="P895" s="106"/>
      <c r="Q895" s="106"/>
      <c r="R895" s="106" t="s">
        <v>4537</v>
      </c>
    </row>
    <row r="896" customFormat="false" ht="15" hidden="false" customHeight="false" outlineLevel="0" collapsed="false">
      <c r="A896" s="106" t="s">
        <v>5532</v>
      </c>
      <c r="B896" s="106" t="s">
        <v>4284</v>
      </c>
      <c r="C896" s="106"/>
      <c r="D896" s="106" t="n">
        <v>71</v>
      </c>
      <c r="E896" s="107" t="n">
        <v>5</v>
      </c>
      <c r="F896" s="106" t="n">
        <v>2</v>
      </c>
      <c r="G896" s="118" t="n">
        <v>0.4</v>
      </c>
      <c r="H896" s="116" t="n">
        <v>0.9</v>
      </c>
      <c r="I896" s="106" t="n">
        <v>1</v>
      </c>
      <c r="J896" s="117" t="n">
        <v>0.5</v>
      </c>
      <c r="K896" s="108" t="n">
        <v>1.8</v>
      </c>
      <c r="L896" s="108" t="n">
        <v>79.99</v>
      </c>
      <c r="M896" s="117" t="n">
        <v>0.023</v>
      </c>
      <c r="N896" s="106"/>
      <c r="O896" s="106"/>
      <c r="P896" s="106"/>
      <c r="Q896" s="106"/>
      <c r="R896" s="106" t="s">
        <v>4285</v>
      </c>
    </row>
    <row r="897" customFormat="false" ht="15" hidden="false" customHeight="false" outlineLevel="0" collapsed="false">
      <c r="A897" s="106" t="s">
        <v>4912</v>
      </c>
      <c r="B897" s="106" t="s">
        <v>4280</v>
      </c>
      <c r="C897" s="106" t="s">
        <v>4288</v>
      </c>
      <c r="D897" s="106" t="n">
        <v>494</v>
      </c>
      <c r="E897" s="107" t="n">
        <v>4</v>
      </c>
      <c r="F897" s="106" t="n">
        <v>2</v>
      </c>
      <c r="G897" s="118" t="n">
        <v>0.5</v>
      </c>
      <c r="H897" s="116" t="n">
        <v>0.9</v>
      </c>
      <c r="I897" s="106" t="n">
        <v>0</v>
      </c>
      <c r="J897" s="117" t="n">
        <v>0</v>
      </c>
      <c r="K897" s="108" t="n">
        <v>1.8</v>
      </c>
      <c r="L897" s="108" t="n">
        <v>0</v>
      </c>
      <c r="M897" s="117"/>
      <c r="N897" s="106" t="n">
        <v>51</v>
      </c>
      <c r="O897" s="106" t="n">
        <v>6</v>
      </c>
      <c r="P897" s="106" t="s">
        <v>4821</v>
      </c>
      <c r="Q897" s="106" t="n">
        <v>80</v>
      </c>
      <c r="R897" s="106" t="s">
        <v>4537</v>
      </c>
    </row>
    <row r="898" customFormat="false" ht="15" hidden="false" customHeight="false" outlineLevel="0" collapsed="false">
      <c r="A898" s="106" t="s">
        <v>5533</v>
      </c>
      <c r="B898" s="106" t="s">
        <v>4284</v>
      </c>
      <c r="C898" s="106"/>
      <c r="D898" s="106" t="n">
        <v>189</v>
      </c>
      <c r="E898" s="107" t="n">
        <v>82</v>
      </c>
      <c r="F898" s="106" t="n">
        <v>2</v>
      </c>
      <c r="G898" s="118" t="n">
        <v>0.0244</v>
      </c>
      <c r="H898" s="116" t="n">
        <v>0.9</v>
      </c>
      <c r="I898" s="106" t="n">
        <v>2</v>
      </c>
      <c r="J898" s="117" t="n">
        <v>1</v>
      </c>
      <c r="K898" s="108" t="n">
        <v>1.8</v>
      </c>
      <c r="L898" s="108" t="n">
        <v>144.98</v>
      </c>
      <c r="M898" s="117" t="n">
        <v>0.012</v>
      </c>
      <c r="N898" s="106"/>
      <c r="O898" s="106"/>
      <c r="P898" s="106"/>
      <c r="Q898" s="106"/>
      <c r="R898" s="106" t="s">
        <v>4285</v>
      </c>
    </row>
    <row r="899" customFormat="false" ht="15" hidden="false" customHeight="false" outlineLevel="0" collapsed="false">
      <c r="A899" s="106" t="s">
        <v>5534</v>
      </c>
      <c r="B899" s="106" t="s">
        <v>4284</v>
      </c>
      <c r="C899" s="106"/>
      <c r="D899" s="106" t="n">
        <v>58</v>
      </c>
      <c r="E899" s="107" t="n">
        <v>18</v>
      </c>
      <c r="F899" s="106" t="n">
        <v>2</v>
      </c>
      <c r="G899" s="118" t="n">
        <v>0.1111</v>
      </c>
      <c r="H899" s="116" t="n">
        <v>0.95</v>
      </c>
      <c r="I899" s="106" t="n">
        <v>0</v>
      </c>
      <c r="J899" s="117" t="n">
        <v>0</v>
      </c>
      <c r="K899" s="108" t="n">
        <v>1.9</v>
      </c>
      <c r="L899" s="108" t="n">
        <v>0</v>
      </c>
      <c r="M899" s="117"/>
      <c r="N899" s="106"/>
      <c r="O899" s="106"/>
      <c r="P899" s="106"/>
      <c r="Q899" s="106"/>
      <c r="R899" s="106" t="s">
        <v>4537</v>
      </c>
    </row>
    <row r="900" customFormat="false" ht="15" hidden="false" customHeight="false" outlineLevel="0" collapsed="false">
      <c r="A900" s="106" t="s">
        <v>5535</v>
      </c>
      <c r="B900" s="106" t="s">
        <v>4280</v>
      </c>
      <c r="C900" s="106"/>
      <c r="D900" s="106" t="n">
        <v>33</v>
      </c>
      <c r="E900" s="107" t="n">
        <v>5</v>
      </c>
      <c r="F900" s="106" t="n">
        <v>2</v>
      </c>
      <c r="G900" s="118" t="n">
        <v>0.4</v>
      </c>
      <c r="H900" s="116" t="n">
        <v>0.94</v>
      </c>
      <c r="I900" s="106" t="n">
        <v>0</v>
      </c>
      <c r="J900" s="117" t="n">
        <v>0</v>
      </c>
      <c r="K900" s="108" t="n">
        <v>1.88</v>
      </c>
      <c r="L900" s="108" t="n">
        <v>0</v>
      </c>
      <c r="M900" s="117"/>
      <c r="N900" s="106"/>
      <c r="O900" s="106"/>
      <c r="P900" s="106"/>
      <c r="Q900" s="106"/>
      <c r="R900" s="106" t="s">
        <v>4537</v>
      </c>
    </row>
    <row r="901" customFormat="false" ht="15" hidden="false" customHeight="false" outlineLevel="0" collapsed="false">
      <c r="A901" s="106" t="s">
        <v>5536</v>
      </c>
      <c r="B901" s="106" t="s">
        <v>4284</v>
      </c>
      <c r="C901" s="106"/>
      <c r="D901" s="106" t="n">
        <v>223</v>
      </c>
      <c r="E901" s="107" t="n">
        <v>2</v>
      </c>
      <c r="F901" s="106" t="n">
        <v>2</v>
      </c>
      <c r="G901" s="118" t="n">
        <v>1</v>
      </c>
      <c r="H901" s="116" t="n">
        <v>0.95</v>
      </c>
      <c r="I901" s="106" t="n">
        <v>0</v>
      </c>
      <c r="J901" s="117" t="n">
        <v>0</v>
      </c>
      <c r="K901" s="108" t="n">
        <v>1.9</v>
      </c>
      <c r="L901" s="108" t="n">
        <v>0</v>
      </c>
      <c r="M901" s="117"/>
      <c r="N901" s="106"/>
      <c r="O901" s="106"/>
      <c r="P901" s="106"/>
      <c r="Q901" s="106"/>
      <c r="R901" s="106" t="s">
        <v>4537</v>
      </c>
    </row>
    <row r="902" customFormat="false" ht="15" hidden="false" customHeight="false" outlineLevel="0" collapsed="false">
      <c r="A902" s="106" t="s">
        <v>5537</v>
      </c>
      <c r="B902" s="106" t="s">
        <v>4280</v>
      </c>
      <c r="C902" s="106" t="s">
        <v>4288</v>
      </c>
      <c r="D902" s="106" t="n">
        <v>337</v>
      </c>
      <c r="E902" s="107" t="n">
        <v>13</v>
      </c>
      <c r="F902" s="106" t="n">
        <v>2</v>
      </c>
      <c r="G902" s="118" t="n">
        <v>0.1538</v>
      </c>
      <c r="H902" s="116" t="n">
        <v>0.95</v>
      </c>
      <c r="I902" s="106" t="n">
        <v>1</v>
      </c>
      <c r="J902" s="117" t="n">
        <v>0.5</v>
      </c>
      <c r="K902" s="108" t="n">
        <v>1.9</v>
      </c>
      <c r="L902" s="108" t="n">
        <v>159.98</v>
      </c>
      <c r="M902" s="117" t="n">
        <v>0.012</v>
      </c>
      <c r="N902" s="106"/>
      <c r="O902" s="106"/>
      <c r="P902" s="106"/>
      <c r="Q902" s="106"/>
      <c r="R902" s="106" t="s">
        <v>4285</v>
      </c>
    </row>
    <row r="903" customFormat="false" ht="15" hidden="false" customHeight="false" outlineLevel="0" collapsed="false">
      <c r="A903" s="106" t="s">
        <v>5538</v>
      </c>
      <c r="B903" s="106" t="s">
        <v>4284</v>
      </c>
      <c r="C903" s="106"/>
      <c r="D903" s="106" t="n">
        <v>122</v>
      </c>
      <c r="E903" s="107" t="n">
        <v>3</v>
      </c>
      <c r="F903" s="106" t="n">
        <v>2</v>
      </c>
      <c r="G903" s="118" t="n">
        <v>0.6667</v>
      </c>
      <c r="H903" s="116" t="n">
        <v>1</v>
      </c>
      <c r="I903" s="106" t="n">
        <v>0</v>
      </c>
      <c r="J903" s="117" t="n">
        <v>0</v>
      </c>
      <c r="K903" s="108" t="n">
        <v>2</v>
      </c>
      <c r="L903" s="108" t="n">
        <v>0</v>
      </c>
      <c r="M903" s="117"/>
      <c r="N903" s="106"/>
      <c r="O903" s="106"/>
      <c r="P903" s="106"/>
      <c r="Q903" s="106"/>
      <c r="R903" s="106" t="s">
        <v>4537</v>
      </c>
    </row>
    <row r="904" customFormat="false" ht="15" hidden="false" customHeight="false" outlineLevel="0" collapsed="false">
      <c r="A904" s="106" t="s">
        <v>1036</v>
      </c>
      <c r="B904" s="106" t="s">
        <v>4280</v>
      </c>
      <c r="C904" s="106" t="s">
        <v>4281</v>
      </c>
      <c r="D904" s="106" t="n">
        <v>1213</v>
      </c>
      <c r="E904" s="107" t="n">
        <v>15</v>
      </c>
      <c r="F904" s="106" t="n">
        <v>2</v>
      </c>
      <c r="G904" s="118" t="n">
        <v>0.1333</v>
      </c>
      <c r="H904" s="116" t="n">
        <v>2.84</v>
      </c>
      <c r="I904" s="106" t="n">
        <v>0</v>
      </c>
      <c r="J904" s="117" t="n">
        <v>0</v>
      </c>
      <c r="K904" s="108" t="n">
        <v>5.68</v>
      </c>
      <c r="L904" s="108" t="n">
        <v>0</v>
      </c>
      <c r="M904" s="117"/>
      <c r="N904" s="106" t="n">
        <v>54</v>
      </c>
      <c r="O904" s="106" t="n">
        <v>9</v>
      </c>
      <c r="P904" s="106" t="s">
        <v>4974</v>
      </c>
      <c r="Q904" s="106" t="n">
        <v>101</v>
      </c>
      <c r="R904" s="106" t="s">
        <v>4537</v>
      </c>
    </row>
    <row r="905" customFormat="false" ht="15" hidden="false" customHeight="false" outlineLevel="0" collapsed="false">
      <c r="A905" s="106" t="s">
        <v>1451</v>
      </c>
      <c r="B905" s="106" t="s">
        <v>4280</v>
      </c>
      <c r="C905" s="106" t="s">
        <v>4281</v>
      </c>
      <c r="D905" s="106" t="n">
        <v>659</v>
      </c>
      <c r="E905" s="107" t="n">
        <v>21</v>
      </c>
      <c r="F905" s="106" t="n">
        <v>2</v>
      </c>
      <c r="G905" s="118" t="n">
        <v>0.0952</v>
      </c>
      <c r="H905" s="116" t="n">
        <v>2.84</v>
      </c>
      <c r="I905" s="106" t="n">
        <v>0</v>
      </c>
      <c r="J905" s="117" t="n">
        <v>0</v>
      </c>
      <c r="K905" s="108" t="n">
        <v>5.68</v>
      </c>
      <c r="L905" s="108" t="n">
        <v>0</v>
      </c>
      <c r="M905" s="117"/>
      <c r="N905" s="106" t="n">
        <v>30</v>
      </c>
      <c r="O905" s="106" t="n">
        <v>7</v>
      </c>
      <c r="P905" s="106" t="s">
        <v>4894</v>
      </c>
      <c r="Q905" s="106" t="n">
        <v>43</v>
      </c>
      <c r="R905" s="106" t="s">
        <v>4537</v>
      </c>
    </row>
    <row r="906" customFormat="false" ht="15" hidden="false" customHeight="false" outlineLevel="0" collapsed="false">
      <c r="A906" s="106" t="s">
        <v>5539</v>
      </c>
      <c r="B906" s="106" t="s">
        <v>4280</v>
      </c>
      <c r="C906" s="106"/>
      <c r="D906" s="106" t="n">
        <v>108</v>
      </c>
      <c r="E906" s="107" t="n">
        <v>3</v>
      </c>
      <c r="F906" s="106" t="n">
        <v>2</v>
      </c>
      <c r="G906" s="118" t="n">
        <v>0.6667</v>
      </c>
      <c r="H906" s="116" t="n">
        <v>2.84</v>
      </c>
      <c r="I906" s="106" t="n">
        <v>0</v>
      </c>
      <c r="J906" s="117" t="n">
        <v>0</v>
      </c>
      <c r="K906" s="108" t="n">
        <v>5.68</v>
      </c>
      <c r="L906" s="108" t="n">
        <v>0</v>
      </c>
      <c r="M906" s="117"/>
      <c r="N906" s="106"/>
      <c r="O906" s="106"/>
      <c r="P906" s="106"/>
      <c r="Q906" s="106"/>
      <c r="R906" s="106" t="s">
        <v>4537</v>
      </c>
    </row>
    <row r="907" customFormat="false" ht="15" hidden="false" customHeight="false" outlineLevel="0" collapsed="false">
      <c r="A907" s="106" t="s">
        <v>5540</v>
      </c>
      <c r="B907" s="106" t="s">
        <v>4280</v>
      </c>
      <c r="C907" s="106"/>
      <c r="D907" s="106" t="n">
        <v>57</v>
      </c>
      <c r="E907" s="107" t="n">
        <v>5</v>
      </c>
      <c r="F907" s="106" t="n">
        <v>2</v>
      </c>
      <c r="G907" s="118" t="n">
        <v>0.4</v>
      </c>
      <c r="H907" s="116" t="n">
        <v>2.83</v>
      </c>
      <c r="I907" s="106" t="n">
        <v>0</v>
      </c>
      <c r="J907" s="117" t="n">
        <v>0</v>
      </c>
      <c r="K907" s="108" t="n">
        <v>5.66</v>
      </c>
      <c r="L907" s="108" t="n">
        <v>0</v>
      </c>
      <c r="M907" s="117"/>
      <c r="N907" s="106"/>
      <c r="O907" s="106"/>
      <c r="P907" s="106"/>
      <c r="Q907" s="106"/>
      <c r="R907" s="106" t="s">
        <v>4537</v>
      </c>
    </row>
    <row r="908" customFormat="false" ht="15" hidden="false" customHeight="false" outlineLevel="0" collapsed="false">
      <c r="A908" s="106" t="s">
        <v>5541</v>
      </c>
      <c r="B908" s="106" t="s">
        <v>4329</v>
      </c>
      <c r="C908" s="106"/>
      <c r="D908" s="106" t="n">
        <v>53</v>
      </c>
      <c r="E908" s="107" t="n">
        <v>20</v>
      </c>
      <c r="F908" s="106" t="n">
        <v>2</v>
      </c>
      <c r="G908" s="118" t="n">
        <v>0.1</v>
      </c>
      <c r="H908" s="116" t="n">
        <v>2.78</v>
      </c>
      <c r="I908" s="106" t="n">
        <v>0</v>
      </c>
      <c r="J908" s="117" t="n">
        <v>0</v>
      </c>
      <c r="K908" s="108" t="n">
        <v>5.56</v>
      </c>
      <c r="L908" s="108" t="n">
        <v>0</v>
      </c>
      <c r="M908" s="117"/>
      <c r="N908" s="106"/>
      <c r="O908" s="106"/>
      <c r="P908" s="106"/>
      <c r="Q908" s="106"/>
      <c r="R908" s="106" t="s">
        <v>4537</v>
      </c>
    </row>
    <row r="909" customFormat="false" ht="15" hidden="false" customHeight="false" outlineLevel="0" collapsed="false">
      <c r="A909" s="106" t="s">
        <v>5542</v>
      </c>
      <c r="B909" s="106" t="s">
        <v>4329</v>
      </c>
      <c r="C909" s="106"/>
      <c r="D909" s="106" t="n">
        <v>41</v>
      </c>
      <c r="E909" s="107" t="n">
        <v>3</v>
      </c>
      <c r="F909" s="106" t="n">
        <v>2</v>
      </c>
      <c r="G909" s="118" t="n">
        <v>0.6667</v>
      </c>
      <c r="H909" s="116" t="n">
        <v>2.77</v>
      </c>
      <c r="I909" s="106" t="n">
        <v>0</v>
      </c>
      <c r="J909" s="117" t="n">
        <v>0</v>
      </c>
      <c r="K909" s="108" t="n">
        <v>5.53</v>
      </c>
      <c r="L909" s="108" t="n">
        <v>0</v>
      </c>
      <c r="M909" s="117"/>
      <c r="N909" s="106"/>
      <c r="O909" s="106"/>
      <c r="P909" s="106"/>
      <c r="Q909" s="106"/>
      <c r="R909" s="106" t="s">
        <v>4537</v>
      </c>
    </row>
    <row r="910" customFormat="false" ht="15" hidden="false" customHeight="false" outlineLevel="0" collapsed="false">
      <c r="A910" s="106" t="s">
        <v>5543</v>
      </c>
      <c r="B910" s="106" t="s">
        <v>4280</v>
      </c>
      <c r="C910" s="106"/>
      <c r="D910" s="106" t="n">
        <v>10</v>
      </c>
      <c r="E910" s="107" t="n">
        <v>7</v>
      </c>
      <c r="F910" s="106" t="n">
        <v>2</v>
      </c>
      <c r="G910" s="118" t="n">
        <v>0.2857</v>
      </c>
      <c r="H910" s="116" t="n">
        <v>2.75</v>
      </c>
      <c r="I910" s="106" t="n">
        <v>0</v>
      </c>
      <c r="J910" s="117" t="n">
        <v>0</v>
      </c>
      <c r="K910" s="108" t="n">
        <v>5.5</v>
      </c>
      <c r="L910" s="108" t="n">
        <v>0</v>
      </c>
      <c r="M910" s="117"/>
      <c r="N910" s="106"/>
      <c r="O910" s="106"/>
      <c r="P910" s="106"/>
      <c r="Q910" s="106"/>
      <c r="R910" s="106" t="s">
        <v>4537</v>
      </c>
    </row>
    <row r="911" customFormat="false" ht="15" hidden="false" customHeight="false" outlineLevel="0" collapsed="false">
      <c r="A911" s="106" t="s">
        <v>5544</v>
      </c>
      <c r="B911" s="106" t="s">
        <v>4280</v>
      </c>
      <c r="C911" s="106" t="s">
        <v>4288</v>
      </c>
      <c r="D911" s="106" t="n">
        <v>641</v>
      </c>
      <c r="E911" s="107" t="n">
        <v>143</v>
      </c>
      <c r="F911" s="106" t="n">
        <v>2</v>
      </c>
      <c r="G911" s="118" t="n">
        <v>0.014</v>
      </c>
      <c r="H911" s="116" t="n">
        <v>3</v>
      </c>
      <c r="I911" s="106" t="n">
        <v>0</v>
      </c>
      <c r="J911" s="117" t="n">
        <v>0</v>
      </c>
      <c r="K911" s="108" t="n">
        <v>6</v>
      </c>
      <c r="L911" s="108" t="n">
        <v>0</v>
      </c>
      <c r="M911" s="117"/>
      <c r="N911" s="106"/>
      <c r="O911" s="106"/>
      <c r="P911" s="106"/>
      <c r="Q911" s="106"/>
      <c r="R911" s="106" t="s">
        <v>4537</v>
      </c>
    </row>
    <row r="912" customFormat="false" ht="15" hidden="false" customHeight="false" outlineLevel="0" collapsed="false">
      <c r="A912" s="106" t="s">
        <v>5545</v>
      </c>
      <c r="B912" s="106" t="s">
        <v>4329</v>
      </c>
      <c r="C912" s="106"/>
      <c r="D912" s="106" t="n">
        <v>48</v>
      </c>
      <c r="E912" s="107" t="n">
        <v>16</v>
      </c>
      <c r="F912" s="106" t="n">
        <v>2</v>
      </c>
      <c r="G912" s="118" t="n">
        <v>0.125</v>
      </c>
      <c r="H912" s="116" t="n">
        <v>2.98</v>
      </c>
      <c r="I912" s="106" t="n">
        <v>0</v>
      </c>
      <c r="J912" s="117" t="n">
        <v>0</v>
      </c>
      <c r="K912" s="108" t="n">
        <v>5.96</v>
      </c>
      <c r="L912" s="108" t="n">
        <v>0</v>
      </c>
      <c r="M912" s="117"/>
      <c r="N912" s="106"/>
      <c r="O912" s="106"/>
      <c r="P912" s="106"/>
      <c r="Q912" s="106"/>
      <c r="R912" s="106" t="s">
        <v>4537</v>
      </c>
    </row>
    <row r="913" customFormat="false" ht="15" hidden="false" customHeight="false" outlineLevel="0" collapsed="false">
      <c r="A913" s="106" t="s">
        <v>4970</v>
      </c>
      <c r="B913" s="106" t="s">
        <v>4280</v>
      </c>
      <c r="C913" s="106" t="s">
        <v>4281</v>
      </c>
      <c r="D913" s="106" t="n">
        <v>631</v>
      </c>
      <c r="E913" s="107" t="n">
        <v>16</v>
      </c>
      <c r="F913" s="106" t="n">
        <v>2</v>
      </c>
      <c r="G913" s="118" t="n">
        <v>0.125</v>
      </c>
      <c r="H913" s="116" t="n">
        <v>2.92</v>
      </c>
      <c r="I913" s="106" t="n">
        <v>0</v>
      </c>
      <c r="J913" s="117" t="n">
        <v>0</v>
      </c>
      <c r="K913" s="108" t="n">
        <v>5.84</v>
      </c>
      <c r="L913" s="108" t="n">
        <v>0</v>
      </c>
      <c r="M913" s="117"/>
      <c r="N913" s="106"/>
      <c r="O913" s="106" t="n">
        <v>43</v>
      </c>
      <c r="P913" s="106"/>
      <c r="Q913" s="106" t="n">
        <v>101</v>
      </c>
      <c r="R913" s="106" t="s">
        <v>4537</v>
      </c>
    </row>
    <row r="914" customFormat="false" ht="15" hidden="false" customHeight="false" outlineLevel="0" collapsed="false">
      <c r="A914" s="106" t="s">
        <v>5546</v>
      </c>
      <c r="B914" s="106" t="s">
        <v>4280</v>
      </c>
      <c r="C914" s="106"/>
      <c r="D914" s="106" t="n">
        <v>43</v>
      </c>
      <c r="E914" s="107" t="n">
        <v>5</v>
      </c>
      <c r="F914" s="106" t="n">
        <v>2</v>
      </c>
      <c r="G914" s="118" t="n">
        <v>0.4</v>
      </c>
      <c r="H914" s="116" t="n">
        <v>2.91</v>
      </c>
      <c r="I914" s="106" t="n">
        <v>0</v>
      </c>
      <c r="J914" s="117" t="n">
        <v>0</v>
      </c>
      <c r="K914" s="108" t="n">
        <v>5.81</v>
      </c>
      <c r="L914" s="108" t="n">
        <v>0</v>
      </c>
      <c r="M914" s="117"/>
      <c r="N914" s="106"/>
      <c r="O914" s="106"/>
      <c r="P914" s="106"/>
      <c r="Q914" s="106"/>
      <c r="R914" s="106" t="s">
        <v>4537</v>
      </c>
    </row>
    <row r="915" customFormat="false" ht="15" hidden="false" customHeight="false" outlineLevel="0" collapsed="false">
      <c r="A915" s="106" t="s">
        <v>5547</v>
      </c>
      <c r="B915" s="106" t="s">
        <v>4329</v>
      </c>
      <c r="C915" s="106"/>
      <c r="D915" s="106" t="n">
        <v>12</v>
      </c>
      <c r="E915" s="107" t="n">
        <v>5</v>
      </c>
      <c r="F915" s="106" t="n">
        <v>2</v>
      </c>
      <c r="G915" s="118" t="n">
        <v>0.4</v>
      </c>
      <c r="H915" s="116" t="n">
        <v>2.89</v>
      </c>
      <c r="I915" s="106" t="n">
        <v>0</v>
      </c>
      <c r="J915" s="117" t="n">
        <v>0</v>
      </c>
      <c r="K915" s="108" t="n">
        <v>5.78</v>
      </c>
      <c r="L915" s="108" t="n">
        <v>0</v>
      </c>
      <c r="M915" s="117"/>
      <c r="N915" s="106"/>
      <c r="O915" s="106"/>
      <c r="P915" s="106"/>
      <c r="Q915" s="106"/>
      <c r="R915" s="106" t="s">
        <v>4537</v>
      </c>
    </row>
    <row r="916" customFormat="false" ht="15" hidden="false" customHeight="false" outlineLevel="0" collapsed="false">
      <c r="A916" s="106" t="s">
        <v>5548</v>
      </c>
      <c r="B916" s="106" t="s">
        <v>4329</v>
      </c>
      <c r="C916" s="106"/>
      <c r="D916" s="106"/>
      <c r="E916" s="107" t="n">
        <v>2</v>
      </c>
      <c r="F916" s="106" t="n">
        <v>2</v>
      </c>
      <c r="G916" s="118" t="n">
        <v>1</v>
      </c>
      <c r="H916" s="116" t="n">
        <v>2.84</v>
      </c>
      <c r="I916" s="106" t="n">
        <v>0</v>
      </c>
      <c r="J916" s="117" t="n">
        <v>0</v>
      </c>
      <c r="K916" s="108" t="n">
        <v>5.68</v>
      </c>
      <c r="L916" s="108" t="n">
        <v>0</v>
      </c>
      <c r="M916" s="117"/>
      <c r="N916" s="106"/>
      <c r="O916" s="106"/>
      <c r="P916" s="106"/>
      <c r="Q916" s="106"/>
      <c r="R916" s="106" t="s">
        <v>4537</v>
      </c>
    </row>
    <row r="917" customFormat="false" ht="15" hidden="false" customHeight="false" outlineLevel="0" collapsed="false">
      <c r="A917" s="106" t="s">
        <v>5549</v>
      </c>
      <c r="B917" s="106" t="s">
        <v>4329</v>
      </c>
      <c r="C917" s="106"/>
      <c r="D917" s="106" t="n">
        <v>11</v>
      </c>
      <c r="E917" s="107" t="n">
        <v>6</v>
      </c>
      <c r="F917" s="106" t="n">
        <v>2</v>
      </c>
      <c r="G917" s="118" t="n">
        <v>0.3333</v>
      </c>
      <c r="H917" s="116" t="n">
        <v>3.13</v>
      </c>
      <c r="I917" s="106" t="n">
        <v>0</v>
      </c>
      <c r="J917" s="117" t="n">
        <v>0</v>
      </c>
      <c r="K917" s="108" t="n">
        <v>6.25</v>
      </c>
      <c r="L917" s="108" t="n">
        <v>0</v>
      </c>
      <c r="M917" s="117"/>
      <c r="N917" s="106"/>
      <c r="O917" s="106"/>
      <c r="P917" s="106"/>
      <c r="Q917" s="106"/>
      <c r="R917" s="106" t="s">
        <v>4537</v>
      </c>
    </row>
    <row r="918" customFormat="false" ht="15" hidden="false" customHeight="false" outlineLevel="0" collapsed="false">
      <c r="A918" s="106" t="s">
        <v>5550</v>
      </c>
      <c r="B918" s="106" t="s">
        <v>4329</v>
      </c>
      <c r="C918" s="106"/>
      <c r="D918" s="106" t="n">
        <v>8</v>
      </c>
      <c r="E918" s="107" t="n">
        <v>3</v>
      </c>
      <c r="F918" s="106" t="n">
        <v>2</v>
      </c>
      <c r="G918" s="118" t="n">
        <v>0.6667</v>
      </c>
      <c r="H918" s="116" t="n">
        <v>3.04</v>
      </c>
      <c r="I918" s="106" t="n">
        <v>1</v>
      </c>
      <c r="J918" s="117" t="n">
        <v>0.5</v>
      </c>
      <c r="K918" s="108" t="n">
        <v>6.07</v>
      </c>
      <c r="L918" s="108" t="n">
        <v>84.99</v>
      </c>
      <c r="M918" s="117" t="n">
        <v>0.071</v>
      </c>
      <c r="N918" s="106"/>
      <c r="O918" s="106"/>
      <c r="P918" s="106"/>
      <c r="Q918" s="106"/>
      <c r="R918" s="106" t="s">
        <v>4285</v>
      </c>
    </row>
    <row r="919" customFormat="false" ht="15" hidden="false" customHeight="false" outlineLevel="0" collapsed="false">
      <c r="A919" s="106" t="s">
        <v>5551</v>
      </c>
      <c r="B919" s="106" t="s">
        <v>4284</v>
      </c>
      <c r="C919" s="106"/>
      <c r="D919" s="106" t="n">
        <v>142</v>
      </c>
      <c r="E919" s="107" t="n">
        <v>8</v>
      </c>
      <c r="F919" s="106" t="n">
        <v>2</v>
      </c>
      <c r="G919" s="118" t="n">
        <v>0.25</v>
      </c>
      <c r="H919" s="116" t="n">
        <v>3</v>
      </c>
      <c r="I919" s="106" t="n">
        <v>0</v>
      </c>
      <c r="J919" s="117" t="n">
        <v>0</v>
      </c>
      <c r="K919" s="108" t="n">
        <v>6</v>
      </c>
      <c r="L919" s="108" t="n">
        <v>0</v>
      </c>
      <c r="M919" s="117"/>
      <c r="N919" s="106"/>
      <c r="O919" s="106"/>
      <c r="P919" s="106"/>
      <c r="Q919" s="106"/>
      <c r="R919" s="106" t="s">
        <v>4537</v>
      </c>
    </row>
    <row r="920" customFormat="false" ht="15" hidden="false" customHeight="false" outlineLevel="0" collapsed="false">
      <c r="A920" s="106" t="s">
        <v>5552</v>
      </c>
      <c r="B920" s="106" t="s">
        <v>4280</v>
      </c>
      <c r="C920" s="106"/>
      <c r="D920" s="106" t="n">
        <v>30</v>
      </c>
      <c r="E920" s="107" t="n">
        <v>9</v>
      </c>
      <c r="F920" s="106" t="n">
        <v>2</v>
      </c>
      <c r="G920" s="118" t="n">
        <v>0.2222</v>
      </c>
      <c r="H920" s="116" t="n">
        <v>3</v>
      </c>
      <c r="I920" s="106" t="n">
        <v>0</v>
      </c>
      <c r="J920" s="117" t="n">
        <v>0</v>
      </c>
      <c r="K920" s="108" t="n">
        <v>6</v>
      </c>
      <c r="L920" s="108" t="n">
        <v>0</v>
      </c>
      <c r="M920" s="117"/>
      <c r="N920" s="106"/>
      <c r="O920" s="106"/>
      <c r="P920" s="106"/>
      <c r="Q920" s="106"/>
      <c r="R920" s="106" t="s">
        <v>4537</v>
      </c>
    </row>
    <row r="921" customFormat="false" ht="15" hidden="false" customHeight="false" outlineLevel="0" collapsed="false">
      <c r="A921" s="106" t="s">
        <v>5553</v>
      </c>
      <c r="B921" s="106" t="s">
        <v>4280</v>
      </c>
      <c r="C921" s="106" t="s">
        <v>4281</v>
      </c>
      <c r="D921" s="106" t="n">
        <v>590</v>
      </c>
      <c r="E921" s="107" t="n">
        <v>13</v>
      </c>
      <c r="F921" s="106" t="n">
        <v>2</v>
      </c>
      <c r="G921" s="118" t="n">
        <v>0.1538</v>
      </c>
      <c r="H921" s="116" t="n">
        <v>3.18</v>
      </c>
      <c r="I921" s="106" t="n">
        <v>1</v>
      </c>
      <c r="J921" s="117" t="n">
        <v>0.5</v>
      </c>
      <c r="K921" s="108" t="n">
        <v>6.36</v>
      </c>
      <c r="L921" s="108" t="n">
        <v>79.99</v>
      </c>
      <c r="M921" s="117" t="n">
        <v>0.08</v>
      </c>
      <c r="N921" s="106"/>
      <c r="O921" s="106"/>
      <c r="P921" s="106"/>
      <c r="Q921" s="106"/>
      <c r="R921" s="106" t="s">
        <v>4285</v>
      </c>
    </row>
    <row r="922" customFormat="false" ht="15" hidden="false" customHeight="false" outlineLevel="0" collapsed="false">
      <c r="A922" s="106" t="s">
        <v>5554</v>
      </c>
      <c r="B922" s="106" t="s">
        <v>4329</v>
      </c>
      <c r="C922" s="106"/>
      <c r="D922" s="106" t="n">
        <v>30</v>
      </c>
      <c r="E922" s="107" t="n">
        <v>2</v>
      </c>
      <c r="F922" s="106" t="n">
        <v>2</v>
      </c>
      <c r="G922" s="118" t="n">
        <v>1</v>
      </c>
      <c r="H922" s="116" t="n">
        <v>3.17</v>
      </c>
      <c r="I922" s="106" t="n">
        <v>0</v>
      </c>
      <c r="J922" s="117" t="n">
        <v>0</v>
      </c>
      <c r="K922" s="108" t="n">
        <v>6.34</v>
      </c>
      <c r="L922" s="108" t="n">
        <v>0</v>
      </c>
      <c r="M922" s="117"/>
      <c r="N922" s="106"/>
      <c r="O922" s="106"/>
      <c r="P922" s="106"/>
      <c r="Q922" s="106"/>
      <c r="R922" s="106" t="s">
        <v>4537</v>
      </c>
    </row>
    <row r="923" customFormat="false" ht="15" hidden="false" customHeight="false" outlineLevel="0" collapsed="false">
      <c r="A923" s="106" t="s">
        <v>4892</v>
      </c>
      <c r="B923" s="106" t="s">
        <v>4280</v>
      </c>
      <c r="C923" s="106" t="s">
        <v>4301</v>
      </c>
      <c r="D923" s="106" t="n">
        <v>360</v>
      </c>
      <c r="E923" s="107" t="n">
        <v>8</v>
      </c>
      <c r="F923" s="106" t="n">
        <v>2</v>
      </c>
      <c r="G923" s="118" t="n">
        <v>0.25</v>
      </c>
      <c r="H923" s="116" t="n">
        <v>3.17</v>
      </c>
      <c r="I923" s="106" t="n">
        <v>0</v>
      </c>
      <c r="J923" s="117" t="n">
        <v>0</v>
      </c>
      <c r="K923" s="108" t="n">
        <v>6.34</v>
      </c>
      <c r="L923" s="108" t="n">
        <v>0</v>
      </c>
      <c r="M923" s="117"/>
      <c r="N923" s="106" t="n">
        <v>139</v>
      </c>
      <c r="O923" s="106" t="n">
        <v>40</v>
      </c>
      <c r="P923" s="106"/>
      <c r="Q923" s="106" t="n">
        <v>101</v>
      </c>
      <c r="R923" s="106" t="s">
        <v>4537</v>
      </c>
    </row>
    <row r="924" customFormat="false" ht="15" hidden="false" customHeight="false" outlineLevel="0" collapsed="false">
      <c r="A924" s="106" t="s">
        <v>5555</v>
      </c>
      <c r="B924" s="106" t="s">
        <v>4329</v>
      </c>
      <c r="C924" s="106"/>
      <c r="D924" s="106" t="n">
        <v>19</v>
      </c>
      <c r="E924" s="107" t="n">
        <v>5</v>
      </c>
      <c r="F924" s="106" t="n">
        <v>2</v>
      </c>
      <c r="G924" s="118" t="n">
        <v>0.4</v>
      </c>
      <c r="H924" s="116" t="n">
        <v>3.17</v>
      </c>
      <c r="I924" s="106" t="n">
        <v>0</v>
      </c>
      <c r="J924" s="117" t="n">
        <v>0</v>
      </c>
      <c r="K924" s="108" t="n">
        <v>6.34</v>
      </c>
      <c r="L924" s="108" t="n">
        <v>0</v>
      </c>
      <c r="M924" s="117"/>
      <c r="N924" s="106"/>
      <c r="O924" s="106"/>
      <c r="P924" s="106"/>
      <c r="Q924" s="106"/>
      <c r="R924" s="106" t="s">
        <v>4537</v>
      </c>
    </row>
    <row r="925" customFormat="false" ht="15" hidden="false" customHeight="false" outlineLevel="0" collapsed="false">
      <c r="A925" s="106" t="s">
        <v>5556</v>
      </c>
      <c r="B925" s="106" t="s">
        <v>4280</v>
      </c>
      <c r="C925" s="106" t="s">
        <v>4301</v>
      </c>
      <c r="D925" s="106" t="n">
        <v>280</v>
      </c>
      <c r="E925" s="107" t="n">
        <v>5</v>
      </c>
      <c r="F925" s="106" t="n">
        <v>2</v>
      </c>
      <c r="G925" s="118" t="n">
        <v>0.4</v>
      </c>
      <c r="H925" s="116" t="n">
        <v>3.17</v>
      </c>
      <c r="I925" s="106" t="n">
        <v>0</v>
      </c>
      <c r="J925" s="117" t="n">
        <v>0</v>
      </c>
      <c r="K925" s="108" t="n">
        <v>6.34</v>
      </c>
      <c r="L925" s="108" t="n">
        <v>0</v>
      </c>
      <c r="M925" s="117"/>
      <c r="N925" s="106"/>
      <c r="O925" s="106"/>
      <c r="P925" s="106"/>
      <c r="Q925" s="106"/>
      <c r="R925" s="106" t="s">
        <v>4537</v>
      </c>
    </row>
    <row r="926" customFormat="false" ht="15" hidden="false" customHeight="false" outlineLevel="0" collapsed="false">
      <c r="A926" s="106" t="s">
        <v>5557</v>
      </c>
      <c r="B926" s="106" t="s">
        <v>4280</v>
      </c>
      <c r="C926" s="106" t="s">
        <v>4287</v>
      </c>
      <c r="D926" s="106" t="n">
        <v>450</v>
      </c>
      <c r="E926" s="107" t="n">
        <v>16</v>
      </c>
      <c r="F926" s="106" t="n">
        <v>2</v>
      </c>
      <c r="G926" s="118" t="n">
        <v>0.125</v>
      </c>
      <c r="H926" s="116" t="n">
        <v>1.04</v>
      </c>
      <c r="I926" s="106" t="n">
        <v>0</v>
      </c>
      <c r="J926" s="117" t="n">
        <v>0</v>
      </c>
      <c r="K926" s="108" t="n">
        <v>2.07</v>
      </c>
      <c r="L926" s="108" t="n">
        <v>0</v>
      </c>
      <c r="M926" s="117"/>
      <c r="N926" s="106"/>
      <c r="O926" s="106"/>
      <c r="P926" s="106"/>
      <c r="Q926" s="106"/>
      <c r="R926" s="106" t="s">
        <v>4537</v>
      </c>
    </row>
    <row r="927" customFormat="false" ht="15" hidden="false" customHeight="false" outlineLevel="0" collapsed="false">
      <c r="A927" s="106" t="s">
        <v>5558</v>
      </c>
      <c r="B927" s="106" t="s">
        <v>1403</v>
      </c>
      <c r="C927" s="106"/>
      <c r="D927" s="106" t="n">
        <v>2203</v>
      </c>
      <c r="E927" s="107" t="n">
        <v>31</v>
      </c>
      <c r="F927" s="106" t="n">
        <v>2</v>
      </c>
      <c r="G927" s="118" t="n">
        <v>0.0645</v>
      </c>
      <c r="H927" s="116" t="n">
        <v>1.03</v>
      </c>
      <c r="I927" s="106" t="n">
        <v>1</v>
      </c>
      <c r="J927" s="117" t="n">
        <v>0.5</v>
      </c>
      <c r="K927" s="108" t="n">
        <v>2.06</v>
      </c>
      <c r="L927" s="108" t="n">
        <v>84.99</v>
      </c>
      <c r="M927" s="117" t="n">
        <v>0.024</v>
      </c>
      <c r="N927" s="106"/>
      <c r="O927" s="106"/>
      <c r="P927" s="106"/>
      <c r="Q927" s="106"/>
      <c r="R927" s="106" t="s">
        <v>4285</v>
      </c>
    </row>
    <row r="928" customFormat="false" ht="15" hidden="false" customHeight="false" outlineLevel="0" collapsed="false">
      <c r="A928" s="106" t="s">
        <v>5559</v>
      </c>
      <c r="B928" s="106" t="s">
        <v>4280</v>
      </c>
      <c r="C928" s="106" t="s">
        <v>4288</v>
      </c>
      <c r="D928" s="106" t="n">
        <v>255</v>
      </c>
      <c r="E928" s="107" t="n">
        <v>10</v>
      </c>
      <c r="F928" s="106" t="n">
        <v>2</v>
      </c>
      <c r="G928" s="118" t="n">
        <v>0.2</v>
      </c>
      <c r="H928" s="116" t="n">
        <v>1.04</v>
      </c>
      <c r="I928" s="106" t="n">
        <v>0</v>
      </c>
      <c r="J928" s="117" t="n">
        <v>0</v>
      </c>
      <c r="K928" s="108" t="n">
        <v>2.08</v>
      </c>
      <c r="L928" s="108" t="n">
        <v>0</v>
      </c>
      <c r="M928" s="117"/>
      <c r="N928" s="106"/>
      <c r="O928" s="106"/>
      <c r="P928" s="106"/>
      <c r="Q928" s="106"/>
      <c r="R928" s="106" t="s">
        <v>4537</v>
      </c>
    </row>
    <row r="929" customFormat="false" ht="15" hidden="false" customHeight="false" outlineLevel="0" collapsed="false">
      <c r="A929" s="106" t="s">
        <v>5560</v>
      </c>
      <c r="B929" s="106" t="s">
        <v>1403</v>
      </c>
      <c r="C929" s="106"/>
      <c r="D929" s="106" t="n">
        <v>8</v>
      </c>
      <c r="E929" s="107" t="n">
        <v>28</v>
      </c>
      <c r="F929" s="106" t="n">
        <v>2</v>
      </c>
      <c r="G929" s="118" t="n">
        <v>0.0714</v>
      </c>
      <c r="H929" s="116" t="n">
        <v>1.08</v>
      </c>
      <c r="I929" s="106" t="n">
        <v>0</v>
      </c>
      <c r="J929" s="117" t="n">
        <v>0</v>
      </c>
      <c r="K929" s="108" t="n">
        <v>2.15</v>
      </c>
      <c r="L929" s="108" t="n">
        <v>0</v>
      </c>
      <c r="M929" s="117"/>
      <c r="N929" s="106"/>
      <c r="O929" s="106"/>
      <c r="P929" s="106"/>
      <c r="Q929" s="106"/>
      <c r="R929" s="106" t="s">
        <v>4537</v>
      </c>
    </row>
    <row r="930" customFormat="false" ht="15" hidden="false" customHeight="false" outlineLevel="0" collapsed="false">
      <c r="A930" s="106" t="s">
        <v>5561</v>
      </c>
      <c r="B930" s="106" t="s">
        <v>4280</v>
      </c>
      <c r="C930" s="106"/>
      <c r="D930" s="106" t="n">
        <v>38</v>
      </c>
      <c r="E930" s="107" t="n">
        <v>3</v>
      </c>
      <c r="F930" s="106" t="n">
        <v>2</v>
      </c>
      <c r="G930" s="118" t="n">
        <v>0.6667</v>
      </c>
      <c r="H930" s="116" t="n">
        <v>1.1</v>
      </c>
      <c r="I930" s="106" t="n">
        <v>0</v>
      </c>
      <c r="J930" s="117" t="n">
        <v>0</v>
      </c>
      <c r="K930" s="108" t="n">
        <v>2.2</v>
      </c>
      <c r="L930" s="108" t="n">
        <v>0</v>
      </c>
      <c r="M930" s="117"/>
      <c r="N930" s="106"/>
      <c r="O930" s="106"/>
      <c r="P930" s="106"/>
      <c r="Q930" s="106"/>
      <c r="R930" s="106" t="s">
        <v>4537</v>
      </c>
    </row>
    <row r="931" customFormat="false" ht="15" hidden="false" customHeight="false" outlineLevel="0" collapsed="false">
      <c r="A931" s="106" t="s">
        <v>5562</v>
      </c>
      <c r="B931" s="106" t="s">
        <v>4280</v>
      </c>
      <c r="C931" s="106"/>
      <c r="D931" s="106" t="n">
        <v>18</v>
      </c>
      <c r="E931" s="107" t="n">
        <v>3</v>
      </c>
      <c r="F931" s="106" t="n">
        <v>2</v>
      </c>
      <c r="G931" s="118" t="n">
        <v>0.6667</v>
      </c>
      <c r="H931" s="116" t="n">
        <v>1.1</v>
      </c>
      <c r="I931" s="106" t="n">
        <v>0</v>
      </c>
      <c r="J931" s="117" t="n">
        <v>0</v>
      </c>
      <c r="K931" s="108" t="n">
        <v>2.2</v>
      </c>
      <c r="L931" s="108" t="n">
        <v>0</v>
      </c>
      <c r="M931" s="117"/>
      <c r="N931" s="106"/>
      <c r="O931" s="106"/>
      <c r="P931" s="106"/>
      <c r="Q931" s="106"/>
      <c r="R931" s="106" t="s">
        <v>4537</v>
      </c>
    </row>
    <row r="932" customFormat="false" ht="15" hidden="false" customHeight="false" outlineLevel="0" collapsed="false">
      <c r="A932" s="106" t="s">
        <v>5563</v>
      </c>
      <c r="B932" s="106" t="s">
        <v>4280</v>
      </c>
      <c r="C932" s="106"/>
      <c r="D932" s="106" t="n">
        <v>5</v>
      </c>
      <c r="E932" s="107" t="n">
        <v>3</v>
      </c>
      <c r="F932" s="106" t="n">
        <v>2</v>
      </c>
      <c r="G932" s="118" t="n">
        <v>0.6667</v>
      </c>
      <c r="H932" s="116" t="n">
        <v>1.1</v>
      </c>
      <c r="I932" s="106" t="n">
        <v>0</v>
      </c>
      <c r="J932" s="117" t="n">
        <v>0</v>
      </c>
      <c r="K932" s="108" t="n">
        <v>2.2</v>
      </c>
      <c r="L932" s="108" t="n">
        <v>0</v>
      </c>
      <c r="M932" s="117"/>
      <c r="N932" s="106"/>
      <c r="O932" s="106"/>
      <c r="P932" s="106"/>
      <c r="Q932" s="106"/>
      <c r="R932" s="106" t="s">
        <v>4537</v>
      </c>
    </row>
    <row r="933" customFormat="false" ht="15" hidden="false" customHeight="false" outlineLevel="0" collapsed="false">
      <c r="A933" s="106" t="s">
        <v>5564</v>
      </c>
      <c r="B933" s="106" t="s">
        <v>4284</v>
      </c>
      <c r="C933" s="106"/>
      <c r="D933" s="106" t="n">
        <v>565</v>
      </c>
      <c r="E933" s="107" t="n">
        <v>15</v>
      </c>
      <c r="F933" s="106" t="n">
        <v>2</v>
      </c>
      <c r="G933" s="118" t="n">
        <v>0.1333</v>
      </c>
      <c r="H933" s="116" t="n">
        <v>1.1</v>
      </c>
      <c r="I933" s="106" t="n">
        <v>0</v>
      </c>
      <c r="J933" s="117" t="n">
        <v>0</v>
      </c>
      <c r="K933" s="108" t="n">
        <v>2.2</v>
      </c>
      <c r="L933" s="108" t="n">
        <v>0</v>
      </c>
      <c r="M933" s="117"/>
      <c r="N933" s="106"/>
      <c r="O933" s="106"/>
      <c r="P933" s="106"/>
      <c r="Q933" s="106"/>
      <c r="R933" s="106" t="s">
        <v>4537</v>
      </c>
    </row>
    <row r="934" customFormat="false" ht="15" hidden="false" customHeight="false" outlineLevel="0" collapsed="false">
      <c r="A934" s="106" t="s">
        <v>5565</v>
      </c>
      <c r="B934" s="106" t="s">
        <v>4284</v>
      </c>
      <c r="C934" s="106"/>
      <c r="D934" s="106" t="n">
        <v>47</v>
      </c>
      <c r="E934" s="107" t="n">
        <v>6</v>
      </c>
      <c r="F934" s="106" t="n">
        <v>2</v>
      </c>
      <c r="G934" s="118" t="n">
        <v>0.3333</v>
      </c>
      <c r="H934" s="116" t="n">
        <v>1.1</v>
      </c>
      <c r="I934" s="106" t="n">
        <v>0</v>
      </c>
      <c r="J934" s="117" t="n">
        <v>0</v>
      </c>
      <c r="K934" s="108" t="n">
        <v>2.2</v>
      </c>
      <c r="L934" s="108" t="n">
        <v>0</v>
      </c>
      <c r="M934" s="117"/>
      <c r="N934" s="106"/>
      <c r="O934" s="106"/>
      <c r="P934" s="106"/>
      <c r="Q934" s="106"/>
      <c r="R934" s="106" t="s">
        <v>4537</v>
      </c>
    </row>
    <row r="935" customFormat="false" ht="15" hidden="false" customHeight="false" outlineLevel="0" collapsed="false">
      <c r="A935" s="106" t="s">
        <v>5566</v>
      </c>
      <c r="B935" s="106" t="s">
        <v>4280</v>
      </c>
      <c r="C935" s="106"/>
      <c r="D935" s="106"/>
      <c r="E935" s="107" t="n">
        <v>5</v>
      </c>
      <c r="F935" s="106" t="n">
        <v>2</v>
      </c>
      <c r="G935" s="118" t="n">
        <v>0.4</v>
      </c>
      <c r="H935" s="116" t="n">
        <v>1.09</v>
      </c>
      <c r="I935" s="106" t="n">
        <v>0</v>
      </c>
      <c r="J935" s="117" t="n">
        <v>0</v>
      </c>
      <c r="K935" s="108" t="n">
        <v>2.17</v>
      </c>
      <c r="L935" s="108" t="n">
        <v>0</v>
      </c>
      <c r="M935" s="117"/>
      <c r="N935" s="106"/>
      <c r="O935" s="106"/>
      <c r="P935" s="106"/>
      <c r="Q935" s="106"/>
      <c r="R935" s="106" t="s">
        <v>4537</v>
      </c>
    </row>
    <row r="936" customFormat="false" ht="15" hidden="false" customHeight="false" outlineLevel="0" collapsed="false">
      <c r="A936" s="106" t="s">
        <v>5567</v>
      </c>
      <c r="B936" s="106" t="s">
        <v>4329</v>
      </c>
      <c r="C936" s="106"/>
      <c r="D936" s="106" t="n">
        <v>10</v>
      </c>
      <c r="E936" s="107" t="n">
        <v>51</v>
      </c>
      <c r="F936" s="106" t="n">
        <v>2</v>
      </c>
      <c r="G936" s="118" t="n">
        <v>0.0392</v>
      </c>
      <c r="H936" s="116" t="n">
        <v>1.1</v>
      </c>
      <c r="I936" s="106" t="n">
        <v>0</v>
      </c>
      <c r="J936" s="117" t="n">
        <v>0</v>
      </c>
      <c r="K936" s="108" t="n">
        <v>2.2</v>
      </c>
      <c r="L936" s="108" t="n">
        <v>0</v>
      </c>
      <c r="M936" s="117"/>
      <c r="N936" s="106"/>
      <c r="O936" s="106"/>
      <c r="P936" s="106"/>
      <c r="Q936" s="106"/>
      <c r="R936" s="106" t="s">
        <v>4537</v>
      </c>
    </row>
    <row r="937" customFormat="false" ht="15" hidden="false" customHeight="false" outlineLevel="0" collapsed="false">
      <c r="A937" s="106" t="s">
        <v>5568</v>
      </c>
      <c r="B937" s="106" t="s">
        <v>4284</v>
      </c>
      <c r="C937" s="106"/>
      <c r="D937" s="106" t="n">
        <v>10</v>
      </c>
      <c r="E937" s="107" t="n">
        <v>4</v>
      </c>
      <c r="F937" s="106" t="n">
        <v>2</v>
      </c>
      <c r="G937" s="118" t="n">
        <v>0.5</v>
      </c>
      <c r="H937" s="116" t="n">
        <v>1.1</v>
      </c>
      <c r="I937" s="106" t="n">
        <v>1</v>
      </c>
      <c r="J937" s="117" t="n">
        <v>0.5</v>
      </c>
      <c r="K937" s="108" t="n">
        <v>2.2</v>
      </c>
      <c r="L937" s="108" t="n">
        <v>84.99</v>
      </c>
      <c r="M937" s="117" t="n">
        <v>0.026</v>
      </c>
      <c r="N937" s="106"/>
      <c r="O937" s="106"/>
      <c r="P937" s="106"/>
      <c r="Q937" s="106"/>
      <c r="R937" s="106" t="s">
        <v>4285</v>
      </c>
    </row>
    <row r="938" customFormat="false" ht="15" hidden="false" customHeight="false" outlineLevel="0" collapsed="false">
      <c r="A938" s="106" t="s">
        <v>5569</v>
      </c>
      <c r="B938" s="106" t="s">
        <v>4284</v>
      </c>
      <c r="C938" s="106"/>
      <c r="D938" s="106"/>
      <c r="E938" s="107" t="n">
        <v>8</v>
      </c>
      <c r="F938" s="106" t="n">
        <v>2</v>
      </c>
      <c r="G938" s="118" t="n">
        <v>0.25</v>
      </c>
      <c r="H938" s="116" t="n">
        <v>1.1</v>
      </c>
      <c r="I938" s="106" t="n">
        <v>0</v>
      </c>
      <c r="J938" s="117" t="n">
        <v>0</v>
      </c>
      <c r="K938" s="108" t="n">
        <v>2.2</v>
      </c>
      <c r="L938" s="108" t="n">
        <v>0</v>
      </c>
      <c r="M938" s="117"/>
      <c r="N938" s="106"/>
      <c r="O938" s="106"/>
      <c r="P938" s="106"/>
      <c r="Q938" s="106"/>
      <c r="R938" s="106" t="s">
        <v>4537</v>
      </c>
    </row>
    <row r="939" customFormat="false" ht="15" hidden="false" customHeight="false" outlineLevel="0" collapsed="false">
      <c r="A939" s="106" t="s">
        <v>5570</v>
      </c>
      <c r="B939" s="106" t="s">
        <v>1403</v>
      </c>
      <c r="C939" s="106"/>
      <c r="D939" s="106" t="n">
        <v>98</v>
      </c>
      <c r="E939" s="107" t="n">
        <v>90</v>
      </c>
      <c r="F939" s="106" t="n">
        <v>2</v>
      </c>
      <c r="G939" s="118" t="n">
        <v>0.0222</v>
      </c>
      <c r="H939" s="116" t="n">
        <v>1.1</v>
      </c>
      <c r="I939" s="106" t="n">
        <v>0</v>
      </c>
      <c r="J939" s="117" t="n">
        <v>0</v>
      </c>
      <c r="K939" s="108" t="n">
        <v>2.2</v>
      </c>
      <c r="L939" s="108" t="n">
        <v>0</v>
      </c>
      <c r="M939" s="117"/>
      <c r="N939" s="106"/>
      <c r="O939" s="106"/>
      <c r="P939" s="106"/>
      <c r="Q939" s="106"/>
      <c r="R939" s="106" t="s">
        <v>4537</v>
      </c>
    </row>
    <row r="940" customFormat="false" ht="15" hidden="false" customHeight="false" outlineLevel="0" collapsed="false">
      <c r="A940" s="106" t="s">
        <v>5571</v>
      </c>
      <c r="B940" s="106" t="s">
        <v>4280</v>
      </c>
      <c r="C940" s="106"/>
      <c r="D940" s="106" t="n">
        <v>51</v>
      </c>
      <c r="E940" s="107" t="n">
        <v>15</v>
      </c>
      <c r="F940" s="106" t="n">
        <v>2</v>
      </c>
      <c r="G940" s="118" t="n">
        <v>0.1333</v>
      </c>
      <c r="H940" s="116" t="n">
        <v>1.1</v>
      </c>
      <c r="I940" s="106" t="n">
        <v>0</v>
      </c>
      <c r="J940" s="117" t="n">
        <v>0</v>
      </c>
      <c r="K940" s="108" t="n">
        <v>2.2</v>
      </c>
      <c r="L940" s="108" t="n">
        <v>0</v>
      </c>
      <c r="M940" s="117"/>
      <c r="N940" s="106"/>
      <c r="O940" s="106"/>
      <c r="P940" s="106"/>
      <c r="Q940" s="106"/>
      <c r="R940" s="106" t="s">
        <v>4537</v>
      </c>
    </row>
    <row r="941" customFormat="false" ht="15" hidden="false" customHeight="false" outlineLevel="0" collapsed="false">
      <c r="A941" s="106" t="s">
        <v>5572</v>
      </c>
      <c r="B941" s="106" t="s">
        <v>1403</v>
      </c>
      <c r="C941" s="106"/>
      <c r="D941" s="106" t="n">
        <v>2</v>
      </c>
      <c r="E941" s="107" t="n">
        <v>9</v>
      </c>
      <c r="F941" s="106" t="n">
        <v>2</v>
      </c>
      <c r="G941" s="118" t="n">
        <v>0.2222</v>
      </c>
      <c r="H941" s="116" t="n">
        <v>1.43</v>
      </c>
      <c r="I941" s="106" t="n">
        <v>0</v>
      </c>
      <c r="J941" s="117" t="n">
        <v>0</v>
      </c>
      <c r="K941" s="108" t="n">
        <v>2.85</v>
      </c>
      <c r="L941" s="108" t="n">
        <v>0</v>
      </c>
      <c r="M941" s="117"/>
      <c r="N941" s="106"/>
      <c r="O941" s="106"/>
      <c r="P941" s="106"/>
      <c r="Q941" s="106"/>
      <c r="R941" s="106" t="s">
        <v>4537</v>
      </c>
    </row>
    <row r="942" customFormat="false" ht="15" hidden="false" customHeight="false" outlineLevel="0" collapsed="false">
      <c r="A942" s="106" t="s">
        <v>5573</v>
      </c>
      <c r="B942" s="106" t="s">
        <v>1403</v>
      </c>
      <c r="C942" s="106"/>
      <c r="D942" s="106"/>
      <c r="E942" s="107" t="n">
        <v>12</v>
      </c>
      <c r="F942" s="106" t="n">
        <v>2</v>
      </c>
      <c r="G942" s="118" t="n">
        <v>0.1667</v>
      </c>
      <c r="H942" s="116" t="n">
        <v>1.47</v>
      </c>
      <c r="I942" s="106" t="n">
        <v>0</v>
      </c>
      <c r="J942" s="117" t="n">
        <v>0</v>
      </c>
      <c r="K942" s="108" t="n">
        <v>2.94</v>
      </c>
      <c r="L942" s="108" t="n">
        <v>0</v>
      </c>
      <c r="M942" s="117"/>
      <c r="N942" s="106"/>
      <c r="O942" s="106"/>
      <c r="P942" s="106"/>
      <c r="Q942" s="106"/>
      <c r="R942" s="106" t="s">
        <v>4537</v>
      </c>
    </row>
    <row r="943" customFormat="false" ht="15" hidden="false" customHeight="false" outlineLevel="0" collapsed="false">
      <c r="A943" s="106" t="s">
        <v>5574</v>
      </c>
      <c r="B943" s="106" t="s">
        <v>4280</v>
      </c>
      <c r="C943" s="106"/>
      <c r="D943" s="106" t="n">
        <v>2</v>
      </c>
      <c r="E943" s="107" t="n">
        <v>2</v>
      </c>
      <c r="F943" s="106" t="n">
        <v>2</v>
      </c>
      <c r="G943" s="118" t="n">
        <v>1</v>
      </c>
      <c r="H943" s="116" t="n">
        <v>1.46</v>
      </c>
      <c r="I943" s="106" t="n">
        <v>0</v>
      </c>
      <c r="J943" s="117" t="n">
        <v>0</v>
      </c>
      <c r="K943" s="108" t="n">
        <v>2.92</v>
      </c>
      <c r="L943" s="108" t="n">
        <v>0</v>
      </c>
      <c r="M943" s="117"/>
      <c r="N943" s="106"/>
      <c r="O943" s="106"/>
      <c r="P943" s="106"/>
      <c r="Q943" s="106"/>
      <c r="R943" s="106" t="s">
        <v>4537</v>
      </c>
    </row>
    <row r="944" customFormat="false" ht="15" hidden="false" customHeight="false" outlineLevel="0" collapsed="false">
      <c r="A944" s="106" t="s">
        <v>5575</v>
      </c>
      <c r="B944" s="106" t="s">
        <v>1403</v>
      </c>
      <c r="C944" s="106"/>
      <c r="D944" s="106" t="n">
        <v>1</v>
      </c>
      <c r="E944" s="107" t="n">
        <v>4</v>
      </c>
      <c r="F944" s="106" t="n">
        <v>2</v>
      </c>
      <c r="G944" s="118" t="n">
        <v>0.5</v>
      </c>
      <c r="H944" s="116" t="n">
        <v>1.44</v>
      </c>
      <c r="I944" s="106" t="n">
        <v>0</v>
      </c>
      <c r="J944" s="117" t="n">
        <v>0</v>
      </c>
      <c r="K944" s="108" t="n">
        <v>2.89</v>
      </c>
      <c r="L944" s="108" t="n">
        <v>0</v>
      </c>
      <c r="M944" s="117"/>
      <c r="N944" s="106"/>
      <c r="O944" s="106"/>
      <c r="P944" s="106"/>
      <c r="Q944" s="106"/>
      <c r="R944" s="106" t="s">
        <v>4537</v>
      </c>
    </row>
    <row r="945" customFormat="false" ht="15" hidden="false" customHeight="false" outlineLevel="0" collapsed="false">
      <c r="A945" s="106" t="s">
        <v>5576</v>
      </c>
      <c r="B945" s="106" t="s">
        <v>4280</v>
      </c>
      <c r="C945" s="106"/>
      <c r="D945" s="106" t="n">
        <v>7</v>
      </c>
      <c r="E945" s="107" t="n">
        <v>4</v>
      </c>
      <c r="F945" s="106" t="n">
        <v>2</v>
      </c>
      <c r="G945" s="118" t="n">
        <v>0.5</v>
      </c>
      <c r="H945" s="116" t="n">
        <v>5.4</v>
      </c>
      <c r="I945" s="106" t="n">
        <v>1</v>
      </c>
      <c r="J945" s="117" t="n">
        <v>0.5</v>
      </c>
      <c r="K945" s="108" t="n">
        <v>10.8</v>
      </c>
      <c r="L945" s="108" t="n">
        <v>76.99</v>
      </c>
      <c r="M945" s="117" t="n">
        <v>0.14</v>
      </c>
      <c r="N945" s="106"/>
      <c r="O945" s="106"/>
      <c r="P945" s="106"/>
      <c r="Q945" s="106"/>
      <c r="R945" s="106" t="s">
        <v>4285</v>
      </c>
    </row>
    <row r="946" customFormat="false" ht="15" hidden="false" customHeight="false" outlineLevel="0" collapsed="false">
      <c r="A946" s="106" t="s">
        <v>5577</v>
      </c>
      <c r="B946" s="106" t="s">
        <v>4309</v>
      </c>
      <c r="C946" s="106"/>
      <c r="D946" s="106"/>
      <c r="E946" s="107" t="n">
        <v>553</v>
      </c>
      <c r="F946" s="106" t="n">
        <v>2</v>
      </c>
      <c r="G946" s="118" t="n">
        <v>0.0036</v>
      </c>
      <c r="H946" s="116" t="n">
        <v>0.03</v>
      </c>
      <c r="I946" s="106" t="n">
        <v>0</v>
      </c>
      <c r="J946" s="117" t="n">
        <v>0</v>
      </c>
      <c r="K946" s="108" t="n">
        <v>0.06</v>
      </c>
      <c r="L946" s="108" t="n">
        <v>0</v>
      </c>
      <c r="M946" s="117"/>
      <c r="N946" s="106"/>
      <c r="O946" s="106"/>
      <c r="P946" s="106"/>
      <c r="Q946" s="106"/>
      <c r="R946" s="106" t="s">
        <v>4537</v>
      </c>
    </row>
    <row r="947" customFormat="false" ht="15" hidden="false" customHeight="false" outlineLevel="0" collapsed="false">
      <c r="A947" s="106" t="s">
        <v>5578</v>
      </c>
      <c r="B947" s="106" t="s">
        <v>4280</v>
      </c>
      <c r="C947" s="106"/>
      <c r="D947" s="106"/>
      <c r="E947" s="107" t="n">
        <v>6</v>
      </c>
      <c r="F947" s="106" t="n">
        <v>1</v>
      </c>
      <c r="G947" s="118" t="n">
        <v>0.1667</v>
      </c>
      <c r="H947" s="116" t="n">
        <v>0</v>
      </c>
      <c r="I947" s="106" t="n">
        <v>0</v>
      </c>
      <c r="J947" s="117" t="n">
        <v>0</v>
      </c>
      <c r="K947" s="108" t="n">
        <v>0</v>
      </c>
      <c r="L947" s="108" t="n">
        <v>0</v>
      </c>
      <c r="M947" s="117"/>
      <c r="N947" s="106"/>
      <c r="O947" s="106"/>
      <c r="P947" s="106"/>
      <c r="Q947" s="106"/>
      <c r="R947" s="106" t="s">
        <v>4537</v>
      </c>
    </row>
    <row r="948" customFormat="false" ht="15" hidden="false" customHeight="false" outlineLevel="0" collapsed="false">
      <c r="A948" s="106" t="s">
        <v>5579</v>
      </c>
      <c r="B948" s="106" t="s">
        <v>1403</v>
      </c>
      <c r="C948" s="106"/>
      <c r="D948" s="106" t="n">
        <v>2</v>
      </c>
      <c r="E948" s="107" t="n">
        <v>1</v>
      </c>
      <c r="F948" s="106" t="n">
        <v>1</v>
      </c>
      <c r="G948" s="118" t="n">
        <v>1</v>
      </c>
      <c r="H948" s="116" t="n">
        <v>0.35</v>
      </c>
      <c r="I948" s="106" t="n">
        <v>1</v>
      </c>
      <c r="J948" s="117" t="n">
        <v>1</v>
      </c>
      <c r="K948" s="108" t="n">
        <v>0.35</v>
      </c>
      <c r="L948" s="108" t="n">
        <v>78.99</v>
      </c>
      <c r="M948" s="117" t="n">
        <v>0.004</v>
      </c>
      <c r="N948" s="106"/>
      <c r="O948" s="106"/>
      <c r="P948" s="106"/>
      <c r="Q948" s="106"/>
      <c r="R948" s="106" t="s">
        <v>4285</v>
      </c>
    </row>
    <row r="949" customFormat="false" ht="15" hidden="false" customHeight="false" outlineLevel="0" collapsed="false">
      <c r="A949" s="106" t="s">
        <v>5580</v>
      </c>
      <c r="B949" s="106" t="s">
        <v>1403</v>
      </c>
      <c r="C949" s="106"/>
      <c r="D949" s="106" t="n">
        <v>1</v>
      </c>
      <c r="E949" s="107" t="n">
        <v>2</v>
      </c>
      <c r="F949" s="106" t="n">
        <v>1</v>
      </c>
      <c r="G949" s="118" t="n">
        <v>0.5</v>
      </c>
      <c r="H949" s="116" t="n">
        <v>0.35</v>
      </c>
      <c r="I949" s="106" t="n">
        <v>1</v>
      </c>
      <c r="J949" s="117" t="n">
        <v>1</v>
      </c>
      <c r="K949" s="108" t="n">
        <v>0.35</v>
      </c>
      <c r="L949" s="108" t="n">
        <v>76.99</v>
      </c>
      <c r="M949" s="117" t="n">
        <v>0.005</v>
      </c>
      <c r="N949" s="106"/>
      <c r="O949" s="106"/>
      <c r="P949" s="106"/>
      <c r="Q949" s="106"/>
      <c r="R949" s="106" t="s">
        <v>4285</v>
      </c>
    </row>
    <row r="950" customFormat="false" ht="15" hidden="false" customHeight="false" outlineLevel="0" collapsed="false">
      <c r="A950" s="106" t="s">
        <v>5581</v>
      </c>
      <c r="B950" s="106" t="s">
        <v>1403</v>
      </c>
      <c r="C950" s="106"/>
      <c r="D950" s="106" t="n">
        <v>2</v>
      </c>
      <c r="E950" s="107" t="n">
        <v>1</v>
      </c>
      <c r="F950" s="106" t="n">
        <v>1</v>
      </c>
      <c r="G950" s="118" t="n">
        <v>1</v>
      </c>
      <c r="H950" s="116" t="n">
        <v>0.35</v>
      </c>
      <c r="I950" s="106" t="n">
        <v>0</v>
      </c>
      <c r="J950" s="117" t="n">
        <v>0</v>
      </c>
      <c r="K950" s="108" t="n">
        <v>0.35</v>
      </c>
      <c r="L950" s="108" t="n">
        <v>0</v>
      </c>
      <c r="M950" s="117"/>
      <c r="N950" s="106"/>
      <c r="O950" s="106"/>
      <c r="P950" s="106"/>
      <c r="Q950" s="106"/>
      <c r="R950" s="106" t="s">
        <v>4537</v>
      </c>
    </row>
    <row r="951" customFormat="false" ht="15" hidden="false" customHeight="false" outlineLevel="0" collapsed="false">
      <c r="A951" s="106" t="s">
        <v>5582</v>
      </c>
      <c r="B951" s="106" t="s">
        <v>1403</v>
      </c>
      <c r="C951" s="106"/>
      <c r="D951" s="106" t="n">
        <v>2</v>
      </c>
      <c r="E951" s="107" t="n">
        <v>1</v>
      </c>
      <c r="F951" s="106" t="n">
        <v>1</v>
      </c>
      <c r="G951" s="118" t="n">
        <v>1</v>
      </c>
      <c r="H951" s="116" t="n">
        <v>0.35</v>
      </c>
      <c r="I951" s="106" t="n">
        <v>0</v>
      </c>
      <c r="J951" s="117" t="n">
        <v>0</v>
      </c>
      <c r="K951" s="108" t="n">
        <v>0.35</v>
      </c>
      <c r="L951" s="108" t="n">
        <v>0</v>
      </c>
      <c r="M951" s="117"/>
      <c r="N951" s="106"/>
      <c r="O951" s="106"/>
      <c r="P951" s="106"/>
      <c r="Q951" s="106"/>
      <c r="R951" s="106" t="s">
        <v>4537</v>
      </c>
    </row>
    <row r="952" customFormat="false" ht="15" hidden="false" customHeight="false" outlineLevel="0" collapsed="false">
      <c r="A952" s="106" t="s">
        <v>5583</v>
      </c>
      <c r="B952" s="106" t="s">
        <v>1403</v>
      </c>
      <c r="C952" s="106"/>
      <c r="D952" s="106" t="n">
        <v>2</v>
      </c>
      <c r="E952" s="107" t="n">
        <v>1</v>
      </c>
      <c r="F952" s="106" t="n">
        <v>1</v>
      </c>
      <c r="G952" s="118" t="n">
        <v>1</v>
      </c>
      <c r="H952" s="116" t="n">
        <v>0.35</v>
      </c>
      <c r="I952" s="106" t="n">
        <v>0</v>
      </c>
      <c r="J952" s="117" t="n">
        <v>0</v>
      </c>
      <c r="K952" s="108" t="n">
        <v>0.35</v>
      </c>
      <c r="L952" s="108" t="n">
        <v>0</v>
      </c>
      <c r="M952" s="117"/>
      <c r="N952" s="106"/>
      <c r="O952" s="106"/>
      <c r="P952" s="106"/>
      <c r="Q952" s="106"/>
      <c r="R952" s="106" t="s">
        <v>4537</v>
      </c>
    </row>
    <row r="953" customFormat="false" ht="15" hidden="false" customHeight="false" outlineLevel="0" collapsed="false">
      <c r="A953" s="106" t="s">
        <v>5584</v>
      </c>
      <c r="B953" s="106" t="s">
        <v>1403</v>
      </c>
      <c r="C953" s="106"/>
      <c r="D953" s="106"/>
      <c r="E953" s="107" t="n">
        <v>1</v>
      </c>
      <c r="F953" s="106" t="n">
        <v>1</v>
      </c>
      <c r="G953" s="118" t="n">
        <v>1</v>
      </c>
      <c r="H953" s="116" t="n">
        <v>0.35</v>
      </c>
      <c r="I953" s="106" t="n">
        <v>0</v>
      </c>
      <c r="J953" s="117" t="n">
        <v>0</v>
      </c>
      <c r="K953" s="108" t="n">
        <v>0.35</v>
      </c>
      <c r="L953" s="108" t="n">
        <v>0</v>
      </c>
      <c r="M953" s="117"/>
      <c r="N953" s="106"/>
      <c r="O953" s="106"/>
      <c r="P953" s="106"/>
      <c r="Q953" s="106"/>
      <c r="R953" s="106" t="s">
        <v>4537</v>
      </c>
    </row>
    <row r="954" customFormat="false" ht="15" hidden="false" customHeight="false" outlineLevel="0" collapsed="false">
      <c r="A954" s="106" t="s">
        <v>5585</v>
      </c>
      <c r="B954" s="106" t="s">
        <v>1403</v>
      </c>
      <c r="C954" s="106"/>
      <c r="D954" s="106" t="n">
        <v>1</v>
      </c>
      <c r="E954" s="107" t="n">
        <v>1</v>
      </c>
      <c r="F954" s="106" t="n">
        <v>1</v>
      </c>
      <c r="G954" s="118" t="n">
        <v>1</v>
      </c>
      <c r="H954" s="116" t="n">
        <v>0.35</v>
      </c>
      <c r="I954" s="106" t="n">
        <v>1</v>
      </c>
      <c r="J954" s="117" t="n">
        <v>1</v>
      </c>
      <c r="K954" s="108" t="n">
        <v>0.35</v>
      </c>
      <c r="L954" s="108" t="n">
        <v>64.99</v>
      </c>
      <c r="M954" s="117" t="n">
        <v>0.005</v>
      </c>
      <c r="N954" s="106"/>
      <c r="O954" s="106"/>
      <c r="P954" s="106"/>
      <c r="Q954" s="106"/>
      <c r="R954" s="106" t="s">
        <v>4285</v>
      </c>
    </row>
    <row r="955" customFormat="false" ht="15" hidden="false" customHeight="false" outlineLevel="0" collapsed="false">
      <c r="A955" s="106" t="s">
        <v>5586</v>
      </c>
      <c r="B955" s="106" t="s">
        <v>4284</v>
      </c>
      <c r="C955" s="106"/>
      <c r="D955" s="106" t="n">
        <v>3</v>
      </c>
      <c r="E955" s="107" t="n">
        <v>1</v>
      </c>
      <c r="F955" s="106" t="n">
        <v>1</v>
      </c>
      <c r="G955" s="118" t="n">
        <v>1</v>
      </c>
      <c r="H955" s="116" t="n">
        <v>0.35</v>
      </c>
      <c r="I955" s="106" t="n">
        <v>0</v>
      </c>
      <c r="J955" s="117" t="n">
        <v>0</v>
      </c>
      <c r="K955" s="108" t="n">
        <v>0.35</v>
      </c>
      <c r="L955" s="108" t="n">
        <v>0</v>
      </c>
      <c r="M955" s="117"/>
      <c r="N955" s="106"/>
      <c r="O955" s="106"/>
      <c r="P955" s="106"/>
      <c r="Q955" s="106"/>
      <c r="R955" s="106" t="s">
        <v>4537</v>
      </c>
    </row>
    <row r="956" customFormat="false" ht="15" hidden="false" customHeight="false" outlineLevel="0" collapsed="false">
      <c r="A956" s="106" t="s">
        <v>5587</v>
      </c>
      <c r="B956" s="106" t="s">
        <v>4284</v>
      </c>
      <c r="C956" s="106"/>
      <c r="D956" s="106"/>
      <c r="E956" s="107" t="n">
        <v>3</v>
      </c>
      <c r="F956" s="106" t="n">
        <v>1</v>
      </c>
      <c r="G956" s="118" t="n">
        <v>0.3333</v>
      </c>
      <c r="H956" s="116" t="n">
        <v>0.35</v>
      </c>
      <c r="I956" s="106" t="n">
        <v>0</v>
      </c>
      <c r="J956" s="117" t="n">
        <v>0</v>
      </c>
      <c r="K956" s="108" t="n">
        <v>0.35</v>
      </c>
      <c r="L956" s="108" t="n">
        <v>0</v>
      </c>
      <c r="M956" s="117"/>
      <c r="N956" s="106"/>
      <c r="O956" s="106"/>
      <c r="P956" s="106"/>
      <c r="Q956" s="106"/>
      <c r="R956" s="106" t="s">
        <v>4537</v>
      </c>
    </row>
    <row r="957" customFormat="false" ht="15" hidden="false" customHeight="false" outlineLevel="0" collapsed="false">
      <c r="A957" s="106" t="s">
        <v>5588</v>
      </c>
      <c r="B957" s="106" t="s">
        <v>4329</v>
      </c>
      <c r="C957" s="106"/>
      <c r="D957" s="106" t="n">
        <v>19</v>
      </c>
      <c r="E957" s="107" t="n">
        <v>3</v>
      </c>
      <c r="F957" s="106" t="n">
        <v>1</v>
      </c>
      <c r="G957" s="118" t="n">
        <v>0.3333</v>
      </c>
      <c r="H957" s="116" t="n">
        <v>0.35</v>
      </c>
      <c r="I957" s="106" t="n">
        <v>0</v>
      </c>
      <c r="J957" s="117" t="n">
        <v>0</v>
      </c>
      <c r="K957" s="108" t="n">
        <v>0.35</v>
      </c>
      <c r="L957" s="108" t="n">
        <v>0</v>
      </c>
      <c r="M957" s="117"/>
      <c r="N957" s="106"/>
      <c r="O957" s="106"/>
      <c r="P957" s="106"/>
      <c r="Q957" s="106"/>
      <c r="R957" s="106" t="s">
        <v>4537</v>
      </c>
    </row>
    <row r="958" customFormat="false" ht="15" hidden="false" customHeight="false" outlineLevel="0" collapsed="false">
      <c r="A958" s="106" t="s">
        <v>5589</v>
      </c>
      <c r="B958" s="106" t="s">
        <v>4284</v>
      </c>
      <c r="C958" s="106"/>
      <c r="D958" s="106"/>
      <c r="E958" s="107" t="n">
        <v>1</v>
      </c>
      <c r="F958" s="106" t="n">
        <v>1</v>
      </c>
      <c r="G958" s="118" t="n">
        <v>1</v>
      </c>
      <c r="H958" s="116" t="n">
        <v>0.35</v>
      </c>
      <c r="I958" s="106" t="n">
        <v>0</v>
      </c>
      <c r="J958" s="117" t="n">
        <v>0</v>
      </c>
      <c r="K958" s="108" t="n">
        <v>0.35</v>
      </c>
      <c r="L958" s="108" t="n">
        <v>0</v>
      </c>
      <c r="M958" s="117"/>
      <c r="N958" s="106"/>
      <c r="O958" s="106"/>
      <c r="P958" s="106"/>
      <c r="Q958" s="106"/>
      <c r="R958" s="106" t="s">
        <v>4537</v>
      </c>
    </row>
    <row r="959" customFormat="false" ht="15" hidden="false" customHeight="false" outlineLevel="0" collapsed="false">
      <c r="A959" s="106" t="s">
        <v>5590</v>
      </c>
      <c r="B959" s="106" t="s">
        <v>4280</v>
      </c>
      <c r="C959" s="106"/>
      <c r="D959" s="106"/>
      <c r="E959" s="107" t="n">
        <v>1</v>
      </c>
      <c r="F959" s="106" t="n">
        <v>1</v>
      </c>
      <c r="G959" s="118" t="n">
        <v>1</v>
      </c>
      <c r="H959" s="116" t="n">
        <v>0.35</v>
      </c>
      <c r="I959" s="106" t="n">
        <v>0</v>
      </c>
      <c r="J959" s="117" t="n">
        <v>0</v>
      </c>
      <c r="K959" s="108" t="n">
        <v>0.35</v>
      </c>
      <c r="L959" s="108" t="n">
        <v>0</v>
      </c>
      <c r="M959" s="117"/>
      <c r="N959" s="106"/>
      <c r="O959" s="106"/>
      <c r="P959" s="106"/>
      <c r="Q959" s="106"/>
      <c r="R959" s="106" t="s">
        <v>4537</v>
      </c>
    </row>
    <row r="960" customFormat="false" ht="15" hidden="false" customHeight="false" outlineLevel="0" collapsed="false">
      <c r="A960" s="106" t="s">
        <v>5591</v>
      </c>
      <c r="B960" s="106" t="s">
        <v>4284</v>
      </c>
      <c r="C960" s="106"/>
      <c r="D960" s="106"/>
      <c r="E960" s="107" t="n">
        <v>2</v>
      </c>
      <c r="F960" s="106" t="n">
        <v>1</v>
      </c>
      <c r="G960" s="118" t="n">
        <v>0.5</v>
      </c>
      <c r="H960" s="116" t="n">
        <v>0.35</v>
      </c>
      <c r="I960" s="106" t="n">
        <v>0</v>
      </c>
      <c r="J960" s="117" t="n">
        <v>0</v>
      </c>
      <c r="K960" s="108" t="n">
        <v>0.35</v>
      </c>
      <c r="L960" s="108" t="n">
        <v>0</v>
      </c>
      <c r="M960" s="117"/>
      <c r="N960" s="106"/>
      <c r="O960" s="106"/>
      <c r="P960" s="106"/>
      <c r="Q960" s="106"/>
      <c r="R960" s="106" t="s">
        <v>4537</v>
      </c>
    </row>
    <row r="961" customFormat="false" ht="15" hidden="false" customHeight="false" outlineLevel="0" collapsed="false">
      <c r="A961" s="106" t="s">
        <v>5592</v>
      </c>
      <c r="B961" s="106" t="s">
        <v>4280</v>
      </c>
      <c r="C961" s="106"/>
      <c r="D961" s="106" t="n">
        <v>2</v>
      </c>
      <c r="E961" s="107" t="n">
        <v>4</v>
      </c>
      <c r="F961" s="106" t="n">
        <v>1</v>
      </c>
      <c r="G961" s="118" t="n">
        <v>0.25</v>
      </c>
      <c r="H961" s="116" t="n">
        <v>0.35</v>
      </c>
      <c r="I961" s="106" t="n">
        <v>0</v>
      </c>
      <c r="J961" s="117" t="n">
        <v>0</v>
      </c>
      <c r="K961" s="108" t="n">
        <v>0.35</v>
      </c>
      <c r="L961" s="108" t="n">
        <v>0</v>
      </c>
      <c r="M961" s="117"/>
      <c r="N961" s="106"/>
      <c r="O961" s="106"/>
      <c r="P961" s="106"/>
      <c r="Q961" s="106"/>
      <c r="R961" s="106" t="s">
        <v>4537</v>
      </c>
    </row>
    <row r="962" customFormat="false" ht="15" hidden="false" customHeight="false" outlineLevel="0" collapsed="false">
      <c r="A962" s="106" t="s">
        <v>5593</v>
      </c>
      <c r="B962" s="106" t="s">
        <v>4280</v>
      </c>
      <c r="C962" s="106"/>
      <c r="D962" s="106" t="n">
        <v>15</v>
      </c>
      <c r="E962" s="107" t="n">
        <v>1</v>
      </c>
      <c r="F962" s="106" t="n">
        <v>1</v>
      </c>
      <c r="G962" s="118" t="n">
        <v>1</v>
      </c>
      <c r="H962" s="116" t="n">
        <v>0.35</v>
      </c>
      <c r="I962" s="106" t="n">
        <v>0</v>
      </c>
      <c r="J962" s="117" t="n">
        <v>0</v>
      </c>
      <c r="K962" s="108" t="n">
        <v>0.35</v>
      </c>
      <c r="L962" s="108" t="n">
        <v>0</v>
      </c>
      <c r="M962" s="117"/>
      <c r="N962" s="106"/>
      <c r="O962" s="106"/>
      <c r="P962" s="106"/>
      <c r="Q962" s="106"/>
      <c r="R962" s="106" t="s">
        <v>4537</v>
      </c>
    </row>
    <row r="963" customFormat="false" ht="15" hidden="false" customHeight="false" outlineLevel="0" collapsed="false">
      <c r="A963" s="106" t="s">
        <v>5594</v>
      </c>
      <c r="B963" s="106" t="s">
        <v>4329</v>
      </c>
      <c r="C963" s="106"/>
      <c r="D963" s="106"/>
      <c r="E963" s="107" t="n">
        <v>3</v>
      </c>
      <c r="F963" s="106" t="n">
        <v>1</v>
      </c>
      <c r="G963" s="118" t="n">
        <v>0.3333</v>
      </c>
      <c r="H963" s="116" t="n">
        <v>0.35</v>
      </c>
      <c r="I963" s="106" t="n">
        <v>0</v>
      </c>
      <c r="J963" s="117" t="n">
        <v>0</v>
      </c>
      <c r="K963" s="108" t="n">
        <v>0.35</v>
      </c>
      <c r="L963" s="108" t="n">
        <v>0</v>
      </c>
      <c r="M963" s="117"/>
      <c r="N963" s="106"/>
      <c r="O963" s="106"/>
      <c r="P963" s="106"/>
      <c r="Q963" s="106"/>
      <c r="R963" s="106" t="s">
        <v>4537</v>
      </c>
    </row>
    <row r="964" customFormat="false" ht="15" hidden="false" customHeight="false" outlineLevel="0" collapsed="false">
      <c r="A964" s="106" t="s">
        <v>5595</v>
      </c>
      <c r="B964" s="106" t="s">
        <v>4280</v>
      </c>
      <c r="C964" s="106"/>
      <c r="D964" s="106"/>
      <c r="E964" s="107" t="n">
        <v>92</v>
      </c>
      <c r="F964" s="106" t="n">
        <v>1</v>
      </c>
      <c r="G964" s="118" t="n">
        <v>0.0109</v>
      </c>
      <c r="H964" s="116" t="n">
        <v>0.35</v>
      </c>
      <c r="I964" s="106" t="n">
        <v>0</v>
      </c>
      <c r="J964" s="117" t="n">
        <v>0</v>
      </c>
      <c r="K964" s="108" t="n">
        <v>0.35</v>
      </c>
      <c r="L964" s="108" t="n">
        <v>0</v>
      </c>
      <c r="M964" s="117"/>
      <c r="N964" s="106"/>
      <c r="O964" s="106"/>
      <c r="P964" s="106"/>
      <c r="Q964" s="106"/>
      <c r="R964" s="106" t="s">
        <v>4537</v>
      </c>
    </row>
    <row r="965" customFormat="false" ht="15" hidden="false" customHeight="false" outlineLevel="0" collapsed="false">
      <c r="A965" s="106" t="s">
        <v>5596</v>
      </c>
      <c r="B965" s="106" t="s">
        <v>4284</v>
      </c>
      <c r="C965" s="106"/>
      <c r="D965" s="106"/>
      <c r="E965" s="107" t="n">
        <v>1</v>
      </c>
      <c r="F965" s="106" t="n">
        <v>1</v>
      </c>
      <c r="G965" s="118" t="n">
        <v>1</v>
      </c>
      <c r="H965" s="116" t="n">
        <v>0.35</v>
      </c>
      <c r="I965" s="106" t="n">
        <v>0</v>
      </c>
      <c r="J965" s="117" t="n">
        <v>0</v>
      </c>
      <c r="K965" s="108" t="n">
        <v>0.35</v>
      </c>
      <c r="L965" s="108" t="n">
        <v>0</v>
      </c>
      <c r="M965" s="117"/>
      <c r="N965" s="106"/>
      <c r="O965" s="106"/>
      <c r="P965" s="106"/>
      <c r="Q965" s="106"/>
      <c r="R965" s="106" t="s">
        <v>4537</v>
      </c>
    </row>
    <row r="966" customFormat="false" ht="15" hidden="false" customHeight="false" outlineLevel="0" collapsed="false">
      <c r="A966" s="106" t="s">
        <v>5597</v>
      </c>
      <c r="B966" s="106" t="s">
        <v>4284</v>
      </c>
      <c r="C966" s="106"/>
      <c r="D966" s="106"/>
      <c r="E966" s="107" t="n">
        <v>1</v>
      </c>
      <c r="F966" s="106" t="n">
        <v>1</v>
      </c>
      <c r="G966" s="118" t="n">
        <v>1</v>
      </c>
      <c r="H966" s="116" t="n">
        <v>0.35</v>
      </c>
      <c r="I966" s="106" t="n">
        <v>0</v>
      </c>
      <c r="J966" s="117" t="n">
        <v>0</v>
      </c>
      <c r="K966" s="108" t="n">
        <v>0.35</v>
      </c>
      <c r="L966" s="108" t="n">
        <v>0</v>
      </c>
      <c r="M966" s="117"/>
      <c r="N966" s="106"/>
      <c r="O966" s="106"/>
      <c r="P966" s="106"/>
      <c r="Q966" s="106"/>
      <c r="R966" s="106" t="s">
        <v>4537</v>
      </c>
    </row>
    <row r="967" customFormat="false" ht="15" hidden="false" customHeight="false" outlineLevel="0" collapsed="false">
      <c r="A967" s="106" t="s">
        <v>5598</v>
      </c>
      <c r="B967" s="106" t="s">
        <v>4284</v>
      </c>
      <c r="C967" s="106"/>
      <c r="D967" s="106"/>
      <c r="E967" s="107" t="n">
        <v>7</v>
      </c>
      <c r="F967" s="106" t="n">
        <v>1</v>
      </c>
      <c r="G967" s="118" t="n">
        <v>0.1429</v>
      </c>
      <c r="H967" s="116" t="n">
        <v>0.35</v>
      </c>
      <c r="I967" s="106" t="n">
        <v>1</v>
      </c>
      <c r="J967" s="117" t="n">
        <v>1</v>
      </c>
      <c r="K967" s="108" t="n">
        <v>0.35</v>
      </c>
      <c r="L967" s="108" t="n">
        <v>69.99</v>
      </c>
      <c r="M967" s="117" t="n">
        <v>0.005</v>
      </c>
      <c r="N967" s="106"/>
      <c r="O967" s="106"/>
      <c r="P967" s="106"/>
      <c r="Q967" s="106"/>
      <c r="R967" s="106" t="s">
        <v>4285</v>
      </c>
    </row>
    <row r="968" customFormat="false" ht="15" hidden="false" customHeight="false" outlineLevel="0" collapsed="false">
      <c r="A968" s="106" t="s">
        <v>5599</v>
      </c>
      <c r="B968" s="106" t="s">
        <v>4284</v>
      </c>
      <c r="C968" s="106"/>
      <c r="D968" s="106"/>
      <c r="E968" s="107" t="n">
        <v>1</v>
      </c>
      <c r="F968" s="106" t="n">
        <v>1</v>
      </c>
      <c r="G968" s="118" t="n">
        <v>1</v>
      </c>
      <c r="H968" s="116" t="n">
        <v>0.35</v>
      </c>
      <c r="I968" s="106" t="n">
        <v>0</v>
      </c>
      <c r="J968" s="117" t="n">
        <v>0</v>
      </c>
      <c r="K968" s="108" t="n">
        <v>0.35</v>
      </c>
      <c r="L968" s="108" t="n">
        <v>0</v>
      </c>
      <c r="M968" s="117"/>
      <c r="N968" s="106"/>
      <c r="O968" s="106"/>
      <c r="P968" s="106"/>
      <c r="Q968" s="106"/>
      <c r="R968" s="106" t="s">
        <v>4537</v>
      </c>
    </row>
    <row r="969" customFormat="false" ht="15" hidden="false" customHeight="false" outlineLevel="0" collapsed="false">
      <c r="A969" s="106" t="s">
        <v>5600</v>
      </c>
      <c r="B969" s="106" t="s">
        <v>4280</v>
      </c>
      <c r="C969" s="106"/>
      <c r="D969" s="106" t="n">
        <v>9</v>
      </c>
      <c r="E969" s="107" t="n">
        <v>1</v>
      </c>
      <c r="F969" s="106" t="n">
        <v>1</v>
      </c>
      <c r="G969" s="118" t="n">
        <v>1</v>
      </c>
      <c r="H969" s="116" t="n">
        <v>0.35</v>
      </c>
      <c r="I969" s="106" t="n">
        <v>0</v>
      </c>
      <c r="J969" s="117" t="n">
        <v>0</v>
      </c>
      <c r="K969" s="108" t="n">
        <v>0.35</v>
      </c>
      <c r="L969" s="108" t="n">
        <v>0</v>
      </c>
      <c r="M969" s="117"/>
      <c r="N969" s="106"/>
      <c r="O969" s="106"/>
      <c r="P969" s="106"/>
      <c r="Q969" s="106"/>
      <c r="R969" s="106" t="s">
        <v>4537</v>
      </c>
    </row>
    <row r="970" customFormat="false" ht="15" hidden="false" customHeight="false" outlineLevel="0" collapsed="false">
      <c r="A970" s="106" t="s">
        <v>5601</v>
      </c>
      <c r="B970" s="106" t="s">
        <v>4280</v>
      </c>
      <c r="C970" s="106"/>
      <c r="D970" s="106" t="n">
        <v>4</v>
      </c>
      <c r="E970" s="107" t="n">
        <v>1</v>
      </c>
      <c r="F970" s="106" t="n">
        <v>1</v>
      </c>
      <c r="G970" s="118" t="n">
        <v>1</v>
      </c>
      <c r="H970" s="116" t="n">
        <v>0.35</v>
      </c>
      <c r="I970" s="106" t="n">
        <v>0</v>
      </c>
      <c r="J970" s="117" t="n">
        <v>0</v>
      </c>
      <c r="K970" s="108" t="n">
        <v>0.35</v>
      </c>
      <c r="L970" s="108" t="n">
        <v>0</v>
      </c>
      <c r="M970" s="117"/>
      <c r="N970" s="106"/>
      <c r="O970" s="106"/>
      <c r="P970" s="106"/>
      <c r="Q970" s="106"/>
      <c r="R970" s="106" t="s">
        <v>4537</v>
      </c>
    </row>
    <row r="971" customFormat="false" ht="15" hidden="false" customHeight="false" outlineLevel="0" collapsed="false">
      <c r="A971" s="106" t="s">
        <v>5602</v>
      </c>
      <c r="B971" s="106" t="s">
        <v>4280</v>
      </c>
      <c r="C971" s="106"/>
      <c r="D971" s="106" t="n">
        <v>6</v>
      </c>
      <c r="E971" s="107" t="n">
        <v>1</v>
      </c>
      <c r="F971" s="106" t="n">
        <v>1</v>
      </c>
      <c r="G971" s="118" t="n">
        <v>1</v>
      </c>
      <c r="H971" s="116" t="n">
        <v>0.35</v>
      </c>
      <c r="I971" s="106" t="n">
        <v>0</v>
      </c>
      <c r="J971" s="117" t="n">
        <v>0</v>
      </c>
      <c r="K971" s="108" t="n">
        <v>0.35</v>
      </c>
      <c r="L971" s="108" t="n">
        <v>0</v>
      </c>
      <c r="M971" s="117"/>
      <c r="N971" s="106"/>
      <c r="O971" s="106"/>
      <c r="P971" s="106"/>
      <c r="Q971" s="106"/>
      <c r="R971" s="106" t="s">
        <v>4537</v>
      </c>
    </row>
    <row r="972" customFormat="false" ht="15" hidden="false" customHeight="false" outlineLevel="0" collapsed="false">
      <c r="A972" s="106" t="s">
        <v>5603</v>
      </c>
      <c r="B972" s="106" t="s">
        <v>4280</v>
      </c>
      <c r="C972" s="106"/>
      <c r="D972" s="106" t="n">
        <v>40</v>
      </c>
      <c r="E972" s="107" t="n">
        <v>3</v>
      </c>
      <c r="F972" s="106" t="n">
        <v>1</v>
      </c>
      <c r="G972" s="118" t="n">
        <v>0.3333</v>
      </c>
      <c r="H972" s="116" t="n">
        <v>0.35</v>
      </c>
      <c r="I972" s="106" t="n">
        <v>0</v>
      </c>
      <c r="J972" s="117" t="n">
        <v>0</v>
      </c>
      <c r="K972" s="108" t="n">
        <v>0.35</v>
      </c>
      <c r="L972" s="108" t="n">
        <v>0</v>
      </c>
      <c r="M972" s="117"/>
      <c r="N972" s="106"/>
      <c r="O972" s="106"/>
      <c r="P972" s="106"/>
      <c r="Q972" s="106"/>
      <c r="R972" s="106" t="s">
        <v>4537</v>
      </c>
    </row>
    <row r="973" customFormat="false" ht="15" hidden="false" customHeight="false" outlineLevel="0" collapsed="false">
      <c r="A973" s="106" t="s">
        <v>5604</v>
      </c>
      <c r="B973" s="106" t="s">
        <v>4284</v>
      </c>
      <c r="C973" s="106"/>
      <c r="D973" s="106"/>
      <c r="E973" s="107" t="n">
        <v>1</v>
      </c>
      <c r="F973" s="106" t="n">
        <v>1</v>
      </c>
      <c r="G973" s="118" t="n">
        <v>1</v>
      </c>
      <c r="H973" s="116" t="n">
        <v>0.35</v>
      </c>
      <c r="I973" s="106" t="n">
        <v>0</v>
      </c>
      <c r="J973" s="117" t="n">
        <v>0</v>
      </c>
      <c r="K973" s="108" t="n">
        <v>0.35</v>
      </c>
      <c r="L973" s="108" t="n">
        <v>0</v>
      </c>
      <c r="M973" s="117"/>
      <c r="N973" s="106"/>
      <c r="O973" s="106"/>
      <c r="P973" s="106"/>
      <c r="Q973" s="106"/>
      <c r="R973" s="106" t="s">
        <v>4537</v>
      </c>
    </row>
    <row r="974" customFormat="false" ht="15" hidden="false" customHeight="false" outlineLevel="0" collapsed="false">
      <c r="A974" s="106" t="s">
        <v>5605</v>
      </c>
      <c r="B974" s="106" t="s">
        <v>1403</v>
      </c>
      <c r="C974" s="106"/>
      <c r="D974" s="106"/>
      <c r="E974" s="107" t="n">
        <v>1</v>
      </c>
      <c r="F974" s="106" t="n">
        <v>1</v>
      </c>
      <c r="G974" s="118" t="n">
        <v>1</v>
      </c>
      <c r="H974" s="116" t="n">
        <v>0.35</v>
      </c>
      <c r="I974" s="106" t="n">
        <v>0</v>
      </c>
      <c r="J974" s="117" t="n">
        <v>0</v>
      </c>
      <c r="K974" s="108" t="n">
        <v>0.35</v>
      </c>
      <c r="L974" s="108" t="n">
        <v>0</v>
      </c>
      <c r="M974" s="117"/>
      <c r="N974" s="106"/>
      <c r="O974" s="106"/>
      <c r="P974" s="106"/>
      <c r="Q974" s="106"/>
      <c r="R974" s="106" t="s">
        <v>4537</v>
      </c>
    </row>
    <row r="975" customFormat="false" ht="15" hidden="false" customHeight="false" outlineLevel="0" collapsed="false">
      <c r="A975" s="106" t="s">
        <v>5606</v>
      </c>
      <c r="B975" s="106" t="s">
        <v>4309</v>
      </c>
      <c r="C975" s="106"/>
      <c r="D975" s="106" t="n">
        <v>1671</v>
      </c>
      <c r="E975" s="107" t="n">
        <v>4</v>
      </c>
      <c r="F975" s="106" t="n">
        <v>1</v>
      </c>
      <c r="G975" s="118" t="n">
        <v>0.25</v>
      </c>
      <c r="H975" s="116" t="n">
        <v>0.35</v>
      </c>
      <c r="I975" s="106" t="n">
        <v>0</v>
      </c>
      <c r="J975" s="117" t="n">
        <v>0</v>
      </c>
      <c r="K975" s="108" t="n">
        <v>0.35</v>
      </c>
      <c r="L975" s="108" t="n">
        <v>0</v>
      </c>
      <c r="M975" s="117"/>
      <c r="N975" s="106"/>
      <c r="O975" s="106"/>
      <c r="P975" s="106"/>
      <c r="Q975" s="106"/>
      <c r="R975" s="106" t="s">
        <v>4537</v>
      </c>
    </row>
    <row r="976" customFormat="false" ht="15" hidden="false" customHeight="false" outlineLevel="0" collapsed="false">
      <c r="A976" s="106" t="s">
        <v>5607</v>
      </c>
      <c r="B976" s="106" t="s">
        <v>4329</v>
      </c>
      <c r="C976" s="106"/>
      <c r="D976" s="106"/>
      <c r="E976" s="107" t="n">
        <v>1</v>
      </c>
      <c r="F976" s="106" t="n">
        <v>1</v>
      </c>
      <c r="G976" s="118" t="n">
        <v>1</v>
      </c>
      <c r="H976" s="116" t="n">
        <v>0.35</v>
      </c>
      <c r="I976" s="106" t="n">
        <v>0</v>
      </c>
      <c r="J976" s="117" t="n">
        <v>0</v>
      </c>
      <c r="K976" s="108" t="n">
        <v>0.35</v>
      </c>
      <c r="L976" s="108" t="n">
        <v>0</v>
      </c>
      <c r="M976" s="117"/>
      <c r="N976" s="106"/>
      <c r="O976" s="106"/>
      <c r="P976" s="106"/>
      <c r="Q976" s="106"/>
      <c r="R976" s="106" t="s">
        <v>4537</v>
      </c>
    </row>
    <row r="977" customFormat="false" ht="15" hidden="false" customHeight="false" outlineLevel="0" collapsed="false">
      <c r="A977" s="106" t="s">
        <v>5608</v>
      </c>
      <c r="B977" s="106" t="s">
        <v>4280</v>
      </c>
      <c r="C977" s="106"/>
      <c r="D977" s="106" t="n">
        <v>5</v>
      </c>
      <c r="E977" s="107" t="n">
        <v>1</v>
      </c>
      <c r="F977" s="106" t="n">
        <v>1</v>
      </c>
      <c r="G977" s="118" t="n">
        <v>1</v>
      </c>
      <c r="H977" s="116" t="n">
        <v>0.35</v>
      </c>
      <c r="I977" s="106" t="n">
        <v>0</v>
      </c>
      <c r="J977" s="117" t="n">
        <v>0</v>
      </c>
      <c r="K977" s="108" t="n">
        <v>0.35</v>
      </c>
      <c r="L977" s="108" t="n">
        <v>0</v>
      </c>
      <c r="M977" s="117"/>
      <c r="N977" s="106"/>
      <c r="O977" s="106"/>
      <c r="P977" s="106"/>
      <c r="Q977" s="106"/>
      <c r="R977" s="106" t="s">
        <v>4537</v>
      </c>
    </row>
    <row r="978" customFormat="false" ht="15" hidden="false" customHeight="false" outlineLevel="0" collapsed="false">
      <c r="A978" s="106" t="s">
        <v>5609</v>
      </c>
      <c r="B978" s="106" t="s">
        <v>4284</v>
      </c>
      <c r="C978" s="106"/>
      <c r="D978" s="106"/>
      <c r="E978" s="107" t="n">
        <v>8</v>
      </c>
      <c r="F978" s="106" t="n">
        <v>1</v>
      </c>
      <c r="G978" s="118" t="n">
        <v>0.125</v>
      </c>
      <c r="H978" s="116" t="n">
        <v>0.35</v>
      </c>
      <c r="I978" s="106" t="n">
        <v>0</v>
      </c>
      <c r="J978" s="117" t="n">
        <v>0</v>
      </c>
      <c r="K978" s="108" t="n">
        <v>0.35</v>
      </c>
      <c r="L978" s="108" t="n">
        <v>0</v>
      </c>
      <c r="M978" s="117"/>
      <c r="N978" s="106"/>
      <c r="O978" s="106"/>
      <c r="P978" s="106"/>
      <c r="Q978" s="106"/>
      <c r="R978" s="106" t="s">
        <v>4537</v>
      </c>
    </row>
    <row r="979" customFormat="false" ht="15" hidden="false" customHeight="false" outlineLevel="0" collapsed="false">
      <c r="A979" s="106" t="s">
        <v>5610</v>
      </c>
      <c r="B979" s="106" t="s">
        <v>4280</v>
      </c>
      <c r="C979" s="106"/>
      <c r="D979" s="106" t="n">
        <v>8</v>
      </c>
      <c r="E979" s="107" t="n">
        <v>2</v>
      </c>
      <c r="F979" s="106" t="n">
        <v>1</v>
      </c>
      <c r="G979" s="118" t="n">
        <v>0.5</v>
      </c>
      <c r="H979" s="116" t="n">
        <v>0.35</v>
      </c>
      <c r="I979" s="106" t="n">
        <v>0</v>
      </c>
      <c r="J979" s="117" t="n">
        <v>0</v>
      </c>
      <c r="K979" s="108" t="n">
        <v>0.35</v>
      </c>
      <c r="L979" s="108" t="n">
        <v>0</v>
      </c>
      <c r="M979" s="117"/>
      <c r="N979" s="106"/>
      <c r="O979" s="106"/>
      <c r="P979" s="106"/>
      <c r="Q979" s="106"/>
      <c r="R979" s="106" t="s">
        <v>4537</v>
      </c>
    </row>
    <row r="980" customFormat="false" ht="15" hidden="false" customHeight="false" outlineLevel="0" collapsed="false">
      <c r="A980" s="106" t="s">
        <v>5611</v>
      </c>
      <c r="B980" s="106" t="s">
        <v>4280</v>
      </c>
      <c r="C980" s="106"/>
      <c r="D980" s="106"/>
      <c r="E980" s="107" t="n">
        <v>5</v>
      </c>
      <c r="F980" s="106" t="n">
        <v>1</v>
      </c>
      <c r="G980" s="118" t="n">
        <v>0.2</v>
      </c>
      <c r="H980" s="116" t="n">
        <v>0.35</v>
      </c>
      <c r="I980" s="106" t="n">
        <v>0</v>
      </c>
      <c r="J980" s="117" t="n">
        <v>0</v>
      </c>
      <c r="K980" s="108" t="n">
        <v>0.35</v>
      </c>
      <c r="L980" s="108" t="n">
        <v>0</v>
      </c>
      <c r="M980" s="117"/>
      <c r="N980" s="106"/>
      <c r="O980" s="106"/>
      <c r="P980" s="106"/>
      <c r="Q980" s="106"/>
      <c r="R980" s="106" t="s">
        <v>4537</v>
      </c>
    </row>
    <row r="981" customFormat="false" ht="15" hidden="false" customHeight="false" outlineLevel="0" collapsed="false">
      <c r="A981" s="106" t="s">
        <v>5612</v>
      </c>
      <c r="B981" s="106" t="s">
        <v>4284</v>
      </c>
      <c r="C981" s="106"/>
      <c r="D981" s="106"/>
      <c r="E981" s="107" t="n">
        <v>3</v>
      </c>
      <c r="F981" s="106" t="n">
        <v>1</v>
      </c>
      <c r="G981" s="118" t="n">
        <v>0.3333</v>
      </c>
      <c r="H981" s="116" t="n">
        <v>0.35</v>
      </c>
      <c r="I981" s="106" t="n">
        <v>0</v>
      </c>
      <c r="J981" s="117" t="n">
        <v>0</v>
      </c>
      <c r="K981" s="108" t="n">
        <v>0.35</v>
      </c>
      <c r="L981" s="108" t="n">
        <v>0</v>
      </c>
      <c r="M981" s="117"/>
      <c r="N981" s="106"/>
      <c r="O981" s="106"/>
      <c r="P981" s="106"/>
      <c r="Q981" s="106"/>
      <c r="R981" s="106" t="s">
        <v>4537</v>
      </c>
    </row>
    <row r="982" customFormat="false" ht="15" hidden="false" customHeight="false" outlineLevel="0" collapsed="false">
      <c r="A982" s="106" t="s">
        <v>5613</v>
      </c>
      <c r="B982" s="106" t="s">
        <v>4280</v>
      </c>
      <c r="C982" s="106"/>
      <c r="D982" s="106"/>
      <c r="E982" s="107" t="n">
        <v>2</v>
      </c>
      <c r="F982" s="106" t="n">
        <v>1</v>
      </c>
      <c r="G982" s="118" t="n">
        <v>0.5</v>
      </c>
      <c r="H982" s="116" t="n">
        <v>0.35</v>
      </c>
      <c r="I982" s="106" t="n">
        <v>0</v>
      </c>
      <c r="J982" s="117" t="n">
        <v>0</v>
      </c>
      <c r="K982" s="108" t="n">
        <v>0.35</v>
      </c>
      <c r="L982" s="108" t="n">
        <v>0</v>
      </c>
      <c r="M982" s="117"/>
      <c r="N982" s="106"/>
      <c r="O982" s="106"/>
      <c r="P982" s="106"/>
      <c r="Q982" s="106"/>
      <c r="R982" s="106" t="s">
        <v>4537</v>
      </c>
    </row>
    <row r="983" customFormat="false" ht="15" hidden="false" customHeight="false" outlineLevel="0" collapsed="false">
      <c r="A983" s="106" t="s">
        <v>4462</v>
      </c>
      <c r="B983" s="106" t="s">
        <v>4284</v>
      </c>
      <c r="C983" s="106"/>
      <c r="D983" s="106"/>
      <c r="E983" s="107" t="n">
        <v>6</v>
      </c>
      <c r="F983" s="106" t="n">
        <v>1</v>
      </c>
      <c r="G983" s="118" t="n">
        <v>0.1667</v>
      </c>
      <c r="H983" s="116" t="n">
        <v>0.35</v>
      </c>
      <c r="I983" s="106" t="n">
        <v>0</v>
      </c>
      <c r="J983" s="117" t="n">
        <v>0</v>
      </c>
      <c r="K983" s="108" t="n">
        <v>0.35</v>
      </c>
      <c r="L983" s="108" t="n">
        <v>0</v>
      </c>
      <c r="M983" s="117"/>
      <c r="N983" s="106"/>
      <c r="O983" s="106"/>
      <c r="P983" s="106"/>
      <c r="Q983" s="106"/>
      <c r="R983" s="106" t="s">
        <v>4537</v>
      </c>
    </row>
    <row r="984" customFormat="false" ht="15" hidden="false" customHeight="false" outlineLevel="0" collapsed="false">
      <c r="A984" s="106" t="s">
        <v>5614</v>
      </c>
      <c r="B984" s="106" t="s">
        <v>4284</v>
      </c>
      <c r="C984" s="106"/>
      <c r="D984" s="106"/>
      <c r="E984" s="107" t="n">
        <v>40</v>
      </c>
      <c r="F984" s="106" t="n">
        <v>1</v>
      </c>
      <c r="G984" s="118" t="n">
        <v>0.025</v>
      </c>
      <c r="H984" s="116" t="n">
        <v>0.35</v>
      </c>
      <c r="I984" s="106" t="n">
        <v>0</v>
      </c>
      <c r="J984" s="117" t="n">
        <v>0</v>
      </c>
      <c r="K984" s="108" t="n">
        <v>0.35</v>
      </c>
      <c r="L984" s="108" t="n">
        <v>0</v>
      </c>
      <c r="M984" s="117"/>
      <c r="N984" s="106"/>
      <c r="O984" s="106"/>
      <c r="P984" s="106"/>
      <c r="Q984" s="106"/>
      <c r="R984" s="106" t="s">
        <v>4537</v>
      </c>
    </row>
    <row r="985" customFormat="false" ht="15" hidden="false" customHeight="false" outlineLevel="0" collapsed="false">
      <c r="A985" s="106" t="s">
        <v>5615</v>
      </c>
      <c r="B985" s="106" t="s">
        <v>4280</v>
      </c>
      <c r="C985" s="106"/>
      <c r="D985" s="106" t="n">
        <v>9</v>
      </c>
      <c r="E985" s="107" t="n">
        <v>2</v>
      </c>
      <c r="F985" s="106" t="n">
        <v>1</v>
      </c>
      <c r="G985" s="118" t="n">
        <v>0.5</v>
      </c>
      <c r="H985" s="116" t="n">
        <v>0.35</v>
      </c>
      <c r="I985" s="106" t="n">
        <v>0</v>
      </c>
      <c r="J985" s="117" t="n">
        <v>0</v>
      </c>
      <c r="K985" s="108" t="n">
        <v>0.35</v>
      </c>
      <c r="L985" s="108" t="n">
        <v>0</v>
      </c>
      <c r="M985" s="117"/>
      <c r="N985" s="106"/>
      <c r="O985" s="106"/>
      <c r="P985" s="106"/>
      <c r="Q985" s="106"/>
      <c r="R985" s="106" t="s">
        <v>4537</v>
      </c>
    </row>
    <row r="986" customFormat="false" ht="15" hidden="false" customHeight="false" outlineLevel="0" collapsed="false">
      <c r="A986" s="106" t="s">
        <v>5616</v>
      </c>
      <c r="B986" s="106" t="s">
        <v>4280</v>
      </c>
      <c r="C986" s="106"/>
      <c r="D986" s="106"/>
      <c r="E986" s="107" t="n">
        <v>1</v>
      </c>
      <c r="F986" s="106" t="n">
        <v>1</v>
      </c>
      <c r="G986" s="118" t="n">
        <v>1</v>
      </c>
      <c r="H986" s="116" t="n">
        <v>0.35</v>
      </c>
      <c r="I986" s="106" t="n">
        <v>0</v>
      </c>
      <c r="J986" s="117" t="n">
        <v>0</v>
      </c>
      <c r="K986" s="108" t="n">
        <v>0.35</v>
      </c>
      <c r="L986" s="108" t="n">
        <v>0</v>
      </c>
      <c r="M986" s="117"/>
      <c r="N986" s="106"/>
      <c r="O986" s="106"/>
      <c r="P986" s="106"/>
      <c r="Q986" s="106"/>
      <c r="R986" s="106" t="s">
        <v>4537</v>
      </c>
    </row>
    <row r="987" customFormat="false" ht="15" hidden="false" customHeight="false" outlineLevel="0" collapsed="false">
      <c r="A987" s="106" t="s">
        <v>5617</v>
      </c>
      <c r="B987" s="106" t="s">
        <v>4280</v>
      </c>
      <c r="C987" s="106"/>
      <c r="D987" s="106" t="n">
        <v>1</v>
      </c>
      <c r="E987" s="107" t="n">
        <v>1</v>
      </c>
      <c r="F987" s="106" t="n">
        <v>1</v>
      </c>
      <c r="G987" s="118" t="n">
        <v>1</v>
      </c>
      <c r="H987" s="116" t="n">
        <v>0.35</v>
      </c>
      <c r="I987" s="106" t="n">
        <v>0</v>
      </c>
      <c r="J987" s="117" t="n">
        <v>0</v>
      </c>
      <c r="K987" s="108" t="n">
        <v>0.35</v>
      </c>
      <c r="L987" s="108" t="n">
        <v>0</v>
      </c>
      <c r="M987" s="117"/>
      <c r="N987" s="106"/>
      <c r="O987" s="106"/>
      <c r="P987" s="106"/>
      <c r="Q987" s="106"/>
      <c r="R987" s="106" t="s">
        <v>4537</v>
      </c>
    </row>
    <row r="988" customFormat="false" ht="15" hidden="false" customHeight="false" outlineLevel="0" collapsed="false">
      <c r="A988" s="106" t="s">
        <v>5618</v>
      </c>
      <c r="B988" s="106" t="s">
        <v>4329</v>
      </c>
      <c r="C988" s="106"/>
      <c r="D988" s="106" t="n">
        <v>13</v>
      </c>
      <c r="E988" s="107" t="n">
        <v>2</v>
      </c>
      <c r="F988" s="106" t="n">
        <v>1</v>
      </c>
      <c r="G988" s="118" t="n">
        <v>0.5</v>
      </c>
      <c r="H988" s="116" t="n">
        <v>0.35</v>
      </c>
      <c r="I988" s="106" t="n">
        <v>0</v>
      </c>
      <c r="J988" s="117" t="n">
        <v>0</v>
      </c>
      <c r="K988" s="108" t="n">
        <v>0.35</v>
      </c>
      <c r="L988" s="108" t="n">
        <v>0</v>
      </c>
      <c r="M988" s="117"/>
      <c r="N988" s="106"/>
      <c r="O988" s="106"/>
      <c r="P988" s="106"/>
      <c r="Q988" s="106"/>
      <c r="R988" s="106" t="s">
        <v>4537</v>
      </c>
    </row>
    <row r="989" customFormat="false" ht="15" hidden="false" customHeight="false" outlineLevel="0" collapsed="false">
      <c r="A989" s="106" t="s">
        <v>5619</v>
      </c>
      <c r="B989" s="106" t="s">
        <v>4329</v>
      </c>
      <c r="C989" s="106"/>
      <c r="D989" s="106" t="n">
        <v>3</v>
      </c>
      <c r="E989" s="107" t="n">
        <v>1</v>
      </c>
      <c r="F989" s="106" t="n">
        <v>1</v>
      </c>
      <c r="G989" s="118" t="n">
        <v>1</v>
      </c>
      <c r="H989" s="116" t="n">
        <v>0.35</v>
      </c>
      <c r="I989" s="106" t="n">
        <v>1</v>
      </c>
      <c r="J989" s="117" t="n">
        <v>1</v>
      </c>
      <c r="K989" s="108" t="n">
        <v>0.35</v>
      </c>
      <c r="L989" s="108" t="n">
        <v>21.95</v>
      </c>
      <c r="M989" s="117" t="n">
        <v>0.016</v>
      </c>
      <c r="N989" s="106"/>
      <c r="O989" s="106"/>
      <c r="P989" s="106"/>
      <c r="Q989" s="106"/>
      <c r="R989" s="106" t="s">
        <v>4285</v>
      </c>
    </row>
    <row r="990" customFormat="false" ht="15" hidden="false" customHeight="false" outlineLevel="0" collapsed="false">
      <c r="A990" s="106" t="s">
        <v>5620</v>
      </c>
      <c r="B990" s="106" t="s">
        <v>4284</v>
      </c>
      <c r="C990" s="106"/>
      <c r="D990" s="106" t="n">
        <v>6</v>
      </c>
      <c r="E990" s="107" t="n">
        <v>1</v>
      </c>
      <c r="F990" s="106" t="n">
        <v>1</v>
      </c>
      <c r="G990" s="118" t="n">
        <v>1</v>
      </c>
      <c r="H990" s="116" t="n">
        <v>0.35</v>
      </c>
      <c r="I990" s="106" t="n">
        <v>0</v>
      </c>
      <c r="J990" s="117" t="n">
        <v>0</v>
      </c>
      <c r="K990" s="108" t="n">
        <v>0.35</v>
      </c>
      <c r="L990" s="108" t="n">
        <v>0</v>
      </c>
      <c r="M990" s="117"/>
      <c r="N990" s="106"/>
      <c r="O990" s="106"/>
      <c r="P990" s="106"/>
      <c r="Q990" s="106"/>
      <c r="R990" s="106" t="s">
        <v>4537</v>
      </c>
    </row>
    <row r="991" customFormat="false" ht="15" hidden="false" customHeight="false" outlineLevel="0" collapsed="false">
      <c r="A991" s="106" t="s">
        <v>5621</v>
      </c>
      <c r="B991" s="106" t="s">
        <v>4284</v>
      </c>
      <c r="C991" s="106"/>
      <c r="D991" s="106" t="n">
        <v>695</v>
      </c>
      <c r="E991" s="107" t="n">
        <v>1</v>
      </c>
      <c r="F991" s="106" t="n">
        <v>1</v>
      </c>
      <c r="G991" s="118" t="n">
        <v>1</v>
      </c>
      <c r="H991" s="116" t="n">
        <v>0.35</v>
      </c>
      <c r="I991" s="106" t="n">
        <v>0</v>
      </c>
      <c r="J991" s="117" t="n">
        <v>0</v>
      </c>
      <c r="K991" s="108" t="n">
        <v>0.35</v>
      </c>
      <c r="L991" s="108" t="n">
        <v>0</v>
      </c>
      <c r="M991" s="117"/>
      <c r="N991" s="106"/>
      <c r="O991" s="106"/>
      <c r="P991" s="106"/>
      <c r="Q991" s="106"/>
      <c r="R991" s="106" t="s">
        <v>4537</v>
      </c>
    </row>
    <row r="992" customFormat="false" ht="15" hidden="false" customHeight="false" outlineLevel="0" collapsed="false">
      <c r="A992" s="106" t="s">
        <v>5622</v>
      </c>
      <c r="B992" s="106" t="s">
        <v>4329</v>
      </c>
      <c r="C992" s="106"/>
      <c r="D992" s="106" t="n">
        <v>235</v>
      </c>
      <c r="E992" s="107" t="n">
        <v>2</v>
      </c>
      <c r="F992" s="106" t="n">
        <v>1</v>
      </c>
      <c r="G992" s="118" t="n">
        <v>0.5</v>
      </c>
      <c r="H992" s="116" t="n">
        <v>0.35</v>
      </c>
      <c r="I992" s="106" t="n">
        <v>0</v>
      </c>
      <c r="J992" s="117" t="n">
        <v>0</v>
      </c>
      <c r="K992" s="108" t="n">
        <v>0.35</v>
      </c>
      <c r="L992" s="108" t="n">
        <v>0</v>
      </c>
      <c r="M992" s="117"/>
      <c r="N992" s="106"/>
      <c r="O992" s="106"/>
      <c r="P992" s="106"/>
      <c r="Q992" s="106"/>
      <c r="R992" s="106" t="s">
        <v>4537</v>
      </c>
    </row>
    <row r="993" customFormat="false" ht="15" hidden="false" customHeight="false" outlineLevel="0" collapsed="false">
      <c r="A993" s="106" t="s">
        <v>5623</v>
      </c>
      <c r="B993" s="106" t="s">
        <v>4329</v>
      </c>
      <c r="C993" s="106"/>
      <c r="D993" s="106"/>
      <c r="E993" s="107" t="n">
        <v>1</v>
      </c>
      <c r="F993" s="106" t="n">
        <v>1</v>
      </c>
      <c r="G993" s="118" t="n">
        <v>1</v>
      </c>
      <c r="H993" s="116" t="n">
        <v>0.35</v>
      </c>
      <c r="I993" s="106" t="n">
        <v>0</v>
      </c>
      <c r="J993" s="117" t="n">
        <v>0</v>
      </c>
      <c r="K993" s="108" t="n">
        <v>0.35</v>
      </c>
      <c r="L993" s="108" t="n">
        <v>0</v>
      </c>
      <c r="M993" s="117"/>
      <c r="N993" s="106"/>
      <c r="O993" s="106"/>
      <c r="P993" s="106"/>
      <c r="Q993" s="106"/>
      <c r="R993" s="106" t="s">
        <v>4537</v>
      </c>
    </row>
    <row r="994" customFormat="false" ht="15" hidden="false" customHeight="false" outlineLevel="0" collapsed="false">
      <c r="A994" s="106" t="s">
        <v>5624</v>
      </c>
      <c r="B994" s="106" t="s">
        <v>4280</v>
      </c>
      <c r="C994" s="106"/>
      <c r="D994" s="106" t="n">
        <v>134</v>
      </c>
      <c r="E994" s="107" t="n">
        <v>5</v>
      </c>
      <c r="F994" s="106" t="n">
        <v>1</v>
      </c>
      <c r="G994" s="118" t="n">
        <v>0.2</v>
      </c>
      <c r="H994" s="116" t="n">
        <v>3</v>
      </c>
      <c r="I994" s="106" t="n">
        <v>0</v>
      </c>
      <c r="J994" s="117" t="n">
        <v>0</v>
      </c>
      <c r="K994" s="108" t="n">
        <v>3</v>
      </c>
      <c r="L994" s="108" t="n">
        <v>0</v>
      </c>
      <c r="M994" s="117"/>
      <c r="N994" s="106"/>
      <c r="O994" s="106"/>
      <c r="P994" s="106"/>
      <c r="Q994" s="106"/>
      <c r="R994" s="106" t="s">
        <v>4537</v>
      </c>
    </row>
    <row r="995" customFormat="false" ht="15" hidden="false" customHeight="false" outlineLevel="0" collapsed="false">
      <c r="A995" s="106" t="s">
        <v>5625</v>
      </c>
      <c r="B995" s="106" t="s">
        <v>4280</v>
      </c>
      <c r="C995" s="106"/>
      <c r="D995" s="106" t="n">
        <v>144</v>
      </c>
      <c r="E995" s="107" t="n">
        <v>3</v>
      </c>
      <c r="F995" s="106" t="n">
        <v>1</v>
      </c>
      <c r="G995" s="118" t="n">
        <v>0.3333</v>
      </c>
      <c r="H995" s="116" t="n">
        <v>3</v>
      </c>
      <c r="I995" s="106" t="n">
        <v>0</v>
      </c>
      <c r="J995" s="117" t="n">
        <v>0</v>
      </c>
      <c r="K995" s="108" t="n">
        <v>3</v>
      </c>
      <c r="L995" s="108" t="n">
        <v>0</v>
      </c>
      <c r="M995" s="117"/>
      <c r="N995" s="106"/>
      <c r="O995" s="106"/>
      <c r="P995" s="106"/>
      <c r="Q995" s="106"/>
      <c r="R995" s="106" t="s">
        <v>4537</v>
      </c>
    </row>
    <row r="996" customFormat="false" ht="15" hidden="false" customHeight="false" outlineLevel="0" collapsed="false">
      <c r="A996" s="106" t="s">
        <v>5626</v>
      </c>
      <c r="B996" s="106" t="s">
        <v>4280</v>
      </c>
      <c r="C996" s="106"/>
      <c r="D996" s="106" t="n">
        <v>5</v>
      </c>
      <c r="E996" s="107" t="n">
        <v>1</v>
      </c>
      <c r="F996" s="106" t="n">
        <v>1</v>
      </c>
      <c r="G996" s="118" t="n">
        <v>1</v>
      </c>
      <c r="H996" s="116" t="n">
        <v>3</v>
      </c>
      <c r="I996" s="106" t="n">
        <v>0</v>
      </c>
      <c r="J996" s="117" t="n">
        <v>0</v>
      </c>
      <c r="K996" s="108" t="n">
        <v>3</v>
      </c>
      <c r="L996" s="108" t="n">
        <v>0</v>
      </c>
      <c r="M996" s="117"/>
      <c r="N996" s="106"/>
      <c r="O996" s="106"/>
      <c r="P996" s="106"/>
      <c r="Q996" s="106"/>
      <c r="R996" s="106" t="s">
        <v>4537</v>
      </c>
    </row>
    <row r="997" customFormat="false" ht="15" hidden="false" customHeight="false" outlineLevel="0" collapsed="false">
      <c r="A997" s="106" t="s">
        <v>863</v>
      </c>
      <c r="B997" s="106" t="s">
        <v>4280</v>
      </c>
      <c r="C997" s="106" t="s">
        <v>4301</v>
      </c>
      <c r="D997" s="106" t="n">
        <v>384</v>
      </c>
      <c r="E997" s="107" t="n">
        <v>3</v>
      </c>
      <c r="F997" s="106" t="n">
        <v>1</v>
      </c>
      <c r="G997" s="118" t="n">
        <v>0.3333</v>
      </c>
      <c r="H997" s="116" t="n">
        <v>3</v>
      </c>
      <c r="I997" s="106" t="n">
        <v>0</v>
      </c>
      <c r="J997" s="117" t="n">
        <v>0</v>
      </c>
      <c r="K997" s="108" t="n">
        <v>3</v>
      </c>
      <c r="L997" s="108" t="n">
        <v>0</v>
      </c>
      <c r="M997" s="117"/>
      <c r="N997" s="106"/>
      <c r="O997" s="106"/>
      <c r="P997" s="106"/>
      <c r="Q997" s="106"/>
      <c r="R997" s="106" t="s">
        <v>4537</v>
      </c>
    </row>
    <row r="998" customFormat="false" ht="15" hidden="false" customHeight="false" outlineLevel="0" collapsed="false">
      <c r="A998" s="106" t="s">
        <v>895</v>
      </c>
      <c r="B998" s="106" t="s">
        <v>4280</v>
      </c>
      <c r="C998" s="106"/>
      <c r="D998" s="106" t="n">
        <v>248</v>
      </c>
      <c r="E998" s="107" t="n">
        <v>15</v>
      </c>
      <c r="F998" s="106" t="n">
        <v>1</v>
      </c>
      <c r="G998" s="118" t="n">
        <v>0.0667</v>
      </c>
      <c r="H998" s="116" t="n">
        <v>3</v>
      </c>
      <c r="I998" s="106" t="n">
        <v>0</v>
      </c>
      <c r="J998" s="117" t="n">
        <v>0</v>
      </c>
      <c r="K998" s="108" t="n">
        <v>3</v>
      </c>
      <c r="L998" s="108" t="n">
        <v>0</v>
      </c>
      <c r="M998" s="117"/>
      <c r="N998" s="106" t="n">
        <v>17</v>
      </c>
      <c r="O998" s="106" t="n">
        <v>4</v>
      </c>
      <c r="P998" s="106" t="s">
        <v>4947</v>
      </c>
      <c r="Q998" s="106" t="n">
        <v>21</v>
      </c>
      <c r="R998" s="106" t="s">
        <v>4537</v>
      </c>
    </row>
    <row r="999" customFormat="false" ht="15" hidden="false" customHeight="false" outlineLevel="0" collapsed="false">
      <c r="A999" s="106" t="s">
        <v>5627</v>
      </c>
      <c r="B999" s="106" t="s">
        <v>4284</v>
      </c>
      <c r="C999" s="106"/>
      <c r="D999" s="106" t="n">
        <v>17</v>
      </c>
      <c r="E999" s="107" t="n">
        <v>2</v>
      </c>
      <c r="F999" s="106" t="n">
        <v>1</v>
      </c>
      <c r="G999" s="118" t="n">
        <v>0.5</v>
      </c>
      <c r="H999" s="116" t="n">
        <v>2.99</v>
      </c>
      <c r="I999" s="106" t="n">
        <v>0</v>
      </c>
      <c r="J999" s="117" t="n">
        <v>0</v>
      </c>
      <c r="K999" s="108" t="n">
        <v>2.99</v>
      </c>
      <c r="L999" s="108" t="n">
        <v>0</v>
      </c>
      <c r="M999" s="117"/>
      <c r="N999" s="106"/>
      <c r="O999" s="106"/>
      <c r="P999" s="106"/>
      <c r="Q999" s="106"/>
      <c r="R999" s="106" t="s">
        <v>4537</v>
      </c>
    </row>
    <row r="1000" customFormat="false" ht="15" hidden="false" customHeight="false" outlineLevel="0" collapsed="false">
      <c r="A1000" s="106" t="s">
        <v>5628</v>
      </c>
      <c r="B1000" s="106" t="s">
        <v>4329</v>
      </c>
      <c r="C1000" s="106"/>
      <c r="D1000" s="106" t="n">
        <v>399</v>
      </c>
      <c r="E1000" s="107" t="n">
        <v>9</v>
      </c>
      <c r="F1000" s="106" t="n">
        <v>1</v>
      </c>
      <c r="G1000" s="118" t="n">
        <v>0.1111</v>
      </c>
      <c r="H1000" s="116" t="n">
        <v>2.98</v>
      </c>
      <c r="I1000" s="106" t="n">
        <v>0</v>
      </c>
      <c r="J1000" s="117" t="n">
        <v>0</v>
      </c>
      <c r="K1000" s="108" t="n">
        <v>2.98</v>
      </c>
      <c r="L1000" s="108" t="n">
        <v>0</v>
      </c>
      <c r="M1000" s="117"/>
      <c r="N1000" s="106"/>
      <c r="O1000" s="106"/>
      <c r="P1000" s="106"/>
      <c r="Q1000" s="106"/>
      <c r="R1000" s="106" t="s">
        <v>4537</v>
      </c>
    </row>
    <row r="1001" customFormat="false" ht="15" hidden="false" customHeight="false" outlineLevel="0" collapsed="false">
      <c r="A1001" s="106" t="s">
        <v>5629</v>
      </c>
      <c r="B1001" s="106" t="s">
        <v>4329</v>
      </c>
      <c r="C1001" s="106"/>
      <c r="D1001" s="106"/>
      <c r="E1001" s="107" t="n">
        <v>2</v>
      </c>
      <c r="F1001" s="106" t="n">
        <v>1</v>
      </c>
      <c r="G1001" s="118" t="n">
        <v>0.5</v>
      </c>
      <c r="H1001" s="116" t="n">
        <v>2.98</v>
      </c>
      <c r="I1001" s="106" t="n">
        <v>0</v>
      </c>
      <c r="J1001" s="117" t="n">
        <v>0</v>
      </c>
      <c r="K1001" s="108" t="n">
        <v>2.98</v>
      </c>
      <c r="L1001" s="108" t="n">
        <v>0</v>
      </c>
      <c r="M1001" s="117"/>
      <c r="N1001" s="106"/>
      <c r="O1001" s="106"/>
      <c r="P1001" s="106"/>
      <c r="Q1001" s="106"/>
      <c r="R1001" s="106" t="s">
        <v>4537</v>
      </c>
    </row>
    <row r="1002" customFormat="false" ht="15" hidden="false" customHeight="false" outlineLevel="0" collapsed="false">
      <c r="A1002" s="106" t="s">
        <v>5630</v>
      </c>
      <c r="B1002" s="106" t="s">
        <v>4284</v>
      </c>
      <c r="C1002" s="106"/>
      <c r="D1002" s="106" t="n">
        <v>4</v>
      </c>
      <c r="E1002" s="107" t="n">
        <v>1</v>
      </c>
      <c r="F1002" s="106" t="n">
        <v>1</v>
      </c>
      <c r="G1002" s="118" t="n">
        <v>1</v>
      </c>
      <c r="H1002" s="116" t="n">
        <v>2.28</v>
      </c>
      <c r="I1002" s="106" t="n">
        <v>0</v>
      </c>
      <c r="J1002" s="117" t="n">
        <v>0</v>
      </c>
      <c r="K1002" s="108" t="n">
        <v>2.28</v>
      </c>
      <c r="L1002" s="108" t="n">
        <v>0</v>
      </c>
      <c r="M1002" s="117"/>
      <c r="N1002" s="106"/>
      <c r="O1002" s="106"/>
      <c r="P1002" s="106"/>
      <c r="Q1002" s="106"/>
      <c r="R1002" s="106" t="s">
        <v>4537</v>
      </c>
    </row>
    <row r="1003" customFormat="false" ht="15" hidden="false" customHeight="false" outlineLevel="0" collapsed="false">
      <c r="A1003" s="106" t="s">
        <v>5631</v>
      </c>
      <c r="B1003" s="106" t="s">
        <v>1403</v>
      </c>
      <c r="C1003" s="106"/>
      <c r="D1003" s="106"/>
      <c r="E1003" s="107" t="n">
        <v>2</v>
      </c>
      <c r="F1003" s="106" t="n">
        <v>1</v>
      </c>
      <c r="G1003" s="118" t="n">
        <v>0.5</v>
      </c>
      <c r="H1003" s="116" t="n">
        <v>2.28</v>
      </c>
      <c r="I1003" s="106" t="n">
        <v>1</v>
      </c>
      <c r="J1003" s="117" t="n">
        <v>1</v>
      </c>
      <c r="K1003" s="108" t="n">
        <v>2.28</v>
      </c>
      <c r="L1003" s="108" t="n">
        <v>53.98</v>
      </c>
      <c r="M1003" s="117" t="n">
        <v>0.042</v>
      </c>
      <c r="N1003" s="106"/>
      <c r="O1003" s="106"/>
      <c r="P1003" s="106"/>
      <c r="Q1003" s="106"/>
      <c r="R1003" s="106" t="s">
        <v>4285</v>
      </c>
    </row>
    <row r="1004" customFormat="false" ht="15" hidden="false" customHeight="false" outlineLevel="0" collapsed="false">
      <c r="A1004" s="106" t="s">
        <v>5632</v>
      </c>
      <c r="B1004" s="106" t="s">
        <v>1403</v>
      </c>
      <c r="C1004" s="106"/>
      <c r="D1004" s="106" t="n">
        <v>1</v>
      </c>
      <c r="E1004" s="107" t="n">
        <v>5</v>
      </c>
      <c r="F1004" s="106" t="n">
        <v>1</v>
      </c>
      <c r="G1004" s="118" t="n">
        <v>0.2</v>
      </c>
      <c r="H1004" s="116" t="n">
        <v>2.28</v>
      </c>
      <c r="I1004" s="106" t="n">
        <v>0</v>
      </c>
      <c r="J1004" s="117" t="n">
        <v>0</v>
      </c>
      <c r="K1004" s="108" t="n">
        <v>2.28</v>
      </c>
      <c r="L1004" s="108" t="n">
        <v>0</v>
      </c>
      <c r="M1004" s="117"/>
      <c r="N1004" s="106"/>
      <c r="O1004" s="106"/>
      <c r="P1004" s="106"/>
      <c r="Q1004" s="106"/>
      <c r="R1004" s="106" t="s">
        <v>4537</v>
      </c>
    </row>
    <row r="1005" customFormat="false" ht="15" hidden="false" customHeight="false" outlineLevel="0" collapsed="false">
      <c r="A1005" s="106" t="s">
        <v>5633</v>
      </c>
      <c r="B1005" s="106" t="s">
        <v>4280</v>
      </c>
      <c r="C1005" s="106"/>
      <c r="D1005" s="106"/>
      <c r="E1005" s="107" t="n">
        <v>1</v>
      </c>
      <c r="F1005" s="106" t="n">
        <v>1</v>
      </c>
      <c r="G1005" s="118" t="n">
        <v>1</v>
      </c>
      <c r="H1005" s="116" t="n">
        <v>3</v>
      </c>
      <c r="I1005" s="106" t="n">
        <v>0</v>
      </c>
      <c r="J1005" s="117" t="n">
        <v>0</v>
      </c>
      <c r="K1005" s="108" t="n">
        <v>3</v>
      </c>
      <c r="L1005" s="108" t="n">
        <v>0</v>
      </c>
      <c r="M1005" s="117"/>
      <c r="N1005" s="106"/>
      <c r="O1005" s="106"/>
      <c r="P1005" s="106"/>
      <c r="Q1005" s="106"/>
      <c r="R1005" s="106" t="s">
        <v>4537</v>
      </c>
    </row>
    <row r="1006" customFormat="false" ht="15" hidden="false" customHeight="false" outlineLevel="0" collapsed="false">
      <c r="A1006" s="106" t="s">
        <v>5634</v>
      </c>
      <c r="B1006" s="106" t="s">
        <v>4329</v>
      </c>
      <c r="C1006" s="106"/>
      <c r="D1006" s="106" t="n">
        <v>21</v>
      </c>
      <c r="E1006" s="107" t="n">
        <v>1</v>
      </c>
      <c r="F1006" s="106" t="n">
        <v>1</v>
      </c>
      <c r="G1006" s="118" t="n">
        <v>1</v>
      </c>
      <c r="H1006" s="116" t="n">
        <v>3</v>
      </c>
      <c r="I1006" s="106" t="n">
        <v>1</v>
      </c>
      <c r="J1006" s="117" t="n">
        <v>1</v>
      </c>
      <c r="K1006" s="108" t="n">
        <v>3</v>
      </c>
      <c r="L1006" s="108" t="n">
        <v>79.99</v>
      </c>
      <c r="M1006" s="117" t="n">
        <v>0.038</v>
      </c>
      <c r="N1006" s="106"/>
      <c r="O1006" s="106"/>
      <c r="P1006" s="106"/>
      <c r="Q1006" s="106"/>
      <c r="R1006" s="106" t="s">
        <v>4285</v>
      </c>
    </row>
    <row r="1007" customFormat="false" ht="15" hidden="false" customHeight="false" outlineLevel="0" collapsed="false">
      <c r="A1007" s="106" t="s">
        <v>5635</v>
      </c>
      <c r="B1007" s="106" t="s">
        <v>4280</v>
      </c>
      <c r="C1007" s="106" t="s">
        <v>4301</v>
      </c>
      <c r="D1007" s="106" t="n">
        <v>428</v>
      </c>
      <c r="E1007" s="107" t="n">
        <v>16</v>
      </c>
      <c r="F1007" s="106" t="n">
        <v>1</v>
      </c>
      <c r="G1007" s="118" t="n">
        <v>0.0625</v>
      </c>
      <c r="H1007" s="116" t="n">
        <v>3</v>
      </c>
      <c r="I1007" s="106" t="n">
        <v>0</v>
      </c>
      <c r="J1007" s="117" t="n">
        <v>0</v>
      </c>
      <c r="K1007" s="108" t="n">
        <v>3</v>
      </c>
      <c r="L1007" s="108" t="n">
        <v>0</v>
      </c>
      <c r="M1007" s="117"/>
      <c r="N1007" s="106" t="n">
        <v>118</v>
      </c>
      <c r="O1007" s="106"/>
      <c r="P1007" s="106"/>
      <c r="Q1007" s="106"/>
      <c r="R1007" s="106" t="s">
        <v>4537</v>
      </c>
    </row>
    <row r="1008" customFormat="false" ht="15" hidden="false" customHeight="false" outlineLevel="0" collapsed="false">
      <c r="A1008" s="106" t="s">
        <v>5636</v>
      </c>
      <c r="B1008" s="106" t="s">
        <v>4329</v>
      </c>
      <c r="C1008" s="106"/>
      <c r="D1008" s="106"/>
      <c r="E1008" s="107" t="n">
        <v>1</v>
      </c>
      <c r="F1008" s="106" t="n">
        <v>1</v>
      </c>
      <c r="G1008" s="118" t="n">
        <v>1</v>
      </c>
      <c r="H1008" s="116" t="n">
        <v>3</v>
      </c>
      <c r="I1008" s="106" t="n">
        <v>1</v>
      </c>
      <c r="J1008" s="117" t="n">
        <v>1</v>
      </c>
      <c r="K1008" s="108" t="n">
        <v>3</v>
      </c>
      <c r="L1008" s="108" t="n">
        <v>84.99</v>
      </c>
      <c r="M1008" s="117" t="n">
        <v>0.035</v>
      </c>
      <c r="N1008" s="106"/>
      <c r="O1008" s="106"/>
      <c r="P1008" s="106"/>
      <c r="Q1008" s="106"/>
      <c r="R1008" s="106" t="s">
        <v>4285</v>
      </c>
    </row>
    <row r="1009" customFormat="false" ht="15" hidden="false" customHeight="false" outlineLevel="0" collapsed="false">
      <c r="A1009" s="106" t="s">
        <v>4540</v>
      </c>
      <c r="B1009" s="106" t="s">
        <v>4280</v>
      </c>
      <c r="C1009" s="106" t="s">
        <v>4281</v>
      </c>
      <c r="D1009" s="106" t="n">
        <v>392</v>
      </c>
      <c r="E1009" s="107" t="n">
        <v>8</v>
      </c>
      <c r="F1009" s="106" t="n">
        <v>1</v>
      </c>
      <c r="G1009" s="118" t="n">
        <v>0.125</v>
      </c>
      <c r="H1009" s="116" t="n">
        <v>3</v>
      </c>
      <c r="I1009" s="106" t="n">
        <v>0</v>
      </c>
      <c r="J1009" s="117" t="n">
        <v>0</v>
      </c>
      <c r="K1009" s="108" t="n">
        <v>3</v>
      </c>
      <c r="L1009" s="108" t="n">
        <v>0</v>
      </c>
      <c r="M1009" s="117"/>
      <c r="N1009" s="106"/>
      <c r="O1009" s="106"/>
      <c r="P1009" s="106"/>
      <c r="Q1009" s="106"/>
      <c r="R1009" s="106" t="s">
        <v>4537</v>
      </c>
    </row>
    <row r="1010" customFormat="false" ht="15" hidden="false" customHeight="false" outlineLevel="0" collapsed="false">
      <c r="A1010" s="106" t="s">
        <v>5637</v>
      </c>
      <c r="B1010" s="106" t="s">
        <v>1403</v>
      </c>
      <c r="C1010" s="106"/>
      <c r="D1010" s="106"/>
      <c r="E1010" s="107" t="n">
        <v>3</v>
      </c>
      <c r="F1010" s="106" t="n">
        <v>1</v>
      </c>
      <c r="G1010" s="118" t="n">
        <v>0.3333</v>
      </c>
      <c r="H1010" s="116" t="n">
        <v>2.37</v>
      </c>
      <c r="I1010" s="106" t="n">
        <v>0</v>
      </c>
      <c r="J1010" s="117" t="n">
        <v>0</v>
      </c>
      <c r="K1010" s="108" t="n">
        <v>2.37</v>
      </c>
      <c r="L1010" s="108" t="n">
        <v>0</v>
      </c>
      <c r="M1010" s="117"/>
      <c r="N1010" s="106"/>
      <c r="O1010" s="106"/>
      <c r="P1010" s="106"/>
      <c r="Q1010" s="106"/>
      <c r="R1010" s="106" t="s">
        <v>4537</v>
      </c>
    </row>
    <row r="1011" customFormat="false" ht="15" hidden="false" customHeight="false" outlineLevel="0" collapsed="false">
      <c r="A1011" s="106" t="s">
        <v>875</v>
      </c>
      <c r="B1011" s="106" t="s">
        <v>4280</v>
      </c>
      <c r="C1011" s="106" t="s">
        <v>4301</v>
      </c>
      <c r="D1011" s="106" t="n">
        <v>277</v>
      </c>
      <c r="E1011" s="107" t="n">
        <v>1</v>
      </c>
      <c r="F1011" s="106" t="n">
        <v>1</v>
      </c>
      <c r="G1011" s="118" t="n">
        <v>1</v>
      </c>
      <c r="H1011" s="116" t="n">
        <v>2.36</v>
      </c>
      <c r="I1011" s="106" t="n">
        <v>0</v>
      </c>
      <c r="J1011" s="117" t="n">
        <v>0</v>
      </c>
      <c r="K1011" s="108" t="n">
        <v>2.36</v>
      </c>
      <c r="L1011" s="108" t="n">
        <v>0</v>
      </c>
      <c r="M1011" s="117"/>
      <c r="N1011" s="106"/>
      <c r="O1011" s="106"/>
      <c r="P1011" s="106"/>
      <c r="Q1011" s="106"/>
      <c r="R1011" s="106" t="s">
        <v>4537</v>
      </c>
    </row>
    <row r="1012" customFormat="false" ht="15" hidden="false" customHeight="false" outlineLevel="0" collapsed="false">
      <c r="A1012" s="106" t="s">
        <v>5638</v>
      </c>
      <c r="B1012" s="106" t="s">
        <v>1403</v>
      </c>
      <c r="C1012" s="106"/>
      <c r="D1012" s="106"/>
      <c r="E1012" s="107" t="n">
        <v>2</v>
      </c>
      <c r="F1012" s="106" t="n">
        <v>1</v>
      </c>
      <c r="G1012" s="118" t="n">
        <v>0.5</v>
      </c>
      <c r="H1012" s="116" t="n">
        <v>2.36</v>
      </c>
      <c r="I1012" s="106" t="n">
        <v>0</v>
      </c>
      <c r="J1012" s="117" t="n">
        <v>0</v>
      </c>
      <c r="K1012" s="108" t="n">
        <v>2.36</v>
      </c>
      <c r="L1012" s="108" t="n">
        <v>0</v>
      </c>
      <c r="M1012" s="117"/>
      <c r="N1012" s="106"/>
      <c r="O1012" s="106"/>
      <c r="P1012" s="106"/>
      <c r="Q1012" s="106"/>
      <c r="R1012" s="106" t="s">
        <v>4537</v>
      </c>
    </row>
    <row r="1013" customFormat="false" ht="15" hidden="false" customHeight="false" outlineLevel="0" collapsed="false">
      <c r="A1013" s="106" t="s">
        <v>5639</v>
      </c>
      <c r="B1013" s="106" t="s">
        <v>4329</v>
      </c>
      <c r="C1013" s="106"/>
      <c r="D1013" s="106" t="n">
        <v>6</v>
      </c>
      <c r="E1013" s="107" t="n">
        <v>1</v>
      </c>
      <c r="F1013" s="106" t="n">
        <v>1</v>
      </c>
      <c r="G1013" s="118" t="n">
        <v>1</v>
      </c>
      <c r="H1013" s="116" t="n">
        <v>2.34</v>
      </c>
      <c r="I1013" s="106" t="n">
        <v>0</v>
      </c>
      <c r="J1013" s="117" t="n">
        <v>0</v>
      </c>
      <c r="K1013" s="108" t="n">
        <v>2.34</v>
      </c>
      <c r="L1013" s="108" t="n">
        <v>0</v>
      </c>
      <c r="M1013" s="117"/>
      <c r="N1013" s="106"/>
      <c r="O1013" s="106"/>
      <c r="P1013" s="106"/>
      <c r="Q1013" s="106"/>
      <c r="R1013" s="106" t="s">
        <v>4537</v>
      </c>
    </row>
    <row r="1014" customFormat="false" ht="15" hidden="false" customHeight="false" outlineLevel="0" collapsed="false">
      <c r="A1014" s="106" t="s">
        <v>5640</v>
      </c>
      <c r="B1014" s="106" t="s">
        <v>4280</v>
      </c>
      <c r="C1014" s="106"/>
      <c r="D1014" s="106"/>
      <c r="E1014" s="107" t="n">
        <v>3</v>
      </c>
      <c r="F1014" s="106" t="n">
        <v>1</v>
      </c>
      <c r="G1014" s="118" t="n">
        <v>0.3333</v>
      </c>
      <c r="H1014" s="116" t="n">
        <v>2.34</v>
      </c>
      <c r="I1014" s="106" t="n">
        <v>0</v>
      </c>
      <c r="J1014" s="117" t="n">
        <v>0</v>
      </c>
      <c r="K1014" s="108" t="n">
        <v>2.34</v>
      </c>
      <c r="L1014" s="108" t="n">
        <v>0</v>
      </c>
      <c r="M1014" s="117"/>
      <c r="N1014" s="106"/>
      <c r="O1014" s="106"/>
      <c r="P1014" s="106"/>
      <c r="Q1014" s="106"/>
      <c r="R1014" s="106" t="s">
        <v>4537</v>
      </c>
    </row>
    <row r="1015" customFormat="false" ht="15" hidden="false" customHeight="false" outlineLevel="0" collapsed="false">
      <c r="A1015" s="106" t="s">
        <v>5641</v>
      </c>
      <c r="B1015" s="106" t="s">
        <v>4280</v>
      </c>
      <c r="C1015" s="106"/>
      <c r="D1015" s="106" t="n">
        <v>44</v>
      </c>
      <c r="E1015" s="107" t="n">
        <v>1</v>
      </c>
      <c r="F1015" s="106" t="n">
        <v>1</v>
      </c>
      <c r="G1015" s="118" t="n">
        <v>1</v>
      </c>
      <c r="H1015" s="116" t="n">
        <v>2.33</v>
      </c>
      <c r="I1015" s="106" t="n">
        <v>0</v>
      </c>
      <c r="J1015" s="117" t="n">
        <v>0</v>
      </c>
      <c r="K1015" s="108" t="n">
        <v>2.33</v>
      </c>
      <c r="L1015" s="108" t="n">
        <v>0</v>
      </c>
      <c r="M1015" s="117"/>
      <c r="N1015" s="106"/>
      <c r="O1015" s="106"/>
      <c r="P1015" s="106"/>
      <c r="Q1015" s="106"/>
      <c r="R1015" s="106" t="s">
        <v>4537</v>
      </c>
    </row>
    <row r="1016" customFormat="false" ht="15" hidden="false" customHeight="false" outlineLevel="0" collapsed="false">
      <c r="A1016" s="106" t="s">
        <v>5642</v>
      </c>
      <c r="B1016" s="106" t="s">
        <v>4329</v>
      </c>
      <c r="C1016" s="106"/>
      <c r="D1016" s="106" t="n">
        <v>11</v>
      </c>
      <c r="E1016" s="107" t="n">
        <v>22</v>
      </c>
      <c r="F1016" s="106" t="n">
        <v>1</v>
      </c>
      <c r="G1016" s="118" t="n">
        <v>0.0455</v>
      </c>
      <c r="H1016" s="116" t="n">
        <v>2.33</v>
      </c>
      <c r="I1016" s="106" t="n">
        <v>0</v>
      </c>
      <c r="J1016" s="117" t="n">
        <v>0</v>
      </c>
      <c r="K1016" s="108" t="n">
        <v>2.33</v>
      </c>
      <c r="L1016" s="108" t="n">
        <v>0</v>
      </c>
      <c r="M1016" s="117"/>
      <c r="N1016" s="106"/>
      <c r="O1016" s="106"/>
      <c r="P1016" s="106"/>
      <c r="Q1016" s="106"/>
      <c r="R1016" s="106" t="s">
        <v>4537</v>
      </c>
    </row>
    <row r="1017" customFormat="false" ht="15" hidden="false" customHeight="false" outlineLevel="0" collapsed="false">
      <c r="A1017" s="106" t="s">
        <v>5643</v>
      </c>
      <c r="B1017" s="106" t="s">
        <v>4280</v>
      </c>
      <c r="C1017" s="106"/>
      <c r="D1017" s="106"/>
      <c r="E1017" s="107" t="n">
        <v>3</v>
      </c>
      <c r="F1017" s="106" t="n">
        <v>1</v>
      </c>
      <c r="G1017" s="118" t="n">
        <v>0.3333</v>
      </c>
      <c r="H1017" s="116" t="n">
        <v>2.29</v>
      </c>
      <c r="I1017" s="106" t="n">
        <v>0</v>
      </c>
      <c r="J1017" s="117" t="n">
        <v>0</v>
      </c>
      <c r="K1017" s="108" t="n">
        <v>2.29</v>
      </c>
      <c r="L1017" s="108" t="n">
        <v>0</v>
      </c>
      <c r="M1017" s="117"/>
      <c r="N1017" s="106"/>
      <c r="O1017" s="106"/>
      <c r="P1017" s="106"/>
      <c r="Q1017" s="106"/>
      <c r="R1017" s="106" t="s">
        <v>4537</v>
      </c>
    </row>
    <row r="1018" customFormat="false" ht="15" hidden="false" customHeight="false" outlineLevel="0" collapsed="false">
      <c r="A1018" s="106" t="s">
        <v>5644</v>
      </c>
      <c r="B1018" s="106" t="s">
        <v>4329</v>
      </c>
      <c r="C1018" s="106"/>
      <c r="D1018" s="106"/>
      <c r="E1018" s="107" t="n">
        <v>2</v>
      </c>
      <c r="F1018" s="106" t="n">
        <v>1</v>
      </c>
      <c r="G1018" s="118" t="n">
        <v>0.5</v>
      </c>
      <c r="H1018" s="116" t="n">
        <v>2.68</v>
      </c>
      <c r="I1018" s="106" t="n">
        <v>0</v>
      </c>
      <c r="J1018" s="117" t="n">
        <v>0</v>
      </c>
      <c r="K1018" s="108" t="n">
        <v>2.68</v>
      </c>
      <c r="L1018" s="108" t="n">
        <v>0</v>
      </c>
      <c r="M1018" s="117"/>
      <c r="N1018" s="106"/>
      <c r="O1018" s="106"/>
      <c r="P1018" s="106"/>
      <c r="Q1018" s="106"/>
      <c r="R1018" s="106" t="s">
        <v>4537</v>
      </c>
    </row>
    <row r="1019" customFormat="false" ht="15" hidden="false" customHeight="false" outlineLevel="0" collapsed="false">
      <c r="A1019" s="106" t="s">
        <v>5645</v>
      </c>
      <c r="B1019" s="106" t="s">
        <v>4280</v>
      </c>
      <c r="C1019" s="106"/>
      <c r="D1019" s="106" t="n">
        <v>217</v>
      </c>
      <c r="E1019" s="107" t="n">
        <v>2</v>
      </c>
      <c r="F1019" s="106" t="n">
        <v>1</v>
      </c>
      <c r="G1019" s="118" t="n">
        <v>0.5</v>
      </c>
      <c r="H1019" s="116" t="n">
        <v>2.67</v>
      </c>
      <c r="I1019" s="106" t="n">
        <v>0</v>
      </c>
      <c r="J1019" s="117" t="n">
        <v>0</v>
      </c>
      <c r="K1019" s="108" t="n">
        <v>2.67</v>
      </c>
      <c r="L1019" s="108" t="n">
        <v>0</v>
      </c>
      <c r="M1019" s="117"/>
      <c r="N1019" s="106"/>
      <c r="O1019" s="106"/>
      <c r="P1019" s="106"/>
      <c r="Q1019" s="106"/>
      <c r="R1019" s="106" t="s">
        <v>4537</v>
      </c>
    </row>
    <row r="1020" customFormat="false" ht="15" hidden="false" customHeight="false" outlineLevel="0" collapsed="false">
      <c r="A1020" s="106" t="s">
        <v>5646</v>
      </c>
      <c r="B1020" s="106" t="s">
        <v>4280</v>
      </c>
      <c r="C1020" s="106"/>
      <c r="D1020" s="106" t="n">
        <v>17</v>
      </c>
      <c r="E1020" s="107" t="n">
        <v>7</v>
      </c>
      <c r="F1020" s="106" t="n">
        <v>1</v>
      </c>
      <c r="G1020" s="118" t="n">
        <v>0.1429</v>
      </c>
      <c r="H1020" s="116" t="n">
        <v>2.65</v>
      </c>
      <c r="I1020" s="106" t="n">
        <v>0</v>
      </c>
      <c r="J1020" s="117" t="n">
        <v>0</v>
      </c>
      <c r="K1020" s="108" t="n">
        <v>2.65</v>
      </c>
      <c r="L1020" s="108" t="n">
        <v>0</v>
      </c>
      <c r="M1020" s="117"/>
      <c r="N1020" s="106"/>
      <c r="O1020" s="106"/>
      <c r="P1020" s="106"/>
      <c r="Q1020" s="106"/>
      <c r="R1020" s="106" t="s">
        <v>4537</v>
      </c>
    </row>
    <row r="1021" customFormat="false" ht="15" hidden="false" customHeight="false" outlineLevel="0" collapsed="false">
      <c r="A1021" s="106" t="s">
        <v>5647</v>
      </c>
      <c r="B1021" s="106" t="s">
        <v>1403</v>
      </c>
      <c r="C1021" s="106"/>
      <c r="D1021" s="106"/>
      <c r="E1021" s="107" t="n">
        <v>2</v>
      </c>
      <c r="F1021" s="106" t="n">
        <v>1</v>
      </c>
      <c r="G1021" s="118" t="n">
        <v>0.5</v>
      </c>
      <c r="H1021" s="116" t="n">
        <v>2.62</v>
      </c>
      <c r="I1021" s="106" t="n">
        <v>0</v>
      </c>
      <c r="J1021" s="117" t="n">
        <v>0</v>
      </c>
      <c r="K1021" s="108" t="n">
        <v>2.62</v>
      </c>
      <c r="L1021" s="108" t="n">
        <v>0</v>
      </c>
      <c r="M1021" s="117"/>
      <c r="N1021" s="106"/>
      <c r="O1021" s="106"/>
      <c r="P1021" s="106"/>
      <c r="Q1021" s="106"/>
      <c r="R1021" s="106" t="s">
        <v>4537</v>
      </c>
    </row>
    <row r="1022" customFormat="false" ht="15" hidden="false" customHeight="false" outlineLevel="0" collapsed="false">
      <c r="A1022" s="106" t="s">
        <v>5648</v>
      </c>
      <c r="B1022" s="106" t="s">
        <v>4329</v>
      </c>
      <c r="C1022" s="106"/>
      <c r="D1022" s="106" t="n">
        <v>1</v>
      </c>
      <c r="E1022" s="107" t="n">
        <v>3</v>
      </c>
      <c r="F1022" s="106" t="n">
        <v>1</v>
      </c>
      <c r="G1022" s="118" t="n">
        <v>0.3333</v>
      </c>
      <c r="H1022" s="116" t="n">
        <v>2.61</v>
      </c>
      <c r="I1022" s="106" t="n">
        <v>0</v>
      </c>
      <c r="J1022" s="117" t="n">
        <v>0</v>
      </c>
      <c r="K1022" s="108" t="n">
        <v>2.61</v>
      </c>
      <c r="L1022" s="108" t="n">
        <v>0</v>
      </c>
      <c r="M1022" s="117"/>
      <c r="N1022" s="106"/>
      <c r="O1022" s="106"/>
      <c r="P1022" s="106"/>
      <c r="Q1022" s="106"/>
      <c r="R1022" s="106" t="s">
        <v>4537</v>
      </c>
    </row>
    <row r="1023" customFormat="false" ht="15" hidden="false" customHeight="false" outlineLevel="0" collapsed="false">
      <c r="A1023" s="106" t="s">
        <v>5649</v>
      </c>
      <c r="B1023" s="106" t="s">
        <v>4280</v>
      </c>
      <c r="C1023" s="106" t="s">
        <v>4301</v>
      </c>
      <c r="D1023" s="106" t="n">
        <v>441</v>
      </c>
      <c r="E1023" s="107" t="n">
        <v>2</v>
      </c>
      <c r="F1023" s="106" t="n">
        <v>1</v>
      </c>
      <c r="G1023" s="118" t="n">
        <v>0.5</v>
      </c>
      <c r="H1023" s="116" t="n">
        <v>2.58</v>
      </c>
      <c r="I1023" s="106" t="n">
        <v>0</v>
      </c>
      <c r="J1023" s="117" t="n">
        <v>0</v>
      </c>
      <c r="K1023" s="108" t="n">
        <v>2.58</v>
      </c>
      <c r="L1023" s="108" t="n">
        <v>0</v>
      </c>
      <c r="M1023" s="117"/>
      <c r="N1023" s="106" t="n">
        <v>113</v>
      </c>
      <c r="O1023" s="106"/>
      <c r="P1023" s="106"/>
      <c r="Q1023" s="106"/>
      <c r="R1023" s="106" t="s">
        <v>4537</v>
      </c>
    </row>
    <row r="1024" customFormat="false" ht="15" hidden="false" customHeight="false" outlineLevel="0" collapsed="false">
      <c r="A1024" s="106" t="s">
        <v>5650</v>
      </c>
      <c r="B1024" s="106" t="s">
        <v>1403</v>
      </c>
      <c r="C1024" s="106"/>
      <c r="D1024" s="106" t="n">
        <v>5</v>
      </c>
      <c r="E1024" s="107" t="n">
        <v>18</v>
      </c>
      <c r="F1024" s="106" t="n">
        <v>1</v>
      </c>
      <c r="G1024" s="118" t="n">
        <v>0.0556</v>
      </c>
      <c r="H1024" s="116" t="n">
        <v>2.55</v>
      </c>
      <c r="I1024" s="106" t="n">
        <v>0</v>
      </c>
      <c r="J1024" s="117" t="n">
        <v>0</v>
      </c>
      <c r="K1024" s="108" t="n">
        <v>2.55</v>
      </c>
      <c r="L1024" s="108" t="n">
        <v>0</v>
      </c>
      <c r="M1024" s="117"/>
      <c r="N1024" s="106"/>
      <c r="O1024" s="106"/>
      <c r="P1024" s="106"/>
      <c r="Q1024" s="106"/>
      <c r="R1024" s="106" t="s">
        <v>4537</v>
      </c>
    </row>
    <row r="1025" customFormat="false" ht="15" hidden="false" customHeight="false" outlineLevel="0" collapsed="false">
      <c r="A1025" s="106" t="s">
        <v>5651</v>
      </c>
      <c r="B1025" s="106" t="s">
        <v>4280</v>
      </c>
      <c r="C1025" s="106"/>
      <c r="D1025" s="106"/>
      <c r="E1025" s="107" t="n">
        <v>2</v>
      </c>
      <c r="F1025" s="106" t="n">
        <v>1</v>
      </c>
      <c r="G1025" s="118" t="n">
        <v>0.5</v>
      </c>
      <c r="H1025" s="116" t="n">
        <v>2.4</v>
      </c>
      <c r="I1025" s="106" t="n">
        <v>0</v>
      </c>
      <c r="J1025" s="117" t="n">
        <v>0</v>
      </c>
      <c r="K1025" s="108" t="n">
        <v>2.4</v>
      </c>
      <c r="L1025" s="108" t="n">
        <v>0</v>
      </c>
      <c r="M1025" s="117"/>
      <c r="N1025" s="106"/>
      <c r="O1025" s="106"/>
      <c r="P1025" s="106"/>
      <c r="Q1025" s="106"/>
      <c r="R1025" s="106" t="s">
        <v>4537</v>
      </c>
    </row>
    <row r="1026" customFormat="false" ht="15" hidden="false" customHeight="false" outlineLevel="0" collapsed="false">
      <c r="A1026" s="106" t="s">
        <v>5652</v>
      </c>
      <c r="B1026" s="106" t="s">
        <v>4284</v>
      </c>
      <c r="C1026" s="106"/>
      <c r="D1026" s="106"/>
      <c r="E1026" s="107" t="n">
        <v>3</v>
      </c>
      <c r="F1026" s="106" t="n">
        <v>1</v>
      </c>
      <c r="G1026" s="118" t="n">
        <v>0.3333</v>
      </c>
      <c r="H1026" s="116" t="n">
        <v>2.13</v>
      </c>
      <c r="I1026" s="106" t="n">
        <v>0</v>
      </c>
      <c r="J1026" s="117" t="n">
        <v>0</v>
      </c>
      <c r="K1026" s="108" t="n">
        <v>2.13</v>
      </c>
      <c r="L1026" s="108" t="n">
        <v>0</v>
      </c>
      <c r="M1026" s="117"/>
      <c r="N1026" s="106"/>
      <c r="O1026" s="106"/>
      <c r="P1026" s="106"/>
      <c r="Q1026" s="106"/>
      <c r="R1026" s="106" t="s">
        <v>4537</v>
      </c>
    </row>
    <row r="1027" customFormat="false" ht="15" hidden="false" customHeight="false" outlineLevel="0" collapsed="false">
      <c r="A1027" s="106" t="s">
        <v>5653</v>
      </c>
      <c r="B1027" s="106" t="s">
        <v>1403</v>
      </c>
      <c r="C1027" s="106"/>
      <c r="D1027" s="106" t="n">
        <v>2</v>
      </c>
      <c r="E1027" s="107" t="n">
        <v>3</v>
      </c>
      <c r="F1027" s="106" t="n">
        <v>1</v>
      </c>
      <c r="G1027" s="118" t="n">
        <v>0.3333</v>
      </c>
      <c r="H1027" s="116" t="n">
        <v>2.13</v>
      </c>
      <c r="I1027" s="106" t="n">
        <v>0</v>
      </c>
      <c r="J1027" s="117" t="n">
        <v>0</v>
      </c>
      <c r="K1027" s="108" t="n">
        <v>2.13</v>
      </c>
      <c r="L1027" s="108" t="n">
        <v>0</v>
      </c>
      <c r="M1027" s="117"/>
      <c r="N1027" s="106"/>
      <c r="O1027" s="106"/>
      <c r="P1027" s="106"/>
      <c r="Q1027" s="106"/>
      <c r="R1027" s="106" t="s">
        <v>4537</v>
      </c>
    </row>
    <row r="1028" customFormat="false" ht="15" hidden="false" customHeight="false" outlineLevel="0" collapsed="false">
      <c r="A1028" s="106" t="s">
        <v>5654</v>
      </c>
      <c r="B1028" s="106" t="s">
        <v>4329</v>
      </c>
      <c r="C1028" s="106"/>
      <c r="D1028" s="106"/>
      <c r="E1028" s="107" t="n">
        <v>15</v>
      </c>
      <c r="F1028" s="106" t="n">
        <v>1</v>
      </c>
      <c r="G1028" s="118" t="n">
        <v>0.0667</v>
      </c>
      <c r="H1028" s="116" t="n">
        <v>2.13</v>
      </c>
      <c r="I1028" s="106" t="n">
        <v>0</v>
      </c>
      <c r="J1028" s="117" t="n">
        <v>0</v>
      </c>
      <c r="K1028" s="108" t="n">
        <v>2.13</v>
      </c>
      <c r="L1028" s="108" t="n">
        <v>0</v>
      </c>
      <c r="M1028" s="117"/>
      <c r="N1028" s="106"/>
      <c r="O1028" s="106"/>
      <c r="P1028" s="106"/>
      <c r="Q1028" s="106"/>
      <c r="R1028" s="106" t="s">
        <v>4537</v>
      </c>
    </row>
    <row r="1029" customFormat="false" ht="15" hidden="false" customHeight="false" outlineLevel="0" collapsed="false">
      <c r="A1029" s="106" t="s">
        <v>5655</v>
      </c>
      <c r="B1029" s="106" t="s">
        <v>4284</v>
      </c>
      <c r="C1029" s="106"/>
      <c r="D1029" s="106"/>
      <c r="E1029" s="107" t="n">
        <v>9</v>
      </c>
      <c r="F1029" s="106" t="n">
        <v>1</v>
      </c>
      <c r="G1029" s="118" t="n">
        <v>0.1111</v>
      </c>
      <c r="H1029" s="116" t="n">
        <v>2.13</v>
      </c>
      <c r="I1029" s="106" t="n">
        <v>0</v>
      </c>
      <c r="J1029" s="117" t="n">
        <v>0</v>
      </c>
      <c r="K1029" s="108" t="n">
        <v>2.13</v>
      </c>
      <c r="L1029" s="108" t="n">
        <v>0</v>
      </c>
      <c r="M1029" s="117"/>
      <c r="N1029" s="106"/>
      <c r="O1029" s="106"/>
      <c r="P1029" s="106"/>
      <c r="Q1029" s="106"/>
      <c r="R1029" s="106" t="s">
        <v>4537</v>
      </c>
    </row>
    <row r="1030" customFormat="false" ht="15" hidden="false" customHeight="false" outlineLevel="0" collapsed="false">
      <c r="A1030" s="106" t="s">
        <v>5656</v>
      </c>
      <c r="B1030" s="106" t="s">
        <v>4284</v>
      </c>
      <c r="C1030" s="106"/>
      <c r="D1030" s="106"/>
      <c r="E1030" s="107" t="n">
        <v>77</v>
      </c>
      <c r="F1030" s="106" t="n">
        <v>1</v>
      </c>
      <c r="G1030" s="118" t="n">
        <v>0.013</v>
      </c>
      <c r="H1030" s="116" t="n">
        <v>2.13</v>
      </c>
      <c r="I1030" s="106" t="n">
        <v>0</v>
      </c>
      <c r="J1030" s="117" t="n">
        <v>0</v>
      </c>
      <c r="K1030" s="108" t="n">
        <v>2.13</v>
      </c>
      <c r="L1030" s="108" t="n">
        <v>0</v>
      </c>
      <c r="M1030" s="117"/>
      <c r="N1030" s="106"/>
      <c r="O1030" s="106"/>
      <c r="P1030" s="106"/>
      <c r="Q1030" s="106"/>
      <c r="R1030" s="106" t="s">
        <v>4537</v>
      </c>
    </row>
    <row r="1031" customFormat="false" ht="15" hidden="false" customHeight="false" outlineLevel="0" collapsed="false">
      <c r="A1031" s="106" t="s">
        <v>5657</v>
      </c>
      <c r="B1031" s="106" t="s">
        <v>4284</v>
      </c>
      <c r="C1031" s="106"/>
      <c r="D1031" s="106"/>
      <c r="E1031" s="107" t="n">
        <v>1</v>
      </c>
      <c r="F1031" s="106" t="n">
        <v>1</v>
      </c>
      <c r="G1031" s="118" t="n">
        <v>1</v>
      </c>
      <c r="H1031" s="116" t="n">
        <v>2.13</v>
      </c>
      <c r="I1031" s="106" t="n">
        <v>0</v>
      </c>
      <c r="J1031" s="117" t="n">
        <v>0</v>
      </c>
      <c r="K1031" s="108" t="n">
        <v>2.13</v>
      </c>
      <c r="L1031" s="108" t="n">
        <v>0</v>
      </c>
      <c r="M1031" s="117"/>
      <c r="N1031" s="106"/>
      <c r="O1031" s="106"/>
      <c r="P1031" s="106"/>
      <c r="Q1031" s="106"/>
      <c r="R1031" s="106" t="s">
        <v>4537</v>
      </c>
    </row>
    <row r="1032" customFormat="false" ht="15" hidden="false" customHeight="false" outlineLevel="0" collapsed="false">
      <c r="A1032" s="106" t="s">
        <v>5658</v>
      </c>
      <c r="B1032" s="106" t="s">
        <v>4284</v>
      </c>
      <c r="C1032" s="106"/>
      <c r="D1032" s="106"/>
      <c r="E1032" s="107" t="n">
        <v>6</v>
      </c>
      <c r="F1032" s="106" t="n">
        <v>1</v>
      </c>
      <c r="G1032" s="118" t="n">
        <v>0.1667</v>
      </c>
      <c r="H1032" s="116" t="n">
        <v>2.13</v>
      </c>
      <c r="I1032" s="106" t="n">
        <v>0</v>
      </c>
      <c r="J1032" s="117" t="n">
        <v>0</v>
      </c>
      <c r="K1032" s="108" t="n">
        <v>2.13</v>
      </c>
      <c r="L1032" s="108" t="n">
        <v>0</v>
      </c>
      <c r="M1032" s="117"/>
      <c r="N1032" s="106"/>
      <c r="O1032" s="106"/>
      <c r="P1032" s="106"/>
      <c r="Q1032" s="106"/>
      <c r="R1032" s="106" t="s">
        <v>4537</v>
      </c>
    </row>
    <row r="1033" customFormat="false" ht="15" hidden="false" customHeight="false" outlineLevel="0" collapsed="false">
      <c r="A1033" s="106" t="s">
        <v>5659</v>
      </c>
      <c r="B1033" s="106" t="s">
        <v>4284</v>
      </c>
      <c r="C1033" s="106"/>
      <c r="D1033" s="106"/>
      <c r="E1033" s="107" t="n">
        <v>1</v>
      </c>
      <c r="F1033" s="106" t="n">
        <v>1</v>
      </c>
      <c r="G1033" s="118" t="n">
        <v>1</v>
      </c>
      <c r="H1033" s="116" t="n">
        <v>2.13</v>
      </c>
      <c r="I1033" s="106" t="n">
        <v>0</v>
      </c>
      <c r="J1033" s="117" t="n">
        <v>0</v>
      </c>
      <c r="K1033" s="108" t="n">
        <v>2.13</v>
      </c>
      <c r="L1033" s="108" t="n">
        <v>0</v>
      </c>
      <c r="M1033" s="117"/>
      <c r="N1033" s="106"/>
      <c r="O1033" s="106"/>
      <c r="P1033" s="106"/>
      <c r="Q1033" s="106"/>
      <c r="R1033" s="106" t="s">
        <v>4537</v>
      </c>
    </row>
    <row r="1034" customFormat="false" ht="15" hidden="false" customHeight="false" outlineLevel="0" collapsed="false">
      <c r="A1034" s="106" t="s">
        <v>5660</v>
      </c>
      <c r="B1034" s="106" t="s">
        <v>1403</v>
      </c>
      <c r="C1034" s="106"/>
      <c r="D1034" s="106"/>
      <c r="E1034" s="107" t="n">
        <v>13</v>
      </c>
      <c r="F1034" s="106" t="n">
        <v>1</v>
      </c>
      <c r="G1034" s="118" t="n">
        <v>0.0769</v>
      </c>
      <c r="H1034" s="116" t="n">
        <v>2.13</v>
      </c>
      <c r="I1034" s="106" t="n">
        <v>0</v>
      </c>
      <c r="J1034" s="117" t="n">
        <v>0</v>
      </c>
      <c r="K1034" s="108" t="n">
        <v>2.13</v>
      </c>
      <c r="L1034" s="108" t="n">
        <v>0</v>
      </c>
      <c r="M1034" s="117"/>
      <c r="N1034" s="106"/>
      <c r="O1034" s="106"/>
      <c r="P1034" s="106"/>
      <c r="Q1034" s="106"/>
      <c r="R1034" s="106" t="s">
        <v>4537</v>
      </c>
    </row>
    <row r="1035" customFormat="false" ht="15" hidden="false" customHeight="false" outlineLevel="0" collapsed="false">
      <c r="A1035" s="106" t="s">
        <v>5661</v>
      </c>
      <c r="B1035" s="106" t="s">
        <v>4284</v>
      </c>
      <c r="C1035" s="106"/>
      <c r="D1035" s="106"/>
      <c r="E1035" s="107" t="n">
        <v>2</v>
      </c>
      <c r="F1035" s="106" t="n">
        <v>1</v>
      </c>
      <c r="G1035" s="118" t="n">
        <v>0.5</v>
      </c>
      <c r="H1035" s="116" t="n">
        <v>2.13</v>
      </c>
      <c r="I1035" s="106" t="n">
        <v>0</v>
      </c>
      <c r="J1035" s="117" t="n">
        <v>0</v>
      </c>
      <c r="K1035" s="108" t="n">
        <v>2.13</v>
      </c>
      <c r="L1035" s="108" t="n">
        <v>0</v>
      </c>
      <c r="M1035" s="117"/>
      <c r="N1035" s="106"/>
      <c r="O1035" s="106"/>
      <c r="P1035" s="106"/>
      <c r="Q1035" s="106"/>
      <c r="R1035" s="106" t="s">
        <v>4537</v>
      </c>
    </row>
    <row r="1036" customFormat="false" ht="15" hidden="false" customHeight="false" outlineLevel="0" collapsed="false">
      <c r="A1036" s="106" t="s">
        <v>5662</v>
      </c>
      <c r="B1036" s="106" t="s">
        <v>4329</v>
      </c>
      <c r="C1036" s="106"/>
      <c r="D1036" s="106"/>
      <c r="E1036" s="107" t="n">
        <v>2</v>
      </c>
      <c r="F1036" s="106" t="n">
        <v>1</v>
      </c>
      <c r="G1036" s="118" t="n">
        <v>0.5</v>
      </c>
      <c r="H1036" s="116" t="n">
        <v>2.13</v>
      </c>
      <c r="I1036" s="106" t="n">
        <v>0</v>
      </c>
      <c r="J1036" s="117" t="n">
        <v>0</v>
      </c>
      <c r="K1036" s="108" t="n">
        <v>2.13</v>
      </c>
      <c r="L1036" s="108" t="n">
        <v>0</v>
      </c>
      <c r="M1036" s="117"/>
      <c r="N1036" s="106"/>
      <c r="O1036" s="106"/>
      <c r="P1036" s="106"/>
      <c r="Q1036" s="106"/>
      <c r="R1036" s="106" t="s">
        <v>4537</v>
      </c>
    </row>
    <row r="1037" customFormat="false" ht="15" hidden="false" customHeight="false" outlineLevel="0" collapsed="false">
      <c r="A1037" s="106" t="s">
        <v>5663</v>
      </c>
      <c r="B1037" s="106" t="s">
        <v>4329</v>
      </c>
      <c r="C1037" s="106"/>
      <c r="D1037" s="106"/>
      <c r="E1037" s="107" t="n">
        <v>2</v>
      </c>
      <c r="F1037" s="106" t="n">
        <v>1</v>
      </c>
      <c r="G1037" s="118" t="n">
        <v>0.5</v>
      </c>
      <c r="H1037" s="116" t="n">
        <v>2.13</v>
      </c>
      <c r="I1037" s="106" t="n">
        <v>1</v>
      </c>
      <c r="J1037" s="117" t="n">
        <v>1</v>
      </c>
      <c r="K1037" s="108" t="n">
        <v>2.13</v>
      </c>
      <c r="L1037" s="108" t="n">
        <v>69.99</v>
      </c>
      <c r="M1037" s="117" t="n">
        <v>0.03</v>
      </c>
      <c r="N1037" s="106"/>
      <c r="O1037" s="106"/>
      <c r="P1037" s="106"/>
      <c r="Q1037" s="106"/>
      <c r="R1037" s="106" t="s">
        <v>4285</v>
      </c>
    </row>
    <row r="1038" customFormat="false" ht="15" hidden="false" customHeight="false" outlineLevel="0" collapsed="false">
      <c r="A1038" s="106" t="s">
        <v>5664</v>
      </c>
      <c r="B1038" s="106" t="s">
        <v>4284</v>
      </c>
      <c r="C1038" s="106"/>
      <c r="D1038" s="106"/>
      <c r="E1038" s="107" t="n">
        <v>19</v>
      </c>
      <c r="F1038" s="106" t="n">
        <v>1</v>
      </c>
      <c r="G1038" s="118" t="n">
        <v>0.0526</v>
      </c>
      <c r="H1038" s="116" t="n">
        <v>2.13</v>
      </c>
      <c r="I1038" s="106" t="n">
        <v>0</v>
      </c>
      <c r="J1038" s="117" t="n">
        <v>0</v>
      </c>
      <c r="K1038" s="108" t="n">
        <v>2.13</v>
      </c>
      <c r="L1038" s="108" t="n">
        <v>0</v>
      </c>
      <c r="M1038" s="117"/>
      <c r="N1038" s="106"/>
      <c r="O1038" s="106"/>
      <c r="P1038" s="106"/>
      <c r="Q1038" s="106"/>
      <c r="R1038" s="106" t="s">
        <v>4537</v>
      </c>
    </row>
    <row r="1039" customFormat="false" ht="15" hidden="false" customHeight="false" outlineLevel="0" collapsed="false">
      <c r="A1039" s="106" t="s">
        <v>5665</v>
      </c>
      <c r="B1039" s="106" t="s">
        <v>4284</v>
      </c>
      <c r="C1039" s="106"/>
      <c r="D1039" s="106"/>
      <c r="E1039" s="107" t="n">
        <v>1</v>
      </c>
      <c r="F1039" s="106" t="n">
        <v>1</v>
      </c>
      <c r="G1039" s="118" t="n">
        <v>1</v>
      </c>
      <c r="H1039" s="116" t="n">
        <v>2.13</v>
      </c>
      <c r="I1039" s="106" t="n">
        <v>0</v>
      </c>
      <c r="J1039" s="117" t="n">
        <v>0</v>
      </c>
      <c r="K1039" s="108" t="n">
        <v>2.13</v>
      </c>
      <c r="L1039" s="108" t="n">
        <v>0</v>
      </c>
      <c r="M1039" s="117"/>
      <c r="N1039" s="106"/>
      <c r="O1039" s="106"/>
      <c r="P1039" s="106"/>
      <c r="Q1039" s="106"/>
      <c r="R1039" s="106" t="s">
        <v>4537</v>
      </c>
    </row>
    <row r="1040" customFormat="false" ht="15" hidden="false" customHeight="false" outlineLevel="0" collapsed="false">
      <c r="A1040" s="106" t="s">
        <v>5666</v>
      </c>
      <c r="B1040" s="106" t="s">
        <v>1403</v>
      </c>
      <c r="C1040" s="106"/>
      <c r="D1040" s="106"/>
      <c r="E1040" s="107" t="n">
        <v>11</v>
      </c>
      <c r="F1040" s="106" t="n">
        <v>1</v>
      </c>
      <c r="G1040" s="118" t="n">
        <v>0.0909</v>
      </c>
      <c r="H1040" s="116" t="n">
        <v>2.13</v>
      </c>
      <c r="I1040" s="106" t="n">
        <v>0</v>
      </c>
      <c r="J1040" s="117" t="n">
        <v>0</v>
      </c>
      <c r="K1040" s="108" t="n">
        <v>2.13</v>
      </c>
      <c r="L1040" s="108" t="n">
        <v>0</v>
      </c>
      <c r="M1040" s="117"/>
      <c r="N1040" s="106"/>
      <c r="O1040" s="106"/>
      <c r="P1040" s="106"/>
      <c r="Q1040" s="106"/>
      <c r="R1040" s="106" t="s">
        <v>4537</v>
      </c>
    </row>
    <row r="1041" customFormat="false" ht="15" hidden="false" customHeight="false" outlineLevel="0" collapsed="false">
      <c r="A1041" s="106" t="s">
        <v>5667</v>
      </c>
      <c r="B1041" s="106" t="s">
        <v>1403</v>
      </c>
      <c r="C1041" s="106"/>
      <c r="D1041" s="106"/>
      <c r="E1041" s="107" t="n">
        <v>3</v>
      </c>
      <c r="F1041" s="106" t="n">
        <v>1</v>
      </c>
      <c r="G1041" s="118" t="n">
        <v>0.3333</v>
      </c>
      <c r="H1041" s="116" t="n">
        <v>2.13</v>
      </c>
      <c r="I1041" s="106" t="n">
        <v>0</v>
      </c>
      <c r="J1041" s="117" t="n">
        <v>0</v>
      </c>
      <c r="K1041" s="108" t="n">
        <v>2.13</v>
      </c>
      <c r="L1041" s="108" t="n">
        <v>0</v>
      </c>
      <c r="M1041" s="117"/>
      <c r="N1041" s="106"/>
      <c r="O1041" s="106"/>
      <c r="P1041" s="106"/>
      <c r="Q1041" s="106"/>
      <c r="R1041" s="106" t="s">
        <v>4537</v>
      </c>
    </row>
    <row r="1042" customFormat="false" ht="15" hidden="false" customHeight="false" outlineLevel="0" collapsed="false">
      <c r="A1042" s="106" t="s">
        <v>5668</v>
      </c>
      <c r="B1042" s="106" t="s">
        <v>4280</v>
      </c>
      <c r="C1042" s="106"/>
      <c r="D1042" s="106"/>
      <c r="E1042" s="107" t="n">
        <v>1</v>
      </c>
      <c r="F1042" s="106" t="n">
        <v>1</v>
      </c>
      <c r="G1042" s="118" t="n">
        <v>1</v>
      </c>
      <c r="H1042" s="116" t="n">
        <v>2.84</v>
      </c>
      <c r="I1042" s="106" t="n">
        <v>0</v>
      </c>
      <c r="J1042" s="117" t="n">
        <v>0</v>
      </c>
      <c r="K1042" s="108" t="n">
        <v>2.84</v>
      </c>
      <c r="L1042" s="108" t="n">
        <v>0</v>
      </c>
      <c r="M1042" s="117"/>
      <c r="N1042" s="106"/>
      <c r="O1042" s="106"/>
      <c r="P1042" s="106"/>
      <c r="Q1042" s="106"/>
      <c r="R1042" s="106" t="s">
        <v>4537</v>
      </c>
    </row>
    <row r="1043" customFormat="false" ht="15" hidden="false" customHeight="false" outlineLevel="0" collapsed="false">
      <c r="A1043" s="106" t="s">
        <v>5669</v>
      </c>
      <c r="B1043" s="106" t="s">
        <v>4329</v>
      </c>
      <c r="C1043" s="106"/>
      <c r="D1043" s="106"/>
      <c r="E1043" s="107" t="n">
        <v>3</v>
      </c>
      <c r="F1043" s="106" t="n">
        <v>1</v>
      </c>
      <c r="G1043" s="118" t="n">
        <v>0.3333</v>
      </c>
      <c r="H1043" s="116" t="n">
        <v>2.84</v>
      </c>
      <c r="I1043" s="106" t="n">
        <v>0</v>
      </c>
      <c r="J1043" s="117" t="n">
        <v>0</v>
      </c>
      <c r="K1043" s="108" t="n">
        <v>2.84</v>
      </c>
      <c r="L1043" s="108" t="n">
        <v>0</v>
      </c>
      <c r="M1043" s="117"/>
      <c r="N1043" s="106"/>
      <c r="O1043" s="106"/>
      <c r="P1043" s="106"/>
      <c r="Q1043" s="106"/>
      <c r="R1043" s="106" t="s">
        <v>4537</v>
      </c>
    </row>
    <row r="1044" customFormat="false" ht="15" hidden="false" customHeight="false" outlineLevel="0" collapsed="false">
      <c r="A1044" s="106" t="s">
        <v>5670</v>
      </c>
      <c r="B1044" s="106" t="s">
        <v>4284</v>
      </c>
      <c r="C1044" s="106"/>
      <c r="D1044" s="106"/>
      <c r="E1044" s="107" t="n">
        <v>2</v>
      </c>
      <c r="F1044" s="106" t="n">
        <v>1</v>
      </c>
      <c r="G1044" s="118" t="n">
        <v>0.5</v>
      </c>
      <c r="H1044" s="116" t="n">
        <v>2.26</v>
      </c>
      <c r="I1044" s="106" t="n">
        <v>0</v>
      </c>
      <c r="J1044" s="117" t="n">
        <v>0</v>
      </c>
      <c r="K1044" s="108" t="n">
        <v>2.26</v>
      </c>
      <c r="L1044" s="108" t="n">
        <v>0</v>
      </c>
      <c r="M1044" s="117"/>
      <c r="N1044" s="106"/>
      <c r="O1044" s="106"/>
      <c r="P1044" s="106"/>
      <c r="Q1044" s="106"/>
      <c r="R1044" s="106" t="s">
        <v>4537</v>
      </c>
    </row>
    <row r="1045" customFormat="false" ht="15" hidden="false" customHeight="false" outlineLevel="0" collapsed="false">
      <c r="A1045" s="106" t="s">
        <v>5671</v>
      </c>
      <c r="B1045" s="106" t="s">
        <v>1403</v>
      </c>
      <c r="C1045" s="106"/>
      <c r="D1045" s="106" t="n">
        <v>2</v>
      </c>
      <c r="E1045" s="107" t="n">
        <v>3</v>
      </c>
      <c r="F1045" s="106" t="n">
        <v>1</v>
      </c>
      <c r="G1045" s="118" t="n">
        <v>0.3333</v>
      </c>
      <c r="H1045" s="116" t="n">
        <v>2.25</v>
      </c>
      <c r="I1045" s="106" t="n">
        <v>0</v>
      </c>
      <c r="J1045" s="117" t="n">
        <v>0</v>
      </c>
      <c r="K1045" s="108" t="n">
        <v>2.25</v>
      </c>
      <c r="L1045" s="108" t="n">
        <v>0</v>
      </c>
      <c r="M1045" s="117"/>
      <c r="N1045" s="106"/>
      <c r="O1045" s="106"/>
      <c r="P1045" s="106"/>
      <c r="Q1045" s="106"/>
      <c r="R1045" s="106" t="s">
        <v>4537</v>
      </c>
    </row>
    <row r="1046" customFormat="false" ht="15" hidden="false" customHeight="false" outlineLevel="0" collapsed="false">
      <c r="A1046" s="106" t="s">
        <v>5672</v>
      </c>
      <c r="B1046" s="106" t="s">
        <v>4280</v>
      </c>
      <c r="C1046" s="106"/>
      <c r="D1046" s="106" t="n">
        <v>5</v>
      </c>
      <c r="E1046" s="107" t="n">
        <v>1</v>
      </c>
      <c r="F1046" s="106" t="n">
        <v>1</v>
      </c>
      <c r="G1046" s="118" t="n">
        <v>1</v>
      </c>
      <c r="H1046" s="116" t="n">
        <v>2.2</v>
      </c>
      <c r="I1046" s="106" t="n">
        <v>0</v>
      </c>
      <c r="J1046" s="117" t="n">
        <v>0</v>
      </c>
      <c r="K1046" s="108" t="n">
        <v>2.2</v>
      </c>
      <c r="L1046" s="108" t="n">
        <v>0</v>
      </c>
      <c r="M1046" s="117"/>
      <c r="N1046" s="106"/>
      <c r="O1046" s="106"/>
      <c r="P1046" s="106"/>
      <c r="Q1046" s="106"/>
      <c r="R1046" s="106" t="s">
        <v>4537</v>
      </c>
    </row>
    <row r="1047" customFormat="false" ht="15" hidden="false" customHeight="false" outlineLevel="0" collapsed="false">
      <c r="A1047" s="106" t="s">
        <v>5673</v>
      </c>
      <c r="B1047" s="106" t="s">
        <v>4284</v>
      </c>
      <c r="C1047" s="106"/>
      <c r="D1047" s="106"/>
      <c r="E1047" s="107" t="n">
        <v>2</v>
      </c>
      <c r="F1047" s="106" t="n">
        <v>1</v>
      </c>
      <c r="G1047" s="118" t="n">
        <v>0.5</v>
      </c>
      <c r="H1047" s="116" t="n">
        <v>2.18</v>
      </c>
      <c r="I1047" s="106" t="n">
        <v>0</v>
      </c>
      <c r="J1047" s="117" t="n">
        <v>0</v>
      </c>
      <c r="K1047" s="108" t="n">
        <v>2.18</v>
      </c>
      <c r="L1047" s="108" t="n">
        <v>0</v>
      </c>
      <c r="M1047" s="117"/>
      <c r="N1047" s="106"/>
      <c r="O1047" s="106"/>
      <c r="P1047" s="106"/>
      <c r="Q1047" s="106"/>
      <c r="R1047" s="106" t="s">
        <v>4537</v>
      </c>
    </row>
    <row r="1048" customFormat="false" ht="15" hidden="false" customHeight="false" outlineLevel="0" collapsed="false">
      <c r="A1048" s="106" t="s">
        <v>5674</v>
      </c>
      <c r="B1048" s="106" t="s">
        <v>1403</v>
      </c>
      <c r="C1048" s="106"/>
      <c r="D1048" s="106" t="n">
        <v>1</v>
      </c>
      <c r="E1048" s="107" t="n">
        <v>3</v>
      </c>
      <c r="F1048" s="106" t="n">
        <v>1</v>
      </c>
      <c r="G1048" s="118" t="n">
        <v>0.3333</v>
      </c>
      <c r="H1048" s="116" t="n">
        <v>2.18</v>
      </c>
      <c r="I1048" s="106" t="n">
        <v>1</v>
      </c>
      <c r="J1048" s="117" t="n">
        <v>1</v>
      </c>
      <c r="K1048" s="108" t="n">
        <v>2.18</v>
      </c>
      <c r="L1048" s="108" t="n">
        <v>76.99</v>
      </c>
      <c r="M1048" s="117" t="n">
        <v>0.028</v>
      </c>
      <c r="N1048" s="106"/>
      <c r="O1048" s="106"/>
      <c r="P1048" s="106"/>
      <c r="Q1048" s="106"/>
      <c r="R1048" s="106" t="s">
        <v>4285</v>
      </c>
    </row>
    <row r="1049" customFormat="false" ht="15" hidden="false" customHeight="false" outlineLevel="0" collapsed="false">
      <c r="A1049" s="106" t="s">
        <v>5675</v>
      </c>
      <c r="B1049" s="106" t="s">
        <v>4280</v>
      </c>
      <c r="C1049" s="106"/>
      <c r="D1049" s="106" t="n">
        <v>9</v>
      </c>
      <c r="E1049" s="107" t="n">
        <v>3</v>
      </c>
      <c r="F1049" s="106" t="n">
        <v>1</v>
      </c>
      <c r="G1049" s="118" t="n">
        <v>0.3333</v>
      </c>
      <c r="H1049" s="116" t="n">
        <v>2.16</v>
      </c>
      <c r="I1049" s="106" t="n">
        <v>0</v>
      </c>
      <c r="J1049" s="117" t="n">
        <v>0</v>
      </c>
      <c r="K1049" s="108" t="n">
        <v>2.16</v>
      </c>
      <c r="L1049" s="108" t="n">
        <v>0</v>
      </c>
      <c r="M1049" s="117"/>
      <c r="N1049" s="106"/>
      <c r="O1049" s="106"/>
      <c r="P1049" s="106"/>
      <c r="Q1049" s="106"/>
      <c r="R1049" s="106" t="s">
        <v>4537</v>
      </c>
    </row>
    <row r="1050" customFormat="false" ht="15" hidden="false" customHeight="false" outlineLevel="0" collapsed="false">
      <c r="A1050" s="106" t="s">
        <v>5676</v>
      </c>
      <c r="B1050" s="106" t="s">
        <v>4329</v>
      </c>
      <c r="C1050" s="106"/>
      <c r="D1050" s="106"/>
      <c r="E1050" s="107" t="n">
        <v>1</v>
      </c>
      <c r="F1050" s="106" t="n">
        <v>1</v>
      </c>
      <c r="G1050" s="118" t="n">
        <v>1</v>
      </c>
      <c r="H1050" s="116" t="n">
        <v>2.97</v>
      </c>
      <c r="I1050" s="106" t="n">
        <v>1</v>
      </c>
      <c r="J1050" s="117" t="n">
        <v>1</v>
      </c>
      <c r="K1050" s="108" t="n">
        <v>2.97</v>
      </c>
      <c r="L1050" s="108" t="n">
        <v>39.99</v>
      </c>
      <c r="M1050" s="117" t="n">
        <v>0.074</v>
      </c>
      <c r="N1050" s="106"/>
      <c r="O1050" s="106"/>
      <c r="P1050" s="106"/>
      <c r="Q1050" s="106"/>
      <c r="R1050" s="106" t="s">
        <v>4285</v>
      </c>
    </row>
    <row r="1051" customFormat="false" ht="15" hidden="false" customHeight="false" outlineLevel="0" collapsed="false">
      <c r="A1051" s="106" t="s">
        <v>5677</v>
      </c>
      <c r="B1051" s="106" t="s">
        <v>4280</v>
      </c>
      <c r="C1051" s="106"/>
      <c r="D1051" s="106" t="n">
        <v>6</v>
      </c>
      <c r="E1051" s="107" t="n">
        <v>1</v>
      </c>
      <c r="F1051" s="106" t="n">
        <v>1</v>
      </c>
      <c r="G1051" s="118" t="n">
        <v>1</v>
      </c>
      <c r="H1051" s="116" t="n">
        <v>2.91</v>
      </c>
      <c r="I1051" s="106" t="n">
        <v>0</v>
      </c>
      <c r="J1051" s="117" t="n">
        <v>0</v>
      </c>
      <c r="K1051" s="108" t="n">
        <v>2.91</v>
      </c>
      <c r="L1051" s="108" t="n">
        <v>0</v>
      </c>
      <c r="M1051" s="117"/>
      <c r="N1051" s="106"/>
      <c r="O1051" s="106"/>
      <c r="P1051" s="106"/>
      <c r="Q1051" s="106"/>
      <c r="R1051" s="106" t="s">
        <v>4537</v>
      </c>
    </row>
    <row r="1052" customFormat="false" ht="15" hidden="false" customHeight="false" outlineLevel="0" collapsed="false">
      <c r="A1052" s="106" t="s">
        <v>5678</v>
      </c>
      <c r="B1052" s="106" t="s">
        <v>1403</v>
      </c>
      <c r="C1052" s="106"/>
      <c r="D1052" s="106"/>
      <c r="E1052" s="107" t="n">
        <v>5</v>
      </c>
      <c r="F1052" s="106" t="n">
        <v>1</v>
      </c>
      <c r="G1052" s="118" t="n">
        <v>0.2</v>
      </c>
      <c r="H1052" s="116" t="n">
        <v>2.88</v>
      </c>
      <c r="I1052" s="106" t="n">
        <v>1</v>
      </c>
      <c r="J1052" s="117" t="n">
        <v>1</v>
      </c>
      <c r="K1052" s="108" t="n">
        <v>2.88</v>
      </c>
      <c r="L1052" s="108" t="n">
        <v>79.99</v>
      </c>
      <c r="M1052" s="117" t="n">
        <v>0.036</v>
      </c>
      <c r="N1052" s="106"/>
      <c r="O1052" s="106"/>
      <c r="P1052" s="106"/>
      <c r="Q1052" s="106"/>
      <c r="R1052" s="106" t="s">
        <v>4285</v>
      </c>
    </row>
    <row r="1053" customFormat="false" ht="15" hidden="false" customHeight="false" outlineLevel="0" collapsed="false">
      <c r="A1053" s="106" t="s">
        <v>5679</v>
      </c>
      <c r="B1053" s="106" t="s">
        <v>4280</v>
      </c>
      <c r="C1053" s="106"/>
      <c r="D1053" s="106"/>
      <c r="E1053" s="107" t="n">
        <v>2</v>
      </c>
      <c r="F1053" s="106" t="n">
        <v>1</v>
      </c>
      <c r="G1053" s="118" t="n">
        <v>0.5</v>
      </c>
      <c r="H1053" s="116" t="n">
        <v>2.86</v>
      </c>
      <c r="I1053" s="106" t="n">
        <v>0</v>
      </c>
      <c r="J1053" s="117" t="n">
        <v>0</v>
      </c>
      <c r="K1053" s="108" t="n">
        <v>2.86</v>
      </c>
      <c r="L1053" s="108" t="n">
        <v>0</v>
      </c>
      <c r="M1053" s="117"/>
      <c r="N1053" s="106"/>
      <c r="O1053" s="106"/>
      <c r="P1053" s="106"/>
      <c r="Q1053" s="106"/>
      <c r="R1053" s="106" t="s">
        <v>4537</v>
      </c>
    </row>
    <row r="1054" customFormat="false" ht="15" hidden="false" customHeight="false" outlineLevel="0" collapsed="false">
      <c r="A1054" s="106" t="s">
        <v>5680</v>
      </c>
      <c r="B1054" s="106" t="s">
        <v>4280</v>
      </c>
      <c r="C1054" s="106"/>
      <c r="D1054" s="106" t="n">
        <v>4</v>
      </c>
      <c r="E1054" s="107" t="n">
        <v>1</v>
      </c>
      <c r="F1054" s="106" t="n">
        <v>1</v>
      </c>
      <c r="G1054" s="118" t="n">
        <v>1</v>
      </c>
      <c r="H1054" s="116" t="n">
        <v>2.84</v>
      </c>
      <c r="I1054" s="106" t="n">
        <v>0</v>
      </c>
      <c r="J1054" s="117" t="n">
        <v>0</v>
      </c>
      <c r="K1054" s="108" t="n">
        <v>2.84</v>
      </c>
      <c r="L1054" s="108" t="n">
        <v>0</v>
      </c>
      <c r="M1054" s="117"/>
      <c r="N1054" s="106"/>
      <c r="O1054" s="106"/>
      <c r="P1054" s="106"/>
      <c r="Q1054" s="106"/>
      <c r="R1054" s="106" t="s">
        <v>4537</v>
      </c>
    </row>
    <row r="1055" customFormat="false" ht="15" hidden="false" customHeight="false" outlineLevel="0" collapsed="false">
      <c r="A1055" s="106" t="s">
        <v>5681</v>
      </c>
      <c r="B1055" s="106" t="s">
        <v>4329</v>
      </c>
      <c r="C1055" s="106"/>
      <c r="D1055" s="106"/>
      <c r="E1055" s="107" t="n">
        <v>5</v>
      </c>
      <c r="F1055" s="106" t="n">
        <v>1</v>
      </c>
      <c r="G1055" s="118" t="n">
        <v>0.2</v>
      </c>
      <c r="H1055" s="116" t="n">
        <v>2.84</v>
      </c>
      <c r="I1055" s="106" t="n">
        <v>0</v>
      </c>
      <c r="J1055" s="117" t="n">
        <v>0</v>
      </c>
      <c r="K1055" s="108" t="n">
        <v>2.84</v>
      </c>
      <c r="L1055" s="108" t="n">
        <v>0</v>
      </c>
      <c r="M1055" s="117"/>
      <c r="N1055" s="106"/>
      <c r="O1055" s="106"/>
      <c r="P1055" s="106"/>
      <c r="Q1055" s="106"/>
      <c r="R1055" s="106" t="s">
        <v>4537</v>
      </c>
    </row>
    <row r="1056" customFormat="false" ht="15" hidden="false" customHeight="false" outlineLevel="0" collapsed="false">
      <c r="A1056" s="106" t="s">
        <v>5682</v>
      </c>
      <c r="B1056" s="106" t="s">
        <v>4280</v>
      </c>
      <c r="C1056" s="106"/>
      <c r="D1056" s="106" t="n">
        <v>5</v>
      </c>
      <c r="E1056" s="107" t="n">
        <v>1</v>
      </c>
      <c r="F1056" s="106" t="n">
        <v>1</v>
      </c>
      <c r="G1056" s="118" t="n">
        <v>1</v>
      </c>
      <c r="H1056" s="116" t="n">
        <v>2.84</v>
      </c>
      <c r="I1056" s="106" t="n">
        <v>0</v>
      </c>
      <c r="J1056" s="117" t="n">
        <v>0</v>
      </c>
      <c r="K1056" s="108" t="n">
        <v>2.84</v>
      </c>
      <c r="L1056" s="108" t="n">
        <v>0</v>
      </c>
      <c r="M1056" s="117"/>
      <c r="N1056" s="106"/>
      <c r="O1056" s="106"/>
      <c r="P1056" s="106"/>
      <c r="Q1056" s="106"/>
      <c r="R1056" s="106" t="s">
        <v>4537</v>
      </c>
    </row>
    <row r="1057" customFormat="false" ht="15" hidden="false" customHeight="false" outlineLevel="0" collapsed="false">
      <c r="A1057" s="106" t="s">
        <v>1066</v>
      </c>
      <c r="B1057" s="106" t="s">
        <v>4280</v>
      </c>
      <c r="C1057" s="106" t="s">
        <v>4281</v>
      </c>
      <c r="D1057" s="106" t="n">
        <v>1023</v>
      </c>
      <c r="E1057" s="107" t="n">
        <v>442</v>
      </c>
      <c r="F1057" s="106" t="n">
        <v>1</v>
      </c>
      <c r="G1057" s="118" t="n">
        <v>0.0023</v>
      </c>
      <c r="H1057" s="116" t="n">
        <v>2.84</v>
      </c>
      <c r="I1057" s="106" t="n">
        <v>1</v>
      </c>
      <c r="J1057" s="117" t="n">
        <v>1</v>
      </c>
      <c r="K1057" s="108" t="n">
        <v>2.84</v>
      </c>
      <c r="L1057" s="108" t="n">
        <v>74.99</v>
      </c>
      <c r="M1057" s="117" t="n">
        <v>0.038</v>
      </c>
      <c r="N1057" s="106" t="n">
        <v>33</v>
      </c>
      <c r="O1057" s="106" t="n">
        <v>4</v>
      </c>
      <c r="P1057" s="106" t="s">
        <v>4935</v>
      </c>
      <c r="Q1057" s="106" t="n">
        <v>35</v>
      </c>
      <c r="R1057" s="106" t="s">
        <v>4285</v>
      </c>
    </row>
    <row r="1058" customFormat="false" ht="15" hidden="false" customHeight="false" outlineLevel="0" collapsed="false">
      <c r="A1058" s="106" t="s">
        <v>5683</v>
      </c>
      <c r="B1058" s="106" t="s">
        <v>1403</v>
      </c>
      <c r="C1058" s="106"/>
      <c r="D1058" s="106" t="n">
        <v>3</v>
      </c>
      <c r="E1058" s="107" t="n">
        <v>1</v>
      </c>
      <c r="F1058" s="106" t="n">
        <v>1</v>
      </c>
      <c r="G1058" s="118" t="n">
        <v>1</v>
      </c>
      <c r="H1058" s="116" t="n">
        <v>2.13</v>
      </c>
      <c r="I1058" s="106" t="n">
        <v>0</v>
      </c>
      <c r="J1058" s="117" t="n">
        <v>0</v>
      </c>
      <c r="K1058" s="108" t="n">
        <v>2.13</v>
      </c>
      <c r="L1058" s="108" t="n">
        <v>0</v>
      </c>
      <c r="M1058" s="117"/>
      <c r="N1058" s="106"/>
      <c r="O1058" s="106"/>
      <c r="P1058" s="106"/>
      <c r="Q1058" s="106"/>
      <c r="R1058" s="106" t="s">
        <v>4537</v>
      </c>
    </row>
    <row r="1059" customFormat="false" ht="15" hidden="false" customHeight="false" outlineLevel="0" collapsed="false">
      <c r="A1059" s="106" t="s">
        <v>5684</v>
      </c>
      <c r="B1059" s="106" t="s">
        <v>1403</v>
      </c>
      <c r="C1059" s="106"/>
      <c r="D1059" s="106"/>
      <c r="E1059" s="107" t="n">
        <v>14</v>
      </c>
      <c r="F1059" s="106" t="n">
        <v>1</v>
      </c>
      <c r="G1059" s="118" t="n">
        <v>0.0714</v>
      </c>
      <c r="H1059" s="116" t="n">
        <v>2.13</v>
      </c>
      <c r="I1059" s="106" t="n">
        <v>0</v>
      </c>
      <c r="J1059" s="117" t="n">
        <v>0</v>
      </c>
      <c r="K1059" s="108" t="n">
        <v>2.13</v>
      </c>
      <c r="L1059" s="108" t="n">
        <v>0</v>
      </c>
      <c r="M1059" s="117"/>
      <c r="N1059" s="106"/>
      <c r="O1059" s="106"/>
      <c r="P1059" s="106"/>
      <c r="Q1059" s="106"/>
      <c r="R1059" s="106" t="s">
        <v>4537</v>
      </c>
    </row>
    <row r="1060" customFormat="false" ht="15" hidden="false" customHeight="false" outlineLevel="0" collapsed="false">
      <c r="A1060" s="106" t="s">
        <v>5685</v>
      </c>
      <c r="B1060" s="106" t="s">
        <v>4284</v>
      </c>
      <c r="C1060" s="106"/>
      <c r="D1060" s="106"/>
      <c r="E1060" s="107" t="n">
        <v>27</v>
      </c>
      <c r="F1060" s="106" t="n">
        <v>1</v>
      </c>
      <c r="G1060" s="118" t="n">
        <v>0.037</v>
      </c>
      <c r="H1060" s="116" t="n">
        <v>2.13</v>
      </c>
      <c r="I1060" s="106" t="n">
        <v>0</v>
      </c>
      <c r="J1060" s="117" t="n">
        <v>0</v>
      </c>
      <c r="K1060" s="108" t="n">
        <v>2.13</v>
      </c>
      <c r="L1060" s="108" t="n">
        <v>0</v>
      </c>
      <c r="M1060" s="117"/>
      <c r="N1060" s="106"/>
      <c r="O1060" s="106"/>
      <c r="P1060" s="106"/>
      <c r="Q1060" s="106"/>
      <c r="R1060" s="106" t="s">
        <v>4537</v>
      </c>
    </row>
    <row r="1061" customFormat="false" ht="15" hidden="false" customHeight="false" outlineLevel="0" collapsed="false">
      <c r="A1061" s="106" t="s">
        <v>5686</v>
      </c>
      <c r="B1061" s="106" t="s">
        <v>4329</v>
      </c>
      <c r="C1061" s="106"/>
      <c r="D1061" s="106"/>
      <c r="E1061" s="107" t="n">
        <v>16</v>
      </c>
      <c r="F1061" s="106" t="n">
        <v>1</v>
      </c>
      <c r="G1061" s="118" t="n">
        <v>0.0625</v>
      </c>
      <c r="H1061" s="116" t="n">
        <v>2.13</v>
      </c>
      <c r="I1061" s="106" t="n">
        <v>0</v>
      </c>
      <c r="J1061" s="117" t="n">
        <v>0</v>
      </c>
      <c r="K1061" s="108" t="n">
        <v>2.13</v>
      </c>
      <c r="L1061" s="108" t="n">
        <v>0</v>
      </c>
      <c r="M1061" s="117"/>
      <c r="N1061" s="106"/>
      <c r="O1061" s="106"/>
      <c r="P1061" s="106"/>
      <c r="Q1061" s="106"/>
      <c r="R1061" s="106" t="s">
        <v>4537</v>
      </c>
    </row>
    <row r="1062" customFormat="false" ht="15" hidden="false" customHeight="false" outlineLevel="0" collapsed="false">
      <c r="A1062" s="106" t="s">
        <v>5687</v>
      </c>
      <c r="B1062" s="106" t="s">
        <v>4280</v>
      </c>
      <c r="C1062" s="106"/>
      <c r="D1062" s="106"/>
      <c r="E1062" s="107" t="n">
        <v>2</v>
      </c>
      <c r="F1062" s="106" t="n">
        <v>1</v>
      </c>
      <c r="G1062" s="118" t="n">
        <v>0.5</v>
      </c>
      <c r="H1062" s="116" t="n">
        <v>2.1</v>
      </c>
      <c r="I1062" s="106" t="n">
        <v>0</v>
      </c>
      <c r="J1062" s="117" t="n">
        <v>0</v>
      </c>
      <c r="K1062" s="108" t="n">
        <v>2.1</v>
      </c>
      <c r="L1062" s="108" t="n">
        <v>0</v>
      </c>
      <c r="M1062" s="117"/>
      <c r="N1062" s="106"/>
      <c r="O1062" s="106"/>
      <c r="P1062" s="106"/>
      <c r="Q1062" s="106"/>
      <c r="R1062" s="106" t="s">
        <v>4537</v>
      </c>
    </row>
    <row r="1063" customFormat="false" ht="15" hidden="false" customHeight="false" outlineLevel="0" collapsed="false">
      <c r="A1063" s="106" t="s">
        <v>5688</v>
      </c>
      <c r="B1063" s="106"/>
      <c r="C1063" s="106"/>
      <c r="D1063" s="106"/>
      <c r="E1063" s="107" t="n">
        <v>1</v>
      </c>
      <c r="F1063" s="106" t="n">
        <v>1</v>
      </c>
      <c r="G1063" s="118" t="n">
        <v>1</v>
      </c>
      <c r="H1063" s="116" t="n">
        <v>2.08</v>
      </c>
      <c r="I1063" s="106" t="n">
        <v>0</v>
      </c>
      <c r="J1063" s="117" t="n">
        <v>0</v>
      </c>
      <c r="K1063" s="108" t="n">
        <v>2.08</v>
      </c>
      <c r="L1063" s="108" t="n">
        <v>0</v>
      </c>
      <c r="M1063" s="117"/>
      <c r="N1063" s="106"/>
      <c r="O1063" s="106"/>
      <c r="P1063" s="106"/>
      <c r="Q1063" s="106"/>
      <c r="R1063" s="106" t="s">
        <v>4537</v>
      </c>
    </row>
    <row r="1064" customFormat="false" ht="15" hidden="false" customHeight="false" outlineLevel="0" collapsed="false">
      <c r="A1064" s="106" t="s">
        <v>5689</v>
      </c>
      <c r="B1064" s="106" t="s">
        <v>1403</v>
      </c>
      <c r="C1064" s="106"/>
      <c r="D1064" s="106"/>
      <c r="E1064" s="107" t="n">
        <v>12</v>
      </c>
      <c r="F1064" s="106" t="n">
        <v>1</v>
      </c>
      <c r="G1064" s="118" t="n">
        <v>0.0833</v>
      </c>
      <c r="H1064" s="116" t="n">
        <v>2.06</v>
      </c>
      <c r="I1064" s="106" t="n">
        <v>0</v>
      </c>
      <c r="J1064" s="117" t="n">
        <v>0</v>
      </c>
      <c r="K1064" s="108" t="n">
        <v>2.06</v>
      </c>
      <c r="L1064" s="108" t="n">
        <v>0</v>
      </c>
      <c r="M1064" s="117"/>
      <c r="N1064" s="106"/>
      <c r="O1064" s="106"/>
      <c r="P1064" s="106"/>
      <c r="Q1064" s="106"/>
      <c r="R1064" s="106" t="s">
        <v>4537</v>
      </c>
    </row>
    <row r="1065" customFormat="false" ht="15" hidden="false" customHeight="false" outlineLevel="0" collapsed="false">
      <c r="A1065" s="106" t="s">
        <v>5690</v>
      </c>
      <c r="B1065" s="106" t="s">
        <v>1403</v>
      </c>
      <c r="C1065" s="106"/>
      <c r="D1065" s="106" t="n">
        <v>3</v>
      </c>
      <c r="E1065" s="107" t="n">
        <v>2</v>
      </c>
      <c r="F1065" s="106" t="n">
        <v>1</v>
      </c>
      <c r="G1065" s="118" t="n">
        <v>0.5</v>
      </c>
      <c r="H1065" s="116" t="n">
        <v>2.05</v>
      </c>
      <c r="I1065" s="106" t="n">
        <v>0</v>
      </c>
      <c r="J1065" s="117" t="n">
        <v>0</v>
      </c>
      <c r="K1065" s="108" t="n">
        <v>2.05</v>
      </c>
      <c r="L1065" s="108" t="n">
        <v>0</v>
      </c>
      <c r="M1065" s="117"/>
      <c r="N1065" s="106"/>
      <c r="O1065" s="106"/>
      <c r="P1065" s="106"/>
      <c r="Q1065" s="106"/>
      <c r="R1065" s="106" t="s">
        <v>4537</v>
      </c>
    </row>
    <row r="1066" customFormat="false" ht="15" hidden="false" customHeight="false" outlineLevel="0" collapsed="false">
      <c r="A1066" s="106" t="s">
        <v>5691</v>
      </c>
      <c r="B1066" s="106" t="s">
        <v>1403</v>
      </c>
      <c r="C1066" s="106"/>
      <c r="D1066" s="106"/>
      <c r="E1066" s="107" t="n">
        <v>11</v>
      </c>
      <c r="F1066" s="106" t="n">
        <v>1</v>
      </c>
      <c r="G1066" s="118" t="n">
        <v>0.0909</v>
      </c>
      <c r="H1066" s="116" t="n">
        <v>2.13</v>
      </c>
      <c r="I1066" s="106" t="n">
        <v>0</v>
      </c>
      <c r="J1066" s="117" t="n">
        <v>0</v>
      </c>
      <c r="K1066" s="108" t="n">
        <v>2.13</v>
      </c>
      <c r="L1066" s="108" t="n">
        <v>0</v>
      </c>
      <c r="M1066" s="117"/>
      <c r="N1066" s="106"/>
      <c r="O1066" s="106"/>
      <c r="P1066" s="106"/>
      <c r="Q1066" s="106"/>
      <c r="R1066" s="106" t="s">
        <v>4537</v>
      </c>
    </row>
    <row r="1067" customFormat="false" ht="15" hidden="false" customHeight="false" outlineLevel="0" collapsed="false">
      <c r="A1067" s="106" t="s">
        <v>5692</v>
      </c>
      <c r="B1067" s="106" t="s">
        <v>1403</v>
      </c>
      <c r="C1067" s="106"/>
      <c r="D1067" s="106"/>
      <c r="E1067" s="107" t="n">
        <v>1</v>
      </c>
      <c r="F1067" s="106" t="n">
        <v>1</v>
      </c>
      <c r="G1067" s="118" t="n">
        <v>1</v>
      </c>
      <c r="H1067" s="116" t="n">
        <v>2.13</v>
      </c>
      <c r="I1067" s="106" t="n">
        <v>0</v>
      </c>
      <c r="J1067" s="117" t="n">
        <v>0</v>
      </c>
      <c r="K1067" s="108" t="n">
        <v>2.13</v>
      </c>
      <c r="L1067" s="108" t="n">
        <v>0</v>
      </c>
      <c r="M1067" s="117"/>
      <c r="N1067" s="106"/>
      <c r="O1067" s="106"/>
      <c r="P1067" s="106"/>
      <c r="Q1067" s="106"/>
      <c r="R1067" s="106" t="s">
        <v>4537</v>
      </c>
    </row>
    <row r="1068" customFormat="false" ht="15" hidden="false" customHeight="false" outlineLevel="0" collapsed="false">
      <c r="A1068" s="106" t="s">
        <v>5693</v>
      </c>
      <c r="B1068" s="106" t="s">
        <v>1403</v>
      </c>
      <c r="C1068" s="106"/>
      <c r="D1068" s="106"/>
      <c r="E1068" s="107" t="n">
        <v>32</v>
      </c>
      <c r="F1068" s="106" t="n">
        <v>1</v>
      </c>
      <c r="G1068" s="118" t="n">
        <v>0.0313</v>
      </c>
      <c r="H1068" s="116" t="n">
        <v>2.13</v>
      </c>
      <c r="I1068" s="106" t="n">
        <v>1</v>
      </c>
      <c r="J1068" s="117" t="n">
        <v>1</v>
      </c>
      <c r="K1068" s="108" t="n">
        <v>2.13</v>
      </c>
      <c r="L1068" s="108" t="n">
        <v>64.99</v>
      </c>
      <c r="M1068" s="117" t="n">
        <v>0.033</v>
      </c>
      <c r="N1068" s="106"/>
      <c r="O1068" s="106"/>
      <c r="P1068" s="106"/>
      <c r="Q1068" s="106"/>
      <c r="R1068" s="106" t="s">
        <v>4285</v>
      </c>
    </row>
    <row r="1069" customFormat="false" ht="15" hidden="false" customHeight="false" outlineLevel="0" collapsed="false">
      <c r="A1069" s="106" t="s">
        <v>5694</v>
      </c>
      <c r="B1069" s="106" t="s">
        <v>1403</v>
      </c>
      <c r="C1069" s="106"/>
      <c r="D1069" s="106" t="n">
        <v>3</v>
      </c>
      <c r="E1069" s="107" t="n">
        <v>1</v>
      </c>
      <c r="F1069" s="106" t="n">
        <v>1</v>
      </c>
      <c r="G1069" s="118" t="n">
        <v>1</v>
      </c>
      <c r="H1069" s="116" t="n">
        <v>2.13</v>
      </c>
      <c r="I1069" s="106" t="n">
        <v>0</v>
      </c>
      <c r="J1069" s="117" t="n">
        <v>0</v>
      </c>
      <c r="K1069" s="108" t="n">
        <v>2.13</v>
      </c>
      <c r="L1069" s="108" t="n">
        <v>0</v>
      </c>
      <c r="M1069" s="117"/>
      <c r="N1069" s="106"/>
      <c r="O1069" s="106"/>
      <c r="P1069" s="106"/>
      <c r="Q1069" s="106"/>
      <c r="R1069" s="106" t="s">
        <v>4537</v>
      </c>
    </row>
    <row r="1070" customFormat="false" ht="15" hidden="false" customHeight="false" outlineLevel="0" collapsed="false">
      <c r="A1070" s="106" t="s">
        <v>5695</v>
      </c>
      <c r="B1070" s="106" t="s">
        <v>1403</v>
      </c>
      <c r="C1070" s="106"/>
      <c r="D1070" s="106"/>
      <c r="E1070" s="107" t="n">
        <v>3</v>
      </c>
      <c r="F1070" s="106" t="n">
        <v>1</v>
      </c>
      <c r="G1070" s="118" t="n">
        <v>0.3333</v>
      </c>
      <c r="H1070" s="116" t="n">
        <v>2.13</v>
      </c>
      <c r="I1070" s="106" t="n">
        <v>0</v>
      </c>
      <c r="J1070" s="117" t="n">
        <v>0</v>
      </c>
      <c r="K1070" s="108" t="n">
        <v>2.13</v>
      </c>
      <c r="L1070" s="108" t="n">
        <v>0</v>
      </c>
      <c r="M1070" s="117"/>
      <c r="N1070" s="106"/>
      <c r="O1070" s="106"/>
      <c r="P1070" s="106"/>
      <c r="Q1070" s="106"/>
      <c r="R1070" s="106" t="s">
        <v>4537</v>
      </c>
    </row>
    <row r="1071" customFormat="false" ht="15" hidden="false" customHeight="false" outlineLevel="0" collapsed="false">
      <c r="A1071" s="106" t="s">
        <v>5696</v>
      </c>
      <c r="B1071" s="106" t="s">
        <v>1403</v>
      </c>
      <c r="C1071" s="106"/>
      <c r="D1071" s="106" t="n">
        <v>5</v>
      </c>
      <c r="E1071" s="107" t="n">
        <v>3</v>
      </c>
      <c r="F1071" s="106" t="n">
        <v>1</v>
      </c>
      <c r="G1071" s="118" t="n">
        <v>0.3333</v>
      </c>
      <c r="H1071" s="116" t="n">
        <v>2.13</v>
      </c>
      <c r="I1071" s="106" t="n">
        <v>0</v>
      </c>
      <c r="J1071" s="117" t="n">
        <v>0</v>
      </c>
      <c r="K1071" s="108" t="n">
        <v>2.13</v>
      </c>
      <c r="L1071" s="108" t="n">
        <v>0</v>
      </c>
      <c r="M1071" s="117"/>
      <c r="N1071" s="106"/>
      <c r="O1071" s="106"/>
      <c r="P1071" s="106"/>
      <c r="Q1071" s="106"/>
      <c r="R1071" s="106" t="s">
        <v>4537</v>
      </c>
    </row>
    <row r="1072" customFormat="false" ht="15" hidden="false" customHeight="false" outlineLevel="0" collapsed="false">
      <c r="A1072" s="106" t="s">
        <v>5697</v>
      </c>
      <c r="B1072" s="106" t="s">
        <v>1403</v>
      </c>
      <c r="C1072" s="106"/>
      <c r="D1072" s="106"/>
      <c r="E1072" s="107" t="n">
        <v>3</v>
      </c>
      <c r="F1072" s="106" t="n">
        <v>1</v>
      </c>
      <c r="G1072" s="118" t="n">
        <v>0.3333</v>
      </c>
      <c r="H1072" s="116" t="n">
        <v>2.13</v>
      </c>
      <c r="I1072" s="106" t="n">
        <v>2</v>
      </c>
      <c r="J1072" s="117" t="n">
        <v>2</v>
      </c>
      <c r="K1072" s="108" t="n">
        <v>2.13</v>
      </c>
      <c r="L1072" s="108" t="n">
        <v>46.98</v>
      </c>
      <c r="M1072" s="117" t="n">
        <v>0.045</v>
      </c>
      <c r="N1072" s="106"/>
      <c r="O1072" s="106"/>
      <c r="P1072" s="106"/>
      <c r="Q1072" s="106"/>
      <c r="R1072" s="106" t="s">
        <v>4285</v>
      </c>
    </row>
    <row r="1073" customFormat="false" ht="15" hidden="false" customHeight="false" outlineLevel="0" collapsed="false">
      <c r="A1073" s="106" t="s">
        <v>5698</v>
      </c>
      <c r="B1073" s="106" t="s">
        <v>1403</v>
      </c>
      <c r="C1073" s="106"/>
      <c r="D1073" s="106"/>
      <c r="E1073" s="107" t="n">
        <v>4</v>
      </c>
      <c r="F1073" s="106" t="n">
        <v>1</v>
      </c>
      <c r="G1073" s="118" t="n">
        <v>0.25</v>
      </c>
      <c r="H1073" s="116" t="n">
        <v>2.13</v>
      </c>
      <c r="I1073" s="106" t="n">
        <v>0</v>
      </c>
      <c r="J1073" s="117" t="n">
        <v>0</v>
      </c>
      <c r="K1073" s="108" t="n">
        <v>2.13</v>
      </c>
      <c r="L1073" s="108" t="n">
        <v>0</v>
      </c>
      <c r="M1073" s="117"/>
      <c r="N1073" s="106"/>
      <c r="O1073" s="106"/>
      <c r="P1073" s="106"/>
      <c r="Q1073" s="106"/>
      <c r="R1073" s="106" t="s">
        <v>4537</v>
      </c>
    </row>
    <row r="1074" customFormat="false" ht="15" hidden="false" customHeight="false" outlineLevel="0" collapsed="false">
      <c r="A1074" s="106" t="s">
        <v>5699</v>
      </c>
      <c r="B1074" s="106" t="s">
        <v>1403</v>
      </c>
      <c r="C1074" s="106"/>
      <c r="D1074" s="106" t="n">
        <v>9</v>
      </c>
      <c r="E1074" s="107" t="n">
        <v>2</v>
      </c>
      <c r="F1074" s="106" t="n">
        <v>1</v>
      </c>
      <c r="G1074" s="118" t="n">
        <v>0.5</v>
      </c>
      <c r="H1074" s="116" t="n">
        <v>2.13</v>
      </c>
      <c r="I1074" s="106" t="n">
        <v>0</v>
      </c>
      <c r="J1074" s="117" t="n">
        <v>0</v>
      </c>
      <c r="K1074" s="108" t="n">
        <v>2.13</v>
      </c>
      <c r="L1074" s="108" t="n">
        <v>0</v>
      </c>
      <c r="M1074" s="117"/>
      <c r="N1074" s="106"/>
      <c r="O1074" s="106"/>
      <c r="P1074" s="106"/>
      <c r="Q1074" s="106"/>
      <c r="R1074" s="106" t="s">
        <v>4537</v>
      </c>
    </row>
    <row r="1075" customFormat="false" ht="15" hidden="false" customHeight="false" outlineLevel="0" collapsed="false">
      <c r="A1075" s="106" t="s">
        <v>5700</v>
      </c>
      <c r="B1075" s="106" t="s">
        <v>1403</v>
      </c>
      <c r="C1075" s="106"/>
      <c r="D1075" s="106"/>
      <c r="E1075" s="107" t="n">
        <v>8</v>
      </c>
      <c r="F1075" s="106" t="n">
        <v>1</v>
      </c>
      <c r="G1075" s="118" t="n">
        <v>0.125</v>
      </c>
      <c r="H1075" s="116" t="n">
        <v>2.13</v>
      </c>
      <c r="I1075" s="106" t="n">
        <v>0</v>
      </c>
      <c r="J1075" s="117" t="n">
        <v>0</v>
      </c>
      <c r="K1075" s="108" t="n">
        <v>2.13</v>
      </c>
      <c r="L1075" s="108" t="n">
        <v>0</v>
      </c>
      <c r="M1075" s="117"/>
      <c r="N1075" s="106"/>
      <c r="O1075" s="106"/>
      <c r="P1075" s="106"/>
      <c r="Q1075" s="106"/>
      <c r="R1075" s="106" t="s">
        <v>4537</v>
      </c>
    </row>
    <row r="1076" customFormat="false" ht="15" hidden="false" customHeight="false" outlineLevel="0" collapsed="false">
      <c r="A1076" s="106" t="s">
        <v>5701</v>
      </c>
      <c r="B1076" s="106" t="s">
        <v>1403</v>
      </c>
      <c r="C1076" s="106"/>
      <c r="D1076" s="106"/>
      <c r="E1076" s="107" t="n">
        <v>1</v>
      </c>
      <c r="F1076" s="106" t="n">
        <v>1</v>
      </c>
      <c r="G1076" s="118" t="n">
        <v>1</v>
      </c>
      <c r="H1076" s="116" t="n">
        <v>2.13</v>
      </c>
      <c r="I1076" s="106" t="n">
        <v>0</v>
      </c>
      <c r="J1076" s="117" t="n">
        <v>0</v>
      </c>
      <c r="K1076" s="108" t="n">
        <v>2.13</v>
      </c>
      <c r="L1076" s="108" t="n">
        <v>0</v>
      </c>
      <c r="M1076" s="117"/>
      <c r="N1076" s="106"/>
      <c r="O1076" s="106"/>
      <c r="P1076" s="106"/>
      <c r="Q1076" s="106"/>
      <c r="R1076" s="106" t="s">
        <v>4537</v>
      </c>
    </row>
    <row r="1077" customFormat="false" ht="15" hidden="false" customHeight="false" outlineLevel="0" collapsed="false">
      <c r="A1077" s="106" t="s">
        <v>5702</v>
      </c>
      <c r="B1077" s="106" t="s">
        <v>1403</v>
      </c>
      <c r="C1077" s="106"/>
      <c r="D1077" s="106"/>
      <c r="E1077" s="107" t="n">
        <v>8</v>
      </c>
      <c r="F1077" s="106" t="n">
        <v>1</v>
      </c>
      <c r="G1077" s="118" t="n">
        <v>0.125</v>
      </c>
      <c r="H1077" s="116" t="n">
        <v>2.13</v>
      </c>
      <c r="I1077" s="106" t="n">
        <v>0</v>
      </c>
      <c r="J1077" s="117" t="n">
        <v>0</v>
      </c>
      <c r="K1077" s="108" t="n">
        <v>2.13</v>
      </c>
      <c r="L1077" s="108" t="n">
        <v>0</v>
      </c>
      <c r="M1077" s="117"/>
      <c r="N1077" s="106"/>
      <c r="O1077" s="106"/>
      <c r="P1077" s="106"/>
      <c r="Q1077" s="106"/>
      <c r="R1077" s="106" t="s">
        <v>4537</v>
      </c>
    </row>
    <row r="1078" customFormat="false" ht="15" hidden="false" customHeight="false" outlineLevel="0" collapsed="false">
      <c r="A1078" s="106" t="s">
        <v>5703</v>
      </c>
      <c r="B1078" s="106" t="s">
        <v>1403</v>
      </c>
      <c r="C1078" s="106"/>
      <c r="D1078" s="106"/>
      <c r="E1078" s="107" t="n">
        <v>19</v>
      </c>
      <c r="F1078" s="106" t="n">
        <v>1</v>
      </c>
      <c r="G1078" s="118" t="n">
        <v>0.0526</v>
      </c>
      <c r="H1078" s="116" t="n">
        <v>2.13</v>
      </c>
      <c r="I1078" s="106" t="n">
        <v>0</v>
      </c>
      <c r="J1078" s="117" t="n">
        <v>0</v>
      </c>
      <c r="K1078" s="108" t="n">
        <v>2.13</v>
      </c>
      <c r="L1078" s="108" t="n">
        <v>0</v>
      </c>
      <c r="M1078" s="117"/>
      <c r="N1078" s="106"/>
      <c r="O1078" s="106"/>
      <c r="P1078" s="106"/>
      <c r="Q1078" s="106"/>
      <c r="R1078" s="106" t="s">
        <v>4537</v>
      </c>
    </row>
    <row r="1079" customFormat="false" ht="15" hidden="false" customHeight="false" outlineLevel="0" collapsed="false">
      <c r="A1079" s="106" t="s">
        <v>5704</v>
      </c>
      <c r="B1079" s="106" t="s">
        <v>1403</v>
      </c>
      <c r="C1079" s="106"/>
      <c r="D1079" s="106"/>
      <c r="E1079" s="107" t="n">
        <v>7</v>
      </c>
      <c r="F1079" s="106" t="n">
        <v>1</v>
      </c>
      <c r="G1079" s="118" t="n">
        <v>0.1429</v>
      </c>
      <c r="H1079" s="116" t="n">
        <v>2.13</v>
      </c>
      <c r="I1079" s="106" t="n">
        <v>3</v>
      </c>
      <c r="J1079" s="117" t="n">
        <v>3</v>
      </c>
      <c r="K1079" s="108" t="n">
        <v>2.13</v>
      </c>
      <c r="L1079" s="108" t="n">
        <v>169.97</v>
      </c>
      <c r="M1079" s="117" t="n">
        <v>0.013</v>
      </c>
      <c r="N1079" s="106"/>
      <c r="O1079" s="106"/>
      <c r="P1079" s="106"/>
      <c r="Q1079" s="106"/>
      <c r="R1079" s="106" t="s">
        <v>4285</v>
      </c>
    </row>
    <row r="1080" customFormat="false" ht="15" hidden="false" customHeight="false" outlineLevel="0" collapsed="false">
      <c r="A1080" s="106" t="s">
        <v>5705</v>
      </c>
      <c r="B1080" s="106" t="s">
        <v>1403</v>
      </c>
      <c r="C1080" s="106"/>
      <c r="D1080" s="106"/>
      <c r="E1080" s="107" t="n">
        <v>9</v>
      </c>
      <c r="F1080" s="106" t="n">
        <v>1</v>
      </c>
      <c r="G1080" s="118" t="n">
        <v>0.1111</v>
      </c>
      <c r="H1080" s="116" t="n">
        <v>2.13</v>
      </c>
      <c r="I1080" s="106" t="n">
        <v>0</v>
      </c>
      <c r="J1080" s="117" t="n">
        <v>0</v>
      </c>
      <c r="K1080" s="108" t="n">
        <v>2.13</v>
      </c>
      <c r="L1080" s="108" t="n">
        <v>0</v>
      </c>
      <c r="M1080" s="117"/>
      <c r="N1080" s="106"/>
      <c r="O1080" s="106"/>
      <c r="P1080" s="106"/>
      <c r="Q1080" s="106"/>
      <c r="R1080" s="106" t="s">
        <v>4537</v>
      </c>
    </row>
    <row r="1081" customFormat="false" ht="15" hidden="false" customHeight="false" outlineLevel="0" collapsed="false">
      <c r="A1081" s="106" t="s">
        <v>5706</v>
      </c>
      <c r="B1081" s="106" t="s">
        <v>1403</v>
      </c>
      <c r="C1081" s="106"/>
      <c r="D1081" s="106" t="n">
        <v>5</v>
      </c>
      <c r="E1081" s="107" t="n">
        <v>11</v>
      </c>
      <c r="F1081" s="106" t="n">
        <v>1</v>
      </c>
      <c r="G1081" s="118" t="n">
        <v>0.0909</v>
      </c>
      <c r="H1081" s="116" t="n">
        <v>2.13</v>
      </c>
      <c r="I1081" s="106" t="n">
        <v>0</v>
      </c>
      <c r="J1081" s="117" t="n">
        <v>0</v>
      </c>
      <c r="K1081" s="108" t="n">
        <v>2.13</v>
      </c>
      <c r="L1081" s="108" t="n">
        <v>0</v>
      </c>
      <c r="M1081" s="117"/>
      <c r="N1081" s="106"/>
      <c r="O1081" s="106"/>
      <c r="P1081" s="106"/>
      <c r="Q1081" s="106"/>
      <c r="R1081" s="106" t="s">
        <v>4537</v>
      </c>
    </row>
    <row r="1082" customFormat="false" ht="15" hidden="false" customHeight="false" outlineLevel="0" collapsed="false">
      <c r="A1082" s="106" t="s">
        <v>5707</v>
      </c>
      <c r="B1082" s="106" t="s">
        <v>4284</v>
      </c>
      <c r="C1082" s="106"/>
      <c r="D1082" s="106"/>
      <c r="E1082" s="107" t="n">
        <v>2</v>
      </c>
      <c r="F1082" s="106" t="n">
        <v>1</v>
      </c>
      <c r="G1082" s="118" t="n">
        <v>0.5</v>
      </c>
      <c r="H1082" s="116" t="n">
        <v>2.13</v>
      </c>
      <c r="I1082" s="106" t="n">
        <v>0</v>
      </c>
      <c r="J1082" s="117" t="n">
        <v>0</v>
      </c>
      <c r="K1082" s="108" t="n">
        <v>2.13</v>
      </c>
      <c r="L1082" s="108" t="n">
        <v>0</v>
      </c>
      <c r="M1082" s="117"/>
      <c r="N1082" s="106"/>
      <c r="O1082" s="106"/>
      <c r="P1082" s="106"/>
      <c r="Q1082" s="106"/>
      <c r="R1082" s="106" t="s">
        <v>4537</v>
      </c>
    </row>
    <row r="1083" customFormat="false" ht="15" hidden="false" customHeight="false" outlineLevel="0" collapsed="false">
      <c r="A1083" s="106" t="s">
        <v>5708</v>
      </c>
      <c r="B1083" s="106" t="s">
        <v>4284</v>
      </c>
      <c r="C1083" s="106"/>
      <c r="D1083" s="106"/>
      <c r="E1083" s="107" t="n">
        <v>6</v>
      </c>
      <c r="F1083" s="106" t="n">
        <v>1</v>
      </c>
      <c r="G1083" s="118" t="n">
        <v>0.1667</v>
      </c>
      <c r="H1083" s="116" t="n">
        <v>2.13</v>
      </c>
      <c r="I1083" s="106" t="n">
        <v>0</v>
      </c>
      <c r="J1083" s="117" t="n">
        <v>0</v>
      </c>
      <c r="K1083" s="108" t="n">
        <v>2.13</v>
      </c>
      <c r="L1083" s="108" t="n">
        <v>0</v>
      </c>
      <c r="M1083" s="117"/>
      <c r="N1083" s="106"/>
      <c r="O1083" s="106"/>
      <c r="P1083" s="106"/>
      <c r="Q1083" s="106"/>
      <c r="R1083" s="106" t="s">
        <v>4537</v>
      </c>
    </row>
    <row r="1084" customFormat="false" ht="15" hidden="false" customHeight="false" outlineLevel="0" collapsed="false">
      <c r="A1084" s="106" t="s">
        <v>5709</v>
      </c>
      <c r="B1084" s="106" t="s">
        <v>4284</v>
      </c>
      <c r="C1084" s="106"/>
      <c r="D1084" s="106"/>
      <c r="E1084" s="107" t="n">
        <v>11</v>
      </c>
      <c r="F1084" s="106" t="n">
        <v>1</v>
      </c>
      <c r="G1084" s="118" t="n">
        <v>0.0909</v>
      </c>
      <c r="H1084" s="116" t="n">
        <v>2.13</v>
      </c>
      <c r="I1084" s="106" t="n">
        <v>0</v>
      </c>
      <c r="J1084" s="117" t="n">
        <v>0</v>
      </c>
      <c r="K1084" s="108" t="n">
        <v>2.13</v>
      </c>
      <c r="L1084" s="108" t="n">
        <v>0</v>
      </c>
      <c r="M1084" s="117"/>
      <c r="N1084" s="106"/>
      <c r="O1084" s="106"/>
      <c r="P1084" s="106"/>
      <c r="Q1084" s="106"/>
      <c r="R1084" s="106" t="s">
        <v>4537</v>
      </c>
    </row>
    <row r="1085" customFormat="false" ht="15" hidden="false" customHeight="false" outlineLevel="0" collapsed="false">
      <c r="A1085" s="106" t="s">
        <v>5710</v>
      </c>
      <c r="B1085" s="106" t="s">
        <v>4284</v>
      </c>
      <c r="C1085" s="106"/>
      <c r="D1085" s="106"/>
      <c r="E1085" s="107" t="n">
        <v>16</v>
      </c>
      <c r="F1085" s="106" t="n">
        <v>1</v>
      </c>
      <c r="G1085" s="118" t="n">
        <v>0.0625</v>
      </c>
      <c r="H1085" s="116" t="n">
        <v>2.13</v>
      </c>
      <c r="I1085" s="106" t="n">
        <v>0</v>
      </c>
      <c r="J1085" s="117" t="n">
        <v>0</v>
      </c>
      <c r="K1085" s="108" t="n">
        <v>2.13</v>
      </c>
      <c r="L1085" s="108" t="n">
        <v>0</v>
      </c>
      <c r="M1085" s="117"/>
      <c r="N1085" s="106"/>
      <c r="O1085" s="106"/>
      <c r="P1085" s="106"/>
      <c r="Q1085" s="106"/>
      <c r="R1085" s="106" t="s">
        <v>4537</v>
      </c>
    </row>
    <row r="1086" customFormat="false" ht="15" hidden="false" customHeight="false" outlineLevel="0" collapsed="false">
      <c r="A1086" s="106" t="s">
        <v>5711</v>
      </c>
      <c r="B1086" s="106" t="s">
        <v>4329</v>
      </c>
      <c r="C1086" s="106"/>
      <c r="D1086" s="106"/>
      <c r="E1086" s="107" t="n">
        <v>11</v>
      </c>
      <c r="F1086" s="106" t="n">
        <v>1</v>
      </c>
      <c r="G1086" s="118" t="n">
        <v>0.0909</v>
      </c>
      <c r="H1086" s="116" t="n">
        <v>2.13</v>
      </c>
      <c r="I1086" s="106" t="n">
        <v>0</v>
      </c>
      <c r="J1086" s="117" t="n">
        <v>0</v>
      </c>
      <c r="K1086" s="108" t="n">
        <v>2.13</v>
      </c>
      <c r="L1086" s="108" t="n">
        <v>0</v>
      </c>
      <c r="M1086" s="117"/>
      <c r="N1086" s="106"/>
      <c r="O1086" s="106"/>
      <c r="P1086" s="106"/>
      <c r="Q1086" s="106"/>
      <c r="R1086" s="106" t="s">
        <v>4537</v>
      </c>
    </row>
    <row r="1087" customFormat="false" ht="15" hidden="false" customHeight="false" outlineLevel="0" collapsed="false">
      <c r="A1087" s="106" t="s">
        <v>5712</v>
      </c>
      <c r="B1087" s="106" t="s">
        <v>4284</v>
      </c>
      <c r="C1087" s="106"/>
      <c r="D1087" s="106"/>
      <c r="E1087" s="107" t="n">
        <v>2</v>
      </c>
      <c r="F1087" s="106" t="n">
        <v>1</v>
      </c>
      <c r="G1087" s="118" t="n">
        <v>0.5</v>
      </c>
      <c r="H1087" s="116" t="n">
        <v>2.13</v>
      </c>
      <c r="I1087" s="106" t="n">
        <v>0</v>
      </c>
      <c r="J1087" s="117" t="n">
        <v>0</v>
      </c>
      <c r="K1087" s="108" t="n">
        <v>2.13</v>
      </c>
      <c r="L1087" s="108" t="n">
        <v>0</v>
      </c>
      <c r="M1087" s="117"/>
      <c r="N1087" s="106"/>
      <c r="O1087" s="106"/>
      <c r="P1087" s="106"/>
      <c r="Q1087" s="106"/>
      <c r="R1087" s="106" t="s">
        <v>4537</v>
      </c>
    </row>
    <row r="1088" customFormat="false" ht="15" hidden="false" customHeight="false" outlineLevel="0" collapsed="false">
      <c r="A1088" s="106" t="s">
        <v>5713</v>
      </c>
      <c r="B1088" s="106" t="s">
        <v>1403</v>
      </c>
      <c r="C1088" s="106"/>
      <c r="D1088" s="106" t="n">
        <v>4</v>
      </c>
      <c r="E1088" s="107" t="n">
        <v>9</v>
      </c>
      <c r="F1088" s="106" t="n">
        <v>1</v>
      </c>
      <c r="G1088" s="118" t="n">
        <v>0.1111</v>
      </c>
      <c r="H1088" s="116" t="n">
        <v>2.13</v>
      </c>
      <c r="I1088" s="106" t="n">
        <v>0</v>
      </c>
      <c r="J1088" s="117" t="n">
        <v>0</v>
      </c>
      <c r="K1088" s="108" t="n">
        <v>2.13</v>
      </c>
      <c r="L1088" s="108" t="n">
        <v>0</v>
      </c>
      <c r="M1088" s="117"/>
      <c r="N1088" s="106"/>
      <c r="O1088" s="106"/>
      <c r="P1088" s="106"/>
      <c r="Q1088" s="106"/>
      <c r="R1088" s="106" t="s">
        <v>4537</v>
      </c>
    </row>
    <row r="1089" customFormat="false" ht="15" hidden="false" customHeight="false" outlineLevel="0" collapsed="false">
      <c r="A1089" s="106" t="s">
        <v>5714</v>
      </c>
      <c r="B1089" s="106" t="s">
        <v>1403</v>
      </c>
      <c r="C1089" s="106"/>
      <c r="D1089" s="106" t="n">
        <v>1</v>
      </c>
      <c r="E1089" s="107" t="n">
        <v>26</v>
      </c>
      <c r="F1089" s="106" t="n">
        <v>1</v>
      </c>
      <c r="G1089" s="118" t="n">
        <v>0.0385</v>
      </c>
      <c r="H1089" s="116" t="n">
        <v>2.13</v>
      </c>
      <c r="I1089" s="106" t="n">
        <v>0</v>
      </c>
      <c r="J1089" s="117" t="n">
        <v>0</v>
      </c>
      <c r="K1089" s="108" t="n">
        <v>2.13</v>
      </c>
      <c r="L1089" s="108" t="n">
        <v>0</v>
      </c>
      <c r="M1089" s="117"/>
      <c r="N1089" s="106"/>
      <c r="O1089" s="106"/>
      <c r="P1089" s="106"/>
      <c r="Q1089" s="106"/>
      <c r="R1089" s="106" t="s">
        <v>4537</v>
      </c>
    </row>
    <row r="1090" customFormat="false" ht="15" hidden="false" customHeight="false" outlineLevel="0" collapsed="false">
      <c r="A1090" s="106" t="s">
        <v>5715</v>
      </c>
      <c r="B1090" s="106"/>
      <c r="C1090" s="106"/>
      <c r="D1090" s="106"/>
      <c r="E1090" s="107" t="n">
        <v>3</v>
      </c>
      <c r="F1090" s="106" t="n">
        <v>1</v>
      </c>
      <c r="G1090" s="118" t="n">
        <v>0.3333</v>
      </c>
      <c r="H1090" s="116" t="n">
        <v>1.82</v>
      </c>
      <c r="I1090" s="106" t="n">
        <v>0</v>
      </c>
      <c r="J1090" s="117" t="n">
        <v>0</v>
      </c>
      <c r="K1090" s="108" t="n">
        <v>1.82</v>
      </c>
      <c r="L1090" s="108" t="n">
        <v>0</v>
      </c>
      <c r="M1090" s="117"/>
      <c r="N1090" s="106"/>
      <c r="O1090" s="106"/>
      <c r="P1090" s="106"/>
      <c r="Q1090" s="106"/>
      <c r="R1090" s="106" t="s">
        <v>4537</v>
      </c>
    </row>
    <row r="1091" customFormat="false" ht="15" hidden="false" customHeight="false" outlineLevel="0" collapsed="false">
      <c r="A1091" s="106" t="s">
        <v>5716</v>
      </c>
      <c r="B1091" s="106"/>
      <c r="C1091" s="106"/>
      <c r="D1091" s="106"/>
      <c r="E1091" s="107" t="n">
        <v>772</v>
      </c>
      <c r="F1091" s="106" t="n">
        <v>1</v>
      </c>
      <c r="G1091" s="118" t="n">
        <v>0.0013</v>
      </c>
      <c r="H1091" s="116" t="n">
        <v>1.81</v>
      </c>
      <c r="I1091" s="106" t="n">
        <v>0</v>
      </c>
      <c r="J1091" s="117" t="n">
        <v>0</v>
      </c>
      <c r="K1091" s="108" t="n">
        <v>1.81</v>
      </c>
      <c r="L1091" s="108" t="n">
        <v>0</v>
      </c>
      <c r="M1091" s="117"/>
      <c r="N1091" s="106"/>
      <c r="O1091" s="106"/>
      <c r="P1091" s="106"/>
      <c r="Q1091" s="106"/>
      <c r="R1091" s="106" t="s">
        <v>4537</v>
      </c>
    </row>
    <row r="1092" customFormat="false" ht="15" hidden="false" customHeight="false" outlineLevel="0" collapsed="false">
      <c r="A1092" s="106" t="s">
        <v>5717</v>
      </c>
      <c r="B1092" s="106" t="s">
        <v>1403</v>
      </c>
      <c r="C1092" s="106"/>
      <c r="D1092" s="106"/>
      <c r="E1092" s="107" t="n">
        <v>3</v>
      </c>
      <c r="F1092" s="106" t="n">
        <v>1</v>
      </c>
      <c r="G1092" s="118" t="n">
        <v>0.3333</v>
      </c>
      <c r="H1092" s="116" t="n">
        <v>1.81</v>
      </c>
      <c r="I1092" s="106" t="n">
        <v>2</v>
      </c>
      <c r="J1092" s="117" t="n">
        <v>2</v>
      </c>
      <c r="K1092" s="108" t="n">
        <v>1.81</v>
      </c>
      <c r="L1092" s="108" t="n">
        <v>61.97</v>
      </c>
      <c r="M1092" s="117" t="n">
        <v>0.029</v>
      </c>
      <c r="N1092" s="106"/>
      <c r="O1092" s="106"/>
      <c r="P1092" s="106"/>
      <c r="Q1092" s="106"/>
      <c r="R1092" s="106" t="s">
        <v>4285</v>
      </c>
    </row>
    <row r="1093" customFormat="false" ht="15" hidden="false" customHeight="false" outlineLevel="0" collapsed="false">
      <c r="A1093" s="106" t="s">
        <v>5718</v>
      </c>
      <c r="B1093" s="106" t="s">
        <v>1403</v>
      </c>
      <c r="C1093" s="106"/>
      <c r="D1093" s="106"/>
      <c r="E1093" s="107" t="n">
        <v>4</v>
      </c>
      <c r="F1093" s="106" t="n">
        <v>1</v>
      </c>
      <c r="G1093" s="118" t="n">
        <v>0.25</v>
      </c>
      <c r="H1093" s="116" t="n">
        <v>1.78</v>
      </c>
      <c r="I1093" s="106" t="n">
        <v>0</v>
      </c>
      <c r="J1093" s="117" t="n">
        <v>0</v>
      </c>
      <c r="K1093" s="108" t="n">
        <v>1.78</v>
      </c>
      <c r="L1093" s="108" t="n">
        <v>0</v>
      </c>
      <c r="M1093" s="117"/>
      <c r="N1093" s="106"/>
      <c r="O1093" s="106"/>
      <c r="P1093" s="106"/>
      <c r="Q1093" s="106"/>
      <c r="R1093" s="106" t="s">
        <v>4537</v>
      </c>
    </row>
    <row r="1094" customFormat="false" ht="15" hidden="false" customHeight="false" outlineLevel="0" collapsed="false">
      <c r="A1094" s="106" t="s">
        <v>5719</v>
      </c>
      <c r="B1094" s="106" t="s">
        <v>4280</v>
      </c>
      <c r="C1094" s="106" t="s">
        <v>4281</v>
      </c>
      <c r="D1094" s="106" t="n">
        <v>402</v>
      </c>
      <c r="E1094" s="107" t="n">
        <v>9</v>
      </c>
      <c r="F1094" s="106" t="n">
        <v>1</v>
      </c>
      <c r="G1094" s="118" t="n">
        <v>0.1111</v>
      </c>
      <c r="H1094" s="116" t="n">
        <v>1.77</v>
      </c>
      <c r="I1094" s="106" t="n">
        <v>0</v>
      </c>
      <c r="J1094" s="117" t="n">
        <v>0</v>
      </c>
      <c r="K1094" s="108" t="n">
        <v>1.77</v>
      </c>
      <c r="L1094" s="108" t="n">
        <v>0</v>
      </c>
      <c r="M1094" s="117"/>
      <c r="N1094" s="106"/>
      <c r="O1094" s="106"/>
      <c r="P1094" s="106"/>
      <c r="Q1094" s="106"/>
      <c r="R1094" s="106" t="s">
        <v>4537</v>
      </c>
    </row>
    <row r="1095" customFormat="false" ht="15" hidden="false" customHeight="false" outlineLevel="0" collapsed="false">
      <c r="A1095" s="106" t="s">
        <v>5720</v>
      </c>
      <c r="B1095" s="106" t="s">
        <v>4329</v>
      </c>
      <c r="C1095" s="106"/>
      <c r="D1095" s="106"/>
      <c r="E1095" s="107" t="n">
        <v>5</v>
      </c>
      <c r="F1095" s="106" t="n">
        <v>1</v>
      </c>
      <c r="G1095" s="118" t="n">
        <v>0.2</v>
      </c>
      <c r="H1095" s="116" t="n">
        <v>1.77</v>
      </c>
      <c r="I1095" s="106" t="n">
        <v>0</v>
      </c>
      <c r="J1095" s="117" t="n">
        <v>0</v>
      </c>
      <c r="K1095" s="108" t="n">
        <v>1.77</v>
      </c>
      <c r="L1095" s="108" t="n">
        <v>0</v>
      </c>
      <c r="M1095" s="117"/>
      <c r="N1095" s="106"/>
      <c r="O1095" s="106"/>
      <c r="P1095" s="106"/>
      <c r="Q1095" s="106"/>
      <c r="R1095" s="106" t="s">
        <v>4537</v>
      </c>
    </row>
    <row r="1096" customFormat="false" ht="15" hidden="false" customHeight="false" outlineLevel="0" collapsed="false">
      <c r="A1096" s="106" t="s">
        <v>5721</v>
      </c>
      <c r="B1096" s="106" t="s">
        <v>1403</v>
      </c>
      <c r="C1096" s="106"/>
      <c r="D1096" s="106"/>
      <c r="E1096" s="107" t="n">
        <v>1</v>
      </c>
      <c r="F1096" s="106" t="n">
        <v>1</v>
      </c>
      <c r="G1096" s="118" t="n">
        <v>1</v>
      </c>
      <c r="H1096" s="116" t="n">
        <v>1.77</v>
      </c>
      <c r="I1096" s="106" t="n">
        <v>0</v>
      </c>
      <c r="J1096" s="117" t="n">
        <v>0</v>
      </c>
      <c r="K1096" s="108" t="n">
        <v>1.77</v>
      </c>
      <c r="L1096" s="108" t="n">
        <v>0</v>
      </c>
      <c r="M1096" s="117"/>
      <c r="N1096" s="106"/>
      <c r="O1096" s="106"/>
      <c r="P1096" s="106"/>
      <c r="Q1096" s="106"/>
      <c r="R1096" s="106" t="s">
        <v>4537</v>
      </c>
    </row>
    <row r="1097" customFormat="false" ht="15" hidden="false" customHeight="false" outlineLevel="0" collapsed="false">
      <c r="A1097" s="106" t="s">
        <v>5722</v>
      </c>
      <c r="B1097" s="106" t="s">
        <v>1403</v>
      </c>
      <c r="C1097" s="106"/>
      <c r="D1097" s="106"/>
      <c r="E1097" s="107" t="n">
        <v>1</v>
      </c>
      <c r="F1097" s="106" t="n">
        <v>1</v>
      </c>
      <c r="G1097" s="118" t="n">
        <v>1</v>
      </c>
      <c r="H1097" s="116" t="n">
        <v>1.76</v>
      </c>
      <c r="I1097" s="106" t="n">
        <v>0</v>
      </c>
      <c r="J1097" s="117" t="n">
        <v>0</v>
      </c>
      <c r="K1097" s="108" t="n">
        <v>1.76</v>
      </c>
      <c r="L1097" s="108" t="n">
        <v>0</v>
      </c>
      <c r="M1097" s="117"/>
      <c r="N1097" s="106"/>
      <c r="O1097" s="106"/>
      <c r="P1097" s="106"/>
      <c r="Q1097" s="106"/>
      <c r="R1097" s="106" t="s">
        <v>4537</v>
      </c>
    </row>
    <row r="1098" customFormat="false" ht="15" hidden="false" customHeight="false" outlineLevel="0" collapsed="false">
      <c r="A1098" s="106" t="s">
        <v>5723</v>
      </c>
      <c r="B1098" s="106"/>
      <c r="C1098" s="106"/>
      <c r="D1098" s="106"/>
      <c r="E1098" s="107" t="n">
        <v>4</v>
      </c>
      <c r="F1098" s="106" t="n">
        <v>1</v>
      </c>
      <c r="G1098" s="118" t="n">
        <v>0.25</v>
      </c>
      <c r="H1098" s="116" t="n">
        <v>1.9</v>
      </c>
      <c r="I1098" s="106" t="n">
        <v>0</v>
      </c>
      <c r="J1098" s="117" t="n">
        <v>0</v>
      </c>
      <c r="K1098" s="108" t="n">
        <v>1.9</v>
      </c>
      <c r="L1098" s="108" t="n">
        <v>0</v>
      </c>
      <c r="M1098" s="117"/>
      <c r="N1098" s="106"/>
      <c r="O1098" s="106"/>
      <c r="P1098" s="106"/>
      <c r="Q1098" s="106"/>
      <c r="R1098" s="106" t="s">
        <v>4537</v>
      </c>
    </row>
    <row r="1099" customFormat="false" ht="15" hidden="false" customHeight="false" outlineLevel="0" collapsed="false">
      <c r="A1099" s="106" t="s">
        <v>5724</v>
      </c>
      <c r="B1099" s="106"/>
      <c r="C1099" s="106"/>
      <c r="D1099" s="106"/>
      <c r="E1099" s="107" t="n">
        <v>2</v>
      </c>
      <c r="F1099" s="106" t="n">
        <v>1</v>
      </c>
      <c r="G1099" s="118" t="n">
        <v>0.5</v>
      </c>
      <c r="H1099" s="116" t="n">
        <v>1.9</v>
      </c>
      <c r="I1099" s="106" t="n">
        <v>0</v>
      </c>
      <c r="J1099" s="117" t="n">
        <v>0</v>
      </c>
      <c r="K1099" s="108" t="n">
        <v>1.9</v>
      </c>
      <c r="L1099" s="108" t="n">
        <v>0</v>
      </c>
      <c r="M1099" s="117"/>
      <c r="N1099" s="106"/>
      <c r="O1099" s="106"/>
      <c r="P1099" s="106"/>
      <c r="Q1099" s="106"/>
      <c r="R1099" s="106" t="s">
        <v>4537</v>
      </c>
    </row>
    <row r="1100" customFormat="false" ht="15" hidden="false" customHeight="false" outlineLevel="0" collapsed="false">
      <c r="A1100" s="106" t="s">
        <v>5725</v>
      </c>
      <c r="B1100" s="106" t="s">
        <v>1403</v>
      </c>
      <c r="C1100" s="106"/>
      <c r="D1100" s="106"/>
      <c r="E1100" s="107" t="n">
        <v>2</v>
      </c>
      <c r="F1100" s="106" t="n">
        <v>1</v>
      </c>
      <c r="G1100" s="118" t="n">
        <v>0.5</v>
      </c>
      <c r="H1100" s="116" t="n">
        <v>1.9</v>
      </c>
      <c r="I1100" s="106" t="n">
        <v>0</v>
      </c>
      <c r="J1100" s="117" t="n">
        <v>0</v>
      </c>
      <c r="K1100" s="108" t="n">
        <v>1.9</v>
      </c>
      <c r="L1100" s="108" t="n">
        <v>0</v>
      </c>
      <c r="M1100" s="117"/>
      <c r="N1100" s="106"/>
      <c r="O1100" s="106"/>
      <c r="P1100" s="106"/>
      <c r="Q1100" s="106"/>
      <c r="R1100" s="106" t="s">
        <v>4537</v>
      </c>
    </row>
    <row r="1101" customFormat="false" ht="15" hidden="false" customHeight="false" outlineLevel="0" collapsed="false">
      <c r="A1101" s="106" t="s">
        <v>5726</v>
      </c>
      <c r="B1101" s="106" t="s">
        <v>1403</v>
      </c>
      <c r="C1101" s="106"/>
      <c r="D1101" s="106"/>
      <c r="E1101" s="107" t="n">
        <v>4</v>
      </c>
      <c r="F1101" s="106" t="n">
        <v>1</v>
      </c>
      <c r="G1101" s="118" t="n">
        <v>0.25</v>
      </c>
      <c r="H1101" s="116" t="n">
        <v>1.89</v>
      </c>
      <c r="I1101" s="106" t="n">
        <v>1</v>
      </c>
      <c r="J1101" s="117" t="n">
        <v>1</v>
      </c>
      <c r="K1101" s="108" t="n">
        <v>1.89</v>
      </c>
      <c r="L1101" s="108" t="n">
        <v>0</v>
      </c>
      <c r="M1101" s="117"/>
      <c r="N1101" s="106"/>
      <c r="O1101" s="106"/>
      <c r="P1101" s="106"/>
      <c r="Q1101" s="106"/>
      <c r="R1101" s="106" t="s">
        <v>4537</v>
      </c>
    </row>
    <row r="1102" customFormat="false" ht="15" hidden="false" customHeight="false" outlineLevel="0" collapsed="false">
      <c r="A1102" s="106" t="s">
        <v>5727</v>
      </c>
      <c r="B1102" s="106"/>
      <c r="C1102" s="106"/>
      <c r="D1102" s="106"/>
      <c r="E1102" s="107" t="n">
        <v>6</v>
      </c>
      <c r="F1102" s="106" t="n">
        <v>1</v>
      </c>
      <c r="G1102" s="118" t="n">
        <v>0.1667</v>
      </c>
      <c r="H1102" s="116" t="n">
        <v>1.88</v>
      </c>
      <c r="I1102" s="106" t="n">
        <v>0</v>
      </c>
      <c r="J1102" s="117" t="n">
        <v>0</v>
      </c>
      <c r="K1102" s="108" t="n">
        <v>1.88</v>
      </c>
      <c r="L1102" s="108" t="n">
        <v>0</v>
      </c>
      <c r="M1102" s="117"/>
      <c r="N1102" s="106"/>
      <c r="O1102" s="106"/>
      <c r="P1102" s="106"/>
      <c r="Q1102" s="106"/>
      <c r="R1102" s="106" t="s">
        <v>4537</v>
      </c>
    </row>
    <row r="1103" customFormat="false" ht="15" hidden="false" customHeight="false" outlineLevel="0" collapsed="false">
      <c r="A1103" s="106" t="s">
        <v>5728</v>
      </c>
      <c r="B1103" s="106" t="s">
        <v>1403</v>
      </c>
      <c r="C1103" s="106"/>
      <c r="D1103" s="106" t="n">
        <v>1</v>
      </c>
      <c r="E1103" s="107" t="n">
        <v>3</v>
      </c>
      <c r="F1103" s="106" t="n">
        <v>1</v>
      </c>
      <c r="G1103" s="118" t="n">
        <v>0.3333</v>
      </c>
      <c r="H1103" s="116" t="n">
        <v>1.88</v>
      </c>
      <c r="I1103" s="106" t="n">
        <v>0</v>
      </c>
      <c r="J1103" s="117" t="n">
        <v>0</v>
      </c>
      <c r="K1103" s="108" t="n">
        <v>1.88</v>
      </c>
      <c r="L1103" s="108" t="n">
        <v>0</v>
      </c>
      <c r="M1103" s="117"/>
      <c r="N1103" s="106"/>
      <c r="O1103" s="106"/>
      <c r="P1103" s="106"/>
      <c r="Q1103" s="106"/>
      <c r="R1103" s="106" t="s">
        <v>4537</v>
      </c>
    </row>
    <row r="1104" customFormat="false" ht="15" hidden="false" customHeight="false" outlineLevel="0" collapsed="false">
      <c r="A1104" s="106" t="s">
        <v>5729</v>
      </c>
      <c r="B1104" s="106" t="s">
        <v>4284</v>
      </c>
      <c r="C1104" s="106"/>
      <c r="D1104" s="106"/>
      <c r="E1104" s="107" t="n">
        <v>14</v>
      </c>
      <c r="F1104" s="106" t="n">
        <v>1</v>
      </c>
      <c r="G1104" s="118" t="n">
        <v>0.0714</v>
      </c>
      <c r="H1104" s="116" t="n">
        <v>1.86</v>
      </c>
      <c r="I1104" s="106" t="n">
        <v>0</v>
      </c>
      <c r="J1104" s="117" t="n">
        <v>0</v>
      </c>
      <c r="K1104" s="108" t="n">
        <v>1.86</v>
      </c>
      <c r="L1104" s="108" t="n">
        <v>0</v>
      </c>
      <c r="M1104" s="117"/>
      <c r="N1104" s="106"/>
      <c r="O1104" s="106"/>
      <c r="P1104" s="106"/>
      <c r="Q1104" s="106"/>
      <c r="R1104" s="106" t="s">
        <v>4537</v>
      </c>
    </row>
    <row r="1105" customFormat="false" ht="15" hidden="false" customHeight="false" outlineLevel="0" collapsed="false">
      <c r="A1105" s="106" t="s">
        <v>5730</v>
      </c>
      <c r="B1105" s="106" t="s">
        <v>1403</v>
      </c>
      <c r="C1105" s="106"/>
      <c r="D1105" s="106"/>
      <c r="E1105" s="107" t="n">
        <v>9</v>
      </c>
      <c r="F1105" s="106" t="n">
        <v>1</v>
      </c>
      <c r="G1105" s="118" t="n">
        <v>0.1111</v>
      </c>
      <c r="H1105" s="116" t="n">
        <v>1.83</v>
      </c>
      <c r="I1105" s="106" t="n">
        <v>0</v>
      </c>
      <c r="J1105" s="117" t="n">
        <v>0</v>
      </c>
      <c r="K1105" s="108" t="n">
        <v>1.83</v>
      </c>
      <c r="L1105" s="108" t="n">
        <v>0</v>
      </c>
      <c r="M1105" s="117"/>
      <c r="N1105" s="106"/>
      <c r="O1105" s="106"/>
      <c r="P1105" s="106"/>
      <c r="Q1105" s="106"/>
      <c r="R1105" s="106" t="s">
        <v>4537</v>
      </c>
    </row>
    <row r="1106" customFormat="false" ht="15" hidden="false" customHeight="false" outlineLevel="0" collapsed="false">
      <c r="A1106" s="106" t="s">
        <v>5731</v>
      </c>
      <c r="B1106" s="106"/>
      <c r="C1106" s="106"/>
      <c r="D1106" s="106"/>
      <c r="E1106" s="107" t="n">
        <v>1</v>
      </c>
      <c r="F1106" s="106" t="n">
        <v>1</v>
      </c>
      <c r="G1106" s="118" t="n">
        <v>1</v>
      </c>
      <c r="H1106" s="116" t="n">
        <v>1.98</v>
      </c>
      <c r="I1106" s="106" t="n">
        <v>0</v>
      </c>
      <c r="J1106" s="117" t="n">
        <v>0</v>
      </c>
      <c r="K1106" s="108" t="n">
        <v>1.98</v>
      </c>
      <c r="L1106" s="108" t="n">
        <v>0</v>
      </c>
      <c r="M1106" s="117"/>
      <c r="N1106" s="106"/>
      <c r="O1106" s="106"/>
      <c r="P1106" s="106"/>
      <c r="Q1106" s="106"/>
      <c r="R1106" s="106" t="s">
        <v>4537</v>
      </c>
    </row>
    <row r="1107" customFormat="false" ht="15" hidden="false" customHeight="false" outlineLevel="0" collapsed="false">
      <c r="A1107" s="106" t="s">
        <v>5732</v>
      </c>
      <c r="B1107" s="106" t="s">
        <v>1403</v>
      </c>
      <c r="C1107" s="106"/>
      <c r="D1107" s="106" t="n">
        <v>1</v>
      </c>
      <c r="E1107" s="107" t="n">
        <v>1</v>
      </c>
      <c r="F1107" s="106" t="n">
        <v>1</v>
      </c>
      <c r="G1107" s="118" t="n">
        <v>1</v>
      </c>
      <c r="H1107" s="116" t="n">
        <v>1.95</v>
      </c>
      <c r="I1107" s="106" t="n">
        <v>0</v>
      </c>
      <c r="J1107" s="117" t="n">
        <v>0</v>
      </c>
      <c r="K1107" s="108" t="n">
        <v>1.95</v>
      </c>
      <c r="L1107" s="108" t="n">
        <v>0</v>
      </c>
      <c r="M1107" s="117"/>
      <c r="N1107" s="106"/>
      <c r="O1107" s="106"/>
      <c r="P1107" s="106"/>
      <c r="Q1107" s="106"/>
      <c r="R1107" s="106" t="s">
        <v>4537</v>
      </c>
    </row>
    <row r="1108" customFormat="false" ht="15" hidden="false" customHeight="false" outlineLevel="0" collapsed="false">
      <c r="A1108" s="106" t="s">
        <v>5733</v>
      </c>
      <c r="B1108" s="106" t="s">
        <v>1403</v>
      </c>
      <c r="C1108" s="106"/>
      <c r="D1108" s="106" t="n">
        <v>1</v>
      </c>
      <c r="E1108" s="107" t="n">
        <v>10</v>
      </c>
      <c r="F1108" s="106" t="n">
        <v>1</v>
      </c>
      <c r="G1108" s="118" t="n">
        <v>0.1</v>
      </c>
      <c r="H1108" s="116" t="n">
        <v>1.93</v>
      </c>
      <c r="I1108" s="106" t="n">
        <v>1</v>
      </c>
      <c r="J1108" s="117" t="n">
        <v>1</v>
      </c>
      <c r="K1108" s="108" t="n">
        <v>1.93</v>
      </c>
      <c r="L1108" s="108" t="n">
        <v>59.99</v>
      </c>
      <c r="M1108" s="117" t="n">
        <v>0.032</v>
      </c>
      <c r="N1108" s="106"/>
      <c r="O1108" s="106"/>
      <c r="P1108" s="106"/>
      <c r="Q1108" s="106"/>
      <c r="R1108" s="106" t="s">
        <v>4285</v>
      </c>
    </row>
    <row r="1109" customFormat="false" ht="15" hidden="false" customHeight="false" outlineLevel="0" collapsed="false">
      <c r="A1109" s="106" t="s">
        <v>5734</v>
      </c>
      <c r="B1109" s="106"/>
      <c r="C1109" s="106"/>
      <c r="D1109" s="106"/>
      <c r="E1109" s="107" t="n">
        <v>2</v>
      </c>
      <c r="F1109" s="106" t="n">
        <v>1</v>
      </c>
      <c r="G1109" s="118" t="n">
        <v>0.5</v>
      </c>
      <c r="H1109" s="116" t="n">
        <v>1.92</v>
      </c>
      <c r="I1109" s="106" t="n">
        <v>0</v>
      </c>
      <c r="J1109" s="117" t="n">
        <v>0</v>
      </c>
      <c r="K1109" s="108" t="n">
        <v>1.92</v>
      </c>
      <c r="L1109" s="108" t="n">
        <v>0</v>
      </c>
      <c r="M1109" s="117"/>
      <c r="N1109" s="106"/>
      <c r="O1109" s="106"/>
      <c r="P1109" s="106"/>
      <c r="Q1109" s="106"/>
      <c r="R1109" s="106" t="s">
        <v>4537</v>
      </c>
    </row>
    <row r="1110" customFormat="false" ht="15" hidden="false" customHeight="false" outlineLevel="0" collapsed="false">
      <c r="A1110" s="106" t="s">
        <v>5735</v>
      </c>
      <c r="B1110" s="106" t="s">
        <v>1403</v>
      </c>
      <c r="C1110" s="106"/>
      <c r="D1110" s="106" t="n">
        <v>3</v>
      </c>
      <c r="E1110" s="107" t="n">
        <v>66</v>
      </c>
      <c r="F1110" s="106" t="n">
        <v>1</v>
      </c>
      <c r="G1110" s="118" t="n">
        <v>0.0152</v>
      </c>
      <c r="H1110" s="116" t="n">
        <v>1.92</v>
      </c>
      <c r="I1110" s="106" t="n">
        <v>1</v>
      </c>
      <c r="J1110" s="117" t="n">
        <v>1</v>
      </c>
      <c r="K1110" s="108" t="n">
        <v>1.92</v>
      </c>
      <c r="L1110" s="108" t="n">
        <v>54.99</v>
      </c>
      <c r="M1110" s="117" t="n">
        <v>0.035</v>
      </c>
      <c r="N1110" s="106"/>
      <c r="O1110" s="106"/>
      <c r="P1110" s="106"/>
      <c r="Q1110" s="106"/>
      <c r="R1110" s="106" t="s">
        <v>4285</v>
      </c>
    </row>
    <row r="1111" customFormat="false" ht="15" hidden="false" customHeight="false" outlineLevel="0" collapsed="false">
      <c r="A1111" s="106" t="s">
        <v>5736</v>
      </c>
      <c r="B1111" s="106" t="s">
        <v>1403</v>
      </c>
      <c r="C1111" s="106"/>
      <c r="D1111" s="106" t="n">
        <v>1</v>
      </c>
      <c r="E1111" s="107" t="n">
        <v>4</v>
      </c>
      <c r="F1111" s="106" t="n">
        <v>1</v>
      </c>
      <c r="G1111" s="118" t="n">
        <v>0.25</v>
      </c>
      <c r="H1111" s="116" t="n">
        <v>1.91</v>
      </c>
      <c r="I1111" s="106" t="n">
        <v>0</v>
      </c>
      <c r="J1111" s="117" t="n">
        <v>0</v>
      </c>
      <c r="K1111" s="108" t="n">
        <v>1.91</v>
      </c>
      <c r="L1111" s="108" t="n">
        <v>0</v>
      </c>
      <c r="M1111" s="117"/>
      <c r="N1111" s="106"/>
      <c r="O1111" s="106"/>
      <c r="P1111" s="106"/>
      <c r="Q1111" s="106"/>
      <c r="R1111" s="106" t="s">
        <v>4537</v>
      </c>
    </row>
    <row r="1112" customFormat="false" ht="15" hidden="false" customHeight="false" outlineLevel="0" collapsed="false">
      <c r="A1112" s="106" t="s">
        <v>5737</v>
      </c>
      <c r="B1112" s="106"/>
      <c r="C1112" s="106"/>
      <c r="D1112" s="106"/>
      <c r="E1112" s="107" t="n">
        <v>1</v>
      </c>
      <c r="F1112" s="106" t="n">
        <v>1</v>
      </c>
      <c r="G1112" s="118" t="n">
        <v>1</v>
      </c>
      <c r="H1112" s="116" t="n">
        <v>1.9</v>
      </c>
      <c r="I1112" s="106" t="n">
        <v>0</v>
      </c>
      <c r="J1112" s="117" t="n">
        <v>0</v>
      </c>
      <c r="K1112" s="108" t="n">
        <v>1.9</v>
      </c>
      <c r="L1112" s="108" t="n">
        <v>0</v>
      </c>
      <c r="M1112" s="117"/>
      <c r="N1112" s="106"/>
      <c r="O1112" s="106"/>
      <c r="P1112" s="106"/>
      <c r="Q1112" s="106"/>
      <c r="R1112" s="106" t="s">
        <v>4537</v>
      </c>
    </row>
    <row r="1113" customFormat="false" ht="15" hidden="false" customHeight="false" outlineLevel="0" collapsed="false">
      <c r="A1113" s="106" t="s">
        <v>5738</v>
      </c>
      <c r="B1113" s="106"/>
      <c r="C1113" s="106"/>
      <c r="D1113" s="106"/>
      <c r="E1113" s="107" t="n">
        <v>2</v>
      </c>
      <c r="F1113" s="106" t="n">
        <v>1</v>
      </c>
      <c r="G1113" s="118" t="n">
        <v>0.5</v>
      </c>
      <c r="H1113" s="116" t="n">
        <v>1.9</v>
      </c>
      <c r="I1113" s="106" t="n">
        <v>0</v>
      </c>
      <c r="J1113" s="117" t="n">
        <v>0</v>
      </c>
      <c r="K1113" s="108" t="n">
        <v>1.9</v>
      </c>
      <c r="L1113" s="108" t="n">
        <v>0</v>
      </c>
      <c r="M1113" s="117"/>
      <c r="N1113" s="106"/>
      <c r="O1113" s="106"/>
      <c r="P1113" s="106"/>
      <c r="Q1113" s="106"/>
      <c r="R1113" s="106" t="s">
        <v>4537</v>
      </c>
    </row>
    <row r="1114" customFormat="false" ht="15" hidden="false" customHeight="false" outlineLevel="0" collapsed="false">
      <c r="A1114" s="106" t="s">
        <v>5739</v>
      </c>
      <c r="B1114" s="106" t="s">
        <v>4329</v>
      </c>
      <c r="C1114" s="106"/>
      <c r="D1114" s="106" t="n">
        <v>2</v>
      </c>
      <c r="E1114" s="107" t="n">
        <v>1</v>
      </c>
      <c r="F1114" s="106" t="n">
        <v>1</v>
      </c>
      <c r="G1114" s="118" t="n">
        <v>1</v>
      </c>
      <c r="H1114" s="116" t="n">
        <v>2.03</v>
      </c>
      <c r="I1114" s="106" t="n">
        <v>0</v>
      </c>
      <c r="J1114" s="117" t="n">
        <v>0</v>
      </c>
      <c r="K1114" s="108" t="n">
        <v>2.03</v>
      </c>
      <c r="L1114" s="108" t="n">
        <v>0</v>
      </c>
      <c r="M1114" s="117"/>
      <c r="N1114" s="106"/>
      <c r="O1114" s="106"/>
      <c r="P1114" s="106"/>
      <c r="Q1114" s="106"/>
      <c r="R1114" s="106" t="s">
        <v>4537</v>
      </c>
    </row>
    <row r="1115" customFormat="false" ht="15" hidden="false" customHeight="false" outlineLevel="0" collapsed="false">
      <c r="A1115" s="106" t="s">
        <v>807</v>
      </c>
      <c r="B1115" s="106" t="s">
        <v>4280</v>
      </c>
      <c r="C1115" s="106" t="s">
        <v>4281</v>
      </c>
      <c r="D1115" s="106" t="n">
        <v>282</v>
      </c>
      <c r="E1115" s="107" t="n">
        <v>17</v>
      </c>
      <c r="F1115" s="106" t="n">
        <v>1</v>
      </c>
      <c r="G1115" s="118" t="n">
        <v>0.0588</v>
      </c>
      <c r="H1115" s="116" t="n">
        <v>2.03</v>
      </c>
      <c r="I1115" s="106" t="n">
        <v>0</v>
      </c>
      <c r="J1115" s="117" t="n">
        <v>0</v>
      </c>
      <c r="K1115" s="108" t="n">
        <v>2.03</v>
      </c>
      <c r="L1115" s="108" t="n">
        <v>0</v>
      </c>
      <c r="M1115" s="117"/>
      <c r="N1115" s="106"/>
      <c r="O1115" s="106"/>
      <c r="P1115" s="106"/>
      <c r="Q1115" s="106"/>
      <c r="R1115" s="106" t="s">
        <v>4537</v>
      </c>
    </row>
    <row r="1116" customFormat="false" ht="15" hidden="false" customHeight="false" outlineLevel="0" collapsed="false">
      <c r="A1116" s="106" t="s">
        <v>5740</v>
      </c>
      <c r="B1116" s="106" t="s">
        <v>4280</v>
      </c>
      <c r="C1116" s="106"/>
      <c r="D1116" s="106" t="n">
        <v>53</v>
      </c>
      <c r="E1116" s="107" t="n">
        <v>1</v>
      </c>
      <c r="F1116" s="106" t="n">
        <v>1</v>
      </c>
      <c r="G1116" s="118" t="n">
        <v>1</v>
      </c>
      <c r="H1116" s="116" t="n">
        <v>2.02</v>
      </c>
      <c r="I1116" s="106" t="n">
        <v>0</v>
      </c>
      <c r="J1116" s="117" t="n">
        <v>0</v>
      </c>
      <c r="K1116" s="108" t="n">
        <v>2.02</v>
      </c>
      <c r="L1116" s="108" t="n">
        <v>0</v>
      </c>
      <c r="M1116" s="117"/>
      <c r="N1116" s="106"/>
      <c r="O1116" s="106"/>
      <c r="P1116" s="106"/>
      <c r="Q1116" s="106"/>
      <c r="R1116" s="106" t="s">
        <v>4537</v>
      </c>
    </row>
    <row r="1117" customFormat="false" ht="15" hidden="false" customHeight="false" outlineLevel="0" collapsed="false">
      <c r="A1117" s="106" t="s">
        <v>5741</v>
      </c>
      <c r="B1117" s="106" t="s">
        <v>4329</v>
      </c>
      <c r="C1117" s="106"/>
      <c r="D1117" s="106"/>
      <c r="E1117" s="107" t="n">
        <v>1</v>
      </c>
      <c r="F1117" s="106" t="n">
        <v>1</v>
      </c>
      <c r="G1117" s="118" t="n">
        <v>1</v>
      </c>
      <c r="H1117" s="116" t="n">
        <v>2.01</v>
      </c>
      <c r="I1117" s="106" t="n">
        <v>0</v>
      </c>
      <c r="J1117" s="117" t="n">
        <v>0</v>
      </c>
      <c r="K1117" s="108" t="n">
        <v>2.01</v>
      </c>
      <c r="L1117" s="108" t="n">
        <v>0</v>
      </c>
      <c r="M1117" s="117"/>
      <c r="N1117" s="106"/>
      <c r="O1117" s="106"/>
      <c r="P1117" s="106"/>
      <c r="Q1117" s="106"/>
      <c r="R1117" s="106" t="s">
        <v>4537</v>
      </c>
    </row>
    <row r="1118" customFormat="false" ht="15" hidden="false" customHeight="false" outlineLevel="0" collapsed="false">
      <c r="A1118" s="106" t="s">
        <v>5742</v>
      </c>
      <c r="B1118" s="106" t="s">
        <v>1403</v>
      </c>
      <c r="C1118" s="106"/>
      <c r="D1118" s="106"/>
      <c r="E1118" s="107" t="n">
        <v>17</v>
      </c>
      <c r="F1118" s="106" t="n">
        <v>1</v>
      </c>
      <c r="G1118" s="118" t="n">
        <v>0.0588</v>
      </c>
      <c r="H1118" s="116" t="n">
        <v>2.01</v>
      </c>
      <c r="I1118" s="106" t="n">
        <v>1</v>
      </c>
      <c r="J1118" s="117" t="n">
        <v>1</v>
      </c>
      <c r="K1118" s="108" t="n">
        <v>2.01</v>
      </c>
      <c r="L1118" s="108" t="n">
        <v>39.99</v>
      </c>
      <c r="M1118" s="117" t="n">
        <v>0.05</v>
      </c>
      <c r="N1118" s="106"/>
      <c r="O1118" s="106"/>
      <c r="P1118" s="106"/>
      <c r="Q1118" s="106"/>
      <c r="R1118" s="106" t="s">
        <v>4285</v>
      </c>
    </row>
    <row r="1119" customFormat="false" ht="15" hidden="false" customHeight="false" outlineLevel="0" collapsed="false">
      <c r="A1119" s="106" t="s">
        <v>5743</v>
      </c>
      <c r="B1119" s="106" t="s">
        <v>4329</v>
      </c>
      <c r="C1119" s="106"/>
      <c r="D1119" s="106"/>
      <c r="E1119" s="107" t="n">
        <v>5</v>
      </c>
      <c r="F1119" s="106" t="n">
        <v>1</v>
      </c>
      <c r="G1119" s="118" t="n">
        <v>0.2</v>
      </c>
      <c r="H1119" s="116" t="n">
        <v>2</v>
      </c>
      <c r="I1119" s="106" t="n">
        <v>0</v>
      </c>
      <c r="J1119" s="117" t="n">
        <v>0</v>
      </c>
      <c r="K1119" s="108" t="n">
        <v>2</v>
      </c>
      <c r="L1119" s="108" t="n">
        <v>0</v>
      </c>
      <c r="M1119" s="117"/>
      <c r="N1119" s="106"/>
      <c r="O1119" s="106"/>
      <c r="P1119" s="106"/>
      <c r="Q1119" s="106"/>
      <c r="R1119" s="106" t="s">
        <v>4537</v>
      </c>
    </row>
    <row r="1120" customFormat="false" ht="15" hidden="false" customHeight="false" outlineLevel="0" collapsed="false">
      <c r="A1120" s="106" t="s">
        <v>5744</v>
      </c>
      <c r="B1120" s="106" t="s">
        <v>4284</v>
      </c>
      <c r="C1120" s="106"/>
      <c r="D1120" s="106"/>
      <c r="E1120" s="107" t="n">
        <v>2</v>
      </c>
      <c r="F1120" s="106" t="n">
        <v>1</v>
      </c>
      <c r="G1120" s="118" t="n">
        <v>0.5</v>
      </c>
      <c r="H1120" s="116" t="n">
        <v>1.98</v>
      </c>
      <c r="I1120" s="106" t="n">
        <v>0</v>
      </c>
      <c r="J1120" s="117" t="n">
        <v>0</v>
      </c>
      <c r="K1120" s="108" t="n">
        <v>1.98</v>
      </c>
      <c r="L1120" s="108" t="n">
        <v>0</v>
      </c>
      <c r="M1120" s="117"/>
      <c r="N1120" s="106"/>
      <c r="O1120" s="106"/>
      <c r="P1120" s="106"/>
      <c r="Q1120" s="106"/>
      <c r="R1120" s="106" t="s">
        <v>4537</v>
      </c>
    </row>
    <row r="1121" customFormat="false" ht="15" hidden="false" customHeight="false" outlineLevel="0" collapsed="false">
      <c r="A1121" s="106" t="s">
        <v>5745</v>
      </c>
      <c r="B1121" s="106"/>
      <c r="C1121" s="106"/>
      <c r="D1121" s="106"/>
      <c r="E1121" s="107" t="n">
        <v>3</v>
      </c>
      <c r="F1121" s="106" t="n">
        <v>1</v>
      </c>
      <c r="G1121" s="118" t="n">
        <v>0.3333</v>
      </c>
      <c r="H1121" s="116" t="n">
        <v>1.98</v>
      </c>
      <c r="I1121" s="106" t="n">
        <v>0</v>
      </c>
      <c r="J1121" s="117" t="n">
        <v>0</v>
      </c>
      <c r="K1121" s="108" t="n">
        <v>1.98</v>
      </c>
      <c r="L1121" s="108" t="n">
        <v>0</v>
      </c>
      <c r="M1121" s="117"/>
      <c r="N1121" s="106"/>
      <c r="O1121" s="106"/>
      <c r="P1121" s="106"/>
      <c r="Q1121" s="106"/>
      <c r="R1121" s="106" t="s">
        <v>4537</v>
      </c>
    </row>
    <row r="1122" customFormat="false" ht="15" hidden="false" customHeight="false" outlineLevel="0" collapsed="false">
      <c r="A1122" s="106" t="s">
        <v>5746</v>
      </c>
      <c r="B1122" s="106" t="s">
        <v>4280</v>
      </c>
      <c r="C1122" s="106" t="s">
        <v>4281</v>
      </c>
      <c r="D1122" s="106" t="n">
        <v>296</v>
      </c>
      <c r="E1122" s="107" t="n">
        <v>2</v>
      </c>
      <c r="F1122" s="106" t="n">
        <v>1</v>
      </c>
      <c r="G1122" s="118" t="n">
        <v>0.5</v>
      </c>
      <c r="H1122" s="116" t="n">
        <v>3</v>
      </c>
      <c r="I1122" s="106" t="n">
        <v>0</v>
      </c>
      <c r="J1122" s="117" t="n">
        <v>0</v>
      </c>
      <c r="K1122" s="108" t="n">
        <v>3</v>
      </c>
      <c r="L1122" s="108" t="n">
        <v>0</v>
      </c>
      <c r="M1122" s="117"/>
      <c r="N1122" s="106"/>
      <c r="O1122" s="106"/>
      <c r="P1122" s="106"/>
      <c r="Q1122" s="106"/>
      <c r="R1122" s="106" t="s">
        <v>4537</v>
      </c>
    </row>
    <row r="1123" customFormat="false" ht="15" hidden="false" customHeight="false" outlineLevel="0" collapsed="false">
      <c r="A1123" s="106" t="s">
        <v>5747</v>
      </c>
      <c r="B1123" s="106" t="s">
        <v>4329</v>
      </c>
      <c r="C1123" s="106"/>
      <c r="D1123" s="106"/>
      <c r="E1123" s="107" t="n">
        <v>3</v>
      </c>
      <c r="F1123" s="106" t="n">
        <v>1</v>
      </c>
      <c r="G1123" s="118" t="n">
        <v>0.3333</v>
      </c>
      <c r="H1123" s="116" t="n">
        <v>3</v>
      </c>
      <c r="I1123" s="106" t="n">
        <v>0</v>
      </c>
      <c r="J1123" s="117" t="n">
        <v>0</v>
      </c>
      <c r="K1123" s="108" t="n">
        <v>3</v>
      </c>
      <c r="L1123" s="108" t="n">
        <v>0</v>
      </c>
      <c r="M1123" s="117"/>
      <c r="N1123" s="106"/>
      <c r="O1123" s="106"/>
      <c r="P1123" s="106"/>
      <c r="Q1123" s="106"/>
      <c r="R1123" s="106" t="s">
        <v>4537</v>
      </c>
    </row>
    <row r="1124" customFormat="false" ht="15" hidden="false" customHeight="false" outlineLevel="0" collapsed="false">
      <c r="A1124" s="106" t="s">
        <v>5748</v>
      </c>
      <c r="B1124" s="106" t="s">
        <v>4284</v>
      </c>
      <c r="C1124" s="106"/>
      <c r="D1124" s="106" t="n">
        <v>375</v>
      </c>
      <c r="E1124" s="107" t="n">
        <v>1</v>
      </c>
      <c r="F1124" s="106" t="n">
        <v>1</v>
      </c>
      <c r="G1124" s="118" t="n">
        <v>1</v>
      </c>
      <c r="H1124" s="116" t="n">
        <v>3</v>
      </c>
      <c r="I1124" s="106" t="n">
        <v>0</v>
      </c>
      <c r="J1124" s="117" t="n">
        <v>0</v>
      </c>
      <c r="K1124" s="108" t="n">
        <v>3</v>
      </c>
      <c r="L1124" s="108" t="n">
        <v>0</v>
      </c>
      <c r="M1124" s="117"/>
      <c r="N1124" s="106"/>
      <c r="O1124" s="106"/>
      <c r="P1124" s="106"/>
      <c r="Q1124" s="106"/>
      <c r="R1124" s="106" t="s">
        <v>4537</v>
      </c>
    </row>
    <row r="1125" customFormat="false" ht="15" hidden="false" customHeight="false" outlineLevel="0" collapsed="false">
      <c r="A1125" s="106" t="s">
        <v>5749</v>
      </c>
      <c r="B1125" s="106" t="s">
        <v>4329</v>
      </c>
      <c r="C1125" s="106"/>
      <c r="D1125" s="106" t="n">
        <v>20</v>
      </c>
      <c r="E1125" s="107" t="n">
        <v>2</v>
      </c>
      <c r="F1125" s="106" t="n">
        <v>1</v>
      </c>
      <c r="G1125" s="118" t="n">
        <v>0.5</v>
      </c>
      <c r="H1125" s="116" t="n">
        <v>3</v>
      </c>
      <c r="I1125" s="106" t="n">
        <v>1</v>
      </c>
      <c r="J1125" s="117" t="n">
        <v>1</v>
      </c>
      <c r="K1125" s="108" t="n">
        <v>3</v>
      </c>
      <c r="L1125" s="108" t="n">
        <v>79.99</v>
      </c>
      <c r="M1125" s="117" t="n">
        <v>0.038</v>
      </c>
      <c r="N1125" s="106"/>
      <c r="O1125" s="106"/>
      <c r="P1125" s="106"/>
      <c r="Q1125" s="106"/>
      <c r="R1125" s="106" t="s">
        <v>4285</v>
      </c>
    </row>
    <row r="1126" customFormat="false" ht="15" hidden="false" customHeight="false" outlineLevel="0" collapsed="false">
      <c r="A1126" s="106" t="s">
        <v>5750</v>
      </c>
      <c r="B1126" s="106" t="s">
        <v>4280</v>
      </c>
      <c r="C1126" s="106"/>
      <c r="D1126" s="106" t="n">
        <v>18</v>
      </c>
      <c r="E1126" s="107" t="n">
        <v>9</v>
      </c>
      <c r="F1126" s="106" t="n">
        <v>1</v>
      </c>
      <c r="G1126" s="118" t="n">
        <v>0.1111</v>
      </c>
      <c r="H1126" s="116" t="n">
        <v>3</v>
      </c>
      <c r="I1126" s="106" t="n">
        <v>0</v>
      </c>
      <c r="J1126" s="117" t="n">
        <v>0</v>
      </c>
      <c r="K1126" s="108" t="n">
        <v>3</v>
      </c>
      <c r="L1126" s="108" t="n">
        <v>0</v>
      </c>
      <c r="M1126" s="117"/>
      <c r="N1126" s="106"/>
      <c r="O1126" s="106"/>
      <c r="P1126" s="106"/>
      <c r="Q1126" s="106"/>
      <c r="R1126" s="106" t="s">
        <v>4537</v>
      </c>
    </row>
    <row r="1127" customFormat="false" ht="15" hidden="false" customHeight="false" outlineLevel="0" collapsed="false">
      <c r="A1127" s="106" t="s">
        <v>5751</v>
      </c>
      <c r="B1127" s="106" t="s">
        <v>4280</v>
      </c>
      <c r="C1127" s="106"/>
      <c r="D1127" s="106"/>
      <c r="E1127" s="107" t="n">
        <v>1</v>
      </c>
      <c r="F1127" s="106" t="n">
        <v>1</v>
      </c>
      <c r="G1127" s="118" t="n">
        <v>1</v>
      </c>
      <c r="H1127" s="116" t="n">
        <v>3</v>
      </c>
      <c r="I1127" s="106" t="n">
        <v>0</v>
      </c>
      <c r="J1127" s="117" t="n">
        <v>0</v>
      </c>
      <c r="K1127" s="108" t="n">
        <v>3</v>
      </c>
      <c r="L1127" s="108" t="n">
        <v>0</v>
      </c>
      <c r="M1127" s="117"/>
      <c r="N1127" s="106"/>
      <c r="O1127" s="106"/>
      <c r="P1127" s="106"/>
      <c r="Q1127" s="106"/>
      <c r="R1127" s="106" t="s">
        <v>4537</v>
      </c>
    </row>
    <row r="1128" customFormat="false" ht="15" hidden="false" customHeight="false" outlineLevel="0" collapsed="false">
      <c r="A1128" s="106" t="s">
        <v>5752</v>
      </c>
      <c r="B1128" s="106" t="s">
        <v>4280</v>
      </c>
      <c r="C1128" s="106"/>
      <c r="D1128" s="106" t="n">
        <v>96</v>
      </c>
      <c r="E1128" s="107" t="n">
        <v>1</v>
      </c>
      <c r="F1128" s="106" t="n">
        <v>1</v>
      </c>
      <c r="G1128" s="118" t="n">
        <v>1</v>
      </c>
      <c r="H1128" s="116" t="n">
        <v>3</v>
      </c>
      <c r="I1128" s="106" t="n">
        <v>0</v>
      </c>
      <c r="J1128" s="117" t="n">
        <v>0</v>
      </c>
      <c r="K1128" s="108" t="n">
        <v>3</v>
      </c>
      <c r="L1128" s="108" t="n">
        <v>0</v>
      </c>
      <c r="M1128" s="117"/>
      <c r="N1128" s="106"/>
      <c r="O1128" s="106"/>
      <c r="P1128" s="106"/>
      <c r="Q1128" s="106"/>
      <c r="R1128" s="106" t="s">
        <v>4537</v>
      </c>
    </row>
    <row r="1129" customFormat="false" ht="15" hidden="false" customHeight="false" outlineLevel="0" collapsed="false">
      <c r="A1129" s="106" t="s">
        <v>5753</v>
      </c>
      <c r="B1129" s="106" t="s">
        <v>1403</v>
      </c>
      <c r="C1129" s="106"/>
      <c r="D1129" s="106" t="n">
        <v>2</v>
      </c>
      <c r="E1129" s="107" t="n">
        <v>3</v>
      </c>
      <c r="F1129" s="106" t="n">
        <v>1</v>
      </c>
      <c r="G1129" s="118" t="n">
        <v>0.3333</v>
      </c>
      <c r="H1129" s="116" t="n">
        <v>1.69</v>
      </c>
      <c r="I1129" s="106" t="n">
        <v>0</v>
      </c>
      <c r="J1129" s="117" t="n">
        <v>0</v>
      </c>
      <c r="K1129" s="108" t="n">
        <v>1.69</v>
      </c>
      <c r="L1129" s="108" t="n">
        <v>0</v>
      </c>
      <c r="M1129" s="117"/>
      <c r="N1129" s="106"/>
      <c r="O1129" s="106"/>
      <c r="P1129" s="106"/>
      <c r="Q1129" s="106"/>
      <c r="R1129" s="106" t="s">
        <v>4537</v>
      </c>
    </row>
    <row r="1130" customFormat="false" ht="15" hidden="false" customHeight="false" outlineLevel="0" collapsed="false">
      <c r="A1130" s="106" t="s">
        <v>5754</v>
      </c>
      <c r="B1130" s="106" t="s">
        <v>4329</v>
      </c>
      <c r="C1130" s="106"/>
      <c r="D1130" s="106"/>
      <c r="E1130" s="107" t="n">
        <v>5</v>
      </c>
      <c r="F1130" s="106" t="n">
        <v>1</v>
      </c>
      <c r="G1130" s="118" t="n">
        <v>0.2</v>
      </c>
      <c r="H1130" s="116" t="n">
        <v>3.09</v>
      </c>
      <c r="I1130" s="106" t="n">
        <v>0</v>
      </c>
      <c r="J1130" s="117" t="n">
        <v>0</v>
      </c>
      <c r="K1130" s="108" t="n">
        <v>3.09</v>
      </c>
      <c r="L1130" s="108" t="n">
        <v>0</v>
      </c>
      <c r="M1130" s="117"/>
      <c r="N1130" s="106"/>
      <c r="O1130" s="106"/>
      <c r="P1130" s="106"/>
      <c r="Q1130" s="106"/>
      <c r="R1130" s="106" t="s">
        <v>4537</v>
      </c>
    </row>
    <row r="1131" customFormat="false" ht="15" hidden="false" customHeight="false" outlineLevel="0" collapsed="false">
      <c r="A1131" s="106" t="s">
        <v>5755</v>
      </c>
      <c r="B1131" s="106" t="s">
        <v>4280</v>
      </c>
      <c r="C1131" s="106"/>
      <c r="D1131" s="106" t="n">
        <v>4</v>
      </c>
      <c r="E1131" s="107" t="n">
        <v>1</v>
      </c>
      <c r="F1131" s="106" t="n">
        <v>1</v>
      </c>
      <c r="G1131" s="118" t="n">
        <v>1</v>
      </c>
      <c r="H1131" s="116" t="n">
        <v>3.08</v>
      </c>
      <c r="I1131" s="106" t="n">
        <v>0</v>
      </c>
      <c r="J1131" s="117" t="n">
        <v>0</v>
      </c>
      <c r="K1131" s="108" t="n">
        <v>3.08</v>
      </c>
      <c r="L1131" s="108" t="n">
        <v>0</v>
      </c>
      <c r="M1131" s="117"/>
      <c r="N1131" s="106"/>
      <c r="O1131" s="106"/>
      <c r="P1131" s="106"/>
      <c r="Q1131" s="106"/>
      <c r="R1131" s="106" t="s">
        <v>4537</v>
      </c>
    </row>
    <row r="1132" customFormat="false" ht="15" hidden="false" customHeight="false" outlineLevel="0" collapsed="false">
      <c r="A1132" s="106" t="s">
        <v>5756</v>
      </c>
      <c r="B1132" s="106" t="s">
        <v>1403</v>
      </c>
      <c r="C1132" s="106"/>
      <c r="D1132" s="106" t="n">
        <v>2</v>
      </c>
      <c r="E1132" s="107" t="n">
        <v>5</v>
      </c>
      <c r="F1132" s="106" t="n">
        <v>1</v>
      </c>
      <c r="G1132" s="118" t="n">
        <v>0.2</v>
      </c>
      <c r="H1132" s="116" t="n">
        <v>3.03</v>
      </c>
      <c r="I1132" s="106" t="n">
        <v>0</v>
      </c>
      <c r="J1132" s="117" t="n">
        <v>0</v>
      </c>
      <c r="K1132" s="108" t="n">
        <v>3.03</v>
      </c>
      <c r="L1132" s="108" t="n">
        <v>0</v>
      </c>
      <c r="M1132" s="117"/>
      <c r="N1132" s="106"/>
      <c r="O1132" s="106"/>
      <c r="P1132" s="106"/>
      <c r="Q1132" s="106"/>
      <c r="R1132" s="106" t="s">
        <v>4537</v>
      </c>
    </row>
    <row r="1133" customFormat="false" ht="15" hidden="false" customHeight="false" outlineLevel="0" collapsed="false">
      <c r="A1133" s="106" t="s">
        <v>5757</v>
      </c>
      <c r="B1133" s="106" t="s">
        <v>4280</v>
      </c>
      <c r="C1133" s="106"/>
      <c r="D1133" s="106"/>
      <c r="E1133" s="107" t="n">
        <v>2</v>
      </c>
      <c r="F1133" s="106" t="n">
        <v>1</v>
      </c>
      <c r="G1133" s="118" t="n">
        <v>0.5</v>
      </c>
      <c r="H1133" s="116" t="n">
        <v>3.01</v>
      </c>
      <c r="I1133" s="106" t="n">
        <v>0</v>
      </c>
      <c r="J1133" s="117" t="n">
        <v>0</v>
      </c>
      <c r="K1133" s="108" t="n">
        <v>3.01</v>
      </c>
      <c r="L1133" s="108" t="n">
        <v>0</v>
      </c>
      <c r="M1133" s="117"/>
      <c r="N1133" s="106"/>
      <c r="O1133" s="106"/>
      <c r="P1133" s="106"/>
      <c r="Q1133" s="106"/>
      <c r="R1133" s="106" t="s">
        <v>4537</v>
      </c>
    </row>
    <row r="1134" customFormat="false" ht="15" hidden="false" customHeight="false" outlineLevel="0" collapsed="false">
      <c r="A1134" s="106" t="s">
        <v>5758</v>
      </c>
      <c r="B1134" s="106" t="s">
        <v>4329</v>
      </c>
      <c r="C1134" s="106"/>
      <c r="D1134" s="106" t="n">
        <v>3</v>
      </c>
      <c r="E1134" s="107" t="n">
        <v>1</v>
      </c>
      <c r="F1134" s="106" t="n">
        <v>1</v>
      </c>
      <c r="G1134" s="118" t="n">
        <v>1</v>
      </c>
      <c r="H1134" s="116" t="n">
        <v>3</v>
      </c>
      <c r="I1134" s="106" t="n">
        <v>0</v>
      </c>
      <c r="J1134" s="117" t="n">
        <v>0</v>
      </c>
      <c r="K1134" s="108" t="n">
        <v>3</v>
      </c>
      <c r="L1134" s="108" t="n">
        <v>0</v>
      </c>
      <c r="M1134" s="117"/>
      <c r="N1134" s="106"/>
      <c r="O1134" s="106"/>
      <c r="P1134" s="106"/>
      <c r="Q1134" s="106"/>
      <c r="R1134" s="106" t="s">
        <v>4537</v>
      </c>
    </row>
    <row r="1135" customFormat="false" ht="15" hidden="false" customHeight="false" outlineLevel="0" collapsed="false">
      <c r="A1135" s="106" t="s">
        <v>5759</v>
      </c>
      <c r="B1135" s="106" t="s">
        <v>4280</v>
      </c>
      <c r="C1135" s="106"/>
      <c r="D1135" s="106" t="n">
        <v>190</v>
      </c>
      <c r="E1135" s="107" t="n">
        <v>11</v>
      </c>
      <c r="F1135" s="106" t="n">
        <v>1</v>
      </c>
      <c r="G1135" s="118" t="n">
        <v>0.0909</v>
      </c>
      <c r="H1135" s="116" t="n">
        <v>3</v>
      </c>
      <c r="I1135" s="106" t="n">
        <v>0</v>
      </c>
      <c r="J1135" s="117" t="n">
        <v>0</v>
      </c>
      <c r="K1135" s="108" t="n">
        <v>3</v>
      </c>
      <c r="L1135" s="108" t="n">
        <v>0</v>
      </c>
      <c r="M1135" s="117"/>
      <c r="N1135" s="106"/>
      <c r="O1135" s="106"/>
      <c r="P1135" s="106"/>
      <c r="Q1135" s="106"/>
      <c r="R1135" s="106" t="s">
        <v>4537</v>
      </c>
    </row>
    <row r="1136" customFormat="false" ht="15" hidden="false" customHeight="false" outlineLevel="0" collapsed="false">
      <c r="A1136" s="106" t="s">
        <v>5760</v>
      </c>
      <c r="B1136" s="106" t="s">
        <v>4329</v>
      </c>
      <c r="C1136" s="106"/>
      <c r="D1136" s="106"/>
      <c r="E1136" s="107" t="n">
        <v>1</v>
      </c>
      <c r="F1136" s="106" t="n">
        <v>1</v>
      </c>
      <c r="G1136" s="118" t="n">
        <v>1</v>
      </c>
      <c r="H1136" s="116" t="n">
        <v>3</v>
      </c>
      <c r="I1136" s="106" t="n">
        <v>0</v>
      </c>
      <c r="J1136" s="117" t="n">
        <v>0</v>
      </c>
      <c r="K1136" s="108" t="n">
        <v>3</v>
      </c>
      <c r="L1136" s="108" t="n">
        <v>0</v>
      </c>
      <c r="M1136" s="117"/>
      <c r="N1136" s="106"/>
      <c r="O1136" s="106"/>
      <c r="P1136" s="106"/>
      <c r="Q1136" s="106"/>
      <c r="R1136" s="106" t="s">
        <v>4537</v>
      </c>
    </row>
    <row r="1137" customFormat="false" ht="15" hidden="false" customHeight="false" outlineLevel="0" collapsed="false">
      <c r="A1137" s="106" t="s">
        <v>5761</v>
      </c>
      <c r="B1137" s="106"/>
      <c r="C1137" s="106"/>
      <c r="D1137" s="106"/>
      <c r="E1137" s="107" t="n">
        <v>2</v>
      </c>
      <c r="F1137" s="106" t="n">
        <v>1</v>
      </c>
      <c r="G1137" s="118" t="n">
        <v>0.5</v>
      </c>
      <c r="H1137" s="116" t="n">
        <v>3</v>
      </c>
      <c r="I1137" s="106" t="n">
        <v>0</v>
      </c>
      <c r="J1137" s="117" t="n">
        <v>0</v>
      </c>
      <c r="K1137" s="108" t="n">
        <v>3</v>
      </c>
      <c r="L1137" s="108" t="n">
        <v>0</v>
      </c>
      <c r="M1137" s="117"/>
      <c r="N1137" s="106"/>
      <c r="O1137" s="106"/>
      <c r="P1137" s="106"/>
      <c r="Q1137" s="106"/>
      <c r="R1137" s="106" t="s">
        <v>4537</v>
      </c>
    </row>
    <row r="1138" customFormat="false" ht="15" hidden="false" customHeight="false" outlineLevel="0" collapsed="false">
      <c r="A1138" s="106" t="s">
        <v>5762</v>
      </c>
      <c r="B1138" s="106" t="s">
        <v>4280</v>
      </c>
      <c r="C1138" s="106"/>
      <c r="D1138" s="106" t="n">
        <v>7</v>
      </c>
      <c r="E1138" s="107" t="n">
        <v>2</v>
      </c>
      <c r="F1138" s="106" t="n">
        <v>1</v>
      </c>
      <c r="G1138" s="118" t="n">
        <v>0.5</v>
      </c>
      <c r="H1138" s="116" t="n">
        <v>3.17</v>
      </c>
      <c r="I1138" s="106" t="n">
        <v>0</v>
      </c>
      <c r="J1138" s="117" t="n">
        <v>0</v>
      </c>
      <c r="K1138" s="108" t="n">
        <v>3.17</v>
      </c>
      <c r="L1138" s="108" t="n">
        <v>0</v>
      </c>
      <c r="M1138" s="117"/>
      <c r="N1138" s="106"/>
      <c r="O1138" s="106"/>
      <c r="P1138" s="106"/>
      <c r="Q1138" s="106"/>
      <c r="R1138" s="106" t="s">
        <v>4537</v>
      </c>
    </row>
    <row r="1139" customFormat="false" ht="15" hidden="false" customHeight="false" outlineLevel="0" collapsed="false">
      <c r="A1139" s="106" t="s">
        <v>5763</v>
      </c>
      <c r="B1139" s="106" t="s">
        <v>4329</v>
      </c>
      <c r="C1139" s="106"/>
      <c r="D1139" s="106" t="n">
        <v>49</v>
      </c>
      <c r="E1139" s="107" t="n">
        <v>3</v>
      </c>
      <c r="F1139" s="106" t="n">
        <v>1</v>
      </c>
      <c r="G1139" s="118" t="n">
        <v>0.3333</v>
      </c>
      <c r="H1139" s="116" t="n">
        <v>3.16</v>
      </c>
      <c r="I1139" s="106" t="n">
        <v>1</v>
      </c>
      <c r="J1139" s="117" t="n">
        <v>1</v>
      </c>
      <c r="K1139" s="108" t="n">
        <v>3.16</v>
      </c>
      <c r="L1139" s="108" t="n">
        <v>39.99</v>
      </c>
      <c r="M1139" s="117" t="n">
        <v>0.079</v>
      </c>
      <c r="N1139" s="106"/>
      <c r="O1139" s="106"/>
      <c r="P1139" s="106"/>
      <c r="Q1139" s="106"/>
      <c r="R1139" s="106" t="s">
        <v>4285</v>
      </c>
    </row>
    <row r="1140" customFormat="false" ht="15" hidden="false" customHeight="false" outlineLevel="0" collapsed="false">
      <c r="A1140" s="106" t="s">
        <v>5764</v>
      </c>
      <c r="B1140" s="106" t="s">
        <v>4329</v>
      </c>
      <c r="C1140" s="106"/>
      <c r="D1140" s="106" t="n">
        <v>17</v>
      </c>
      <c r="E1140" s="107" t="n">
        <v>1</v>
      </c>
      <c r="F1140" s="106" t="n">
        <v>1</v>
      </c>
      <c r="G1140" s="118" t="n">
        <v>1</v>
      </c>
      <c r="H1140" s="116" t="n">
        <v>3.16</v>
      </c>
      <c r="I1140" s="106" t="n">
        <v>0</v>
      </c>
      <c r="J1140" s="117" t="n">
        <v>0</v>
      </c>
      <c r="K1140" s="108" t="n">
        <v>3.16</v>
      </c>
      <c r="L1140" s="108" t="n">
        <v>0</v>
      </c>
      <c r="M1140" s="117"/>
      <c r="N1140" s="106"/>
      <c r="O1140" s="106"/>
      <c r="P1140" s="106"/>
      <c r="Q1140" s="106"/>
      <c r="R1140" s="106" t="s">
        <v>4537</v>
      </c>
    </row>
    <row r="1141" customFormat="false" ht="15" hidden="false" customHeight="false" outlineLevel="0" collapsed="false">
      <c r="A1141" s="106" t="s">
        <v>5765</v>
      </c>
      <c r="B1141" s="106" t="s">
        <v>4280</v>
      </c>
      <c r="C1141" s="106"/>
      <c r="D1141" s="106" t="n">
        <v>16</v>
      </c>
      <c r="E1141" s="107" t="n">
        <v>1</v>
      </c>
      <c r="F1141" s="106" t="n">
        <v>1</v>
      </c>
      <c r="G1141" s="118" t="n">
        <v>1</v>
      </c>
      <c r="H1141" s="116" t="n">
        <v>3.16</v>
      </c>
      <c r="I1141" s="106" t="n">
        <v>0</v>
      </c>
      <c r="J1141" s="117" t="n">
        <v>0</v>
      </c>
      <c r="K1141" s="108" t="n">
        <v>3.16</v>
      </c>
      <c r="L1141" s="108" t="n">
        <v>0</v>
      </c>
      <c r="M1141" s="117"/>
      <c r="N1141" s="106"/>
      <c r="O1141" s="106"/>
      <c r="P1141" s="106"/>
      <c r="Q1141" s="106"/>
      <c r="R1141" s="106" t="s">
        <v>4537</v>
      </c>
    </row>
    <row r="1142" customFormat="false" ht="15" hidden="false" customHeight="false" outlineLevel="0" collapsed="false">
      <c r="A1142" s="106" t="s">
        <v>5766</v>
      </c>
      <c r="B1142" s="106" t="s">
        <v>4329</v>
      </c>
      <c r="C1142" s="106"/>
      <c r="D1142" s="106" t="n">
        <v>9</v>
      </c>
      <c r="E1142" s="107" t="n">
        <v>8</v>
      </c>
      <c r="F1142" s="106" t="n">
        <v>1</v>
      </c>
      <c r="G1142" s="118" t="n">
        <v>0.125</v>
      </c>
      <c r="H1142" s="116" t="n">
        <v>3.16</v>
      </c>
      <c r="I1142" s="106" t="n">
        <v>0</v>
      </c>
      <c r="J1142" s="117" t="n">
        <v>0</v>
      </c>
      <c r="K1142" s="108" t="n">
        <v>3.16</v>
      </c>
      <c r="L1142" s="108" t="n">
        <v>0</v>
      </c>
      <c r="M1142" s="117"/>
      <c r="N1142" s="106"/>
      <c r="O1142" s="106"/>
      <c r="P1142" s="106"/>
      <c r="Q1142" s="106"/>
      <c r="R1142" s="106" t="s">
        <v>4537</v>
      </c>
    </row>
    <row r="1143" customFormat="false" ht="15" hidden="false" customHeight="false" outlineLevel="0" collapsed="false">
      <c r="A1143" s="106" t="s">
        <v>5767</v>
      </c>
      <c r="B1143" s="106" t="s">
        <v>4329</v>
      </c>
      <c r="C1143" s="106"/>
      <c r="D1143" s="106" t="n">
        <v>30</v>
      </c>
      <c r="E1143" s="107" t="n">
        <v>1</v>
      </c>
      <c r="F1143" s="106" t="n">
        <v>1</v>
      </c>
      <c r="G1143" s="118" t="n">
        <v>1</v>
      </c>
      <c r="H1143" s="116" t="n">
        <v>3.13</v>
      </c>
      <c r="I1143" s="106" t="n">
        <v>0</v>
      </c>
      <c r="J1143" s="117" t="n">
        <v>0</v>
      </c>
      <c r="K1143" s="108" t="n">
        <v>3.13</v>
      </c>
      <c r="L1143" s="108" t="n">
        <v>0</v>
      </c>
      <c r="M1143" s="117"/>
      <c r="N1143" s="106"/>
      <c r="O1143" s="106"/>
      <c r="P1143" s="106"/>
      <c r="Q1143" s="106"/>
      <c r="R1143" s="106" t="s">
        <v>4537</v>
      </c>
    </row>
    <row r="1144" customFormat="false" ht="15" hidden="false" customHeight="false" outlineLevel="0" collapsed="false">
      <c r="A1144" s="106" t="s">
        <v>5768</v>
      </c>
      <c r="B1144" s="106" t="s">
        <v>1403</v>
      </c>
      <c r="C1144" s="106"/>
      <c r="D1144" s="106" t="n">
        <v>2</v>
      </c>
      <c r="E1144" s="107" t="n">
        <v>2</v>
      </c>
      <c r="F1144" s="106" t="n">
        <v>1</v>
      </c>
      <c r="G1144" s="118" t="n">
        <v>0.5</v>
      </c>
      <c r="H1144" s="116" t="n">
        <v>3.12</v>
      </c>
      <c r="I1144" s="106" t="n">
        <v>0</v>
      </c>
      <c r="J1144" s="117" t="n">
        <v>0</v>
      </c>
      <c r="K1144" s="108" t="n">
        <v>3.12</v>
      </c>
      <c r="L1144" s="108" t="n">
        <v>0</v>
      </c>
      <c r="M1144" s="117"/>
      <c r="N1144" s="106"/>
      <c r="O1144" s="106"/>
      <c r="P1144" s="106"/>
      <c r="Q1144" s="106"/>
      <c r="R1144" s="106" t="s">
        <v>4537</v>
      </c>
    </row>
    <row r="1145" customFormat="false" ht="15" hidden="false" customHeight="false" outlineLevel="0" collapsed="false">
      <c r="A1145" s="106" t="s">
        <v>5769</v>
      </c>
      <c r="B1145" s="106" t="s">
        <v>4280</v>
      </c>
      <c r="C1145" s="106"/>
      <c r="D1145" s="106" t="n">
        <v>1</v>
      </c>
      <c r="E1145" s="107" t="n">
        <v>2</v>
      </c>
      <c r="F1145" s="106" t="n">
        <v>1</v>
      </c>
      <c r="G1145" s="118" t="n">
        <v>0.5</v>
      </c>
      <c r="H1145" s="116" t="n">
        <v>3.11</v>
      </c>
      <c r="I1145" s="106" t="n">
        <v>0</v>
      </c>
      <c r="J1145" s="117" t="n">
        <v>0</v>
      </c>
      <c r="K1145" s="108" t="n">
        <v>3.11</v>
      </c>
      <c r="L1145" s="108" t="n">
        <v>0</v>
      </c>
      <c r="M1145" s="117"/>
      <c r="N1145" s="106"/>
      <c r="O1145" s="106"/>
      <c r="P1145" s="106"/>
      <c r="Q1145" s="106"/>
      <c r="R1145" s="106" t="s">
        <v>4537</v>
      </c>
    </row>
    <row r="1146" customFormat="false" ht="15" hidden="false" customHeight="false" outlineLevel="0" collapsed="false">
      <c r="A1146" s="106" t="s">
        <v>5770</v>
      </c>
      <c r="B1146" s="106" t="s">
        <v>4329</v>
      </c>
      <c r="C1146" s="106"/>
      <c r="D1146" s="106"/>
      <c r="E1146" s="107" t="n">
        <v>2</v>
      </c>
      <c r="F1146" s="106" t="n">
        <v>1</v>
      </c>
      <c r="G1146" s="118" t="n">
        <v>0.5</v>
      </c>
      <c r="H1146" s="116" t="n">
        <v>1.75</v>
      </c>
      <c r="I1146" s="106" t="n">
        <v>0</v>
      </c>
      <c r="J1146" s="117" t="n">
        <v>0</v>
      </c>
      <c r="K1146" s="108" t="n">
        <v>1.75</v>
      </c>
      <c r="L1146" s="108" t="n">
        <v>0</v>
      </c>
      <c r="M1146" s="117"/>
      <c r="N1146" s="106"/>
      <c r="O1146" s="106"/>
      <c r="P1146" s="106"/>
      <c r="Q1146" s="106"/>
      <c r="R1146" s="106" t="s">
        <v>4537</v>
      </c>
    </row>
    <row r="1147" customFormat="false" ht="15" hidden="false" customHeight="false" outlineLevel="0" collapsed="false">
      <c r="A1147" s="106" t="s">
        <v>5771</v>
      </c>
      <c r="B1147" s="106" t="s">
        <v>1403</v>
      </c>
      <c r="C1147" s="106"/>
      <c r="D1147" s="106"/>
      <c r="E1147" s="107" t="n">
        <v>5</v>
      </c>
      <c r="F1147" s="106" t="n">
        <v>1</v>
      </c>
      <c r="G1147" s="118" t="n">
        <v>0.2</v>
      </c>
      <c r="H1147" s="116" t="n">
        <v>1.75</v>
      </c>
      <c r="I1147" s="106" t="n">
        <v>0</v>
      </c>
      <c r="J1147" s="117" t="n">
        <v>0</v>
      </c>
      <c r="K1147" s="108" t="n">
        <v>1.75</v>
      </c>
      <c r="L1147" s="108" t="n">
        <v>0</v>
      </c>
      <c r="M1147" s="117"/>
      <c r="N1147" s="106"/>
      <c r="O1147" s="106"/>
      <c r="P1147" s="106"/>
      <c r="Q1147" s="106"/>
      <c r="R1147" s="106" t="s">
        <v>4537</v>
      </c>
    </row>
    <row r="1148" customFormat="false" ht="15" hidden="false" customHeight="false" outlineLevel="0" collapsed="false">
      <c r="A1148" s="106" t="s">
        <v>5772</v>
      </c>
      <c r="B1148" s="106" t="s">
        <v>1403</v>
      </c>
      <c r="C1148" s="106"/>
      <c r="D1148" s="106" t="n">
        <v>17</v>
      </c>
      <c r="E1148" s="107" t="n">
        <v>13</v>
      </c>
      <c r="F1148" s="106" t="n">
        <v>1</v>
      </c>
      <c r="G1148" s="118" t="n">
        <v>0.0769</v>
      </c>
      <c r="H1148" s="116" t="n">
        <v>1.73</v>
      </c>
      <c r="I1148" s="106" t="n">
        <v>0</v>
      </c>
      <c r="J1148" s="117" t="n">
        <v>0</v>
      </c>
      <c r="K1148" s="108" t="n">
        <v>1.73</v>
      </c>
      <c r="L1148" s="108" t="n">
        <v>0</v>
      </c>
      <c r="M1148" s="117"/>
      <c r="N1148" s="106"/>
      <c r="O1148" s="106"/>
      <c r="P1148" s="106"/>
      <c r="Q1148" s="106"/>
      <c r="R1148" s="106" t="s">
        <v>4537</v>
      </c>
    </row>
    <row r="1149" customFormat="false" ht="15" hidden="false" customHeight="false" outlineLevel="0" collapsed="false">
      <c r="A1149" s="106" t="s">
        <v>5773</v>
      </c>
      <c r="B1149" s="106"/>
      <c r="C1149" s="106"/>
      <c r="D1149" s="106"/>
      <c r="E1149" s="107" t="n">
        <v>1</v>
      </c>
      <c r="F1149" s="106" t="n">
        <v>1</v>
      </c>
      <c r="G1149" s="118" t="n">
        <v>1</v>
      </c>
      <c r="H1149" s="116" t="n">
        <v>1.72</v>
      </c>
      <c r="I1149" s="106" t="n">
        <v>0</v>
      </c>
      <c r="J1149" s="117" t="n">
        <v>0</v>
      </c>
      <c r="K1149" s="108" t="n">
        <v>1.72</v>
      </c>
      <c r="L1149" s="108" t="n">
        <v>0</v>
      </c>
      <c r="M1149" s="117"/>
      <c r="N1149" s="106"/>
      <c r="O1149" s="106"/>
      <c r="P1149" s="106"/>
      <c r="Q1149" s="106"/>
      <c r="R1149" s="106" t="s">
        <v>4537</v>
      </c>
    </row>
    <row r="1150" customFormat="false" ht="15" hidden="false" customHeight="false" outlineLevel="0" collapsed="false">
      <c r="A1150" s="106" t="s">
        <v>5774</v>
      </c>
      <c r="B1150" s="106" t="s">
        <v>1403</v>
      </c>
      <c r="C1150" s="106"/>
      <c r="D1150" s="106"/>
      <c r="E1150" s="107" t="n">
        <v>1</v>
      </c>
      <c r="F1150" s="106" t="n">
        <v>1</v>
      </c>
      <c r="G1150" s="118" t="n">
        <v>1</v>
      </c>
      <c r="H1150" s="116" t="n">
        <v>1.71</v>
      </c>
      <c r="I1150" s="106" t="n">
        <v>0</v>
      </c>
      <c r="J1150" s="117" t="n">
        <v>0</v>
      </c>
      <c r="K1150" s="108" t="n">
        <v>1.71</v>
      </c>
      <c r="L1150" s="108" t="n">
        <v>0</v>
      </c>
      <c r="M1150" s="117"/>
      <c r="N1150" s="106"/>
      <c r="O1150" s="106"/>
      <c r="P1150" s="106"/>
      <c r="Q1150" s="106"/>
      <c r="R1150" s="106" t="s">
        <v>4537</v>
      </c>
    </row>
    <row r="1151" customFormat="false" ht="15" hidden="false" customHeight="false" outlineLevel="0" collapsed="false">
      <c r="A1151" s="106" t="s">
        <v>5775</v>
      </c>
      <c r="B1151" s="106" t="s">
        <v>1403</v>
      </c>
      <c r="C1151" s="106"/>
      <c r="D1151" s="106"/>
      <c r="E1151" s="107" t="n">
        <v>3</v>
      </c>
      <c r="F1151" s="106" t="n">
        <v>1</v>
      </c>
      <c r="G1151" s="118" t="n">
        <v>0.3333</v>
      </c>
      <c r="H1151" s="116" t="n">
        <v>1.71</v>
      </c>
      <c r="I1151" s="106" t="n">
        <v>0</v>
      </c>
      <c r="J1151" s="117" t="n">
        <v>0</v>
      </c>
      <c r="K1151" s="108" t="n">
        <v>1.71</v>
      </c>
      <c r="L1151" s="108" t="n">
        <v>0</v>
      </c>
      <c r="M1151" s="117"/>
      <c r="N1151" s="106"/>
      <c r="O1151" s="106"/>
      <c r="P1151" s="106"/>
      <c r="Q1151" s="106"/>
      <c r="R1151" s="106" t="s">
        <v>4537</v>
      </c>
    </row>
    <row r="1152" customFormat="false" ht="15" hidden="false" customHeight="false" outlineLevel="0" collapsed="false">
      <c r="A1152" s="106" t="s">
        <v>5776</v>
      </c>
      <c r="B1152" s="106" t="s">
        <v>1403</v>
      </c>
      <c r="C1152" s="106"/>
      <c r="D1152" s="106"/>
      <c r="E1152" s="107" t="n">
        <v>5</v>
      </c>
      <c r="F1152" s="106" t="n">
        <v>1</v>
      </c>
      <c r="G1152" s="118" t="n">
        <v>0.2</v>
      </c>
      <c r="H1152" s="116" t="n">
        <v>1.7</v>
      </c>
      <c r="I1152" s="106" t="n">
        <v>0</v>
      </c>
      <c r="J1152" s="117" t="n">
        <v>0</v>
      </c>
      <c r="K1152" s="108" t="n">
        <v>1.7</v>
      </c>
      <c r="L1152" s="108" t="n">
        <v>0</v>
      </c>
      <c r="M1152" s="117"/>
      <c r="N1152" s="106"/>
      <c r="O1152" s="106"/>
      <c r="P1152" s="106"/>
      <c r="Q1152" s="106"/>
      <c r="R1152" s="106" t="s">
        <v>4537</v>
      </c>
    </row>
    <row r="1153" customFormat="false" ht="15" hidden="false" customHeight="false" outlineLevel="0" collapsed="false">
      <c r="A1153" s="106" t="s">
        <v>5777</v>
      </c>
      <c r="B1153" s="106" t="s">
        <v>4329</v>
      </c>
      <c r="C1153" s="106"/>
      <c r="D1153" s="106" t="n">
        <v>30</v>
      </c>
      <c r="E1153" s="107" t="n">
        <v>1</v>
      </c>
      <c r="F1153" s="106" t="n">
        <v>1</v>
      </c>
      <c r="G1153" s="118" t="n">
        <v>1</v>
      </c>
      <c r="H1153" s="116" t="n">
        <v>3.17</v>
      </c>
      <c r="I1153" s="106" t="n">
        <v>0</v>
      </c>
      <c r="J1153" s="117" t="n">
        <v>0</v>
      </c>
      <c r="K1153" s="108" t="n">
        <v>3.17</v>
      </c>
      <c r="L1153" s="108" t="n">
        <v>0</v>
      </c>
      <c r="M1153" s="117"/>
      <c r="N1153" s="106"/>
      <c r="O1153" s="106"/>
      <c r="P1153" s="106"/>
      <c r="Q1153" s="106"/>
      <c r="R1153" s="106" t="s">
        <v>4537</v>
      </c>
    </row>
    <row r="1154" customFormat="false" ht="15" hidden="false" customHeight="false" outlineLevel="0" collapsed="false">
      <c r="A1154" s="106" t="s">
        <v>5778</v>
      </c>
      <c r="B1154" s="106" t="s">
        <v>4280</v>
      </c>
      <c r="C1154" s="106"/>
      <c r="D1154" s="106"/>
      <c r="E1154" s="107" t="n">
        <v>2</v>
      </c>
      <c r="F1154" s="106" t="n">
        <v>1</v>
      </c>
      <c r="G1154" s="118" t="n">
        <v>0.5</v>
      </c>
      <c r="H1154" s="116" t="n">
        <v>3.2</v>
      </c>
      <c r="I1154" s="106" t="n">
        <v>0</v>
      </c>
      <c r="J1154" s="117" t="n">
        <v>0</v>
      </c>
      <c r="K1154" s="108" t="n">
        <v>3.2</v>
      </c>
      <c r="L1154" s="108" t="n">
        <v>0</v>
      </c>
      <c r="M1154" s="117"/>
      <c r="N1154" s="106"/>
      <c r="O1154" s="106"/>
      <c r="P1154" s="106"/>
      <c r="Q1154" s="106"/>
      <c r="R1154" s="106" t="s">
        <v>4537</v>
      </c>
    </row>
    <row r="1155" customFormat="false" ht="15" hidden="false" customHeight="false" outlineLevel="0" collapsed="false">
      <c r="A1155" s="106" t="s">
        <v>5779</v>
      </c>
      <c r="B1155" s="106" t="s">
        <v>4329</v>
      </c>
      <c r="C1155" s="106"/>
      <c r="D1155" s="106"/>
      <c r="E1155" s="107" t="n">
        <v>3</v>
      </c>
      <c r="F1155" s="106" t="n">
        <v>1</v>
      </c>
      <c r="G1155" s="118" t="n">
        <v>0.3333</v>
      </c>
      <c r="H1155" s="116" t="n">
        <v>3.18</v>
      </c>
      <c r="I1155" s="106" t="n">
        <v>0</v>
      </c>
      <c r="J1155" s="117" t="n">
        <v>0</v>
      </c>
      <c r="K1155" s="108" t="n">
        <v>3.18</v>
      </c>
      <c r="L1155" s="108" t="n">
        <v>0</v>
      </c>
      <c r="M1155" s="117"/>
      <c r="N1155" s="106"/>
      <c r="O1155" s="106"/>
      <c r="P1155" s="106"/>
      <c r="Q1155" s="106"/>
      <c r="R1155" s="106" t="s">
        <v>4537</v>
      </c>
    </row>
    <row r="1156" customFormat="false" ht="15" hidden="false" customHeight="false" outlineLevel="0" collapsed="false">
      <c r="A1156" s="106" t="s">
        <v>5780</v>
      </c>
      <c r="B1156" s="106" t="s">
        <v>4280</v>
      </c>
      <c r="C1156" s="106" t="s">
        <v>4301</v>
      </c>
      <c r="D1156" s="106" t="n">
        <v>440</v>
      </c>
      <c r="E1156" s="107" t="n">
        <v>4</v>
      </c>
      <c r="F1156" s="106" t="n">
        <v>1</v>
      </c>
      <c r="G1156" s="118" t="n">
        <v>0.25</v>
      </c>
      <c r="H1156" s="116" t="n">
        <v>3.17</v>
      </c>
      <c r="I1156" s="106" t="n">
        <v>0</v>
      </c>
      <c r="J1156" s="117" t="n">
        <v>0</v>
      </c>
      <c r="K1156" s="108" t="n">
        <v>3.17</v>
      </c>
      <c r="L1156" s="108" t="n">
        <v>0</v>
      </c>
      <c r="M1156" s="117"/>
      <c r="N1156" s="106"/>
      <c r="O1156" s="106"/>
      <c r="P1156" s="106"/>
      <c r="Q1156" s="106"/>
      <c r="R1156" s="106" t="s">
        <v>4537</v>
      </c>
    </row>
    <row r="1157" customFormat="false" ht="15" hidden="false" customHeight="false" outlineLevel="0" collapsed="false">
      <c r="A1157" s="106" t="s">
        <v>5781</v>
      </c>
      <c r="B1157" s="106" t="s">
        <v>4284</v>
      </c>
      <c r="C1157" s="106"/>
      <c r="D1157" s="106" t="n">
        <v>1</v>
      </c>
      <c r="E1157" s="107" t="n">
        <v>1</v>
      </c>
      <c r="F1157" s="106" t="n">
        <v>1</v>
      </c>
      <c r="G1157" s="118" t="n">
        <v>1</v>
      </c>
      <c r="H1157" s="116" t="n">
        <v>3.17</v>
      </c>
      <c r="I1157" s="106" t="n">
        <v>0</v>
      </c>
      <c r="J1157" s="117" t="n">
        <v>0</v>
      </c>
      <c r="K1157" s="108" t="n">
        <v>3.17</v>
      </c>
      <c r="L1157" s="108" t="n">
        <v>0</v>
      </c>
      <c r="M1157" s="117"/>
      <c r="N1157" s="106"/>
      <c r="O1157" s="106"/>
      <c r="P1157" s="106"/>
      <c r="Q1157" s="106"/>
      <c r="R1157" s="106" t="s">
        <v>4537</v>
      </c>
    </row>
    <row r="1158" customFormat="false" ht="15" hidden="false" customHeight="false" outlineLevel="0" collapsed="false">
      <c r="A1158" s="106" t="s">
        <v>5782</v>
      </c>
      <c r="B1158" s="106" t="s">
        <v>4284</v>
      </c>
      <c r="C1158" s="106"/>
      <c r="D1158" s="106" t="n">
        <v>136</v>
      </c>
      <c r="E1158" s="107" t="n">
        <v>9</v>
      </c>
      <c r="F1158" s="106" t="n">
        <v>1</v>
      </c>
      <c r="G1158" s="118" t="n">
        <v>0.1111</v>
      </c>
      <c r="H1158" s="116" t="n">
        <v>3.17</v>
      </c>
      <c r="I1158" s="106" t="n">
        <v>0</v>
      </c>
      <c r="J1158" s="117" t="n">
        <v>0</v>
      </c>
      <c r="K1158" s="108" t="n">
        <v>3.17</v>
      </c>
      <c r="L1158" s="108" t="n">
        <v>0</v>
      </c>
      <c r="M1158" s="117"/>
      <c r="N1158" s="106"/>
      <c r="O1158" s="106"/>
      <c r="P1158" s="106"/>
      <c r="Q1158" s="106"/>
      <c r="R1158" s="106" t="s">
        <v>4537</v>
      </c>
    </row>
    <row r="1159" customFormat="false" ht="15" hidden="false" customHeight="false" outlineLevel="0" collapsed="false">
      <c r="A1159" s="106" t="s">
        <v>5783</v>
      </c>
      <c r="B1159" s="106" t="s">
        <v>4280</v>
      </c>
      <c r="C1159" s="106"/>
      <c r="D1159" s="106" t="n">
        <v>109</v>
      </c>
      <c r="E1159" s="107" t="n">
        <v>2</v>
      </c>
      <c r="F1159" s="106" t="n">
        <v>1</v>
      </c>
      <c r="G1159" s="118" t="n">
        <v>0.5</v>
      </c>
      <c r="H1159" s="116" t="n">
        <v>3.17</v>
      </c>
      <c r="I1159" s="106" t="n">
        <v>0</v>
      </c>
      <c r="J1159" s="117" t="n">
        <v>0</v>
      </c>
      <c r="K1159" s="108" t="n">
        <v>3.17</v>
      </c>
      <c r="L1159" s="108" t="n">
        <v>0</v>
      </c>
      <c r="M1159" s="117"/>
      <c r="N1159" s="106"/>
      <c r="O1159" s="106"/>
      <c r="P1159" s="106"/>
      <c r="Q1159" s="106"/>
      <c r="R1159" s="106" t="s">
        <v>4537</v>
      </c>
    </row>
    <row r="1160" customFormat="false" ht="15" hidden="false" customHeight="false" outlineLevel="0" collapsed="false">
      <c r="A1160" s="106" t="s">
        <v>5784</v>
      </c>
      <c r="B1160" s="106" t="s">
        <v>4329</v>
      </c>
      <c r="C1160" s="106"/>
      <c r="D1160" s="106" t="n">
        <v>15</v>
      </c>
      <c r="E1160" s="107" t="n">
        <v>1</v>
      </c>
      <c r="F1160" s="106" t="n">
        <v>1</v>
      </c>
      <c r="G1160" s="118" t="n">
        <v>1</v>
      </c>
      <c r="H1160" s="116" t="n">
        <v>3.17</v>
      </c>
      <c r="I1160" s="106" t="n">
        <v>0</v>
      </c>
      <c r="J1160" s="117" t="n">
        <v>0</v>
      </c>
      <c r="K1160" s="108" t="n">
        <v>3.17</v>
      </c>
      <c r="L1160" s="108" t="n">
        <v>0</v>
      </c>
      <c r="M1160" s="117"/>
      <c r="N1160" s="106"/>
      <c r="O1160" s="106"/>
      <c r="P1160" s="106"/>
      <c r="Q1160" s="106"/>
      <c r="R1160" s="106" t="s">
        <v>4537</v>
      </c>
    </row>
    <row r="1161" customFormat="false" ht="15" hidden="false" customHeight="false" outlineLevel="0" collapsed="false">
      <c r="A1161" s="106" t="s">
        <v>5785</v>
      </c>
      <c r="B1161" s="106" t="s">
        <v>4280</v>
      </c>
      <c r="C1161" s="106"/>
      <c r="D1161" s="106" t="n">
        <v>40</v>
      </c>
      <c r="E1161" s="107" t="n">
        <v>1</v>
      </c>
      <c r="F1161" s="106" t="n">
        <v>1</v>
      </c>
      <c r="G1161" s="118" t="n">
        <v>1</v>
      </c>
      <c r="H1161" s="116" t="n">
        <v>3.17</v>
      </c>
      <c r="I1161" s="106" t="n">
        <v>1</v>
      </c>
      <c r="J1161" s="117" t="n">
        <v>1</v>
      </c>
      <c r="K1161" s="108" t="n">
        <v>3.17</v>
      </c>
      <c r="L1161" s="108" t="n">
        <v>84.99</v>
      </c>
      <c r="M1161" s="117" t="n">
        <v>0.037</v>
      </c>
      <c r="N1161" s="106"/>
      <c r="O1161" s="106"/>
      <c r="P1161" s="106"/>
      <c r="Q1161" s="106"/>
      <c r="R1161" s="106" t="s">
        <v>4285</v>
      </c>
    </row>
    <row r="1162" customFormat="false" ht="15" hidden="false" customHeight="false" outlineLevel="0" collapsed="false">
      <c r="A1162" s="106" t="s">
        <v>5786</v>
      </c>
      <c r="B1162" s="106" t="s">
        <v>4329</v>
      </c>
      <c r="C1162" s="106"/>
      <c r="D1162" s="106" t="n">
        <v>7</v>
      </c>
      <c r="E1162" s="107" t="n">
        <v>2</v>
      </c>
      <c r="F1162" s="106" t="n">
        <v>1</v>
      </c>
      <c r="G1162" s="118" t="n">
        <v>0.5</v>
      </c>
      <c r="H1162" s="116" t="n">
        <v>3.39</v>
      </c>
      <c r="I1162" s="106" t="n">
        <v>0</v>
      </c>
      <c r="J1162" s="117" t="n">
        <v>0</v>
      </c>
      <c r="K1162" s="108" t="n">
        <v>3.39</v>
      </c>
      <c r="L1162" s="108" t="n">
        <v>0</v>
      </c>
      <c r="M1162" s="117"/>
      <c r="N1162" s="106"/>
      <c r="O1162" s="106"/>
      <c r="P1162" s="106"/>
      <c r="Q1162" s="106"/>
      <c r="R1162" s="106" t="s">
        <v>4537</v>
      </c>
    </row>
    <row r="1163" customFormat="false" ht="15" hidden="false" customHeight="false" outlineLevel="0" collapsed="false">
      <c r="A1163" s="106" t="s">
        <v>5787</v>
      </c>
      <c r="B1163" s="106" t="s">
        <v>1403</v>
      </c>
      <c r="C1163" s="106"/>
      <c r="D1163" s="106"/>
      <c r="E1163" s="107" t="n">
        <v>4</v>
      </c>
      <c r="F1163" s="106" t="n">
        <v>1</v>
      </c>
      <c r="G1163" s="118" t="n">
        <v>0.25</v>
      </c>
      <c r="H1163" s="116" t="n">
        <v>3.36</v>
      </c>
      <c r="I1163" s="106" t="n">
        <v>0</v>
      </c>
      <c r="J1163" s="117" t="n">
        <v>0</v>
      </c>
      <c r="K1163" s="108" t="n">
        <v>3.36</v>
      </c>
      <c r="L1163" s="108" t="n">
        <v>0</v>
      </c>
      <c r="M1163" s="117"/>
      <c r="N1163" s="106"/>
      <c r="O1163" s="106"/>
      <c r="P1163" s="106"/>
      <c r="Q1163" s="106"/>
      <c r="R1163" s="106" t="s">
        <v>4537</v>
      </c>
    </row>
    <row r="1164" customFormat="false" ht="15" hidden="false" customHeight="false" outlineLevel="0" collapsed="false">
      <c r="A1164" s="106" t="s">
        <v>5788</v>
      </c>
      <c r="B1164" s="106" t="s">
        <v>4329</v>
      </c>
      <c r="C1164" s="106"/>
      <c r="D1164" s="106" t="n">
        <v>141</v>
      </c>
      <c r="E1164" s="107" t="n">
        <v>6</v>
      </c>
      <c r="F1164" s="106" t="n">
        <v>1</v>
      </c>
      <c r="G1164" s="118" t="n">
        <v>0.1667</v>
      </c>
      <c r="H1164" s="116" t="n">
        <v>3.34</v>
      </c>
      <c r="I1164" s="106" t="n">
        <v>0</v>
      </c>
      <c r="J1164" s="117" t="n">
        <v>0</v>
      </c>
      <c r="K1164" s="108" t="n">
        <v>3.34</v>
      </c>
      <c r="L1164" s="108" t="n">
        <v>0</v>
      </c>
      <c r="M1164" s="117"/>
      <c r="N1164" s="106"/>
      <c r="O1164" s="106"/>
      <c r="P1164" s="106"/>
      <c r="Q1164" s="106"/>
      <c r="R1164" s="106" t="s">
        <v>4537</v>
      </c>
    </row>
    <row r="1165" customFormat="false" ht="15" hidden="false" customHeight="false" outlineLevel="0" collapsed="false">
      <c r="A1165" s="106" t="s">
        <v>5789</v>
      </c>
      <c r="B1165" s="106" t="s">
        <v>4329</v>
      </c>
      <c r="C1165" s="106"/>
      <c r="D1165" s="106"/>
      <c r="E1165" s="107" t="n">
        <v>1</v>
      </c>
      <c r="F1165" s="106" t="n">
        <v>1</v>
      </c>
      <c r="G1165" s="118" t="n">
        <v>1</v>
      </c>
      <c r="H1165" s="116" t="n">
        <v>3.31</v>
      </c>
      <c r="I1165" s="106" t="n">
        <v>0</v>
      </c>
      <c r="J1165" s="117" t="n">
        <v>0</v>
      </c>
      <c r="K1165" s="108" t="n">
        <v>3.31</v>
      </c>
      <c r="L1165" s="108" t="n">
        <v>0</v>
      </c>
      <c r="M1165" s="117"/>
      <c r="N1165" s="106"/>
      <c r="O1165" s="106"/>
      <c r="P1165" s="106"/>
      <c r="Q1165" s="106"/>
      <c r="R1165" s="106" t="s">
        <v>4537</v>
      </c>
    </row>
    <row r="1166" customFormat="false" ht="15" hidden="false" customHeight="false" outlineLevel="0" collapsed="false">
      <c r="A1166" s="106" t="s">
        <v>5790</v>
      </c>
      <c r="B1166" s="106" t="s">
        <v>1403</v>
      </c>
      <c r="C1166" s="106"/>
      <c r="D1166" s="106" t="n">
        <v>2</v>
      </c>
      <c r="E1166" s="107" t="n">
        <v>3</v>
      </c>
      <c r="F1166" s="106" t="n">
        <v>1</v>
      </c>
      <c r="G1166" s="118" t="n">
        <v>0.3333</v>
      </c>
      <c r="H1166" s="116" t="n">
        <v>3.29</v>
      </c>
      <c r="I1166" s="106" t="n">
        <v>0</v>
      </c>
      <c r="J1166" s="117" t="n">
        <v>0</v>
      </c>
      <c r="K1166" s="108" t="n">
        <v>3.29</v>
      </c>
      <c r="L1166" s="108" t="n">
        <v>0</v>
      </c>
      <c r="M1166" s="117"/>
      <c r="N1166" s="106"/>
      <c r="O1166" s="106"/>
      <c r="P1166" s="106"/>
      <c r="Q1166" s="106"/>
      <c r="R1166" s="106" t="s">
        <v>4537</v>
      </c>
    </row>
    <row r="1167" customFormat="false" ht="15" hidden="false" customHeight="false" outlineLevel="0" collapsed="false">
      <c r="A1167" s="106" t="s">
        <v>5791</v>
      </c>
      <c r="B1167" s="106" t="s">
        <v>4280</v>
      </c>
      <c r="C1167" s="106"/>
      <c r="D1167" s="106" t="n">
        <v>191</v>
      </c>
      <c r="E1167" s="107" t="n">
        <v>4</v>
      </c>
      <c r="F1167" s="106" t="n">
        <v>1</v>
      </c>
      <c r="G1167" s="118" t="n">
        <v>0.25</v>
      </c>
      <c r="H1167" s="116" t="n">
        <v>3.27</v>
      </c>
      <c r="I1167" s="106" t="n">
        <v>0</v>
      </c>
      <c r="J1167" s="117" t="n">
        <v>0</v>
      </c>
      <c r="K1167" s="108" t="n">
        <v>3.27</v>
      </c>
      <c r="L1167" s="108" t="n">
        <v>0</v>
      </c>
      <c r="M1167" s="117"/>
      <c r="N1167" s="106"/>
      <c r="O1167" s="106"/>
      <c r="P1167" s="106"/>
      <c r="Q1167" s="106"/>
      <c r="R1167" s="106" t="s">
        <v>4537</v>
      </c>
    </row>
    <row r="1168" customFormat="false" ht="15" hidden="false" customHeight="false" outlineLevel="0" collapsed="false">
      <c r="A1168" s="106" t="s">
        <v>5792</v>
      </c>
      <c r="B1168" s="106" t="s">
        <v>4280</v>
      </c>
      <c r="C1168" s="106"/>
      <c r="D1168" s="106"/>
      <c r="E1168" s="107" t="n">
        <v>2</v>
      </c>
      <c r="F1168" s="106" t="n">
        <v>1</v>
      </c>
      <c r="G1168" s="118" t="n">
        <v>0.5</v>
      </c>
      <c r="H1168" s="116" t="n">
        <v>3.27</v>
      </c>
      <c r="I1168" s="106" t="n">
        <v>0</v>
      </c>
      <c r="J1168" s="117" t="n">
        <v>0</v>
      </c>
      <c r="K1168" s="108" t="n">
        <v>3.27</v>
      </c>
      <c r="L1168" s="108" t="n">
        <v>0</v>
      </c>
      <c r="M1168" s="117"/>
      <c r="N1168" s="106"/>
      <c r="O1168" s="106"/>
      <c r="P1168" s="106"/>
      <c r="Q1168" s="106"/>
      <c r="R1168" s="106" t="s">
        <v>4537</v>
      </c>
    </row>
    <row r="1169" customFormat="false" ht="15" hidden="false" customHeight="false" outlineLevel="0" collapsed="false">
      <c r="A1169" s="106" t="s">
        <v>5793</v>
      </c>
      <c r="B1169" s="106" t="s">
        <v>4280</v>
      </c>
      <c r="C1169" s="106"/>
      <c r="D1169" s="106"/>
      <c r="E1169" s="107" t="n">
        <v>1</v>
      </c>
      <c r="F1169" s="106" t="n">
        <v>1</v>
      </c>
      <c r="G1169" s="118" t="n">
        <v>1</v>
      </c>
      <c r="H1169" s="116" t="n">
        <v>3.22</v>
      </c>
      <c r="I1169" s="106" t="n">
        <v>1</v>
      </c>
      <c r="J1169" s="117" t="n">
        <v>1</v>
      </c>
      <c r="K1169" s="108" t="n">
        <v>3.22</v>
      </c>
      <c r="L1169" s="108" t="n">
        <v>79.99</v>
      </c>
      <c r="M1169" s="117" t="n">
        <v>0.04</v>
      </c>
      <c r="N1169" s="106"/>
      <c r="O1169" s="106"/>
      <c r="P1169" s="106"/>
      <c r="Q1169" s="106"/>
      <c r="R1169" s="106" t="s">
        <v>4285</v>
      </c>
    </row>
    <row r="1170" customFormat="false" ht="15" hidden="false" customHeight="false" outlineLevel="0" collapsed="false">
      <c r="A1170" s="106" t="s">
        <v>5794</v>
      </c>
      <c r="B1170" s="106"/>
      <c r="C1170" s="106"/>
      <c r="D1170" s="106"/>
      <c r="E1170" s="107" t="n">
        <v>3</v>
      </c>
      <c r="F1170" s="106" t="n">
        <v>1</v>
      </c>
      <c r="G1170" s="118" t="n">
        <v>0.3333</v>
      </c>
      <c r="H1170" s="116" t="n">
        <v>1.61</v>
      </c>
      <c r="I1170" s="106" t="n">
        <v>0</v>
      </c>
      <c r="J1170" s="117" t="n">
        <v>0</v>
      </c>
      <c r="K1170" s="108" t="n">
        <v>1.61</v>
      </c>
      <c r="L1170" s="108" t="n">
        <v>0</v>
      </c>
      <c r="M1170" s="117"/>
      <c r="N1170" s="106"/>
      <c r="O1170" s="106"/>
      <c r="P1170" s="106"/>
      <c r="Q1170" s="106"/>
      <c r="R1170" s="106" t="s">
        <v>4537</v>
      </c>
    </row>
    <row r="1171" customFormat="false" ht="15" hidden="false" customHeight="false" outlineLevel="0" collapsed="false">
      <c r="A1171" s="106" t="s">
        <v>5795</v>
      </c>
      <c r="B1171" s="106"/>
      <c r="C1171" s="106"/>
      <c r="D1171" s="106"/>
      <c r="E1171" s="107" t="n">
        <v>1</v>
      </c>
      <c r="F1171" s="106" t="n">
        <v>1</v>
      </c>
      <c r="G1171" s="118" t="n">
        <v>1</v>
      </c>
      <c r="H1171" s="116" t="n">
        <v>1.61</v>
      </c>
      <c r="I1171" s="106" t="n">
        <v>0</v>
      </c>
      <c r="J1171" s="117" t="n">
        <v>0</v>
      </c>
      <c r="K1171" s="108" t="n">
        <v>1.61</v>
      </c>
      <c r="L1171" s="108" t="n">
        <v>0</v>
      </c>
      <c r="M1171" s="117"/>
      <c r="N1171" s="106"/>
      <c r="O1171" s="106"/>
      <c r="P1171" s="106"/>
      <c r="Q1171" s="106"/>
      <c r="R1171" s="106" t="s">
        <v>4537</v>
      </c>
    </row>
    <row r="1172" customFormat="false" ht="15" hidden="false" customHeight="false" outlineLevel="0" collapsed="false">
      <c r="A1172" s="106" t="s">
        <v>5796</v>
      </c>
      <c r="B1172" s="106"/>
      <c r="C1172" s="106"/>
      <c r="D1172" s="106"/>
      <c r="E1172" s="107" t="n">
        <v>2</v>
      </c>
      <c r="F1172" s="106" t="n">
        <v>1</v>
      </c>
      <c r="G1172" s="118" t="n">
        <v>0.5</v>
      </c>
      <c r="H1172" s="116" t="n">
        <v>1.61</v>
      </c>
      <c r="I1172" s="106" t="n">
        <v>0</v>
      </c>
      <c r="J1172" s="117" t="n">
        <v>0</v>
      </c>
      <c r="K1172" s="108" t="n">
        <v>1.61</v>
      </c>
      <c r="L1172" s="108" t="n">
        <v>0</v>
      </c>
      <c r="M1172" s="117"/>
      <c r="N1172" s="106"/>
      <c r="O1172" s="106"/>
      <c r="P1172" s="106"/>
      <c r="Q1172" s="106"/>
      <c r="R1172" s="106" t="s">
        <v>4537</v>
      </c>
    </row>
    <row r="1173" customFormat="false" ht="15" hidden="false" customHeight="false" outlineLevel="0" collapsed="false">
      <c r="A1173" s="106" t="s">
        <v>5797</v>
      </c>
      <c r="B1173" s="106"/>
      <c r="C1173" s="106"/>
      <c r="D1173" s="106"/>
      <c r="E1173" s="107" t="n">
        <v>2</v>
      </c>
      <c r="F1173" s="106" t="n">
        <v>1</v>
      </c>
      <c r="G1173" s="118" t="n">
        <v>0.5</v>
      </c>
      <c r="H1173" s="116" t="n">
        <v>1.6</v>
      </c>
      <c r="I1173" s="106" t="n">
        <v>0</v>
      </c>
      <c r="J1173" s="117" t="n">
        <v>0</v>
      </c>
      <c r="K1173" s="108" t="n">
        <v>1.6</v>
      </c>
      <c r="L1173" s="108" t="n">
        <v>0</v>
      </c>
      <c r="M1173" s="117"/>
      <c r="N1173" s="106"/>
      <c r="O1173" s="106"/>
      <c r="P1173" s="106"/>
      <c r="Q1173" s="106"/>
      <c r="R1173" s="106" t="s">
        <v>4537</v>
      </c>
    </row>
    <row r="1174" customFormat="false" ht="15" hidden="false" customHeight="false" outlineLevel="0" collapsed="false">
      <c r="A1174" s="106" t="s">
        <v>5798</v>
      </c>
      <c r="B1174" s="106" t="s">
        <v>4329</v>
      </c>
      <c r="C1174" s="106"/>
      <c r="D1174" s="106"/>
      <c r="E1174" s="107" t="n">
        <v>4</v>
      </c>
      <c r="F1174" s="106" t="n">
        <v>1</v>
      </c>
      <c r="G1174" s="118" t="n">
        <v>0.25</v>
      </c>
      <c r="H1174" s="116" t="n">
        <v>1.58</v>
      </c>
      <c r="I1174" s="106" t="n">
        <v>0</v>
      </c>
      <c r="J1174" s="117" t="n">
        <v>0</v>
      </c>
      <c r="K1174" s="108" t="n">
        <v>1.58</v>
      </c>
      <c r="L1174" s="108" t="n">
        <v>0</v>
      </c>
      <c r="M1174" s="117"/>
      <c r="N1174" s="106"/>
      <c r="O1174" s="106"/>
      <c r="P1174" s="106"/>
      <c r="Q1174" s="106"/>
      <c r="R1174" s="106" t="s">
        <v>4537</v>
      </c>
    </row>
    <row r="1175" customFormat="false" ht="15" hidden="false" customHeight="false" outlineLevel="0" collapsed="false">
      <c r="A1175" s="106" t="s">
        <v>5799</v>
      </c>
      <c r="B1175" s="106" t="s">
        <v>4280</v>
      </c>
      <c r="C1175" s="106"/>
      <c r="D1175" s="106" t="n">
        <v>110</v>
      </c>
      <c r="E1175" s="107" t="n">
        <v>14</v>
      </c>
      <c r="F1175" s="106" t="n">
        <v>1</v>
      </c>
      <c r="G1175" s="118" t="n">
        <v>0.0714</v>
      </c>
      <c r="H1175" s="116" t="n">
        <v>1.58</v>
      </c>
      <c r="I1175" s="106" t="n">
        <v>0</v>
      </c>
      <c r="J1175" s="117" t="n">
        <v>0</v>
      </c>
      <c r="K1175" s="108" t="n">
        <v>1.58</v>
      </c>
      <c r="L1175" s="108" t="n">
        <v>0</v>
      </c>
      <c r="M1175" s="117"/>
      <c r="N1175" s="106"/>
      <c r="O1175" s="106"/>
      <c r="P1175" s="106"/>
      <c r="Q1175" s="106"/>
      <c r="R1175" s="106" t="s">
        <v>4537</v>
      </c>
    </row>
    <row r="1176" customFormat="false" ht="15" hidden="false" customHeight="false" outlineLevel="0" collapsed="false">
      <c r="A1176" s="106" t="s">
        <v>5800</v>
      </c>
      <c r="B1176" s="106" t="s">
        <v>4280</v>
      </c>
      <c r="C1176" s="106"/>
      <c r="D1176" s="106"/>
      <c r="E1176" s="107" t="n">
        <v>5</v>
      </c>
      <c r="F1176" s="106" t="n">
        <v>1</v>
      </c>
      <c r="G1176" s="118" t="n">
        <v>0.2</v>
      </c>
      <c r="H1176" s="116" t="n">
        <v>1.58</v>
      </c>
      <c r="I1176" s="106" t="n">
        <v>0</v>
      </c>
      <c r="J1176" s="117" t="n">
        <v>0</v>
      </c>
      <c r="K1176" s="108" t="n">
        <v>1.58</v>
      </c>
      <c r="L1176" s="108" t="n">
        <v>0</v>
      </c>
      <c r="M1176" s="117"/>
      <c r="N1176" s="106"/>
      <c r="O1176" s="106"/>
      <c r="P1176" s="106"/>
      <c r="Q1176" s="106"/>
      <c r="R1176" s="106" t="s">
        <v>4537</v>
      </c>
    </row>
    <row r="1177" customFormat="false" ht="15" hidden="false" customHeight="false" outlineLevel="0" collapsed="false">
      <c r="A1177" s="106" t="s">
        <v>5801</v>
      </c>
      <c r="B1177" s="106" t="s">
        <v>4329</v>
      </c>
      <c r="C1177" s="106"/>
      <c r="D1177" s="106"/>
      <c r="E1177" s="107" t="n">
        <v>1</v>
      </c>
      <c r="F1177" s="106" t="n">
        <v>1</v>
      </c>
      <c r="G1177" s="118" t="n">
        <v>1</v>
      </c>
      <c r="H1177" s="116" t="n">
        <v>1.58</v>
      </c>
      <c r="I1177" s="106" t="n">
        <v>0</v>
      </c>
      <c r="J1177" s="117" t="n">
        <v>0</v>
      </c>
      <c r="K1177" s="108" t="n">
        <v>1.58</v>
      </c>
      <c r="L1177" s="108" t="n">
        <v>0</v>
      </c>
      <c r="M1177" s="117"/>
      <c r="N1177" s="106"/>
      <c r="O1177" s="106"/>
      <c r="P1177" s="106"/>
      <c r="Q1177" s="106"/>
      <c r="R1177" s="106" t="s">
        <v>4537</v>
      </c>
    </row>
    <row r="1178" customFormat="false" ht="15" hidden="false" customHeight="false" outlineLevel="0" collapsed="false">
      <c r="A1178" s="106" t="s">
        <v>5802</v>
      </c>
      <c r="B1178" s="106" t="s">
        <v>1403</v>
      </c>
      <c r="C1178" s="106"/>
      <c r="D1178" s="106" t="n">
        <v>2</v>
      </c>
      <c r="E1178" s="107" t="n">
        <v>8</v>
      </c>
      <c r="F1178" s="106" t="n">
        <v>1</v>
      </c>
      <c r="G1178" s="118" t="n">
        <v>0.125</v>
      </c>
      <c r="H1178" s="116" t="n">
        <v>1.65</v>
      </c>
      <c r="I1178" s="106" t="n">
        <v>0</v>
      </c>
      <c r="J1178" s="117" t="n">
        <v>0</v>
      </c>
      <c r="K1178" s="108" t="n">
        <v>1.65</v>
      </c>
      <c r="L1178" s="108" t="n">
        <v>0</v>
      </c>
      <c r="M1178" s="117"/>
      <c r="N1178" s="106"/>
      <c r="O1178" s="106"/>
      <c r="P1178" s="106"/>
      <c r="Q1178" s="106"/>
      <c r="R1178" s="106" t="s">
        <v>4537</v>
      </c>
    </row>
    <row r="1179" customFormat="false" ht="15" hidden="false" customHeight="false" outlineLevel="0" collapsed="false">
      <c r="A1179" s="106" t="s">
        <v>5803</v>
      </c>
      <c r="B1179" s="106" t="s">
        <v>1403</v>
      </c>
      <c r="C1179" s="106"/>
      <c r="D1179" s="106"/>
      <c r="E1179" s="107" t="n">
        <v>3</v>
      </c>
      <c r="F1179" s="106" t="n">
        <v>1</v>
      </c>
      <c r="G1179" s="118" t="n">
        <v>0.3333</v>
      </c>
      <c r="H1179" s="116" t="n">
        <v>1.64</v>
      </c>
      <c r="I1179" s="106" t="n">
        <v>0</v>
      </c>
      <c r="J1179" s="117" t="n">
        <v>0</v>
      </c>
      <c r="K1179" s="108" t="n">
        <v>1.64</v>
      </c>
      <c r="L1179" s="108" t="n">
        <v>0</v>
      </c>
      <c r="M1179" s="117"/>
      <c r="N1179" s="106"/>
      <c r="O1179" s="106"/>
      <c r="P1179" s="106"/>
      <c r="Q1179" s="106"/>
      <c r="R1179" s="106" t="s">
        <v>4537</v>
      </c>
    </row>
    <row r="1180" customFormat="false" ht="15" hidden="false" customHeight="false" outlineLevel="0" collapsed="false">
      <c r="A1180" s="106" t="s">
        <v>5804</v>
      </c>
      <c r="B1180" s="106" t="s">
        <v>1403</v>
      </c>
      <c r="C1180" s="106"/>
      <c r="D1180" s="106" t="n">
        <v>10</v>
      </c>
      <c r="E1180" s="107" t="n">
        <v>6</v>
      </c>
      <c r="F1180" s="106" t="n">
        <v>1</v>
      </c>
      <c r="G1180" s="118" t="n">
        <v>0.1667</v>
      </c>
      <c r="H1180" s="116" t="n">
        <v>1.64</v>
      </c>
      <c r="I1180" s="106" t="n">
        <v>3</v>
      </c>
      <c r="J1180" s="117" t="n">
        <v>3</v>
      </c>
      <c r="K1180" s="108" t="n">
        <v>1.64</v>
      </c>
      <c r="L1180" s="108" t="n">
        <v>214.97</v>
      </c>
      <c r="M1180" s="117" t="n">
        <v>0.008</v>
      </c>
      <c r="N1180" s="106"/>
      <c r="O1180" s="106"/>
      <c r="P1180" s="106"/>
      <c r="Q1180" s="106"/>
      <c r="R1180" s="106" t="s">
        <v>4285</v>
      </c>
    </row>
    <row r="1181" customFormat="false" ht="15" hidden="false" customHeight="false" outlineLevel="0" collapsed="false">
      <c r="A1181" s="106" t="s">
        <v>5805</v>
      </c>
      <c r="B1181" s="106" t="s">
        <v>4280</v>
      </c>
      <c r="C1181" s="106"/>
      <c r="D1181" s="106" t="n">
        <v>140</v>
      </c>
      <c r="E1181" s="107" t="n">
        <v>5</v>
      </c>
      <c r="F1181" s="106" t="n">
        <v>1</v>
      </c>
      <c r="G1181" s="118" t="n">
        <v>0.2</v>
      </c>
      <c r="H1181" s="116" t="n">
        <v>1.63</v>
      </c>
      <c r="I1181" s="106" t="n">
        <v>0</v>
      </c>
      <c r="J1181" s="117" t="n">
        <v>0</v>
      </c>
      <c r="K1181" s="108" t="n">
        <v>1.63</v>
      </c>
      <c r="L1181" s="108" t="n">
        <v>0</v>
      </c>
      <c r="M1181" s="117"/>
      <c r="N1181" s="106"/>
      <c r="O1181" s="106"/>
      <c r="P1181" s="106"/>
      <c r="Q1181" s="106"/>
      <c r="R1181" s="106" t="s">
        <v>4537</v>
      </c>
    </row>
    <row r="1182" customFormat="false" ht="15" hidden="false" customHeight="false" outlineLevel="0" collapsed="false">
      <c r="A1182" s="106" t="s">
        <v>5806</v>
      </c>
      <c r="B1182" s="106" t="s">
        <v>4329</v>
      </c>
      <c r="C1182" s="106"/>
      <c r="D1182" s="106" t="n">
        <v>6</v>
      </c>
      <c r="E1182" s="107" t="n">
        <v>1</v>
      </c>
      <c r="F1182" s="106" t="n">
        <v>1</v>
      </c>
      <c r="G1182" s="118" t="n">
        <v>1</v>
      </c>
      <c r="H1182" s="116" t="n">
        <v>1.62</v>
      </c>
      <c r="I1182" s="106" t="n">
        <v>0</v>
      </c>
      <c r="J1182" s="117" t="n">
        <v>0</v>
      </c>
      <c r="K1182" s="108" t="n">
        <v>1.62</v>
      </c>
      <c r="L1182" s="108" t="n">
        <v>0</v>
      </c>
      <c r="M1182" s="117"/>
      <c r="N1182" s="106"/>
      <c r="O1182" s="106"/>
      <c r="P1182" s="106"/>
      <c r="Q1182" s="106"/>
      <c r="R1182" s="106" t="s">
        <v>4537</v>
      </c>
    </row>
    <row r="1183" customFormat="false" ht="15" hidden="false" customHeight="false" outlineLevel="0" collapsed="false">
      <c r="A1183" s="106" t="s">
        <v>5807</v>
      </c>
      <c r="B1183" s="106"/>
      <c r="C1183" s="106"/>
      <c r="D1183" s="106"/>
      <c r="E1183" s="107" t="n">
        <v>1</v>
      </c>
      <c r="F1183" s="106" t="n">
        <v>1</v>
      </c>
      <c r="G1183" s="118" t="n">
        <v>1</v>
      </c>
      <c r="H1183" s="116" t="n">
        <v>1.62</v>
      </c>
      <c r="I1183" s="106" t="n">
        <v>0</v>
      </c>
      <c r="J1183" s="117" t="n">
        <v>0</v>
      </c>
      <c r="K1183" s="108" t="n">
        <v>1.62</v>
      </c>
      <c r="L1183" s="108" t="n">
        <v>0</v>
      </c>
      <c r="M1183" s="117"/>
      <c r="N1183" s="106"/>
      <c r="O1183" s="106"/>
      <c r="P1183" s="106"/>
      <c r="Q1183" s="106"/>
      <c r="R1183" s="106" t="s">
        <v>4537</v>
      </c>
    </row>
    <row r="1184" customFormat="false" ht="15" hidden="false" customHeight="false" outlineLevel="0" collapsed="false">
      <c r="A1184" s="106" t="s">
        <v>5808</v>
      </c>
      <c r="B1184" s="106" t="s">
        <v>1403</v>
      </c>
      <c r="C1184" s="106"/>
      <c r="D1184" s="106" t="n">
        <v>1</v>
      </c>
      <c r="E1184" s="107" t="n">
        <v>7</v>
      </c>
      <c r="F1184" s="106" t="n">
        <v>1</v>
      </c>
      <c r="G1184" s="118" t="n">
        <v>0.1429</v>
      </c>
      <c r="H1184" s="116" t="n">
        <v>1.62</v>
      </c>
      <c r="I1184" s="106" t="n">
        <v>0</v>
      </c>
      <c r="J1184" s="117" t="n">
        <v>0</v>
      </c>
      <c r="K1184" s="108" t="n">
        <v>1.62</v>
      </c>
      <c r="L1184" s="108" t="n">
        <v>0</v>
      </c>
      <c r="M1184" s="117"/>
      <c r="N1184" s="106"/>
      <c r="O1184" s="106"/>
      <c r="P1184" s="106"/>
      <c r="Q1184" s="106"/>
      <c r="R1184" s="106" t="s">
        <v>4537</v>
      </c>
    </row>
    <row r="1185" customFormat="false" ht="15" hidden="false" customHeight="false" outlineLevel="0" collapsed="false">
      <c r="A1185" s="106" t="s">
        <v>5809</v>
      </c>
      <c r="B1185" s="106" t="s">
        <v>4280</v>
      </c>
      <c r="C1185" s="106"/>
      <c r="D1185" s="106"/>
      <c r="E1185" s="107" t="n">
        <v>2</v>
      </c>
      <c r="F1185" s="106" t="n">
        <v>1</v>
      </c>
      <c r="G1185" s="118" t="n">
        <v>0.5</v>
      </c>
      <c r="H1185" s="116" t="n">
        <v>1.61</v>
      </c>
      <c r="I1185" s="106" t="n">
        <v>0</v>
      </c>
      <c r="J1185" s="117" t="n">
        <v>0</v>
      </c>
      <c r="K1185" s="108" t="n">
        <v>1.61</v>
      </c>
      <c r="L1185" s="108" t="n">
        <v>0</v>
      </c>
      <c r="M1185" s="117"/>
      <c r="N1185" s="106"/>
      <c r="O1185" s="106"/>
      <c r="P1185" s="106"/>
      <c r="Q1185" s="106"/>
      <c r="R1185" s="106" t="s">
        <v>4537</v>
      </c>
    </row>
    <row r="1186" customFormat="false" ht="15" hidden="false" customHeight="false" outlineLevel="0" collapsed="false">
      <c r="A1186" s="106" t="s">
        <v>5810</v>
      </c>
      <c r="B1186" s="106" t="s">
        <v>1403</v>
      </c>
      <c r="C1186" s="106"/>
      <c r="D1186" s="106"/>
      <c r="E1186" s="107" t="n">
        <v>2</v>
      </c>
      <c r="F1186" s="106" t="n">
        <v>1</v>
      </c>
      <c r="G1186" s="118" t="n">
        <v>0.5</v>
      </c>
      <c r="H1186" s="116" t="n">
        <v>1.44</v>
      </c>
      <c r="I1186" s="106" t="n">
        <v>0</v>
      </c>
      <c r="J1186" s="117" t="n">
        <v>0</v>
      </c>
      <c r="K1186" s="108" t="n">
        <v>1.44</v>
      </c>
      <c r="L1186" s="108" t="n">
        <v>0</v>
      </c>
      <c r="M1186" s="117"/>
      <c r="N1186" s="106"/>
      <c r="O1186" s="106"/>
      <c r="P1186" s="106"/>
      <c r="Q1186" s="106"/>
      <c r="R1186" s="106" t="s">
        <v>4537</v>
      </c>
    </row>
    <row r="1187" customFormat="false" ht="15" hidden="false" customHeight="false" outlineLevel="0" collapsed="false">
      <c r="A1187" s="106" t="s">
        <v>5811</v>
      </c>
      <c r="B1187" s="106" t="s">
        <v>4329</v>
      </c>
      <c r="C1187" s="106"/>
      <c r="D1187" s="106" t="n">
        <v>5</v>
      </c>
      <c r="E1187" s="107" t="n">
        <v>2</v>
      </c>
      <c r="F1187" s="106" t="n">
        <v>1</v>
      </c>
      <c r="G1187" s="118" t="n">
        <v>0.5</v>
      </c>
      <c r="H1187" s="116" t="n">
        <v>1.43</v>
      </c>
      <c r="I1187" s="106" t="n">
        <v>0</v>
      </c>
      <c r="J1187" s="117" t="n">
        <v>0</v>
      </c>
      <c r="K1187" s="108" t="n">
        <v>1.43</v>
      </c>
      <c r="L1187" s="108" t="n">
        <v>0</v>
      </c>
      <c r="M1187" s="117"/>
      <c r="N1187" s="106"/>
      <c r="O1187" s="106"/>
      <c r="P1187" s="106"/>
      <c r="Q1187" s="106"/>
      <c r="R1187" s="106" t="s">
        <v>4537</v>
      </c>
    </row>
    <row r="1188" customFormat="false" ht="15" hidden="false" customHeight="false" outlineLevel="0" collapsed="false">
      <c r="A1188" s="106" t="s">
        <v>5812</v>
      </c>
      <c r="B1188" s="106" t="s">
        <v>1403</v>
      </c>
      <c r="C1188" s="106"/>
      <c r="D1188" s="106"/>
      <c r="E1188" s="107" t="n">
        <v>7</v>
      </c>
      <c r="F1188" s="106" t="n">
        <v>1</v>
      </c>
      <c r="G1188" s="118" t="n">
        <v>0.1429</v>
      </c>
      <c r="H1188" s="116" t="n">
        <v>1.43</v>
      </c>
      <c r="I1188" s="106" t="n">
        <v>2</v>
      </c>
      <c r="J1188" s="117" t="n">
        <v>2</v>
      </c>
      <c r="K1188" s="108" t="n">
        <v>1.43</v>
      </c>
      <c r="L1188" s="108" t="n">
        <v>29.99</v>
      </c>
      <c r="M1188" s="117" t="n">
        <v>0.048</v>
      </c>
      <c r="N1188" s="106"/>
      <c r="O1188" s="106"/>
      <c r="P1188" s="106"/>
      <c r="Q1188" s="106"/>
      <c r="R1188" s="106" t="s">
        <v>4285</v>
      </c>
    </row>
    <row r="1189" customFormat="false" ht="15" hidden="false" customHeight="false" outlineLevel="0" collapsed="false">
      <c r="A1189" s="106" t="s">
        <v>5813</v>
      </c>
      <c r="B1189" s="106" t="s">
        <v>1403</v>
      </c>
      <c r="C1189" s="106"/>
      <c r="D1189" s="106"/>
      <c r="E1189" s="107" t="n">
        <v>24</v>
      </c>
      <c r="F1189" s="106" t="n">
        <v>1</v>
      </c>
      <c r="G1189" s="118" t="n">
        <v>0.0417</v>
      </c>
      <c r="H1189" s="116" t="n">
        <v>1.42</v>
      </c>
      <c r="I1189" s="106" t="n">
        <v>3</v>
      </c>
      <c r="J1189" s="117" t="n">
        <v>3</v>
      </c>
      <c r="K1189" s="108" t="n">
        <v>1.42</v>
      </c>
      <c r="L1189" s="108" t="n">
        <v>67.97</v>
      </c>
      <c r="M1189" s="117" t="n">
        <v>0.021</v>
      </c>
      <c r="N1189" s="106"/>
      <c r="O1189" s="106"/>
      <c r="P1189" s="106"/>
      <c r="Q1189" s="106"/>
      <c r="R1189" s="106" t="s">
        <v>4285</v>
      </c>
    </row>
    <row r="1190" customFormat="false" ht="15" hidden="false" customHeight="false" outlineLevel="0" collapsed="false">
      <c r="A1190" s="106" t="s">
        <v>5814</v>
      </c>
      <c r="B1190" s="106" t="s">
        <v>1403</v>
      </c>
      <c r="C1190" s="106"/>
      <c r="D1190" s="106" t="n">
        <v>4</v>
      </c>
      <c r="E1190" s="107" t="n">
        <v>12</v>
      </c>
      <c r="F1190" s="106" t="n">
        <v>1</v>
      </c>
      <c r="G1190" s="118" t="n">
        <v>0.0833</v>
      </c>
      <c r="H1190" s="116" t="n">
        <v>1.42</v>
      </c>
      <c r="I1190" s="106" t="n">
        <v>0</v>
      </c>
      <c r="J1190" s="117" t="n">
        <v>0</v>
      </c>
      <c r="K1190" s="108" t="n">
        <v>1.42</v>
      </c>
      <c r="L1190" s="108" t="n">
        <v>0</v>
      </c>
      <c r="M1190" s="117"/>
      <c r="N1190" s="106"/>
      <c r="O1190" s="106"/>
      <c r="P1190" s="106"/>
      <c r="Q1190" s="106"/>
      <c r="R1190" s="106" t="s">
        <v>4537</v>
      </c>
    </row>
    <row r="1191" customFormat="false" ht="15" hidden="false" customHeight="false" outlineLevel="0" collapsed="false">
      <c r="A1191" s="106" t="s">
        <v>5815</v>
      </c>
      <c r="B1191" s="106" t="s">
        <v>1403</v>
      </c>
      <c r="C1191" s="106"/>
      <c r="D1191" s="106"/>
      <c r="E1191" s="107" t="n">
        <v>2</v>
      </c>
      <c r="F1191" s="106" t="n">
        <v>1</v>
      </c>
      <c r="G1191" s="118" t="n">
        <v>0.5</v>
      </c>
      <c r="H1191" s="116" t="n">
        <v>1.42</v>
      </c>
      <c r="I1191" s="106" t="n">
        <v>3</v>
      </c>
      <c r="J1191" s="117" t="n">
        <v>3</v>
      </c>
      <c r="K1191" s="108" t="n">
        <v>1.42</v>
      </c>
      <c r="L1191" s="108" t="n">
        <v>77.97</v>
      </c>
      <c r="M1191" s="117" t="n">
        <v>0.018</v>
      </c>
      <c r="N1191" s="106"/>
      <c r="O1191" s="106"/>
      <c r="P1191" s="106"/>
      <c r="Q1191" s="106"/>
      <c r="R1191" s="106" t="s">
        <v>4285</v>
      </c>
    </row>
    <row r="1192" customFormat="false" ht="15" hidden="false" customHeight="false" outlineLevel="0" collapsed="false">
      <c r="A1192" s="106" t="s">
        <v>5816</v>
      </c>
      <c r="B1192" s="106"/>
      <c r="C1192" s="106"/>
      <c r="D1192" s="106"/>
      <c r="E1192" s="107" t="n">
        <v>2</v>
      </c>
      <c r="F1192" s="106" t="n">
        <v>1</v>
      </c>
      <c r="G1192" s="118" t="n">
        <v>0.5</v>
      </c>
      <c r="H1192" s="116" t="n">
        <v>1.41</v>
      </c>
      <c r="I1192" s="106" t="n">
        <v>0</v>
      </c>
      <c r="J1192" s="117" t="n">
        <v>0</v>
      </c>
      <c r="K1192" s="108" t="n">
        <v>1.41</v>
      </c>
      <c r="L1192" s="108" t="n">
        <v>0</v>
      </c>
      <c r="M1192" s="117"/>
      <c r="N1192" s="106"/>
      <c r="O1192" s="106"/>
      <c r="P1192" s="106"/>
      <c r="Q1192" s="106"/>
      <c r="R1192" s="106" t="s">
        <v>4537</v>
      </c>
    </row>
    <row r="1193" customFormat="false" ht="15" hidden="false" customHeight="false" outlineLevel="0" collapsed="false">
      <c r="A1193" s="106" t="s">
        <v>5817</v>
      </c>
      <c r="B1193" s="106" t="s">
        <v>1403</v>
      </c>
      <c r="C1193" s="106"/>
      <c r="D1193" s="106"/>
      <c r="E1193" s="107" t="n">
        <v>8</v>
      </c>
      <c r="F1193" s="106" t="n">
        <v>1</v>
      </c>
      <c r="G1193" s="118" t="n">
        <v>0.125</v>
      </c>
      <c r="H1193" s="116" t="n">
        <v>1.41</v>
      </c>
      <c r="I1193" s="106" t="n">
        <v>0</v>
      </c>
      <c r="J1193" s="117" t="n">
        <v>0</v>
      </c>
      <c r="K1193" s="108" t="n">
        <v>1.41</v>
      </c>
      <c r="L1193" s="108" t="n">
        <v>0</v>
      </c>
      <c r="M1193" s="117"/>
      <c r="N1193" s="106"/>
      <c r="O1193" s="106"/>
      <c r="P1193" s="106"/>
      <c r="Q1193" s="106"/>
      <c r="R1193" s="106" t="s">
        <v>4537</v>
      </c>
    </row>
    <row r="1194" customFormat="false" ht="15" hidden="false" customHeight="false" outlineLevel="0" collapsed="false">
      <c r="A1194" s="106" t="s">
        <v>5818</v>
      </c>
      <c r="B1194" s="106" t="s">
        <v>4280</v>
      </c>
      <c r="C1194" s="106"/>
      <c r="D1194" s="106" t="n">
        <v>4</v>
      </c>
      <c r="E1194" s="107" t="n">
        <v>9</v>
      </c>
      <c r="F1194" s="106" t="n">
        <v>1</v>
      </c>
      <c r="G1194" s="118" t="n">
        <v>0.1111</v>
      </c>
      <c r="H1194" s="116" t="n">
        <v>1.5</v>
      </c>
      <c r="I1194" s="106" t="n">
        <v>0</v>
      </c>
      <c r="J1194" s="117" t="n">
        <v>0</v>
      </c>
      <c r="K1194" s="108" t="n">
        <v>1.5</v>
      </c>
      <c r="L1194" s="108" t="n">
        <v>0</v>
      </c>
      <c r="M1194" s="117"/>
      <c r="N1194" s="106"/>
      <c r="O1194" s="106"/>
      <c r="P1194" s="106"/>
      <c r="Q1194" s="106"/>
      <c r="R1194" s="106" t="s">
        <v>4537</v>
      </c>
    </row>
    <row r="1195" customFormat="false" ht="15" hidden="false" customHeight="false" outlineLevel="0" collapsed="false">
      <c r="A1195" s="106" t="s">
        <v>5819</v>
      </c>
      <c r="B1195" s="106" t="s">
        <v>4329</v>
      </c>
      <c r="C1195" s="106"/>
      <c r="D1195" s="106"/>
      <c r="E1195" s="107" t="n">
        <v>1</v>
      </c>
      <c r="F1195" s="106" t="n">
        <v>1</v>
      </c>
      <c r="G1195" s="118" t="n">
        <v>1</v>
      </c>
      <c r="H1195" s="116" t="n">
        <v>1.5</v>
      </c>
      <c r="I1195" s="106" t="n">
        <v>0</v>
      </c>
      <c r="J1195" s="117" t="n">
        <v>0</v>
      </c>
      <c r="K1195" s="108" t="n">
        <v>1.5</v>
      </c>
      <c r="L1195" s="108" t="n">
        <v>0</v>
      </c>
      <c r="M1195" s="117"/>
      <c r="N1195" s="106"/>
      <c r="O1195" s="106"/>
      <c r="P1195" s="106"/>
      <c r="Q1195" s="106"/>
      <c r="R1195" s="106" t="s">
        <v>4537</v>
      </c>
    </row>
    <row r="1196" customFormat="false" ht="15" hidden="false" customHeight="false" outlineLevel="0" collapsed="false">
      <c r="A1196" s="106" t="s">
        <v>5820</v>
      </c>
      <c r="B1196" s="106"/>
      <c r="C1196" s="106"/>
      <c r="D1196" s="106"/>
      <c r="E1196" s="107" t="n">
        <v>1</v>
      </c>
      <c r="F1196" s="106" t="n">
        <v>1</v>
      </c>
      <c r="G1196" s="118" t="n">
        <v>1</v>
      </c>
      <c r="H1196" s="116" t="n">
        <v>1.5</v>
      </c>
      <c r="I1196" s="106" t="n">
        <v>0</v>
      </c>
      <c r="J1196" s="117" t="n">
        <v>0</v>
      </c>
      <c r="K1196" s="108" t="n">
        <v>1.5</v>
      </c>
      <c r="L1196" s="108" t="n">
        <v>0</v>
      </c>
      <c r="M1196" s="117"/>
      <c r="N1196" s="106"/>
      <c r="O1196" s="106"/>
      <c r="P1196" s="106"/>
      <c r="Q1196" s="106"/>
      <c r="R1196" s="106" t="s">
        <v>4537</v>
      </c>
    </row>
    <row r="1197" customFormat="false" ht="15" hidden="false" customHeight="false" outlineLevel="0" collapsed="false">
      <c r="A1197" s="106" t="s">
        <v>5821</v>
      </c>
      <c r="B1197" s="106"/>
      <c r="C1197" s="106"/>
      <c r="D1197" s="106"/>
      <c r="E1197" s="107" t="n">
        <v>1</v>
      </c>
      <c r="F1197" s="106" t="n">
        <v>1</v>
      </c>
      <c r="G1197" s="118" t="n">
        <v>1</v>
      </c>
      <c r="H1197" s="116" t="n">
        <v>1.5</v>
      </c>
      <c r="I1197" s="106" t="n">
        <v>0</v>
      </c>
      <c r="J1197" s="117" t="n">
        <v>0</v>
      </c>
      <c r="K1197" s="108" t="n">
        <v>1.5</v>
      </c>
      <c r="L1197" s="108" t="n">
        <v>0</v>
      </c>
      <c r="M1197" s="117"/>
      <c r="N1197" s="106"/>
      <c r="O1197" s="106"/>
      <c r="P1197" s="106"/>
      <c r="Q1197" s="106"/>
      <c r="R1197" s="106" t="s">
        <v>4537</v>
      </c>
    </row>
    <row r="1198" customFormat="false" ht="15" hidden="false" customHeight="false" outlineLevel="0" collapsed="false">
      <c r="A1198" s="106" t="s">
        <v>5822</v>
      </c>
      <c r="B1198" s="106" t="s">
        <v>1403</v>
      </c>
      <c r="C1198" s="106"/>
      <c r="D1198" s="106"/>
      <c r="E1198" s="107" t="n">
        <v>3</v>
      </c>
      <c r="F1198" s="106" t="n">
        <v>1</v>
      </c>
      <c r="G1198" s="118" t="n">
        <v>0.3333</v>
      </c>
      <c r="H1198" s="116" t="n">
        <v>1.47</v>
      </c>
      <c r="I1198" s="106" t="n">
        <v>0</v>
      </c>
      <c r="J1198" s="117" t="n">
        <v>0</v>
      </c>
      <c r="K1198" s="108" t="n">
        <v>1.47</v>
      </c>
      <c r="L1198" s="108" t="n">
        <v>0</v>
      </c>
      <c r="M1198" s="117"/>
      <c r="N1198" s="106"/>
      <c r="O1198" s="106"/>
      <c r="P1198" s="106"/>
      <c r="Q1198" s="106"/>
      <c r="R1198" s="106" t="s">
        <v>4537</v>
      </c>
    </row>
    <row r="1199" customFormat="false" ht="15" hidden="false" customHeight="false" outlineLevel="0" collapsed="false">
      <c r="A1199" s="106" t="s">
        <v>5823</v>
      </c>
      <c r="B1199" s="106" t="s">
        <v>4329</v>
      </c>
      <c r="C1199" s="106"/>
      <c r="D1199" s="106"/>
      <c r="E1199" s="107" t="n">
        <v>2</v>
      </c>
      <c r="F1199" s="106" t="n">
        <v>1</v>
      </c>
      <c r="G1199" s="118" t="n">
        <v>0.5</v>
      </c>
      <c r="H1199" s="116" t="n">
        <v>1.45</v>
      </c>
      <c r="I1199" s="106" t="n">
        <v>0</v>
      </c>
      <c r="J1199" s="117" t="n">
        <v>0</v>
      </c>
      <c r="K1199" s="108" t="n">
        <v>1.45</v>
      </c>
      <c r="L1199" s="108" t="n">
        <v>0</v>
      </c>
      <c r="M1199" s="117"/>
      <c r="N1199" s="106"/>
      <c r="O1199" s="106"/>
      <c r="P1199" s="106"/>
      <c r="Q1199" s="106"/>
      <c r="R1199" s="106" t="s">
        <v>4537</v>
      </c>
    </row>
    <row r="1200" customFormat="false" ht="15" hidden="false" customHeight="false" outlineLevel="0" collapsed="false">
      <c r="A1200" s="106" t="s">
        <v>5824</v>
      </c>
      <c r="B1200" s="106" t="s">
        <v>1403</v>
      </c>
      <c r="C1200" s="106"/>
      <c r="D1200" s="106"/>
      <c r="E1200" s="107" t="n">
        <v>3</v>
      </c>
      <c r="F1200" s="106" t="n">
        <v>1</v>
      </c>
      <c r="G1200" s="118" t="n">
        <v>0.3333</v>
      </c>
      <c r="H1200" s="116" t="n">
        <v>1.44</v>
      </c>
      <c r="I1200" s="106" t="n">
        <v>0</v>
      </c>
      <c r="J1200" s="117" t="n">
        <v>0</v>
      </c>
      <c r="K1200" s="108" t="n">
        <v>1.44</v>
      </c>
      <c r="L1200" s="108" t="n">
        <v>0</v>
      </c>
      <c r="M1200" s="117"/>
      <c r="N1200" s="106"/>
      <c r="O1200" s="106"/>
      <c r="P1200" s="106"/>
      <c r="Q1200" s="106"/>
      <c r="R1200" s="106" t="s">
        <v>4537</v>
      </c>
    </row>
    <row r="1201" customFormat="false" ht="15" hidden="false" customHeight="false" outlineLevel="0" collapsed="false">
      <c r="A1201" s="106" t="s">
        <v>5825</v>
      </c>
      <c r="B1201" s="106" t="s">
        <v>1403</v>
      </c>
      <c r="C1201" s="106"/>
      <c r="D1201" s="106"/>
      <c r="E1201" s="107" t="n">
        <v>5</v>
      </c>
      <c r="F1201" s="106" t="n">
        <v>1</v>
      </c>
      <c r="G1201" s="118" t="n">
        <v>0.2</v>
      </c>
      <c r="H1201" s="116" t="n">
        <v>1.44</v>
      </c>
      <c r="I1201" s="106" t="n">
        <v>2</v>
      </c>
      <c r="J1201" s="117" t="n">
        <v>2</v>
      </c>
      <c r="K1201" s="108" t="n">
        <v>1.44</v>
      </c>
      <c r="L1201" s="108" t="n">
        <v>37.98</v>
      </c>
      <c r="M1201" s="117" t="n">
        <v>0.038</v>
      </c>
      <c r="N1201" s="106"/>
      <c r="O1201" s="106"/>
      <c r="P1201" s="106"/>
      <c r="Q1201" s="106"/>
      <c r="R1201" s="106" t="s">
        <v>4285</v>
      </c>
    </row>
    <row r="1202" customFormat="false" ht="15" hidden="false" customHeight="false" outlineLevel="0" collapsed="false">
      <c r="A1202" s="106" t="s">
        <v>5826</v>
      </c>
      <c r="B1202" s="106" t="s">
        <v>1403</v>
      </c>
      <c r="C1202" s="106"/>
      <c r="D1202" s="106"/>
      <c r="E1202" s="107" t="n">
        <v>4</v>
      </c>
      <c r="F1202" s="106" t="n">
        <v>1</v>
      </c>
      <c r="G1202" s="118" t="n">
        <v>0.25</v>
      </c>
      <c r="H1202" s="116" t="n">
        <v>1.56</v>
      </c>
      <c r="I1202" s="106" t="n">
        <v>0</v>
      </c>
      <c r="J1202" s="117" t="n">
        <v>0</v>
      </c>
      <c r="K1202" s="108" t="n">
        <v>1.56</v>
      </c>
      <c r="L1202" s="108" t="n">
        <v>0</v>
      </c>
      <c r="M1202" s="117"/>
      <c r="N1202" s="106"/>
      <c r="O1202" s="106"/>
      <c r="P1202" s="106"/>
      <c r="Q1202" s="106"/>
      <c r="R1202" s="106" t="s">
        <v>4537</v>
      </c>
    </row>
    <row r="1203" customFormat="false" ht="15" hidden="false" customHeight="false" outlineLevel="0" collapsed="false">
      <c r="A1203" s="106" t="s">
        <v>5827</v>
      </c>
      <c r="B1203" s="106" t="s">
        <v>1403</v>
      </c>
      <c r="C1203" s="106"/>
      <c r="D1203" s="106" t="n">
        <v>3</v>
      </c>
      <c r="E1203" s="107" t="n">
        <v>5</v>
      </c>
      <c r="F1203" s="106" t="n">
        <v>1</v>
      </c>
      <c r="G1203" s="118" t="n">
        <v>0.2</v>
      </c>
      <c r="H1203" s="116" t="n">
        <v>1.56</v>
      </c>
      <c r="I1203" s="106" t="n">
        <v>0</v>
      </c>
      <c r="J1203" s="117" t="n">
        <v>0</v>
      </c>
      <c r="K1203" s="108" t="n">
        <v>1.56</v>
      </c>
      <c r="L1203" s="108" t="n">
        <v>0</v>
      </c>
      <c r="M1203" s="117"/>
      <c r="N1203" s="106"/>
      <c r="O1203" s="106"/>
      <c r="P1203" s="106"/>
      <c r="Q1203" s="106"/>
      <c r="R1203" s="106" t="s">
        <v>4537</v>
      </c>
    </row>
    <row r="1204" customFormat="false" ht="15" hidden="false" customHeight="false" outlineLevel="0" collapsed="false">
      <c r="A1204" s="106" t="s">
        <v>5828</v>
      </c>
      <c r="B1204" s="106" t="s">
        <v>1403</v>
      </c>
      <c r="C1204" s="106"/>
      <c r="D1204" s="106"/>
      <c r="E1204" s="107" t="n">
        <v>9</v>
      </c>
      <c r="F1204" s="106" t="n">
        <v>1</v>
      </c>
      <c r="G1204" s="118" t="n">
        <v>0.1111</v>
      </c>
      <c r="H1204" s="116" t="n">
        <v>1.56</v>
      </c>
      <c r="I1204" s="106" t="n">
        <v>0</v>
      </c>
      <c r="J1204" s="117" t="n">
        <v>0</v>
      </c>
      <c r="K1204" s="108" t="n">
        <v>1.56</v>
      </c>
      <c r="L1204" s="108" t="n">
        <v>0</v>
      </c>
      <c r="M1204" s="117"/>
      <c r="N1204" s="106"/>
      <c r="O1204" s="106"/>
      <c r="P1204" s="106"/>
      <c r="Q1204" s="106"/>
      <c r="R1204" s="106" t="s">
        <v>4537</v>
      </c>
    </row>
    <row r="1205" customFormat="false" ht="15" hidden="false" customHeight="false" outlineLevel="0" collapsed="false">
      <c r="A1205" s="106" t="s">
        <v>5829</v>
      </c>
      <c r="B1205" s="106" t="s">
        <v>1403</v>
      </c>
      <c r="C1205" s="106"/>
      <c r="D1205" s="106" t="n">
        <v>2</v>
      </c>
      <c r="E1205" s="107" t="n">
        <v>1</v>
      </c>
      <c r="F1205" s="106" t="n">
        <v>1</v>
      </c>
      <c r="G1205" s="118" t="n">
        <v>1</v>
      </c>
      <c r="H1205" s="116" t="n">
        <v>1.55</v>
      </c>
      <c r="I1205" s="106" t="n">
        <v>0</v>
      </c>
      <c r="J1205" s="117" t="n">
        <v>0</v>
      </c>
      <c r="K1205" s="108" t="n">
        <v>1.55</v>
      </c>
      <c r="L1205" s="108" t="n">
        <v>0</v>
      </c>
      <c r="M1205" s="117"/>
      <c r="N1205" s="106"/>
      <c r="O1205" s="106"/>
      <c r="P1205" s="106"/>
      <c r="Q1205" s="106"/>
      <c r="R1205" s="106" t="s">
        <v>4537</v>
      </c>
    </row>
    <row r="1206" customFormat="false" ht="15" hidden="false" customHeight="false" outlineLevel="0" collapsed="false">
      <c r="A1206" s="106" t="s">
        <v>5830</v>
      </c>
      <c r="B1206" s="106" t="s">
        <v>1403</v>
      </c>
      <c r="C1206" s="106"/>
      <c r="D1206" s="106" t="n">
        <v>1</v>
      </c>
      <c r="E1206" s="107" t="n">
        <v>1</v>
      </c>
      <c r="F1206" s="106" t="n">
        <v>1</v>
      </c>
      <c r="G1206" s="118" t="n">
        <v>1</v>
      </c>
      <c r="H1206" s="116" t="n">
        <v>1.55</v>
      </c>
      <c r="I1206" s="106" t="n">
        <v>0</v>
      </c>
      <c r="J1206" s="117" t="n">
        <v>0</v>
      </c>
      <c r="K1206" s="108" t="n">
        <v>1.55</v>
      </c>
      <c r="L1206" s="108" t="n">
        <v>0</v>
      </c>
      <c r="M1206" s="117"/>
      <c r="N1206" s="106"/>
      <c r="O1206" s="106"/>
      <c r="P1206" s="106"/>
      <c r="Q1206" s="106"/>
      <c r="R1206" s="106" t="s">
        <v>4537</v>
      </c>
    </row>
    <row r="1207" customFormat="false" ht="15" hidden="false" customHeight="false" outlineLevel="0" collapsed="false">
      <c r="A1207" s="106" t="s">
        <v>5831</v>
      </c>
      <c r="B1207" s="106" t="s">
        <v>1403</v>
      </c>
      <c r="C1207" s="106"/>
      <c r="D1207" s="106"/>
      <c r="E1207" s="107" t="n">
        <v>2</v>
      </c>
      <c r="F1207" s="106" t="n">
        <v>1</v>
      </c>
      <c r="G1207" s="118" t="n">
        <v>0.5</v>
      </c>
      <c r="H1207" s="116" t="n">
        <v>1.54</v>
      </c>
      <c r="I1207" s="106" t="n">
        <v>0</v>
      </c>
      <c r="J1207" s="117" t="n">
        <v>0</v>
      </c>
      <c r="K1207" s="108" t="n">
        <v>1.54</v>
      </c>
      <c r="L1207" s="108" t="n">
        <v>0</v>
      </c>
      <c r="M1207" s="117"/>
      <c r="N1207" s="106"/>
      <c r="O1207" s="106"/>
      <c r="P1207" s="106"/>
      <c r="Q1207" s="106"/>
      <c r="R1207" s="106" t="s">
        <v>4537</v>
      </c>
    </row>
    <row r="1208" customFormat="false" ht="15" hidden="false" customHeight="false" outlineLevel="0" collapsed="false">
      <c r="A1208" s="106" t="s">
        <v>5832</v>
      </c>
      <c r="B1208" s="106"/>
      <c r="C1208" s="106"/>
      <c r="D1208" s="106"/>
      <c r="E1208" s="107" t="n">
        <v>1</v>
      </c>
      <c r="F1208" s="106" t="n">
        <v>1</v>
      </c>
      <c r="G1208" s="118" t="n">
        <v>1</v>
      </c>
      <c r="H1208" s="116" t="n">
        <v>1.51</v>
      </c>
      <c r="I1208" s="106" t="n">
        <v>0</v>
      </c>
      <c r="J1208" s="117" t="n">
        <v>0</v>
      </c>
      <c r="K1208" s="108" t="n">
        <v>1.51</v>
      </c>
      <c r="L1208" s="108" t="n">
        <v>0</v>
      </c>
      <c r="M1208" s="117"/>
      <c r="N1208" s="106"/>
      <c r="O1208" s="106"/>
      <c r="P1208" s="106"/>
      <c r="Q1208" s="106"/>
      <c r="R1208" s="106" t="s">
        <v>4537</v>
      </c>
    </row>
    <row r="1209" customFormat="false" ht="15" hidden="false" customHeight="false" outlineLevel="0" collapsed="false">
      <c r="A1209" s="106" t="s">
        <v>5833</v>
      </c>
      <c r="B1209" s="106"/>
      <c r="C1209" s="106"/>
      <c r="D1209" s="106"/>
      <c r="E1209" s="107" t="n">
        <v>1</v>
      </c>
      <c r="F1209" s="106" t="n">
        <v>1</v>
      </c>
      <c r="G1209" s="118" t="n">
        <v>1</v>
      </c>
      <c r="H1209" s="116" t="n">
        <v>1.51</v>
      </c>
      <c r="I1209" s="106" t="n">
        <v>0</v>
      </c>
      <c r="J1209" s="117" t="n">
        <v>0</v>
      </c>
      <c r="K1209" s="108" t="n">
        <v>1.51</v>
      </c>
      <c r="L1209" s="108" t="n">
        <v>0</v>
      </c>
      <c r="M1209" s="117"/>
      <c r="N1209" s="106"/>
      <c r="O1209" s="106"/>
      <c r="P1209" s="106"/>
      <c r="Q1209" s="106"/>
      <c r="R1209" s="106" t="s">
        <v>4537</v>
      </c>
    </row>
    <row r="1210" customFormat="false" ht="15" hidden="false" customHeight="false" outlineLevel="0" collapsed="false">
      <c r="A1210" s="106" t="s">
        <v>5834</v>
      </c>
      <c r="B1210" s="106" t="s">
        <v>4280</v>
      </c>
      <c r="C1210" s="106" t="s">
        <v>4301</v>
      </c>
      <c r="D1210" s="106" t="n">
        <v>476</v>
      </c>
      <c r="E1210" s="107" t="n">
        <v>3</v>
      </c>
      <c r="F1210" s="106" t="n">
        <v>1</v>
      </c>
      <c r="G1210" s="118" t="n">
        <v>0.3333</v>
      </c>
      <c r="H1210" s="116" t="n">
        <v>3.17</v>
      </c>
      <c r="I1210" s="106" t="n">
        <v>0</v>
      </c>
      <c r="J1210" s="117" t="n">
        <v>0</v>
      </c>
      <c r="K1210" s="108" t="n">
        <v>3.17</v>
      </c>
      <c r="L1210" s="108" t="n">
        <v>0</v>
      </c>
      <c r="M1210" s="117"/>
      <c r="N1210" s="106"/>
      <c r="O1210" s="106"/>
      <c r="P1210" s="106"/>
      <c r="Q1210" s="106"/>
      <c r="R1210" s="106" t="s">
        <v>4537</v>
      </c>
    </row>
    <row r="1211" customFormat="false" ht="15" hidden="false" customHeight="false" outlineLevel="0" collapsed="false">
      <c r="A1211" s="106" t="s">
        <v>5835</v>
      </c>
      <c r="B1211" s="106" t="s">
        <v>4329</v>
      </c>
      <c r="C1211" s="106"/>
      <c r="D1211" s="106" t="n">
        <v>30</v>
      </c>
      <c r="E1211" s="107" t="n">
        <v>4</v>
      </c>
      <c r="F1211" s="106" t="n">
        <v>1</v>
      </c>
      <c r="G1211" s="118" t="n">
        <v>0.25</v>
      </c>
      <c r="H1211" s="116" t="n">
        <v>3.17</v>
      </c>
      <c r="I1211" s="106" t="n">
        <v>0</v>
      </c>
      <c r="J1211" s="117" t="n">
        <v>0</v>
      </c>
      <c r="K1211" s="108" t="n">
        <v>3.17</v>
      </c>
      <c r="L1211" s="108" t="n">
        <v>0</v>
      </c>
      <c r="M1211" s="117"/>
      <c r="N1211" s="106"/>
      <c r="O1211" s="106"/>
      <c r="P1211" s="106"/>
      <c r="Q1211" s="106"/>
      <c r="R1211" s="106" t="s">
        <v>4537</v>
      </c>
    </row>
    <row r="1212" customFormat="false" ht="15" hidden="false" customHeight="false" outlineLevel="0" collapsed="false">
      <c r="A1212" s="106" t="s">
        <v>5836</v>
      </c>
      <c r="B1212" s="106" t="s">
        <v>4329</v>
      </c>
      <c r="C1212" s="106"/>
      <c r="D1212" s="106" t="n">
        <v>7</v>
      </c>
      <c r="E1212" s="107" t="n">
        <v>1</v>
      </c>
      <c r="F1212" s="106" t="n">
        <v>1</v>
      </c>
      <c r="G1212" s="118" t="n">
        <v>1</v>
      </c>
      <c r="H1212" s="116" t="n">
        <v>3.17</v>
      </c>
      <c r="I1212" s="106" t="n">
        <v>0</v>
      </c>
      <c r="J1212" s="117" t="n">
        <v>0</v>
      </c>
      <c r="K1212" s="108" t="n">
        <v>3.17</v>
      </c>
      <c r="L1212" s="108" t="n">
        <v>0</v>
      </c>
      <c r="M1212" s="117"/>
      <c r="N1212" s="106"/>
      <c r="O1212" s="106"/>
      <c r="P1212" s="106"/>
      <c r="Q1212" s="106"/>
      <c r="R1212" s="106" t="s">
        <v>4537</v>
      </c>
    </row>
    <row r="1213" customFormat="false" ht="15" hidden="false" customHeight="false" outlineLevel="0" collapsed="false">
      <c r="A1213" s="106" t="s">
        <v>5837</v>
      </c>
      <c r="B1213" s="106" t="s">
        <v>4329</v>
      </c>
      <c r="C1213" s="106"/>
      <c r="D1213" s="106" t="n">
        <v>32</v>
      </c>
      <c r="E1213" s="107" t="n">
        <v>5</v>
      </c>
      <c r="F1213" s="106" t="n">
        <v>1</v>
      </c>
      <c r="G1213" s="118" t="n">
        <v>0.2</v>
      </c>
      <c r="H1213" s="116" t="n">
        <v>3.17</v>
      </c>
      <c r="I1213" s="106" t="n">
        <v>0</v>
      </c>
      <c r="J1213" s="117" t="n">
        <v>0</v>
      </c>
      <c r="K1213" s="108" t="n">
        <v>3.17</v>
      </c>
      <c r="L1213" s="108" t="n">
        <v>0</v>
      </c>
      <c r="M1213" s="117"/>
      <c r="N1213" s="106"/>
      <c r="O1213" s="106"/>
      <c r="P1213" s="106"/>
      <c r="Q1213" s="106"/>
      <c r="R1213" s="106" t="s">
        <v>4537</v>
      </c>
    </row>
    <row r="1214" customFormat="false" ht="15" hidden="false" customHeight="false" outlineLevel="0" collapsed="false">
      <c r="A1214" s="106" t="s">
        <v>5838</v>
      </c>
      <c r="B1214" s="106" t="s">
        <v>4280</v>
      </c>
      <c r="C1214" s="106"/>
      <c r="D1214" s="106" t="n">
        <v>186</v>
      </c>
      <c r="E1214" s="107" t="n">
        <v>1</v>
      </c>
      <c r="F1214" s="106" t="n">
        <v>1</v>
      </c>
      <c r="G1214" s="118" t="n">
        <v>1</v>
      </c>
      <c r="H1214" s="116" t="n">
        <v>3.17</v>
      </c>
      <c r="I1214" s="106" t="n">
        <v>0</v>
      </c>
      <c r="J1214" s="117" t="n">
        <v>0</v>
      </c>
      <c r="K1214" s="108" t="n">
        <v>3.17</v>
      </c>
      <c r="L1214" s="108" t="n">
        <v>0</v>
      </c>
      <c r="M1214" s="117"/>
      <c r="N1214" s="106"/>
      <c r="O1214" s="106"/>
      <c r="P1214" s="106"/>
      <c r="Q1214" s="106"/>
      <c r="R1214" s="106" t="s">
        <v>4537</v>
      </c>
    </row>
    <row r="1215" customFormat="false" ht="15" hidden="false" customHeight="false" outlineLevel="0" collapsed="false">
      <c r="A1215" s="106" t="s">
        <v>5839</v>
      </c>
      <c r="B1215" s="106" t="s">
        <v>4280</v>
      </c>
      <c r="C1215" s="106"/>
      <c r="D1215" s="106" t="n">
        <v>19</v>
      </c>
      <c r="E1215" s="107" t="n">
        <v>5</v>
      </c>
      <c r="F1215" s="106" t="n">
        <v>1</v>
      </c>
      <c r="G1215" s="118" t="n">
        <v>0.2</v>
      </c>
      <c r="H1215" s="116" t="n">
        <v>1.58</v>
      </c>
      <c r="I1215" s="106" t="n">
        <v>0</v>
      </c>
      <c r="J1215" s="117" t="n">
        <v>0</v>
      </c>
      <c r="K1215" s="108" t="n">
        <v>1.58</v>
      </c>
      <c r="L1215" s="108" t="n">
        <v>0</v>
      </c>
      <c r="M1215" s="117"/>
      <c r="N1215" s="106"/>
      <c r="O1215" s="106"/>
      <c r="P1215" s="106"/>
      <c r="Q1215" s="106"/>
      <c r="R1215" s="106" t="s">
        <v>4537</v>
      </c>
    </row>
    <row r="1216" customFormat="false" ht="15" hidden="false" customHeight="false" outlineLevel="0" collapsed="false">
      <c r="A1216" s="106" t="s">
        <v>5840</v>
      </c>
      <c r="B1216" s="106" t="s">
        <v>1403</v>
      </c>
      <c r="C1216" s="106"/>
      <c r="D1216" s="106" t="n">
        <v>1</v>
      </c>
      <c r="E1216" s="107" t="n">
        <v>5</v>
      </c>
      <c r="F1216" s="106" t="n">
        <v>1</v>
      </c>
      <c r="G1216" s="118" t="n">
        <v>0.2</v>
      </c>
      <c r="H1216" s="116" t="n">
        <v>1.58</v>
      </c>
      <c r="I1216" s="106" t="n">
        <v>0</v>
      </c>
      <c r="J1216" s="117" t="n">
        <v>0</v>
      </c>
      <c r="K1216" s="108" t="n">
        <v>1.58</v>
      </c>
      <c r="L1216" s="108" t="n">
        <v>0</v>
      </c>
      <c r="M1216" s="117"/>
      <c r="N1216" s="106"/>
      <c r="O1216" s="106"/>
      <c r="P1216" s="106"/>
      <c r="Q1216" s="106"/>
      <c r="R1216" s="106" t="s">
        <v>4537</v>
      </c>
    </row>
    <row r="1217" customFormat="false" ht="15" hidden="false" customHeight="false" outlineLevel="0" collapsed="false">
      <c r="A1217" s="106" t="s">
        <v>5841</v>
      </c>
      <c r="B1217" s="106" t="s">
        <v>4280</v>
      </c>
      <c r="C1217" s="106" t="s">
        <v>4288</v>
      </c>
      <c r="D1217" s="106" t="n">
        <v>330</v>
      </c>
      <c r="E1217" s="107" t="n">
        <v>1</v>
      </c>
      <c r="F1217" s="106" t="n">
        <v>1</v>
      </c>
      <c r="G1217" s="118" t="n">
        <v>1</v>
      </c>
      <c r="H1217" s="116" t="n">
        <v>1.58</v>
      </c>
      <c r="I1217" s="106" t="n">
        <v>0</v>
      </c>
      <c r="J1217" s="117" t="n">
        <v>0</v>
      </c>
      <c r="K1217" s="108" t="n">
        <v>1.58</v>
      </c>
      <c r="L1217" s="108" t="n">
        <v>0</v>
      </c>
      <c r="M1217" s="117"/>
      <c r="N1217" s="106"/>
      <c r="O1217" s="106"/>
      <c r="P1217" s="106"/>
      <c r="Q1217" s="106"/>
      <c r="R1217" s="106" t="s">
        <v>4537</v>
      </c>
    </row>
    <row r="1218" customFormat="false" ht="15" hidden="false" customHeight="false" outlineLevel="0" collapsed="false">
      <c r="A1218" s="106" t="s">
        <v>5842</v>
      </c>
      <c r="B1218" s="106" t="s">
        <v>4280</v>
      </c>
      <c r="C1218" s="106"/>
      <c r="D1218" s="106" t="n">
        <v>181</v>
      </c>
      <c r="E1218" s="107" t="n">
        <v>3</v>
      </c>
      <c r="F1218" s="106" t="n">
        <v>1</v>
      </c>
      <c r="G1218" s="118" t="n">
        <v>0.3333</v>
      </c>
      <c r="H1218" s="116" t="n">
        <v>1.23</v>
      </c>
      <c r="I1218" s="106" t="n">
        <v>0</v>
      </c>
      <c r="J1218" s="117" t="n">
        <v>0</v>
      </c>
      <c r="K1218" s="108" t="n">
        <v>1.23</v>
      </c>
      <c r="L1218" s="108" t="n">
        <v>0</v>
      </c>
      <c r="M1218" s="117"/>
      <c r="N1218" s="106"/>
      <c r="O1218" s="106"/>
      <c r="P1218" s="106"/>
      <c r="Q1218" s="106"/>
      <c r="R1218" s="106" t="s">
        <v>4537</v>
      </c>
    </row>
    <row r="1219" customFormat="false" ht="15" hidden="false" customHeight="false" outlineLevel="0" collapsed="false">
      <c r="A1219" s="106" t="s">
        <v>5843</v>
      </c>
      <c r="B1219" s="106" t="s">
        <v>4329</v>
      </c>
      <c r="C1219" s="106"/>
      <c r="D1219" s="106"/>
      <c r="E1219" s="107" t="n">
        <v>2</v>
      </c>
      <c r="F1219" s="106" t="n">
        <v>1</v>
      </c>
      <c r="G1219" s="118" t="n">
        <v>0.5</v>
      </c>
      <c r="H1219" s="116" t="n">
        <v>1.23</v>
      </c>
      <c r="I1219" s="106" t="n">
        <v>0</v>
      </c>
      <c r="J1219" s="117" t="n">
        <v>0</v>
      </c>
      <c r="K1219" s="108" t="n">
        <v>1.23</v>
      </c>
      <c r="L1219" s="108" t="n">
        <v>0</v>
      </c>
      <c r="M1219" s="117"/>
      <c r="N1219" s="106"/>
      <c r="O1219" s="106"/>
      <c r="P1219" s="106"/>
      <c r="Q1219" s="106"/>
      <c r="R1219" s="106" t="s">
        <v>4537</v>
      </c>
    </row>
    <row r="1220" customFormat="false" ht="15" hidden="false" customHeight="false" outlineLevel="0" collapsed="false">
      <c r="A1220" s="106" t="s">
        <v>5844</v>
      </c>
      <c r="B1220" s="106"/>
      <c r="C1220" s="106"/>
      <c r="D1220" s="106"/>
      <c r="E1220" s="107" t="n">
        <v>31</v>
      </c>
      <c r="F1220" s="106" t="n">
        <v>1</v>
      </c>
      <c r="G1220" s="118" t="n">
        <v>0.0323</v>
      </c>
      <c r="H1220" s="116" t="n">
        <v>1.23</v>
      </c>
      <c r="I1220" s="106" t="n">
        <v>0</v>
      </c>
      <c r="J1220" s="117" t="n">
        <v>0</v>
      </c>
      <c r="K1220" s="108" t="n">
        <v>1.23</v>
      </c>
      <c r="L1220" s="108" t="n">
        <v>0</v>
      </c>
      <c r="M1220" s="117"/>
      <c r="N1220" s="106"/>
      <c r="O1220" s="106"/>
      <c r="P1220" s="106"/>
      <c r="Q1220" s="106"/>
      <c r="R1220" s="106" t="s">
        <v>4537</v>
      </c>
    </row>
    <row r="1221" customFormat="false" ht="15" hidden="false" customHeight="false" outlineLevel="0" collapsed="false">
      <c r="A1221" s="106" t="s">
        <v>5845</v>
      </c>
      <c r="B1221" s="106" t="s">
        <v>4280</v>
      </c>
      <c r="C1221" s="106"/>
      <c r="D1221" s="106" t="n">
        <v>13</v>
      </c>
      <c r="E1221" s="107" t="n">
        <v>8</v>
      </c>
      <c r="F1221" s="106" t="n">
        <v>1</v>
      </c>
      <c r="G1221" s="118" t="n">
        <v>0.125</v>
      </c>
      <c r="H1221" s="116" t="n">
        <v>1.22</v>
      </c>
      <c r="I1221" s="106" t="n">
        <v>0</v>
      </c>
      <c r="J1221" s="117" t="n">
        <v>0</v>
      </c>
      <c r="K1221" s="108" t="n">
        <v>1.22</v>
      </c>
      <c r="L1221" s="108" t="n">
        <v>0</v>
      </c>
      <c r="M1221" s="117"/>
      <c r="N1221" s="106"/>
      <c r="O1221" s="106"/>
      <c r="P1221" s="106"/>
      <c r="Q1221" s="106"/>
      <c r="R1221" s="106" t="s">
        <v>4537</v>
      </c>
    </row>
    <row r="1222" customFormat="false" ht="15" hidden="false" customHeight="false" outlineLevel="0" collapsed="false">
      <c r="A1222" s="106" t="s">
        <v>5846</v>
      </c>
      <c r="B1222" s="106" t="s">
        <v>4280</v>
      </c>
      <c r="C1222" s="106"/>
      <c r="D1222" s="106" t="n">
        <v>18</v>
      </c>
      <c r="E1222" s="107" t="n">
        <v>1</v>
      </c>
      <c r="F1222" s="106" t="n">
        <v>1</v>
      </c>
      <c r="G1222" s="118" t="n">
        <v>1</v>
      </c>
      <c r="H1222" s="116" t="n">
        <v>1.22</v>
      </c>
      <c r="I1222" s="106" t="n">
        <v>1</v>
      </c>
      <c r="J1222" s="117" t="n">
        <v>1</v>
      </c>
      <c r="K1222" s="108" t="n">
        <v>1.22</v>
      </c>
      <c r="L1222" s="108" t="n">
        <v>59.99</v>
      </c>
      <c r="M1222" s="117" t="n">
        <v>0.02</v>
      </c>
      <c r="N1222" s="106"/>
      <c r="O1222" s="106"/>
      <c r="P1222" s="106"/>
      <c r="Q1222" s="106"/>
      <c r="R1222" s="106" t="s">
        <v>4285</v>
      </c>
    </row>
    <row r="1223" customFormat="false" ht="15" hidden="false" customHeight="false" outlineLevel="0" collapsed="false">
      <c r="A1223" s="106" t="s">
        <v>5847</v>
      </c>
      <c r="B1223" s="106" t="s">
        <v>1403</v>
      </c>
      <c r="C1223" s="106"/>
      <c r="D1223" s="106"/>
      <c r="E1223" s="107" t="n">
        <v>13</v>
      </c>
      <c r="F1223" s="106" t="n">
        <v>1</v>
      </c>
      <c r="G1223" s="118" t="n">
        <v>0.0769</v>
      </c>
      <c r="H1223" s="116" t="n">
        <v>1.21</v>
      </c>
      <c r="I1223" s="106" t="n">
        <v>0</v>
      </c>
      <c r="J1223" s="117" t="n">
        <v>0</v>
      </c>
      <c r="K1223" s="108" t="n">
        <v>1.21</v>
      </c>
      <c r="L1223" s="108" t="n">
        <v>0</v>
      </c>
      <c r="M1223" s="117"/>
      <c r="N1223" s="106"/>
      <c r="O1223" s="106"/>
      <c r="P1223" s="106"/>
      <c r="Q1223" s="106"/>
      <c r="R1223" s="106" t="s">
        <v>4537</v>
      </c>
    </row>
    <row r="1224" customFormat="false" ht="15" hidden="false" customHeight="false" outlineLevel="0" collapsed="false">
      <c r="A1224" s="106" t="s">
        <v>5848</v>
      </c>
      <c r="B1224" s="106" t="s">
        <v>4329</v>
      </c>
      <c r="C1224" s="106"/>
      <c r="D1224" s="106" t="n">
        <v>34</v>
      </c>
      <c r="E1224" s="107" t="n">
        <v>5</v>
      </c>
      <c r="F1224" s="106" t="n">
        <v>1</v>
      </c>
      <c r="G1224" s="118" t="n">
        <v>0.2</v>
      </c>
      <c r="H1224" s="116" t="n">
        <v>1.2</v>
      </c>
      <c r="I1224" s="106" t="n">
        <v>0</v>
      </c>
      <c r="J1224" s="117" t="n">
        <v>0</v>
      </c>
      <c r="K1224" s="108" t="n">
        <v>1.2</v>
      </c>
      <c r="L1224" s="108" t="n">
        <v>0</v>
      </c>
      <c r="M1224" s="117"/>
      <c r="N1224" s="106"/>
      <c r="O1224" s="106"/>
      <c r="P1224" s="106"/>
      <c r="Q1224" s="106"/>
      <c r="R1224" s="106" t="s">
        <v>4537</v>
      </c>
    </row>
    <row r="1225" customFormat="false" ht="15" hidden="false" customHeight="false" outlineLevel="0" collapsed="false">
      <c r="A1225" s="106" t="s">
        <v>5849</v>
      </c>
      <c r="B1225" s="106" t="s">
        <v>4329</v>
      </c>
      <c r="C1225" s="106"/>
      <c r="D1225" s="106"/>
      <c r="E1225" s="107" t="n">
        <v>3</v>
      </c>
      <c r="F1225" s="106" t="n">
        <v>1</v>
      </c>
      <c r="G1225" s="118" t="n">
        <v>0.3333</v>
      </c>
      <c r="H1225" s="116" t="n">
        <v>1.2</v>
      </c>
      <c r="I1225" s="106" t="n">
        <v>0</v>
      </c>
      <c r="J1225" s="117" t="n">
        <v>0</v>
      </c>
      <c r="K1225" s="108" t="n">
        <v>1.2</v>
      </c>
      <c r="L1225" s="108" t="n">
        <v>0</v>
      </c>
      <c r="M1225" s="117"/>
      <c r="N1225" s="106"/>
      <c r="O1225" s="106"/>
      <c r="P1225" s="106"/>
      <c r="Q1225" s="106"/>
      <c r="R1225" s="106" t="s">
        <v>4537</v>
      </c>
    </row>
    <row r="1226" customFormat="false" ht="15" hidden="false" customHeight="false" outlineLevel="0" collapsed="false">
      <c r="A1226" s="106" t="s">
        <v>5850</v>
      </c>
      <c r="B1226" s="106"/>
      <c r="C1226" s="106"/>
      <c r="D1226" s="106"/>
      <c r="E1226" s="107" t="n">
        <v>4</v>
      </c>
      <c r="F1226" s="106" t="n">
        <v>1</v>
      </c>
      <c r="G1226" s="118" t="n">
        <v>0.25</v>
      </c>
      <c r="H1226" s="116" t="n">
        <v>1.24</v>
      </c>
      <c r="I1226" s="106" t="n">
        <v>0</v>
      </c>
      <c r="J1226" s="117" t="n">
        <v>0</v>
      </c>
      <c r="K1226" s="108" t="n">
        <v>1.24</v>
      </c>
      <c r="L1226" s="108" t="n">
        <v>0</v>
      </c>
      <c r="M1226" s="117"/>
      <c r="N1226" s="106"/>
      <c r="O1226" s="106"/>
      <c r="P1226" s="106"/>
      <c r="Q1226" s="106"/>
      <c r="R1226" s="106" t="s">
        <v>4537</v>
      </c>
    </row>
    <row r="1227" customFormat="false" ht="15" hidden="false" customHeight="false" outlineLevel="0" collapsed="false">
      <c r="A1227" s="106" t="s">
        <v>5851</v>
      </c>
      <c r="B1227" s="106" t="s">
        <v>4280</v>
      </c>
      <c r="C1227" s="106"/>
      <c r="D1227" s="106" t="n">
        <v>3</v>
      </c>
      <c r="E1227" s="107" t="n">
        <v>1</v>
      </c>
      <c r="F1227" s="106" t="n">
        <v>1</v>
      </c>
      <c r="G1227" s="118" t="n">
        <v>1</v>
      </c>
      <c r="H1227" s="116" t="n">
        <v>1.24</v>
      </c>
      <c r="I1227" s="106" t="n">
        <v>0</v>
      </c>
      <c r="J1227" s="117" t="n">
        <v>0</v>
      </c>
      <c r="K1227" s="108" t="n">
        <v>1.24</v>
      </c>
      <c r="L1227" s="108" t="n">
        <v>0</v>
      </c>
      <c r="M1227" s="117"/>
      <c r="N1227" s="106"/>
      <c r="O1227" s="106"/>
      <c r="P1227" s="106"/>
      <c r="Q1227" s="106"/>
      <c r="R1227" s="106" t="s">
        <v>4537</v>
      </c>
    </row>
    <row r="1228" customFormat="false" ht="15" hidden="false" customHeight="false" outlineLevel="0" collapsed="false">
      <c r="A1228" s="106" t="s">
        <v>5852</v>
      </c>
      <c r="B1228" s="106"/>
      <c r="C1228" s="106"/>
      <c r="D1228" s="106"/>
      <c r="E1228" s="107" t="n">
        <v>2</v>
      </c>
      <c r="F1228" s="106" t="n">
        <v>1</v>
      </c>
      <c r="G1228" s="118" t="n">
        <v>0.5</v>
      </c>
      <c r="H1228" s="116" t="n">
        <v>1.24</v>
      </c>
      <c r="I1228" s="106" t="n">
        <v>0</v>
      </c>
      <c r="J1228" s="117" t="n">
        <v>0</v>
      </c>
      <c r="K1228" s="108" t="n">
        <v>1.24</v>
      </c>
      <c r="L1228" s="108" t="n">
        <v>0</v>
      </c>
      <c r="M1228" s="117"/>
      <c r="N1228" s="106"/>
      <c r="O1228" s="106"/>
      <c r="P1228" s="106"/>
      <c r="Q1228" s="106"/>
      <c r="R1228" s="106" t="s">
        <v>4537</v>
      </c>
    </row>
    <row r="1229" customFormat="false" ht="15" hidden="false" customHeight="false" outlineLevel="0" collapsed="false">
      <c r="A1229" s="106" t="s">
        <v>5853</v>
      </c>
      <c r="B1229" s="106"/>
      <c r="C1229" s="106"/>
      <c r="D1229" s="106"/>
      <c r="E1229" s="107" t="n">
        <v>1</v>
      </c>
      <c r="F1229" s="106" t="n">
        <v>1</v>
      </c>
      <c r="G1229" s="118" t="n">
        <v>1</v>
      </c>
      <c r="H1229" s="116" t="n">
        <v>1.24</v>
      </c>
      <c r="I1229" s="106" t="n">
        <v>0</v>
      </c>
      <c r="J1229" s="117" t="n">
        <v>0</v>
      </c>
      <c r="K1229" s="108" t="n">
        <v>1.24</v>
      </c>
      <c r="L1229" s="108" t="n">
        <v>0</v>
      </c>
      <c r="M1229" s="117"/>
      <c r="N1229" s="106"/>
      <c r="O1229" s="106"/>
      <c r="P1229" s="106"/>
      <c r="Q1229" s="106"/>
      <c r="R1229" s="106" t="s">
        <v>4537</v>
      </c>
    </row>
    <row r="1230" customFormat="false" ht="15" hidden="false" customHeight="false" outlineLevel="0" collapsed="false">
      <c r="A1230" s="106" t="s">
        <v>5854</v>
      </c>
      <c r="B1230" s="106" t="s">
        <v>4284</v>
      </c>
      <c r="C1230" s="106"/>
      <c r="D1230" s="106"/>
      <c r="E1230" s="107" t="n">
        <v>16</v>
      </c>
      <c r="F1230" s="106" t="n">
        <v>1</v>
      </c>
      <c r="G1230" s="118" t="n">
        <v>0.0625</v>
      </c>
      <c r="H1230" s="116" t="n">
        <v>1.24</v>
      </c>
      <c r="I1230" s="106" t="n">
        <v>0</v>
      </c>
      <c r="J1230" s="117" t="n">
        <v>0</v>
      </c>
      <c r="K1230" s="108" t="n">
        <v>1.24</v>
      </c>
      <c r="L1230" s="108" t="n">
        <v>0</v>
      </c>
      <c r="M1230" s="117"/>
      <c r="N1230" s="106"/>
      <c r="O1230" s="106"/>
      <c r="P1230" s="106"/>
      <c r="Q1230" s="106"/>
      <c r="R1230" s="106" t="s">
        <v>4537</v>
      </c>
    </row>
    <row r="1231" customFormat="false" ht="15" hidden="false" customHeight="false" outlineLevel="0" collapsed="false">
      <c r="A1231" s="106" t="s">
        <v>5855</v>
      </c>
      <c r="B1231" s="106" t="s">
        <v>1403</v>
      </c>
      <c r="C1231" s="106"/>
      <c r="D1231" s="106"/>
      <c r="E1231" s="107" t="n">
        <v>14</v>
      </c>
      <c r="F1231" s="106" t="n">
        <v>1</v>
      </c>
      <c r="G1231" s="118" t="n">
        <v>0.0714</v>
      </c>
      <c r="H1231" s="116" t="n">
        <v>1.24</v>
      </c>
      <c r="I1231" s="106" t="n">
        <v>0</v>
      </c>
      <c r="J1231" s="117" t="n">
        <v>0</v>
      </c>
      <c r="K1231" s="108" t="n">
        <v>1.24</v>
      </c>
      <c r="L1231" s="108" t="n">
        <v>0</v>
      </c>
      <c r="M1231" s="117"/>
      <c r="N1231" s="106"/>
      <c r="O1231" s="106"/>
      <c r="P1231" s="106"/>
      <c r="Q1231" s="106"/>
      <c r="R1231" s="106" t="s">
        <v>4537</v>
      </c>
    </row>
    <row r="1232" customFormat="false" ht="15" hidden="false" customHeight="false" outlineLevel="0" collapsed="false">
      <c r="A1232" s="106" t="s">
        <v>5856</v>
      </c>
      <c r="B1232" s="106"/>
      <c r="C1232" s="106"/>
      <c r="D1232" s="106"/>
      <c r="E1232" s="107" t="n">
        <v>1</v>
      </c>
      <c r="F1232" s="106" t="n">
        <v>1</v>
      </c>
      <c r="G1232" s="118" t="n">
        <v>1</v>
      </c>
      <c r="H1232" s="116" t="n">
        <v>1.24</v>
      </c>
      <c r="I1232" s="106" t="n">
        <v>0</v>
      </c>
      <c r="J1232" s="117" t="n">
        <v>0</v>
      </c>
      <c r="K1232" s="108" t="n">
        <v>1.24</v>
      </c>
      <c r="L1232" s="108" t="n">
        <v>0</v>
      </c>
      <c r="M1232" s="117"/>
      <c r="N1232" s="106"/>
      <c r="O1232" s="106"/>
      <c r="P1232" s="106"/>
      <c r="Q1232" s="106"/>
      <c r="R1232" s="106" t="s">
        <v>4537</v>
      </c>
    </row>
    <row r="1233" customFormat="false" ht="15" hidden="false" customHeight="false" outlineLevel="0" collapsed="false">
      <c r="A1233" s="106" t="s">
        <v>5857</v>
      </c>
      <c r="B1233" s="106"/>
      <c r="C1233" s="106"/>
      <c r="D1233" s="106"/>
      <c r="E1233" s="107" t="n">
        <v>1</v>
      </c>
      <c r="F1233" s="106" t="n">
        <v>1</v>
      </c>
      <c r="G1233" s="118" t="n">
        <v>1</v>
      </c>
      <c r="H1233" s="116" t="n">
        <v>1.24</v>
      </c>
      <c r="I1233" s="106" t="n">
        <v>0</v>
      </c>
      <c r="J1233" s="117" t="n">
        <v>0</v>
      </c>
      <c r="K1233" s="108" t="n">
        <v>1.24</v>
      </c>
      <c r="L1233" s="108" t="n">
        <v>0</v>
      </c>
      <c r="M1233" s="117"/>
      <c r="N1233" s="106"/>
      <c r="O1233" s="106"/>
      <c r="P1233" s="106"/>
      <c r="Q1233" s="106"/>
      <c r="R1233" s="106" t="s">
        <v>4537</v>
      </c>
    </row>
    <row r="1234" customFormat="false" ht="15" hidden="false" customHeight="false" outlineLevel="0" collapsed="false">
      <c r="A1234" s="106" t="s">
        <v>5858</v>
      </c>
      <c r="B1234" s="106" t="s">
        <v>4280</v>
      </c>
      <c r="C1234" s="106"/>
      <c r="D1234" s="106"/>
      <c r="E1234" s="107" t="n">
        <v>1</v>
      </c>
      <c r="F1234" s="106" t="n">
        <v>1</v>
      </c>
      <c r="G1234" s="118" t="n">
        <v>1</v>
      </c>
      <c r="H1234" s="116" t="n">
        <v>1.29</v>
      </c>
      <c r="I1234" s="106" t="n">
        <v>0</v>
      </c>
      <c r="J1234" s="117" t="n">
        <v>0</v>
      </c>
      <c r="K1234" s="108" t="n">
        <v>1.29</v>
      </c>
      <c r="L1234" s="108" t="n">
        <v>0</v>
      </c>
      <c r="M1234" s="117"/>
      <c r="N1234" s="106"/>
      <c r="O1234" s="106"/>
      <c r="P1234" s="106"/>
      <c r="Q1234" s="106"/>
      <c r="R1234" s="106" t="s">
        <v>4537</v>
      </c>
    </row>
    <row r="1235" customFormat="false" ht="15" hidden="false" customHeight="false" outlineLevel="0" collapsed="false">
      <c r="A1235" s="106" t="s">
        <v>5859</v>
      </c>
      <c r="B1235" s="106" t="s">
        <v>1403</v>
      </c>
      <c r="C1235" s="106"/>
      <c r="D1235" s="106" t="n">
        <v>3</v>
      </c>
      <c r="E1235" s="107" t="n">
        <v>6</v>
      </c>
      <c r="F1235" s="106" t="n">
        <v>1</v>
      </c>
      <c r="G1235" s="118" t="n">
        <v>0.1667</v>
      </c>
      <c r="H1235" s="116" t="n">
        <v>1.29</v>
      </c>
      <c r="I1235" s="106" t="n">
        <v>2</v>
      </c>
      <c r="J1235" s="117" t="n">
        <v>2</v>
      </c>
      <c r="K1235" s="108" t="n">
        <v>1.29</v>
      </c>
      <c r="L1235" s="108" t="n">
        <v>87.98</v>
      </c>
      <c r="M1235" s="117" t="n">
        <v>0.015</v>
      </c>
      <c r="N1235" s="106"/>
      <c r="O1235" s="106"/>
      <c r="P1235" s="106"/>
      <c r="Q1235" s="106"/>
      <c r="R1235" s="106" t="s">
        <v>4285</v>
      </c>
    </row>
    <row r="1236" customFormat="false" ht="15" hidden="false" customHeight="false" outlineLevel="0" collapsed="false">
      <c r="A1236" s="106" t="s">
        <v>5860</v>
      </c>
      <c r="B1236" s="106" t="s">
        <v>1403</v>
      </c>
      <c r="C1236" s="106"/>
      <c r="D1236" s="106" t="n">
        <v>3</v>
      </c>
      <c r="E1236" s="107" t="n">
        <v>6</v>
      </c>
      <c r="F1236" s="106" t="n">
        <v>1</v>
      </c>
      <c r="G1236" s="118" t="n">
        <v>0.1667</v>
      </c>
      <c r="H1236" s="116" t="n">
        <v>1.27</v>
      </c>
      <c r="I1236" s="106" t="n">
        <v>0</v>
      </c>
      <c r="J1236" s="117" t="n">
        <v>0</v>
      </c>
      <c r="K1236" s="108" t="n">
        <v>1.27</v>
      </c>
      <c r="L1236" s="108" t="n">
        <v>0</v>
      </c>
      <c r="M1236" s="117"/>
      <c r="N1236" s="106"/>
      <c r="O1236" s="106"/>
      <c r="P1236" s="106"/>
      <c r="Q1236" s="106"/>
      <c r="R1236" s="106" t="s">
        <v>4537</v>
      </c>
    </row>
    <row r="1237" customFormat="false" ht="15" hidden="false" customHeight="false" outlineLevel="0" collapsed="false">
      <c r="A1237" s="106" t="s">
        <v>5861</v>
      </c>
      <c r="B1237" s="106" t="s">
        <v>4329</v>
      </c>
      <c r="C1237" s="106"/>
      <c r="D1237" s="106"/>
      <c r="E1237" s="107" t="n">
        <v>14</v>
      </c>
      <c r="F1237" s="106" t="n">
        <v>1</v>
      </c>
      <c r="G1237" s="118" t="n">
        <v>0.0714</v>
      </c>
      <c r="H1237" s="116" t="n">
        <v>1.27</v>
      </c>
      <c r="I1237" s="106" t="n">
        <v>0</v>
      </c>
      <c r="J1237" s="117" t="n">
        <v>0</v>
      </c>
      <c r="K1237" s="108" t="n">
        <v>1.27</v>
      </c>
      <c r="L1237" s="108" t="n">
        <v>0</v>
      </c>
      <c r="M1237" s="117"/>
      <c r="N1237" s="106"/>
      <c r="O1237" s="106"/>
      <c r="P1237" s="106"/>
      <c r="Q1237" s="106"/>
      <c r="R1237" s="106" t="s">
        <v>4537</v>
      </c>
    </row>
    <row r="1238" customFormat="false" ht="15" hidden="false" customHeight="false" outlineLevel="0" collapsed="false">
      <c r="A1238" s="106" t="s">
        <v>5862</v>
      </c>
      <c r="B1238" s="106" t="s">
        <v>1403</v>
      </c>
      <c r="C1238" s="106"/>
      <c r="D1238" s="106"/>
      <c r="E1238" s="107" t="n">
        <v>4</v>
      </c>
      <c r="F1238" s="106" t="n">
        <v>1</v>
      </c>
      <c r="G1238" s="118" t="n">
        <v>0.25</v>
      </c>
      <c r="H1238" s="116" t="n">
        <v>1.26</v>
      </c>
      <c r="I1238" s="106" t="n">
        <v>0</v>
      </c>
      <c r="J1238" s="117" t="n">
        <v>0</v>
      </c>
      <c r="K1238" s="108" t="n">
        <v>1.26</v>
      </c>
      <c r="L1238" s="108" t="n">
        <v>0</v>
      </c>
      <c r="M1238" s="117"/>
      <c r="N1238" s="106"/>
      <c r="O1238" s="106"/>
      <c r="P1238" s="106"/>
      <c r="Q1238" s="106"/>
      <c r="R1238" s="106" t="s">
        <v>4537</v>
      </c>
    </row>
    <row r="1239" customFormat="false" ht="15" hidden="false" customHeight="false" outlineLevel="0" collapsed="false">
      <c r="A1239" s="106" t="s">
        <v>5863</v>
      </c>
      <c r="B1239" s="106" t="s">
        <v>1403</v>
      </c>
      <c r="C1239" s="106"/>
      <c r="D1239" s="106"/>
      <c r="E1239" s="107" t="n">
        <v>3</v>
      </c>
      <c r="F1239" s="106" t="n">
        <v>1</v>
      </c>
      <c r="G1239" s="118" t="n">
        <v>0.3333</v>
      </c>
      <c r="H1239" s="116" t="n">
        <v>1.26</v>
      </c>
      <c r="I1239" s="106" t="n">
        <v>0</v>
      </c>
      <c r="J1239" s="117" t="n">
        <v>0</v>
      </c>
      <c r="K1239" s="108" t="n">
        <v>1.26</v>
      </c>
      <c r="L1239" s="108" t="n">
        <v>0</v>
      </c>
      <c r="M1239" s="117"/>
      <c r="N1239" s="106"/>
      <c r="O1239" s="106"/>
      <c r="P1239" s="106"/>
      <c r="Q1239" s="106"/>
      <c r="R1239" s="106" t="s">
        <v>4537</v>
      </c>
    </row>
    <row r="1240" customFormat="false" ht="15" hidden="false" customHeight="false" outlineLevel="0" collapsed="false">
      <c r="A1240" s="106" t="s">
        <v>5864</v>
      </c>
      <c r="B1240" s="106" t="s">
        <v>1403</v>
      </c>
      <c r="C1240" s="106"/>
      <c r="D1240" s="106" t="n">
        <v>4</v>
      </c>
      <c r="E1240" s="107" t="n">
        <v>6</v>
      </c>
      <c r="F1240" s="106" t="n">
        <v>1</v>
      </c>
      <c r="G1240" s="118" t="n">
        <v>0.1667</v>
      </c>
      <c r="H1240" s="116" t="n">
        <v>1.26</v>
      </c>
      <c r="I1240" s="106" t="n">
        <v>0</v>
      </c>
      <c r="J1240" s="117" t="n">
        <v>0</v>
      </c>
      <c r="K1240" s="108" t="n">
        <v>1.26</v>
      </c>
      <c r="L1240" s="108" t="n">
        <v>0</v>
      </c>
      <c r="M1240" s="117"/>
      <c r="N1240" s="106"/>
      <c r="O1240" s="106"/>
      <c r="P1240" s="106"/>
      <c r="Q1240" s="106"/>
      <c r="R1240" s="106" t="s">
        <v>4537</v>
      </c>
    </row>
    <row r="1241" customFormat="false" ht="15" hidden="false" customHeight="false" outlineLevel="0" collapsed="false">
      <c r="A1241" s="106" t="s">
        <v>5865</v>
      </c>
      <c r="B1241" s="106"/>
      <c r="C1241" s="106"/>
      <c r="D1241" s="106"/>
      <c r="E1241" s="107" t="n">
        <v>3</v>
      </c>
      <c r="F1241" s="106" t="n">
        <v>1</v>
      </c>
      <c r="G1241" s="118" t="n">
        <v>0.3333</v>
      </c>
      <c r="H1241" s="116" t="n">
        <v>1.24</v>
      </c>
      <c r="I1241" s="106" t="n">
        <v>0</v>
      </c>
      <c r="J1241" s="117" t="n">
        <v>0</v>
      </c>
      <c r="K1241" s="108" t="n">
        <v>1.24</v>
      </c>
      <c r="L1241" s="108" t="n">
        <v>0</v>
      </c>
      <c r="M1241" s="117"/>
      <c r="N1241" s="106"/>
      <c r="O1241" s="106"/>
      <c r="P1241" s="106"/>
      <c r="Q1241" s="106"/>
      <c r="R1241" s="106" t="s">
        <v>4537</v>
      </c>
    </row>
    <row r="1242" customFormat="false" ht="15" hidden="false" customHeight="false" outlineLevel="0" collapsed="false">
      <c r="A1242" s="106" t="s">
        <v>5866</v>
      </c>
      <c r="B1242" s="106" t="s">
        <v>1403</v>
      </c>
      <c r="C1242" s="106"/>
      <c r="D1242" s="106"/>
      <c r="E1242" s="107" t="n">
        <v>8</v>
      </c>
      <c r="F1242" s="106" t="n">
        <v>1</v>
      </c>
      <c r="G1242" s="118" t="n">
        <v>0.125</v>
      </c>
      <c r="H1242" s="116" t="n">
        <v>1.4</v>
      </c>
      <c r="I1242" s="106" t="n">
        <v>0</v>
      </c>
      <c r="J1242" s="117" t="n">
        <v>0</v>
      </c>
      <c r="K1242" s="108" t="n">
        <v>1.4</v>
      </c>
      <c r="L1242" s="108" t="n">
        <v>0</v>
      </c>
      <c r="M1242" s="117"/>
      <c r="N1242" s="106"/>
      <c r="O1242" s="106"/>
      <c r="P1242" s="106"/>
      <c r="Q1242" s="106"/>
      <c r="R1242" s="106" t="s">
        <v>4537</v>
      </c>
    </row>
    <row r="1243" customFormat="false" ht="15" hidden="false" customHeight="false" outlineLevel="0" collapsed="false">
      <c r="A1243" s="106" t="s">
        <v>5867</v>
      </c>
      <c r="B1243" s="106" t="s">
        <v>1403</v>
      </c>
      <c r="C1243" s="106"/>
      <c r="D1243" s="106" t="n">
        <v>1</v>
      </c>
      <c r="E1243" s="107" t="n">
        <v>8</v>
      </c>
      <c r="F1243" s="106" t="n">
        <v>1</v>
      </c>
      <c r="G1243" s="118" t="n">
        <v>0.125</v>
      </c>
      <c r="H1243" s="116" t="n">
        <v>1.39</v>
      </c>
      <c r="I1243" s="106" t="n">
        <v>0</v>
      </c>
      <c r="J1243" s="117" t="n">
        <v>0</v>
      </c>
      <c r="K1243" s="108" t="n">
        <v>1.39</v>
      </c>
      <c r="L1243" s="108" t="n">
        <v>0</v>
      </c>
      <c r="M1243" s="117"/>
      <c r="N1243" s="106"/>
      <c r="O1243" s="106"/>
      <c r="P1243" s="106"/>
      <c r="Q1243" s="106"/>
      <c r="R1243" s="106" t="s">
        <v>4537</v>
      </c>
    </row>
    <row r="1244" customFormat="false" ht="15" hidden="false" customHeight="false" outlineLevel="0" collapsed="false">
      <c r="A1244" s="106" t="s">
        <v>5868</v>
      </c>
      <c r="B1244" s="106" t="s">
        <v>4329</v>
      </c>
      <c r="C1244" s="106"/>
      <c r="D1244" s="106"/>
      <c r="E1244" s="107" t="n">
        <v>3</v>
      </c>
      <c r="F1244" s="106" t="n">
        <v>1</v>
      </c>
      <c r="G1244" s="118" t="n">
        <v>0.3333</v>
      </c>
      <c r="H1244" s="116" t="n">
        <v>1.37</v>
      </c>
      <c r="I1244" s="106" t="n">
        <v>0</v>
      </c>
      <c r="J1244" s="117" t="n">
        <v>0</v>
      </c>
      <c r="K1244" s="108" t="n">
        <v>1.37</v>
      </c>
      <c r="L1244" s="108" t="n">
        <v>0</v>
      </c>
      <c r="M1244" s="117"/>
      <c r="N1244" s="106"/>
      <c r="O1244" s="106"/>
      <c r="P1244" s="106"/>
      <c r="Q1244" s="106"/>
      <c r="R1244" s="106" t="s">
        <v>4537</v>
      </c>
    </row>
    <row r="1245" customFormat="false" ht="15" hidden="false" customHeight="false" outlineLevel="0" collapsed="false">
      <c r="A1245" s="106" t="s">
        <v>5869</v>
      </c>
      <c r="B1245" s="106" t="s">
        <v>1403</v>
      </c>
      <c r="C1245" s="106"/>
      <c r="D1245" s="106"/>
      <c r="E1245" s="107" t="n">
        <v>15</v>
      </c>
      <c r="F1245" s="106" t="n">
        <v>1</v>
      </c>
      <c r="G1245" s="118" t="n">
        <v>0.0667</v>
      </c>
      <c r="H1245" s="116" t="n">
        <v>1.35</v>
      </c>
      <c r="I1245" s="106" t="n">
        <v>0</v>
      </c>
      <c r="J1245" s="117" t="n">
        <v>0</v>
      </c>
      <c r="K1245" s="108" t="n">
        <v>1.35</v>
      </c>
      <c r="L1245" s="108" t="n">
        <v>0</v>
      </c>
      <c r="M1245" s="117"/>
      <c r="N1245" s="106"/>
      <c r="O1245" s="106"/>
      <c r="P1245" s="106"/>
      <c r="Q1245" s="106"/>
      <c r="R1245" s="106" t="s">
        <v>4537</v>
      </c>
    </row>
    <row r="1246" customFormat="false" ht="15" hidden="false" customHeight="false" outlineLevel="0" collapsed="false">
      <c r="A1246" s="106" t="s">
        <v>5870</v>
      </c>
      <c r="B1246" s="106" t="s">
        <v>1403</v>
      </c>
      <c r="C1246" s="106"/>
      <c r="D1246" s="106"/>
      <c r="E1246" s="107" t="n">
        <v>6</v>
      </c>
      <c r="F1246" s="106" t="n">
        <v>1</v>
      </c>
      <c r="G1246" s="118" t="n">
        <v>0.1667</v>
      </c>
      <c r="H1246" s="116" t="n">
        <v>1.31</v>
      </c>
      <c r="I1246" s="106" t="n">
        <v>0</v>
      </c>
      <c r="J1246" s="117" t="n">
        <v>0</v>
      </c>
      <c r="K1246" s="108" t="n">
        <v>1.31</v>
      </c>
      <c r="L1246" s="108" t="n">
        <v>0</v>
      </c>
      <c r="M1246" s="117"/>
      <c r="N1246" s="106"/>
      <c r="O1246" s="106"/>
      <c r="P1246" s="106"/>
      <c r="Q1246" s="106"/>
      <c r="R1246" s="106" t="s">
        <v>4537</v>
      </c>
    </row>
    <row r="1247" customFormat="false" ht="15" hidden="false" customHeight="false" outlineLevel="0" collapsed="false">
      <c r="A1247" s="106" t="s">
        <v>5871</v>
      </c>
      <c r="B1247" s="106" t="s">
        <v>4280</v>
      </c>
      <c r="C1247" s="106" t="s">
        <v>4287</v>
      </c>
      <c r="D1247" s="106" t="n">
        <v>276</v>
      </c>
      <c r="E1247" s="107" t="n">
        <v>65</v>
      </c>
      <c r="F1247" s="106" t="n">
        <v>1</v>
      </c>
      <c r="G1247" s="118" t="n">
        <v>0.0154</v>
      </c>
      <c r="H1247" s="116" t="n">
        <v>1.3</v>
      </c>
      <c r="I1247" s="106" t="n">
        <v>1</v>
      </c>
      <c r="J1247" s="117" t="n">
        <v>1</v>
      </c>
      <c r="K1247" s="108" t="n">
        <v>1.3</v>
      </c>
      <c r="L1247" s="108" t="n">
        <v>59.99</v>
      </c>
      <c r="M1247" s="117" t="n">
        <v>0.022</v>
      </c>
      <c r="N1247" s="106" t="n">
        <v>11</v>
      </c>
      <c r="O1247" s="106"/>
      <c r="P1247" s="106"/>
      <c r="Q1247" s="106"/>
      <c r="R1247" s="106" t="s">
        <v>4285</v>
      </c>
    </row>
    <row r="1248" customFormat="false" ht="15" hidden="false" customHeight="false" outlineLevel="0" collapsed="false">
      <c r="A1248" s="106" t="s">
        <v>5872</v>
      </c>
      <c r="B1248" s="106" t="s">
        <v>4284</v>
      </c>
      <c r="C1248" s="106"/>
      <c r="D1248" s="106"/>
      <c r="E1248" s="107" t="n">
        <v>1</v>
      </c>
      <c r="F1248" s="106" t="n">
        <v>1</v>
      </c>
      <c r="G1248" s="118" t="n">
        <v>1</v>
      </c>
      <c r="H1248" s="116" t="n">
        <v>1.29</v>
      </c>
      <c r="I1248" s="106" t="n">
        <v>0</v>
      </c>
      <c r="J1248" s="117" t="n">
        <v>0</v>
      </c>
      <c r="K1248" s="108" t="n">
        <v>1.29</v>
      </c>
      <c r="L1248" s="108" t="n">
        <v>0</v>
      </c>
      <c r="M1248" s="117"/>
      <c r="N1248" s="106"/>
      <c r="O1248" s="106"/>
      <c r="P1248" s="106"/>
      <c r="Q1248" s="106"/>
      <c r="R1248" s="106" t="s">
        <v>4537</v>
      </c>
    </row>
    <row r="1249" customFormat="false" ht="15" hidden="false" customHeight="false" outlineLevel="0" collapsed="false">
      <c r="A1249" s="106" t="s">
        <v>5873</v>
      </c>
      <c r="B1249" s="106"/>
      <c r="C1249" s="106"/>
      <c r="D1249" s="106"/>
      <c r="E1249" s="107" t="n">
        <v>1</v>
      </c>
      <c r="F1249" s="106" t="n">
        <v>1</v>
      </c>
      <c r="G1249" s="118" t="n">
        <v>1</v>
      </c>
      <c r="H1249" s="116" t="n">
        <v>1.29</v>
      </c>
      <c r="I1249" s="106" t="n">
        <v>0</v>
      </c>
      <c r="J1249" s="117" t="n">
        <v>0</v>
      </c>
      <c r="K1249" s="108" t="n">
        <v>1.29</v>
      </c>
      <c r="L1249" s="108" t="n">
        <v>0</v>
      </c>
      <c r="M1249" s="117"/>
      <c r="N1249" s="106"/>
      <c r="O1249" s="106"/>
      <c r="P1249" s="106"/>
      <c r="Q1249" s="106"/>
      <c r="R1249" s="106" t="s">
        <v>4537</v>
      </c>
    </row>
    <row r="1250" customFormat="false" ht="15" hidden="false" customHeight="false" outlineLevel="0" collapsed="false">
      <c r="A1250" s="106" t="s">
        <v>5874</v>
      </c>
      <c r="B1250" s="106" t="s">
        <v>4284</v>
      </c>
      <c r="C1250" s="106"/>
      <c r="D1250" s="106" t="n">
        <v>19</v>
      </c>
      <c r="E1250" s="107" t="n">
        <v>1</v>
      </c>
      <c r="F1250" s="106" t="n">
        <v>1</v>
      </c>
      <c r="G1250" s="118" t="n">
        <v>1</v>
      </c>
      <c r="H1250" s="116" t="n">
        <v>1.1</v>
      </c>
      <c r="I1250" s="106" t="n">
        <v>1</v>
      </c>
      <c r="J1250" s="117" t="n">
        <v>1</v>
      </c>
      <c r="K1250" s="108" t="n">
        <v>1.1</v>
      </c>
      <c r="L1250" s="108" t="n">
        <v>84.99</v>
      </c>
      <c r="M1250" s="117" t="n">
        <v>0.013</v>
      </c>
      <c r="N1250" s="106"/>
      <c r="O1250" s="106"/>
      <c r="P1250" s="106"/>
      <c r="Q1250" s="106"/>
      <c r="R1250" s="106" t="s">
        <v>4285</v>
      </c>
    </row>
    <row r="1251" customFormat="false" ht="15" hidden="false" customHeight="false" outlineLevel="0" collapsed="false">
      <c r="A1251" s="106" t="s">
        <v>5875</v>
      </c>
      <c r="B1251" s="106" t="s">
        <v>4284</v>
      </c>
      <c r="C1251" s="106"/>
      <c r="D1251" s="106"/>
      <c r="E1251" s="107" t="n">
        <v>1</v>
      </c>
      <c r="F1251" s="106" t="n">
        <v>1</v>
      </c>
      <c r="G1251" s="118" t="n">
        <v>1</v>
      </c>
      <c r="H1251" s="116" t="n">
        <v>1.1</v>
      </c>
      <c r="I1251" s="106" t="n">
        <v>0</v>
      </c>
      <c r="J1251" s="117" t="n">
        <v>0</v>
      </c>
      <c r="K1251" s="108" t="n">
        <v>1.1</v>
      </c>
      <c r="L1251" s="108" t="n">
        <v>0</v>
      </c>
      <c r="M1251" s="117"/>
      <c r="N1251" s="106"/>
      <c r="O1251" s="106"/>
      <c r="P1251" s="106"/>
      <c r="Q1251" s="106"/>
      <c r="R1251" s="106" t="s">
        <v>4537</v>
      </c>
    </row>
    <row r="1252" customFormat="false" ht="15" hidden="false" customHeight="false" outlineLevel="0" collapsed="false">
      <c r="A1252" s="106" t="s">
        <v>5876</v>
      </c>
      <c r="B1252" s="106" t="s">
        <v>4284</v>
      </c>
      <c r="C1252" s="106"/>
      <c r="D1252" s="106"/>
      <c r="E1252" s="107" t="n">
        <v>1</v>
      </c>
      <c r="F1252" s="106" t="n">
        <v>1</v>
      </c>
      <c r="G1252" s="118" t="n">
        <v>1</v>
      </c>
      <c r="H1252" s="116" t="n">
        <v>1.1</v>
      </c>
      <c r="I1252" s="106" t="n">
        <v>0</v>
      </c>
      <c r="J1252" s="117" t="n">
        <v>0</v>
      </c>
      <c r="K1252" s="108" t="n">
        <v>1.1</v>
      </c>
      <c r="L1252" s="108" t="n">
        <v>0</v>
      </c>
      <c r="M1252" s="117"/>
      <c r="N1252" s="106"/>
      <c r="O1252" s="106"/>
      <c r="P1252" s="106"/>
      <c r="Q1252" s="106"/>
      <c r="R1252" s="106" t="s">
        <v>4537</v>
      </c>
    </row>
    <row r="1253" customFormat="false" ht="15" hidden="false" customHeight="false" outlineLevel="0" collapsed="false">
      <c r="A1253" s="106" t="s">
        <v>5877</v>
      </c>
      <c r="B1253" s="106" t="s">
        <v>4280</v>
      </c>
      <c r="C1253" s="106"/>
      <c r="D1253" s="106"/>
      <c r="E1253" s="107" t="n">
        <v>1</v>
      </c>
      <c r="F1253" s="106" t="n">
        <v>1</v>
      </c>
      <c r="G1253" s="118" t="n">
        <v>1</v>
      </c>
      <c r="H1253" s="116" t="n">
        <v>1.1</v>
      </c>
      <c r="I1253" s="106" t="n">
        <v>0</v>
      </c>
      <c r="J1253" s="117" t="n">
        <v>0</v>
      </c>
      <c r="K1253" s="108" t="n">
        <v>1.1</v>
      </c>
      <c r="L1253" s="108" t="n">
        <v>0</v>
      </c>
      <c r="M1253" s="117"/>
      <c r="N1253" s="106"/>
      <c r="O1253" s="106"/>
      <c r="P1253" s="106"/>
      <c r="Q1253" s="106"/>
      <c r="R1253" s="106" t="s">
        <v>4537</v>
      </c>
    </row>
    <row r="1254" customFormat="false" ht="15" hidden="false" customHeight="false" outlineLevel="0" collapsed="false">
      <c r="A1254" s="106" t="s">
        <v>5878</v>
      </c>
      <c r="B1254" s="106" t="s">
        <v>4284</v>
      </c>
      <c r="C1254" s="106"/>
      <c r="D1254" s="106"/>
      <c r="E1254" s="107" t="n">
        <v>2</v>
      </c>
      <c r="F1254" s="106" t="n">
        <v>1</v>
      </c>
      <c r="G1254" s="118" t="n">
        <v>0.5</v>
      </c>
      <c r="H1254" s="116" t="n">
        <v>1.1</v>
      </c>
      <c r="I1254" s="106" t="n">
        <v>0</v>
      </c>
      <c r="J1254" s="117" t="n">
        <v>0</v>
      </c>
      <c r="K1254" s="108" t="n">
        <v>1.1</v>
      </c>
      <c r="L1254" s="108" t="n">
        <v>0</v>
      </c>
      <c r="M1254" s="117"/>
      <c r="N1254" s="106"/>
      <c r="O1254" s="106"/>
      <c r="P1254" s="106"/>
      <c r="Q1254" s="106"/>
      <c r="R1254" s="106" t="s">
        <v>4537</v>
      </c>
    </row>
    <row r="1255" customFormat="false" ht="15" hidden="false" customHeight="false" outlineLevel="0" collapsed="false">
      <c r="A1255" s="106" t="s">
        <v>5879</v>
      </c>
      <c r="B1255" s="106" t="s">
        <v>4280</v>
      </c>
      <c r="C1255" s="106"/>
      <c r="D1255" s="106"/>
      <c r="E1255" s="107" t="n">
        <v>1</v>
      </c>
      <c r="F1255" s="106" t="n">
        <v>1</v>
      </c>
      <c r="G1255" s="118" t="n">
        <v>1</v>
      </c>
      <c r="H1255" s="116" t="n">
        <v>1.1</v>
      </c>
      <c r="I1255" s="106" t="n">
        <v>0</v>
      </c>
      <c r="J1255" s="117" t="n">
        <v>0</v>
      </c>
      <c r="K1255" s="108" t="n">
        <v>1.1</v>
      </c>
      <c r="L1255" s="108" t="n">
        <v>0</v>
      </c>
      <c r="M1255" s="117"/>
      <c r="N1255" s="106"/>
      <c r="O1255" s="106"/>
      <c r="P1255" s="106"/>
      <c r="Q1255" s="106"/>
      <c r="R1255" s="106" t="s">
        <v>4537</v>
      </c>
    </row>
    <row r="1256" customFormat="false" ht="15" hidden="false" customHeight="false" outlineLevel="0" collapsed="false">
      <c r="A1256" s="106" t="s">
        <v>5880</v>
      </c>
      <c r="B1256" s="106" t="s">
        <v>4280</v>
      </c>
      <c r="C1256" s="106"/>
      <c r="D1256" s="106"/>
      <c r="E1256" s="107" t="n">
        <v>3</v>
      </c>
      <c r="F1256" s="106" t="n">
        <v>1</v>
      </c>
      <c r="G1256" s="118" t="n">
        <v>0.3333</v>
      </c>
      <c r="H1256" s="116" t="n">
        <v>1.1</v>
      </c>
      <c r="I1256" s="106" t="n">
        <v>0</v>
      </c>
      <c r="J1256" s="117" t="n">
        <v>0</v>
      </c>
      <c r="K1256" s="108" t="n">
        <v>1.1</v>
      </c>
      <c r="L1256" s="108" t="n">
        <v>0</v>
      </c>
      <c r="M1256" s="117"/>
      <c r="N1256" s="106"/>
      <c r="O1256" s="106"/>
      <c r="P1256" s="106"/>
      <c r="Q1256" s="106"/>
      <c r="R1256" s="106" t="s">
        <v>4537</v>
      </c>
    </row>
    <row r="1257" customFormat="false" ht="15" hidden="false" customHeight="false" outlineLevel="0" collapsed="false">
      <c r="A1257" s="106" t="s">
        <v>5881</v>
      </c>
      <c r="B1257" s="106" t="s">
        <v>4280</v>
      </c>
      <c r="C1257" s="106"/>
      <c r="D1257" s="106"/>
      <c r="E1257" s="107" t="n">
        <v>3</v>
      </c>
      <c r="F1257" s="106" t="n">
        <v>1</v>
      </c>
      <c r="G1257" s="118" t="n">
        <v>0.3333</v>
      </c>
      <c r="H1257" s="116" t="n">
        <v>1.1</v>
      </c>
      <c r="I1257" s="106" t="n">
        <v>0</v>
      </c>
      <c r="J1257" s="117" t="n">
        <v>0</v>
      </c>
      <c r="K1257" s="108" t="n">
        <v>1.1</v>
      </c>
      <c r="L1257" s="108" t="n">
        <v>0</v>
      </c>
      <c r="M1257" s="117"/>
      <c r="N1257" s="106"/>
      <c r="O1257" s="106"/>
      <c r="P1257" s="106"/>
      <c r="Q1257" s="106"/>
      <c r="R1257" s="106" t="s">
        <v>4537</v>
      </c>
    </row>
    <row r="1258" customFormat="false" ht="15" hidden="false" customHeight="false" outlineLevel="0" collapsed="false">
      <c r="A1258" s="106" t="s">
        <v>5882</v>
      </c>
      <c r="B1258" s="106" t="s">
        <v>4280</v>
      </c>
      <c r="C1258" s="106"/>
      <c r="D1258" s="106"/>
      <c r="E1258" s="107" t="n">
        <v>1</v>
      </c>
      <c r="F1258" s="106" t="n">
        <v>1</v>
      </c>
      <c r="G1258" s="118" t="n">
        <v>1</v>
      </c>
      <c r="H1258" s="116" t="n">
        <v>1.1</v>
      </c>
      <c r="I1258" s="106" t="n">
        <v>0</v>
      </c>
      <c r="J1258" s="117" t="n">
        <v>0</v>
      </c>
      <c r="K1258" s="108" t="n">
        <v>1.1</v>
      </c>
      <c r="L1258" s="108" t="n">
        <v>0</v>
      </c>
      <c r="M1258" s="117"/>
      <c r="N1258" s="106"/>
      <c r="O1258" s="106"/>
      <c r="P1258" s="106"/>
      <c r="Q1258" s="106"/>
      <c r="R1258" s="106" t="s">
        <v>4537</v>
      </c>
    </row>
    <row r="1259" customFormat="false" ht="15" hidden="false" customHeight="false" outlineLevel="0" collapsed="false">
      <c r="A1259" s="106" t="s">
        <v>5883</v>
      </c>
      <c r="B1259" s="106" t="s">
        <v>4280</v>
      </c>
      <c r="C1259" s="106"/>
      <c r="D1259" s="106" t="n">
        <v>6</v>
      </c>
      <c r="E1259" s="107" t="n">
        <v>1</v>
      </c>
      <c r="F1259" s="106" t="n">
        <v>1</v>
      </c>
      <c r="G1259" s="118" t="n">
        <v>1</v>
      </c>
      <c r="H1259" s="116" t="n">
        <v>1.1</v>
      </c>
      <c r="I1259" s="106" t="n">
        <v>1</v>
      </c>
      <c r="J1259" s="117" t="n">
        <v>1</v>
      </c>
      <c r="K1259" s="108" t="n">
        <v>1.1</v>
      </c>
      <c r="L1259" s="108" t="n">
        <v>79.99</v>
      </c>
      <c r="M1259" s="117" t="n">
        <v>0.014</v>
      </c>
      <c r="N1259" s="106"/>
      <c r="O1259" s="106"/>
      <c r="P1259" s="106"/>
      <c r="Q1259" s="106"/>
      <c r="R1259" s="106" t="s">
        <v>4285</v>
      </c>
    </row>
    <row r="1260" customFormat="false" ht="15" hidden="false" customHeight="false" outlineLevel="0" collapsed="false">
      <c r="A1260" s="106" t="s">
        <v>5884</v>
      </c>
      <c r="B1260" s="106" t="s">
        <v>4280</v>
      </c>
      <c r="C1260" s="106"/>
      <c r="D1260" s="106"/>
      <c r="E1260" s="107" t="n">
        <v>1</v>
      </c>
      <c r="F1260" s="106" t="n">
        <v>1</v>
      </c>
      <c r="G1260" s="118" t="n">
        <v>1</v>
      </c>
      <c r="H1260" s="116" t="n">
        <v>1.1</v>
      </c>
      <c r="I1260" s="106" t="n">
        <v>0</v>
      </c>
      <c r="J1260" s="117" t="n">
        <v>0</v>
      </c>
      <c r="K1260" s="108" t="n">
        <v>1.1</v>
      </c>
      <c r="L1260" s="108" t="n">
        <v>0</v>
      </c>
      <c r="M1260" s="117"/>
      <c r="N1260" s="106"/>
      <c r="O1260" s="106"/>
      <c r="P1260" s="106"/>
      <c r="Q1260" s="106"/>
      <c r="R1260" s="106" t="s">
        <v>4537</v>
      </c>
    </row>
    <row r="1261" customFormat="false" ht="15" hidden="false" customHeight="false" outlineLevel="0" collapsed="false">
      <c r="A1261" s="106" t="s">
        <v>5885</v>
      </c>
      <c r="B1261" s="106" t="s">
        <v>4284</v>
      </c>
      <c r="C1261" s="106"/>
      <c r="D1261" s="106" t="n">
        <v>148</v>
      </c>
      <c r="E1261" s="107" t="n">
        <v>2</v>
      </c>
      <c r="F1261" s="106" t="n">
        <v>1</v>
      </c>
      <c r="G1261" s="118" t="n">
        <v>0.5</v>
      </c>
      <c r="H1261" s="116" t="n">
        <v>1.1</v>
      </c>
      <c r="I1261" s="106" t="n">
        <v>0</v>
      </c>
      <c r="J1261" s="117" t="n">
        <v>0</v>
      </c>
      <c r="K1261" s="108" t="n">
        <v>1.1</v>
      </c>
      <c r="L1261" s="108" t="n">
        <v>0</v>
      </c>
      <c r="M1261" s="117"/>
      <c r="N1261" s="106"/>
      <c r="O1261" s="106"/>
      <c r="P1261" s="106"/>
      <c r="Q1261" s="106"/>
      <c r="R1261" s="106" t="s">
        <v>4537</v>
      </c>
    </row>
    <row r="1262" customFormat="false" ht="15" hidden="false" customHeight="false" outlineLevel="0" collapsed="false">
      <c r="A1262" s="106" t="s">
        <v>5886</v>
      </c>
      <c r="B1262" s="106" t="s">
        <v>4284</v>
      </c>
      <c r="C1262" s="106"/>
      <c r="D1262" s="106"/>
      <c r="E1262" s="107" t="n">
        <v>5</v>
      </c>
      <c r="F1262" s="106" t="n">
        <v>1</v>
      </c>
      <c r="G1262" s="118" t="n">
        <v>0.2</v>
      </c>
      <c r="H1262" s="116" t="n">
        <v>1.1</v>
      </c>
      <c r="I1262" s="106" t="n">
        <v>0</v>
      </c>
      <c r="J1262" s="117" t="n">
        <v>0</v>
      </c>
      <c r="K1262" s="108" t="n">
        <v>1.1</v>
      </c>
      <c r="L1262" s="108" t="n">
        <v>0</v>
      </c>
      <c r="M1262" s="117"/>
      <c r="N1262" s="106"/>
      <c r="O1262" s="106"/>
      <c r="P1262" s="106"/>
      <c r="Q1262" s="106"/>
      <c r="R1262" s="106" t="s">
        <v>4537</v>
      </c>
    </row>
    <row r="1263" customFormat="false" ht="15" hidden="false" customHeight="false" outlineLevel="0" collapsed="false">
      <c r="A1263" s="106" t="s">
        <v>5887</v>
      </c>
      <c r="B1263" s="106" t="s">
        <v>1403</v>
      </c>
      <c r="C1263" s="106"/>
      <c r="D1263" s="106" t="n">
        <v>4</v>
      </c>
      <c r="E1263" s="107" t="n">
        <v>3</v>
      </c>
      <c r="F1263" s="106" t="n">
        <v>1</v>
      </c>
      <c r="G1263" s="118" t="n">
        <v>0.3333</v>
      </c>
      <c r="H1263" s="116" t="n">
        <v>1.1</v>
      </c>
      <c r="I1263" s="106" t="n">
        <v>0</v>
      </c>
      <c r="J1263" s="117" t="n">
        <v>0</v>
      </c>
      <c r="K1263" s="108" t="n">
        <v>1.1</v>
      </c>
      <c r="L1263" s="108" t="n">
        <v>0</v>
      </c>
      <c r="M1263" s="117"/>
      <c r="N1263" s="106"/>
      <c r="O1263" s="106"/>
      <c r="P1263" s="106"/>
      <c r="Q1263" s="106"/>
      <c r="R1263" s="106" t="s">
        <v>4537</v>
      </c>
    </row>
    <row r="1264" customFormat="false" ht="15" hidden="false" customHeight="false" outlineLevel="0" collapsed="false">
      <c r="A1264" s="106" t="s">
        <v>5888</v>
      </c>
      <c r="B1264" s="106" t="s">
        <v>4284</v>
      </c>
      <c r="C1264" s="106"/>
      <c r="D1264" s="106" t="n">
        <v>580</v>
      </c>
      <c r="E1264" s="107" t="n">
        <v>2</v>
      </c>
      <c r="F1264" s="106" t="n">
        <v>1</v>
      </c>
      <c r="G1264" s="118" t="n">
        <v>0.5</v>
      </c>
      <c r="H1264" s="116" t="n">
        <v>1.1</v>
      </c>
      <c r="I1264" s="106" t="n">
        <v>0</v>
      </c>
      <c r="J1264" s="117" t="n">
        <v>0</v>
      </c>
      <c r="K1264" s="108" t="n">
        <v>1.1</v>
      </c>
      <c r="L1264" s="108" t="n">
        <v>0</v>
      </c>
      <c r="M1264" s="117"/>
      <c r="N1264" s="106"/>
      <c r="O1264" s="106"/>
      <c r="P1264" s="106"/>
      <c r="Q1264" s="106"/>
      <c r="R1264" s="106" t="s">
        <v>4537</v>
      </c>
    </row>
    <row r="1265" customFormat="false" ht="15" hidden="false" customHeight="false" outlineLevel="0" collapsed="false">
      <c r="A1265" s="106" t="s">
        <v>5889</v>
      </c>
      <c r="B1265" s="106" t="s">
        <v>4284</v>
      </c>
      <c r="C1265" s="106"/>
      <c r="D1265" s="106"/>
      <c r="E1265" s="107" t="n">
        <v>1</v>
      </c>
      <c r="F1265" s="106" t="n">
        <v>1</v>
      </c>
      <c r="G1265" s="118" t="n">
        <v>1</v>
      </c>
      <c r="H1265" s="116" t="n">
        <v>1.1</v>
      </c>
      <c r="I1265" s="106" t="n">
        <v>0</v>
      </c>
      <c r="J1265" s="117" t="n">
        <v>0</v>
      </c>
      <c r="K1265" s="108" t="n">
        <v>1.1</v>
      </c>
      <c r="L1265" s="108" t="n">
        <v>0</v>
      </c>
      <c r="M1265" s="117"/>
      <c r="N1265" s="106"/>
      <c r="O1265" s="106"/>
      <c r="P1265" s="106"/>
      <c r="Q1265" s="106"/>
      <c r="R1265" s="106" t="s">
        <v>4537</v>
      </c>
    </row>
    <row r="1266" customFormat="false" ht="15" hidden="false" customHeight="false" outlineLevel="0" collapsed="false">
      <c r="A1266" s="106" t="s">
        <v>5890</v>
      </c>
      <c r="B1266" s="106" t="s">
        <v>1403</v>
      </c>
      <c r="C1266" s="106"/>
      <c r="D1266" s="106" t="n">
        <v>2</v>
      </c>
      <c r="E1266" s="107" t="n">
        <v>8</v>
      </c>
      <c r="F1266" s="106" t="n">
        <v>1</v>
      </c>
      <c r="G1266" s="118" t="n">
        <v>0.125</v>
      </c>
      <c r="H1266" s="116" t="n">
        <v>1.14</v>
      </c>
      <c r="I1266" s="106" t="n">
        <v>1</v>
      </c>
      <c r="J1266" s="117" t="n">
        <v>1</v>
      </c>
      <c r="K1266" s="108" t="n">
        <v>1.14</v>
      </c>
      <c r="L1266" s="108" t="n">
        <v>32.99</v>
      </c>
      <c r="M1266" s="117" t="n">
        <v>0.035</v>
      </c>
      <c r="N1266" s="106"/>
      <c r="O1266" s="106"/>
      <c r="P1266" s="106"/>
      <c r="Q1266" s="106"/>
      <c r="R1266" s="106" t="s">
        <v>4285</v>
      </c>
    </row>
    <row r="1267" customFormat="false" ht="15" hidden="false" customHeight="false" outlineLevel="0" collapsed="false">
      <c r="A1267" s="106" t="s">
        <v>5891</v>
      </c>
      <c r="B1267" s="106" t="s">
        <v>1403</v>
      </c>
      <c r="C1267" s="106"/>
      <c r="D1267" s="106"/>
      <c r="E1267" s="107" t="n">
        <v>3</v>
      </c>
      <c r="F1267" s="106" t="n">
        <v>1</v>
      </c>
      <c r="G1267" s="118" t="n">
        <v>0.3333</v>
      </c>
      <c r="H1267" s="116" t="n">
        <v>1.13</v>
      </c>
      <c r="I1267" s="106" t="n">
        <v>0</v>
      </c>
      <c r="J1267" s="117" t="n">
        <v>0</v>
      </c>
      <c r="K1267" s="108" t="n">
        <v>1.13</v>
      </c>
      <c r="L1267" s="108" t="n">
        <v>0</v>
      </c>
      <c r="M1267" s="117"/>
      <c r="N1267" s="106"/>
      <c r="O1267" s="106"/>
      <c r="P1267" s="106"/>
      <c r="Q1267" s="106"/>
      <c r="R1267" s="106" t="s">
        <v>4537</v>
      </c>
    </row>
    <row r="1268" customFormat="false" ht="15" hidden="false" customHeight="false" outlineLevel="0" collapsed="false">
      <c r="A1268" s="106" t="s">
        <v>5892</v>
      </c>
      <c r="B1268" s="106" t="s">
        <v>1403</v>
      </c>
      <c r="C1268" s="106"/>
      <c r="D1268" s="106"/>
      <c r="E1268" s="107" t="n">
        <v>3</v>
      </c>
      <c r="F1268" s="106" t="n">
        <v>1</v>
      </c>
      <c r="G1268" s="118" t="n">
        <v>0.3333</v>
      </c>
      <c r="H1268" s="116" t="n">
        <v>1.11</v>
      </c>
      <c r="I1268" s="106" t="n">
        <v>1</v>
      </c>
      <c r="J1268" s="117" t="n">
        <v>1</v>
      </c>
      <c r="K1268" s="108" t="n">
        <v>1.11</v>
      </c>
      <c r="L1268" s="108" t="n">
        <v>69.99</v>
      </c>
      <c r="M1268" s="117" t="n">
        <v>0.016</v>
      </c>
      <c r="N1268" s="106"/>
      <c r="O1268" s="106"/>
      <c r="P1268" s="106"/>
      <c r="Q1268" s="106"/>
      <c r="R1268" s="106" t="s">
        <v>4285</v>
      </c>
    </row>
    <row r="1269" customFormat="false" ht="15" hidden="false" customHeight="false" outlineLevel="0" collapsed="false">
      <c r="A1269" s="106" t="s">
        <v>5893</v>
      </c>
      <c r="B1269" s="106" t="s">
        <v>1403</v>
      </c>
      <c r="C1269" s="106"/>
      <c r="D1269" s="106" t="n">
        <v>1</v>
      </c>
      <c r="E1269" s="107" t="n">
        <v>7</v>
      </c>
      <c r="F1269" s="106" t="n">
        <v>1</v>
      </c>
      <c r="G1269" s="118" t="n">
        <v>0.1429</v>
      </c>
      <c r="H1269" s="116" t="n">
        <v>1.11</v>
      </c>
      <c r="I1269" s="106" t="n">
        <v>0</v>
      </c>
      <c r="J1269" s="117" t="n">
        <v>0</v>
      </c>
      <c r="K1269" s="108" t="n">
        <v>1.11</v>
      </c>
      <c r="L1269" s="108" t="n">
        <v>0</v>
      </c>
      <c r="M1269" s="117"/>
      <c r="N1269" s="106"/>
      <c r="O1269" s="106"/>
      <c r="P1269" s="106"/>
      <c r="Q1269" s="106"/>
      <c r="R1269" s="106" t="s">
        <v>4537</v>
      </c>
    </row>
    <row r="1270" customFormat="false" ht="15" hidden="false" customHeight="false" outlineLevel="0" collapsed="false">
      <c r="A1270" s="106" t="s">
        <v>5894</v>
      </c>
      <c r="B1270" s="106" t="s">
        <v>1403</v>
      </c>
      <c r="C1270" s="106"/>
      <c r="D1270" s="106"/>
      <c r="E1270" s="107" t="n">
        <v>1</v>
      </c>
      <c r="F1270" s="106" t="n">
        <v>1</v>
      </c>
      <c r="G1270" s="118" t="n">
        <v>1</v>
      </c>
      <c r="H1270" s="116" t="n">
        <v>1.11</v>
      </c>
      <c r="I1270" s="106" t="n">
        <v>2</v>
      </c>
      <c r="J1270" s="117" t="n">
        <v>2</v>
      </c>
      <c r="K1270" s="108" t="n">
        <v>1.11</v>
      </c>
      <c r="L1270" s="108" t="n">
        <v>100.98</v>
      </c>
      <c r="M1270" s="117" t="n">
        <v>0.011</v>
      </c>
      <c r="N1270" s="106"/>
      <c r="O1270" s="106"/>
      <c r="P1270" s="106"/>
      <c r="Q1270" s="106"/>
      <c r="R1270" s="106" t="s">
        <v>4285</v>
      </c>
    </row>
    <row r="1271" customFormat="false" ht="15" hidden="false" customHeight="false" outlineLevel="0" collapsed="false">
      <c r="A1271" s="106" t="s">
        <v>5895</v>
      </c>
      <c r="B1271" s="106" t="s">
        <v>1403</v>
      </c>
      <c r="C1271" s="106"/>
      <c r="D1271" s="106" t="n">
        <v>1</v>
      </c>
      <c r="E1271" s="107" t="n">
        <v>6</v>
      </c>
      <c r="F1271" s="106" t="n">
        <v>1</v>
      </c>
      <c r="G1271" s="118" t="n">
        <v>0.1667</v>
      </c>
      <c r="H1271" s="116" t="n">
        <v>1.11</v>
      </c>
      <c r="I1271" s="106" t="n">
        <v>0</v>
      </c>
      <c r="J1271" s="117" t="n">
        <v>0</v>
      </c>
      <c r="K1271" s="108" t="n">
        <v>1.11</v>
      </c>
      <c r="L1271" s="108" t="n">
        <v>0</v>
      </c>
      <c r="M1271" s="117"/>
      <c r="N1271" s="106"/>
      <c r="O1271" s="106"/>
      <c r="P1271" s="106"/>
      <c r="Q1271" s="106"/>
      <c r="R1271" s="106" t="s">
        <v>4537</v>
      </c>
    </row>
    <row r="1272" customFormat="false" ht="15" hidden="false" customHeight="false" outlineLevel="0" collapsed="false">
      <c r="A1272" s="106" t="s">
        <v>5896</v>
      </c>
      <c r="B1272" s="106" t="s">
        <v>4280</v>
      </c>
      <c r="C1272" s="106"/>
      <c r="D1272" s="106" t="n">
        <v>22</v>
      </c>
      <c r="E1272" s="107" t="n">
        <v>2</v>
      </c>
      <c r="F1272" s="106" t="n">
        <v>1</v>
      </c>
      <c r="G1272" s="118" t="n">
        <v>0.5</v>
      </c>
      <c r="H1272" s="116" t="n">
        <v>1.1</v>
      </c>
      <c r="I1272" s="106" t="n">
        <v>0</v>
      </c>
      <c r="J1272" s="117" t="n">
        <v>0</v>
      </c>
      <c r="K1272" s="108" t="n">
        <v>1.1</v>
      </c>
      <c r="L1272" s="108" t="n">
        <v>0</v>
      </c>
      <c r="M1272" s="117"/>
      <c r="N1272" s="106"/>
      <c r="O1272" s="106"/>
      <c r="P1272" s="106"/>
      <c r="Q1272" s="106"/>
      <c r="R1272" s="106" t="s">
        <v>4537</v>
      </c>
    </row>
    <row r="1273" customFormat="false" ht="15" hidden="false" customHeight="false" outlineLevel="0" collapsed="false">
      <c r="A1273" s="106" t="s">
        <v>5897</v>
      </c>
      <c r="B1273" s="106" t="s">
        <v>4284</v>
      </c>
      <c r="C1273" s="106"/>
      <c r="D1273" s="106" t="n">
        <v>3</v>
      </c>
      <c r="E1273" s="107" t="n">
        <v>3</v>
      </c>
      <c r="F1273" s="106" t="n">
        <v>1</v>
      </c>
      <c r="G1273" s="118" t="n">
        <v>0.3333</v>
      </c>
      <c r="H1273" s="116" t="n">
        <v>1.1</v>
      </c>
      <c r="I1273" s="106" t="n">
        <v>0</v>
      </c>
      <c r="J1273" s="117" t="n">
        <v>0</v>
      </c>
      <c r="K1273" s="108" t="n">
        <v>1.1</v>
      </c>
      <c r="L1273" s="108" t="n">
        <v>0</v>
      </c>
      <c r="M1273" s="117"/>
      <c r="N1273" s="106"/>
      <c r="O1273" s="106"/>
      <c r="P1273" s="106"/>
      <c r="Q1273" s="106"/>
      <c r="R1273" s="106" t="s">
        <v>4537</v>
      </c>
    </row>
    <row r="1274" customFormat="false" ht="15" hidden="false" customHeight="false" outlineLevel="0" collapsed="false">
      <c r="A1274" s="106" t="s">
        <v>5898</v>
      </c>
      <c r="B1274" s="106" t="s">
        <v>1403</v>
      </c>
      <c r="C1274" s="106"/>
      <c r="D1274" s="106" t="n">
        <v>4</v>
      </c>
      <c r="E1274" s="107" t="n">
        <v>14</v>
      </c>
      <c r="F1274" s="106" t="n">
        <v>1</v>
      </c>
      <c r="G1274" s="118" t="n">
        <v>0.0714</v>
      </c>
      <c r="H1274" s="116" t="n">
        <v>1.19</v>
      </c>
      <c r="I1274" s="106" t="n">
        <v>2</v>
      </c>
      <c r="J1274" s="117" t="n">
        <v>2</v>
      </c>
      <c r="K1274" s="108" t="n">
        <v>1.19</v>
      </c>
      <c r="L1274" s="108" t="n">
        <v>142.98</v>
      </c>
      <c r="M1274" s="117" t="n">
        <v>0.008</v>
      </c>
      <c r="N1274" s="106"/>
      <c r="O1274" s="106"/>
      <c r="P1274" s="106"/>
      <c r="Q1274" s="106"/>
      <c r="R1274" s="106" t="s">
        <v>4285</v>
      </c>
    </row>
    <row r="1275" customFormat="false" ht="15" hidden="false" customHeight="false" outlineLevel="0" collapsed="false">
      <c r="A1275" s="106" t="s">
        <v>5899</v>
      </c>
      <c r="B1275" s="106" t="s">
        <v>1403</v>
      </c>
      <c r="C1275" s="106"/>
      <c r="D1275" s="106" t="n">
        <v>8</v>
      </c>
      <c r="E1275" s="107" t="n">
        <v>22</v>
      </c>
      <c r="F1275" s="106" t="n">
        <v>1</v>
      </c>
      <c r="G1275" s="118" t="n">
        <v>0.0455</v>
      </c>
      <c r="H1275" s="116" t="n">
        <v>1.17</v>
      </c>
      <c r="I1275" s="106" t="n">
        <v>0</v>
      </c>
      <c r="J1275" s="117" t="n">
        <v>0</v>
      </c>
      <c r="K1275" s="108" t="n">
        <v>1.17</v>
      </c>
      <c r="L1275" s="108" t="n">
        <v>0</v>
      </c>
      <c r="M1275" s="117"/>
      <c r="N1275" s="106"/>
      <c r="O1275" s="106"/>
      <c r="P1275" s="106"/>
      <c r="Q1275" s="106"/>
      <c r="R1275" s="106" t="s">
        <v>4537</v>
      </c>
    </row>
    <row r="1276" customFormat="false" ht="15" hidden="false" customHeight="false" outlineLevel="0" collapsed="false">
      <c r="A1276" s="106" t="s">
        <v>5900</v>
      </c>
      <c r="B1276" s="106" t="s">
        <v>1403</v>
      </c>
      <c r="C1276" s="106"/>
      <c r="D1276" s="106" t="n">
        <v>3</v>
      </c>
      <c r="E1276" s="107" t="n">
        <v>16</v>
      </c>
      <c r="F1276" s="106" t="n">
        <v>1</v>
      </c>
      <c r="G1276" s="118" t="n">
        <v>0.0625</v>
      </c>
      <c r="H1276" s="116" t="n">
        <v>1.17</v>
      </c>
      <c r="I1276" s="106" t="n">
        <v>0</v>
      </c>
      <c r="J1276" s="117" t="n">
        <v>0</v>
      </c>
      <c r="K1276" s="108" t="n">
        <v>1.17</v>
      </c>
      <c r="L1276" s="108" t="n">
        <v>0</v>
      </c>
      <c r="M1276" s="117"/>
      <c r="N1276" s="106"/>
      <c r="O1276" s="106"/>
      <c r="P1276" s="106"/>
      <c r="Q1276" s="106"/>
      <c r="R1276" s="106" t="s">
        <v>4537</v>
      </c>
    </row>
    <row r="1277" customFormat="false" ht="15" hidden="false" customHeight="false" outlineLevel="0" collapsed="false">
      <c r="A1277" s="106" t="s">
        <v>5901</v>
      </c>
      <c r="B1277" s="106" t="s">
        <v>1403</v>
      </c>
      <c r="C1277" s="106"/>
      <c r="D1277" s="106" t="n">
        <v>1</v>
      </c>
      <c r="E1277" s="107" t="n">
        <v>1</v>
      </c>
      <c r="F1277" s="106" t="n">
        <v>1</v>
      </c>
      <c r="G1277" s="118" t="n">
        <v>1</v>
      </c>
      <c r="H1277" s="116" t="n">
        <v>1.16</v>
      </c>
      <c r="I1277" s="106" t="n">
        <v>0</v>
      </c>
      <c r="J1277" s="117" t="n">
        <v>0</v>
      </c>
      <c r="K1277" s="108" t="n">
        <v>1.16</v>
      </c>
      <c r="L1277" s="108" t="n">
        <v>0</v>
      </c>
      <c r="M1277" s="117"/>
      <c r="N1277" s="106"/>
      <c r="O1277" s="106"/>
      <c r="P1277" s="106"/>
      <c r="Q1277" s="106"/>
      <c r="R1277" s="106" t="s">
        <v>4537</v>
      </c>
    </row>
    <row r="1278" customFormat="false" ht="15" hidden="false" customHeight="false" outlineLevel="0" collapsed="false">
      <c r="A1278" s="106" t="s">
        <v>5902</v>
      </c>
      <c r="B1278" s="106" t="s">
        <v>1403</v>
      </c>
      <c r="C1278" s="106"/>
      <c r="D1278" s="106"/>
      <c r="E1278" s="107" t="n">
        <v>7</v>
      </c>
      <c r="F1278" s="106" t="n">
        <v>1</v>
      </c>
      <c r="G1278" s="118" t="n">
        <v>0.1429</v>
      </c>
      <c r="H1278" s="116" t="n">
        <v>1.14</v>
      </c>
      <c r="I1278" s="106" t="n">
        <v>0</v>
      </c>
      <c r="J1278" s="117" t="n">
        <v>0</v>
      </c>
      <c r="K1278" s="108" t="n">
        <v>1.14</v>
      </c>
      <c r="L1278" s="108" t="n">
        <v>0</v>
      </c>
      <c r="M1278" s="117"/>
      <c r="N1278" s="106"/>
      <c r="O1278" s="106"/>
      <c r="P1278" s="106"/>
      <c r="Q1278" s="106"/>
      <c r="R1278" s="106" t="s">
        <v>4537</v>
      </c>
    </row>
    <row r="1279" customFormat="false" ht="15" hidden="false" customHeight="false" outlineLevel="0" collapsed="false">
      <c r="A1279" s="106" t="s">
        <v>5903</v>
      </c>
      <c r="B1279" s="106" t="s">
        <v>1403</v>
      </c>
      <c r="C1279" s="106"/>
      <c r="D1279" s="106"/>
      <c r="E1279" s="107" t="n">
        <v>3</v>
      </c>
      <c r="F1279" s="106" t="n">
        <v>1</v>
      </c>
      <c r="G1279" s="118" t="n">
        <v>0.3333</v>
      </c>
      <c r="H1279" s="116" t="n">
        <v>1.14</v>
      </c>
      <c r="I1279" s="106" t="n">
        <v>0</v>
      </c>
      <c r="J1279" s="117" t="n">
        <v>0</v>
      </c>
      <c r="K1279" s="108" t="n">
        <v>1.14</v>
      </c>
      <c r="L1279" s="108" t="n">
        <v>0</v>
      </c>
      <c r="M1279" s="117"/>
      <c r="N1279" s="106"/>
      <c r="O1279" s="106"/>
      <c r="P1279" s="106"/>
      <c r="Q1279" s="106"/>
      <c r="R1279" s="106" t="s">
        <v>4537</v>
      </c>
    </row>
    <row r="1280" customFormat="false" ht="15" hidden="false" customHeight="false" outlineLevel="0" collapsed="false">
      <c r="A1280" s="106" t="s">
        <v>5904</v>
      </c>
      <c r="B1280" s="106" t="s">
        <v>1403</v>
      </c>
      <c r="C1280" s="106"/>
      <c r="D1280" s="106" t="n">
        <v>1</v>
      </c>
      <c r="E1280" s="107" t="n">
        <v>11</v>
      </c>
      <c r="F1280" s="106" t="n">
        <v>1</v>
      </c>
      <c r="G1280" s="118" t="n">
        <v>0.0909</v>
      </c>
      <c r="H1280" s="116" t="n">
        <v>1.14</v>
      </c>
      <c r="I1280" s="106" t="n">
        <v>0</v>
      </c>
      <c r="J1280" s="117" t="n">
        <v>0</v>
      </c>
      <c r="K1280" s="108" t="n">
        <v>1.14</v>
      </c>
      <c r="L1280" s="108" t="n">
        <v>0</v>
      </c>
      <c r="M1280" s="117"/>
      <c r="N1280" s="106"/>
      <c r="O1280" s="106"/>
      <c r="P1280" s="106"/>
      <c r="Q1280" s="106"/>
      <c r="R1280" s="106" t="s">
        <v>4537</v>
      </c>
    </row>
    <row r="1281" customFormat="false" ht="15" hidden="false" customHeight="false" outlineLevel="0" collapsed="false">
      <c r="A1281" s="106" t="s">
        <v>5905</v>
      </c>
      <c r="B1281" s="106" t="s">
        <v>1403</v>
      </c>
      <c r="C1281" s="106"/>
      <c r="D1281" s="106" t="n">
        <v>1</v>
      </c>
      <c r="E1281" s="107" t="n">
        <v>6</v>
      </c>
      <c r="F1281" s="106" t="n">
        <v>1</v>
      </c>
      <c r="G1281" s="118" t="n">
        <v>0.1667</v>
      </c>
      <c r="H1281" s="116" t="n">
        <v>1.14</v>
      </c>
      <c r="I1281" s="106" t="n">
        <v>0</v>
      </c>
      <c r="J1281" s="117" t="n">
        <v>0</v>
      </c>
      <c r="K1281" s="108" t="n">
        <v>1.14</v>
      </c>
      <c r="L1281" s="108" t="n">
        <v>0</v>
      </c>
      <c r="M1281" s="117"/>
      <c r="N1281" s="106"/>
      <c r="O1281" s="106"/>
      <c r="P1281" s="106"/>
      <c r="Q1281" s="106"/>
      <c r="R1281" s="106" t="s">
        <v>4537</v>
      </c>
    </row>
    <row r="1282" customFormat="false" ht="15" hidden="false" customHeight="false" outlineLevel="0" collapsed="false">
      <c r="A1282" s="106" t="s">
        <v>5906</v>
      </c>
      <c r="B1282" s="106" t="s">
        <v>4284</v>
      </c>
      <c r="C1282" s="106"/>
      <c r="D1282" s="106"/>
      <c r="E1282" s="107" t="n">
        <v>1</v>
      </c>
      <c r="F1282" s="106" t="n">
        <v>1</v>
      </c>
      <c r="G1282" s="118" t="n">
        <v>1</v>
      </c>
      <c r="H1282" s="116" t="n">
        <v>1.1</v>
      </c>
      <c r="I1282" s="106" t="n">
        <v>0</v>
      </c>
      <c r="J1282" s="117" t="n">
        <v>0</v>
      </c>
      <c r="K1282" s="108" t="n">
        <v>1.1</v>
      </c>
      <c r="L1282" s="108" t="n">
        <v>0</v>
      </c>
      <c r="M1282" s="117"/>
      <c r="N1282" s="106"/>
      <c r="O1282" s="106"/>
      <c r="P1282" s="106"/>
      <c r="Q1282" s="106"/>
      <c r="R1282" s="106" t="s">
        <v>4537</v>
      </c>
    </row>
    <row r="1283" customFormat="false" ht="15" hidden="false" customHeight="false" outlineLevel="0" collapsed="false">
      <c r="A1283" s="106" t="s">
        <v>5907</v>
      </c>
      <c r="B1283" s="106" t="s">
        <v>4284</v>
      </c>
      <c r="C1283" s="106"/>
      <c r="D1283" s="106"/>
      <c r="E1283" s="107" t="n">
        <v>2</v>
      </c>
      <c r="F1283" s="106" t="n">
        <v>1</v>
      </c>
      <c r="G1283" s="118" t="n">
        <v>0.5</v>
      </c>
      <c r="H1283" s="116" t="n">
        <v>1.1</v>
      </c>
      <c r="I1283" s="106" t="n">
        <v>0</v>
      </c>
      <c r="J1283" s="117" t="n">
        <v>0</v>
      </c>
      <c r="K1283" s="108" t="n">
        <v>1.1</v>
      </c>
      <c r="L1283" s="108" t="n">
        <v>0</v>
      </c>
      <c r="M1283" s="117"/>
      <c r="N1283" s="106"/>
      <c r="O1283" s="106"/>
      <c r="P1283" s="106"/>
      <c r="Q1283" s="106"/>
      <c r="R1283" s="106" t="s">
        <v>4537</v>
      </c>
    </row>
    <row r="1284" customFormat="false" ht="15" hidden="false" customHeight="false" outlineLevel="0" collapsed="false">
      <c r="A1284" s="106" t="s">
        <v>5908</v>
      </c>
      <c r="B1284" s="106" t="s">
        <v>4280</v>
      </c>
      <c r="C1284" s="106"/>
      <c r="D1284" s="106"/>
      <c r="E1284" s="107" t="n">
        <v>3</v>
      </c>
      <c r="F1284" s="106" t="n">
        <v>1</v>
      </c>
      <c r="G1284" s="118" t="n">
        <v>0.3333</v>
      </c>
      <c r="H1284" s="116" t="n">
        <v>1.1</v>
      </c>
      <c r="I1284" s="106" t="n">
        <v>0</v>
      </c>
      <c r="J1284" s="117" t="n">
        <v>0</v>
      </c>
      <c r="K1284" s="108" t="n">
        <v>1.1</v>
      </c>
      <c r="L1284" s="108" t="n">
        <v>0</v>
      </c>
      <c r="M1284" s="117"/>
      <c r="N1284" s="106"/>
      <c r="O1284" s="106"/>
      <c r="P1284" s="106"/>
      <c r="Q1284" s="106"/>
      <c r="R1284" s="106" t="s">
        <v>4537</v>
      </c>
    </row>
    <row r="1285" customFormat="false" ht="15" hidden="false" customHeight="false" outlineLevel="0" collapsed="false">
      <c r="A1285" s="106" t="s">
        <v>5909</v>
      </c>
      <c r="B1285" s="106" t="s">
        <v>4280</v>
      </c>
      <c r="C1285" s="106"/>
      <c r="D1285" s="106" t="n">
        <v>71</v>
      </c>
      <c r="E1285" s="107" t="n">
        <v>1</v>
      </c>
      <c r="F1285" s="106" t="n">
        <v>1</v>
      </c>
      <c r="G1285" s="118" t="n">
        <v>1</v>
      </c>
      <c r="H1285" s="116" t="n">
        <v>1.1</v>
      </c>
      <c r="I1285" s="106" t="n">
        <v>1</v>
      </c>
      <c r="J1285" s="117" t="n">
        <v>1</v>
      </c>
      <c r="K1285" s="108" t="n">
        <v>1.1</v>
      </c>
      <c r="L1285" s="108" t="n">
        <v>84.99</v>
      </c>
      <c r="M1285" s="117" t="n">
        <v>0.013</v>
      </c>
      <c r="N1285" s="106"/>
      <c r="O1285" s="106"/>
      <c r="P1285" s="106"/>
      <c r="Q1285" s="106"/>
      <c r="R1285" s="106" t="s">
        <v>4285</v>
      </c>
    </row>
    <row r="1286" customFormat="false" ht="15" hidden="false" customHeight="false" outlineLevel="0" collapsed="false">
      <c r="A1286" s="106" t="s">
        <v>5910</v>
      </c>
      <c r="B1286" s="106" t="s">
        <v>4280</v>
      </c>
      <c r="C1286" s="106"/>
      <c r="D1286" s="106"/>
      <c r="E1286" s="107" t="n">
        <v>1</v>
      </c>
      <c r="F1286" s="106" t="n">
        <v>1</v>
      </c>
      <c r="G1286" s="118" t="n">
        <v>1</v>
      </c>
      <c r="H1286" s="116" t="n">
        <v>1.1</v>
      </c>
      <c r="I1286" s="106" t="n">
        <v>0</v>
      </c>
      <c r="J1286" s="117" t="n">
        <v>0</v>
      </c>
      <c r="K1286" s="108" t="n">
        <v>1.1</v>
      </c>
      <c r="L1286" s="108" t="n">
        <v>0</v>
      </c>
      <c r="M1286" s="117"/>
      <c r="N1286" s="106"/>
      <c r="O1286" s="106"/>
      <c r="P1286" s="106"/>
      <c r="Q1286" s="106"/>
      <c r="R1286" s="106" t="s">
        <v>4537</v>
      </c>
    </row>
    <row r="1287" customFormat="false" ht="15" hidden="false" customHeight="false" outlineLevel="0" collapsed="false">
      <c r="A1287" s="106" t="s">
        <v>5911</v>
      </c>
      <c r="B1287" s="106" t="s">
        <v>4284</v>
      </c>
      <c r="C1287" s="106"/>
      <c r="D1287" s="106"/>
      <c r="E1287" s="107" t="n">
        <v>1</v>
      </c>
      <c r="F1287" s="106" t="n">
        <v>1</v>
      </c>
      <c r="G1287" s="118" t="n">
        <v>1</v>
      </c>
      <c r="H1287" s="116" t="n">
        <v>1.1</v>
      </c>
      <c r="I1287" s="106" t="n">
        <v>0</v>
      </c>
      <c r="J1287" s="117" t="n">
        <v>0</v>
      </c>
      <c r="K1287" s="108" t="n">
        <v>1.1</v>
      </c>
      <c r="L1287" s="108" t="n">
        <v>0</v>
      </c>
      <c r="M1287" s="117"/>
      <c r="N1287" s="106"/>
      <c r="O1287" s="106"/>
      <c r="P1287" s="106"/>
      <c r="Q1287" s="106"/>
      <c r="R1287" s="106" t="s">
        <v>4537</v>
      </c>
    </row>
    <row r="1288" customFormat="false" ht="15" hidden="false" customHeight="false" outlineLevel="0" collapsed="false">
      <c r="A1288" s="106" t="s">
        <v>5912</v>
      </c>
      <c r="B1288" s="106" t="s">
        <v>4329</v>
      </c>
      <c r="C1288" s="106"/>
      <c r="D1288" s="106" t="n">
        <v>30</v>
      </c>
      <c r="E1288" s="107" t="n">
        <v>1</v>
      </c>
      <c r="F1288" s="106" t="n">
        <v>1</v>
      </c>
      <c r="G1288" s="118" t="n">
        <v>1</v>
      </c>
      <c r="H1288" s="116" t="n">
        <v>1.1</v>
      </c>
      <c r="I1288" s="106" t="n">
        <v>0</v>
      </c>
      <c r="J1288" s="117" t="n">
        <v>0</v>
      </c>
      <c r="K1288" s="108" t="n">
        <v>1.1</v>
      </c>
      <c r="L1288" s="108" t="n">
        <v>0</v>
      </c>
      <c r="M1288" s="117"/>
      <c r="N1288" s="106"/>
      <c r="O1288" s="106"/>
      <c r="P1288" s="106"/>
      <c r="Q1288" s="106"/>
      <c r="R1288" s="106" t="s">
        <v>4537</v>
      </c>
    </row>
    <row r="1289" customFormat="false" ht="15" hidden="false" customHeight="false" outlineLevel="0" collapsed="false">
      <c r="A1289" s="106" t="s">
        <v>5913</v>
      </c>
      <c r="B1289" s="106" t="s">
        <v>4280</v>
      </c>
      <c r="C1289" s="106"/>
      <c r="D1289" s="106"/>
      <c r="E1289" s="107" t="n">
        <v>2</v>
      </c>
      <c r="F1289" s="106" t="n">
        <v>1</v>
      </c>
      <c r="G1289" s="118" t="n">
        <v>0.5</v>
      </c>
      <c r="H1289" s="116" t="n">
        <v>1.1</v>
      </c>
      <c r="I1289" s="106" t="n">
        <v>0</v>
      </c>
      <c r="J1289" s="117" t="n">
        <v>0</v>
      </c>
      <c r="K1289" s="108" t="n">
        <v>1.1</v>
      </c>
      <c r="L1289" s="108" t="n">
        <v>0</v>
      </c>
      <c r="M1289" s="117"/>
      <c r="N1289" s="106"/>
      <c r="O1289" s="106"/>
      <c r="P1289" s="106"/>
      <c r="Q1289" s="106"/>
      <c r="R1289" s="106" t="s">
        <v>4537</v>
      </c>
    </row>
    <row r="1290" customFormat="false" ht="15" hidden="false" customHeight="false" outlineLevel="0" collapsed="false">
      <c r="A1290" s="106" t="s">
        <v>5914</v>
      </c>
      <c r="B1290" s="106" t="s">
        <v>4280</v>
      </c>
      <c r="C1290" s="106"/>
      <c r="D1290" s="106"/>
      <c r="E1290" s="107" t="n">
        <v>1</v>
      </c>
      <c r="F1290" s="106" t="n">
        <v>1</v>
      </c>
      <c r="G1290" s="118" t="n">
        <v>1</v>
      </c>
      <c r="H1290" s="116" t="n">
        <v>1.1</v>
      </c>
      <c r="I1290" s="106" t="n">
        <v>0</v>
      </c>
      <c r="J1290" s="117" t="n">
        <v>0</v>
      </c>
      <c r="K1290" s="108" t="n">
        <v>1.1</v>
      </c>
      <c r="L1290" s="108" t="n">
        <v>0</v>
      </c>
      <c r="M1290" s="117"/>
      <c r="N1290" s="106"/>
      <c r="O1290" s="106"/>
      <c r="P1290" s="106"/>
      <c r="Q1290" s="106"/>
      <c r="R1290" s="106" t="s">
        <v>4537</v>
      </c>
    </row>
    <row r="1291" customFormat="false" ht="15" hidden="false" customHeight="false" outlineLevel="0" collapsed="false">
      <c r="A1291" s="106" t="s">
        <v>5915</v>
      </c>
      <c r="B1291" s="106" t="s">
        <v>4280</v>
      </c>
      <c r="C1291" s="106"/>
      <c r="D1291" s="106"/>
      <c r="E1291" s="107" t="n">
        <v>2</v>
      </c>
      <c r="F1291" s="106" t="n">
        <v>1</v>
      </c>
      <c r="G1291" s="118" t="n">
        <v>0.5</v>
      </c>
      <c r="H1291" s="116" t="n">
        <v>1.1</v>
      </c>
      <c r="I1291" s="106" t="n">
        <v>0</v>
      </c>
      <c r="J1291" s="117" t="n">
        <v>0</v>
      </c>
      <c r="K1291" s="108" t="n">
        <v>1.1</v>
      </c>
      <c r="L1291" s="108" t="n">
        <v>0</v>
      </c>
      <c r="M1291" s="117"/>
      <c r="N1291" s="106"/>
      <c r="O1291" s="106"/>
      <c r="P1291" s="106"/>
      <c r="Q1291" s="106"/>
      <c r="R1291" s="106" t="s">
        <v>4537</v>
      </c>
    </row>
    <row r="1292" customFormat="false" ht="15" hidden="false" customHeight="false" outlineLevel="0" collapsed="false">
      <c r="A1292" s="106" t="s">
        <v>5916</v>
      </c>
      <c r="B1292" s="106" t="s">
        <v>4329</v>
      </c>
      <c r="C1292" s="106"/>
      <c r="D1292" s="106"/>
      <c r="E1292" s="107" t="n">
        <v>2</v>
      </c>
      <c r="F1292" s="106" t="n">
        <v>1</v>
      </c>
      <c r="G1292" s="118" t="n">
        <v>0.5</v>
      </c>
      <c r="H1292" s="116" t="n">
        <v>1.1</v>
      </c>
      <c r="I1292" s="106" t="n">
        <v>0</v>
      </c>
      <c r="J1292" s="117" t="n">
        <v>0</v>
      </c>
      <c r="K1292" s="108" t="n">
        <v>1.1</v>
      </c>
      <c r="L1292" s="108" t="n">
        <v>0</v>
      </c>
      <c r="M1292" s="117"/>
      <c r="N1292" s="106"/>
      <c r="O1292" s="106"/>
      <c r="P1292" s="106"/>
      <c r="Q1292" s="106"/>
      <c r="R1292" s="106" t="s">
        <v>4537</v>
      </c>
    </row>
    <row r="1293" customFormat="false" ht="15" hidden="false" customHeight="false" outlineLevel="0" collapsed="false">
      <c r="A1293" s="106" t="s">
        <v>5917</v>
      </c>
      <c r="B1293" s="106" t="s">
        <v>4284</v>
      </c>
      <c r="C1293" s="106"/>
      <c r="D1293" s="106" t="n">
        <v>21</v>
      </c>
      <c r="E1293" s="107" t="n">
        <v>1</v>
      </c>
      <c r="F1293" s="106" t="n">
        <v>1</v>
      </c>
      <c r="G1293" s="118" t="n">
        <v>1</v>
      </c>
      <c r="H1293" s="116" t="n">
        <v>1.1</v>
      </c>
      <c r="I1293" s="106" t="n">
        <v>0</v>
      </c>
      <c r="J1293" s="117" t="n">
        <v>0</v>
      </c>
      <c r="K1293" s="108" t="n">
        <v>1.1</v>
      </c>
      <c r="L1293" s="108" t="n">
        <v>0</v>
      </c>
      <c r="M1293" s="117"/>
      <c r="N1293" s="106"/>
      <c r="O1293" s="106"/>
      <c r="P1293" s="106"/>
      <c r="Q1293" s="106"/>
      <c r="R1293" s="106" t="s">
        <v>4537</v>
      </c>
    </row>
    <row r="1294" customFormat="false" ht="15" hidden="false" customHeight="false" outlineLevel="0" collapsed="false">
      <c r="A1294" s="106" t="s">
        <v>5918</v>
      </c>
      <c r="B1294" s="106" t="s">
        <v>4329</v>
      </c>
      <c r="C1294" s="106"/>
      <c r="D1294" s="106"/>
      <c r="E1294" s="107" t="n">
        <v>1</v>
      </c>
      <c r="F1294" s="106" t="n">
        <v>1</v>
      </c>
      <c r="G1294" s="118" t="n">
        <v>1</v>
      </c>
      <c r="H1294" s="116" t="n">
        <v>1.1</v>
      </c>
      <c r="I1294" s="106" t="n">
        <v>0</v>
      </c>
      <c r="J1294" s="117" t="n">
        <v>0</v>
      </c>
      <c r="K1294" s="108" t="n">
        <v>1.1</v>
      </c>
      <c r="L1294" s="108" t="n">
        <v>0</v>
      </c>
      <c r="M1294" s="117"/>
      <c r="N1294" s="106"/>
      <c r="O1294" s="106"/>
      <c r="P1294" s="106"/>
      <c r="Q1294" s="106"/>
      <c r="R1294" s="106" t="s">
        <v>4537</v>
      </c>
    </row>
    <row r="1295" customFormat="false" ht="15" hidden="false" customHeight="false" outlineLevel="0" collapsed="false">
      <c r="A1295" s="106" t="s">
        <v>5919</v>
      </c>
      <c r="B1295" s="106" t="s">
        <v>4280</v>
      </c>
      <c r="C1295" s="106"/>
      <c r="D1295" s="106"/>
      <c r="E1295" s="107" t="n">
        <v>1</v>
      </c>
      <c r="F1295" s="106" t="n">
        <v>1</v>
      </c>
      <c r="G1295" s="118" t="n">
        <v>1</v>
      </c>
      <c r="H1295" s="116" t="n">
        <v>1.1</v>
      </c>
      <c r="I1295" s="106" t="n">
        <v>0</v>
      </c>
      <c r="J1295" s="117" t="n">
        <v>0</v>
      </c>
      <c r="K1295" s="108" t="n">
        <v>1.1</v>
      </c>
      <c r="L1295" s="108" t="n">
        <v>0</v>
      </c>
      <c r="M1295" s="117"/>
      <c r="N1295" s="106"/>
      <c r="O1295" s="106"/>
      <c r="P1295" s="106"/>
      <c r="Q1295" s="106"/>
      <c r="R1295" s="106" t="s">
        <v>4537</v>
      </c>
    </row>
    <row r="1296" customFormat="false" ht="15" hidden="false" customHeight="false" outlineLevel="0" collapsed="false">
      <c r="A1296" s="106" t="s">
        <v>5920</v>
      </c>
      <c r="B1296" s="106" t="s">
        <v>4284</v>
      </c>
      <c r="C1296" s="106"/>
      <c r="D1296" s="106"/>
      <c r="E1296" s="107" t="n">
        <v>2</v>
      </c>
      <c r="F1296" s="106" t="n">
        <v>1</v>
      </c>
      <c r="G1296" s="118" t="n">
        <v>0.5</v>
      </c>
      <c r="H1296" s="116" t="n">
        <v>1.1</v>
      </c>
      <c r="I1296" s="106" t="n">
        <v>0</v>
      </c>
      <c r="J1296" s="117" t="n">
        <v>0</v>
      </c>
      <c r="K1296" s="108" t="n">
        <v>1.1</v>
      </c>
      <c r="L1296" s="108" t="n">
        <v>0</v>
      </c>
      <c r="M1296" s="117"/>
      <c r="N1296" s="106"/>
      <c r="O1296" s="106"/>
      <c r="P1296" s="106"/>
      <c r="Q1296" s="106"/>
      <c r="R1296" s="106" t="s">
        <v>4537</v>
      </c>
    </row>
    <row r="1297" customFormat="false" ht="15" hidden="false" customHeight="false" outlineLevel="0" collapsed="false">
      <c r="A1297" s="106" t="s">
        <v>5921</v>
      </c>
      <c r="B1297" s="106" t="s">
        <v>4280</v>
      </c>
      <c r="C1297" s="106"/>
      <c r="D1297" s="106"/>
      <c r="E1297" s="107" t="n">
        <v>1</v>
      </c>
      <c r="F1297" s="106" t="n">
        <v>1</v>
      </c>
      <c r="G1297" s="118" t="n">
        <v>1</v>
      </c>
      <c r="H1297" s="116" t="n">
        <v>1.1</v>
      </c>
      <c r="I1297" s="106" t="n">
        <v>0</v>
      </c>
      <c r="J1297" s="117" t="n">
        <v>0</v>
      </c>
      <c r="K1297" s="108" t="n">
        <v>1.1</v>
      </c>
      <c r="L1297" s="108" t="n">
        <v>0</v>
      </c>
      <c r="M1297" s="117"/>
      <c r="N1297" s="106"/>
      <c r="O1297" s="106"/>
      <c r="P1297" s="106"/>
      <c r="Q1297" s="106"/>
      <c r="R1297" s="106" t="s">
        <v>4537</v>
      </c>
    </row>
    <row r="1298" customFormat="false" ht="15" hidden="false" customHeight="false" outlineLevel="0" collapsed="false">
      <c r="A1298" s="106" t="s">
        <v>5922</v>
      </c>
      <c r="B1298" s="106" t="s">
        <v>4280</v>
      </c>
      <c r="C1298" s="106"/>
      <c r="D1298" s="106" t="n">
        <v>7</v>
      </c>
      <c r="E1298" s="107" t="n">
        <v>1</v>
      </c>
      <c r="F1298" s="106" t="n">
        <v>1</v>
      </c>
      <c r="G1298" s="118" t="n">
        <v>1</v>
      </c>
      <c r="H1298" s="116" t="n">
        <v>1.1</v>
      </c>
      <c r="I1298" s="106" t="n">
        <v>0</v>
      </c>
      <c r="J1298" s="117" t="n">
        <v>0</v>
      </c>
      <c r="K1298" s="108" t="n">
        <v>1.1</v>
      </c>
      <c r="L1298" s="108" t="n">
        <v>0</v>
      </c>
      <c r="M1298" s="117"/>
      <c r="N1298" s="106"/>
      <c r="O1298" s="106"/>
      <c r="P1298" s="106"/>
      <c r="Q1298" s="106"/>
      <c r="R1298" s="106" t="s">
        <v>4537</v>
      </c>
    </row>
    <row r="1299" customFormat="false" ht="15" hidden="false" customHeight="false" outlineLevel="0" collapsed="false">
      <c r="A1299" s="106" t="s">
        <v>5923</v>
      </c>
      <c r="B1299" s="106" t="s">
        <v>4280</v>
      </c>
      <c r="C1299" s="106"/>
      <c r="D1299" s="106" t="n">
        <v>6</v>
      </c>
      <c r="E1299" s="107" t="n">
        <v>1</v>
      </c>
      <c r="F1299" s="106" t="n">
        <v>1</v>
      </c>
      <c r="G1299" s="118" t="n">
        <v>1</v>
      </c>
      <c r="H1299" s="116" t="n">
        <v>1.1</v>
      </c>
      <c r="I1299" s="106" t="n">
        <v>0</v>
      </c>
      <c r="J1299" s="117" t="n">
        <v>0</v>
      </c>
      <c r="K1299" s="108" t="n">
        <v>1.1</v>
      </c>
      <c r="L1299" s="108" t="n">
        <v>0</v>
      </c>
      <c r="M1299" s="117"/>
      <c r="N1299" s="106"/>
      <c r="O1299" s="106"/>
      <c r="P1299" s="106"/>
      <c r="Q1299" s="106"/>
      <c r="R1299" s="106" t="s">
        <v>4537</v>
      </c>
    </row>
    <row r="1300" customFormat="false" ht="15" hidden="false" customHeight="false" outlineLevel="0" collapsed="false">
      <c r="A1300" s="106" t="s">
        <v>5924</v>
      </c>
      <c r="B1300" s="106" t="s">
        <v>4280</v>
      </c>
      <c r="C1300" s="106"/>
      <c r="D1300" s="106" t="n">
        <v>16</v>
      </c>
      <c r="E1300" s="107" t="n">
        <v>1</v>
      </c>
      <c r="F1300" s="106" t="n">
        <v>1</v>
      </c>
      <c r="G1300" s="118" t="n">
        <v>1</v>
      </c>
      <c r="H1300" s="116" t="n">
        <v>1.1</v>
      </c>
      <c r="I1300" s="106" t="n">
        <v>0</v>
      </c>
      <c r="J1300" s="117" t="n">
        <v>0</v>
      </c>
      <c r="K1300" s="108" t="n">
        <v>1.1</v>
      </c>
      <c r="L1300" s="108" t="n">
        <v>0</v>
      </c>
      <c r="M1300" s="117"/>
      <c r="N1300" s="106"/>
      <c r="O1300" s="106"/>
      <c r="P1300" s="106"/>
      <c r="Q1300" s="106"/>
      <c r="R1300" s="106" t="s">
        <v>4537</v>
      </c>
    </row>
    <row r="1301" customFormat="false" ht="15" hidden="false" customHeight="false" outlineLevel="0" collapsed="false">
      <c r="A1301" s="106" t="s">
        <v>5925</v>
      </c>
      <c r="B1301" s="106" t="s">
        <v>4280</v>
      </c>
      <c r="C1301" s="106"/>
      <c r="D1301" s="106" t="n">
        <v>6</v>
      </c>
      <c r="E1301" s="107" t="n">
        <v>2</v>
      </c>
      <c r="F1301" s="106" t="n">
        <v>1</v>
      </c>
      <c r="G1301" s="118" t="n">
        <v>0.5</v>
      </c>
      <c r="H1301" s="116" t="n">
        <v>1.1</v>
      </c>
      <c r="I1301" s="106" t="n">
        <v>0</v>
      </c>
      <c r="J1301" s="117" t="n">
        <v>0</v>
      </c>
      <c r="K1301" s="108" t="n">
        <v>1.1</v>
      </c>
      <c r="L1301" s="108" t="n">
        <v>0</v>
      </c>
      <c r="M1301" s="117"/>
      <c r="N1301" s="106"/>
      <c r="O1301" s="106"/>
      <c r="P1301" s="106"/>
      <c r="Q1301" s="106"/>
      <c r="R1301" s="106" t="s">
        <v>4537</v>
      </c>
    </row>
    <row r="1302" customFormat="false" ht="15" hidden="false" customHeight="false" outlineLevel="0" collapsed="false">
      <c r="A1302" s="106" t="s">
        <v>5926</v>
      </c>
      <c r="B1302" s="106" t="s">
        <v>4280</v>
      </c>
      <c r="C1302" s="106"/>
      <c r="D1302" s="106"/>
      <c r="E1302" s="107" t="n">
        <v>3</v>
      </c>
      <c r="F1302" s="106" t="n">
        <v>1</v>
      </c>
      <c r="G1302" s="118" t="n">
        <v>0.3333</v>
      </c>
      <c r="H1302" s="116" t="n">
        <v>1.1</v>
      </c>
      <c r="I1302" s="106" t="n">
        <v>0</v>
      </c>
      <c r="J1302" s="117" t="n">
        <v>0</v>
      </c>
      <c r="K1302" s="108" t="n">
        <v>1.1</v>
      </c>
      <c r="L1302" s="108" t="n">
        <v>0</v>
      </c>
      <c r="M1302" s="117"/>
      <c r="N1302" s="106"/>
      <c r="O1302" s="106"/>
      <c r="P1302" s="106"/>
      <c r="Q1302" s="106"/>
      <c r="R1302" s="106" t="s">
        <v>4537</v>
      </c>
    </row>
    <row r="1303" customFormat="false" ht="15" hidden="false" customHeight="false" outlineLevel="0" collapsed="false">
      <c r="A1303" s="106" t="s">
        <v>5927</v>
      </c>
      <c r="B1303" s="106" t="s">
        <v>4280</v>
      </c>
      <c r="C1303" s="106"/>
      <c r="D1303" s="106"/>
      <c r="E1303" s="107" t="n">
        <v>2</v>
      </c>
      <c r="F1303" s="106" t="n">
        <v>1</v>
      </c>
      <c r="G1303" s="118" t="n">
        <v>0.5</v>
      </c>
      <c r="H1303" s="116" t="n">
        <v>1.1</v>
      </c>
      <c r="I1303" s="106" t="n">
        <v>0</v>
      </c>
      <c r="J1303" s="117" t="n">
        <v>0</v>
      </c>
      <c r="K1303" s="108" t="n">
        <v>1.1</v>
      </c>
      <c r="L1303" s="108" t="n">
        <v>0</v>
      </c>
      <c r="M1303" s="117"/>
      <c r="N1303" s="106"/>
      <c r="O1303" s="106"/>
      <c r="P1303" s="106"/>
      <c r="Q1303" s="106"/>
      <c r="R1303" s="106" t="s">
        <v>4537</v>
      </c>
    </row>
    <row r="1304" customFormat="false" ht="15" hidden="false" customHeight="false" outlineLevel="0" collapsed="false">
      <c r="A1304" s="106" t="s">
        <v>5928</v>
      </c>
      <c r="B1304" s="106" t="s">
        <v>4280</v>
      </c>
      <c r="C1304" s="106"/>
      <c r="D1304" s="106"/>
      <c r="E1304" s="107" t="n">
        <v>4</v>
      </c>
      <c r="F1304" s="106" t="n">
        <v>1</v>
      </c>
      <c r="G1304" s="118" t="n">
        <v>0.25</v>
      </c>
      <c r="H1304" s="116" t="n">
        <v>1.1</v>
      </c>
      <c r="I1304" s="106" t="n">
        <v>1</v>
      </c>
      <c r="J1304" s="117" t="n">
        <v>1</v>
      </c>
      <c r="K1304" s="108" t="n">
        <v>1.1</v>
      </c>
      <c r="L1304" s="108" t="n">
        <v>64.99</v>
      </c>
      <c r="M1304" s="117" t="n">
        <v>0.017</v>
      </c>
      <c r="N1304" s="106"/>
      <c r="O1304" s="106"/>
      <c r="P1304" s="106"/>
      <c r="Q1304" s="106"/>
      <c r="R1304" s="106" t="s">
        <v>4285</v>
      </c>
    </row>
    <row r="1305" customFormat="false" ht="15" hidden="false" customHeight="false" outlineLevel="0" collapsed="false">
      <c r="A1305" s="106" t="s">
        <v>5929</v>
      </c>
      <c r="B1305" s="106" t="s">
        <v>4280</v>
      </c>
      <c r="C1305" s="106"/>
      <c r="D1305" s="106"/>
      <c r="E1305" s="107" t="n">
        <v>4</v>
      </c>
      <c r="F1305" s="106" t="n">
        <v>1</v>
      </c>
      <c r="G1305" s="118" t="n">
        <v>0.25</v>
      </c>
      <c r="H1305" s="116" t="n">
        <v>1.1</v>
      </c>
      <c r="I1305" s="106" t="n">
        <v>0</v>
      </c>
      <c r="J1305" s="117" t="n">
        <v>0</v>
      </c>
      <c r="K1305" s="108" t="n">
        <v>1.1</v>
      </c>
      <c r="L1305" s="108" t="n">
        <v>0</v>
      </c>
      <c r="M1305" s="117"/>
      <c r="N1305" s="106"/>
      <c r="O1305" s="106"/>
      <c r="P1305" s="106"/>
      <c r="Q1305" s="106"/>
      <c r="R1305" s="106" t="s">
        <v>4537</v>
      </c>
    </row>
    <row r="1306" customFormat="false" ht="15" hidden="false" customHeight="false" outlineLevel="0" collapsed="false">
      <c r="A1306" s="106" t="s">
        <v>5930</v>
      </c>
      <c r="B1306" s="106" t="s">
        <v>4329</v>
      </c>
      <c r="C1306" s="106"/>
      <c r="D1306" s="106"/>
      <c r="E1306" s="107" t="n">
        <v>1</v>
      </c>
      <c r="F1306" s="106" t="n">
        <v>1</v>
      </c>
      <c r="G1306" s="118" t="n">
        <v>1</v>
      </c>
      <c r="H1306" s="116" t="n">
        <v>1.1</v>
      </c>
      <c r="I1306" s="106" t="n">
        <v>0</v>
      </c>
      <c r="J1306" s="117" t="n">
        <v>0</v>
      </c>
      <c r="K1306" s="108" t="n">
        <v>1.1</v>
      </c>
      <c r="L1306" s="108" t="n">
        <v>0</v>
      </c>
      <c r="M1306" s="117"/>
      <c r="N1306" s="106"/>
      <c r="O1306" s="106"/>
      <c r="P1306" s="106"/>
      <c r="Q1306" s="106"/>
      <c r="R1306" s="106" t="s">
        <v>4537</v>
      </c>
    </row>
    <row r="1307" customFormat="false" ht="15" hidden="false" customHeight="false" outlineLevel="0" collapsed="false">
      <c r="A1307" s="106" t="s">
        <v>5931</v>
      </c>
      <c r="B1307" s="106" t="s">
        <v>4284</v>
      </c>
      <c r="C1307" s="106"/>
      <c r="D1307" s="106"/>
      <c r="E1307" s="107" t="n">
        <v>1</v>
      </c>
      <c r="F1307" s="106" t="n">
        <v>1</v>
      </c>
      <c r="G1307" s="118" t="n">
        <v>1</v>
      </c>
      <c r="H1307" s="116" t="n">
        <v>1.1</v>
      </c>
      <c r="I1307" s="106" t="n">
        <v>0</v>
      </c>
      <c r="J1307" s="117" t="n">
        <v>0</v>
      </c>
      <c r="K1307" s="108" t="n">
        <v>1.1</v>
      </c>
      <c r="L1307" s="108" t="n">
        <v>0</v>
      </c>
      <c r="M1307" s="117"/>
      <c r="N1307" s="106"/>
      <c r="O1307" s="106"/>
      <c r="P1307" s="106"/>
      <c r="Q1307" s="106"/>
      <c r="R1307" s="106" t="s">
        <v>4537</v>
      </c>
    </row>
    <row r="1308" customFormat="false" ht="15" hidden="false" customHeight="false" outlineLevel="0" collapsed="false">
      <c r="A1308" s="106" t="s">
        <v>5932</v>
      </c>
      <c r="B1308" s="106" t="s">
        <v>4280</v>
      </c>
      <c r="C1308" s="106"/>
      <c r="D1308" s="106"/>
      <c r="E1308" s="107" t="n">
        <v>1</v>
      </c>
      <c r="F1308" s="106" t="n">
        <v>1</v>
      </c>
      <c r="G1308" s="118" t="n">
        <v>1</v>
      </c>
      <c r="H1308" s="116" t="n">
        <v>1.1</v>
      </c>
      <c r="I1308" s="106" t="n">
        <v>0</v>
      </c>
      <c r="J1308" s="117" t="n">
        <v>0</v>
      </c>
      <c r="K1308" s="108" t="n">
        <v>1.1</v>
      </c>
      <c r="L1308" s="108" t="n">
        <v>0</v>
      </c>
      <c r="M1308" s="117"/>
      <c r="N1308" s="106"/>
      <c r="O1308" s="106"/>
      <c r="P1308" s="106"/>
      <c r="Q1308" s="106"/>
      <c r="R1308" s="106" t="s">
        <v>4537</v>
      </c>
    </row>
    <row r="1309" customFormat="false" ht="15" hidden="false" customHeight="false" outlineLevel="0" collapsed="false">
      <c r="A1309" s="106" t="s">
        <v>5933</v>
      </c>
      <c r="B1309" s="106" t="s">
        <v>1403</v>
      </c>
      <c r="C1309" s="106"/>
      <c r="D1309" s="106"/>
      <c r="E1309" s="107" t="n">
        <v>1</v>
      </c>
      <c r="F1309" s="106" t="n">
        <v>1</v>
      </c>
      <c r="G1309" s="118" t="n">
        <v>1</v>
      </c>
      <c r="H1309" s="116" t="n">
        <v>1.1</v>
      </c>
      <c r="I1309" s="106" t="n">
        <v>0</v>
      </c>
      <c r="J1309" s="117" t="n">
        <v>0</v>
      </c>
      <c r="K1309" s="108" t="n">
        <v>1.1</v>
      </c>
      <c r="L1309" s="108" t="n">
        <v>0</v>
      </c>
      <c r="M1309" s="117"/>
      <c r="N1309" s="106"/>
      <c r="O1309" s="106"/>
      <c r="P1309" s="106"/>
      <c r="Q1309" s="106"/>
      <c r="R1309" s="106" t="s">
        <v>4537</v>
      </c>
    </row>
    <row r="1310" customFormat="false" ht="15" hidden="false" customHeight="false" outlineLevel="0" collapsed="false">
      <c r="A1310" s="106" t="s">
        <v>5934</v>
      </c>
      <c r="B1310" s="106" t="s">
        <v>4284</v>
      </c>
      <c r="C1310" s="106"/>
      <c r="D1310" s="106"/>
      <c r="E1310" s="107" t="n">
        <v>1</v>
      </c>
      <c r="F1310" s="106" t="n">
        <v>1</v>
      </c>
      <c r="G1310" s="118" t="n">
        <v>1</v>
      </c>
      <c r="H1310" s="116" t="n">
        <v>1.1</v>
      </c>
      <c r="I1310" s="106" t="n">
        <v>0</v>
      </c>
      <c r="J1310" s="117" t="n">
        <v>0</v>
      </c>
      <c r="K1310" s="108" t="n">
        <v>1.1</v>
      </c>
      <c r="L1310" s="108" t="n">
        <v>0</v>
      </c>
      <c r="M1310" s="117"/>
      <c r="N1310" s="106"/>
      <c r="O1310" s="106"/>
      <c r="P1310" s="106"/>
      <c r="Q1310" s="106"/>
      <c r="R1310" s="106" t="s">
        <v>4537</v>
      </c>
    </row>
    <row r="1311" customFormat="false" ht="15" hidden="false" customHeight="false" outlineLevel="0" collapsed="false">
      <c r="A1311" s="106" t="s">
        <v>5935</v>
      </c>
      <c r="B1311" s="106" t="s">
        <v>4280</v>
      </c>
      <c r="C1311" s="106"/>
      <c r="D1311" s="106"/>
      <c r="E1311" s="107" t="n">
        <v>1</v>
      </c>
      <c r="F1311" s="106" t="n">
        <v>1</v>
      </c>
      <c r="G1311" s="118" t="n">
        <v>1</v>
      </c>
      <c r="H1311" s="116" t="n">
        <v>1.1</v>
      </c>
      <c r="I1311" s="106" t="n">
        <v>0</v>
      </c>
      <c r="J1311" s="117" t="n">
        <v>0</v>
      </c>
      <c r="K1311" s="108" t="n">
        <v>1.1</v>
      </c>
      <c r="L1311" s="108" t="n">
        <v>0</v>
      </c>
      <c r="M1311" s="117"/>
      <c r="N1311" s="106"/>
      <c r="O1311" s="106"/>
      <c r="P1311" s="106"/>
      <c r="Q1311" s="106"/>
      <c r="R1311" s="106" t="s">
        <v>4537</v>
      </c>
    </row>
    <row r="1312" customFormat="false" ht="15" hidden="false" customHeight="false" outlineLevel="0" collapsed="false">
      <c r="A1312" s="106" t="s">
        <v>5936</v>
      </c>
      <c r="B1312" s="106" t="s">
        <v>4280</v>
      </c>
      <c r="C1312" s="106"/>
      <c r="D1312" s="106" t="n">
        <v>25</v>
      </c>
      <c r="E1312" s="107" t="n">
        <v>2</v>
      </c>
      <c r="F1312" s="106" t="n">
        <v>1</v>
      </c>
      <c r="G1312" s="118" t="n">
        <v>0.5</v>
      </c>
      <c r="H1312" s="116" t="n">
        <v>1.1</v>
      </c>
      <c r="I1312" s="106" t="n">
        <v>0</v>
      </c>
      <c r="J1312" s="117" t="n">
        <v>0</v>
      </c>
      <c r="K1312" s="108" t="n">
        <v>1.1</v>
      </c>
      <c r="L1312" s="108" t="n">
        <v>0</v>
      </c>
      <c r="M1312" s="117"/>
      <c r="N1312" s="106"/>
      <c r="O1312" s="106"/>
      <c r="P1312" s="106"/>
      <c r="Q1312" s="106"/>
      <c r="R1312" s="106" t="s">
        <v>4537</v>
      </c>
    </row>
    <row r="1313" customFormat="false" ht="15" hidden="false" customHeight="false" outlineLevel="0" collapsed="false">
      <c r="A1313" s="106" t="s">
        <v>5937</v>
      </c>
      <c r="B1313" s="106" t="s">
        <v>4284</v>
      </c>
      <c r="C1313" s="106"/>
      <c r="D1313" s="106"/>
      <c r="E1313" s="107" t="n">
        <v>1</v>
      </c>
      <c r="F1313" s="106" t="n">
        <v>1</v>
      </c>
      <c r="G1313" s="118" t="n">
        <v>1</v>
      </c>
      <c r="H1313" s="116" t="n">
        <v>1.1</v>
      </c>
      <c r="I1313" s="106" t="n">
        <v>0</v>
      </c>
      <c r="J1313" s="117" t="n">
        <v>0</v>
      </c>
      <c r="K1313" s="108" t="n">
        <v>1.1</v>
      </c>
      <c r="L1313" s="108" t="n">
        <v>0</v>
      </c>
      <c r="M1313" s="117"/>
      <c r="N1313" s="106"/>
      <c r="O1313" s="106"/>
      <c r="P1313" s="106"/>
      <c r="Q1313" s="106"/>
      <c r="R1313" s="106" t="s">
        <v>4537</v>
      </c>
    </row>
    <row r="1314" customFormat="false" ht="15" hidden="false" customHeight="false" outlineLevel="0" collapsed="false">
      <c r="A1314" s="106" t="s">
        <v>5938</v>
      </c>
      <c r="B1314" s="106" t="s">
        <v>4280</v>
      </c>
      <c r="C1314" s="106"/>
      <c r="D1314" s="106" t="n">
        <v>18</v>
      </c>
      <c r="E1314" s="107" t="n">
        <v>2</v>
      </c>
      <c r="F1314" s="106" t="n">
        <v>1</v>
      </c>
      <c r="G1314" s="118" t="n">
        <v>0.5</v>
      </c>
      <c r="H1314" s="116" t="n">
        <v>1.1</v>
      </c>
      <c r="I1314" s="106" t="n">
        <v>0</v>
      </c>
      <c r="J1314" s="117" t="n">
        <v>0</v>
      </c>
      <c r="K1314" s="108" t="n">
        <v>1.1</v>
      </c>
      <c r="L1314" s="108" t="n">
        <v>0</v>
      </c>
      <c r="M1314" s="117"/>
      <c r="N1314" s="106"/>
      <c r="O1314" s="106"/>
      <c r="P1314" s="106"/>
      <c r="Q1314" s="106"/>
      <c r="R1314" s="106" t="s">
        <v>4537</v>
      </c>
    </row>
    <row r="1315" customFormat="false" ht="15" hidden="false" customHeight="false" outlineLevel="0" collapsed="false">
      <c r="A1315" s="106" t="s">
        <v>5939</v>
      </c>
      <c r="B1315" s="106" t="s">
        <v>4284</v>
      </c>
      <c r="C1315" s="106"/>
      <c r="D1315" s="106" t="n">
        <v>10</v>
      </c>
      <c r="E1315" s="107" t="n">
        <v>1</v>
      </c>
      <c r="F1315" s="106" t="n">
        <v>1</v>
      </c>
      <c r="G1315" s="118" t="n">
        <v>1</v>
      </c>
      <c r="H1315" s="116" t="n">
        <v>1.1</v>
      </c>
      <c r="I1315" s="106" t="n">
        <v>0</v>
      </c>
      <c r="J1315" s="117" t="n">
        <v>0</v>
      </c>
      <c r="K1315" s="108" t="n">
        <v>1.1</v>
      </c>
      <c r="L1315" s="108" t="n">
        <v>0</v>
      </c>
      <c r="M1315" s="117"/>
      <c r="N1315" s="106"/>
      <c r="O1315" s="106"/>
      <c r="P1315" s="106"/>
      <c r="Q1315" s="106"/>
      <c r="R1315" s="106" t="s">
        <v>4537</v>
      </c>
    </row>
    <row r="1316" customFormat="false" ht="15" hidden="false" customHeight="false" outlineLevel="0" collapsed="false">
      <c r="A1316" s="106" t="s">
        <v>5940</v>
      </c>
      <c r="B1316" s="106" t="s">
        <v>4280</v>
      </c>
      <c r="C1316" s="106"/>
      <c r="D1316" s="106"/>
      <c r="E1316" s="107" t="n">
        <v>3</v>
      </c>
      <c r="F1316" s="106" t="n">
        <v>1</v>
      </c>
      <c r="G1316" s="118" t="n">
        <v>0.3333</v>
      </c>
      <c r="H1316" s="116" t="n">
        <v>1.1</v>
      </c>
      <c r="I1316" s="106" t="n">
        <v>0</v>
      </c>
      <c r="J1316" s="117" t="n">
        <v>0</v>
      </c>
      <c r="K1316" s="108" t="n">
        <v>1.1</v>
      </c>
      <c r="L1316" s="108" t="n">
        <v>0</v>
      </c>
      <c r="M1316" s="117"/>
      <c r="N1316" s="106"/>
      <c r="O1316" s="106"/>
      <c r="P1316" s="106"/>
      <c r="Q1316" s="106"/>
      <c r="R1316" s="106" t="s">
        <v>4537</v>
      </c>
    </row>
    <row r="1317" customFormat="false" ht="15" hidden="false" customHeight="false" outlineLevel="0" collapsed="false">
      <c r="A1317" s="106" t="s">
        <v>5941</v>
      </c>
      <c r="B1317" s="106" t="s">
        <v>4280</v>
      </c>
      <c r="C1317" s="106"/>
      <c r="D1317" s="106"/>
      <c r="E1317" s="107" t="n">
        <v>4</v>
      </c>
      <c r="F1317" s="106" t="n">
        <v>1</v>
      </c>
      <c r="G1317" s="118" t="n">
        <v>0.25</v>
      </c>
      <c r="H1317" s="116" t="n">
        <v>1.1</v>
      </c>
      <c r="I1317" s="106" t="n">
        <v>0</v>
      </c>
      <c r="J1317" s="117" t="n">
        <v>0</v>
      </c>
      <c r="K1317" s="108" t="n">
        <v>1.1</v>
      </c>
      <c r="L1317" s="108" t="n">
        <v>0</v>
      </c>
      <c r="M1317" s="117"/>
      <c r="N1317" s="106"/>
      <c r="O1317" s="106"/>
      <c r="P1317" s="106"/>
      <c r="Q1317" s="106"/>
      <c r="R1317" s="106" t="s">
        <v>4537</v>
      </c>
    </row>
    <row r="1318" customFormat="false" ht="15" hidden="false" customHeight="false" outlineLevel="0" collapsed="false">
      <c r="A1318" s="106" t="s">
        <v>5942</v>
      </c>
      <c r="B1318" s="106" t="s">
        <v>4329</v>
      </c>
      <c r="C1318" s="106"/>
      <c r="D1318" s="106"/>
      <c r="E1318" s="107" t="n">
        <v>1</v>
      </c>
      <c r="F1318" s="106" t="n">
        <v>1</v>
      </c>
      <c r="G1318" s="118" t="n">
        <v>1</v>
      </c>
      <c r="H1318" s="116" t="n">
        <v>1.1</v>
      </c>
      <c r="I1318" s="106" t="n">
        <v>0</v>
      </c>
      <c r="J1318" s="117" t="n">
        <v>0</v>
      </c>
      <c r="K1318" s="108" t="n">
        <v>1.1</v>
      </c>
      <c r="L1318" s="108" t="n">
        <v>0</v>
      </c>
      <c r="M1318" s="117"/>
      <c r="N1318" s="106"/>
      <c r="O1318" s="106"/>
      <c r="P1318" s="106"/>
      <c r="Q1318" s="106"/>
      <c r="R1318" s="106" t="s">
        <v>4537</v>
      </c>
    </row>
    <row r="1319" customFormat="false" ht="15" hidden="false" customHeight="false" outlineLevel="0" collapsed="false">
      <c r="A1319" s="106" t="s">
        <v>5943</v>
      </c>
      <c r="B1319" s="106" t="s">
        <v>4280</v>
      </c>
      <c r="C1319" s="106"/>
      <c r="D1319" s="106" t="n">
        <v>20</v>
      </c>
      <c r="E1319" s="107" t="n">
        <v>6</v>
      </c>
      <c r="F1319" s="106" t="n">
        <v>1</v>
      </c>
      <c r="G1319" s="118" t="n">
        <v>0.1667</v>
      </c>
      <c r="H1319" s="116" t="n">
        <v>1.1</v>
      </c>
      <c r="I1319" s="106" t="n">
        <v>0</v>
      </c>
      <c r="J1319" s="117" t="n">
        <v>0</v>
      </c>
      <c r="K1319" s="108" t="n">
        <v>1.1</v>
      </c>
      <c r="L1319" s="108" t="n">
        <v>0</v>
      </c>
      <c r="M1319" s="117"/>
      <c r="N1319" s="106"/>
      <c r="O1319" s="106"/>
      <c r="P1319" s="106"/>
      <c r="Q1319" s="106"/>
      <c r="R1319" s="106" t="s">
        <v>4537</v>
      </c>
    </row>
    <row r="1320" customFormat="false" ht="15" hidden="false" customHeight="false" outlineLevel="0" collapsed="false">
      <c r="A1320" s="106" t="s">
        <v>5944</v>
      </c>
      <c r="B1320" s="106" t="s">
        <v>4280</v>
      </c>
      <c r="C1320" s="106"/>
      <c r="D1320" s="106" t="n">
        <v>16</v>
      </c>
      <c r="E1320" s="107" t="n">
        <v>6</v>
      </c>
      <c r="F1320" s="106" t="n">
        <v>1</v>
      </c>
      <c r="G1320" s="118" t="n">
        <v>0.1667</v>
      </c>
      <c r="H1320" s="116" t="n">
        <v>1.1</v>
      </c>
      <c r="I1320" s="106" t="n">
        <v>0</v>
      </c>
      <c r="J1320" s="117" t="n">
        <v>0</v>
      </c>
      <c r="K1320" s="108" t="n">
        <v>1.1</v>
      </c>
      <c r="L1320" s="108" t="n">
        <v>0</v>
      </c>
      <c r="M1320" s="117"/>
      <c r="N1320" s="106"/>
      <c r="O1320" s="106"/>
      <c r="P1320" s="106"/>
      <c r="Q1320" s="106"/>
      <c r="R1320" s="106" t="s">
        <v>4537</v>
      </c>
    </row>
    <row r="1321" customFormat="false" ht="15" hidden="false" customHeight="false" outlineLevel="0" collapsed="false">
      <c r="A1321" s="106" t="s">
        <v>5945</v>
      </c>
      <c r="B1321" s="106" t="s">
        <v>4280</v>
      </c>
      <c r="C1321" s="106"/>
      <c r="D1321" s="106"/>
      <c r="E1321" s="107" t="n">
        <v>4</v>
      </c>
      <c r="F1321" s="106" t="n">
        <v>1</v>
      </c>
      <c r="G1321" s="118" t="n">
        <v>0.25</v>
      </c>
      <c r="H1321" s="116" t="n">
        <v>1.1</v>
      </c>
      <c r="I1321" s="106" t="n">
        <v>0</v>
      </c>
      <c r="J1321" s="117" t="n">
        <v>0</v>
      </c>
      <c r="K1321" s="108" t="n">
        <v>1.1</v>
      </c>
      <c r="L1321" s="108" t="n">
        <v>0</v>
      </c>
      <c r="M1321" s="117"/>
      <c r="N1321" s="106"/>
      <c r="O1321" s="106"/>
      <c r="P1321" s="106"/>
      <c r="Q1321" s="106"/>
      <c r="R1321" s="106" t="s">
        <v>4537</v>
      </c>
    </row>
    <row r="1322" customFormat="false" ht="15" hidden="false" customHeight="false" outlineLevel="0" collapsed="false">
      <c r="A1322" s="106" t="s">
        <v>5946</v>
      </c>
      <c r="B1322" s="106" t="s">
        <v>4280</v>
      </c>
      <c r="C1322" s="106"/>
      <c r="D1322" s="106"/>
      <c r="E1322" s="107" t="n">
        <v>1</v>
      </c>
      <c r="F1322" s="106" t="n">
        <v>1</v>
      </c>
      <c r="G1322" s="118" t="n">
        <v>1</v>
      </c>
      <c r="H1322" s="116" t="n">
        <v>1.1</v>
      </c>
      <c r="I1322" s="106" t="n">
        <v>1</v>
      </c>
      <c r="J1322" s="117" t="n">
        <v>1</v>
      </c>
      <c r="K1322" s="108" t="n">
        <v>1.1</v>
      </c>
      <c r="L1322" s="108" t="n">
        <v>79.99</v>
      </c>
      <c r="M1322" s="117" t="n">
        <v>0.014</v>
      </c>
      <c r="N1322" s="106"/>
      <c r="O1322" s="106"/>
      <c r="P1322" s="106"/>
      <c r="Q1322" s="106"/>
      <c r="R1322" s="106" t="s">
        <v>4285</v>
      </c>
    </row>
    <row r="1323" customFormat="false" ht="15" hidden="false" customHeight="false" outlineLevel="0" collapsed="false">
      <c r="A1323" s="106" t="s">
        <v>5947</v>
      </c>
      <c r="B1323" s="106" t="s">
        <v>4280</v>
      </c>
      <c r="C1323" s="106"/>
      <c r="D1323" s="106" t="n">
        <v>8</v>
      </c>
      <c r="E1323" s="107" t="n">
        <v>1</v>
      </c>
      <c r="F1323" s="106" t="n">
        <v>1</v>
      </c>
      <c r="G1323" s="118" t="n">
        <v>1</v>
      </c>
      <c r="H1323" s="116" t="n">
        <v>1.1</v>
      </c>
      <c r="I1323" s="106" t="n">
        <v>0</v>
      </c>
      <c r="J1323" s="117" t="n">
        <v>0</v>
      </c>
      <c r="K1323" s="108" t="n">
        <v>1.1</v>
      </c>
      <c r="L1323" s="108" t="n">
        <v>0</v>
      </c>
      <c r="M1323" s="117"/>
      <c r="N1323" s="106"/>
      <c r="O1323" s="106"/>
      <c r="P1323" s="106"/>
      <c r="Q1323" s="106"/>
      <c r="R1323" s="106" t="s">
        <v>4537</v>
      </c>
    </row>
    <row r="1324" customFormat="false" ht="15" hidden="false" customHeight="false" outlineLevel="0" collapsed="false">
      <c r="A1324" s="106" t="s">
        <v>5948</v>
      </c>
      <c r="B1324" s="106" t="s">
        <v>4280</v>
      </c>
      <c r="C1324" s="106"/>
      <c r="D1324" s="106"/>
      <c r="E1324" s="107" t="n">
        <v>1</v>
      </c>
      <c r="F1324" s="106" t="n">
        <v>1</v>
      </c>
      <c r="G1324" s="118" t="n">
        <v>1</v>
      </c>
      <c r="H1324" s="116" t="n">
        <v>1.1</v>
      </c>
      <c r="I1324" s="106" t="n">
        <v>0</v>
      </c>
      <c r="J1324" s="117" t="n">
        <v>0</v>
      </c>
      <c r="K1324" s="108" t="n">
        <v>1.1</v>
      </c>
      <c r="L1324" s="108" t="n">
        <v>0</v>
      </c>
      <c r="M1324" s="117"/>
      <c r="N1324" s="106"/>
      <c r="O1324" s="106"/>
      <c r="P1324" s="106"/>
      <c r="Q1324" s="106"/>
      <c r="R1324" s="106" t="s">
        <v>4537</v>
      </c>
    </row>
    <row r="1325" customFormat="false" ht="15" hidden="false" customHeight="false" outlineLevel="0" collapsed="false">
      <c r="A1325" s="106" t="s">
        <v>5949</v>
      </c>
      <c r="B1325" s="106" t="s">
        <v>4284</v>
      </c>
      <c r="C1325" s="106"/>
      <c r="D1325" s="106"/>
      <c r="E1325" s="107" t="n">
        <v>1</v>
      </c>
      <c r="F1325" s="106" t="n">
        <v>1</v>
      </c>
      <c r="G1325" s="118" t="n">
        <v>1</v>
      </c>
      <c r="H1325" s="116" t="n">
        <v>1.1</v>
      </c>
      <c r="I1325" s="106" t="n">
        <v>0</v>
      </c>
      <c r="J1325" s="117" t="n">
        <v>0</v>
      </c>
      <c r="K1325" s="108" t="n">
        <v>1.1</v>
      </c>
      <c r="L1325" s="108" t="n">
        <v>0</v>
      </c>
      <c r="M1325" s="117"/>
      <c r="N1325" s="106"/>
      <c r="O1325" s="106"/>
      <c r="P1325" s="106"/>
      <c r="Q1325" s="106"/>
      <c r="R1325" s="106" t="s">
        <v>4537</v>
      </c>
    </row>
    <row r="1326" customFormat="false" ht="15" hidden="false" customHeight="false" outlineLevel="0" collapsed="false">
      <c r="A1326" s="106" t="s">
        <v>5950</v>
      </c>
      <c r="B1326" s="106" t="s">
        <v>4284</v>
      </c>
      <c r="C1326" s="106"/>
      <c r="D1326" s="106"/>
      <c r="E1326" s="107" t="n">
        <v>2</v>
      </c>
      <c r="F1326" s="106" t="n">
        <v>1</v>
      </c>
      <c r="G1326" s="118" t="n">
        <v>0.5</v>
      </c>
      <c r="H1326" s="116" t="n">
        <v>1.1</v>
      </c>
      <c r="I1326" s="106" t="n">
        <v>0</v>
      </c>
      <c r="J1326" s="117" t="n">
        <v>0</v>
      </c>
      <c r="K1326" s="108" t="n">
        <v>1.1</v>
      </c>
      <c r="L1326" s="108" t="n">
        <v>0</v>
      </c>
      <c r="M1326" s="117"/>
      <c r="N1326" s="106"/>
      <c r="O1326" s="106"/>
      <c r="P1326" s="106"/>
      <c r="Q1326" s="106"/>
      <c r="R1326" s="106" t="s">
        <v>4537</v>
      </c>
    </row>
    <row r="1327" customFormat="false" ht="15" hidden="false" customHeight="false" outlineLevel="0" collapsed="false">
      <c r="A1327" s="106" t="s">
        <v>5951</v>
      </c>
      <c r="B1327" s="106" t="s">
        <v>4280</v>
      </c>
      <c r="C1327" s="106"/>
      <c r="D1327" s="106"/>
      <c r="E1327" s="107" t="n">
        <v>2</v>
      </c>
      <c r="F1327" s="106" t="n">
        <v>1</v>
      </c>
      <c r="G1327" s="118" t="n">
        <v>0.5</v>
      </c>
      <c r="H1327" s="116" t="n">
        <v>1.1</v>
      </c>
      <c r="I1327" s="106" t="n">
        <v>0</v>
      </c>
      <c r="J1327" s="117" t="n">
        <v>0</v>
      </c>
      <c r="K1327" s="108" t="n">
        <v>1.1</v>
      </c>
      <c r="L1327" s="108" t="n">
        <v>0</v>
      </c>
      <c r="M1327" s="117"/>
      <c r="N1327" s="106"/>
      <c r="O1327" s="106"/>
      <c r="P1327" s="106"/>
      <c r="Q1327" s="106"/>
      <c r="R1327" s="106" t="s">
        <v>4537</v>
      </c>
    </row>
    <row r="1328" customFormat="false" ht="15" hidden="false" customHeight="false" outlineLevel="0" collapsed="false">
      <c r="A1328" s="106" t="s">
        <v>5952</v>
      </c>
      <c r="B1328" s="106" t="s">
        <v>1403</v>
      </c>
      <c r="C1328" s="106"/>
      <c r="D1328" s="106"/>
      <c r="E1328" s="107" t="n">
        <v>1</v>
      </c>
      <c r="F1328" s="106" t="n">
        <v>1</v>
      </c>
      <c r="G1328" s="118" t="n">
        <v>1</v>
      </c>
      <c r="H1328" s="116" t="n">
        <v>1.1</v>
      </c>
      <c r="I1328" s="106" t="n">
        <v>0</v>
      </c>
      <c r="J1328" s="117" t="n">
        <v>0</v>
      </c>
      <c r="K1328" s="108" t="n">
        <v>1.1</v>
      </c>
      <c r="L1328" s="108" t="n">
        <v>0</v>
      </c>
      <c r="M1328" s="117"/>
      <c r="N1328" s="106"/>
      <c r="O1328" s="106"/>
      <c r="P1328" s="106"/>
      <c r="Q1328" s="106"/>
      <c r="R1328" s="106" t="s">
        <v>4537</v>
      </c>
    </row>
    <row r="1329" customFormat="false" ht="15" hidden="false" customHeight="false" outlineLevel="0" collapsed="false">
      <c r="A1329" s="106" t="s">
        <v>5953</v>
      </c>
      <c r="B1329" s="106" t="s">
        <v>4280</v>
      </c>
      <c r="C1329" s="106"/>
      <c r="D1329" s="106" t="n">
        <v>2</v>
      </c>
      <c r="E1329" s="107" t="n">
        <v>3</v>
      </c>
      <c r="F1329" s="106" t="n">
        <v>1</v>
      </c>
      <c r="G1329" s="118" t="n">
        <v>0.3333</v>
      </c>
      <c r="H1329" s="116" t="n">
        <v>1.1</v>
      </c>
      <c r="I1329" s="106" t="n">
        <v>1</v>
      </c>
      <c r="J1329" s="117" t="n">
        <v>1</v>
      </c>
      <c r="K1329" s="108" t="n">
        <v>1.1</v>
      </c>
      <c r="L1329" s="108" t="n">
        <v>84.99</v>
      </c>
      <c r="M1329" s="117" t="n">
        <v>0.013</v>
      </c>
      <c r="N1329" s="106"/>
      <c r="O1329" s="106"/>
      <c r="P1329" s="106"/>
      <c r="Q1329" s="106"/>
      <c r="R1329" s="106" t="s">
        <v>4285</v>
      </c>
    </row>
    <row r="1330" customFormat="false" ht="15" hidden="false" customHeight="false" outlineLevel="0" collapsed="false">
      <c r="A1330" s="106" t="s">
        <v>5954</v>
      </c>
      <c r="B1330" s="106" t="s">
        <v>4280</v>
      </c>
      <c r="C1330" s="106"/>
      <c r="D1330" s="106" t="n">
        <v>5</v>
      </c>
      <c r="E1330" s="107" t="n">
        <v>2</v>
      </c>
      <c r="F1330" s="106" t="n">
        <v>1</v>
      </c>
      <c r="G1330" s="118" t="n">
        <v>0.5</v>
      </c>
      <c r="H1330" s="116" t="n">
        <v>1.1</v>
      </c>
      <c r="I1330" s="106" t="n">
        <v>0</v>
      </c>
      <c r="J1330" s="117" t="n">
        <v>0</v>
      </c>
      <c r="K1330" s="108" t="n">
        <v>1.1</v>
      </c>
      <c r="L1330" s="108" t="n">
        <v>0</v>
      </c>
      <c r="M1330" s="117"/>
      <c r="N1330" s="106"/>
      <c r="O1330" s="106"/>
      <c r="P1330" s="106"/>
      <c r="Q1330" s="106"/>
      <c r="R1330" s="106" t="s">
        <v>4537</v>
      </c>
    </row>
    <row r="1331" customFormat="false" ht="15" hidden="false" customHeight="false" outlineLevel="0" collapsed="false">
      <c r="A1331" s="106" t="s">
        <v>5955</v>
      </c>
      <c r="B1331" s="106" t="s">
        <v>4284</v>
      </c>
      <c r="C1331" s="106"/>
      <c r="D1331" s="106"/>
      <c r="E1331" s="107" t="n">
        <v>3</v>
      </c>
      <c r="F1331" s="106" t="n">
        <v>1</v>
      </c>
      <c r="G1331" s="118" t="n">
        <v>0.3333</v>
      </c>
      <c r="H1331" s="116" t="n">
        <v>1.1</v>
      </c>
      <c r="I1331" s="106" t="n">
        <v>0</v>
      </c>
      <c r="J1331" s="117" t="n">
        <v>0</v>
      </c>
      <c r="K1331" s="108" t="n">
        <v>1.1</v>
      </c>
      <c r="L1331" s="108" t="n">
        <v>0</v>
      </c>
      <c r="M1331" s="117"/>
      <c r="N1331" s="106"/>
      <c r="O1331" s="106"/>
      <c r="P1331" s="106"/>
      <c r="Q1331" s="106"/>
      <c r="R1331" s="106" t="s">
        <v>4537</v>
      </c>
    </row>
    <row r="1332" customFormat="false" ht="15" hidden="false" customHeight="false" outlineLevel="0" collapsed="false">
      <c r="A1332" s="106" t="s">
        <v>5956</v>
      </c>
      <c r="B1332" s="106" t="s">
        <v>4280</v>
      </c>
      <c r="C1332" s="106"/>
      <c r="D1332" s="106"/>
      <c r="E1332" s="107" t="n">
        <v>1</v>
      </c>
      <c r="F1332" s="106" t="n">
        <v>1</v>
      </c>
      <c r="G1332" s="118" t="n">
        <v>1</v>
      </c>
      <c r="H1332" s="116" t="n">
        <v>1.1</v>
      </c>
      <c r="I1332" s="106" t="n">
        <v>0</v>
      </c>
      <c r="J1332" s="117" t="n">
        <v>0</v>
      </c>
      <c r="K1332" s="108" t="n">
        <v>1.1</v>
      </c>
      <c r="L1332" s="108" t="n">
        <v>0</v>
      </c>
      <c r="M1332" s="117"/>
      <c r="N1332" s="106"/>
      <c r="O1332" s="106"/>
      <c r="P1332" s="106"/>
      <c r="Q1332" s="106"/>
      <c r="R1332" s="106" t="s">
        <v>4537</v>
      </c>
    </row>
    <row r="1333" customFormat="false" ht="15" hidden="false" customHeight="false" outlineLevel="0" collapsed="false">
      <c r="A1333" s="106" t="s">
        <v>5957</v>
      </c>
      <c r="B1333" s="106" t="s">
        <v>4280</v>
      </c>
      <c r="C1333" s="106"/>
      <c r="D1333" s="106"/>
      <c r="E1333" s="107" t="n">
        <v>1</v>
      </c>
      <c r="F1333" s="106" t="n">
        <v>1</v>
      </c>
      <c r="G1333" s="118" t="n">
        <v>1</v>
      </c>
      <c r="H1333" s="116" t="n">
        <v>1.1</v>
      </c>
      <c r="I1333" s="106" t="n">
        <v>0</v>
      </c>
      <c r="J1333" s="117" t="n">
        <v>0</v>
      </c>
      <c r="K1333" s="108" t="n">
        <v>1.1</v>
      </c>
      <c r="L1333" s="108" t="n">
        <v>0</v>
      </c>
      <c r="M1333" s="117"/>
      <c r="N1333" s="106"/>
      <c r="O1333" s="106"/>
      <c r="P1333" s="106"/>
      <c r="Q1333" s="106"/>
      <c r="R1333" s="106" t="s">
        <v>4537</v>
      </c>
    </row>
    <row r="1334" customFormat="false" ht="15" hidden="false" customHeight="false" outlineLevel="0" collapsed="false">
      <c r="A1334" s="106" t="s">
        <v>5958</v>
      </c>
      <c r="B1334" s="106" t="s">
        <v>4280</v>
      </c>
      <c r="C1334" s="106"/>
      <c r="D1334" s="106" t="n">
        <v>8</v>
      </c>
      <c r="E1334" s="107" t="n">
        <v>1</v>
      </c>
      <c r="F1334" s="106" t="n">
        <v>1</v>
      </c>
      <c r="G1334" s="118" t="n">
        <v>1</v>
      </c>
      <c r="H1334" s="116" t="n">
        <v>1.1</v>
      </c>
      <c r="I1334" s="106" t="n">
        <v>0</v>
      </c>
      <c r="J1334" s="117" t="n">
        <v>0</v>
      </c>
      <c r="K1334" s="108" t="n">
        <v>1.1</v>
      </c>
      <c r="L1334" s="108" t="n">
        <v>0</v>
      </c>
      <c r="M1334" s="117"/>
      <c r="N1334" s="106"/>
      <c r="O1334" s="106"/>
      <c r="P1334" s="106"/>
      <c r="Q1334" s="106"/>
      <c r="R1334" s="106" t="s">
        <v>4537</v>
      </c>
    </row>
    <row r="1335" customFormat="false" ht="15" hidden="false" customHeight="false" outlineLevel="0" collapsed="false">
      <c r="A1335" s="106" t="s">
        <v>5959</v>
      </c>
      <c r="B1335" s="106" t="s">
        <v>4280</v>
      </c>
      <c r="C1335" s="106"/>
      <c r="D1335" s="106"/>
      <c r="E1335" s="107" t="n">
        <v>1</v>
      </c>
      <c r="F1335" s="106" t="n">
        <v>1</v>
      </c>
      <c r="G1335" s="118" t="n">
        <v>1</v>
      </c>
      <c r="H1335" s="116" t="n">
        <v>1.1</v>
      </c>
      <c r="I1335" s="106" t="n">
        <v>0</v>
      </c>
      <c r="J1335" s="117" t="n">
        <v>0</v>
      </c>
      <c r="K1335" s="108" t="n">
        <v>1.1</v>
      </c>
      <c r="L1335" s="108" t="n">
        <v>0</v>
      </c>
      <c r="M1335" s="117"/>
      <c r="N1335" s="106"/>
      <c r="O1335" s="106"/>
      <c r="P1335" s="106"/>
      <c r="Q1335" s="106"/>
      <c r="R1335" s="106" t="s">
        <v>4537</v>
      </c>
    </row>
    <row r="1336" customFormat="false" ht="15" hidden="false" customHeight="false" outlineLevel="0" collapsed="false">
      <c r="A1336" s="106" t="s">
        <v>5960</v>
      </c>
      <c r="B1336" s="106" t="s">
        <v>4280</v>
      </c>
      <c r="C1336" s="106"/>
      <c r="D1336" s="106"/>
      <c r="E1336" s="107" t="n">
        <v>1</v>
      </c>
      <c r="F1336" s="106" t="n">
        <v>1</v>
      </c>
      <c r="G1336" s="118" t="n">
        <v>1</v>
      </c>
      <c r="H1336" s="116" t="n">
        <v>1.1</v>
      </c>
      <c r="I1336" s="106" t="n">
        <v>0</v>
      </c>
      <c r="J1336" s="117" t="n">
        <v>0</v>
      </c>
      <c r="K1336" s="108" t="n">
        <v>1.1</v>
      </c>
      <c r="L1336" s="108" t="n">
        <v>0</v>
      </c>
      <c r="M1336" s="117"/>
      <c r="N1336" s="106"/>
      <c r="O1336" s="106"/>
      <c r="P1336" s="106"/>
      <c r="Q1336" s="106"/>
      <c r="R1336" s="106" t="s">
        <v>4537</v>
      </c>
    </row>
    <row r="1337" customFormat="false" ht="15" hidden="false" customHeight="false" outlineLevel="0" collapsed="false">
      <c r="A1337" s="106" t="s">
        <v>5961</v>
      </c>
      <c r="B1337" s="106" t="s">
        <v>4329</v>
      </c>
      <c r="C1337" s="106"/>
      <c r="D1337" s="106" t="n">
        <v>10</v>
      </c>
      <c r="E1337" s="107" t="n">
        <v>2</v>
      </c>
      <c r="F1337" s="106" t="n">
        <v>1</v>
      </c>
      <c r="G1337" s="118" t="n">
        <v>0.5</v>
      </c>
      <c r="H1337" s="116" t="n">
        <v>1.1</v>
      </c>
      <c r="I1337" s="106" t="n">
        <v>0</v>
      </c>
      <c r="J1337" s="117" t="n">
        <v>0</v>
      </c>
      <c r="K1337" s="108" t="n">
        <v>1.1</v>
      </c>
      <c r="L1337" s="108" t="n">
        <v>0</v>
      </c>
      <c r="M1337" s="117"/>
      <c r="N1337" s="106"/>
      <c r="O1337" s="106"/>
      <c r="P1337" s="106"/>
      <c r="Q1337" s="106"/>
      <c r="R1337" s="106" t="s">
        <v>4537</v>
      </c>
    </row>
    <row r="1338" customFormat="false" ht="15" hidden="false" customHeight="false" outlineLevel="0" collapsed="false">
      <c r="A1338" s="106" t="s">
        <v>5962</v>
      </c>
      <c r="B1338" s="106" t="s">
        <v>4280</v>
      </c>
      <c r="C1338" s="106"/>
      <c r="D1338" s="106"/>
      <c r="E1338" s="107" t="n">
        <v>2</v>
      </c>
      <c r="F1338" s="106" t="n">
        <v>1</v>
      </c>
      <c r="G1338" s="118" t="n">
        <v>0.5</v>
      </c>
      <c r="H1338" s="116" t="n">
        <v>1.1</v>
      </c>
      <c r="I1338" s="106" t="n">
        <v>0</v>
      </c>
      <c r="J1338" s="117" t="n">
        <v>0</v>
      </c>
      <c r="K1338" s="108" t="n">
        <v>1.1</v>
      </c>
      <c r="L1338" s="108" t="n">
        <v>0</v>
      </c>
      <c r="M1338" s="117"/>
      <c r="N1338" s="106"/>
      <c r="O1338" s="106"/>
      <c r="P1338" s="106"/>
      <c r="Q1338" s="106"/>
      <c r="R1338" s="106" t="s">
        <v>4537</v>
      </c>
    </row>
    <row r="1339" customFormat="false" ht="15" hidden="false" customHeight="false" outlineLevel="0" collapsed="false">
      <c r="A1339" s="106" t="s">
        <v>5963</v>
      </c>
      <c r="B1339" s="106" t="s">
        <v>4280</v>
      </c>
      <c r="C1339" s="106"/>
      <c r="D1339" s="106" t="n">
        <v>143</v>
      </c>
      <c r="E1339" s="107" t="n">
        <v>1</v>
      </c>
      <c r="F1339" s="106" t="n">
        <v>1</v>
      </c>
      <c r="G1339" s="118" t="n">
        <v>1</v>
      </c>
      <c r="H1339" s="116" t="n">
        <v>1.1</v>
      </c>
      <c r="I1339" s="106" t="n">
        <v>0</v>
      </c>
      <c r="J1339" s="117" t="n">
        <v>0</v>
      </c>
      <c r="K1339" s="108" t="n">
        <v>1.1</v>
      </c>
      <c r="L1339" s="108" t="n">
        <v>0</v>
      </c>
      <c r="M1339" s="117"/>
      <c r="N1339" s="106"/>
      <c r="O1339" s="106"/>
      <c r="P1339" s="106"/>
      <c r="Q1339" s="106"/>
      <c r="R1339" s="106" t="s">
        <v>4537</v>
      </c>
    </row>
    <row r="1340" customFormat="false" ht="15" hidden="false" customHeight="false" outlineLevel="0" collapsed="false">
      <c r="A1340" s="106" t="s">
        <v>5964</v>
      </c>
      <c r="B1340" s="106" t="s">
        <v>4280</v>
      </c>
      <c r="C1340" s="106"/>
      <c r="D1340" s="106"/>
      <c r="E1340" s="107" t="n">
        <v>3</v>
      </c>
      <c r="F1340" s="106" t="n">
        <v>1</v>
      </c>
      <c r="G1340" s="118" t="n">
        <v>0.3333</v>
      </c>
      <c r="H1340" s="116" t="n">
        <v>1.1</v>
      </c>
      <c r="I1340" s="106" t="n">
        <v>0</v>
      </c>
      <c r="J1340" s="117" t="n">
        <v>0</v>
      </c>
      <c r="K1340" s="108" t="n">
        <v>1.1</v>
      </c>
      <c r="L1340" s="108" t="n">
        <v>0</v>
      </c>
      <c r="M1340" s="117"/>
      <c r="N1340" s="106"/>
      <c r="O1340" s="106"/>
      <c r="P1340" s="106"/>
      <c r="Q1340" s="106"/>
      <c r="R1340" s="106" t="s">
        <v>4537</v>
      </c>
    </row>
    <row r="1341" customFormat="false" ht="15" hidden="false" customHeight="false" outlineLevel="0" collapsed="false">
      <c r="A1341" s="106" t="s">
        <v>5965</v>
      </c>
      <c r="B1341" s="106" t="s">
        <v>4280</v>
      </c>
      <c r="C1341" s="106"/>
      <c r="D1341" s="106"/>
      <c r="E1341" s="107" t="n">
        <v>2</v>
      </c>
      <c r="F1341" s="106" t="n">
        <v>1</v>
      </c>
      <c r="G1341" s="118" t="n">
        <v>0.5</v>
      </c>
      <c r="H1341" s="116" t="n">
        <v>1.1</v>
      </c>
      <c r="I1341" s="106" t="n">
        <v>0</v>
      </c>
      <c r="J1341" s="117" t="n">
        <v>0</v>
      </c>
      <c r="K1341" s="108" t="n">
        <v>1.1</v>
      </c>
      <c r="L1341" s="108" t="n">
        <v>0</v>
      </c>
      <c r="M1341" s="117"/>
      <c r="N1341" s="106"/>
      <c r="O1341" s="106"/>
      <c r="P1341" s="106"/>
      <c r="Q1341" s="106"/>
      <c r="R1341" s="106" t="s">
        <v>4537</v>
      </c>
    </row>
    <row r="1342" customFormat="false" ht="15" hidden="false" customHeight="false" outlineLevel="0" collapsed="false">
      <c r="A1342" s="106" t="s">
        <v>5966</v>
      </c>
      <c r="B1342" s="106" t="s">
        <v>4280</v>
      </c>
      <c r="C1342" s="106"/>
      <c r="D1342" s="106"/>
      <c r="E1342" s="107" t="n">
        <v>1</v>
      </c>
      <c r="F1342" s="106" t="n">
        <v>1</v>
      </c>
      <c r="G1342" s="118" t="n">
        <v>1</v>
      </c>
      <c r="H1342" s="116" t="n">
        <v>1.1</v>
      </c>
      <c r="I1342" s="106" t="n">
        <v>0</v>
      </c>
      <c r="J1342" s="117" t="n">
        <v>0</v>
      </c>
      <c r="K1342" s="108" t="n">
        <v>1.1</v>
      </c>
      <c r="L1342" s="108" t="n">
        <v>0</v>
      </c>
      <c r="M1342" s="117"/>
      <c r="N1342" s="106"/>
      <c r="O1342" s="106"/>
      <c r="P1342" s="106"/>
      <c r="Q1342" s="106"/>
      <c r="R1342" s="106" t="s">
        <v>4537</v>
      </c>
    </row>
    <row r="1343" customFormat="false" ht="15" hidden="false" customHeight="false" outlineLevel="0" collapsed="false">
      <c r="A1343" s="106" t="s">
        <v>5967</v>
      </c>
      <c r="B1343" s="106" t="s">
        <v>4280</v>
      </c>
      <c r="C1343" s="106"/>
      <c r="D1343" s="106"/>
      <c r="E1343" s="107" t="n">
        <v>1</v>
      </c>
      <c r="F1343" s="106" t="n">
        <v>1</v>
      </c>
      <c r="G1343" s="118" t="n">
        <v>1</v>
      </c>
      <c r="H1343" s="116" t="n">
        <v>1.1</v>
      </c>
      <c r="I1343" s="106" t="n">
        <v>0</v>
      </c>
      <c r="J1343" s="117" t="n">
        <v>0</v>
      </c>
      <c r="K1343" s="108" t="n">
        <v>1.1</v>
      </c>
      <c r="L1343" s="108" t="n">
        <v>0</v>
      </c>
      <c r="M1343" s="117"/>
      <c r="N1343" s="106"/>
      <c r="O1343" s="106"/>
      <c r="P1343" s="106"/>
      <c r="Q1343" s="106"/>
      <c r="R1343" s="106" t="s">
        <v>4537</v>
      </c>
    </row>
    <row r="1344" customFormat="false" ht="15" hidden="false" customHeight="false" outlineLevel="0" collapsed="false">
      <c r="A1344" s="106" t="s">
        <v>5968</v>
      </c>
      <c r="B1344" s="106" t="s">
        <v>4280</v>
      </c>
      <c r="C1344" s="106"/>
      <c r="D1344" s="106" t="n">
        <v>3</v>
      </c>
      <c r="E1344" s="107" t="n">
        <v>1</v>
      </c>
      <c r="F1344" s="106" t="n">
        <v>1</v>
      </c>
      <c r="G1344" s="118" t="n">
        <v>1</v>
      </c>
      <c r="H1344" s="116" t="n">
        <v>1.1</v>
      </c>
      <c r="I1344" s="106" t="n">
        <v>1</v>
      </c>
      <c r="J1344" s="117" t="n">
        <v>1</v>
      </c>
      <c r="K1344" s="108" t="n">
        <v>1.1</v>
      </c>
      <c r="L1344" s="108" t="n">
        <v>69.99</v>
      </c>
      <c r="M1344" s="117" t="n">
        <v>0.016</v>
      </c>
      <c r="N1344" s="106"/>
      <c r="O1344" s="106"/>
      <c r="P1344" s="106"/>
      <c r="Q1344" s="106"/>
      <c r="R1344" s="106" t="s">
        <v>4285</v>
      </c>
    </row>
    <row r="1345" customFormat="false" ht="15" hidden="false" customHeight="false" outlineLevel="0" collapsed="false">
      <c r="A1345" s="106" t="s">
        <v>5969</v>
      </c>
      <c r="B1345" s="106" t="s">
        <v>4284</v>
      </c>
      <c r="C1345" s="106"/>
      <c r="D1345" s="106" t="n">
        <v>16</v>
      </c>
      <c r="E1345" s="107" t="n">
        <v>1</v>
      </c>
      <c r="F1345" s="106" t="n">
        <v>1</v>
      </c>
      <c r="G1345" s="118" t="n">
        <v>1</v>
      </c>
      <c r="H1345" s="116" t="n">
        <v>1.1</v>
      </c>
      <c r="I1345" s="106" t="n">
        <v>0</v>
      </c>
      <c r="J1345" s="117" t="n">
        <v>0</v>
      </c>
      <c r="K1345" s="108" t="n">
        <v>1.1</v>
      </c>
      <c r="L1345" s="108" t="n">
        <v>0</v>
      </c>
      <c r="M1345" s="117"/>
      <c r="N1345" s="106"/>
      <c r="O1345" s="106"/>
      <c r="P1345" s="106"/>
      <c r="Q1345" s="106"/>
      <c r="R1345" s="106" t="s">
        <v>4537</v>
      </c>
    </row>
    <row r="1346" customFormat="false" ht="15" hidden="false" customHeight="false" outlineLevel="0" collapsed="false">
      <c r="A1346" s="106" t="s">
        <v>5970</v>
      </c>
      <c r="B1346" s="106" t="s">
        <v>4280</v>
      </c>
      <c r="C1346" s="106"/>
      <c r="D1346" s="106"/>
      <c r="E1346" s="107" t="n">
        <v>2</v>
      </c>
      <c r="F1346" s="106" t="n">
        <v>1</v>
      </c>
      <c r="G1346" s="118" t="n">
        <v>0.5</v>
      </c>
      <c r="H1346" s="116" t="n">
        <v>1.1</v>
      </c>
      <c r="I1346" s="106" t="n">
        <v>0</v>
      </c>
      <c r="J1346" s="117" t="n">
        <v>0</v>
      </c>
      <c r="K1346" s="108" t="n">
        <v>1.1</v>
      </c>
      <c r="L1346" s="108" t="n">
        <v>0</v>
      </c>
      <c r="M1346" s="117"/>
      <c r="N1346" s="106"/>
      <c r="O1346" s="106"/>
      <c r="P1346" s="106"/>
      <c r="Q1346" s="106"/>
      <c r="R1346" s="106" t="s">
        <v>4537</v>
      </c>
    </row>
    <row r="1347" customFormat="false" ht="15" hidden="false" customHeight="false" outlineLevel="0" collapsed="false">
      <c r="A1347" s="106" t="s">
        <v>5971</v>
      </c>
      <c r="B1347" s="106" t="s">
        <v>4280</v>
      </c>
      <c r="C1347" s="106"/>
      <c r="D1347" s="106" t="n">
        <v>20</v>
      </c>
      <c r="E1347" s="107" t="n">
        <v>12</v>
      </c>
      <c r="F1347" s="106" t="n">
        <v>1</v>
      </c>
      <c r="G1347" s="118" t="n">
        <v>0.0833</v>
      </c>
      <c r="H1347" s="116" t="n">
        <v>1.1</v>
      </c>
      <c r="I1347" s="106" t="n">
        <v>0</v>
      </c>
      <c r="J1347" s="117" t="n">
        <v>0</v>
      </c>
      <c r="K1347" s="108" t="n">
        <v>1.1</v>
      </c>
      <c r="L1347" s="108" t="n">
        <v>0</v>
      </c>
      <c r="M1347" s="117"/>
      <c r="N1347" s="106"/>
      <c r="O1347" s="106"/>
      <c r="P1347" s="106"/>
      <c r="Q1347" s="106"/>
      <c r="R1347" s="106" t="s">
        <v>4537</v>
      </c>
    </row>
    <row r="1348" customFormat="false" ht="15" hidden="false" customHeight="false" outlineLevel="0" collapsed="false">
      <c r="A1348" s="106" t="s">
        <v>5972</v>
      </c>
      <c r="B1348" s="106" t="s">
        <v>4284</v>
      </c>
      <c r="C1348" s="106"/>
      <c r="D1348" s="106"/>
      <c r="E1348" s="107" t="n">
        <v>1</v>
      </c>
      <c r="F1348" s="106" t="n">
        <v>1</v>
      </c>
      <c r="G1348" s="118" t="n">
        <v>1</v>
      </c>
      <c r="H1348" s="116" t="n">
        <v>1.1</v>
      </c>
      <c r="I1348" s="106" t="n">
        <v>0</v>
      </c>
      <c r="J1348" s="117" t="n">
        <v>0</v>
      </c>
      <c r="K1348" s="108" t="n">
        <v>1.1</v>
      </c>
      <c r="L1348" s="108" t="n">
        <v>0</v>
      </c>
      <c r="M1348" s="117"/>
      <c r="N1348" s="106"/>
      <c r="O1348" s="106"/>
      <c r="P1348" s="106"/>
      <c r="Q1348" s="106"/>
      <c r="R1348" s="106" t="s">
        <v>4537</v>
      </c>
    </row>
    <row r="1349" customFormat="false" ht="15" hidden="false" customHeight="false" outlineLevel="0" collapsed="false">
      <c r="A1349" s="106" t="s">
        <v>5973</v>
      </c>
      <c r="B1349" s="106" t="s">
        <v>4284</v>
      </c>
      <c r="C1349" s="106"/>
      <c r="D1349" s="106" t="n">
        <v>35</v>
      </c>
      <c r="E1349" s="107" t="n">
        <v>3</v>
      </c>
      <c r="F1349" s="106" t="n">
        <v>1</v>
      </c>
      <c r="G1349" s="118" t="n">
        <v>0.3333</v>
      </c>
      <c r="H1349" s="116" t="n">
        <v>1.1</v>
      </c>
      <c r="I1349" s="106" t="n">
        <v>0</v>
      </c>
      <c r="J1349" s="117" t="n">
        <v>0</v>
      </c>
      <c r="K1349" s="108" t="n">
        <v>1.1</v>
      </c>
      <c r="L1349" s="108" t="n">
        <v>0</v>
      </c>
      <c r="M1349" s="117"/>
      <c r="N1349" s="106"/>
      <c r="O1349" s="106"/>
      <c r="P1349" s="106"/>
      <c r="Q1349" s="106"/>
      <c r="R1349" s="106" t="s">
        <v>4537</v>
      </c>
    </row>
    <row r="1350" customFormat="false" ht="15" hidden="false" customHeight="false" outlineLevel="0" collapsed="false">
      <c r="A1350" s="106" t="s">
        <v>5974</v>
      </c>
      <c r="B1350" s="106" t="s">
        <v>4280</v>
      </c>
      <c r="C1350" s="106"/>
      <c r="D1350" s="106" t="n">
        <v>3</v>
      </c>
      <c r="E1350" s="107" t="n">
        <v>2</v>
      </c>
      <c r="F1350" s="106" t="n">
        <v>1</v>
      </c>
      <c r="G1350" s="118" t="n">
        <v>0.5</v>
      </c>
      <c r="H1350" s="116" t="n">
        <v>1.1</v>
      </c>
      <c r="I1350" s="106" t="n">
        <v>0</v>
      </c>
      <c r="J1350" s="117" t="n">
        <v>0</v>
      </c>
      <c r="K1350" s="108" t="n">
        <v>1.1</v>
      </c>
      <c r="L1350" s="108" t="n">
        <v>0</v>
      </c>
      <c r="M1350" s="117"/>
      <c r="N1350" s="106"/>
      <c r="O1350" s="106"/>
      <c r="P1350" s="106"/>
      <c r="Q1350" s="106"/>
      <c r="R1350" s="106" t="s">
        <v>4537</v>
      </c>
    </row>
    <row r="1351" customFormat="false" ht="15" hidden="false" customHeight="false" outlineLevel="0" collapsed="false">
      <c r="A1351" s="106" t="s">
        <v>5975</v>
      </c>
      <c r="B1351" s="106" t="s">
        <v>4280</v>
      </c>
      <c r="C1351" s="106"/>
      <c r="D1351" s="106"/>
      <c r="E1351" s="107" t="n">
        <v>1</v>
      </c>
      <c r="F1351" s="106" t="n">
        <v>1</v>
      </c>
      <c r="G1351" s="118" t="n">
        <v>1</v>
      </c>
      <c r="H1351" s="116" t="n">
        <v>1.1</v>
      </c>
      <c r="I1351" s="106" t="n">
        <v>0</v>
      </c>
      <c r="J1351" s="117" t="n">
        <v>0</v>
      </c>
      <c r="K1351" s="108" t="n">
        <v>1.1</v>
      </c>
      <c r="L1351" s="108" t="n">
        <v>0</v>
      </c>
      <c r="M1351" s="117"/>
      <c r="N1351" s="106"/>
      <c r="O1351" s="106"/>
      <c r="P1351" s="106"/>
      <c r="Q1351" s="106"/>
      <c r="R1351" s="106" t="s">
        <v>4537</v>
      </c>
    </row>
    <row r="1352" customFormat="false" ht="15" hidden="false" customHeight="false" outlineLevel="0" collapsed="false">
      <c r="A1352" s="106" t="s">
        <v>5976</v>
      </c>
      <c r="B1352" s="106" t="s">
        <v>4280</v>
      </c>
      <c r="C1352" s="106"/>
      <c r="D1352" s="106" t="n">
        <v>4</v>
      </c>
      <c r="E1352" s="107" t="n">
        <v>1</v>
      </c>
      <c r="F1352" s="106" t="n">
        <v>1</v>
      </c>
      <c r="G1352" s="118" t="n">
        <v>1</v>
      </c>
      <c r="H1352" s="116" t="n">
        <v>1.1</v>
      </c>
      <c r="I1352" s="106" t="n">
        <v>1</v>
      </c>
      <c r="J1352" s="117" t="n">
        <v>1</v>
      </c>
      <c r="K1352" s="108" t="n">
        <v>1.1</v>
      </c>
      <c r="L1352" s="108" t="n">
        <v>84.99</v>
      </c>
      <c r="M1352" s="117" t="n">
        <v>0.013</v>
      </c>
      <c r="N1352" s="106"/>
      <c r="O1352" s="106"/>
      <c r="P1352" s="106"/>
      <c r="Q1352" s="106"/>
      <c r="R1352" s="106" t="s">
        <v>4285</v>
      </c>
    </row>
    <row r="1353" customFormat="false" ht="15" hidden="false" customHeight="false" outlineLevel="0" collapsed="false">
      <c r="A1353" s="106" t="s">
        <v>5977</v>
      </c>
      <c r="B1353" s="106" t="s">
        <v>4280</v>
      </c>
      <c r="C1353" s="106"/>
      <c r="D1353" s="106" t="n">
        <v>8</v>
      </c>
      <c r="E1353" s="107" t="n">
        <v>4</v>
      </c>
      <c r="F1353" s="106" t="n">
        <v>1</v>
      </c>
      <c r="G1353" s="118" t="n">
        <v>0.25</v>
      </c>
      <c r="H1353" s="116" t="n">
        <v>1.1</v>
      </c>
      <c r="I1353" s="106" t="n">
        <v>0</v>
      </c>
      <c r="J1353" s="117" t="n">
        <v>0</v>
      </c>
      <c r="K1353" s="108" t="n">
        <v>1.1</v>
      </c>
      <c r="L1353" s="108" t="n">
        <v>0</v>
      </c>
      <c r="M1353" s="117"/>
      <c r="N1353" s="106"/>
      <c r="O1353" s="106"/>
      <c r="P1353" s="106"/>
      <c r="Q1353" s="106"/>
      <c r="R1353" s="106" t="s">
        <v>4537</v>
      </c>
    </row>
    <row r="1354" customFormat="false" ht="15" hidden="false" customHeight="false" outlineLevel="0" collapsed="false">
      <c r="A1354" s="106" t="s">
        <v>5978</v>
      </c>
      <c r="B1354" s="106" t="s">
        <v>4284</v>
      </c>
      <c r="C1354" s="106"/>
      <c r="D1354" s="106"/>
      <c r="E1354" s="107" t="n">
        <v>1</v>
      </c>
      <c r="F1354" s="106" t="n">
        <v>1</v>
      </c>
      <c r="G1354" s="118" t="n">
        <v>1</v>
      </c>
      <c r="H1354" s="116" t="n">
        <v>1.1</v>
      </c>
      <c r="I1354" s="106" t="n">
        <v>0</v>
      </c>
      <c r="J1354" s="117" t="n">
        <v>0</v>
      </c>
      <c r="K1354" s="108" t="n">
        <v>1.1</v>
      </c>
      <c r="L1354" s="108" t="n">
        <v>0</v>
      </c>
      <c r="M1354" s="117"/>
      <c r="N1354" s="106"/>
      <c r="O1354" s="106"/>
      <c r="P1354" s="106"/>
      <c r="Q1354" s="106"/>
      <c r="R1354" s="106" t="s">
        <v>4537</v>
      </c>
    </row>
    <row r="1355" customFormat="false" ht="15" hidden="false" customHeight="false" outlineLevel="0" collapsed="false">
      <c r="A1355" s="106" t="s">
        <v>5979</v>
      </c>
      <c r="B1355" s="106" t="s">
        <v>4280</v>
      </c>
      <c r="C1355" s="106"/>
      <c r="D1355" s="106"/>
      <c r="E1355" s="107" t="n">
        <v>2</v>
      </c>
      <c r="F1355" s="106" t="n">
        <v>1</v>
      </c>
      <c r="G1355" s="118" t="n">
        <v>0.5</v>
      </c>
      <c r="H1355" s="116" t="n">
        <v>1.1</v>
      </c>
      <c r="I1355" s="106" t="n">
        <v>0</v>
      </c>
      <c r="J1355" s="117" t="n">
        <v>0</v>
      </c>
      <c r="K1355" s="108" t="n">
        <v>1.1</v>
      </c>
      <c r="L1355" s="108" t="n">
        <v>0</v>
      </c>
      <c r="M1355" s="117"/>
      <c r="N1355" s="106"/>
      <c r="O1355" s="106"/>
      <c r="P1355" s="106"/>
      <c r="Q1355" s="106"/>
      <c r="R1355" s="106" t="s">
        <v>4537</v>
      </c>
    </row>
    <row r="1356" customFormat="false" ht="15" hidden="false" customHeight="false" outlineLevel="0" collapsed="false">
      <c r="A1356" s="106" t="s">
        <v>5980</v>
      </c>
      <c r="B1356" s="106" t="s">
        <v>4280</v>
      </c>
      <c r="C1356" s="106"/>
      <c r="D1356" s="106" t="n">
        <v>4</v>
      </c>
      <c r="E1356" s="107" t="n">
        <v>2</v>
      </c>
      <c r="F1356" s="106" t="n">
        <v>1</v>
      </c>
      <c r="G1356" s="118" t="n">
        <v>0.5</v>
      </c>
      <c r="H1356" s="116" t="n">
        <v>1.1</v>
      </c>
      <c r="I1356" s="106" t="n">
        <v>0</v>
      </c>
      <c r="J1356" s="117" t="n">
        <v>0</v>
      </c>
      <c r="K1356" s="108" t="n">
        <v>1.1</v>
      </c>
      <c r="L1356" s="108" t="n">
        <v>0</v>
      </c>
      <c r="M1356" s="117"/>
      <c r="N1356" s="106"/>
      <c r="O1356" s="106"/>
      <c r="P1356" s="106"/>
      <c r="Q1356" s="106"/>
      <c r="R1356" s="106" t="s">
        <v>4537</v>
      </c>
    </row>
    <row r="1357" customFormat="false" ht="15" hidden="false" customHeight="false" outlineLevel="0" collapsed="false">
      <c r="A1357" s="106" t="s">
        <v>5981</v>
      </c>
      <c r="B1357" s="106" t="s">
        <v>1403</v>
      </c>
      <c r="C1357" s="106"/>
      <c r="D1357" s="106" t="n">
        <v>7</v>
      </c>
      <c r="E1357" s="107" t="n">
        <v>1</v>
      </c>
      <c r="F1357" s="106" t="n">
        <v>1</v>
      </c>
      <c r="G1357" s="118" t="n">
        <v>1</v>
      </c>
      <c r="H1357" s="116" t="n">
        <v>1.1</v>
      </c>
      <c r="I1357" s="106" t="n">
        <v>0</v>
      </c>
      <c r="J1357" s="117" t="n">
        <v>0</v>
      </c>
      <c r="K1357" s="108" t="n">
        <v>1.1</v>
      </c>
      <c r="L1357" s="108" t="n">
        <v>0</v>
      </c>
      <c r="M1357" s="117"/>
      <c r="N1357" s="106"/>
      <c r="O1357" s="106"/>
      <c r="P1357" s="106"/>
      <c r="Q1357" s="106"/>
      <c r="R1357" s="106" t="s">
        <v>4537</v>
      </c>
    </row>
    <row r="1358" customFormat="false" ht="15" hidden="false" customHeight="false" outlineLevel="0" collapsed="false">
      <c r="A1358" s="106" t="s">
        <v>5982</v>
      </c>
      <c r="B1358" s="106" t="s">
        <v>4284</v>
      </c>
      <c r="C1358" s="106"/>
      <c r="D1358" s="106" t="n">
        <v>106</v>
      </c>
      <c r="E1358" s="107" t="n">
        <v>3</v>
      </c>
      <c r="F1358" s="106" t="n">
        <v>1</v>
      </c>
      <c r="G1358" s="118" t="n">
        <v>0.3333</v>
      </c>
      <c r="H1358" s="116" t="n">
        <v>1.1</v>
      </c>
      <c r="I1358" s="106" t="n">
        <v>0</v>
      </c>
      <c r="J1358" s="117" t="n">
        <v>0</v>
      </c>
      <c r="K1358" s="108" t="n">
        <v>1.1</v>
      </c>
      <c r="L1358" s="108" t="n">
        <v>0</v>
      </c>
      <c r="M1358" s="117"/>
      <c r="N1358" s="106"/>
      <c r="O1358" s="106"/>
      <c r="P1358" s="106"/>
      <c r="Q1358" s="106"/>
      <c r="R1358" s="106" t="s">
        <v>4537</v>
      </c>
    </row>
    <row r="1359" customFormat="false" ht="15" hidden="false" customHeight="false" outlineLevel="0" collapsed="false">
      <c r="A1359" s="106" t="s">
        <v>5983</v>
      </c>
      <c r="B1359" s="106" t="s">
        <v>4284</v>
      </c>
      <c r="C1359" s="106"/>
      <c r="D1359" s="106"/>
      <c r="E1359" s="107" t="n">
        <v>1</v>
      </c>
      <c r="F1359" s="106" t="n">
        <v>1</v>
      </c>
      <c r="G1359" s="118" t="n">
        <v>1</v>
      </c>
      <c r="H1359" s="116" t="n">
        <v>1.1</v>
      </c>
      <c r="I1359" s="106" t="n">
        <v>0</v>
      </c>
      <c r="J1359" s="117" t="n">
        <v>0</v>
      </c>
      <c r="K1359" s="108" t="n">
        <v>1.1</v>
      </c>
      <c r="L1359" s="108" t="n">
        <v>0</v>
      </c>
      <c r="M1359" s="117"/>
      <c r="N1359" s="106"/>
      <c r="O1359" s="106"/>
      <c r="P1359" s="106"/>
      <c r="Q1359" s="106"/>
      <c r="R1359" s="106" t="s">
        <v>4537</v>
      </c>
    </row>
    <row r="1360" customFormat="false" ht="15" hidden="false" customHeight="false" outlineLevel="0" collapsed="false">
      <c r="A1360" s="106" t="s">
        <v>5984</v>
      </c>
      <c r="B1360" s="106" t="s">
        <v>4284</v>
      </c>
      <c r="C1360" s="106"/>
      <c r="D1360" s="106"/>
      <c r="E1360" s="107" t="n">
        <v>1</v>
      </c>
      <c r="F1360" s="106" t="n">
        <v>1</v>
      </c>
      <c r="G1360" s="118" t="n">
        <v>1</v>
      </c>
      <c r="H1360" s="116" t="n">
        <v>1.1</v>
      </c>
      <c r="I1360" s="106" t="n">
        <v>0</v>
      </c>
      <c r="J1360" s="117" t="n">
        <v>0</v>
      </c>
      <c r="K1360" s="108" t="n">
        <v>1.1</v>
      </c>
      <c r="L1360" s="108" t="n">
        <v>0</v>
      </c>
      <c r="M1360" s="117"/>
      <c r="N1360" s="106"/>
      <c r="O1360" s="106"/>
      <c r="P1360" s="106"/>
      <c r="Q1360" s="106"/>
      <c r="R1360" s="106" t="s">
        <v>4537</v>
      </c>
    </row>
    <row r="1361" customFormat="false" ht="15" hidden="false" customHeight="false" outlineLevel="0" collapsed="false">
      <c r="A1361" s="106" t="s">
        <v>5985</v>
      </c>
      <c r="B1361" s="106" t="s">
        <v>4280</v>
      </c>
      <c r="C1361" s="106"/>
      <c r="D1361" s="106"/>
      <c r="E1361" s="107" t="n">
        <v>1</v>
      </c>
      <c r="F1361" s="106" t="n">
        <v>1</v>
      </c>
      <c r="G1361" s="118" t="n">
        <v>1</v>
      </c>
      <c r="H1361" s="116" t="n">
        <v>1.1</v>
      </c>
      <c r="I1361" s="106" t="n">
        <v>0</v>
      </c>
      <c r="J1361" s="117" t="n">
        <v>0</v>
      </c>
      <c r="K1361" s="108" t="n">
        <v>1.1</v>
      </c>
      <c r="L1361" s="108" t="n">
        <v>0</v>
      </c>
      <c r="M1361" s="117"/>
      <c r="N1361" s="106"/>
      <c r="O1361" s="106"/>
      <c r="P1361" s="106"/>
      <c r="Q1361" s="106"/>
      <c r="R1361" s="106" t="s">
        <v>4537</v>
      </c>
    </row>
    <row r="1362" customFormat="false" ht="15" hidden="false" customHeight="false" outlineLevel="0" collapsed="false">
      <c r="A1362" s="106" t="s">
        <v>5986</v>
      </c>
      <c r="B1362" s="106" t="s">
        <v>4280</v>
      </c>
      <c r="C1362" s="106"/>
      <c r="D1362" s="106" t="n">
        <v>9</v>
      </c>
      <c r="E1362" s="107" t="n">
        <v>1</v>
      </c>
      <c r="F1362" s="106" t="n">
        <v>1</v>
      </c>
      <c r="G1362" s="118" t="n">
        <v>1</v>
      </c>
      <c r="H1362" s="116" t="n">
        <v>1.1</v>
      </c>
      <c r="I1362" s="106" t="n">
        <v>0</v>
      </c>
      <c r="J1362" s="117" t="n">
        <v>0</v>
      </c>
      <c r="K1362" s="108" t="n">
        <v>1.1</v>
      </c>
      <c r="L1362" s="108" t="n">
        <v>0</v>
      </c>
      <c r="M1362" s="117"/>
      <c r="N1362" s="106"/>
      <c r="O1362" s="106"/>
      <c r="P1362" s="106"/>
      <c r="Q1362" s="106"/>
      <c r="R1362" s="106" t="s">
        <v>4537</v>
      </c>
    </row>
    <row r="1363" customFormat="false" ht="15" hidden="false" customHeight="false" outlineLevel="0" collapsed="false">
      <c r="A1363" s="106" t="s">
        <v>5987</v>
      </c>
      <c r="B1363" s="106" t="s">
        <v>4329</v>
      </c>
      <c r="C1363" s="106"/>
      <c r="D1363" s="106"/>
      <c r="E1363" s="107" t="n">
        <v>2</v>
      </c>
      <c r="F1363" s="106" t="n">
        <v>1</v>
      </c>
      <c r="G1363" s="118" t="n">
        <v>0.5</v>
      </c>
      <c r="H1363" s="116" t="n">
        <v>1.1</v>
      </c>
      <c r="I1363" s="106" t="n">
        <v>0</v>
      </c>
      <c r="J1363" s="117" t="n">
        <v>0</v>
      </c>
      <c r="K1363" s="108" t="n">
        <v>1.1</v>
      </c>
      <c r="L1363" s="108" t="n">
        <v>0</v>
      </c>
      <c r="M1363" s="117"/>
      <c r="N1363" s="106"/>
      <c r="O1363" s="106"/>
      <c r="P1363" s="106"/>
      <c r="Q1363" s="106"/>
      <c r="R1363" s="106" t="s">
        <v>4537</v>
      </c>
    </row>
    <row r="1364" customFormat="false" ht="15" hidden="false" customHeight="false" outlineLevel="0" collapsed="false">
      <c r="A1364" s="106" t="s">
        <v>5988</v>
      </c>
      <c r="B1364" s="106" t="s">
        <v>4284</v>
      </c>
      <c r="C1364" s="106"/>
      <c r="D1364" s="106" t="n">
        <v>5</v>
      </c>
      <c r="E1364" s="107" t="n">
        <v>6</v>
      </c>
      <c r="F1364" s="106" t="n">
        <v>1</v>
      </c>
      <c r="G1364" s="118" t="n">
        <v>0.1667</v>
      </c>
      <c r="H1364" s="116" t="n">
        <v>1.1</v>
      </c>
      <c r="I1364" s="106" t="n">
        <v>0</v>
      </c>
      <c r="J1364" s="117" t="n">
        <v>0</v>
      </c>
      <c r="K1364" s="108" t="n">
        <v>1.1</v>
      </c>
      <c r="L1364" s="108" t="n">
        <v>0</v>
      </c>
      <c r="M1364" s="117"/>
      <c r="N1364" s="106"/>
      <c r="O1364" s="106"/>
      <c r="P1364" s="106"/>
      <c r="Q1364" s="106"/>
      <c r="R1364" s="106" t="s">
        <v>4537</v>
      </c>
    </row>
    <row r="1365" customFormat="false" ht="15" hidden="false" customHeight="false" outlineLevel="0" collapsed="false">
      <c r="A1365" s="106" t="s">
        <v>5989</v>
      </c>
      <c r="B1365" s="106" t="s">
        <v>4284</v>
      </c>
      <c r="C1365" s="106"/>
      <c r="D1365" s="106"/>
      <c r="E1365" s="107" t="n">
        <v>2</v>
      </c>
      <c r="F1365" s="106" t="n">
        <v>1</v>
      </c>
      <c r="G1365" s="118" t="n">
        <v>0.5</v>
      </c>
      <c r="H1365" s="116" t="n">
        <v>1.1</v>
      </c>
      <c r="I1365" s="106" t="n">
        <v>0</v>
      </c>
      <c r="J1365" s="117" t="n">
        <v>0</v>
      </c>
      <c r="K1365" s="108" t="n">
        <v>1.1</v>
      </c>
      <c r="L1365" s="108" t="n">
        <v>0</v>
      </c>
      <c r="M1365" s="117"/>
      <c r="N1365" s="106"/>
      <c r="O1365" s="106"/>
      <c r="P1365" s="106"/>
      <c r="Q1365" s="106"/>
      <c r="R1365" s="106" t="s">
        <v>4537</v>
      </c>
    </row>
    <row r="1366" customFormat="false" ht="15" hidden="false" customHeight="false" outlineLevel="0" collapsed="false">
      <c r="A1366" s="106" t="s">
        <v>5990</v>
      </c>
      <c r="B1366" s="106" t="s">
        <v>4284</v>
      </c>
      <c r="C1366" s="106"/>
      <c r="D1366" s="106" t="n">
        <v>489</v>
      </c>
      <c r="E1366" s="107" t="n">
        <v>3</v>
      </c>
      <c r="F1366" s="106" t="n">
        <v>1</v>
      </c>
      <c r="G1366" s="118" t="n">
        <v>0.3333</v>
      </c>
      <c r="H1366" s="116" t="n">
        <v>1.1</v>
      </c>
      <c r="I1366" s="106" t="n">
        <v>0</v>
      </c>
      <c r="J1366" s="117" t="n">
        <v>0</v>
      </c>
      <c r="K1366" s="108" t="n">
        <v>1.1</v>
      </c>
      <c r="L1366" s="108" t="n">
        <v>0</v>
      </c>
      <c r="M1366" s="117"/>
      <c r="N1366" s="106"/>
      <c r="O1366" s="106"/>
      <c r="P1366" s="106"/>
      <c r="Q1366" s="106"/>
      <c r="R1366" s="106" t="s">
        <v>4537</v>
      </c>
    </row>
    <row r="1367" customFormat="false" ht="15" hidden="false" customHeight="false" outlineLevel="0" collapsed="false">
      <c r="A1367" s="106" t="s">
        <v>5991</v>
      </c>
      <c r="B1367" s="106" t="s">
        <v>4284</v>
      </c>
      <c r="C1367" s="106"/>
      <c r="D1367" s="106"/>
      <c r="E1367" s="107" t="n">
        <v>1</v>
      </c>
      <c r="F1367" s="106" t="n">
        <v>1</v>
      </c>
      <c r="G1367" s="118" t="n">
        <v>1</v>
      </c>
      <c r="H1367" s="116" t="n">
        <v>1.1</v>
      </c>
      <c r="I1367" s="106" t="n">
        <v>0</v>
      </c>
      <c r="J1367" s="117" t="n">
        <v>0</v>
      </c>
      <c r="K1367" s="108" t="n">
        <v>1.1</v>
      </c>
      <c r="L1367" s="108" t="n">
        <v>0</v>
      </c>
      <c r="M1367" s="117"/>
      <c r="N1367" s="106"/>
      <c r="O1367" s="106"/>
      <c r="P1367" s="106"/>
      <c r="Q1367" s="106"/>
      <c r="R1367" s="106" t="s">
        <v>4537</v>
      </c>
    </row>
    <row r="1368" customFormat="false" ht="15" hidden="false" customHeight="false" outlineLevel="0" collapsed="false">
      <c r="A1368" s="106" t="s">
        <v>5992</v>
      </c>
      <c r="B1368" s="106" t="s">
        <v>4284</v>
      </c>
      <c r="C1368" s="106"/>
      <c r="D1368" s="106" t="n">
        <v>1</v>
      </c>
      <c r="E1368" s="107" t="n">
        <v>1</v>
      </c>
      <c r="F1368" s="106" t="n">
        <v>1</v>
      </c>
      <c r="G1368" s="118" t="n">
        <v>1</v>
      </c>
      <c r="H1368" s="116" t="n">
        <v>1.1</v>
      </c>
      <c r="I1368" s="106" t="n">
        <v>1</v>
      </c>
      <c r="J1368" s="117" t="n">
        <v>1</v>
      </c>
      <c r="K1368" s="108" t="n">
        <v>1.1</v>
      </c>
      <c r="L1368" s="108" t="n">
        <v>84.99</v>
      </c>
      <c r="M1368" s="117" t="n">
        <v>0.013</v>
      </c>
      <c r="N1368" s="106"/>
      <c r="O1368" s="106"/>
      <c r="P1368" s="106"/>
      <c r="Q1368" s="106"/>
      <c r="R1368" s="106" t="s">
        <v>4285</v>
      </c>
    </row>
    <row r="1369" customFormat="false" ht="15" hidden="false" customHeight="false" outlineLevel="0" collapsed="false">
      <c r="A1369" s="106" t="s">
        <v>5993</v>
      </c>
      <c r="B1369" s="106" t="s">
        <v>4284</v>
      </c>
      <c r="C1369" s="106"/>
      <c r="D1369" s="106"/>
      <c r="E1369" s="107" t="n">
        <v>1</v>
      </c>
      <c r="F1369" s="106" t="n">
        <v>1</v>
      </c>
      <c r="G1369" s="118" t="n">
        <v>1</v>
      </c>
      <c r="H1369" s="116" t="n">
        <v>1.1</v>
      </c>
      <c r="I1369" s="106" t="n">
        <v>0</v>
      </c>
      <c r="J1369" s="117" t="n">
        <v>0</v>
      </c>
      <c r="K1369" s="108" t="n">
        <v>1.1</v>
      </c>
      <c r="L1369" s="108" t="n">
        <v>0</v>
      </c>
      <c r="M1369" s="117"/>
      <c r="N1369" s="106"/>
      <c r="O1369" s="106"/>
      <c r="P1369" s="106"/>
      <c r="Q1369" s="106"/>
      <c r="R1369" s="106" t="s">
        <v>4537</v>
      </c>
    </row>
    <row r="1370" customFormat="false" ht="15" hidden="false" customHeight="false" outlineLevel="0" collapsed="false">
      <c r="A1370" s="106" t="s">
        <v>5994</v>
      </c>
      <c r="B1370" s="106" t="s">
        <v>4284</v>
      </c>
      <c r="C1370" s="106"/>
      <c r="D1370" s="106"/>
      <c r="E1370" s="107" t="n">
        <v>2</v>
      </c>
      <c r="F1370" s="106" t="n">
        <v>1</v>
      </c>
      <c r="G1370" s="118" t="n">
        <v>0.5</v>
      </c>
      <c r="H1370" s="116" t="n">
        <v>1.1</v>
      </c>
      <c r="I1370" s="106" t="n">
        <v>0</v>
      </c>
      <c r="J1370" s="117" t="n">
        <v>0</v>
      </c>
      <c r="K1370" s="108" t="n">
        <v>1.1</v>
      </c>
      <c r="L1370" s="108" t="n">
        <v>0</v>
      </c>
      <c r="M1370" s="117"/>
      <c r="N1370" s="106"/>
      <c r="O1370" s="106"/>
      <c r="P1370" s="106"/>
      <c r="Q1370" s="106"/>
      <c r="R1370" s="106" t="s">
        <v>4537</v>
      </c>
    </row>
    <row r="1371" customFormat="false" ht="15" hidden="false" customHeight="false" outlineLevel="0" collapsed="false">
      <c r="A1371" s="106" t="s">
        <v>5995</v>
      </c>
      <c r="B1371" s="106" t="s">
        <v>4280</v>
      </c>
      <c r="C1371" s="106"/>
      <c r="D1371" s="106"/>
      <c r="E1371" s="107" t="n">
        <v>1</v>
      </c>
      <c r="F1371" s="106" t="n">
        <v>1</v>
      </c>
      <c r="G1371" s="118" t="n">
        <v>1</v>
      </c>
      <c r="H1371" s="116" t="n">
        <v>1.1</v>
      </c>
      <c r="I1371" s="106" t="n">
        <v>0</v>
      </c>
      <c r="J1371" s="117" t="n">
        <v>0</v>
      </c>
      <c r="K1371" s="108" t="n">
        <v>1.1</v>
      </c>
      <c r="L1371" s="108" t="n">
        <v>0</v>
      </c>
      <c r="M1371" s="117"/>
      <c r="N1371" s="106"/>
      <c r="O1371" s="106"/>
      <c r="P1371" s="106"/>
      <c r="Q1371" s="106"/>
      <c r="R1371" s="106" t="s">
        <v>4537</v>
      </c>
    </row>
    <row r="1372" customFormat="false" ht="15" hidden="false" customHeight="false" outlineLevel="0" collapsed="false">
      <c r="A1372" s="106" t="s">
        <v>5996</v>
      </c>
      <c r="B1372" s="106" t="s">
        <v>4329</v>
      </c>
      <c r="C1372" s="106"/>
      <c r="D1372" s="106" t="n">
        <v>28</v>
      </c>
      <c r="E1372" s="107" t="n">
        <v>1</v>
      </c>
      <c r="F1372" s="106" t="n">
        <v>1</v>
      </c>
      <c r="G1372" s="118" t="n">
        <v>1</v>
      </c>
      <c r="H1372" s="116" t="n">
        <v>1.1</v>
      </c>
      <c r="I1372" s="106" t="n">
        <v>0</v>
      </c>
      <c r="J1372" s="117" t="n">
        <v>0</v>
      </c>
      <c r="K1372" s="108" t="n">
        <v>1.1</v>
      </c>
      <c r="L1372" s="108" t="n">
        <v>0</v>
      </c>
      <c r="M1372" s="117"/>
      <c r="N1372" s="106"/>
      <c r="O1372" s="106"/>
      <c r="P1372" s="106"/>
      <c r="Q1372" s="106"/>
      <c r="R1372" s="106" t="s">
        <v>4537</v>
      </c>
    </row>
    <row r="1373" customFormat="false" ht="15" hidden="false" customHeight="false" outlineLevel="0" collapsed="false">
      <c r="A1373" s="106" t="s">
        <v>5997</v>
      </c>
      <c r="B1373" s="106" t="s">
        <v>4329</v>
      </c>
      <c r="C1373" s="106"/>
      <c r="D1373" s="106"/>
      <c r="E1373" s="107" t="n">
        <v>2</v>
      </c>
      <c r="F1373" s="106" t="n">
        <v>1</v>
      </c>
      <c r="G1373" s="118" t="n">
        <v>0.5</v>
      </c>
      <c r="H1373" s="116" t="n">
        <v>1.1</v>
      </c>
      <c r="I1373" s="106" t="n">
        <v>0</v>
      </c>
      <c r="J1373" s="117" t="n">
        <v>0</v>
      </c>
      <c r="K1373" s="108" t="n">
        <v>1.1</v>
      </c>
      <c r="L1373" s="108" t="n">
        <v>0</v>
      </c>
      <c r="M1373" s="117"/>
      <c r="N1373" s="106"/>
      <c r="O1373" s="106"/>
      <c r="P1373" s="106"/>
      <c r="Q1373" s="106"/>
      <c r="R1373" s="106" t="s">
        <v>4537</v>
      </c>
    </row>
    <row r="1374" customFormat="false" ht="15" hidden="false" customHeight="false" outlineLevel="0" collapsed="false">
      <c r="A1374" s="106" t="s">
        <v>5998</v>
      </c>
      <c r="B1374" s="106" t="s">
        <v>4280</v>
      </c>
      <c r="C1374" s="106"/>
      <c r="D1374" s="106" t="n">
        <v>4</v>
      </c>
      <c r="E1374" s="107" t="n">
        <v>2</v>
      </c>
      <c r="F1374" s="106" t="n">
        <v>1</v>
      </c>
      <c r="G1374" s="118" t="n">
        <v>0.5</v>
      </c>
      <c r="H1374" s="116" t="n">
        <v>1.1</v>
      </c>
      <c r="I1374" s="106" t="n">
        <v>0</v>
      </c>
      <c r="J1374" s="117" t="n">
        <v>0</v>
      </c>
      <c r="K1374" s="108" t="n">
        <v>1.1</v>
      </c>
      <c r="L1374" s="108" t="n">
        <v>0</v>
      </c>
      <c r="M1374" s="117"/>
      <c r="N1374" s="106"/>
      <c r="O1374" s="106"/>
      <c r="P1374" s="106"/>
      <c r="Q1374" s="106"/>
      <c r="R1374" s="106" t="s">
        <v>4537</v>
      </c>
    </row>
    <row r="1375" customFormat="false" ht="15" hidden="false" customHeight="false" outlineLevel="0" collapsed="false">
      <c r="A1375" s="106" t="s">
        <v>5999</v>
      </c>
      <c r="B1375" s="106" t="s">
        <v>4280</v>
      </c>
      <c r="C1375" s="106" t="s">
        <v>4301</v>
      </c>
      <c r="D1375" s="106" t="n">
        <v>301</v>
      </c>
      <c r="E1375" s="107" t="n">
        <v>44</v>
      </c>
      <c r="F1375" s="106" t="n">
        <v>1</v>
      </c>
      <c r="G1375" s="118" t="n">
        <v>0.0227</v>
      </c>
      <c r="H1375" s="116" t="n">
        <v>1.1</v>
      </c>
      <c r="I1375" s="106" t="n">
        <v>0</v>
      </c>
      <c r="J1375" s="117" t="n">
        <v>0</v>
      </c>
      <c r="K1375" s="108" t="n">
        <v>1.1</v>
      </c>
      <c r="L1375" s="108" t="n">
        <v>0</v>
      </c>
      <c r="M1375" s="117"/>
      <c r="N1375" s="106"/>
      <c r="O1375" s="106"/>
      <c r="P1375" s="106"/>
      <c r="Q1375" s="106"/>
      <c r="R1375" s="106" t="s">
        <v>4537</v>
      </c>
    </row>
    <row r="1376" customFormat="false" ht="15" hidden="false" customHeight="false" outlineLevel="0" collapsed="false">
      <c r="A1376" s="106" t="s">
        <v>6000</v>
      </c>
      <c r="B1376" s="106" t="s">
        <v>4329</v>
      </c>
      <c r="C1376" s="106"/>
      <c r="D1376" s="106"/>
      <c r="E1376" s="107" t="n">
        <v>1</v>
      </c>
      <c r="F1376" s="106" t="n">
        <v>1</v>
      </c>
      <c r="G1376" s="118" t="n">
        <v>1</v>
      </c>
      <c r="H1376" s="116" t="n">
        <v>1.1</v>
      </c>
      <c r="I1376" s="106" t="n">
        <v>0</v>
      </c>
      <c r="J1376" s="117" t="n">
        <v>0</v>
      </c>
      <c r="K1376" s="108" t="n">
        <v>1.1</v>
      </c>
      <c r="L1376" s="108" t="n">
        <v>0</v>
      </c>
      <c r="M1376" s="117"/>
      <c r="N1376" s="106"/>
      <c r="O1376" s="106"/>
      <c r="P1376" s="106"/>
      <c r="Q1376" s="106"/>
      <c r="R1376" s="106" t="s">
        <v>4537</v>
      </c>
    </row>
    <row r="1377" customFormat="false" ht="15" hidden="false" customHeight="false" outlineLevel="0" collapsed="false">
      <c r="A1377" s="106" t="s">
        <v>6001</v>
      </c>
      <c r="B1377" s="106" t="s">
        <v>4329</v>
      </c>
      <c r="C1377" s="106"/>
      <c r="D1377" s="106"/>
      <c r="E1377" s="107" t="n">
        <v>2</v>
      </c>
      <c r="F1377" s="106" t="n">
        <v>1</v>
      </c>
      <c r="G1377" s="118" t="n">
        <v>0.5</v>
      </c>
      <c r="H1377" s="116" t="n">
        <v>1.1</v>
      </c>
      <c r="I1377" s="106" t="n">
        <v>0</v>
      </c>
      <c r="J1377" s="117" t="n">
        <v>0</v>
      </c>
      <c r="K1377" s="108" t="n">
        <v>1.1</v>
      </c>
      <c r="L1377" s="108" t="n">
        <v>0</v>
      </c>
      <c r="M1377" s="117"/>
      <c r="N1377" s="106"/>
      <c r="O1377" s="106"/>
      <c r="P1377" s="106"/>
      <c r="Q1377" s="106"/>
      <c r="R1377" s="106" t="s">
        <v>4537</v>
      </c>
    </row>
    <row r="1378" customFormat="false" ht="15" hidden="false" customHeight="false" outlineLevel="0" collapsed="false">
      <c r="A1378" s="106" t="s">
        <v>6002</v>
      </c>
      <c r="B1378" s="106" t="s">
        <v>4329</v>
      </c>
      <c r="C1378" s="106"/>
      <c r="D1378" s="106" t="n">
        <v>2</v>
      </c>
      <c r="E1378" s="107" t="n">
        <v>2</v>
      </c>
      <c r="F1378" s="106" t="n">
        <v>1</v>
      </c>
      <c r="G1378" s="118" t="n">
        <v>0.5</v>
      </c>
      <c r="H1378" s="116" t="n">
        <v>3.64</v>
      </c>
      <c r="I1378" s="106" t="n">
        <v>0</v>
      </c>
      <c r="J1378" s="117" t="n">
        <v>0</v>
      </c>
      <c r="K1378" s="108" t="n">
        <v>3.64</v>
      </c>
      <c r="L1378" s="108" t="n">
        <v>0</v>
      </c>
      <c r="M1378" s="117"/>
      <c r="N1378" s="106"/>
      <c r="O1378" s="106"/>
      <c r="P1378" s="106"/>
      <c r="Q1378" s="106"/>
      <c r="R1378" s="106" t="s">
        <v>4537</v>
      </c>
    </row>
    <row r="1379" customFormat="false" ht="15" hidden="false" customHeight="false" outlineLevel="0" collapsed="false">
      <c r="A1379" s="106" t="s">
        <v>6003</v>
      </c>
      <c r="B1379" s="106" t="s">
        <v>4329</v>
      </c>
      <c r="C1379" s="106"/>
      <c r="D1379" s="106" t="n">
        <v>46</v>
      </c>
      <c r="E1379" s="107" t="n">
        <v>1</v>
      </c>
      <c r="F1379" s="106" t="n">
        <v>1</v>
      </c>
      <c r="G1379" s="118" t="n">
        <v>1</v>
      </c>
      <c r="H1379" s="116" t="n">
        <v>3.64</v>
      </c>
      <c r="I1379" s="106" t="n">
        <v>0</v>
      </c>
      <c r="J1379" s="117" t="n">
        <v>0</v>
      </c>
      <c r="K1379" s="108" t="n">
        <v>3.64</v>
      </c>
      <c r="L1379" s="108" t="n">
        <v>0</v>
      </c>
      <c r="M1379" s="117"/>
      <c r="N1379" s="106"/>
      <c r="O1379" s="106"/>
      <c r="P1379" s="106"/>
      <c r="Q1379" s="106"/>
      <c r="R1379" s="106" t="s">
        <v>4537</v>
      </c>
    </row>
    <row r="1380" customFormat="false" ht="15" hidden="false" customHeight="false" outlineLevel="0" collapsed="false">
      <c r="A1380" s="106" t="s">
        <v>6004</v>
      </c>
      <c r="B1380" s="106" t="s">
        <v>4329</v>
      </c>
      <c r="C1380" s="106"/>
      <c r="D1380" s="106" t="n">
        <v>41</v>
      </c>
      <c r="E1380" s="107" t="n">
        <v>2</v>
      </c>
      <c r="F1380" s="106" t="n">
        <v>1</v>
      </c>
      <c r="G1380" s="118" t="n">
        <v>0.5</v>
      </c>
      <c r="H1380" s="116" t="n">
        <v>3.64</v>
      </c>
      <c r="I1380" s="106" t="n">
        <v>0</v>
      </c>
      <c r="J1380" s="117" t="n">
        <v>0</v>
      </c>
      <c r="K1380" s="108" t="n">
        <v>3.64</v>
      </c>
      <c r="L1380" s="108" t="n">
        <v>0</v>
      </c>
      <c r="M1380" s="117"/>
      <c r="N1380" s="106"/>
      <c r="O1380" s="106"/>
      <c r="P1380" s="106"/>
      <c r="Q1380" s="106"/>
      <c r="R1380" s="106" t="s">
        <v>4537</v>
      </c>
    </row>
    <row r="1381" customFormat="false" ht="15" hidden="false" customHeight="false" outlineLevel="0" collapsed="false">
      <c r="A1381" s="106" t="s">
        <v>6005</v>
      </c>
      <c r="B1381" s="106" t="s">
        <v>1403</v>
      </c>
      <c r="C1381" s="106"/>
      <c r="D1381" s="106" t="n">
        <v>1</v>
      </c>
      <c r="E1381" s="107" t="n">
        <v>14</v>
      </c>
      <c r="F1381" s="106" t="n">
        <v>1</v>
      </c>
      <c r="G1381" s="118" t="n">
        <v>0.0714</v>
      </c>
      <c r="H1381" s="116" t="n">
        <v>3.53</v>
      </c>
      <c r="I1381" s="106" t="n">
        <v>0</v>
      </c>
      <c r="J1381" s="117" t="n">
        <v>0</v>
      </c>
      <c r="K1381" s="108" t="n">
        <v>3.53</v>
      </c>
      <c r="L1381" s="108" t="n">
        <v>0</v>
      </c>
      <c r="M1381" s="117"/>
      <c r="N1381" s="106"/>
      <c r="O1381" s="106"/>
      <c r="P1381" s="106"/>
      <c r="Q1381" s="106"/>
      <c r="R1381" s="106" t="s">
        <v>4537</v>
      </c>
    </row>
    <row r="1382" customFormat="false" ht="15" hidden="false" customHeight="false" outlineLevel="0" collapsed="false">
      <c r="A1382" s="106" t="s">
        <v>6006</v>
      </c>
      <c r="B1382" s="106" t="s">
        <v>4280</v>
      </c>
      <c r="C1382" s="106"/>
      <c r="D1382" s="106" t="n">
        <v>2</v>
      </c>
      <c r="E1382" s="107" t="n">
        <v>2</v>
      </c>
      <c r="F1382" s="106" t="n">
        <v>1</v>
      </c>
      <c r="G1382" s="118" t="n">
        <v>0.5</v>
      </c>
      <c r="H1382" s="116" t="n">
        <v>3.47</v>
      </c>
      <c r="I1382" s="106" t="n">
        <v>0</v>
      </c>
      <c r="J1382" s="117" t="n">
        <v>0</v>
      </c>
      <c r="K1382" s="108" t="n">
        <v>3.47</v>
      </c>
      <c r="L1382" s="108" t="n">
        <v>0</v>
      </c>
      <c r="M1382" s="117"/>
      <c r="N1382" s="106"/>
      <c r="O1382" s="106"/>
      <c r="P1382" s="106"/>
      <c r="Q1382" s="106"/>
      <c r="R1382" s="106" t="s">
        <v>4537</v>
      </c>
    </row>
    <row r="1383" customFormat="false" ht="15" hidden="false" customHeight="false" outlineLevel="0" collapsed="false">
      <c r="A1383" s="106" t="s">
        <v>6007</v>
      </c>
      <c r="B1383" s="106" t="s">
        <v>4280</v>
      </c>
      <c r="C1383" s="106"/>
      <c r="D1383" s="106" t="n">
        <v>11</v>
      </c>
      <c r="E1383" s="107" t="n">
        <v>1</v>
      </c>
      <c r="F1383" s="106" t="n">
        <v>1</v>
      </c>
      <c r="G1383" s="118" t="n">
        <v>1</v>
      </c>
      <c r="H1383" s="116" t="n">
        <v>3.44</v>
      </c>
      <c r="I1383" s="106" t="n">
        <v>0</v>
      </c>
      <c r="J1383" s="117" t="n">
        <v>0</v>
      </c>
      <c r="K1383" s="108" t="n">
        <v>3.44</v>
      </c>
      <c r="L1383" s="108" t="n">
        <v>0</v>
      </c>
      <c r="M1383" s="117"/>
      <c r="N1383" s="106"/>
      <c r="O1383" s="106"/>
      <c r="P1383" s="106"/>
      <c r="Q1383" s="106"/>
      <c r="R1383" s="106" t="s">
        <v>4537</v>
      </c>
    </row>
    <row r="1384" customFormat="false" ht="15" hidden="false" customHeight="false" outlineLevel="0" collapsed="false">
      <c r="A1384" s="106" t="s">
        <v>6008</v>
      </c>
      <c r="B1384" s="106" t="s">
        <v>4329</v>
      </c>
      <c r="C1384" s="106"/>
      <c r="D1384" s="106" t="n">
        <v>6</v>
      </c>
      <c r="E1384" s="107" t="n">
        <v>2</v>
      </c>
      <c r="F1384" s="106" t="n">
        <v>1</v>
      </c>
      <c r="G1384" s="118" t="n">
        <v>0.5</v>
      </c>
      <c r="H1384" s="116" t="n">
        <v>3.4</v>
      </c>
      <c r="I1384" s="106" t="n">
        <v>0</v>
      </c>
      <c r="J1384" s="117" t="n">
        <v>0</v>
      </c>
      <c r="K1384" s="108" t="n">
        <v>3.4</v>
      </c>
      <c r="L1384" s="108" t="n">
        <v>0</v>
      </c>
      <c r="M1384" s="117"/>
      <c r="N1384" s="106"/>
      <c r="O1384" s="106"/>
      <c r="P1384" s="106"/>
      <c r="Q1384" s="106"/>
      <c r="R1384" s="106" t="s">
        <v>4537</v>
      </c>
    </row>
    <row r="1385" customFormat="false" ht="15" hidden="false" customHeight="false" outlineLevel="0" collapsed="false">
      <c r="A1385" s="106" t="s">
        <v>6009</v>
      </c>
      <c r="B1385" s="106" t="s">
        <v>4329</v>
      </c>
      <c r="C1385" s="106"/>
      <c r="D1385" s="106"/>
      <c r="E1385" s="107" t="n">
        <v>1</v>
      </c>
      <c r="F1385" s="106" t="n">
        <v>1</v>
      </c>
      <c r="G1385" s="118" t="n">
        <v>1</v>
      </c>
      <c r="H1385" s="116" t="n">
        <v>3.4</v>
      </c>
      <c r="I1385" s="106" t="n">
        <v>0</v>
      </c>
      <c r="J1385" s="117" t="n">
        <v>0</v>
      </c>
      <c r="K1385" s="108" t="n">
        <v>3.4</v>
      </c>
      <c r="L1385" s="108" t="n">
        <v>0</v>
      </c>
      <c r="M1385" s="117"/>
      <c r="N1385" s="106"/>
      <c r="O1385" s="106"/>
      <c r="P1385" s="106"/>
      <c r="Q1385" s="106"/>
      <c r="R1385" s="106" t="s">
        <v>4537</v>
      </c>
    </row>
    <row r="1386" customFormat="false" ht="15" hidden="false" customHeight="false" outlineLevel="0" collapsed="false">
      <c r="A1386" s="106" t="s">
        <v>6010</v>
      </c>
      <c r="B1386" s="106" t="s">
        <v>4280</v>
      </c>
      <c r="C1386" s="106"/>
      <c r="D1386" s="106"/>
      <c r="E1386" s="107" t="n">
        <v>2</v>
      </c>
      <c r="F1386" s="106" t="n">
        <v>1</v>
      </c>
      <c r="G1386" s="118" t="n">
        <v>0.5</v>
      </c>
      <c r="H1386" s="116" t="n">
        <v>1.1</v>
      </c>
      <c r="I1386" s="106" t="n">
        <v>0</v>
      </c>
      <c r="J1386" s="117" t="n">
        <v>0</v>
      </c>
      <c r="K1386" s="108" t="n">
        <v>1.1</v>
      </c>
      <c r="L1386" s="108" t="n">
        <v>0</v>
      </c>
      <c r="M1386" s="117"/>
      <c r="N1386" s="106"/>
      <c r="O1386" s="106"/>
      <c r="P1386" s="106"/>
      <c r="Q1386" s="106"/>
      <c r="R1386" s="106" t="s">
        <v>4537</v>
      </c>
    </row>
    <row r="1387" customFormat="false" ht="15" hidden="false" customHeight="false" outlineLevel="0" collapsed="false">
      <c r="A1387" s="106" t="s">
        <v>6011</v>
      </c>
      <c r="B1387" s="106" t="s">
        <v>4280</v>
      </c>
      <c r="C1387" s="106"/>
      <c r="D1387" s="106"/>
      <c r="E1387" s="107" t="n">
        <v>1</v>
      </c>
      <c r="F1387" s="106" t="n">
        <v>1</v>
      </c>
      <c r="G1387" s="118" t="n">
        <v>1</v>
      </c>
      <c r="H1387" s="116" t="n">
        <v>1.1</v>
      </c>
      <c r="I1387" s="106" t="n">
        <v>0</v>
      </c>
      <c r="J1387" s="117" t="n">
        <v>0</v>
      </c>
      <c r="K1387" s="108" t="n">
        <v>1.1</v>
      </c>
      <c r="L1387" s="108" t="n">
        <v>0</v>
      </c>
      <c r="M1387" s="117"/>
      <c r="N1387" s="106"/>
      <c r="O1387" s="106"/>
      <c r="P1387" s="106"/>
      <c r="Q1387" s="106"/>
      <c r="R1387" s="106" t="s">
        <v>4537</v>
      </c>
    </row>
    <row r="1388" customFormat="false" ht="15" hidden="false" customHeight="false" outlineLevel="0" collapsed="false">
      <c r="A1388" s="106" t="s">
        <v>6012</v>
      </c>
      <c r="B1388" s="106" t="s">
        <v>4280</v>
      </c>
      <c r="C1388" s="106"/>
      <c r="D1388" s="106"/>
      <c r="E1388" s="107" t="n">
        <v>4</v>
      </c>
      <c r="F1388" s="106" t="n">
        <v>1</v>
      </c>
      <c r="G1388" s="118" t="n">
        <v>0.25</v>
      </c>
      <c r="H1388" s="116" t="n">
        <v>1.1</v>
      </c>
      <c r="I1388" s="106" t="n">
        <v>0</v>
      </c>
      <c r="J1388" s="117" t="n">
        <v>0</v>
      </c>
      <c r="K1388" s="108" t="n">
        <v>1.1</v>
      </c>
      <c r="L1388" s="108" t="n">
        <v>0</v>
      </c>
      <c r="M1388" s="117"/>
      <c r="N1388" s="106"/>
      <c r="O1388" s="106"/>
      <c r="P1388" s="106"/>
      <c r="Q1388" s="106"/>
      <c r="R1388" s="106" t="s">
        <v>4537</v>
      </c>
    </row>
    <row r="1389" customFormat="false" ht="15" hidden="false" customHeight="false" outlineLevel="0" collapsed="false">
      <c r="A1389" s="106" t="s">
        <v>879</v>
      </c>
      <c r="B1389" s="106" t="s">
        <v>4280</v>
      </c>
      <c r="C1389" s="106" t="s">
        <v>4301</v>
      </c>
      <c r="D1389" s="106" t="n">
        <v>271</v>
      </c>
      <c r="E1389" s="107" t="n">
        <v>1</v>
      </c>
      <c r="F1389" s="106" t="n">
        <v>1</v>
      </c>
      <c r="G1389" s="118" t="n">
        <v>1</v>
      </c>
      <c r="H1389" s="116" t="n">
        <v>4.04</v>
      </c>
      <c r="I1389" s="106" t="n">
        <v>0</v>
      </c>
      <c r="J1389" s="117" t="n">
        <v>0</v>
      </c>
      <c r="K1389" s="108" t="n">
        <v>4.04</v>
      </c>
      <c r="L1389" s="108" t="n">
        <v>0</v>
      </c>
      <c r="M1389" s="117"/>
      <c r="N1389" s="106"/>
      <c r="O1389" s="106"/>
      <c r="P1389" s="106"/>
      <c r="Q1389" s="106"/>
      <c r="R1389" s="106" t="s">
        <v>4537</v>
      </c>
    </row>
    <row r="1390" customFormat="false" ht="15" hidden="false" customHeight="false" outlineLevel="0" collapsed="false">
      <c r="A1390" s="106" t="s">
        <v>6013</v>
      </c>
      <c r="B1390" s="106" t="s">
        <v>4280</v>
      </c>
      <c r="C1390" s="106"/>
      <c r="D1390" s="106" t="n">
        <v>5</v>
      </c>
      <c r="E1390" s="107" t="n">
        <v>3</v>
      </c>
      <c r="F1390" s="106" t="n">
        <v>1</v>
      </c>
      <c r="G1390" s="118" t="n">
        <v>0.3333</v>
      </c>
      <c r="H1390" s="116" t="n">
        <v>3.9</v>
      </c>
      <c r="I1390" s="106" t="n">
        <v>0</v>
      </c>
      <c r="J1390" s="117" t="n">
        <v>0</v>
      </c>
      <c r="K1390" s="108" t="n">
        <v>3.9</v>
      </c>
      <c r="L1390" s="108" t="n">
        <v>0</v>
      </c>
      <c r="M1390" s="117"/>
      <c r="N1390" s="106"/>
      <c r="O1390" s="106"/>
      <c r="P1390" s="106"/>
      <c r="Q1390" s="106"/>
      <c r="R1390" s="106" t="s">
        <v>4537</v>
      </c>
    </row>
    <row r="1391" customFormat="false" ht="15" hidden="false" customHeight="false" outlineLevel="0" collapsed="false">
      <c r="A1391" s="106" t="s">
        <v>6014</v>
      </c>
      <c r="B1391" s="106" t="s">
        <v>4329</v>
      </c>
      <c r="C1391" s="106"/>
      <c r="D1391" s="106" t="n">
        <v>6</v>
      </c>
      <c r="E1391" s="107" t="n">
        <v>2</v>
      </c>
      <c r="F1391" s="106" t="n">
        <v>1</v>
      </c>
      <c r="G1391" s="118" t="n">
        <v>0.5</v>
      </c>
      <c r="H1391" s="116" t="n">
        <v>3.9</v>
      </c>
      <c r="I1391" s="106" t="n">
        <v>0</v>
      </c>
      <c r="J1391" s="117" t="n">
        <v>0</v>
      </c>
      <c r="K1391" s="108" t="n">
        <v>3.9</v>
      </c>
      <c r="L1391" s="108" t="n">
        <v>0</v>
      </c>
      <c r="M1391" s="117"/>
      <c r="N1391" s="106"/>
      <c r="O1391" s="106"/>
      <c r="P1391" s="106"/>
      <c r="Q1391" s="106"/>
      <c r="R1391" s="106" t="s">
        <v>4537</v>
      </c>
    </row>
    <row r="1392" customFormat="false" ht="15" hidden="false" customHeight="false" outlineLevel="0" collapsed="false">
      <c r="A1392" s="106" t="s">
        <v>6015</v>
      </c>
      <c r="B1392" s="106" t="s">
        <v>4329</v>
      </c>
      <c r="C1392" s="106"/>
      <c r="D1392" s="106"/>
      <c r="E1392" s="107" t="n">
        <v>3</v>
      </c>
      <c r="F1392" s="106" t="n">
        <v>1</v>
      </c>
      <c r="G1392" s="118" t="n">
        <v>0.3333</v>
      </c>
      <c r="H1392" s="116" t="n">
        <v>3.84</v>
      </c>
      <c r="I1392" s="106" t="n">
        <v>0</v>
      </c>
      <c r="J1392" s="117" t="n">
        <v>0</v>
      </c>
      <c r="K1392" s="108" t="n">
        <v>3.84</v>
      </c>
      <c r="L1392" s="108" t="n">
        <v>0</v>
      </c>
      <c r="M1392" s="117"/>
      <c r="N1392" s="106"/>
      <c r="O1392" s="106"/>
      <c r="P1392" s="106"/>
      <c r="Q1392" s="106"/>
      <c r="R1392" s="106" t="s">
        <v>4537</v>
      </c>
    </row>
    <row r="1393" customFormat="false" ht="15" hidden="false" customHeight="false" outlineLevel="0" collapsed="false">
      <c r="A1393" s="106" t="s">
        <v>6016</v>
      </c>
      <c r="B1393" s="106" t="s">
        <v>1403</v>
      </c>
      <c r="C1393" s="106"/>
      <c r="D1393" s="106" t="n">
        <v>3</v>
      </c>
      <c r="E1393" s="107" t="n">
        <v>2</v>
      </c>
      <c r="F1393" s="106" t="n">
        <v>1</v>
      </c>
      <c r="G1393" s="118" t="n">
        <v>0.5</v>
      </c>
      <c r="H1393" s="116" t="n">
        <v>3.79</v>
      </c>
      <c r="I1393" s="106" t="n">
        <v>0</v>
      </c>
      <c r="J1393" s="117" t="n">
        <v>0</v>
      </c>
      <c r="K1393" s="108" t="n">
        <v>3.79</v>
      </c>
      <c r="L1393" s="108" t="n">
        <v>0</v>
      </c>
      <c r="M1393" s="117"/>
      <c r="N1393" s="106"/>
      <c r="O1393" s="106"/>
      <c r="P1393" s="106"/>
      <c r="Q1393" s="106"/>
      <c r="R1393" s="106" t="s">
        <v>4537</v>
      </c>
    </row>
    <row r="1394" customFormat="false" ht="15" hidden="false" customHeight="false" outlineLevel="0" collapsed="false">
      <c r="A1394" s="106" t="s">
        <v>6017</v>
      </c>
      <c r="B1394" s="106"/>
      <c r="C1394" s="106"/>
      <c r="D1394" s="106"/>
      <c r="E1394" s="107" t="n">
        <v>1</v>
      </c>
      <c r="F1394" s="106" t="n">
        <v>1</v>
      </c>
      <c r="G1394" s="118" t="n">
        <v>1</v>
      </c>
      <c r="H1394" s="116" t="n">
        <v>1.1</v>
      </c>
      <c r="I1394" s="106" t="n">
        <v>0</v>
      </c>
      <c r="J1394" s="117" t="n">
        <v>0</v>
      </c>
      <c r="K1394" s="108" t="n">
        <v>1.1</v>
      </c>
      <c r="L1394" s="108" t="n">
        <v>0</v>
      </c>
      <c r="M1394" s="117"/>
      <c r="N1394" s="106"/>
      <c r="O1394" s="106"/>
      <c r="P1394" s="106"/>
      <c r="Q1394" s="106"/>
      <c r="R1394" s="106" t="s">
        <v>4537</v>
      </c>
    </row>
    <row r="1395" customFormat="false" ht="15" hidden="false" customHeight="false" outlineLevel="0" collapsed="false">
      <c r="A1395" s="106" t="s">
        <v>6018</v>
      </c>
      <c r="B1395" s="106" t="s">
        <v>1403</v>
      </c>
      <c r="C1395" s="106"/>
      <c r="D1395" s="106" t="n">
        <v>1</v>
      </c>
      <c r="E1395" s="107" t="n">
        <v>1</v>
      </c>
      <c r="F1395" s="106" t="n">
        <v>1</v>
      </c>
      <c r="G1395" s="118" t="n">
        <v>1</v>
      </c>
      <c r="H1395" s="116" t="n">
        <v>1.1</v>
      </c>
      <c r="I1395" s="106" t="n">
        <v>1</v>
      </c>
      <c r="J1395" s="117" t="n">
        <v>1</v>
      </c>
      <c r="K1395" s="108" t="n">
        <v>1.1</v>
      </c>
      <c r="L1395" s="108" t="n">
        <v>79.99</v>
      </c>
      <c r="M1395" s="117" t="n">
        <v>0.014</v>
      </c>
      <c r="N1395" s="106"/>
      <c r="O1395" s="106"/>
      <c r="P1395" s="106"/>
      <c r="Q1395" s="106"/>
      <c r="R1395" s="106" t="s">
        <v>4285</v>
      </c>
    </row>
    <row r="1396" customFormat="false" ht="15" hidden="false" customHeight="false" outlineLevel="0" collapsed="false">
      <c r="A1396" s="106" t="s">
        <v>6019</v>
      </c>
      <c r="B1396" s="106" t="s">
        <v>4284</v>
      </c>
      <c r="C1396" s="106"/>
      <c r="D1396" s="106"/>
      <c r="E1396" s="107" t="n">
        <v>1</v>
      </c>
      <c r="F1396" s="106" t="n">
        <v>1</v>
      </c>
      <c r="G1396" s="118" t="n">
        <v>1</v>
      </c>
      <c r="H1396" s="116" t="n">
        <v>1.1</v>
      </c>
      <c r="I1396" s="106" t="n">
        <v>0</v>
      </c>
      <c r="J1396" s="117" t="n">
        <v>0</v>
      </c>
      <c r="K1396" s="108" t="n">
        <v>1.1</v>
      </c>
      <c r="L1396" s="108" t="n">
        <v>0</v>
      </c>
      <c r="M1396" s="117"/>
      <c r="N1396" s="106"/>
      <c r="O1396" s="106"/>
      <c r="P1396" s="106"/>
      <c r="Q1396" s="106"/>
      <c r="R1396" s="106" t="s">
        <v>4537</v>
      </c>
    </row>
    <row r="1397" customFormat="false" ht="15" hidden="false" customHeight="false" outlineLevel="0" collapsed="false">
      <c r="A1397" s="106" t="s">
        <v>6020</v>
      </c>
      <c r="B1397" s="106" t="s">
        <v>4284</v>
      </c>
      <c r="C1397" s="106"/>
      <c r="D1397" s="106"/>
      <c r="E1397" s="107" t="n">
        <v>1</v>
      </c>
      <c r="F1397" s="106" t="n">
        <v>1</v>
      </c>
      <c r="G1397" s="118" t="n">
        <v>1</v>
      </c>
      <c r="H1397" s="116" t="n">
        <v>1.1</v>
      </c>
      <c r="I1397" s="106" t="n">
        <v>0</v>
      </c>
      <c r="J1397" s="117" t="n">
        <v>0</v>
      </c>
      <c r="K1397" s="108" t="n">
        <v>1.1</v>
      </c>
      <c r="L1397" s="108" t="n">
        <v>0</v>
      </c>
      <c r="M1397" s="117"/>
      <c r="N1397" s="106"/>
      <c r="O1397" s="106"/>
      <c r="P1397" s="106"/>
      <c r="Q1397" s="106"/>
      <c r="R1397" s="106" t="s">
        <v>4537</v>
      </c>
    </row>
    <row r="1398" customFormat="false" ht="15" hidden="false" customHeight="false" outlineLevel="0" collapsed="false">
      <c r="A1398" s="106" t="s">
        <v>6021</v>
      </c>
      <c r="B1398" s="106" t="s">
        <v>4284</v>
      </c>
      <c r="C1398" s="106"/>
      <c r="D1398" s="106"/>
      <c r="E1398" s="107" t="n">
        <v>1</v>
      </c>
      <c r="F1398" s="106" t="n">
        <v>1</v>
      </c>
      <c r="G1398" s="118" t="n">
        <v>1</v>
      </c>
      <c r="H1398" s="116" t="n">
        <v>1.1</v>
      </c>
      <c r="I1398" s="106" t="n">
        <v>0</v>
      </c>
      <c r="J1398" s="117" t="n">
        <v>0</v>
      </c>
      <c r="K1398" s="108" t="n">
        <v>1.1</v>
      </c>
      <c r="L1398" s="108" t="n">
        <v>0</v>
      </c>
      <c r="M1398" s="117"/>
      <c r="N1398" s="106"/>
      <c r="O1398" s="106"/>
      <c r="P1398" s="106"/>
      <c r="Q1398" s="106"/>
      <c r="R1398" s="106" t="s">
        <v>4537</v>
      </c>
    </row>
    <row r="1399" customFormat="false" ht="15" hidden="false" customHeight="false" outlineLevel="0" collapsed="false">
      <c r="A1399" s="106" t="s">
        <v>6022</v>
      </c>
      <c r="B1399" s="106" t="s">
        <v>4284</v>
      </c>
      <c r="C1399" s="106"/>
      <c r="D1399" s="106"/>
      <c r="E1399" s="107" t="n">
        <v>1</v>
      </c>
      <c r="F1399" s="106" t="n">
        <v>1</v>
      </c>
      <c r="G1399" s="118" t="n">
        <v>1</v>
      </c>
      <c r="H1399" s="116" t="n">
        <v>1.1</v>
      </c>
      <c r="I1399" s="106" t="n">
        <v>0</v>
      </c>
      <c r="J1399" s="117" t="n">
        <v>0</v>
      </c>
      <c r="K1399" s="108" t="n">
        <v>1.1</v>
      </c>
      <c r="L1399" s="108" t="n">
        <v>0</v>
      </c>
      <c r="M1399" s="117"/>
      <c r="N1399" s="106"/>
      <c r="O1399" s="106"/>
      <c r="P1399" s="106"/>
      <c r="Q1399" s="106"/>
      <c r="R1399" s="106" t="s">
        <v>4537</v>
      </c>
    </row>
    <row r="1400" customFormat="false" ht="15" hidden="false" customHeight="false" outlineLevel="0" collapsed="false">
      <c r="A1400" s="106" t="s">
        <v>6023</v>
      </c>
      <c r="B1400" s="106" t="s">
        <v>4280</v>
      </c>
      <c r="C1400" s="106"/>
      <c r="D1400" s="106" t="n">
        <v>12</v>
      </c>
      <c r="E1400" s="107" t="n">
        <v>4</v>
      </c>
      <c r="F1400" s="106" t="n">
        <v>1</v>
      </c>
      <c r="G1400" s="118" t="n">
        <v>0.25</v>
      </c>
      <c r="H1400" s="116" t="n">
        <v>1.1</v>
      </c>
      <c r="I1400" s="106" t="n">
        <v>0</v>
      </c>
      <c r="J1400" s="117" t="n">
        <v>0</v>
      </c>
      <c r="K1400" s="108" t="n">
        <v>1.1</v>
      </c>
      <c r="L1400" s="108" t="n">
        <v>0</v>
      </c>
      <c r="M1400" s="117"/>
      <c r="N1400" s="106"/>
      <c r="O1400" s="106"/>
      <c r="P1400" s="106"/>
      <c r="Q1400" s="106"/>
      <c r="R1400" s="106" t="s">
        <v>4537</v>
      </c>
    </row>
    <row r="1401" customFormat="false" ht="15" hidden="false" customHeight="false" outlineLevel="0" collapsed="false">
      <c r="A1401" s="106" t="s">
        <v>6024</v>
      </c>
      <c r="B1401" s="106" t="s">
        <v>4280</v>
      </c>
      <c r="C1401" s="106"/>
      <c r="D1401" s="106"/>
      <c r="E1401" s="107" t="n">
        <v>1</v>
      </c>
      <c r="F1401" s="106" t="n">
        <v>1</v>
      </c>
      <c r="G1401" s="118" t="n">
        <v>1</v>
      </c>
      <c r="H1401" s="116" t="n">
        <v>1.1</v>
      </c>
      <c r="I1401" s="106" t="n">
        <v>1</v>
      </c>
      <c r="J1401" s="117" t="n">
        <v>1</v>
      </c>
      <c r="K1401" s="108" t="n">
        <v>1.1</v>
      </c>
      <c r="L1401" s="108" t="n">
        <v>79.99</v>
      </c>
      <c r="M1401" s="117" t="n">
        <v>0.014</v>
      </c>
      <c r="N1401" s="106"/>
      <c r="O1401" s="106"/>
      <c r="P1401" s="106"/>
      <c r="Q1401" s="106"/>
      <c r="R1401" s="106" t="s">
        <v>4285</v>
      </c>
    </row>
    <row r="1402" customFormat="false" ht="15" hidden="false" customHeight="false" outlineLevel="0" collapsed="false">
      <c r="A1402" s="106" t="s">
        <v>6025</v>
      </c>
      <c r="B1402" s="106" t="s">
        <v>4280</v>
      </c>
      <c r="C1402" s="106"/>
      <c r="D1402" s="106" t="n">
        <v>6</v>
      </c>
      <c r="E1402" s="107" t="n">
        <v>1</v>
      </c>
      <c r="F1402" s="106" t="n">
        <v>1</v>
      </c>
      <c r="G1402" s="118" t="n">
        <v>1</v>
      </c>
      <c r="H1402" s="116" t="n">
        <v>1.1</v>
      </c>
      <c r="I1402" s="106" t="n">
        <v>0</v>
      </c>
      <c r="J1402" s="117" t="n">
        <v>0</v>
      </c>
      <c r="K1402" s="108" t="n">
        <v>1.1</v>
      </c>
      <c r="L1402" s="108" t="n">
        <v>0</v>
      </c>
      <c r="M1402" s="117"/>
      <c r="N1402" s="106"/>
      <c r="O1402" s="106"/>
      <c r="P1402" s="106"/>
      <c r="Q1402" s="106"/>
      <c r="R1402" s="106" t="s">
        <v>4537</v>
      </c>
    </row>
    <row r="1403" customFormat="false" ht="15" hidden="false" customHeight="false" outlineLevel="0" collapsed="false">
      <c r="A1403" s="106" t="s">
        <v>6026</v>
      </c>
      <c r="B1403" s="106" t="s">
        <v>4280</v>
      </c>
      <c r="C1403" s="106"/>
      <c r="D1403" s="106"/>
      <c r="E1403" s="107" t="n">
        <v>1</v>
      </c>
      <c r="F1403" s="106" t="n">
        <v>1</v>
      </c>
      <c r="G1403" s="118" t="n">
        <v>1</v>
      </c>
      <c r="H1403" s="116" t="n">
        <v>1.1</v>
      </c>
      <c r="I1403" s="106" t="n">
        <v>0</v>
      </c>
      <c r="J1403" s="117" t="n">
        <v>0</v>
      </c>
      <c r="K1403" s="108" t="n">
        <v>1.1</v>
      </c>
      <c r="L1403" s="108" t="n">
        <v>0</v>
      </c>
      <c r="M1403" s="117"/>
      <c r="N1403" s="106"/>
      <c r="O1403" s="106"/>
      <c r="P1403" s="106"/>
      <c r="Q1403" s="106"/>
      <c r="R1403" s="106" t="s">
        <v>4537</v>
      </c>
    </row>
    <row r="1404" customFormat="false" ht="15" hidden="false" customHeight="false" outlineLevel="0" collapsed="false">
      <c r="A1404" s="106" t="s">
        <v>6027</v>
      </c>
      <c r="B1404" s="106" t="s">
        <v>4280</v>
      </c>
      <c r="C1404" s="106"/>
      <c r="D1404" s="106" t="n">
        <v>2</v>
      </c>
      <c r="E1404" s="107" t="n">
        <v>1</v>
      </c>
      <c r="F1404" s="106" t="n">
        <v>1</v>
      </c>
      <c r="G1404" s="118" t="n">
        <v>1</v>
      </c>
      <c r="H1404" s="116" t="n">
        <v>1.1</v>
      </c>
      <c r="I1404" s="106" t="n">
        <v>0</v>
      </c>
      <c r="J1404" s="117" t="n">
        <v>0</v>
      </c>
      <c r="K1404" s="108" t="n">
        <v>1.1</v>
      </c>
      <c r="L1404" s="108" t="n">
        <v>0</v>
      </c>
      <c r="M1404" s="117"/>
      <c r="N1404" s="106"/>
      <c r="O1404" s="106"/>
      <c r="P1404" s="106"/>
      <c r="Q1404" s="106"/>
      <c r="R1404" s="106" t="s">
        <v>4537</v>
      </c>
    </row>
    <row r="1405" customFormat="false" ht="15" hidden="false" customHeight="false" outlineLevel="0" collapsed="false">
      <c r="A1405" s="106" t="s">
        <v>6028</v>
      </c>
      <c r="B1405" s="106" t="s">
        <v>4280</v>
      </c>
      <c r="C1405" s="106"/>
      <c r="D1405" s="106" t="n">
        <v>2</v>
      </c>
      <c r="E1405" s="107" t="n">
        <v>1</v>
      </c>
      <c r="F1405" s="106" t="n">
        <v>1</v>
      </c>
      <c r="G1405" s="118" t="n">
        <v>1</v>
      </c>
      <c r="H1405" s="116" t="n">
        <v>1.1</v>
      </c>
      <c r="I1405" s="106" t="n">
        <v>0</v>
      </c>
      <c r="J1405" s="117" t="n">
        <v>0</v>
      </c>
      <c r="K1405" s="108" t="n">
        <v>1.1</v>
      </c>
      <c r="L1405" s="108" t="n">
        <v>0</v>
      </c>
      <c r="M1405" s="117"/>
      <c r="N1405" s="106"/>
      <c r="O1405" s="106"/>
      <c r="P1405" s="106"/>
      <c r="Q1405" s="106"/>
      <c r="R1405" s="106" t="s">
        <v>4537</v>
      </c>
    </row>
    <row r="1406" customFormat="false" ht="15" hidden="false" customHeight="false" outlineLevel="0" collapsed="false">
      <c r="A1406" s="106" t="s">
        <v>6029</v>
      </c>
      <c r="B1406" s="106" t="s">
        <v>4280</v>
      </c>
      <c r="C1406" s="106"/>
      <c r="D1406" s="106"/>
      <c r="E1406" s="107" t="n">
        <v>2</v>
      </c>
      <c r="F1406" s="106" t="n">
        <v>1</v>
      </c>
      <c r="G1406" s="118" t="n">
        <v>0.5</v>
      </c>
      <c r="H1406" s="116" t="n">
        <v>1.1</v>
      </c>
      <c r="I1406" s="106" t="n">
        <v>0</v>
      </c>
      <c r="J1406" s="117" t="n">
        <v>0</v>
      </c>
      <c r="K1406" s="108" t="n">
        <v>1.1</v>
      </c>
      <c r="L1406" s="108" t="n">
        <v>0</v>
      </c>
      <c r="M1406" s="117"/>
      <c r="N1406" s="106"/>
      <c r="O1406" s="106"/>
      <c r="P1406" s="106"/>
      <c r="Q1406" s="106"/>
      <c r="R1406" s="106" t="s">
        <v>4537</v>
      </c>
    </row>
    <row r="1407" customFormat="false" ht="15" hidden="false" customHeight="false" outlineLevel="0" collapsed="false">
      <c r="A1407" s="106" t="s">
        <v>6030</v>
      </c>
      <c r="B1407" s="106" t="s">
        <v>4329</v>
      </c>
      <c r="C1407" s="106"/>
      <c r="D1407" s="106"/>
      <c r="E1407" s="107" t="n">
        <v>2</v>
      </c>
      <c r="F1407" s="106" t="n">
        <v>1</v>
      </c>
      <c r="G1407" s="118" t="n">
        <v>0.5</v>
      </c>
      <c r="H1407" s="116" t="n">
        <v>1.1</v>
      </c>
      <c r="I1407" s="106" t="n">
        <v>0</v>
      </c>
      <c r="J1407" s="117" t="n">
        <v>0</v>
      </c>
      <c r="K1407" s="108" t="n">
        <v>1.1</v>
      </c>
      <c r="L1407" s="108" t="n">
        <v>0</v>
      </c>
      <c r="M1407" s="117"/>
      <c r="N1407" s="106"/>
      <c r="O1407" s="106"/>
      <c r="P1407" s="106"/>
      <c r="Q1407" s="106"/>
      <c r="R1407" s="106" t="s">
        <v>4537</v>
      </c>
    </row>
    <row r="1408" customFormat="false" ht="15" hidden="false" customHeight="false" outlineLevel="0" collapsed="false">
      <c r="A1408" s="106" t="s">
        <v>6031</v>
      </c>
      <c r="B1408" s="106" t="s">
        <v>1403</v>
      </c>
      <c r="C1408" s="106"/>
      <c r="D1408" s="106"/>
      <c r="E1408" s="107" t="n">
        <v>1</v>
      </c>
      <c r="F1408" s="106" t="n">
        <v>1</v>
      </c>
      <c r="G1408" s="118" t="n">
        <v>1</v>
      </c>
      <c r="H1408" s="116" t="n">
        <v>1.1</v>
      </c>
      <c r="I1408" s="106" t="n">
        <v>0</v>
      </c>
      <c r="J1408" s="117" t="n">
        <v>0</v>
      </c>
      <c r="K1408" s="108" t="n">
        <v>1.1</v>
      </c>
      <c r="L1408" s="108" t="n">
        <v>0</v>
      </c>
      <c r="M1408" s="117"/>
      <c r="N1408" s="106"/>
      <c r="O1408" s="106"/>
      <c r="P1408" s="106"/>
      <c r="Q1408" s="106"/>
      <c r="R1408" s="106" t="s">
        <v>4537</v>
      </c>
    </row>
    <row r="1409" customFormat="false" ht="15" hidden="false" customHeight="false" outlineLevel="0" collapsed="false">
      <c r="A1409" s="106" t="s">
        <v>6032</v>
      </c>
      <c r="B1409" s="106" t="s">
        <v>4280</v>
      </c>
      <c r="C1409" s="106"/>
      <c r="D1409" s="106"/>
      <c r="E1409" s="107" t="n">
        <v>3</v>
      </c>
      <c r="F1409" s="106" t="n">
        <v>1</v>
      </c>
      <c r="G1409" s="118" t="n">
        <v>0.3333</v>
      </c>
      <c r="H1409" s="116" t="n">
        <v>1.1</v>
      </c>
      <c r="I1409" s="106" t="n">
        <v>0</v>
      </c>
      <c r="J1409" s="117" t="n">
        <v>0</v>
      </c>
      <c r="K1409" s="108" t="n">
        <v>1.1</v>
      </c>
      <c r="L1409" s="108" t="n">
        <v>0</v>
      </c>
      <c r="M1409" s="117"/>
      <c r="N1409" s="106"/>
      <c r="O1409" s="106"/>
      <c r="P1409" s="106"/>
      <c r="Q1409" s="106"/>
      <c r="R1409" s="106" t="s">
        <v>4537</v>
      </c>
    </row>
    <row r="1410" customFormat="false" ht="15" hidden="false" customHeight="false" outlineLevel="0" collapsed="false">
      <c r="A1410" s="106" t="s">
        <v>6033</v>
      </c>
      <c r="B1410" s="106" t="s">
        <v>1403</v>
      </c>
      <c r="C1410" s="106"/>
      <c r="D1410" s="106" t="n">
        <v>4</v>
      </c>
      <c r="E1410" s="107" t="n">
        <v>1</v>
      </c>
      <c r="F1410" s="106" t="n">
        <v>1</v>
      </c>
      <c r="G1410" s="118" t="n">
        <v>1</v>
      </c>
      <c r="H1410" s="116" t="n">
        <v>1.1</v>
      </c>
      <c r="I1410" s="106" t="n">
        <v>0</v>
      </c>
      <c r="J1410" s="117" t="n">
        <v>0</v>
      </c>
      <c r="K1410" s="108" t="n">
        <v>1.1</v>
      </c>
      <c r="L1410" s="108" t="n">
        <v>0</v>
      </c>
      <c r="M1410" s="117"/>
      <c r="N1410" s="106"/>
      <c r="O1410" s="106"/>
      <c r="P1410" s="106"/>
      <c r="Q1410" s="106"/>
      <c r="R1410" s="106" t="s">
        <v>4537</v>
      </c>
    </row>
    <row r="1411" customFormat="false" ht="15" hidden="false" customHeight="false" outlineLevel="0" collapsed="false">
      <c r="A1411" s="106" t="s">
        <v>6034</v>
      </c>
      <c r="B1411" s="106" t="s">
        <v>4280</v>
      </c>
      <c r="C1411" s="106"/>
      <c r="D1411" s="106"/>
      <c r="E1411" s="107" t="n">
        <v>2</v>
      </c>
      <c r="F1411" s="106" t="n">
        <v>1</v>
      </c>
      <c r="G1411" s="118" t="n">
        <v>0.5</v>
      </c>
      <c r="H1411" s="116" t="n">
        <v>1.1</v>
      </c>
      <c r="I1411" s="106" t="n">
        <v>0</v>
      </c>
      <c r="J1411" s="117" t="n">
        <v>0</v>
      </c>
      <c r="K1411" s="108" t="n">
        <v>1.1</v>
      </c>
      <c r="L1411" s="108" t="n">
        <v>0</v>
      </c>
      <c r="M1411" s="117"/>
      <c r="N1411" s="106"/>
      <c r="O1411" s="106"/>
      <c r="P1411" s="106"/>
      <c r="Q1411" s="106"/>
      <c r="R1411" s="106" t="s">
        <v>4537</v>
      </c>
    </row>
    <row r="1412" customFormat="false" ht="15" hidden="false" customHeight="false" outlineLevel="0" collapsed="false">
      <c r="A1412" s="106" t="s">
        <v>6035</v>
      </c>
      <c r="B1412" s="106" t="s">
        <v>4284</v>
      </c>
      <c r="C1412" s="106"/>
      <c r="D1412" s="106" t="n">
        <v>14</v>
      </c>
      <c r="E1412" s="107" t="n">
        <v>1</v>
      </c>
      <c r="F1412" s="106" t="n">
        <v>1</v>
      </c>
      <c r="G1412" s="118" t="n">
        <v>1</v>
      </c>
      <c r="H1412" s="116" t="n">
        <v>1.1</v>
      </c>
      <c r="I1412" s="106" t="n">
        <v>0</v>
      </c>
      <c r="J1412" s="117" t="n">
        <v>0</v>
      </c>
      <c r="K1412" s="108" t="n">
        <v>1.1</v>
      </c>
      <c r="L1412" s="108" t="n">
        <v>0</v>
      </c>
      <c r="M1412" s="117"/>
      <c r="N1412" s="106"/>
      <c r="O1412" s="106"/>
      <c r="P1412" s="106"/>
      <c r="Q1412" s="106"/>
      <c r="R1412" s="106" t="s">
        <v>4537</v>
      </c>
    </row>
    <row r="1413" customFormat="false" ht="15" hidden="false" customHeight="false" outlineLevel="0" collapsed="false">
      <c r="A1413" s="106" t="s">
        <v>6036</v>
      </c>
      <c r="B1413" s="106" t="s">
        <v>4284</v>
      </c>
      <c r="C1413" s="106"/>
      <c r="D1413" s="106"/>
      <c r="E1413" s="107" t="n">
        <v>1</v>
      </c>
      <c r="F1413" s="106" t="n">
        <v>1</v>
      </c>
      <c r="G1413" s="118" t="n">
        <v>1</v>
      </c>
      <c r="H1413" s="116" t="n">
        <v>1.1</v>
      </c>
      <c r="I1413" s="106" t="n">
        <v>0</v>
      </c>
      <c r="J1413" s="117" t="n">
        <v>0</v>
      </c>
      <c r="K1413" s="108" t="n">
        <v>1.1</v>
      </c>
      <c r="L1413" s="108" t="n">
        <v>0</v>
      </c>
      <c r="M1413" s="117"/>
      <c r="N1413" s="106"/>
      <c r="O1413" s="106"/>
      <c r="P1413" s="106"/>
      <c r="Q1413" s="106"/>
      <c r="R1413" s="106" t="s">
        <v>4537</v>
      </c>
    </row>
    <row r="1414" customFormat="false" ht="15" hidden="false" customHeight="false" outlineLevel="0" collapsed="false">
      <c r="A1414" s="106" t="s">
        <v>6037</v>
      </c>
      <c r="B1414" s="106" t="s">
        <v>4284</v>
      </c>
      <c r="C1414" s="106"/>
      <c r="D1414" s="106"/>
      <c r="E1414" s="107" t="n">
        <v>1</v>
      </c>
      <c r="F1414" s="106" t="n">
        <v>1</v>
      </c>
      <c r="G1414" s="118" t="n">
        <v>1</v>
      </c>
      <c r="H1414" s="116" t="n">
        <v>1.1</v>
      </c>
      <c r="I1414" s="106" t="n">
        <v>0</v>
      </c>
      <c r="J1414" s="117" t="n">
        <v>0</v>
      </c>
      <c r="K1414" s="108" t="n">
        <v>1.1</v>
      </c>
      <c r="L1414" s="108" t="n">
        <v>0</v>
      </c>
      <c r="M1414" s="117"/>
      <c r="N1414" s="106"/>
      <c r="O1414" s="106"/>
      <c r="P1414" s="106"/>
      <c r="Q1414" s="106"/>
      <c r="R1414" s="106" t="s">
        <v>4537</v>
      </c>
    </row>
    <row r="1415" customFormat="false" ht="15" hidden="false" customHeight="false" outlineLevel="0" collapsed="false">
      <c r="A1415" s="106" t="s">
        <v>6038</v>
      </c>
      <c r="B1415" s="106" t="s">
        <v>4280</v>
      </c>
      <c r="C1415" s="106"/>
      <c r="D1415" s="106"/>
      <c r="E1415" s="107" t="n">
        <v>2</v>
      </c>
      <c r="F1415" s="106" t="n">
        <v>1</v>
      </c>
      <c r="G1415" s="118" t="n">
        <v>0.5</v>
      </c>
      <c r="H1415" s="116" t="n">
        <v>1.1</v>
      </c>
      <c r="I1415" s="106" t="n">
        <v>0</v>
      </c>
      <c r="J1415" s="117" t="n">
        <v>0</v>
      </c>
      <c r="K1415" s="108" t="n">
        <v>1.1</v>
      </c>
      <c r="L1415" s="108" t="n">
        <v>0</v>
      </c>
      <c r="M1415" s="117"/>
      <c r="N1415" s="106"/>
      <c r="O1415" s="106"/>
      <c r="P1415" s="106"/>
      <c r="Q1415" s="106"/>
      <c r="R1415" s="106" t="s">
        <v>4537</v>
      </c>
    </row>
    <row r="1416" customFormat="false" ht="15" hidden="false" customHeight="false" outlineLevel="0" collapsed="false">
      <c r="A1416" s="106" t="s">
        <v>6039</v>
      </c>
      <c r="B1416" s="106" t="s">
        <v>4280</v>
      </c>
      <c r="C1416" s="106" t="s">
        <v>4288</v>
      </c>
      <c r="D1416" s="106" t="n">
        <v>634</v>
      </c>
      <c r="E1416" s="107" t="n">
        <v>4</v>
      </c>
      <c r="F1416" s="106" t="n">
        <v>1</v>
      </c>
      <c r="G1416" s="118" t="n">
        <v>0.25</v>
      </c>
      <c r="H1416" s="116" t="n">
        <v>1.1</v>
      </c>
      <c r="I1416" s="106" t="n">
        <v>0</v>
      </c>
      <c r="J1416" s="117" t="n">
        <v>0</v>
      </c>
      <c r="K1416" s="108" t="n">
        <v>1.1</v>
      </c>
      <c r="L1416" s="108" t="n">
        <v>0</v>
      </c>
      <c r="M1416" s="117"/>
      <c r="N1416" s="106" t="n">
        <v>26</v>
      </c>
      <c r="O1416" s="106"/>
      <c r="P1416" s="106"/>
      <c r="Q1416" s="106"/>
      <c r="R1416" s="106" t="s">
        <v>4537</v>
      </c>
    </row>
    <row r="1417" customFormat="false" ht="15" hidden="false" customHeight="false" outlineLevel="0" collapsed="false">
      <c r="A1417" s="106" t="s">
        <v>6040</v>
      </c>
      <c r="B1417" s="106" t="s">
        <v>4284</v>
      </c>
      <c r="C1417" s="106"/>
      <c r="D1417" s="106"/>
      <c r="E1417" s="107" t="n">
        <v>1</v>
      </c>
      <c r="F1417" s="106" t="n">
        <v>1</v>
      </c>
      <c r="G1417" s="118" t="n">
        <v>1</v>
      </c>
      <c r="H1417" s="116" t="n">
        <v>1.1</v>
      </c>
      <c r="I1417" s="106" t="n">
        <v>0</v>
      </c>
      <c r="J1417" s="117" t="n">
        <v>0</v>
      </c>
      <c r="K1417" s="108" t="n">
        <v>1.1</v>
      </c>
      <c r="L1417" s="108" t="n">
        <v>0</v>
      </c>
      <c r="M1417" s="117"/>
      <c r="N1417" s="106"/>
      <c r="O1417" s="106"/>
      <c r="P1417" s="106"/>
      <c r="Q1417" s="106"/>
      <c r="R1417" s="106" t="s">
        <v>4537</v>
      </c>
    </row>
    <row r="1418" customFormat="false" ht="15" hidden="false" customHeight="false" outlineLevel="0" collapsed="false">
      <c r="A1418" s="106" t="s">
        <v>6041</v>
      </c>
      <c r="B1418" s="106" t="s">
        <v>4280</v>
      </c>
      <c r="C1418" s="106"/>
      <c r="D1418" s="106"/>
      <c r="E1418" s="107" t="n">
        <v>2</v>
      </c>
      <c r="F1418" s="106" t="n">
        <v>1</v>
      </c>
      <c r="G1418" s="118" t="n">
        <v>0.5</v>
      </c>
      <c r="H1418" s="116" t="n">
        <v>1.1</v>
      </c>
      <c r="I1418" s="106" t="n">
        <v>0</v>
      </c>
      <c r="J1418" s="117" t="n">
        <v>0</v>
      </c>
      <c r="K1418" s="108" t="n">
        <v>1.1</v>
      </c>
      <c r="L1418" s="108" t="n">
        <v>0</v>
      </c>
      <c r="M1418" s="117"/>
      <c r="N1418" s="106"/>
      <c r="O1418" s="106"/>
      <c r="P1418" s="106"/>
      <c r="Q1418" s="106"/>
      <c r="R1418" s="106" t="s">
        <v>4537</v>
      </c>
    </row>
    <row r="1419" customFormat="false" ht="15" hidden="false" customHeight="false" outlineLevel="0" collapsed="false">
      <c r="A1419" s="106" t="s">
        <v>6042</v>
      </c>
      <c r="B1419" s="106" t="s">
        <v>4284</v>
      </c>
      <c r="C1419" s="106"/>
      <c r="D1419" s="106"/>
      <c r="E1419" s="107" t="n">
        <v>1</v>
      </c>
      <c r="F1419" s="106" t="n">
        <v>1</v>
      </c>
      <c r="G1419" s="118" t="n">
        <v>1</v>
      </c>
      <c r="H1419" s="116" t="n">
        <v>1.1</v>
      </c>
      <c r="I1419" s="106" t="n">
        <v>0</v>
      </c>
      <c r="J1419" s="117" t="n">
        <v>0</v>
      </c>
      <c r="K1419" s="108" t="n">
        <v>1.1</v>
      </c>
      <c r="L1419" s="108" t="n">
        <v>0</v>
      </c>
      <c r="M1419" s="117"/>
      <c r="N1419" s="106"/>
      <c r="O1419" s="106"/>
      <c r="P1419" s="106"/>
      <c r="Q1419" s="106"/>
      <c r="R1419" s="106" t="s">
        <v>4537</v>
      </c>
    </row>
    <row r="1420" customFormat="false" ht="15" hidden="false" customHeight="false" outlineLevel="0" collapsed="false">
      <c r="A1420" s="106" t="s">
        <v>6043</v>
      </c>
      <c r="B1420" s="106" t="s">
        <v>4284</v>
      </c>
      <c r="C1420" s="106"/>
      <c r="D1420" s="106"/>
      <c r="E1420" s="107" t="n">
        <v>1</v>
      </c>
      <c r="F1420" s="106" t="n">
        <v>1</v>
      </c>
      <c r="G1420" s="118" t="n">
        <v>1</v>
      </c>
      <c r="H1420" s="116" t="n">
        <v>1.1</v>
      </c>
      <c r="I1420" s="106" t="n">
        <v>0</v>
      </c>
      <c r="J1420" s="117" t="n">
        <v>0</v>
      </c>
      <c r="K1420" s="108" t="n">
        <v>1.1</v>
      </c>
      <c r="L1420" s="108" t="n">
        <v>0</v>
      </c>
      <c r="M1420" s="117"/>
      <c r="N1420" s="106"/>
      <c r="O1420" s="106"/>
      <c r="P1420" s="106"/>
      <c r="Q1420" s="106"/>
      <c r="R1420" s="106" t="s">
        <v>4537</v>
      </c>
    </row>
    <row r="1421" customFormat="false" ht="15" hidden="false" customHeight="false" outlineLevel="0" collapsed="false">
      <c r="A1421" s="106" t="s">
        <v>6044</v>
      </c>
      <c r="B1421" s="106" t="s">
        <v>4280</v>
      </c>
      <c r="C1421" s="106"/>
      <c r="D1421" s="106"/>
      <c r="E1421" s="107" t="n">
        <v>3</v>
      </c>
      <c r="F1421" s="106" t="n">
        <v>1</v>
      </c>
      <c r="G1421" s="118" t="n">
        <v>0.3333</v>
      </c>
      <c r="H1421" s="116" t="n">
        <v>1.1</v>
      </c>
      <c r="I1421" s="106" t="n">
        <v>0</v>
      </c>
      <c r="J1421" s="117" t="n">
        <v>0</v>
      </c>
      <c r="K1421" s="108" t="n">
        <v>1.1</v>
      </c>
      <c r="L1421" s="108" t="n">
        <v>0</v>
      </c>
      <c r="M1421" s="117"/>
      <c r="N1421" s="106"/>
      <c r="O1421" s="106"/>
      <c r="P1421" s="106"/>
      <c r="Q1421" s="106"/>
      <c r="R1421" s="106" t="s">
        <v>4537</v>
      </c>
    </row>
    <row r="1422" customFormat="false" ht="15" hidden="false" customHeight="false" outlineLevel="0" collapsed="false">
      <c r="A1422" s="106" t="s">
        <v>6045</v>
      </c>
      <c r="B1422" s="106" t="s">
        <v>4280</v>
      </c>
      <c r="C1422" s="106"/>
      <c r="D1422" s="106"/>
      <c r="E1422" s="107" t="n">
        <v>3</v>
      </c>
      <c r="F1422" s="106" t="n">
        <v>1</v>
      </c>
      <c r="G1422" s="118" t="n">
        <v>0.3333</v>
      </c>
      <c r="H1422" s="116" t="n">
        <v>1.1</v>
      </c>
      <c r="I1422" s="106" t="n">
        <v>0</v>
      </c>
      <c r="J1422" s="117" t="n">
        <v>0</v>
      </c>
      <c r="K1422" s="108" t="n">
        <v>1.1</v>
      </c>
      <c r="L1422" s="108" t="n">
        <v>0</v>
      </c>
      <c r="M1422" s="117"/>
      <c r="N1422" s="106"/>
      <c r="O1422" s="106"/>
      <c r="P1422" s="106"/>
      <c r="Q1422" s="106"/>
      <c r="R1422" s="106" t="s">
        <v>4537</v>
      </c>
    </row>
    <row r="1423" customFormat="false" ht="15" hidden="false" customHeight="false" outlineLevel="0" collapsed="false">
      <c r="A1423" s="106" t="s">
        <v>6046</v>
      </c>
      <c r="B1423" s="106" t="s">
        <v>4280</v>
      </c>
      <c r="C1423" s="106"/>
      <c r="D1423" s="106" t="n">
        <v>15</v>
      </c>
      <c r="E1423" s="107" t="n">
        <v>4</v>
      </c>
      <c r="F1423" s="106" t="n">
        <v>1</v>
      </c>
      <c r="G1423" s="118" t="n">
        <v>0.25</v>
      </c>
      <c r="H1423" s="116" t="n">
        <v>1.1</v>
      </c>
      <c r="I1423" s="106" t="n">
        <v>0</v>
      </c>
      <c r="J1423" s="117" t="n">
        <v>0</v>
      </c>
      <c r="K1423" s="108" t="n">
        <v>1.1</v>
      </c>
      <c r="L1423" s="108" t="n">
        <v>0</v>
      </c>
      <c r="M1423" s="117"/>
      <c r="N1423" s="106"/>
      <c r="O1423" s="106"/>
      <c r="P1423" s="106"/>
      <c r="Q1423" s="106"/>
      <c r="R1423" s="106" t="s">
        <v>4537</v>
      </c>
    </row>
    <row r="1424" customFormat="false" ht="15" hidden="false" customHeight="false" outlineLevel="0" collapsed="false">
      <c r="A1424" s="106" t="s">
        <v>6047</v>
      </c>
      <c r="B1424" s="106" t="s">
        <v>4280</v>
      </c>
      <c r="C1424" s="106"/>
      <c r="D1424" s="106" t="n">
        <v>4</v>
      </c>
      <c r="E1424" s="107" t="n">
        <v>1</v>
      </c>
      <c r="F1424" s="106" t="n">
        <v>1</v>
      </c>
      <c r="G1424" s="118" t="n">
        <v>1</v>
      </c>
      <c r="H1424" s="116" t="n">
        <v>1.1</v>
      </c>
      <c r="I1424" s="106" t="n">
        <v>0</v>
      </c>
      <c r="J1424" s="117" t="n">
        <v>0</v>
      </c>
      <c r="K1424" s="108" t="n">
        <v>1.1</v>
      </c>
      <c r="L1424" s="108" t="n">
        <v>0</v>
      </c>
      <c r="M1424" s="117"/>
      <c r="N1424" s="106"/>
      <c r="O1424" s="106"/>
      <c r="P1424" s="106"/>
      <c r="Q1424" s="106"/>
      <c r="R1424" s="106" t="s">
        <v>4537</v>
      </c>
    </row>
    <row r="1425" customFormat="false" ht="15" hidden="false" customHeight="false" outlineLevel="0" collapsed="false">
      <c r="A1425" s="106" t="s">
        <v>6048</v>
      </c>
      <c r="B1425" s="106" t="s">
        <v>4280</v>
      </c>
      <c r="C1425" s="106"/>
      <c r="D1425" s="106"/>
      <c r="E1425" s="107" t="n">
        <v>3</v>
      </c>
      <c r="F1425" s="106" t="n">
        <v>1</v>
      </c>
      <c r="G1425" s="118" t="n">
        <v>0.3333</v>
      </c>
      <c r="H1425" s="116" t="n">
        <v>1.1</v>
      </c>
      <c r="I1425" s="106" t="n">
        <v>0</v>
      </c>
      <c r="J1425" s="117" t="n">
        <v>0</v>
      </c>
      <c r="K1425" s="108" t="n">
        <v>1.1</v>
      </c>
      <c r="L1425" s="108" t="n">
        <v>0</v>
      </c>
      <c r="M1425" s="117"/>
      <c r="N1425" s="106"/>
      <c r="O1425" s="106"/>
      <c r="P1425" s="106"/>
      <c r="Q1425" s="106"/>
      <c r="R1425" s="106" t="s">
        <v>4537</v>
      </c>
    </row>
    <row r="1426" customFormat="false" ht="15" hidden="false" customHeight="false" outlineLevel="0" collapsed="false">
      <c r="A1426" s="106" t="s">
        <v>6049</v>
      </c>
      <c r="B1426" s="106" t="s">
        <v>4280</v>
      </c>
      <c r="C1426" s="106"/>
      <c r="D1426" s="106"/>
      <c r="E1426" s="107" t="n">
        <v>1</v>
      </c>
      <c r="F1426" s="106" t="n">
        <v>1</v>
      </c>
      <c r="G1426" s="118" t="n">
        <v>1</v>
      </c>
      <c r="H1426" s="116" t="n">
        <v>1.1</v>
      </c>
      <c r="I1426" s="106" t="n">
        <v>0</v>
      </c>
      <c r="J1426" s="117" t="n">
        <v>0</v>
      </c>
      <c r="K1426" s="108" t="n">
        <v>1.1</v>
      </c>
      <c r="L1426" s="108" t="n">
        <v>0</v>
      </c>
      <c r="M1426" s="117"/>
      <c r="N1426" s="106"/>
      <c r="O1426" s="106"/>
      <c r="P1426" s="106"/>
      <c r="Q1426" s="106"/>
      <c r="R1426" s="106" t="s">
        <v>4537</v>
      </c>
    </row>
    <row r="1427" customFormat="false" ht="15" hidden="false" customHeight="false" outlineLevel="0" collapsed="false">
      <c r="A1427" s="106" t="s">
        <v>6050</v>
      </c>
      <c r="B1427" s="106" t="s">
        <v>4284</v>
      </c>
      <c r="C1427" s="106"/>
      <c r="D1427" s="106"/>
      <c r="E1427" s="107" t="n">
        <v>2</v>
      </c>
      <c r="F1427" s="106" t="n">
        <v>1</v>
      </c>
      <c r="G1427" s="118" t="n">
        <v>0.5</v>
      </c>
      <c r="H1427" s="116" t="n">
        <v>1.1</v>
      </c>
      <c r="I1427" s="106" t="n">
        <v>0</v>
      </c>
      <c r="J1427" s="117" t="n">
        <v>0</v>
      </c>
      <c r="K1427" s="108" t="n">
        <v>1.1</v>
      </c>
      <c r="L1427" s="108" t="n">
        <v>0</v>
      </c>
      <c r="M1427" s="117"/>
      <c r="N1427" s="106"/>
      <c r="O1427" s="106"/>
      <c r="P1427" s="106"/>
      <c r="Q1427" s="106"/>
      <c r="R1427" s="106" t="s">
        <v>4537</v>
      </c>
    </row>
    <row r="1428" customFormat="false" ht="15" hidden="false" customHeight="false" outlineLevel="0" collapsed="false">
      <c r="A1428" s="106" t="s">
        <v>6051</v>
      </c>
      <c r="B1428" s="106" t="s">
        <v>4280</v>
      </c>
      <c r="C1428" s="106"/>
      <c r="D1428" s="106"/>
      <c r="E1428" s="107" t="n">
        <v>1</v>
      </c>
      <c r="F1428" s="106" t="n">
        <v>1</v>
      </c>
      <c r="G1428" s="118" t="n">
        <v>1</v>
      </c>
      <c r="H1428" s="116" t="n">
        <v>1.1</v>
      </c>
      <c r="I1428" s="106" t="n">
        <v>0</v>
      </c>
      <c r="J1428" s="117" t="n">
        <v>0</v>
      </c>
      <c r="K1428" s="108" t="n">
        <v>1.1</v>
      </c>
      <c r="L1428" s="108" t="n">
        <v>0</v>
      </c>
      <c r="M1428" s="117"/>
      <c r="N1428" s="106"/>
      <c r="O1428" s="106"/>
      <c r="P1428" s="106"/>
      <c r="Q1428" s="106"/>
      <c r="R1428" s="106" t="s">
        <v>4537</v>
      </c>
    </row>
    <row r="1429" customFormat="false" ht="15" hidden="false" customHeight="false" outlineLevel="0" collapsed="false">
      <c r="A1429" s="106" t="s">
        <v>6052</v>
      </c>
      <c r="B1429" s="106" t="s">
        <v>4280</v>
      </c>
      <c r="C1429" s="106"/>
      <c r="D1429" s="106" t="n">
        <v>106</v>
      </c>
      <c r="E1429" s="107" t="n">
        <v>3</v>
      </c>
      <c r="F1429" s="106" t="n">
        <v>1</v>
      </c>
      <c r="G1429" s="118" t="n">
        <v>0.3333</v>
      </c>
      <c r="H1429" s="116" t="n">
        <v>1.1</v>
      </c>
      <c r="I1429" s="106" t="n">
        <v>0</v>
      </c>
      <c r="J1429" s="117" t="n">
        <v>0</v>
      </c>
      <c r="K1429" s="108" t="n">
        <v>1.1</v>
      </c>
      <c r="L1429" s="108" t="n">
        <v>0</v>
      </c>
      <c r="M1429" s="117"/>
      <c r="N1429" s="106"/>
      <c r="O1429" s="106"/>
      <c r="P1429" s="106"/>
      <c r="Q1429" s="106"/>
      <c r="R1429" s="106" t="s">
        <v>4537</v>
      </c>
    </row>
    <row r="1430" customFormat="false" ht="15" hidden="false" customHeight="false" outlineLevel="0" collapsed="false">
      <c r="A1430" s="106" t="s">
        <v>6053</v>
      </c>
      <c r="B1430" s="106" t="s">
        <v>4280</v>
      </c>
      <c r="C1430" s="106"/>
      <c r="D1430" s="106"/>
      <c r="E1430" s="107" t="n">
        <v>1</v>
      </c>
      <c r="F1430" s="106" t="n">
        <v>1</v>
      </c>
      <c r="G1430" s="118" t="n">
        <v>1</v>
      </c>
      <c r="H1430" s="116" t="n">
        <v>1.1</v>
      </c>
      <c r="I1430" s="106" t="n">
        <v>1</v>
      </c>
      <c r="J1430" s="117" t="n">
        <v>1</v>
      </c>
      <c r="K1430" s="108" t="n">
        <v>1.1</v>
      </c>
      <c r="L1430" s="108" t="n">
        <v>84.99</v>
      </c>
      <c r="M1430" s="117" t="n">
        <v>0.013</v>
      </c>
      <c r="N1430" s="106"/>
      <c r="O1430" s="106"/>
      <c r="P1430" s="106"/>
      <c r="Q1430" s="106"/>
      <c r="R1430" s="106" t="s">
        <v>4285</v>
      </c>
    </row>
    <row r="1431" customFormat="false" ht="15" hidden="false" customHeight="false" outlineLevel="0" collapsed="false">
      <c r="A1431" s="106" t="s">
        <v>6054</v>
      </c>
      <c r="B1431" s="106" t="s">
        <v>4284</v>
      </c>
      <c r="C1431" s="106"/>
      <c r="D1431" s="106"/>
      <c r="E1431" s="107" t="n">
        <v>1</v>
      </c>
      <c r="F1431" s="106" t="n">
        <v>1</v>
      </c>
      <c r="G1431" s="118" t="n">
        <v>1</v>
      </c>
      <c r="H1431" s="116" t="n">
        <v>1.1</v>
      </c>
      <c r="I1431" s="106" t="n">
        <v>0</v>
      </c>
      <c r="J1431" s="117" t="n">
        <v>0</v>
      </c>
      <c r="K1431" s="108" t="n">
        <v>1.1</v>
      </c>
      <c r="L1431" s="108" t="n">
        <v>0</v>
      </c>
      <c r="M1431" s="117"/>
      <c r="N1431" s="106"/>
      <c r="O1431" s="106"/>
      <c r="P1431" s="106"/>
      <c r="Q1431" s="106"/>
      <c r="R1431" s="106" t="s">
        <v>4537</v>
      </c>
    </row>
    <row r="1432" customFormat="false" ht="15" hidden="false" customHeight="false" outlineLevel="0" collapsed="false">
      <c r="A1432" s="106" t="s">
        <v>6055</v>
      </c>
      <c r="B1432" s="106" t="s">
        <v>4280</v>
      </c>
      <c r="C1432" s="106"/>
      <c r="D1432" s="106"/>
      <c r="E1432" s="107" t="n">
        <v>2</v>
      </c>
      <c r="F1432" s="106" t="n">
        <v>1</v>
      </c>
      <c r="G1432" s="118" t="n">
        <v>0.5</v>
      </c>
      <c r="H1432" s="116" t="n">
        <v>1.1</v>
      </c>
      <c r="I1432" s="106" t="n">
        <v>0</v>
      </c>
      <c r="J1432" s="117" t="n">
        <v>0</v>
      </c>
      <c r="K1432" s="108" t="n">
        <v>1.1</v>
      </c>
      <c r="L1432" s="108" t="n">
        <v>0</v>
      </c>
      <c r="M1432" s="117"/>
      <c r="N1432" s="106"/>
      <c r="O1432" s="106"/>
      <c r="P1432" s="106"/>
      <c r="Q1432" s="106"/>
      <c r="R1432" s="106" t="s">
        <v>4537</v>
      </c>
    </row>
    <row r="1433" customFormat="false" ht="15" hidden="false" customHeight="false" outlineLevel="0" collapsed="false">
      <c r="A1433" s="106" t="s">
        <v>6056</v>
      </c>
      <c r="B1433" s="106" t="s">
        <v>4284</v>
      </c>
      <c r="C1433" s="106"/>
      <c r="D1433" s="106"/>
      <c r="E1433" s="107" t="n">
        <v>1</v>
      </c>
      <c r="F1433" s="106" t="n">
        <v>1</v>
      </c>
      <c r="G1433" s="118" t="n">
        <v>1</v>
      </c>
      <c r="H1433" s="116" t="n">
        <v>1.1</v>
      </c>
      <c r="I1433" s="106" t="n">
        <v>0</v>
      </c>
      <c r="J1433" s="117" t="n">
        <v>0</v>
      </c>
      <c r="K1433" s="108" t="n">
        <v>1.1</v>
      </c>
      <c r="L1433" s="108" t="n">
        <v>0</v>
      </c>
      <c r="M1433" s="117"/>
      <c r="N1433" s="106"/>
      <c r="O1433" s="106"/>
      <c r="P1433" s="106"/>
      <c r="Q1433" s="106"/>
      <c r="R1433" s="106" t="s">
        <v>4537</v>
      </c>
    </row>
    <row r="1434" customFormat="false" ht="15" hidden="false" customHeight="false" outlineLevel="0" collapsed="false">
      <c r="A1434" s="106" t="s">
        <v>6057</v>
      </c>
      <c r="B1434" s="106" t="s">
        <v>4284</v>
      </c>
      <c r="C1434" s="106"/>
      <c r="D1434" s="106"/>
      <c r="E1434" s="107" t="n">
        <v>2</v>
      </c>
      <c r="F1434" s="106" t="n">
        <v>1</v>
      </c>
      <c r="G1434" s="118" t="n">
        <v>0.5</v>
      </c>
      <c r="H1434" s="116" t="n">
        <v>1.1</v>
      </c>
      <c r="I1434" s="106" t="n">
        <v>0</v>
      </c>
      <c r="J1434" s="117" t="n">
        <v>0</v>
      </c>
      <c r="K1434" s="108" t="n">
        <v>1.1</v>
      </c>
      <c r="L1434" s="108" t="n">
        <v>0</v>
      </c>
      <c r="M1434" s="117"/>
      <c r="N1434" s="106"/>
      <c r="O1434" s="106"/>
      <c r="P1434" s="106"/>
      <c r="Q1434" s="106"/>
      <c r="R1434" s="106" t="s">
        <v>4537</v>
      </c>
    </row>
    <row r="1435" customFormat="false" ht="15" hidden="false" customHeight="false" outlineLevel="0" collapsed="false">
      <c r="A1435" s="106" t="s">
        <v>6058</v>
      </c>
      <c r="B1435" s="106" t="s">
        <v>4280</v>
      </c>
      <c r="C1435" s="106"/>
      <c r="D1435" s="106" t="n">
        <v>20</v>
      </c>
      <c r="E1435" s="107" t="n">
        <v>3</v>
      </c>
      <c r="F1435" s="106" t="n">
        <v>1</v>
      </c>
      <c r="G1435" s="118" t="n">
        <v>0.3333</v>
      </c>
      <c r="H1435" s="116" t="n">
        <v>1.1</v>
      </c>
      <c r="I1435" s="106" t="n">
        <v>0</v>
      </c>
      <c r="J1435" s="117" t="n">
        <v>0</v>
      </c>
      <c r="K1435" s="108" t="n">
        <v>1.1</v>
      </c>
      <c r="L1435" s="108" t="n">
        <v>0</v>
      </c>
      <c r="M1435" s="117"/>
      <c r="N1435" s="106"/>
      <c r="O1435" s="106"/>
      <c r="P1435" s="106"/>
      <c r="Q1435" s="106"/>
      <c r="R1435" s="106" t="s">
        <v>4537</v>
      </c>
    </row>
    <row r="1436" customFormat="false" ht="15" hidden="false" customHeight="false" outlineLevel="0" collapsed="false">
      <c r="A1436" s="106" t="s">
        <v>6059</v>
      </c>
      <c r="B1436" s="106" t="s">
        <v>4280</v>
      </c>
      <c r="C1436" s="106"/>
      <c r="D1436" s="106" t="n">
        <v>37</v>
      </c>
      <c r="E1436" s="107" t="n">
        <v>1</v>
      </c>
      <c r="F1436" s="106" t="n">
        <v>1</v>
      </c>
      <c r="G1436" s="118" t="n">
        <v>1</v>
      </c>
      <c r="H1436" s="116" t="n">
        <v>1.1</v>
      </c>
      <c r="I1436" s="106" t="n">
        <v>0</v>
      </c>
      <c r="J1436" s="117" t="n">
        <v>0</v>
      </c>
      <c r="K1436" s="108" t="n">
        <v>1.1</v>
      </c>
      <c r="L1436" s="108" t="n">
        <v>0</v>
      </c>
      <c r="M1436" s="117"/>
      <c r="N1436" s="106"/>
      <c r="O1436" s="106"/>
      <c r="P1436" s="106"/>
      <c r="Q1436" s="106"/>
      <c r="R1436" s="106" t="s">
        <v>4537</v>
      </c>
    </row>
    <row r="1437" customFormat="false" ht="15" hidden="false" customHeight="false" outlineLevel="0" collapsed="false">
      <c r="A1437" s="106" t="s">
        <v>6060</v>
      </c>
      <c r="B1437" s="106" t="s">
        <v>4280</v>
      </c>
      <c r="C1437" s="106"/>
      <c r="D1437" s="106"/>
      <c r="E1437" s="107" t="n">
        <v>6</v>
      </c>
      <c r="F1437" s="106" t="n">
        <v>1</v>
      </c>
      <c r="G1437" s="118" t="n">
        <v>0.1667</v>
      </c>
      <c r="H1437" s="116" t="n">
        <v>1.1</v>
      </c>
      <c r="I1437" s="106" t="n">
        <v>0</v>
      </c>
      <c r="J1437" s="117" t="n">
        <v>0</v>
      </c>
      <c r="K1437" s="108" t="n">
        <v>1.1</v>
      </c>
      <c r="L1437" s="108" t="n">
        <v>0</v>
      </c>
      <c r="M1437" s="117"/>
      <c r="N1437" s="106"/>
      <c r="O1437" s="106"/>
      <c r="P1437" s="106"/>
      <c r="Q1437" s="106"/>
      <c r="R1437" s="106" t="s">
        <v>4537</v>
      </c>
    </row>
    <row r="1438" customFormat="false" ht="15" hidden="false" customHeight="false" outlineLevel="0" collapsed="false">
      <c r="A1438" s="106" t="s">
        <v>6061</v>
      </c>
      <c r="B1438" s="106" t="s">
        <v>4284</v>
      </c>
      <c r="C1438" s="106"/>
      <c r="D1438" s="106"/>
      <c r="E1438" s="107" t="n">
        <v>3</v>
      </c>
      <c r="F1438" s="106" t="n">
        <v>1</v>
      </c>
      <c r="G1438" s="118" t="n">
        <v>0.3333</v>
      </c>
      <c r="H1438" s="116" t="n">
        <v>1.1</v>
      </c>
      <c r="I1438" s="106" t="n">
        <v>0</v>
      </c>
      <c r="J1438" s="117" t="n">
        <v>0</v>
      </c>
      <c r="K1438" s="108" t="n">
        <v>1.1</v>
      </c>
      <c r="L1438" s="108" t="n">
        <v>0</v>
      </c>
      <c r="M1438" s="117"/>
      <c r="N1438" s="106"/>
      <c r="O1438" s="106"/>
      <c r="P1438" s="106"/>
      <c r="Q1438" s="106"/>
      <c r="R1438" s="106" t="s">
        <v>4537</v>
      </c>
    </row>
    <row r="1439" customFormat="false" ht="15" hidden="false" customHeight="false" outlineLevel="0" collapsed="false">
      <c r="A1439" s="106" t="s">
        <v>6062</v>
      </c>
      <c r="B1439" s="106" t="s">
        <v>4284</v>
      </c>
      <c r="C1439" s="106"/>
      <c r="D1439" s="106"/>
      <c r="E1439" s="107" t="n">
        <v>3</v>
      </c>
      <c r="F1439" s="106" t="n">
        <v>1</v>
      </c>
      <c r="G1439" s="118" t="n">
        <v>0.3333</v>
      </c>
      <c r="H1439" s="116" t="n">
        <v>1.1</v>
      </c>
      <c r="I1439" s="106" t="n">
        <v>0</v>
      </c>
      <c r="J1439" s="117" t="n">
        <v>0</v>
      </c>
      <c r="K1439" s="108" t="n">
        <v>1.1</v>
      </c>
      <c r="L1439" s="108" t="n">
        <v>0</v>
      </c>
      <c r="M1439" s="117"/>
      <c r="N1439" s="106"/>
      <c r="O1439" s="106"/>
      <c r="P1439" s="106"/>
      <c r="Q1439" s="106"/>
      <c r="R1439" s="106" t="s">
        <v>4537</v>
      </c>
    </row>
    <row r="1440" customFormat="false" ht="15" hidden="false" customHeight="false" outlineLevel="0" collapsed="false">
      <c r="A1440" s="106" t="s">
        <v>6063</v>
      </c>
      <c r="B1440" s="106" t="s">
        <v>4284</v>
      </c>
      <c r="C1440" s="106"/>
      <c r="D1440" s="106"/>
      <c r="E1440" s="107" t="n">
        <v>1</v>
      </c>
      <c r="F1440" s="106" t="n">
        <v>1</v>
      </c>
      <c r="G1440" s="118" t="n">
        <v>1</v>
      </c>
      <c r="H1440" s="116" t="n">
        <v>1.1</v>
      </c>
      <c r="I1440" s="106" t="n">
        <v>0</v>
      </c>
      <c r="J1440" s="117" t="n">
        <v>0</v>
      </c>
      <c r="K1440" s="108" t="n">
        <v>1.1</v>
      </c>
      <c r="L1440" s="108" t="n">
        <v>0</v>
      </c>
      <c r="M1440" s="117"/>
      <c r="N1440" s="106"/>
      <c r="O1440" s="106"/>
      <c r="P1440" s="106"/>
      <c r="Q1440" s="106"/>
      <c r="R1440" s="106" t="s">
        <v>4537</v>
      </c>
    </row>
    <row r="1441" customFormat="false" ht="15" hidden="false" customHeight="false" outlineLevel="0" collapsed="false">
      <c r="A1441" s="106" t="s">
        <v>6064</v>
      </c>
      <c r="B1441" s="106" t="s">
        <v>4280</v>
      </c>
      <c r="C1441" s="106"/>
      <c r="D1441" s="106" t="n">
        <v>21</v>
      </c>
      <c r="E1441" s="107" t="n">
        <v>2</v>
      </c>
      <c r="F1441" s="106" t="n">
        <v>1</v>
      </c>
      <c r="G1441" s="118" t="n">
        <v>0.5</v>
      </c>
      <c r="H1441" s="116" t="n">
        <v>1.1</v>
      </c>
      <c r="I1441" s="106" t="n">
        <v>0</v>
      </c>
      <c r="J1441" s="117" t="n">
        <v>0</v>
      </c>
      <c r="K1441" s="108" t="n">
        <v>1.1</v>
      </c>
      <c r="L1441" s="108" t="n">
        <v>0</v>
      </c>
      <c r="M1441" s="117"/>
      <c r="N1441" s="106"/>
      <c r="O1441" s="106"/>
      <c r="P1441" s="106"/>
      <c r="Q1441" s="106"/>
      <c r="R1441" s="106" t="s">
        <v>4537</v>
      </c>
    </row>
    <row r="1442" customFormat="false" ht="15" hidden="false" customHeight="false" outlineLevel="0" collapsed="false">
      <c r="A1442" s="106" t="s">
        <v>6065</v>
      </c>
      <c r="B1442" s="106" t="s">
        <v>4280</v>
      </c>
      <c r="C1442" s="106"/>
      <c r="D1442" s="106"/>
      <c r="E1442" s="107" t="n">
        <v>1</v>
      </c>
      <c r="F1442" s="106" t="n">
        <v>1</v>
      </c>
      <c r="G1442" s="118" t="n">
        <v>1</v>
      </c>
      <c r="H1442" s="116" t="n">
        <v>1.1</v>
      </c>
      <c r="I1442" s="106" t="n">
        <v>0</v>
      </c>
      <c r="J1442" s="117" t="n">
        <v>0</v>
      </c>
      <c r="K1442" s="108" t="n">
        <v>1.1</v>
      </c>
      <c r="L1442" s="108" t="n">
        <v>0</v>
      </c>
      <c r="M1442" s="117"/>
      <c r="N1442" s="106"/>
      <c r="O1442" s="106"/>
      <c r="P1442" s="106"/>
      <c r="Q1442" s="106"/>
      <c r="R1442" s="106" t="s">
        <v>4537</v>
      </c>
    </row>
    <row r="1443" customFormat="false" ht="15" hidden="false" customHeight="false" outlineLevel="0" collapsed="false">
      <c r="A1443" s="106" t="s">
        <v>6066</v>
      </c>
      <c r="B1443" s="106" t="s">
        <v>4280</v>
      </c>
      <c r="C1443" s="106"/>
      <c r="D1443" s="106"/>
      <c r="E1443" s="107" t="n">
        <v>2</v>
      </c>
      <c r="F1443" s="106" t="n">
        <v>1</v>
      </c>
      <c r="G1443" s="118" t="n">
        <v>0.5</v>
      </c>
      <c r="H1443" s="116" t="n">
        <v>1.1</v>
      </c>
      <c r="I1443" s="106" t="n">
        <v>0</v>
      </c>
      <c r="J1443" s="117" t="n">
        <v>0</v>
      </c>
      <c r="K1443" s="108" t="n">
        <v>1.1</v>
      </c>
      <c r="L1443" s="108" t="n">
        <v>0</v>
      </c>
      <c r="M1443" s="117"/>
      <c r="N1443" s="106"/>
      <c r="O1443" s="106"/>
      <c r="P1443" s="106"/>
      <c r="Q1443" s="106"/>
      <c r="R1443" s="106" t="s">
        <v>4537</v>
      </c>
    </row>
    <row r="1444" customFormat="false" ht="15" hidden="false" customHeight="false" outlineLevel="0" collapsed="false">
      <c r="A1444" s="106" t="s">
        <v>6067</v>
      </c>
      <c r="B1444" s="106" t="s">
        <v>4280</v>
      </c>
      <c r="C1444" s="106"/>
      <c r="D1444" s="106"/>
      <c r="E1444" s="107" t="n">
        <v>59</v>
      </c>
      <c r="F1444" s="106" t="n">
        <v>1</v>
      </c>
      <c r="G1444" s="118" t="n">
        <v>0.0169</v>
      </c>
      <c r="H1444" s="116" t="n">
        <v>1.1</v>
      </c>
      <c r="I1444" s="106" t="n">
        <v>0</v>
      </c>
      <c r="J1444" s="117" t="n">
        <v>0</v>
      </c>
      <c r="K1444" s="108" t="n">
        <v>1.1</v>
      </c>
      <c r="L1444" s="108" t="n">
        <v>0</v>
      </c>
      <c r="M1444" s="117"/>
      <c r="N1444" s="106"/>
      <c r="O1444" s="106"/>
      <c r="P1444" s="106"/>
      <c r="Q1444" s="106"/>
      <c r="R1444" s="106" t="s">
        <v>4537</v>
      </c>
    </row>
    <row r="1445" customFormat="false" ht="15" hidden="false" customHeight="false" outlineLevel="0" collapsed="false">
      <c r="A1445" s="106" t="s">
        <v>6068</v>
      </c>
      <c r="B1445" s="106" t="s">
        <v>4280</v>
      </c>
      <c r="C1445" s="106"/>
      <c r="D1445" s="106" t="n">
        <v>14</v>
      </c>
      <c r="E1445" s="107" t="n">
        <v>1</v>
      </c>
      <c r="F1445" s="106" t="n">
        <v>1</v>
      </c>
      <c r="G1445" s="118" t="n">
        <v>1</v>
      </c>
      <c r="H1445" s="116" t="n">
        <v>1.1</v>
      </c>
      <c r="I1445" s="106" t="n">
        <v>0</v>
      </c>
      <c r="J1445" s="117" t="n">
        <v>0</v>
      </c>
      <c r="K1445" s="108" t="n">
        <v>1.1</v>
      </c>
      <c r="L1445" s="108" t="n">
        <v>0</v>
      </c>
      <c r="M1445" s="117"/>
      <c r="N1445" s="106"/>
      <c r="O1445" s="106"/>
      <c r="P1445" s="106"/>
      <c r="Q1445" s="106"/>
      <c r="R1445" s="106" t="s">
        <v>4537</v>
      </c>
    </row>
    <row r="1446" customFormat="false" ht="15" hidden="false" customHeight="false" outlineLevel="0" collapsed="false">
      <c r="A1446" s="106" t="s">
        <v>6069</v>
      </c>
      <c r="B1446" s="106" t="s">
        <v>4284</v>
      </c>
      <c r="C1446" s="106"/>
      <c r="D1446" s="106" t="n">
        <v>659</v>
      </c>
      <c r="E1446" s="107" t="n">
        <v>32</v>
      </c>
      <c r="F1446" s="106" t="n">
        <v>1</v>
      </c>
      <c r="G1446" s="118" t="n">
        <v>0.0313</v>
      </c>
      <c r="H1446" s="116" t="n">
        <v>1.1</v>
      </c>
      <c r="I1446" s="106" t="n">
        <v>0</v>
      </c>
      <c r="J1446" s="117" t="n">
        <v>0</v>
      </c>
      <c r="K1446" s="108" t="n">
        <v>1.1</v>
      </c>
      <c r="L1446" s="108" t="n">
        <v>0</v>
      </c>
      <c r="M1446" s="117"/>
      <c r="N1446" s="106"/>
      <c r="O1446" s="106"/>
      <c r="P1446" s="106"/>
      <c r="Q1446" s="106"/>
      <c r="R1446" s="106" t="s">
        <v>4537</v>
      </c>
    </row>
    <row r="1447" customFormat="false" ht="15" hidden="false" customHeight="false" outlineLevel="0" collapsed="false">
      <c r="A1447" s="106" t="s">
        <v>6070</v>
      </c>
      <c r="B1447" s="106" t="s">
        <v>4284</v>
      </c>
      <c r="C1447" s="106"/>
      <c r="D1447" s="106" t="n">
        <v>40</v>
      </c>
      <c r="E1447" s="107" t="n">
        <v>1</v>
      </c>
      <c r="F1447" s="106" t="n">
        <v>1</v>
      </c>
      <c r="G1447" s="118" t="n">
        <v>1</v>
      </c>
      <c r="H1447" s="116" t="n">
        <v>1.1</v>
      </c>
      <c r="I1447" s="106" t="n">
        <v>0</v>
      </c>
      <c r="J1447" s="117" t="n">
        <v>0</v>
      </c>
      <c r="K1447" s="108" t="n">
        <v>1.1</v>
      </c>
      <c r="L1447" s="108" t="n">
        <v>0</v>
      </c>
      <c r="M1447" s="117"/>
      <c r="N1447" s="106"/>
      <c r="O1447" s="106"/>
      <c r="P1447" s="106"/>
      <c r="Q1447" s="106"/>
      <c r="R1447" s="106" t="s">
        <v>4537</v>
      </c>
    </row>
    <row r="1448" customFormat="false" ht="15" hidden="false" customHeight="false" outlineLevel="0" collapsed="false">
      <c r="A1448" s="106" t="s">
        <v>6071</v>
      </c>
      <c r="B1448" s="106" t="s">
        <v>4280</v>
      </c>
      <c r="C1448" s="106"/>
      <c r="D1448" s="106"/>
      <c r="E1448" s="107" t="n">
        <v>2</v>
      </c>
      <c r="F1448" s="106" t="n">
        <v>1</v>
      </c>
      <c r="G1448" s="118" t="n">
        <v>0.5</v>
      </c>
      <c r="H1448" s="116" t="n">
        <v>1.1</v>
      </c>
      <c r="I1448" s="106" t="n">
        <v>0</v>
      </c>
      <c r="J1448" s="117" t="n">
        <v>0</v>
      </c>
      <c r="K1448" s="108" t="n">
        <v>1.1</v>
      </c>
      <c r="L1448" s="108" t="n">
        <v>0</v>
      </c>
      <c r="M1448" s="117"/>
      <c r="N1448" s="106"/>
      <c r="O1448" s="106"/>
      <c r="P1448" s="106"/>
      <c r="Q1448" s="106"/>
      <c r="R1448" s="106" t="s">
        <v>4537</v>
      </c>
    </row>
    <row r="1449" customFormat="false" ht="15" hidden="false" customHeight="false" outlineLevel="0" collapsed="false">
      <c r="A1449" s="106" t="s">
        <v>6072</v>
      </c>
      <c r="B1449" s="106" t="s">
        <v>4280</v>
      </c>
      <c r="C1449" s="106"/>
      <c r="D1449" s="106" t="n">
        <v>8</v>
      </c>
      <c r="E1449" s="107" t="n">
        <v>7</v>
      </c>
      <c r="F1449" s="106" t="n">
        <v>1</v>
      </c>
      <c r="G1449" s="118" t="n">
        <v>0.1429</v>
      </c>
      <c r="H1449" s="116" t="n">
        <v>1.1</v>
      </c>
      <c r="I1449" s="106" t="n">
        <v>0</v>
      </c>
      <c r="J1449" s="117" t="n">
        <v>0</v>
      </c>
      <c r="K1449" s="108" t="n">
        <v>1.1</v>
      </c>
      <c r="L1449" s="108" t="n">
        <v>0</v>
      </c>
      <c r="M1449" s="117"/>
      <c r="N1449" s="106"/>
      <c r="O1449" s="106"/>
      <c r="P1449" s="106"/>
      <c r="Q1449" s="106"/>
      <c r="R1449" s="106" t="s">
        <v>4537</v>
      </c>
    </row>
    <row r="1450" customFormat="false" ht="15" hidden="false" customHeight="false" outlineLevel="0" collapsed="false">
      <c r="A1450" s="106" t="s">
        <v>6073</v>
      </c>
      <c r="B1450" s="106" t="s">
        <v>4284</v>
      </c>
      <c r="C1450" s="106"/>
      <c r="D1450" s="106" t="n">
        <v>9</v>
      </c>
      <c r="E1450" s="107" t="n">
        <v>1</v>
      </c>
      <c r="F1450" s="106" t="n">
        <v>1</v>
      </c>
      <c r="G1450" s="118" t="n">
        <v>1</v>
      </c>
      <c r="H1450" s="116" t="n">
        <v>1.1</v>
      </c>
      <c r="I1450" s="106" t="n">
        <v>0</v>
      </c>
      <c r="J1450" s="117" t="n">
        <v>0</v>
      </c>
      <c r="K1450" s="108" t="n">
        <v>1.1</v>
      </c>
      <c r="L1450" s="108" t="n">
        <v>0</v>
      </c>
      <c r="M1450" s="117"/>
      <c r="N1450" s="106"/>
      <c r="O1450" s="106"/>
      <c r="P1450" s="106"/>
      <c r="Q1450" s="106"/>
      <c r="R1450" s="106" t="s">
        <v>4537</v>
      </c>
    </row>
    <row r="1451" customFormat="false" ht="15" hidden="false" customHeight="false" outlineLevel="0" collapsed="false">
      <c r="A1451" s="106" t="s">
        <v>6074</v>
      </c>
      <c r="B1451" s="106" t="s">
        <v>4284</v>
      </c>
      <c r="C1451" s="106"/>
      <c r="D1451" s="106"/>
      <c r="E1451" s="107" t="n">
        <v>1</v>
      </c>
      <c r="F1451" s="106" t="n">
        <v>1</v>
      </c>
      <c r="G1451" s="118" t="n">
        <v>1</v>
      </c>
      <c r="H1451" s="116" t="n">
        <v>1.1</v>
      </c>
      <c r="I1451" s="106" t="n">
        <v>0</v>
      </c>
      <c r="J1451" s="117" t="n">
        <v>0</v>
      </c>
      <c r="K1451" s="108" t="n">
        <v>1.1</v>
      </c>
      <c r="L1451" s="108" t="n">
        <v>0</v>
      </c>
      <c r="M1451" s="117"/>
      <c r="N1451" s="106"/>
      <c r="O1451" s="106"/>
      <c r="P1451" s="106"/>
      <c r="Q1451" s="106"/>
      <c r="R1451" s="106" t="s">
        <v>4537</v>
      </c>
    </row>
    <row r="1452" customFormat="false" ht="15" hidden="false" customHeight="false" outlineLevel="0" collapsed="false">
      <c r="A1452" s="106" t="s">
        <v>6075</v>
      </c>
      <c r="B1452" s="106" t="s">
        <v>4284</v>
      </c>
      <c r="C1452" s="106"/>
      <c r="D1452" s="106" t="n">
        <v>3</v>
      </c>
      <c r="E1452" s="107" t="n">
        <v>2</v>
      </c>
      <c r="F1452" s="106" t="n">
        <v>1</v>
      </c>
      <c r="G1452" s="118" t="n">
        <v>0.5</v>
      </c>
      <c r="H1452" s="116" t="n">
        <v>1.1</v>
      </c>
      <c r="I1452" s="106" t="n">
        <v>0</v>
      </c>
      <c r="J1452" s="117" t="n">
        <v>0</v>
      </c>
      <c r="K1452" s="108" t="n">
        <v>1.1</v>
      </c>
      <c r="L1452" s="108" t="n">
        <v>0</v>
      </c>
      <c r="M1452" s="117"/>
      <c r="N1452" s="106"/>
      <c r="O1452" s="106"/>
      <c r="P1452" s="106"/>
      <c r="Q1452" s="106"/>
      <c r="R1452" s="106" t="s">
        <v>4537</v>
      </c>
    </row>
    <row r="1453" customFormat="false" ht="15" hidden="false" customHeight="false" outlineLevel="0" collapsed="false">
      <c r="A1453" s="106" t="s">
        <v>6076</v>
      </c>
      <c r="B1453" s="106" t="s">
        <v>4284</v>
      </c>
      <c r="C1453" s="106"/>
      <c r="D1453" s="106"/>
      <c r="E1453" s="107" t="n">
        <v>2</v>
      </c>
      <c r="F1453" s="106" t="n">
        <v>1</v>
      </c>
      <c r="G1453" s="118" t="n">
        <v>0.5</v>
      </c>
      <c r="H1453" s="116" t="n">
        <v>1.1</v>
      </c>
      <c r="I1453" s="106" t="n">
        <v>0</v>
      </c>
      <c r="J1453" s="117" t="n">
        <v>0</v>
      </c>
      <c r="K1453" s="108" t="n">
        <v>1.1</v>
      </c>
      <c r="L1453" s="108" t="n">
        <v>0</v>
      </c>
      <c r="M1453" s="117"/>
      <c r="N1453" s="106"/>
      <c r="O1453" s="106"/>
      <c r="P1453" s="106"/>
      <c r="Q1453" s="106"/>
      <c r="R1453" s="106" t="s">
        <v>4537</v>
      </c>
    </row>
    <row r="1454" customFormat="false" ht="15" hidden="false" customHeight="false" outlineLevel="0" collapsed="false">
      <c r="A1454" s="106" t="s">
        <v>6077</v>
      </c>
      <c r="B1454" s="106" t="s">
        <v>4280</v>
      </c>
      <c r="C1454" s="106"/>
      <c r="D1454" s="106"/>
      <c r="E1454" s="107" t="n">
        <v>1</v>
      </c>
      <c r="F1454" s="106" t="n">
        <v>1</v>
      </c>
      <c r="G1454" s="118" t="n">
        <v>1</v>
      </c>
      <c r="H1454" s="116" t="n">
        <v>1.1</v>
      </c>
      <c r="I1454" s="106" t="n">
        <v>0</v>
      </c>
      <c r="J1454" s="117" t="n">
        <v>0</v>
      </c>
      <c r="K1454" s="108" t="n">
        <v>1.1</v>
      </c>
      <c r="L1454" s="108" t="n">
        <v>0</v>
      </c>
      <c r="M1454" s="117"/>
      <c r="N1454" s="106"/>
      <c r="O1454" s="106"/>
      <c r="P1454" s="106"/>
      <c r="Q1454" s="106"/>
      <c r="R1454" s="106" t="s">
        <v>4537</v>
      </c>
    </row>
    <row r="1455" customFormat="false" ht="15" hidden="false" customHeight="false" outlineLevel="0" collapsed="false">
      <c r="A1455" s="106" t="s">
        <v>6078</v>
      </c>
      <c r="B1455" s="106" t="s">
        <v>4280</v>
      </c>
      <c r="C1455" s="106"/>
      <c r="D1455" s="106" t="n">
        <v>87</v>
      </c>
      <c r="E1455" s="107" t="n">
        <v>2</v>
      </c>
      <c r="F1455" s="106" t="n">
        <v>1</v>
      </c>
      <c r="G1455" s="118" t="n">
        <v>0.5</v>
      </c>
      <c r="H1455" s="116" t="n">
        <v>1.1</v>
      </c>
      <c r="I1455" s="106" t="n">
        <v>0</v>
      </c>
      <c r="J1455" s="117" t="n">
        <v>0</v>
      </c>
      <c r="K1455" s="108" t="n">
        <v>1.1</v>
      </c>
      <c r="L1455" s="108" t="n">
        <v>0</v>
      </c>
      <c r="M1455" s="117"/>
      <c r="N1455" s="106"/>
      <c r="O1455" s="106"/>
      <c r="P1455" s="106"/>
      <c r="Q1455" s="106"/>
      <c r="R1455" s="106" t="s">
        <v>4537</v>
      </c>
    </row>
    <row r="1456" customFormat="false" ht="15" hidden="false" customHeight="false" outlineLevel="0" collapsed="false">
      <c r="A1456" s="106" t="s">
        <v>6079</v>
      </c>
      <c r="B1456" s="106" t="s">
        <v>4280</v>
      </c>
      <c r="C1456" s="106"/>
      <c r="D1456" s="106"/>
      <c r="E1456" s="107" t="n">
        <v>1</v>
      </c>
      <c r="F1456" s="106" t="n">
        <v>1</v>
      </c>
      <c r="G1456" s="118" t="n">
        <v>1</v>
      </c>
      <c r="H1456" s="116" t="n">
        <v>1.1</v>
      </c>
      <c r="I1456" s="106" t="n">
        <v>0</v>
      </c>
      <c r="J1456" s="117" t="n">
        <v>0</v>
      </c>
      <c r="K1456" s="108" t="n">
        <v>1.1</v>
      </c>
      <c r="L1456" s="108" t="n">
        <v>0</v>
      </c>
      <c r="M1456" s="117"/>
      <c r="N1456" s="106"/>
      <c r="O1456" s="106"/>
      <c r="P1456" s="106"/>
      <c r="Q1456" s="106"/>
      <c r="R1456" s="106" t="s">
        <v>4537</v>
      </c>
    </row>
    <row r="1457" customFormat="false" ht="15" hidden="false" customHeight="false" outlineLevel="0" collapsed="false">
      <c r="A1457" s="106" t="s">
        <v>6080</v>
      </c>
      <c r="B1457" s="106" t="s">
        <v>4284</v>
      </c>
      <c r="C1457" s="106"/>
      <c r="D1457" s="106"/>
      <c r="E1457" s="107" t="n">
        <v>1</v>
      </c>
      <c r="F1457" s="106" t="n">
        <v>1</v>
      </c>
      <c r="G1457" s="118" t="n">
        <v>1</v>
      </c>
      <c r="H1457" s="116" t="n">
        <v>1.1</v>
      </c>
      <c r="I1457" s="106" t="n">
        <v>0</v>
      </c>
      <c r="J1457" s="117" t="n">
        <v>0</v>
      </c>
      <c r="K1457" s="108" t="n">
        <v>1.1</v>
      </c>
      <c r="L1457" s="108" t="n">
        <v>0</v>
      </c>
      <c r="M1457" s="117"/>
      <c r="N1457" s="106"/>
      <c r="O1457" s="106"/>
      <c r="P1457" s="106"/>
      <c r="Q1457" s="106"/>
      <c r="R1457" s="106" t="s">
        <v>4537</v>
      </c>
    </row>
    <row r="1458" customFormat="false" ht="15" hidden="false" customHeight="false" outlineLevel="0" collapsed="false">
      <c r="A1458" s="106" t="s">
        <v>6081</v>
      </c>
      <c r="B1458" s="106" t="s">
        <v>1403</v>
      </c>
      <c r="C1458" s="106"/>
      <c r="D1458" s="106" t="n">
        <v>4</v>
      </c>
      <c r="E1458" s="107" t="n">
        <v>7</v>
      </c>
      <c r="F1458" s="106" t="n">
        <v>1</v>
      </c>
      <c r="G1458" s="118" t="n">
        <v>0.1429</v>
      </c>
      <c r="H1458" s="116" t="n">
        <v>1.1</v>
      </c>
      <c r="I1458" s="106" t="n">
        <v>1</v>
      </c>
      <c r="J1458" s="117" t="n">
        <v>1</v>
      </c>
      <c r="K1458" s="108" t="n">
        <v>1.1</v>
      </c>
      <c r="L1458" s="108" t="n">
        <v>19.99</v>
      </c>
      <c r="M1458" s="117" t="n">
        <v>0.055</v>
      </c>
      <c r="N1458" s="106"/>
      <c r="O1458" s="106"/>
      <c r="P1458" s="106"/>
      <c r="Q1458" s="106"/>
      <c r="R1458" s="106" t="s">
        <v>4285</v>
      </c>
    </row>
    <row r="1459" customFormat="false" ht="15" hidden="false" customHeight="false" outlineLevel="0" collapsed="false">
      <c r="A1459" s="106" t="s">
        <v>6082</v>
      </c>
      <c r="B1459" s="106" t="s">
        <v>4280</v>
      </c>
      <c r="C1459" s="106"/>
      <c r="D1459" s="106"/>
      <c r="E1459" s="107" t="n">
        <v>1</v>
      </c>
      <c r="F1459" s="106" t="n">
        <v>1</v>
      </c>
      <c r="G1459" s="118" t="n">
        <v>1</v>
      </c>
      <c r="H1459" s="116" t="n">
        <v>1.1</v>
      </c>
      <c r="I1459" s="106" t="n">
        <v>0</v>
      </c>
      <c r="J1459" s="117" t="n">
        <v>0</v>
      </c>
      <c r="K1459" s="108" t="n">
        <v>1.1</v>
      </c>
      <c r="L1459" s="108" t="n">
        <v>0</v>
      </c>
      <c r="M1459" s="117"/>
      <c r="N1459" s="106"/>
      <c r="O1459" s="106"/>
      <c r="P1459" s="106"/>
      <c r="Q1459" s="106"/>
      <c r="R1459" s="106" t="s">
        <v>4537</v>
      </c>
    </row>
    <row r="1460" customFormat="false" ht="15" hidden="false" customHeight="false" outlineLevel="0" collapsed="false">
      <c r="A1460" s="106" t="s">
        <v>6083</v>
      </c>
      <c r="B1460" s="106" t="s">
        <v>4284</v>
      </c>
      <c r="C1460" s="106"/>
      <c r="D1460" s="106" t="n">
        <v>378</v>
      </c>
      <c r="E1460" s="107" t="n">
        <v>1</v>
      </c>
      <c r="F1460" s="106" t="n">
        <v>1</v>
      </c>
      <c r="G1460" s="118" t="n">
        <v>1</v>
      </c>
      <c r="H1460" s="116" t="n">
        <v>1.1</v>
      </c>
      <c r="I1460" s="106" t="n">
        <v>0</v>
      </c>
      <c r="J1460" s="117" t="n">
        <v>0</v>
      </c>
      <c r="K1460" s="108" t="n">
        <v>1.1</v>
      </c>
      <c r="L1460" s="108" t="n">
        <v>0</v>
      </c>
      <c r="M1460" s="117"/>
      <c r="N1460" s="106"/>
      <c r="O1460" s="106"/>
      <c r="P1460" s="106"/>
      <c r="Q1460" s="106"/>
      <c r="R1460" s="106" t="s">
        <v>4537</v>
      </c>
    </row>
    <row r="1461" customFormat="false" ht="15" hidden="false" customHeight="false" outlineLevel="0" collapsed="false">
      <c r="A1461" s="106" t="s">
        <v>6084</v>
      </c>
      <c r="B1461" s="106" t="s">
        <v>4280</v>
      </c>
      <c r="C1461" s="106"/>
      <c r="D1461" s="106"/>
      <c r="E1461" s="107" t="n">
        <v>1</v>
      </c>
      <c r="F1461" s="106" t="n">
        <v>1</v>
      </c>
      <c r="G1461" s="118" t="n">
        <v>1</v>
      </c>
      <c r="H1461" s="116" t="n">
        <v>1.1</v>
      </c>
      <c r="I1461" s="106" t="n">
        <v>0</v>
      </c>
      <c r="J1461" s="117" t="n">
        <v>0</v>
      </c>
      <c r="K1461" s="108" t="n">
        <v>1.1</v>
      </c>
      <c r="L1461" s="108" t="n">
        <v>0</v>
      </c>
      <c r="M1461" s="117"/>
      <c r="N1461" s="106"/>
      <c r="O1461" s="106"/>
      <c r="P1461" s="106"/>
      <c r="Q1461" s="106"/>
      <c r="R1461" s="106" t="s">
        <v>4537</v>
      </c>
    </row>
    <row r="1462" customFormat="false" ht="15" hidden="false" customHeight="false" outlineLevel="0" collapsed="false">
      <c r="A1462" s="106" t="s">
        <v>6085</v>
      </c>
      <c r="B1462" s="106" t="s">
        <v>4280</v>
      </c>
      <c r="C1462" s="106"/>
      <c r="D1462" s="106"/>
      <c r="E1462" s="107" t="n">
        <v>1</v>
      </c>
      <c r="F1462" s="106" t="n">
        <v>1</v>
      </c>
      <c r="G1462" s="118" t="n">
        <v>1</v>
      </c>
      <c r="H1462" s="116" t="n">
        <v>1.1</v>
      </c>
      <c r="I1462" s="106" t="n">
        <v>0</v>
      </c>
      <c r="J1462" s="117" t="n">
        <v>0</v>
      </c>
      <c r="K1462" s="108" t="n">
        <v>1.1</v>
      </c>
      <c r="L1462" s="108" t="n">
        <v>0</v>
      </c>
      <c r="M1462" s="117"/>
      <c r="N1462" s="106"/>
      <c r="O1462" s="106"/>
      <c r="P1462" s="106"/>
      <c r="Q1462" s="106"/>
      <c r="R1462" s="106" t="s">
        <v>4537</v>
      </c>
    </row>
    <row r="1463" customFormat="false" ht="15" hidden="false" customHeight="false" outlineLevel="0" collapsed="false">
      <c r="A1463" s="106" t="s">
        <v>6086</v>
      </c>
      <c r="B1463" s="106" t="s">
        <v>4280</v>
      </c>
      <c r="C1463" s="106"/>
      <c r="D1463" s="106"/>
      <c r="E1463" s="107" t="n">
        <v>2</v>
      </c>
      <c r="F1463" s="106" t="n">
        <v>1</v>
      </c>
      <c r="G1463" s="118" t="n">
        <v>0.5</v>
      </c>
      <c r="H1463" s="116" t="n">
        <v>1.1</v>
      </c>
      <c r="I1463" s="106" t="n">
        <v>0</v>
      </c>
      <c r="J1463" s="117" t="n">
        <v>0</v>
      </c>
      <c r="K1463" s="108" t="n">
        <v>1.1</v>
      </c>
      <c r="L1463" s="108" t="n">
        <v>0</v>
      </c>
      <c r="M1463" s="117"/>
      <c r="N1463" s="106"/>
      <c r="O1463" s="106"/>
      <c r="P1463" s="106"/>
      <c r="Q1463" s="106"/>
      <c r="R1463" s="106" t="s">
        <v>4537</v>
      </c>
    </row>
    <row r="1464" customFormat="false" ht="15" hidden="false" customHeight="false" outlineLevel="0" collapsed="false">
      <c r="A1464" s="106" t="s">
        <v>6087</v>
      </c>
      <c r="B1464" s="106" t="s">
        <v>4284</v>
      </c>
      <c r="C1464" s="106"/>
      <c r="D1464" s="106"/>
      <c r="E1464" s="107" t="n">
        <v>1</v>
      </c>
      <c r="F1464" s="106" t="n">
        <v>1</v>
      </c>
      <c r="G1464" s="118" t="n">
        <v>1</v>
      </c>
      <c r="H1464" s="116" t="n">
        <v>1.1</v>
      </c>
      <c r="I1464" s="106" t="n">
        <v>0</v>
      </c>
      <c r="J1464" s="117" t="n">
        <v>0</v>
      </c>
      <c r="K1464" s="108" t="n">
        <v>1.1</v>
      </c>
      <c r="L1464" s="108" t="n">
        <v>0</v>
      </c>
      <c r="M1464" s="117"/>
      <c r="N1464" s="106"/>
      <c r="O1464" s="106"/>
      <c r="P1464" s="106"/>
      <c r="Q1464" s="106"/>
      <c r="R1464" s="106" t="s">
        <v>4537</v>
      </c>
    </row>
    <row r="1465" customFormat="false" ht="15" hidden="false" customHeight="false" outlineLevel="0" collapsed="false">
      <c r="A1465" s="106" t="s">
        <v>6088</v>
      </c>
      <c r="B1465" s="106" t="s">
        <v>4284</v>
      </c>
      <c r="C1465" s="106"/>
      <c r="D1465" s="106"/>
      <c r="E1465" s="107" t="n">
        <v>1</v>
      </c>
      <c r="F1465" s="106" t="n">
        <v>1</v>
      </c>
      <c r="G1465" s="118" t="n">
        <v>1</v>
      </c>
      <c r="H1465" s="116" t="n">
        <v>1.1</v>
      </c>
      <c r="I1465" s="106" t="n">
        <v>0</v>
      </c>
      <c r="J1465" s="117" t="n">
        <v>0</v>
      </c>
      <c r="K1465" s="108" t="n">
        <v>1.1</v>
      </c>
      <c r="L1465" s="108" t="n">
        <v>0</v>
      </c>
      <c r="M1465" s="117"/>
      <c r="N1465" s="106"/>
      <c r="O1465" s="106"/>
      <c r="P1465" s="106"/>
      <c r="Q1465" s="106"/>
      <c r="R1465" s="106" t="s">
        <v>4537</v>
      </c>
    </row>
    <row r="1466" customFormat="false" ht="15" hidden="false" customHeight="false" outlineLevel="0" collapsed="false">
      <c r="A1466" s="106" t="s">
        <v>6089</v>
      </c>
      <c r="B1466" s="106" t="s">
        <v>4284</v>
      </c>
      <c r="C1466" s="106"/>
      <c r="D1466" s="106"/>
      <c r="E1466" s="107" t="n">
        <v>11</v>
      </c>
      <c r="F1466" s="106" t="n">
        <v>1</v>
      </c>
      <c r="G1466" s="118" t="n">
        <v>0.0909</v>
      </c>
      <c r="H1466" s="116" t="n">
        <v>1.1</v>
      </c>
      <c r="I1466" s="106" t="n">
        <v>0</v>
      </c>
      <c r="J1466" s="117" t="n">
        <v>0</v>
      </c>
      <c r="K1466" s="108" t="n">
        <v>1.1</v>
      </c>
      <c r="L1466" s="108" t="n">
        <v>0</v>
      </c>
      <c r="M1466" s="117"/>
      <c r="N1466" s="106"/>
      <c r="O1466" s="106"/>
      <c r="P1466" s="106"/>
      <c r="Q1466" s="106"/>
      <c r="R1466" s="106" t="s">
        <v>4537</v>
      </c>
    </row>
    <row r="1467" customFormat="false" ht="15" hidden="false" customHeight="false" outlineLevel="0" collapsed="false">
      <c r="A1467" s="106" t="s">
        <v>6090</v>
      </c>
      <c r="B1467" s="106" t="s">
        <v>4284</v>
      </c>
      <c r="C1467" s="106"/>
      <c r="D1467" s="106" t="n">
        <v>70</v>
      </c>
      <c r="E1467" s="107" t="n">
        <v>1</v>
      </c>
      <c r="F1467" s="106" t="n">
        <v>1</v>
      </c>
      <c r="G1467" s="118" t="n">
        <v>1</v>
      </c>
      <c r="H1467" s="116" t="n">
        <v>1.1</v>
      </c>
      <c r="I1467" s="106" t="n">
        <v>0</v>
      </c>
      <c r="J1467" s="117" t="n">
        <v>0</v>
      </c>
      <c r="K1467" s="108" t="n">
        <v>1.1</v>
      </c>
      <c r="L1467" s="108" t="n">
        <v>0</v>
      </c>
      <c r="M1467" s="117"/>
      <c r="N1467" s="106"/>
      <c r="O1467" s="106"/>
      <c r="P1467" s="106"/>
      <c r="Q1467" s="106"/>
      <c r="R1467" s="106" t="s">
        <v>4537</v>
      </c>
    </row>
    <row r="1468" customFormat="false" ht="15" hidden="false" customHeight="false" outlineLevel="0" collapsed="false">
      <c r="A1468" s="106" t="s">
        <v>6091</v>
      </c>
      <c r="B1468" s="106" t="s">
        <v>1403</v>
      </c>
      <c r="C1468" s="106"/>
      <c r="D1468" s="106"/>
      <c r="E1468" s="107" t="n">
        <v>1</v>
      </c>
      <c r="F1468" s="106" t="n">
        <v>1</v>
      </c>
      <c r="G1468" s="118" t="n">
        <v>1</v>
      </c>
      <c r="H1468" s="116" t="n">
        <v>1.1</v>
      </c>
      <c r="I1468" s="106" t="n">
        <v>0</v>
      </c>
      <c r="J1468" s="117" t="n">
        <v>0</v>
      </c>
      <c r="K1468" s="108" t="n">
        <v>1.1</v>
      </c>
      <c r="L1468" s="108" t="n">
        <v>0</v>
      </c>
      <c r="M1468" s="117"/>
      <c r="N1468" s="106"/>
      <c r="O1468" s="106"/>
      <c r="P1468" s="106"/>
      <c r="Q1468" s="106"/>
      <c r="R1468" s="106" t="s">
        <v>4537</v>
      </c>
    </row>
    <row r="1469" customFormat="false" ht="15" hidden="false" customHeight="false" outlineLevel="0" collapsed="false">
      <c r="A1469" s="106" t="s">
        <v>6092</v>
      </c>
      <c r="B1469" s="106" t="s">
        <v>4280</v>
      </c>
      <c r="C1469" s="106"/>
      <c r="D1469" s="106" t="n">
        <v>42</v>
      </c>
      <c r="E1469" s="107" t="n">
        <v>4</v>
      </c>
      <c r="F1469" s="106" t="n">
        <v>1</v>
      </c>
      <c r="G1469" s="118" t="n">
        <v>0.25</v>
      </c>
      <c r="H1469" s="116" t="n">
        <v>1.1</v>
      </c>
      <c r="I1469" s="106" t="n">
        <v>0</v>
      </c>
      <c r="J1469" s="117" t="n">
        <v>0</v>
      </c>
      <c r="K1469" s="108" t="n">
        <v>1.1</v>
      </c>
      <c r="L1469" s="108" t="n">
        <v>0</v>
      </c>
      <c r="M1469" s="117"/>
      <c r="N1469" s="106"/>
      <c r="O1469" s="106"/>
      <c r="P1469" s="106"/>
      <c r="Q1469" s="106"/>
      <c r="R1469" s="106" t="s">
        <v>4537</v>
      </c>
    </row>
    <row r="1470" customFormat="false" ht="15" hidden="false" customHeight="false" outlineLevel="0" collapsed="false">
      <c r="A1470" s="106" t="s">
        <v>6093</v>
      </c>
      <c r="B1470" s="106" t="s">
        <v>1403</v>
      </c>
      <c r="C1470" s="106"/>
      <c r="D1470" s="106" t="n">
        <v>1</v>
      </c>
      <c r="E1470" s="107" t="n">
        <v>1</v>
      </c>
      <c r="F1470" s="106" t="n">
        <v>1</v>
      </c>
      <c r="G1470" s="118" t="n">
        <v>1</v>
      </c>
      <c r="H1470" s="116" t="n">
        <v>1.1</v>
      </c>
      <c r="I1470" s="106" t="n">
        <v>0</v>
      </c>
      <c r="J1470" s="117" t="n">
        <v>0</v>
      </c>
      <c r="K1470" s="108" t="n">
        <v>1.1</v>
      </c>
      <c r="L1470" s="108" t="n">
        <v>0</v>
      </c>
      <c r="M1470" s="117"/>
      <c r="N1470" s="106"/>
      <c r="O1470" s="106"/>
      <c r="P1470" s="106"/>
      <c r="Q1470" s="106"/>
      <c r="R1470" s="106" t="s">
        <v>4537</v>
      </c>
    </row>
    <row r="1471" customFormat="false" ht="15" hidden="false" customHeight="false" outlineLevel="0" collapsed="false">
      <c r="A1471" s="106" t="s">
        <v>6094</v>
      </c>
      <c r="B1471" s="106" t="s">
        <v>1403</v>
      </c>
      <c r="C1471" s="106"/>
      <c r="D1471" s="106" t="n">
        <v>2</v>
      </c>
      <c r="E1471" s="107" t="n">
        <v>16</v>
      </c>
      <c r="F1471" s="106" t="n">
        <v>1</v>
      </c>
      <c r="G1471" s="118" t="n">
        <v>0.0625</v>
      </c>
      <c r="H1471" s="116" t="n">
        <v>1.1</v>
      </c>
      <c r="I1471" s="106" t="n">
        <v>0</v>
      </c>
      <c r="J1471" s="117" t="n">
        <v>0</v>
      </c>
      <c r="K1471" s="108" t="n">
        <v>1.1</v>
      </c>
      <c r="L1471" s="108" t="n">
        <v>0</v>
      </c>
      <c r="M1471" s="117"/>
      <c r="N1471" s="106"/>
      <c r="O1471" s="106"/>
      <c r="P1471" s="106"/>
      <c r="Q1471" s="106"/>
      <c r="R1471" s="106" t="s">
        <v>4537</v>
      </c>
    </row>
    <row r="1472" customFormat="false" ht="15" hidden="false" customHeight="false" outlineLevel="0" collapsed="false">
      <c r="A1472" s="106" t="s">
        <v>6095</v>
      </c>
      <c r="B1472" s="106" t="s">
        <v>1403</v>
      </c>
      <c r="C1472" s="106"/>
      <c r="D1472" s="106"/>
      <c r="E1472" s="107" t="n">
        <v>1</v>
      </c>
      <c r="F1472" s="106" t="n">
        <v>1</v>
      </c>
      <c r="G1472" s="118" t="n">
        <v>1</v>
      </c>
      <c r="H1472" s="116" t="n">
        <v>1.1</v>
      </c>
      <c r="I1472" s="106" t="n">
        <v>0</v>
      </c>
      <c r="J1472" s="117" t="n">
        <v>0</v>
      </c>
      <c r="K1472" s="108" t="n">
        <v>1.1</v>
      </c>
      <c r="L1472" s="108" t="n">
        <v>0</v>
      </c>
      <c r="M1472" s="117"/>
      <c r="N1472" s="106"/>
      <c r="O1472" s="106"/>
      <c r="P1472" s="106"/>
      <c r="Q1472" s="106"/>
      <c r="R1472" s="106" t="s">
        <v>4537</v>
      </c>
    </row>
    <row r="1473" customFormat="false" ht="15" hidden="false" customHeight="false" outlineLevel="0" collapsed="false">
      <c r="A1473" s="106" t="s">
        <v>6096</v>
      </c>
      <c r="B1473" s="106" t="s">
        <v>1403</v>
      </c>
      <c r="C1473" s="106"/>
      <c r="D1473" s="106"/>
      <c r="E1473" s="107" t="n">
        <v>1</v>
      </c>
      <c r="F1473" s="106" t="n">
        <v>1</v>
      </c>
      <c r="G1473" s="118" t="n">
        <v>1</v>
      </c>
      <c r="H1473" s="116" t="n">
        <v>1.1</v>
      </c>
      <c r="I1473" s="106" t="n">
        <v>0</v>
      </c>
      <c r="J1473" s="117" t="n">
        <v>0</v>
      </c>
      <c r="K1473" s="108" t="n">
        <v>1.1</v>
      </c>
      <c r="L1473" s="108" t="n">
        <v>0</v>
      </c>
      <c r="M1473" s="117"/>
      <c r="N1473" s="106"/>
      <c r="O1473" s="106"/>
      <c r="P1473" s="106"/>
      <c r="Q1473" s="106"/>
      <c r="R1473" s="106" t="s">
        <v>4537</v>
      </c>
    </row>
    <row r="1474" customFormat="false" ht="15" hidden="false" customHeight="false" outlineLevel="0" collapsed="false">
      <c r="A1474" s="106" t="s">
        <v>6097</v>
      </c>
      <c r="B1474" s="106" t="s">
        <v>4329</v>
      </c>
      <c r="C1474" s="106"/>
      <c r="D1474" s="106"/>
      <c r="E1474" s="107" t="n">
        <v>1</v>
      </c>
      <c r="F1474" s="106" t="n">
        <v>1</v>
      </c>
      <c r="G1474" s="118" t="n">
        <v>1</v>
      </c>
      <c r="H1474" s="116" t="n">
        <v>1.04</v>
      </c>
      <c r="I1474" s="106" t="n">
        <v>0</v>
      </c>
      <c r="J1474" s="117" t="n">
        <v>0</v>
      </c>
      <c r="K1474" s="108" t="n">
        <v>1.04</v>
      </c>
      <c r="L1474" s="108" t="n">
        <v>0</v>
      </c>
      <c r="M1474" s="117"/>
      <c r="N1474" s="106"/>
      <c r="O1474" s="106"/>
      <c r="P1474" s="106"/>
      <c r="Q1474" s="106"/>
      <c r="R1474" s="106" t="s">
        <v>4537</v>
      </c>
    </row>
    <row r="1475" customFormat="false" ht="15" hidden="false" customHeight="false" outlineLevel="0" collapsed="false">
      <c r="A1475" s="106" t="s">
        <v>6098</v>
      </c>
      <c r="B1475" s="106" t="s">
        <v>1403</v>
      </c>
      <c r="C1475" s="106"/>
      <c r="D1475" s="106"/>
      <c r="E1475" s="107" t="n">
        <v>6</v>
      </c>
      <c r="F1475" s="106" t="n">
        <v>1</v>
      </c>
      <c r="G1475" s="118" t="n">
        <v>0.1667</v>
      </c>
      <c r="H1475" s="116" t="n">
        <v>1.04</v>
      </c>
      <c r="I1475" s="106" t="n">
        <v>0</v>
      </c>
      <c r="J1475" s="117" t="n">
        <v>0</v>
      </c>
      <c r="K1475" s="108" t="n">
        <v>1.04</v>
      </c>
      <c r="L1475" s="108" t="n">
        <v>0</v>
      </c>
      <c r="M1475" s="117"/>
      <c r="N1475" s="106"/>
      <c r="O1475" s="106"/>
      <c r="P1475" s="106"/>
      <c r="Q1475" s="106"/>
      <c r="R1475" s="106" t="s">
        <v>4537</v>
      </c>
    </row>
    <row r="1476" customFormat="false" ht="15" hidden="false" customHeight="false" outlineLevel="0" collapsed="false">
      <c r="A1476" s="106" t="s">
        <v>6099</v>
      </c>
      <c r="B1476" s="106" t="s">
        <v>4284</v>
      </c>
      <c r="C1476" s="106"/>
      <c r="D1476" s="106"/>
      <c r="E1476" s="107" t="n">
        <v>3</v>
      </c>
      <c r="F1476" s="106" t="n">
        <v>1</v>
      </c>
      <c r="G1476" s="118" t="n">
        <v>0.3333</v>
      </c>
      <c r="H1476" s="116" t="n">
        <v>1.03</v>
      </c>
      <c r="I1476" s="106" t="n">
        <v>0</v>
      </c>
      <c r="J1476" s="117" t="n">
        <v>0</v>
      </c>
      <c r="K1476" s="108" t="n">
        <v>1.03</v>
      </c>
      <c r="L1476" s="108" t="n">
        <v>0</v>
      </c>
      <c r="M1476" s="117"/>
      <c r="N1476" s="106"/>
      <c r="O1476" s="106"/>
      <c r="P1476" s="106"/>
      <c r="Q1476" s="106"/>
      <c r="R1476" s="106" t="s">
        <v>4537</v>
      </c>
    </row>
    <row r="1477" customFormat="false" ht="15" hidden="false" customHeight="false" outlineLevel="0" collapsed="false">
      <c r="A1477" s="106" t="s">
        <v>6100</v>
      </c>
      <c r="B1477" s="106" t="s">
        <v>1403</v>
      </c>
      <c r="C1477" s="106"/>
      <c r="D1477" s="106" t="n">
        <v>2</v>
      </c>
      <c r="E1477" s="107" t="n">
        <v>2</v>
      </c>
      <c r="F1477" s="106" t="n">
        <v>1</v>
      </c>
      <c r="G1477" s="118" t="n">
        <v>0.5</v>
      </c>
      <c r="H1477" s="116" t="n">
        <v>1.03</v>
      </c>
      <c r="I1477" s="106" t="n">
        <v>1</v>
      </c>
      <c r="J1477" s="117" t="n">
        <v>1</v>
      </c>
      <c r="K1477" s="108" t="n">
        <v>1.03</v>
      </c>
      <c r="L1477" s="108" t="n">
        <v>49.99</v>
      </c>
      <c r="M1477" s="117" t="n">
        <v>0.021</v>
      </c>
      <c r="N1477" s="106"/>
      <c r="O1477" s="106"/>
      <c r="P1477" s="106"/>
      <c r="Q1477" s="106"/>
      <c r="R1477" s="106" t="s">
        <v>4285</v>
      </c>
    </row>
    <row r="1478" customFormat="false" ht="15" hidden="false" customHeight="false" outlineLevel="0" collapsed="false">
      <c r="A1478" s="106" t="s">
        <v>6101</v>
      </c>
      <c r="B1478" s="106" t="s">
        <v>4284</v>
      </c>
      <c r="C1478" s="106"/>
      <c r="D1478" s="106"/>
      <c r="E1478" s="107" t="n">
        <v>1</v>
      </c>
      <c r="F1478" s="106" t="n">
        <v>1</v>
      </c>
      <c r="G1478" s="118" t="n">
        <v>1</v>
      </c>
      <c r="H1478" s="116" t="n">
        <v>1.03</v>
      </c>
      <c r="I1478" s="106" t="n">
        <v>0</v>
      </c>
      <c r="J1478" s="117" t="n">
        <v>0</v>
      </c>
      <c r="K1478" s="108" t="n">
        <v>1.03</v>
      </c>
      <c r="L1478" s="108" t="n">
        <v>0</v>
      </c>
      <c r="M1478" s="117"/>
      <c r="N1478" s="106"/>
      <c r="O1478" s="106"/>
      <c r="P1478" s="106"/>
      <c r="Q1478" s="106"/>
      <c r="R1478" s="106" t="s">
        <v>4537</v>
      </c>
    </row>
    <row r="1479" customFormat="false" ht="15" hidden="false" customHeight="false" outlineLevel="0" collapsed="false">
      <c r="A1479" s="106" t="s">
        <v>6102</v>
      </c>
      <c r="B1479" s="106" t="s">
        <v>1403</v>
      </c>
      <c r="C1479" s="106"/>
      <c r="D1479" s="106" t="n">
        <v>1</v>
      </c>
      <c r="E1479" s="107" t="n">
        <v>9</v>
      </c>
      <c r="F1479" s="106" t="n">
        <v>1</v>
      </c>
      <c r="G1479" s="118" t="n">
        <v>0.1111</v>
      </c>
      <c r="H1479" s="116" t="n">
        <v>1.03</v>
      </c>
      <c r="I1479" s="106" t="n">
        <v>0</v>
      </c>
      <c r="J1479" s="117" t="n">
        <v>0</v>
      </c>
      <c r="K1479" s="108" t="n">
        <v>1.03</v>
      </c>
      <c r="L1479" s="108" t="n">
        <v>0</v>
      </c>
      <c r="M1479" s="117"/>
      <c r="N1479" s="106"/>
      <c r="O1479" s="106"/>
      <c r="P1479" s="106"/>
      <c r="Q1479" s="106"/>
      <c r="R1479" s="106" t="s">
        <v>4537</v>
      </c>
    </row>
    <row r="1480" customFormat="false" ht="15" hidden="false" customHeight="false" outlineLevel="0" collapsed="false">
      <c r="A1480" s="106" t="s">
        <v>6103</v>
      </c>
      <c r="B1480" s="106" t="s">
        <v>4284</v>
      </c>
      <c r="C1480" s="106"/>
      <c r="D1480" s="106"/>
      <c r="E1480" s="107" t="n">
        <v>3</v>
      </c>
      <c r="F1480" s="106" t="n">
        <v>1</v>
      </c>
      <c r="G1480" s="118" t="n">
        <v>0.3333</v>
      </c>
      <c r="H1480" s="116" t="n">
        <v>1.02</v>
      </c>
      <c r="I1480" s="106" t="n">
        <v>0</v>
      </c>
      <c r="J1480" s="117" t="n">
        <v>0</v>
      </c>
      <c r="K1480" s="108" t="n">
        <v>1.02</v>
      </c>
      <c r="L1480" s="108" t="n">
        <v>0</v>
      </c>
      <c r="M1480" s="117"/>
      <c r="N1480" s="106"/>
      <c r="O1480" s="106"/>
      <c r="P1480" s="106"/>
      <c r="Q1480" s="106"/>
      <c r="R1480" s="106" t="s">
        <v>4537</v>
      </c>
    </row>
    <row r="1481" customFormat="false" ht="15" hidden="false" customHeight="false" outlineLevel="0" collapsed="false">
      <c r="A1481" s="106" t="s">
        <v>6104</v>
      </c>
      <c r="B1481" s="106" t="s">
        <v>4329</v>
      </c>
      <c r="C1481" s="106"/>
      <c r="D1481" s="106" t="n">
        <v>18</v>
      </c>
      <c r="E1481" s="107" t="n">
        <v>2</v>
      </c>
      <c r="F1481" s="106" t="n">
        <v>1</v>
      </c>
      <c r="G1481" s="118" t="n">
        <v>0.5</v>
      </c>
      <c r="H1481" s="116" t="n">
        <v>1.02</v>
      </c>
      <c r="I1481" s="106" t="n">
        <v>0</v>
      </c>
      <c r="J1481" s="117" t="n">
        <v>0</v>
      </c>
      <c r="K1481" s="108" t="n">
        <v>1.02</v>
      </c>
      <c r="L1481" s="108" t="n">
        <v>0</v>
      </c>
      <c r="M1481" s="117"/>
      <c r="N1481" s="106"/>
      <c r="O1481" s="106"/>
      <c r="P1481" s="106"/>
      <c r="Q1481" s="106"/>
      <c r="R1481" s="106" t="s">
        <v>4537</v>
      </c>
    </row>
    <row r="1482" customFormat="false" ht="15" hidden="false" customHeight="false" outlineLevel="0" collapsed="false">
      <c r="A1482" s="106" t="s">
        <v>6105</v>
      </c>
      <c r="B1482" s="106" t="s">
        <v>1403</v>
      </c>
      <c r="C1482" s="106"/>
      <c r="D1482" s="106" t="n">
        <v>1</v>
      </c>
      <c r="E1482" s="107" t="n">
        <v>1</v>
      </c>
      <c r="F1482" s="106" t="n">
        <v>1</v>
      </c>
      <c r="G1482" s="118" t="n">
        <v>1</v>
      </c>
      <c r="H1482" s="116" t="n">
        <v>1.06</v>
      </c>
      <c r="I1482" s="106" t="n">
        <v>0</v>
      </c>
      <c r="J1482" s="117" t="n">
        <v>0</v>
      </c>
      <c r="K1482" s="108" t="n">
        <v>1.06</v>
      </c>
      <c r="L1482" s="108" t="n">
        <v>0</v>
      </c>
      <c r="M1482" s="117"/>
      <c r="N1482" s="106"/>
      <c r="O1482" s="106"/>
      <c r="P1482" s="106"/>
      <c r="Q1482" s="106"/>
      <c r="R1482" s="106" t="s">
        <v>4537</v>
      </c>
    </row>
    <row r="1483" customFormat="false" ht="15" hidden="false" customHeight="false" outlineLevel="0" collapsed="false">
      <c r="A1483" s="106" t="s">
        <v>6106</v>
      </c>
      <c r="B1483" s="106" t="s">
        <v>1403</v>
      </c>
      <c r="C1483" s="106"/>
      <c r="D1483" s="106" t="n">
        <v>1</v>
      </c>
      <c r="E1483" s="107" t="n">
        <v>2</v>
      </c>
      <c r="F1483" s="106" t="n">
        <v>1</v>
      </c>
      <c r="G1483" s="118" t="n">
        <v>0.5</v>
      </c>
      <c r="H1483" s="116" t="n">
        <v>1.06</v>
      </c>
      <c r="I1483" s="106" t="n">
        <v>0</v>
      </c>
      <c r="J1483" s="117" t="n">
        <v>0</v>
      </c>
      <c r="K1483" s="108" t="n">
        <v>1.06</v>
      </c>
      <c r="L1483" s="108" t="n">
        <v>0</v>
      </c>
      <c r="M1483" s="117"/>
      <c r="N1483" s="106"/>
      <c r="O1483" s="106"/>
      <c r="P1483" s="106"/>
      <c r="Q1483" s="106"/>
      <c r="R1483" s="106" t="s">
        <v>4537</v>
      </c>
    </row>
    <row r="1484" customFormat="false" ht="15" hidden="false" customHeight="false" outlineLevel="0" collapsed="false">
      <c r="A1484" s="106" t="s">
        <v>6107</v>
      </c>
      <c r="B1484" s="106" t="s">
        <v>4284</v>
      </c>
      <c r="C1484" s="106"/>
      <c r="D1484" s="106"/>
      <c r="E1484" s="107" t="n">
        <v>1</v>
      </c>
      <c r="F1484" s="106" t="n">
        <v>1</v>
      </c>
      <c r="G1484" s="118" t="n">
        <v>1</v>
      </c>
      <c r="H1484" s="116" t="n">
        <v>1.05</v>
      </c>
      <c r="I1484" s="106" t="n">
        <v>0</v>
      </c>
      <c r="J1484" s="117" t="n">
        <v>0</v>
      </c>
      <c r="K1484" s="108" t="n">
        <v>1.05</v>
      </c>
      <c r="L1484" s="108" t="n">
        <v>0</v>
      </c>
      <c r="M1484" s="117"/>
      <c r="N1484" s="106"/>
      <c r="O1484" s="106"/>
      <c r="P1484" s="106"/>
      <c r="Q1484" s="106"/>
      <c r="R1484" s="106" t="s">
        <v>4537</v>
      </c>
    </row>
    <row r="1485" customFormat="false" ht="15" hidden="false" customHeight="false" outlineLevel="0" collapsed="false">
      <c r="A1485" s="106" t="s">
        <v>6108</v>
      </c>
      <c r="B1485" s="106" t="s">
        <v>1403</v>
      </c>
      <c r="C1485" s="106"/>
      <c r="D1485" s="106"/>
      <c r="E1485" s="107" t="n">
        <v>11</v>
      </c>
      <c r="F1485" s="106" t="n">
        <v>1</v>
      </c>
      <c r="G1485" s="118" t="n">
        <v>0.0909</v>
      </c>
      <c r="H1485" s="116" t="n">
        <v>1.05</v>
      </c>
      <c r="I1485" s="106" t="n">
        <v>0</v>
      </c>
      <c r="J1485" s="117" t="n">
        <v>0</v>
      </c>
      <c r="K1485" s="108" t="n">
        <v>1.05</v>
      </c>
      <c r="L1485" s="108" t="n">
        <v>0</v>
      </c>
      <c r="M1485" s="117"/>
      <c r="N1485" s="106"/>
      <c r="O1485" s="106"/>
      <c r="P1485" s="106"/>
      <c r="Q1485" s="106"/>
      <c r="R1485" s="106" t="s">
        <v>4537</v>
      </c>
    </row>
    <row r="1486" customFormat="false" ht="15" hidden="false" customHeight="false" outlineLevel="0" collapsed="false">
      <c r="A1486" s="106" t="s">
        <v>6109</v>
      </c>
      <c r="B1486" s="106" t="s">
        <v>1403</v>
      </c>
      <c r="C1486" s="106"/>
      <c r="D1486" s="106"/>
      <c r="E1486" s="107" t="n">
        <v>8</v>
      </c>
      <c r="F1486" s="106" t="n">
        <v>1</v>
      </c>
      <c r="G1486" s="118" t="n">
        <v>0.125</v>
      </c>
      <c r="H1486" s="116" t="n">
        <v>1.05</v>
      </c>
      <c r="I1486" s="106" t="n">
        <v>2</v>
      </c>
      <c r="J1486" s="117" t="n">
        <v>2</v>
      </c>
      <c r="K1486" s="108" t="n">
        <v>1.05</v>
      </c>
      <c r="L1486" s="108" t="n">
        <v>39.98</v>
      </c>
      <c r="M1486" s="117" t="n">
        <v>0.026</v>
      </c>
      <c r="N1486" s="106"/>
      <c r="O1486" s="106"/>
      <c r="P1486" s="106"/>
      <c r="Q1486" s="106"/>
      <c r="R1486" s="106" t="s">
        <v>4285</v>
      </c>
    </row>
    <row r="1487" customFormat="false" ht="15" hidden="false" customHeight="false" outlineLevel="0" collapsed="false">
      <c r="A1487" s="106" t="s">
        <v>6110</v>
      </c>
      <c r="B1487" s="106" t="s">
        <v>1403</v>
      </c>
      <c r="C1487" s="106"/>
      <c r="D1487" s="106"/>
      <c r="E1487" s="107" t="n">
        <v>2</v>
      </c>
      <c r="F1487" s="106" t="n">
        <v>1</v>
      </c>
      <c r="G1487" s="118" t="n">
        <v>0.5</v>
      </c>
      <c r="H1487" s="116" t="n">
        <v>1.05</v>
      </c>
      <c r="I1487" s="106" t="n">
        <v>1</v>
      </c>
      <c r="J1487" s="117" t="n">
        <v>1</v>
      </c>
      <c r="K1487" s="108" t="n">
        <v>1.05</v>
      </c>
      <c r="L1487" s="108" t="n">
        <v>38.99</v>
      </c>
      <c r="M1487" s="117" t="n">
        <v>0.027</v>
      </c>
      <c r="N1487" s="106"/>
      <c r="O1487" s="106"/>
      <c r="P1487" s="106"/>
      <c r="Q1487" s="106"/>
      <c r="R1487" s="106" t="s">
        <v>4285</v>
      </c>
    </row>
    <row r="1488" customFormat="false" ht="15" hidden="false" customHeight="false" outlineLevel="0" collapsed="false">
      <c r="A1488" s="106" t="s">
        <v>6111</v>
      </c>
      <c r="B1488" s="106" t="s">
        <v>1403</v>
      </c>
      <c r="C1488" s="106"/>
      <c r="D1488" s="106" t="n">
        <v>3</v>
      </c>
      <c r="E1488" s="107" t="n">
        <v>6</v>
      </c>
      <c r="F1488" s="106" t="n">
        <v>1</v>
      </c>
      <c r="G1488" s="118" t="n">
        <v>0.1667</v>
      </c>
      <c r="H1488" s="116" t="n">
        <v>1.05</v>
      </c>
      <c r="I1488" s="106" t="n">
        <v>0</v>
      </c>
      <c r="J1488" s="117" t="n">
        <v>0</v>
      </c>
      <c r="K1488" s="108" t="n">
        <v>1.05</v>
      </c>
      <c r="L1488" s="108" t="n">
        <v>0</v>
      </c>
      <c r="M1488" s="117"/>
      <c r="N1488" s="106"/>
      <c r="O1488" s="106"/>
      <c r="P1488" s="106"/>
      <c r="Q1488" s="106"/>
      <c r="R1488" s="106" t="s">
        <v>4537</v>
      </c>
    </row>
    <row r="1489" customFormat="false" ht="15" hidden="false" customHeight="false" outlineLevel="0" collapsed="false">
      <c r="A1489" s="106" t="s">
        <v>6112</v>
      </c>
      <c r="B1489" s="106" t="s">
        <v>4284</v>
      </c>
      <c r="C1489" s="106"/>
      <c r="D1489" s="106"/>
      <c r="E1489" s="107" t="n">
        <v>18</v>
      </c>
      <c r="F1489" s="106" t="n">
        <v>1</v>
      </c>
      <c r="G1489" s="118" t="n">
        <v>0.0556</v>
      </c>
      <c r="H1489" s="116" t="n">
        <v>1.05</v>
      </c>
      <c r="I1489" s="106" t="n">
        <v>0</v>
      </c>
      <c r="J1489" s="117" t="n">
        <v>0</v>
      </c>
      <c r="K1489" s="108" t="n">
        <v>1.05</v>
      </c>
      <c r="L1489" s="108" t="n">
        <v>0</v>
      </c>
      <c r="M1489" s="117"/>
      <c r="N1489" s="106"/>
      <c r="O1489" s="106"/>
      <c r="P1489" s="106"/>
      <c r="Q1489" s="106"/>
      <c r="R1489" s="106" t="s">
        <v>4537</v>
      </c>
    </row>
    <row r="1490" customFormat="false" ht="15" hidden="false" customHeight="false" outlineLevel="0" collapsed="false">
      <c r="A1490" s="106" t="s">
        <v>6113</v>
      </c>
      <c r="B1490" s="106" t="s">
        <v>4280</v>
      </c>
      <c r="C1490" s="106"/>
      <c r="D1490" s="106" t="n">
        <v>49</v>
      </c>
      <c r="E1490" s="107" t="n">
        <v>2</v>
      </c>
      <c r="F1490" s="106" t="n">
        <v>1</v>
      </c>
      <c r="G1490" s="118" t="n">
        <v>0.5</v>
      </c>
      <c r="H1490" s="116" t="n">
        <v>1.1</v>
      </c>
      <c r="I1490" s="106" t="n">
        <v>0</v>
      </c>
      <c r="J1490" s="117" t="n">
        <v>0</v>
      </c>
      <c r="K1490" s="108" t="n">
        <v>1.1</v>
      </c>
      <c r="L1490" s="108" t="n">
        <v>0</v>
      </c>
      <c r="M1490" s="117"/>
      <c r="N1490" s="106"/>
      <c r="O1490" s="106"/>
      <c r="P1490" s="106"/>
      <c r="Q1490" s="106"/>
      <c r="R1490" s="106" t="s">
        <v>4537</v>
      </c>
    </row>
    <row r="1491" customFormat="false" ht="15" hidden="false" customHeight="false" outlineLevel="0" collapsed="false">
      <c r="A1491" s="106" t="s">
        <v>6114</v>
      </c>
      <c r="B1491" s="106" t="s">
        <v>4280</v>
      </c>
      <c r="C1491" s="106"/>
      <c r="D1491" s="106"/>
      <c r="E1491" s="107" t="n">
        <v>2</v>
      </c>
      <c r="F1491" s="106" t="n">
        <v>1</v>
      </c>
      <c r="G1491" s="118" t="n">
        <v>0.5</v>
      </c>
      <c r="H1491" s="116" t="n">
        <v>1.1</v>
      </c>
      <c r="I1491" s="106" t="n">
        <v>0</v>
      </c>
      <c r="J1491" s="117" t="n">
        <v>0</v>
      </c>
      <c r="K1491" s="108" t="n">
        <v>1.1</v>
      </c>
      <c r="L1491" s="108" t="n">
        <v>0</v>
      </c>
      <c r="M1491" s="117"/>
      <c r="N1491" s="106"/>
      <c r="O1491" s="106"/>
      <c r="P1491" s="106"/>
      <c r="Q1491" s="106"/>
      <c r="R1491" s="106" t="s">
        <v>4537</v>
      </c>
    </row>
    <row r="1492" customFormat="false" ht="15" hidden="false" customHeight="false" outlineLevel="0" collapsed="false">
      <c r="A1492" s="106" t="s">
        <v>6115</v>
      </c>
      <c r="B1492" s="106" t="s">
        <v>1403</v>
      </c>
      <c r="C1492" s="106"/>
      <c r="D1492" s="106"/>
      <c r="E1492" s="107" t="n">
        <v>5</v>
      </c>
      <c r="F1492" s="106" t="n">
        <v>1</v>
      </c>
      <c r="G1492" s="118" t="n">
        <v>0.2</v>
      </c>
      <c r="H1492" s="116" t="n">
        <v>1.1</v>
      </c>
      <c r="I1492" s="106" t="n">
        <v>0</v>
      </c>
      <c r="J1492" s="117" t="n">
        <v>0</v>
      </c>
      <c r="K1492" s="108" t="n">
        <v>1.1</v>
      </c>
      <c r="L1492" s="108" t="n">
        <v>0</v>
      </c>
      <c r="M1492" s="117"/>
      <c r="N1492" s="106"/>
      <c r="O1492" s="106"/>
      <c r="P1492" s="106"/>
      <c r="Q1492" s="106"/>
      <c r="R1492" s="106" t="s">
        <v>4537</v>
      </c>
    </row>
    <row r="1493" customFormat="false" ht="15" hidden="false" customHeight="false" outlineLevel="0" collapsed="false">
      <c r="A1493" s="106" t="s">
        <v>6116</v>
      </c>
      <c r="B1493" s="106" t="s">
        <v>1403</v>
      </c>
      <c r="C1493" s="106"/>
      <c r="D1493" s="106" t="n">
        <v>3</v>
      </c>
      <c r="E1493" s="107" t="n">
        <v>5</v>
      </c>
      <c r="F1493" s="106" t="n">
        <v>1</v>
      </c>
      <c r="G1493" s="118" t="n">
        <v>0.2</v>
      </c>
      <c r="H1493" s="116" t="n">
        <v>1.08</v>
      </c>
      <c r="I1493" s="106" t="n">
        <v>0</v>
      </c>
      <c r="J1493" s="117" t="n">
        <v>0</v>
      </c>
      <c r="K1493" s="108" t="n">
        <v>1.08</v>
      </c>
      <c r="L1493" s="108" t="n">
        <v>0</v>
      </c>
      <c r="M1493" s="117"/>
      <c r="N1493" s="106"/>
      <c r="O1493" s="106"/>
      <c r="P1493" s="106"/>
      <c r="Q1493" s="106"/>
      <c r="R1493" s="106" t="s">
        <v>4537</v>
      </c>
    </row>
    <row r="1494" customFormat="false" ht="15" hidden="false" customHeight="false" outlineLevel="0" collapsed="false">
      <c r="A1494" s="106" t="s">
        <v>6117</v>
      </c>
      <c r="B1494" s="106" t="s">
        <v>4280</v>
      </c>
      <c r="C1494" s="106"/>
      <c r="D1494" s="106"/>
      <c r="E1494" s="107" t="n">
        <v>4</v>
      </c>
      <c r="F1494" s="106" t="n">
        <v>1</v>
      </c>
      <c r="G1494" s="118" t="n">
        <v>0.25</v>
      </c>
      <c r="H1494" s="116" t="n">
        <v>1.07</v>
      </c>
      <c r="I1494" s="106" t="n">
        <v>0</v>
      </c>
      <c r="J1494" s="117" t="n">
        <v>0</v>
      </c>
      <c r="K1494" s="108" t="n">
        <v>1.07</v>
      </c>
      <c r="L1494" s="108" t="n">
        <v>0</v>
      </c>
      <c r="M1494" s="117"/>
      <c r="N1494" s="106"/>
      <c r="O1494" s="106"/>
      <c r="P1494" s="106"/>
      <c r="Q1494" s="106"/>
      <c r="R1494" s="106" t="s">
        <v>4537</v>
      </c>
    </row>
    <row r="1495" customFormat="false" ht="15" hidden="false" customHeight="false" outlineLevel="0" collapsed="false">
      <c r="A1495" s="106" t="s">
        <v>6118</v>
      </c>
      <c r="B1495" s="106" t="s">
        <v>4329</v>
      </c>
      <c r="C1495" s="106"/>
      <c r="D1495" s="106"/>
      <c r="E1495" s="107" t="n">
        <v>1</v>
      </c>
      <c r="F1495" s="106" t="n">
        <v>1</v>
      </c>
      <c r="G1495" s="118" t="n">
        <v>1</v>
      </c>
      <c r="H1495" s="116" t="n">
        <v>1.07</v>
      </c>
      <c r="I1495" s="106" t="n">
        <v>0</v>
      </c>
      <c r="J1495" s="117" t="n">
        <v>0</v>
      </c>
      <c r="K1495" s="108" t="n">
        <v>1.07</v>
      </c>
      <c r="L1495" s="108" t="n">
        <v>0</v>
      </c>
      <c r="M1495" s="117"/>
      <c r="N1495" s="106"/>
      <c r="O1495" s="106"/>
      <c r="P1495" s="106"/>
      <c r="Q1495" s="106"/>
      <c r="R1495" s="106" t="s">
        <v>4537</v>
      </c>
    </row>
    <row r="1496" customFormat="false" ht="15" hidden="false" customHeight="false" outlineLevel="0" collapsed="false">
      <c r="A1496" s="106" t="s">
        <v>6119</v>
      </c>
      <c r="B1496" s="106" t="s">
        <v>1403</v>
      </c>
      <c r="C1496" s="106"/>
      <c r="D1496" s="106"/>
      <c r="E1496" s="107" t="n">
        <v>7</v>
      </c>
      <c r="F1496" s="106" t="n">
        <v>1</v>
      </c>
      <c r="G1496" s="118" t="n">
        <v>0.1429</v>
      </c>
      <c r="H1496" s="116" t="n">
        <v>1.07</v>
      </c>
      <c r="I1496" s="106" t="n">
        <v>1</v>
      </c>
      <c r="J1496" s="117" t="n">
        <v>1</v>
      </c>
      <c r="K1496" s="108" t="n">
        <v>1.07</v>
      </c>
      <c r="L1496" s="108" t="n">
        <v>19.99</v>
      </c>
      <c r="M1496" s="117" t="n">
        <v>0.054</v>
      </c>
      <c r="N1496" s="106"/>
      <c r="O1496" s="106"/>
      <c r="P1496" s="106"/>
      <c r="Q1496" s="106"/>
      <c r="R1496" s="106" t="s">
        <v>4285</v>
      </c>
    </row>
    <row r="1497" customFormat="false" ht="15" hidden="false" customHeight="false" outlineLevel="0" collapsed="false">
      <c r="A1497" s="106" t="s">
        <v>6120</v>
      </c>
      <c r="B1497" s="106" t="s">
        <v>4280</v>
      </c>
      <c r="C1497" s="106" t="s">
        <v>4364</v>
      </c>
      <c r="D1497" s="106" t="n">
        <v>501</v>
      </c>
      <c r="E1497" s="107" t="n">
        <v>1</v>
      </c>
      <c r="F1497" s="106" t="n">
        <v>1</v>
      </c>
      <c r="G1497" s="118" t="n">
        <v>1</v>
      </c>
      <c r="H1497" s="116" t="n">
        <v>1.06</v>
      </c>
      <c r="I1497" s="106" t="n">
        <v>0</v>
      </c>
      <c r="J1497" s="117" t="n">
        <v>0</v>
      </c>
      <c r="K1497" s="108" t="n">
        <v>1.06</v>
      </c>
      <c r="L1497" s="108" t="n">
        <v>0</v>
      </c>
      <c r="M1497" s="117"/>
      <c r="N1497" s="106" t="n">
        <v>27</v>
      </c>
      <c r="O1497" s="106"/>
      <c r="P1497" s="106"/>
      <c r="Q1497" s="106"/>
      <c r="R1497" s="106" t="s">
        <v>4537</v>
      </c>
    </row>
    <row r="1498" customFormat="false" ht="15" hidden="false" customHeight="false" outlineLevel="0" collapsed="false">
      <c r="A1498" s="106" t="s">
        <v>6121</v>
      </c>
      <c r="B1498" s="106" t="s">
        <v>4280</v>
      </c>
      <c r="C1498" s="106"/>
      <c r="D1498" s="106"/>
      <c r="E1498" s="107" t="n">
        <v>1</v>
      </c>
      <c r="F1498" s="106" t="n">
        <v>1</v>
      </c>
      <c r="G1498" s="118" t="n">
        <v>1</v>
      </c>
      <c r="H1498" s="116" t="n">
        <v>1.1</v>
      </c>
      <c r="I1498" s="106" t="n">
        <v>0</v>
      </c>
      <c r="J1498" s="117" t="n">
        <v>0</v>
      </c>
      <c r="K1498" s="108" t="n">
        <v>1.1</v>
      </c>
      <c r="L1498" s="108" t="n">
        <v>0</v>
      </c>
      <c r="M1498" s="117"/>
      <c r="N1498" s="106"/>
      <c r="O1498" s="106"/>
      <c r="P1498" s="106"/>
      <c r="Q1498" s="106"/>
      <c r="R1498" s="106" t="s">
        <v>4537</v>
      </c>
    </row>
    <row r="1499" customFormat="false" ht="15" hidden="false" customHeight="false" outlineLevel="0" collapsed="false">
      <c r="A1499" s="106" t="s">
        <v>6122</v>
      </c>
      <c r="B1499" s="106" t="s">
        <v>4284</v>
      </c>
      <c r="C1499" s="106"/>
      <c r="D1499" s="106"/>
      <c r="E1499" s="107" t="n">
        <v>2</v>
      </c>
      <c r="F1499" s="106" t="n">
        <v>1</v>
      </c>
      <c r="G1499" s="118" t="n">
        <v>0.5</v>
      </c>
      <c r="H1499" s="116" t="n">
        <v>1.1</v>
      </c>
      <c r="I1499" s="106" t="n">
        <v>0</v>
      </c>
      <c r="J1499" s="117" t="n">
        <v>0</v>
      </c>
      <c r="K1499" s="108" t="n">
        <v>1.1</v>
      </c>
      <c r="L1499" s="108" t="n">
        <v>0</v>
      </c>
      <c r="M1499" s="117"/>
      <c r="N1499" s="106"/>
      <c r="O1499" s="106"/>
      <c r="P1499" s="106"/>
      <c r="Q1499" s="106"/>
      <c r="R1499" s="106" t="s">
        <v>4537</v>
      </c>
    </row>
    <row r="1500" customFormat="false" ht="15" hidden="false" customHeight="false" outlineLevel="0" collapsed="false">
      <c r="A1500" s="106" t="s">
        <v>6123</v>
      </c>
      <c r="B1500" s="106" t="s">
        <v>4284</v>
      </c>
      <c r="C1500" s="106"/>
      <c r="D1500" s="106"/>
      <c r="E1500" s="107" t="n">
        <v>2</v>
      </c>
      <c r="F1500" s="106" t="n">
        <v>1</v>
      </c>
      <c r="G1500" s="118" t="n">
        <v>0.5</v>
      </c>
      <c r="H1500" s="116" t="n">
        <v>1.1</v>
      </c>
      <c r="I1500" s="106" t="n">
        <v>0</v>
      </c>
      <c r="J1500" s="117" t="n">
        <v>0</v>
      </c>
      <c r="K1500" s="108" t="n">
        <v>1.1</v>
      </c>
      <c r="L1500" s="108" t="n">
        <v>0</v>
      </c>
      <c r="M1500" s="117"/>
      <c r="N1500" s="106"/>
      <c r="O1500" s="106"/>
      <c r="P1500" s="106"/>
      <c r="Q1500" s="106"/>
      <c r="R1500" s="106" t="s">
        <v>4537</v>
      </c>
    </row>
    <row r="1501" customFormat="false" ht="15" hidden="false" customHeight="false" outlineLevel="0" collapsed="false">
      <c r="A1501" s="106" t="s">
        <v>6124</v>
      </c>
      <c r="B1501" s="106" t="s">
        <v>4284</v>
      </c>
      <c r="C1501" s="106"/>
      <c r="D1501" s="106"/>
      <c r="E1501" s="107" t="n">
        <v>1</v>
      </c>
      <c r="F1501" s="106" t="n">
        <v>1</v>
      </c>
      <c r="G1501" s="118" t="n">
        <v>1</v>
      </c>
      <c r="H1501" s="116" t="n">
        <v>1.1</v>
      </c>
      <c r="I1501" s="106" t="n">
        <v>0</v>
      </c>
      <c r="J1501" s="117" t="n">
        <v>0</v>
      </c>
      <c r="K1501" s="108" t="n">
        <v>1.1</v>
      </c>
      <c r="L1501" s="108" t="n">
        <v>0</v>
      </c>
      <c r="M1501" s="117"/>
      <c r="N1501" s="106"/>
      <c r="O1501" s="106"/>
      <c r="P1501" s="106"/>
      <c r="Q1501" s="106"/>
      <c r="R1501" s="106" t="s">
        <v>4537</v>
      </c>
    </row>
    <row r="1502" customFormat="false" ht="15" hidden="false" customHeight="false" outlineLevel="0" collapsed="false">
      <c r="A1502" s="106" t="s">
        <v>6125</v>
      </c>
      <c r="B1502" s="106" t="s">
        <v>4284</v>
      </c>
      <c r="C1502" s="106"/>
      <c r="D1502" s="106"/>
      <c r="E1502" s="107" t="n">
        <v>1</v>
      </c>
      <c r="F1502" s="106" t="n">
        <v>1</v>
      </c>
      <c r="G1502" s="118" t="n">
        <v>1</v>
      </c>
      <c r="H1502" s="116" t="n">
        <v>1.1</v>
      </c>
      <c r="I1502" s="106" t="n">
        <v>0</v>
      </c>
      <c r="J1502" s="117" t="n">
        <v>0</v>
      </c>
      <c r="K1502" s="108" t="n">
        <v>1.1</v>
      </c>
      <c r="L1502" s="108" t="n">
        <v>0</v>
      </c>
      <c r="M1502" s="117"/>
      <c r="N1502" s="106"/>
      <c r="O1502" s="106"/>
      <c r="P1502" s="106"/>
      <c r="Q1502" s="106"/>
      <c r="R1502" s="106" t="s">
        <v>4537</v>
      </c>
    </row>
    <row r="1503" customFormat="false" ht="15" hidden="false" customHeight="false" outlineLevel="0" collapsed="false">
      <c r="A1503" s="106" t="s">
        <v>6126</v>
      </c>
      <c r="B1503" s="106" t="s">
        <v>4284</v>
      </c>
      <c r="C1503" s="106"/>
      <c r="D1503" s="106"/>
      <c r="E1503" s="107" t="n">
        <v>1</v>
      </c>
      <c r="F1503" s="106" t="n">
        <v>1</v>
      </c>
      <c r="G1503" s="118" t="n">
        <v>1</v>
      </c>
      <c r="H1503" s="116" t="n">
        <v>1.1</v>
      </c>
      <c r="I1503" s="106" t="n">
        <v>0</v>
      </c>
      <c r="J1503" s="117" t="n">
        <v>0</v>
      </c>
      <c r="K1503" s="108" t="n">
        <v>1.1</v>
      </c>
      <c r="L1503" s="108" t="n">
        <v>0</v>
      </c>
      <c r="M1503" s="117"/>
      <c r="N1503" s="106"/>
      <c r="O1503" s="106"/>
      <c r="P1503" s="106"/>
      <c r="Q1503" s="106"/>
      <c r="R1503" s="106" t="s">
        <v>4537</v>
      </c>
    </row>
    <row r="1504" customFormat="false" ht="15" hidden="false" customHeight="false" outlineLevel="0" collapsed="false">
      <c r="A1504" s="106" t="s">
        <v>6127</v>
      </c>
      <c r="B1504" s="106" t="s">
        <v>4280</v>
      </c>
      <c r="C1504" s="106"/>
      <c r="D1504" s="106"/>
      <c r="E1504" s="107" t="n">
        <v>1</v>
      </c>
      <c r="F1504" s="106" t="n">
        <v>1</v>
      </c>
      <c r="G1504" s="118" t="n">
        <v>1</v>
      </c>
      <c r="H1504" s="116" t="n">
        <v>1.1</v>
      </c>
      <c r="I1504" s="106" t="n">
        <v>0</v>
      </c>
      <c r="J1504" s="117" t="n">
        <v>0</v>
      </c>
      <c r="K1504" s="108" t="n">
        <v>1.1</v>
      </c>
      <c r="L1504" s="108" t="n">
        <v>0</v>
      </c>
      <c r="M1504" s="117"/>
      <c r="N1504" s="106"/>
      <c r="O1504" s="106"/>
      <c r="P1504" s="106"/>
      <c r="Q1504" s="106"/>
      <c r="R1504" s="106" t="s">
        <v>4537</v>
      </c>
    </row>
    <row r="1505" customFormat="false" ht="15" hidden="false" customHeight="false" outlineLevel="0" collapsed="false">
      <c r="A1505" s="106" t="s">
        <v>6128</v>
      </c>
      <c r="B1505" s="106" t="s">
        <v>4280</v>
      </c>
      <c r="C1505" s="106"/>
      <c r="D1505" s="106"/>
      <c r="E1505" s="107" t="n">
        <v>1</v>
      </c>
      <c r="F1505" s="106" t="n">
        <v>1</v>
      </c>
      <c r="G1505" s="118" t="n">
        <v>1</v>
      </c>
      <c r="H1505" s="116" t="n">
        <v>1.1</v>
      </c>
      <c r="I1505" s="106" t="n">
        <v>0</v>
      </c>
      <c r="J1505" s="117" t="n">
        <v>0</v>
      </c>
      <c r="K1505" s="108" t="n">
        <v>1.1</v>
      </c>
      <c r="L1505" s="108" t="n">
        <v>0</v>
      </c>
      <c r="M1505" s="117"/>
      <c r="N1505" s="106"/>
      <c r="O1505" s="106"/>
      <c r="P1505" s="106"/>
      <c r="Q1505" s="106"/>
      <c r="R1505" s="106" t="s">
        <v>4537</v>
      </c>
    </row>
    <row r="1506" customFormat="false" ht="15" hidden="false" customHeight="false" outlineLevel="0" collapsed="false">
      <c r="A1506" s="106" t="s">
        <v>6129</v>
      </c>
      <c r="B1506" s="106" t="s">
        <v>4280</v>
      </c>
      <c r="C1506" s="106"/>
      <c r="D1506" s="106"/>
      <c r="E1506" s="107" t="n">
        <v>3</v>
      </c>
      <c r="F1506" s="106" t="n">
        <v>1</v>
      </c>
      <c r="G1506" s="118" t="n">
        <v>0.3333</v>
      </c>
      <c r="H1506" s="116" t="n">
        <v>0.92</v>
      </c>
      <c r="I1506" s="106" t="n">
        <v>0</v>
      </c>
      <c r="J1506" s="117" t="n">
        <v>0</v>
      </c>
      <c r="K1506" s="108" t="n">
        <v>0.92</v>
      </c>
      <c r="L1506" s="108" t="n">
        <v>0</v>
      </c>
      <c r="M1506" s="117"/>
      <c r="N1506" s="106"/>
      <c r="O1506" s="106"/>
      <c r="P1506" s="106"/>
      <c r="Q1506" s="106"/>
      <c r="R1506" s="106" t="s">
        <v>4537</v>
      </c>
    </row>
    <row r="1507" customFormat="false" ht="15" hidden="false" customHeight="false" outlineLevel="0" collapsed="false">
      <c r="A1507" s="106" t="s">
        <v>6130</v>
      </c>
      <c r="B1507" s="106" t="s">
        <v>4284</v>
      </c>
      <c r="C1507" s="106"/>
      <c r="D1507" s="106"/>
      <c r="E1507" s="107" t="n">
        <v>1</v>
      </c>
      <c r="F1507" s="106" t="n">
        <v>1</v>
      </c>
      <c r="G1507" s="118" t="n">
        <v>1</v>
      </c>
      <c r="H1507" s="116" t="n">
        <v>0.92</v>
      </c>
      <c r="I1507" s="106" t="n">
        <v>0</v>
      </c>
      <c r="J1507" s="117" t="n">
        <v>0</v>
      </c>
      <c r="K1507" s="108" t="n">
        <v>0.92</v>
      </c>
      <c r="L1507" s="108" t="n">
        <v>0</v>
      </c>
      <c r="M1507" s="117"/>
      <c r="N1507" s="106"/>
      <c r="O1507" s="106"/>
      <c r="P1507" s="106"/>
      <c r="Q1507" s="106"/>
      <c r="R1507" s="106" t="s">
        <v>4537</v>
      </c>
    </row>
    <row r="1508" customFormat="false" ht="15" hidden="false" customHeight="false" outlineLevel="0" collapsed="false">
      <c r="A1508" s="106" t="s">
        <v>6131</v>
      </c>
      <c r="B1508" s="106" t="s">
        <v>4280</v>
      </c>
      <c r="C1508" s="106"/>
      <c r="D1508" s="106"/>
      <c r="E1508" s="107" t="n">
        <v>2</v>
      </c>
      <c r="F1508" s="106" t="n">
        <v>1</v>
      </c>
      <c r="G1508" s="118" t="n">
        <v>0.5</v>
      </c>
      <c r="H1508" s="116" t="n">
        <v>0.91</v>
      </c>
      <c r="I1508" s="106" t="n">
        <v>0</v>
      </c>
      <c r="J1508" s="117" t="n">
        <v>0</v>
      </c>
      <c r="K1508" s="108" t="n">
        <v>0.91</v>
      </c>
      <c r="L1508" s="108" t="n">
        <v>0</v>
      </c>
      <c r="M1508" s="117"/>
      <c r="N1508" s="106"/>
      <c r="O1508" s="106"/>
      <c r="P1508" s="106"/>
      <c r="Q1508" s="106"/>
      <c r="R1508" s="106" t="s">
        <v>4537</v>
      </c>
    </row>
    <row r="1509" customFormat="false" ht="15" hidden="false" customHeight="false" outlineLevel="0" collapsed="false">
      <c r="A1509" s="106" t="s">
        <v>6132</v>
      </c>
      <c r="B1509" s="106" t="s">
        <v>4280</v>
      </c>
      <c r="C1509" s="106"/>
      <c r="D1509" s="106" t="n">
        <v>6</v>
      </c>
      <c r="E1509" s="107" t="n">
        <v>2</v>
      </c>
      <c r="F1509" s="106" t="n">
        <v>1</v>
      </c>
      <c r="G1509" s="118" t="n">
        <v>0.5</v>
      </c>
      <c r="H1509" s="116" t="n">
        <v>0.91</v>
      </c>
      <c r="I1509" s="106" t="n">
        <v>0</v>
      </c>
      <c r="J1509" s="117" t="n">
        <v>0</v>
      </c>
      <c r="K1509" s="108" t="n">
        <v>0.91</v>
      </c>
      <c r="L1509" s="108" t="n">
        <v>0</v>
      </c>
      <c r="M1509" s="117"/>
      <c r="N1509" s="106"/>
      <c r="O1509" s="106"/>
      <c r="P1509" s="106"/>
      <c r="Q1509" s="106"/>
      <c r="R1509" s="106" t="s">
        <v>4537</v>
      </c>
    </row>
    <row r="1510" customFormat="false" ht="15" hidden="false" customHeight="false" outlineLevel="0" collapsed="false">
      <c r="A1510" s="106" t="s">
        <v>6133</v>
      </c>
      <c r="B1510" s="106" t="s">
        <v>4280</v>
      </c>
      <c r="C1510" s="106"/>
      <c r="D1510" s="106"/>
      <c r="E1510" s="107" t="n">
        <v>1</v>
      </c>
      <c r="F1510" s="106" t="n">
        <v>1</v>
      </c>
      <c r="G1510" s="118" t="n">
        <v>1</v>
      </c>
      <c r="H1510" s="116" t="n">
        <v>0.91</v>
      </c>
      <c r="I1510" s="106" t="n">
        <v>0</v>
      </c>
      <c r="J1510" s="117" t="n">
        <v>0</v>
      </c>
      <c r="K1510" s="108" t="n">
        <v>0.91</v>
      </c>
      <c r="L1510" s="108" t="n">
        <v>0</v>
      </c>
      <c r="M1510" s="117"/>
      <c r="N1510" s="106"/>
      <c r="O1510" s="106"/>
      <c r="P1510" s="106"/>
      <c r="Q1510" s="106"/>
      <c r="R1510" s="106" t="s">
        <v>4537</v>
      </c>
    </row>
    <row r="1511" customFormat="false" ht="15" hidden="false" customHeight="false" outlineLevel="0" collapsed="false">
      <c r="A1511" s="106" t="s">
        <v>6134</v>
      </c>
      <c r="B1511" s="106" t="s">
        <v>4280</v>
      </c>
      <c r="C1511" s="106"/>
      <c r="D1511" s="106" t="n">
        <v>1</v>
      </c>
      <c r="E1511" s="107" t="n">
        <v>2</v>
      </c>
      <c r="F1511" s="106" t="n">
        <v>1</v>
      </c>
      <c r="G1511" s="118" t="n">
        <v>0.5</v>
      </c>
      <c r="H1511" s="116" t="n">
        <v>0.9</v>
      </c>
      <c r="I1511" s="106" t="n">
        <v>0</v>
      </c>
      <c r="J1511" s="117" t="n">
        <v>0</v>
      </c>
      <c r="K1511" s="108" t="n">
        <v>0.9</v>
      </c>
      <c r="L1511" s="108" t="n">
        <v>0</v>
      </c>
      <c r="M1511" s="117"/>
      <c r="N1511" s="106"/>
      <c r="O1511" s="106"/>
      <c r="P1511" s="106"/>
      <c r="Q1511" s="106"/>
      <c r="R1511" s="106" t="s">
        <v>4537</v>
      </c>
    </row>
    <row r="1512" customFormat="false" ht="15" hidden="false" customHeight="false" outlineLevel="0" collapsed="false">
      <c r="A1512" s="106" t="s">
        <v>6135</v>
      </c>
      <c r="B1512" s="106" t="s">
        <v>4280</v>
      </c>
      <c r="C1512" s="106"/>
      <c r="D1512" s="106"/>
      <c r="E1512" s="107" t="n">
        <v>1</v>
      </c>
      <c r="F1512" s="106" t="n">
        <v>1</v>
      </c>
      <c r="G1512" s="118" t="n">
        <v>1</v>
      </c>
      <c r="H1512" s="116" t="n">
        <v>0.9</v>
      </c>
      <c r="I1512" s="106" t="n">
        <v>0</v>
      </c>
      <c r="J1512" s="117" t="n">
        <v>0</v>
      </c>
      <c r="K1512" s="108" t="n">
        <v>0.9</v>
      </c>
      <c r="L1512" s="108" t="n">
        <v>0</v>
      </c>
      <c r="M1512" s="117"/>
      <c r="N1512" s="106"/>
      <c r="O1512" s="106"/>
      <c r="P1512" s="106"/>
      <c r="Q1512" s="106"/>
      <c r="R1512" s="106" t="s">
        <v>4537</v>
      </c>
    </row>
    <row r="1513" customFormat="false" ht="15" hidden="false" customHeight="false" outlineLevel="0" collapsed="false">
      <c r="A1513" s="106" t="s">
        <v>6136</v>
      </c>
      <c r="B1513" s="106" t="s">
        <v>4280</v>
      </c>
      <c r="C1513" s="106"/>
      <c r="D1513" s="106" t="n">
        <v>4</v>
      </c>
      <c r="E1513" s="107" t="n">
        <v>2</v>
      </c>
      <c r="F1513" s="106" t="n">
        <v>1</v>
      </c>
      <c r="G1513" s="118" t="n">
        <v>0.5</v>
      </c>
      <c r="H1513" s="116" t="n">
        <v>0.9</v>
      </c>
      <c r="I1513" s="106" t="n">
        <v>0</v>
      </c>
      <c r="J1513" s="117" t="n">
        <v>0</v>
      </c>
      <c r="K1513" s="108" t="n">
        <v>0.9</v>
      </c>
      <c r="L1513" s="108" t="n">
        <v>0</v>
      </c>
      <c r="M1513" s="117"/>
      <c r="N1513" s="106"/>
      <c r="O1513" s="106"/>
      <c r="P1513" s="106"/>
      <c r="Q1513" s="106"/>
      <c r="R1513" s="106" t="s">
        <v>4537</v>
      </c>
    </row>
    <row r="1514" customFormat="false" ht="15" hidden="false" customHeight="false" outlineLevel="0" collapsed="false">
      <c r="A1514" s="106" t="s">
        <v>6137</v>
      </c>
      <c r="B1514" s="106" t="s">
        <v>1403</v>
      </c>
      <c r="C1514" s="106"/>
      <c r="D1514" s="106" t="n">
        <v>1</v>
      </c>
      <c r="E1514" s="107" t="n">
        <v>3</v>
      </c>
      <c r="F1514" s="106" t="n">
        <v>1</v>
      </c>
      <c r="G1514" s="118" t="n">
        <v>0.3333</v>
      </c>
      <c r="H1514" s="116" t="n">
        <v>0.95</v>
      </c>
      <c r="I1514" s="106" t="n">
        <v>0</v>
      </c>
      <c r="J1514" s="117" t="n">
        <v>0</v>
      </c>
      <c r="K1514" s="108" t="n">
        <v>0.95</v>
      </c>
      <c r="L1514" s="108" t="n">
        <v>0</v>
      </c>
      <c r="M1514" s="117"/>
      <c r="N1514" s="106"/>
      <c r="O1514" s="106"/>
      <c r="P1514" s="106"/>
      <c r="Q1514" s="106"/>
      <c r="R1514" s="106" t="s">
        <v>4537</v>
      </c>
    </row>
    <row r="1515" customFormat="false" ht="15" hidden="false" customHeight="false" outlineLevel="0" collapsed="false">
      <c r="A1515" s="106" t="s">
        <v>6138</v>
      </c>
      <c r="B1515" s="106" t="s">
        <v>1403</v>
      </c>
      <c r="C1515" s="106"/>
      <c r="D1515" s="106" t="n">
        <v>1</v>
      </c>
      <c r="E1515" s="107" t="n">
        <v>7</v>
      </c>
      <c r="F1515" s="106" t="n">
        <v>1</v>
      </c>
      <c r="G1515" s="118" t="n">
        <v>0.1429</v>
      </c>
      <c r="H1515" s="116" t="n">
        <v>0.95</v>
      </c>
      <c r="I1515" s="106" t="n">
        <v>0</v>
      </c>
      <c r="J1515" s="117" t="n">
        <v>0</v>
      </c>
      <c r="K1515" s="108" t="n">
        <v>0.95</v>
      </c>
      <c r="L1515" s="108" t="n">
        <v>0</v>
      </c>
      <c r="M1515" s="117"/>
      <c r="N1515" s="106"/>
      <c r="O1515" s="106"/>
      <c r="P1515" s="106"/>
      <c r="Q1515" s="106"/>
      <c r="R1515" s="106" t="s">
        <v>4537</v>
      </c>
    </row>
    <row r="1516" customFormat="false" ht="15" hidden="false" customHeight="false" outlineLevel="0" collapsed="false">
      <c r="A1516" s="106" t="s">
        <v>6139</v>
      </c>
      <c r="B1516" s="106" t="s">
        <v>1403</v>
      </c>
      <c r="C1516" s="106"/>
      <c r="D1516" s="106"/>
      <c r="E1516" s="107" t="n">
        <v>1</v>
      </c>
      <c r="F1516" s="106" t="n">
        <v>1</v>
      </c>
      <c r="G1516" s="118" t="n">
        <v>1</v>
      </c>
      <c r="H1516" s="116" t="n">
        <v>0.95</v>
      </c>
      <c r="I1516" s="106" t="n">
        <v>0</v>
      </c>
      <c r="J1516" s="117" t="n">
        <v>0</v>
      </c>
      <c r="K1516" s="108" t="n">
        <v>0.95</v>
      </c>
      <c r="L1516" s="108" t="n">
        <v>0</v>
      </c>
      <c r="M1516" s="117"/>
      <c r="N1516" s="106"/>
      <c r="O1516" s="106"/>
      <c r="P1516" s="106"/>
      <c r="Q1516" s="106"/>
      <c r="R1516" s="106" t="s">
        <v>4537</v>
      </c>
    </row>
    <row r="1517" customFormat="false" ht="15" hidden="false" customHeight="false" outlineLevel="0" collapsed="false">
      <c r="A1517" s="106" t="s">
        <v>6140</v>
      </c>
      <c r="B1517" s="106" t="s">
        <v>1403</v>
      </c>
      <c r="C1517" s="106"/>
      <c r="D1517" s="106" t="n">
        <v>1</v>
      </c>
      <c r="E1517" s="107" t="n">
        <v>10</v>
      </c>
      <c r="F1517" s="106" t="n">
        <v>1</v>
      </c>
      <c r="G1517" s="118" t="n">
        <v>0.1</v>
      </c>
      <c r="H1517" s="116" t="n">
        <v>0.95</v>
      </c>
      <c r="I1517" s="106" t="n">
        <v>1</v>
      </c>
      <c r="J1517" s="117" t="n">
        <v>1</v>
      </c>
      <c r="K1517" s="108" t="n">
        <v>0.95</v>
      </c>
      <c r="L1517" s="108" t="n">
        <v>76.99</v>
      </c>
      <c r="M1517" s="117" t="n">
        <v>0.012</v>
      </c>
      <c r="N1517" s="106"/>
      <c r="O1517" s="106"/>
      <c r="P1517" s="106"/>
      <c r="Q1517" s="106"/>
      <c r="R1517" s="106" t="s">
        <v>4285</v>
      </c>
    </row>
    <row r="1518" customFormat="false" ht="15" hidden="false" customHeight="false" outlineLevel="0" collapsed="false">
      <c r="A1518" s="106" t="s">
        <v>6141</v>
      </c>
      <c r="B1518" s="106"/>
      <c r="C1518" s="106"/>
      <c r="D1518" s="106"/>
      <c r="E1518" s="107" t="n">
        <v>3</v>
      </c>
      <c r="F1518" s="106" t="n">
        <v>1</v>
      </c>
      <c r="G1518" s="118" t="n">
        <v>0.3333</v>
      </c>
      <c r="H1518" s="116" t="n">
        <v>0.94</v>
      </c>
      <c r="I1518" s="106" t="n">
        <v>0</v>
      </c>
      <c r="J1518" s="117" t="n">
        <v>0</v>
      </c>
      <c r="K1518" s="108" t="n">
        <v>0.94</v>
      </c>
      <c r="L1518" s="108" t="n">
        <v>0</v>
      </c>
      <c r="M1518" s="117"/>
      <c r="N1518" s="106"/>
      <c r="O1518" s="106"/>
      <c r="P1518" s="106"/>
      <c r="Q1518" s="106"/>
      <c r="R1518" s="106" t="s">
        <v>4537</v>
      </c>
    </row>
    <row r="1519" customFormat="false" ht="15" hidden="false" customHeight="false" outlineLevel="0" collapsed="false">
      <c r="A1519" s="106" t="s">
        <v>6142</v>
      </c>
      <c r="B1519" s="106" t="s">
        <v>1403</v>
      </c>
      <c r="C1519" s="106"/>
      <c r="D1519" s="106" t="n">
        <v>3</v>
      </c>
      <c r="E1519" s="107" t="n">
        <v>8</v>
      </c>
      <c r="F1519" s="106" t="n">
        <v>1</v>
      </c>
      <c r="G1519" s="118" t="n">
        <v>0.125</v>
      </c>
      <c r="H1519" s="116" t="n">
        <v>0.94</v>
      </c>
      <c r="I1519" s="106" t="n">
        <v>0</v>
      </c>
      <c r="J1519" s="117" t="n">
        <v>0</v>
      </c>
      <c r="K1519" s="108" t="n">
        <v>0.94</v>
      </c>
      <c r="L1519" s="108" t="n">
        <v>0</v>
      </c>
      <c r="M1519" s="117"/>
      <c r="N1519" s="106"/>
      <c r="O1519" s="106"/>
      <c r="P1519" s="106"/>
      <c r="Q1519" s="106"/>
      <c r="R1519" s="106" t="s">
        <v>4537</v>
      </c>
    </row>
    <row r="1520" customFormat="false" ht="15" hidden="false" customHeight="false" outlineLevel="0" collapsed="false">
      <c r="A1520" s="106" t="s">
        <v>6143</v>
      </c>
      <c r="B1520" s="106"/>
      <c r="C1520" s="106"/>
      <c r="D1520" s="106"/>
      <c r="E1520" s="107" t="n">
        <v>1</v>
      </c>
      <c r="F1520" s="106" t="n">
        <v>1</v>
      </c>
      <c r="G1520" s="118" t="n">
        <v>1</v>
      </c>
      <c r="H1520" s="116" t="n">
        <v>0.93</v>
      </c>
      <c r="I1520" s="106" t="n">
        <v>0</v>
      </c>
      <c r="J1520" s="117" t="n">
        <v>0</v>
      </c>
      <c r="K1520" s="108" t="n">
        <v>0.93</v>
      </c>
      <c r="L1520" s="108" t="n">
        <v>0</v>
      </c>
      <c r="M1520" s="117"/>
      <c r="N1520" s="106"/>
      <c r="O1520" s="106"/>
      <c r="P1520" s="106"/>
      <c r="Q1520" s="106"/>
      <c r="R1520" s="106" t="s">
        <v>4537</v>
      </c>
    </row>
    <row r="1521" customFormat="false" ht="15" hidden="false" customHeight="false" outlineLevel="0" collapsed="false">
      <c r="A1521" s="106" t="s">
        <v>6144</v>
      </c>
      <c r="B1521" s="106" t="s">
        <v>1403</v>
      </c>
      <c r="C1521" s="106"/>
      <c r="D1521" s="106"/>
      <c r="E1521" s="107" t="n">
        <v>2</v>
      </c>
      <c r="F1521" s="106" t="n">
        <v>1</v>
      </c>
      <c r="G1521" s="118" t="n">
        <v>0.5</v>
      </c>
      <c r="H1521" s="116" t="n">
        <v>0.93</v>
      </c>
      <c r="I1521" s="106" t="n">
        <v>0</v>
      </c>
      <c r="J1521" s="117" t="n">
        <v>0</v>
      </c>
      <c r="K1521" s="108" t="n">
        <v>0.93</v>
      </c>
      <c r="L1521" s="108" t="n">
        <v>0</v>
      </c>
      <c r="M1521" s="117"/>
      <c r="N1521" s="106"/>
      <c r="O1521" s="106"/>
      <c r="P1521" s="106"/>
      <c r="Q1521" s="106"/>
      <c r="R1521" s="106" t="s">
        <v>4537</v>
      </c>
    </row>
    <row r="1522" customFormat="false" ht="15" hidden="false" customHeight="false" outlineLevel="0" collapsed="false">
      <c r="A1522" s="106" t="s">
        <v>6145</v>
      </c>
      <c r="B1522" s="106" t="s">
        <v>4280</v>
      </c>
      <c r="C1522" s="106"/>
      <c r="D1522" s="106" t="n">
        <v>4</v>
      </c>
      <c r="E1522" s="107" t="n">
        <v>2</v>
      </c>
      <c r="F1522" s="106" t="n">
        <v>1</v>
      </c>
      <c r="G1522" s="118" t="n">
        <v>0.5</v>
      </c>
      <c r="H1522" s="116" t="n">
        <v>0.98</v>
      </c>
      <c r="I1522" s="106" t="n">
        <v>0</v>
      </c>
      <c r="J1522" s="117" t="n">
        <v>0</v>
      </c>
      <c r="K1522" s="108" t="n">
        <v>0.98</v>
      </c>
      <c r="L1522" s="108" t="n">
        <v>0</v>
      </c>
      <c r="M1522" s="117"/>
      <c r="N1522" s="106"/>
      <c r="O1522" s="106"/>
      <c r="P1522" s="106"/>
      <c r="Q1522" s="106"/>
      <c r="R1522" s="106" t="s">
        <v>4537</v>
      </c>
    </row>
    <row r="1523" customFormat="false" ht="15" hidden="false" customHeight="false" outlineLevel="0" collapsed="false">
      <c r="A1523" s="106" t="s">
        <v>6146</v>
      </c>
      <c r="B1523" s="106" t="s">
        <v>1403</v>
      </c>
      <c r="C1523" s="106"/>
      <c r="D1523" s="106"/>
      <c r="E1523" s="107" t="n">
        <v>4</v>
      </c>
      <c r="F1523" s="106" t="n">
        <v>1</v>
      </c>
      <c r="G1523" s="118" t="n">
        <v>0.25</v>
      </c>
      <c r="H1523" s="116" t="n">
        <v>0.98</v>
      </c>
      <c r="I1523" s="106" t="n">
        <v>0</v>
      </c>
      <c r="J1523" s="117" t="n">
        <v>0</v>
      </c>
      <c r="K1523" s="108" t="n">
        <v>0.98</v>
      </c>
      <c r="L1523" s="108" t="n">
        <v>0</v>
      </c>
      <c r="M1523" s="117"/>
      <c r="N1523" s="106"/>
      <c r="O1523" s="106"/>
      <c r="P1523" s="106"/>
      <c r="Q1523" s="106"/>
      <c r="R1523" s="106" t="s">
        <v>4537</v>
      </c>
    </row>
    <row r="1524" customFormat="false" ht="15" hidden="false" customHeight="false" outlineLevel="0" collapsed="false">
      <c r="A1524" s="106" t="s">
        <v>6147</v>
      </c>
      <c r="B1524" s="106" t="s">
        <v>1403</v>
      </c>
      <c r="C1524" s="106"/>
      <c r="D1524" s="106" t="n">
        <v>3</v>
      </c>
      <c r="E1524" s="107" t="n">
        <v>7</v>
      </c>
      <c r="F1524" s="106" t="n">
        <v>1</v>
      </c>
      <c r="G1524" s="118" t="n">
        <v>0.1429</v>
      </c>
      <c r="H1524" s="116" t="n">
        <v>0.98</v>
      </c>
      <c r="I1524" s="106" t="n">
        <v>0</v>
      </c>
      <c r="J1524" s="117" t="n">
        <v>0</v>
      </c>
      <c r="K1524" s="108" t="n">
        <v>0.98</v>
      </c>
      <c r="L1524" s="108" t="n">
        <v>0</v>
      </c>
      <c r="M1524" s="117"/>
      <c r="N1524" s="106"/>
      <c r="O1524" s="106"/>
      <c r="P1524" s="106"/>
      <c r="Q1524" s="106"/>
      <c r="R1524" s="106" t="s">
        <v>4537</v>
      </c>
    </row>
    <row r="1525" customFormat="false" ht="15" hidden="false" customHeight="false" outlineLevel="0" collapsed="false">
      <c r="A1525" s="106" t="s">
        <v>6148</v>
      </c>
      <c r="B1525" s="106" t="s">
        <v>4280</v>
      </c>
      <c r="C1525" s="106"/>
      <c r="D1525" s="106" t="n">
        <v>31</v>
      </c>
      <c r="E1525" s="107" t="n">
        <v>3</v>
      </c>
      <c r="F1525" s="106" t="n">
        <v>1</v>
      </c>
      <c r="G1525" s="118" t="n">
        <v>0.3333</v>
      </c>
      <c r="H1525" s="116" t="n">
        <v>0.97</v>
      </c>
      <c r="I1525" s="106" t="n">
        <v>0</v>
      </c>
      <c r="J1525" s="117" t="n">
        <v>0</v>
      </c>
      <c r="K1525" s="108" t="n">
        <v>0.97</v>
      </c>
      <c r="L1525" s="108" t="n">
        <v>0</v>
      </c>
      <c r="M1525" s="117"/>
      <c r="N1525" s="106"/>
      <c r="O1525" s="106"/>
      <c r="P1525" s="106"/>
      <c r="Q1525" s="106"/>
      <c r="R1525" s="106" t="s">
        <v>4537</v>
      </c>
    </row>
    <row r="1526" customFormat="false" ht="15" hidden="false" customHeight="false" outlineLevel="0" collapsed="false">
      <c r="A1526" s="106" t="s">
        <v>6149</v>
      </c>
      <c r="B1526" s="106" t="s">
        <v>4284</v>
      </c>
      <c r="C1526" s="106"/>
      <c r="D1526" s="106" t="n">
        <v>5</v>
      </c>
      <c r="E1526" s="107" t="n">
        <v>2</v>
      </c>
      <c r="F1526" s="106" t="n">
        <v>1</v>
      </c>
      <c r="G1526" s="118" t="n">
        <v>0.5</v>
      </c>
      <c r="H1526" s="116" t="n">
        <v>0.96</v>
      </c>
      <c r="I1526" s="106" t="n">
        <v>0</v>
      </c>
      <c r="J1526" s="117" t="n">
        <v>0</v>
      </c>
      <c r="K1526" s="108" t="n">
        <v>0.96</v>
      </c>
      <c r="L1526" s="108" t="n">
        <v>0</v>
      </c>
      <c r="M1526" s="117"/>
      <c r="N1526" s="106"/>
      <c r="O1526" s="106"/>
      <c r="P1526" s="106"/>
      <c r="Q1526" s="106"/>
      <c r="R1526" s="106" t="s">
        <v>4537</v>
      </c>
    </row>
    <row r="1527" customFormat="false" ht="15" hidden="false" customHeight="false" outlineLevel="0" collapsed="false">
      <c r="A1527" s="106" t="s">
        <v>6150</v>
      </c>
      <c r="B1527" s="106" t="s">
        <v>1403</v>
      </c>
      <c r="C1527" s="106"/>
      <c r="D1527" s="106"/>
      <c r="E1527" s="107" t="n">
        <v>7</v>
      </c>
      <c r="F1527" s="106" t="n">
        <v>1</v>
      </c>
      <c r="G1527" s="118" t="n">
        <v>0.1429</v>
      </c>
      <c r="H1527" s="116" t="n">
        <v>0.96</v>
      </c>
      <c r="I1527" s="106" t="n">
        <v>0</v>
      </c>
      <c r="J1527" s="117" t="n">
        <v>0</v>
      </c>
      <c r="K1527" s="108" t="n">
        <v>0.96</v>
      </c>
      <c r="L1527" s="108" t="n">
        <v>0</v>
      </c>
      <c r="M1527" s="117"/>
      <c r="N1527" s="106"/>
      <c r="O1527" s="106"/>
      <c r="P1527" s="106"/>
      <c r="Q1527" s="106"/>
      <c r="R1527" s="106" t="s">
        <v>4537</v>
      </c>
    </row>
    <row r="1528" customFormat="false" ht="15" hidden="false" customHeight="false" outlineLevel="0" collapsed="false">
      <c r="A1528" s="106" t="s">
        <v>6151</v>
      </c>
      <c r="B1528" s="106" t="s">
        <v>1403</v>
      </c>
      <c r="C1528" s="106"/>
      <c r="D1528" s="106"/>
      <c r="E1528" s="107" t="n">
        <v>4</v>
      </c>
      <c r="F1528" s="106" t="n">
        <v>1</v>
      </c>
      <c r="G1528" s="118" t="n">
        <v>0.25</v>
      </c>
      <c r="H1528" s="116" t="n">
        <v>0.96</v>
      </c>
      <c r="I1528" s="106" t="n">
        <v>0</v>
      </c>
      <c r="J1528" s="117" t="n">
        <v>0</v>
      </c>
      <c r="K1528" s="108" t="n">
        <v>0.96</v>
      </c>
      <c r="L1528" s="108" t="n">
        <v>0</v>
      </c>
      <c r="M1528" s="117"/>
      <c r="N1528" s="106"/>
      <c r="O1528" s="106"/>
      <c r="P1528" s="106"/>
      <c r="Q1528" s="106"/>
      <c r="R1528" s="106" t="s">
        <v>4537</v>
      </c>
    </row>
    <row r="1529" customFormat="false" ht="15" hidden="false" customHeight="false" outlineLevel="0" collapsed="false">
      <c r="A1529" s="106" t="s">
        <v>6152</v>
      </c>
      <c r="B1529" s="106" t="s">
        <v>4284</v>
      </c>
      <c r="C1529" s="106"/>
      <c r="D1529" s="106" t="n">
        <v>236</v>
      </c>
      <c r="E1529" s="107" t="n">
        <v>2</v>
      </c>
      <c r="F1529" s="106" t="n">
        <v>1</v>
      </c>
      <c r="G1529" s="118" t="n">
        <v>0.5</v>
      </c>
      <c r="H1529" s="116" t="n">
        <v>0.95</v>
      </c>
      <c r="I1529" s="106" t="n">
        <v>0</v>
      </c>
      <c r="J1529" s="117" t="n">
        <v>0</v>
      </c>
      <c r="K1529" s="108" t="n">
        <v>0.95</v>
      </c>
      <c r="L1529" s="108" t="n">
        <v>0</v>
      </c>
      <c r="M1529" s="117"/>
      <c r="N1529" s="106"/>
      <c r="O1529" s="106"/>
      <c r="P1529" s="106"/>
      <c r="Q1529" s="106"/>
      <c r="R1529" s="106" t="s">
        <v>4537</v>
      </c>
    </row>
    <row r="1530" customFormat="false" ht="15" hidden="false" customHeight="false" outlineLevel="0" collapsed="false">
      <c r="A1530" s="106" t="s">
        <v>6153</v>
      </c>
      <c r="B1530" s="106" t="s">
        <v>1403</v>
      </c>
      <c r="C1530" s="106"/>
      <c r="D1530" s="106"/>
      <c r="E1530" s="107" t="n">
        <v>2</v>
      </c>
      <c r="F1530" s="106" t="n">
        <v>1</v>
      </c>
      <c r="G1530" s="118" t="n">
        <v>0.5</v>
      </c>
      <c r="H1530" s="116" t="n">
        <v>1.02</v>
      </c>
      <c r="I1530" s="106" t="n">
        <v>0</v>
      </c>
      <c r="J1530" s="117" t="n">
        <v>0</v>
      </c>
      <c r="K1530" s="108" t="n">
        <v>1.02</v>
      </c>
      <c r="L1530" s="108" t="n">
        <v>0</v>
      </c>
      <c r="M1530" s="117"/>
      <c r="N1530" s="106"/>
      <c r="O1530" s="106"/>
      <c r="P1530" s="106"/>
      <c r="Q1530" s="106"/>
      <c r="R1530" s="106" t="s">
        <v>4537</v>
      </c>
    </row>
    <row r="1531" customFormat="false" ht="15" hidden="false" customHeight="false" outlineLevel="0" collapsed="false">
      <c r="A1531" s="106" t="s">
        <v>6154</v>
      </c>
      <c r="B1531" s="106" t="s">
        <v>4280</v>
      </c>
      <c r="C1531" s="106"/>
      <c r="D1531" s="106"/>
      <c r="E1531" s="107" t="n">
        <v>2</v>
      </c>
      <c r="F1531" s="106" t="n">
        <v>1</v>
      </c>
      <c r="G1531" s="118" t="n">
        <v>0.5</v>
      </c>
      <c r="H1531" s="116" t="n">
        <v>1.01</v>
      </c>
      <c r="I1531" s="106" t="n">
        <v>0</v>
      </c>
      <c r="J1531" s="117" t="n">
        <v>0</v>
      </c>
      <c r="K1531" s="108" t="n">
        <v>1.01</v>
      </c>
      <c r="L1531" s="108" t="n">
        <v>0</v>
      </c>
      <c r="M1531" s="117"/>
      <c r="N1531" s="106"/>
      <c r="O1531" s="106"/>
      <c r="P1531" s="106"/>
      <c r="Q1531" s="106"/>
      <c r="R1531" s="106" t="s">
        <v>4537</v>
      </c>
    </row>
    <row r="1532" customFormat="false" ht="15" hidden="false" customHeight="false" outlineLevel="0" collapsed="false">
      <c r="A1532" s="106" t="s">
        <v>6155</v>
      </c>
      <c r="B1532" s="106" t="s">
        <v>1403</v>
      </c>
      <c r="C1532" s="106"/>
      <c r="D1532" s="106"/>
      <c r="E1532" s="107" t="n">
        <v>2</v>
      </c>
      <c r="F1532" s="106" t="n">
        <v>1</v>
      </c>
      <c r="G1532" s="118" t="n">
        <v>0.5</v>
      </c>
      <c r="H1532" s="116" t="n">
        <v>1.01</v>
      </c>
      <c r="I1532" s="106" t="n">
        <v>0</v>
      </c>
      <c r="J1532" s="117" t="n">
        <v>0</v>
      </c>
      <c r="K1532" s="108" t="n">
        <v>1.01</v>
      </c>
      <c r="L1532" s="108" t="n">
        <v>0</v>
      </c>
      <c r="M1532" s="117"/>
      <c r="N1532" s="106"/>
      <c r="O1532" s="106"/>
      <c r="P1532" s="106"/>
      <c r="Q1532" s="106"/>
      <c r="R1532" s="106" t="s">
        <v>4537</v>
      </c>
    </row>
    <row r="1533" customFormat="false" ht="15" hidden="false" customHeight="false" outlineLevel="0" collapsed="false">
      <c r="A1533" s="106" t="s">
        <v>6156</v>
      </c>
      <c r="B1533" s="106" t="s">
        <v>4280</v>
      </c>
      <c r="C1533" s="106"/>
      <c r="D1533" s="106"/>
      <c r="E1533" s="107" t="n">
        <v>2</v>
      </c>
      <c r="F1533" s="106" t="n">
        <v>1</v>
      </c>
      <c r="G1533" s="118" t="n">
        <v>0.5</v>
      </c>
      <c r="H1533" s="116" t="n">
        <v>1</v>
      </c>
      <c r="I1533" s="106" t="n">
        <v>0</v>
      </c>
      <c r="J1533" s="117" t="n">
        <v>0</v>
      </c>
      <c r="K1533" s="108" t="n">
        <v>1</v>
      </c>
      <c r="L1533" s="108" t="n">
        <v>0</v>
      </c>
      <c r="M1533" s="117"/>
      <c r="N1533" s="106"/>
      <c r="O1533" s="106"/>
      <c r="P1533" s="106"/>
      <c r="Q1533" s="106"/>
      <c r="R1533" s="106" t="s">
        <v>4537</v>
      </c>
    </row>
    <row r="1534" customFormat="false" ht="15" hidden="false" customHeight="false" outlineLevel="0" collapsed="false">
      <c r="A1534" s="106" t="s">
        <v>6157</v>
      </c>
      <c r="B1534" s="106" t="s">
        <v>4280</v>
      </c>
      <c r="C1534" s="106"/>
      <c r="D1534" s="106"/>
      <c r="E1534" s="107" t="n">
        <v>1</v>
      </c>
      <c r="F1534" s="106" t="n">
        <v>1</v>
      </c>
      <c r="G1534" s="118" t="n">
        <v>1</v>
      </c>
      <c r="H1534" s="116" t="n">
        <v>0.99</v>
      </c>
      <c r="I1534" s="106" t="n">
        <v>0</v>
      </c>
      <c r="J1534" s="117" t="n">
        <v>0</v>
      </c>
      <c r="K1534" s="108" t="n">
        <v>0.99</v>
      </c>
      <c r="L1534" s="108" t="n">
        <v>0</v>
      </c>
      <c r="M1534" s="117"/>
      <c r="N1534" s="106"/>
      <c r="O1534" s="106"/>
      <c r="P1534" s="106"/>
      <c r="Q1534" s="106"/>
      <c r="R1534" s="106" t="s">
        <v>4537</v>
      </c>
    </row>
    <row r="1535" customFormat="false" ht="15" hidden="false" customHeight="false" outlineLevel="0" collapsed="false">
      <c r="A1535" s="106" t="s">
        <v>6158</v>
      </c>
      <c r="B1535" s="106" t="s">
        <v>1403</v>
      </c>
      <c r="C1535" s="106"/>
      <c r="D1535" s="106"/>
      <c r="E1535" s="107" t="n">
        <v>7</v>
      </c>
      <c r="F1535" s="106" t="n">
        <v>1</v>
      </c>
      <c r="G1535" s="118" t="n">
        <v>0.1429</v>
      </c>
      <c r="H1535" s="116" t="n">
        <v>0.99</v>
      </c>
      <c r="I1535" s="106" t="n">
        <v>0</v>
      </c>
      <c r="J1535" s="117" t="n">
        <v>0</v>
      </c>
      <c r="K1535" s="108" t="n">
        <v>0.99</v>
      </c>
      <c r="L1535" s="108" t="n">
        <v>0</v>
      </c>
      <c r="M1535" s="117"/>
      <c r="N1535" s="106"/>
      <c r="O1535" s="106"/>
      <c r="P1535" s="106"/>
      <c r="Q1535" s="106"/>
      <c r="R1535" s="106" t="s">
        <v>4537</v>
      </c>
    </row>
    <row r="1536" customFormat="false" ht="15" hidden="false" customHeight="false" outlineLevel="0" collapsed="false">
      <c r="A1536" s="106" t="s">
        <v>6159</v>
      </c>
      <c r="B1536" s="106" t="s">
        <v>4280</v>
      </c>
      <c r="C1536" s="106"/>
      <c r="D1536" s="106"/>
      <c r="E1536" s="107" t="n">
        <v>4</v>
      </c>
      <c r="F1536" s="106" t="n">
        <v>1</v>
      </c>
      <c r="G1536" s="118" t="n">
        <v>0.25</v>
      </c>
      <c r="H1536" s="116" t="n">
        <v>0.98</v>
      </c>
      <c r="I1536" s="106" t="n">
        <v>0</v>
      </c>
      <c r="J1536" s="117" t="n">
        <v>0</v>
      </c>
      <c r="K1536" s="108" t="n">
        <v>0.98</v>
      </c>
      <c r="L1536" s="108" t="n">
        <v>0</v>
      </c>
      <c r="M1536" s="117"/>
      <c r="N1536" s="106"/>
      <c r="O1536" s="106"/>
      <c r="P1536" s="106"/>
      <c r="Q1536" s="106"/>
      <c r="R1536" s="106" t="s">
        <v>4537</v>
      </c>
    </row>
    <row r="1537" customFormat="false" ht="15" hidden="false" customHeight="false" outlineLevel="0" collapsed="false">
      <c r="A1537" s="106" t="s">
        <v>6160</v>
      </c>
      <c r="B1537" s="106" t="s">
        <v>1403</v>
      </c>
      <c r="C1537" s="106"/>
      <c r="D1537" s="106" t="n">
        <v>3</v>
      </c>
      <c r="E1537" s="107" t="n">
        <v>6</v>
      </c>
      <c r="F1537" s="106" t="n">
        <v>1</v>
      </c>
      <c r="G1537" s="118" t="n">
        <v>0.1667</v>
      </c>
      <c r="H1537" s="116" t="n">
        <v>0.98</v>
      </c>
      <c r="I1537" s="106" t="n">
        <v>0</v>
      </c>
      <c r="J1537" s="117" t="n">
        <v>0</v>
      </c>
      <c r="K1537" s="108" t="n">
        <v>0.98</v>
      </c>
      <c r="L1537" s="108" t="n">
        <v>0</v>
      </c>
      <c r="M1537" s="117"/>
      <c r="N1537" s="106"/>
      <c r="O1537" s="106"/>
      <c r="P1537" s="106"/>
      <c r="Q1537" s="106"/>
      <c r="R1537" s="106" t="s">
        <v>4537</v>
      </c>
    </row>
    <row r="1538" customFormat="false" ht="15" hidden="false" customHeight="false" outlineLevel="0" collapsed="false">
      <c r="A1538" s="106" t="s">
        <v>6161</v>
      </c>
      <c r="B1538" s="106" t="s">
        <v>4284</v>
      </c>
      <c r="C1538" s="106"/>
      <c r="D1538" s="106" t="n">
        <v>822</v>
      </c>
      <c r="E1538" s="107" t="n">
        <v>1</v>
      </c>
      <c r="F1538" s="106" t="n">
        <v>1</v>
      </c>
      <c r="G1538" s="118" t="n">
        <v>1</v>
      </c>
      <c r="H1538" s="116" t="n">
        <v>0.9</v>
      </c>
      <c r="I1538" s="106" t="n">
        <v>0</v>
      </c>
      <c r="J1538" s="117" t="n">
        <v>0</v>
      </c>
      <c r="K1538" s="108" t="n">
        <v>0.9</v>
      </c>
      <c r="L1538" s="108" t="n">
        <v>0</v>
      </c>
      <c r="M1538" s="117"/>
      <c r="N1538" s="106"/>
      <c r="O1538" s="106"/>
      <c r="P1538" s="106"/>
      <c r="Q1538" s="106"/>
      <c r="R1538" s="106" t="s">
        <v>4537</v>
      </c>
    </row>
    <row r="1539" customFormat="false" ht="15" hidden="false" customHeight="false" outlineLevel="0" collapsed="false">
      <c r="A1539" s="106" t="s">
        <v>6162</v>
      </c>
      <c r="B1539" s="106" t="s">
        <v>4280</v>
      </c>
      <c r="C1539" s="106"/>
      <c r="D1539" s="106" t="n">
        <v>3</v>
      </c>
      <c r="E1539" s="107" t="n">
        <v>1</v>
      </c>
      <c r="F1539" s="106" t="n">
        <v>1</v>
      </c>
      <c r="G1539" s="118" t="n">
        <v>1</v>
      </c>
      <c r="H1539" s="116" t="n">
        <v>0.9</v>
      </c>
      <c r="I1539" s="106" t="n">
        <v>0</v>
      </c>
      <c r="J1539" s="117" t="n">
        <v>0</v>
      </c>
      <c r="K1539" s="108" t="n">
        <v>0.9</v>
      </c>
      <c r="L1539" s="108" t="n">
        <v>0</v>
      </c>
      <c r="M1539" s="117"/>
      <c r="N1539" s="106"/>
      <c r="O1539" s="106"/>
      <c r="P1539" s="106"/>
      <c r="Q1539" s="106"/>
      <c r="R1539" s="106" t="s">
        <v>4537</v>
      </c>
    </row>
    <row r="1540" customFormat="false" ht="15" hidden="false" customHeight="false" outlineLevel="0" collapsed="false">
      <c r="A1540" s="106" t="s">
        <v>6163</v>
      </c>
      <c r="B1540" s="106" t="s">
        <v>4280</v>
      </c>
      <c r="C1540" s="106" t="s">
        <v>4301</v>
      </c>
      <c r="D1540" s="106" t="n">
        <v>580</v>
      </c>
      <c r="E1540" s="107" t="n">
        <v>1</v>
      </c>
      <c r="F1540" s="106" t="n">
        <v>1</v>
      </c>
      <c r="G1540" s="118" t="n">
        <v>1</v>
      </c>
      <c r="H1540" s="116" t="n">
        <v>0.9</v>
      </c>
      <c r="I1540" s="106" t="n">
        <v>0</v>
      </c>
      <c r="J1540" s="117" t="n">
        <v>0</v>
      </c>
      <c r="K1540" s="108" t="n">
        <v>0.9</v>
      </c>
      <c r="L1540" s="108" t="n">
        <v>0</v>
      </c>
      <c r="M1540" s="117"/>
      <c r="N1540" s="106"/>
      <c r="O1540" s="106"/>
      <c r="P1540" s="106"/>
      <c r="Q1540" s="106"/>
      <c r="R1540" s="106" t="s">
        <v>4537</v>
      </c>
    </row>
    <row r="1541" customFormat="false" ht="15" hidden="false" customHeight="false" outlineLevel="0" collapsed="false">
      <c r="A1541" s="106" t="s">
        <v>6164</v>
      </c>
      <c r="B1541" s="106" t="s">
        <v>4284</v>
      </c>
      <c r="C1541" s="106"/>
      <c r="D1541" s="106"/>
      <c r="E1541" s="107" t="n">
        <v>1</v>
      </c>
      <c r="F1541" s="106" t="n">
        <v>1</v>
      </c>
      <c r="G1541" s="118" t="n">
        <v>1</v>
      </c>
      <c r="H1541" s="116" t="n">
        <v>0.9</v>
      </c>
      <c r="I1541" s="106" t="n">
        <v>0</v>
      </c>
      <c r="J1541" s="117" t="n">
        <v>0</v>
      </c>
      <c r="K1541" s="108" t="n">
        <v>0.9</v>
      </c>
      <c r="L1541" s="108" t="n">
        <v>0</v>
      </c>
      <c r="M1541" s="117"/>
      <c r="N1541" s="106"/>
      <c r="O1541" s="106"/>
      <c r="P1541" s="106"/>
      <c r="Q1541" s="106"/>
      <c r="R1541" s="106" t="s">
        <v>4537</v>
      </c>
    </row>
    <row r="1542" customFormat="false" ht="15" hidden="false" customHeight="false" outlineLevel="0" collapsed="false">
      <c r="A1542" s="106" t="s">
        <v>6165</v>
      </c>
      <c r="B1542" s="106" t="s">
        <v>4329</v>
      </c>
      <c r="C1542" s="106"/>
      <c r="D1542" s="106" t="n">
        <v>10</v>
      </c>
      <c r="E1542" s="107" t="n">
        <v>2</v>
      </c>
      <c r="F1542" s="106" t="n">
        <v>1</v>
      </c>
      <c r="G1542" s="118" t="n">
        <v>0.5</v>
      </c>
      <c r="H1542" s="116" t="n">
        <v>0.9</v>
      </c>
      <c r="I1542" s="106" t="n">
        <v>0</v>
      </c>
      <c r="J1542" s="117" t="n">
        <v>0</v>
      </c>
      <c r="K1542" s="108" t="n">
        <v>0.9</v>
      </c>
      <c r="L1542" s="108" t="n">
        <v>0</v>
      </c>
      <c r="M1542" s="117"/>
      <c r="N1542" s="106"/>
      <c r="O1542" s="106"/>
      <c r="P1542" s="106"/>
      <c r="Q1542" s="106"/>
      <c r="R1542" s="106" t="s">
        <v>4537</v>
      </c>
    </row>
    <row r="1543" customFormat="false" ht="15" hidden="false" customHeight="false" outlineLevel="0" collapsed="false">
      <c r="A1543" s="106" t="s">
        <v>6166</v>
      </c>
      <c r="B1543" s="106" t="s">
        <v>4284</v>
      </c>
      <c r="C1543" s="106"/>
      <c r="D1543" s="106"/>
      <c r="E1543" s="107" t="n">
        <v>2</v>
      </c>
      <c r="F1543" s="106" t="n">
        <v>1</v>
      </c>
      <c r="G1543" s="118" t="n">
        <v>0.5</v>
      </c>
      <c r="H1543" s="116" t="n">
        <v>0.9</v>
      </c>
      <c r="I1543" s="106" t="n">
        <v>2</v>
      </c>
      <c r="J1543" s="117" t="n">
        <v>2</v>
      </c>
      <c r="K1543" s="108" t="n">
        <v>0.9</v>
      </c>
      <c r="L1543" s="108" t="n">
        <v>103.98</v>
      </c>
      <c r="M1543" s="117" t="n">
        <v>0.009</v>
      </c>
      <c r="N1543" s="106"/>
      <c r="O1543" s="106"/>
      <c r="P1543" s="106"/>
      <c r="Q1543" s="106"/>
      <c r="R1543" s="106" t="s">
        <v>4285</v>
      </c>
    </row>
    <row r="1544" customFormat="false" ht="15" hidden="false" customHeight="false" outlineLevel="0" collapsed="false">
      <c r="A1544" s="106" t="s">
        <v>6167</v>
      </c>
      <c r="B1544" s="106" t="s">
        <v>4284</v>
      </c>
      <c r="C1544" s="106"/>
      <c r="D1544" s="106"/>
      <c r="E1544" s="107" t="n">
        <v>1</v>
      </c>
      <c r="F1544" s="106" t="n">
        <v>1</v>
      </c>
      <c r="G1544" s="118" t="n">
        <v>1</v>
      </c>
      <c r="H1544" s="116" t="n">
        <v>0.9</v>
      </c>
      <c r="I1544" s="106" t="n">
        <v>0</v>
      </c>
      <c r="J1544" s="117" t="n">
        <v>0</v>
      </c>
      <c r="K1544" s="108" t="n">
        <v>0.9</v>
      </c>
      <c r="L1544" s="108" t="n">
        <v>0</v>
      </c>
      <c r="M1544" s="117"/>
      <c r="N1544" s="106"/>
      <c r="O1544" s="106"/>
      <c r="P1544" s="106"/>
      <c r="Q1544" s="106"/>
      <c r="R1544" s="106" t="s">
        <v>4537</v>
      </c>
    </row>
    <row r="1545" customFormat="false" ht="15" hidden="false" customHeight="false" outlineLevel="0" collapsed="false">
      <c r="A1545" s="106" t="s">
        <v>6168</v>
      </c>
      <c r="B1545" s="106" t="s">
        <v>4280</v>
      </c>
      <c r="C1545" s="106"/>
      <c r="D1545" s="106"/>
      <c r="E1545" s="107" t="n">
        <v>1</v>
      </c>
      <c r="F1545" s="106" t="n">
        <v>1</v>
      </c>
      <c r="G1545" s="118" t="n">
        <v>1</v>
      </c>
      <c r="H1545" s="116" t="n">
        <v>0.9</v>
      </c>
      <c r="I1545" s="106" t="n">
        <v>0</v>
      </c>
      <c r="J1545" s="117" t="n">
        <v>0</v>
      </c>
      <c r="K1545" s="108" t="n">
        <v>0.9</v>
      </c>
      <c r="L1545" s="108" t="n">
        <v>0</v>
      </c>
      <c r="M1545" s="117"/>
      <c r="N1545" s="106"/>
      <c r="O1545" s="106"/>
      <c r="P1545" s="106"/>
      <c r="Q1545" s="106"/>
      <c r="R1545" s="106" t="s">
        <v>4537</v>
      </c>
    </row>
    <row r="1546" customFormat="false" ht="15" hidden="false" customHeight="false" outlineLevel="0" collapsed="false">
      <c r="A1546" s="106" t="s">
        <v>6169</v>
      </c>
      <c r="B1546" s="106" t="s">
        <v>4280</v>
      </c>
      <c r="C1546" s="106"/>
      <c r="D1546" s="106"/>
      <c r="E1546" s="107" t="n">
        <v>1</v>
      </c>
      <c r="F1546" s="106" t="n">
        <v>1</v>
      </c>
      <c r="G1546" s="118" t="n">
        <v>1</v>
      </c>
      <c r="H1546" s="116" t="n">
        <v>0.9</v>
      </c>
      <c r="I1546" s="106" t="n">
        <v>0</v>
      </c>
      <c r="J1546" s="117" t="n">
        <v>0</v>
      </c>
      <c r="K1546" s="108" t="n">
        <v>0.9</v>
      </c>
      <c r="L1546" s="108" t="n">
        <v>0</v>
      </c>
      <c r="M1546" s="117"/>
      <c r="N1546" s="106"/>
      <c r="O1546" s="106"/>
      <c r="P1546" s="106"/>
      <c r="Q1546" s="106"/>
      <c r="R1546" s="106" t="s">
        <v>4537</v>
      </c>
    </row>
    <row r="1547" customFormat="false" ht="15" hidden="false" customHeight="false" outlineLevel="0" collapsed="false">
      <c r="A1547" s="106" t="s">
        <v>6170</v>
      </c>
      <c r="B1547" s="106" t="s">
        <v>4284</v>
      </c>
      <c r="C1547" s="106"/>
      <c r="D1547" s="106"/>
      <c r="E1547" s="107" t="n">
        <v>1</v>
      </c>
      <c r="F1547" s="106" t="n">
        <v>1</v>
      </c>
      <c r="G1547" s="118" t="n">
        <v>1</v>
      </c>
      <c r="H1547" s="116" t="n">
        <v>0.9</v>
      </c>
      <c r="I1547" s="106" t="n">
        <v>0</v>
      </c>
      <c r="J1547" s="117" t="n">
        <v>0</v>
      </c>
      <c r="K1547" s="108" t="n">
        <v>0.9</v>
      </c>
      <c r="L1547" s="108" t="n">
        <v>0</v>
      </c>
      <c r="M1547" s="117"/>
      <c r="N1547" s="106"/>
      <c r="O1547" s="106"/>
      <c r="P1547" s="106"/>
      <c r="Q1547" s="106"/>
      <c r="R1547" s="106" t="s">
        <v>4537</v>
      </c>
    </row>
    <row r="1548" customFormat="false" ht="15" hidden="false" customHeight="false" outlineLevel="0" collapsed="false">
      <c r="A1548" s="106" t="s">
        <v>6171</v>
      </c>
      <c r="B1548" s="106" t="s">
        <v>4284</v>
      </c>
      <c r="C1548" s="106"/>
      <c r="D1548" s="106" t="n">
        <v>13</v>
      </c>
      <c r="E1548" s="107" t="n">
        <v>2</v>
      </c>
      <c r="F1548" s="106" t="n">
        <v>1</v>
      </c>
      <c r="G1548" s="118" t="n">
        <v>0.5</v>
      </c>
      <c r="H1548" s="116" t="n">
        <v>0.9</v>
      </c>
      <c r="I1548" s="106" t="n">
        <v>0</v>
      </c>
      <c r="J1548" s="117" t="n">
        <v>0</v>
      </c>
      <c r="K1548" s="108" t="n">
        <v>0.9</v>
      </c>
      <c r="L1548" s="108" t="n">
        <v>0</v>
      </c>
      <c r="M1548" s="117"/>
      <c r="N1548" s="106"/>
      <c r="O1548" s="106"/>
      <c r="P1548" s="106"/>
      <c r="Q1548" s="106"/>
      <c r="R1548" s="106" t="s">
        <v>4537</v>
      </c>
    </row>
    <row r="1549" customFormat="false" ht="15" hidden="false" customHeight="false" outlineLevel="0" collapsed="false">
      <c r="A1549" s="106" t="s">
        <v>6172</v>
      </c>
      <c r="B1549" s="106" t="s">
        <v>4284</v>
      </c>
      <c r="C1549" s="106"/>
      <c r="D1549" s="106"/>
      <c r="E1549" s="107" t="n">
        <v>2</v>
      </c>
      <c r="F1549" s="106" t="n">
        <v>1</v>
      </c>
      <c r="G1549" s="118" t="n">
        <v>0.5</v>
      </c>
      <c r="H1549" s="116" t="n">
        <v>0.9</v>
      </c>
      <c r="I1549" s="106" t="n">
        <v>0</v>
      </c>
      <c r="J1549" s="117" t="n">
        <v>0</v>
      </c>
      <c r="K1549" s="108" t="n">
        <v>0.9</v>
      </c>
      <c r="L1549" s="108" t="n">
        <v>0</v>
      </c>
      <c r="M1549" s="117"/>
      <c r="N1549" s="106"/>
      <c r="O1549" s="106"/>
      <c r="P1549" s="106"/>
      <c r="Q1549" s="106"/>
      <c r="R1549" s="106" t="s">
        <v>4537</v>
      </c>
    </row>
    <row r="1550" customFormat="false" ht="15" hidden="false" customHeight="false" outlineLevel="0" collapsed="false">
      <c r="A1550" s="106" t="s">
        <v>6173</v>
      </c>
      <c r="B1550" s="106" t="s">
        <v>4280</v>
      </c>
      <c r="C1550" s="106"/>
      <c r="D1550" s="106"/>
      <c r="E1550" s="107" t="n">
        <v>5</v>
      </c>
      <c r="F1550" s="106" t="n">
        <v>1</v>
      </c>
      <c r="G1550" s="118" t="n">
        <v>0.2</v>
      </c>
      <c r="H1550" s="116" t="n">
        <v>0.9</v>
      </c>
      <c r="I1550" s="106" t="n">
        <v>0</v>
      </c>
      <c r="J1550" s="117" t="n">
        <v>0</v>
      </c>
      <c r="K1550" s="108" t="n">
        <v>0.9</v>
      </c>
      <c r="L1550" s="108" t="n">
        <v>0</v>
      </c>
      <c r="M1550" s="117"/>
      <c r="N1550" s="106"/>
      <c r="O1550" s="106"/>
      <c r="P1550" s="106"/>
      <c r="Q1550" s="106"/>
      <c r="R1550" s="106" t="s">
        <v>4537</v>
      </c>
    </row>
    <row r="1551" customFormat="false" ht="15" hidden="false" customHeight="false" outlineLevel="0" collapsed="false">
      <c r="A1551" s="106" t="s">
        <v>6174</v>
      </c>
      <c r="B1551" s="106" t="s">
        <v>4280</v>
      </c>
      <c r="C1551" s="106"/>
      <c r="D1551" s="106"/>
      <c r="E1551" s="107" t="n">
        <v>1</v>
      </c>
      <c r="F1551" s="106" t="n">
        <v>1</v>
      </c>
      <c r="G1551" s="118" t="n">
        <v>1</v>
      </c>
      <c r="H1551" s="116" t="n">
        <v>0.9</v>
      </c>
      <c r="I1551" s="106" t="n">
        <v>0</v>
      </c>
      <c r="J1551" s="117" t="n">
        <v>0</v>
      </c>
      <c r="K1551" s="108" t="n">
        <v>0.9</v>
      </c>
      <c r="L1551" s="108" t="n">
        <v>0</v>
      </c>
      <c r="M1551" s="117"/>
      <c r="N1551" s="106"/>
      <c r="O1551" s="106"/>
      <c r="P1551" s="106"/>
      <c r="Q1551" s="106"/>
      <c r="R1551" s="106" t="s">
        <v>4537</v>
      </c>
    </row>
    <row r="1552" customFormat="false" ht="15" hidden="false" customHeight="false" outlineLevel="0" collapsed="false">
      <c r="A1552" s="106" t="s">
        <v>6175</v>
      </c>
      <c r="B1552" s="106" t="s">
        <v>4280</v>
      </c>
      <c r="C1552" s="106"/>
      <c r="D1552" s="106" t="n">
        <v>9</v>
      </c>
      <c r="E1552" s="107" t="n">
        <v>3</v>
      </c>
      <c r="F1552" s="106" t="n">
        <v>1</v>
      </c>
      <c r="G1552" s="118" t="n">
        <v>0.3333</v>
      </c>
      <c r="H1552" s="116" t="n">
        <v>0.9</v>
      </c>
      <c r="I1552" s="106" t="n">
        <v>0</v>
      </c>
      <c r="J1552" s="117" t="n">
        <v>0</v>
      </c>
      <c r="K1552" s="108" t="n">
        <v>0.9</v>
      </c>
      <c r="L1552" s="108" t="n">
        <v>0</v>
      </c>
      <c r="M1552" s="117"/>
      <c r="N1552" s="106"/>
      <c r="O1552" s="106"/>
      <c r="P1552" s="106"/>
      <c r="Q1552" s="106"/>
      <c r="R1552" s="106" t="s">
        <v>4537</v>
      </c>
    </row>
    <row r="1553" customFormat="false" ht="15" hidden="false" customHeight="false" outlineLevel="0" collapsed="false">
      <c r="A1553" s="106" t="s">
        <v>6176</v>
      </c>
      <c r="B1553" s="106" t="s">
        <v>4284</v>
      </c>
      <c r="C1553" s="106"/>
      <c r="D1553" s="106" t="n">
        <v>2531</v>
      </c>
      <c r="E1553" s="107" t="n">
        <v>1</v>
      </c>
      <c r="F1553" s="106" t="n">
        <v>1</v>
      </c>
      <c r="G1553" s="118" t="n">
        <v>1</v>
      </c>
      <c r="H1553" s="116" t="n">
        <v>0.9</v>
      </c>
      <c r="I1553" s="106" t="n">
        <v>0</v>
      </c>
      <c r="J1553" s="117" t="n">
        <v>0</v>
      </c>
      <c r="K1553" s="108" t="n">
        <v>0.9</v>
      </c>
      <c r="L1553" s="108" t="n">
        <v>0</v>
      </c>
      <c r="M1553" s="117"/>
      <c r="N1553" s="106"/>
      <c r="O1553" s="106"/>
      <c r="P1553" s="106"/>
      <c r="Q1553" s="106"/>
      <c r="R1553" s="106" t="s">
        <v>4537</v>
      </c>
    </row>
    <row r="1554" customFormat="false" ht="15" hidden="false" customHeight="false" outlineLevel="0" collapsed="false">
      <c r="A1554" s="106" t="s">
        <v>6177</v>
      </c>
      <c r="B1554" s="106" t="s">
        <v>4280</v>
      </c>
      <c r="C1554" s="106"/>
      <c r="D1554" s="106"/>
      <c r="E1554" s="107" t="n">
        <v>7</v>
      </c>
      <c r="F1554" s="106" t="n">
        <v>1</v>
      </c>
      <c r="G1554" s="118" t="n">
        <v>0.1429</v>
      </c>
      <c r="H1554" s="116" t="n">
        <v>0.9</v>
      </c>
      <c r="I1554" s="106" t="n">
        <v>0</v>
      </c>
      <c r="J1554" s="117" t="n">
        <v>0</v>
      </c>
      <c r="K1554" s="108" t="n">
        <v>0.9</v>
      </c>
      <c r="L1554" s="108" t="n">
        <v>0</v>
      </c>
      <c r="M1554" s="117"/>
      <c r="N1554" s="106"/>
      <c r="O1554" s="106"/>
      <c r="P1554" s="106"/>
      <c r="Q1554" s="106"/>
      <c r="R1554" s="106" t="s">
        <v>4537</v>
      </c>
    </row>
    <row r="1555" customFormat="false" ht="15" hidden="false" customHeight="false" outlineLevel="0" collapsed="false">
      <c r="A1555" s="106" t="s">
        <v>6178</v>
      </c>
      <c r="B1555" s="106" t="s">
        <v>4280</v>
      </c>
      <c r="C1555" s="106"/>
      <c r="D1555" s="106"/>
      <c r="E1555" s="107" t="n">
        <v>4</v>
      </c>
      <c r="F1555" s="106" t="n">
        <v>1</v>
      </c>
      <c r="G1555" s="118" t="n">
        <v>0.25</v>
      </c>
      <c r="H1555" s="116" t="n">
        <v>0.9</v>
      </c>
      <c r="I1555" s="106" t="n">
        <v>0</v>
      </c>
      <c r="J1555" s="117" t="n">
        <v>0</v>
      </c>
      <c r="K1555" s="108" t="n">
        <v>0.9</v>
      </c>
      <c r="L1555" s="108" t="n">
        <v>0</v>
      </c>
      <c r="M1555" s="117"/>
      <c r="N1555" s="106"/>
      <c r="O1555" s="106"/>
      <c r="P1555" s="106"/>
      <c r="Q1555" s="106"/>
      <c r="R1555" s="106" t="s">
        <v>4537</v>
      </c>
    </row>
    <row r="1556" customFormat="false" ht="15" hidden="false" customHeight="false" outlineLevel="0" collapsed="false">
      <c r="A1556" s="106" t="s">
        <v>6179</v>
      </c>
      <c r="B1556" s="106" t="s">
        <v>4309</v>
      </c>
      <c r="C1556" s="106"/>
      <c r="D1556" s="106" t="n">
        <v>9249</v>
      </c>
      <c r="E1556" s="107" t="n">
        <v>3</v>
      </c>
      <c r="F1556" s="106" t="n">
        <v>1</v>
      </c>
      <c r="G1556" s="118" t="n">
        <v>0.3333</v>
      </c>
      <c r="H1556" s="116" t="n">
        <v>0.9</v>
      </c>
      <c r="I1556" s="106" t="n">
        <v>0</v>
      </c>
      <c r="J1556" s="117" t="n">
        <v>0</v>
      </c>
      <c r="K1556" s="108" t="n">
        <v>0.9</v>
      </c>
      <c r="L1556" s="108" t="n">
        <v>0</v>
      </c>
      <c r="M1556" s="117"/>
      <c r="N1556" s="106"/>
      <c r="O1556" s="106"/>
      <c r="P1556" s="106"/>
      <c r="Q1556" s="106"/>
      <c r="R1556" s="106" t="s">
        <v>4537</v>
      </c>
    </row>
    <row r="1557" customFormat="false" ht="15" hidden="false" customHeight="false" outlineLevel="0" collapsed="false">
      <c r="A1557" s="106" t="s">
        <v>6180</v>
      </c>
      <c r="B1557" s="106" t="s">
        <v>4284</v>
      </c>
      <c r="C1557" s="106"/>
      <c r="D1557" s="106" t="n">
        <v>4</v>
      </c>
      <c r="E1557" s="107" t="n">
        <v>1</v>
      </c>
      <c r="F1557" s="106" t="n">
        <v>1</v>
      </c>
      <c r="G1557" s="118" t="n">
        <v>1</v>
      </c>
      <c r="H1557" s="116" t="n">
        <v>0.9</v>
      </c>
      <c r="I1557" s="106" t="n">
        <v>0</v>
      </c>
      <c r="J1557" s="117" t="n">
        <v>0</v>
      </c>
      <c r="K1557" s="108" t="n">
        <v>0.9</v>
      </c>
      <c r="L1557" s="108" t="n">
        <v>0</v>
      </c>
      <c r="M1557" s="117"/>
      <c r="N1557" s="106"/>
      <c r="O1557" s="106"/>
      <c r="P1557" s="106"/>
      <c r="Q1557" s="106"/>
      <c r="R1557" s="106" t="s">
        <v>4537</v>
      </c>
    </row>
    <row r="1558" customFormat="false" ht="15" hidden="false" customHeight="false" outlineLevel="0" collapsed="false">
      <c r="A1558" s="106" t="s">
        <v>6181</v>
      </c>
      <c r="B1558" s="106" t="s">
        <v>4280</v>
      </c>
      <c r="C1558" s="106"/>
      <c r="D1558" s="106"/>
      <c r="E1558" s="107" t="n">
        <v>1</v>
      </c>
      <c r="F1558" s="106" t="n">
        <v>1</v>
      </c>
      <c r="G1558" s="118" t="n">
        <v>1</v>
      </c>
      <c r="H1558" s="116" t="n">
        <v>0.9</v>
      </c>
      <c r="I1558" s="106" t="n">
        <v>0</v>
      </c>
      <c r="J1558" s="117" t="n">
        <v>0</v>
      </c>
      <c r="K1558" s="108" t="n">
        <v>0.9</v>
      </c>
      <c r="L1558" s="108" t="n">
        <v>0</v>
      </c>
      <c r="M1558" s="117"/>
      <c r="N1558" s="106"/>
      <c r="O1558" s="106"/>
      <c r="P1558" s="106"/>
      <c r="Q1558" s="106"/>
      <c r="R1558" s="106" t="s">
        <v>4537</v>
      </c>
    </row>
    <row r="1559" customFormat="false" ht="15" hidden="false" customHeight="false" outlineLevel="0" collapsed="false">
      <c r="A1559" s="106" t="s">
        <v>6182</v>
      </c>
      <c r="B1559" s="106" t="s">
        <v>4309</v>
      </c>
      <c r="C1559" s="106"/>
      <c r="D1559" s="106" t="n">
        <v>616</v>
      </c>
      <c r="E1559" s="107" t="n">
        <v>1</v>
      </c>
      <c r="F1559" s="106" t="n">
        <v>1</v>
      </c>
      <c r="G1559" s="118" t="n">
        <v>1</v>
      </c>
      <c r="H1559" s="116" t="n">
        <v>0.9</v>
      </c>
      <c r="I1559" s="106" t="n">
        <v>0</v>
      </c>
      <c r="J1559" s="117" t="n">
        <v>0</v>
      </c>
      <c r="K1559" s="108" t="n">
        <v>0.9</v>
      </c>
      <c r="L1559" s="108" t="n">
        <v>0</v>
      </c>
      <c r="M1559" s="117"/>
      <c r="N1559" s="106"/>
      <c r="O1559" s="106"/>
      <c r="P1559" s="106"/>
      <c r="Q1559" s="106"/>
      <c r="R1559" s="106" t="s">
        <v>4537</v>
      </c>
    </row>
    <row r="1560" customFormat="false" ht="15" hidden="false" customHeight="false" outlineLevel="0" collapsed="false">
      <c r="A1560" s="106" t="s">
        <v>6183</v>
      </c>
      <c r="B1560" s="106" t="s">
        <v>1403</v>
      </c>
      <c r="C1560" s="106"/>
      <c r="D1560" s="106" t="n">
        <v>6</v>
      </c>
      <c r="E1560" s="107" t="n">
        <v>1</v>
      </c>
      <c r="F1560" s="106" t="n">
        <v>1</v>
      </c>
      <c r="G1560" s="118" t="n">
        <v>1</v>
      </c>
      <c r="H1560" s="116" t="n">
        <v>0.9</v>
      </c>
      <c r="I1560" s="106" t="n">
        <v>0</v>
      </c>
      <c r="J1560" s="117" t="n">
        <v>0</v>
      </c>
      <c r="K1560" s="108" t="n">
        <v>0.9</v>
      </c>
      <c r="L1560" s="108" t="n">
        <v>0</v>
      </c>
      <c r="M1560" s="117"/>
      <c r="N1560" s="106"/>
      <c r="O1560" s="106"/>
      <c r="P1560" s="106"/>
      <c r="Q1560" s="106"/>
      <c r="R1560" s="106" t="s">
        <v>4537</v>
      </c>
    </row>
    <row r="1561" customFormat="false" ht="15" hidden="false" customHeight="false" outlineLevel="0" collapsed="false">
      <c r="A1561" s="106" t="s">
        <v>6184</v>
      </c>
      <c r="B1561" s="106" t="s">
        <v>1403</v>
      </c>
      <c r="C1561" s="106"/>
      <c r="D1561" s="106"/>
      <c r="E1561" s="107" t="n">
        <v>1</v>
      </c>
      <c r="F1561" s="106" t="n">
        <v>1</v>
      </c>
      <c r="G1561" s="118" t="n">
        <v>1</v>
      </c>
      <c r="H1561" s="116" t="n">
        <v>0.9</v>
      </c>
      <c r="I1561" s="106" t="n">
        <v>0</v>
      </c>
      <c r="J1561" s="117" t="n">
        <v>0</v>
      </c>
      <c r="K1561" s="108" t="n">
        <v>0.9</v>
      </c>
      <c r="L1561" s="108" t="n">
        <v>0</v>
      </c>
      <c r="M1561" s="117"/>
      <c r="N1561" s="106"/>
      <c r="O1561" s="106"/>
      <c r="P1561" s="106"/>
      <c r="Q1561" s="106"/>
      <c r="R1561" s="106" t="s">
        <v>4537</v>
      </c>
    </row>
    <row r="1562" customFormat="false" ht="15" hidden="false" customHeight="false" outlineLevel="0" collapsed="false">
      <c r="A1562" s="106" t="s">
        <v>6185</v>
      </c>
      <c r="B1562" s="106" t="s">
        <v>4280</v>
      </c>
      <c r="C1562" s="106"/>
      <c r="D1562" s="106"/>
      <c r="E1562" s="107" t="n">
        <v>1</v>
      </c>
      <c r="F1562" s="106" t="n">
        <v>1</v>
      </c>
      <c r="G1562" s="118" t="n">
        <v>1</v>
      </c>
      <c r="H1562" s="116" t="n">
        <v>0.9</v>
      </c>
      <c r="I1562" s="106" t="n">
        <v>0</v>
      </c>
      <c r="J1562" s="117" t="n">
        <v>0</v>
      </c>
      <c r="K1562" s="108" t="n">
        <v>0.9</v>
      </c>
      <c r="L1562" s="108" t="n">
        <v>0</v>
      </c>
      <c r="M1562" s="117"/>
      <c r="N1562" s="106"/>
      <c r="O1562" s="106"/>
      <c r="P1562" s="106"/>
      <c r="Q1562" s="106"/>
      <c r="R1562" s="106" t="s">
        <v>4537</v>
      </c>
    </row>
    <row r="1563" customFormat="false" ht="15" hidden="false" customHeight="false" outlineLevel="0" collapsed="false">
      <c r="A1563" s="106" t="s">
        <v>6186</v>
      </c>
      <c r="B1563" s="106" t="s">
        <v>4280</v>
      </c>
      <c r="C1563" s="106"/>
      <c r="D1563" s="106" t="n">
        <v>25</v>
      </c>
      <c r="E1563" s="107" t="n">
        <v>1</v>
      </c>
      <c r="F1563" s="106" t="n">
        <v>1</v>
      </c>
      <c r="G1563" s="118" t="n">
        <v>1</v>
      </c>
      <c r="H1563" s="116" t="n">
        <v>0.9</v>
      </c>
      <c r="I1563" s="106" t="n">
        <v>0</v>
      </c>
      <c r="J1563" s="117" t="n">
        <v>0</v>
      </c>
      <c r="K1563" s="108" t="n">
        <v>0.9</v>
      </c>
      <c r="L1563" s="108" t="n">
        <v>0</v>
      </c>
      <c r="M1563" s="117"/>
      <c r="N1563" s="106"/>
      <c r="O1563" s="106"/>
      <c r="P1563" s="106"/>
      <c r="Q1563" s="106"/>
      <c r="R1563" s="106" t="s">
        <v>4537</v>
      </c>
    </row>
    <row r="1564" customFormat="false" ht="15" hidden="false" customHeight="false" outlineLevel="0" collapsed="false">
      <c r="A1564" s="106" t="s">
        <v>6187</v>
      </c>
      <c r="B1564" s="106" t="s">
        <v>4280</v>
      </c>
      <c r="C1564" s="106"/>
      <c r="D1564" s="106"/>
      <c r="E1564" s="107" t="n">
        <v>1</v>
      </c>
      <c r="F1564" s="106" t="n">
        <v>1</v>
      </c>
      <c r="G1564" s="118" t="n">
        <v>1</v>
      </c>
      <c r="H1564" s="116" t="n">
        <v>0.9</v>
      </c>
      <c r="I1564" s="106" t="n">
        <v>0</v>
      </c>
      <c r="J1564" s="117" t="n">
        <v>0</v>
      </c>
      <c r="K1564" s="108" t="n">
        <v>0.9</v>
      </c>
      <c r="L1564" s="108" t="n">
        <v>0</v>
      </c>
      <c r="M1564" s="117"/>
      <c r="N1564" s="106"/>
      <c r="O1564" s="106"/>
      <c r="P1564" s="106"/>
      <c r="Q1564" s="106"/>
      <c r="R1564" s="106" t="s">
        <v>4537</v>
      </c>
    </row>
    <row r="1565" customFormat="false" ht="15" hidden="false" customHeight="false" outlineLevel="0" collapsed="false">
      <c r="A1565" s="106" t="s">
        <v>6188</v>
      </c>
      <c r="B1565" s="106" t="s">
        <v>4284</v>
      </c>
      <c r="C1565" s="106"/>
      <c r="D1565" s="106"/>
      <c r="E1565" s="107" t="n">
        <v>1</v>
      </c>
      <c r="F1565" s="106" t="n">
        <v>1</v>
      </c>
      <c r="G1565" s="118" t="n">
        <v>1</v>
      </c>
      <c r="H1565" s="116" t="n">
        <v>0.9</v>
      </c>
      <c r="I1565" s="106" t="n">
        <v>0</v>
      </c>
      <c r="J1565" s="117" t="n">
        <v>0</v>
      </c>
      <c r="K1565" s="108" t="n">
        <v>0.9</v>
      </c>
      <c r="L1565" s="108" t="n">
        <v>0</v>
      </c>
      <c r="M1565" s="117"/>
      <c r="N1565" s="106"/>
      <c r="O1565" s="106"/>
      <c r="P1565" s="106"/>
      <c r="Q1565" s="106"/>
      <c r="R1565" s="106" t="s">
        <v>4537</v>
      </c>
    </row>
    <row r="1566" customFormat="false" ht="15" hidden="false" customHeight="false" outlineLevel="0" collapsed="false">
      <c r="A1566" s="106" t="s">
        <v>6189</v>
      </c>
      <c r="B1566" s="106"/>
      <c r="C1566" s="106"/>
      <c r="D1566" s="106"/>
      <c r="E1566" s="107" t="n">
        <v>1</v>
      </c>
      <c r="F1566" s="106" t="n">
        <v>1</v>
      </c>
      <c r="G1566" s="118" t="n">
        <v>1</v>
      </c>
      <c r="H1566" s="116" t="n">
        <v>0.9</v>
      </c>
      <c r="I1566" s="106" t="n">
        <v>0</v>
      </c>
      <c r="J1566" s="117" t="n">
        <v>0</v>
      </c>
      <c r="K1566" s="108" t="n">
        <v>0.9</v>
      </c>
      <c r="L1566" s="108" t="n">
        <v>0</v>
      </c>
      <c r="M1566" s="117"/>
      <c r="N1566" s="106"/>
      <c r="O1566" s="106"/>
      <c r="P1566" s="106"/>
      <c r="Q1566" s="106"/>
      <c r="R1566" s="106" t="s">
        <v>4537</v>
      </c>
    </row>
    <row r="1567" customFormat="false" ht="15" hidden="false" customHeight="false" outlineLevel="0" collapsed="false">
      <c r="A1567" s="106" t="s">
        <v>6190</v>
      </c>
      <c r="B1567" s="106" t="s">
        <v>4280</v>
      </c>
      <c r="C1567" s="106"/>
      <c r="D1567" s="106"/>
      <c r="E1567" s="107" t="n">
        <v>2</v>
      </c>
      <c r="F1567" s="106" t="n">
        <v>1</v>
      </c>
      <c r="G1567" s="118" t="n">
        <v>0.5</v>
      </c>
      <c r="H1567" s="116" t="n">
        <v>0.9</v>
      </c>
      <c r="I1567" s="106" t="n">
        <v>0</v>
      </c>
      <c r="J1567" s="117" t="n">
        <v>0</v>
      </c>
      <c r="K1567" s="108" t="n">
        <v>0.9</v>
      </c>
      <c r="L1567" s="108" t="n">
        <v>0</v>
      </c>
      <c r="M1567" s="117"/>
      <c r="N1567" s="106"/>
      <c r="O1567" s="106"/>
      <c r="P1567" s="106"/>
      <c r="Q1567" s="106"/>
      <c r="R1567" s="106" t="s">
        <v>4537</v>
      </c>
    </row>
    <row r="1568" customFormat="false" ht="15" hidden="false" customHeight="false" outlineLevel="0" collapsed="false">
      <c r="A1568" s="106" t="s">
        <v>6191</v>
      </c>
      <c r="B1568" s="106" t="s">
        <v>4280</v>
      </c>
      <c r="C1568" s="106"/>
      <c r="D1568" s="106"/>
      <c r="E1568" s="107" t="n">
        <v>1</v>
      </c>
      <c r="F1568" s="106" t="n">
        <v>1</v>
      </c>
      <c r="G1568" s="118" t="n">
        <v>1</v>
      </c>
      <c r="H1568" s="116" t="n">
        <v>0.9</v>
      </c>
      <c r="I1568" s="106" t="n">
        <v>0</v>
      </c>
      <c r="J1568" s="117" t="n">
        <v>0</v>
      </c>
      <c r="K1568" s="108" t="n">
        <v>0.9</v>
      </c>
      <c r="L1568" s="108" t="n">
        <v>0</v>
      </c>
      <c r="M1568" s="117"/>
      <c r="N1568" s="106"/>
      <c r="O1568" s="106"/>
      <c r="P1568" s="106"/>
      <c r="Q1568" s="106"/>
      <c r="R1568" s="106" t="s">
        <v>4537</v>
      </c>
    </row>
    <row r="1569" customFormat="false" ht="15" hidden="false" customHeight="false" outlineLevel="0" collapsed="false">
      <c r="A1569" s="106" t="s">
        <v>6192</v>
      </c>
      <c r="B1569" s="106" t="s">
        <v>4284</v>
      </c>
      <c r="C1569" s="106"/>
      <c r="D1569" s="106"/>
      <c r="E1569" s="107" t="n">
        <v>1</v>
      </c>
      <c r="F1569" s="106" t="n">
        <v>1</v>
      </c>
      <c r="G1569" s="118" t="n">
        <v>1</v>
      </c>
      <c r="H1569" s="116" t="n">
        <v>0.9</v>
      </c>
      <c r="I1569" s="106" t="n">
        <v>2</v>
      </c>
      <c r="J1569" s="117" t="n">
        <v>2</v>
      </c>
      <c r="K1569" s="108" t="n">
        <v>0.9</v>
      </c>
      <c r="L1569" s="108" t="n">
        <v>88.98</v>
      </c>
      <c r="M1569" s="117" t="n">
        <v>0.01</v>
      </c>
      <c r="N1569" s="106"/>
      <c r="O1569" s="106"/>
      <c r="P1569" s="106"/>
      <c r="Q1569" s="106"/>
      <c r="R1569" s="106" t="s">
        <v>4285</v>
      </c>
    </row>
    <row r="1570" customFormat="false" ht="15" hidden="false" customHeight="false" outlineLevel="0" collapsed="false">
      <c r="A1570" s="106" t="s">
        <v>6193</v>
      </c>
      <c r="B1570" s="106" t="s">
        <v>4280</v>
      </c>
      <c r="C1570" s="106"/>
      <c r="D1570" s="106" t="n">
        <v>6</v>
      </c>
      <c r="E1570" s="107" t="n">
        <v>2</v>
      </c>
      <c r="F1570" s="106" t="n">
        <v>1</v>
      </c>
      <c r="G1570" s="118" t="n">
        <v>0.5</v>
      </c>
      <c r="H1570" s="116" t="n">
        <v>4.57</v>
      </c>
      <c r="I1570" s="106" t="n">
        <v>0</v>
      </c>
      <c r="J1570" s="117" t="n">
        <v>0</v>
      </c>
      <c r="K1570" s="108" t="n">
        <v>4.57</v>
      </c>
      <c r="L1570" s="108" t="n">
        <v>0</v>
      </c>
      <c r="M1570" s="117"/>
      <c r="N1570" s="106"/>
      <c r="O1570" s="106"/>
      <c r="P1570" s="106"/>
      <c r="Q1570" s="106"/>
      <c r="R1570" s="106" t="s">
        <v>4537</v>
      </c>
    </row>
    <row r="1571" customFormat="false" ht="15" hidden="false" customHeight="false" outlineLevel="0" collapsed="false">
      <c r="A1571" s="106" t="s">
        <v>6194</v>
      </c>
      <c r="B1571" s="106" t="s">
        <v>4280</v>
      </c>
      <c r="C1571" s="106"/>
      <c r="D1571" s="106" t="n">
        <v>7</v>
      </c>
      <c r="E1571" s="107" t="n">
        <v>1</v>
      </c>
      <c r="F1571" s="106" t="n">
        <v>1</v>
      </c>
      <c r="G1571" s="118" t="n">
        <v>1</v>
      </c>
      <c r="H1571" s="116" t="n">
        <v>4.42</v>
      </c>
      <c r="I1571" s="106" t="n">
        <v>0</v>
      </c>
      <c r="J1571" s="117" t="n">
        <v>0</v>
      </c>
      <c r="K1571" s="108" t="n">
        <v>4.42</v>
      </c>
      <c r="L1571" s="108" t="n">
        <v>0</v>
      </c>
      <c r="M1571" s="117"/>
      <c r="N1571" s="106"/>
      <c r="O1571" s="106"/>
      <c r="P1571" s="106"/>
      <c r="Q1571" s="106"/>
      <c r="R1571" s="106" t="s">
        <v>4537</v>
      </c>
    </row>
    <row r="1572" customFormat="false" ht="15" hidden="false" customHeight="false" outlineLevel="0" collapsed="false">
      <c r="A1572" s="106" t="s">
        <v>6195</v>
      </c>
      <c r="B1572" s="106" t="s">
        <v>4280</v>
      </c>
      <c r="C1572" s="106"/>
      <c r="D1572" s="106" t="n">
        <v>25</v>
      </c>
      <c r="E1572" s="107" t="n">
        <v>1</v>
      </c>
      <c r="F1572" s="106" t="n">
        <v>1</v>
      </c>
      <c r="G1572" s="118" t="n">
        <v>1</v>
      </c>
      <c r="H1572" s="116" t="n">
        <v>4.37</v>
      </c>
      <c r="I1572" s="106" t="n">
        <v>0</v>
      </c>
      <c r="J1572" s="117" t="n">
        <v>0</v>
      </c>
      <c r="K1572" s="108" t="n">
        <v>4.37</v>
      </c>
      <c r="L1572" s="108" t="n">
        <v>0</v>
      </c>
      <c r="M1572" s="117"/>
      <c r="N1572" s="106"/>
      <c r="O1572" s="106"/>
      <c r="P1572" s="106"/>
      <c r="Q1572" s="106"/>
      <c r="R1572" s="106" t="s">
        <v>4537</v>
      </c>
    </row>
    <row r="1573" customFormat="false" ht="15" hidden="false" customHeight="false" outlineLevel="0" collapsed="false">
      <c r="A1573" s="106" t="s">
        <v>6196</v>
      </c>
      <c r="B1573" s="106" t="s">
        <v>1403</v>
      </c>
      <c r="C1573" s="106"/>
      <c r="D1573" s="106"/>
      <c r="E1573" s="107" t="n">
        <v>6</v>
      </c>
      <c r="F1573" s="106" t="n">
        <v>1</v>
      </c>
      <c r="G1573" s="118" t="n">
        <v>0.1667</v>
      </c>
      <c r="H1573" s="116" t="n">
        <v>4.26</v>
      </c>
      <c r="I1573" s="106" t="n">
        <v>0</v>
      </c>
      <c r="J1573" s="117" t="n">
        <v>0</v>
      </c>
      <c r="K1573" s="108" t="n">
        <v>4.26</v>
      </c>
      <c r="L1573" s="108" t="n">
        <v>0</v>
      </c>
      <c r="M1573" s="117"/>
      <c r="N1573" s="106"/>
      <c r="O1573" s="106"/>
      <c r="P1573" s="106"/>
      <c r="Q1573" s="106"/>
      <c r="R1573" s="106" t="s">
        <v>4537</v>
      </c>
    </row>
    <row r="1574" customFormat="false" ht="15" hidden="false" customHeight="false" outlineLevel="0" collapsed="false">
      <c r="A1574" s="106" t="s">
        <v>6197</v>
      </c>
      <c r="B1574" s="106" t="s">
        <v>1403</v>
      </c>
      <c r="C1574" s="106"/>
      <c r="D1574" s="106"/>
      <c r="E1574" s="107" t="n">
        <v>10</v>
      </c>
      <c r="F1574" s="106" t="n">
        <v>1</v>
      </c>
      <c r="G1574" s="118" t="n">
        <v>0.1</v>
      </c>
      <c r="H1574" s="116" t="n">
        <v>4.26</v>
      </c>
      <c r="I1574" s="106" t="n">
        <v>1</v>
      </c>
      <c r="J1574" s="117" t="n">
        <v>1</v>
      </c>
      <c r="K1574" s="108" t="n">
        <v>4.26</v>
      </c>
      <c r="L1574" s="108" t="n">
        <v>66.49</v>
      </c>
      <c r="M1574" s="117" t="n">
        <v>0.064</v>
      </c>
      <c r="N1574" s="106"/>
      <c r="O1574" s="106"/>
      <c r="P1574" s="106"/>
      <c r="Q1574" s="106"/>
      <c r="R1574" s="106" t="s">
        <v>4285</v>
      </c>
    </row>
    <row r="1575" customFormat="false" ht="15" hidden="false" customHeight="false" outlineLevel="0" collapsed="false">
      <c r="A1575" s="106" t="s">
        <v>6198</v>
      </c>
      <c r="B1575" s="106" t="s">
        <v>1403</v>
      </c>
      <c r="C1575" s="106"/>
      <c r="D1575" s="106" t="n">
        <v>3</v>
      </c>
      <c r="E1575" s="107" t="n">
        <v>3</v>
      </c>
      <c r="F1575" s="106" t="n">
        <v>1</v>
      </c>
      <c r="G1575" s="118" t="n">
        <v>0.3333</v>
      </c>
      <c r="H1575" s="116" t="n">
        <v>4.26</v>
      </c>
      <c r="I1575" s="106" t="n">
        <v>0</v>
      </c>
      <c r="J1575" s="117" t="n">
        <v>0</v>
      </c>
      <c r="K1575" s="108" t="n">
        <v>4.26</v>
      </c>
      <c r="L1575" s="108" t="n">
        <v>0</v>
      </c>
      <c r="M1575" s="117"/>
      <c r="N1575" s="106"/>
      <c r="O1575" s="106"/>
      <c r="P1575" s="106"/>
      <c r="Q1575" s="106"/>
      <c r="R1575" s="106" t="s">
        <v>4537</v>
      </c>
    </row>
    <row r="1576" customFormat="false" ht="15" hidden="false" customHeight="false" outlineLevel="0" collapsed="false">
      <c r="A1576" s="106" t="s">
        <v>1106</v>
      </c>
      <c r="B1576" s="106" t="s">
        <v>4280</v>
      </c>
      <c r="C1576" s="106" t="s">
        <v>4281</v>
      </c>
      <c r="D1576" s="106" t="n">
        <v>649</v>
      </c>
      <c r="E1576" s="107" t="n">
        <v>7</v>
      </c>
      <c r="F1576" s="106" t="n">
        <v>1</v>
      </c>
      <c r="G1576" s="118" t="n">
        <v>0.1429</v>
      </c>
      <c r="H1576" s="116" t="n">
        <v>4.17</v>
      </c>
      <c r="I1576" s="106" t="n">
        <v>0</v>
      </c>
      <c r="J1576" s="117" t="n">
        <v>0</v>
      </c>
      <c r="K1576" s="108" t="n">
        <v>4.17</v>
      </c>
      <c r="L1576" s="108" t="n">
        <v>0</v>
      </c>
      <c r="M1576" s="117"/>
      <c r="N1576" s="106" t="n">
        <v>36</v>
      </c>
      <c r="O1576" s="106" t="n">
        <v>5</v>
      </c>
      <c r="P1576" s="106" t="s">
        <v>4631</v>
      </c>
      <c r="Q1576" s="106" t="n">
        <v>57</v>
      </c>
      <c r="R1576" s="106" t="s">
        <v>4537</v>
      </c>
    </row>
    <row r="1577" customFormat="false" ht="15" hidden="false" customHeight="false" outlineLevel="0" collapsed="false">
      <c r="A1577" s="106" t="s">
        <v>6199</v>
      </c>
      <c r="B1577" s="106" t="s">
        <v>4280</v>
      </c>
      <c r="C1577" s="106"/>
      <c r="D1577" s="106"/>
      <c r="E1577" s="107" t="n">
        <v>1</v>
      </c>
      <c r="F1577" s="106" t="n">
        <v>1</v>
      </c>
      <c r="G1577" s="118" t="n">
        <v>1</v>
      </c>
      <c r="H1577" s="116" t="n">
        <v>0.9</v>
      </c>
      <c r="I1577" s="106" t="n">
        <v>0</v>
      </c>
      <c r="J1577" s="117" t="n">
        <v>0</v>
      </c>
      <c r="K1577" s="108" t="n">
        <v>0.9</v>
      </c>
      <c r="L1577" s="108" t="n">
        <v>0</v>
      </c>
      <c r="M1577" s="117"/>
      <c r="N1577" s="106"/>
      <c r="O1577" s="106"/>
      <c r="P1577" s="106"/>
      <c r="Q1577" s="106"/>
      <c r="R1577" s="106" t="s">
        <v>4537</v>
      </c>
    </row>
    <row r="1578" customFormat="false" ht="15" hidden="false" customHeight="false" outlineLevel="0" collapsed="false">
      <c r="A1578" s="106" t="s">
        <v>6200</v>
      </c>
      <c r="B1578" s="106" t="s">
        <v>4280</v>
      </c>
      <c r="C1578" s="106"/>
      <c r="D1578" s="106" t="n">
        <v>9</v>
      </c>
      <c r="E1578" s="107" t="n">
        <v>1</v>
      </c>
      <c r="F1578" s="106" t="n">
        <v>1</v>
      </c>
      <c r="G1578" s="118" t="n">
        <v>1</v>
      </c>
      <c r="H1578" s="116" t="n">
        <v>0.9</v>
      </c>
      <c r="I1578" s="106" t="n">
        <v>0</v>
      </c>
      <c r="J1578" s="117" t="n">
        <v>0</v>
      </c>
      <c r="K1578" s="108" t="n">
        <v>0.9</v>
      </c>
      <c r="L1578" s="108" t="n">
        <v>0</v>
      </c>
      <c r="M1578" s="117"/>
      <c r="N1578" s="106"/>
      <c r="O1578" s="106"/>
      <c r="P1578" s="106"/>
      <c r="Q1578" s="106"/>
      <c r="R1578" s="106" t="s">
        <v>4537</v>
      </c>
    </row>
    <row r="1579" customFormat="false" ht="15" hidden="false" customHeight="false" outlineLevel="0" collapsed="false">
      <c r="A1579" s="106" t="s">
        <v>6201</v>
      </c>
      <c r="B1579" s="106" t="s">
        <v>4284</v>
      </c>
      <c r="C1579" s="106"/>
      <c r="D1579" s="106"/>
      <c r="E1579" s="107" t="n">
        <v>1</v>
      </c>
      <c r="F1579" s="106" t="n">
        <v>1</v>
      </c>
      <c r="G1579" s="118" t="n">
        <v>1</v>
      </c>
      <c r="H1579" s="116" t="n">
        <v>0.9</v>
      </c>
      <c r="I1579" s="106" t="n">
        <v>0</v>
      </c>
      <c r="J1579" s="117" t="n">
        <v>0</v>
      </c>
      <c r="K1579" s="108" t="n">
        <v>0.9</v>
      </c>
      <c r="L1579" s="108" t="n">
        <v>0</v>
      </c>
      <c r="M1579" s="117"/>
      <c r="N1579" s="106"/>
      <c r="O1579" s="106"/>
      <c r="P1579" s="106"/>
      <c r="Q1579" s="106"/>
      <c r="R1579" s="106" t="s">
        <v>4537</v>
      </c>
    </row>
    <row r="1580" customFormat="false" ht="15" hidden="false" customHeight="false" outlineLevel="0" collapsed="false">
      <c r="A1580" s="106" t="s">
        <v>6202</v>
      </c>
      <c r="B1580" s="106" t="s">
        <v>4280</v>
      </c>
      <c r="C1580" s="106"/>
      <c r="D1580" s="106"/>
      <c r="E1580" s="107" t="n">
        <v>1</v>
      </c>
      <c r="F1580" s="106" t="n">
        <v>1</v>
      </c>
      <c r="G1580" s="118" t="n">
        <v>1</v>
      </c>
      <c r="H1580" s="116" t="n">
        <v>0.9</v>
      </c>
      <c r="I1580" s="106" t="n">
        <v>0</v>
      </c>
      <c r="J1580" s="117" t="n">
        <v>0</v>
      </c>
      <c r="K1580" s="108" t="n">
        <v>0.9</v>
      </c>
      <c r="L1580" s="108" t="n">
        <v>0</v>
      </c>
      <c r="M1580" s="117"/>
      <c r="N1580" s="106"/>
      <c r="O1580" s="106"/>
      <c r="P1580" s="106"/>
      <c r="Q1580" s="106"/>
      <c r="R1580" s="106" t="s">
        <v>4537</v>
      </c>
    </row>
    <row r="1581" customFormat="false" ht="15" hidden="false" customHeight="false" outlineLevel="0" collapsed="false">
      <c r="A1581" s="106" t="s">
        <v>6203</v>
      </c>
      <c r="B1581" s="106" t="s">
        <v>4280</v>
      </c>
      <c r="C1581" s="106"/>
      <c r="D1581" s="106"/>
      <c r="E1581" s="107" t="n">
        <v>2</v>
      </c>
      <c r="F1581" s="106" t="n">
        <v>1</v>
      </c>
      <c r="G1581" s="118" t="n">
        <v>0.5</v>
      </c>
      <c r="H1581" s="116" t="n">
        <v>0.9</v>
      </c>
      <c r="I1581" s="106" t="n">
        <v>0</v>
      </c>
      <c r="J1581" s="117" t="n">
        <v>0</v>
      </c>
      <c r="K1581" s="108" t="n">
        <v>0.9</v>
      </c>
      <c r="L1581" s="108" t="n">
        <v>0</v>
      </c>
      <c r="M1581" s="117"/>
      <c r="N1581" s="106"/>
      <c r="O1581" s="106"/>
      <c r="P1581" s="106"/>
      <c r="Q1581" s="106"/>
      <c r="R1581" s="106" t="s">
        <v>4537</v>
      </c>
    </row>
    <row r="1582" customFormat="false" ht="15" hidden="false" customHeight="false" outlineLevel="0" collapsed="false">
      <c r="A1582" s="106" t="s">
        <v>6204</v>
      </c>
      <c r="B1582" s="106" t="s">
        <v>4284</v>
      </c>
      <c r="C1582" s="106"/>
      <c r="D1582" s="106" t="n">
        <v>10</v>
      </c>
      <c r="E1582" s="107" t="n">
        <v>2</v>
      </c>
      <c r="F1582" s="106" t="n">
        <v>1</v>
      </c>
      <c r="G1582" s="118" t="n">
        <v>0.5</v>
      </c>
      <c r="H1582" s="116" t="n">
        <v>0.9</v>
      </c>
      <c r="I1582" s="106" t="n">
        <v>0</v>
      </c>
      <c r="J1582" s="117" t="n">
        <v>0</v>
      </c>
      <c r="K1582" s="108" t="n">
        <v>0.9</v>
      </c>
      <c r="L1582" s="108" t="n">
        <v>0</v>
      </c>
      <c r="M1582" s="117"/>
      <c r="N1582" s="106"/>
      <c r="O1582" s="106"/>
      <c r="P1582" s="106"/>
      <c r="Q1582" s="106"/>
      <c r="R1582" s="106" t="s">
        <v>4537</v>
      </c>
    </row>
    <row r="1583" customFormat="false" ht="15" hidden="false" customHeight="false" outlineLevel="0" collapsed="false">
      <c r="A1583" s="106" t="s">
        <v>6205</v>
      </c>
      <c r="B1583" s="106" t="s">
        <v>4280</v>
      </c>
      <c r="C1583" s="106"/>
      <c r="D1583" s="106" t="n">
        <v>3</v>
      </c>
      <c r="E1583" s="107" t="n">
        <v>2</v>
      </c>
      <c r="F1583" s="106" t="n">
        <v>1</v>
      </c>
      <c r="G1583" s="118" t="n">
        <v>0.5</v>
      </c>
      <c r="H1583" s="116" t="n">
        <v>0.9</v>
      </c>
      <c r="I1583" s="106" t="n">
        <v>0</v>
      </c>
      <c r="J1583" s="117" t="n">
        <v>0</v>
      </c>
      <c r="K1583" s="108" t="n">
        <v>0.9</v>
      </c>
      <c r="L1583" s="108" t="n">
        <v>0</v>
      </c>
      <c r="M1583" s="117"/>
      <c r="N1583" s="106"/>
      <c r="O1583" s="106"/>
      <c r="P1583" s="106"/>
      <c r="Q1583" s="106"/>
      <c r="R1583" s="106" t="s">
        <v>4537</v>
      </c>
    </row>
    <row r="1584" customFormat="false" ht="15" hidden="false" customHeight="false" outlineLevel="0" collapsed="false">
      <c r="A1584" s="106" t="s">
        <v>6206</v>
      </c>
      <c r="B1584" s="106" t="s">
        <v>4284</v>
      </c>
      <c r="C1584" s="106"/>
      <c r="D1584" s="106"/>
      <c r="E1584" s="107" t="n">
        <v>1</v>
      </c>
      <c r="F1584" s="106" t="n">
        <v>1</v>
      </c>
      <c r="G1584" s="118" t="n">
        <v>1</v>
      </c>
      <c r="H1584" s="116" t="n">
        <v>0.9</v>
      </c>
      <c r="I1584" s="106" t="n">
        <v>0</v>
      </c>
      <c r="J1584" s="117" t="n">
        <v>0</v>
      </c>
      <c r="K1584" s="108" t="n">
        <v>0.9</v>
      </c>
      <c r="L1584" s="108" t="n">
        <v>0</v>
      </c>
      <c r="M1584" s="117"/>
      <c r="N1584" s="106"/>
      <c r="O1584" s="106"/>
      <c r="P1584" s="106"/>
      <c r="Q1584" s="106"/>
      <c r="R1584" s="106" t="s">
        <v>4537</v>
      </c>
    </row>
    <row r="1585" customFormat="false" ht="15" hidden="false" customHeight="false" outlineLevel="0" collapsed="false">
      <c r="A1585" s="106" t="s">
        <v>6207</v>
      </c>
      <c r="B1585" s="106" t="s">
        <v>4329</v>
      </c>
      <c r="C1585" s="106"/>
      <c r="D1585" s="106" t="n">
        <v>360</v>
      </c>
      <c r="E1585" s="107" t="n">
        <v>3</v>
      </c>
      <c r="F1585" s="106" t="n">
        <v>1</v>
      </c>
      <c r="G1585" s="118" t="n">
        <v>0.3333</v>
      </c>
      <c r="H1585" s="116" t="n">
        <v>0.9</v>
      </c>
      <c r="I1585" s="106" t="n">
        <v>0</v>
      </c>
      <c r="J1585" s="117" t="n">
        <v>0</v>
      </c>
      <c r="K1585" s="108" t="n">
        <v>0.9</v>
      </c>
      <c r="L1585" s="108" t="n">
        <v>0</v>
      </c>
      <c r="M1585" s="117"/>
      <c r="N1585" s="106"/>
      <c r="O1585" s="106"/>
      <c r="P1585" s="106"/>
      <c r="Q1585" s="106"/>
      <c r="R1585" s="106" t="s">
        <v>4537</v>
      </c>
    </row>
    <row r="1586" customFormat="false" ht="15" hidden="false" customHeight="false" outlineLevel="0" collapsed="false">
      <c r="A1586" s="106" t="s">
        <v>6208</v>
      </c>
      <c r="B1586" s="106" t="s">
        <v>4280</v>
      </c>
      <c r="C1586" s="106"/>
      <c r="D1586" s="106"/>
      <c r="E1586" s="107" t="n">
        <v>1</v>
      </c>
      <c r="F1586" s="106" t="n">
        <v>1</v>
      </c>
      <c r="G1586" s="118" t="n">
        <v>1</v>
      </c>
      <c r="H1586" s="116" t="n">
        <v>0.9</v>
      </c>
      <c r="I1586" s="106" t="n">
        <v>0</v>
      </c>
      <c r="J1586" s="117" t="n">
        <v>0</v>
      </c>
      <c r="K1586" s="108" t="n">
        <v>0.9</v>
      </c>
      <c r="L1586" s="108" t="n">
        <v>0</v>
      </c>
      <c r="M1586" s="117"/>
      <c r="N1586" s="106"/>
      <c r="O1586" s="106"/>
      <c r="P1586" s="106"/>
      <c r="Q1586" s="106"/>
      <c r="R1586" s="106" t="s">
        <v>4537</v>
      </c>
    </row>
    <row r="1587" customFormat="false" ht="15" hidden="false" customHeight="false" outlineLevel="0" collapsed="false">
      <c r="A1587" s="106" t="s">
        <v>6209</v>
      </c>
      <c r="B1587" s="106" t="s">
        <v>4284</v>
      </c>
      <c r="C1587" s="106"/>
      <c r="D1587" s="106"/>
      <c r="E1587" s="107" t="n">
        <v>1</v>
      </c>
      <c r="F1587" s="106" t="n">
        <v>1</v>
      </c>
      <c r="G1587" s="118" t="n">
        <v>1</v>
      </c>
      <c r="H1587" s="116" t="n">
        <v>0.9</v>
      </c>
      <c r="I1587" s="106" t="n">
        <v>0</v>
      </c>
      <c r="J1587" s="117" t="n">
        <v>0</v>
      </c>
      <c r="K1587" s="108" t="n">
        <v>0.9</v>
      </c>
      <c r="L1587" s="108" t="n">
        <v>0</v>
      </c>
      <c r="M1587" s="117"/>
      <c r="N1587" s="106"/>
      <c r="O1587" s="106"/>
      <c r="P1587" s="106"/>
      <c r="Q1587" s="106"/>
      <c r="R1587" s="106" t="s">
        <v>4537</v>
      </c>
    </row>
    <row r="1588" customFormat="false" ht="15" hidden="false" customHeight="false" outlineLevel="0" collapsed="false">
      <c r="A1588" s="106" t="s">
        <v>6210</v>
      </c>
      <c r="B1588" s="106" t="s">
        <v>4284</v>
      </c>
      <c r="C1588" s="106"/>
      <c r="D1588" s="106" t="n">
        <v>18</v>
      </c>
      <c r="E1588" s="107" t="n">
        <v>1</v>
      </c>
      <c r="F1588" s="106" t="n">
        <v>1</v>
      </c>
      <c r="G1588" s="118" t="n">
        <v>1</v>
      </c>
      <c r="H1588" s="116" t="n">
        <v>0.9</v>
      </c>
      <c r="I1588" s="106" t="n">
        <v>0</v>
      </c>
      <c r="J1588" s="117" t="n">
        <v>0</v>
      </c>
      <c r="K1588" s="108" t="n">
        <v>0.9</v>
      </c>
      <c r="L1588" s="108" t="n">
        <v>0</v>
      </c>
      <c r="M1588" s="117"/>
      <c r="N1588" s="106"/>
      <c r="O1588" s="106"/>
      <c r="P1588" s="106"/>
      <c r="Q1588" s="106"/>
      <c r="R1588" s="106" t="s">
        <v>4537</v>
      </c>
    </row>
    <row r="1589" customFormat="false" ht="15" hidden="false" customHeight="false" outlineLevel="0" collapsed="false">
      <c r="A1589" s="106" t="s">
        <v>6211</v>
      </c>
      <c r="B1589" s="106" t="s">
        <v>4280</v>
      </c>
      <c r="C1589" s="106"/>
      <c r="D1589" s="106"/>
      <c r="E1589" s="107" t="n">
        <v>1</v>
      </c>
      <c r="F1589" s="106" t="n">
        <v>1</v>
      </c>
      <c r="G1589" s="118" t="n">
        <v>1</v>
      </c>
      <c r="H1589" s="116" t="n">
        <v>0.9</v>
      </c>
      <c r="I1589" s="106" t="n">
        <v>0</v>
      </c>
      <c r="J1589" s="117" t="n">
        <v>0</v>
      </c>
      <c r="K1589" s="108" t="n">
        <v>0.9</v>
      </c>
      <c r="L1589" s="108" t="n">
        <v>0</v>
      </c>
      <c r="M1589" s="117"/>
      <c r="N1589" s="106"/>
      <c r="O1589" s="106"/>
      <c r="P1589" s="106"/>
      <c r="Q1589" s="106"/>
      <c r="R1589" s="106" t="s">
        <v>4537</v>
      </c>
    </row>
    <row r="1590" customFormat="false" ht="15" hidden="false" customHeight="false" outlineLevel="0" collapsed="false">
      <c r="A1590" s="106" t="s">
        <v>6212</v>
      </c>
      <c r="B1590" s="106" t="s">
        <v>4280</v>
      </c>
      <c r="C1590" s="106"/>
      <c r="D1590" s="106" t="n">
        <v>1</v>
      </c>
      <c r="E1590" s="107" t="n">
        <v>1</v>
      </c>
      <c r="F1590" s="106" t="n">
        <v>1</v>
      </c>
      <c r="G1590" s="118" t="n">
        <v>1</v>
      </c>
      <c r="H1590" s="116" t="n">
        <v>0.9</v>
      </c>
      <c r="I1590" s="106" t="n">
        <v>0</v>
      </c>
      <c r="J1590" s="117" t="n">
        <v>0</v>
      </c>
      <c r="K1590" s="108" t="n">
        <v>0.9</v>
      </c>
      <c r="L1590" s="108" t="n">
        <v>0</v>
      </c>
      <c r="M1590" s="117"/>
      <c r="N1590" s="106"/>
      <c r="O1590" s="106"/>
      <c r="P1590" s="106"/>
      <c r="Q1590" s="106"/>
      <c r="R1590" s="106" t="s">
        <v>4537</v>
      </c>
    </row>
    <row r="1591" customFormat="false" ht="15" hidden="false" customHeight="false" outlineLevel="0" collapsed="false">
      <c r="A1591" s="106" t="s">
        <v>6213</v>
      </c>
      <c r="B1591" s="106" t="s">
        <v>4329</v>
      </c>
      <c r="C1591" s="106"/>
      <c r="D1591" s="106"/>
      <c r="E1591" s="107" t="n">
        <v>1</v>
      </c>
      <c r="F1591" s="106" t="n">
        <v>1</v>
      </c>
      <c r="G1591" s="118" t="n">
        <v>1</v>
      </c>
      <c r="H1591" s="116" t="n">
        <v>0.9</v>
      </c>
      <c r="I1591" s="106" t="n">
        <v>0</v>
      </c>
      <c r="J1591" s="117" t="n">
        <v>0</v>
      </c>
      <c r="K1591" s="108" t="n">
        <v>0.9</v>
      </c>
      <c r="L1591" s="108" t="n">
        <v>0</v>
      </c>
      <c r="M1591" s="117"/>
      <c r="N1591" s="106"/>
      <c r="O1591" s="106"/>
      <c r="P1591" s="106"/>
      <c r="Q1591" s="106"/>
      <c r="R1591" s="106" t="s">
        <v>4537</v>
      </c>
    </row>
    <row r="1592" customFormat="false" ht="15" hidden="false" customHeight="false" outlineLevel="0" collapsed="false">
      <c r="A1592" s="106" t="s">
        <v>6214</v>
      </c>
      <c r="B1592" s="106" t="s">
        <v>4329</v>
      </c>
      <c r="C1592" s="106"/>
      <c r="D1592" s="106"/>
      <c r="E1592" s="107" t="n">
        <v>1</v>
      </c>
      <c r="F1592" s="106" t="n">
        <v>1</v>
      </c>
      <c r="G1592" s="118" t="n">
        <v>1</v>
      </c>
      <c r="H1592" s="116" t="n">
        <v>0.9</v>
      </c>
      <c r="I1592" s="106" t="n">
        <v>0</v>
      </c>
      <c r="J1592" s="117" t="n">
        <v>0</v>
      </c>
      <c r="K1592" s="108" t="n">
        <v>0.9</v>
      </c>
      <c r="L1592" s="108" t="n">
        <v>0</v>
      </c>
      <c r="M1592" s="117"/>
      <c r="N1592" s="106"/>
      <c r="O1592" s="106"/>
      <c r="P1592" s="106"/>
      <c r="Q1592" s="106"/>
      <c r="R1592" s="106" t="s">
        <v>4537</v>
      </c>
    </row>
    <row r="1593" customFormat="false" ht="15" hidden="false" customHeight="false" outlineLevel="0" collapsed="false">
      <c r="A1593" s="106" t="s">
        <v>6215</v>
      </c>
      <c r="B1593" s="106" t="s">
        <v>4280</v>
      </c>
      <c r="C1593" s="106"/>
      <c r="D1593" s="106"/>
      <c r="E1593" s="107" t="n">
        <v>1</v>
      </c>
      <c r="F1593" s="106" t="n">
        <v>1</v>
      </c>
      <c r="G1593" s="118" t="n">
        <v>1</v>
      </c>
      <c r="H1593" s="116" t="n">
        <v>0.9</v>
      </c>
      <c r="I1593" s="106" t="n">
        <v>0</v>
      </c>
      <c r="J1593" s="117" t="n">
        <v>0</v>
      </c>
      <c r="K1593" s="108" t="n">
        <v>0.9</v>
      </c>
      <c r="L1593" s="108" t="n">
        <v>0</v>
      </c>
      <c r="M1593" s="117"/>
      <c r="N1593" s="106"/>
      <c r="O1593" s="106"/>
      <c r="P1593" s="106"/>
      <c r="Q1593" s="106"/>
      <c r="R1593" s="106" t="s">
        <v>4537</v>
      </c>
    </row>
    <row r="1594" customFormat="false" ht="15" hidden="false" customHeight="false" outlineLevel="0" collapsed="false">
      <c r="A1594" s="106" t="s">
        <v>6216</v>
      </c>
      <c r="B1594" s="106" t="s">
        <v>4280</v>
      </c>
      <c r="C1594" s="106"/>
      <c r="D1594" s="106"/>
      <c r="E1594" s="107" t="n">
        <v>1</v>
      </c>
      <c r="F1594" s="106" t="n">
        <v>1</v>
      </c>
      <c r="G1594" s="118" t="n">
        <v>1</v>
      </c>
      <c r="H1594" s="116" t="n">
        <v>0.9</v>
      </c>
      <c r="I1594" s="106" t="n">
        <v>0</v>
      </c>
      <c r="J1594" s="117" t="n">
        <v>0</v>
      </c>
      <c r="K1594" s="108" t="n">
        <v>0.9</v>
      </c>
      <c r="L1594" s="108" t="n">
        <v>0</v>
      </c>
      <c r="M1594" s="117"/>
      <c r="N1594" s="106"/>
      <c r="O1594" s="106"/>
      <c r="P1594" s="106"/>
      <c r="Q1594" s="106"/>
      <c r="R1594" s="106" t="s">
        <v>4537</v>
      </c>
    </row>
    <row r="1595" customFormat="false" ht="15" hidden="false" customHeight="false" outlineLevel="0" collapsed="false">
      <c r="A1595" s="106" t="s">
        <v>6217</v>
      </c>
      <c r="B1595" s="106" t="s">
        <v>4284</v>
      </c>
      <c r="C1595" s="106"/>
      <c r="D1595" s="106"/>
      <c r="E1595" s="107" t="n">
        <v>4</v>
      </c>
      <c r="F1595" s="106" t="n">
        <v>1</v>
      </c>
      <c r="G1595" s="118" t="n">
        <v>0.25</v>
      </c>
      <c r="H1595" s="116" t="n">
        <v>0.9</v>
      </c>
      <c r="I1595" s="106" t="n">
        <v>0</v>
      </c>
      <c r="J1595" s="117" t="n">
        <v>0</v>
      </c>
      <c r="K1595" s="108" t="n">
        <v>0.9</v>
      </c>
      <c r="L1595" s="108" t="n">
        <v>0</v>
      </c>
      <c r="M1595" s="117"/>
      <c r="N1595" s="106"/>
      <c r="O1595" s="106"/>
      <c r="P1595" s="106"/>
      <c r="Q1595" s="106"/>
      <c r="R1595" s="106" t="s">
        <v>4537</v>
      </c>
    </row>
    <row r="1596" customFormat="false" ht="15" hidden="false" customHeight="false" outlineLevel="0" collapsed="false">
      <c r="A1596" s="106" t="s">
        <v>6218</v>
      </c>
      <c r="B1596" s="106" t="s">
        <v>4280</v>
      </c>
      <c r="C1596" s="106"/>
      <c r="D1596" s="106" t="n">
        <v>6</v>
      </c>
      <c r="E1596" s="107" t="n">
        <v>1</v>
      </c>
      <c r="F1596" s="106" t="n">
        <v>1</v>
      </c>
      <c r="G1596" s="118" t="n">
        <v>1</v>
      </c>
      <c r="H1596" s="116" t="n">
        <v>0.9</v>
      </c>
      <c r="I1596" s="106" t="n">
        <v>0</v>
      </c>
      <c r="J1596" s="117" t="n">
        <v>0</v>
      </c>
      <c r="K1596" s="108" t="n">
        <v>0.9</v>
      </c>
      <c r="L1596" s="108" t="n">
        <v>0</v>
      </c>
      <c r="M1596" s="117"/>
      <c r="N1596" s="106"/>
      <c r="O1596" s="106"/>
      <c r="P1596" s="106"/>
      <c r="Q1596" s="106"/>
      <c r="R1596" s="106" t="s">
        <v>4537</v>
      </c>
    </row>
    <row r="1597" customFormat="false" ht="15" hidden="false" customHeight="false" outlineLevel="0" collapsed="false">
      <c r="A1597" s="106" t="s">
        <v>6219</v>
      </c>
      <c r="B1597" s="106" t="s">
        <v>4280</v>
      </c>
      <c r="C1597" s="106"/>
      <c r="D1597" s="106"/>
      <c r="E1597" s="107" t="n">
        <v>1</v>
      </c>
      <c r="F1597" s="106" t="n">
        <v>1</v>
      </c>
      <c r="G1597" s="118" t="n">
        <v>1</v>
      </c>
      <c r="H1597" s="116" t="n">
        <v>0.9</v>
      </c>
      <c r="I1597" s="106" t="n">
        <v>0</v>
      </c>
      <c r="J1597" s="117" t="n">
        <v>0</v>
      </c>
      <c r="K1597" s="108" t="n">
        <v>0.9</v>
      </c>
      <c r="L1597" s="108" t="n">
        <v>0</v>
      </c>
      <c r="M1597" s="117"/>
      <c r="N1597" s="106"/>
      <c r="O1597" s="106"/>
      <c r="P1597" s="106"/>
      <c r="Q1597" s="106"/>
      <c r="R1597" s="106" t="s">
        <v>4537</v>
      </c>
    </row>
    <row r="1598" customFormat="false" ht="15" hidden="false" customHeight="false" outlineLevel="0" collapsed="false">
      <c r="A1598" s="106" t="s">
        <v>6220</v>
      </c>
      <c r="B1598" s="106" t="s">
        <v>4280</v>
      </c>
      <c r="C1598" s="106"/>
      <c r="D1598" s="106"/>
      <c r="E1598" s="107" t="n">
        <v>1</v>
      </c>
      <c r="F1598" s="106" t="n">
        <v>1</v>
      </c>
      <c r="G1598" s="118" t="n">
        <v>1</v>
      </c>
      <c r="H1598" s="116" t="n">
        <v>0.9</v>
      </c>
      <c r="I1598" s="106" t="n">
        <v>0</v>
      </c>
      <c r="J1598" s="117" t="n">
        <v>0</v>
      </c>
      <c r="K1598" s="108" t="n">
        <v>0.9</v>
      </c>
      <c r="L1598" s="108" t="n">
        <v>0</v>
      </c>
      <c r="M1598" s="117"/>
      <c r="N1598" s="106"/>
      <c r="O1598" s="106"/>
      <c r="P1598" s="106"/>
      <c r="Q1598" s="106"/>
      <c r="R1598" s="106" t="s">
        <v>4537</v>
      </c>
    </row>
    <row r="1599" customFormat="false" ht="15" hidden="false" customHeight="false" outlineLevel="0" collapsed="false">
      <c r="A1599" s="106" t="s">
        <v>6221</v>
      </c>
      <c r="B1599" s="106" t="s">
        <v>4280</v>
      </c>
      <c r="C1599" s="106"/>
      <c r="D1599" s="106" t="n">
        <v>9</v>
      </c>
      <c r="E1599" s="107" t="n">
        <v>1</v>
      </c>
      <c r="F1599" s="106" t="n">
        <v>1</v>
      </c>
      <c r="G1599" s="118" t="n">
        <v>1</v>
      </c>
      <c r="H1599" s="116" t="n">
        <v>0.9</v>
      </c>
      <c r="I1599" s="106" t="n">
        <v>0</v>
      </c>
      <c r="J1599" s="117" t="n">
        <v>0</v>
      </c>
      <c r="K1599" s="108" t="n">
        <v>0.9</v>
      </c>
      <c r="L1599" s="108" t="n">
        <v>0</v>
      </c>
      <c r="M1599" s="117"/>
      <c r="N1599" s="106"/>
      <c r="O1599" s="106"/>
      <c r="P1599" s="106"/>
      <c r="Q1599" s="106"/>
      <c r="R1599" s="106" t="s">
        <v>4537</v>
      </c>
    </row>
    <row r="1600" customFormat="false" ht="15" hidden="false" customHeight="false" outlineLevel="0" collapsed="false">
      <c r="A1600" s="106" t="s">
        <v>6222</v>
      </c>
      <c r="B1600" s="106" t="s">
        <v>4329</v>
      </c>
      <c r="C1600" s="106"/>
      <c r="D1600" s="106"/>
      <c r="E1600" s="107" t="n">
        <v>2</v>
      </c>
      <c r="F1600" s="106" t="n">
        <v>1</v>
      </c>
      <c r="G1600" s="118" t="n">
        <v>0.5</v>
      </c>
      <c r="H1600" s="116" t="n">
        <v>0.9</v>
      </c>
      <c r="I1600" s="106" t="n">
        <v>0</v>
      </c>
      <c r="J1600" s="117" t="n">
        <v>0</v>
      </c>
      <c r="K1600" s="108" t="n">
        <v>0.9</v>
      </c>
      <c r="L1600" s="108" t="n">
        <v>0</v>
      </c>
      <c r="M1600" s="117"/>
      <c r="N1600" s="106"/>
      <c r="O1600" s="106"/>
      <c r="P1600" s="106"/>
      <c r="Q1600" s="106"/>
      <c r="R1600" s="106" t="s">
        <v>4537</v>
      </c>
    </row>
    <row r="1601" customFormat="false" ht="15" hidden="false" customHeight="false" outlineLevel="0" collapsed="false">
      <c r="A1601" s="106" t="s">
        <v>6223</v>
      </c>
      <c r="B1601" s="106" t="s">
        <v>4284</v>
      </c>
      <c r="C1601" s="106"/>
      <c r="D1601" s="106" t="n">
        <v>208</v>
      </c>
      <c r="E1601" s="107" t="n">
        <v>6</v>
      </c>
      <c r="F1601" s="106" t="n">
        <v>1</v>
      </c>
      <c r="G1601" s="118" t="n">
        <v>0.1667</v>
      </c>
      <c r="H1601" s="116" t="n">
        <v>0.9</v>
      </c>
      <c r="I1601" s="106" t="n">
        <v>0</v>
      </c>
      <c r="J1601" s="117" t="n">
        <v>0</v>
      </c>
      <c r="K1601" s="108" t="n">
        <v>0.9</v>
      </c>
      <c r="L1601" s="108" t="n">
        <v>0</v>
      </c>
      <c r="M1601" s="117"/>
      <c r="N1601" s="106"/>
      <c r="O1601" s="106"/>
      <c r="P1601" s="106"/>
      <c r="Q1601" s="106"/>
      <c r="R1601" s="106" t="s">
        <v>4537</v>
      </c>
    </row>
    <row r="1602" customFormat="false" ht="15" hidden="false" customHeight="false" outlineLevel="0" collapsed="false">
      <c r="A1602" s="106" t="s">
        <v>6224</v>
      </c>
      <c r="B1602" s="106" t="s">
        <v>1403</v>
      </c>
      <c r="C1602" s="106"/>
      <c r="D1602" s="106"/>
      <c r="E1602" s="107" t="n">
        <v>4</v>
      </c>
      <c r="F1602" s="106" t="n">
        <v>1</v>
      </c>
      <c r="G1602" s="118" t="n">
        <v>0.25</v>
      </c>
      <c r="H1602" s="116" t="n">
        <v>0.9</v>
      </c>
      <c r="I1602" s="106" t="n">
        <v>0</v>
      </c>
      <c r="J1602" s="117" t="n">
        <v>0</v>
      </c>
      <c r="K1602" s="108" t="n">
        <v>0.9</v>
      </c>
      <c r="L1602" s="108" t="n">
        <v>0</v>
      </c>
      <c r="M1602" s="117"/>
      <c r="N1602" s="106"/>
      <c r="O1602" s="106"/>
      <c r="P1602" s="106"/>
      <c r="Q1602" s="106"/>
      <c r="R1602" s="106" t="s">
        <v>4537</v>
      </c>
    </row>
    <row r="1603" customFormat="false" ht="15" hidden="false" customHeight="false" outlineLevel="0" collapsed="false">
      <c r="A1603" s="106" t="s">
        <v>6225</v>
      </c>
      <c r="B1603" s="106" t="s">
        <v>1403</v>
      </c>
      <c r="C1603" s="106"/>
      <c r="D1603" s="106"/>
      <c r="E1603" s="107" t="n">
        <v>6</v>
      </c>
      <c r="F1603" s="106" t="n">
        <v>1</v>
      </c>
      <c r="G1603" s="118" t="n">
        <v>0.1667</v>
      </c>
      <c r="H1603" s="116" t="n">
        <v>0.9</v>
      </c>
      <c r="I1603" s="106" t="n">
        <v>0</v>
      </c>
      <c r="J1603" s="117" t="n">
        <v>0</v>
      </c>
      <c r="K1603" s="108" t="n">
        <v>0.9</v>
      </c>
      <c r="L1603" s="108" t="n">
        <v>0</v>
      </c>
      <c r="M1603" s="117"/>
      <c r="N1603" s="106"/>
      <c r="O1603" s="106"/>
      <c r="P1603" s="106"/>
      <c r="Q1603" s="106"/>
      <c r="R1603" s="106" t="s">
        <v>4537</v>
      </c>
    </row>
    <row r="1604" customFormat="false" ht="15" hidden="false" customHeight="false" outlineLevel="0" collapsed="false">
      <c r="A1604" s="106" t="s">
        <v>6226</v>
      </c>
      <c r="B1604" s="106" t="s">
        <v>4329</v>
      </c>
      <c r="C1604" s="106"/>
      <c r="D1604" s="106" t="n">
        <v>34</v>
      </c>
      <c r="E1604" s="107" t="n">
        <v>1</v>
      </c>
      <c r="F1604" s="106" t="n">
        <v>1</v>
      </c>
      <c r="G1604" s="118" t="n">
        <v>1</v>
      </c>
      <c r="H1604" s="116" t="n">
        <v>0.9</v>
      </c>
      <c r="I1604" s="106" t="n">
        <v>0</v>
      </c>
      <c r="J1604" s="117" t="n">
        <v>0</v>
      </c>
      <c r="K1604" s="108" t="n">
        <v>0.9</v>
      </c>
      <c r="L1604" s="108" t="n">
        <v>0</v>
      </c>
      <c r="M1604" s="117"/>
      <c r="N1604" s="106"/>
      <c r="O1604" s="106"/>
      <c r="P1604" s="106"/>
      <c r="Q1604" s="106"/>
      <c r="R1604" s="106" t="s">
        <v>4537</v>
      </c>
    </row>
    <row r="1605" customFormat="false" ht="15" hidden="false" customHeight="false" outlineLevel="0" collapsed="false">
      <c r="A1605" s="106" t="s">
        <v>6227</v>
      </c>
      <c r="B1605" s="106" t="s">
        <v>4280</v>
      </c>
      <c r="C1605" s="106"/>
      <c r="D1605" s="106" t="n">
        <v>3</v>
      </c>
      <c r="E1605" s="107" t="n">
        <v>1</v>
      </c>
      <c r="F1605" s="106" t="n">
        <v>1</v>
      </c>
      <c r="G1605" s="118" t="n">
        <v>1</v>
      </c>
      <c r="H1605" s="116" t="n">
        <v>0.9</v>
      </c>
      <c r="I1605" s="106" t="n">
        <v>0</v>
      </c>
      <c r="J1605" s="117" t="n">
        <v>0</v>
      </c>
      <c r="K1605" s="108" t="n">
        <v>0.9</v>
      </c>
      <c r="L1605" s="108" t="n">
        <v>0</v>
      </c>
      <c r="M1605" s="117"/>
      <c r="N1605" s="106"/>
      <c r="O1605" s="106"/>
      <c r="P1605" s="106"/>
      <c r="Q1605" s="106"/>
      <c r="R1605" s="106" t="s">
        <v>4537</v>
      </c>
    </row>
    <row r="1606" customFormat="false" ht="15" hidden="false" customHeight="false" outlineLevel="0" collapsed="false">
      <c r="A1606" s="106" t="s">
        <v>6228</v>
      </c>
      <c r="B1606" s="106" t="s">
        <v>4280</v>
      </c>
      <c r="C1606" s="106"/>
      <c r="D1606" s="106"/>
      <c r="E1606" s="107" t="n">
        <v>4</v>
      </c>
      <c r="F1606" s="106" t="n">
        <v>1</v>
      </c>
      <c r="G1606" s="118" t="n">
        <v>0.25</v>
      </c>
      <c r="H1606" s="116" t="n">
        <v>0.9</v>
      </c>
      <c r="I1606" s="106" t="n">
        <v>0</v>
      </c>
      <c r="J1606" s="117" t="n">
        <v>0</v>
      </c>
      <c r="K1606" s="108" t="n">
        <v>0.9</v>
      </c>
      <c r="L1606" s="108" t="n">
        <v>0</v>
      </c>
      <c r="M1606" s="117"/>
      <c r="N1606" s="106"/>
      <c r="O1606" s="106"/>
      <c r="P1606" s="106"/>
      <c r="Q1606" s="106"/>
      <c r="R1606" s="106" t="s">
        <v>4537</v>
      </c>
    </row>
    <row r="1607" customFormat="false" ht="15" hidden="false" customHeight="false" outlineLevel="0" collapsed="false">
      <c r="A1607" s="106" t="s">
        <v>6229</v>
      </c>
      <c r="B1607" s="106" t="s">
        <v>4284</v>
      </c>
      <c r="C1607" s="106"/>
      <c r="D1607" s="106" t="n">
        <v>3</v>
      </c>
      <c r="E1607" s="107" t="n">
        <v>1</v>
      </c>
      <c r="F1607" s="106" t="n">
        <v>1</v>
      </c>
      <c r="G1607" s="118" t="n">
        <v>1</v>
      </c>
      <c r="H1607" s="116" t="n">
        <v>0.9</v>
      </c>
      <c r="I1607" s="106" t="n">
        <v>0</v>
      </c>
      <c r="J1607" s="117" t="n">
        <v>0</v>
      </c>
      <c r="K1607" s="108" t="n">
        <v>0.9</v>
      </c>
      <c r="L1607" s="108" t="n">
        <v>0</v>
      </c>
      <c r="M1607" s="117"/>
      <c r="N1607" s="106"/>
      <c r="O1607" s="106"/>
      <c r="P1607" s="106"/>
      <c r="Q1607" s="106"/>
      <c r="R1607" s="106" t="s">
        <v>4537</v>
      </c>
    </row>
    <row r="1608" customFormat="false" ht="15" hidden="false" customHeight="false" outlineLevel="0" collapsed="false">
      <c r="A1608" s="106" t="s">
        <v>6230</v>
      </c>
      <c r="B1608" s="106" t="s">
        <v>4284</v>
      </c>
      <c r="C1608" s="106"/>
      <c r="D1608" s="106"/>
      <c r="E1608" s="107" t="n">
        <v>2</v>
      </c>
      <c r="F1608" s="106" t="n">
        <v>1</v>
      </c>
      <c r="G1608" s="118" t="n">
        <v>0.5</v>
      </c>
      <c r="H1608" s="116" t="n">
        <v>0.9</v>
      </c>
      <c r="I1608" s="106" t="n">
        <v>0</v>
      </c>
      <c r="J1608" s="117" t="n">
        <v>0</v>
      </c>
      <c r="K1608" s="108" t="n">
        <v>0.9</v>
      </c>
      <c r="L1608" s="108" t="n">
        <v>0</v>
      </c>
      <c r="M1608" s="117"/>
      <c r="N1608" s="106"/>
      <c r="O1608" s="106"/>
      <c r="P1608" s="106"/>
      <c r="Q1608" s="106"/>
      <c r="R1608" s="106" t="s">
        <v>4537</v>
      </c>
    </row>
    <row r="1609" customFormat="false" ht="15" hidden="false" customHeight="false" outlineLevel="0" collapsed="false">
      <c r="A1609" s="106" t="s">
        <v>6231</v>
      </c>
      <c r="B1609" s="106" t="s">
        <v>4280</v>
      </c>
      <c r="C1609" s="106"/>
      <c r="D1609" s="106" t="n">
        <v>7</v>
      </c>
      <c r="E1609" s="107" t="n">
        <v>2</v>
      </c>
      <c r="F1609" s="106" t="n">
        <v>1</v>
      </c>
      <c r="G1609" s="118" t="n">
        <v>0.5</v>
      </c>
      <c r="H1609" s="116" t="n">
        <v>0.9</v>
      </c>
      <c r="I1609" s="106" t="n">
        <v>0</v>
      </c>
      <c r="J1609" s="117" t="n">
        <v>0</v>
      </c>
      <c r="K1609" s="108" t="n">
        <v>0.9</v>
      </c>
      <c r="L1609" s="108" t="n">
        <v>0</v>
      </c>
      <c r="M1609" s="117"/>
      <c r="N1609" s="106"/>
      <c r="O1609" s="106"/>
      <c r="P1609" s="106"/>
      <c r="Q1609" s="106"/>
      <c r="R1609" s="106" t="s">
        <v>4537</v>
      </c>
    </row>
    <row r="1610" customFormat="false" ht="15" hidden="false" customHeight="false" outlineLevel="0" collapsed="false">
      <c r="A1610" s="106" t="s">
        <v>6232</v>
      </c>
      <c r="B1610" s="106" t="s">
        <v>1403</v>
      </c>
      <c r="C1610" s="106"/>
      <c r="D1610" s="106"/>
      <c r="E1610" s="107" t="n">
        <v>1</v>
      </c>
      <c r="F1610" s="106" t="n">
        <v>1</v>
      </c>
      <c r="G1610" s="118" t="n">
        <v>1</v>
      </c>
      <c r="H1610" s="116" t="n">
        <v>0.9</v>
      </c>
      <c r="I1610" s="106" t="n">
        <v>0</v>
      </c>
      <c r="J1610" s="117" t="n">
        <v>0</v>
      </c>
      <c r="K1610" s="108" t="n">
        <v>0.9</v>
      </c>
      <c r="L1610" s="108" t="n">
        <v>0</v>
      </c>
      <c r="M1610" s="117"/>
      <c r="N1610" s="106"/>
      <c r="O1610" s="106"/>
      <c r="P1610" s="106"/>
      <c r="Q1610" s="106"/>
      <c r="R1610" s="106" t="s">
        <v>4537</v>
      </c>
    </row>
    <row r="1611" customFormat="false" ht="15" hidden="false" customHeight="false" outlineLevel="0" collapsed="false">
      <c r="A1611" s="106" t="s">
        <v>6233</v>
      </c>
      <c r="B1611" s="106" t="s">
        <v>1403</v>
      </c>
      <c r="C1611" s="106"/>
      <c r="D1611" s="106" t="n">
        <v>1305</v>
      </c>
      <c r="E1611" s="107" t="n">
        <v>18</v>
      </c>
      <c r="F1611" s="106" t="n">
        <v>1</v>
      </c>
      <c r="G1611" s="118" t="n">
        <v>0.0556</v>
      </c>
      <c r="H1611" s="116" t="n">
        <v>0.9</v>
      </c>
      <c r="I1611" s="106" t="n">
        <v>0</v>
      </c>
      <c r="J1611" s="117" t="n">
        <v>0</v>
      </c>
      <c r="K1611" s="108" t="n">
        <v>0.9</v>
      </c>
      <c r="L1611" s="108" t="n">
        <v>0</v>
      </c>
      <c r="M1611" s="117"/>
      <c r="N1611" s="106"/>
      <c r="O1611" s="106"/>
      <c r="P1611" s="106"/>
      <c r="Q1611" s="106"/>
      <c r="R1611" s="106" t="s">
        <v>4537</v>
      </c>
    </row>
    <row r="1612" customFormat="false" ht="15" hidden="false" customHeight="false" outlineLevel="0" collapsed="false">
      <c r="A1612" s="106" t="s">
        <v>6234</v>
      </c>
      <c r="B1612" s="106" t="s">
        <v>4284</v>
      </c>
      <c r="C1612" s="106"/>
      <c r="D1612" s="106"/>
      <c r="E1612" s="107" t="n">
        <v>3</v>
      </c>
      <c r="F1612" s="106" t="n">
        <v>1</v>
      </c>
      <c r="G1612" s="118" t="n">
        <v>0.3333</v>
      </c>
      <c r="H1612" s="116" t="n">
        <v>0.9</v>
      </c>
      <c r="I1612" s="106" t="n">
        <v>0</v>
      </c>
      <c r="J1612" s="117" t="n">
        <v>0</v>
      </c>
      <c r="K1612" s="108" t="n">
        <v>0.9</v>
      </c>
      <c r="L1612" s="108" t="n">
        <v>0</v>
      </c>
      <c r="M1612" s="117"/>
      <c r="N1612" s="106"/>
      <c r="O1612" s="106"/>
      <c r="P1612" s="106"/>
      <c r="Q1612" s="106"/>
      <c r="R1612" s="106" t="s">
        <v>4537</v>
      </c>
    </row>
    <row r="1613" customFormat="false" ht="15" hidden="false" customHeight="false" outlineLevel="0" collapsed="false">
      <c r="A1613" s="106" t="s">
        <v>6235</v>
      </c>
      <c r="B1613" s="106" t="s">
        <v>4309</v>
      </c>
      <c r="C1613" s="106"/>
      <c r="D1613" s="106" t="n">
        <v>62310</v>
      </c>
      <c r="E1613" s="107" t="n">
        <v>18</v>
      </c>
      <c r="F1613" s="106" t="n">
        <v>1</v>
      </c>
      <c r="G1613" s="118" t="n">
        <v>0.0556</v>
      </c>
      <c r="H1613" s="116" t="n">
        <v>0.9</v>
      </c>
      <c r="I1613" s="106" t="n">
        <v>0</v>
      </c>
      <c r="J1613" s="117" t="n">
        <v>0</v>
      </c>
      <c r="K1613" s="108" t="n">
        <v>0.9</v>
      </c>
      <c r="L1613" s="108" t="n">
        <v>0</v>
      </c>
      <c r="M1613" s="117"/>
      <c r="N1613" s="106"/>
      <c r="O1613" s="106"/>
      <c r="P1613" s="106"/>
      <c r="Q1613" s="106"/>
      <c r="R1613" s="106" t="s">
        <v>4537</v>
      </c>
    </row>
    <row r="1614" customFormat="false" ht="15" hidden="false" customHeight="false" outlineLevel="0" collapsed="false">
      <c r="A1614" s="106" t="s">
        <v>6236</v>
      </c>
      <c r="B1614" s="106" t="s">
        <v>4284</v>
      </c>
      <c r="C1614" s="106"/>
      <c r="D1614" s="106"/>
      <c r="E1614" s="107" t="n">
        <v>2</v>
      </c>
      <c r="F1614" s="106" t="n">
        <v>1</v>
      </c>
      <c r="G1614" s="118" t="n">
        <v>0.5</v>
      </c>
      <c r="H1614" s="116" t="n">
        <v>0.9</v>
      </c>
      <c r="I1614" s="106" t="n">
        <v>0</v>
      </c>
      <c r="J1614" s="117" t="n">
        <v>0</v>
      </c>
      <c r="K1614" s="108" t="n">
        <v>0.9</v>
      </c>
      <c r="L1614" s="108" t="n">
        <v>0</v>
      </c>
      <c r="M1614" s="117"/>
      <c r="N1614" s="106"/>
      <c r="O1614" s="106"/>
      <c r="P1614" s="106"/>
      <c r="Q1614" s="106"/>
      <c r="R1614" s="106" t="s">
        <v>4537</v>
      </c>
    </row>
    <row r="1615" customFormat="false" ht="15" hidden="false" customHeight="false" outlineLevel="0" collapsed="false">
      <c r="A1615" s="106" t="s">
        <v>6237</v>
      </c>
      <c r="B1615" s="106" t="s">
        <v>4284</v>
      </c>
      <c r="C1615" s="106"/>
      <c r="D1615" s="106"/>
      <c r="E1615" s="107" t="n">
        <v>27</v>
      </c>
      <c r="F1615" s="106" t="n">
        <v>1</v>
      </c>
      <c r="G1615" s="118" t="n">
        <v>0.037</v>
      </c>
      <c r="H1615" s="116" t="n">
        <v>0.9</v>
      </c>
      <c r="I1615" s="106" t="n">
        <v>0</v>
      </c>
      <c r="J1615" s="117" t="n">
        <v>0</v>
      </c>
      <c r="K1615" s="108" t="n">
        <v>0.9</v>
      </c>
      <c r="L1615" s="108" t="n">
        <v>0</v>
      </c>
      <c r="M1615" s="117"/>
      <c r="N1615" s="106"/>
      <c r="O1615" s="106"/>
      <c r="P1615" s="106"/>
      <c r="Q1615" s="106"/>
      <c r="R1615" s="106" t="s">
        <v>4537</v>
      </c>
    </row>
    <row r="1616" customFormat="false" ht="15" hidden="false" customHeight="false" outlineLevel="0" collapsed="false">
      <c r="A1616" s="106" t="s">
        <v>6238</v>
      </c>
      <c r="B1616" s="106" t="s">
        <v>1403</v>
      </c>
      <c r="C1616" s="106"/>
      <c r="D1616" s="106"/>
      <c r="E1616" s="107" t="n">
        <v>1</v>
      </c>
      <c r="F1616" s="106" t="n">
        <v>1</v>
      </c>
      <c r="G1616" s="118" t="n">
        <v>1</v>
      </c>
      <c r="H1616" s="116" t="n">
        <v>0.9</v>
      </c>
      <c r="I1616" s="106" t="n">
        <v>0</v>
      </c>
      <c r="J1616" s="117" t="n">
        <v>0</v>
      </c>
      <c r="K1616" s="108" t="n">
        <v>0.9</v>
      </c>
      <c r="L1616" s="108" t="n">
        <v>0</v>
      </c>
      <c r="M1616" s="117"/>
      <c r="N1616" s="106"/>
      <c r="O1616" s="106"/>
      <c r="P1616" s="106"/>
      <c r="Q1616" s="106"/>
      <c r="R1616" s="106" t="s">
        <v>4537</v>
      </c>
    </row>
    <row r="1617" customFormat="false" ht="15" hidden="false" customHeight="false" outlineLevel="0" collapsed="false">
      <c r="A1617" s="106" t="s">
        <v>6239</v>
      </c>
      <c r="B1617" s="106" t="s">
        <v>1403</v>
      </c>
      <c r="C1617" s="106"/>
      <c r="D1617" s="106" t="n">
        <v>1</v>
      </c>
      <c r="E1617" s="107" t="n">
        <v>3</v>
      </c>
      <c r="F1617" s="106" t="n">
        <v>1</v>
      </c>
      <c r="G1617" s="118" t="n">
        <v>0.3333</v>
      </c>
      <c r="H1617" s="116" t="n">
        <v>0.9</v>
      </c>
      <c r="I1617" s="106" t="n">
        <v>0</v>
      </c>
      <c r="J1617" s="117" t="n">
        <v>0</v>
      </c>
      <c r="K1617" s="108" t="n">
        <v>0.9</v>
      </c>
      <c r="L1617" s="108" t="n">
        <v>0</v>
      </c>
      <c r="M1617" s="117"/>
      <c r="N1617" s="106"/>
      <c r="O1617" s="106"/>
      <c r="P1617" s="106"/>
      <c r="Q1617" s="106"/>
      <c r="R1617" s="106" t="s">
        <v>4537</v>
      </c>
    </row>
    <row r="1618" customFormat="false" ht="15" hidden="false" customHeight="false" outlineLevel="0" collapsed="false">
      <c r="A1618" s="106" t="s">
        <v>6240</v>
      </c>
      <c r="B1618" s="106" t="s">
        <v>4280</v>
      </c>
      <c r="C1618" s="106"/>
      <c r="D1618" s="106" t="n">
        <v>11</v>
      </c>
      <c r="E1618" s="107" t="n">
        <v>1</v>
      </c>
      <c r="F1618" s="106" t="n">
        <v>1</v>
      </c>
      <c r="G1618" s="118" t="n">
        <v>1</v>
      </c>
      <c r="H1618" s="116" t="n">
        <v>0.9</v>
      </c>
      <c r="I1618" s="106" t="n">
        <v>0</v>
      </c>
      <c r="J1618" s="117" t="n">
        <v>0</v>
      </c>
      <c r="K1618" s="108" t="n">
        <v>0.9</v>
      </c>
      <c r="L1618" s="108" t="n">
        <v>0</v>
      </c>
      <c r="M1618" s="117"/>
      <c r="N1618" s="106"/>
      <c r="O1618" s="106"/>
      <c r="P1618" s="106"/>
      <c r="Q1618" s="106"/>
      <c r="R1618" s="106" t="s">
        <v>4537</v>
      </c>
    </row>
    <row r="1619" customFormat="false" ht="15" hidden="false" customHeight="false" outlineLevel="0" collapsed="false">
      <c r="A1619" s="106" t="s">
        <v>6241</v>
      </c>
      <c r="B1619" s="106" t="s">
        <v>4284</v>
      </c>
      <c r="C1619" s="106"/>
      <c r="D1619" s="106"/>
      <c r="E1619" s="107" t="n">
        <v>1</v>
      </c>
      <c r="F1619" s="106" t="n">
        <v>1</v>
      </c>
      <c r="G1619" s="118" t="n">
        <v>1</v>
      </c>
      <c r="H1619" s="116" t="n">
        <v>0.9</v>
      </c>
      <c r="I1619" s="106" t="n">
        <v>0</v>
      </c>
      <c r="J1619" s="117" t="n">
        <v>0</v>
      </c>
      <c r="K1619" s="108" t="n">
        <v>0.9</v>
      </c>
      <c r="L1619" s="108" t="n">
        <v>0</v>
      </c>
      <c r="M1619" s="117"/>
      <c r="N1619" s="106"/>
      <c r="O1619" s="106"/>
      <c r="P1619" s="106"/>
      <c r="Q1619" s="106"/>
      <c r="R1619" s="106" t="s">
        <v>4537</v>
      </c>
    </row>
    <row r="1620" customFormat="false" ht="15" hidden="false" customHeight="false" outlineLevel="0" collapsed="false">
      <c r="A1620" s="106" t="s">
        <v>6242</v>
      </c>
      <c r="B1620" s="106" t="s">
        <v>4284</v>
      </c>
      <c r="C1620" s="106"/>
      <c r="D1620" s="106" t="n">
        <v>7</v>
      </c>
      <c r="E1620" s="107" t="n">
        <v>7</v>
      </c>
      <c r="F1620" s="106" t="n">
        <v>1</v>
      </c>
      <c r="G1620" s="118" t="n">
        <v>0.1429</v>
      </c>
      <c r="H1620" s="116" t="n">
        <v>0.9</v>
      </c>
      <c r="I1620" s="106" t="n">
        <v>0</v>
      </c>
      <c r="J1620" s="117" t="n">
        <v>0</v>
      </c>
      <c r="K1620" s="108" t="n">
        <v>0.9</v>
      </c>
      <c r="L1620" s="108" t="n">
        <v>0</v>
      </c>
      <c r="M1620" s="117"/>
      <c r="N1620" s="106"/>
      <c r="O1620" s="106"/>
      <c r="P1620" s="106"/>
      <c r="Q1620" s="106"/>
      <c r="R1620" s="106" t="s">
        <v>4537</v>
      </c>
    </row>
    <row r="1621" customFormat="false" ht="15" hidden="false" customHeight="false" outlineLevel="0" collapsed="false">
      <c r="A1621" s="106" t="s">
        <v>6243</v>
      </c>
      <c r="B1621" s="106" t="s">
        <v>1403</v>
      </c>
      <c r="C1621" s="106"/>
      <c r="D1621" s="106" t="n">
        <v>8</v>
      </c>
      <c r="E1621" s="107" t="n">
        <v>1</v>
      </c>
      <c r="F1621" s="106" t="n">
        <v>1</v>
      </c>
      <c r="G1621" s="118" t="n">
        <v>1</v>
      </c>
      <c r="H1621" s="116" t="n">
        <v>0.9</v>
      </c>
      <c r="I1621" s="106" t="n">
        <v>0</v>
      </c>
      <c r="J1621" s="117" t="n">
        <v>0</v>
      </c>
      <c r="K1621" s="108" t="n">
        <v>0.9</v>
      </c>
      <c r="L1621" s="108" t="n">
        <v>0</v>
      </c>
      <c r="M1621" s="117"/>
      <c r="N1621" s="106"/>
      <c r="O1621" s="106"/>
      <c r="P1621" s="106"/>
      <c r="Q1621" s="106"/>
      <c r="R1621" s="106" t="s">
        <v>4537</v>
      </c>
    </row>
    <row r="1622" customFormat="false" ht="15" hidden="false" customHeight="false" outlineLevel="0" collapsed="false">
      <c r="A1622" s="106" t="s">
        <v>6244</v>
      </c>
      <c r="B1622" s="106" t="s">
        <v>4329</v>
      </c>
      <c r="C1622" s="106"/>
      <c r="D1622" s="106"/>
      <c r="E1622" s="107" t="n">
        <v>2</v>
      </c>
      <c r="F1622" s="106" t="n">
        <v>1</v>
      </c>
      <c r="G1622" s="118" t="n">
        <v>0.5</v>
      </c>
      <c r="H1622" s="116" t="n">
        <v>0.9</v>
      </c>
      <c r="I1622" s="106" t="n">
        <v>0</v>
      </c>
      <c r="J1622" s="117" t="n">
        <v>0</v>
      </c>
      <c r="K1622" s="108" t="n">
        <v>0.9</v>
      </c>
      <c r="L1622" s="108" t="n">
        <v>0</v>
      </c>
      <c r="M1622" s="117"/>
      <c r="N1622" s="106"/>
      <c r="O1622" s="106"/>
      <c r="P1622" s="106"/>
      <c r="Q1622" s="106"/>
      <c r="R1622" s="106" t="s">
        <v>4537</v>
      </c>
    </row>
    <row r="1623" customFormat="false" ht="15" hidden="false" customHeight="false" outlineLevel="0" collapsed="false">
      <c r="A1623" s="106" t="s">
        <v>6245</v>
      </c>
      <c r="B1623" s="106" t="s">
        <v>4280</v>
      </c>
      <c r="C1623" s="106"/>
      <c r="D1623" s="106" t="n">
        <v>22</v>
      </c>
      <c r="E1623" s="107" t="n">
        <v>1</v>
      </c>
      <c r="F1623" s="106" t="n">
        <v>1</v>
      </c>
      <c r="G1623" s="118" t="n">
        <v>1</v>
      </c>
      <c r="H1623" s="116" t="n">
        <v>0.9</v>
      </c>
      <c r="I1623" s="106" t="n">
        <v>0</v>
      </c>
      <c r="J1623" s="117" t="n">
        <v>0</v>
      </c>
      <c r="K1623" s="108" t="n">
        <v>0.9</v>
      </c>
      <c r="L1623" s="108" t="n">
        <v>0</v>
      </c>
      <c r="M1623" s="117"/>
      <c r="N1623" s="106"/>
      <c r="O1623" s="106"/>
      <c r="P1623" s="106"/>
      <c r="Q1623" s="106"/>
      <c r="R1623" s="106" t="s">
        <v>4537</v>
      </c>
    </row>
    <row r="1624" customFormat="false" ht="15" hidden="false" customHeight="false" outlineLevel="0" collapsed="false">
      <c r="A1624" s="106" t="s">
        <v>6246</v>
      </c>
      <c r="B1624" s="106" t="s">
        <v>4329</v>
      </c>
      <c r="C1624" s="106"/>
      <c r="D1624" s="106"/>
      <c r="E1624" s="107" t="n">
        <v>2</v>
      </c>
      <c r="F1624" s="106" t="n">
        <v>1</v>
      </c>
      <c r="G1624" s="118" t="n">
        <v>0.5</v>
      </c>
      <c r="H1624" s="116" t="n">
        <v>0.9</v>
      </c>
      <c r="I1624" s="106" t="n">
        <v>0</v>
      </c>
      <c r="J1624" s="117" t="n">
        <v>0</v>
      </c>
      <c r="K1624" s="108" t="n">
        <v>0.9</v>
      </c>
      <c r="L1624" s="108" t="n">
        <v>0</v>
      </c>
      <c r="M1624" s="117"/>
      <c r="N1624" s="106"/>
      <c r="O1624" s="106"/>
      <c r="P1624" s="106"/>
      <c r="Q1624" s="106"/>
      <c r="R1624" s="106" t="s">
        <v>4537</v>
      </c>
    </row>
    <row r="1625" customFormat="false" ht="15" hidden="false" customHeight="false" outlineLevel="0" collapsed="false">
      <c r="A1625" s="106" t="s">
        <v>6247</v>
      </c>
      <c r="B1625" s="106"/>
      <c r="C1625" s="106"/>
      <c r="D1625" s="106"/>
      <c r="E1625" s="107" t="n">
        <v>1</v>
      </c>
      <c r="F1625" s="106" t="n">
        <v>1</v>
      </c>
      <c r="G1625" s="118" t="n">
        <v>1</v>
      </c>
      <c r="H1625" s="116" t="n">
        <v>0.9</v>
      </c>
      <c r="I1625" s="106" t="n">
        <v>0</v>
      </c>
      <c r="J1625" s="117" t="n">
        <v>0</v>
      </c>
      <c r="K1625" s="108" t="n">
        <v>0.9</v>
      </c>
      <c r="L1625" s="108" t="n">
        <v>0</v>
      </c>
      <c r="M1625" s="117"/>
      <c r="N1625" s="106"/>
      <c r="O1625" s="106"/>
      <c r="P1625" s="106"/>
      <c r="Q1625" s="106"/>
      <c r="R1625" s="106" t="s">
        <v>4537</v>
      </c>
    </row>
    <row r="1626" customFormat="false" ht="15" hidden="false" customHeight="false" outlineLevel="0" collapsed="false">
      <c r="A1626" s="106" t="s">
        <v>6248</v>
      </c>
      <c r="B1626" s="106" t="s">
        <v>4280</v>
      </c>
      <c r="C1626" s="106"/>
      <c r="D1626" s="106"/>
      <c r="E1626" s="107" t="n">
        <v>3</v>
      </c>
      <c r="F1626" s="106" t="n">
        <v>1</v>
      </c>
      <c r="G1626" s="118" t="n">
        <v>0.3333</v>
      </c>
      <c r="H1626" s="116" t="n">
        <v>0.9</v>
      </c>
      <c r="I1626" s="106" t="n">
        <v>0</v>
      </c>
      <c r="J1626" s="117" t="n">
        <v>0</v>
      </c>
      <c r="K1626" s="108" t="n">
        <v>0.9</v>
      </c>
      <c r="L1626" s="108" t="n">
        <v>0</v>
      </c>
      <c r="M1626" s="117"/>
      <c r="N1626" s="106"/>
      <c r="O1626" s="106"/>
      <c r="P1626" s="106"/>
      <c r="Q1626" s="106"/>
      <c r="R1626" s="106" t="s">
        <v>4537</v>
      </c>
    </row>
    <row r="1627" customFormat="false" ht="15" hidden="false" customHeight="false" outlineLevel="0" collapsed="false">
      <c r="A1627" s="106" t="s">
        <v>6249</v>
      </c>
      <c r="B1627" s="106" t="s">
        <v>4280</v>
      </c>
      <c r="C1627" s="106"/>
      <c r="D1627" s="106"/>
      <c r="E1627" s="107" t="n">
        <v>1</v>
      </c>
      <c r="F1627" s="106" t="n">
        <v>1</v>
      </c>
      <c r="G1627" s="118" t="n">
        <v>1</v>
      </c>
      <c r="H1627" s="116" t="n">
        <v>0.9</v>
      </c>
      <c r="I1627" s="106" t="n">
        <v>1</v>
      </c>
      <c r="J1627" s="117" t="n">
        <v>1</v>
      </c>
      <c r="K1627" s="108" t="n">
        <v>0.9</v>
      </c>
      <c r="L1627" s="108" t="n">
        <v>64.99</v>
      </c>
      <c r="M1627" s="117" t="n">
        <v>0.014</v>
      </c>
      <c r="N1627" s="106"/>
      <c r="O1627" s="106"/>
      <c r="P1627" s="106"/>
      <c r="Q1627" s="106"/>
      <c r="R1627" s="106" t="s">
        <v>4285</v>
      </c>
    </row>
    <row r="1628" customFormat="false" ht="15" hidden="false" customHeight="false" outlineLevel="0" collapsed="false">
      <c r="A1628" s="106" t="s">
        <v>6250</v>
      </c>
      <c r="B1628" s="106" t="s">
        <v>4280</v>
      </c>
      <c r="C1628" s="106"/>
      <c r="D1628" s="106" t="n">
        <v>8</v>
      </c>
      <c r="E1628" s="107" t="n">
        <v>2</v>
      </c>
      <c r="F1628" s="106" t="n">
        <v>1</v>
      </c>
      <c r="G1628" s="118" t="n">
        <v>0.5</v>
      </c>
      <c r="H1628" s="116" t="n">
        <v>0.9</v>
      </c>
      <c r="I1628" s="106" t="n">
        <v>0</v>
      </c>
      <c r="J1628" s="117" t="n">
        <v>0</v>
      </c>
      <c r="K1628" s="108" t="n">
        <v>0.9</v>
      </c>
      <c r="L1628" s="108" t="n">
        <v>0</v>
      </c>
      <c r="M1628" s="117"/>
      <c r="N1628" s="106"/>
      <c r="O1628" s="106"/>
      <c r="P1628" s="106"/>
      <c r="Q1628" s="106"/>
      <c r="R1628" s="106" t="s">
        <v>4537</v>
      </c>
    </row>
    <row r="1629" customFormat="false" ht="15" hidden="false" customHeight="false" outlineLevel="0" collapsed="false">
      <c r="A1629" s="106" t="s">
        <v>6251</v>
      </c>
      <c r="B1629" s="106" t="s">
        <v>4284</v>
      </c>
      <c r="C1629" s="106"/>
      <c r="D1629" s="106"/>
      <c r="E1629" s="107" t="n">
        <v>1</v>
      </c>
      <c r="F1629" s="106" t="n">
        <v>1</v>
      </c>
      <c r="G1629" s="118" t="n">
        <v>1</v>
      </c>
      <c r="H1629" s="116" t="n">
        <v>0.9</v>
      </c>
      <c r="I1629" s="106" t="n">
        <v>0</v>
      </c>
      <c r="J1629" s="117" t="n">
        <v>0</v>
      </c>
      <c r="K1629" s="108" t="n">
        <v>0.9</v>
      </c>
      <c r="L1629" s="108" t="n">
        <v>0</v>
      </c>
      <c r="M1629" s="117"/>
      <c r="N1629" s="106"/>
      <c r="O1629" s="106"/>
      <c r="P1629" s="106"/>
      <c r="Q1629" s="106"/>
      <c r="R1629" s="106" t="s">
        <v>4537</v>
      </c>
    </row>
    <row r="1630" customFormat="false" ht="15" hidden="false" customHeight="false" outlineLevel="0" collapsed="false">
      <c r="A1630" s="106" t="s">
        <v>6252</v>
      </c>
      <c r="B1630" s="106" t="s">
        <v>4284</v>
      </c>
      <c r="C1630" s="106"/>
      <c r="D1630" s="106" t="n">
        <v>5</v>
      </c>
      <c r="E1630" s="107" t="n">
        <v>1</v>
      </c>
      <c r="F1630" s="106" t="n">
        <v>1</v>
      </c>
      <c r="G1630" s="118" t="n">
        <v>1</v>
      </c>
      <c r="H1630" s="116" t="n">
        <v>0.9</v>
      </c>
      <c r="I1630" s="106" t="n">
        <v>0</v>
      </c>
      <c r="J1630" s="117" t="n">
        <v>0</v>
      </c>
      <c r="K1630" s="108" t="n">
        <v>0.9</v>
      </c>
      <c r="L1630" s="108" t="n">
        <v>0</v>
      </c>
      <c r="M1630" s="117"/>
      <c r="N1630" s="106"/>
      <c r="O1630" s="106"/>
      <c r="P1630" s="106"/>
      <c r="Q1630" s="106"/>
      <c r="R1630" s="106" t="s">
        <v>4537</v>
      </c>
    </row>
    <row r="1631" customFormat="false" ht="15" hidden="false" customHeight="false" outlineLevel="0" collapsed="false">
      <c r="A1631" s="106" t="s">
        <v>6253</v>
      </c>
      <c r="B1631" s="106" t="s">
        <v>4284</v>
      </c>
      <c r="C1631" s="106"/>
      <c r="D1631" s="106" t="n">
        <v>193</v>
      </c>
      <c r="E1631" s="107" t="n">
        <v>1</v>
      </c>
      <c r="F1631" s="106" t="n">
        <v>1</v>
      </c>
      <c r="G1631" s="118" t="n">
        <v>1</v>
      </c>
      <c r="H1631" s="116" t="n">
        <v>0.9</v>
      </c>
      <c r="I1631" s="106" t="n">
        <v>0</v>
      </c>
      <c r="J1631" s="117" t="n">
        <v>0</v>
      </c>
      <c r="K1631" s="108" t="n">
        <v>0.9</v>
      </c>
      <c r="L1631" s="108" t="n">
        <v>0</v>
      </c>
      <c r="M1631" s="117"/>
      <c r="N1631" s="106"/>
      <c r="O1631" s="106"/>
      <c r="P1631" s="106"/>
      <c r="Q1631" s="106"/>
      <c r="R1631" s="106" t="s">
        <v>4537</v>
      </c>
    </row>
    <row r="1632" customFormat="false" ht="15" hidden="false" customHeight="false" outlineLevel="0" collapsed="false">
      <c r="A1632" s="106" t="s">
        <v>6254</v>
      </c>
      <c r="B1632" s="106" t="s">
        <v>4329</v>
      </c>
      <c r="C1632" s="106"/>
      <c r="D1632" s="106"/>
      <c r="E1632" s="107" t="n">
        <v>1</v>
      </c>
      <c r="F1632" s="106" t="n">
        <v>1</v>
      </c>
      <c r="G1632" s="118" t="n">
        <v>1</v>
      </c>
      <c r="H1632" s="116" t="n">
        <v>0.9</v>
      </c>
      <c r="I1632" s="106" t="n">
        <v>1</v>
      </c>
      <c r="J1632" s="117" t="n">
        <v>1</v>
      </c>
      <c r="K1632" s="108" t="n">
        <v>0.9</v>
      </c>
      <c r="L1632" s="108" t="n">
        <v>79.99</v>
      </c>
      <c r="M1632" s="117" t="n">
        <v>0.011</v>
      </c>
      <c r="N1632" s="106"/>
      <c r="O1632" s="106"/>
      <c r="P1632" s="106"/>
      <c r="Q1632" s="106"/>
      <c r="R1632" s="106" t="s">
        <v>4285</v>
      </c>
    </row>
    <row r="1633" customFormat="false" ht="15" hidden="false" customHeight="false" outlineLevel="0" collapsed="false">
      <c r="A1633" s="106" t="s">
        <v>6255</v>
      </c>
      <c r="B1633" s="106" t="s">
        <v>4284</v>
      </c>
      <c r="C1633" s="106"/>
      <c r="D1633" s="106"/>
      <c r="E1633" s="107" t="n">
        <v>1</v>
      </c>
      <c r="F1633" s="106" t="n">
        <v>1</v>
      </c>
      <c r="G1633" s="118" t="n">
        <v>1</v>
      </c>
      <c r="H1633" s="116" t="n">
        <v>0.9</v>
      </c>
      <c r="I1633" s="106" t="n">
        <v>0</v>
      </c>
      <c r="J1633" s="117" t="n">
        <v>0</v>
      </c>
      <c r="K1633" s="108" t="n">
        <v>0.9</v>
      </c>
      <c r="L1633" s="108" t="n">
        <v>0</v>
      </c>
      <c r="M1633" s="117"/>
      <c r="N1633" s="106"/>
      <c r="O1633" s="106"/>
      <c r="P1633" s="106"/>
      <c r="Q1633" s="106"/>
      <c r="R1633" s="106" t="s">
        <v>4537</v>
      </c>
    </row>
    <row r="1634" customFormat="false" ht="15" hidden="false" customHeight="false" outlineLevel="0" collapsed="false">
      <c r="A1634" s="106" t="s">
        <v>6256</v>
      </c>
      <c r="B1634" s="106" t="s">
        <v>1403</v>
      </c>
      <c r="C1634" s="106"/>
      <c r="D1634" s="106"/>
      <c r="E1634" s="107" t="n">
        <v>4</v>
      </c>
      <c r="F1634" s="106" t="n">
        <v>1</v>
      </c>
      <c r="G1634" s="118" t="n">
        <v>0.25</v>
      </c>
      <c r="H1634" s="116" t="n">
        <v>0.81</v>
      </c>
      <c r="I1634" s="106" t="n">
        <v>0</v>
      </c>
      <c r="J1634" s="117" t="n">
        <v>0</v>
      </c>
      <c r="K1634" s="108" t="n">
        <v>0.81</v>
      </c>
      <c r="L1634" s="108" t="n">
        <v>0</v>
      </c>
      <c r="M1634" s="117"/>
      <c r="N1634" s="106"/>
      <c r="O1634" s="106"/>
      <c r="P1634" s="106"/>
      <c r="Q1634" s="106"/>
      <c r="R1634" s="106" t="s">
        <v>4537</v>
      </c>
    </row>
    <row r="1635" customFormat="false" ht="15" hidden="false" customHeight="false" outlineLevel="0" collapsed="false">
      <c r="A1635" s="106" t="s">
        <v>6257</v>
      </c>
      <c r="B1635" s="106" t="s">
        <v>4284</v>
      </c>
      <c r="C1635" s="106"/>
      <c r="D1635" s="106" t="n">
        <v>479</v>
      </c>
      <c r="E1635" s="107" t="n">
        <v>5</v>
      </c>
      <c r="F1635" s="106" t="n">
        <v>1</v>
      </c>
      <c r="G1635" s="118" t="n">
        <v>0.2</v>
      </c>
      <c r="H1635" s="116" t="n">
        <v>0.81</v>
      </c>
      <c r="I1635" s="106" t="n">
        <v>0</v>
      </c>
      <c r="J1635" s="117" t="n">
        <v>0</v>
      </c>
      <c r="K1635" s="108" t="n">
        <v>0.81</v>
      </c>
      <c r="L1635" s="108" t="n">
        <v>0</v>
      </c>
      <c r="M1635" s="117"/>
      <c r="N1635" s="106"/>
      <c r="O1635" s="106"/>
      <c r="P1635" s="106"/>
      <c r="Q1635" s="106"/>
      <c r="R1635" s="106" t="s">
        <v>4537</v>
      </c>
    </row>
    <row r="1636" customFormat="false" ht="15" hidden="false" customHeight="false" outlineLevel="0" collapsed="false">
      <c r="A1636" s="106" t="s">
        <v>6258</v>
      </c>
      <c r="B1636" s="106" t="s">
        <v>1403</v>
      </c>
      <c r="C1636" s="106"/>
      <c r="D1636" s="106" t="n">
        <v>5</v>
      </c>
      <c r="E1636" s="107" t="n">
        <v>1</v>
      </c>
      <c r="F1636" s="106" t="n">
        <v>1</v>
      </c>
      <c r="G1636" s="118" t="n">
        <v>1</v>
      </c>
      <c r="H1636" s="116" t="n">
        <v>0.81</v>
      </c>
      <c r="I1636" s="106" t="n">
        <v>0</v>
      </c>
      <c r="J1636" s="117" t="n">
        <v>0</v>
      </c>
      <c r="K1636" s="108" t="n">
        <v>0.81</v>
      </c>
      <c r="L1636" s="108" t="n">
        <v>0</v>
      </c>
      <c r="M1636" s="117"/>
      <c r="N1636" s="106"/>
      <c r="O1636" s="106"/>
      <c r="P1636" s="106"/>
      <c r="Q1636" s="106"/>
      <c r="R1636" s="106" t="s">
        <v>4537</v>
      </c>
    </row>
    <row r="1637" customFormat="false" ht="15" hidden="false" customHeight="false" outlineLevel="0" collapsed="false">
      <c r="A1637" s="106" t="s">
        <v>6259</v>
      </c>
      <c r="B1637" s="106" t="s">
        <v>1403</v>
      </c>
      <c r="C1637" s="106"/>
      <c r="D1637" s="106"/>
      <c r="E1637" s="107" t="n">
        <v>5</v>
      </c>
      <c r="F1637" s="106" t="n">
        <v>1</v>
      </c>
      <c r="G1637" s="118" t="n">
        <v>0.2</v>
      </c>
      <c r="H1637" s="116" t="n">
        <v>0.81</v>
      </c>
      <c r="I1637" s="106" t="n">
        <v>0</v>
      </c>
      <c r="J1637" s="117" t="n">
        <v>0</v>
      </c>
      <c r="K1637" s="108" t="n">
        <v>0.81</v>
      </c>
      <c r="L1637" s="108" t="n">
        <v>0</v>
      </c>
      <c r="M1637" s="117"/>
      <c r="N1637" s="106"/>
      <c r="O1637" s="106"/>
      <c r="P1637" s="106"/>
      <c r="Q1637" s="106"/>
      <c r="R1637" s="106" t="s">
        <v>4537</v>
      </c>
    </row>
    <row r="1638" customFormat="false" ht="15" hidden="false" customHeight="false" outlineLevel="0" collapsed="false">
      <c r="A1638" s="106" t="s">
        <v>6260</v>
      </c>
      <c r="B1638" s="106" t="s">
        <v>1403</v>
      </c>
      <c r="C1638" s="106"/>
      <c r="D1638" s="106"/>
      <c r="E1638" s="107" t="n">
        <v>3</v>
      </c>
      <c r="F1638" s="106" t="n">
        <v>1</v>
      </c>
      <c r="G1638" s="118" t="n">
        <v>0.3333</v>
      </c>
      <c r="H1638" s="116" t="n">
        <v>0.81</v>
      </c>
      <c r="I1638" s="106" t="n">
        <v>0</v>
      </c>
      <c r="J1638" s="117" t="n">
        <v>0</v>
      </c>
      <c r="K1638" s="108" t="n">
        <v>0.81</v>
      </c>
      <c r="L1638" s="108" t="n">
        <v>0</v>
      </c>
      <c r="M1638" s="117"/>
      <c r="N1638" s="106"/>
      <c r="O1638" s="106"/>
      <c r="P1638" s="106"/>
      <c r="Q1638" s="106"/>
      <c r="R1638" s="106" t="s">
        <v>4537</v>
      </c>
    </row>
    <row r="1639" customFormat="false" ht="15" hidden="false" customHeight="false" outlineLevel="0" collapsed="false">
      <c r="A1639" s="106" t="s">
        <v>6261</v>
      </c>
      <c r="B1639" s="106" t="s">
        <v>4284</v>
      </c>
      <c r="C1639" s="106"/>
      <c r="D1639" s="106" t="n">
        <v>7</v>
      </c>
      <c r="E1639" s="107" t="n">
        <v>2</v>
      </c>
      <c r="F1639" s="106" t="n">
        <v>1</v>
      </c>
      <c r="G1639" s="118" t="n">
        <v>0.5</v>
      </c>
      <c r="H1639" s="116" t="n">
        <v>0.8</v>
      </c>
      <c r="I1639" s="106" t="n">
        <v>0</v>
      </c>
      <c r="J1639" s="117" t="n">
        <v>0</v>
      </c>
      <c r="K1639" s="108" t="n">
        <v>0.8</v>
      </c>
      <c r="L1639" s="108" t="n">
        <v>0</v>
      </c>
      <c r="M1639" s="117"/>
      <c r="N1639" s="106"/>
      <c r="O1639" s="106"/>
      <c r="P1639" s="106"/>
      <c r="Q1639" s="106"/>
      <c r="R1639" s="106" t="s">
        <v>4537</v>
      </c>
    </row>
    <row r="1640" customFormat="false" ht="15" hidden="false" customHeight="false" outlineLevel="0" collapsed="false">
      <c r="A1640" s="106" t="s">
        <v>6262</v>
      </c>
      <c r="B1640" s="106" t="s">
        <v>4284</v>
      </c>
      <c r="C1640" s="106"/>
      <c r="D1640" s="106" t="n">
        <v>10</v>
      </c>
      <c r="E1640" s="107" t="n">
        <v>1</v>
      </c>
      <c r="F1640" s="106" t="n">
        <v>1</v>
      </c>
      <c r="G1640" s="118" t="n">
        <v>1</v>
      </c>
      <c r="H1640" s="116" t="n">
        <v>0.8</v>
      </c>
      <c r="I1640" s="106" t="n">
        <v>0</v>
      </c>
      <c r="J1640" s="117" t="n">
        <v>0</v>
      </c>
      <c r="K1640" s="108" t="n">
        <v>0.8</v>
      </c>
      <c r="L1640" s="108" t="n">
        <v>0</v>
      </c>
      <c r="M1640" s="117"/>
      <c r="N1640" s="106"/>
      <c r="O1640" s="106"/>
      <c r="P1640" s="106"/>
      <c r="Q1640" s="106"/>
      <c r="R1640" s="106" t="s">
        <v>4537</v>
      </c>
    </row>
    <row r="1641" customFormat="false" ht="15" hidden="false" customHeight="false" outlineLevel="0" collapsed="false">
      <c r="A1641" s="106" t="s">
        <v>6263</v>
      </c>
      <c r="B1641" s="106" t="s">
        <v>4280</v>
      </c>
      <c r="C1641" s="106"/>
      <c r="D1641" s="106"/>
      <c r="E1641" s="107" t="n">
        <v>3</v>
      </c>
      <c r="F1641" s="106" t="n">
        <v>1</v>
      </c>
      <c r="G1641" s="118" t="n">
        <v>0.3333</v>
      </c>
      <c r="H1641" s="116" t="n">
        <v>0.8</v>
      </c>
      <c r="I1641" s="106" t="n">
        <v>1</v>
      </c>
      <c r="J1641" s="117" t="n">
        <v>1</v>
      </c>
      <c r="K1641" s="108" t="n">
        <v>0.8</v>
      </c>
      <c r="L1641" s="108" t="n">
        <v>79.99</v>
      </c>
      <c r="M1641" s="117" t="n">
        <v>0.01</v>
      </c>
      <c r="N1641" s="106"/>
      <c r="O1641" s="106"/>
      <c r="P1641" s="106"/>
      <c r="Q1641" s="106"/>
      <c r="R1641" s="106" t="s">
        <v>4285</v>
      </c>
    </row>
    <row r="1642" customFormat="false" ht="15" hidden="false" customHeight="false" outlineLevel="0" collapsed="false">
      <c r="A1642" s="106" t="s">
        <v>6264</v>
      </c>
      <c r="B1642" s="106" t="s">
        <v>1403</v>
      </c>
      <c r="C1642" s="106"/>
      <c r="D1642" s="106"/>
      <c r="E1642" s="107" t="n">
        <v>12</v>
      </c>
      <c r="F1642" s="106" t="n">
        <v>1</v>
      </c>
      <c r="G1642" s="118" t="n">
        <v>0.0833</v>
      </c>
      <c r="H1642" s="116" t="n">
        <v>0.84</v>
      </c>
      <c r="I1642" s="106" t="n">
        <v>0</v>
      </c>
      <c r="J1642" s="117" t="n">
        <v>0</v>
      </c>
      <c r="K1642" s="108" t="n">
        <v>0.84</v>
      </c>
      <c r="L1642" s="108" t="n">
        <v>0</v>
      </c>
      <c r="M1642" s="117"/>
      <c r="N1642" s="106"/>
      <c r="O1642" s="106"/>
      <c r="P1642" s="106"/>
      <c r="Q1642" s="106"/>
      <c r="R1642" s="106" t="s">
        <v>4537</v>
      </c>
    </row>
    <row r="1643" customFormat="false" ht="15" hidden="false" customHeight="false" outlineLevel="0" collapsed="false">
      <c r="A1643" s="106" t="s">
        <v>6265</v>
      </c>
      <c r="B1643" s="106" t="s">
        <v>4284</v>
      </c>
      <c r="C1643" s="106"/>
      <c r="D1643" s="106" t="n">
        <v>1</v>
      </c>
      <c r="E1643" s="107" t="n">
        <v>1</v>
      </c>
      <c r="F1643" s="106" t="n">
        <v>1</v>
      </c>
      <c r="G1643" s="118" t="n">
        <v>1</v>
      </c>
      <c r="H1643" s="116" t="n">
        <v>0.83</v>
      </c>
      <c r="I1643" s="106" t="n">
        <v>0</v>
      </c>
      <c r="J1643" s="117" t="n">
        <v>0</v>
      </c>
      <c r="K1643" s="108" t="n">
        <v>0.83</v>
      </c>
      <c r="L1643" s="108" t="n">
        <v>0</v>
      </c>
      <c r="M1643" s="117"/>
      <c r="N1643" s="106"/>
      <c r="O1643" s="106"/>
      <c r="P1643" s="106"/>
      <c r="Q1643" s="106"/>
      <c r="R1643" s="106" t="s">
        <v>4537</v>
      </c>
    </row>
    <row r="1644" customFormat="false" ht="15" hidden="false" customHeight="false" outlineLevel="0" collapsed="false">
      <c r="A1644" s="106" t="s">
        <v>6266</v>
      </c>
      <c r="B1644" s="106" t="s">
        <v>1403</v>
      </c>
      <c r="C1644" s="106"/>
      <c r="D1644" s="106"/>
      <c r="E1644" s="107" t="n">
        <v>6</v>
      </c>
      <c r="F1644" s="106" t="n">
        <v>1</v>
      </c>
      <c r="G1644" s="118" t="n">
        <v>0.1667</v>
      </c>
      <c r="H1644" s="116" t="n">
        <v>0.83</v>
      </c>
      <c r="I1644" s="106" t="n">
        <v>0</v>
      </c>
      <c r="J1644" s="117" t="n">
        <v>0</v>
      </c>
      <c r="K1644" s="108" t="n">
        <v>0.83</v>
      </c>
      <c r="L1644" s="108" t="n">
        <v>0</v>
      </c>
      <c r="M1644" s="117"/>
      <c r="N1644" s="106"/>
      <c r="O1644" s="106"/>
      <c r="P1644" s="106"/>
      <c r="Q1644" s="106"/>
      <c r="R1644" s="106" t="s">
        <v>4537</v>
      </c>
    </row>
    <row r="1645" customFormat="false" ht="15" hidden="false" customHeight="false" outlineLevel="0" collapsed="false">
      <c r="A1645" s="106" t="s">
        <v>6267</v>
      </c>
      <c r="B1645" s="106" t="s">
        <v>4284</v>
      </c>
      <c r="C1645" s="106"/>
      <c r="D1645" s="106"/>
      <c r="E1645" s="107" t="n">
        <v>1</v>
      </c>
      <c r="F1645" s="106" t="n">
        <v>1</v>
      </c>
      <c r="G1645" s="118" t="n">
        <v>1</v>
      </c>
      <c r="H1645" s="116" t="n">
        <v>0.83</v>
      </c>
      <c r="I1645" s="106" t="n">
        <v>0</v>
      </c>
      <c r="J1645" s="117" t="n">
        <v>0</v>
      </c>
      <c r="K1645" s="108" t="n">
        <v>0.83</v>
      </c>
      <c r="L1645" s="108" t="n">
        <v>0</v>
      </c>
      <c r="M1645" s="117"/>
      <c r="N1645" s="106"/>
      <c r="O1645" s="106"/>
      <c r="P1645" s="106"/>
      <c r="Q1645" s="106"/>
      <c r="R1645" s="106" t="s">
        <v>4537</v>
      </c>
    </row>
    <row r="1646" customFormat="false" ht="15" hidden="false" customHeight="false" outlineLevel="0" collapsed="false">
      <c r="A1646" s="106" t="s">
        <v>6268</v>
      </c>
      <c r="B1646" s="106" t="s">
        <v>4284</v>
      </c>
      <c r="C1646" s="106"/>
      <c r="D1646" s="106"/>
      <c r="E1646" s="107" t="n">
        <v>2</v>
      </c>
      <c r="F1646" s="106" t="n">
        <v>1</v>
      </c>
      <c r="G1646" s="118" t="n">
        <v>0.5</v>
      </c>
      <c r="H1646" s="116" t="n">
        <v>0.82</v>
      </c>
      <c r="I1646" s="106" t="n">
        <v>0</v>
      </c>
      <c r="J1646" s="117" t="n">
        <v>0</v>
      </c>
      <c r="K1646" s="108" t="n">
        <v>0.82</v>
      </c>
      <c r="L1646" s="108" t="n">
        <v>0</v>
      </c>
      <c r="M1646" s="117"/>
      <c r="N1646" s="106"/>
      <c r="O1646" s="106"/>
      <c r="P1646" s="106"/>
      <c r="Q1646" s="106"/>
      <c r="R1646" s="106" t="s">
        <v>4537</v>
      </c>
    </row>
    <row r="1647" customFormat="false" ht="15" hidden="false" customHeight="false" outlineLevel="0" collapsed="false">
      <c r="A1647" s="106" t="s">
        <v>6269</v>
      </c>
      <c r="B1647" s="106" t="s">
        <v>4280</v>
      </c>
      <c r="C1647" s="106"/>
      <c r="D1647" s="106" t="n">
        <v>1</v>
      </c>
      <c r="E1647" s="107" t="n">
        <v>1</v>
      </c>
      <c r="F1647" s="106" t="n">
        <v>1</v>
      </c>
      <c r="G1647" s="118" t="n">
        <v>1</v>
      </c>
      <c r="H1647" s="116" t="n">
        <v>0.82</v>
      </c>
      <c r="I1647" s="106" t="n">
        <v>0</v>
      </c>
      <c r="J1647" s="117" t="n">
        <v>0</v>
      </c>
      <c r="K1647" s="108" t="n">
        <v>0.82</v>
      </c>
      <c r="L1647" s="108" t="n">
        <v>0</v>
      </c>
      <c r="M1647" s="117"/>
      <c r="N1647" s="106"/>
      <c r="O1647" s="106"/>
      <c r="P1647" s="106"/>
      <c r="Q1647" s="106"/>
      <c r="R1647" s="106" t="s">
        <v>4537</v>
      </c>
    </row>
    <row r="1648" customFormat="false" ht="15" hidden="false" customHeight="false" outlineLevel="0" collapsed="false">
      <c r="A1648" s="106" t="s">
        <v>6270</v>
      </c>
      <c r="B1648" s="106" t="s">
        <v>4280</v>
      </c>
      <c r="C1648" s="106"/>
      <c r="D1648" s="106"/>
      <c r="E1648" s="107" t="n">
        <v>0</v>
      </c>
      <c r="F1648" s="106" t="n">
        <v>1</v>
      </c>
      <c r="G1648" s="118"/>
      <c r="H1648" s="116" t="n">
        <v>0.82</v>
      </c>
      <c r="I1648" s="106" t="n">
        <v>0</v>
      </c>
      <c r="J1648" s="117" t="n">
        <v>0</v>
      </c>
      <c r="K1648" s="108" t="n">
        <v>0.82</v>
      </c>
      <c r="L1648" s="108" t="n">
        <v>0</v>
      </c>
      <c r="M1648" s="117"/>
      <c r="N1648" s="106"/>
      <c r="O1648" s="106"/>
      <c r="P1648" s="106"/>
      <c r="Q1648" s="106"/>
      <c r="R1648" s="106" t="s">
        <v>4537</v>
      </c>
    </row>
    <row r="1649" customFormat="false" ht="15" hidden="false" customHeight="false" outlineLevel="0" collapsed="false">
      <c r="A1649" s="106" t="s">
        <v>6271</v>
      </c>
      <c r="B1649" s="106" t="s">
        <v>4284</v>
      </c>
      <c r="C1649" s="106"/>
      <c r="D1649" s="106"/>
      <c r="E1649" s="107" t="n">
        <v>1</v>
      </c>
      <c r="F1649" s="106" t="n">
        <v>1</v>
      </c>
      <c r="G1649" s="118" t="n">
        <v>1</v>
      </c>
      <c r="H1649" s="116" t="n">
        <v>0.82</v>
      </c>
      <c r="I1649" s="106" t="n">
        <v>0</v>
      </c>
      <c r="J1649" s="117" t="n">
        <v>0</v>
      </c>
      <c r="K1649" s="108" t="n">
        <v>0.82</v>
      </c>
      <c r="L1649" s="108" t="n">
        <v>0</v>
      </c>
      <c r="M1649" s="117"/>
      <c r="N1649" s="106"/>
      <c r="O1649" s="106"/>
      <c r="P1649" s="106"/>
      <c r="Q1649" s="106"/>
      <c r="R1649" s="106" t="s">
        <v>4537</v>
      </c>
    </row>
    <row r="1650" customFormat="false" ht="15" hidden="false" customHeight="false" outlineLevel="0" collapsed="false">
      <c r="A1650" s="106" t="s">
        <v>6272</v>
      </c>
      <c r="B1650" s="106" t="s">
        <v>1403</v>
      </c>
      <c r="C1650" s="106"/>
      <c r="D1650" s="106" t="n">
        <v>9</v>
      </c>
      <c r="E1650" s="107" t="n">
        <v>1</v>
      </c>
      <c r="F1650" s="106" t="n">
        <v>1</v>
      </c>
      <c r="G1650" s="118" t="n">
        <v>1</v>
      </c>
      <c r="H1650" s="116" t="n">
        <v>0.86</v>
      </c>
      <c r="I1650" s="106" t="n">
        <v>0</v>
      </c>
      <c r="J1650" s="117" t="n">
        <v>0</v>
      </c>
      <c r="K1650" s="108" t="n">
        <v>0.86</v>
      </c>
      <c r="L1650" s="108" t="n">
        <v>0</v>
      </c>
      <c r="M1650" s="117"/>
      <c r="N1650" s="106"/>
      <c r="O1650" s="106"/>
      <c r="P1650" s="106"/>
      <c r="Q1650" s="106"/>
      <c r="R1650" s="106" t="s">
        <v>4537</v>
      </c>
    </row>
    <row r="1651" customFormat="false" ht="15" hidden="false" customHeight="false" outlineLevel="0" collapsed="false">
      <c r="A1651" s="106" t="s">
        <v>6273</v>
      </c>
      <c r="B1651" s="106" t="s">
        <v>4280</v>
      </c>
      <c r="C1651" s="106"/>
      <c r="D1651" s="106"/>
      <c r="E1651" s="107" t="n">
        <v>2</v>
      </c>
      <c r="F1651" s="106" t="n">
        <v>1</v>
      </c>
      <c r="G1651" s="118" t="n">
        <v>0.5</v>
      </c>
      <c r="H1651" s="116" t="n">
        <v>0.86</v>
      </c>
      <c r="I1651" s="106" t="n">
        <v>0</v>
      </c>
      <c r="J1651" s="117" t="n">
        <v>0</v>
      </c>
      <c r="K1651" s="108" t="n">
        <v>0.86</v>
      </c>
      <c r="L1651" s="108" t="n">
        <v>0</v>
      </c>
      <c r="M1651" s="117"/>
      <c r="N1651" s="106"/>
      <c r="O1651" s="106"/>
      <c r="P1651" s="106"/>
      <c r="Q1651" s="106"/>
      <c r="R1651" s="106" t="s">
        <v>4537</v>
      </c>
    </row>
    <row r="1652" customFormat="false" ht="15" hidden="false" customHeight="false" outlineLevel="0" collapsed="false">
      <c r="A1652" s="106" t="s">
        <v>6274</v>
      </c>
      <c r="B1652" s="106" t="s">
        <v>1403</v>
      </c>
      <c r="C1652" s="106"/>
      <c r="D1652" s="106" t="n">
        <v>2</v>
      </c>
      <c r="E1652" s="107" t="n">
        <v>2</v>
      </c>
      <c r="F1652" s="106" t="n">
        <v>1</v>
      </c>
      <c r="G1652" s="118" t="n">
        <v>0.5</v>
      </c>
      <c r="H1652" s="116" t="n">
        <v>0.86</v>
      </c>
      <c r="I1652" s="106" t="n">
        <v>0</v>
      </c>
      <c r="J1652" s="117" t="n">
        <v>0</v>
      </c>
      <c r="K1652" s="108" t="n">
        <v>0.86</v>
      </c>
      <c r="L1652" s="108" t="n">
        <v>0</v>
      </c>
      <c r="M1652" s="117"/>
      <c r="N1652" s="106"/>
      <c r="O1652" s="106"/>
      <c r="P1652" s="106"/>
      <c r="Q1652" s="106"/>
      <c r="R1652" s="106" t="s">
        <v>4537</v>
      </c>
    </row>
    <row r="1653" customFormat="false" ht="15" hidden="false" customHeight="false" outlineLevel="0" collapsed="false">
      <c r="A1653" s="106" t="s">
        <v>6275</v>
      </c>
      <c r="B1653" s="106" t="s">
        <v>1403</v>
      </c>
      <c r="C1653" s="106"/>
      <c r="D1653" s="106"/>
      <c r="E1653" s="107" t="n">
        <v>7</v>
      </c>
      <c r="F1653" s="106" t="n">
        <v>1</v>
      </c>
      <c r="G1653" s="118" t="n">
        <v>0.1429</v>
      </c>
      <c r="H1653" s="116" t="n">
        <v>0.86</v>
      </c>
      <c r="I1653" s="106" t="n">
        <v>1</v>
      </c>
      <c r="J1653" s="117" t="n">
        <v>1</v>
      </c>
      <c r="K1653" s="108" t="n">
        <v>0.86</v>
      </c>
      <c r="L1653" s="108" t="n">
        <v>74.99</v>
      </c>
      <c r="M1653" s="117" t="n">
        <v>0.011</v>
      </c>
      <c r="N1653" s="106"/>
      <c r="O1653" s="106"/>
      <c r="P1653" s="106"/>
      <c r="Q1653" s="106"/>
      <c r="R1653" s="106" t="s">
        <v>4285</v>
      </c>
    </row>
    <row r="1654" customFormat="false" ht="15" hidden="false" customHeight="false" outlineLevel="0" collapsed="false">
      <c r="A1654" s="106" t="s">
        <v>6276</v>
      </c>
      <c r="B1654" s="106" t="s">
        <v>4280</v>
      </c>
      <c r="C1654" s="106"/>
      <c r="D1654" s="106" t="n">
        <v>4</v>
      </c>
      <c r="E1654" s="107" t="n">
        <v>1</v>
      </c>
      <c r="F1654" s="106" t="n">
        <v>1</v>
      </c>
      <c r="G1654" s="118" t="n">
        <v>1</v>
      </c>
      <c r="H1654" s="116" t="n">
        <v>0.85</v>
      </c>
      <c r="I1654" s="106" t="n">
        <v>0</v>
      </c>
      <c r="J1654" s="117" t="n">
        <v>0</v>
      </c>
      <c r="K1654" s="108" t="n">
        <v>0.85</v>
      </c>
      <c r="L1654" s="108" t="n">
        <v>0</v>
      </c>
      <c r="M1654" s="117"/>
      <c r="N1654" s="106"/>
      <c r="O1654" s="106"/>
      <c r="P1654" s="106"/>
      <c r="Q1654" s="106"/>
      <c r="R1654" s="106" t="s">
        <v>4537</v>
      </c>
    </row>
    <row r="1655" customFormat="false" ht="15" hidden="false" customHeight="false" outlineLevel="0" collapsed="false">
      <c r="A1655" s="106" t="s">
        <v>6277</v>
      </c>
      <c r="B1655" s="106" t="s">
        <v>4280</v>
      </c>
      <c r="C1655" s="106"/>
      <c r="D1655" s="106"/>
      <c r="E1655" s="107" t="n">
        <v>2</v>
      </c>
      <c r="F1655" s="106" t="n">
        <v>1</v>
      </c>
      <c r="G1655" s="118" t="n">
        <v>0.5</v>
      </c>
      <c r="H1655" s="116" t="n">
        <v>0.84</v>
      </c>
      <c r="I1655" s="106" t="n">
        <v>0</v>
      </c>
      <c r="J1655" s="117" t="n">
        <v>0</v>
      </c>
      <c r="K1655" s="108" t="n">
        <v>0.84</v>
      </c>
      <c r="L1655" s="108" t="n">
        <v>0</v>
      </c>
      <c r="M1655" s="117"/>
      <c r="N1655" s="106"/>
      <c r="O1655" s="106"/>
      <c r="P1655" s="106"/>
      <c r="Q1655" s="106"/>
      <c r="R1655" s="106" t="s">
        <v>4537</v>
      </c>
    </row>
    <row r="1656" customFormat="false" ht="15" hidden="false" customHeight="false" outlineLevel="0" collapsed="false">
      <c r="A1656" s="106" t="s">
        <v>6278</v>
      </c>
      <c r="B1656" s="106" t="s">
        <v>1403</v>
      </c>
      <c r="C1656" s="106"/>
      <c r="D1656" s="106" t="n">
        <v>1</v>
      </c>
      <c r="E1656" s="107" t="n">
        <v>6</v>
      </c>
      <c r="F1656" s="106" t="n">
        <v>1</v>
      </c>
      <c r="G1656" s="118" t="n">
        <v>0.1667</v>
      </c>
      <c r="H1656" s="116" t="n">
        <v>0.84</v>
      </c>
      <c r="I1656" s="106" t="n">
        <v>0</v>
      </c>
      <c r="J1656" s="117" t="n">
        <v>0</v>
      </c>
      <c r="K1656" s="108" t="n">
        <v>0.84</v>
      </c>
      <c r="L1656" s="108" t="n">
        <v>0</v>
      </c>
      <c r="M1656" s="117"/>
      <c r="N1656" s="106"/>
      <c r="O1656" s="106"/>
      <c r="P1656" s="106"/>
      <c r="Q1656" s="106"/>
      <c r="R1656" s="106" t="s">
        <v>4537</v>
      </c>
    </row>
    <row r="1657" customFormat="false" ht="15" hidden="false" customHeight="false" outlineLevel="0" collapsed="false">
      <c r="A1657" s="106" t="s">
        <v>6279</v>
      </c>
      <c r="B1657" s="106" t="s">
        <v>1403</v>
      </c>
      <c r="C1657" s="106"/>
      <c r="D1657" s="106" t="n">
        <v>2</v>
      </c>
      <c r="E1657" s="107" t="n">
        <v>2</v>
      </c>
      <c r="F1657" s="106" t="n">
        <v>1</v>
      </c>
      <c r="G1657" s="118" t="n">
        <v>0.5</v>
      </c>
      <c r="H1657" s="116" t="n">
        <v>0.84</v>
      </c>
      <c r="I1657" s="106" t="n">
        <v>2</v>
      </c>
      <c r="J1657" s="117" t="n">
        <v>2</v>
      </c>
      <c r="K1657" s="108" t="n">
        <v>0.84</v>
      </c>
      <c r="L1657" s="108" t="n">
        <v>139.98</v>
      </c>
      <c r="M1657" s="117" t="n">
        <v>0.006</v>
      </c>
      <c r="N1657" s="106"/>
      <c r="O1657" s="106"/>
      <c r="P1657" s="106"/>
      <c r="Q1657" s="106"/>
      <c r="R1657" s="106" t="s">
        <v>4285</v>
      </c>
    </row>
    <row r="1658" customFormat="false" ht="15" hidden="false" customHeight="false" outlineLevel="0" collapsed="false">
      <c r="A1658" s="106" t="s">
        <v>6280</v>
      </c>
      <c r="B1658" s="106" t="s">
        <v>4280</v>
      </c>
      <c r="C1658" s="106"/>
      <c r="D1658" s="106" t="n">
        <v>6</v>
      </c>
      <c r="E1658" s="107" t="n">
        <v>2</v>
      </c>
      <c r="F1658" s="106" t="n">
        <v>1</v>
      </c>
      <c r="G1658" s="118" t="n">
        <v>0.5</v>
      </c>
      <c r="H1658" s="116" t="n">
        <v>0.89</v>
      </c>
      <c r="I1658" s="106" t="n">
        <v>0</v>
      </c>
      <c r="J1658" s="117" t="n">
        <v>0</v>
      </c>
      <c r="K1658" s="108" t="n">
        <v>0.89</v>
      </c>
      <c r="L1658" s="108" t="n">
        <v>0</v>
      </c>
      <c r="M1658" s="117"/>
      <c r="N1658" s="106"/>
      <c r="O1658" s="106"/>
      <c r="P1658" s="106"/>
      <c r="Q1658" s="106"/>
      <c r="R1658" s="106" t="s">
        <v>4537</v>
      </c>
    </row>
    <row r="1659" customFormat="false" ht="15" hidden="false" customHeight="false" outlineLevel="0" collapsed="false">
      <c r="A1659" s="106" t="s">
        <v>6281</v>
      </c>
      <c r="B1659" s="106" t="s">
        <v>1403</v>
      </c>
      <c r="C1659" s="106"/>
      <c r="D1659" s="106" t="n">
        <v>1</v>
      </c>
      <c r="E1659" s="107" t="n">
        <v>3</v>
      </c>
      <c r="F1659" s="106" t="n">
        <v>1</v>
      </c>
      <c r="G1659" s="118" t="n">
        <v>0.3333</v>
      </c>
      <c r="H1659" s="116" t="n">
        <v>0.89</v>
      </c>
      <c r="I1659" s="106" t="n">
        <v>0</v>
      </c>
      <c r="J1659" s="117" t="n">
        <v>0</v>
      </c>
      <c r="K1659" s="108" t="n">
        <v>0.89</v>
      </c>
      <c r="L1659" s="108" t="n">
        <v>0</v>
      </c>
      <c r="M1659" s="117"/>
      <c r="N1659" s="106"/>
      <c r="O1659" s="106"/>
      <c r="P1659" s="106"/>
      <c r="Q1659" s="106"/>
      <c r="R1659" s="106" t="s">
        <v>4537</v>
      </c>
    </row>
    <row r="1660" customFormat="false" ht="15" hidden="false" customHeight="false" outlineLevel="0" collapsed="false">
      <c r="A1660" s="106" t="s">
        <v>1383</v>
      </c>
      <c r="B1660" s="106" t="s">
        <v>4280</v>
      </c>
      <c r="C1660" s="106" t="s">
        <v>4290</v>
      </c>
      <c r="D1660" s="106" t="n">
        <v>636</v>
      </c>
      <c r="E1660" s="107" t="n">
        <v>4</v>
      </c>
      <c r="F1660" s="106" t="n">
        <v>1</v>
      </c>
      <c r="G1660" s="118" t="n">
        <v>0.25</v>
      </c>
      <c r="H1660" s="116" t="n">
        <v>0.89</v>
      </c>
      <c r="I1660" s="106" t="n">
        <v>0</v>
      </c>
      <c r="J1660" s="117" t="n">
        <v>0</v>
      </c>
      <c r="K1660" s="108" t="n">
        <v>0.89</v>
      </c>
      <c r="L1660" s="108" t="n">
        <v>0</v>
      </c>
      <c r="M1660" s="117"/>
      <c r="N1660" s="106" t="n">
        <v>12</v>
      </c>
      <c r="O1660" s="106" t="n">
        <v>2</v>
      </c>
      <c r="P1660" s="106" t="s">
        <v>4623</v>
      </c>
      <c r="Q1660" s="106" t="n">
        <v>10</v>
      </c>
      <c r="R1660" s="106" t="s">
        <v>4537</v>
      </c>
    </row>
    <row r="1661" customFormat="false" ht="15" hidden="false" customHeight="false" outlineLevel="0" collapsed="false">
      <c r="A1661" s="106" t="s">
        <v>6282</v>
      </c>
      <c r="B1661" s="106" t="s">
        <v>4280</v>
      </c>
      <c r="C1661" s="106"/>
      <c r="D1661" s="106"/>
      <c r="E1661" s="107" t="n">
        <v>18</v>
      </c>
      <c r="F1661" s="106" t="n">
        <v>1</v>
      </c>
      <c r="G1661" s="118" t="n">
        <v>0.0556</v>
      </c>
      <c r="H1661" s="116" t="n">
        <v>0.88</v>
      </c>
      <c r="I1661" s="106" t="n">
        <v>0</v>
      </c>
      <c r="J1661" s="117" t="n">
        <v>0</v>
      </c>
      <c r="K1661" s="108" t="n">
        <v>0.88</v>
      </c>
      <c r="L1661" s="108" t="n">
        <v>0</v>
      </c>
      <c r="M1661" s="117"/>
      <c r="N1661" s="106"/>
      <c r="O1661" s="106"/>
      <c r="P1661" s="106"/>
      <c r="Q1661" s="106"/>
      <c r="R1661" s="106" t="s">
        <v>4537</v>
      </c>
    </row>
    <row r="1662" customFormat="false" ht="15" hidden="false" customHeight="false" outlineLevel="0" collapsed="false">
      <c r="A1662" s="106" t="s">
        <v>6283</v>
      </c>
      <c r="B1662" s="106" t="s">
        <v>4284</v>
      </c>
      <c r="C1662" s="106"/>
      <c r="D1662" s="106"/>
      <c r="E1662" s="107" t="n">
        <v>1</v>
      </c>
      <c r="F1662" s="106" t="n">
        <v>1</v>
      </c>
      <c r="G1662" s="118" t="n">
        <v>1</v>
      </c>
      <c r="H1662" s="116" t="n">
        <v>0.87</v>
      </c>
      <c r="I1662" s="106" t="n">
        <v>0</v>
      </c>
      <c r="J1662" s="117" t="n">
        <v>0</v>
      </c>
      <c r="K1662" s="108" t="n">
        <v>0.87</v>
      </c>
      <c r="L1662" s="108" t="n">
        <v>0</v>
      </c>
      <c r="M1662" s="117"/>
      <c r="N1662" s="106"/>
      <c r="O1662" s="106"/>
      <c r="P1662" s="106"/>
      <c r="Q1662" s="106"/>
      <c r="R1662" s="106" t="s">
        <v>4537</v>
      </c>
    </row>
    <row r="1663" customFormat="false" ht="15" hidden="false" customHeight="false" outlineLevel="0" collapsed="false">
      <c r="A1663" s="106" t="s">
        <v>6284</v>
      </c>
      <c r="B1663" s="106" t="s">
        <v>4280</v>
      </c>
      <c r="C1663" s="106"/>
      <c r="D1663" s="106"/>
      <c r="E1663" s="107" t="n">
        <v>1</v>
      </c>
      <c r="F1663" s="106" t="n">
        <v>1</v>
      </c>
      <c r="G1663" s="118" t="n">
        <v>1</v>
      </c>
      <c r="H1663" s="116" t="n">
        <v>0.87</v>
      </c>
      <c r="I1663" s="106" t="n">
        <v>0</v>
      </c>
      <c r="J1663" s="117" t="n">
        <v>0</v>
      </c>
      <c r="K1663" s="108" t="n">
        <v>0.87</v>
      </c>
      <c r="L1663" s="108" t="n">
        <v>0</v>
      </c>
      <c r="M1663" s="117"/>
      <c r="N1663" s="106"/>
      <c r="O1663" s="106"/>
      <c r="P1663" s="106"/>
      <c r="Q1663" s="106"/>
      <c r="R1663" s="106" t="s">
        <v>4537</v>
      </c>
    </row>
    <row r="1664" customFormat="false" ht="15" hidden="false" customHeight="false" outlineLevel="0" collapsed="false">
      <c r="A1664" s="106" t="s">
        <v>6285</v>
      </c>
      <c r="B1664" s="106" t="s">
        <v>1403</v>
      </c>
      <c r="C1664" s="106"/>
      <c r="D1664" s="106" t="n">
        <v>1</v>
      </c>
      <c r="E1664" s="107" t="n">
        <v>8</v>
      </c>
      <c r="F1664" s="106" t="n">
        <v>1</v>
      </c>
      <c r="G1664" s="118" t="n">
        <v>0.125</v>
      </c>
      <c r="H1664" s="116" t="n">
        <v>0.87</v>
      </c>
      <c r="I1664" s="106" t="n">
        <v>2</v>
      </c>
      <c r="J1664" s="117" t="n">
        <v>2</v>
      </c>
      <c r="K1664" s="108" t="n">
        <v>0.87</v>
      </c>
      <c r="L1664" s="108" t="n">
        <v>169.98</v>
      </c>
      <c r="M1664" s="117" t="n">
        <v>0.005</v>
      </c>
      <c r="N1664" s="106"/>
      <c r="O1664" s="106"/>
      <c r="P1664" s="106"/>
      <c r="Q1664" s="106"/>
      <c r="R1664" s="106" t="s">
        <v>4285</v>
      </c>
    </row>
    <row r="1665" customFormat="false" ht="15" hidden="false" customHeight="false" outlineLevel="0" collapsed="false">
      <c r="A1665" s="106" t="s">
        <v>6286</v>
      </c>
      <c r="B1665" s="106" t="s">
        <v>1403</v>
      </c>
      <c r="C1665" s="106"/>
      <c r="D1665" s="106"/>
      <c r="E1665" s="107" t="n">
        <v>6</v>
      </c>
      <c r="F1665" s="106" t="n">
        <v>1</v>
      </c>
      <c r="G1665" s="118" t="n">
        <v>0.1667</v>
      </c>
      <c r="H1665" s="116" t="n">
        <v>0.86</v>
      </c>
      <c r="I1665" s="106" t="n">
        <v>0</v>
      </c>
      <c r="J1665" s="117" t="n">
        <v>0</v>
      </c>
      <c r="K1665" s="108" t="n">
        <v>0.86</v>
      </c>
      <c r="L1665" s="108" t="n">
        <v>0</v>
      </c>
      <c r="M1665" s="117"/>
      <c r="N1665" s="106"/>
      <c r="O1665" s="106"/>
      <c r="P1665" s="106"/>
      <c r="Q1665" s="106"/>
      <c r="R1665" s="106" t="s">
        <v>4537</v>
      </c>
    </row>
    <row r="1666" customFormat="false" ht="15" hidden="false" customHeight="false" outlineLevel="0" collapsed="false">
      <c r="A1666" s="106" t="s">
        <v>6287</v>
      </c>
      <c r="B1666" s="106" t="s">
        <v>4329</v>
      </c>
      <c r="C1666" s="106"/>
      <c r="D1666" s="106" t="n">
        <v>5</v>
      </c>
      <c r="E1666" s="107" t="n">
        <v>1</v>
      </c>
      <c r="F1666" s="106" t="n">
        <v>1</v>
      </c>
      <c r="G1666" s="118" t="n">
        <v>1</v>
      </c>
      <c r="H1666" s="116" t="n">
        <v>0.8</v>
      </c>
      <c r="I1666" s="106" t="n">
        <v>0</v>
      </c>
      <c r="J1666" s="117" t="n">
        <v>0</v>
      </c>
      <c r="K1666" s="108" t="n">
        <v>0.8</v>
      </c>
      <c r="L1666" s="108" t="n">
        <v>0</v>
      </c>
      <c r="M1666" s="117"/>
      <c r="N1666" s="106"/>
      <c r="O1666" s="106"/>
      <c r="P1666" s="106"/>
      <c r="Q1666" s="106"/>
      <c r="R1666" s="106" t="s">
        <v>4537</v>
      </c>
    </row>
    <row r="1667" customFormat="false" ht="15" hidden="false" customHeight="false" outlineLevel="0" collapsed="false">
      <c r="A1667" s="106" t="s">
        <v>6288</v>
      </c>
      <c r="B1667" s="106" t="s">
        <v>4280</v>
      </c>
      <c r="C1667" s="106"/>
      <c r="D1667" s="106" t="n">
        <v>7</v>
      </c>
      <c r="E1667" s="107" t="n">
        <v>1</v>
      </c>
      <c r="F1667" s="106" t="n">
        <v>1</v>
      </c>
      <c r="G1667" s="118" t="n">
        <v>1</v>
      </c>
      <c r="H1667" s="116" t="n">
        <v>0.8</v>
      </c>
      <c r="I1667" s="106" t="n">
        <v>0</v>
      </c>
      <c r="J1667" s="117" t="n">
        <v>0</v>
      </c>
      <c r="K1667" s="108" t="n">
        <v>0.8</v>
      </c>
      <c r="L1667" s="108" t="n">
        <v>0</v>
      </c>
      <c r="M1667" s="117"/>
      <c r="N1667" s="106"/>
      <c r="O1667" s="106"/>
      <c r="P1667" s="106"/>
      <c r="Q1667" s="106"/>
      <c r="R1667" s="106" t="s">
        <v>4537</v>
      </c>
    </row>
    <row r="1668" customFormat="false" ht="15" hidden="false" customHeight="false" outlineLevel="0" collapsed="false">
      <c r="A1668" s="106" t="s">
        <v>6289</v>
      </c>
      <c r="B1668" s="106" t="s">
        <v>4329</v>
      </c>
      <c r="C1668" s="106"/>
      <c r="D1668" s="106"/>
      <c r="E1668" s="107" t="n">
        <v>1</v>
      </c>
      <c r="F1668" s="106" t="n">
        <v>1</v>
      </c>
      <c r="G1668" s="118" t="n">
        <v>1</v>
      </c>
      <c r="H1668" s="116" t="n">
        <v>0.8</v>
      </c>
      <c r="I1668" s="106" t="n">
        <v>0</v>
      </c>
      <c r="J1668" s="117" t="n">
        <v>0</v>
      </c>
      <c r="K1668" s="108" t="n">
        <v>0.8</v>
      </c>
      <c r="L1668" s="108" t="n">
        <v>0</v>
      </c>
      <c r="M1668" s="117"/>
      <c r="N1668" s="106"/>
      <c r="O1668" s="106"/>
      <c r="P1668" s="106"/>
      <c r="Q1668" s="106"/>
      <c r="R1668" s="106" t="s">
        <v>4537</v>
      </c>
    </row>
    <row r="1669" customFormat="false" ht="15" hidden="false" customHeight="false" outlineLevel="0" collapsed="false">
      <c r="A1669" s="106" t="s">
        <v>6290</v>
      </c>
      <c r="B1669" s="106" t="s">
        <v>4280</v>
      </c>
      <c r="C1669" s="106"/>
      <c r="D1669" s="106" t="n">
        <v>4</v>
      </c>
      <c r="E1669" s="107" t="n">
        <v>1</v>
      </c>
      <c r="F1669" s="106" t="n">
        <v>1</v>
      </c>
      <c r="G1669" s="118" t="n">
        <v>1</v>
      </c>
      <c r="H1669" s="116" t="n">
        <v>0.8</v>
      </c>
      <c r="I1669" s="106" t="n">
        <v>0</v>
      </c>
      <c r="J1669" s="117" t="n">
        <v>0</v>
      </c>
      <c r="K1669" s="108" t="n">
        <v>0.8</v>
      </c>
      <c r="L1669" s="108" t="n">
        <v>0</v>
      </c>
      <c r="M1669" s="117"/>
      <c r="N1669" s="106"/>
      <c r="O1669" s="106"/>
      <c r="P1669" s="106"/>
      <c r="Q1669" s="106"/>
      <c r="R1669" s="106" t="s">
        <v>4537</v>
      </c>
    </row>
    <row r="1670" customFormat="false" ht="15" hidden="false" customHeight="false" outlineLevel="0" collapsed="false">
      <c r="A1670" s="106" t="s">
        <v>6291</v>
      </c>
      <c r="B1670" s="106" t="s">
        <v>4329</v>
      </c>
      <c r="C1670" s="106"/>
      <c r="D1670" s="106" t="n">
        <v>2</v>
      </c>
      <c r="E1670" s="107" t="n">
        <v>2</v>
      </c>
      <c r="F1670" s="106" t="n">
        <v>1</v>
      </c>
      <c r="G1670" s="118" t="n">
        <v>0.5</v>
      </c>
      <c r="H1670" s="116" t="n">
        <v>0.8</v>
      </c>
      <c r="I1670" s="106" t="n">
        <v>0</v>
      </c>
      <c r="J1670" s="117" t="n">
        <v>0</v>
      </c>
      <c r="K1670" s="108" t="n">
        <v>0.8</v>
      </c>
      <c r="L1670" s="108" t="n">
        <v>0</v>
      </c>
      <c r="M1670" s="117"/>
      <c r="N1670" s="106"/>
      <c r="O1670" s="106"/>
      <c r="P1670" s="106"/>
      <c r="Q1670" s="106"/>
      <c r="R1670" s="106" t="s">
        <v>4537</v>
      </c>
    </row>
    <row r="1671" customFormat="false" ht="15" hidden="false" customHeight="false" outlineLevel="0" collapsed="false">
      <c r="A1671" s="106" t="s">
        <v>6292</v>
      </c>
      <c r="B1671" s="106" t="s">
        <v>4329</v>
      </c>
      <c r="C1671" s="106"/>
      <c r="D1671" s="106" t="n">
        <v>5</v>
      </c>
      <c r="E1671" s="107" t="n">
        <v>3</v>
      </c>
      <c r="F1671" s="106" t="n">
        <v>1</v>
      </c>
      <c r="G1671" s="118" t="n">
        <v>0.3333</v>
      </c>
      <c r="H1671" s="116" t="n">
        <v>0.8</v>
      </c>
      <c r="I1671" s="106" t="n">
        <v>0</v>
      </c>
      <c r="J1671" s="117" t="n">
        <v>0</v>
      </c>
      <c r="K1671" s="108" t="n">
        <v>0.8</v>
      </c>
      <c r="L1671" s="108" t="n">
        <v>0</v>
      </c>
      <c r="M1671" s="117"/>
      <c r="N1671" s="106"/>
      <c r="O1671" s="106"/>
      <c r="P1671" s="106"/>
      <c r="Q1671" s="106"/>
      <c r="R1671" s="106" t="s">
        <v>4537</v>
      </c>
    </row>
    <row r="1672" customFormat="false" ht="15" hidden="false" customHeight="false" outlineLevel="0" collapsed="false">
      <c r="A1672" s="106" t="s">
        <v>6293</v>
      </c>
      <c r="B1672" s="106" t="s">
        <v>4280</v>
      </c>
      <c r="C1672" s="106"/>
      <c r="D1672" s="106"/>
      <c r="E1672" s="107" t="n">
        <v>1</v>
      </c>
      <c r="F1672" s="106" t="n">
        <v>1</v>
      </c>
      <c r="G1672" s="118" t="n">
        <v>1</v>
      </c>
      <c r="H1672" s="116" t="n">
        <v>0.8</v>
      </c>
      <c r="I1672" s="106" t="n">
        <v>0</v>
      </c>
      <c r="J1672" s="117" t="n">
        <v>0</v>
      </c>
      <c r="K1672" s="108" t="n">
        <v>0.8</v>
      </c>
      <c r="L1672" s="108" t="n">
        <v>0</v>
      </c>
      <c r="M1672" s="117"/>
      <c r="N1672" s="106"/>
      <c r="O1672" s="106"/>
      <c r="P1672" s="106"/>
      <c r="Q1672" s="106"/>
      <c r="R1672" s="106" t="s">
        <v>4537</v>
      </c>
    </row>
    <row r="1673" customFormat="false" ht="15" hidden="false" customHeight="false" outlineLevel="0" collapsed="false">
      <c r="A1673" s="106" t="s">
        <v>6294</v>
      </c>
      <c r="B1673" s="106" t="s">
        <v>4280</v>
      </c>
      <c r="C1673" s="106"/>
      <c r="D1673" s="106" t="n">
        <v>5</v>
      </c>
      <c r="E1673" s="107" t="n">
        <v>1</v>
      </c>
      <c r="F1673" s="106" t="n">
        <v>1</v>
      </c>
      <c r="G1673" s="118" t="n">
        <v>1</v>
      </c>
      <c r="H1673" s="116" t="n">
        <v>0.8</v>
      </c>
      <c r="I1673" s="106" t="n">
        <v>0</v>
      </c>
      <c r="J1673" s="117" t="n">
        <v>0</v>
      </c>
      <c r="K1673" s="108" t="n">
        <v>0.8</v>
      </c>
      <c r="L1673" s="108" t="n">
        <v>0</v>
      </c>
      <c r="M1673" s="117"/>
      <c r="N1673" s="106"/>
      <c r="O1673" s="106"/>
      <c r="P1673" s="106"/>
      <c r="Q1673" s="106"/>
      <c r="R1673" s="106" t="s">
        <v>4537</v>
      </c>
    </row>
    <row r="1674" customFormat="false" ht="15" hidden="false" customHeight="false" outlineLevel="0" collapsed="false">
      <c r="A1674" s="106" t="s">
        <v>6295</v>
      </c>
      <c r="B1674" s="106" t="s">
        <v>4329</v>
      </c>
      <c r="C1674" s="106"/>
      <c r="D1674" s="106" t="n">
        <v>10</v>
      </c>
      <c r="E1674" s="107" t="n">
        <v>5</v>
      </c>
      <c r="F1674" s="106" t="n">
        <v>1</v>
      </c>
      <c r="G1674" s="118" t="n">
        <v>0.2</v>
      </c>
      <c r="H1674" s="116" t="n">
        <v>0.8</v>
      </c>
      <c r="I1674" s="106" t="n">
        <v>0</v>
      </c>
      <c r="J1674" s="117" t="n">
        <v>0</v>
      </c>
      <c r="K1674" s="108" t="n">
        <v>0.8</v>
      </c>
      <c r="L1674" s="108" t="n">
        <v>0</v>
      </c>
      <c r="M1674" s="117"/>
      <c r="N1674" s="106"/>
      <c r="O1674" s="106"/>
      <c r="P1674" s="106"/>
      <c r="Q1674" s="106"/>
      <c r="R1674" s="106" t="s">
        <v>4537</v>
      </c>
    </row>
    <row r="1675" customFormat="false" ht="15" hidden="false" customHeight="false" outlineLevel="0" collapsed="false">
      <c r="A1675" s="106" t="s">
        <v>6296</v>
      </c>
      <c r="B1675" s="106" t="s">
        <v>4329</v>
      </c>
      <c r="C1675" s="106"/>
      <c r="D1675" s="106" t="n">
        <v>2</v>
      </c>
      <c r="E1675" s="107" t="n">
        <v>1</v>
      </c>
      <c r="F1675" s="106" t="n">
        <v>1</v>
      </c>
      <c r="G1675" s="118" t="n">
        <v>1</v>
      </c>
      <c r="H1675" s="116" t="n">
        <v>0.8</v>
      </c>
      <c r="I1675" s="106" t="n">
        <v>0</v>
      </c>
      <c r="J1675" s="117" t="n">
        <v>0</v>
      </c>
      <c r="K1675" s="108" t="n">
        <v>0.8</v>
      </c>
      <c r="L1675" s="108" t="n">
        <v>0</v>
      </c>
      <c r="M1675" s="117"/>
      <c r="N1675" s="106"/>
      <c r="O1675" s="106"/>
      <c r="P1675" s="106"/>
      <c r="Q1675" s="106"/>
      <c r="R1675" s="106" t="s">
        <v>4537</v>
      </c>
    </row>
    <row r="1676" customFormat="false" ht="15" hidden="false" customHeight="false" outlineLevel="0" collapsed="false">
      <c r="A1676" s="106" t="s">
        <v>6297</v>
      </c>
      <c r="B1676" s="106" t="s">
        <v>4280</v>
      </c>
      <c r="C1676" s="106"/>
      <c r="D1676" s="106"/>
      <c r="E1676" s="107" t="n">
        <v>2</v>
      </c>
      <c r="F1676" s="106" t="n">
        <v>1</v>
      </c>
      <c r="G1676" s="118" t="n">
        <v>0.5</v>
      </c>
      <c r="H1676" s="116" t="n">
        <v>0.8</v>
      </c>
      <c r="I1676" s="106" t="n">
        <v>0</v>
      </c>
      <c r="J1676" s="117" t="n">
        <v>0</v>
      </c>
      <c r="K1676" s="108" t="n">
        <v>0.8</v>
      </c>
      <c r="L1676" s="108" t="n">
        <v>0</v>
      </c>
      <c r="M1676" s="117"/>
      <c r="N1676" s="106"/>
      <c r="O1676" s="106"/>
      <c r="P1676" s="106"/>
      <c r="Q1676" s="106"/>
      <c r="R1676" s="106" t="s">
        <v>4537</v>
      </c>
    </row>
    <row r="1677" customFormat="false" ht="15" hidden="false" customHeight="false" outlineLevel="0" collapsed="false">
      <c r="A1677" s="106" t="s">
        <v>6298</v>
      </c>
      <c r="B1677" s="106" t="s">
        <v>4280</v>
      </c>
      <c r="C1677" s="106"/>
      <c r="D1677" s="106" t="n">
        <v>5</v>
      </c>
      <c r="E1677" s="107" t="n">
        <v>3</v>
      </c>
      <c r="F1677" s="106" t="n">
        <v>1</v>
      </c>
      <c r="G1677" s="118" t="n">
        <v>0.3333</v>
      </c>
      <c r="H1677" s="116" t="n">
        <v>0.8</v>
      </c>
      <c r="I1677" s="106" t="n">
        <v>0</v>
      </c>
      <c r="J1677" s="117" t="n">
        <v>0</v>
      </c>
      <c r="K1677" s="108" t="n">
        <v>0.8</v>
      </c>
      <c r="L1677" s="108" t="n">
        <v>0</v>
      </c>
      <c r="M1677" s="117"/>
      <c r="N1677" s="106"/>
      <c r="O1677" s="106"/>
      <c r="P1677" s="106"/>
      <c r="Q1677" s="106"/>
      <c r="R1677" s="106" t="s">
        <v>4537</v>
      </c>
    </row>
    <row r="1678" customFormat="false" ht="15" hidden="false" customHeight="false" outlineLevel="0" collapsed="false">
      <c r="A1678" s="106" t="s">
        <v>6299</v>
      </c>
      <c r="B1678" s="106" t="s">
        <v>4329</v>
      </c>
      <c r="C1678" s="106"/>
      <c r="D1678" s="106"/>
      <c r="E1678" s="107" t="n">
        <v>1</v>
      </c>
      <c r="F1678" s="106" t="n">
        <v>1</v>
      </c>
      <c r="G1678" s="118" t="n">
        <v>1</v>
      </c>
      <c r="H1678" s="116" t="n">
        <v>0.8</v>
      </c>
      <c r="I1678" s="106" t="n">
        <v>1</v>
      </c>
      <c r="J1678" s="117" t="n">
        <v>1</v>
      </c>
      <c r="K1678" s="108" t="n">
        <v>0.8</v>
      </c>
      <c r="L1678" s="108" t="n">
        <v>79.99</v>
      </c>
      <c r="M1678" s="117" t="n">
        <v>0.01</v>
      </c>
      <c r="N1678" s="106"/>
      <c r="O1678" s="106"/>
      <c r="P1678" s="106"/>
      <c r="Q1678" s="106"/>
      <c r="R1678" s="106" t="s">
        <v>4285</v>
      </c>
    </row>
    <row r="1679" customFormat="false" ht="15" hidden="false" customHeight="false" outlineLevel="0" collapsed="false">
      <c r="A1679" s="106" t="s">
        <v>6300</v>
      </c>
      <c r="B1679" s="106" t="s">
        <v>4329</v>
      </c>
      <c r="C1679" s="106"/>
      <c r="D1679" s="106" t="n">
        <v>2</v>
      </c>
      <c r="E1679" s="107" t="n">
        <v>2</v>
      </c>
      <c r="F1679" s="106" t="n">
        <v>1</v>
      </c>
      <c r="G1679" s="118" t="n">
        <v>0.5</v>
      </c>
      <c r="H1679" s="116" t="n">
        <v>0.8</v>
      </c>
      <c r="I1679" s="106" t="n">
        <v>0</v>
      </c>
      <c r="J1679" s="117" t="n">
        <v>0</v>
      </c>
      <c r="K1679" s="108" t="n">
        <v>0.8</v>
      </c>
      <c r="L1679" s="108" t="n">
        <v>0</v>
      </c>
      <c r="M1679" s="117"/>
      <c r="N1679" s="106"/>
      <c r="O1679" s="106"/>
      <c r="P1679" s="106"/>
      <c r="Q1679" s="106"/>
      <c r="R1679" s="106" t="s">
        <v>4537</v>
      </c>
    </row>
    <row r="1680" customFormat="false" ht="15" hidden="false" customHeight="false" outlineLevel="0" collapsed="false">
      <c r="A1680" s="106" t="s">
        <v>6301</v>
      </c>
      <c r="B1680" s="106" t="s">
        <v>1403</v>
      </c>
      <c r="C1680" s="106"/>
      <c r="D1680" s="106"/>
      <c r="E1680" s="107" t="n">
        <v>1</v>
      </c>
      <c r="F1680" s="106" t="n">
        <v>1</v>
      </c>
      <c r="G1680" s="118" t="n">
        <v>1</v>
      </c>
      <c r="H1680" s="116" t="n">
        <v>0.8</v>
      </c>
      <c r="I1680" s="106" t="n">
        <v>1</v>
      </c>
      <c r="J1680" s="117" t="n">
        <v>1</v>
      </c>
      <c r="K1680" s="108" t="n">
        <v>0.8</v>
      </c>
      <c r="L1680" s="108" t="n">
        <v>79.99</v>
      </c>
      <c r="M1680" s="117" t="n">
        <v>0.01</v>
      </c>
      <c r="N1680" s="106"/>
      <c r="O1680" s="106"/>
      <c r="P1680" s="106"/>
      <c r="Q1680" s="106"/>
      <c r="R1680" s="106" t="s">
        <v>4285</v>
      </c>
    </row>
    <row r="1681" customFormat="false" ht="15" hidden="false" customHeight="false" outlineLevel="0" collapsed="false">
      <c r="A1681" s="106" t="s">
        <v>6302</v>
      </c>
      <c r="B1681" s="106" t="s">
        <v>1403</v>
      </c>
      <c r="C1681" s="106"/>
      <c r="D1681" s="106"/>
      <c r="E1681" s="107" t="n">
        <v>1</v>
      </c>
      <c r="F1681" s="106" t="n">
        <v>1</v>
      </c>
      <c r="G1681" s="118" t="n">
        <v>1</v>
      </c>
      <c r="H1681" s="116" t="n">
        <v>0.8</v>
      </c>
      <c r="I1681" s="106" t="n">
        <v>0</v>
      </c>
      <c r="J1681" s="117" t="n">
        <v>0</v>
      </c>
      <c r="K1681" s="108" t="n">
        <v>0.8</v>
      </c>
      <c r="L1681" s="108" t="n">
        <v>0</v>
      </c>
      <c r="M1681" s="117"/>
      <c r="N1681" s="106"/>
      <c r="O1681" s="106"/>
      <c r="P1681" s="106"/>
      <c r="Q1681" s="106"/>
      <c r="R1681" s="106" t="s">
        <v>4537</v>
      </c>
    </row>
    <row r="1682" customFormat="false" ht="15" hidden="false" customHeight="false" outlineLevel="0" collapsed="false">
      <c r="A1682" s="106" t="s">
        <v>4420</v>
      </c>
      <c r="B1682" s="106" t="s">
        <v>4284</v>
      </c>
      <c r="C1682" s="106"/>
      <c r="D1682" s="106" t="n">
        <v>2271</v>
      </c>
      <c r="E1682" s="107" t="n">
        <v>2</v>
      </c>
      <c r="F1682" s="106" t="n">
        <v>1</v>
      </c>
      <c r="G1682" s="118" t="n">
        <v>0.5</v>
      </c>
      <c r="H1682" s="116" t="n">
        <v>0.8</v>
      </c>
      <c r="I1682" s="106" t="n">
        <v>0</v>
      </c>
      <c r="J1682" s="117" t="n">
        <v>0</v>
      </c>
      <c r="K1682" s="108" t="n">
        <v>0.8</v>
      </c>
      <c r="L1682" s="108" t="n">
        <v>0</v>
      </c>
      <c r="M1682" s="117"/>
      <c r="N1682" s="106"/>
      <c r="O1682" s="106"/>
      <c r="P1682" s="106"/>
      <c r="Q1682" s="106"/>
      <c r="R1682" s="106" t="s">
        <v>4537</v>
      </c>
    </row>
    <row r="1683" customFormat="false" ht="15" hidden="false" customHeight="false" outlineLevel="0" collapsed="false">
      <c r="A1683" s="106" t="s">
        <v>6303</v>
      </c>
      <c r="B1683" s="106" t="s">
        <v>4284</v>
      </c>
      <c r="C1683" s="106"/>
      <c r="D1683" s="106" t="n">
        <v>8</v>
      </c>
      <c r="E1683" s="107" t="n">
        <v>1</v>
      </c>
      <c r="F1683" s="106" t="n">
        <v>1</v>
      </c>
      <c r="G1683" s="118" t="n">
        <v>1</v>
      </c>
      <c r="H1683" s="116" t="n">
        <v>0.8</v>
      </c>
      <c r="I1683" s="106" t="n">
        <v>0</v>
      </c>
      <c r="J1683" s="117" t="n">
        <v>0</v>
      </c>
      <c r="K1683" s="108" t="n">
        <v>0.8</v>
      </c>
      <c r="L1683" s="108" t="n">
        <v>0</v>
      </c>
      <c r="M1683" s="117"/>
      <c r="N1683" s="106"/>
      <c r="O1683" s="106"/>
      <c r="P1683" s="106"/>
      <c r="Q1683" s="106"/>
      <c r="R1683" s="106" t="s">
        <v>4537</v>
      </c>
    </row>
    <row r="1684" customFormat="false" ht="15" hidden="false" customHeight="false" outlineLevel="0" collapsed="false">
      <c r="A1684" s="106" t="s">
        <v>6304</v>
      </c>
      <c r="B1684" s="106" t="s">
        <v>4284</v>
      </c>
      <c r="C1684" s="106"/>
      <c r="D1684" s="106" t="n">
        <v>14</v>
      </c>
      <c r="E1684" s="107" t="n">
        <v>1</v>
      </c>
      <c r="F1684" s="106" t="n">
        <v>1</v>
      </c>
      <c r="G1684" s="118" t="n">
        <v>1</v>
      </c>
      <c r="H1684" s="116" t="n">
        <v>0.8</v>
      </c>
      <c r="I1684" s="106" t="n">
        <v>0</v>
      </c>
      <c r="J1684" s="117" t="n">
        <v>0</v>
      </c>
      <c r="K1684" s="108" t="n">
        <v>0.8</v>
      </c>
      <c r="L1684" s="108" t="n">
        <v>0</v>
      </c>
      <c r="M1684" s="117"/>
      <c r="N1684" s="106"/>
      <c r="O1684" s="106"/>
      <c r="P1684" s="106"/>
      <c r="Q1684" s="106"/>
      <c r="R1684" s="106" t="s">
        <v>4537</v>
      </c>
    </row>
    <row r="1685" customFormat="false" ht="15" hidden="false" customHeight="false" outlineLevel="0" collapsed="false">
      <c r="A1685" s="106" t="s">
        <v>6305</v>
      </c>
      <c r="B1685" s="106" t="s">
        <v>4284</v>
      </c>
      <c r="C1685" s="106"/>
      <c r="D1685" s="106" t="n">
        <v>603</v>
      </c>
      <c r="E1685" s="107" t="n">
        <v>3</v>
      </c>
      <c r="F1685" s="106" t="n">
        <v>1</v>
      </c>
      <c r="G1685" s="118" t="n">
        <v>0.3333</v>
      </c>
      <c r="H1685" s="116" t="n">
        <v>0.8</v>
      </c>
      <c r="I1685" s="106" t="n">
        <v>0</v>
      </c>
      <c r="J1685" s="117" t="n">
        <v>0</v>
      </c>
      <c r="K1685" s="108" t="n">
        <v>0.8</v>
      </c>
      <c r="L1685" s="108" t="n">
        <v>0</v>
      </c>
      <c r="M1685" s="117"/>
      <c r="N1685" s="106"/>
      <c r="O1685" s="106"/>
      <c r="P1685" s="106"/>
      <c r="Q1685" s="106"/>
      <c r="R1685" s="106" t="s">
        <v>4537</v>
      </c>
    </row>
    <row r="1686" customFormat="false" ht="15" hidden="false" customHeight="false" outlineLevel="0" collapsed="false">
      <c r="A1686" s="106" t="s">
        <v>6306</v>
      </c>
      <c r="B1686" s="106" t="s">
        <v>4284</v>
      </c>
      <c r="C1686" s="106"/>
      <c r="D1686" s="106"/>
      <c r="E1686" s="107" t="n">
        <v>3</v>
      </c>
      <c r="F1686" s="106" t="n">
        <v>1</v>
      </c>
      <c r="G1686" s="118" t="n">
        <v>0.3333</v>
      </c>
      <c r="H1686" s="116" t="n">
        <v>0.8</v>
      </c>
      <c r="I1686" s="106" t="n">
        <v>0</v>
      </c>
      <c r="J1686" s="117" t="n">
        <v>0</v>
      </c>
      <c r="K1686" s="108" t="n">
        <v>0.8</v>
      </c>
      <c r="L1686" s="108" t="n">
        <v>0</v>
      </c>
      <c r="M1686" s="117"/>
      <c r="N1686" s="106"/>
      <c r="O1686" s="106"/>
      <c r="P1686" s="106"/>
      <c r="Q1686" s="106"/>
      <c r="R1686" s="106" t="s">
        <v>4537</v>
      </c>
    </row>
    <row r="1687" customFormat="false" ht="15" hidden="false" customHeight="false" outlineLevel="0" collapsed="false">
      <c r="A1687" s="106" t="s">
        <v>6307</v>
      </c>
      <c r="B1687" s="106" t="s">
        <v>4284</v>
      </c>
      <c r="C1687" s="106"/>
      <c r="D1687" s="106" t="n">
        <v>48</v>
      </c>
      <c r="E1687" s="107" t="n">
        <v>6</v>
      </c>
      <c r="F1687" s="106" t="n">
        <v>1</v>
      </c>
      <c r="G1687" s="118" t="n">
        <v>0.1667</v>
      </c>
      <c r="H1687" s="116" t="n">
        <v>0.8</v>
      </c>
      <c r="I1687" s="106" t="n">
        <v>0</v>
      </c>
      <c r="J1687" s="117" t="n">
        <v>0</v>
      </c>
      <c r="K1687" s="108" t="n">
        <v>0.8</v>
      </c>
      <c r="L1687" s="108" t="n">
        <v>0</v>
      </c>
      <c r="M1687" s="117"/>
      <c r="N1687" s="106"/>
      <c r="O1687" s="106"/>
      <c r="P1687" s="106"/>
      <c r="Q1687" s="106"/>
      <c r="R1687" s="106" t="s">
        <v>4537</v>
      </c>
    </row>
    <row r="1688" customFormat="false" ht="15" hidden="false" customHeight="false" outlineLevel="0" collapsed="false">
      <c r="A1688" s="106" t="s">
        <v>6308</v>
      </c>
      <c r="B1688" s="106" t="s">
        <v>4329</v>
      </c>
      <c r="C1688" s="106"/>
      <c r="D1688" s="106"/>
      <c r="E1688" s="107" t="n">
        <v>4</v>
      </c>
      <c r="F1688" s="106" t="n">
        <v>1</v>
      </c>
      <c r="G1688" s="118" t="n">
        <v>0.25</v>
      </c>
      <c r="H1688" s="116" t="n">
        <v>0.8</v>
      </c>
      <c r="I1688" s="106" t="n">
        <v>0</v>
      </c>
      <c r="J1688" s="117" t="n">
        <v>0</v>
      </c>
      <c r="K1688" s="108" t="n">
        <v>0.8</v>
      </c>
      <c r="L1688" s="108" t="n">
        <v>0</v>
      </c>
      <c r="M1688" s="117"/>
      <c r="N1688" s="106"/>
      <c r="O1688" s="106"/>
      <c r="P1688" s="106"/>
      <c r="Q1688" s="106"/>
      <c r="R1688" s="106" t="s">
        <v>4537</v>
      </c>
    </row>
    <row r="1689" customFormat="false" ht="15" hidden="false" customHeight="false" outlineLevel="0" collapsed="false">
      <c r="A1689" s="106" t="s">
        <v>6309</v>
      </c>
      <c r="B1689" s="106" t="s">
        <v>4329</v>
      </c>
      <c r="C1689" s="106"/>
      <c r="D1689" s="106"/>
      <c r="E1689" s="107" t="n">
        <v>1</v>
      </c>
      <c r="F1689" s="106" t="n">
        <v>1</v>
      </c>
      <c r="G1689" s="118" t="n">
        <v>1</v>
      </c>
      <c r="H1689" s="116" t="n">
        <v>0.8</v>
      </c>
      <c r="I1689" s="106" t="n">
        <v>0</v>
      </c>
      <c r="J1689" s="117" t="n">
        <v>0</v>
      </c>
      <c r="K1689" s="108" t="n">
        <v>0.8</v>
      </c>
      <c r="L1689" s="108" t="n">
        <v>0</v>
      </c>
      <c r="M1689" s="117"/>
      <c r="N1689" s="106"/>
      <c r="O1689" s="106"/>
      <c r="P1689" s="106"/>
      <c r="Q1689" s="106"/>
      <c r="R1689" s="106" t="s">
        <v>4537</v>
      </c>
    </row>
    <row r="1690" customFormat="false" ht="15" hidden="false" customHeight="false" outlineLevel="0" collapsed="false">
      <c r="A1690" s="106" t="s">
        <v>6310</v>
      </c>
      <c r="B1690" s="106" t="s">
        <v>4280</v>
      </c>
      <c r="C1690" s="106"/>
      <c r="D1690" s="106" t="n">
        <v>7</v>
      </c>
      <c r="E1690" s="107" t="n">
        <v>2</v>
      </c>
      <c r="F1690" s="106" t="n">
        <v>1</v>
      </c>
      <c r="G1690" s="118" t="n">
        <v>0.5</v>
      </c>
      <c r="H1690" s="116" t="n">
        <v>0.8</v>
      </c>
      <c r="I1690" s="106" t="n">
        <v>0</v>
      </c>
      <c r="J1690" s="117" t="n">
        <v>0</v>
      </c>
      <c r="K1690" s="108" t="n">
        <v>0.8</v>
      </c>
      <c r="L1690" s="108" t="n">
        <v>0</v>
      </c>
      <c r="M1690" s="117"/>
      <c r="N1690" s="106"/>
      <c r="O1690" s="106"/>
      <c r="P1690" s="106"/>
      <c r="Q1690" s="106"/>
      <c r="R1690" s="106" t="s">
        <v>4537</v>
      </c>
    </row>
    <row r="1691" customFormat="false" ht="15" hidden="false" customHeight="false" outlineLevel="0" collapsed="false">
      <c r="A1691" s="106" t="s">
        <v>6311</v>
      </c>
      <c r="B1691" s="106" t="s">
        <v>4280</v>
      </c>
      <c r="C1691" s="106"/>
      <c r="D1691" s="106" t="n">
        <v>5</v>
      </c>
      <c r="E1691" s="107" t="n">
        <v>1</v>
      </c>
      <c r="F1691" s="106" t="n">
        <v>1</v>
      </c>
      <c r="G1691" s="118" t="n">
        <v>1</v>
      </c>
      <c r="H1691" s="116" t="n">
        <v>0.8</v>
      </c>
      <c r="I1691" s="106" t="n">
        <v>0</v>
      </c>
      <c r="J1691" s="117" t="n">
        <v>0</v>
      </c>
      <c r="K1691" s="108" t="n">
        <v>0.8</v>
      </c>
      <c r="L1691" s="108" t="n">
        <v>0</v>
      </c>
      <c r="M1691" s="117"/>
      <c r="N1691" s="106"/>
      <c r="O1691" s="106"/>
      <c r="P1691" s="106"/>
      <c r="Q1691" s="106"/>
      <c r="R1691" s="106" t="s">
        <v>4537</v>
      </c>
    </row>
    <row r="1692" customFormat="false" ht="15" hidden="false" customHeight="false" outlineLevel="0" collapsed="false">
      <c r="A1692" s="106" t="s">
        <v>6312</v>
      </c>
      <c r="B1692" s="106" t="s">
        <v>4280</v>
      </c>
      <c r="C1692" s="106"/>
      <c r="D1692" s="106" t="n">
        <v>3</v>
      </c>
      <c r="E1692" s="107" t="n">
        <v>1</v>
      </c>
      <c r="F1692" s="106" t="n">
        <v>1</v>
      </c>
      <c r="G1692" s="118" t="n">
        <v>1</v>
      </c>
      <c r="H1692" s="116" t="n">
        <v>0.8</v>
      </c>
      <c r="I1692" s="106" t="n">
        <v>0</v>
      </c>
      <c r="J1692" s="117" t="n">
        <v>0</v>
      </c>
      <c r="K1692" s="108" t="n">
        <v>0.8</v>
      </c>
      <c r="L1692" s="108" t="n">
        <v>0</v>
      </c>
      <c r="M1692" s="117"/>
      <c r="N1692" s="106"/>
      <c r="O1692" s="106"/>
      <c r="P1692" s="106"/>
      <c r="Q1692" s="106"/>
      <c r="R1692" s="106" t="s">
        <v>4537</v>
      </c>
    </row>
    <row r="1693" customFormat="false" ht="15" hidden="false" customHeight="false" outlineLevel="0" collapsed="false">
      <c r="A1693" s="106" t="s">
        <v>6313</v>
      </c>
      <c r="B1693" s="106" t="s">
        <v>4280</v>
      </c>
      <c r="C1693" s="106"/>
      <c r="D1693" s="106"/>
      <c r="E1693" s="107" t="n">
        <v>3</v>
      </c>
      <c r="F1693" s="106" t="n">
        <v>1</v>
      </c>
      <c r="G1693" s="118" t="n">
        <v>0.3333</v>
      </c>
      <c r="H1693" s="116" t="n">
        <v>0.8</v>
      </c>
      <c r="I1693" s="106" t="n">
        <v>0</v>
      </c>
      <c r="J1693" s="117" t="n">
        <v>0</v>
      </c>
      <c r="K1693" s="108" t="n">
        <v>0.8</v>
      </c>
      <c r="L1693" s="108" t="n">
        <v>0</v>
      </c>
      <c r="M1693" s="117"/>
      <c r="N1693" s="106"/>
      <c r="O1693" s="106"/>
      <c r="P1693" s="106"/>
      <c r="Q1693" s="106"/>
      <c r="R1693" s="106" t="s">
        <v>4537</v>
      </c>
    </row>
    <row r="1694" customFormat="false" ht="15" hidden="false" customHeight="false" outlineLevel="0" collapsed="false">
      <c r="A1694" s="106" t="s">
        <v>6314</v>
      </c>
      <c r="B1694" s="106" t="s">
        <v>4280</v>
      </c>
      <c r="C1694" s="106"/>
      <c r="D1694" s="106" t="n">
        <v>11</v>
      </c>
      <c r="E1694" s="107" t="n">
        <v>3</v>
      </c>
      <c r="F1694" s="106" t="n">
        <v>1</v>
      </c>
      <c r="G1694" s="118" t="n">
        <v>0.3333</v>
      </c>
      <c r="H1694" s="116" t="n">
        <v>0.8</v>
      </c>
      <c r="I1694" s="106" t="n">
        <v>0</v>
      </c>
      <c r="J1694" s="117" t="n">
        <v>0</v>
      </c>
      <c r="K1694" s="108" t="n">
        <v>0.8</v>
      </c>
      <c r="L1694" s="108" t="n">
        <v>0</v>
      </c>
      <c r="M1694" s="117"/>
      <c r="N1694" s="106"/>
      <c r="O1694" s="106"/>
      <c r="P1694" s="106"/>
      <c r="Q1694" s="106"/>
      <c r="R1694" s="106" t="s">
        <v>4537</v>
      </c>
    </row>
    <row r="1695" customFormat="false" ht="15" hidden="false" customHeight="false" outlineLevel="0" collapsed="false">
      <c r="A1695" s="106" t="s">
        <v>6315</v>
      </c>
      <c r="B1695" s="106" t="s">
        <v>4284</v>
      </c>
      <c r="C1695" s="106"/>
      <c r="D1695" s="106" t="n">
        <v>1</v>
      </c>
      <c r="E1695" s="107" t="n">
        <v>1</v>
      </c>
      <c r="F1695" s="106" t="n">
        <v>1</v>
      </c>
      <c r="G1695" s="118" t="n">
        <v>1</v>
      </c>
      <c r="H1695" s="116" t="n">
        <v>0.8</v>
      </c>
      <c r="I1695" s="106" t="n">
        <v>0</v>
      </c>
      <c r="J1695" s="117" t="n">
        <v>0</v>
      </c>
      <c r="K1695" s="108" t="n">
        <v>0.8</v>
      </c>
      <c r="L1695" s="108" t="n">
        <v>0</v>
      </c>
      <c r="M1695" s="117"/>
      <c r="N1695" s="106"/>
      <c r="O1695" s="106"/>
      <c r="P1695" s="106"/>
      <c r="Q1695" s="106"/>
      <c r="R1695" s="106" t="s">
        <v>4537</v>
      </c>
    </row>
    <row r="1696" customFormat="false" ht="15" hidden="false" customHeight="false" outlineLevel="0" collapsed="false">
      <c r="A1696" s="106" t="s">
        <v>6316</v>
      </c>
      <c r="B1696" s="106" t="s">
        <v>4280</v>
      </c>
      <c r="C1696" s="106"/>
      <c r="D1696" s="106" t="n">
        <v>3</v>
      </c>
      <c r="E1696" s="107" t="n">
        <v>1</v>
      </c>
      <c r="F1696" s="106" t="n">
        <v>1</v>
      </c>
      <c r="G1696" s="118" t="n">
        <v>1</v>
      </c>
      <c r="H1696" s="116" t="n">
        <v>0.8</v>
      </c>
      <c r="I1696" s="106" t="n">
        <v>0</v>
      </c>
      <c r="J1696" s="117" t="n">
        <v>0</v>
      </c>
      <c r="K1696" s="108" t="n">
        <v>0.8</v>
      </c>
      <c r="L1696" s="108" t="n">
        <v>0</v>
      </c>
      <c r="M1696" s="117"/>
      <c r="N1696" s="106"/>
      <c r="O1696" s="106"/>
      <c r="P1696" s="106"/>
      <c r="Q1696" s="106"/>
      <c r="R1696" s="106" t="s">
        <v>4537</v>
      </c>
    </row>
    <row r="1697" customFormat="false" ht="15" hidden="false" customHeight="false" outlineLevel="0" collapsed="false">
      <c r="A1697" s="106" t="s">
        <v>6317</v>
      </c>
      <c r="B1697" s="106" t="s">
        <v>4329</v>
      </c>
      <c r="C1697" s="106"/>
      <c r="D1697" s="106"/>
      <c r="E1697" s="107" t="n">
        <v>1</v>
      </c>
      <c r="F1697" s="106" t="n">
        <v>1</v>
      </c>
      <c r="G1697" s="118" t="n">
        <v>1</v>
      </c>
      <c r="H1697" s="116" t="n">
        <v>0.8</v>
      </c>
      <c r="I1697" s="106" t="n">
        <v>0</v>
      </c>
      <c r="J1697" s="117" t="n">
        <v>0</v>
      </c>
      <c r="K1697" s="108" t="n">
        <v>0.8</v>
      </c>
      <c r="L1697" s="108" t="n">
        <v>0</v>
      </c>
      <c r="M1697" s="117"/>
      <c r="N1697" s="106"/>
      <c r="O1697" s="106"/>
      <c r="P1697" s="106"/>
      <c r="Q1697" s="106"/>
      <c r="R1697" s="106" t="s">
        <v>4537</v>
      </c>
    </row>
    <row r="1698" customFormat="false" ht="15" hidden="false" customHeight="false" outlineLevel="0" collapsed="false">
      <c r="A1698" s="106" t="s">
        <v>6318</v>
      </c>
      <c r="B1698" s="106" t="s">
        <v>4329</v>
      </c>
      <c r="C1698" s="106"/>
      <c r="D1698" s="106" t="n">
        <v>4</v>
      </c>
      <c r="E1698" s="107" t="n">
        <v>1</v>
      </c>
      <c r="F1698" s="106" t="n">
        <v>1</v>
      </c>
      <c r="G1698" s="118" t="n">
        <v>1</v>
      </c>
      <c r="H1698" s="116" t="n">
        <v>0.8</v>
      </c>
      <c r="I1698" s="106" t="n">
        <v>0</v>
      </c>
      <c r="J1698" s="117" t="n">
        <v>0</v>
      </c>
      <c r="K1698" s="108" t="n">
        <v>0.8</v>
      </c>
      <c r="L1698" s="108" t="n">
        <v>0</v>
      </c>
      <c r="M1698" s="117"/>
      <c r="N1698" s="106"/>
      <c r="O1698" s="106"/>
      <c r="P1698" s="106"/>
      <c r="Q1698" s="106"/>
      <c r="R1698" s="106" t="s">
        <v>4537</v>
      </c>
    </row>
    <row r="1699" customFormat="false" ht="15" hidden="false" customHeight="false" outlineLevel="0" collapsed="false">
      <c r="A1699" s="106" t="s">
        <v>6319</v>
      </c>
      <c r="B1699" s="106" t="s">
        <v>4329</v>
      </c>
      <c r="C1699" s="106"/>
      <c r="D1699" s="106"/>
      <c r="E1699" s="107" t="n">
        <v>1</v>
      </c>
      <c r="F1699" s="106" t="n">
        <v>1</v>
      </c>
      <c r="G1699" s="118" t="n">
        <v>1</v>
      </c>
      <c r="H1699" s="116" t="n">
        <v>0.8</v>
      </c>
      <c r="I1699" s="106" t="n">
        <v>0</v>
      </c>
      <c r="J1699" s="117" t="n">
        <v>0</v>
      </c>
      <c r="K1699" s="108" t="n">
        <v>0.8</v>
      </c>
      <c r="L1699" s="108" t="n">
        <v>0</v>
      </c>
      <c r="M1699" s="117"/>
      <c r="N1699" s="106"/>
      <c r="O1699" s="106"/>
      <c r="P1699" s="106"/>
      <c r="Q1699" s="106"/>
      <c r="R1699" s="106" t="s">
        <v>4537</v>
      </c>
    </row>
    <row r="1700" customFormat="false" ht="15" hidden="false" customHeight="false" outlineLevel="0" collapsed="false">
      <c r="A1700" s="106" t="s">
        <v>6320</v>
      </c>
      <c r="B1700" s="106" t="s">
        <v>4329</v>
      </c>
      <c r="C1700" s="106"/>
      <c r="D1700" s="106"/>
      <c r="E1700" s="107" t="n">
        <v>1</v>
      </c>
      <c r="F1700" s="106" t="n">
        <v>1</v>
      </c>
      <c r="G1700" s="118" t="n">
        <v>1</v>
      </c>
      <c r="H1700" s="116" t="n">
        <v>0.8</v>
      </c>
      <c r="I1700" s="106" t="n">
        <v>0</v>
      </c>
      <c r="J1700" s="117" t="n">
        <v>0</v>
      </c>
      <c r="K1700" s="108" t="n">
        <v>0.8</v>
      </c>
      <c r="L1700" s="108" t="n">
        <v>0</v>
      </c>
      <c r="M1700" s="117"/>
      <c r="N1700" s="106"/>
      <c r="O1700" s="106"/>
      <c r="P1700" s="106"/>
      <c r="Q1700" s="106"/>
      <c r="R1700" s="106" t="s">
        <v>4537</v>
      </c>
    </row>
    <row r="1701" customFormat="false" ht="15" hidden="false" customHeight="false" outlineLevel="0" collapsed="false">
      <c r="A1701" s="106" t="s">
        <v>6321</v>
      </c>
      <c r="B1701" s="106" t="s">
        <v>4280</v>
      </c>
      <c r="C1701" s="106"/>
      <c r="D1701" s="106" t="n">
        <v>4</v>
      </c>
      <c r="E1701" s="107" t="n">
        <v>1</v>
      </c>
      <c r="F1701" s="106" t="n">
        <v>1</v>
      </c>
      <c r="G1701" s="118" t="n">
        <v>1</v>
      </c>
      <c r="H1701" s="116" t="n">
        <v>0.8</v>
      </c>
      <c r="I1701" s="106" t="n">
        <v>0</v>
      </c>
      <c r="J1701" s="117" t="n">
        <v>0</v>
      </c>
      <c r="K1701" s="108" t="n">
        <v>0.8</v>
      </c>
      <c r="L1701" s="108" t="n">
        <v>0</v>
      </c>
      <c r="M1701" s="117"/>
      <c r="N1701" s="106"/>
      <c r="O1701" s="106"/>
      <c r="P1701" s="106"/>
      <c r="Q1701" s="106"/>
      <c r="R1701" s="106" t="s">
        <v>4537</v>
      </c>
    </row>
    <row r="1702" customFormat="false" ht="15" hidden="false" customHeight="false" outlineLevel="0" collapsed="false">
      <c r="A1702" s="106" t="s">
        <v>6322</v>
      </c>
      <c r="B1702" s="106" t="s">
        <v>4280</v>
      </c>
      <c r="C1702" s="106"/>
      <c r="D1702" s="106"/>
      <c r="E1702" s="107" t="n">
        <v>1</v>
      </c>
      <c r="F1702" s="106" t="n">
        <v>1</v>
      </c>
      <c r="G1702" s="118" t="n">
        <v>1</v>
      </c>
      <c r="H1702" s="116" t="n">
        <v>0.8</v>
      </c>
      <c r="I1702" s="106" t="n">
        <v>0</v>
      </c>
      <c r="J1702" s="117" t="n">
        <v>0</v>
      </c>
      <c r="K1702" s="108" t="n">
        <v>0.8</v>
      </c>
      <c r="L1702" s="108" t="n">
        <v>0</v>
      </c>
      <c r="M1702" s="117"/>
      <c r="N1702" s="106"/>
      <c r="O1702" s="106"/>
      <c r="P1702" s="106"/>
      <c r="Q1702" s="106"/>
      <c r="R1702" s="106" t="s">
        <v>4537</v>
      </c>
    </row>
    <row r="1703" customFormat="false" ht="15" hidden="false" customHeight="false" outlineLevel="0" collapsed="false">
      <c r="A1703" s="106" t="s">
        <v>6323</v>
      </c>
      <c r="B1703" s="106" t="s">
        <v>4329</v>
      </c>
      <c r="C1703" s="106"/>
      <c r="D1703" s="106"/>
      <c r="E1703" s="107" t="n">
        <v>1</v>
      </c>
      <c r="F1703" s="106" t="n">
        <v>1</v>
      </c>
      <c r="G1703" s="118" t="n">
        <v>1</v>
      </c>
      <c r="H1703" s="116" t="n">
        <v>0.8</v>
      </c>
      <c r="I1703" s="106" t="n">
        <v>0</v>
      </c>
      <c r="J1703" s="117" t="n">
        <v>0</v>
      </c>
      <c r="K1703" s="108" t="n">
        <v>0.8</v>
      </c>
      <c r="L1703" s="108" t="n">
        <v>0</v>
      </c>
      <c r="M1703" s="117"/>
      <c r="N1703" s="106"/>
      <c r="O1703" s="106"/>
      <c r="P1703" s="106"/>
      <c r="Q1703" s="106"/>
      <c r="R1703" s="106" t="s">
        <v>4537</v>
      </c>
    </row>
    <row r="1704" customFormat="false" ht="15" hidden="false" customHeight="false" outlineLevel="0" collapsed="false">
      <c r="A1704" s="106" t="s">
        <v>6324</v>
      </c>
      <c r="B1704" s="106" t="s">
        <v>4280</v>
      </c>
      <c r="C1704" s="106"/>
      <c r="D1704" s="106"/>
      <c r="E1704" s="107" t="n">
        <v>1</v>
      </c>
      <c r="F1704" s="106" t="n">
        <v>1</v>
      </c>
      <c r="G1704" s="118" t="n">
        <v>1</v>
      </c>
      <c r="H1704" s="116" t="n">
        <v>0.8</v>
      </c>
      <c r="I1704" s="106" t="n">
        <v>0</v>
      </c>
      <c r="J1704" s="117" t="n">
        <v>0</v>
      </c>
      <c r="K1704" s="108" t="n">
        <v>0.8</v>
      </c>
      <c r="L1704" s="108" t="n">
        <v>0</v>
      </c>
      <c r="M1704" s="117"/>
      <c r="N1704" s="106"/>
      <c r="O1704" s="106"/>
      <c r="P1704" s="106"/>
      <c r="Q1704" s="106"/>
      <c r="R1704" s="106" t="s">
        <v>4537</v>
      </c>
    </row>
    <row r="1705" customFormat="false" ht="15" hidden="false" customHeight="false" outlineLevel="0" collapsed="false">
      <c r="A1705" s="106" t="s">
        <v>6325</v>
      </c>
      <c r="B1705" s="106" t="s">
        <v>4329</v>
      </c>
      <c r="C1705" s="106"/>
      <c r="D1705" s="106" t="n">
        <v>14</v>
      </c>
      <c r="E1705" s="107" t="n">
        <v>16</v>
      </c>
      <c r="F1705" s="106" t="n">
        <v>1</v>
      </c>
      <c r="G1705" s="118" t="n">
        <v>0.0625</v>
      </c>
      <c r="H1705" s="116" t="n">
        <v>0.8</v>
      </c>
      <c r="I1705" s="106" t="n">
        <v>0</v>
      </c>
      <c r="J1705" s="117" t="n">
        <v>0</v>
      </c>
      <c r="K1705" s="108" t="n">
        <v>0.8</v>
      </c>
      <c r="L1705" s="108" t="n">
        <v>0</v>
      </c>
      <c r="M1705" s="117"/>
      <c r="N1705" s="106"/>
      <c r="O1705" s="106"/>
      <c r="P1705" s="106"/>
      <c r="Q1705" s="106"/>
      <c r="R1705" s="106" t="s">
        <v>4537</v>
      </c>
    </row>
    <row r="1706" customFormat="false" ht="15" hidden="false" customHeight="false" outlineLevel="0" collapsed="false">
      <c r="A1706" s="106" t="s">
        <v>6326</v>
      </c>
      <c r="B1706" s="106" t="s">
        <v>4284</v>
      </c>
      <c r="C1706" s="106"/>
      <c r="D1706" s="106"/>
      <c r="E1706" s="107" t="n">
        <v>1</v>
      </c>
      <c r="F1706" s="106" t="n">
        <v>1</v>
      </c>
      <c r="G1706" s="118" t="n">
        <v>1</v>
      </c>
      <c r="H1706" s="116" t="n">
        <v>0.8</v>
      </c>
      <c r="I1706" s="106" t="n">
        <v>0</v>
      </c>
      <c r="J1706" s="117" t="n">
        <v>0</v>
      </c>
      <c r="K1706" s="108" t="n">
        <v>0.8</v>
      </c>
      <c r="L1706" s="108" t="n">
        <v>0</v>
      </c>
      <c r="M1706" s="117"/>
      <c r="N1706" s="106"/>
      <c r="O1706" s="106"/>
      <c r="P1706" s="106"/>
      <c r="Q1706" s="106"/>
      <c r="R1706" s="106" t="s">
        <v>4537</v>
      </c>
    </row>
    <row r="1707" customFormat="false" ht="15" hidden="false" customHeight="false" outlineLevel="0" collapsed="false">
      <c r="A1707" s="106" t="s">
        <v>4408</v>
      </c>
      <c r="B1707" s="106" t="s">
        <v>4329</v>
      </c>
      <c r="C1707" s="106"/>
      <c r="D1707" s="106" t="n">
        <v>1213</v>
      </c>
      <c r="E1707" s="107" t="n">
        <v>3</v>
      </c>
      <c r="F1707" s="106" t="n">
        <v>1</v>
      </c>
      <c r="G1707" s="118" t="n">
        <v>0.3333</v>
      </c>
      <c r="H1707" s="116" t="n">
        <v>0.8</v>
      </c>
      <c r="I1707" s="106" t="n">
        <v>0</v>
      </c>
      <c r="J1707" s="117" t="n">
        <v>0</v>
      </c>
      <c r="K1707" s="108" t="n">
        <v>0.8</v>
      </c>
      <c r="L1707" s="108" t="n">
        <v>0</v>
      </c>
      <c r="M1707" s="117"/>
      <c r="N1707" s="106"/>
      <c r="O1707" s="106"/>
      <c r="P1707" s="106"/>
      <c r="Q1707" s="106"/>
      <c r="R1707" s="106" t="s">
        <v>4537</v>
      </c>
    </row>
    <row r="1708" customFormat="false" ht="15" hidden="false" customHeight="false" outlineLevel="0" collapsed="false">
      <c r="A1708" s="106" t="s">
        <v>6327</v>
      </c>
      <c r="B1708" s="106" t="s">
        <v>4284</v>
      </c>
      <c r="C1708" s="106"/>
      <c r="D1708" s="106" t="n">
        <v>2</v>
      </c>
      <c r="E1708" s="107" t="n">
        <v>1</v>
      </c>
      <c r="F1708" s="106" t="n">
        <v>1</v>
      </c>
      <c r="G1708" s="118" t="n">
        <v>1</v>
      </c>
      <c r="H1708" s="116" t="n">
        <v>0.8</v>
      </c>
      <c r="I1708" s="106" t="n">
        <v>0</v>
      </c>
      <c r="J1708" s="117" t="n">
        <v>0</v>
      </c>
      <c r="K1708" s="108" t="n">
        <v>0.8</v>
      </c>
      <c r="L1708" s="108" t="n">
        <v>0</v>
      </c>
      <c r="M1708" s="117"/>
      <c r="N1708" s="106"/>
      <c r="O1708" s="106"/>
      <c r="P1708" s="106"/>
      <c r="Q1708" s="106"/>
      <c r="R1708" s="106" t="s">
        <v>4537</v>
      </c>
    </row>
    <row r="1709" customFormat="false" ht="15" hidden="false" customHeight="false" outlineLevel="0" collapsed="false">
      <c r="A1709" s="106" t="s">
        <v>6328</v>
      </c>
      <c r="B1709" s="106" t="s">
        <v>4280</v>
      </c>
      <c r="C1709" s="106"/>
      <c r="D1709" s="106" t="n">
        <v>9</v>
      </c>
      <c r="E1709" s="107" t="n">
        <v>1</v>
      </c>
      <c r="F1709" s="106" t="n">
        <v>1</v>
      </c>
      <c r="G1709" s="118" t="n">
        <v>1</v>
      </c>
      <c r="H1709" s="116" t="n">
        <v>0.8</v>
      </c>
      <c r="I1709" s="106" t="n">
        <v>0</v>
      </c>
      <c r="J1709" s="117" t="n">
        <v>0</v>
      </c>
      <c r="K1709" s="108" t="n">
        <v>0.8</v>
      </c>
      <c r="L1709" s="108" t="n">
        <v>0</v>
      </c>
      <c r="M1709" s="117"/>
      <c r="N1709" s="106"/>
      <c r="O1709" s="106"/>
      <c r="P1709" s="106"/>
      <c r="Q1709" s="106"/>
      <c r="R1709" s="106" t="s">
        <v>4537</v>
      </c>
    </row>
    <row r="1710" customFormat="false" ht="15" hidden="false" customHeight="false" outlineLevel="0" collapsed="false">
      <c r="A1710" s="106" t="s">
        <v>6329</v>
      </c>
      <c r="B1710" s="106" t="s">
        <v>4280</v>
      </c>
      <c r="C1710" s="106"/>
      <c r="D1710" s="106"/>
      <c r="E1710" s="107" t="n">
        <v>3</v>
      </c>
      <c r="F1710" s="106" t="n">
        <v>1</v>
      </c>
      <c r="G1710" s="118" t="n">
        <v>0.3333</v>
      </c>
      <c r="H1710" s="116" t="n">
        <v>0.8</v>
      </c>
      <c r="I1710" s="106" t="n">
        <v>0</v>
      </c>
      <c r="J1710" s="117" t="n">
        <v>0</v>
      </c>
      <c r="K1710" s="108" t="n">
        <v>0.8</v>
      </c>
      <c r="L1710" s="108" t="n">
        <v>0</v>
      </c>
      <c r="M1710" s="117"/>
      <c r="N1710" s="106"/>
      <c r="O1710" s="106"/>
      <c r="P1710" s="106"/>
      <c r="Q1710" s="106"/>
      <c r="R1710" s="106" t="s">
        <v>4537</v>
      </c>
    </row>
    <row r="1711" customFormat="false" ht="15" hidden="false" customHeight="false" outlineLevel="0" collapsed="false">
      <c r="A1711" s="106" t="s">
        <v>6330</v>
      </c>
      <c r="B1711" s="106" t="s">
        <v>4280</v>
      </c>
      <c r="C1711" s="106"/>
      <c r="D1711" s="106" t="n">
        <v>3</v>
      </c>
      <c r="E1711" s="107" t="n">
        <v>1</v>
      </c>
      <c r="F1711" s="106" t="n">
        <v>1</v>
      </c>
      <c r="G1711" s="118" t="n">
        <v>1</v>
      </c>
      <c r="H1711" s="116" t="n">
        <v>0.8</v>
      </c>
      <c r="I1711" s="106" t="n">
        <v>0</v>
      </c>
      <c r="J1711" s="117" t="n">
        <v>0</v>
      </c>
      <c r="K1711" s="108" t="n">
        <v>0.8</v>
      </c>
      <c r="L1711" s="108" t="n">
        <v>0</v>
      </c>
      <c r="M1711" s="117"/>
      <c r="N1711" s="106"/>
      <c r="O1711" s="106"/>
      <c r="P1711" s="106"/>
      <c r="Q1711" s="106"/>
      <c r="R1711" s="106" t="s">
        <v>4537</v>
      </c>
    </row>
    <row r="1712" customFormat="false" ht="15" hidden="false" customHeight="false" outlineLevel="0" collapsed="false">
      <c r="A1712" s="106" t="s">
        <v>6331</v>
      </c>
      <c r="B1712" s="106" t="s">
        <v>4280</v>
      </c>
      <c r="C1712" s="106"/>
      <c r="D1712" s="106" t="n">
        <v>5</v>
      </c>
      <c r="E1712" s="107" t="n">
        <v>3</v>
      </c>
      <c r="F1712" s="106" t="n">
        <v>1</v>
      </c>
      <c r="G1712" s="118" t="n">
        <v>0.3333</v>
      </c>
      <c r="H1712" s="116" t="n">
        <v>0.8</v>
      </c>
      <c r="I1712" s="106" t="n">
        <v>0</v>
      </c>
      <c r="J1712" s="117" t="n">
        <v>0</v>
      </c>
      <c r="K1712" s="108" t="n">
        <v>0.8</v>
      </c>
      <c r="L1712" s="108" t="n">
        <v>0</v>
      </c>
      <c r="M1712" s="117"/>
      <c r="N1712" s="106"/>
      <c r="O1712" s="106"/>
      <c r="P1712" s="106"/>
      <c r="Q1712" s="106"/>
      <c r="R1712" s="106" t="s">
        <v>4537</v>
      </c>
    </row>
    <row r="1713" customFormat="false" ht="15" hidden="false" customHeight="false" outlineLevel="0" collapsed="false">
      <c r="A1713" s="106" t="s">
        <v>6332</v>
      </c>
      <c r="B1713" s="106" t="s">
        <v>4280</v>
      </c>
      <c r="C1713" s="106"/>
      <c r="D1713" s="106"/>
      <c r="E1713" s="107" t="n">
        <v>2</v>
      </c>
      <c r="F1713" s="106" t="n">
        <v>1</v>
      </c>
      <c r="G1713" s="118" t="n">
        <v>0.5</v>
      </c>
      <c r="H1713" s="116" t="n">
        <v>0.8</v>
      </c>
      <c r="I1713" s="106" t="n">
        <v>0</v>
      </c>
      <c r="J1713" s="117" t="n">
        <v>0</v>
      </c>
      <c r="K1713" s="108" t="n">
        <v>0.8</v>
      </c>
      <c r="L1713" s="108" t="n">
        <v>0</v>
      </c>
      <c r="M1713" s="117"/>
      <c r="N1713" s="106"/>
      <c r="O1713" s="106"/>
      <c r="P1713" s="106"/>
      <c r="Q1713" s="106"/>
      <c r="R1713" s="106" t="s">
        <v>4537</v>
      </c>
    </row>
    <row r="1714" customFormat="false" ht="15" hidden="false" customHeight="false" outlineLevel="0" collapsed="false">
      <c r="A1714" s="106" t="s">
        <v>6333</v>
      </c>
      <c r="B1714" s="106" t="s">
        <v>4280</v>
      </c>
      <c r="C1714" s="106"/>
      <c r="D1714" s="106" t="n">
        <v>3</v>
      </c>
      <c r="E1714" s="107" t="n">
        <v>1</v>
      </c>
      <c r="F1714" s="106" t="n">
        <v>1</v>
      </c>
      <c r="G1714" s="118" t="n">
        <v>1</v>
      </c>
      <c r="H1714" s="116" t="n">
        <v>0.8</v>
      </c>
      <c r="I1714" s="106" t="n">
        <v>0</v>
      </c>
      <c r="J1714" s="117" t="n">
        <v>0</v>
      </c>
      <c r="K1714" s="108" t="n">
        <v>0.8</v>
      </c>
      <c r="L1714" s="108" t="n">
        <v>0</v>
      </c>
      <c r="M1714" s="117"/>
      <c r="N1714" s="106"/>
      <c r="O1714" s="106"/>
      <c r="P1714" s="106"/>
      <c r="Q1714" s="106"/>
      <c r="R1714" s="106" t="s">
        <v>4537</v>
      </c>
    </row>
    <row r="1715" customFormat="false" ht="15" hidden="false" customHeight="false" outlineLevel="0" collapsed="false">
      <c r="A1715" s="106" t="s">
        <v>6334</v>
      </c>
      <c r="B1715" s="106" t="s">
        <v>4329</v>
      </c>
      <c r="C1715" s="106"/>
      <c r="D1715" s="106"/>
      <c r="E1715" s="107" t="n">
        <v>2</v>
      </c>
      <c r="F1715" s="106" t="n">
        <v>1</v>
      </c>
      <c r="G1715" s="118" t="n">
        <v>0.5</v>
      </c>
      <c r="H1715" s="116" t="n">
        <v>0.8</v>
      </c>
      <c r="I1715" s="106" t="n">
        <v>0</v>
      </c>
      <c r="J1715" s="117" t="n">
        <v>0</v>
      </c>
      <c r="K1715" s="108" t="n">
        <v>0.8</v>
      </c>
      <c r="L1715" s="108" t="n">
        <v>0</v>
      </c>
      <c r="M1715" s="117"/>
      <c r="N1715" s="106"/>
      <c r="O1715" s="106"/>
      <c r="P1715" s="106"/>
      <c r="Q1715" s="106"/>
      <c r="R1715" s="106" t="s">
        <v>4537</v>
      </c>
    </row>
    <row r="1716" customFormat="false" ht="15" hidden="false" customHeight="false" outlineLevel="0" collapsed="false">
      <c r="A1716" s="106" t="s">
        <v>6335</v>
      </c>
      <c r="B1716" s="106" t="s">
        <v>4280</v>
      </c>
      <c r="C1716" s="106"/>
      <c r="D1716" s="106"/>
      <c r="E1716" s="107" t="n">
        <v>1</v>
      </c>
      <c r="F1716" s="106" t="n">
        <v>1</v>
      </c>
      <c r="G1716" s="118" t="n">
        <v>1</v>
      </c>
      <c r="H1716" s="116" t="n">
        <v>0.8</v>
      </c>
      <c r="I1716" s="106" t="n">
        <v>0</v>
      </c>
      <c r="J1716" s="117" t="n">
        <v>0</v>
      </c>
      <c r="K1716" s="108" t="n">
        <v>0.8</v>
      </c>
      <c r="L1716" s="108" t="n">
        <v>0</v>
      </c>
      <c r="M1716" s="117"/>
      <c r="N1716" s="106"/>
      <c r="O1716" s="106"/>
      <c r="P1716" s="106"/>
      <c r="Q1716" s="106"/>
      <c r="R1716" s="106" t="s">
        <v>4537</v>
      </c>
    </row>
    <row r="1717" customFormat="false" ht="15" hidden="false" customHeight="false" outlineLevel="0" collapsed="false">
      <c r="A1717" s="106" t="s">
        <v>6336</v>
      </c>
      <c r="B1717" s="106" t="s">
        <v>4280</v>
      </c>
      <c r="C1717" s="106"/>
      <c r="D1717" s="106" t="n">
        <v>71</v>
      </c>
      <c r="E1717" s="107" t="n">
        <v>7</v>
      </c>
      <c r="F1717" s="106" t="n">
        <v>1</v>
      </c>
      <c r="G1717" s="118" t="n">
        <v>0.1429</v>
      </c>
      <c r="H1717" s="116" t="n">
        <v>0.8</v>
      </c>
      <c r="I1717" s="106" t="n">
        <v>0</v>
      </c>
      <c r="J1717" s="117" t="n">
        <v>0</v>
      </c>
      <c r="K1717" s="108" t="n">
        <v>0.8</v>
      </c>
      <c r="L1717" s="108" t="n">
        <v>0</v>
      </c>
      <c r="M1717" s="117"/>
      <c r="N1717" s="106"/>
      <c r="O1717" s="106"/>
      <c r="P1717" s="106"/>
      <c r="Q1717" s="106"/>
      <c r="R1717" s="106" t="s">
        <v>4537</v>
      </c>
    </row>
    <row r="1718" customFormat="false" ht="15" hidden="false" customHeight="false" outlineLevel="0" collapsed="false">
      <c r="A1718" s="106" t="s">
        <v>6337</v>
      </c>
      <c r="B1718" s="106" t="s">
        <v>4280</v>
      </c>
      <c r="C1718" s="106"/>
      <c r="D1718" s="106" t="n">
        <v>3</v>
      </c>
      <c r="E1718" s="107" t="n">
        <v>1</v>
      </c>
      <c r="F1718" s="106" t="n">
        <v>1</v>
      </c>
      <c r="G1718" s="118" t="n">
        <v>1</v>
      </c>
      <c r="H1718" s="116" t="n">
        <v>0.8</v>
      </c>
      <c r="I1718" s="106" t="n">
        <v>0</v>
      </c>
      <c r="J1718" s="117" t="n">
        <v>0</v>
      </c>
      <c r="K1718" s="108" t="n">
        <v>0.8</v>
      </c>
      <c r="L1718" s="108" t="n">
        <v>0</v>
      </c>
      <c r="M1718" s="117"/>
      <c r="N1718" s="106"/>
      <c r="O1718" s="106"/>
      <c r="P1718" s="106"/>
      <c r="Q1718" s="106"/>
      <c r="R1718" s="106" t="s">
        <v>4537</v>
      </c>
    </row>
    <row r="1719" customFormat="false" ht="15" hidden="false" customHeight="false" outlineLevel="0" collapsed="false">
      <c r="A1719" s="106" t="s">
        <v>6338</v>
      </c>
      <c r="B1719" s="106" t="s">
        <v>4329</v>
      </c>
      <c r="C1719" s="106"/>
      <c r="D1719" s="106"/>
      <c r="E1719" s="107" t="n">
        <v>4</v>
      </c>
      <c r="F1719" s="106" t="n">
        <v>1</v>
      </c>
      <c r="G1719" s="118" t="n">
        <v>0.25</v>
      </c>
      <c r="H1719" s="116" t="n">
        <v>0.8</v>
      </c>
      <c r="I1719" s="106" t="n">
        <v>0</v>
      </c>
      <c r="J1719" s="117" t="n">
        <v>0</v>
      </c>
      <c r="K1719" s="108" t="n">
        <v>0.8</v>
      </c>
      <c r="L1719" s="108" t="n">
        <v>0</v>
      </c>
      <c r="M1719" s="117"/>
      <c r="N1719" s="106"/>
      <c r="O1719" s="106"/>
      <c r="P1719" s="106"/>
      <c r="Q1719" s="106"/>
      <c r="R1719" s="106" t="s">
        <v>4537</v>
      </c>
    </row>
    <row r="1720" customFormat="false" ht="15" hidden="false" customHeight="false" outlineLevel="0" collapsed="false">
      <c r="A1720" s="106" t="s">
        <v>6339</v>
      </c>
      <c r="B1720" s="106" t="s">
        <v>4280</v>
      </c>
      <c r="C1720" s="106"/>
      <c r="D1720" s="106" t="n">
        <v>8</v>
      </c>
      <c r="E1720" s="107" t="n">
        <v>2</v>
      </c>
      <c r="F1720" s="106" t="n">
        <v>1</v>
      </c>
      <c r="G1720" s="118" t="n">
        <v>0.5</v>
      </c>
      <c r="H1720" s="116" t="n">
        <v>0.8</v>
      </c>
      <c r="I1720" s="106" t="n">
        <v>0</v>
      </c>
      <c r="J1720" s="117" t="n">
        <v>0</v>
      </c>
      <c r="K1720" s="108" t="n">
        <v>0.8</v>
      </c>
      <c r="L1720" s="108" t="n">
        <v>0</v>
      </c>
      <c r="M1720" s="117"/>
      <c r="N1720" s="106"/>
      <c r="O1720" s="106"/>
      <c r="P1720" s="106"/>
      <c r="Q1720" s="106"/>
      <c r="R1720" s="106" t="s">
        <v>4537</v>
      </c>
    </row>
    <row r="1721" customFormat="false" ht="15" hidden="false" customHeight="false" outlineLevel="0" collapsed="false">
      <c r="A1721" s="106" t="s">
        <v>6340</v>
      </c>
      <c r="B1721" s="106" t="s">
        <v>4329</v>
      </c>
      <c r="C1721" s="106"/>
      <c r="D1721" s="106"/>
      <c r="E1721" s="107" t="n">
        <v>1</v>
      </c>
      <c r="F1721" s="106" t="n">
        <v>1</v>
      </c>
      <c r="G1721" s="118" t="n">
        <v>1</v>
      </c>
      <c r="H1721" s="116" t="n">
        <v>0.8</v>
      </c>
      <c r="I1721" s="106" t="n">
        <v>0</v>
      </c>
      <c r="J1721" s="117" t="n">
        <v>0</v>
      </c>
      <c r="K1721" s="108" t="n">
        <v>0.8</v>
      </c>
      <c r="L1721" s="108" t="n">
        <v>0</v>
      </c>
      <c r="M1721" s="117"/>
      <c r="N1721" s="106"/>
      <c r="O1721" s="106"/>
      <c r="P1721" s="106"/>
      <c r="Q1721" s="106"/>
      <c r="R1721" s="106" t="s">
        <v>4537</v>
      </c>
    </row>
    <row r="1722" customFormat="false" ht="15" hidden="false" customHeight="false" outlineLevel="0" collapsed="false">
      <c r="A1722" s="106" t="s">
        <v>6341</v>
      </c>
      <c r="B1722" s="106" t="s">
        <v>4280</v>
      </c>
      <c r="C1722" s="106"/>
      <c r="D1722" s="106"/>
      <c r="E1722" s="107" t="n">
        <v>1</v>
      </c>
      <c r="F1722" s="106" t="n">
        <v>1</v>
      </c>
      <c r="G1722" s="118" t="n">
        <v>1</v>
      </c>
      <c r="H1722" s="116" t="n">
        <v>0.8</v>
      </c>
      <c r="I1722" s="106" t="n">
        <v>0</v>
      </c>
      <c r="J1722" s="117" t="n">
        <v>0</v>
      </c>
      <c r="K1722" s="108" t="n">
        <v>0.8</v>
      </c>
      <c r="L1722" s="108" t="n">
        <v>0</v>
      </c>
      <c r="M1722" s="117"/>
      <c r="N1722" s="106"/>
      <c r="O1722" s="106"/>
      <c r="P1722" s="106"/>
      <c r="Q1722" s="106"/>
      <c r="R1722" s="106" t="s">
        <v>4537</v>
      </c>
    </row>
    <row r="1723" customFormat="false" ht="15" hidden="false" customHeight="false" outlineLevel="0" collapsed="false">
      <c r="A1723" s="106" t="s">
        <v>6342</v>
      </c>
      <c r="B1723" s="106" t="s">
        <v>4280</v>
      </c>
      <c r="C1723" s="106"/>
      <c r="D1723" s="106" t="n">
        <v>4</v>
      </c>
      <c r="E1723" s="107" t="n">
        <v>1</v>
      </c>
      <c r="F1723" s="106" t="n">
        <v>1</v>
      </c>
      <c r="G1723" s="118" t="n">
        <v>1</v>
      </c>
      <c r="H1723" s="116" t="n">
        <v>0.8</v>
      </c>
      <c r="I1723" s="106" t="n">
        <v>0</v>
      </c>
      <c r="J1723" s="117" t="n">
        <v>0</v>
      </c>
      <c r="K1723" s="108" t="n">
        <v>0.8</v>
      </c>
      <c r="L1723" s="108" t="n">
        <v>0</v>
      </c>
      <c r="M1723" s="117"/>
      <c r="N1723" s="106"/>
      <c r="O1723" s="106"/>
      <c r="P1723" s="106"/>
      <c r="Q1723" s="106"/>
      <c r="R1723" s="106" t="s">
        <v>4537</v>
      </c>
    </row>
    <row r="1724" customFormat="false" ht="15" hidden="false" customHeight="false" outlineLevel="0" collapsed="false">
      <c r="A1724" s="106" t="s">
        <v>6343</v>
      </c>
      <c r="B1724" s="106" t="s">
        <v>4280</v>
      </c>
      <c r="C1724" s="106"/>
      <c r="D1724" s="106" t="n">
        <v>5</v>
      </c>
      <c r="E1724" s="107" t="n">
        <v>1</v>
      </c>
      <c r="F1724" s="106" t="n">
        <v>1</v>
      </c>
      <c r="G1724" s="118" t="n">
        <v>1</v>
      </c>
      <c r="H1724" s="116" t="n">
        <v>0.8</v>
      </c>
      <c r="I1724" s="106" t="n">
        <v>0</v>
      </c>
      <c r="J1724" s="117" t="n">
        <v>0</v>
      </c>
      <c r="K1724" s="108" t="n">
        <v>0.8</v>
      </c>
      <c r="L1724" s="108" t="n">
        <v>0</v>
      </c>
      <c r="M1724" s="117"/>
      <c r="N1724" s="106"/>
      <c r="O1724" s="106"/>
      <c r="P1724" s="106"/>
      <c r="Q1724" s="106"/>
      <c r="R1724" s="106" t="s">
        <v>4537</v>
      </c>
    </row>
    <row r="1725" customFormat="false" ht="15" hidden="false" customHeight="false" outlineLevel="0" collapsed="false">
      <c r="A1725" s="106" t="s">
        <v>6344</v>
      </c>
      <c r="B1725" s="106" t="s">
        <v>1403</v>
      </c>
      <c r="C1725" s="106"/>
      <c r="D1725" s="106" t="n">
        <v>12</v>
      </c>
      <c r="E1725" s="107" t="n">
        <v>1</v>
      </c>
      <c r="F1725" s="106" t="n">
        <v>1</v>
      </c>
      <c r="G1725" s="118" t="n">
        <v>1</v>
      </c>
      <c r="H1725" s="116" t="n">
        <v>0.8</v>
      </c>
      <c r="I1725" s="106" t="n">
        <v>0</v>
      </c>
      <c r="J1725" s="117" t="n">
        <v>0</v>
      </c>
      <c r="K1725" s="108" t="n">
        <v>0.8</v>
      </c>
      <c r="L1725" s="108" t="n">
        <v>0</v>
      </c>
      <c r="M1725" s="117"/>
      <c r="N1725" s="106"/>
      <c r="O1725" s="106"/>
      <c r="P1725" s="106"/>
      <c r="Q1725" s="106"/>
      <c r="R1725" s="106" t="s">
        <v>4537</v>
      </c>
    </row>
    <row r="1726" customFormat="false" ht="15" hidden="false" customHeight="false" outlineLevel="0" collapsed="false">
      <c r="A1726" s="106" t="s">
        <v>6345</v>
      </c>
      <c r="B1726" s="106" t="s">
        <v>4284</v>
      </c>
      <c r="C1726" s="106"/>
      <c r="D1726" s="106" t="n">
        <v>2</v>
      </c>
      <c r="E1726" s="107" t="n">
        <v>1</v>
      </c>
      <c r="F1726" s="106" t="n">
        <v>1</v>
      </c>
      <c r="G1726" s="118" t="n">
        <v>1</v>
      </c>
      <c r="H1726" s="116" t="n">
        <v>0.8</v>
      </c>
      <c r="I1726" s="106" t="n">
        <v>0</v>
      </c>
      <c r="J1726" s="117" t="n">
        <v>0</v>
      </c>
      <c r="K1726" s="108" t="n">
        <v>0.8</v>
      </c>
      <c r="L1726" s="108" t="n">
        <v>0</v>
      </c>
      <c r="M1726" s="117"/>
      <c r="N1726" s="106"/>
      <c r="O1726" s="106"/>
      <c r="P1726" s="106"/>
      <c r="Q1726" s="106"/>
      <c r="R1726" s="106" t="s">
        <v>4537</v>
      </c>
    </row>
    <row r="1727" customFormat="false" ht="15" hidden="false" customHeight="false" outlineLevel="0" collapsed="false">
      <c r="A1727" s="106" t="s">
        <v>6346</v>
      </c>
      <c r="B1727" s="106" t="s">
        <v>4284</v>
      </c>
      <c r="C1727" s="106"/>
      <c r="D1727" s="106" t="n">
        <v>3</v>
      </c>
      <c r="E1727" s="107" t="n">
        <v>1</v>
      </c>
      <c r="F1727" s="106" t="n">
        <v>1</v>
      </c>
      <c r="G1727" s="118" t="n">
        <v>1</v>
      </c>
      <c r="H1727" s="116" t="n">
        <v>0.8</v>
      </c>
      <c r="I1727" s="106" t="n">
        <v>0</v>
      </c>
      <c r="J1727" s="117" t="n">
        <v>0</v>
      </c>
      <c r="K1727" s="108" t="n">
        <v>0.8</v>
      </c>
      <c r="L1727" s="108" t="n">
        <v>0</v>
      </c>
      <c r="M1727" s="117"/>
      <c r="N1727" s="106"/>
      <c r="O1727" s="106"/>
      <c r="P1727" s="106"/>
      <c r="Q1727" s="106"/>
      <c r="R1727" s="106" t="s">
        <v>4537</v>
      </c>
    </row>
    <row r="1728" customFormat="false" ht="15" hidden="false" customHeight="false" outlineLevel="0" collapsed="false">
      <c r="A1728" s="106" t="s">
        <v>6347</v>
      </c>
      <c r="B1728" s="106" t="s">
        <v>4280</v>
      </c>
      <c r="C1728" s="106"/>
      <c r="D1728" s="106" t="n">
        <v>1</v>
      </c>
      <c r="E1728" s="107" t="n">
        <v>1</v>
      </c>
      <c r="F1728" s="106" t="n">
        <v>1</v>
      </c>
      <c r="G1728" s="118" t="n">
        <v>1</v>
      </c>
      <c r="H1728" s="116" t="n">
        <v>0.8</v>
      </c>
      <c r="I1728" s="106" t="n">
        <v>0</v>
      </c>
      <c r="J1728" s="117" t="n">
        <v>0</v>
      </c>
      <c r="K1728" s="108" t="n">
        <v>0.8</v>
      </c>
      <c r="L1728" s="108" t="n">
        <v>0</v>
      </c>
      <c r="M1728" s="117"/>
      <c r="N1728" s="106"/>
      <c r="O1728" s="106"/>
      <c r="P1728" s="106"/>
      <c r="Q1728" s="106"/>
      <c r="R1728" s="106" t="s">
        <v>4537</v>
      </c>
    </row>
    <row r="1729" customFormat="false" ht="15" hidden="false" customHeight="false" outlineLevel="0" collapsed="false">
      <c r="A1729" s="106" t="s">
        <v>6348</v>
      </c>
      <c r="B1729" s="106" t="s">
        <v>4329</v>
      </c>
      <c r="C1729" s="106"/>
      <c r="D1729" s="106" t="n">
        <v>11</v>
      </c>
      <c r="E1729" s="107" t="n">
        <v>2</v>
      </c>
      <c r="F1729" s="106" t="n">
        <v>1</v>
      </c>
      <c r="G1729" s="118" t="n">
        <v>0.5</v>
      </c>
      <c r="H1729" s="116" t="n">
        <v>0.8</v>
      </c>
      <c r="I1729" s="106" t="n">
        <v>0</v>
      </c>
      <c r="J1729" s="117" t="n">
        <v>0</v>
      </c>
      <c r="K1729" s="108" t="n">
        <v>0.8</v>
      </c>
      <c r="L1729" s="108" t="n">
        <v>0</v>
      </c>
      <c r="M1729" s="117"/>
      <c r="N1729" s="106"/>
      <c r="O1729" s="106"/>
      <c r="P1729" s="106"/>
      <c r="Q1729" s="106"/>
      <c r="R1729" s="106" t="s">
        <v>4537</v>
      </c>
    </row>
    <row r="1730" customFormat="false" ht="15" hidden="false" customHeight="false" outlineLevel="0" collapsed="false">
      <c r="A1730" s="106" t="s">
        <v>6349</v>
      </c>
      <c r="B1730" s="106" t="s">
        <v>4280</v>
      </c>
      <c r="C1730" s="106"/>
      <c r="D1730" s="106"/>
      <c r="E1730" s="107" t="n">
        <v>1</v>
      </c>
      <c r="F1730" s="106" t="n">
        <v>1</v>
      </c>
      <c r="G1730" s="118" t="n">
        <v>1</v>
      </c>
      <c r="H1730" s="116" t="n">
        <v>0.8</v>
      </c>
      <c r="I1730" s="106" t="n">
        <v>0</v>
      </c>
      <c r="J1730" s="117" t="n">
        <v>0</v>
      </c>
      <c r="K1730" s="108" t="n">
        <v>0.8</v>
      </c>
      <c r="L1730" s="108" t="n">
        <v>0</v>
      </c>
      <c r="M1730" s="117"/>
      <c r="N1730" s="106"/>
      <c r="O1730" s="106"/>
      <c r="P1730" s="106"/>
      <c r="Q1730" s="106"/>
      <c r="R1730" s="106" t="s">
        <v>4537</v>
      </c>
    </row>
    <row r="1731" customFormat="false" ht="15" hidden="false" customHeight="false" outlineLevel="0" collapsed="false">
      <c r="A1731" s="106" t="s">
        <v>6350</v>
      </c>
      <c r="B1731" s="106" t="s">
        <v>4284</v>
      </c>
      <c r="C1731" s="106"/>
      <c r="D1731" s="106" t="n">
        <v>5</v>
      </c>
      <c r="E1731" s="107" t="n">
        <v>3</v>
      </c>
      <c r="F1731" s="106" t="n">
        <v>1</v>
      </c>
      <c r="G1731" s="118" t="n">
        <v>0.3333</v>
      </c>
      <c r="H1731" s="116" t="n">
        <v>0.8</v>
      </c>
      <c r="I1731" s="106" t="n">
        <v>0</v>
      </c>
      <c r="J1731" s="117" t="n">
        <v>0</v>
      </c>
      <c r="K1731" s="108" t="n">
        <v>0.8</v>
      </c>
      <c r="L1731" s="108" t="n">
        <v>0</v>
      </c>
      <c r="M1731" s="117"/>
      <c r="N1731" s="106"/>
      <c r="O1731" s="106"/>
      <c r="P1731" s="106"/>
      <c r="Q1731" s="106"/>
      <c r="R1731" s="106" t="s">
        <v>4537</v>
      </c>
    </row>
    <row r="1732" customFormat="false" ht="15" hidden="false" customHeight="false" outlineLevel="0" collapsed="false">
      <c r="A1732" s="106" t="s">
        <v>6351</v>
      </c>
      <c r="B1732" s="106" t="s">
        <v>4280</v>
      </c>
      <c r="C1732" s="106"/>
      <c r="D1732" s="106" t="n">
        <v>3</v>
      </c>
      <c r="E1732" s="107" t="n">
        <v>1</v>
      </c>
      <c r="F1732" s="106" t="n">
        <v>1</v>
      </c>
      <c r="G1732" s="118" t="n">
        <v>1</v>
      </c>
      <c r="H1732" s="116" t="n">
        <v>0.8</v>
      </c>
      <c r="I1732" s="106" t="n">
        <v>0</v>
      </c>
      <c r="J1732" s="117" t="n">
        <v>0</v>
      </c>
      <c r="K1732" s="108" t="n">
        <v>0.8</v>
      </c>
      <c r="L1732" s="108" t="n">
        <v>0</v>
      </c>
      <c r="M1732" s="117"/>
      <c r="N1732" s="106"/>
      <c r="O1732" s="106"/>
      <c r="P1732" s="106"/>
      <c r="Q1732" s="106"/>
      <c r="R1732" s="106" t="s">
        <v>4537</v>
      </c>
    </row>
    <row r="1733" customFormat="false" ht="15" hidden="false" customHeight="false" outlineLevel="0" collapsed="false">
      <c r="A1733" s="106" t="s">
        <v>6352</v>
      </c>
      <c r="B1733" s="106" t="s">
        <v>4280</v>
      </c>
      <c r="C1733" s="106"/>
      <c r="D1733" s="106" t="n">
        <v>4</v>
      </c>
      <c r="E1733" s="107" t="n">
        <v>1</v>
      </c>
      <c r="F1733" s="106" t="n">
        <v>1</v>
      </c>
      <c r="G1733" s="118" t="n">
        <v>1</v>
      </c>
      <c r="H1733" s="116" t="n">
        <v>0.8</v>
      </c>
      <c r="I1733" s="106" t="n">
        <v>0</v>
      </c>
      <c r="J1733" s="117" t="n">
        <v>0</v>
      </c>
      <c r="K1733" s="108" t="n">
        <v>0.8</v>
      </c>
      <c r="L1733" s="108" t="n">
        <v>0</v>
      </c>
      <c r="M1733" s="117"/>
      <c r="N1733" s="106"/>
      <c r="O1733" s="106"/>
      <c r="P1733" s="106"/>
      <c r="Q1733" s="106"/>
      <c r="R1733" s="106" t="s">
        <v>4537</v>
      </c>
    </row>
    <row r="1734" customFormat="false" ht="15" hidden="false" customHeight="false" outlineLevel="0" collapsed="false">
      <c r="A1734" s="106" t="s">
        <v>6353</v>
      </c>
      <c r="B1734" s="106" t="s">
        <v>4284</v>
      </c>
      <c r="C1734" s="106"/>
      <c r="D1734" s="106"/>
      <c r="E1734" s="107" t="n">
        <v>2</v>
      </c>
      <c r="F1734" s="106" t="n">
        <v>1</v>
      </c>
      <c r="G1734" s="118" t="n">
        <v>0.5</v>
      </c>
      <c r="H1734" s="116" t="n">
        <v>0.8</v>
      </c>
      <c r="I1734" s="106" t="n">
        <v>0</v>
      </c>
      <c r="J1734" s="117" t="n">
        <v>0</v>
      </c>
      <c r="K1734" s="108" t="n">
        <v>0.8</v>
      </c>
      <c r="L1734" s="108" t="n">
        <v>0</v>
      </c>
      <c r="M1734" s="117"/>
      <c r="N1734" s="106"/>
      <c r="O1734" s="106"/>
      <c r="P1734" s="106"/>
      <c r="Q1734" s="106"/>
      <c r="R1734" s="106" t="s">
        <v>4537</v>
      </c>
    </row>
    <row r="1735" customFormat="false" ht="15" hidden="false" customHeight="false" outlineLevel="0" collapsed="false">
      <c r="A1735" s="106" t="s">
        <v>6354</v>
      </c>
      <c r="B1735" s="106" t="s">
        <v>4284</v>
      </c>
      <c r="C1735" s="106"/>
      <c r="D1735" s="106" t="n">
        <v>3</v>
      </c>
      <c r="E1735" s="107" t="n">
        <v>2</v>
      </c>
      <c r="F1735" s="106" t="n">
        <v>1</v>
      </c>
      <c r="G1735" s="118" t="n">
        <v>0.5</v>
      </c>
      <c r="H1735" s="116" t="n">
        <v>0.8</v>
      </c>
      <c r="I1735" s="106" t="n">
        <v>0</v>
      </c>
      <c r="J1735" s="117" t="n">
        <v>0</v>
      </c>
      <c r="K1735" s="108" t="n">
        <v>0.8</v>
      </c>
      <c r="L1735" s="108" t="n">
        <v>0</v>
      </c>
      <c r="M1735" s="117"/>
      <c r="N1735" s="106"/>
      <c r="O1735" s="106"/>
      <c r="P1735" s="106"/>
      <c r="Q1735" s="106"/>
      <c r="R1735" s="106" t="s">
        <v>4537</v>
      </c>
    </row>
    <row r="1736" customFormat="false" ht="15" hidden="false" customHeight="false" outlineLevel="0" collapsed="false">
      <c r="A1736" s="106" t="s">
        <v>6355</v>
      </c>
      <c r="B1736" s="106" t="s">
        <v>4280</v>
      </c>
      <c r="C1736" s="106"/>
      <c r="D1736" s="106"/>
      <c r="E1736" s="107" t="n">
        <v>4</v>
      </c>
      <c r="F1736" s="106" t="n">
        <v>1</v>
      </c>
      <c r="G1736" s="118" t="n">
        <v>0.25</v>
      </c>
      <c r="H1736" s="116" t="n">
        <v>0.8</v>
      </c>
      <c r="I1736" s="106" t="n">
        <v>0</v>
      </c>
      <c r="J1736" s="117" t="n">
        <v>0</v>
      </c>
      <c r="K1736" s="108" t="n">
        <v>0.8</v>
      </c>
      <c r="L1736" s="108" t="n">
        <v>0</v>
      </c>
      <c r="M1736" s="117"/>
      <c r="N1736" s="106"/>
      <c r="O1736" s="106"/>
      <c r="P1736" s="106"/>
      <c r="Q1736" s="106"/>
      <c r="R1736" s="106" t="s">
        <v>4537</v>
      </c>
    </row>
    <row r="1737" customFormat="false" ht="15" hidden="false" customHeight="false" outlineLevel="0" collapsed="false">
      <c r="A1737" s="106" t="s">
        <v>6356</v>
      </c>
      <c r="B1737" s="106" t="s">
        <v>4329</v>
      </c>
      <c r="C1737" s="106"/>
      <c r="D1737" s="106"/>
      <c r="E1737" s="107" t="n">
        <v>4</v>
      </c>
      <c r="F1737" s="106" t="n">
        <v>1</v>
      </c>
      <c r="G1737" s="118" t="n">
        <v>0.25</v>
      </c>
      <c r="H1737" s="116" t="n">
        <v>0.8</v>
      </c>
      <c r="I1737" s="106" t="n">
        <v>0</v>
      </c>
      <c r="J1737" s="117" t="n">
        <v>0</v>
      </c>
      <c r="K1737" s="108" t="n">
        <v>0.8</v>
      </c>
      <c r="L1737" s="108" t="n">
        <v>0</v>
      </c>
      <c r="M1737" s="117"/>
      <c r="N1737" s="106"/>
      <c r="O1737" s="106"/>
      <c r="P1737" s="106"/>
      <c r="Q1737" s="106"/>
      <c r="R1737" s="106" t="s">
        <v>4537</v>
      </c>
    </row>
    <row r="1738" customFormat="false" ht="15" hidden="false" customHeight="false" outlineLevel="0" collapsed="false">
      <c r="A1738" s="106" t="s">
        <v>6357</v>
      </c>
      <c r="B1738" s="106" t="s">
        <v>4284</v>
      </c>
      <c r="C1738" s="106"/>
      <c r="D1738" s="106"/>
      <c r="E1738" s="107" t="n">
        <v>1</v>
      </c>
      <c r="F1738" s="106" t="n">
        <v>1</v>
      </c>
      <c r="G1738" s="118" t="n">
        <v>1</v>
      </c>
      <c r="H1738" s="116" t="n">
        <v>0.8</v>
      </c>
      <c r="I1738" s="106" t="n">
        <v>0</v>
      </c>
      <c r="J1738" s="117" t="n">
        <v>0</v>
      </c>
      <c r="K1738" s="108" t="n">
        <v>0.8</v>
      </c>
      <c r="L1738" s="108" t="n">
        <v>0</v>
      </c>
      <c r="M1738" s="117"/>
      <c r="N1738" s="106"/>
      <c r="O1738" s="106"/>
      <c r="P1738" s="106"/>
      <c r="Q1738" s="106"/>
      <c r="R1738" s="106" t="s">
        <v>4537</v>
      </c>
    </row>
    <row r="1739" customFormat="false" ht="15" hidden="false" customHeight="false" outlineLevel="0" collapsed="false">
      <c r="A1739" s="106" t="s">
        <v>6358</v>
      </c>
      <c r="B1739" s="106" t="s">
        <v>4280</v>
      </c>
      <c r="C1739" s="106"/>
      <c r="D1739" s="106" t="n">
        <v>6</v>
      </c>
      <c r="E1739" s="107" t="n">
        <v>1</v>
      </c>
      <c r="F1739" s="106" t="n">
        <v>1</v>
      </c>
      <c r="G1739" s="118" t="n">
        <v>1</v>
      </c>
      <c r="H1739" s="116" t="n">
        <v>0.8</v>
      </c>
      <c r="I1739" s="106" t="n">
        <v>0</v>
      </c>
      <c r="J1739" s="117" t="n">
        <v>0</v>
      </c>
      <c r="K1739" s="108" t="n">
        <v>0.8</v>
      </c>
      <c r="L1739" s="108" t="n">
        <v>0</v>
      </c>
      <c r="M1739" s="117"/>
      <c r="N1739" s="106"/>
      <c r="O1739" s="106"/>
      <c r="P1739" s="106"/>
      <c r="Q1739" s="106"/>
      <c r="R1739" s="106" t="s">
        <v>4537</v>
      </c>
    </row>
    <row r="1740" customFormat="false" ht="15" hidden="false" customHeight="false" outlineLevel="0" collapsed="false">
      <c r="A1740" s="106" t="s">
        <v>6359</v>
      </c>
      <c r="B1740" s="106" t="s">
        <v>4284</v>
      </c>
      <c r="C1740" s="106"/>
      <c r="D1740" s="106" t="n">
        <v>3</v>
      </c>
      <c r="E1740" s="107" t="n">
        <v>1</v>
      </c>
      <c r="F1740" s="106" t="n">
        <v>1</v>
      </c>
      <c r="G1740" s="118" t="n">
        <v>1</v>
      </c>
      <c r="H1740" s="116" t="n">
        <v>0.8</v>
      </c>
      <c r="I1740" s="106" t="n">
        <v>0</v>
      </c>
      <c r="J1740" s="117" t="n">
        <v>0</v>
      </c>
      <c r="K1740" s="108" t="n">
        <v>0.8</v>
      </c>
      <c r="L1740" s="108" t="n">
        <v>0</v>
      </c>
      <c r="M1740" s="117"/>
      <c r="N1740" s="106"/>
      <c r="O1740" s="106"/>
      <c r="P1740" s="106"/>
      <c r="Q1740" s="106"/>
      <c r="R1740" s="106" t="s">
        <v>4537</v>
      </c>
    </row>
    <row r="1741" customFormat="false" ht="15" hidden="false" customHeight="false" outlineLevel="0" collapsed="false">
      <c r="A1741" s="106" t="s">
        <v>6360</v>
      </c>
      <c r="B1741" s="106" t="s">
        <v>4284</v>
      </c>
      <c r="C1741" s="106"/>
      <c r="D1741" s="106"/>
      <c r="E1741" s="107" t="n">
        <v>1</v>
      </c>
      <c r="F1741" s="106" t="n">
        <v>1</v>
      </c>
      <c r="G1741" s="118" t="n">
        <v>1</v>
      </c>
      <c r="H1741" s="116" t="n">
        <v>0.8</v>
      </c>
      <c r="I1741" s="106" t="n">
        <v>0</v>
      </c>
      <c r="J1741" s="117" t="n">
        <v>0</v>
      </c>
      <c r="K1741" s="108" t="n">
        <v>0.8</v>
      </c>
      <c r="L1741" s="108" t="n">
        <v>0</v>
      </c>
      <c r="M1741" s="117"/>
      <c r="N1741" s="106"/>
      <c r="O1741" s="106"/>
      <c r="P1741" s="106"/>
      <c r="Q1741" s="106"/>
      <c r="R1741" s="106" t="s">
        <v>4537</v>
      </c>
    </row>
    <row r="1742" customFormat="false" ht="15" hidden="false" customHeight="false" outlineLevel="0" collapsed="false">
      <c r="A1742" s="106" t="s">
        <v>6361</v>
      </c>
      <c r="B1742" s="106" t="s">
        <v>4280</v>
      </c>
      <c r="C1742" s="106"/>
      <c r="D1742" s="106"/>
      <c r="E1742" s="107" t="n">
        <v>1</v>
      </c>
      <c r="F1742" s="106" t="n">
        <v>1</v>
      </c>
      <c r="G1742" s="118" t="n">
        <v>1</v>
      </c>
      <c r="H1742" s="116" t="n">
        <v>0.8</v>
      </c>
      <c r="I1742" s="106" t="n">
        <v>0</v>
      </c>
      <c r="J1742" s="117" t="n">
        <v>0</v>
      </c>
      <c r="K1742" s="108" t="n">
        <v>0.8</v>
      </c>
      <c r="L1742" s="108" t="n">
        <v>0</v>
      </c>
      <c r="M1742" s="117"/>
      <c r="N1742" s="106"/>
      <c r="O1742" s="106"/>
      <c r="P1742" s="106"/>
      <c r="Q1742" s="106"/>
      <c r="R1742" s="106" t="s">
        <v>4537</v>
      </c>
    </row>
    <row r="1743" customFormat="false" ht="15" hidden="false" customHeight="false" outlineLevel="0" collapsed="false">
      <c r="A1743" s="106" t="s">
        <v>6362</v>
      </c>
      <c r="B1743" s="106" t="s">
        <v>4280</v>
      </c>
      <c r="C1743" s="106"/>
      <c r="D1743" s="106" t="n">
        <v>17</v>
      </c>
      <c r="E1743" s="107" t="n">
        <v>2</v>
      </c>
      <c r="F1743" s="106" t="n">
        <v>1</v>
      </c>
      <c r="G1743" s="118" t="n">
        <v>0.5</v>
      </c>
      <c r="H1743" s="116" t="n">
        <v>0.8</v>
      </c>
      <c r="I1743" s="106" t="n">
        <v>0</v>
      </c>
      <c r="J1743" s="117" t="n">
        <v>0</v>
      </c>
      <c r="K1743" s="108" t="n">
        <v>0.8</v>
      </c>
      <c r="L1743" s="108" t="n">
        <v>0</v>
      </c>
      <c r="M1743" s="117"/>
      <c r="N1743" s="106"/>
      <c r="O1743" s="106"/>
      <c r="P1743" s="106"/>
      <c r="Q1743" s="106"/>
      <c r="R1743" s="106" t="s">
        <v>4537</v>
      </c>
    </row>
    <row r="1744" customFormat="false" ht="15" hidden="false" customHeight="false" outlineLevel="0" collapsed="false">
      <c r="A1744" s="106" t="s">
        <v>6363</v>
      </c>
      <c r="B1744" s="106" t="s">
        <v>4280</v>
      </c>
      <c r="C1744" s="106"/>
      <c r="D1744" s="106" t="n">
        <v>4</v>
      </c>
      <c r="E1744" s="107" t="n">
        <v>1</v>
      </c>
      <c r="F1744" s="106" t="n">
        <v>1</v>
      </c>
      <c r="G1744" s="118" t="n">
        <v>1</v>
      </c>
      <c r="H1744" s="116" t="n">
        <v>0.8</v>
      </c>
      <c r="I1744" s="106" t="n">
        <v>0</v>
      </c>
      <c r="J1744" s="117" t="n">
        <v>0</v>
      </c>
      <c r="K1744" s="108" t="n">
        <v>0.8</v>
      </c>
      <c r="L1744" s="108" t="n">
        <v>0</v>
      </c>
      <c r="M1744" s="117"/>
      <c r="N1744" s="106"/>
      <c r="O1744" s="106"/>
      <c r="P1744" s="106"/>
      <c r="Q1744" s="106"/>
      <c r="R1744" s="106" t="s">
        <v>4537</v>
      </c>
    </row>
    <row r="1745" customFormat="false" ht="15" hidden="false" customHeight="false" outlineLevel="0" collapsed="false">
      <c r="A1745" s="106" t="s">
        <v>6364</v>
      </c>
      <c r="B1745" s="106" t="s">
        <v>4280</v>
      </c>
      <c r="C1745" s="106"/>
      <c r="D1745" s="106" t="n">
        <v>29</v>
      </c>
      <c r="E1745" s="107" t="n">
        <v>1</v>
      </c>
      <c r="F1745" s="106" t="n">
        <v>1</v>
      </c>
      <c r="G1745" s="118" t="n">
        <v>1</v>
      </c>
      <c r="H1745" s="116" t="n">
        <v>0.8</v>
      </c>
      <c r="I1745" s="106" t="n">
        <v>0</v>
      </c>
      <c r="J1745" s="117" t="n">
        <v>0</v>
      </c>
      <c r="K1745" s="108" t="n">
        <v>0.8</v>
      </c>
      <c r="L1745" s="108" t="n">
        <v>0</v>
      </c>
      <c r="M1745" s="117"/>
      <c r="N1745" s="106"/>
      <c r="O1745" s="106"/>
      <c r="P1745" s="106"/>
      <c r="Q1745" s="106"/>
      <c r="R1745" s="106" t="s">
        <v>4537</v>
      </c>
    </row>
    <row r="1746" customFormat="false" ht="15" hidden="false" customHeight="false" outlineLevel="0" collapsed="false">
      <c r="A1746" s="106" t="s">
        <v>6365</v>
      </c>
      <c r="B1746" s="106" t="s">
        <v>4280</v>
      </c>
      <c r="C1746" s="106"/>
      <c r="D1746" s="106" t="n">
        <v>5</v>
      </c>
      <c r="E1746" s="107" t="n">
        <v>2</v>
      </c>
      <c r="F1746" s="106" t="n">
        <v>1</v>
      </c>
      <c r="G1746" s="118" t="n">
        <v>0.5</v>
      </c>
      <c r="H1746" s="116" t="n">
        <v>0.8</v>
      </c>
      <c r="I1746" s="106" t="n">
        <v>0</v>
      </c>
      <c r="J1746" s="117" t="n">
        <v>0</v>
      </c>
      <c r="K1746" s="108" t="n">
        <v>0.8</v>
      </c>
      <c r="L1746" s="108" t="n">
        <v>0</v>
      </c>
      <c r="M1746" s="117"/>
      <c r="N1746" s="106"/>
      <c r="O1746" s="106"/>
      <c r="P1746" s="106"/>
      <c r="Q1746" s="106"/>
      <c r="R1746" s="106" t="s">
        <v>4537</v>
      </c>
    </row>
    <row r="1747" customFormat="false" ht="15" hidden="false" customHeight="false" outlineLevel="0" collapsed="false">
      <c r="A1747" s="106" t="s">
        <v>6366</v>
      </c>
      <c r="B1747" s="106" t="s">
        <v>4280</v>
      </c>
      <c r="C1747" s="106"/>
      <c r="D1747" s="106"/>
      <c r="E1747" s="107" t="n">
        <v>3</v>
      </c>
      <c r="F1747" s="106" t="n">
        <v>1</v>
      </c>
      <c r="G1747" s="118" t="n">
        <v>0.3333</v>
      </c>
      <c r="H1747" s="116" t="n">
        <v>0.8</v>
      </c>
      <c r="I1747" s="106" t="n">
        <v>0</v>
      </c>
      <c r="J1747" s="117" t="n">
        <v>0</v>
      </c>
      <c r="K1747" s="108" t="n">
        <v>0.8</v>
      </c>
      <c r="L1747" s="108" t="n">
        <v>0</v>
      </c>
      <c r="M1747" s="117"/>
      <c r="N1747" s="106"/>
      <c r="O1747" s="106"/>
      <c r="P1747" s="106"/>
      <c r="Q1747" s="106"/>
      <c r="R1747" s="106" t="s">
        <v>4537</v>
      </c>
    </row>
    <row r="1748" customFormat="false" ht="15" hidden="false" customHeight="false" outlineLevel="0" collapsed="false">
      <c r="A1748" s="106" t="s">
        <v>6367</v>
      </c>
      <c r="B1748" s="106" t="s">
        <v>4280</v>
      </c>
      <c r="C1748" s="106"/>
      <c r="D1748" s="106" t="n">
        <v>1</v>
      </c>
      <c r="E1748" s="107" t="n">
        <v>1</v>
      </c>
      <c r="F1748" s="106" t="n">
        <v>1</v>
      </c>
      <c r="G1748" s="118" t="n">
        <v>1</v>
      </c>
      <c r="H1748" s="116" t="n">
        <v>0.8</v>
      </c>
      <c r="I1748" s="106" t="n">
        <v>0</v>
      </c>
      <c r="J1748" s="117" t="n">
        <v>0</v>
      </c>
      <c r="K1748" s="108" t="n">
        <v>0.8</v>
      </c>
      <c r="L1748" s="108" t="n">
        <v>0</v>
      </c>
      <c r="M1748" s="117"/>
      <c r="N1748" s="106"/>
      <c r="O1748" s="106"/>
      <c r="P1748" s="106"/>
      <c r="Q1748" s="106"/>
      <c r="R1748" s="106" t="s">
        <v>4537</v>
      </c>
    </row>
    <row r="1749" customFormat="false" ht="15" hidden="false" customHeight="false" outlineLevel="0" collapsed="false">
      <c r="A1749" s="106" t="s">
        <v>6368</v>
      </c>
      <c r="B1749" s="106" t="s">
        <v>4280</v>
      </c>
      <c r="C1749" s="106"/>
      <c r="D1749" s="106" t="n">
        <v>5</v>
      </c>
      <c r="E1749" s="107" t="n">
        <v>1</v>
      </c>
      <c r="F1749" s="106" t="n">
        <v>1</v>
      </c>
      <c r="G1749" s="118" t="n">
        <v>1</v>
      </c>
      <c r="H1749" s="116" t="n">
        <v>0.8</v>
      </c>
      <c r="I1749" s="106" t="n">
        <v>0</v>
      </c>
      <c r="J1749" s="117" t="n">
        <v>0</v>
      </c>
      <c r="K1749" s="108" t="n">
        <v>0.8</v>
      </c>
      <c r="L1749" s="108" t="n">
        <v>0</v>
      </c>
      <c r="M1749" s="117"/>
      <c r="N1749" s="106"/>
      <c r="O1749" s="106"/>
      <c r="P1749" s="106"/>
      <c r="Q1749" s="106"/>
      <c r="R1749" s="106" t="s">
        <v>4537</v>
      </c>
    </row>
    <row r="1750" customFormat="false" ht="15" hidden="false" customHeight="false" outlineLevel="0" collapsed="false">
      <c r="A1750" s="106" t="s">
        <v>6369</v>
      </c>
      <c r="B1750" s="106" t="s">
        <v>4284</v>
      </c>
      <c r="C1750" s="106"/>
      <c r="D1750" s="106" t="n">
        <v>7</v>
      </c>
      <c r="E1750" s="107" t="n">
        <v>1</v>
      </c>
      <c r="F1750" s="106" t="n">
        <v>1</v>
      </c>
      <c r="G1750" s="118" t="n">
        <v>1</v>
      </c>
      <c r="H1750" s="116" t="n">
        <v>0.8</v>
      </c>
      <c r="I1750" s="106" t="n">
        <v>0</v>
      </c>
      <c r="J1750" s="117" t="n">
        <v>0</v>
      </c>
      <c r="K1750" s="108" t="n">
        <v>0.8</v>
      </c>
      <c r="L1750" s="108" t="n">
        <v>0</v>
      </c>
      <c r="M1750" s="117"/>
      <c r="N1750" s="106"/>
      <c r="O1750" s="106"/>
      <c r="P1750" s="106"/>
      <c r="Q1750" s="106"/>
      <c r="R1750" s="106" t="s">
        <v>4537</v>
      </c>
    </row>
    <row r="1751" customFormat="false" ht="15" hidden="false" customHeight="false" outlineLevel="0" collapsed="false">
      <c r="A1751" s="106" t="s">
        <v>6370</v>
      </c>
      <c r="B1751" s="106" t="s">
        <v>4284</v>
      </c>
      <c r="C1751" s="106"/>
      <c r="D1751" s="106" t="n">
        <v>7</v>
      </c>
      <c r="E1751" s="107" t="n">
        <v>2</v>
      </c>
      <c r="F1751" s="106" t="n">
        <v>1</v>
      </c>
      <c r="G1751" s="118" t="n">
        <v>0.5</v>
      </c>
      <c r="H1751" s="116" t="n">
        <v>0.8</v>
      </c>
      <c r="I1751" s="106" t="n">
        <v>0</v>
      </c>
      <c r="J1751" s="117" t="n">
        <v>0</v>
      </c>
      <c r="K1751" s="108" t="n">
        <v>0.8</v>
      </c>
      <c r="L1751" s="108" t="n">
        <v>0</v>
      </c>
      <c r="M1751" s="117"/>
      <c r="N1751" s="106"/>
      <c r="O1751" s="106"/>
      <c r="P1751" s="106"/>
      <c r="Q1751" s="106"/>
      <c r="R1751" s="106" t="s">
        <v>4537</v>
      </c>
    </row>
    <row r="1752" customFormat="false" ht="15" hidden="false" customHeight="false" outlineLevel="0" collapsed="false">
      <c r="A1752" s="106" t="s">
        <v>6371</v>
      </c>
      <c r="B1752" s="106" t="s">
        <v>4280</v>
      </c>
      <c r="C1752" s="106"/>
      <c r="D1752" s="106" t="n">
        <v>8</v>
      </c>
      <c r="E1752" s="107" t="n">
        <v>2</v>
      </c>
      <c r="F1752" s="106" t="n">
        <v>1</v>
      </c>
      <c r="G1752" s="118" t="n">
        <v>0.5</v>
      </c>
      <c r="H1752" s="116" t="n">
        <v>0.8</v>
      </c>
      <c r="I1752" s="106" t="n">
        <v>0</v>
      </c>
      <c r="J1752" s="117" t="n">
        <v>0</v>
      </c>
      <c r="K1752" s="108" t="n">
        <v>0.8</v>
      </c>
      <c r="L1752" s="108" t="n">
        <v>0</v>
      </c>
      <c r="M1752" s="117"/>
      <c r="N1752" s="106"/>
      <c r="O1752" s="106"/>
      <c r="P1752" s="106"/>
      <c r="Q1752" s="106"/>
      <c r="R1752" s="106" t="s">
        <v>4537</v>
      </c>
    </row>
    <row r="1753" customFormat="false" ht="15" hidden="false" customHeight="false" outlineLevel="0" collapsed="false">
      <c r="A1753" s="106" t="s">
        <v>6372</v>
      </c>
      <c r="B1753" s="106" t="s">
        <v>4280</v>
      </c>
      <c r="C1753" s="106"/>
      <c r="D1753" s="106" t="n">
        <v>1</v>
      </c>
      <c r="E1753" s="107" t="n">
        <v>1</v>
      </c>
      <c r="F1753" s="106" t="n">
        <v>1</v>
      </c>
      <c r="G1753" s="118" t="n">
        <v>1</v>
      </c>
      <c r="H1753" s="116" t="n">
        <v>0.8</v>
      </c>
      <c r="I1753" s="106" t="n">
        <v>0</v>
      </c>
      <c r="J1753" s="117" t="n">
        <v>0</v>
      </c>
      <c r="K1753" s="108" t="n">
        <v>0.8</v>
      </c>
      <c r="L1753" s="108" t="n">
        <v>0</v>
      </c>
      <c r="M1753" s="117"/>
      <c r="N1753" s="106"/>
      <c r="O1753" s="106"/>
      <c r="P1753" s="106"/>
      <c r="Q1753" s="106"/>
      <c r="R1753" s="106" t="s">
        <v>4537</v>
      </c>
    </row>
    <row r="1754" customFormat="false" ht="15" hidden="false" customHeight="false" outlineLevel="0" collapsed="false">
      <c r="A1754" s="106" t="s">
        <v>6373</v>
      </c>
      <c r="B1754" s="106" t="s">
        <v>4280</v>
      </c>
      <c r="C1754" s="106"/>
      <c r="D1754" s="106"/>
      <c r="E1754" s="107" t="n">
        <v>2</v>
      </c>
      <c r="F1754" s="106" t="n">
        <v>1</v>
      </c>
      <c r="G1754" s="118" t="n">
        <v>0.5</v>
      </c>
      <c r="H1754" s="116" t="n">
        <v>0.8</v>
      </c>
      <c r="I1754" s="106" t="n">
        <v>0</v>
      </c>
      <c r="J1754" s="117" t="n">
        <v>0</v>
      </c>
      <c r="K1754" s="108" t="n">
        <v>0.8</v>
      </c>
      <c r="L1754" s="108" t="n">
        <v>0</v>
      </c>
      <c r="M1754" s="117"/>
      <c r="N1754" s="106"/>
      <c r="O1754" s="106"/>
      <c r="P1754" s="106"/>
      <c r="Q1754" s="106"/>
      <c r="R1754" s="106" t="s">
        <v>4537</v>
      </c>
    </row>
    <row r="1755" customFormat="false" ht="15" hidden="false" customHeight="false" outlineLevel="0" collapsed="false">
      <c r="A1755" s="106" t="s">
        <v>6374</v>
      </c>
      <c r="B1755" s="106" t="s">
        <v>4329</v>
      </c>
      <c r="C1755" s="106"/>
      <c r="D1755" s="106" t="n">
        <v>13</v>
      </c>
      <c r="E1755" s="107" t="n">
        <v>1</v>
      </c>
      <c r="F1755" s="106" t="n">
        <v>1</v>
      </c>
      <c r="G1755" s="118" t="n">
        <v>1</v>
      </c>
      <c r="H1755" s="116" t="n">
        <v>0.8</v>
      </c>
      <c r="I1755" s="106" t="n">
        <v>0</v>
      </c>
      <c r="J1755" s="117" t="n">
        <v>0</v>
      </c>
      <c r="K1755" s="108" t="n">
        <v>0.8</v>
      </c>
      <c r="L1755" s="108" t="n">
        <v>0</v>
      </c>
      <c r="M1755" s="117"/>
      <c r="N1755" s="106"/>
      <c r="O1755" s="106"/>
      <c r="P1755" s="106"/>
      <c r="Q1755" s="106"/>
      <c r="R1755" s="106" t="s">
        <v>4537</v>
      </c>
    </row>
    <row r="1756" customFormat="false" ht="15" hidden="false" customHeight="false" outlineLevel="0" collapsed="false">
      <c r="A1756" s="106" t="s">
        <v>6375</v>
      </c>
      <c r="B1756" s="106" t="s">
        <v>4280</v>
      </c>
      <c r="C1756" s="106"/>
      <c r="D1756" s="106" t="n">
        <v>6</v>
      </c>
      <c r="E1756" s="107" t="n">
        <v>1</v>
      </c>
      <c r="F1756" s="106" t="n">
        <v>1</v>
      </c>
      <c r="G1756" s="118" t="n">
        <v>1</v>
      </c>
      <c r="H1756" s="116" t="n">
        <v>0.8</v>
      </c>
      <c r="I1756" s="106" t="n">
        <v>0</v>
      </c>
      <c r="J1756" s="117" t="n">
        <v>0</v>
      </c>
      <c r="K1756" s="108" t="n">
        <v>0.8</v>
      </c>
      <c r="L1756" s="108" t="n">
        <v>0</v>
      </c>
      <c r="M1756" s="117"/>
      <c r="N1756" s="106"/>
      <c r="O1756" s="106"/>
      <c r="P1756" s="106"/>
      <c r="Q1756" s="106"/>
      <c r="R1756" s="106" t="s">
        <v>4537</v>
      </c>
    </row>
    <row r="1757" customFormat="false" ht="15" hidden="false" customHeight="false" outlineLevel="0" collapsed="false">
      <c r="A1757" s="106" t="s">
        <v>6376</v>
      </c>
      <c r="B1757" s="106" t="s">
        <v>4280</v>
      </c>
      <c r="C1757" s="106"/>
      <c r="D1757" s="106" t="n">
        <v>4</v>
      </c>
      <c r="E1757" s="107" t="n">
        <v>1</v>
      </c>
      <c r="F1757" s="106" t="n">
        <v>1</v>
      </c>
      <c r="G1757" s="118" t="n">
        <v>1</v>
      </c>
      <c r="H1757" s="116" t="n">
        <v>0.8</v>
      </c>
      <c r="I1757" s="106" t="n">
        <v>0</v>
      </c>
      <c r="J1757" s="117" t="n">
        <v>0</v>
      </c>
      <c r="K1757" s="108" t="n">
        <v>0.8</v>
      </c>
      <c r="L1757" s="108" t="n">
        <v>0</v>
      </c>
      <c r="M1757" s="117"/>
      <c r="N1757" s="106"/>
      <c r="O1757" s="106"/>
      <c r="P1757" s="106"/>
      <c r="Q1757" s="106"/>
      <c r="R1757" s="106" t="s">
        <v>4537</v>
      </c>
    </row>
    <row r="1758" customFormat="false" ht="15" hidden="false" customHeight="false" outlineLevel="0" collapsed="false">
      <c r="A1758" s="106" t="s">
        <v>6377</v>
      </c>
      <c r="B1758" s="106" t="s">
        <v>4329</v>
      </c>
      <c r="C1758" s="106"/>
      <c r="D1758" s="106" t="n">
        <v>5</v>
      </c>
      <c r="E1758" s="107" t="n">
        <v>1</v>
      </c>
      <c r="F1758" s="106" t="n">
        <v>1</v>
      </c>
      <c r="G1758" s="118" t="n">
        <v>1</v>
      </c>
      <c r="H1758" s="116" t="n">
        <v>0.8</v>
      </c>
      <c r="I1758" s="106" t="n">
        <v>0</v>
      </c>
      <c r="J1758" s="117" t="n">
        <v>0</v>
      </c>
      <c r="K1758" s="108" t="n">
        <v>0.8</v>
      </c>
      <c r="L1758" s="108" t="n">
        <v>0</v>
      </c>
      <c r="M1758" s="117"/>
      <c r="N1758" s="106"/>
      <c r="O1758" s="106"/>
      <c r="P1758" s="106"/>
      <c r="Q1758" s="106"/>
      <c r="R1758" s="106" t="s">
        <v>4537</v>
      </c>
    </row>
    <row r="1759" customFormat="false" ht="15" hidden="false" customHeight="false" outlineLevel="0" collapsed="false">
      <c r="A1759" s="106" t="s">
        <v>6378</v>
      </c>
      <c r="B1759" s="106" t="s">
        <v>4329</v>
      </c>
      <c r="C1759" s="106"/>
      <c r="D1759" s="106" t="n">
        <v>3</v>
      </c>
      <c r="E1759" s="107" t="n">
        <v>2</v>
      </c>
      <c r="F1759" s="106" t="n">
        <v>1</v>
      </c>
      <c r="G1759" s="118" t="n">
        <v>0.5</v>
      </c>
      <c r="H1759" s="116" t="n">
        <v>0.8</v>
      </c>
      <c r="I1759" s="106" t="n">
        <v>0</v>
      </c>
      <c r="J1759" s="117" t="n">
        <v>0</v>
      </c>
      <c r="K1759" s="108" t="n">
        <v>0.8</v>
      </c>
      <c r="L1759" s="108" t="n">
        <v>0</v>
      </c>
      <c r="M1759" s="117"/>
      <c r="N1759" s="106"/>
      <c r="O1759" s="106"/>
      <c r="P1759" s="106"/>
      <c r="Q1759" s="106"/>
      <c r="R1759" s="106" t="s">
        <v>4537</v>
      </c>
    </row>
    <row r="1760" customFormat="false" ht="15" hidden="false" customHeight="false" outlineLevel="0" collapsed="false">
      <c r="A1760" s="106" t="s">
        <v>6379</v>
      </c>
      <c r="B1760" s="106" t="s">
        <v>4280</v>
      </c>
      <c r="C1760" s="106"/>
      <c r="D1760" s="106" t="n">
        <v>6</v>
      </c>
      <c r="E1760" s="107" t="n">
        <v>1</v>
      </c>
      <c r="F1760" s="106" t="n">
        <v>1</v>
      </c>
      <c r="G1760" s="118" t="n">
        <v>1</v>
      </c>
      <c r="H1760" s="116" t="n">
        <v>0.8</v>
      </c>
      <c r="I1760" s="106" t="n">
        <v>0</v>
      </c>
      <c r="J1760" s="117" t="n">
        <v>0</v>
      </c>
      <c r="K1760" s="108" t="n">
        <v>0.8</v>
      </c>
      <c r="L1760" s="108" t="n">
        <v>0</v>
      </c>
      <c r="M1760" s="117"/>
      <c r="N1760" s="106"/>
      <c r="O1760" s="106"/>
      <c r="P1760" s="106"/>
      <c r="Q1760" s="106"/>
      <c r="R1760" s="106" t="s">
        <v>4537</v>
      </c>
    </row>
    <row r="1761" customFormat="false" ht="15" hidden="false" customHeight="false" outlineLevel="0" collapsed="false">
      <c r="A1761" s="106" t="s">
        <v>6380</v>
      </c>
      <c r="B1761" s="106" t="s">
        <v>4284</v>
      </c>
      <c r="C1761" s="106"/>
      <c r="D1761" s="106"/>
      <c r="E1761" s="107" t="n">
        <v>2</v>
      </c>
      <c r="F1761" s="106" t="n">
        <v>1</v>
      </c>
      <c r="G1761" s="118" t="n">
        <v>0.5</v>
      </c>
      <c r="H1761" s="116" t="n">
        <v>0.8</v>
      </c>
      <c r="I1761" s="106" t="n">
        <v>0</v>
      </c>
      <c r="J1761" s="117" t="n">
        <v>0</v>
      </c>
      <c r="K1761" s="108" t="n">
        <v>0.8</v>
      </c>
      <c r="L1761" s="108" t="n">
        <v>0</v>
      </c>
      <c r="M1761" s="117"/>
      <c r="N1761" s="106"/>
      <c r="O1761" s="106"/>
      <c r="P1761" s="106"/>
      <c r="Q1761" s="106"/>
      <c r="R1761" s="106" t="s">
        <v>4537</v>
      </c>
    </row>
    <row r="1762" customFormat="false" ht="15" hidden="false" customHeight="false" outlineLevel="0" collapsed="false">
      <c r="A1762" s="106" t="s">
        <v>6381</v>
      </c>
      <c r="B1762" s="106" t="s">
        <v>4284</v>
      </c>
      <c r="C1762" s="106"/>
      <c r="D1762" s="106" t="n">
        <v>4</v>
      </c>
      <c r="E1762" s="107" t="n">
        <v>1</v>
      </c>
      <c r="F1762" s="106" t="n">
        <v>1</v>
      </c>
      <c r="G1762" s="118" t="n">
        <v>1</v>
      </c>
      <c r="H1762" s="116" t="n">
        <v>0.8</v>
      </c>
      <c r="I1762" s="106" t="n">
        <v>0</v>
      </c>
      <c r="J1762" s="117" t="n">
        <v>0</v>
      </c>
      <c r="K1762" s="108" t="n">
        <v>0.8</v>
      </c>
      <c r="L1762" s="108" t="n">
        <v>0</v>
      </c>
      <c r="M1762" s="117"/>
      <c r="N1762" s="106"/>
      <c r="O1762" s="106"/>
      <c r="P1762" s="106"/>
      <c r="Q1762" s="106"/>
      <c r="R1762" s="106" t="s">
        <v>4537</v>
      </c>
    </row>
    <row r="1763" customFormat="false" ht="15" hidden="false" customHeight="false" outlineLevel="0" collapsed="false">
      <c r="A1763" s="106" t="s">
        <v>6382</v>
      </c>
      <c r="B1763" s="106" t="s">
        <v>4280</v>
      </c>
      <c r="C1763" s="106"/>
      <c r="D1763" s="106"/>
      <c r="E1763" s="107" t="n">
        <v>1</v>
      </c>
      <c r="F1763" s="106" t="n">
        <v>1</v>
      </c>
      <c r="G1763" s="118" t="n">
        <v>1</v>
      </c>
      <c r="H1763" s="116" t="n">
        <v>0.8</v>
      </c>
      <c r="I1763" s="106" t="n">
        <v>0</v>
      </c>
      <c r="J1763" s="117" t="n">
        <v>0</v>
      </c>
      <c r="K1763" s="108" t="n">
        <v>0.8</v>
      </c>
      <c r="L1763" s="108" t="n">
        <v>0</v>
      </c>
      <c r="M1763" s="117"/>
      <c r="N1763" s="106"/>
      <c r="O1763" s="106"/>
      <c r="P1763" s="106"/>
      <c r="Q1763" s="106"/>
      <c r="R1763" s="106" t="s">
        <v>4537</v>
      </c>
    </row>
    <row r="1764" customFormat="false" ht="15" hidden="false" customHeight="false" outlineLevel="0" collapsed="false">
      <c r="A1764" s="106" t="s">
        <v>6383</v>
      </c>
      <c r="B1764" s="106" t="s">
        <v>4280</v>
      </c>
      <c r="C1764" s="106"/>
      <c r="D1764" s="106"/>
      <c r="E1764" s="107" t="n">
        <v>1</v>
      </c>
      <c r="F1764" s="106" t="n">
        <v>1</v>
      </c>
      <c r="G1764" s="118" t="n">
        <v>1</v>
      </c>
      <c r="H1764" s="116" t="n">
        <v>0.8</v>
      </c>
      <c r="I1764" s="106" t="n">
        <v>1</v>
      </c>
      <c r="J1764" s="117" t="n">
        <v>1</v>
      </c>
      <c r="K1764" s="108" t="n">
        <v>0.8</v>
      </c>
      <c r="L1764" s="108" t="n">
        <v>35.99</v>
      </c>
      <c r="M1764" s="117" t="n">
        <v>0.022</v>
      </c>
      <c r="N1764" s="106"/>
      <c r="O1764" s="106"/>
      <c r="P1764" s="106"/>
      <c r="Q1764" s="106"/>
      <c r="R1764" s="106" t="s">
        <v>4285</v>
      </c>
    </row>
    <row r="1765" customFormat="false" ht="15" hidden="false" customHeight="false" outlineLevel="0" collapsed="false">
      <c r="A1765" s="106" t="s">
        <v>6384</v>
      </c>
      <c r="B1765" s="106" t="s">
        <v>4284</v>
      </c>
      <c r="C1765" s="106"/>
      <c r="D1765" s="106"/>
      <c r="E1765" s="107" t="n">
        <v>5</v>
      </c>
      <c r="F1765" s="106" t="n">
        <v>1</v>
      </c>
      <c r="G1765" s="118" t="n">
        <v>0.2</v>
      </c>
      <c r="H1765" s="116" t="n">
        <v>0.8</v>
      </c>
      <c r="I1765" s="106" t="n">
        <v>0</v>
      </c>
      <c r="J1765" s="117" t="n">
        <v>0</v>
      </c>
      <c r="K1765" s="108" t="n">
        <v>0.8</v>
      </c>
      <c r="L1765" s="108" t="n">
        <v>0</v>
      </c>
      <c r="M1765" s="117"/>
      <c r="N1765" s="106"/>
      <c r="O1765" s="106"/>
      <c r="P1765" s="106"/>
      <c r="Q1765" s="106"/>
      <c r="R1765" s="106" t="s">
        <v>4537</v>
      </c>
    </row>
    <row r="1766" customFormat="false" ht="15" hidden="false" customHeight="false" outlineLevel="0" collapsed="false">
      <c r="A1766" s="106" t="s">
        <v>6385</v>
      </c>
      <c r="B1766" s="106" t="s">
        <v>4280</v>
      </c>
      <c r="C1766" s="106" t="s">
        <v>4287</v>
      </c>
      <c r="D1766" s="106" t="n">
        <v>568</v>
      </c>
      <c r="E1766" s="107" t="n">
        <v>12</v>
      </c>
      <c r="F1766" s="106" t="n">
        <v>1</v>
      </c>
      <c r="G1766" s="118" t="n">
        <v>0.0833</v>
      </c>
      <c r="H1766" s="116" t="n">
        <v>0.8</v>
      </c>
      <c r="I1766" s="106" t="n">
        <v>0</v>
      </c>
      <c r="J1766" s="117" t="n">
        <v>0</v>
      </c>
      <c r="K1766" s="108" t="n">
        <v>0.8</v>
      </c>
      <c r="L1766" s="108" t="n">
        <v>0</v>
      </c>
      <c r="M1766" s="117"/>
      <c r="N1766" s="106"/>
      <c r="O1766" s="106"/>
      <c r="P1766" s="106"/>
      <c r="Q1766" s="106"/>
      <c r="R1766" s="106" t="s">
        <v>4537</v>
      </c>
    </row>
    <row r="1767" customFormat="false" ht="15" hidden="false" customHeight="false" outlineLevel="0" collapsed="false">
      <c r="A1767" s="106" t="s">
        <v>6386</v>
      </c>
      <c r="B1767" s="106" t="s">
        <v>4280</v>
      </c>
      <c r="C1767" s="106"/>
      <c r="D1767" s="106"/>
      <c r="E1767" s="107" t="n">
        <v>2</v>
      </c>
      <c r="F1767" s="106" t="n">
        <v>1</v>
      </c>
      <c r="G1767" s="118" t="n">
        <v>0.5</v>
      </c>
      <c r="H1767" s="116" t="n">
        <v>0.8</v>
      </c>
      <c r="I1767" s="106" t="n">
        <v>0</v>
      </c>
      <c r="J1767" s="117" t="n">
        <v>0</v>
      </c>
      <c r="K1767" s="108" t="n">
        <v>0.8</v>
      </c>
      <c r="L1767" s="108" t="n">
        <v>0</v>
      </c>
      <c r="M1767" s="117"/>
      <c r="N1767" s="106"/>
      <c r="O1767" s="106"/>
      <c r="P1767" s="106"/>
      <c r="Q1767" s="106"/>
      <c r="R1767" s="106" t="s">
        <v>4537</v>
      </c>
    </row>
    <row r="1768" customFormat="false" ht="15" hidden="false" customHeight="false" outlineLevel="0" collapsed="false">
      <c r="A1768" s="106" t="s">
        <v>6387</v>
      </c>
      <c r="B1768" s="106" t="s">
        <v>4284</v>
      </c>
      <c r="C1768" s="106"/>
      <c r="D1768" s="106"/>
      <c r="E1768" s="107" t="n">
        <v>2</v>
      </c>
      <c r="F1768" s="106" t="n">
        <v>1</v>
      </c>
      <c r="G1768" s="118" t="n">
        <v>0.5</v>
      </c>
      <c r="H1768" s="116" t="n">
        <v>0.8</v>
      </c>
      <c r="I1768" s="106" t="n">
        <v>0</v>
      </c>
      <c r="J1768" s="117" t="n">
        <v>0</v>
      </c>
      <c r="K1768" s="108" t="n">
        <v>0.8</v>
      </c>
      <c r="L1768" s="108" t="n">
        <v>0</v>
      </c>
      <c r="M1768" s="117"/>
      <c r="N1768" s="106"/>
      <c r="O1768" s="106"/>
      <c r="P1768" s="106"/>
      <c r="Q1768" s="106"/>
      <c r="R1768" s="106" t="s">
        <v>4537</v>
      </c>
    </row>
    <row r="1769" customFormat="false" ht="15" hidden="false" customHeight="false" outlineLevel="0" collapsed="false">
      <c r="A1769" s="106" t="s">
        <v>6388</v>
      </c>
      <c r="B1769" s="106" t="s">
        <v>4280</v>
      </c>
      <c r="C1769" s="106"/>
      <c r="D1769" s="106" t="n">
        <v>7</v>
      </c>
      <c r="E1769" s="107" t="n">
        <v>1</v>
      </c>
      <c r="F1769" s="106" t="n">
        <v>1</v>
      </c>
      <c r="G1769" s="118" t="n">
        <v>1</v>
      </c>
      <c r="H1769" s="116" t="n">
        <v>0.8</v>
      </c>
      <c r="I1769" s="106" t="n">
        <v>1</v>
      </c>
      <c r="J1769" s="117" t="n">
        <v>1</v>
      </c>
      <c r="K1769" s="108" t="n">
        <v>0.8</v>
      </c>
      <c r="L1769" s="108" t="n">
        <v>79.99</v>
      </c>
      <c r="M1769" s="117" t="n">
        <v>0.01</v>
      </c>
      <c r="N1769" s="106"/>
      <c r="O1769" s="106"/>
      <c r="P1769" s="106"/>
      <c r="Q1769" s="106"/>
      <c r="R1769" s="106" t="s">
        <v>4285</v>
      </c>
    </row>
    <row r="1770" customFormat="false" ht="15" hidden="false" customHeight="false" outlineLevel="0" collapsed="false">
      <c r="A1770" s="106" t="s">
        <v>6389</v>
      </c>
      <c r="B1770" s="106" t="s">
        <v>4284</v>
      </c>
      <c r="C1770" s="106"/>
      <c r="D1770" s="106" t="n">
        <v>6</v>
      </c>
      <c r="E1770" s="107" t="n">
        <v>2</v>
      </c>
      <c r="F1770" s="106" t="n">
        <v>1</v>
      </c>
      <c r="G1770" s="118" t="n">
        <v>0.5</v>
      </c>
      <c r="H1770" s="116" t="n">
        <v>0.8</v>
      </c>
      <c r="I1770" s="106" t="n">
        <v>0</v>
      </c>
      <c r="J1770" s="117" t="n">
        <v>0</v>
      </c>
      <c r="K1770" s="108" t="n">
        <v>0.8</v>
      </c>
      <c r="L1770" s="108" t="n">
        <v>0</v>
      </c>
      <c r="M1770" s="117"/>
      <c r="N1770" s="106"/>
      <c r="O1770" s="106"/>
      <c r="P1770" s="106"/>
      <c r="Q1770" s="106"/>
      <c r="R1770" s="106" t="s">
        <v>4537</v>
      </c>
    </row>
    <row r="1771" customFormat="false" ht="15" hidden="false" customHeight="false" outlineLevel="0" collapsed="false">
      <c r="A1771" s="106" t="s">
        <v>6390</v>
      </c>
      <c r="B1771" s="106" t="s">
        <v>4280</v>
      </c>
      <c r="C1771" s="106"/>
      <c r="D1771" s="106" t="n">
        <v>19</v>
      </c>
      <c r="E1771" s="107" t="n">
        <v>1</v>
      </c>
      <c r="F1771" s="106" t="n">
        <v>1</v>
      </c>
      <c r="G1771" s="118" t="n">
        <v>1</v>
      </c>
      <c r="H1771" s="116" t="n">
        <v>0.8</v>
      </c>
      <c r="I1771" s="106" t="n">
        <v>0</v>
      </c>
      <c r="J1771" s="117" t="n">
        <v>0</v>
      </c>
      <c r="K1771" s="108" t="n">
        <v>0.8</v>
      </c>
      <c r="L1771" s="108" t="n">
        <v>0</v>
      </c>
      <c r="M1771" s="117"/>
      <c r="N1771" s="106"/>
      <c r="O1771" s="106"/>
      <c r="P1771" s="106"/>
      <c r="Q1771" s="106"/>
      <c r="R1771" s="106" t="s">
        <v>4537</v>
      </c>
    </row>
    <row r="1772" customFormat="false" ht="15" hidden="false" customHeight="false" outlineLevel="0" collapsed="false">
      <c r="A1772" s="106" t="s">
        <v>6391</v>
      </c>
      <c r="B1772" s="106" t="s">
        <v>4284</v>
      </c>
      <c r="C1772" s="106"/>
      <c r="D1772" s="106"/>
      <c r="E1772" s="107" t="n">
        <v>1</v>
      </c>
      <c r="F1772" s="106" t="n">
        <v>1</v>
      </c>
      <c r="G1772" s="118" t="n">
        <v>1</v>
      </c>
      <c r="H1772" s="116" t="n">
        <v>0.8</v>
      </c>
      <c r="I1772" s="106" t="n">
        <v>0</v>
      </c>
      <c r="J1772" s="117" t="n">
        <v>0</v>
      </c>
      <c r="K1772" s="108" t="n">
        <v>0.8</v>
      </c>
      <c r="L1772" s="108" t="n">
        <v>0</v>
      </c>
      <c r="M1772" s="117"/>
      <c r="N1772" s="106"/>
      <c r="O1772" s="106"/>
      <c r="P1772" s="106"/>
      <c r="Q1772" s="106"/>
      <c r="R1772" s="106" t="s">
        <v>4537</v>
      </c>
    </row>
    <row r="1773" customFormat="false" ht="15" hidden="false" customHeight="false" outlineLevel="0" collapsed="false">
      <c r="A1773" s="106" t="s">
        <v>6392</v>
      </c>
      <c r="B1773" s="106" t="s">
        <v>1403</v>
      </c>
      <c r="C1773" s="106"/>
      <c r="D1773" s="106" t="n">
        <v>42</v>
      </c>
      <c r="E1773" s="107" t="n">
        <v>9</v>
      </c>
      <c r="F1773" s="106" t="n">
        <v>1</v>
      </c>
      <c r="G1773" s="118" t="n">
        <v>0.1111</v>
      </c>
      <c r="H1773" s="116" t="n">
        <v>0.8</v>
      </c>
      <c r="I1773" s="106" t="n">
        <v>0</v>
      </c>
      <c r="J1773" s="117" t="n">
        <v>0</v>
      </c>
      <c r="K1773" s="108" t="n">
        <v>0.8</v>
      </c>
      <c r="L1773" s="108" t="n">
        <v>0</v>
      </c>
      <c r="M1773" s="117"/>
      <c r="N1773" s="106"/>
      <c r="O1773" s="106"/>
      <c r="P1773" s="106"/>
      <c r="Q1773" s="106"/>
      <c r="R1773" s="106" t="s">
        <v>4537</v>
      </c>
    </row>
    <row r="1774" customFormat="false" ht="15" hidden="false" customHeight="false" outlineLevel="0" collapsed="false">
      <c r="A1774" s="106" t="s">
        <v>6393</v>
      </c>
      <c r="B1774" s="106" t="s">
        <v>1403</v>
      </c>
      <c r="C1774" s="106"/>
      <c r="D1774" s="106" t="n">
        <v>7</v>
      </c>
      <c r="E1774" s="107" t="n">
        <v>3</v>
      </c>
      <c r="F1774" s="106" t="n">
        <v>1</v>
      </c>
      <c r="G1774" s="118" t="n">
        <v>0.3333</v>
      </c>
      <c r="H1774" s="116" t="n">
        <v>0.8</v>
      </c>
      <c r="I1774" s="106" t="n">
        <v>0</v>
      </c>
      <c r="J1774" s="117" t="n">
        <v>0</v>
      </c>
      <c r="K1774" s="108" t="n">
        <v>0.8</v>
      </c>
      <c r="L1774" s="108" t="n">
        <v>0</v>
      </c>
      <c r="M1774" s="117"/>
      <c r="N1774" s="106"/>
      <c r="O1774" s="106"/>
      <c r="P1774" s="106"/>
      <c r="Q1774" s="106"/>
      <c r="R1774" s="106" t="s">
        <v>4537</v>
      </c>
    </row>
    <row r="1775" customFormat="false" ht="15" hidden="false" customHeight="false" outlineLevel="0" collapsed="false">
      <c r="A1775" s="106" t="s">
        <v>6394</v>
      </c>
      <c r="B1775" s="106" t="s">
        <v>1403</v>
      </c>
      <c r="C1775" s="106"/>
      <c r="D1775" s="106" t="n">
        <v>4</v>
      </c>
      <c r="E1775" s="107" t="n">
        <v>1</v>
      </c>
      <c r="F1775" s="106" t="n">
        <v>1</v>
      </c>
      <c r="G1775" s="118" t="n">
        <v>1</v>
      </c>
      <c r="H1775" s="116" t="n">
        <v>0.8</v>
      </c>
      <c r="I1775" s="106" t="n">
        <v>2</v>
      </c>
      <c r="J1775" s="117" t="n">
        <v>2</v>
      </c>
      <c r="K1775" s="108" t="n">
        <v>0.8</v>
      </c>
      <c r="L1775" s="108" t="n">
        <v>129.98</v>
      </c>
      <c r="M1775" s="117" t="n">
        <v>0.006</v>
      </c>
      <c r="N1775" s="106"/>
      <c r="O1775" s="106"/>
      <c r="P1775" s="106"/>
      <c r="Q1775" s="106"/>
      <c r="R1775" s="106" t="s">
        <v>4285</v>
      </c>
    </row>
    <row r="1776" customFormat="false" ht="15" hidden="false" customHeight="false" outlineLevel="0" collapsed="false">
      <c r="A1776" s="106" t="s">
        <v>6395</v>
      </c>
      <c r="B1776" s="106" t="s">
        <v>4284</v>
      </c>
      <c r="C1776" s="106"/>
      <c r="D1776" s="106" t="n">
        <v>2</v>
      </c>
      <c r="E1776" s="107" t="n">
        <v>1</v>
      </c>
      <c r="F1776" s="106" t="n">
        <v>1</v>
      </c>
      <c r="G1776" s="118" t="n">
        <v>1</v>
      </c>
      <c r="H1776" s="116" t="n">
        <v>0.8</v>
      </c>
      <c r="I1776" s="106" t="n">
        <v>1</v>
      </c>
      <c r="J1776" s="117" t="n">
        <v>1</v>
      </c>
      <c r="K1776" s="108" t="n">
        <v>0.8</v>
      </c>
      <c r="L1776" s="108" t="n">
        <v>79.99</v>
      </c>
      <c r="M1776" s="117" t="n">
        <v>0.01</v>
      </c>
      <c r="N1776" s="106"/>
      <c r="O1776" s="106"/>
      <c r="P1776" s="106"/>
      <c r="Q1776" s="106"/>
      <c r="R1776" s="106" t="s">
        <v>4285</v>
      </c>
    </row>
    <row r="1777" customFormat="false" ht="15" hidden="false" customHeight="false" outlineLevel="0" collapsed="false">
      <c r="A1777" s="106" t="s">
        <v>6396</v>
      </c>
      <c r="B1777" s="106" t="s">
        <v>4284</v>
      </c>
      <c r="C1777" s="106"/>
      <c r="D1777" s="106"/>
      <c r="E1777" s="107" t="n">
        <v>4</v>
      </c>
      <c r="F1777" s="106" t="n">
        <v>1</v>
      </c>
      <c r="G1777" s="118" t="n">
        <v>0.25</v>
      </c>
      <c r="H1777" s="116" t="n">
        <v>0.8</v>
      </c>
      <c r="I1777" s="106" t="n">
        <v>0</v>
      </c>
      <c r="J1777" s="117" t="n">
        <v>0</v>
      </c>
      <c r="K1777" s="108" t="n">
        <v>0.8</v>
      </c>
      <c r="L1777" s="108" t="n">
        <v>0</v>
      </c>
      <c r="M1777" s="117"/>
      <c r="N1777" s="106"/>
      <c r="O1777" s="106"/>
      <c r="P1777" s="106"/>
      <c r="Q1777" s="106"/>
      <c r="R1777" s="106" t="s">
        <v>4537</v>
      </c>
    </row>
    <row r="1778" customFormat="false" ht="15" hidden="false" customHeight="false" outlineLevel="0" collapsed="false">
      <c r="A1778" s="106" t="s">
        <v>6397</v>
      </c>
      <c r="B1778" s="106" t="s">
        <v>4329</v>
      </c>
      <c r="C1778" s="106"/>
      <c r="D1778" s="106" t="n">
        <v>2</v>
      </c>
      <c r="E1778" s="107" t="n">
        <v>1</v>
      </c>
      <c r="F1778" s="106" t="n">
        <v>1</v>
      </c>
      <c r="G1778" s="118" t="n">
        <v>1</v>
      </c>
      <c r="H1778" s="116" t="n">
        <v>0.8</v>
      </c>
      <c r="I1778" s="106" t="n">
        <v>0</v>
      </c>
      <c r="J1778" s="117" t="n">
        <v>0</v>
      </c>
      <c r="K1778" s="108" t="n">
        <v>0.8</v>
      </c>
      <c r="L1778" s="108" t="n">
        <v>0</v>
      </c>
      <c r="M1778" s="117"/>
      <c r="N1778" s="106"/>
      <c r="O1778" s="106"/>
      <c r="P1778" s="106"/>
      <c r="Q1778" s="106"/>
      <c r="R1778" s="106" t="s">
        <v>4537</v>
      </c>
    </row>
    <row r="1779" customFormat="false" ht="15" hidden="false" customHeight="false" outlineLevel="0" collapsed="false">
      <c r="A1779" s="106" t="s">
        <v>6398</v>
      </c>
      <c r="B1779" s="106" t="s">
        <v>4284</v>
      </c>
      <c r="C1779" s="106"/>
      <c r="D1779" s="106"/>
      <c r="E1779" s="107" t="n">
        <v>1</v>
      </c>
      <c r="F1779" s="106" t="n">
        <v>1</v>
      </c>
      <c r="G1779" s="118" t="n">
        <v>1</v>
      </c>
      <c r="H1779" s="116" t="n">
        <v>0.8</v>
      </c>
      <c r="I1779" s="106" t="n">
        <v>0</v>
      </c>
      <c r="J1779" s="117" t="n">
        <v>0</v>
      </c>
      <c r="K1779" s="108" t="n">
        <v>0.8</v>
      </c>
      <c r="L1779" s="108" t="n">
        <v>0</v>
      </c>
      <c r="M1779" s="117"/>
      <c r="N1779" s="106"/>
      <c r="O1779" s="106"/>
      <c r="P1779" s="106"/>
      <c r="Q1779" s="106"/>
      <c r="R1779" s="106" t="s">
        <v>4537</v>
      </c>
    </row>
    <row r="1780" customFormat="false" ht="15" hidden="false" customHeight="false" outlineLevel="0" collapsed="false">
      <c r="A1780" s="106" t="s">
        <v>6399</v>
      </c>
      <c r="B1780" s="106" t="s">
        <v>4280</v>
      </c>
      <c r="C1780" s="106"/>
      <c r="D1780" s="106" t="n">
        <v>3</v>
      </c>
      <c r="E1780" s="107" t="n">
        <v>1</v>
      </c>
      <c r="F1780" s="106" t="n">
        <v>1</v>
      </c>
      <c r="G1780" s="118" t="n">
        <v>1</v>
      </c>
      <c r="H1780" s="116" t="n">
        <v>0.8</v>
      </c>
      <c r="I1780" s="106" t="n">
        <v>0</v>
      </c>
      <c r="J1780" s="117" t="n">
        <v>0</v>
      </c>
      <c r="K1780" s="108" t="n">
        <v>0.8</v>
      </c>
      <c r="L1780" s="108" t="n">
        <v>0</v>
      </c>
      <c r="M1780" s="117"/>
      <c r="N1780" s="106"/>
      <c r="O1780" s="106"/>
      <c r="P1780" s="106"/>
      <c r="Q1780" s="106"/>
      <c r="R1780" s="106" t="s">
        <v>4537</v>
      </c>
    </row>
    <row r="1781" customFormat="false" ht="15" hidden="false" customHeight="false" outlineLevel="0" collapsed="false">
      <c r="A1781" s="106" t="s">
        <v>6400</v>
      </c>
      <c r="B1781" s="106" t="s">
        <v>1403</v>
      </c>
      <c r="C1781" s="106"/>
      <c r="D1781" s="106"/>
      <c r="E1781" s="107" t="n">
        <v>1</v>
      </c>
      <c r="F1781" s="106" t="n">
        <v>1</v>
      </c>
      <c r="G1781" s="118" t="n">
        <v>1</v>
      </c>
      <c r="H1781" s="116" t="n">
        <v>0.8</v>
      </c>
      <c r="I1781" s="106" t="n">
        <v>0</v>
      </c>
      <c r="J1781" s="117" t="n">
        <v>0</v>
      </c>
      <c r="K1781" s="108" t="n">
        <v>0.8</v>
      </c>
      <c r="L1781" s="108" t="n">
        <v>0</v>
      </c>
      <c r="M1781" s="117"/>
      <c r="N1781" s="106"/>
      <c r="O1781" s="106"/>
      <c r="P1781" s="106"/>
      <c r="Q1781" s="106"/>
      <c r="R1781" s="106" t="s">
        <v>4537</v>
      </c>
    </row>
    <row r="1782" customFormat="false" ht="15" hidden="false" customHeight="false" outlineLevel="0" collapsed="false">
      <c r="A1782" s="106" t="s">
        <v>6401</v>
      </c>
      <c r="B1782" s="106" t="s">
        <v>4329</v>
      </c>
      <c r="C1782" s="106"/>
      <c r="D1782" s="106"/>
      <c r="E1782" s="107" t="n">
        <v>1</v>
      </c>
      <c r="F1782" s="106" t="n">
        <v>1</v>
      </c>
      <c r="G1782" s="118" t="n">
        <v>1</v>
      </c>
      <c r="H1782" s="116" t="n">
        <v>0.8</v>
      </c>
      <c r="I1782" s="106" t="n">
        <v>0</v>
      </c>
      <c r="J1782" s="117" t="n">
        <v>0</v>
      </c>
      <c r="K1782" s="108" t="n">
        <v>0.8</v>
      </c>
      <c r="L1782" s="108" t="n">
        <v>0</v>
      </c>
      <c r="M1782" s="117"/>
      <c r="N1782" s="106"/>
      <c r="O1782" s="106"/>
      <c r="P1782" s="106"/>
      <c r="Q1782" s="106"/>
      <c r="R1782" s="106" t="s">
        <v>4537</v>
      </c>
    </row>
    <row r="1783" customFormat="false" ht="15" hidden="false" customHeight="false" outlineLevel="0" collapsed="false">
      <c r="A1783" s="106" t="s">
        <v>6402</v>
      </c>
      <c r="B1783" s="106" t="s">
        <v>4280</v>
      </c>
      <c r="C1783" s="106"/>
      <c r="D1783" s="106" t="n">
        <v>4</v>
      </c>
      <c r="E1783" s="107" t="n">
        <v>1</v>
      </c>
      <c r="F1783" s="106" t="n">
        <v>1</v>
      </c>
      <c r="G1783" s="118" t="n">
        <v>1</v>
      </c>
      <c r="H1783" s="116" t="n">
        <v>0.8</v>
      </c>
      <c r="I1783" s="106" t="n">
        <v>0</v>
      </c>
      <c r="J1783" s="117" t="n">
        <v>0</v>
      </c>
      <c r="K1783" s="108" t="n">
        <v>0.8</v>
      </c>
      <c r="L1783" s="108" t="n">
        <v>0</v>
      </c>
      <c r="M1783" s="117"/>
      <c r="N1783" s="106"/>
      <c r="O1783" s="106"/>
      <c r="P1783" s="106"/>
      <c r="Q1783" s="106"/>
      <c r="R1783" s="106" t="s">
        <v>4537</v>
      </c>
    </row>
    <row r="1784" customFormat="false" ht="15" hidden="false" customHeight="false" outlineLevel="0" collapsed="false">
      <c r="A1784" s="106" t="s">
        <v>6403</v>
      </c>
      <c r="B1784" s="106" t="s">
        <v>4280</v>
      </c>
      <c r="C1784" s="106"/>
      <c r="D1784" s="106" t="n">
        <v>3</v>
      </c>
      <c r="E1784" s="107" t="n">
        <v>1</v>
      </c>
      <c r="F1784" s="106" t="n">
        <v>1</v>
      </c>
      <c r="G1784" s="118" t="n">
        <v>1</v>
      </c>
      <c r="H1784" s="116" t="n">
        <v>0.8</v>
      </c>
      <c r="I1784" s="106" t="n">
        <v>0</v>
      </c>
      <c r="J1784" s="117" t="n">
        <v>0</v>
      </c>
      <c r="K1784" s="108" t="n">
        <v>0.8</v>
      </c>
      <c r="L1784" s="108" t="n">
        <v>0</v>
      </c>
      <c r="M1784" s="117"/>
      <c r="N1784" s="106"/>
      <c r="O1784" s="106"/>
      <c r="P1784" s="106"/>
      <c r="Q1784" s="106"/>
      <c r="R1784" s="106" t="s">
        <v>4537</v>
      </c>
    </row>
    <row r="1785" customFormat="false" ht="15" hidden="false" customHeight="false" outlineLevel="0" collapsed="false">
      <c r="A1785" s="106" t="s">
        <v>6404</v>
      </c>
      <c r="B1785" s="106" t="s">
        <v>4284</v>
      </c>
      <c r="C1785" s="106"/>
      <c r="D1785" s="106" t="n">
        <v>9</v>
      </c>
      <c r="E1785" s="107" t="n">
        <v>3</v>
      </c>
      <c r="F1785" s="106" t="n">
        <v>1</v>
      </c>
      <c r="G1785" s="118" t="n">
        <v>0.3333</v>
      </c>
      <c r="H1785" s="116" t="n">
        <v>0.8</v>
      </c>
      <c r="I1785" s="106" t="n">
        <v>0</v>
      </c>
      <c r="J1785" s="117" t="n">
        <v>0</v>
      </c>
      <c r="K1785" s="108" t="n">
        <v>0.8</v>
      </c>
      <c r="L1785" s="108" t="n">
        <v>0</v>
      </c>
      <c r="M1785" s="117"/>
      <c r="N1785" s="106"/>
      <c r="O1785" s="106"/>
      <c r="P1785" s="106"/>
      <c r="Q1785" s="106"/>
      <c r="R1785" s="106" t="s">
        <v>4537</v>
      </c>
    </row>
    <row r="1786" customFormat="false" ht="15" hidden="false" customHeight="false" outlineLevel="0" collapsed="false">
      <c r="A1786" s="106" t="s">
        <v>6405</v>
      </c>
      <c r="B1786" s="106" t="s">
        <v>4329</v>
      </c>
      <c r="C1786" s="106"/>
      <c r="D1786" s="106" t="n">
        <v>28</v>
      </c>
      <c r="E1786" s="107" t="n">
        <v>1</v>
      </c>
      <c r="F1786" s="106" t="n">
        <v>1</v>
      </c>
      <c r="G1786" s="118" t="n">
        <v>1</v>
      </c>
      <c r="H1786" s="116" t="n">
        <v>0.8</v>
      </c>
      <c r="I1786" s="106" t="n">
        <v>0</v>
      </c>
      <c r="J1786" s="117" t="n">
        <v>0</v>
      </c>
      <c r="K1786" s="108" t="n">
        <v>0.8</v>
      </c>
      <c r="L1786" s="108" t="n">
        <v>0</v>
      </c>
      <c r="M1786" s="117"/>
      <c r="N1786" s="106"/>
      <c r="O1786" s="106"/>
      <c r="P1786" s="106"/>
      <c r="Q1786" s="106"/>
      <c r="R1786" s="106" t="s">
        <v>4537</v>
      </c>
    </row>
    <row r="1787" customFormat="false" ht="15" hidden="false" customHeight="false" outlineLevel="0" collapsed="false">
      <c r="A1787" s="106" t="s">
        <v>6406</v>
      </c>
      <c r="B1787" s="106" t="s">
        <v>4284</v>
      </c>
      <c r="C1787" s="106"/>
      <c r="D1787" s="106" t="n">
        <v>38</v>
      </c>
      <c r="E1787" s="107" t="n">
        <v>2</v>
      </c>
      <c r="F1787" s="106" t="n">
        <v>1</v>
      </c>
      <c r="G1787" s="118" t="n">
        <v>0.5</v>
      </c>
      <c r="H1787" s="116" t="n">
        <v>0.8</v>
      </c>
      <c r="I1787" s="106" t="n">
        <v>0</v>
      </c>
      <c r="J1787" s="117" t="n">
        <v>0</v>
      </c>
      <c r="K1787" s="108" t="n">
        <v>0.8</v>
      </c>
      <c r="L1787" s="108" t="n">
        <v>0</v>
      </c>
      <c r="M1787" s="117"/>
      <c r="N1787" s="106"/>
      <c r="O1787" s="106"/>
      <c r="P1787" s="106"/>
      <c r="Q1787" s="106"/>
      <c r="R1787" s="106" t="s">
        <v>4537</v>
      </c>
    </row>
    <row r="1788" customFormat="false" ht="15" hidden="false" customHeight="false" outlineLevel="0" collapsed="false">
      <c r="A1788" s="106" t="s">
        <v>6407</v>
      </c>
      <c r="B1788" s="106" t="s">
        <v>4329</v>
      </c>
      <c r="C1788" s="106"/>
      <c r="D1788" s="106"/>
      <c r="E1788" s="107" t="n">
        <v>3</v>
      </c>
      <c r="F1788" s="106" t="n">
        <v>1</v>
      </c>
      <c r="G1788" s="118" t="n">
        <v>0.3333</v>
      </c>
      <c r="H1788" s="116" t="n">
        <v>0.8</v>
      </c>
      <c r="I1788" s="106" t="n">
        <v>0</v>
      </c>
      <c r="J1788" s="117" t="n">
        <v>0</v>
      </c>
      <c r="K1788" s="108" t="n">
        <v>0.8</v>
      </c>
      <c r="L1788" s="108" t="n">
        <v>0</v>
      </c>
      <c r="M1788" s="117"/>
      <c r="N1788" s="106"/>
      <c r="O1788" s="106"/>
      <c r="P1788" s="106"/>
      <c r="Q1788" s="106"/>
      <c r="R1788" s="106" t="s">
        <v>4537</v>
      </c>
    </row>
    <row r="1789" customFormat="false" ht="15" hidden="false" customHeight="false" outlineLevel="0" collapsed="false">
      <c r="A1789" s="106" t="s">
        <v>6408</v>
      </c>
      <c r="B1789" s="106" t="s">
        <v>4284</v>
      </c>
      <c r="C1789" s="106"/>
      <c r="D1789" s="106" t="n">
        <v>16</v>
      </c>
      <c r="E1789" s="107" t="n">
        <v>2</v>
      </c>
      <c r="F1789" s="106" t="n">
        <v>1</v>
      </c>
      <c r="G1789" s="118" t="n">
        <v>0.5</v>
      </c>
      <c r="H1789" s="116" t="n">
        <v>0.8</v>
      </c>
      <c r="I1789" s="106" t="n">
        <v>0</v>
      </c>
      <c r="J1789" s="117" t="n">
        <v>0</v>
      </c>
      <c r="K1789" s="108" t="n">
        <v>0.8</v>
      </c>
      <c r="L1789" s="108" t="n">
        <v>0</v>
      </c>
      <c r="M1789" s="117"/>
      <c r="N1789" s="106"/>
      <c r="O1789" s="106"/>
      <c r="P1789" s="106"/>
      <c r="Q1789" s="106"/>
      <c r="R1789" s="106" t="s">
        <v>4537</v>
      </c>
    </row>
    <row r="1790" customFormat="false" ht="15" hidden="false" customHeight="false" outlineLevel="0" collapsed="false">
      <c r="A1790" s="106" t="s">
        <v>6409</v>
      </c>
      <c r="B1790" s="106" t="s">
        <v>4284</v>
      </c>
      <c r="C1790" s="106"/>
      <c r="D1790" s="106" t="n">
        <v>117</v>
      </c>
      <c r="E1790" s="107" t="n">
        <v>1</v>
      </c>
      <c r="F1790" s="106" t="n">
        <v>1</v>
      </c>
      <c r="G1790" s="118" t="n">
        <v>1</v>
      </c>
      <c r="H1790" s="116" t="n">
        <v>0.8</v>
      </c>
      <c r="I1790" s="106" t="n">
        <v>0</v>
      </c>
      <c r="J1790" s="117" t="n">
        <v>0</v>
      </c>
      <c r="K1790" s="108" t="n">
        <v>0.8</v>
      </c>
      <c r="L1790" s="108" t="n">
        <v>0</v>
      </c>
      <c r="M1790" s="117"/>
      <c r="N1790" s="106"/>
      <c r="O1790" s="106"/>
      <c r="P1790" s="106"/>
      <c r="Q1790" s="106"/>
      <c r="R1790" s="106" t="s">
        <v>4537</v>
      </c>
    </row>
    <row r="1791" customFormat="false" ht="15" hidden="false" customHeight="false" outlineLevel="0" collapsed="false">
      <c r="A1791" s="106" t="s">
        <v>6410</v>
      </c>
      <c r="B1791" s="106" t="s">
        <v>4284</v>
      </c>
      <c r="C1791" s="106"/>
      <c r="D1791" s="106" t="n">
        <v>254</v>
      </c>
      <c r="E1791" s="107" t="n">
        <v>1</v>
      </c>
      <c r="F1791" s="106" t="n">
        <v>1</v>
      </c>
      <c r="G1791" s="118" t="n">
        <v>1</v>
      </c>
      <c r="H1791" s="116" t="n">
        <v>0.8</v>
      </c>
      <c r="I1791" s="106" t="n">
        <v>0</v>
      </c>
      <c r="J1791" s="117" t="n">
        <v>0</v>
      </c>
      <c r="K1791" s="108" t="n">
        <v>0.8</v>
      </c>
      <c r="L1791" s="108" t="n">
        <v>0</v>
      </c>
      <c r="M1791" s="117"/>
      <c r="N1791" s="106"/>
      <c r="O1791" s="106"/>
      <c r="P1791" s="106"/>
      <c r="Q1791" s="106"/>
      <c r="R1791" s="106" t="s">
        <v>4537</v>
      </c>
    </row>
    <row r="1792" customFormat="false" ht="15" hidden="false" customHeight="false" outlineLevel="0" collapsed="false">
      <c r="A1792" s="106" t="s">
        <v>6411</v>
      </c>
      <c r="B1792" s="106" t="s">
        <v>4284</v>
      </c>
      <c r="C1792" s="106"/>
      <c r="D1792" s="106" t="n">
        <v>12</v>
      </c>
      <c r="E1792" s="107" t="n">
        <v>3</v>
      </c>
      <c r="F1792" s="106" t="n">
        <v>1</v>
      </c>
      <c r="G1792" s="118" t="n">
        <v>0.3333</v>
      </c>
      <c r="H1792" s="116" t="n">
        <v>0.8</v>
      </c>
      <c r="I1792" s="106" t="n">
        <v>0</v>
      </c>
      <c r="J1792" s="117" t="n">
        <v>0</v>
      </c>
      <c r="K1792" s="108" t="n">
        <v>0.8</v>
      </c>
      <c r="L1792" s="108" t="n">
        <v>0</v>
      </c>
      <c r="M1792" s="117"/>
      <c r="N1792" s="106"/>
      <c r="O1792" s="106"/>
      <c r="P1792" s="106"/>
      <c r="Q1792" s="106"/>
      <c r="R1792" s="106" t="s">
        <v>4537</v>
      </c>
    </row>
    <row r="1793" customFormat="false" ht="15" hidden="false" customHeight="false" outlineLevel="0" collapsed="false">
      <c r="A1793" s="106" t="s">
        <v>6412</v>
      </c>
      <c r="B1793" s="106" t="s">
        <v>1403</v>
      </c>
      <c r="C1793" s="106"/>
      <c r="D1793" s="106"/>
      <c r="E1793" s="107" t="n">
        <v>7</v>
      </c>
      <c r="F1793" s="106" t="n">
        <v>1</v>
      </c>
      <c r="G1793" s="118" t="n">
        <v>0.1429</v>
      </c>
      <c r="H1793" s="116" t="n">
        <v>0.8</v>
      </c>
      <c r="I1793" s="106" t="n">
        <v>0</v>
      </c>
      <c r="J1793" s="117" t="n">
        <v>0</v>
      </c>
      <c r="K1793" s="108" t="n">
        <v>0.8</v>
      </c>
      <c r="L1793" s="108" t="n">
        <v>0</v>
      </c>
      <c r="M1793" s="117"/>
      <c r="N1793" s="106"/>
      <c r="O1793" s="106"/>
      <c r="P1793" s="106"/>
      <c r="Q1793" s="106"/>
      <c r="R1793" s="106" t="s">
        <v>4537</v>
      </c>
    </row>
    <row r="1794" customFormat="false" ht="15" hidden="false" customHeight="false" outlineLevel="0" collapsed="false">
      <c r="A1794" s="106" t="s">
        <v>6413</v>
      </c>
      <c r="B1794" s="106" t="s">
        <v>4280</v>
      </c>
      <c r="C1794" s="106"/>
      <c r="D1794" s="106" t="n">
        <v>12</v>
      </c>
      <c r="E1794" s="107" t="n">
        <v>1</v>
      </c>
      <c r="F1794" s="106" t="n">
        <v>1</v>
      </c>
      <c r="G1794" s="118" t="n">
        <v>1</v>
      </c>
      <c r="H1794" s="116" t="n">
        <v>0.8</v>
      </c>
      <c r="I1794" s="106" t="n">
        <v>0</v>
      </c>
      <c r="J1794" s="117" t="n">
        <v>0</v>
      </c>
      <c r="K1794" s="108" t="n">
        <v>0.8</v>
      </c>
      <c r="L1794" s="108" t="n">
        <v>0</v>
      </c>
      <c r="M1794" s="117"/>
      <c r="N1794" s="106"/>
      <c r="O1794" s="106"/>
      <c r="P1794" s="106"/>
      <c r="Q1794" s="106"/>
      <c r="R1794" s="106" t="s">
        <v>4537</v>
      </c>
    </row>
    <row r="1795" customFormat="false" ht="15" hidden="false" customHeight="false" outlineLevel="0" collapsed="false">
      <c r="A1795" s="106" t="s">
        <v>6414</v>
      </c>
      <c r="B1795" s="106" t="s">
        <v>4280</v>
      </c>
      <c r="C1795" s="106"/>
      <c r="D1795" s="106" t="n">
        <v>3</v>
      </c>
      <c r="E1795" s="107" t="n">
        <v>1</v>
      </c>
      <c r="F1795" s="106" t="n">
        <v>1</v>
      </c>
      <c r="G1795" s="118" t="n">
        <v>1</v>
      </c>
      <c r="H1795" s="116" t="n">
        <v>0.8</v>
      </c>
      <c r="I1795" s="106" t="n">
        <v>0</v>
      </c>
      <c r="J1795" s="117" t="n">
        <v>0</v>
      </c>
      <c r="K1795" s="108" t="n">
        <v>0.8</v>
      </c>
      <c r="L1795" s="108" t="n">
        <v>0</v>
      </c>
      <c r="M1795" s="117"/>
      <c r="N1795" s="106"/>
      <c r="O1795" s="106"/>
      <c r="P1795" s="106"/>
      <c r="Q1795" s="106"/>
      <c r="R1795" s="106" t="s">
        <v>4537</v>
      </c>
    </row>
    <row r="1796" customFormat="false" ht="15" hidden="false" customHeight="false" outlineLevel="0" collapsed="false">
      <c r="A1796" s="106" t="s">
        <v>6415</v>
      </c>
      <c r="B1796" s="106" t="s">
        <v>4284</v>
      </c>
      <c r="C1796" s="106"/>
      <c r="D1796" s="106"/>
      <c r="E1796" s="107" t="n">
        <v>2</v>
      </c>
      <c r="F1796" s="106" t="n">
        <v>1</v>
      </c>
      <c r="G1796" s="118" t="n">
        <v>0.5</v>
      </c>
      <c r="H1796" s="116" t="n">
        <v>0.8</v>
      </c>
      <c r="I1796" s="106" t="n">
        <v>0</v>
      </c>
      <c r="J1796" s="117" t="n">
        <v>0</v>
      </c>
      <c r="K1796" s="108" t="n">
        <v>0.8</v>
      </c>
      <c r="L1796" s="108" t="n">
        <v>0</v>
      </c>
      <c r="M1796" s="117"/>
      <c r="N1796" s="106"/>
      <c r="O1796" s="106"/>
      <c r="P1796" s="106"/>
      <c r="Q1796" s="106"/>
      <c r="R1796" s="106" t="s">
        <v>4537</v>
      </c>
    </row>
    <row r="1797" customFormat="false" ht="15" hidden="false" customHeight="false" outlineLevel="0" collapsed="false">
      <c r="A1797" s="106" t="s">
        <v>6416</v>
      </c>
      <c r="B1797" s="106" t="s">
        <v>4284</v>
      </c>
      <c r="C1797" s="106"/>
      <c r="D1797" s="106"/>
      <c r="E1797" s="107" t="n">
        <v>3</v>
      </c>
      <c r="F1797" s="106" t="n">
        <v>1</v>
      </c>
      <c r="G1797" s="118" t="n">
        <v>0.3333</v>
      </c>
      <c r="H1797" s="116" t="n">
        <v>0.8</v>
      </c>
      <c r="I1797" s="106" t="n">
        <v>0</v>
      </c>
      <c r="J1797" s="117" t="n">
        <v>0</v>
      </c>
      <c r="K1797" s="108" t="n">
        <v>0.8</v>
      </c>
      <c r="L1797" s="108" t="n">
        <v>0</v>
      </c>
      <c r="M1797" s="117"/>
      <c r="N1797" s="106"/>
      <c r="O1797" s="106"/>
      <c r="P1797" s="106"/>
      <c r="Q1797" s="106"/>
      <c r="R1797" s="106" t="s">
        <v>4537</v>
      </c>
    </row>
    <row r="1798" customFormat="false" ht="15" hidden="false" customHeight="false" outlineLevel="0" collapsed="false">
      <c r="A1798" s="106" t="s">
        <v>6417</v>
      </c>
      <c r="B1798" s="106" t="s">
        <v>4284</v>
      </c>
      <c r="C1798" s="106"/>
      <c r="D1798" s="106"/>
      <c r="E1798" s="107" t="n">
        <v>1</v>
      </c>
      <c r="F1798" s="106" t="n">
        <v>1</v>
      </c>
      <c r="G1798" s="118" t="n">
        <v>1</v>
      </c>
      <c r="H1798" s="116" t="n">
        <v>0.8</v>
      </c>
      <c r="I1798" s="106" t="n">
        <v>0</v>
      </c>
      <c r="J1798" s="117" t="n">
        <v>0</v>
      </c>
      <c r="K1798" s="108" t="n">
        <v>0.8</v>
      </c>
      <c r="L1798" s="108" t="n">
        <v>0</v>
      </c>
      <c r="M1798" s="117"/>
      <c r="N1798" s="106"/>
      <c r="O1798" s="106"/>
      <c r="P1798" s="106"/>
      <c r="Q1798" s="106"/>
      <c r="R1798" s="106" t="s">
        <v>4537</v>
      </c>
    </row>
    <row r="1799" customFormat="false" ht="15" hidden="false" customHeight="false" outlineLevel="0" collapsed="false">
      <c r="A1799" s="106" t="s">
        <v>6418</v>
      </c>
      <c r="B1799" s="106" t="s">
        <v>4284</v>
      </c>
      <c r="C1799" s="106"/>
      <c r="D1799" s="106" t="n">
        <v>17</v>
      </c>
      <c r="E1799" s="107" t="n">
        <v>1</v>
      </c>
      <c r="F1799" s="106" t="n">
        <v>1</v>
      </c>
      <c r="G1799" s="118" t="n">
        <v>1</v>
      </c>
      <c r="H1799" s="116" t="n">
        <v>0.8</v>
      </c>
      <c r="I1799" s="106" t="n">
        <v>0</v>
      </c>
      <c r="J1799" s="117" t="n">
        <v>0</v>
      </c>
      <c r="K1799" s="108" t="n">
        <v>0.8</v>
      </c>
      <c r="L1799" s="108" t="n">
        <v>0</v>
      </c>
      <c r="M1799" s="117"/>
      <c r="N1799" s="106"/>
      <c r="O1799" s="106"/>
      <c r="P1799" s="106"/>
      <c r="Q1799" s="106"/>
      <c r="R1799" s="106" t="s">
        <v>4537</v>
      </c>
    </row>
    <row r="1800" customFormat="false" ht="15" hidden="false" customHeight="false" outlineLevel="0" collapsed="false">
      <c r="A1800" s="106" t="s">
        <v>6419</v>
      </c>
      <c r="B1800" s="106" t="s">
        <v>4280</v>
      </c>
      <c r="C1800" s="106"/>
      <c r="D1800" s="106" t="n">
        <v>6</v>
      </c>
      <c r="E1800" s="107" t="n">
        <v>7</v>
      </c>
      <c r="F1800" s="106" t="n">
        <v>1</v>
      </c>
      <c r="G1800" s="118" t="n">
        <v>0.1429</v>
      </c>
      <c r="H1800" s="116" t="n">
        <v>0.8</v>
      </c>
      <c r="I1800" s="106" t="n">
        <v>1</v>
      </c>
      <c r="J1800" s="117" t="n">
        <v>1</v>
      </c>
      <c r="K1800" s="108" t="n">
        <v>0.8</v>
      </c>
      <c r="L1800" s="108" t="n">
        <v>76.49</v>
      </c>
      <c r="M1800" s="117" t="n">
        <v>0.01</v>
      </c>
      <c r="N1800" s="106"/>
      <c r="O1800" s="106"/>
      <c r="P1800" s="106"/>
      <c r="Q1800" s="106"/>
      <c r="R1800" s="106" t="s">
        <v>4285</v>
      </c>
    </row>
    <row r="1801" customFormat="false" ht="15" hidden="false" customHeight="false" outlineLevel="0" collapsed="false">
      <c r="A1801" s="106" t="s">
        <v>6420</v>
      </c>
      <c r="B1801" s="106" t="s">
        <v>4280</v>
      </c>
      <c r="C1801" s="106"/>
      <c r="D1801" s="106"/>
      <c r="E1801" s="107" t="n">
        <v>1</v>
      </c>
      <c r="F1801" s="106" t="n">
        <v>1</v>
      </c>
      <c r="G1801" s="118" t="n">
        <v>1</v>
      </c>
      <c r="H1801" s="116" t="n">
        <v>0.8</v>
      </c>
      <c r="I1801" s="106" t="n">
        <v>0</v>
      </c>
      <c r="J1801" s="117" t="n">
        <v>0</v>
      </c>
      <c r="K1801" s="108" t="n">
        <v>0.8</v>
      </c>
      <c r="L1801" s="108" t="n">
        <v>0</v>
      </c>
      <c r="M1801" s="117"/>
      <c r="N1801" s="106"/>
      <c r="O1801" s="106"/>
      <c r="P1801" s="106"/>
      <c r="Q1801" s="106"/>
      <c r="R1801" s="106" t="s">
        <v>4537</v>
      </c>
    </row>
    <row r="1802" customFormat="false" ht="15" hidden="false" customHeight="false" outlineLevel="0" collapsed="false">
      <c r="A1802" s="106" t="s">
        <v>6421</v>
      </c>
      <c r="B1802" s="106" t="s">
        <v>4280</v>
      </c>
      <c r="C1802" s="106"/>
      <c r="D1802" s="106"/>
      <c r="E1802" s="107" t="n">
        <v>1</v>
      </c>
      <c r="F1802" s="106" t="n">
        <v>1</v>
      </c>
      <c r="G1802" s="118" t="n">
        <v>1</v>
      </c>
      <c r="H1802" s="116" t="n">
        <v>0.8</v>
      </c>
      <c r="I1802" s="106" t="n">
        <v>0</v>
      </c>
      <c r="J1802" s="117" t="n">
        <v>0</v>
      </c>
      <c r="K1802" s="108" t="n">
        <v>0.8</v>
      </c>
      <c r="L1802" s="108" t="n">
        <v>0</v>
      </c>
      <c r="M1802" s="117"/>
      <c r="N1802" s="106"/>
      <c r="O1802" s="106"/>
      <c r="P1802" s="106"/>
      <c r="Q1802" s="106"/>
      <c r="R1802" s="106" t="s">
        <v>4537</v>
      </c>
    </row>
    <row r="1803" customFormat="false" ht="15" hidden="false" customHeight="false" outlineLevel="0" collapsed="false">
      <c r="A1803" s="106" t="s">
        <v>6422</v>
      </c>
      <c r="B1803" s="106" t="s">
        <v>1403</v>
      </c>
      <c r="C1803" s="106"/>
      <c r="D1803" s="106"/>
      <c r="E1803" s="107" t="n">
        <v>2</v>
      </c>
      <c r="F1803" s="106" t="n">
        <v>1</v>
      </c>
      <c r="G1803" s="118" t="n">
        <v>0.5</v>
      </c>
      <c r="H1803" s="116" t="n">
        <v>0.8</v>
      </c>
      <c r="I1803" s="106" t="n">
        <v>0</v>
      </c>
      <c r="J1803" s="117" t="n">
        <v>0</v>
      </c>
      <c r="K1803" s="108" t="n">
        <v>0.8</v>
      </c>
      <c r="L1803" s="108" t="n">
        <v>0</v>
      </c>
      <c r="M1803" s="117"/>
      <c r="N1803" s="106"/>
      <c r="O1803" s="106"/>
      <c r="P1803" s="106"/>
      <c r="Q1803" s="106"/>
      <c r="R1803" s="106" t="s">
        <v>4537</v>
      </c>
    </row>
    <row r="1804" customFormat="false" ht="15" hidden="false" customHeight="false" outlineLevel="0" collapsed="false">
      <c r="A1804" s="106" t="s">
        <v>6423</v>
      </c>
      <c r="B1804" s="106" t="s">
        <v>4329</v>
      </c>
      <c r="C1804" s="106"/>
      <c r="D1804" s="106" t="n">
        <v>35</v>
      </c>
      <c r="E1804" s="107" t="n">
        <v>7</v>
      </c>
      <c r="F1804" s="106" t="n">
        <v>1</v>
      </c>
      <c r="G1804" s="118" t="n">
        <v>0.1429</v>
      </c>
      <c r="H1804" s="116" t="n">
        <v>0.8</v>
      </c>
      <c r="I1804" s="106" t="n">
        <v>0</v>
      </c>
      <c r="J1804" s="117" t="n">
        <v>0</v>
      </c>
      <c r="K1804" s="108" t="n">
        <v>0.8</v>
      </c>
      <c r="L1804" s="108" t="n">
        <v>0</v>
      </c>
      <c r="M1804" s="117"/>
      <c r="N1804" s="106"/>
      <c r="O1804" s="106"/>
      <c r="P1804" s="106"/>
      <c r="Q1804" s="106"/>
      <c r="R1804" s="106" t="s">
        <v>4537</v>
      </c>
    </row>
    <row r="1805" customFormat="false" ht="15" hidden="false" customHeight="false" outlineLevel="0" collapsed="false">
      <c r="A1805" s="106" t="s">
        <v>6424</v>
      </c>
      <c r="B1805" s="106" t="s">
        <v>4280</v>
      </c>
      <c r="C1805" s="106" t="s">
        <v>4288</v>
      </c>
      <c r="D1805" s="106" t="n">
        <v>535</v>
      </c>
      <c r="E1805" s="107" t="n">
        <v>2</v>
      </c>
      <c r="F1805" s="106" t="n">
        <v>1</v>
      </c>
      <c r="G1805" s="118" t="n">
        <v>0.5</v>
      </c>
      <c r="H1805" s="116" t="n">
        <v>0.8</v>
      </c>
      <c r="I1805" s="106" t="n">
        <v>0</v>
      </c>
      <c r="J1805" s="117" t="n">
        <v>0</v>
      </c>
      <c r="K1805" s="108" t="n">
        <v>0.8</v>
      </c>
      <c r="L1805" s="108" t="n">
        <v>0</v>
      </c>
      <c r="M1805" s="117"/>
      <c r="N1805" s="106"/>
      <c r="O1805" s="106"/>
      <c r="P1805" s="106"/>
      <c r="Q1805" s="106"/>
      <c r="R1805" s="106" t="s">
        <v>4537</v>
      </c>
    </row>
    <row r="1806" customFormat="false" ht="15" hidden="false" customHeight="false" outlineLevel="0" collapsed="false">
      <c r="A1806" s="106" t="s">
        <v>6425</v>
      </c>
      <c r="B1806" s="106" t="s">
        <v>4280</v>
      </c>
      <c r="C1806" s="106"/>
      <c r="D1806" s="106"/>
      <c r="E1806" s="107" t="n">
        <v>1</v>
      </c>
      <c r="F1806" s="106" t="n">
        <v>1</v>
      </c>
      <c r="G1806" s="118" t="n">
        <v>1</v>
      </c>
      <c r="H1806" s="116" t="n">
        <v>0.8</v>
      </c>
      <c r="I1806" s="106" t="n">
        <v>1</v>
      </c>
      <c r="J1806" s="117" t="n">
        <v>1</v>
      </c>
      <c r="K1806" s="108" t="n">
        <v>0.8</v>
      </c>
      <c r="L1806" s="108" t="n">
        <v>64.99</v>
      </c>
      <c r="M1806" s="117" t="n">
        <v>0.012</v>
      </c>
      <c r="N1806" s="106"/>
      <c r="O1806" s="106"/>
      <c r="P1806" s="106"/>
      <c r="Q1806" s="106"/>
      <c r="R1806" s="106" t="s">
        <v>4285</v>
      </c>
    </row>
    <row r="1807" customFormat="false" ht="15" hidden="false" customHeight="false" outlineLevel="0" collapsed="false">
      <c r="A1807" s="106" t="s">
        <v>6426</v>
      </c>
      <c r="B1807" s="106" t="s">
        <v>4280</v>
      </c>
      <c r="C1807" s="106"/>
      <c r="D1807" s="106" t="n">
        <v>21</v>
      </c>
      <c r="E1807" s="107" t="n">
        <v>7</v>
      </c>
      <c r="F1807" s="106" t="n">
        <v>1</v>
      </c>
      <c r="G1807" s="118" t="n">
        <v>0.1429</v>
      </c>
      <c r="H1807" s="116" t="n">
        <v>0.8</v>
      </c>
      <c r="I1807" s="106" t="n">
        <v>0</v>
      </c>
      <c r="J1807" s="117" t="n">
        <v>0</v>
      </c>
      <c r="K1807" s="108" t="n">
        <v>0.8</v>
      </c>
      <c r="L1807" s="108" t="n">
        <v>0</v>
      </c>
      <c r="M1807" s="117"/>
      <c r="N1807" s="106"/>
      <c r="O1807" s="106"/>
      <c r="P1807" s="106"/>
      <c r="Q1807" s="106"/>
      <c r="R1807" s="106" t="s">
        <v>4537</v>
      </c>
    </row>
    <row r="1808" customFormat="false" ht="15" hidden="false" customHeight="false" outlineLevel="0" collapsed="false">
      <c r="A1808" s="106" t="s">
        <v>6427</v>
      </c>
      <c r="B1808" s="106" t="s">
        <v>4280</v>
      </c>
      <c r="C1808" s="106"/>
      <c r="D1808" s="106"/>
      <c r="E1808" s="107" t="n">
        <v>4</v>
      </c>
      <c r="F1808" s="106" t="n">
        <v>1</v>
      </c>
      <c r="G1808" s="118" t="n">
        <v>0.25</v>
      </c>
      <c r="H1808" s="116" t="n">
        <v>0.8</v>
      </c>
      <c r="I1808" s="106" t="n">
        <v>0</v>
      </c>
      <c r="J1808" s="117" t="n">
        <v>0</v>
      </c>
      <c r="K1808" s="108" t="n">
        <v>0.8</v>
      </c>
      <c r="L1808" s="108" t="n">
        <v>0</v>
      </c>
      <c r="M1808" s="117"/>
      <c r="N1808" s="106"/>
      <c r="O1808" s="106"/>
      <c r="P1808" s="106"/>
      <c r="Q1808" s="106"/>
      <c r="R1808" s="106" t="s">
        <v>4537</v>
      </c>
    </row>
    <row r="1809" customFormat="false" ht="15" hidden="false" customHeight="false" outlineLevel="0" collapsed="false">
      <c r="A1809" s="106" t="s">
        <v>6428</v>
      </c>
      <c r="B1809" s="106" t="s">
        <v>4280</v>
      </c>
      <c r="C1809" s="106"/>
      <c r="D1809" s="106" t="n">
        <v>3</v>
      </c>
      <c r="E1809" s="107" t="n">
        <v>1</v>
      </c>
      <c r="F1809" s="106" t="n">
        <v>1</v>
      </c>
      <c r="G1809" s="118" t="n">
        <v>1</v>
      </c>
      <c r="H1809" s="116" t="n">
        <v>0.8</v>
      </c>
      <c r="I1809" s="106" t="n">
        <v>0</v>
      </c>
      <c r="J1809" s="117" t="n">
        <v>0</v>
      </c>
      <c r="K1809" s="108" t="n">
        <v>0.8</v>
      </c>
      <c r="L1809" s="108" t="n">
        <v>0</v>
      </c>
      <c r="M1809" s="117"/>
      <c r="N1809" s="106"/>
      <c r="O1809" s="106"/>
      <c r="P1809" s="106"/>
      <c r="Q1809" s="106"/>
      <c r="R1809" s="106" t="s">
        <v>4537</v>
      </c>
    </row>
    <row r="1810" customFormat="false" ht="15" hidden="false" customHeight="false" outlineLevel="0" collapsed="false">
      <c r="A1810" s="106" t="s">
        <v>6429</v>
      </c>
      <c r="B1810" s="106" t="s">
        <v>4284</v>
      </c>
      <c r="C1810" s="106"/>
      <c r="D1810" s="106" t="n">
        <v>8</v>
      </c>
      <c r="E1810" s="107" t="n">
        <v>1</v>
      </c>
      <c r="F1810" s="106" t="n">
        <v>1</v>
      </c>
      <c r="G1810" s="118" t="n">
        <v>1</v>
      </c>
      <c r="H1810" s="116" t="n">
        <v>0.8</v>
      </c>
      <c r="I1810" s="106" t="n">
        <v>0</v>
      </c>
      <c r="J1810" s="117" t="n">
        <v>0</v>
      </c>
      <c r="K1810" s="108" t="n">
        <v>0.8</v>
      </c>
      <c r="L1810" s="108" t="n">
        <v>0</v>
      </c>
      <c r="M1810" s="117"/>
      <c r="N1810" s="106"/>
      <c r="O1810" s="106"/>
      <c r="P1810" s="106"/>
      <c r="Q1810" s="106"/>
      <c r="R1810" s="106" t="s">
        <v>4537</v>
      </c>
    </row>
    <row r="1811" customFormat="false" ht="15" hidden="false" customHeight="false" outlineLevel="0" collapsed="false">
      <c r="A1811" s="106" t="s">
        <v>6430</v>
      </c>
      <c r="B1811" s="106" t="s">
        <v>4284</v>
      </c>
      <c r="C1811" s="106"/>
      <c r="D1811" s="106"/>
      <c r="E1811" s="107" t="n">
        <v>2</v>
      </c>
      <c r="F1811" s="106" t="n">
        <v>1</v>
      </c>
      <c r="G1811" s="118" t="n">
        <v>0.5</v>
      </c>
      <c r="H1811" s="116" t="n">
        <v>0.8</v>
      </c>
      <c r="I1811" s="106" t="n">
        <v>0</v>
      </c>
      <c r="J1811" s="117" t="n">
        <v>0</v>
      </c>
      <c r="K1811" s="108" t="n">
        <v>0.8</v>
      </c>
      <c r="L1811" s="108" t="n">
        <v>0</v>
      </c>
      <c r="M1811" s="117"/>
      <c r="N1811" s="106"/>
      <c r="O1811" s="106"/>
      <c r="P1811" s="106"/>
      <c r="Q1811" s="106"/>
      <c r="R1811" s="106" t="s">
        <v>4537</v>
      </c>
    </row>
    <row r="1812" customFormat="false" ht="15" hidden="false" customHeight="false" outlineLevel="0" collapsed="false">
      <c r="A1812" s="106" t="s">
        <v>6431</v>
      </c>
      <c r="B1812" s="106" t="s">
        <v>4284</v>
      </c>
      <c r="C1812" s="106"/>
      <c r="D1812" s="106" t="n">
        <v>12</v>
      </c>
      <c r="E1812" s="107" t="n">
        <v>1</v>
      </c>
      <c r="F1812" s="106" t="n">
        <v>1</v>
      </c>
      <c r="G1812" s="118" t="n">
        <v>1</v>
      </c>
      <c r="H1812" s="116" t="n">
        <v>0.8</v>
      </c>
      <c r="I1812" s="106" t="n">
        <v>0</v>
      </c>
      <c r="J1812" s="117" t="n">
        <v>0</v>
      </c>
      <c r="K1812" s="108" t="n">
        <v>0.8</v>
      </c>
      <c r="L1812" s="108" t="n">
        <v>0</v>
      </c>
      <c r="M1812" s="117"/>
      <c r="N1812" s="106"/>
      <c r="O1812" s="106"/>
      <c r="P1812" s="106"/>
      <c r="Q1812" s="106"/>
      <c r="R1812" s="106" t="s">
        <v>4537</v>
      </c>
    </row>
    <row r="1813" customFormat="false" ht="15" hidden="false" customHeight="false" outlineLevel="0" collapsed="false">
      <c r="A1813" s="106" t="s">
        <v>6432</v>
      </c>
      <c r="B1813" s="106" t="s">
        <v>4284</v>
      </c>
      <c r="C1813" s="106"/>
      <c r="D1813" s="106" t="n">
        <v>1</v>
      </c>
      <c r="E1813" s="107" t="n">
        <v>1</v>
      </c>
      <c r="F1813" s="106" t="n">
        <v>1</v>
      </c>
      <c r="G1813" s="118" t="n">
        <v>1</v>
      </c>
      <c r="H1813" s="116" t="n">
        <v>0.8</v>
      </c>
      <c r="I1813" s="106" t="n">
        <v>0</v>
      </c>
      <c r="J1813" s="117" t="n">
        <v>0</v>
      </c>
      <c r="K1813" s="108" t="n">
        <v>0.8</v>
      </c>
      <c r="L1813" s="108" t="n">
        <v>0</v>
      </c>
      <c r="M1813" s="117"/>
      <c r="N1813" s="106"/>
      <c r="O1813" s="106"/>
      <c r="P1813" s="106"/>
      <c r="Q1813" s="106"/>
      <c r="R1813" s="106" t="s">
        <v>4537</v>
      </c>
    </row>
    <row r="1814" customFormat="false" ht="15" hidden="false" customHeight="false" outlineLevel="0" collapsed="false">
      <c r="A1814" s="106" t="s">
        <v>6433</v>
      </c>
      <c r="B1814" s="106" t="s">
        <v>4280</v>
      </c>
      <c r="C1814" s="106"/>
      <c r="D1814" s="106" t="n">
        <v>2</v>
      </c>
      <c r="E1814" s="107" t="n">
        <v>1</v>
      </c>
      <c r="F1814" s="106" t="n">
        <v>1</v>
      </c>
      <c r="G1814" s="118" t="n">
        <v>1</v>
      </c>
      <c r="H1814" s="116" t="n">
        <v>0.8</v>
      </c>
      <c r="I1814" s="106" t="n">
        <v>0</v>
      </c>
      <c r="J1814" s="117" t="n">
        <v>0</v>
      </c>
      <c r="K1814" s="108" t="n">
        <v>0.8</v>
      </c>
      <c r="L1814" s="108" t="n">
        <v>0</v>
      </c>
      <c r="M1814" s="117"/>
      <c r="N1814" s="106"/>
      <c r="O1814" s="106"/>
      <c r="P1814" s="106"/>
      <c r="Q1814" s="106"/>
      <c r="R1814" s="106" t="s">
        <v>4537</v>
      </c>
    </row>
    <row r="1815" customFormat="false" ht="15" hidden="false" customHeight="false" outlineLevel="0" collapsed="false">
      <c r="A1815" s="106" t="s">
        <v>6434</v>
      </c>
      <c r="B1815" s="106" t="s">
        <v>4280</v>
      </c>
      <c r="C1815" s="106"/>
      <c r="D1815" s="106" t="n">
        <v>18</v>
      </c>
      <c r="E1815" s="107" t="n">
        <v>2</v>
      </c>
      <c r="F1815" s="106" t="n">
        <v>1</v>
      </c>
      <c r="G1815" s="118" t="n">
        <v>0.5</v>
      </c>
      <c r="H1815" s="116" t="n">
        <v>0.8</v>
      </c>
      <c r="I1815" s="106" t="n">
        <v>0</v>
      </c>
      <c r="J1815" s="117" t="n">
        <v>0</v>
      </c>
      <c r="K1815" s="108" t="n">
        <v>0.8</v>
      </c>
      <c r="L1815" s="108" t="n">
        <v>0</v>
      </c>
      <c r="M1815" s="117"/>
      <c r="N1815" s="106"/>
      <c r="O1815" s="106"/>
      <c r="P1815" s="106"/>
      <c r="Q1815" s="106"/>
      <c r="R1815" s="106" t="s">
        <v>4537</v>
      </c>
    </row>
    <row r="1816" customFormat="false" ht="15" hidden="false" customHeight="false" outlineLevel="0" collapsed="false">
      <c r="A1816" s="106" t="s">
        <v>6435</v>
      </c>
      <c r="B1816" s="106" t="s">
        <v>4280</v>
      </c>
      <c r="C1816" s="106"/>
      <c r="D1816" s="106"/>
      <c r="E1816" s="107" t="n">
        <v>2</v>
      </c>
      <c r="F1816" s="106" t="n">
        <v>1</v>
      </c>
      <c r="G1816" s="118" t="n">
        <v>0.5</v>
      </c>
      <c r="H1816" s="116" t="n">
        <v>0.8</v>
      </c>
      <c r="I1816" s="106" t="n">
        <v>0</v>
      </c>
      <c r="J1816" s="117" t="n">
        <v>0</v>
      </c>
      <c r="K1816" s="108" t="n">
        <v>0.8</v>
      </c>
      <c r="L1816" s="108" t="n">
        <v>0</v>
      </c>
      <c r="M1816" s="117"/>
      <c r="N1816" s="106"/>
      <c r="O1816" s="106"/>
      <c r="P1816" s="106"/>
      <c r="Q1816" s="106"/>
      <c r="R1816" s="106" t="s">
        <v>4537</v>
      </c>
    </row>
    <row r="1817" customFormat="false" ht="15" hidden="false" customHeight="false" outlineLevel="0" collapsed="false">
      <c r="A1817" s="106" t="s">
        <v>6436</v>
      </c>
      <c r="B1817" s="106" t="s">
        <v>4280</v>
      </c>
      <c r="C1817" s="106"/>
      <c r="D1817" s="106" t="n">
        <v>13</v>
      </c>
      <c r="E1817" s="107" t="n">
        <v>3</v>
      </c>
      <c r="F1817" s="106" t="n">
        <v>1</v>
      </c>
      <c r="G1817" s="118" t="n">
        <v>0.3333</v>
      </c>
      <c r="H1817" s="116" t="n">
        <v>0.8</v>
      </c>
      <c r="I1817" s="106" t="n">
        <v>0</v>
      </c>
      <c r="J1817" s="117" t="n">
        <v>0</v>
      </c>
      <c r="K1817" s="108" t="n">
        <v>0.8</v>
      </c>
      <c r="L1817" s="108" t="n">
        <v>0</v>
      </c>
      <c r="M1817" s="117"/>
      <c r="N1817" s="106"/>
      <c r="O1817" s="106"/>
      <c r="P1817" s="106"/>
      <c r="Q1817" s="106"/>
      <c r="R1817" s="106" t="s">
        <v>4537</v>
      </c>
    </row>
    <row r="1818" customFormat="false" ht="15" hidden="false" customHeight="false" outlineLevel="0" collapsed="false">
      <c r="A1818" s="106" t="s">
        <v>6437</v>
      </c>
      <c r="B1818" s="106" t="s">
        <v>4329</v>
      </c>
      <c r="C1818" s="106"/>
      <c r="D1818" s="106"/>
      <c r="E1818" s="107" t="n">
        <v>5</v>
      </c>
      <c r="F1818" s="106" t="n">
        <v>1</v>
      </c>
      <c r="G1818" s="118" t="n">
        <v>0.2</v>
      </c>
      <c r="H1818" s="116" t="n">
        <v>0.8</v>
      </c>
      <c r="I1818" s="106" t="n">
        <v>0</v>
      </c>
      <c r="J1818" s="117" t="n">
        <v>0</v>
      </c>
      <c r="K1818" s="108" t="n">
        <v>0.8</v>
      </c>
      <c r="L1818" s="108" t="n">
        <v>0</v>
      </c>
      <c r="M1818" s="117"/>
      <c r="N1818" s="106"/>
      <c r="O1818" s="106"/>
      <c r="P1818" s="106"/>
      <c r="Q1818" s="106"/>
      <c r="R1818" s="106" t="s">
        <v>4537</v>
      </c>
    </row>
    <row r="1819" customFormat="false" ht="15" hidden="false" customHeight="false" outlineLevel="0" collapsed="false">
      <c r="A1819" s="106" t="s">
        <v>6438</v>
      </c>
      <c r="B1819" s="106" t="s">
        <v>4329</v>
      </c>
      <c r="C1819" s="106"/>
      <c r="D1819" s="106" t="n">
        <v>13</v>
      </c>
      <c r="E1819" s="107" t="n">
        <v>1</v>
      </c>
      <c r="F1819" s="106" t="n">
        <v>1</v>
      </c>
      <c r="G1819" s="118" t="n">
        <v>1</v>
      </c>
      <c r="H1819" s="116" t="n">
        <v>0.8</v>
      </c>
      <c r="I1819" s="106" t="n">
        <v>0</v>
      </c>
      <c r="J1819" s="117" t="n">
        <v>0</v>
      </c>
      <c r="K1819" s="108" t="n">
        <v>0.8</v>
      </c>
      <c r="L1819" s="108" t="n">
        <v>0</v>
      </c>
      <c r="M1819" s="117"/>
      <c r="N1819" s="106"/>
      <c r="O1819" s="106"/>
      <c r="P1819" s="106"/>
      <c r="Q1819" s="106"/>
      <c r="R1819" s="106" t="s">
        <v>4537</v>
      </c>
    </row>
    <row r="1820" customFormat="false" ht="15" hidden="false" customHeight="false" outlineLevel="0" collapsed="false">
      <c r="A1820" s="106" t="s">
        <v>6439</v>
      </c>
      <c r="B1820" s="106" t="s">
        <v>4329</v>
      </c>
      <c r="C1820" s="106"/>
      <c r="D1820" s="106" t="n">
        <v>486</v>
      </c>
      <c r="E1820" s="107" t="n">
        <v>2</v>
      </c>
      <c r="F1820" s="106" t="n">
        <v>1</v>
      </c>
      <c r="G1820" s="118" t="n">
        <v>0.5</v>
      </c>
      <c r="H1820" s="116" t="n">
        <v>0.8</v>
      </c>
      <c r="I1820" s="106" t="n">
        <v>0</v>
      </c>
      <c r="J1820" s="117" t="n">
        <v>0</v>
      </c>
      <c r="K1820" s="108" t="n">
        <v>0.8</v>
      </c>
      <c r="L1820" s="108" t="n">
        <v>0</v>
      </c>
      <c r="M1820" s="117"/>
      <c r="N1820" s="106"/>
      <c r="O1820" s="106"/>
      <c r="P1820" s="106"/>
      <c r="Q1820" s="106"/>
      <c r="R1820" s="106" t="s">
        <v>4537</v>
      </c>
    </row>
    <row r="1821" customFormat="false" ht="15" hidden="false" customHeight="false" outlineLevel="0" collapsed="false">
      <c r="A1821" s="106" t="s">
        <v>6440</v>
      </c>
      <c r="B1821" s="106" t="s">
        <v>4280</v>
      </c>
      <c r="C1821" s="106"/>
      <c r="D1821" s="106" t="n">
        <v>2</v>
      </c>
      <c r="E1821" s="107" t="n">
        <v>1</v>
      </c>
      <c r="F1821" s="106" t="n">
        <v>1</v>
      </c>
      <c r="G1821" s="118" t="n">
        <v>1</v>
      </c>
      <c r="H1821" s="116" t="n">
        <v>0.8</v>
      </c>
      <c r="I1821" s="106" t="n">
        <v>0</v>
      </c>
      <c r="J1821" s="117" t="n">
        <v>0</v>
      </c>
      <c r="K1821" s="108" t="n">
        <v>0.8</v>
      </c>
      <c r="L1821" s="108" t="n">
        <v>0</v>
      </c>
      <c r="M1821" s="117"/>
      <c r="N1821" s="106"/>
      <c r="O1821" s="106"/>
      <c r="P1821" s="106"/>
      <c r="Q1821" s="106"/>
      <c r="R1821" s="106" t="s">
        <v>4537</v>
      </c>
    </row>
    <row r="1822" customFormat="false" ht="15" hidden="false" customHeight="false" outlineLevel="0" collapsed="false">
      <c r="A1822" s="106" t="s">
        <v>6441</v>
      </c>
      <c r="B1822" s="106" t="s">
        <v>4280</v>
      </c>
      <c r="C1822" s="106"/>
      <c r="D1822" s="106"/>
      <c r="E1822" s="107" t="n">
        <v>1</v>
      </c>
      <c r="F1822" s="106" t="n">
        <v>1</v>
      </c>
      <c r="G1822" s="118" t="n">
        <v>1</v>
      </c>
      <c r="H1822" s="116" t="n">
        <v>0.8</v>
      </c>
      <c r="I1822" s="106" t="n">
        <v>0</v>
      </c>
      <c r="J1822" s="117" t="n">
        <v>0</v>
      </c>
      <c r="K1822" s="108" t="n">
        <v>0.8</v>
      </c>
      <c r="L1822" s="108" t="n">
        <v>0</v>
      </c>
      <c r="M1822" s="117"/>
      <c r="N1822" s="106"/>
      <c r="O1822" s="106"/>
      <c r="P1822" s="106"/>
      <c r="Q1822" s="106"/>
      <c r="R1822" s="106" t="s">
        <v>4537</v>
      </c>
    </row>
    <row r="1823" customFormat="false" ht="15" hidden="false" customHeight="false" outlineLevel="0" collapsed="false">
      <c r="A1823" s="106" t="s">
        <v>6442</v>
      </c>
      <c r="B1823" s="106" t="s">
        <v>4280</v>
      </c>
      <c r="C1823" s="106"/>
      <c r="D1823" s="106" t="n">
        <v>7</v>
      </c>
      <c r="E1823" s="107" t="n">
        <v>2</v>
      </c>
      <c r="F1823" s="106" t="n">
        <v>1</v>
      </c>
      <c r="G1823" s="118" t="n">
        <v>0.5</v>
      </c>
      <c r="H1823" s="116" t="n">
        <v>0.8</v>
      </c>
      <c r="I1823" s="106" t="n">
        <v>0</v>
      </c>
      <c r="J1823" s="117" t="n">
        <v>0</v>
      </c>
      <c r="K1823" s="108" t="n">
        <v>0.8</v>
      </c>
      <c r="L1823" s="108" t="n">
        <v>0</v>
      </c>
      <c r="M1823" s="117"/>
      <c r="N1823" s="106"/>
      <c r="O1823" s="106"/>
      <c r="P1823" s="106"/>
      <c r="Q1823" s="106"/>
      <c r="R1823" s="106" t="s">
        <v>4537</v>
      </c>
    </row>
    <row r="1824" customFormat="false" ht="15" hidden="false" customHeight="false" outlineLevel="0" collapsed="false">
      <c r="A1824" s="106" t="s">
        <v>6443</v>
      </c>
      <c r="B1824" s="106" t="s">
        <v>4329</v>
      </c>
      <c r="C1824" s="106"/>
      <c r="D1824" s="106" t="n">
        <v>35</v>
      </c>
      <c r="E1824" s="107" t="n">
        <v>2</v>
      </c>
      <c r="F1824" s="106" t="n">
        <v>1</v>
      </c>
      <c r="G1824" s="118" t="n">
        <v>0.5</v>
      </c>
      <c r="H1824" s="116" t="n">
        <v>0.8</v>
      </c>
      <c r="I1824" s="106" t="n">
        <v>0</v>
      </c>
      <c r="J1824" s="117" t="n">
        <v>0</v>
      </c>
      <c r="K1824" s="108" t="n">
        <v>0.8</v>
      </c>
      <c r="L1824" s="108" t="n">
        <v>0</v>
      </c>
      <c r="M1824" s="117"/>
      <c r="N1824" s="106"/>
      <c r="O1824" s="106"/>
      <c r="P1824" s="106"/>
      <c r="Q1824" s="106"/>
      <c r="R1824" s="106" t="s">
        <v>4537</v>
      </c>
    </row>
    <row r="1825" customFormat="false" ht="15" hidden="false" customHeight="false" outlineLevel="0" collapsed="false">
      <c r="A1825" s="106" t="s">
        <v>6444</v>
      </c>
      <c r="B1825" s="106" t="s">
        <v>4280</v>
      </c>
      <c r="C1825" s="106"/>
      <c r="D1825" s="106" t="n">
        <v>10</v>
      </c>
      <c r="E1825" s="107" t="n">
        <v>1</v>
      </c>
      <c r="F1825" s="106" t="n">
        <v>1</v>
      </c>
      <c r="G1825" s="118" t="n">
        <v>1</v>
      </c>
      <c r="H1825" s="116" t="n">
        <v>0.8</v>
      </c>
      <c r="I1825" s="106" t="n">
        <v>0</v>
      </c>
      <c r="J1825" s="117" t="n">
        <v>0</v>
      </c>
      <c r="K1825" s="108" t="n">
        <v>0.8</v>
      </c>
      <c r="L1825" s="108" t="n">
        <v>0</v>
      </c>
      <c r="M1825" s="117"/>
      <c r="N1825" s="106"/>
      <c r="O1825" s="106"/>
      <c r="P1825" s="106"/>
      <c r="Q1825" s="106"/>
      <c r="R1825" s="106" t="s">
        <v>4537</v>
      </c>
    </row>
    <row r="1826" customFormat="false" ht="15" hidden="false" customHeight="false" outlineLevel="0" collapsed="false">
      <c r="A1826" s="106" t="s">
        <v>6445</v>
      </c>
      <c r="B1826" s="106" t="s">
        <v>4284</v>
      </c>
      <c r="C1826" s="106"/>
      <c r="D1826" s="106" t="n">
        <v>4</v>
      </c>
      <c r="E1826" s="107" t="n">
        <v>1</v>
      </c>
      <c r="F1826" s="106" t="n">
        <v>1</v>
      </c>
      <c r="G1826" s="118" t="n">
        <v>1</v>
      </c>
      <c r="H1826" s="116" t="n">
        <v>0.8</v>
      </c>
      <c r="I1826" s="106" t="n">
        <v>0</v>
      </c>
      <c r="J1826" s="117" t="n">
        <v>0</v>
      </c>
      <c r="K1826" s="108" t="n">
        <v>0.8</v>
      </c>
      <c r="L1826" s="108" t="n">
        <v>0</v>
      </c>
      <c r="M1826" s="117"/>
      <c r="N1826" s="106"/>
      <c r="O1826" s="106"/>
      <c r="P1826" s="106"/>
      <c r="Q1826" s="106"/>
      <c r="R1826" s="106" t="s">
        <v>4537</v>
      </c>
    </row>
    <row r="1827" customFormat="false" ht="15" hidden="false" customHeight="false" outlineLevel="0" collapsed="false">
      <c r="A1827" s="106" t="s">
        <v>6446</v>
      </c>
      <c r="B1827" s="106" t="s">
        <v>4280</v>
      </c>
      <c r="C1827" s="106"/>
      <c r="D1827" s="106" t="n">
        <v>8</v>
      </c>
      <c r="E1827" s="107" t="n">
        <v>1</v>
      </c>
      <c r="F1827" s="106" t="n">
        <v>1</v>
      </c>
      <c r="G1827" s="118" t="n">
        <v>1</v>
      </c>
      <c r="H1827" s="116" t="n">
        <v>0.8</v>
      </c>
      <c r="I1827" s="106" t="n">
        <v>0</v>
      </c>
      <c r="J1827" s="117" t="n">
        <v>0</v>
      </c>
      <c r="K1827" s="108" t="n">
        <v>0.8</v>
      </c>
      <c r="L1827" s="108" t="n">
        <v>0</v>
      </c>
      <c r="M1827" s="117"/>
      <c r="N1827" s="106"/>
      <c r="O1827" s="106"/>
      <c r="P1827" s="106"/>
      <c r="Q1827" s="106"/>
      <c r="R1827" s="106" t="s">
        <v>4537</v>
      </c>
    </row>
    <row r="1828" customFormat="false" ht="15" hidden="false" customHeight="false" outlineLevel="0" collapsed="false">
      <c r="A1828" s="106" t="s">
        <v>6447</v>
      </c>
      <c r="B1828" s="106" t="s">
        <v>4284</v>
      </c>
      <c r="C1828" s="106"/>
      <c r="D1828" s="106"/>
      <c r="E1828" s="107" t="n">
        <v>3</v>
      </c>
      <c r="F1828" s="106" t="n">
        <v>1</v>
      </c>
      <c r="G1828" s="118" t="n">
        <v>0.3333</v>
      </c>
      <c r="H1828" s="116" t="n">
        <v>0.8</v>
      </c>
      <c r="I1828" s="106" t="n">
        <v>0</v>
      </c>
      <c r="J1828" s="117" t="n">
        <v>0</v>
      </c>
      <c r="K1828" s="108" t="n">
        <v>0.8</v>
      </c>
      <c r="L1828" s="108" t="n">
        <v>0</v>
      </c>
      <c r="M1828" s="117"/>
      <c r="N1828" s="106"/>
      <c r="O1828" s="106"/>
      <c r="P1828" s="106"/>
      <c r="Q1828" s="106"/>
      <c r="R1828" s="106" t="s">
        <v>4537</v>
      </c>
    </row>
    <row r="1829" customFormat="false" ht="15" hidden="false" customHeight="false" outlineLevel="0" collapsed="false">
      <c r="A1829" s="106" t="s">
        <v>6448</v>
      </c>
      <c r="B1829" s="106" t="s">
        <v>4284</v>
      </c>
      <c r="C1829" s="106"/>
      <c r="D1829" s="106"/>
      <c r="E1829" s="107" t="n">
        <v>2</v>
      </c>
      <c r="F1829" s="106" t="n">
        <v>1</v>
      </c>
      <c r="G1829" s="118" t="n">
        <v>0.5</v>
      </c>
      <c r="H1829" s="116" t="n">
        <v>0.8</v>
      </c>
      <c r="I1829" s="106" t="n">
        <v>0</v>
      </c>
      <c r="J1829" s="117" t="n">
        <v>0</v>
      </c>
      <c r="K1829" s="108" t="n">
        <v>0.8</v>
      </c>
      <c r="L1829" s="108" t="n">
        <v>0</v>
      </c>
      <c r="M1829" s="117"/>
      <c r="N1829" s="106"/>
      <c r="O1829" s="106"/>
      <c r="P1829" s="106"/>
      <c r="Q1829" s="106"/>
      <c r="R1829" s="106" t="s">
        <v>4537</v>
      </c>
    </row>
    <row r="1830" customFormat="false" ht="15" hidden="false" customHeight="false" outlineLevel="0" collapsed="false">
      <c r="A1830" s="106" t="s">
        <v>6449</v>
      </c>
      <c r="B1830" s="106" t="s">
        <v>4280</v>
      </c>
      <c r="C1830" s="106"/>
      <c r="D1830" s="106"/>
      <c r="E1830" s="107" t="n">
        <v>1</v>
      </c>
      <c r="F1830" s="106" t="n">
        <v>1</v>
      </c>
      <c r="G1830" s="118" t="n">
        <v>1</v>
      </c>
      <c r="H1830" s="116" t="n">
        <v>0.8</v>
      </c>
      <c r="I1830" s="106" t="n">
        <v>0</v>
      </c>
      <c r="J1830" s="117" t="n">
        <v>0</v>
      </c>
      <c r="K1830" s="108" t="n">
        <v>0.8</v>
      </c>
      <c r="L1830" s="108" t="n">
        <v>0</v>
      </c>
      <c r="M1830" s="117"/>
      <c r="N1830" s="106"/>
      <c r="O1830" s="106"/>
      <c r="P1830" s="106"/>
      <c r="Q1830" s="106"/>
      <c r="R1830" s="106" t="s">
        <v>4537</v>
      </c>
    </row>
    <row r="1831" customFormat="false" ht="15" hidden="false" customHeight="false" outlineLevel="0" collapsed="false">
      <c r="A1831" s="106" t="s">
        <v>6450</v>
      </c>
      <c r="B1831" s="106" t="s">
        <v>1403</v>
      </c>
      <c r="C1831" s="106"/>
      <c r="D1831" s="106" t="n">
        <v>667</v>
      </c>
      <c r="E1831" s="107" t="n">
        <v>6</v>
      </c>
      <c r="F1831" s="106" t="n">
        <v>1</v>
      </c>
      <c r="G1831" s="118" t="n">
        <v>0.1667</v>
      </c>
      <c r="H1831" s="116" t="n">
        <v>0.8</v>
      </c>
      <c r="I1831" s="106" t="n">
        <v>0</v>
      </c>
      <c r="J1831" s="117" t="n">
        <v>0</v>
      </c>
      <c r="K1831" s="108" t="n">
        <v>0.8</v>
      </c>
      <c r="L1831" s="108" t="n">
        <v>0</v>
      </c>
      <c r="M1831" s="117"/>
      <c r="N1831" s="106"/>
      <c r="O1831" s="106"/>
      <c r="P1831" s="106"/>
      <c r="Q1831" s="106"/>
      <c r="R1831" s="106" t="s">
        <v>4537</v>
      </c>
    </row>
    <row r="1832" customFormat="false" ht="15" hidden="false" customHeight="false" outlineLevel="0" collapsed="false">
      <c r="A1832" s="106" t="s">
        <v>6451</v>
      </c>
      <c r="B1832" s="106" t="s">
        <v>4329</v>
      </c>
      <c r="C1832" s="106"/>
      <c r="D1832" s="106"/>
      <c r="E1832" s="107" t="n">
        <v>2</v>
      </c>
      <c r="F1832" s="106" t="n">
        <v>1</v>
      </c>
      <c r="G1832" s="118" t="n">
        <v>0.5</v>
      </c>
      <c r="H1832" s="116" t="n">
        <v>0.8</v>
      </c>
      <c r="I1832" s="106" t="n">
        <v>0</v>
      </c>
      <c r="J1832" s="117" t="n">
        <v>0</v>
      </c>
      <c r="K1832" s="108" t="n">
        <v>0.8</v>
      </c>
      <c r="L1832" s="108" t="n">
        <v>0</v>
      </c>
      <c r="M1832" s="117"/>
      <c r="N1832" s="106"/>
      <c r="O1832" s="106"/>
      <c r="P1832" s="106"/>
      <c r="Q1832" s="106"/>
      <c r="R1832" s="106" t="s">
        <v>4537</v>
      </c>
    </row>
    <row r="1833" customFormat="false" ht="15" hidden="false" customHeight="false" outlineLevel="0" collapsed="false">
      <c r="A1833" s="106" t="s">
        <v>6452</v>
      </c>
      <c r="B1833" s="106" t="s">
        <v>4329</v>
      </c>
      <c r="C1833" s="106"/>
      <c r="D1833" s="106" t="n">
        <v>4</v>
      </c>
      <c r="E1833" s="107" t="n">
        <v>2</v>
      </c>
      <c r="F1833" s="106" t="n">
        <v>1</v>
      </c>
      <c r="G1833" s="118" t="n">
        <v>0.5</v>
      </c>
      <c r="H1833" s="116" t="n">
        <v>0.8</v>
      </c>
      <c r="I1833" s="106" t="n">
        <v>0</v>
      </c>
      <c r="J1833" s="117" t="n">
        <v>0</v>
      </c>
      <c r="K1833" s="108" t="n">
        <v>0.8</v>
      </c>
      <c r="L1833" s="108" t="n">
        <v>0</v>
      </c>
      <c r="M1833" s="117"/>
      <c r="N1833" s="106"/>
      <c r="O1833" s="106"/>
      <c r="P1833" s="106"/>
      <c r="Q1833" s="106"/>
      <c r="R1833" s="106" t="s">
        <v>4537</v>
      </c>
    </row>
    <row r="1834" customFormat="false" ht="15" hidden="false" customHeight="false" outlineLevel="0" collapsed="false">
      <c r="A1834" s="106" t="s">
        <v>6453</v>
      </c>
      <c r="B1834" s="106" t="s">
        <v>4284</v>
      </c>
      <c r="C1834" s="106"/>
      <c r="D1834" s="106"/>
      <c r="E1834" s="107" t="n">
        <v>2</v>
      </c>
      <c r="F1834" s="106" t="n">
        <v>1</v>
      </c>
      <c r="G1834" s="118" t="n">
        <v>0.5</v>
      </c>
      <c r="H1834" s="116" t="n">
        <v>0.8</v>
      </c>
      <c r="I1834" s="106" t="n">
        <v>0</v>
      </c>
      <c r="J1834" s="117" t="n">
        <v>0</v>
      </c>
      <c r="K1834" s="108" t="n">
        <v>0.8</v>
      </c>
      <c r="L1834" s="108" t="n">
        <v>0</v>
      </c>
      <c r="M1834" s="117"/>
      <c r="N1834" s="106"/>
      <c r="O1834" s="106"/>
      <c r="P1834" s="106"/>
      <c r="Q1834" s="106"/>
      <c r="R1834" s="106" t="s">
        <v>4537</v>
      </c>
    </row>
    <row r="1835" customFormat="false" ht="15" hidden="false" customHeight="false" outlineLevel="0" collapsed="false">
      <c r="A1835" s="106" t="s">
        <v>6454</v>
      </c>
      <c r="B1835" s="106" t="s">
        <v>4280</v>
      </c>
      <c r="C1835" s="106"/>
      <c r="D1835" s="106" t="n">
        <v>3</v>
      </c>
      <c r="E1835" s="107" t="n">
        <v>1</v>
      </c>
      <c r="F1835" s="106" t="n">
        <v>1</v>
      </c>
      <c r="G1835" s="118" t="n">
        <v>1</v>
      </c>
      <c r="H1835" s="116" t="n">
        <v>0.8</v>
      </c>
      <c r="I1835" s="106" t="n">
        <v>0</v>
      </c>
      <c r="J1835" s="117" t="n">
        <v>0</v>
      </c>
      <c r="K1835" s="108" t="n">
        <v>0.8</v>
      </c>
      <c r="L1835" s="108" t="n">
        <v>0</v>
      </c>
      <c r="M1835" s="117"/>
      <c r="N1835" s="106"/>
      <c r="O1835" s="106"/>
      <c r="P1835" s="106"/>
      <c r="Q1835" s="106"/>
      <c r="R1835" s="106" t="s">
        <v>4537</v>
      </c>
    </row>
    <row r="1836" customFormat="false" ht="15" hidden="false" customHeight="false" outlineLevel="0" collapsed="false">
      <c r="A1836" s="106" t="s">
        <v>6455</v>
      </c>
      <c r="B1836" s="106" t="s">
        <v>4284</v>
      </c>
      <c r="C1836" s="106"/>
      <c r="D1836" s="106" t="n">
        <v>151</v>
      </c>
      <c r="E1836" s="107" t="n">
        <v>1</v>
      </c>
      <c r="F1836" s="106" t="n">
        <v>1</v>
      </c>
      <c r="G1836" s="118" t="n">
        <v>1</v>
      </c>
      <c r="H1836" s="116" t="n">
        <v>0.8</v>
      </c>
      <c r="I1836" s="106" t="n">
        <v>0</v>
      </c>
      <c r="J1836" s="117" t="n">
        <v>0</v>
      </c>
      <c r="K1836" s="108" t="n">
        <v>0.8</v>
      </c>
      <c r="L1836" s="108" t="n">
        <v>0</v>
      </c>
      <c r="M1836" s="117"/>
      <c r="N1836" s="106"/>
      <c r="O1836" s="106"/>
      <c r="P1836" s="106"/>
      <c r="Q1836" s="106"/>
      <c r="R1836" s="106" t="s">
        <v>4537</v>
      </c>
    </row>
    <row r="1837" customFormat="false" ht="15" hidden="false" customHeight="false" outlineLevel="0" collapsed="false">
      <c r="A1837" s="106" t="s">
        <v>6456</v>
      </c>
      <c r="B1837" s="106" t="s">
        <v>4280</v>
      </c>
      <c r="C1837" s="106"/>
      <c r="D1837" s="106"/>
      <c r="E1837" s="107" t="n">
        <v>4</v>
      </c>
      <c r="F1837" s="106" t="n">
        <v>1</v>
      </c>
      <c r="G1837" s="118" t="n">
        <v>0.25</v>
      </c>
      <c r="H1837" s="116" t="n">
        <v>0.8</v>
      </c>
      <c r="I1837" s="106" t="n">
        <v>0</v>
      </c>
      <c r="J1837" s="117" t="n">
        <v>0</v>
      </c>
      <c r="K1837" s="108" t="n">
        <v>0.8</v>
      </c>
      <c r="L1837" s="108" t="n">
        <v>0</v>
      </c>
      <c r="M1837" s="117"/>
      <c r="N1837" s="106"/>
      <c r="O1837" s="106"/>
      <c r="P1837" s="106"/>
      <c r="Q1837" s="106"/>
      <c r="R1837" s="106" t="s">
        <v>4537</v>
      </c>
    </row>
    <row r="1838" customFormat="false" ht="15" hidden="false" customHeight="false" outlineLevel="0" collapsed="false">
      <c r="A1838" s="106" t="s">
        <v>6457</v>
      </c>
      <c r="B1838" s="106" t="s">
        <v>4329</v>
      </c>
      <c r="C1838" s="106"/>
      <c r="D1838" s="106"/>
      <c r="E1838" s="107" t="n">
        <v>2</v>
      </c>
      <c r="F1838" s="106" t="n">
        <v>1</v>
      </c>
      <c r="G1838" s="118" t="n">
        <v>0.5</v>
      </c>
      <c r="H1838" s="116" t="n">
        <v>0.8</v>
      </c>
      <c r="I1838" s="106" t="n">
        <v>0</v>
      </c>
      <c r="J1838" s="117" t="n">
        <v>0</v>
      </c>
      <c r="K1838" s="108" t="n">
        <v>0.8</v>
      </c>
      <c r="L1838" s="108" t="n">
        <v>0</v>
      </c>
      <c r="M1838" s="117"/>
      <c r="N1838" s="106"/>
      <c r="O1838" s="106"/>
      <c r="P1838" s="106"/>
      <c r="Q1838" s="106"/>
      <c r="R1838" s="106" t="s">
        <v>4537</v>
      </c>
    </row>
    <row r="1839" customFormat="false" ht="15" hidden="false" customHeight="false" outlineLevel="0" collapsed="false">
      <c r="A1839" s="106" t="s">
        <v>6458</v>
      </c>
      <c r="B1839" s="106" t="s">
        <v>4329</v>
      </c>
      <c r="C1839" s="106"/>
      <c r="D1839" s="106" t="n">
        <v>39</v>
      </c>
      <c r="E1839" s="107" t="n">
        <v>1</v>
      </c>
      <c r="F1839" s="106" t="n">
        <v>1</v>
      </c>
      <c r="G1839" s="118" t="n">
        <v>1</v>
      </c>
      <c r="H1839" s="116" t="n">
        <v>0.8</v>
      </c>
      <c r="I1839" s="106" t="n">
        <v>0</v>
      </c>
      <c r="J1839" s="117" t="n">
        <v>0</v>
      </c>
      <c r="K1839" s="108" t="n">
        <v>0.8</v>
      </c>
      <c r="L1839" s="108" t="n">
        <v>0</v>
      </c>
      <c r="M1839" s="117"/>
      <c r="N1839" s="106"/>
      <c r="O1839" s="106"/>
      <c r="P1839" s="106"/>
      <c r="Q1839" s="106"/>
      <c r="R1839" s="106" t="s">
        <v>4537</v>
      </c>
    </row>
    <row r="1840" customFormat="false" ht="15" hidden="false" customHeight="false" outlineLevel="0" collapsed="false">
      <c r="A1840" s="106" t="s">
        <v>6459</v>
      </c>
      <c r="B1840" s="106" t="s">
        <v>4280</v>
      </c>
      <c r="C1840" s="106"/>
      <c r="D1840" s="106" t="n">
        <v>14</v>
      </c>
      <c r="E1840" s="107" t="n">
        <v>1</v>
      </c>
      <c r="F1840" s="106" t="n">
        <v>1</v>
      </c>
      <c r="G1840" s="118" t="n">
        <v>1</v>
      </c>
      <c r="H1840" s="116" t="n">
        <v>0.8</v>
      </c>
      <c r="I1840" s="106" t="n">
        <v>0</v>
      </c>
      <c r="J1840" s="117" t="n">
        <v>0</v>
      </c>
      <c r="K1840" s="108" t="n">
        <v>0.8</v>
      </c>
      <c r="L1840" s="108" t="n">
        <v>0</v>
      </c>
      <c r="M1840" s="117"/>
      <c r="N1840" s="106"/>
      <c r="O1840" s="106"/>
      <c r="P1840" s="106"/>
      <c r="Q1840" s="106"/>
      <c r="R1840" s="106" t="s">
        <v>4537</v>
      </c>
    </row>
    <row r="1841" customFormat="false" ht="15" hidden="false" customHeight="false" outlineLevel="0" collapsed="false">
      <c r="A1841" s="106" t="s">
        <v>6460</v>
      </c>
      <c r="B1841" s="106" t="s">
        <v>4329</v>
      </c>
      <c r="C1841" s="106"/>
      <c r="D1841" s="106" t="n">
        <v>8</v>
      </c>
      <c r="E1841" s="107" t="n">
        <v>2</v>
      </c>
      <c r="F1841" s="106" t="n">
        <v>1</v>
      </c>
      <c r="G1841" s="118" t="n">
        <v>0.5</v>
      </c>
      <c r="H1841" s="116" t="n">
        <v>0.8</v>
      </c>
      <c r="I1841" s="106" t="n">
        <v>0</v>
      </c>
      <c r="J1841" s="117" t="n">
        <v>0</v>
      </c>
      <c r="K1841" s="108" t="n">
        <v>0.8</v>
      </c>
      <c r="L1841" s="108" t="n">
        <v>0</v>
      </c>
      <c r="M1841" s="117"/>
      <c r="N1841" s="106"/>
      <c r="O1841" s="106"/>
      <c r="P1841" s="106"/>
      <c r="Q1841" s="106"/>
      <c r="R1841" s="106" t="s">
        <v>4537</v>
      </c>
    </row>
    <row r="1842" customFormat="false" ht="15" hidden="false" customHeight="false" outlineLevel="0" collapsed="false">
      <c r="A1842" s="106" t="s">
        <v>6461</v>
      </c>
      <c r="B1842" s="106" t="s">
        <v>4280</v>
      </c>
      <c r="C1842" s="106"/>
      <c r="D1842" s="106" t="n">
        <v>4</v>
      </c>
      <c r="E1842" s="107" t="n">
        <v>1</v>
      </c>
      <c r="F1842" s="106" t="n">
        <v>1</v>
      </c>
      <c r="G1842" s="118" t="n">
        <v>1</v>
      </c>
      <c r="H1842" s="116" t="n">
        <v>0.8</v>
      </c>
      <c r="I1842" s="106" t="n">
        <v>1</v>
      </c>
      <c r="J1842" s="117" t="n">
        <v>1</v>
      </c>
      <c r="K1842" s="108" t="n">
        <v>0.8</v>
      </c>
      <c r="L1842" s="108" t="n">
        <v>79.99</v>
      </c>
      <c r="M1842" s="117" t="n">
        <v>0.01</v>
      </c>
      <c r="N1842" s="106"/>
      <c r="O1842" s="106"/>
      <c r="P1842" s="106"/>
      <c r="Q1842" s="106"/>
      <c r="R1842" s="106" t="s">
        <v>4285</v>
      </c>
    </row>
    <row r="1843" customFormat="false" ht="15" hidden="false" customHeight="false" outlineLevel="0" collapsed="false">
      <c r="A1843" s="106" t="s">
        <v>6462</v>
      </c>
      <c r="B1843" s="106" t="s">
        <v>4280</v>
      </c>
      <c r="C1843" s="106"/>
      <c r="D1843" s="106" t="n">
        <v>3</v>
      </c>
      <c r="E1843" s="107" t="n">
        <v>1</v>
      </c>
      <c r="F1843" s="106" t="n">
        <v>1</v>
      </c>
      <c r="G1843" s="118" t="n">
        <v>1</v>
      </c>
      <c r="H1843" s="116" t="n">
        <v>0.8</v>
      </c>
      <c r="I1843" s="106" t="n">
        <v>0</v>
      </c>
      <c r="J1843" s="117" t="n">
        <v>0</v>
      </c>
      <c r="K1843" s="108" t="n">
        <v>0.8</v>
      </c>
      <c r="L1843" s="108" t="n">
        <v>0</v>
      </c>
      <c r="M1843" s="117"/>
      <c r="N1843" s="106"/>
      <c r="O1843" s="106"/>
      <c r="P1843" s="106"/>
      <c r="Q1843" s="106"/>
      <c r="R1843" s="106" t="s">
        <v>4537</v>
      </c>
    </row>
    <row r="1844" customFormat="false" ht="15" hidden="false" customHeight="false" outlineLevel="0" collapsed="false">
      <c r="A1844" s="106" t="s">
        <v>6463</v>
      </c>
      <c r="B1844" s="106" t="s">
        <v>4280</v>
      </c>
      <c r="C1844" s="106"/>
      <c r="D1844" s="106" t="n">
        <v>1</v>
      </c>
      <c r="E1844" s="107" t="n">
        <v>2</v>
      </c>
      <c r="F1844" s="106" t="n">
        <v>1</v>
      </c>
      <c r="G1844" s="118" t="n">
        <v>0.5</v>
      </c>
      <c r="H1844" s="116" t="n">
        <v>0.8</v>
      </c>
      <c r="I1844" s="106" t="n">
        <v>1</v>
      </c>
      <c r="J1844" s="117" t="n">
        <v>1</v>
      </c>
      <c r="K1844" s="108" t="n">
        <v>0.8</v>
      </c>
      <c r="L1844" s="108" t="n">
        <v>79.99</v>
      </c>
      <c r="M1844" s="117" t="n">
        <v>0.01</v>
      </c>
      <c r="N1844" s="106"/>
      <c r="O1844" s="106"/>
      <c r="P1844" s="106"/>
      <c r="Q1844" s="106"/>
      <c r="R1844" s="106" t="s">
        <v>4285</v>
      </c>
    </row>
    <row r="1845" customFormat="false" ht="15" hidden="false" customHeight="false" outlineLevel="0" collapsed="false">
      <c r="A1845" s="106" t="s">
        <v>6464</v>
      </c>
      <c r="B1845" s="106" t="s">
        <v>4280</v>
      </c>
      <c r="C1845" s="106"/>
      <c r="D1845" s="106"/>
      <c r="E1845" s="107" t="n">
        <v>1</v>
      </c>
      <c r="F1845" s="106" t="n">
        <v>1</v>
      </c>
      <c r="G1845" s="118" t="n">
        <v>1</v>
      </c>
      <c r="H1845" s="116" t="n">
        <v>0.8</v>
      </c>
      <c r="I1845" s="106" t="n">
        <v>0</v>
      </c>
      <c r="J1845" s="117" t="n">
        <v>0</v>
      </c>
      <c r="K1845" s="108" t="n">
        <v>0.8</v>
      </c>
      <c r="L1845" s="108" t="n">
        <v>0</v>
      </c>
      <c r="M1845" s="117"/>
      <c r="N1845" s="106"/>
      <c r="O1845" s="106"/>
      <c r="P1845" s="106"/>
      <c r="Q1845" s="106"/>
      <c r="R1845" s="106" t="s">
        <v>4537</v>
      </c>
    </row>
    <row r="1846" customFormat="false" ht="15" hidden="false" customHeight="false" outlineLevel="0" collapsed="false">
      <c r="A1846" s="106" t="s">
        <v>6465</v>
      </c>
      <c r="B1846" s="106" t="s">
        <v>4280</v>
      </c>
      <c r="C1846" s="106"/>
      <c r="D1846" s="106"/>
      <c r="E1846" s="107" t="n">
        <v>8</v>
      </c>
      <c r="F1846" s="106" t="n">
        <v>1</v>
      </c>
      <c r="G1846" s="118" t="n">
        <v>0.125</v>
      </c>
      <c r="H1846" s="116" t="n">
        <v>0.8</v>
      </c>
      <c r="I1846" s="106" t="n">
        <v>0</v>
      </c>
      <c r="J1846" s="117" t="n">
        <v>0</v>
      </c>
      <c r="K1846" s="108" t="n">
        <v>0.8</v>
      </c>
      <c r="L1846" s="108" t="n">
        <v>0</v>
      </c>
      <c r="M1846" s="117"/>
      <c r="N1846" s="106"/>
      <c r="O1846" s="106"/>
      <c r="P1846" s="106"/>
      <c r="Q1846" s="106"/>
      <c r="R1846" s="106" t="s">
        <v>4537</v>
      </c>
    </row>
    <row r="1847" customFormat="false" ht="15" hidden="false" customHeight="false" outlineLevel="0" collapsed="false">
      <c r="A1847" s="106" t="s">
        <v>6466</v>
      </c>
      <c r="B1847" s="106" t="s">
        <v>4284</v>
      </c>
      <c r="C1847" s="106"/>
      <c r="D1847" s="106" t="n">
        <v>3</v>
      </c>
      <c r="E1847" s="107" t="n">
        <v>1</v>
      </c>
      <c r="F1847" s="106" t="n">
        <v>1</v>
      </c>
      <c r="G1847" s="118" t="n">
        <v>1</v>
      </c>
      <c r="H1847" s="116" t="n">
        <v>0.8</v>
      </c>
      <c r="I1847" s="106" t="n">
        <v>0</v>
      </c>
      <c r="J1847" s="117" t="n">
        <v>0</v>
      </c>
      <c r="K1847" s="108" t="n">
        <v>0.8</v>
      </c>
      <c r="L1847" s="108" t="n">
        <v>0</v>
      </c>
      <c r="M1847" s="117"/>
      <c r="N1847" s="106"/>
      <c r="O1847" s="106"/>
      <c r="P1847" s="106"/>
      <c r="Q1847" s="106"/>
      <c r="R1847" s="106" t="s">
        <v>4537</v>
      </c>
    </row>
    <row r="1848" customFormat="false" ht="15" hidden="false" customHeight="false" outlineLevel="0" collapsed="false">
      <c r="A1848" s="106" t="s">
        <v>6467</v>
      </c>
      <c r="B1848" s="106" t="s">
        <v>4284</v>
      </c>
      <c r="C1848" s="106"/>
      <c r="D1848" s="106" t="n">
        <v>263</v>
      </c>
      <c r="E1848" s="107" t="n">
        <v>3</v>
      </c>
      <c r="F1848" s="106" t="n">
        <v>1</v>
      </c>
      <c r="G1848" s="118" t="n">
        <v>0.3333</v>
      </c>
      <c r="H1848" s="116" t="n">
        <v>0.8</v>
      </c>
      <c r="I1848" s="106" t="n">
        <v>0</v>
      </c>
      <c r="J1848" s="117" t="n">
        <v>0</v>
      </c>
      <c r="K1848" s="108" t="n">
        <v>0.8</v>
      </c>
      <c r="L1848" s="108" t="n">
        <v>0</v>
      </c>
      <c r="M1848" s="117"/>
      <c r="N1848" s="106"/>
      <c r="O1848" s="106"/>
      <c r="P1848" s="106"/>
      <c r="Q1848" s="106"/>
      <c r="R1848" s="106" t="s">
        <v>4537</v>
      </c>
    </row>
    <row r="1849" customFormat="false" ht="15" hidden="false" customHeight="false" outlineLevel="0" collapsed="false">
      <c r="A1849" s="106" t="s">
        <v>4928</v>
      </c>
      <c r="B1849" s="106" t="s">
        <v>4329</v>
      </c>
      <c r="C1849" s="106" t="s">
        <v>4281</v>
      </c>
      <c r="D1849" s="106" t="n">
        <v>649</v>
      </c>
      <c r="E1849" s="107" t="n">
        <v>2</v>
      </c>
      <c r="F1849" s="106" t="n">
        <v>1</v>
      </c>
      <c r="G1849" s="118" t="n">
        <v>0.5</v>
      </c>
      <c r="H1849" s="116" t="n">
        <v>0.8</v>
      </c>
      <c r="I1849" s="106" t="n">
        <v>0</v>
      </c>
      <c r="J1849" s="117" t="n">
        <v>0</v>
      </c>
      <c r="K1849" s="108" t="n">
        <v>0.8</v>
      </c>
      <c r="L1849" s="108" t="n">
        <v>0</v>
      </c>
      <c r="M1849" s="117"/>
      <c r="N1849" s="106"/>
      <c r="O1849" s="106"/>
      <c r="P1849" s="106"/>
      <c r="Q1849" s="106" t="n">
        <v>101</v>
      </c>
      <c r="R1849" s="106" t="s">
        <v>4537</v>
      </c>
    </row>
    <row r="1850" customFormat="false" ht="15" hidden="false" customHeight="false" outlineLevel="0" collapsed="false">
      <c r="A1850" s="106" t="s">
        <v>6468</v>
      </c>
      <c r="B1850" s="106" t="s">
        <v>4284</v>
      </c>
      <c r="C1850" s="106"/>
      <c r="D1850" s="106" t="n">
        <v>3</v>
      </c>
      <c r="E1850" s="107" t="n">
        <v>3</v>
      </c>
      <c r="F1850" s="106" t="n">
        <v>1</v>
      </c>
      <c r="G1850" s="118" t="n">
        <v>0.3333</v>
      </c>
      <c r="H1850" s="116" t="n">
        <v>0.8</v>
      </c>
      <c r="I1850" s="106" t="n">
        <v>0</v>
      </c>
      <c r="J1850" s="117" t="n">
        <v>0</v>
      </c>
      <c r="K1850" s="108" t="n">
        <v>0.8</v>
      </c>
      <c r="L1850" s="108" t="n">
        <v>0</v>
      </c>
      <c r="M1850" s="117"/>
      <c r="N1850" s="106"/>
      <c r="O1850" s="106"/>
      <c r="P1850" s="106"/>
      <c r="Q1850" s="106"/>
      <c r="R1850" s="106" t="s">
        <v>4537</v>
      </c>
    </row>
    <row r="1851" customFormat="false" ht="15" hidden="false" customHeight="false" outlineLevel="0" collapsed="false">
      <c r="A1851" s="106" t="s">
        <v>6469</v>
      </c>
      <c r="B1851" s="106" t="s">
        <v>4280</v>
      </c>
      <c r="C1851" s="106"/>
      <c r="D1851" s="106" t="n">
        <v>6</v>
      </c>
      <c r="E1851" s="107" t="n">
        <v>1</v>
      </c>
      <c r="F1851" s="106" t="n">
        <v>1</v>
      </c>
      <c r="G1851" s="118" t="n">
        <v>1</v>
      </c>
      <c r="H1851" s="116" t="n">
        <v>0.8</v>
      </c>
      <c r="I1851" s="106" t="n">
        <v>0</v>
      </c>
      <c r="J1851" s="117" t="n">
        <v>0</v>
      </c>
      <c r="K1851" s="108" t="n">
        <v>0.8</v>
      </c>
      <c r="L1851" s="108" t="n">
        <v>0</v>
      </c>
      <c r="M1851" s="117"/>
      <c r="N1851" s="106"/>
      <c r="O1851" s="106"/>
      <c r="P1851" s="106"/>
      <c r="Q1851" s="106"/>
      <c r="R1851" s="106" t="s">
        <v>4537</v>
      </c>
    </row>
    <row r="1852" customFormat="false" ht="15" hidden="false" customHeight="false" outlineLevel="0" collapsed="false">
      <c r="A1852" s="106" t="s">
        <v>6470</v>
      </c>
      <c r="B1852" s="106" t="s">
        <v>4309</v>
      </c>
      <c r="C1852" s="106"/>
      <c r="D1852" s="106"/>
      <c r="E1852" s="107" t="n">
        <v>4</v>
      </c>
      <c r="F1852" s="106" t="n">
        <v>1</v>
      </c>
      <c r="G1852" s="118" t="n">
        <v>0.25</v>
      </c>
      <c r="H1852" s="116" t="n">
        <v>0.8</v>
      </c>
      <c r="I1852" s="106" t="n">
        <v>0</v>
      </c>
      <c r="J1852" s="117" t="n">
        <v>0</v>
      </c>
      <c r="K1852" s="108" t="n">
        <v>0.8</v>
      </c>
      <c r="L1852" s="108" t="n">
        <v>0</v>
      </c>
      <c r="M1852" s="117"/>
      <c r="N1852" s="106"/>
      <c r="O1852" s="106"/>
      <c r="P1852" s="106"/>
      <c r="Q1852" s="106"/>
      <c r="R1852" s="106" t="s">
        <v>4537</v>
      </c>
    </row>
    <row r="1853" customFormat="false" ht="15" hidden="false" customHeight="false" outlineLevel="0" collapsed="false">
      <c r="A1853" s="106" t="s">
        <v>6471</v>
      </c>
      <c r="B1853" s="106" t="s">
        <v>4309</v>
      </c>
      <c r="C1853" s="106"/>
      <c r="D1853" s="106" t="n">
        <v>924</v>
      </c>
      <c r="E1853" s="107" t="n">
        <v>3</v>
      </c>
      <c r="F1853" s="106" t="n">
        <v>1</v>
      </c>
      <c r="G1853" s="118" t="n">
        <v>0.3333</v>
      </c>
      <c r="H1853" s="116" t="n">
        <v>0.8</v>
      </c>
      <c r="I1853" s="106" t="n">
        <v>1</v>
      </c>
      <c r="J1853" s="117" t="n">
        <v>1</v>
      </c>
      <c r="K1853" s="108" t="n">
        <v>0.8</v>
      </c>
      <c r="L1853" s="108" t="n">
        <v>84.99</v>
      </c>
      <c r="M1853" s="117" t="n">
        <v>0.009</v>
      </c>
      <c r="N1853" s="106"/>
      <c r="O1853" s="106"/>
      <c r="P1853" s="106"/>
      <c r="Q1853" s="106"/>
      <c r="R1853" s="106" t="s">
        <v>4285</v>
      </c>
    </row>
    <row r="1854" customFormat="false" ht="15" hidden="false" customHeight="false" outlineLevel="0" collapsed="false">
      <c r="A1854" s="106" t="s">
        <v>6472</v>
      </c>
      <c r="B1854" s="106" t="s">
        <v>4280</v>
      </c>
      <c r="C1854" s="106"/>
      <c r="D1854" s="106"/>
      <c r="E1854" s="107" t="n">
        <v>1</v>
      </c>
      <c r="F1854" s="106" t="n">
        <v>1</v>
      </c>
      <c r="G1854" s="118" t="n">
        <v>1</v>
      </c>
      <c r="H1854" s="116" t="n">
        <v>0.8</v>
      </c>
      <c r="I1854" s="106" t="n">
        <v>0</v>
      </c>
      <c r="J1854" s="117" t="n">
        <v>0</v>
      </c>
      <c r="K1854" s="108" t="n">
        <v>0.8</v>
      </c>
      <c r="L1854" s="108" t="n">
        <v>0</v>
      </c>
      <c r="M1854" s="117"/>
      <c r="N1854" s="106"/>
      <c r="O1854" s="106"/>
      <c r="P1854" s="106"/>
      <c r="Q1854" s="106"/>
      <c r="R1854" s="106" t="s">
        <v>4537</v>
      </c>
    </row>
    <row r="1855" customFormat="false" ht="15" hidden="false" customHeight="false" outlineLevel="0" collapsed="false">
      <c r="A1855" s="106" t="s">
        <v>6473</v>
      </c>
      <c r="B1855" s="106" t="s">
        <v>4280</v>
      </c>
      <c r="C1855" s="106"/>
      <c r="D1855" s="106" t="n">
        <v>28</v>
      </c>
      <c r="E1855" s="107" t="n">
        <v>1</v>
      </c>
      <c r="F1855" s="106" t="n">
        <v>1</v>
      </c>
      <c r="G1855" s="118" t="n">
        <v>1</v>
      </c>
      <c r="H1855" s="116" t="n">
        <v>0.8</v>
      </c>
      <c r="I1855" s="106" t="n">
        <v>0</v>
      </c>
      <c r="J1855" s="117" t="n">
        <v>0</v>
      </c>
      <c r="K1855" s="108" t="n">
        <v>0.8</v>
      </c>
      <c r="L1855" s="108" t="n">
        <v>0</v>
      </c>
      <c r="M1855" s="117"/>
      <c r="N1855" s="106"/>
      <c r="O1855" s="106"/>
      <c r="P1855" s="106"/>
      <c r="Q1855" s="106"/>
      <c r="R1855" s="106" t="s">
        <v>4537</v>
      </c>
    </row>
    <row r="1856" customFormat="false" ht="15" hidden="false" customHeight="false" outlineLevel="0" collapsed="false">
      <c r="A1856" s="106" t="s">
        <v>6474</v>
      </c>
      <c r="B1856" s="106" t="s">
        <v>4284</v>
      </c>
      <c r="C1856" s="106"/>
      <c r="D1856" s="106" t="n">
        <v>2</v>
      </c>
      <c r="E1856" s="107" t="n">
        <v>1</v>
      </c>
      <c r="F1856" s="106" t="n">
        <v>1</v>
      </c>
      <c r="G1856" s="118" t="n">
        <v>1</v>
      </c>
      <c r="H1856" s="116" t="n">
        <v>0.8</v>
      </c>
      <c r="I1856" s="106" t="n">
        <v>1</v>
      </c>
      <c r="J1856" s="117" t="n">
        <v>1</v>
      </c>
      <c r="K1856" s="108" t="n">
        <v>0.8</v>
      </c>
      <c r="L1856" s="108" t="n">
        <v>79.99</v>
      </c>
      <c r="M1856" s="117" t="n">
        <v>0.01</v>
      </c>
      <c r="N1856" s="106"/>
      <c r="O1856" s="106"/>
      <c r="P1856" s="106"/>
      <c r="Q1856" s="106"/>
      <c r="R1856" s="106" t="s">
        <v>4285</v>
      </c>
    </row>
    <row r="1857" customFormat="false" ht="15" hidden="false" customHeight="false" outlineLevel="0" collapsed="false">
      <c r="A1857" s="106" t="s">
        <v>6475</v>
      </c>
      <c r="B1857" s="106" t="s">
        <v>4284</v>
      </c>
      <c r="C1857" s="106"/>
      <c r="D1857" s="106"/>
      <c r="E1857" s="107" t="n">
        <v>2</v>
      </c>
      <c r="F1857" s="106" t="n">
        <v>1</v>
      </c>
      <c r="G1857" s="118" t="n">
        <v>0.5</v>
      </c>
      <c r="H1857" s="116" t="n">
        <v>0.8</v>
      </c>
      <c r="I1857" s="106" t="n">
        <v>0</v>
      </c>
      <c r="J1857" s="117" t="n">
        <v>0</v>
      </c>
      <c r="K1857" s="108" t="n">
        <v>0.8</v>
      </c>
      <c r="L1857" s="108" t="n">
        <v>0</v>
      </c>
      <c r="M1857" s="117"/>
      <c r="N1857" s="106"/>
      <c r="O1857" s="106"/>
      <c r="P1857" s="106"/>
      <c r="Q1857" s="106"/>
      <c r="R1857" s="106" t="s">
        <v>4537</v>
      </c>
    </row>
    <row r="1858" customFormat="false" ht="15" hidden="false" customHeight="false" outlineLevel="0" collapsed="false">
      <c r="A1858" s="106" t="s">
        <v>6476</v>
      </c>
      <c r="B1858" s="106" t="s">
        <v>4280</v>
      </c>
      <c r="C1858" s="106"/>
      <c r="D1858" s="106"/>
      <c r="E1858" s="107" t="n">
        <v>1</v>
      </c>
      <c r="F1858" s="106" t="n">
        <v>1</v>
      </c>
      <c r="G1858" s="118" t="n">
        <v>1</v>
      </c>
      <c r="H1858" s="116" t="n">
        <v>0.8</v>
      </c>
      <c r="I1858" s="106" t="n">
        <v>0</v>
      </c>
      <c r="J1858" s="117" t="n">
        <v>0</v>
      </c>
      <c r="K1858" s="108" t="n">
        <v>0.8</v>
      </c>
      <c r="L1858" s="108" t="n">
        <v>0</v>
      </c>
      <c r="M1858" s="117"/>
      <c r="N1858" s="106"/>
      <c r="O1858" s="106"/>
      <c r="P1858" s="106"/>
      <c r="Q1858" s="106"/>
      <c r="R1858" s="106" t="s">
        <v>4537</v>
      </c>
    </row>
    <row r="1859" customFormat="false" ht="15" hidden="false" customHeight="false" outlineLevel="0" collapsed="false">
      <c r="A1859" s="106" t="s">
        <v>6477</v>
      </c>
      <c r="B1859" s="106" t="s">
        <v>1403</v>
      </c>
      <c r="C1859" s="106"/>
      <c r="D1859" s="106" t="n">
        <v>1</v>
      </c>
      <c r="E1859" s="107" t="n">
        <v>14</v>
      </c>
      <c r="F1859" s="106" t="n">
        <v>1</v>
      </c>
      <c r="G1859" s="118" t="n">
        <v>0.0714</v>
      </c>
      <c r="H1859" s="116" t="n">
        <v>0.8</v>
      </c>
      <c r="I1859" s="106" t="n">
        <v>1</v>
      </c>
      <c r="J1859" s="117" t="n">
        <v>1</v>
      </c>
      <c r="K1859" s="108" t="n">
        <v>0.8</v>
      </c>
      <c r="L1859" s="108" t="n">
        <v>44.99</v>
      </c>
      <c r="M1859" s="117" t="n">
        <v>0.018</v>
      </c>
      <c r="N1859" s="106"/>
      <c r="O1859" s="106"/>
      <c r="P1859" s="106"/>
      <c r="Q1859" s="106"/>
      <c r="R1859" s="106" t="s">
        <v>4285</v>
      </c>
    </row>
    <row r="1860" customFormat="false" ht="15" hidden="false" customHeight="false" outlineLevel="0" collapsed="false">
      <c r="A1860" s="106" t="s">
        <v>6478</v>
      </c>
      <c r="B1860" s="106" t="s">
        <v>4329</v>
      </c>
      <c r="C1860" s="106"/>
      <c r="D1860" s="106" t="n">
        <v>65</v>
      </c>
      <c r="E1860" s="107" t="n">
        <v>1</v>
      </c>
      <c r="F1860" s="106" t="n">
        <v>1</v>
      </c>
      <c r="G1860" s="118" t="n">
        <v>1</v>
      </c>
      <c r="H1860" s="116" t="n">
        <v>0.8</v>
      </c>
      <c r="I1860" s="106" t="n">
        <v>0</v>
      </c>
      <c r="J1860" s="117" t="n">
        <v>0</v>
      </c>
      <c r="K1860" s="108" t="n">
        <v>0.8</v>
      </c>
      <c r="L1860" s="108" t="n">
        <v>0</v>
      </c>
      <c r="M1860" s="117"/>
      <c r="N1860" s="106"/>
      <c r="O1860" s="106"/>
      <c r="P1860" s="106"/>
      <c r="Q1860" s="106"/>
      <c r="R1860" s="106" t="s">
        <v>4537</v>
      </c>
    </row>
    <row r="1861" customFormat="false" ht="15" hidden="false" customHeight="false" outlineLevel="0" collapsed="false">
      <c r="A1861" s="106" t="s">
        <v>6479</v>
      </c>
      <c r="B1861" s="106" t="s">
        <v>4280</v>
      </c>
      <c r="C1861" s="106"/>
      <c r="D1861" s="106" t="n">
        <v>8</v>
      </c>
      <c r="E1861" s="107" t="n">
        <v>1</v>
      </c>
      <c r="F1861" s="106" t="n">
        <v>1</v>
      </c>
      <c r="G1861" s="118" t="n">
        <v>1</v>
      </c>
      <c r="H1861" s="116" t="n">
        <v>0.8</v>
      </c>
      <c r="I1861" s="106" t="n">
        <v>0</v>
      </c>
      <c r="J1861" s="117" t="n">
        <v>0</v>
      </c>
      <c r="K1861" s="108" t="n">
        <v>0.8</v>
      </c>
      <c r="L1861" s="108" t="n">
        <v>0</v>
      </c>
      <c r="M1861" s="117"/>
      <c r="N1861" s="106"/>
      <c r="O1861" s="106"/>
      <c r="P1861" s="106"/>
      <c r="Q1861" s="106"/>
      <c r="R1861" s="106" t="s">
        <v>4537</v>
      </c>
    </row>
    <row r="1862" customFormat="false" ht="15" hidden="false" customHeight="false" outlineLevel="0" collapsed="false">
      <c r="A1862" s="106" t="s">
        <v>6480</v>
      </c>
      <c r="B1862" s="106" t="s">
        <v>4284</v>
      </c>
      <c r="C1862" s="106"/>
      <c r="D1862" s="106"/>
      <c r="E1862" s="107" t="n">
        <v>1</v>
      </c>
      <c r="F1862" s="106" t="n">
        <v>1</v>
      </c>
      <c r="G1862" s="118" t="n">
        <v>1</v>
      </c>
      <c r="H1862" s="116" t="n">
        <v>0.79</v>
      </c>
      <c r="I1862" s="106" t="n">
        <v>0</v>
      </c>
      <c r="J1862" s="117" t="n">
        <v>0</v>
      </c>
      <c r="K1862" s="108" t="n">
        <v>0.79</v>
      </c>
      <c r="L1862" s="108" t="n">
        <v>0</v>
      </c>
      <c r="M1862" s="117"/>
      <c r="N1862" s="106"/>
      <c r="O1862" s="106"/>
      <c r="P1862" s="106"/>
      <c r="Q1862" s="106"/>
      <c r="R1862" s="106" t="s">
        <v>4537</v>
      </c>
    </row>
    <row r="1863" customFormat="false" ht="15" hidden="false" customHeight="false" outlineLevel="0" collapsed="false">
      <c r="A1863" s="106" t="s">
        <v>6481</v>
      </c>
      <c r="B1863" s="106" t="s">
        <v>4280</v>
      </c>
      <c r="C1863" s="106"/>
      <c r="D1863" s="106" t="n">
        <v>24</v>
      </c>
      <c r="E1863" s="107" t="n">
        <v>2</v>
      </c>
      <c r="F1863" s="106" t="n">
        <v>1</v>
      </c>
      <c r="G1863" s="118" t="n">
        <v>0.5</v>
      </c>
      <c r="H1863" s="116" t="n">
        <v>0.78</v>
      </c>
      <c r="I1863" s="106" t="n">
        <v>0</v>
      </c>
      <c r="J1863" s="117" t="n">
        <v>0</v>
      </c>
      <c r="K1863" s="108" t="n">
        <v>0.78</v>
      </c>
      <c r="L1863" s="108" t="n">
        <v>0</v>
      </c>
      <c r="M1863" s="117"/>
      <c r="N1863" s="106"/>
      <c r="O1863" s="106"/>
      <c r="P1863" s="106"/>
      <c r="Q1863" s="106"/>
      <c r="R1863" s="106" t="s">
        <v>4537</v>
      </c>
    </row>
    <row r="1864" customFormat="false" ht="15" hidden="false" customHeight="false" outlineLevel="0" collapsed="false">
      <c r="A1864" s="106" t="s">
        <v>6482</v>
      </c>
      <c r="B1864" s="106" t="s">
        <v>4280</v>
      </c>
      <c r="C1864" s="106"/>
      <c r="D1864" s="106" t="n">
        <v>4</v>
      </c>
      <c r="E1864" s="107" t="n">
        <v>3</v>
      </c>
      <c r="F1864" s="106" t="n">
        <v>1</v>
      </c>
      <c r="G1864" s="118" t="n">
        <v>0.3333</v>
      </c>
      <c r="H1864" s="116" t="n">
        <v>0.78</v>
      </c>
      <c r="I1864" s="106" t="n">
        <v>0</v>
      </c>
      <c r="J1864" s="117" t="n">
        <v>0</v>
      </c>
      <c r="K1864" s="108" t="n">
        <v>0.78</v>
      </c>
      <c r="L1864" s="108" t="n">
        <v>0</v>
      </c>
      <c r="M1864" s="117"/>
      <c r="N1864" s="106"/>
      <c r="O1864" s="106"/>
      <c r="P1864" s="106"/>
      <c r="Q1864" s="106"/>
      <c r="R1864" s="106" t="s">
        <v>4537</v>
      </c>
    </row>
    <row r="1865" customFormat="false" ht="15" hidden="false" customHeight="false" outlineLevel="0" collapsed="false">
      <c r="A1865" s="106" t="s">
        <v>6483</v>
      </c>
      <c r="B1865" s="106" t="s">
        <v>1403</v>
      </c>
      <c r="C1865" s="106"/>
      <c r="D1865" s="106" t="n">
        <v>7</v>
      </c>
      <c r="E1865" s="107" t="n">
        <v>7</v>
      </c>
      <c r="F1865" s="106" t="n">
        <v>1</v>
      </c>
      <c r="G1865" s="118" t="n">
        <v>0.1429</v>
      </c>
      <c r="H1865" s="116" t="n">
        <v>0.78</v>
      </c>
      <c r="I1865" s="106" t="n">
        <v>0</v>
      </c>
      <c r="J1865" s="117" t="n">
        <v>0</v>
      </c>
      <c r="K1865" s="108" t="n">
        <v>0.78</v>
      </c>
      <c r="L1865" s="108" t="n">
        <v>0</v>
      </c>
      <c r="M1865" s="117"/>
      <c r="N1865" s="106"/>
      <c r="O1865" s="106"/>
      <c r="P1865" s="106"/>
      <c r="Q1865" s="106"/>
      <c r="R1865" s="106" t="s">
        <v>4537</v>
      </c>
    </row>
    <row r="1866" customFormat="false" ht="15" hidden="false" customHeight="false" outlineLevel="0" collapsed="false">
      <c r="A1866" s="106" t="s">
        <v>6484</v>
      </c>
      <c r="B1866" s="106" t="s">
        <v>4329</v>
      </c>
      <c r="C1866" s="106"/>
      <c r="D1866" s="106" t="n">
        <v>12</v>
      </c>
      <c r="E1866" s="107" t="n">
        <v>1</v>
      </c>
      <c r="F1866" s="106" t="n">
        <v>1</v>
      </c>
      <c r="G1866" s="118" t="n">
        <v>1</v>
      </c>
      <c r="H1866" s="116" t="n">
        <v>0.8</v>
      </c>
      <c r="I1866" s="106" t="n">
        <v>0</v>
      </c>
      <c r="J1866" s="117" t="n">
        <v>0</v>
      </c>
      <c r="K1866" s="108" t="n">
        <v>0.8</v>
      </c>
      <c r="L1866" s="108" t="n">
        <v>0</v>
      </c>
      <c r="M1866" s="117"/>
      <c r="N1866" s="106"/>
      <c r="O1866" s="106"/>
      <c r="P1866" s="106"/>
      <c r="Q1866" s="106"/>
      <c r="R1866" s="106" t="s">
        <v>4537</v>
      </c>
    </row>
    <row r="1867" customFormat="false" ht="15" hidden="false" customHeight="false" outlineLevel="0" collapsed="false">
      <c r="A1867" s="106" t="s">
        <v>6485</v>
      </c>
      <c r="B1867" s="106" t="s">
        <v>4280</v>
      </c>
      <c r="C1867" s="106"/>
      <c r="D1867" s="106" t="n">
        <v>1</v>
      </c>
      <c r="E1867" s="107" t="n">
        <v>2</v>
      </c>
      <c r="F1867" s="106" t="n">
        <v>1</v>
      </c>
      <c r="G1867" s="118" t="n">
        <v>0.5</v>
      </c>
      <c r="H1867" s="116" t="n">
        <v>0.8</v>
      </c>
      <c r="I1867" s="106" t="n">
        <v>0</v>
      </c>
      <c r="J1867" s="117" t="n">
        <v>0</v>
      </c>
      <c r="K1867" s="108" t="n">
        <v>0.8</v>
      </c>
      <c r="L1867" s="108" t="n">
        <v>0</v>
      </c>
      <c r="M1867" s="117"/>
      <c r="N1867" s="106"/>
      <c r="O1867" s="106"/>
      <c r="P1867" s="106"/>
      <c r="Q1867" s="106"/>
      <c r="R1867" s="106" t="s">
        <v>4537</v>
      </c>
    </row>
    <row r="1868" customFormat="false" ht="15" hidden="false" customHeight="false" outlineLevel="0" collapsed="false">
      <c r="A1868" s="106" t="s">
        <v>6486</v>
      </c>
      <c r="B1868" s="106" t="s">
        <v>4280</v>
      </c>
      <c r="C1868" s="106"/>
      <c r="D1868" s="106" t="n">
        <v>2</v>
      </c>
      <c r="E1868" s="107" t="n">
        <v>3</v>
      </c>
      <c r="F1868" s="106" t="n">
        <v>1</v>
      </c>
      <c r="G1868" s="118" t="n">
        <v>0.3333</v>
      </c>
      <c r="H1868" s="116" t="n">
        <v>0.8</v>
      </c>
      <c r="I1868" s="106" t="n">
        <v>0</v>
      </c>
      <c r="J1868" s="117" t="n">
        <v>0</v>
      </c>
      <c r="K1868" s="108" t="n">
        <v>0.8</v>
      </c>
      <c r="L1868" s="108" t="n">
        <v>0</v>
      </c>
      <c r="M1868" s="117"/>
      <c r="N1868" s="106"/>
      <c r="O1868" s="106"/>
      <c r="P1868" s="106"/>
      <c r="Q1868" s="106"/>
      <c r="R1868" s="106" t="s">
        <v>4537</v>
      </c>
    </row>
    <row r="1869" customFormat="false" ht="15" hidden="false" customHeight="false" outlineLevel="0" collapsed="false">
      <c r="A1869" s="106" t="s">
        <v>6487</v>
      </c>
      <c r="B1869" s="106" t="s">
        <v>4280</v>
      </c>
      <c r="C1869" s="106"/>
      <c r="D1869" s="106"/>
      <c r="E1869" s="107" t="n">
        <v>2</v>
      </c>
      <c r="F1869" s="106" t="n">
        <v>1</v>
      </c>
      <c r="G1869" s="118" t="n">
        <v>0.5</v>
      </c>
      <c r="H1869" s="116" t="n">
        <v>0.8</v>
      </c>
      <c r="I1869" s="106" t="n">
        <v>0</v>
      </c>
      <c r="J1869" s="117" t="n">
        <v>0</v>
      </c>
      <c r="K1869" s="108" t="n">
        <v>0.8</v>
      </c>
      <c r="L1869" s="108" t="n">
        <v>0</v>
      </c>
      <c r="M1869" s="117"/>
      <c r="N1869" s="106"/>
      <c r="O1869" s="106"/>
      <c r="P1869" s="106"/>
      <c r="Q1869" s="106"/>
      <c r="R1869" s="106" t="s">
        <v>4537</v>
      </c>
    </row>
    <row r="1870" customFormat="false" ht="15" hidden="false" customHeight="false" outlineLevel="0" collapsed="false">
      <c r="A1870" s="106" t="s">
        <v>6488</v>
      </c>
      <c r="B1870" s="106" t="s">
        <v>4280</v>
      </c>
      <c r="C1870" s="106"/>
      <c r="D1870" s="106"/>
      <c r="E1870" s="107" t="n">
        <v>1</v>
      </c>
      <c r="F1870" s="106" t="n">
        <v>1</v>
      </c>
      <c r="G1870" s="118" t="n">
        <v>1</v>
      </c>
      <c r="H1870" s="116" t="n">
        <v>0.8</v>
      </c>
      <c r="I1870" s="106" t="n">
        <v>0</v>
      </c>
      <c r="J1870" s="117" t="n">
        <v>0</v>
      </c>
      <c r="K1870" s="108" t="n">
        <v>0.8</v>
      </c>
      <c r="L1870" s="108" t="n">
        <v>0</v>
      </c>
      <c r="M1870" s="117"/>
      <c r="N1870" s="106"/>
      <c r="O1870" s="106"/>
      <c r="P1870" s="106"/>
      <c r="Q1870" s="106"/>
      <c r="R1870" s="106" t="s">
        <v>4537</v>
      </c>
    </row>
    <row r="1871" customFormat="false" ht="15" hidden="false" customHeight="false" outlineLevel="0" collapsed="false">
      <c r="A1871" s="106" t="s">
        <v>6489</v>
      </c>
      <c r="B1871" s="106" t="s">
        <v>4284</v>
      </c>
      <c r="C1871" s="106"/>
      <c r="D1871" s="106" t="n">
        <v>57</v>
      </c>
      <c r="E1871" s="107" t="n">
        <v>5</v>
      </c>
      <c r="F1871" s="106" t="n">
        <v>1</v>
      </c>
      <c r="G1871" s="118" t="n">
        <v>0.2</v>
      </c>
      <c r="H1871" s="116" t="n">
        <v>0.8</v>
      </c>
      <c r="I1871" s="106" t="n">
        <v>0</v>
      </c>
      <c r="J1871" s="117" t="n">
        <v>0</v>
      </c>
      <c r="K1871" s="108" t="n">
        <v>0.8</v>
      </c>
      <c r="L1871" s="108" t="n">
        <v>0</v>
      </c>
      <c r="M1871" s="117"/>
      <c r="N1871" s="106"/>
      <c r="O1871" s="106"/>
      <c r="P1871" s="106"/>
      <c r="Q1871" s="106"/>
      <c r="R1871" s="106" t="s">
        <v>4537</v>
      </c>
    </row>
    <row r="1872" customFormat="false" ht="15" hidden="false" customHeight="false" outlineLevel="0" collapsed="false">
      <c r="A1872" s="106" t="s">
        <v>6490</v>
      </c>
      <c r="B1872" s="106" t="s">
        <v>4280</v>
      </c>
      <c r="C1872" s="106"/>
      <c r="D1872" s="106"/>
      <c r="E1872" s="107" t="n">
        <v>2</v>
      </c>
      <c r="F1872" s="106" t="n">
        <v>1</v>
      </c>
      <c r="G1872" s="118" t="n">
        <v>0.5</v>
      </c>
      <c r="H1872" s="116" t="n">
        <v>0.8</v>
      </c>
      <c r="I1872" s="106" t="n">
        <v>0</v>
      </c>
      <c r="J1872" s="117" t="n">
        <v>0</v>
      </c>
      <c r="K1872" s="108" t="n">
        <v>0.8</v>
      </c>
      <c r="L1872" s="108" t="n">
        <v>0</v>
      </c>
      <c r="M1872" s="117"/>
      <c r="N1872" s="106"/>
      <c r="O1872" s="106"/>
      <c r="P1872" s="106"/>
      <c r="Q1872" s="106"/>
      <c r="R1872" s="106" t="s">
        <v>4537</v>
      </c>
    </row>
    <row r="1873" customFormat="false" ht="15" hidden="false" customHeight="false" outlineLevel="0" collapsed="false">
      <c r="A1873" s="106" t="s">
        <v>6491</v>
      </c>
      <c r="B1873" s="106" t="s">
        <v>4280</v>
      </c>
      <c r="C1873" s="106"/>
      <c r="D1873" s="106"/>
      <c r="E1873" s="107" t="n">
        <v>2</v>
      </c>
      <c r="F1873" s="106" t="n">
        <v>1</v>
      </c>
      <c r="G1873" s="118" t="n">
        <v>0.5</v>
      </c>
      <c r="H1873" s="116" t="n">
        <v>0.8</v>
      </c>
      <c r="I1873" s="106" t="n">
        <v>0</v>
      </c>
      <c r="J1873" s="117" t="n">
        <v>0</v>
      </c>
      <c r="K1873" s="108" t="n">
        <v>0.8</v>
      </c>
      <c r="L1873" s="108" t="n">
        <v>0</v>
      </c>
      <c r="M1873" s="117"/>
      <c r="N1873" s="106"/>
      <c r="O1873" s="106"/>
      <c r="P1873" s="106"/>
      <c r="Q1873" s="106"/>
      <c r="R1873" s="106" t="s">
        <v>4537</v>
      </c>
    </row>
    <row r="1874" customFormat="false" ht="15" hidden="false" customHeight="false" outlineLevel="0" collapsed="false">
      <c r="A1874" s="106" t="s">
        <v>6492</v>
      </c>
      <c r="B1874" s="106" t="s">
        <v>4284</v>
      </c>
      <c r="C1874" s="106"/>
      <c r="D1874" s="106" t="n">
        <v>385</v>
      </c>
      <c r="E1874" s="107" t="n">
        <v>1</v>
      </c>
      <c r="F1874" s="106" t="n">
        <v>1</v>
      </c>
      <c r="G1874" s="118" t="n">
        <v>1</v>
      </c>
      <c r="H1874" s="116" t="n">
        <v>0.8</v>
      </c>
      <c r="I1874" s="106" t="n">
        <v>0</v>
      </c>
      <c r="J1874" s="117" t="n">
        <v>0</v>
      </c>
      <c r="K1874" s="108" t="n">
        <v>0.8</v>
      </c>
      <c r="L1874" s="108" t="n">
        <v>0</v>
      </c>
      <c r="M1874" s="117"/>
      <c r="N1874" s="106"/>
      <c r="O1874" s="106"/>
      <c r="P1874" s="106"/>
      <c r="Q1874" s="106"/>
      <c r="R1874" s="106" t="s">
        <v>4537</v>
      </c>
    </row>
    <row r="1875" customFormat="false" ht="15" hidden="false" customHeight="false" outlineLevel="0" collapsed="false">
      <c r="A1875" s="106" t="s">
        <v>6493</v>
      </c>
      <c r="B1875" s="106" t="s">
        <v>4280</v>
      </c>
      <c r="C1875" s="106"/>
      <c r="D1875" s="106" t="n">
        <v>4</v>
      </c>
      <c r="E1875" s="107" t="n">
        <v>1</v>
      </c>
      <c r="F1875" s="106" t="n">
        <v>1</v>
      </c>
      <c r="G1875" s="118" t="n">
        <v>1</v>
      </c>
      <c r="H1875" s="116" t="n">
        <v>0.8</v>
      </c>
      <c r="I1875" s="106" t="n">
        <v>0</v>
      </c>
      <c r="J1875" s="117" t="n">
        <v>0</v>
      </c>
      <c r="K1875" s="108" t="n">
        <v>0.8</v>
      </c>
      <c r="L1875" s="108" t="n">
        <v>0</v>
      </c>
      <c r="M1875" s="117"/>
      <c r="N1875" s="106"/>
      <c r="O1875" s="106"/>
      <c r="P1875" s="106"/>
      <c r="Q1875" s="106"/>
      <c r="R1875" s="106" t="s">
        <v>4537</v>
      </c>
    </row>
    <row r="1876" customFormat="false" ht="15" hidden="false" customHeight="false" outlineLevel="0" collapsed="false">
      <c r="A1876" s="106" t="s">
        <v>6494</v>
      </c>
      <c r="B1876" s="106" t="s">
        <v>4284</v>
      </c>
      <c r="C1876" s="106"/>
      <c r="D1876" s="106"/>
      <c r="E1876" s="107" t="n">
        <v>1</v>
      </c>
      <c r="F1876" s="106" t="n">
        <v>1</v>
      </c>
      <c r="G1876" s="118" t="n">
        <v>1</v>
      </c>
      <c r="H1876" s="116" t="n">
        <v>0.8</v>
      </c>
      <c r="I1876" s="106" t="n">
        <v>0</v>
      </c>
      <c r="J1876" s="117" t="n">
        <v>0</v>
      </c>
      <c r="K1876" s="108" t="n">
        <v>0.8</v>
      </c>
      <c r="L1876" s="108" t="n">
        <v>0</v>
      </c>
      <c r="M1876" s="117"/>
      <c r="N1876" s="106"/>
      <c r="O1876" s="106"/>
      <c r="P1876" s="106"/>
      <c r="Q1876" s="106"/>
      <c r="R1876" s="106" t="s">
        <v>4537</v>
      </c>
    </row>
    <row r="1877" customFormat="false" ht="15" hidden="false" customHeight="false" outlineLevel="0" collapsed="false">
      <c r="A1877" s="106" t="s">
        <v>6495</v>
      </c>
      <c r="B1877" s="106" t="s">
        <v>4284</v>
      </c>
      <c r="C1877" s="106"/>
      <c r="D1877" s="106" t="n">
        <v>10</v>
      </c>
      <c r="E1877" s="107" t="n">
        <v>2</v>
      </c>
      <c r="F1877" s="106" t="n">
        <v>1</v>
      </c>
      <c r="G1877" s="118" t="n">
        <v>0.5</v>
      </c>
      <c r="H1877" s="116" t="n">
        <v>0.8</v>
      </c>
      <c r="I1877" s="106" t="n">
        <v>0</v>
      </c>
      <c r="J1877" s="117" t="n">
        <v>0</v>
      </c>
      <c r="K1877" s="108" t="n">
        <v>0.8</v>
      </c>
      <c r="L1877" s="108" t="n">
        <v>0</v>
      </c>
      <c r="M1877" s="117"/>
      <c r="N1877" s="106"/>
      <c r="O1877" s="106"/>
      <c r="P1877" s="106"/>
      <c r="Q1877" s="106"/>
      <c r="R1877" s="106" t="s">
        <v>4537</v>
      </c>
    </row>
    <row r="1878" customFormat="false" ht="15" hidden="false" customHeight="false" outlineLevel="0" collapsed="false">
      <c r="A1878" s="106" t="s">
        <v>6496</v>
      </c>
      <c r="B1878" s="106" t="s">
        <v>4284</v>
      </c>
      <c r="C1878" s="106"/>
      <c r="D1878" s="106"/>
      <c r="E1878" s="107" t="n">
        <v>8</v>
      </c>
      <c r="F1878" s="106" t="n">
        <v>1</v>
      </c>
      <c r="G1878" s="118" t="n">
        <v>0.125</v>
      </c>
      <c r="H1878" s="116" t="n">
        <v>0.8</v>
      </c>
      <c r="I1878" s="106" t="n">
        <v>0</v>
      </c>
      <c r="J1878" s="117" t="n">
        <v>0</v>
      </c>
      <c r="K1878" s="108" t="n">
        <v>0.8</v>
      </c>
      <c r="L1878" s="108" t="n">
        <v>0</v>
      </c>
      <c r="M1878" s="117"/>
      <c r="N1878" s="106"/>
      <c r="O1878" s="106"/>
      <c r="P1878" s="106"/>
      <c r="Q1878" s="106"/>
      <c r="R1878" s="106" t="s">
        <v>4537</v>
      </c>
    </row>
    <row r="1879" customFormat="false" ht="15" hidden="false" customHeight="false" outlineLevel="0" collapsed="false">
      <c r="A1879" s="106" t="s">
        <v>6497</v>
      </c>
      <c r="B1879" s="106" t="s">
        <v>1403</v>
      </c>
      <c r="C1879" s="106"/>
      <c r="D1879" s="106"/>
      <c r="E1879" s="107" t="n">
        <v>1</v>
      </c>
      <c r="F1879" s="106" t="n">
        <v>1</v>
      </c>
      <c r="G1879" s="118" t="n">
        <v>1</v>
      </c>
      <c r="H1879" s="116" t="n">
        <v>0.8</v>
      </c>
      <c r="I1879" s="106" t="n">
        <v>0</v>
      </c>
      <c r="J1879" s="117" t="n">
        <v>0</v>
      </c>
      <c r="K1879" s="108" t="n">
        <v>0.8</v>
      </c>
      <c r="L1879" s="108" t="n">
        <v>0</v>
      </c>
      <c r="M1879" s="117"/>
      <c r="N1879" s="106"/>
      <c r="O1879" s="106"/>
      <c r="P1879" s="106"/>
      <c r="Q1879" s="106"/>
      <c r="R1879" s="106" t="s">
        <v>4537</v>
      </c>
    </row>
    <row r="1880" customFormat="false" ht="15" hidden="false" customHeight="false" outlineLevel="0" collapsed="false">
      <c r="A1880" s="106" t="s">
        <v>6498</v>
      </c>
      <c r="B1880" s="106" t="s">
        <v>4280</v>
      </c>
      <c r="C1880" s="106"/>
      <c r="D1880" s="106"/>
      <c r="E1880" s="107" t="n">
        <v>5</v>
      </c>
      <c r="F1880" s="106" t="n">
        <v>1</v>
      </c>
      <c r="G1880" s="118" t="n">
        <v>0.2</v>
      </c>
      <c r="H1880" s="116" t="n">
        <v>0.8</v>
      </c>
      <c r="I1880" s="106" t="n">
        <v>0</v>
      </c>
      <c r="J1880" s="117" t="n">
        <v>0</v>
      </c>
      <c r="K1880" s="108" t="n">
        <v>0.8</v>
      </c>
      <c r="L1880" s="108" t="n">
        <v>0</v>
      </c>
      <c r="M1880" s="117"/>
      <c r="N1880" s="106"/>
      <c r="O1880" s="106"/>
      <c r="P1880" s="106"/>
      <c r="Q1880" s="106"/>
      <c r="R1880" s="106" t="s">
        <v>4537</v>
      </c>
    </row>
    <row r="1881" customFormat="false" ht="15" hidden="false" customHeight="false" outlineLevel="0" collapsed="false">
      <c r="A1881" s="106" t="s">
        <v>6499</v>
      </c>
      <c r="B1881" s="106" t="s">
        <v>4329</v>
      </c>
      <c r="C1881" s="106"/>
      <c r="D1881" s="106"/>
      <c r="E1881" s="107" t="n">
        <v>2</v>
      </c>
      <c r="F1881" s="106" t="n">
        <v>1</v>
      </c>
      <c r="G1881" s="118" t="n">
        <v>0.5</v>
      </c>
      <c r="H1881" s="116" t="n">
        <v>0.8</v>
      </c>
      <c r="I1881" s="106" t="n">
        <v>0</v>
      </c>
      <c r="J1881" s="117" t="n">
        <v>0</v>
      </c>
      <c r="K1881" s="108" t="n">
        <v>0.8</v>
      </c>
      <c r="L1881" s="108" t="n">
        <v>0</v>
      </c>
      <c r="M1881" s="117"/>
      <c r="N1881" s="106"/>
      <c r="O1881" s="106"/>
      <c r="P1881" s="106"/>
      <c r="Q1881" s="106"/>
      <c r="R1881" s="106" t="s">
        <v>4537</v>
      </c>
    </row>
    <row r="1882" customFormat="false" ht="15" hidden="false" customHeight="false" outlineLevel="0" collapsed="false">
      <c r="A1882" s="106" t="s">
        <v>6500</v>
      </c>
      <c r="B1882" s="106" t="s">
        <v>4284</v>
      </c>
      <c r="C1882" s="106"/>
      <c r="D1882" s="106" t="n">
        <v>3</v>
      </c>
      <c r="E1882" s="107" t="n">
        <v>2</v>
      </c>
      <c r="F1882" s="106" t="n">
        <v>1</v>
      </c>
      <c r="G1882" s="118" t="n">
        <v>0.5</v>
      </c>
      <c r="H1882" s="116" t="n">
        <v>0.8</v>
      </c>
      <c r="I1882" s="106" t="n">
        <v>0</v>
      </c>
      <c r="J1882" s="117" t="n">
        <v>0</v>
      </c>
      <c r="K1882" s="108" t="n">
        <v>0.8</v>
      </c>
      <c r="L1882" s="108" t="n">
        <v>0</v>
      </c>
      <c r="M1882" s="117"/>
      <c r="N1882" s="106"/>
      <c r="O1882" s="106"/>
      <c r="P1882" s="106"/>
      <c r="Q1882" s="106"/>
      <c r="R1882" s="106" t="s">
        <v>4537</v>
      </c>
    </row>
    <row r="1883" customFormat="false" ht="15" hidden="false" customHeight="false" outlineLevel="0" collapsed="false">
      <c r="A1883" s="106" t="s">
        <v>6501</v>
      </c>
      <c r="B1883" s="106" t="s">
        <v>1403</v>
      </c>
      <c r="C1883" s="106"/>
      <c r="D1883" s="106" t="n">
        <v>13</v>
      </c>
      <c r="E1883" s="107" t="n">
        <v>3</v>
      </c>
      <c r="F1883" s="106" t="n">
        <v>1</v>
      </c>
      <c r="G1883" s="118" t="n">
        <v>0.3333</v>
      </c>
      <c r="H1883" s="116" t="n">
        <v>0.8</v>
      </c>
      <c r="I1883" s="106" t="n">
        <v>0</v>
      </c>
      <c r="J1883" s="117" t="n">
        <v>0</v>
      </c>
      <c r="K1883" s="108" t="n">
        <v>0.8</v>
      </c>
      <c r="L1883" s="108" t="n">
        <v>0</v>
      </c>
      <c r="M1883" s="117"/>
      <c r="N1883" s="106"/>
      <c r="O1883" s="106"/>
      <c r="P1883" s="106"/>
      <c r="Q1883" s="106"/>
      <c r="R1883" s="106" t="s">
        <v>4537</v>
      </c>
    </row>
    <row r="1884" customFormat="false" ht="15" hidden="false" customHeight="false" outlineLevel="0" collapsed="false">
      <c r="A1884" s="106" t="s">
        <v>6502</v>
      </c>
      <c r="B1884" s="106" t="s">
        <v>1403</v>
      </c>
      <c r="C1884" s="106"/>
      <c r="D1884" s="106" t="n">
        <v>6</v>
      </c>
      <c r="E1884" s="107" t="n">
        <v>3</v>
      </c>
      <c r="F1884" s="106" t="n">
        <v>1</v>
      </c>
      <c r="G1884" s="118" t="n">
        <v>0.3333</v>
      </c>
      <c r="H1884" s="116" t="n">
        <v>0.8</v>
      </c>
      <c r="I1884" s="106" t="n">
        <v>0</v>
      </c>
      <c r="J1884" s="117" t="n">
        <v>0</v>
      </c>
      <c r="K1884" s="108" t="n">
        <v>0.8</v>
      </c>
      <c r="L1884" s="108" t="n">
        <v>0</v>
      </c>
      <c r="M1884" s="117"/>
      <c r="N1884" s="106"/>
      <c r="O1884" s="106"/>
      <c r="P1884" s="106"/>
      <c r="Q1884" s="106"/>
      <c r="R1884" s="106" t="s">
        <v>4537</v>
      </c>
    </row>
    <row r="1885" customFormat="false" ht="15" hidden="false" customHeight="false" outlineLevel="0" collapsed="false">
      <c r="A1885" s="106" t="s">
        <v>6503</v>
      </c>
      <c r="B1885" s="106" t="s">
        <v>4284</v>
      </c>
      <c r="C1885" s="106"/>
      <c r="D1885" s="106"/>
      <c r="E1885" s="107" t="n">
        <v>14</v>
      </c>
      <c r="F1885" s="106" t="n">
        <v>1</v>
      </c>
      <c r="G1885" s="118" t="n">
        <v>0.0714</v>
      </c>
      <c r="H1885" s="116" t="n">
        <v>0.8</v>
      </c>
      <c r="I1885" s="106" t="n">
        <v>0</v>
      </c>
      <c r="J1885" s="117" t="n">
        <v>0</v>
      </c>
      <c r="K1885" s="108" t="n">
        <v>0.8</v>
      </c>
      <c r="L1885" s="108" t="n">
        <v>0</v>
      </c>
      <c r="M1885" s="117"/>
      <c r="N1885" s="106"/>
      <c r="O1885" s="106"/>
      <c r="P1885" s="106"/>
      <c r="Q1885" s="106"/>
      <c r="R1885" s="106" t="s">
        <v>4537</v>
      </c>
    </row>
    <row r="1886" customFormat="false" ht="15" hidden="false" customHeight="false" outlineLevel="0" collapsed="false">
      <c r="A1886" s="106" t="s">
        <v>6504</v>
      </c>
      <c r="B1886" s="106" t="s">
        <v>4280</v>
      </c>
      <c r="C1886" s="106"/>
      <c r="D1886" s="106" t="n">
        <v>7</v>
      </c>
      <c r="E1886" s="107" t="n">
        <v>2</v>
      </c>
      <c r="F1886" s="106" t="n">
        <v>1</v>
      </c>
      <c r="G1886" s="118" t="n">
        <v>0.5</v>
      </c>
      <c r="H1886" s="116" t="n">
        <v>0.8</v>
      </c>
      <c r="I1886" s="106" t="n">
        <v>0</v>
      </c>
      <c r="J1886" s="117" t="n">
        <v>0</v>
      </c>
      <c r="K1886" s="108" t="n">
        <v>0.8</v>
      </c>
      <c r="L1886" s="108" t="n">
        <v>0</v>
      </c>
      <c r="M1886" s="117"/>
      <c r="N1886" s="106"/>
      <c r="O1886" s="106"/>
      <c r="P1886" s="106"/>
      <c r="Q1886" s="106"/>
      <c r="R1886" s="106" t="s">
        <v>4537</v>
      </c>
    </row>
    <row r="1887" customFormat="false" ht="15" hidden="false" customHeight="false" outlineLevel="0" collapsed="false">
      <c r="A1887" s="106" t="s">
        <v>6505</v>
      </c>
      <c r="B1887" s="106" t="s">
        <v>4309</v>
      </c>
      <c r="C1887" s="106"/>
      <c r="D1887" s="106" t="n">
        <v>3637</v>
      </c>
      <c r="E1887" s="107" t="n">
        <v>8</v>
      </c>
      <c r="F1887" s="106" t="n">
        <v>1</v>
      </c>
      <c r="G1887" s="118" t="n">
        <v>0.125</v>
      </c>
      <c r="H1887" s="116" t="n">
        <v>0.8</v>
      </c>
      <c r="I1887" s="106" t="n">
        <v>1</v>
      </c>
      <c r="J1887" s="117" t="n">
        <v>1</v>
      </c>
      <c r="K1887" s="108" t="n">
        <v>0.8</v>
      </c>
      <c r="L1887" s="108" t="n">
        <v>79.99</v>
      </c>
      <c r="M1887" s="117" t="n">
        <v>0.01</v>
      </c>
      <c r="N1887" s="106"/>
      <c r="O1887" s="106"/>
      <c r="P1887" s="106"/>
      <c r="Q1887" s="106"/>
      <c r="R1887" s="106" t="s">
        <v>4285</v>
      </c>
    </row>
    <row r="1888" customFormat="false" ht="15" hidden="false" customHeight="false" outlineLevel="0" collapsed="false">
      <c r="A1888" s="106" t="s">
        <v>6506</v>
      </c>
      <c r="B1888" s="106" t="s">
        <v>4329</v>
      </c>
      <c r="C1888" s="106"/>
      <c r="D1888" s="106"/>
      <c r="E1888" s="107" t="n">
        <v>5</v>
      </c>
      <c r="F1888" s="106" t="n">
        <v>1</v>
      </c>
      <c r="G1888" s="118" t="n">
        <v>0.2</v>
      </c>
      <c r="H1888" s="116" t="n">
        <v>0.8</v>
      </c>
      <c r="I1888" s="106" t="n">
        <v>0</v>
      </c>
      <c r="J1888" s="117" t="n">
        <v>0</v>
      </c>
      <c r="K1888" s="108" t="n">
        <v>0.8</v>
      </c>
      <c r="L1888" s="108" t="n">
        <v>0</v>
      </c>
      <c r="M1888" s="117"/>
      <c r="N1888" s="106"/>
      <c r="O1888" s="106"/>
      <c r="P1888" s="106"/>
      <c r="Q1888" s="106"/>
      <c r="R1888" s="106" t="s">
        <v>4537</v>
      </c>
    </row>
    <row r="1889" customFormat="false" ht="15" hidden="false" customHeight="false" outlineLevel="0" collapsed="false">
      <c r="A1889" s="106" t="s">
        <v>6507</v>
      </c>
      <c r="B1889" s="106" t="s">
        <v>4284</v>
      </c>
      <c r="C1889" s="106"/>
      <c r="D1889" s="106"/>
      <c r="E1889" s="107" t="n">
        <v>1</v>
      </c>
      <c r="F1889" s="106" t="n">
        <v>1</v>
      </c>
      <c r="G1889" s="118" t="n">
        <v>1</v>
      </c>
      <c r="H1889" s="116" t="n">
        <v>0.8</v>
      </c>
      <c r="I1889" s="106" t="n">
        <v>0</v>
      </c>
      <c r="J1889" s="117" t="n">
        <v>0</v>
      </c>
      <c r="K1889" s="108" t="n">
        <v>0.8</v>
      </c>
      <c r="L1889" s="108" t="n">
        <v>0</v>
      </c>
      <c r="M1889" s="117"/>
      <c r="N1889" s="106"/>
      <c r="O1889" s="106"/>
      <c r="P1889" s="106"/>
      <c r="Q1889" s="106"/>
      <c r="R1889" s="106" t="s">
        <v>4537</v>
      </c>
    </row>
    <row r="1890" customFormat="false" ht="15" hidden="false" customHeight="false" outlineLevel="0" collapsed="false">
      <c r="A1890" s="106" t="s">
        <v>6508</v>
      </c>
      <c r="B1890" s="106" t="s">
        <v>4280</v>
      </c>
      <c r="C1890" s="106"/>
      <c r="D1890" s="106" t="n">
        <v>4</v>
      </c>
      <c r="E1890" s="107" t="n">
        <v>1</v>
      </c>
      <c r="F1890" s="106" t="n">
        <v>1</v>
      </c>
      <c r="G1890" s="118" t="n">
        <v>1</v>
      </c>
      <c r="H1890" s="116" t="n">
        <v>0.75</v>
      </c>
      <c r="I1890" s="106" t="n">
        <v>0</v>
      </c>
      <c r="J1890" s="117" t="n">
        <v>0</v>
      </c>
      <c r="K1890" s="108" t="n">
        <v>0.75</v>
      </c>
      <c r="L1890" s="108" t="n">
        <v>0</v>
      </c>
      <c r="M1890" s="117"/>
      <c r="N1890" s="106"/>
      <c r="O1890" s="106"/>
      <c r="P1890" s="106"/>
      <c r="Q1890" s="106"/>
      <c r="R1890" s="106" t="s">
        <v>4537</v>
      </c>
    </row>
    <row r="1891" customFormat="false" ht="15" hidden="false" customHeight="false" outlineLevel="0" collapsed="false">
      <c r="A1891" s="106" t="s">
        <v>6509</v>
      </c>
      <c r="B1891" s="106" t="s">
        <v>4284</v>
      </c>
      <c r="C1891" s="106"/>
      <c r="D1891" s="106"/>
      <c r="E1891" s="107" t="n">
        <v>2</v>
      </c>
      <c r="F1891" s="106" t="n">
        <v>1</v>
      </c>
      <c r="G1891" s="118" t="n">
        <v>0.5</v>
      </c>
      <c r="H1891" s="116" t="n">
        <v>0.75</v>
      </c>
      <c r="I1891" s="106" t="n">
        <v>0</v>
      </c>
      <c r="J1891" s="117" t="n">
        <v>0</v>
      </c>
      <c r="K1891" s="108" t="n">
        <v>0.75</v>
      </c>
      <c r="L1891" s="108" t="n">
        <v>0</v>
      </c>
      <c r="M1891" s="117"/>
      <c r="N1891" s="106"/>
      <c r="O1891" s="106"/>
      <c r="P1891" s="106"/>
      <c r="Q1891" s="106"/>
      <c r="R1891" s="106" t="s">
        <v>4537</v>
      </c>
    </row>
    <row r="1892" customFormat="false" ht="15" hidden="false" customHeight="false" outlineLevel="0" collapsed="false">
      <c r="A1892" s="106" t="s">
        <v>6510</v>
      </c>
      <c r="B1892" s="106" t="s">
        <v>4329</v>
      </c>
      <c r="C1892" s="106"/>
      <c r="D1892" s="106"/>
      <c r="E1892" s="107" t="n">
        <v>1</v>
      </c>
      <c r="F1892" s="106" t="n">
        <v>1</v>
      </c>
      <c r="G1892" s="118" t="n">
        <v>1</v>
      </c>
      <c r="H1892" s="116" t="n">
        <v>0.75</v>
      </c>
      <c r="I1892" s="106" t="n">
        <v>0</v>
      </c>
      <c r="J1892" s="117" t="n">
        <v>0</v>
      </c>
      <c r="K1892" s="108" t="n">
        <v>0.75</v>
      </c>
      <c r="L1892" s="108" t="n">
        <v>0</v>
      </c>
      <c r="M1892" s="117"/>
      <c r="N1892" s="106"/>
      <c r="O1892" s="106"/>
      <c r="P1892" s="106"/>
      <c r="Q1892" s="106"/>
      <c r="R1892" s="106" t="s">
        <v>4537</v>
      </c>
    </row>
    <row r="1893" customFormat="false" ht="15" hidden="false" customHeight="false" outlineLevel="0" collapsed="false">
      <c r="A1893" s="106" t="s">
        <v>6511</v>
      </c>
      <c r="B1893" s="106" t="s">
        <v>4284</v>
      </c>
      <c r="C1893" s="106"/>
      <c r="D1893" s="106"/>
      <c r="E1893" s="107" t="n">
        <v>22</v>
      </c>
      <c r="F1893" s="106" t="n">
        <v>1</v>
      </c>
      <c r="G1893" s="118" t="n">
        <v>0.0455</v>
      </c>
      <c r="H1893" s="116" t="n">
        <v>0.75</v>
      </c>
      <c r="I1893" s="106" t="n">
        <v>0</v>
      </c>
      <c r="J1893" s="117" t="n">
        <v>0</v>
      </c>
      <c r="K1893" s="108" t="n">
        <v>0.75</v>
      </c>
      <c r="L1893" s="108" t="n">
        <v>0</v>
      </c>
      <c r="M1893" s="117"/>
      <c r="N1893" s="106"/>
      <c r="O1893" s="106"/>
      <c r="P1893" s="106"/>
      <c r="Q1893" s="106"/>
      <c r="R1893" s="106" t="s">
        <v>4537</v>
      </c>
    </row>
    <row r="1894" customFormat="false" ht="15" hidden="false" customHeight="false" outlineLevel="0" collapsed="false">
      <c r="A1894" s="106" t="s">
        <v>6512</v>
      </c>
      <c r="B1894" s="106" t="s">
        <v>4280</v>
      </c>
      <c r="C1894" s="106"/>
      <c r="D1894" s="106" t="n">
        <v>2</v>
      </c>
      <c r="E1894" s="107" t="n">
        <v>1</v>
      </c>
      <c r="F1894" s="106" t="n">
        <v>1</v>
      </c>
      <c r="G1894" s="118" t="n">
        <v>1</v>
      </c>
      <c r="H1894" s="116" t="n">
        <v>0.75</v>
      </c>
      <c r="I1894" s="106" t="n">
        <v>0</v>
      </c>
      <c r="J1894" s="117" t="n">
        <v>0</v>
      </c>
      <c r="K1894" s="108" t="n">
        <v>0.75</v>
      </c>
      <c r="L1894" s="108" t="n">
        <v>0</v>
      </c>
      <c r="M1894" s="117"/>
      <c r="N1894" s="106"/>
      <c r="O1894" s="106"/>
      <c r="P1894" s="106"/>
      <c r="Q1894" s="106"/>
      <c r="R1894" s="106" t="s">
        <v>4537</v>
      </c>
    </row>
    <row r="1895" customFormat="false" ht="15" hidden="false" customHeight="false" outlineLevel="0" collapsed="false">
      <c r="A1895" s="106" t="s">
        <v>6513</v>
      </c>
      <c r="B1895" s="106" t="s">
        <v>4329</v>
      </c>
      <c r="C1895" s="106"/>
      <c r="D1895" s="106" t="n">
        <v>1023</v>
      </c>
      <c r="E1895" s="107" t="n">
        <v>1</v>
      </c>
      <c r="F1895" s="106" t="n">
        <v>1</v>
      </c>
      <c r="G1895" s="118" t="n">
        <v>1</v>
      </c>
      <c r="H1895" s="116" t="n">
        <v>0.75</v>
      </c>
      <c r="I1895" s="106" t="n">
        <v>0</v>
      </c>
      <c r="J1895" s="117" t="n">
        <v>0</v>
      </c>
      <c r="K1895" s="108" t="n">
        <v>0.75</v>
      </c>
      <c r="L1895" s="108" t="n">
        <v>0</v>
      </c>
      <c r="M1895" s="117"/>
      <c r="N1895" s="106"/>
      <c r="O1895" s="106"/>
      <c r="P1895" s="106"/>
      <c r="Q1895" s="106"/>
      <c r="R1895" s="106" t="s">
        <v>4537</v>
      </c>
    </row>
    <row r="1896" customFormat="false" ht="15" hidden="false" customHeight="false" outlineLevel="0" collapsed="false">
      <c r="A1896" s="106" t="s">
        <v>6514</v>
      </c>
      <c r="B1896" s="106" t="s">
        <v>4309</v>
      </c>
      <c r="C1896" s="106"/>
      <c r="D1896" s="106" t="n">
        <v>383</v>
      </c>
      <c r="E1896" s="107" t="n">
        <v>2</v>
      </c>
      <c r="F1896" s="106" t="n">
        <v>1</v>
      </c>
      <c r="G1896" s="118" t="n">
        <v>0.5</v>
      </c>
      <c r="H1896" s="116" t="n">
        <v>0.75</v>
      </c>
      <c r="I1896" s="106" t="n">
        <v>0</v>
      </c>
      <c r="J1896" s="117" t="n">
        <v>0</v>
      </c>
      <c r="K1896" s="108" t="n">
        <v>0.75</v>
      </c>
      <c r="L1896" s="108" t="n">
        <v>0</v>
      </c>
      <c r="M1896" s="117"/>
      <c r="N1896" s="106"/>
      <c r="O1896" s="106"/>
      <c r="P1896" s="106"/>
      <c r="Q1896" s="106"/>
      <c r="R1896" s="106" t="s">
        <v>4537</v>
      </c>
    </row>
    <row r="1897" customFormat="false" ht="15" hidden="false" customHeight="false" outlineLevel="0" collapsed="false">
      <c r="A1897" s="106" t="s">
        <v>6515</v>
      </c>
      <c r="B1897" s="106" t="s">
        <v>4329</v>
      </c>
      <c r="C1897" s="106"/>
      <c r="D1897" s="106" t="n">
        <v>4</v>
      </c>
      <c r="E1897" s="107" t="n">
        <v>2</v>
      </c>
      <c r="F1897" s="106" t="n">
        <v>1</v>
      </c>
      <c r="G1897" s="118" t="n">
        <v>0.5</v>
      </c>
      <c r="H1897" s="116" t="n">
        <v>0.75</v>
      </c>
      <c r="I1897" s="106" t="n">
        <v>1</v>
      </c>
      <c r="J1897" s="117" t="n">
        <v>1</v>
      </c>
      <c r="K1897" s="108" t="n">
        <v>0.75</v>
      </c>
      <c r="L1897" s="108" t="n">
        <v>79.99</v>
      </c>
      <c r="M1897" s="117" t="n">
        <v>0.009</v>
      </c>
      <c r="N1897" s="106"/>
      <c r="O1897" s="106"/>
      <c r="P1897" s="106"/>
      <c r="Q1897" s="106"/>
      <c r="R1897" s="106" t="s">
        <v>4285</v>
      </c>
    </row>
    <row r="1898" customFormat="false" ht="15" hidden="false" customHeight="false" outlineLevel="0" collapsed="false">
      <c r="A1898" s="106" t="s">
        <v>6516</v>
      </c>
      <c r="B1898" s="106" t="s">
        <v>4284</v>
      </c>
      <c r="C1898" s="106"/>
      <c r="D1898" s="106" t="n">
        <v>1</v>
      </c>
      <c r="E1898" s="107" t="n">
        <v>1</v>
      </c>
      <c r="F1898" s="106" t="n">
        <v>1</v>
      </c>
      <c r="G1898" s="118" t="n">
        <v>1</v>
      </c>
      <c r="H1898" s="116" t="n">
        <v>0.75</v>
      </c>
      <c r="I1898" s="106" t="n">
        <v>0</v>
      </c>
      <c r="J1898" s="117" t="n">
        <v>0</v>
      </c>
      <c r="K1898" s="108" t="n">
        <v>0.75</v>
      </c>
      <c r="L1898" s="108" t="n">
        <v>0</v>
      </c>
      <c r="M1898" s="117"/>
      <c r="N1898" s="106"/>
      <c r="O1898" s="106"/>
      <c r="P1898" s="106"/>
      <c r="Q1898" s="106"/>
      <c r="R1898" s="106" t="s">
        <v>4537</v>
      </c>
    </row>
    <row r="1899" customFormat="false" ht="15" hidden="false" customHeight="false" outlineLevel="0" collapsed="false">
      <c r="A1899" s="106" t="s">
        <v>6517</v>
      </c>
      <c r="B1899" s="106" t="s">
        <v>4309</v>
      </c>
      <c r="C1899" s="106"/>
      <c r="D1899" s="106" t="n">
        <v>83</v>
      </c>
      <c r="E1899" s="107" t="n">
        <v>3</v>
      </c>
      <c r="F1899" s="106" t="n">
        <v>1</v>
      </c>
      <c r="G1899" s="118" t="n">
        <v>0.3333</v>
      </c>
      <c r="H1899" s="116" t="n">
        <v>0.75</v>
      </c>
      <c r="I1899" s="106" t="n">
        <v>0</v>
      </c>
      <c r="J1899" s="117" t="n">
        <v>0</v>
      </c>
      <c r="K1899" s="108" t="n">
        <v>0.75</v>
      </c>
      <c r="L1899" s="108" t="n">
        <v>0</v>
      </c>
      <c r="M1899" s="117"/>
      <c r="N1899" s="106"/>
      <c r="O1899" s="106"/>
      <c r="P1899" s="106"/>
      <c r="Q1899" s="106"/>
      <c r="R1899" s="106" t="s">
        <v>4537</v>
      </c>
    </row>
    <row r="1900" customFormat="false" ht="15" hidden="false" customHeight="false" outlineLevel="0" collapsed="false">
      <c r="A1900" s="106" t="s">
        <v>6518</v>
      </c>
      <c r="B1900" s="106" t="s">
        <v>4309</v>
      </c>
      <c r="C1900" s="106"/>
      <c r="D1900" s="106" t="n">
        <v>5336</v>
      </c>
      <c r="E1900" s="107" t="n">
        <v>3</v>
      </c>
      <c r="F1900" s="106" t="n">
        <v>1</v>
      </c>
      <c r="G1900" s="118" t="n">
        <v>0.3333</v>
      </c>
      <c r="H1900" s="116" t="n">
        <v>0.75</v>
      </c>
      <c r="I1900" s="106" t="n">
        <v>1</v>
      </c>
      <c r="J1900" s="117" t="n">
        <v>1</v>
      </c>
      <c r="K1900" s="108" t="n">
        <v>0.75</v>
      </c>
      <c r="L1900" s="108" t="n">
        <v>79.99</v>
      </c>
      <c r="M1900" s="117" t="n">
        <v>0.009</v>
      </c>
      <c r="N1900" s="106"/>
      <c r="O1900" s="106"/>
      <c r="P1900" s="106"/>
      <c r="Q1900" s="106"/>
      <c r="R1900" s="106" t="s">
        <v>4285</v>
      </c>
    </row>
    <row r="1901" customFormat="false" ht="15" hidden="false" customHeight="false" outlineLevel="0" collapsed="false">
      <c r="A1901" s="106" t="s">
        <v>6519</v>
      </c>
      <c r="B1901" s="106" t="s">
        <v>4329</v>
      </c>
      <c r="C1901" s="106"/>
      <c r="D1901" s="106" t="n">
        <v>6</v>
      </c>
      <c r="E1901" s="107" t="n">
        <v>7</v>
      </c>
      <c r="F1901" s="106" t="n">
        <v>1</v>
      </c>
      <c r="G1901" s="118" t="n">
        <v>0.1429</v>
      </c>
      <c r="H1901" s="116" t="n">
        <v>0.75</v>
      </c>
      <c r="I1901" s="106" t="n">
        <v>0</v>
      </c>
      <c r="J1901" s="117" t="n">
        <v>0</v>
      </c>
      <c r="K1901" s="108" t="n">
        <v>0.75</v>
      </c>
      <c r="L1901" s="108" t="n">
        <v>0</v>
      </c>
      <c r="M1901" s="117"/>
      <c r="N1901" s="106"/>
      <c r="O1901" s="106"/>
      <c r="P1901" s="106"/>
      <c r="Q1901" s="106"/>
      <c r="R1901" s="106" t="s">
        <v>4537</v>
      </c>
    </row>
    <row r="1902" customFormat="false" ht="15" hidden="false" customHeight="false" outlineLevel="0" collapsed="false">
      <c r="A1902" s="106" t="s">
        <v>6520</v>
      </c>
      <c r="B1902" s="106" t="s">
        <v>1403</v>
      </c>
      <c r="C1902" s="106"/>
      <c r="D1902" s="106"/>
      <c r="E1902" s="107" t="n">
        <v>4</v>
      </c>
      <c r="F1902" s="106" t="n">
        <v>1</v>
      </c>
      <c r="G1902" s="118" t="n">
        <v>0.25</v>
      </c>
      <c r="H1902" s="116" t="n">
        <v>0.75</v>
      </c>
      <c r="I1902" s="106" t="n">
        <v>1</v>
      </c>
      <c r="J1902" s="117" t="n">
        <v>1</v>
      </c>
      <c r="K1902" s="108" t="n">
        <v>0.75</v>
      </c>
      <c r="L1902" s="108" t="n">
        <v>79.99</v>
      </c>
      <c r="M1902" s="117" t="n">
        <v>0.009</v>
      </c>
      <c r="N1902" s="106"/>
      <c r="O1902" s="106"/>
      <c r="P1902" s="106"/>
      <c r="Q1902" s="106"/>
      <c r="R1902" s="106" t="s">
        <v>4285</v>
      </c>
    </row>
    <row r="1903" customFormat="false" ht="15" hidden="false" customHeight="false" outlineLevel="0" collapsed="false">
      <c r="A1903" s="106" t="s">
        <v>6521</v>
      </c>
      <c r="B1903" s="106" t="s">
        <v>4284</v>
      </c>
      <c r="C1903" s="106"/>
      <c r="D1903" s="106" t="n">
        <v>15</v>
      </c>
      <c r="E1903" s="107" t="n">
        <v>1</v>
      </c>
      <c r="F1903" s="106" t="n">
        <v>1</v>
      </c>
      <c r="G1903" s="118" t="n">
        <v>1</v>
      </c>
      <c r="H1903" s="116" t="n">
        <v>0.75</v>
      </c>
      <c r="I1903" s="106" t="n">
        <v>0</v>
      </c>
      <c r="J1903" s="117" t="n">
        <v>0</v>
      </c>
      <c r="K1903" s="108" t="n">
        <v>0.75</v>
      </c>
      <c r="L1903" s="108" t="n">
        <v>0</v>
      </c>
      <c r="M1903" s="117"/>
      <c r="N1903" s="106"/>
      <c r="O1903" s="106"/>
      <c r="P1903" s="106"/>
      <c r="Q1903" s="106"/>
      <c r="R1903" s="106" t="s">
        <v>4537</v>
      </c>
    </row>
    <row r="1904" customFormat="false" ht="15" hidden="false" customHeight="false" outlineLevel="0" collapsed="false">
      <c r="A1904" s="106" t="s">
        <v>6522</v>
      </c>
      <c r="B1904" s="106" t="s">
        <v>4280</v>
      </c>
      <c r="C1904" s="106"/>
      <c r="D1904" s="106" t="n">
        <v>6</v>
      </c>
      <c r="E1904" s="107" t="n">
        <v>7</v>
      </c>
      <c r="F1904" s="106" t="n">
        <v>1</v>
      </c>
      <c r="G1904" s="118" t="n">
        <v>0.1429</v>
      </c>
      <c r="H1904" s="116" t="n">
        <v>0.75</v>
      </c>
      <c r="I1904" s="106" t="n">
        <v>0</v>
      </c>
      <c r="J1904" s="117" t="n">
        <v>0</v>
      </c>
      <c r="K1904" s="108" t="n">
        <v>0.75</v>
      </c>
      <c r="L1904" s="108" t="n">
        <v>0</v>
      </c>
      <c r="M1904" s="117"/>
      <c r="N1904" s="106"/>
      <c r="O1904" s="106"/>
      <c r="P1904" s="106"/>
      <c r="Q1904" s="106"/>
      <c r="R1904" s="106" t="s">
        <v>4537</v>
      </c>
    </row>
    <row r="1905" customFormat="false" ht="15" hidden="false" customHeight="false" outlineLevel="0" collapsed="false">
      <c r="A1905" s="106" t="s">
        <v>6523</v>
      </c>
      <c r="B1905" s="106" t="s">
        <v>4280</v>
      </c>
      <c r="C1905" s="106"/>
      <c r="D1905" s="106" t="n">
        <v>4</v>
      </c>
      <c r="E1905" s="107" t="n">
        <v>1</v>
      </c>
      <c r="F1905" s="106" t="n">
        <v>1</v>
      </c>
      <c r="G1905" s="118" t="n">
        <v>1</v>
      </c>
      <c r="H1905" s="116" t="n">
        <v>0.75</v>
      </c>
      <c r="I1905" s="106" t="n">
        <v>0</v>
      </c>
      <c r="J1905" s="117" t="n">
        <v>0</v>
      </c>
      <c r="K1905" s="108" t="n">
        <v>0.75</v>
      </c>
      <c r="L1905" s="108" t="n">
        <v>0</v>
      </c>
      <c r="M1905" s="117"/>
      <c r="N1905" s="106"/>
      <c r="O1905" s="106"/>
      <c r="P1905" s="106"/>
      <c r="Q1905" s="106"/>
      <c r="R1905" s="106" t="s">
        <v>4537</v>
      </c>
    </row>
    <row r="1906" customFormat="false" ht="15" hidden="false" customHeight="false" outlineLevel="0" collapsed="false">
      <c r="A1906" s="106" t="s">
        <v>6524</v>
      </c>
      <c r="B1906" s="106" t="s">
        <v>4284</v>
      </c>
      <c r="C1906" s="106"/>
      <c r="D1906" s="106" t="n">
        <v>1</v>
      </c>
      <c r="E1906" s="107" t="n">
        <v>1</v>
      </c>
      <c r="F1906" s="106" t="n">
        <v>1</v>
      </c>
      <c r="G1906" s="118" t="n">
        <v>1</v>
      </c>
      <c r="H1906" s="116" t="n">
        <v>0.77</v>
      </c>
      <c r="I1906" s="106" t="n">
        <v>0</v>
      </c>
      <c r="J1906" s="117" t="n">
        <v>0</v>
      </c>
      <c r="K1906" s="108" t="n">
        <v>0.77</v>
      </c>
      <c r="L1906" s="108" t="n">
        <v>0</v>
      </c>
      <c r="M1906" s="117"/>
      <c r="N1906" s="106"/>
      <c r="O1906" s="106"/>
      <c r="P1906" s="106"/>
      <c r="Q1906" s="106"/>
      <c r="R1906" s="106" t="s">
        <v>4537</v>
      </c>
    </row>
    <row r="1907" customFormat="false" ht="15" hidden="false" customHeight="false" outlineLevel="0" collapsed="false">
      <c r="A1907" s="106" t="s">
        <v>6525</v>
      </c>
      <c r="B1907" s="106" t="s">
        <v>1403</v>
      </c>
      <c r="C1907" s="106"/>
      <c r="D1907" s="106"/>
      <c r="E1907" s="107" t="n">
        <v>9</v>
      </c>
      <c r="F1907" s="106" t="n">
        <v>1</v>
      </c>
      <c r="G1907" s="118" t="n">
        <v>0.1111</v>
      </c>
      <c r="H1907" s="116" t="n">
        <v>0.77</v>
      </c>
      <c r="I1907" s="106" t="n">
        <v>0</v>
      </c>
      <c r="J1907" s="117" t="n">
        <v>0</v>
      </c>
      <c r="K1907" s="108" t="n">
        <v>0.77</v>
      </c>
      <c r="L1907" s="108" t="n">
        <v>0</v>
      </c>
      <c r="M1907" s="117"/>
      <c r="N1907" s="106"/>
      <c r="O1907" s="106"/>
      <c r="P1907" s="106"/>
      <c r="Q1907" s="106"/>
      <c r="R1907" s="106" t="s">
        <v>4537</v>
      </c>
    </row>
    <row r="1908" customFormat="false" ht="15" hidden="false" customHeight="false" outlineLevel="0" collapsed="false">
      <c r="A1908" s="106" t="s">
        <v>6526</v>
      </c>
      <c r="B1908" s="106" t="s">
        <v>1403</v>
      </c>
      <c r="C1908" s="106"/>
      <c r="D1908" s="106"/>
      <c r="E1908" s="107" t="n">
        <v>4</v>
      </c>
      <c r="F1908" s="106" t="n">
        <v>1</v>
      </c>
      <c r="G1908" s="118" t="n">
        <v>0.25</v>
      </c>
      <c r="H1908" s="116" t="n">
        <v>0.77</v>
      </c>
      <c r="I1908" s="106" t="n">
        <v>1</v>
      </c>
      <c r="J1908" s="117" t="n">
        <v>1</v>
      </c>
      <c r="K1908" s="108" t="n">
        <v>0.77</v>
      </c>
      <c r="L1908" s="108" t="n">
        <v>69.99</v>
      </c>
      <c r="M1908" s="117" t="n">
        <v>0.011</v>
      </c>
      <c r="N1908" s="106"/>
      <c r="O1908" s="106"/>
      <c r="P1908" s="106"/>
      <c r="Q1908" s="106"/>
      <c r="R1908" s="106" t="s">
        <v>4285</v>
      </c>
    </row>
    <row r="1909" customFormat="false" ht="15" hidden="false" customHeight="false" outlineLevel="0" collapsed="false">
      <c r="A1909" s="106" t="s">
        <v>6527</v>
      </c>
      <c r="B1909" s="106" t="s">
        <v>4284</v>
      </c>
      <c r="C1909" s="106"/>
      <c r="D1909" s="106" t="n">
        <v>5</v>
      </c>
      <c r="E1909" s="107" t="n">
        <v>1</v>
      </c>
      <c r="F1909" s="106" t="n">
        <v>1</v>
      </c>
      <c r="G1909" s="118" t="n">
        <v>1</v>
      </c>
      <c r="H1909" s="116" t="n">
        <v>0.77</v>
      </c>
      <c r="I1909" s="106" t="n">
        <v>0</v>
      </c>
      <c r="J1909" s="117" t="n">
        <v>0</v>
      </c>
      <c r="K1909" s="108" t="n">
        <v>0.77</v>
      </c>
      <c r="L1909" s="108" t="n">
        <v>0</v>
      </c>
      <c r="M1909" s="117"/>
      <c r="N1909" s="106"/>
      <c r="O1909" s="106"/>
      <c r="P1909" s="106"/>
      <c r="Q1909" s="106"/>
      <c r="R1909" s="106" t="s">
        <v>4537</v>
      </c>
    </row>
    <row r="1910" customFormat="false" ht="15" hidden="false" customHeight="false" outlineLevel="0" collapsed="false">
      <c r="A1910" s="106" t="s">
        <v>6528</v>
      </c>
      <c r="B1910" s="106" t="s">
        <v>4280</v>
      </c>
      <c r="C1910" s="106"/>
      <c r="D1910" s="106"/>
      <c r="E1910" s="107" t="n">
        <v>2</v>
      </c>
      <c r="F1910" s="106" t="n">
        <v>1</v>
      </c>
      <c r="G1910" s="118" t="n">
        <v>0.5</v>
      </c>
      <c r="H1910" s="116" t="n">
        <v>0.76</v>
      </c>
      <c r="I1910" s="106" t="n">
        <v>0</v>
      </c>
      <c r="J1910" s="117" t="n">
        <v>0</v>
      </c>
      <c r="K1910" s="108" t="n">
        <v>0.76</v>
      </c>
      <c r="L1910" s="108" t="n">
        <v>0</v>
      </c>
      <c r="M1910" s="117"/>
      <c r="N1910" s="106"/>
      <c r="O1910" s="106"/>
      <c r="P1910" s="106"/>
      <c r="Q1910" s="106"/>
      <c r="R1910" s="106" t="s">
        <v>4537</v>
      </c>
    </row>
    <row r="1911" customFormat="false" ht="15" hidden="false" customHeight="false" outlineLevel="0" collapsed="false">
      <c r="A1911" s="106" t="s">
        <v>6529</v>
      </c>
      <c r="B1911" s="106" t="s">
        <v>4284</v>
      </c>
      <c r="C1911" s="106"/>
      <c r="D1911" s="106" t="n">
        <v>2625</v>
      </c>
      <c r="E1911" s="107" t="n">
        <v>1</v>
      </c>
      <c r="F1911" s="106" t="n">
        <v>1</v>
      </c>
      <c r="G1911" s="118" t="n">
        <v>1</v>
      </c>
      <c r="H1911" s="116" t="n">
        <v>0.75</v>
      </c>
      <c r="I1911" s="106" t="n">
        <v>0</v>
      </c>
      <c r="J1911" s="117" t="n">
        <v>0</v>
      </c>
      <c r="K1911" s="108" t="n">
        <v>0.75</v>
      </c>
      <c r="L1911" s="108" t="n">
        <v>0</v>
      </c>
      <c r="M1911" s="117"/>
      <c r="N1911" s="106"/>
      <c r="O1911" s="106"/>
      <c r="P1911" s="106"/>
      <c r="Q1911" s="106"/>
      <c r="R1911" s="106" t="s">
        <v>4537</v>
      </c>
    </row>
    <row r="1912" customFormat="false" ht="15" hidden="false" customHeight="false" outlineLevel="0" collapsed="false">
      <c r="A1912" s="106" t="s">
        <v>6530</v>
      </c>
      <c r="B1912" s="106" t="s">
        <v>4284</v>
      </c>
      <c r="C1912" s="106"/>
      <c r="D1912" s="106"/>
      <c r="E1912" s="107" t="n">
        <v>3</v>
      </c>
      <c r="F1912" s="106" t="n">
        <v>1</v>
      </c>
      <c r="G1912" s="118" t="n">
        <v>0.3333</v>
      </c>
      <c r="H1912" s="116" t="n">
        <v>0.75</v>
      </c>
      <c r="I1912" s="106" t="n">
        <v>0</v>
      </c>
      <c r="J1912" s="117" t="n">
        <v>0</v>
      </c>
      <c r="K1912" s="108" t="n">
        <v>0.75</v>
      </c>
      <c r="L1912" s="108" t="n">
        <v>0</v>
      </c>
      <c r="M1912" s="117"/>
      <c r="N1912" s="106"/>
      <c r="O1912" s="106"/>
      <c r="P1912" s="106"/>
      <c r="Q1912" s="106"/>
      <c r="R1912" s="106" t="s">
        <v>4537</v>
      </c>
    </row>
    <row r="1913" customFormat="false" ht="15" hidden="false" customHeight="false" outlineLevel="0" collapsed="false">
      <c r="A1913" s="106" t="s">
        <v>6531</v>
      </c>
      <c r="B1913" s="106" t="s">
        <v>4329</v>
      </c>
      <c r="C1913" s="106"/>
      <c r="D1913" s="106" t="n">
        <v>309</v>
      </c>
      <c r="E1913" s="107" t="n">
        <v>2</v>
      </c>
      <c r="F1913" s="106" t="n">
        <v>1</v>
      </c>
      <c r="G1913" s="118" t="n">
        <v>0.5</v>
      </c>
      <c r="H1913" s="116" t="n">
        <v>0.75</v>
      </c>
      <c r="I1913" s="106" t="n">
        <v>0</v>
      </c>
      <c r="J1913" s="117" t="n">
        <v>0</v>
      </c>
      <c r="K1913" s="108" t="n">
        <v>0.75</v>
      </c>
      <c r="L1913" s="108" t="n">
        <v>0</v>
      </c>
      <c r="M1913" s="117"/>
      <c r="N1913" s="106"/>
      <c r="O1913" s="106"/>
      <c r="P1913" s="106"/>
      <c r="Q1913" s="106"/>
      <c r="R1913" s="106" t="s">
        <v>4537</v>
      </c>
    </row>
    <row r="1914" customFormat="false" ht="15" hidden="false" customHeight="false" outlineLevel="0" collapsed="false">
      <c r="A1914" s="106" t="s">
        <v>6532</v>
      </c>
      <c r="B1914" s="106" t="s">
        <v>1403</v>
      </c>
      <c r="C1914" s="106"/>
      <c r="D1914" s="106"/>
      <c r="E1914" s="107" t="n">
        <v>5</v>
      </c>
      <c r="F1914" s="106" t="n">
        <v>1</v>
      </c>
      <c r="G1914" s="118" t="n">
        <v>0.2</v>
      </c>
      <c r="H1914" s="116" t="n">
        <v>0.78</v>
      </c>
      <c r="I1914" s="106" t="n">
        <v>0</v>
      </c>
      <c r="J1914" s="117" t="n">
        <v>0</v>
      </c>
      <c r="K1914" s="108" t="n">
        <v>0.78</v>
      </c>
      <c r="L1914" s="108" t="n">
        <v>0</v>
      </c>
      <c r="M1914" s="117"/>
      <c r="N1914" s="106"/>
      <c r="O1914" s="106"/>
      <c r="P1914" s="106"/>
      <c r="Q1914" s="106"/>
      <c r="R1914" s="106" t="s">
        <v>4537</v>
      </c>
    </row>
    <row r="1915" customFormat="false" ht="15" hidden="false" customHeight="false" outlineLevel="0" collapsed="false">
      <c r="A1915" s="106" t="s">
        <v>6533</v>
      </c>
      <c r="B1915" s="106" t="s">
        <v>1403</v>
      </c>
      <c r="C1915" s="106"/>
      <c r="D1915" s="106" t="n">
        <v>4</v>
      </c>
      <c r="E1915" s="107" t="n">
        <v>11</v>
      </c>
      <c r="F1915" s="106" t="n">
        <v>1</v>
      </c>
      <c r="G1915" s="118" t="n">
        <v>0.0909</v>
      </c>
      <c r="H1915" s="116" t="n">
        <v>0.78</v>
      </c>
      <c r="I1915" s="106" t="n">
        <v>0</v>
      </c>
      <c r="J1915" s="117" t="n">
        <v>0</v>
      </c>
      <c r="K1915" s="108" t="n">
        <v>0.78</v>
      </c>
      <c r="L1915" s="108" t="n">
        <v>0</v>
      </c>
      <c r="M1915" s="117"/>
      <c r="N1915" s="106"/>
      <c r="O1915" s="106"/>
      <c r="P1915" s="106"/>
      <c r="Q1915" s="106"/>
      <c r="R1915" s="106" t="s">
        <v>4537</v>
      </c>
    </row>
    <row r="1916" customFormat="false" ht="15" hidden="false" customHeight="false" outlineLevel="0" collapsed="false">
      <c r="A1916" s="106" t="s">
        <v>6534</v>
      </c>
      <c r="B1916" s="106" t="s">
        <v>1403</v>
      </c>
      <c r="C1916" s="106"/>
      <c r="D1916" s="106" t="n">
        <v>2</v>
      </c>
      <c r="E1916" s="107" t="n">
        <v>10</v>
      </c>
      <c r="F1916" s="106" t="n">
        <v>1</v>
      </c>
      <c r="G1916" s="118" t="n">
        <v>0.1</v>
      </c>
      <c r="H1916" s="116" t="n">
        <v>0.78</v>
      </c>
      <c r="I1916" s="106" t="n">
        <v>0</v>
      </c>
      <c r="J1916" s="117" t="n">
        <v>0</v>
      </c>
      <c r="K1916" s="108" t="n">
        <v>0.78</v>
      </c>
      <c r="L1916" s="108" t="n">
        <v>0</v>
      </c>
      <c r="M1916" s="117"/>
      <c r="N1916" s="106"/>
      <c r="O1916" s="106"/>
      <c r="P1916" s="106"/>
      <c r="Q1916" s="106"/>
      <c r="R1916" s="106" t="s">
        <v>4537</v>
      </c>
    </row>
    <row r="1917" customFormat="false" ht="15" hidden="false" customHeight="false" outlineLevel="0" collapsed="false">
      <c r="A1917" s="106" t="s">
        <v>6535</v>
      </c>
      <c r="B1917" s="106" t="s">
        <v>1403</v>
      </c>
      <c r="C1917" s="106"/>
      <c r="D1917" s="106"/>
      <c r="E1917" s="107" t="n">
        <v>5</v>
      </c>
      <c r="F1917" s="106" t="n">
        <v>1</v>
      </c>
      <c r="G1917" s="118" t="n">
        <v>0.2</v>
      </c>
      <c r="H1917" s="116" t="n">
        <v>0.78</v>
      </c>
      <c r="I1917" s="106" t="n">
        <v>0</v>
      </c>
      <c r="J1917" s="117" t="n">
        <v>0</v>
      </c>
      <c r="K1917" s="108" t="n">
        <v>0.78</v>
      </c>
      <c r="L1917" s="108" t="n">
        <v>0</v>
      </c>
      <c r="M1917" s="117"/>
      <c r="N1917" s="106"/>
      <c r="O1917" s="106"/>
      <c r="P1917" s="106"/>
      <c r="Q1917" s="106"/>
      <c r="R1917" s="106" t="s">
        <v>4537</v>
      </c>
    </row>
    <row r="1918" customFormat="false" ht="15" hidden="false" customHeight="false" outlineLevel="0" collapsed="false">
      <c r="A1918" s="106" t="s">
        <v>6536</v>
      </c>
      <c r="B1918" s="106" t="s">
        <v>4284</v>
      </c>
      <c r="C1918" s="106"/>
      <c r="D1918" s="106" t="n">
        <v>5</v>
      </c>
      <c r="E1918" s="107" t="n">
        <v>2</v>
      </c>
      <c r="F1918" s="106" t="n">
        <v>1</v>
      </c>
      <c r="G1918" s="118" t="n">
        <v>0.5</v>
      </c>
      <c r="H1918" s="116" t="n">
        <v>0.78</v>
      </c>
      <c r="I1918" s="106" t="n">
        <v>0</v>
      </c>
      <c r="J1918" s="117" t="n">
        <v>0</v>
      </c>
      <c r="K1918" s="108" t="n">
        <v>0.78</v>
      </c>
      <c r="L1918" s="108" t="n">
        <v>0</v>
      </c>
      <c r="M1918" s="117"/>
      <c r="N1918" s="106"/>
      <c r="O1918" s="106"/>
      <c r="P1918" s="106"/>
      <c r="Q1918" s="106"/>
      <c r="R1918" s="106" t="s">
        <v>4537</v>
      </c>
    </row>
    <row r="1919" customFormat="false" ht="15" hidden="false" customHeight="false" outlineLevel="0" collapsed="false">
      <c r="A1919" s="106" t="s">
        <v>6537</v>
      </c>
      <c r="B1919" s="106" t="s">
        <v>1403</v>
      </c>
      <c r="C1919" s="106"/>
      <c r="D1919" s="106"/>
      <c r="E1919" s="107" t="n">
        <v>2</v>
      </c>
      <c r="F1919" s="106" t="n">
        <v>1</v>
      </c>
      <c r="G1919" s="118" t="n">
        <v>0.5</v>
      </c>
      <c r="H1919" s="116" t="n">
        <v>0.77</v>
      </c>
      <c r="I1919" s="106" t="n">
        <v>0</v>
      </c>
      <c r="J1919" s="117" t="n">
        <v>0</v>
      </c>
      <c r="K1919" s="108" t="n">
        <v>0.77</v>
      </c>
      <c r="L1919" s="108" t="n">
        <v>0</v>
      </c>
      <c r="M1919" s="117"/>
      <c r="N1919" s="106"/>
      <c r="O1919" s="106"/>
      <c r="P1919" s="106"/>
      <c r="Q1919" s="106"/>
      <c r="R1919" s="106" t="s">
        <v>4537</v>
      </c>
    </row>
    <row r="1920" customFormat="false" ht="15" hidden="false" customHeight="false" outlineLevel="0" collapsed="false">
      <c r="A1920" s="106" t="s">
        <v>6538</v>
      </c>
      <c r="B1920" s="106" t="s">
        <v>1403</v>
      </c>
      <c r="C1920" s="106"/>
      <c r="D1920" s="106" t="n">
        <v>2</v>
      </c>
      <c r="E1920" s="107" t="n">
        <v>3</v>
      </c>
      <c r="F1920" s="106" t="n">
        <v>1</v>
      </c>
      <c r="G1920" s="118" t="n">
        <v>0.3333</v>
      </c>
      <c r="H1920" s="116" t="n">
        <v>0.77</v>
      </c>
      <c r="I1920" s="106" t="n">
        <v>0</v>
      </c>
      <c r="J1920" s="117" t="n">
        <v>0</v>
      </c>
      <c r="K1920" s="108" t="n">
        <v>0.77</v>
      </c>
      <c r="L1920" s="108" t="n">
        <v>0</v>
      </c>
      <c r="M1920" s="117"/>
      <c r="N1920" s="106"/>
      <c r="O1920" s="106"/>
      <c r="P1920" s="106"/>
      <c r="Q1920" s="106"/>
      <c r="R1920" s="106" t="s">
        <v>4537</v>
      </c>
    </row>
    <row r="1921" customFormat="false" ht="15" hidden="false" customHeight="false" outlineLevel="0" collapsed="false">
      <c r="A1921" s="106" t="s">
        <v>6539</v>
      </c>
      <c r="B1921" s="106" t="s">
        <v>4284</v>
      </c>
      <c r="C1921" s="106"/>
      <c r="D1921" s="106" t="n">
        <v>5</v>
      </c>
      <c r="E1921" s="107" t="n">
        <v>1</v>
      </c>
      <c r="F1921" s="106" t="n">
        <v>1</v>
      </c>
      <c r="G1921" s="118" t="n">
        <v>1</v>
      </c>
      <c r="H1921" s="116" t="n">
        <v>0.77</v>
      </c>
      <c r="I1921" s="106" t="n">
        <v>0</v>
      </c>
      <c r="J1921" s="117" t="n">
        <v>0</v>
      </c>
      <c r="K1921" s="108" t="n">
        <v>0.77</v>
      </c>
      <c r="L1921" s="108" t="n">
        <v>0</v>
      </c>
      <c r="M1921" s="117"/>
      <c r="N1921" s="106"/>
      <c r="O1921" s="106"/>
      <c r="P1921" s="106"/>
      <c r="Q1921" s="106"/>
      <c r="R1921" s="106" t="s">
        <v>4537</v>
      </c>
    </row>
    <row r="1922" customFormat="false" ht="15" hidden="false" customHeight="false" outlineLevel="0" collapsed="false">
      <c r="A1922" s="106" t="s">
        <v>6540</v>
      </c>
      <c r="B1922" s="106" t="s">
        <v>4284</v>
      </c>
      <c r="C1922" s="106"/>
      <c r="D1922" s="106"/>
      <c r="E1922" s="107" t="n">
        <v>2</v>
      </c>
      <c r="F1922" s="106" t="n">
        <v>1</v>
      </c>
      <c r="G1922" s="118" t="n">
        <v>0.5</v>
      </c>
      <c r="H1922" s="116" t="n">
        <v>0.73</v>
      </c>
      <c r="I1922" s="106" t="n">
        <v>0</v>
      </c>
      <c r="J1922" s="117" t="n">
        <v>0</v>
      </c>
      <c r="K1922" s="108" t="n">
        <v>0.73</v>
      </c>
      <c r="L1922" s="108" t="n">
        <v>0</v>
      </c>
      <c r="M1922" s="117"/>
      <c r="N1922" s="106"/>
      <c r="O1922" s="106"/>
      <c r="P1922" s="106"/>
      <c r="Q1922" s="106"/>
      <c r="R1922" s="106" t="s">
        <v>4537</v>
      </c>
    </row>
    <row r="1923" customFormat="false" ht="15" hidden="false" customHeight="false" outlineLevel="0" collapsed="false">
      <c r="A1923" s="106" t="s">
        <v>6541</v>
      </c>
      <c r="B1923" s="106" t="s">
        <v>4280</v>
      </c>
      <c r="C1923" s="106"/>
      <c r="D1923" s="106" t="n">
        <v>4</v>
      </c>
      <c r="E1923" s="107" t="n">
        <v>1</v>
      </c>
      <c r="F1923" s="106" t="n">
        <v>1</v>
      </c>
      <c r="G1923" s="118" t="n">
        <v>1</v>
      </c>
      <c r="H1923" s="116" t="n">
        <v>0.72</v>
      </c>
      <c r="I1923" s="106" t="n">
        <v>1</v>
      </c>
      <c r="J1923" s="117" t="n">
        <v>1</v>
      </c>
      <c r="K1923" s="108" t="n">
        <v>0.72</v>
      </c>
      <c r="L1923" s="108" t="n">
        <v>79.99</v>
      </c>
      <c r="M1923" s="117" t="n">
        <v>0.009</v>
      </c>
      <c r="N1923" s="106"/>
      <c r="O1923" s="106"/>
      <c r="P1923" s="106"/>
      <c r="Q1923" s="106"/>
      <c r="R1923" s="106" t="s">
        <v>4285</v>
      </c>
    </row>
    <row r="1924" customFormat="false" ht="15" hidden="false" customHeight="false" outlineLevel="0" collapsed="false">
      <c r="A1924" s="106" t="s">
        <v>6542</v>
      </c>
      <c r="B1924" s="106" t="s">
        <v>4280</v>
      </c>
      <c r="C1924" s="106"/>
      <c r="D1924" s="106" t="n">
        <v>3</v>
      </c>
      <c r="E1924" s="107" t="n">
        <v>1</v>
      </c>
      <c r="F1924" s="106" t="n">
        <v>1</v>
      </c>
      <c r="G1924" s="118" t="n">
        <v>1</v>
      </c>
      <c r="H1924" s="116" t="n">
        <v>0.72</v>
      </c>
      <c r="I1924" s="106" t="n">
        <v>0</v>
      </c>
      <c r="J1924" s="117" t="n">
        <v>0</v>
      </c>
      <c r="K1924" s="108" t="n">
        <v>0.72</v>
      </c>
      <c r="L1924" s="108" t="n">
        <v>0</v>
      </c>
      <c r="M1924" s="117"/>
      <c r="N1924" s="106"/>
      <c r="O1924" s="106"/>
      <c r="P1924" s="106"/>
      <c r="Q1924" s="106"/>
      <c r="R1924" s="106" t="s">
        <v>4537</v>
      </c>
    </row>
    <row r="1925" customFormat="false" ht="15" hidden="false" customHeight="false" outlineLevel="0" collapsed="false">
      <c r="A1925" s="106" t="s">
        <v>6543</v>
      </c>
      <c r="B1925" s="106" t="s">
        <v>4280</v>
      </c>
      <c r="C1925" s="106"/>
      <c r="D1925" s="106" t="n">
        <v>20</v>
      </c>
      <c r="E1925" s="107" t="n">
        <v>2</v>
      </c>
      <c r="F1925" s="106" t="n">
        <v>1</v>
      </c>
      <c r="G1925" s="118" t="n">
        <v>0.5</v>
      </c>
      <c r="H1925" s="116" t="n">
        <v>5.4</v>
      </c>
      <c r="I1925" s="106" t="n">
        <v>0</v>
      </c>
      <c r="J1925" s="117" t="n">
        <v>0</v>
      </c>
      <c r="K1925" s="108" t="n">
        <v>5.4</v>
      </c>
      <c r="L1925" s="108" t="n">
        <v>0</v>
      </c>
      <c r="M1925" s="117"/>
      <c r="N1925" s="106"/>
      <c r="O1925" s="106"/>
      <c r="P1925" s="106"/>
      <c r="Q1925" s="106"/>
      <c r="R1925" s="106" t="s">
        <v>4537</v>
      </c>
    </row>
    <row r="1926" customFormat="false" ht="15" hidden="false" customHeight="false" outlineLevel="0" collapsed="false">
      <c r="A1926" s="106" t="s">
        <v>6544</v>
      </c>
      <c r="B1926" s="106" t="s">
        <v>4280</v>
      </c>
      <c r="C1926" s="106"/>
      <c r="D1926" s="106" t="n">
        <v>10</v>
      </c>
      <c r="E1926" s="107" t="n">
        <v>5</v>
      </c>
      <c r="F1926" s="106" t="n">
        <v>1</v>
      </c>
      <c r="G1926" s="118" t="n">
        <v>0.2</v>
      </c>
      <c r="H1926" s="116" t="n">
        <v>5.22</v>
      </c>
      <c r="I1926" s="106" t="n">
        <v>0</v>
      </c>
      <c r="J1926" s="117" t="n">
        <v>0</v>
      </c>
      <c r="K1926" s="108" t="n">
        <v>5.22</v>
      </c>
      <c r="L1926" s="108" t="n">
        <v>0</v>
      </c>
      <c r="M1926" s="117"/>
      <c r="N1926" s="106"/>
      <c r="O1926" s="106"/>
      <c r="P1926" s="106"/>
      <c r="Q1926" s="106"/>
      <c r="R1926" s="106" t="s">
        <v>4537</v>
      </c>
    </row>
    <row r="1927" customFormat="false" ht="15" hidden="false" customHeight="false" outlineLevel="0" collapsed="false">
      <c r="A1927" s="106" t="s">
        <v>6545</v>
      </c>
      <c r="B1927" s="106" t="s">
        <v>4329</v>
      </c>
      <c r="C1927" s="106"/>
      <c r="D1927" s="106" t="n">
        <v>37</v>
      </c>
      <c r="E1927" s="107" t="n">
        <v>2</v>
      </c>
      <c r="F1927" s="106" t="n">
        <v>1</v>
      </c>
      <c r="G1927" s="118" t="n">
        <v>0.5</v>
      </c>
      <c r="H1927" s="116" t="n">
        <v>5.09</v>
      </c>
      <c r="I1927" s="106" t="n">
        <v>0</v>
      </c>
      <c r="J1927" s="117" t="n">
        <v>0</v>
      </c>
      <c r="K1927" s="108" t="n">
        <v>5.09</v>
      </c>
      <c r="L1927" s="108" t="n">
        <v>0</v>
      </c>
      <c r="M1927" s="117"/>
      <c r="N1927" s="106"/>
      <c r="O1927" s="106"/>
      <c r="P1927" s="106"/>
      <c r="Q1927" s="106"/>
      <c r="R1927" s="106" t="s">
        <v>4537</v>
      </c>
    </row>
    <row r="1928" customFormat="false" ht="15" hidden="false" customHeight="false" outlineLevel="0" collapsed="false">
      <c r="A1928" s="106" t="s">
        <v>6546</v>
      </c>
      <c r="B1928" s="106" t="s">
        <v>4280</v>
      </c>
      <c r="C1928" s="106" t="s">
        <v>4301</v>
      </c>
      <c r="D1928" s="106" t="n">
        <v>328</v>
      </c>
      <c r="E1928" s="107" t="n">
        <v>2</v>
      </c>
      <c r="F1928" s="106" t="n">
        <v>1</v>
      </c>
      <c r="G1928" s="118" t="n">
        <v>0.5</v>
      </c>
      <c r="H1928" s="116" t="n">
        <v>5.09</v>
      </c>
      <c r="I1928" s="106" t="n">
        <v>0</v>
      </c>
      <c r="J1928" s="117" t="n">
        <v>0</v>
      </c>
      <c r="K1928" s="108" t="n">
        <v>5.09</v>
      </c>
      <c r="L1928" s="108" t="n">
        <v>0</v>
      </c>
      <c r="M1928" s="117"/>
      <c r="N1928" s="106"/>
      <c r="O1928" s="106"/>
      <c r="P1928" s="106"/>
      <c r="Q1928" s="106"/>
      <c r="R1928" s="106" t="s">
        <v>4537</v>
      </c>
    </row>
    <row r="1929" customFormat="false" ht="15" hidden="false" customHeight="false" outlineLevel="0" collapsed="false">
      <c r="A1929" s="106" t="s">
        <v>6547</v>
      </c>
      <c r="B1929" s="106" t="s">
        <v>4329</v>
      </c>
      <c r="C1929" s="106"/>
      <c r="D1929" s="106" t="n">
        <v>15</v>
      </c>
      <c r="E1929" s="107" t="n">
        <v>1</v>
      </c>
      <c r="F1929" s="106" t="n">
        <v>1</v>
      </c>
      <c r="G1929" s="118" t="n">
        <v>1</v>
      </c>
      <c r="H1929" s="116" t="n">
        <v>4.59</v>
      </c>
      <c r="I1929" s="106" t="n">
        <v>1</v>
      </c>
      <c r="J1929" s="117" t="n">
        <v>1</v>
      </c>
      <c r="K1929" s="108" t="n">
        <v>4.59</v>
      </c>
      <c r="L1929" s="108" t="n">
        <v>84.99</v>
      </c>
      <c r="M1929" s="117" t="n">
        <v>0.054</v>
      </c>
      <c r="N1929" s="106"/>
      <c r="O1929" s="106"/>
      <c r="P1929" s="106"/>
      <c r="Q1929" s="106"/>
      <c r="R1929" s="106" t="s">
        <v>4285</v>
      </c>
    </row>
    <row r="1930" customFormat="false" ht="15" hidden="false" customHeight="false" outlineLevel="0" collapsed="false">
      <c r="A1930" s="106" t="s">
        <v>6548</v>
      </c>
      <c r="B1930" s="106" t="s">
        <v>4280</v>
      </c>
      <c r="C1930" s="106"/>
      <c r="D1930" s="106" t="n">
        <v>1</v>
      </c>
      <c r="E1930" s="107" t="n">
        <v>1</v>
      </c>
      <c r="F1930" s="106" t="n">
        <v>1</v>
      </c>
      <c r="G1930" s="118" t="n">
        <v>1</v>
      </c>
      <c r="H1930" s="116" t="n">
        <v>0.75</v>
      </c>
      <c r="I1930" s="106" t="n">
        <v>1</v>
      </c>
      <c r="J1930" s="117" t="n">
        <v>1</v>
      </c>
      <c r="K1930" s="108" t="n">
        <v>0.75</v>
      </c>
      <c r="L1930" s="108" t="n">
        <v>84.99</v>
      </c>
      <c r="M1930" s="117" t="n">
        <v>0.009</v>
      </c>
      <c r="N1930" s="106"/>
      <c r="O1930" s="106"/>
      <c r="P1930" s="106"/>
      <c r="Q1930" s="106"/>
      <c r="R1930" s="106" t="s">
        <v>4285</v>
      </c>
    </row>
    <row r="1931" customFormat="false" ht="15" hidden="false" customHeight="false" outlineLevel="0" collapsed="false">
      <c r="A1931" s="106" t="s">
        <v>6549</v>
      </c>
      <c r="B1931" s="106" t="s">
        <v>4329</v>
      </c>
      <c r="C1931" s="106"/>
      <c r="D1931" s="106"/>
      <c r="E1931" s="107" t="n">
        <v>17</v>
      </c>
      <c r="F1931" s="106" t="n">
        <v>1</v>
      </c>
      <c r="G1931" s="118" t="n">
        <v>0.0588</v>
      </c>
      <c r="H1931" s="116" t="n">
        <v>0.75</v>
      </c>
      <c r="I1931" s="106" t="n">
        <v>0</v>
      </c>
      <c r="J1931" s="117" t="n">
        <v>0</v>
      </c>
      <c r="K1931" s="108" t="n">
        <v>0.75</v>
      </c>
      <c r="L1931" s="108" t="n">
        <v>0</v>
      </c>
      <c r="M1931" s="117"/>
      <c r="N1931" s="106"/>
      <c r="O1931" s="106"/>
      <c r="P1931" s="106"/>
      <c r="Q1931" s="106"/>
      <c r="R1931" s="106" t="s">
        <v>4537</v>
      </c>
    </row>
    <row r="1932" customFormat="false" ht="15" hidden="false" customHeight="false" outlineLevel="0" collapsed="false">
      <c r="A1932" s="106" t="s">
        <v>6550</v>
      </c>
      <c r="B1932" s="106" t="s">
        <v>4284</v>
      </c>
      <c r="C1932" s="106"/>
      <c r="D1932" s="106" t="n">
        <v>4</v>
      </c>
      <c r="E1932" s="107" t="n">
        <v>1</v>
      </c>
      <c r="F1932" s="106" t="n">
        <v>1</v>
      </c>
      <c r="G1932" s="118" t="n">
        <v>1</v>
      </c>
      <c r="H1932" s="116" t="n">
        <v>0.75</v>
      </c>
      <c r="I1932" s="106" t="n">
        <v>0</v>
      </c>
      <c r="J1932" s="117" t="n">
        <v>0</v>
      </c>
      <c r="K1932" s="108" t="n">
        <v>0.75</v>
      </c>
      <c r="L1932" s="108" t="n">
        <v>0</v>
      </c>
      <c r="M1932" s="117"/>
      <c r="N1932" s="106"/>
      <c r="O1932" s="106"/>
      <c r="P1932" s="106"/>
      <c r="Q1932" s="106"/>
      <c r="R1932" s="106" t="s">
        <v>4537</v>
      </c>
    </row>
    <row r="1933" customFormat="false" ht="15" hidden="false" customHeight="false" outlineLevel="0" collapsed="false">
      <c r="A1933" s="106" t="s">
        <v>6551</v>
      </c>
      <c r="B1933" s="106" t="s">
        <v>4329</v>
      </c>
      <c r="C1933" s="106"/>
      <c r="D1933" s="106"/>
      <c r="E1933" s="107" t="n">
        <v>1</v>
      </c>
      <c r="F1933" s="106" t="n">
        <v>1</v>
      </c>
      <c r="G1933" s="118" t="n">
        <v>1</v>
      </c>
      <c r="H1933" s="116" t="n">
        <v>0.75</v>
      </c>
      <c r="I1933" s="106" t="n">
        <v>0</v>
      </c>
      <c r="J1933" s="117" t="n">
        <v>0</v>
      </c>
      <c r="K1933" s="108" t="n">
        <v>0.75</v>
      </c>
      <c r="L1933" s="108" t="n">
        <v>0</v>
      </c>
      <c r="M1933" s="117"/>
      <c r="N1933" s="106"/>
      <c r="O1933" s="106"/>
      <c r="P1933" s="106"/>
      <c r="Q1933" s="106"/>
      <c r="R1933" s="106" t="s">
        <v>4537</v>
      </c>
    </row>
    <row r="1934" customFormat="false" ht="15" hidden="false" customHeight="false" outlineLevel="0" collapsed="false">
      <c r="A1934" s="106" t="s">
        <v>6552</v>
      </c>
      <c r="B1934" s="106" t="s">
        <v>4280</v>
      </c>
      <c r="C1934" s="106"/>
      <c r="D1934" s="106"/>
      <c r="E1934" s="107" t="n">
        <v>1</v>
      </c>
      <c r="F1934" s="106" t="n">
        <v>1</v>
      </c>
      <c r="G1934" s="118" t="n">
        <v>1</v>
      </c>
      <c r="H1934" s="116" t="n">
        <v>0.74</v>
      </c>
      <c r="I1934" s="106" t="n">
        <v>0</v>
      </c>
      <c r="J1934" s="117" t="n">
        <v>0</v>
      </c>
      <c r="K1934" s="108" t="n">
        <v>0.74</v>
      </c>
      <c r="L1934" s="108" t="n">
        <v>0</v>
      </c>
      <c r="M1934" s="117"/>
      <c r="N1934" s="106"/>
      <c r="O1934" s="106"/>
      <c r="P1934" s="106"/>
      <c r="Q1934" s="106"/>
      <c r="R1934" s="106" t="s">
        <v>4537</v>
      </c>
    </row>
    <row r="1935" customFormat="false" ht="15" hidden="false" customHeight="false" outlineLevel="0" collapsed="false">
      <c r="A1935" s="106" t="s">
        <v>6553</v>
      </c>
      <c r="B1935" s="106" t="s">
        <v>1403</v>
      </c>
      <c r="C1935" s="106"/>
      <c r="D1935" s="106" t="n">
        <v>1</v>
      </c>
      <c r="E1935" s="107" t="n">
        <v>2</v>
      </c>
      <c r="F1935" s="106" t="n">
        <v>1</v>
      </c>
      <c r="G1935" s="118" t="n">
        <v>0.5</v>
      </c>
      <c r="H1935" s="116" t="n">
        <v>0.74</v>
      </c>
      <c r="I1935" s="106" t="n">
        <v>0</v>
      </c>
      <c r="J1935" s="117" t="n">
        <v>0</v>
      </c>
      <c r="K1935" s="108" t="n">
        <v>0.74</v>
      </c>
      <c r="L1935" s="108" t="n">
        <v>0</v>
      </c>
      <c r="M1935" s="117"/>
      <c r="N1935" s="106"/>
      <c r="O1935" s="106"/>
      <c r="P1935" s="106"/>
      <c r="Q1935" s="106"/>
      <c r="R1935" s="106" t="s">
        <v>4537</v>
      </c>
    </row>
    <row r="1936" customFormat="false" ht="15" hidden="false" customHeight="false" outlineLevel="0" collapsed="false">
      <c r="A1936" s="106" t="s">
        <v>6554</v>
      </c>
      <c r="B1936" s="106" t="s">
        <v>1403</v>
      </c>
      <c r="C1936" s="106"/>
      <c r="D1936" s="106"/>
      <c r="E1936" s="107" t="n">
        <v>11</v>
      </c>
      <c r="F1936" s="106" t="n">
        <v>1</v>
      </c>
      <c r="G1936" s="118" t="n">
        <v>0.0909</v>
      </c>
      <c r="H1936" s="116" t="n">
        <v>0.74</v>
      </c>
      <c r="I1936" s="106" t="n">
        <v>0</v>
      </c>
      <c r="J1936" s="117" t="n">
        <v>0</v>
      </c>
      <c r="K1936" s="108" t="n">
        <v>0.74</v>
      </c>
      <c r="L1936" s="108" t="n">
        <v>0</v>
      </c>
      <c r="M1936" s="117"/>
      <c r="N1936" s="106"/>
      <c r="O1936" s="106"/>
      <c r="P1936" s="106"/>
      <c r="Q1936" s="106"/>
      <c r="R1936" s="106" t="s">
        <v>4537</v>
      </c>
    </row>
    <row r="1937" customFormat="false" ht="15" hidden="false" customHeight="false" outlineLevel="0" collapsed="false">
      <c r="A1937" s="106" t="s">
        <v>4361</v>
      </c>
      <c r="B1937" s="106" t="s">
        <v>4284</v>
      </c>
      <c r="C1937" s="106"/>
      <c r="D1937" s="106"/>
      <c r="E1937" s="107" t="n">
        <v>1</v>
      </c>
      <c r="F1937" s="106" t="n">
        <v>1</v>
      </c>
      <c r="G1937" s="118" t="n">
        <v>1</v>
      </c>
      <c r="H1937" s="116" t="n">
        <v>0.73</v>
      </c>
      <c r="I1937" s="106" t="n">
        <v>0</v>
      </c>
      <c r="J1937" s="117" t="n">
        <v>0</v>
      </c>
      <c r="K1937" s="108" t="n">
        <v>0.73</v>
      </c>
      <c r="L1937" s="108" t="n">
        <v>0</v>
      </c>
      <c r="M1937" s="117"/>
      <c r="N1937" s="106"/>
      <c r="O1937" s="106"/>
      <c r="P1937" s="106"/>
      <c r="Q1937" s="106"/>
      <c r="R1937" s="106" t="s">
        <v>4537</v>
      </c>
    </row>
    <row r="1938" customFormat="false" ht="15" hidden="false" customHeight="false" outlineLevel="0" collapsed="false">
      <c r="A1938" s="106" t="s">
        <v>6555</v>
      </c>
      <c r="B1938" s="106" t="s">
        <v>4280</v>
      </c>
      <c r="C1938" s="106"/>
      <c r="D1938" s="106" t="n">
        <v>47</v>
      </c>
      <c r="E1938" s="107" t="n">
        <v>2</v>
      </c>
      <c r="F1938" s="106" t="n">
        <v>1</v>
      </c>
      <c r="G1938" s="118" t="n">
        <v>0.5</v>
      </c>
      <c r="H1938" s="116" t="n">
        <v>0.75</v>
      </c>
      <c r="I1938" s="106" t="n">
        <v>0</v>
      </c>
      <c r="J1938" s="117" t="n">
        <v>0</v>
      </c>
      <c r="K1938" s="108" t="n">
        <v>0.75</v>
      </c>
      <c r="L1938" s="108" t="n">
        <v>0</v>
      </c>
      <c r="M1938" s="117"/>
      <c r="N1938" s="106"/>
      <c r="O1938" s="106"/>
      <c r="P1938" s="106"/>
      <c r="Q1938" s="106"/>
      <c r="R1938" s="106" t="s">
        <v>4537</v>
      </c>
    </row>
    <row r="1939" customFormat="false" ht="15" hidden="false" customHeight="false" outlineLevel="0" collapsed="false">
      <c r="A1939" s="106" t="s">
        <v>6556</v>
      </c>
      <c r="B1939" s="106" t="s">
        <v>1403</v>
      </c>
      <c r="C1939" s="106"/>
      <c r="D1939" s="106" t="n">
        <v>4290</v>
      </c>
      <c r="E1939" s="107" t="n">
        <v>2</v>
      </c>
      <c r="F1939" s="106" t="n">
        <v>1</v>
      </c>
      <c r="G1939" s="118" t="n">
        <v>0.5</v>
      </c>
      <c r="H1939" s="116" t="n">
        <v>0.75</v>
      </c>
      <c r="I1939" s="106" t="n">
        <v>0</v>
      </c>
      <c r="J1939" s="117" t="n">
        <v>0</v>
      </c>
      <c r="K1939" s="108" t="n">
        <v>0.75</v>
      </c>
      <c r="L1939" s="108" t="n">
        <v>0</v>
      </c>
      <c r="M1939" s="117"/>
      <c r="N1939" s="106"/>
      <c r="O1939" s="106"/>
      <c r="P1939" s="106"/>
      <c r="Q1939" s="106"/>
      <c r="R1939" s="106" t="s">
        <v>4537</v>
      </c>
    </row>
    <row r="1940" customFormat="false" ht="15" hidden="false" customHeight="false" outlineLevel="0" collapsed="false">
      <c r="A1940" s="106" t="s">
        <v>6557</v>
      </c>
      <c r="B1940" s="106" t="s">
        <v>4280</v>
      </c>
      <c r="C1940" s="106"/>
      <c r="D1940" s="106" t="n">
        <v>4</v>
      </c>
      <c r="E1940" s="107" t="n">
        <v>1</v>
      </c>
      <c r="F1940" s="106" t="n">
        <v>1</v>
      </c>
      <c r="G1940" s="118" t="n">
        <v>1</v>
      </c>
      <c r="H1940" s="116" t="n">
        <v>0.75</v>
      </c>
      <c r="I1940" s="106" t="n">
        <v>0</v>
      </c>
      <c r="J1940" s="117" t="n">
        <v>0</v>
      </c>
      <c r="K1940" s="108" t="n">
        <v>0.75</v>
      </c>
      <c r="L1940" s="108" t="n">
        <v>0</v>
      </c>
      <c r="M1940" s="117"/>
      <c r="N1940" s="106"/>
      <c r="O1940" s="106"/>
      <c r="P1940" s="106"/>
      <c r="Q1940" s="106"/>
      <c r="R1940" s="106" t="s">
        <v>4537</v>
      </c>
    </row>
    <row r="1941" customFormat="false" ht="15" hidden="false" customHeight="false" outlineLevel="0" collapsed="false">
      <c r="A1941" s="106" t="s">
        <v>4346</v>
      </c>
      <c r="B1941" s="106" t="s">
        <v>4284</v>
      </c>
      <c r="C1941" s="106"/>
      <c r="D1941" s="106" t="n">
        <v>15189</v>
      </c>
      <c r="E1941" s="107" t="n">
        <v>3</v>
      </c>
      <c r="F1941" s="106" t="n">
        <v>1</v>
      </c>
      <c r="G1941" s="118" t="n">
        <v>0.3333</v>
      </c>
      <c r="H1941" s="116" t="n">
        <v>0.75</v>
      </c>
      <c r="I1941" s="106" t="n">
        <v>0</v>
      </c>
      <c r="J1941" s="117" t="n">
        <v>0</v>
      </c>
      <c r="K1941" s="108" t="n">
        <v>0.75</v>
      </c>
      <c r="L1941" s="108" t="n">
        <v>0</v>
      </c>
      <c r="M1941" s="117"/>
      <c r="N1941" s="106"/>
      <c r="O1941" s="106"/>
      <c r="P1941" s="106"/>
      <c r="Q1941" s="106"/>
      <c r="R1941" s="106" t="s">
        <v>4537</v>
      </c>
    </row>
    <row r="1942" customFormat="false" ht="15" hidden="false" customHeight="false" outlineLevel="0" collapsed="false">
      <c r="A1942" s="106" t="s">
        <v>6558</v>
      </c>
      <c r="B1942" s="106" t="s">
        <v>4284</v>
      </c>
      <c r="C1942" s="106"/>
      <c r="D1942" s="106" t="n">
        <v>185</v>
      </c>
      <c r="E1942" s="107" t="n">
        <v>1</v>
      </c>
      <c r="F1942" s="106" t="n">
        <v>1</v>
      </c>
      <c r="G1942" s="118" t="n">
        <v>1</v>
      </c>
      <c r="H1942" s="116" t="n">
        <v>0.75</v>
      </c>
      <c r="I1942" s="106" t="n">
        <v>0</v>
      </c>
      <c r="J1942" s="117" t="n">
        <v>0</v>
      </c>
      <c r="K1942" s="108" t="n">
        <v>0.75</v>
      </c>
      <c r="L1942" s="108" t="n">
        <v>0</v>
      </c>
      <c r="M1942" s="117"/>
      <c r="N1942" s="106"/>
      <c r="O1942" s="106"/>
      <c r="P1942" s="106"/>
      <c r="Q1942" s="106"/>
      <c r="R1942" s="106" t="s">
        <v>4537</v>
      </c>
    </row>
    <row r="1943" customFormat="false" ht="15" hidden="false" customHeight="false" outlineLevel="0" collapsed="false">
      <c r="A1943" s="106" t="s">
        <v>4436</v>
      </c>
      <c r="B1943" s="106" t="s">
        <v>1403</v>
      </c>
      <c r="C1943" s="106"/>
      <c r="D1943" s="106" t="n">
        <v>514</v>
      </c>
      <c r="E1943" s="107" t="n">
        <v>2</v>
      </c>
      <c r="F1943" s="106" t="n">
        <v>1</v>
      </c>
      <c r="G1943" s="118" t="n">
        <v>0.5</v>
      </c>
      <c r="H1943" s="116" t="n">
        <v>0.75</v>
      </c>
      <c r="I1943" s="106" t="n">
        <v>0</v>
      </c>
      <c r="J1943" s="117" t="n">
        <v>0</v>
      </c>
      <c r="K1943" s="108" t="n">
        <v>0.75</v>
      </c>
      <c r="L1943" s="108" t="n">
        <v>0</v>
      </c>
      <c r="M1943" s="117"/>
      <c r="N1943" s="106"/>
      <c r="O1943" s="106"/>
      <c r="P1943" s="106"/>
      <c r="Q1943" s="106"/>
      <c r="R1943" s="106" t="s">
        <v>4537</v>
      </c>
    </row>
    <row r="1944" customFormat="false" ht="15" hidden="false" customHeight="false" outlineLevel="0" collapsed="false">
      <c r="A1944" s="106" t="s">
        <v>6559</v>
      </c>
      <c r="B1944" s="106" t="s">
        <v>1403</v>
      </c>
      <c r="C1944" s="106"/>
      <c r="D1944" s="106" t="n">
        <v>608</v>
      </c>
      <c r="E1944" s="107" t="n">
        <v>1</v>
      </c>
      <c r="F1944" s="106" t="n">
        <v>1</v>
      </c>
      <c r="G1944" s="118" t="n">
        <v>1</v>
      </c>
      <c r="H1944" s="116" t="n">
        <v>0.75</v>
      </c>
      <c r="I1944" s="106" t="n">
        <v>0</v>
      </c>
      <c r="J1944" s="117" t="n">
        <v>0</v>
      </c>
      <c r="K1944" s="108" t="n">
        <v>0.75</v>
      </c>
      <c r="L1944" s="108" t="n">
        <v>0</v>
      </c>
      <c r="M1944" s="117"/>
      <c r="N1944" s="106"/>
      <c r="O1944" s="106"/>
      <c r="P1944" s="106"/>
      <c r="Q1944" s="106"/>
      <c r="R1944" s="106" t="s">
        <v>4537</v>
      </c>
    </row>
    <row r="1945" customFormat="false" ht="15" hidden="false" customHeight="false" outlineLevel="0" collapsed="false">
      <c r="A1945" s="106" t="s">
        <v>6560</v>
      </c>
      <c r="B1945" s="106" t="s">
        <v>1403</v>
      </c>
      <c r="C1945" s="106"/>
      <c r="D1945" s="106"/>
      <c r="E1945" s="107" t="n">
        <v>13</v>
      </c>
      <c r="F1945" s="106" t="n">
        <v>1</v>
      </c>
      <c r="G1945" s="118" t="n">
        <v>0.0769</v>
      </c>
      <c r="H1945" s="116" t="n">
        <v>0.75</v>
      </c>
      <c r="I1945" s="106" t="n">
        <v>0</v>
      </c>
      <c r="J1945" s="117" t="n">
        <v>0</v>
      </c>
      <c r="K1945" s="108" t="n">
        <v>0.75</v>
      </c>
      <c r="L1945" s="108" t="n">
        <v>0</v>
      </c>
      <c r="M1945" s="117"/>
      <c r="N1945" s="106"/>
      <c r="O1945" s="106"/>
      <c r="P1945" s="106"/>
      <c r="Q1945" s="106"/>
      <c r="R1945" s="106" t="s">
        <v>4537</v>
      </c>
    </row>
    <row r="1946" customFormat="false" ht="15" hidden="false" customHeight="false" outlineLevel="0" collapsed="false">
      <c r="A1946" s="106" t="s">
        <v>6561</v>
      </c>
      <c r="B1946" s="106" t="s">
        <v>4280</v>
      </c>
      <c r="C1946" s="106"/>
      <c r="D1946" s="106" t="n">
        <v>2</v>
      </c>
      <c r="E1946" s="107" t="n">
        <v>2</v>
      </c>
      <c r="F1946" s="106" t="n">
        <v>1</v>
      </c>
      <c r="G1946" s="118" t="n">
        <v>0.5</v>
      </c>
      <c r="H1946" s="116" t="n">
        <v>0.75</v>
      </c>
      <c r="I1946" s="106" t="n">
        <v>0</v>
      </c>
      <c r="J1946" s="117" t="n">
        <v>0</v>
      </c>
      <c r="K1946" s="108" t="n">
        <v>0.75</v>
      </c>
      <c r="L1946" s="108" t="n">
        <v>0</v>
      </c>
      <c r="M1946" s="117"/>
      <c r="N1946" s="106"/>
      <c r="O1946" s="106"/>
      <c r="P1946" s="106"/>
      <c r="Q1946" s="106"/>
      <c r="R1946" s="106" t="s">
        <v>4537</v>
      </c>
    </row>
    <row r="1947" customFormat="false" ht="15" hidden="false" customHeight="false" outlineLevel="0" collapsed="false">
      <c r="A1947" s="106" t="s">
        <v>6562</v>
      </c>
      <c r="B1947" s="106" t="s">
        <v>4329</v>
      </c>
      <c r="C1947" s="106"/>
      <c r="D1947" s="106" t="n">
        <v>6</v>
      </c>
      <c r="E1947" s="107" t="n">
        <v>1</v>
      </c>
      <c r="F1947" s="106" t="n">
        <v>1</v>
      </c>
      <c r="G1947" s="118" t="n">
        <v>1</v>
      </c>
      <c r="H1947" s="116" t="n">
        <v>0.75</v>
      </c>
      <c r="I1947" s="106" t="n">
        <v>0</v>
      </c>
      <c r="J1947" s="117" t="n">
        <v>0</v>
      </c>
      <c r="K1947" s="108" t="n">
        <v>0.75</v>
      </c>
      <c r="L1947" s="108" t="n">
        <v>0</v>
      </c>
      <c r="M1947" s="117"/>
      <c r="N1947" s="106"/>
      <c r="O1947" s="106"/>
      <c r="P1947" s="106"/>
      <c r="Q1947" s="106"/>
      <c r="R1947" s="106" t="s">
        <v>4537</v>
      </c>
    </row>
    <row r="1948" customFormat="false" ht="15" hidden="false" customHeight="false" outlineLevel="0" collapsed="false">
      <c r="A1948" s="106" t="s">
        <v>6563</v>
      </c>
      <c r="B1948" s="106" t="s">
        <v>4329</v>
      </c>
      <c r="C1948" s="106"/>
      <c r="D1948" s="106" t="n">
        <v>6</v>
      </c>
      <c r="E1948" s="107" t="n">
        <v>5</v>
      </c>
      <c r="F1948" s="106" t="n">
        <v>1</v>
      </c>
      <c r="G1948" s="118" t="n">
        <v>0.2</v>
      </c>
      <c r="H1948" s="116" t="n">
        <v>0.75</v>
      </c>
      <c r="I1948" s="106" t="n">
        <v>0</v>
      </c>
      <c r="J1948" s="117" t="n">
        <v>0</v>
      </c>
      <c r="K1948" s="108" t="n">
        <v>0.75</v>
      </c>
      <c r="L1948" s="108" t="n">
        <v>0</v>
      </c>
      <c r="M1948" s="117"/>
      <c r="N1948" s="106"/>
      <c r="O1948" s="106"/>
      <c r="P1948" s="106"/>
      <c r="Q1948" s="106"/>
      <c r="R1948" s="106" t="s">
        <v>4537</v>
      </c>
    </row>
    <row r="1949" customFormat="false" ht="15" hidden="false" customHeight="false" outlineLevel="0" collapsed="false">
      <c r="A1949" s="106" t="s">
        <v>6564</v>
      </c>
      <c r="B1949" s="106" t="s">
        <v>4280</v>
      </c>
      <c r="C1949" s="106"/>
      <c r="D1949" s="106" t="n">
        <v>4</v>
      </c>
      <c r="E1949" s="107" t="n">
        <v>1</v>
      </c>
      <c r="F1949" s="106" t="n">
        <v>1</v>
      </c>
      <c r="G1949" s="118" t="n">
        <v>1</v>
      </c>
      <c r="H1949" s="116" t="n">
        <v>0.75</v>
      </c>
      <c r="I1949" s="106" t="n">
        <v>0</v>
      </c>
      <c r="J1949" s="117" t="n">
        <v>0</v>
      </c>
      <c r="K1949" s="108" t="n">
        <v>0.75</v>
      </c>
      <c r="L1949" s="108" t="n">
        <v>0</v>
      </c>
      <c r="M1949" s="117"/>
      <c r="N1949" s="106"/>
      <c r="O1949" s="106"/>
      <c r="P1949" s="106"/>
      <c r="Q1949" s="106"/>
      <c r="R1949" s="106" t="s">
        <v>4537</v>
      </c>
    </row>
    <row r="1950" customFormat="false" ht="15" hidden="false" customHeight="false" outlineLevel="0" collapsed="false">
      <c r="A1950" s="106" t="s">
        <v>6565</v>
      </c>
      <c r="B1950" s="106" t="s">
        <v>4329</v>
      </c>
      <c r="C1950" s="106"/>
      <c r="D1950" s="106" t="n">
        <v>287</v>
      </c>
      <c r="E1950" s="107" t="n">
        <v>5</v>
      </c>
      <c r="F1950" s="106" t="n">
        <v>1</v>
      </c>
      <c r="G1950" s="118" t="n">
        <v>0.2</v>
      </c>
      <c r="H1950" s="116" t="n">
        <v>0.75</v>
      </c>
      <c r="I1950" s="106" t="n">
        <v>0</v>
      </c>
      <c r="J1950" s="117" t="n">
        <v>0</v>
      </c>
      <c r="K1950" s="108" t="n">
        <v>0.75</v>
      </c>
      <c r="L1950" s="108" t="n">
        <v>0</v>
      </c>
      <c r="M1950" s="117"/>
      <c r="N1950" s="106"/>
      <c r="O1950" s="106"/>
      <c r="P1950" s="106"/>
      <c r="Q1950" s="106"/>
      <c r="R1950" s="106" t="s">
        <v>4537</v>
      </c>
    </row>
    <row r="1951" customFormat="false" ht="15" hidden="false" customHeight="false" outlineLevel="0" collapsed="false">
      <c r="A1951" s="106" t="s">
        <v>6566</v>
      </c>
      <c r="B1951" s="106" t="s">
        <v>4280</v>
      </c>
      <c r="C1951" s="106"/>
      <c r="D1951" s="106"/>
      <c r="E1951" s="107" t="n">
        <v>5</v>
      </c>
      <c r="F1951" s="106" t="n">
        <v>1</v>
      </c>
      <c r="G1951" s="118" t="n">
        <v>0.2</v>
      </c>
      <c r="H1951" s="116" t="n">
        <v>0.75</v>
      </c>
      <c r="I1951" s="106" t="n">
        <v>0</v>
      </c>
      <c r="J1951" s="117" t="n">
        <v>0</v>
      </c>
      <c r="K1951" s="108" t="n">
        <v>0.75</v>
      </c>
      <c r="L1951" s="108" t="n">
        <v>0</v>
      </c>
      <c r="M1951" s="117"/>
      <c r="N1951" s="106"/>
      <c r="O1951" s="106"/>
      <c r="P1951" s="106"/>
      <c r="Q1951" s="106"/>
      <c r="R1951" s="106" t="s">
        <v>4537</v>
      </c>
    </row>
    <row r="1952" customFormat="false" ht="15" hidden="false" customHeight="false" outlineLevel="0" collapsed="false">
      <c r="A1952" s="106" t="s">
        <v>6567</v>
      </c>
      <c r="B1952" s="106" t="s">
        <v>4309</v>
      </c>
      <c r="C1952" s="106"/>
      <c r="D1952" s="106" t="n">
        <v>596</v>
      </c>
      <c r="E1952" s="107" t="n">
        <v>19</v>
      </c>
      <c r="F1952" s="106" t="n">
        <v>1</v>
      </c>
      <c r="G1952" s="118" t="n">
        <v>0.0526</v>
      </c>
      <c r="H1952" s="116" t="n">
        <v>0.75</v>
      </c>
      <c r="I1952" s="106" t="n">
        <v>0</v>
      </c>
      <c r="J1952" s="117" t="n">
        <v>0</v>
      </c>
      <c r="K1952" s="108" t="n">
        <v>0.75</v>
      </c>
      <c r="L1952" s="108" t="n">
        <v>0</v>
      </c>
      <c r="M1952" s="117"/>
      <c r="N1952" s="106"/>
      <c r="O1952" s="106"/>
      <c r="P1952" s="106"/>
      <c r="Q1952" s="106"/>
      <c r="R1952" s="106" t="s">
        <v>4537</v>
      </c>
    </row>
    <row r="1953" customFormat="false" ht="15" hidden="false" customHeight="false" outlineLevel="0" collapsed="false">
      <c r="A1953" s="106" t="s">
        <v>6568</v>
      </c>
      <c r="B1953" s="106" t="s">
        <v>4309</v>
      </c>
      <c r="C1953" s="106"/>
      <c r="D1953" s="106" t="n">
        <v>8876</v>
      </c>
      <c r="E1953" s="107" t="n">
        <v>5</v>
      </c>
      <c r="F1953" s="106" t="n">
        <v>1</v>
      </c>
      <c r="G1953" s="118" t="n">
        <v>0.2</v>
      </c>
      <c r="H1953" s="116" t="n">
        <v>0.75</v>
      </c>
      <c r="I1953" s="106" t="n">
        <v>0</v>
      </c>
      <c r="J1953" s="117" t="n">
        <v>0</v>
      </c>
      <c r="K1953" s="108" t="n">
        <v>0.75</v>
      </c>
      <c r="L1953" s="108" t="n">
        <v>0</v>
      </c>
      <c r="M1953" s="117"/>
      <c r="N1953" s="106"/>
      <c r="O1953" s="106"/>
      <c r="P1953" s="106"/>
      <c r="Q1953" s="106"/>
      <c r="R1953" s="106" t="s">
        <v>4537</v>
      </c>
    </row>
    <row r="1954" customFormat="false" ht="15" hidden="false" customHeight="false" outlineLevel="0" collapsed="false">
      <c r="A1954" s="106" t="s">
        <v>6569</v>
      </c>
      <c r="B1954" s="106" t="s">
        <v>4284</v>
      </c>
      <c r="C1954" s="106"/>
      <c r="D1954" s="106" t="n">
        <v>6</v>
      </c>
      <c r="E1954" s="107" t="n">
        <v>2</v>
      </c>
      <c r="F1954" s="106" t="n">
        <v>1</v>
      </c>
      <c r="G1954" s="118" t="n">
        <v>0.5</v>
      </c>
      <c r="H1954" s="116" t="n">
        <v>0.63</v>
      </c>
      <c r="I1954" s="106" t="n">
        <v>0</v>
      </c>
      <c r="J1954" s="117" t="n">
        <v>0</v>
      </c>
      <c r="K1954" s="108" t="n">
        <v>0.63</v>
      </c>
      <c r="L1954" s="108" t="n">
        <v>0</v>
      </c>
      <c r="M1954" s="117"/>
      <c r="N1954" s="106"/>
      <c r="O1954" s="106"/>
      <c r="P1954" s="106"/>
      <c r="Q1954" s="106"/>
      <c r="R1954" s="106" t="s">
        <v>4537</v>
      </c>
    </row>
    <row r="1955" customFormat="false" ht="15" hidden="false" customHeight="false" outlineLevel="0" collapsed="false">
      <c r="A1955" s="106" t="s">
        <v>6570</v>
      </c>
      <c r="B1955" s="106" t="s">
        <v>4284</v>
      </c>
      <c r="C1955" s="106"/>
      <c r="D1955" s="106"/>
      <c r="E1955" s="107" t="n">
        <v>2</v>
      </c>
      <c r="F1955" s="106" t="n">
        <v>1</v>
      </c>
      <c r="G1955" s="118" t="n">
        <v>0.5</v>
      </c>
      <c r="H1955" s="116" t="n">
        <v>0.63</v>
      </c>
      <c r="I1955" s="106" t="n">
        <v>0</v>
      </c>
      <c r="J1955" s="117" t="n">
        <v>0</v>
      </c>
      <c r="K1955" s="108" t="n">
        <v>0.63</v>
      </c>
      <c r="L1955" s="108" t="n">
        <v>0</v>
      </c>
      <c r="M1955" s="117"/>
      <c r="N1955" s="106"/>
      <c r="O1955" s="106"/>
      <c r="P1955" s="106"/>
      <c r="Q1955" s="106"/>
      <c r="R1955" s="106" t="s">
        <v>4537</v>
      </c>
    </row>
    <row r="1956" customFormat="false" ht="15" hidden="false" customHeight="false" outlineLevel="0" collapsed="false">
      <c r="A1956" s="106" t="s">
        <v>6571</v>
      </c>
      <c r="B1956" s="106" t="s">
        <v>1403</v>
      </c>
      <c r="C1956" s="106"/>
      <c r="D1956" s="106"/>
      <c r="E1956" s="107" t="n">
        <v>3</v>
      </c>
      <c r="F1956" s="106" t="n">
        <v>1</v>
      </c>
      <c r="G1956" s="118" t="n">
        <v>0.3333</v>
      </c>
      <c r="H1956" s="116" t="n">
        <v>0.62</v>
      </c>
      <c r="I1956" s="106" t="n">
        <v>0</v>
      </c>
      <c r="J1956" s="117" t="n">
        <v>0</v>
      </c>
      <c r="K1956" s="108" t="n">
        <v>0.62</v>
      </c>
      <c r="L1956" s="108" t="n">
        <v>0</v>
      </c>
      <c r="M1956" s="117"/>
      <c r="N1956" s="106"/>
      <c r="O1956" s="106"/>
      <c r="P1956" s="106"/>
      <c r="Q1956" s="106"/>
      <c r="R1956" s="106" t="s">
        <v>4537</v>
      </c>
    </row>
    <row r="1957" customFormat="false" ht="15" hidden="false" customHeight="false" outlineLevel="0" collapsed="false">
      <c r="A1957" s="106" t="s">
        <v>6572</v>
      </c>
      <c r="B1957" s="106" t="s">
        <v>1403</v>
      </c>
      <c r="C1957" s="106"/>
      <c r="D1957" s="106"/>
      <c r="E1957" s="107" t="n">
        <v>7</v>
      </c>
      <c r="F1957" s="106" t="n">
        <v>1</v>
      </c>
      <c r="G1957" s="118" t="n">
        <v>0.1429</v>
      </c>
      <c r="H1957" s="116" t="n">
        <v>0.62</v>
      </c>
      <c r="I1957" s="106" t="n">
        <v>1</v>
      </c>
      <c r="J1957" s="117" t="n">
        <v>1</v>
      </c>
      <c r="K1957" s="108" t="n">
        <v>0.62</v>
      </c>
      <c r="L1957" s="108" t="n">
        <v>22.99</v>
      </c>
      <c r="M1957" s="117" t="n">
        <v>0.027</v>
      </c>
      <c r="N1957" s="106"/>
      <c r="O1957" s="106"/>
      <c r="P1957" s="106"/>
      <c r="Q1957" s="106"/>
      <c r="R1957" s="106" t="s">
        <v>4285</v>
      </c>
    </row>
    <row r="1958" customFormat="false" ht="15" hidden="false" customHeight="false" outlineLevel="0" collapsed="false">
      <c r="A1958" s="106" t="s">
        <v>4358</v>
      </c>
      <c r="B1958" s="106" t="s">
        <v>4309</v>
      </c>
      <c r="C1958" s="106"/>
      <c r="D1958" s="106" t="n">
        <v>30207</v>
      </c>
      <c r="E1958" s="107" t="n">
        <v>5</v>
      </c>
      <c r="F1958" s="106" t="n">
        <v>1</v>
      </c>
      <c r="G1958" s="118" t="n">
        <v>0.2</v>
      </c>
      <c r="H1958" s="116" t="n">
        <v>0.6</v>
      </c>
      <c r="I1958" s="106" t="n">
        <v>0</v>
      </c>
      <c r="J1958" s="117" t="n">
        <v>0</v>
      </c>
      <c r="K1958" s="108" t="n">
        <v>0.6</v>
      </c>
      <c r="L1958" s="108" t="n">
        <v>0</v>
      </c>
      <c r="M1958" s="117"/>
      <c r="N1958" s="106"/>
      <c r="O1958" s="106"/>
      <c r="P1958" s="106"/>
      <c r="Q1958" s="106"/>
      <c r="R1958" s="106" t="s">
        <v>4537</v>
      </c>
    </row>
    <row r="1959" customFormat="false" ht="15" hidden="false" customHeight="false" outlineLevel="0" collapsed="false">
      <c r="A1959" s="106" t="s">
        <v>6573</v>
      </c>
      <c r="B1959" s="106" t="s">
        <v>4329</v>
      </c>
      <c r="C1959" s="106"/>
      <c r="D1959" s="106" t="n">
        <v>3</v>
      </c>
      <c r="E1959" s="107" t="n">
        <v>1</v>
      </c>
      <c r="F1959" s="106" t="n">
        <v>1</v>
      </c>
      <c r="G1959" s="118" t="n">
        <v>1</v>
      </c>
      <c r="H1959" s="116" t="n">
        <v>0.6</v>
      </c>
      <c r="I1959" s="106" t="n">
        <v>1</v>
      </c>
      <c r="J1959" s="117" t="n">
        <v>1</v>
      </c>
      <c r="K1959" s="108" t="n">
        <v>0.6</v>
      </c>
      <c r="L1959" s="108" t="n">
        <v>84.99</v>
      </c>
      <c r="M1959" s="117" t="n">
        <v>0.007</v>
      </c>
      <c r="N1959" s="106"/>
      <c r="O1959" s="106"/>
      <c r="P1959" s="106"/>
      <c r="Q1959" s="106"/>
      <c r="R1959" s="106" t="s">
        <v>4285</v>
      </c>
    </row>
    <row r="1960" customFormat="false" ht="15" hidden="false" customHeight="false" outlineLevel="0" collapsed="false">
      <c r="A1960" s="106" t="s">
        <v>6574</v>
      </c>
      <c r="B1960" s="106" t="s">
        <v>4329</v>
      </c>
      <c r="C1960" s="106"/>
      <c r="D1960" s="106"/>
      <c r="E1960" s="107" t="n">
        <v>3</v>
      </c>
      <c r="F1960" s="106" t="n">
        <v>1</v>
      </c>
      <c r="G1960" s="118" t="n">
        <v>0.3333</v>
      </c>
      <c r="H1960" s="116" t="n">
        <v>0.59</v>
      </c>
      <c r="I1960" s="106" t="n">
        <v>0</v>
      </c>
      <c r="J1960" s="117" t="n">
        <v>0</v>
      </c>
      <c r="K1960" s="108" t="n">
        <v>0.59</v>
      </c>
      <c r="L1960" s="108" t="n">
        <v>0</v>
      </c>
      <c r="M1960" s="117"/>
      <c r="N1960" s="106"/>
      <c r="O1960" s="106"/>
      <c r="P1960" s="106"/>
      <c r="Q1960" s="106"/>
      <c r="R1960" s="106" t="s">
        <v>4537</v>
      </c>
    </row>
    <row r="1961" customFormat="false" ht="15" hidden="false" customHeight="false" outlineLevel="0" collapsed="false">
      <c r="A1961" s="106" t="s">
        <v>6575</v>
      </c>
      <c r="B1961" s="106" t="s">
        <v>1403</v>
      </c>
      <c r="C1961" s="106"/>
      <c r="D1961" s="106" t="n">
        <v>2</v>
      </c>
      <c r="E1961" s="107" t="n">
        <v>7</v>
      </c>
      <c r="F1961" s="106" t="n">
        <v>1</v>
      </c>
      <c r="G1961" s="118" t="n">
        <v>0.1429</v>
      </c>
      <c r="H1961" s="116" t="n">
        <v>0.59</v>
      </c>
      <c r="I1961" s="106" t="n">
        <v>0</v>
      </c>
      <c r="J1961" s="117" t="n">
        <v>0</v>
      </c>
      <c r="K1961" s="108" t="n">
        <v>0.59</v>
      </c>
      <c r="L1961" s="108" t="n">
        <v>0</v>
      </c>
      <c r="M1961" s="117"/>
      <c r="N1961" s="106"/>
      <c r="O1961" s="106"/>
      <c r="P1961" s="106"/>
      <c r="Q1961" s="106"/>
      <c r="R1961" s="106" t="s">
        <v>4537</v>
      </c>
    </row>
    <row r="1962" customFormat="false" ht="15" hidden="false" customHeight="false" outlineLevel="0" collapsed="false">
      <c r="A1962" s="106" t="s">
        <v>6576</v>
      </c>
      <c r="B1962" s="106" t="s">
        <v>1403</v>
      </c>
      <c r="C1962" s="106"/>
      <c r="D1962" s="106"/>
      <c r="E1962" s="107" t="n">
        <v>2</v>
      </c>
      <c r="F1962" s="106" t="n">
        <v>1</v>
      </c>
      <c r="G1962" s="118" t="n">
        <v>0.5</v>
      </c>
      <c r="H1962" s="116" t="n">
        <v>0.68</v>
      </c>
      <c r="I1962" s="106" t="n">
        <v>1</v>
      </c>
      <c r="J1962" s="117" t="n">
        <v>1</v>
      </c>
      <c r="K1962" s="108" t="n">
        <v>0.68</v>
      </c>
      <c r="L1962" s="108" t="n">
        <v>21.99</v>
      </c>
      <c r="M1962" s="117" t="n">
        <v>0.031</v>
      </c>
      <c r="N1962" s="106"/>
      <c r="O1962" s="106"/>
      <c r="P1962" s="106"/>
      <c r="Q1962" s="106"/>
      <c r="R1962" s="106" t="s">
        <v>4285</v>
      </c>
    </row>
    <row r="1963" customFormat="false" ht="15" hidden="false" customHeight="false" outlineLevel="0" collapsed="false">
      <c r="A1963" s="106" t="s">
        <v>6577</v>
      </c>
      <c r="B1963" s="106" t="s">
        <v>4280</v>
      </c>
      <c r="C1963" s="106" t="s">
        <v>4288</v>
      </c>
      <c r="D1963" s="106" t="n">
        <v>527</v>
      </c>
      <c r="E1963" s="107" t="n">
        <v>12</v>
      </c>
      <c r="F1963" s="106" t="n">
        <v>1</v>
      </c>
      <c r="G1963" s="118" t="n">
        <v>0.0833</v>
      </c>
      <c r="H1963" s="116" t="n">
        <v>0.66</v>
      </c>
      <c r="I1963" s="106" t="n">
        <v>0</v>
      </c>
      <c r="J1963" s="117" t="n">
        <v>0</v>
      </c>
      <c r="K1963" s="108" t="n">
        <v>0.66</v>
      </c>
      <c r="L1963" s="108" t="n">
        <v>0</v>
      </c>
      <c r="M1963" s="117"/>
      <c r="N1963" s="106"/>
      <c r="O1963" s="106"/>
      <c r="P1963" s="106"/>
      <c r="Q1963" s="106"/>
      <c r="R1963" s="106" t="s">
        <v>4537</v>
      </c>
    </row>
    <row r="1964" customFormat="false" ht="15" hidden="false" customHeight="false" outlineLevel="0" collapsed="false">
      <c r="A1964" s="106" t="s">
        <v>6578</v>
      </c>
      <c r="B1964" s="106" t="s">
        <v>1403</v>
      </c>
      <c r="C1964" s="106"/>
      <c r="D1964" s="106"/>
      <c r="E1964" s="107" t="n">
        <v>6</v>
      </c>
      <c r="F1964" s="106" t="n">
        <v>1</v>
      </c>
      <c r="G1964" s="118" t="n">
        <v>0.1667</v>
      </c>
      <c r="H1964" s="116" t="n">
        <v>0.66</v>
      </c>
      <c r="I1964" s="106" t="n">
        <v>1</v>
      </c>
      <c r="J1964" s="117" t="n">
        <v>1</v>
      </c>
      <c r="K1964" s="108" t="n">
        <v>0.66</v>
      </c>
      <c r="L1964" s="108" t="n">
        <v>19.95</v>
      </c>
      <c r="M1964" s="117" t="n">
        <v>0.033</v>
      </c>
      <c r="N1964" s="106"/>
      <c r="O1964" s="106"/>
      <c r="P1964" s="106"/>
      <c r="Q1964" s="106"/>
      <c r="R1964" s="106" t="s">
        <v>4285</v>
      </c>
    </row>
    <row r="1965" customFormat="false" ht="15" hidden="false" customHeight="false" outlineLevel="0" collapsed="false">
      <c r="A1965" s="106" t="s">
        <v>6579</v>
      </c>
      <c r="B1965" s="106" t="s">
        <v>1403</v>
      </c>
      <c r="C1965" s="106"/>
      <c r="D1965" s="106"/>
      <c r="E1965" s="107" t="n">
        <v>6</v>
      </c>
      <c r="F1965" s="106" t="n">
        <v>1</v>
      </c>
      <c r="G1965" s="118" t="n">
        <v>0.1667</v>
      </c>
      <c r="H1965" s="116" t="n">
        <v>0.65</v>
      </c>
      <c r="I1965" s="106" t="n">
        <v>0</v>
      </c>
      <c r="J1965" s="117" t="n">
        <v>0</v>
      </c>
      <c r="K1965" s="108" t="n">
        <v>0.65</v>
      </c>
      <c r="L1965" s="108" t="n">
        <v>0</v>
      </c>
      <c r="M1965" s="117"/>
      <c r="N1965" s="106"/>
      <c r="O1965" s="106"/>
      <c r="P1965" s="106"/>
      <c r="Q1965" s="106"/>
      <c r="R1965" s="106" t="s">
        <v>4537</v>
      </c>
    </row>
    <row r="1966" customFormat="false" ht="15" hidden="false" customHeight="false" outlineLevel="0" collapsed="false">
      <c r="A1966" s="106" t="s">
        <v>6580</v>
      </c>
      <c r="B1966" s="106" t="s">
        <v>4329</v>
      </c>
      <c r="C1966" s="106"/>
      <c r="D1966" s="106" t="n">
        <v>2</v>
      </c>
      <c r="E1966" s="107" t="n">
        <v>2</v>
      </c>
      <c r="F1966" s="106" t="n">
        <v>1</v>
      </c>
      <c r="G1966" s="118" t="n">
        <v>0.5</v>
      </c>
      <c r="H1966" s="116" t="n">
        <v>0.64</v>
      </c>
      <c r="I1966" s="106" t="n">
        <v>0</v>
      </c>
      <c r="J1966" s="117" t="n">
        <v>0</v>
      </c>
      <c r="K1966" s="108" t="n">
        <v>0.64</v>
      </c>
      <c r="L1966" s="108" t="n">
        <v>0</v>
      </c>
      <c r="M1966" s="117"/>
      <c r="N1966" s="106"/>
      <c r="O1966" s="106"/>
      <c r="P1966" s="106"/>
      <c r="Q1966" s="106"/>
      <c r="R1966" s="106" t="s">
        <v>4537</v>
      </c>
    </row>
    <row r="1967" customFormat="false" ht="15" hidden="false" customHeight="false" outlineLevel="0" collapsed="false">
      <c r="A1967" s="106" t="s">
        <v>6581</v>
      </c>
      <c r="B1967" s="106" t="s">
        <v>4284</v>
      </c>
      <c r="C1967" s="106"/>
      <c r="D1967" s="106"/>
      <c r="E1967" s="107" t="n">
        <v>13</v>
      </c>
      <c r="F1967" s="106" t="n">
        <v>1</v>
      </c>
      <c r="G1967" s="118" t="n">
        <v>0.0769</v>
      </c>
      <c r="H1967" s="116" t="n">
        <v>0.64</v>
      </c>
      <c r="I1967" s="106" t="n">
        <v>0</v>
      </c>
      <c r="J1967" s="117" t="n">
        <v>0</v>
      </c>
      <c r="K1967" s="108" t="n">
        <v>0.64</v>
      </c>
      <c r="L1967" s="108" t="n">
        <v>0</v>
      </c>
      <c r="M1967" s="117"/>
      <c r="N1967" s="106"/>
      <c r="O1967" s="106"/>
      <c r="P1967" s="106"/>
      <c r="Q1967" s="106"/>
      <c r="R1967" s="106" t="s">
        <v>4537</v>
      </c>
    </row>
    <row r="1968" customFormat="false" ht="15" hidden="false" customHeight="false" outlineLevel="0" collapsed="false">
      <c r="A1968" s="106" t="s">
        <v>6582</v>
      </c>
      <c r="B1968" s="106" t="s">
        <v>1403</v>
      </c>
      <c r="C1968" s="106"/>
      <c r="D1968" s="106"/>
      <c r="E1968" s="107" t="n">
        <v>5</v>
      </c>
      <c r="F1968" s="106" t="n">
        <v>1</v>
      </c>
      <c r="G1968" s="118" t="n">
        <v>0.2</v>
      </c>
      <c r="H1968" s="116" t="n">
        <v>0.64</v>
      </c>
      <c r="I1968" s="106" t="n">
        <v>0</v>
      </c>
      <c r="J1968" s="117" t="n">
        <v>0</v>
      </c>
      <c r="K1968" s="108" t="n">
        <v>0.64</v>
      </c>
      <c r="L1968" s="108" t="n">
        <v>0</v>
      </c>
      <c r="M1968" s="117"/>
      <c r="N1968" s="106"/>
      <c r="O1968" s="106"/>
      <c r="P1968" s="106"/>
      <c r="Q1968" s="106"/>
      <c r="R1968" s="106" t="s">
        <v>4537</v>
      </c>
    </row>
    <row r="1969" customFormat="false" ht="15" hidden="false" customHeight="false" outlineLevel="0" collapsed="false">
      <c r="A1969" s="106" t="s">
        <v>6583</v>
      </c>
      <c r="B1969" s="106" t="s">
        <v>4284</v>
      </c>
      <c r="C1969" s="106"/>
      <c r="D1969" s="106" t="n">
        <v>12</v>
      </c>
      <c r="E1969" s="107" t="n">
        <v>5</v>
      </c>
      <c r="F1969" s="106" t="n">
        <v>1</v>
      </c>
      <c r="G1969" s="118" t="n">
        <v>0.2</v>
      </c>
      <c r="H1969" s="116" t="n">
        <v>0.63</v>
      </c>
      <c r="I1969" s="106" t="n">
        <v>0</v>
      </c>
      <c r="J1969" s="117" t="n">
        <v>0</v>
      </c>
      <c r="K1969" s="108" t="n">
        <v>0.63</v>
      </c>
      <c r="L1969" s="108" t="n">
        <v>0</v>
      </c>
      <c r="M1969" s="117"/>
      <c r="N1969" s="106"/>
      <c r="O1969" s="106"/>
      <c r="P1969" s="106"/>
      <c r="Q1969" s="106"/>
      <c r="R1969" s="106" t="s">
        <v>4537</v>
      </c>
    </row>
    <row r="1970" customFormat="false" ht="15" hidden="false" customHeight="false" outlineLevel="0" collapsed="false">
      <c r="A1970" s="106" t="s">
        <v>6584</v>
      </c>
      <c r="B1970" s="106" t="s">
        <v>4284</v>
      </c>
      <c r="C1970" s="106"/>
      <c r="D1970" s="106" t="n">
        <v>3</v>
      </c>
      <c r="E1970" s="107" t="n">
        <v>3</v>
      </c>
      <c r="F1970" s="106" t="n">
        <v>1</v>
      </c>
      <c r="G1970" s="118" t="n">
        <v>0.3333</v>
      </c>
      <c r="H1970" s="116" t="n">
        <v>0.69</v>
      </c>
      <c r="I1970" s="106" t="n">
        <v>0</v>
      </c>
      <c r="J1970" s="117" t="n">
        <v>0</v>
      </c>
      <c r="K1970" s="108" t="n">
        <v>0.69</v>
      </c>
      <c r="L1970" s="108" t="n">
        <v>0</v>
      </c>
      <c r="M1970" s="117"/>
      <c r="N1970" s="106"/>
      <c r="O1970" s="106"/>
      <c r="P1970" s="106"/>
      <c r="Q1970" s="106"/>
      <c r="R1970" s="106" t="s">
        <v>4537</v>
      </c>
    </row>
    <row r="1971" customFormat="false" ht="15" hidden="false" customHeight="false" outlineLevel="0" collapsed="false">
      <c r="A1971" s="106" t="s">
        <v>6585</v>
      </c>
      <c r="B1971" s="106" t="s">
        <v>4284</v>
      </c>
      <c r="C1971" s="106"/>
      <c r="D1971" s="106" t="n">
        <v>21</v>
      </c>
      <c r="E1971" s="107" t="n">
        <v>1</v>
      </c>
      <c r="F1971" s="106" t="n">
        <v>1</v>
      </c>
      <c r="G1971" s="118" t="n">
        <v>1</v>
      </c>
      <c r="H1971" s="116" t="n">
        <v>0.69</v>
      </c>
      <c r="I1971" s="106" t="n">
        <v>1</v>
      </c>
      <c r="J1971" s="117" t="n">
        <v>1</v>
      </c>
      <c r="K1971" s="108" t="n">
        <v>0.69</v>
      </c>
      <c r="L1971" s="108" t="n">
        <v>84.99</v>
      </c>
      <c r="M1971" s="117" t="n">
        <v>0.008</v>
      </c>
      <c r="N1971" s="106"/>
      <c r="O1971" s="106"/>
      <c r="P1971" s="106"/>
      <c r="Q1971" s="106"/>
      <c r="R1971" s="106" t="s">
        <v>4285</v>
      </c>
    </row>
    <row r="1972" customFormat="false" ht="15" hidden="false" customHeight="false" outlineLevel="0" collapsed="false">
      <c r="A1972" s="106" t="s">
        <v>6586</v>
      </c>
      <c r="B1972" s="106" t="s">
        <v>4280</v>
      </c>
      <c r="C1972" s="106"/>
      <c r="D1972" s="106"/>
      <c r="E1972" s="107" t="n">
        <v>2</v>
      </c>
      <c r="F1972" s="106" t="n">
        <v>1</v>
      </c>
      <c r="G1972" s="118" t="n">
        <v>0.5</v>
      </c>
      <c r="H1972" s="116" t="n">
        <v>0.69</v>
      </c>
      <c r="I1972" s="106" t="n">
        <v>0</v>
      </c>
      <c r="J1972" s="117" t="n">
        <v>0</v>
      </c>
      <c r="K1972" s="108" t="n">
        <v>0.69</v>
      </c>
      <c r="L1972" s="108" t="n">
        <v>0</v>
      </c>
      <c r="M1972" s="117"/>
      <c r="N1972" s="106"/>
      <c r="O1972" s="106"/>
      <c r="P1972" s="106"/>
      <c r="Q1972" s="106"/>
      <c r="R1972" s="106" t="s">
        <v>4537</v>
      </c>
    </row>
    <row r="1973" customFormat="false" ht="15" hidden="false" customHeight="false" outlineLevel="0" collapsed="false">
      <c r="A1973" s="106" t="s">
        <v>6587</v>
      </c>
      <c r="B1973" s="106" t="s">
        <v>4280</v>
      </c>
      <c r="C1973" s="106"/>
      <c r="D1973" s="106"/>
      <c r="E1973" s="107" t="n">
        <v>3</v>
      </c>
      <c r="F1973" s="106" t="n">
        <v>1</v>
      </c>
      <c r="G1973" s="118" t="n">
        <v>0.3333</v>
      </c>
      <c r="H1973" s="116" t="n">
        <v>0.69</v>
      </c>
      <c r="I1973" s="106" t="n">
        <v>0</v>
      </c>
      <c r="J1973" s="117" t="n">
        <v>0</v>
      </c>
      <c r="K1973" s="108" t="n">
        <v>0.69</v>
      </c>
      <c r="L1973" s="108" t="n">
        <v>0</v>
      </c>
      <c r="M1973" s="117"/>
      <c r="N1973" s="106"/>
      <c r="O1973" s="106"/>
      <c r="P1973" s="106"/>
      <c r="Q1973" s="106"/>
      <c r="R1973" s="106" t="s">
        <v>4537</v>
      </c>
    </row>
    <row r="1974" customFormat="false" ht="15" hidden="false" customHeight="false" outlineLevel="0" collapsed="false">
      <c r="A1974" s="106" t="s">
        <v>6588</v>
      </c>
      <c r="B1974" s="106" t="s">
        <v>4280</v>
      </c>
      <c r="C1974" s="106"/>
      <c r="D1974" s="106"/>
      <c r="E1974" s="107" t="n">
        <v>1</v>
      </c>
      <c r="F1974" s="106" t="n">
        <v>1</v>
      </c>
      <c r="G1974" s="118" t="n">
        <v>1</v>
      </c>
      <c r="H1974" s="116" t="n">
        <v>0.68</v>
      </c>
      <c r="I1974" s="106" t="n">
        <v>0</v>
      </c>
      <c r="J1974" s="117" t="n">
        <v>0</v>
      </c>
      <c r="K1974" s="108" t="n">
        <v>0.68</v>
      </c>
      <c r="L1974" s="108" t="n">
        <v>0</v>
      </c>
      <c r="M1974" s="117"/>
      <c r="N1974" s="106"/>
      <c r="O1974" s="106"/>
      <c r="P1974" s="106"/>
      <c r="Q1974" s="106"/>
      <c r="R1974" s="106" t="s">
        <v>4537</v>
      </c>
    </row>
    <row r="1975" customFormat="false" ht="15" hidden="false" customHeight="false" outlineLevel="0" collapsed="false">
      <c r="A1975" s="106" t="s">
        <v>6589</v>
      </c>
      <c r="B1975" s="106" t="s">
        <v>4329</v>
      </c>
      <c r="C1975" s="106"/>
      <c r="D1975" s="106"/>
      <c r="E1975" s="107" t="n">
        <v>2</v>
      </c>
      <c r="F1975" s="106" t="n">
        <v>1</v>
      </c>
      <c r="G1975" s="118" t="n">
        <v>0.5</v>
      </c>
      <c r="H1975" s="116" t="n">
        <v>0.68</v>
      </c>
      <c r="I1975" s="106" t="n">
        <v>0</v>
      </c>
      <c r="J1975" s="117" t="n">
        <v>0</v>
      </c>
      <c r="K1975" s="108" t="n">
        <v>0.68</v>
      </c>
      <c r="L1975" s="108" t="n">
        <v>0</v>
      </c>
      <c r="M1975" s="117"/>
      <c r="N1975" s="106"/>
      <c r="O1975" s="106"/>
      <c r="P1975" s="106"/>
      <c r="Q1975" s="106"/>
      <c r="R1975" s="106" t="s">
        <v>4537</v>
      </c>
    </row>
    <row r="1976" customFormat="false" ht="15" hidden="false" customHeight="false" outlineLevel="0" collapsed="false">
      <c r="A1976" s="106" t="s">
        <v>6590</v>
      </c>
      <c r="B1976" s="106" t="s">
        <v>4284</v>
      </c>
      <c r="C1976" s="106"/>
      <c r="D1976" s="106" t="n">
        <v>9</v>
      </c>
      <c r="E1976" s="107" t="n">
        <v>1</v>
      </c>
      <c r="F1976" s="106" t="n">
        <v>1</v>
      </c>
      <c r="G1976" s="118" t="n">
        <v>1</v>
      </c>
      <c r="H1976" s="116" t="n">
        <v>0.68</v>
      </c>
      <c r="I1976" s="106" t="n">
        <v>0</v>
      </c>
      <c r="J1976" s="117" t="n">
        <v>0</v>
      </c>
      <c r="K1976" s="108" t="n">
        <v>0.68</v>
      </c>
      <c r="L1976" s="108" t="n">
        <v>0</v>
      </c>
      <c r="M1976" s="117"/>
      <c r="N1976" s="106"/>
      <c r="O1976" s="106"/>
      <c r="P1976" s="106"/>
      <c r="Q1976" s="106"/>
      <c r="R1976" s="106" t="s">
        <v>4537</v>
      </c>
    </row>
    <row r="1977" customFormat="false" ht="15" hidden="false" customHeight="false" outlineLevel="0" collapsed="false">
      <c r="A1977" s="106" t="s">
        <v>6591</v>
      </c>
      <c r="B1977" s="106" t="s">
        <v>4280</v>
      </c>
      <c r="C1977" s="106"/>
      <c r="D1977" s="106" t="n">
        <v>46</v>
      </c>
      <c r="E1977" s="107" t="n">
        <v>2</v>
      </c>
      <c r="F1977" s="106" t="n">
        <v>1</v>
      </c>
      <c r="G1977" s="118" t="n">
        <v>0.5</v>
      </c>
      <c r="H1977" s="116" t="n">
        <v>0.68</v>
      </c>
      <c r="I1977" s="106" t="n">
        <v>0</v>
      </c>
      <c r="J1977" s="117" t="n">
        <v>0</v>
      </c>
      <c r="K1977" s="108" t="n">
        <v>0.68</v>
      </c>
      <c r="L1977" s="108" t="n">
        <v>0</v>
      </c>
      <c r="M1977" s="117"/>
      <c r="N1977" s="106"/>
      <c r="O1977" s="106"/>
      <c r="P1977" s="106"/>
      <c r="Q1977" s="106"/>
      <c r="R1977" s="106" t="s">
        <v>4537</v>
      </c>
    </row>
    <row r="1978" customFormat="false" ht="15" hidden="false" customHeight="false" outlineLevel="0" collapsed="false">
      <c r="A1978" s="106" t="s">
        <v>6592</v>
      </c>
      <c r="B1978" s="106" t="s">
        <v>4284</v>
      </c>
      <c r="C1978" s="106"/>
      <c r="D1978" s="106" t="n">
        <v>8</v>
      </c>
      <c r="E1978" s="107" t="n">
        <v>3</v>
      </c>
      <c r="F1978" s="106" t="n">
        <v>1</v>
      </c>
      <c r="G1978" s="118" t="n">
        <v>0.3333</v>
      </c>
      <c r="H1978" s="116" t="n">
        <v>0.72</v>
      </c>
      <c r="I1978" s="106" t="n">
        <v>0</v>
      </c>
      <c r="J1978" s="117" t="n">
        <v>0</v>
      </c>
      <c r="K1978" s="108" t="n">
        <v>0.72</v>
      </c>
      <c r="L1978" s="108" t="n">
        <v>0</v>
      </c>
      <c r="M1978" s="117"/>
      <c r="N1978" s="106"/>
      <c r="O1978" s="106"/>
      <c r="P1978" s="106"/>
      <c r="Q1978" s="106"/>
      <c r="R1978" s="106" t="s">
        <v>4537</v>
      </c>
    </row>
    <row r="1979" customFormat="false" ht="15" hidden="false" customHeight="false" outlineLevel="0" collapsed="false">
      <c r="A1979" s="106" t="s">
        <v>6593</v>
      </c>
      <c r="B1979" s="106" t="s">
        <v>4280</v>
      </c>
      <c r="C1979" s="106"/>
      <c r="D1979" s="106"/>
      <c r="E1979" s="107" t="n">
        <v>1</v>
      </c>
      <c r="F1979" s="106" t="n">
        <v>1</v>
      </c>
      <c r="G1979" s="118" t="n">
        <v>1</v>
      </c>
      <c r="H1979" s="116" t="n">
        <v>0.71</v>
      </c>
      <c r="I1979" s="106" t="n">
        <v>0</v>
      </c>
      <c r="J1979" s="117" t="n">
        <v>0</v>
      </c>
      <c r="K1979" s="108" t="n">
        <v>0.71</v>
      </c>
      <c r="L1979" s="108" t="n">
        <v>0</v>
      </c>
      <c r="M1979" s="117"/>
      <c r="N1979" s="106"/>
      <c r="O1979" s="106"/>
      <c r="P1979" s="106"/>
      <c r="Q1979" s="106"/>
      <c r="R1979" s="106" t="s">
        <v>4537</v>
      </c>
    </row>
    <row r="1980" customFormat="false" ht="15" hidden="false" customHeight="false" outlineLevel="0" collapsed="false">
      <c r="A1980" s="106" t="s">
        <v>6594</v>
      </c>
      <c r="B1980" s="106" t="s">
        <v>4284</v>
      </c>
      <c r="C1980" s="106"/>
      <c r="D1980" s="106" t="n">
        <v>484</v>
      </c>
      <c r="E1980" s="107" t="n">
        <v>48</v>
      </c>
      <c r="F1980" s="106" t="n">
        <v>1</v>
      </c>
      <c r="G1980" s="118" t="n">
        <v>0.0208</v>
      </c>
      <c r="H1980" s="116" t="n">
        <v>0.71</v>
      </c>
      <c r="I1980" s="106" t="n">
        <v>2</v>
      </c>
      <c r="J1980" s="117" t="n">
        <v>2</v>
      </c>
      <c r="K1980" s="108" t="n">
        <v>0.71</v>
      </c>
      <c r="L1980" s="108" t="n">
        <v>94.94</v>
      </c>
      <c r="M1980" s="117" t="n">
        <v>0.007</v>
      </c>
      <c r="N1980" s="106"/>
      <c r="O1980" s="106"/>
      <c r="P1980" s="106"/>
      <c r="Q1980" s="106"/>
      <c r="R1980" s="106" t="s">
        <v>4285</v>
      </c>
    </row>
    <row r="1981" customFormat="false" ht="15" hidden="false" customHeight="false" outlineLevel="0" collapsed="false">
      <c r="A1981" s="106" t="s">
        <v>6595</v>
      </c>
      <c r="B1981" s="106" t="s">
        <v>1403</v>
      </c>
      <c r="C1981" s="106"/>
      <c r="D1981" s="106" t="n">
        <v>1</v>
      </c>
      <c r="E1981" s="107" t="n">
        <v>3</v>
      </c>
      <c r="F1981" s="106" t="n">
        <v>1</v>
      </c>
      <c r="G1981" s="118" t="n">
        <v>0.3333</v>
      </c>
      <c r="H1981" s="116" t="n">
        <v>0.71</v>
      </c>
      <c r="I1981" s="106" t="n">
        <v>0</v>
      </c>
      <c r="J1981" s="117" t="n">
        <v>0</v>
      </c>
      <c r="K1981" s="108" t="n">
        <v>0.71</v>
      </c>
      <c r="L1981" s="108" t="n">
        <v>0</v>
      </c>
      <c r="M1981" s="117"/>
      <c r="N1981" s="106"/>
      <c r="O1981" s="106"/>
      <c r="P1981" s="106"/>
      <c r="Q1981" s="106"/>
      <c r="R1981" s="106" t="s">
        <v>4537</v>
      </c>
    </row>
    <row r="1982" customFormat="false" ht="15" hidden="false" customHeight="false" outlineLevel="0" collapsed="false">
      <c r="A1982" s="106" t="s">
        <v>6596</v>
      </c>
      <c r="B1982" s="106" t="s">
        <v>4284</v>
      </c>
      <c r="C1982" s="106"/>
      <c r="D1982" s="106" t="n">
        <v>33</v>
      </c>
      <c r="E1982" s="107" t="n">
        <v>1</v>
      </c>
      <c r="F1982" s="106" t="n">
        <v>1</v>
      </c>
      <c r="G1982" s="118" t="n">
        <v>1</v>
      </c>
      <c r="H1982" s="116" t="n">
        <v>0.7</v>
      </c>
      <c r="I1982" s="106" t="n">
        <v>0</v>
      </c>
      <c r="J1982" s="117" t="n">
        <v>0</v>
      </c>
      <c r="K1982" s="108" t="n">
        <v>0.7</v>
      </c>
      <c r="L1982" s="108" t="n">
        <v>0</v>
      </c>
      <c r="M1982" s="117"/>
      <c r="N1982" s="106"/>
      <c r="O1982" s="106"/>
      <c r="P1982" s="106"/>
      <c r="Q1982" s="106"/>
      <c r="R1982" s="106" t="s">
        <v>4537</v>
      </c>
    </row>
    <row r="1983" customFormat="false" ht="15" hidden="false" customHeight="false" outlineLevel="0" collapsed="false">
      <c r="A1983" s="106" t="s">
        <v>6597</v>
      </c>
      <c r="B1983" s="106" t="s">
        <v>4280</v>
      </c>
      <c r="C1983" s="106"/>
      <c r="D1983" s="106"/>
      <c r="E1983" s="107" t="n">
        <v>1</v>
      </c>
      <c r="F1983" s="106" t="n">
        <v>1</v>
      </c>
      <c r="G1983" s="118" t="n">
        <v>1</v>
      </c>
      <c r="H1983" s="116" t="n">
        <v>0.69</v>
      </c>
      <c r="I1983" s="106" t="n">
        <v>0</v>
      </c>
      <c r="J1983" s="117" t="n">
        <v>0</v>
      </c>
      <c r="K1983" s="108" t="n">
        <v>0.69</v>
      </c>
      <c r="L1983" s="108" t="n">
        <v>0</v>
      </c>
      <c r="M1983" s="117"/>
      <c r="N1983" s="106"/>
      <c r="O1983" s="106"/>
      <c r="P1983" s="106"/>
      <c r="Q1983" s="106"/>
      <c r="R1983" s="106" t="s">
        <v>4537</v>
      </c>
    </row>
    <row r="1984" customFormat="false" ht="15" hidden="false" customHeight="false" outlineLevel="0" collapsed="false">
      <c r="A1984" s="106" t="s">
        <v>6598</v>
      </c>
      <c r="B1984" s="106" t="s">
        <v>4280</v>
      </c>
      <c r="C1984" s="106"/>
      <c r="D1984" s="106"/>
      <c r="E1984" s="107" t="n">
        <v>1</v>
      </c>
      <c r="F1984" s="106" t="n">
        <v>1</v>
      </c>
      <c r="G1984" s="118" t="n">
        <v>1</v>
      </c>
      <c r="H1984" s="116" t="n">
        <v>0.69</v>
      </c>
      <c r="I1984" s="106" t="n">
        <v>0</v>
      </c>
      <c r="J1984" s="117" t="n">
        <v>0</v>
      </c>
      <c r="K1984" s="108" t="n">
        <v>0.69</v>
      </c>
      <c r="L1984" s="108" t="n">
        <v>0</v>
      </c>
      <c r="M1984" s="117"/>
      <c r="N1984" s="106"/>
      <c r="O1984" s="106"/>
      <c r="P1984" s="106"/>
      <c r="Q1984" s="106"/>
      <c r="R1984" s="106" t="s">
        <v>4537</v>
      </c>
    </row>
    <row r="1985" customFormat="false" ht="15" hidden="false" customHeight="false" outlineLevel="0" collapsed="false">
      <c r="A1985" s="106" t="s">
        <v>6599</v>
      </c>
      <c r="B1985" s="106" t="s">
        <v>4280</v>
      </c>
      <c r="C1985" s="106"/>
      <c r="D1985" s="106"/>
      <c r="E1985" s="107" t="n">
        <v>2</v>
      </c>
      <c r="F1985" s="106" t="n">
        <v>1</v>
      </c>
      <c r="G1985" s="118" t="n">
        <v>0.5</v>
      </c>
      <c r="H1985" s="116" t="n">
        <v>0.69</v>
      </c>
      <c r="I1985" s="106" t="n">
        <v>0</v>
      </c>
      <c r="J1985" s="117" t="n">
        <v>0</v>
      </c>
      <c r="K1985" s="108" t="n">
        <v>0.69</v>
      </c>
      <c r="L1985" s="108" t="n">
        <v>0</v>
      </c>
      <c r="M1985" s="117"/>
      <c r="N1985" s="106"/>
      <c r="O1985" s="106"/>
      <c r="P1985" s="106"/>
      <c r="Q1985" s="106"/>
      <c r="R1985" s="106" t="s">
        <v>4537</v>
      </c>
    </row>
    <row r="1986" customFormat="false" ht="15" hidden="false" customHeight="false" outlineLevel="0" collapsed="false">
      <c r="A1986" s="106" t="s">
        <v>6600</v>
      </c>
      <c r="B1986" s="106" t="s">
        <v>1403</v>
      </c>
      <c r="C1986" s="106"/>
      <c r="D1986" s="106"/>
      <c r="E1986" s="107" t="n">
        <v>1</v>
      </c>
      <c r="F1986" s="106" t="n">
        <v>1</v>
      </c>
      <c r="G1986" s="118" t="n">
        <v>1</v>
      </c>
      <c r="H1986" s="116" t="n">
        <v>0.51</v>
      </c>
      <c r="I1986" s="106" t="n">
        <v>0</v>
      </c>
      <c r="J1986" s="117" t="n">
        <v>0</v>
      </c>
      <c r="K1986" s="108" t="n">
        <v>0.51</v>
      </c>
      <c r="L1986" s="108" t="n">
        <v>0</v>
      </c>
      <c r="M1986" s="117"/>
      <c r="N1986" s="106"/>
      <c r="O1986" s="106"/>
      <c r="P1986" s="106"/>
      <c r="Q1986" s="106"/>
      <c r="R1986" s="106" t="s">
        <v>4537</v>
      </c>
    </row>
    <row r="1987" customFormat="false" ht="15" hidden="false" customHeight="false" outlineLevel="0" collapsed="false">
      <c r="A1987" s="106" t="s">
        <v>6601</v>
      </c>
      <c r="B1987" s="106" t="s">
        <v>1403</v>
      </c>
      <c r="C1987" s="106"/>
      <c r="D1987" s="106"/>
      <c r="E1987" s="107" t="n">
        <v>4</v>
      </c>
      <c r="F1987" s="106" t="n">
        <v>1</v>
      </c>
      <c r="G1987" s="118" t="n">
        <v>0.25</v>
      </c>
      <c r="H1987" s="116" t="n">
        <v>0.51</v>
      </c>
      <c r="I1987" s="106" t="n">
        <v>0</v>
      </c>
      <c r="J1987" s="117" t="n">
        <v>0</v>
      </c>
      <c r="K1987" s="108" t="n">
        <v>0.51</v>
      </c>
      <c r="L1987" s="108" t="n">
        <v>0</v>
      </c>
      <c r="M1987" s="117"/>
      <c r="N1987" s="106"/>
      <c r="O1987" s="106"/>
      <c r="P1987" s="106"/>
      <c r="Q1987" s="106"/>
      <c r="R1987" s="106" t="s">
        <v>4537</v>
      </c>
    </row>
    <row r="1988" customFormat="false" ht="15" hidden="false" customHeight="false" outlineLevel="0" collapsed="false">
      <c r="A1988" s="106" t="s">
        <v>6602</v>
      </c>
      <c r="B1988" s="106" t="s">
        <v>4280</v>
      </c>
      <c r="C1988" s="106"/>
      <c r="D1988" s="106" t="n">
        <v>4</v>
      </c>
      <c r="E1988" s="107" t="n">
        <v>1</v>
      </c>
      <c r="F1988" s="106" t="n">
        <v>1</v>
      </c>
      <c r="G1988" s="118" t="n">
        <v>1</v>
      </c>
      <c r="H1988" s="116" t="n">
        <v>0.51</v>
      </c>
      <c r="I1988" s="106" t="n">
        <v>0</v>
      </c>
      <c r="J1988" s="117" t="n">
        <v>0</v>
      </c>
      <c r="K1988" s="108" t="n">
        <v>0.51</v>
      </c>
      <c r="L1988" s="108" t="n">
        <v>0</v>
      </c>
      <c r="M1988" s="117"/>
      <c r="N1988" s="106"/>
      <c r="O1988" s="106"/>
      <c r="P1988" s="106"/>
      <c r="Q1988" s="106"/>
      <c r="R1988" s="106" t="s">
        <v>4537</v>
      </c>
    </row>
    <row r="1989" customFormat="false" ht="15" hidden="false" customHeight="false" outlineLevel="0" collapsed="false">
      <c r="A1989" s="106" t="s">
        <v>6603</v>
      </c>
      <c r="B1989" s="106" t="s">
        <v>4280</v>
      </c>
      <c r="C1989" s="106"/>
      <c r="D1989" s="106" t="n">
        <v>2</v>
      </c>
      <c r="E1989" s="107" t="n">
        <v>3</v>
      </c>
      <c r="F1989" s="106" t="n">
        <v>1</v>
      </c>
      <c r="G1989" s="118" t="n">
        <v>0.3333</v>
      </c>
      <c r="H1989" s="116" t="n">
        <v>0.5</v>
      </c>
      <c r="I1989" s="106" t="n">
        <v>0</v>
      </c>
      <c r="J1989" s="117" t="n">
        <v>0</v>
      </c>
      <c r="K1989" s="108" t="n">
        <v>0.5</v>
      </c>
      <c r="L1989" s="108" t="n">
        <v>0</v>
      </c>
      <c r="M1989" s="117"/>
      <c r="N1989" s="106"/>
      <c r="O1989" s="106"/>
      <c r="P1989" s="106"/>
      <c r="Q1989" s="106"/>
      <c r="R1989" s="106" t="s">
        <v>4537</v>
      </c>
    </row>
    <row r="1990" customFormat="false" ht="15" hidden="false" customHeight="false" outlineLevel="0" collapsed="false">
      <c r="A1990" s="106" t="s">
        <v>6604</v>
      </c>
      <c r="B1990" s="106" t="s">
        <v>1403</v>
      </c>
      <c r="C1990" s="106"/>
      <c r="D1990" s="106"/>
      <c r="E1990" s="107" t="n">
        <v>1</v>
      </c>
      <c r="F1990" s="106" t="n">
        <v>1</v>
      </c>
      <c r="G1990" s="118" t="n">
        <v>1</v>
      </c>
      <c r="H1990" s="116" t="n">
        <v>0.5</v>
      </c>
      <c r="I1990" s="106" t="n">
        <v>0</v>
      </c>
      <c r="J1990" s="117" t="n">
        <v>0</v>
      </c>
      <c r="K1990" s="108" t="n">
        <v>0.5</v>
      </c>
      <c r="L1990" s="108" t="n">
        <v>0</v>
      </c>
      <c r="M1990" s="117"/>
      <c r="N1990" s="106"/>
      <c r="O1990" s="106"/>
      <c r="P1990" s="106"/>
      <c r="Q1990" s="106"/>
      <c r="R1990" s="106" t="s">
        <v>4537</v>
      </c>
    </row>
    <row r="1991" customFormat="false" ht="15" hidden="false" customHeight="false" outlineLevel="0" collapsed="false">
      <c r="A1991" s="106" t="s">
        <v>6605</v>
      </c>
      <c r="B1991" s="106" t="s">
        <v>1403</v>
      </c>
      <c r="C1991" s="106"/>
      <c r="D1991" s="106"/>
      <c r="E1991" s="107" t="n">
        <v>8</v>
      </c>
      <c r="F1991" s="106" t="n">
        <v>1</v>
      </c>
      <c r="G1991" s="118" t="n">
        <v>0.125</v>
      </c>
      <c r="H1991" s="116" t="n">
        <v>0.49</v>
      </c>
      <c r="I1991" s="106" t="n">
        <v>0</v>
      </c>
      <c r="J1991" s="117" t="n">
        <v>0</v>
      </c>
      <c r="K1991" s="108" t="n">
        <v>0.49</v>
      </c>
      <c r="L1991" s="108" t="n">
        <v>0</v>
      </c>
      <c r="M1991" s="117"/>
      <c r="N1991" s="106"/>
      <c r="O1991" s="106"/>
      <c r="P1991" s="106"/>
      <c r="Q1991" s="106"/>
      <c r="R1991" s="106" t="s">
        <v>4537</v>
      </c>
    </row>
    <row r="1992" customFormat="false" ht="15" hidden="false" customHeight="false" outlineLevel="0" collapsed="false">
      <c r="A1992" s="106" t="s">
        <v>6606</v>
      </c>
      <c r="B1992" s="106" t="s">
        <v>4284</v>
      </c>
      <c r="C1992" s="106"/>
      <c r="D1992" s="106" t="n">
        <v>8</v>
      </c>
      <c r="E1992" s="107" t="n">
        <v>1</v>
      </c>
      <c r="F1992" s="106" t="n">
        <v>1</v>
      </c>
      <c r="G1992" s="118" t="n">
        <v>1</v>
      </c>
      <c r="H1992" s="116" t="n">
        <v>0.47</v>
      </c>
      <c r="I1992" s="106" t="n">
        <v>0</v>
      </c>
      <c r="J1992" s="117" t="n">
        <v>0</v>
      </c>
      <c r="K1992" s="108" t="n">
        <v>0.47</v>
      </c>
      <c r="L1992" s="108" t="n">
        <v>0</v>
      </c>
      <c r="M1992" s="117"/>
      <c r="N1992" s="106"/>
      <c r="O1992" s="106"/>
      <c r="P1992" s="106"/>
      <c r="Q1992" s="106"/>
      <c r="R1992" s="106" t="s">
        <v>4537</v>
      </c>
    </row>
    <row r="1993" customFormat="false" ht="15" hidden="false" customHeight="false" outlineLevel="0" collapsed="false">
      <c r="A1993" s="106" t="s">
        <v>6607</v>
      </c>
      <c r="B1993" s="106" t="s">
        <v>1403</v>
      </c>
      <c r="C1993" s="106"/>
      <c r="D1993" s="106" t="n">
        <v>1</v>
      </c>
      <c r="E1993" s="107" t="n">
        <v>11</v>
      </c>
      <c r="F1993" s="106" t="n">
        <v>1</v>
      </c>
      <c r="G1993" s="118" t="n">
        <v>0.0909</v>
      </c>
      <c r="H1993" s="116" t="n">
        <v>0.47</v>
      </c>
      <c r="I1993" s="106" t="n">
        <v>0</v>
      </c>
      <c r="J1993" s="117" t="n">
        <v>0</v>
      </c>
      <c r="K1993" s="108" t="n">
        <v>0.47</v>
      </c>
      <c r="L1993" s="108" t="n">
        <v>0</v>
      </c>
      <c r="M1993" s="117"/>
      <c r="N1993" s="106"/>
      <c r="O1993" s="106"/>
      <c r="P1993" s="106"/>
      <c r="Q1993" s="106"/>
      <c r="R1993" s="106" t="s">
        <v>4537</v>
      </c>
    </row>
    <row r="1994" customFormat="false" ht="15" hidden="false" customHeight="false" outlineLevel="0" collapsed="false">
      <c r="A1994" s="106" t="s">
        <v>6608</v>
      </c>
      <c r="B1994" s="106" t="s">
        <v>4329</v>
      </c>
      <c r="C1994" s="106"/>
      <c r="D1994" s="106"/>
      <c r="E1994" s="107" t="n">
        <v>2</v>
      </c>
      <c r="F1994" s="106" t="n">
        <v>1</v>
      </c>
      <c r="G1994" s="118" t="n">
        <v>0.5</v>
      </c>
      <c r="H1994" s="116" t="n">
        <v>0.51</v>
      </c>
      <c r="I1994" s="106" t="n">
        <v>0</v>
      </c>
      <c r="J1994" s="117" t="n">
        <v>0</v>
      </c>
      <c r="K1994" s="108" t="n">
        <v>0.51</v>
      </c>
      <c r="L1994" s="108" t="n">
        <v>0</v>
      </c>
      <c r="M1994" s="117"/>
      <c r="N1994" s="106"/>
      <c r="O1994" s="106"/>
      <c r="P1994" s="106"/>
      <c r="Q1994" s="106"/>
      <c r="R1994" s="106" t="s">
        <v>4537</v>
      </c>
    </row>
    <row r="1995" customFormat="false" ht="15" hidden="false" customHeight="false" outlineLevel="0" collapsed="false">
      <c r="A1995" s="106" t="s">
        <v>6609</v>
      </c>
      <c r="B1995" s="106" t="s">
        <v>4329</v>
      </c>
      <c r="C1995" s="106"/>
      <c r="D1995" s="106"/>
      <c r="E1995" s="107" t="n">
        <v>3</v>
      </c>
      <c r="F1995" s="106" t="n">
        <v>1</v>
      </c>
      <c r="G1995" s="118" t="n">
        <v>0.3333</v>
      </c>
      <c r="H1995" s="116" t="n">
        <v>0.51</v>
      </c>
      <c r="I1995" s="106" t="n">
        <v>0</v>
      </c>
      <c r="J1995" s="117" t="n">
        <v>0</v>
      </c>
      <c r="K1995" s="108" t="n">
        <v>0.51</v>
      </c>
      <c r="L1995" s="108" t="n">
        <v>0</v>
      </c>
      <c r="M1995" s="117"/>
      <c r="N1995" s="106"/>
      <c r="O1995" s="106"/>
      <c r="P1995" s="106"/>
      <c r="Q1995" s="106"/>
      <c r="R1995" s="106" t="s">
        <v>4537</v>
      </c>
    </row>
    <row r="1996" customFormat="false" ht="15" hidden="false" customHeight="false" outlineLevel="0" collapsed="false">
      <c r="A1996" s="106" t="s">
        <v>6610</v>
      </c>
      <c r="B1996" s="106" t="s">
        <v>4280</v>
      </c>
      <c r="C1996" s="106"/>
      <c r="D1996" s="106"/>
      <c r="E1996" s="107" t="n">
        <v>1</v>
      </c>
      <c r="F1996" s="106" t="n">
        <v>1</v>
      </c>
      <c r="G1996" s="118" t="n">
        <v>1</v>
      </c>
      <c r="H1996" s="116" t="n">
        <v>0.51</v>
      </c>
      <c r="I1996" s="106" t="n">
        <v>0</v>
      </c>
      <c r="J1996" s="117" t="n">
        <v>0</v>
      </c>
      <c r="K1996" s="108" t="n">
        <v>0.51</v>
      </c>
      <c r="L1996" s="108" t="n">
        <v>0</v>
      </c>
      <c r="M1996" s="117"/>
      <c r="N1996" s="106"/>
      <c r="O1996" s="106"/>
      <c r="P1996" s="106"/>
      <c r="Q1996" s="106"/>
      <c r="R1996" s="106" t="s">
        <v>4537</v>
      </c>
    </row>
    <row r="1997" customFormat="false" ht="15" hidden="false" customHeight="false" outlineLevel="0" collapsed="false">
      <c r="A1997" s="106" t="s">
        <v>6611</v>
      </c>
      <c r="B1997" s="106" t="s">
        <v>4329</v>
      </c>
      <c r="C1997" s="106"/>
      <c r="D1997" s="106"/>
      <c r="E1997" s="107" t="n">
        <v>1</v>
      </c>
      <c r="F1997" s="106" t="n">
        <v>1</v>
      </c>
      <c r="G1997" s="118" t="n">
        <v>1</v>
      </c>
      <c r="H1997" s="116" t="n">
        <v>0.51</v>
      </c>
      <c r="I1997" s="106" t="n">
        <v>0</v>
      </c>
      <c r="J1997" s="117" t="n">
        <v>0</v>
      </c>
      <c r="K1997" s="108" t="n">
        <v>0.51</v>
      </c>
      <c r="L1997" s="108" t="n">
        <v>0</v>
      </c>
      <c r="M1997" s="117"/>
      <c r="N1997" s="106"/>
      <c r="O1997" s="106"/>
      <c r="P1997" s="106"/>
      <c r="Q1997" s="106"/>
      <c r="R1997" s="106" t="s">
        <v>4537</v>
      </c>
    </row>
    <row r="1998" customFormat="false" ht="15" hidden="false" customHeight="false" outlineLevel="0" collapsed="false">
      <c r="A1998" s="106" t="s">
        <v>6612</v>
      </c>
      <c r="B1998" s="106" t="s">
        <v>4284</v>
      </c>
      <c r="C1998" s="106"/>
      <c r="D1998" s="106" t="n">
        <v>7</v>
      </c>
      <c r="E1998" s="107" t="n">
        <v>1</v>
      </c>
      <c r="F1998" s="106" t="n">
        <v>1</v>
      </c>
      <c r="G1998" s="118" t="n">
        <v>1</v>
      </c>
      <c r="H1998" s="116" t="n">
        <v>0.51</v>
      </c>
      <c r="I1998" s="106" t="n">
        <v>0</v>
      </c>
      <c r="J1998" s="117" t="n">
        <v>0</v>
      </c>
      <c r="K1998" s="108" t="n">
        <v>0.51</v>
      </c>
      <c r="L1998" s="108" t="n">
        <v>0</v>
      </c>
      <c r="M1998" s="117"/>
      <c r="N1998" s="106"/>
      <c r="O1998" s="106"/>
      <c r="P1998" s="106"/>
      <c r="Q1998" s="106"/>
      <c r="R1998" s="106" t="s">
        <v>4537</v>
      </c>
    </row>
    <row r="1999" customFormat="false" ht="15" hidden="false" customHeight="false" outlineLevel="0" collapsed="false">
      <c r="A1999" s="106" t="s">
        <v>6613</v>
      </c>
      <c r="B1999" s="106" t="s">
        <v>1403</v>
      </c>
      <c r="C1999" s="106"/>
      <c r="D1999" s="106"/>
      <c r="E1999" s="107" t="n">
        <v>1</v>
      </c>
      <c r="F1999" s="106" t="n">
        <v>1</v>
      </c>
      <c r="G1999" s="118" t="n">
        <v>1</v>
      </c>
      <c r="H1999" s="116" t="n">
        <v>0.51</v>
      </c>
      <c r="I1999" s="106" t="n">
        <v>0</v>
      </c>
      <c r="J1999" s="117" t="n">
        <v>0</v>
      </c>
      <c r="K1999" s="108" t="n">
        <v>0.51</v>
      </c>
      <c r="L1999" s="108" t="n">
        <v>0</v>
      </c>
      <c r="M1999" s="117"/>
      <c r="N1999" s="106"/>
      <c r="O1999" s="106"/>
      <c r="P1999" s="106"/>
      <c r="Q1999" s="106"/>
      <c r="R1999" s="106" t="s">
        <v>4537</v>
      </c>
    </row>
    <row r="2000" customFormat="false" ht="15" hidden="false" customHeight="false" outlineLevel="0" collapsed="false">
      <c r="A2000" s="106" t="s">
        <v>6614</v>
      </c>
      <c r="B2000" s="106" t="s">
        <v>4280</v>
      </c>
      <c r="C2000" s="106"/>
      <c r="D2000" s="106"/>
      <c r="E2000" s="107" t="n">
        <v>2</v>
      </c>
      <c r="F2000" s="106" t="n">
        <v>1</v>
      </c>
      <c r="G2000" s="118" t="n">
        <v>0.5</v>
      </c>
      <c r="H2000" s="116" t="n">
        <v>0.51</v>
      </c>
      <c r="I2000" s="106" t="n">
        <v>0</v>
      </c>
      <c r="J2000" s="117" t="n">
        <v>0</v>
      </c>
      <c r="K2000" s="108" t="n">
        <v>0.51</v>
      </c>
      <c r="L2000" s="108" t="n">
        <v>0</v>
      </c>
      <c r="M2000" s="117"/>
      <c r="N2000" s="106"/>
      <c r="O2000" s="106"/>
      <c r="P2000" s="106"/>
      <c r="Q2000" s="106"/>
      <c r="R2000" s="106" t="s">
        <v>4537</v>
      </c>
    </row>
    <row r="2001" customFormat="false" ht="15" hidden="false" customHeight="false" outlineLevel="0" collapsed="false">
      <c r="A2001" s="106" t="s">
        <v>6615</v>
      </c>
      <c r="B2001" s="106" t="s">
        <v>4329</v>
      </c>
      <c r="C2001" s="106"/>
      <c r="D2001" s="106" t="n">
        <v>2</v>
      </c>
      <c r="E2001" s="107" t="n">
        <v>1</v>
      </c>
      <c r="F2001" s="106" t="n">
        <v>1</v>
      </c>
      <c r="G2001" s="118" t="n">
        <v>1</v>
      </c>
      <c r="H2001" s="116" t="n">
        <v>0.51</v>
      </c>
      <c r="I2001" s="106" t="n">
        <v>1</v>
      </c>
      <c r="J2001" s="117" t="n">
        <v>1</v>
      </c>
      <c r="K2001" s="108" t="n">
        <v>0.51</v>
      </c>
      <c r="L2001" s="108" t="n">
        <v>64.99</v>
      </c>
      <c r="M2001" s="117" t="n">
        <v>0.008</v>
      </c>
      <c r="N2001" s="106"/>
      <c r="O2001" s="106"/>
      <c r="P2001" s="106"/>
      <c r="Q2001" s="106"/>
      <c r="R2001" s="106" t="s">
        <v>4285</v>
      </c>
    </row>
    <row r="2002" customFormat="false" ht="15" hidden="false" customHeight="false" outlineLevel="0" collapsed="false">
      <c r="A2002" s="106" t="s">
        <v>6616</v>
      </c>
      <c r="B2002" s="106" t="s">
        <v>4329</v>
      </c>
      <c r="C2002" s="106"/>
      <c r="D2002" s="106" t="n">
        <v>6</v>
      </c>
      <c r="E2002" s="107" t="n">
        <v>2</v>
      </c>
      <c r="F2002" s="106" t="n">
        <v>1</v>
      </c>
      <c r="G2002" s="118" t="n">
        <v>0.5</v>
      </c>
      <c r="H2002" s="116" t="n">
        <v>0.53</v>
      </c>
      <c r="I2002" s="106" t="n">
        <v>0</v>
      </c>
      <c r="J2002" s="117" t="n">
        <v>0</v>
      </c>
      <c r="K2002" s="108" t="n">
        <v>0.53</v>
      </c>
      <c r="L2002" s="108" t="n">
        <v>0</v>
      </c>
      <c r="M2002" s="117"/>
      <c r="N2002" s="106"/>
      <c r="O2002" s="106"/>
      <c r="P2002" s="106"/>
      <c r="Q2002" s="106"/>
      <c r="R2002" s="106" t="s">
        <v>4537</v>
      </c>
    </row>
    <row r="2003" customFormat="false" ht="15" hidden="false" customHeight="false" outlineLevel="0" collapsed="false">
      <c r="A2003" s="106" t="s">
        <v>6617</v>
      </c>
      <c r="B2003" s="106"/>
      <c r="C2003" s="106"/>
      <c r="D2003" s="106"/>
      <c r="E2003" s="107" t="n">
        <v>2</v>
      </c>
      <c r="F2003" s="106" t="n">
        <v>1</v>
      </c>
      <c r="G2003" s="118" t="n">
        <v>0.5</v>
      </c>
      <c r="H2003" s="116" t="n">
        <v>0.52</v>
      </c>
      <c r="I2003" s="106" t="n">
        <v>0</v>
      </c>
      <c r="J2003" s="117" t="n">
        <v>0</v>
      </c>
      <c r="K2003" s="108" t="n">
        <v>0.52</v>
      </c>
      <c r="L2003" s="108" t="n">
        <v>0</v>
      </c>
      <c r="M2003" s="117"/>
      <c r="N2003" s="106"/>
      <c r="O2003" s="106"/>
      <c r="P2003" s="106"/>
      <c r="Q2003" s="106"/>
      <c r="R2003" s="106" t="s">
        <v>4537</v>
      </c>
    </row>
    <row r="2004" customFormat="false" ht="15" hidden="false" customHeight="false" outlineLevel="0" collapsed="false">
      <c r="A2004" s="106" t="s">
        <v>6618</v>
      </c>
      <c r="B2004" s="106" t="s">
        <v>1403</v>
      </c>
      <c r="C2004" s="106"/>
      <c r="D2004" s="106"/>
      <c r="E2004" s="107" t="n">
        <v>1</v>
      </c>
      <c r="F2004" s="106" t="n">
        <v>1</v>
      </c>
      <c r="G2004" s="118" t="n">
        <v>1</v>
      </c>
      <c r="H2004" s="116" t="n">
        <v>0.52</v>
      </c>
      <c r="I2004" s="106" t="n">
        <v>0</v>
      </c>
      <c r="J2004" s="117" t="n">
        <v>0</v>
      </c>
      <c r="K2004" s="108" t="n">
        <v>0.52</v>
      </c>
      <c r="L2004" s="108" t="n">
        <v>0</v>
      </c>
      <c r="M2004" s="117"/>
      <c r="N2004" s="106"/>
      <c r="O2004" s="106"/>
      <c r="P2004" s="106"/>
      <c r="Q2004" s="106"/>
      <c r="R2004" s="106" t="s">
        <v>4537</v>
      </c>
    </row>
    <row r="2005" customFormat="false" ht="15" hidden="false" customHeight="false" outlineLevel="0" collapsed="false">
      <c r="A2005" s="106" t="s">
        <v>6619</v>
      </c>
      <c r="B2005" s="106" t="s">
        <v>1403</v>
      </c>
      <c r="C2005" s="106"/>
      <c r="D2005" s="106"/>
      <c r="E2005" s="107" t="n">
        <v>2</v>
      </c>
      <c r="F2005" s="106" t="n">
        <v>1</v>
      </c>
      <c r="G2005" s="118" t="n">
        <v>0.5</v>
      </c>
      <c r="H2005" s="116" t="n">
        <v>0.51</v>
      </c>
      <c r="I2005" s="106" t="n">
        <v>0</v>
      </c>
      <c r="J2005" s="117" t="n">
        <v>0</v>
      </c>
      <c r="K2005" s="108" t="n">
        <v>0.51</v>
      </c>
      <c r="L2005" s="108" t="n">
        <v>0</v>
      </c>
      <c r="M2005" s="117"/>
      <c r="N2005" s="106"/>
      <c r="O2005" s="106"/>
      <c r="P2005" s="106"/>
      <c r="Q2005" s="106"/>
      <c r="R2005" s="106" t="s">
        <v>4537</v>
      </c>
    </row>
    <row r="2006" customFormat="false" ht="15" hidden="false" customHeight="false" outlineLevel="0" collapsed="false">
      <c r="A2006" s="106" t="s">
        <v>6620</v>
      </c>
      <c r="B2006" s="106" t="s">
        <v>4280</v>
      </c>
      <c r="C2006" s="106"/>
      <c r="D2006" s="106"/>
      <c r="E2006" s="107" t="n">
        <v>3</v>
      </c>
      <c r="F2006" s="106" t="n">
        <v>1</v>
      </c>
      <c r="G2006" s="118" t="n">
        <v>0.3333</v>
      </c>
      <c r="H2006" s="116" t="n">
        <v>0.51</v>
      </c>
      <c r="I2006" s="106" t="n">
        <v>0</v>
      </c>
      <c r="J2006" s="117" t="n">
        <v>0</v>
      </c>
      <c r="K2006" s="108" t="n">
        <v>0.51</v>
      </c>
      <c r="L2006" s="108" t="n">
        <v>0</v>
      </c>
      <c r="M2006" s="117"/>
      <c r="N2006" s="106"/>
      <c r="O2006" s="106"/>
      <c r="P2006" s="106"/>
      <c r="Q2006" s="106"/>
      <c r="R2006" s="106" t="s">
        <v>4537</v>
      </c>
    </row>
    <row r="2007" customFormat="false" ht="15" hidden="false" customHeight="false" outlineLevel="0" collapsed="false">
      <c r="A2007" s="106" t="s">
        <v>6621</v>
      </c>
      <c r="B2007" s="106" t="s">
        <v>4329</v>
      </c>
      <c r="C2007" s="106"/>
      <c r="D2007" s="106"/>
      <c r="E2007" s="107" t="n">
        <v>1</v>
      </c>
      <c r="F2007" s="106" t="n">
        <v>1</v>
      </c>
      <c r="G2007" s="118" t="n">
        <v>1</v>
      </c>
      <c r="H2007" s="116" t="n">
        <v>0.51</v>
      </c>
      <c r="I2007" s="106" t="n">
        <v>2</v>
      </c>
      <c r="J2007" s="117" t="n">
        <v>2</v>
      </c>
      <c r="K2007" s="108" t="n">
        <v>0.51</v>
      </c>
      <c r="L2007" s="108" t="n">
        <v>139.98</v>
      </c>
      <c r="M2007" s="117" t="n">
        <v>0.004</v>
      </c>
      <c r="N2007" s="106"/>
      <c r="O2007" s="106"/>
      <c r="P2007" s="106"/>
      <c r="Q2007" s="106"/>
      <c r="R2007" s="106" t="s">
        <v>4285</v>
      </c>
    </row>
    <row r="2008" customFormat="false" ht="15" hidden="false" customHeight="false" outlineLevel="0" collapsed="false">
      <c r="A2008" s="106" t="s">
        <v>6622</v>
      </c>
      <c r="B2008" s="106" t="s">
        <v>4284</v>
      </c>
      <c r="C2008" s="106"/>
      <c r="D2008" s="106" t="n">
        <v>18</v>
      </c>
      <c r="E2008" s="107" t="n">
        <v>4</v>
      </c>
      <c r="F2008" s="106" t="n">
        <v>1</v>
      </c>
      <c r="G2008" s="118" t="n">
        <v>0.25</v>
      </c>
      <c r="H2008" s="116" t="n">
        <v>0.51</v>
      </c>
      <c r="I2008" s="106" t="n">
        <v>0</v>
      </c>
      <c r="J2008" s="117" t="n">
        <v>0</v>
      </c>
      <c r="K2008" s="108" t="n">
        <v>0.51</v>
      </c>
      <c r="L2008" s="108" t="n">
        <v>0</v>
      </c>
      <c r="M2008" s="117"/>
      <c r="N2008" s="106"/>
      <c r="O2008" s="106"/>
      <c r="P2008" s="106"/>
      <c r="Q2008" s="106"/>
      <c r="R2008" s="106" t="s">
        <v>4537</v>
      </c>
    </row>
    <row r="2009" customFormat="false" ht="15" hidden="false" customHeight="false" outlineLevel="0" collapsed="false">
      <c r="A2009" s="106" t="s">
        <v>6623</v>
      </c>
      <c r="B2009" s="106" t="s">
        <v>4284</v>
      </c>
      <c r="C2009" s="106"/>
      <c r="D2009" s="106" t="n">
        <v>15</v>
      </c>
      <c r="E2009" s="107" t="n">
        <v>1</v>
      </c>
      <c r="F2009" s="106" t="n">
        <v>1</v>
      </c>
      <c r="G2009" s="118" t="n">
        <v>1</v>
      </c>
      <c r="H2009" s="116" t="n">
        <v>0.51</v>
      </c>
      <c r="I2009" s="106" t="n">
        <v>1</v>
      </c>
      <c r="J2009" s="117" t="n">
        <v>1</v>
      </c>
      <c r="K2009" s="108" t="n">
        <v>0.51</v>
      </c>
      <c r="L2009" s="108" t="n">
        <v>79.99</v>
      </c>
      <c r="M2009" s="117" t="n">
        <v>0.006</v>
      </c>
      <c r="N2009" s="106"/>
      <c r="O2009" s="106"/>
      <c r="P2009" s="106"/>
      <c r="Q2009" s="106"/>
      <c r="R2009" s="106" t="s">
        <v>4285</v>
      </c>
    </row>
    <row r="2010" customFormat="false" ht="15" hidden="false" customHeight="false" outlineLevel="0" collapsed="false">
      <c r="A2010" s="106" t="s">
        <v>6624</v>
      </c>
      <c r="B2010" s="106" t="s">
        <v>1403</v>
      </c>
      <c r="C2010" s="106"/>
      <c r="D2010" s="106"/>
      <c r="E2010" s="107" t="n">
        <v>3</v>
      </c>
      <c r="F2010" s="106" t="n">
        <v>1</v>
      </c>
      <c r="G2010" s="118" t="n">
        <v>0.3333</v>
      </c>
      <c r="H2010" s="116" t="n">
        <v>0.57</v>
      </c>
      <c r="I2010" s="106" t="n">
        <v>0</v>
      </c>
      <c r="J2010" s="117" t="n">
        <v>0</v>
      </c>
      <c r="K2010" s="108" t="n">
        <v>0.57</v>
      </c>
      <c r="L2010" s="108" t="n">
        <v>0</v>
      </c>
      <c r="M2010" s="117"/>
      <c r="N2010" s="106"/>
      <c r="O2010" s="106"/>
      <c r="P2010" s="106"/>
      <c r="Q2010" s="106"/>
      <c r="R2010" s="106" t="s">
        <v>4537</v>
      </c>
    </row>
    <row r="2011" customFormat="false" ht="15" hidden="false" customHeight="false" outlineLevel="0" collapsed="false">
      <c r="A2011" s="106" t="s">
        <v>6625</v>
      </c>
      <c r="B2011" s="106" t="s">
        <v>4280</v>
      </c>
      <c r="C2011" s="106"/>
      <c r="D2011" s="106" t="n">
        <v>2</v>
      </c>
      <c r="E2011" s="107" t="n">
        <v>2</v>
      </c>
      <c r="F2011" s="106" t="n">
        <v>1</v>
      </c>
      <c r="G2011" s="118" t="n">
        <v>0.5</v>
      </c>
      <c r="H2011" s="116" t="n">
        <v>0.55</v>
      </c>
      <c r="I2011" s="106" t="n">
        <v>0</v>
      </c>
      <c r="J2011" s="117" t="n">
        <v>0</v>
      </c>
      <c r="K2011" s="108" t="n">
        <v>0.55</v>
      </c>
      <c r="L2011" s="108" t="n">
        <v>0</v>
      </c>
      <c r="M2011" s="117"/>
      <c r="N2011" s="106"/>
      <c r="O2011" s="106"/>
      <c r="P2011" s="106"/>
      <c r="Q2011" s="106"/>
      <c r="R2011" s="106" t="s">
        <v>4537</v>
      </c>
    </row>
    <row r="2012" customFormat="false" ht="15" hidden="false" customHeight="false" outlineLevel="0" collapsed="false">
      <c r="A2012" s="106" t="s">
        <v>6626</v>
      </c>
      <c r="B2012" s="106" t="s">
        <v>1403</v>
      </c>
      <c r="C2012" s="106"/>
      <c r="D2012" s="106" t="n">
        <v>1</v>
      </c>
      <c r="E2012" s="107" t="n">
        <v>1</v>
      </c>
      <c r="F2012" s="106" t="n">
        <v>1</v>
      </c>
      <c r="G2012" s="118" t="n">
        <v>1</v>
      </c>
      <c r="H2012" s="116" t="n">
        <v>0.55</v>
      </c>
      <c r="I2012" s="106" t="n">
        <v>0</v>
      </c>
      <c r="J2012" s="117" t="n">
        <v>0</v>
      </c>
      <c r="K2012" s="108" t="n">
        <v>0.55</v>
      </c>
      <c r="L2012" s="108" t="n">
        <v>0</v>
      </c>
      <c r="M2012" s="117"/>
      <c r="N2012" s="106"/>
      <c r="O2012" s="106"/>
      <c r="P2012" s="106"/>
      <c r="Q2012" s="106"/>
      <c r="R2012" s="106" t="s">
        <v>4537</v>
      </c>
    </row>
    <row r="2013" customFormat="false" ht="15" hidden="false" customHeight="false" outlineLevel="0" collapsed="false">
      <c r="A2013" s="106" t="s">
        <v>6627</v>
      </c>
      <c r="B2013" s="106" t="s">
        <v>1403</v>
      </c>
      <c r="C2013" s="106"/>
      <c r="D2013" s="106"/>
      <c r="E2013" s="107" t="n">
        <v>2</v>
      </c>
      <c r="F2013" s="106" t="n">
        <v>1</v>
      </c>
      <c r="G2013" s="118" t="n">
        <v>0.5</v>
      </c>
      <c r="H2013" s="116" t="n">
        <v>0.54</v>
      </c>
      <c r="I2013" s="106" t="n">
        <v>0</v>
      </c>
      <c r="J2013" s="117" t="n">
        <v>0</v>
      </c>
      <c r="K2013" s="108" t="n">
        <v>0.54</v>
      </c>
      <c r="L2013" s="108" t="n">
        <v>0</v>
      </c>
      <c r="M2013" s="117"/>
      <c r="N2013" s="106"/>
      <c r="O2013" s="106"/>
      <c r="P2013" s="106"/>
      <c r="Q2013" s="106"/>
      <c r="R2013" s="106" t="s">
        <v>4537</v>
      </c>
    </row>
    <row r="2014" customFormat="false" ht="15" hidden="false" customHeight="false" outlineLevel="0" collapsed="false">
      <c r="A2014" s="106" t="s">
        <v>6628</v>
      </c>
      <c r="B2014" s="106" t="s">
        <v>4280</v>
      </c>
      <c r="C2014" s="106"/>
      <c r="D2014" s="106" t="n">
        <v>24</v>
      </c>
      <c r="E2014" s="107" t="n">
        <v>1</v>
      </c>
      <c r="F2014" s="106" t="n">
        <v>1</v>
      </c>
      <c r="G2014" s="118" t="n">
        <v>1</v>
      </c>
      <c r="H2014" s="116" t="n">
        <v>0.54</v>
      </c>
      <c r="I2014" s="106" t="n">
        <v>0</v>
      </c>
      <c r="J2014" s="117" t="n">
        <v>0</v>
      </c>
      <c r="K2014" s="108" t="n">
        <v>0.54</v>
      </c>
      <c r="L2014" s="108" t="n">
        <v>0</v>
      </c>
      <c r="M2014" s="117"/>
      <c r="N2014" s="106"/>
      <c r="O2014" s="106"/>
      <c r="P2014" s="106"/>
      <c r="Q2014" s="106"/>
      <c r="R2014" s="106" t="s">
        <v>4537</v>
      </c>
    </row>
    <row r="2015" customFormat="false" ht="15" hidden="false" customHeight="false" outlineLevel="0" collapsed="false">
      <c r="A2015" s="106" t="s">
        <v>6629</v>
      </c>
      <c r="B2015" s="106" t="s">
        <v>1403</v>
      </c>
      <c r="C2015" s="106"/>
      <c r="D2015" s="106" t="n">
        <v>2</v>
      </c>
      <c r="E2015" s="107" t="n">
        <v>3</v>
      </c>
      <c r="F2015" s="106" t="n">
        <v>1</v>
      </c>
      <c r="G2015" s="118" t="n">
        <v>0.3333</v>
      </c>
      <c r="H2015" s="116" t="n">
        <v>0.54</v>
      </c>
      <c r="I2015" s="106" t="n">
        <v>0</v>
      </c>
      <c r="J2015" s="117" t="n">
        <v>0</v>
      </c>
      <c r="K2015" s="108" t="n">
        <v>0.54</v>
      </c>
      <c r="L2015" s="108" t="n">
        <v>0</v>
      </c>
      <c r="M2015" s="117"/>
      <c r="N2015" s="106"/>
      <c r="O2015" s="106"/>
      <c r="P2015" s="106"/>
      <c r="Q2015" s="106"/>
      <c r="R2015" s="106" t="s">
        <v>4537</v>
      </c>
    </row>
    <row r="2016" customFormat="false" ht="15" hidden="false" customHeight="false" outlineLevel="0" collapsed="false">
      <c r="A2016" s="106" t="s">
        <v>6630</v>
      </c>
      <c r="B2016" s="106" t="s">
        <v>1403</v>
      </c>
      <c r="C2016" s="106"/>
      <c r="D2016" s="106"/>
      <c r="E2016" s="107" t="n">
        <v>12</v>
      </c>
      <c r="F2016" s="106" t="n">
        <v>1</v>
      </c>
      <c r="G2016" s="118" t="n">
        <v>0.0833</v>
      </c>
      <c r="H2016" s="116" t="n">
        <v>0.54</v>
      </c>
      <c r="I2016" s="106" t="n">
        <v>0</v>
      </c>
      <c r="J2016" s="117" t="n">
        <v>0</v>
      </c>
      <c r="K2016" s="108" t="n">
        <v>0.54</v>
      </c>
      <c r="L2016" s="108" t="n">
        <v>0</v>
      </c>
      <c r="M2016" s="117"/>
      <c r="N2016" s="106"/>
      <c r="O2016" s="106"/>
      <c r="P2016" s="106"/>
      <c r="Q2016" s="106"/>
      <c r="R2016" s="106" t="s">
        <v>4537</v>
      </c>
    </row>
    <row r="2017" customFormat="false" ht="15" hidden="false" customHeight="false" outlineLevel="0" collapsed="false">
      <c r="A2017" s="106" t="s">
        <v>6631</v>
      </c>
      <c r="B2017" s="106" t="s">
        <v>1403</v>
      </c>
      <c r="C2017" s="106"/>
      <c r="D2017" s="106"/>
      <c r="E2017" s="107" t="n">
        <v>18</v>
      </c>
      <c r="F2017" s="106" t="n">
        <v>1</v>
      </c>
      <c r="G2017" s="118" t="n">
        <v>0.0556</v>
      </c>
      <c r="H2017" s="116" t="n">
        <v>0.54</v>
      </c>
      <c r="I2017" s="106" t="n">
        <v>0</v>
      </c>
      <c r="J2017" s="117" t="n">
        <v>0</v>
      </c>
      <c r="K2017" s="108" t="n">
        <v>0.54</v>
      </c>
      <c r="L2017" s="108" t="n">
        <v>0</v>
      </c>
      <c r="M2017" s="117"/>
      <c r="N2017" s="106"/>
      <c r="O2017" s="106"/>
      <c r="P2017" s="106"/>
      <c r="Q2017" s="106"/>
      <c r="R2017" s="106" t="s">
        <v>4537</v>
      </c>
    </row>
    <row r="2018" customFormat="false" ht="15" hidden="false" customHeight="false" outlineLevel="0" collapsed="false">
      <c r="A2018" s="106" t="s">
        <v>4373</v>
      </c>
      <c r="B2018" s="106" t="s">
        <v>4309</v>
      </c>
      <c r="C2018" s="106"/>
      <c r="D2018" s="106" t="n">
        <v>80236</v>
      </c>
      <c r="E2018" s="107" t="n">
        <v>1</v>
      </c>
      <c r="F2018" s="106" t="n">
        <v>1</v>
      </c>
      <c r="G2018" s="118" t="n">
        <v>1</v>
      </c>
      <c r="H2018" s="116" t="n">
        <v>0.35</v>
      </c>
      <c r="I2018" s="106" t="n">
        <v>0</v>
      </c>
      <c r="J2018" s="117" t="n">
        <v>0</v>
      </c>
      <c r="K2018" s="108" t="n">
        <v>0.35</v>
      </c>
      <c r="L2018" s="108" t="n">
        <v>0</v>
      </c>
      <c r="M2018" s="117"/>
      <c r="N2018" s="106"/>
      <c r="O2018" s="106"/>
      <c r="P2018" s="106"/>
      <c r="Q2018" s="106"/>
      <c r="R2018" s="106" t="s">
        <v>4537</v>
      </c>
    </row>
    <row r="2019" customFormat="false" ht="15" hidden="false" customHeight="false" outlineLevel="0" collapsed="false">
      <c r="A2019" s="106" t="s">
        <v>6632</v>
      </c>
      <c r="B2019" s="106" t="s">
        <v>4309</v>
      </c>
      <c r="C2019" s="106"/>
      <c r="D2019" s="106"/>
      <c r="E2019" s="107" t="n">
        <v>1</v>
      </c>
      <c r="F2019" s="106" t="n">
        <v>1</v>
      </c>
      <c r="G2019" s="118" t="n">
        <v>1</v>
      </c>
      <c r="H2019" s="116" t="n">
        <v>0.35</v>
      </c>
      <c r="I2019" s="106" t="n">
        <v>0</v>
      </c>
      <c r="J2019" s="117" t="n">
        <v>0</v>
      </c>
      <c r="K2019" s="108" t="n">
        <v>0.35</v>
      </c>
      <c r="L2019" s="108" t="n">
        <v>0</v>
      </c>
      <c r="M2019" s="117"/>
      <c r="N2019" s="106"/>
      <c r="O2019" s="106"/>
      <c r="P2019" s="106"/>
      <c r="Q2019" s="106"/>
      <c r="R2019" s="106" t="s">
        <v>4537</v>
      </c>
    </row>
    <row r="2020" customFormat="false" ht="15" hidden="false" customHeight="false" outlineLevel="0" collapsed="false">
      <c r="A2020" s="106" t="s">
        <v>6633</v>
      </c>
      <c r="B2020" s="106" t="s">
        <v>4309</v>
      </c>
      <c r="C2020" s="106"/>
      <c r="D2020" s="106"/>
      <c r="E2020" s="107" t="n">
        <v>38</v>
      </c>
      <c r="F2020" s="106" t="n">
        <v>1</v>
      </c>
      <c r="G2020" s="118" t="n">
        <v>0.0263</v>
      </c>
      <c r="H2020" s="116" t="n">
        <v>0.35</v>
      </c>
      <c r="I2020" s="106" t="n">
        <v>0</v>
      </c>
      <c r="J2020" s="117" t="n">
        <v>0</v>
      </c>
      <c r="K2020" s="108" t="n">
        <v>0.35</v>
      </c>
      <c r="L2020" s="108" t="n">
        <v>0</v>
      </c>
      <c r="M2020" s="117"/>
      <c r="N2020" s="106"/>
      <c r="O2020" s="106"/>
      <c r="P2020" s="106"/>
      <c r="Q2020" s="106"/>
      <c r="R2020" s="106" t="s">
        <v>4537</v>
      </c>
    </row>
    <row r="2021" customFormat="false" ht="15" hidden="false" customHeight="false" outlineLevel="0" collapsed="false">
      <c r="A2021" s="106" t="s">
        <v>6634</v>
      </c>
      <c r="B2021" s="106" t="s">
        <v>4280</v>
      </c>
      <c r="C2021" s="106"/>
      <c r="D2021" s="106"/>
      <c r="E2021" s="107" t="n">
        <v>1</v>
      </c>
      <c r="F2021" s="106" t="n">
        <v>1</v>
      </c>
      <c r="G2021" s="118" t="n">
        <v>1</v>
      </c>
      <c r="H2021" s="116" t="n">
        <v>0.35</v>
      </c>
      <c r="I2021" s="106" t="n">
        <v>0</v>
      </c>
      <c r="J2021" s="117" t="n">
        <v>0</v>
      </c>
      <c r="K2021" s="108" t="n">
        <v>0.35</v>
      </c>
      <c r="L2021" s="108" t="n">
        <v>0</v>
      </c>
      <c r="M2021" s="117"/>
      <c r="N2021" s="106"/>
      <c r="O2021" s="106"/>
      <c r="P2021" s="106"/>
      <c r="Q2021" s="106"/>
      <c r="R2021" s="106" t="s">
        <v>4537</v>
      </c>
    </row>
    <row r="2022" customFormat="false" ht="15" hidden="false" customHeight="false" outlineLevel="0" collapsed="false">
      <c r="A2022" s="106" t="s">
        <v>6635</v>
      </c>
      <c r="B2022" s="106" t="s">
        <v>4284</v>
      </c>
      <c r="C2022" s="106"/>
      <c r="D2022" s="106" t="n">
        <v>21</v>
      </c>
      <c r="E2022" s="107" t="n">
        <v>1</v>
      </c>
      <c r="F2022" s="106" t="n">
        <v>1</v>
      </c>
      <c r="G2022" s="118" t="n">
        <v>1</v>
      </c>
      <c r="H2022" s="116" t="n">
        <v>0.35</v>
      </c>
      <c r="I2022" s="106" t="n">
        <v>0</v>
      </c>
      <c r="J2022" s="117" t="n">
        <v>0</v>
      </c>
      <c r="K2022" s="108" t="n">
        <v>0.35</v>
      </c>
      <c r="L2022" s="108" t="n">
        <v>0</v>
      </c>
      <c r="M2022" s="117"/>
      <c r="N2022" s="106"/>
      <c r="O2022" s="106"/>
      <c r="P2022" s="106"/>
      <c r="Q2022" s="106"/>
      <c r="R2022" s="106" t="s">
        <v>4537</v>
      </c>
    </row>
    <row r="2023" customFormat="false" ht="15" hidden="false" customHeight="false" outlineLevel="0" collapsed="false">
      <c r="A2023" s="106" t="s">
        <v>6636</v>
      </c>
      <c r="B2023" s="106" t="s">
        <v>4280</v>
      </c>
      <c r="C2023" s="106"/>
      <c r="D2023" s="106"/>
      <c r="E2023" s="107" t="n">
        <v>1</v>
      </c>
      <c r="F2023" s="106" t="n">
        <v>1</v>
      </c>
      <c r="G2023" s="118" t="n">
        <v>1</v>
      </c>
      <c r="H2023" s="116" t="n">
        <v>0.35</v>
      </c>
      <c r="I2023" s="106" t="n">
        <v>0</v>
      </c>
      <c r="J2023" s="117" t="n">
        <v>0</v>
      </c>
      <c r="K2023" s="108" t="n">
        <v>0.35</v>
      </c>
      <c r="L2023" s="108" t="n">
        <v>0</v>
      </c>
      <c r="M2023" s="117"/>
      <c r="N2023" s="106"/>
      <c r="O2023" s="106"/>
      <c r="P2023" s="106"/>
      <c r="Q2023" s="106"/>
      <c r="R2023" s="106" t="s">
        <v>4537</v>
      </c>
    </row>
    <row r="2024" customFormat="false" ht="15" hidden="false" customHeight="false" outlineLevel="0" collapsed="false">
      <c r="A2024" s="106" t="s">
        <v>6637</v>
      </c>
      <c r="B2024" s="106" t="s">
        <v>4329</v>
      </c>
      <c r="C2024" s="106"/>
      <c r="D2024" s="106"/>
      <c r="E2024" s="107" t="n">
        <v>2</v>
      </c>
      <c r="F2024" s="106" t="n">
        <v>1</v>
      </c>
      <c r="G2024" s="118" t="n">
        <v>0.5</v>
      </c>
      <c r="H2024" s="116" t="n">
        <v>0.35</v>
      </c>
      <c r="I2024" s="106" t="n">
        <v>0</v>
      </c>
      <c r="J2024" s="117" t="n">
        <v>0</v>
      </c>
      <c r="K2024" s="108" t="n">
        <v>0.35</v>
      </c>
      <c r="L2024" s="108" t="n">
        <v>0</v>
      </c>
      <c r="M2024" s="117"/>
      <c r="N2024" s="106"/>
      <c r="O2024" s="106"/>
      <c r="P2024" s="106"/>
      <c r="Q2024" s="106"/>
      <c r="R2024" s="106" t="s">
        <v>4537</v>
      </c>
    </row>
    <row r="2025" customFormat="false" ht="15" hidden="false" customHeight="false" outlineLevel="0" collapsed="false">
      <c r="A2025" s="106" t="s">
        <v>6638</v>
      </c>
      <c r="B2025" s="106" t="s">
        <v>4280</v>
      </c>
      <c r="C2025" s="106"/>
      <c r="D2025" s="106"/>
      <c r="E2025" s="107" t="n">
        <v>1</v>
      </c>
      <c r="F2025" s="106" t="n">
        <v>1</v>
      </c>
      <c r="G2025" s="118" t="n">
        <v>1</v>
      </c>
      <c r="H2025" s="116" t="n">
        <v>0.35</v>
      </c>
      <c r="I2025" s="106" t="n">
        <v>0</v>
      </c>
      <c r="J2025" s="117" t="n">
        <v>0</v>
      </c>
      <c r="K2025" s="108" t="n">
        <v>0.35</v>
      </c>
      <c r="L2025" s="108" t="n">
        <v>0</v>
      </c>
      <c r="M2025" s="117"/>
      <c r="N2025" s="106"/>
      <c r="O2025" s="106"/>
      <c r="P2025" s="106"/>
      <c r="Q2025" s="106"/>
      <c r="R2025" s="106" t="s">
        <v>4537</v>
      </c>
    </row>
    <row r="2026" customFormat="false" ht="15" hidden="false" customHeight="false" outlineLevel="0" collapsed="false">
      <c r="A2026" s="106" t="s">
        <v>6639</v>
      </c>
      <c r="B2026" s="106" t="s">
        <v>4329</v>
      </c>
      <c r="C2026" s="106"/>
      <c r="D2026" s="106" t="n">
        <v>5</v>
      </c>
      <c r="E2026" s="107" t="n">
        <v>2</v>
      </c>
      <c r="F2026" s="106" t="n">
        <v>1</v>
      </c>
      <c r="G2026" s="118" t="n">
        <v>0.5</v>
      </c>
      <c r="H2026" s="116" t="n">
        <v>0.35</v>
      </c>
      <c r="I2026" s="106" t="n">
        <v>0</v>
      </c>
      <c r="J2026" s="117" t="n">
        <v>0</v>
      </c>
      <c r="K2026" s="108" t="n">
        <v>0.35</v>
      </c>
      <c r="L2026" s="108" t="n">
        <v>0</v>
      </c>
      <c r="M2026" s="117"/>
      <c r="N2026" s="106"/>
      <c r="O2026" s="106"/>
      <c r="P2026" s="106"/>
      <c r="Q2026" s="106"/>
      <c r="R2026" s="106" t="s">
        <v>4537</v>
      </c>
    </row>
    <row r="2027" customFormat="false" ht="15" hidden="false" customHeight="false" outlineLevel="0" collapsed="false">
      <c r="A2027" s="106" t="s">
        <v>6640</v>
      </c>
      <c r="B2027" s="106" t="s">
        <v>1403</v>
      </c>
      <c r="C2027" s="106"/>
      <c r="D2027" s="106" t="n">
        <v>2</v>
      </c>
      <c r="E2027" s="107" t="n">
        <v>1</v>
      </c>
      <c r="F2027" s="106" t="n">
        <v>1</v>
      </c>
      <c r="G2027" s="118" t="n">
        <v>1</v>
      </c>
      <c r="H2027" s="116" t="n">
        <v>0.35</v>
      </c>
      <c r="I2027" s="106" t="n">
        <v>0</v>
      </c>
      <c r="J2027" s="117" t="n">
        <v>0</v>
      </c>
      <c r="K2027" s="108" t="n">
        <v>0.35</v>
      </c>
      <c r="L2027" s="108" t="n">
        <v>0</v>
      </c>
      <c r="M2027" s="117"/>
      <c r="N2027" s="106"/>
      <c r="O2027" s="106"/>
      <c r="P2027" s="106"/>
      <c r="Q2027" s="106"/>
      <c r="R2027" s="106" t="s">
        <v>4537</v>
      </c>
    </row>
    <row r="2028" customFormat="false" ht="15" hidden="false" customHeight="false" outlineLevel="0" collapsed="false">
      <c r="A2028" s="106" t="s">
        <v>6641</v>
      </c>
      <c r="B2028" s="106" t="s">
        <v>1403</v>
      </c>
      <c r="C2028" s="106"/>
      <c r="D2028" s="106" t="n">
        <v>1</v>
      </c>
      <c r="E2028" s="107" t="n">
        <v>1</v>
      </c>
      <c r="F2028" s="106" t="n">
        <v>1</v>
      </c>
      <c r="G2028" s="118" t="n">
        <v>1</v>
      </c>
      <c r="H2028" s="116" t="n">
        <v>0.35</v>
      </c>
      <c r="I2028" s="106" t="n">
        <v>0</v>
      </c>
      <c r="J2028" s="117" t="n">
        <v>0</v>
      </c>
      <c r="K2028" s="108" t="n">
        <v>0.35</v>
      </c>
      <c r="L2028" s="108" t="n">
        <v>0</v>
      </c>
      <c r="M2028" s="117"/>
      <c r="N2028" s="106"/>
      <c r="O2028" s="106"/>
      <c r="P2028" s="106"/>
      <c r="Q2028" s="106"/>
      <c r="R2028" s="106" t="s">
        <v>4537</v>
      </c>
    </row>
    <row r="2029" customFormat="false" ht="15" hidden="false" customHeight="false" outlineLevel="0" collapsed="false">
      <c r="A2029" s="106" t="s">
        <v>6642</v>
      </c>
      <c r="B2029" s="106" t="s">
        <v>4329</v>
      </c>
      <c r="C2029" s="106"/>
      <c r="D2029" s="106"/>
      <c r="E2029" s="107" t="n">
        <v>1</v>
      </c>
      <c r="F2029" s="106" t="n">
        <v>1</v>
      </c>
      <c r="G2029" s="118" t="n">
        <v>1</v>
      </c>
      <c r="H2029" s="116" t="n">
        <v>0.35</v>
      </c>
      <c r="I2029" s="106" t="n">
        <v>0</v>
      </c>
      <c r="J2029" s="117" t="n">
        <v>0</v>
      </c>
      <c r="K2029" s="108" t="n">
        <v>0.35</v>
      </c>
      <c r="L2029" s="108" t="n">
        <v>0</v>
      </c>
      <c r="M2029" s="117"/>
      <c r="N2029" s="106"/>
      <c r="O2029" s="106"/>
      <c r="P2029" s="106"/>
      <c r="Q2029" s="106"/>
      <c r="R2029" s="106" t="s">
        <v>4537</v>
      </c>
    </row>
    <row r="2030" customFormat="false" ht="15" hidden="false" customHeight="false" outlineLevel="0" collapsed="false">
      <c r="A2030" s="106" t="s">
        <v>6643</v>
      </c>
      <c r="B2030" s="106" t="s">
        <v>4284</v>
      </c>
      <c r="C2030" s="106"/>
      <c r="D2030" s="106"/>
      <c r="E2030" s="107" t="n">
        <v>1</v>
      </c>
      <c r="F2030" s="106" t="n">
        <v>1</v>
      </c>
      <c r="G2030" s="118" t="n">
        <v>1</v>
      </c>
      <c r="H2030" s="116" t="n">
        <v>0.35</v>
      </c>
      <c r="I2030" s="106" t="n">
        <v>0</v>
      </c>
      <c r="J2030" s="117" t="n">
        <v>0</v>
      </c>
      <c r="K2030" s="108" t="n">
        <v>0.35</v>
      </c>
      <c r="L2030" s="108" t="n">
        <v>0</v>
      </c>
      <c r="M2030" s="117"/>
      <c r="N2030" s="106"/>
      <c r="O2030" s="106"/>
      <c r="P2030" s="106"/>
      <c r="Q2030" s="106"/>
      <c r="R2030" s="106" t="s">
        <v>4537</v>
      </c>
    </row>
    <row r="2031" customFormat="false" ht="15" hidden="false" customHeight="false" outlineLevel="0" collapsed="false">
      <c r="A2031" s="106" t="s">
        <v>6644</v>
      </c>
      <c r="B2031" s="106" t="s">
        <v>1403</v>
      </c>
      <c r="C2031" s="106"/>
      <c r="D2031" s="106"/>
      <c r="E2031" s="107" t="n">
        <v>1</v>
      </c>
      <c r="F2031" s="106" t="n">
        <v>1</v>
      </c>
      <c r="G2031" s="118" t="n">
        <v>1</v>
      </c>
      <c r="H2031" s="116" t="n">
        <v>0.35</v>
      </c>
      <c r="I2031" s="106" t="n">
        <v>0</v>
      </c>
      <c r="J2031" s="117" t="n">
        <v>0</v>
      </c>
      <c r="K2031" s="108" t="n">
        <v>0.35</v>
      </c>
      <c r="L2031" s="108" t="n">
        <v>0</v>
      </c>
      <c r="M2031" s="117"/>
      <c r="N2031" s="106"/>
      <c r="O2031" s="106"/>
      <c r="P2031" s="106"/>
      <c r="Q2031" s="106"/>
      <c r="R2031" s="106" t="s">
        <v>4537</v>
      </c>
    </row>
    <row r="2032" customFormat="false" ht="15" hidden="false" customHeight="false" outlineLevel="0" collapsed="false">
      <c r="A2032" s="106" t="s">
        <v>6645</v>
      </c>
      <c r="B2032" s="106" t="s">
        <v>4284</v>
      </c>
      <c r="C2032" s="106"/>
      <c r="D2032" s="106" t="n">
        <v>358</v>
      </c>
      <c r="E2032" s="107" t="n">
        <v>3</v>
      </c>
      <c r="F2032" s="106" t="n">
        <v>1</v>
      </c>
      <c r="G2032" s="118" t="n">
        <v>0.3333</v>
      </c>
      <c r="H2032" s="116" t="n">
        <v>0.35</v>
      </c>
      <c r="I2032" s="106" t="n">
        <v>0</v>
      </c>
      <c r="J2032" s="117" t="n">
        <v>0</v>
      </c>
      <c r="K2032" s="108" t="n">
        <v>0.35</v>
      </c>
      <c r="L2032" s="108" t="n">
        <v>0</v>
      </c>
      <c r="M2032" s="117"/>
      <c r="N2032" s="106"/>
      <c r="O2032" s="106"/>
      <c r="P2032" s="106"/>
      <c r="Q2032" s="106"/>
      <c r="R2032" s="106" t="s">
        <v>4537</v>
      </c>
    </row>
    <row r="2033" customFormat="false" ht="15" hidden="false" customHeight="false" outlineLevel="0" collapsed="false">
      <c r="A2033" s="106" t="s">
        <v>6646</v>
      </c>
      <c r="B2033" s="106" t="s">
        <v>4284</v>
      </c>
      <c r="C2033" s="106"/>
      <c r="D2033" s="106"/>
      <c r="E2033" s="107" t="n">
        <v>3</v>
      </c>
      <c r="F2033" s="106" t="n">
        <v>1</v>
      </c>
      <c r="G2033" s="118" t="n">
        <v>0.3333</v>
      </c>
      <c r="H2033" s="116" t="n">
        <v>0.35</v>
      </c>
      <c r="I2033" s="106" t="n">
        <v>0</v>
      </c>
      <c r="J2033" s="117" t="n">
        <v>0</v>
      </c>
      <c r="K2033" s="108" t="n">
        <v>0.35</v>
      </c>
      <c r="L2033" s="108" t="n">
        <v>0</v>
      </c>
      <c r="M2033" s="117"/>
      <c r="N2033" s="106"/>
      <c r="O2033" s="106"/>
      <c r="P2033" s="106"/>
      <c r="Q2033" s="106"/>
      <c r="R2033" s="106" t="s">
        <v>4537</v>
      </c>
    </row>
    <row r="2034" customFormat="false" ht="15" hidden="false" customHeight="false" outlineLevel="0" collapsed="false">
      <c r="A2034" s="106" t="s">
        <v>6647</v>
      </c>
      <c r="B2034" s="106" t="s">
        <v>1403</v>
      </c>
      <c r="C2034" s="106"/>
      <c r="D2034" s="106"/>
      <c r="E2034" s="107" t="n">
        <v>14</v>
      </c>
      <c r="F2034" s="106" t="n">
        <v>1</v>
      </c>
      <c r="G2034" s="118" t="n">
        <v>0.0714</v>
      </c>
      <c r="H2034" s="116" t="n">
        <v>0.45</v>
      </c>
      <c r="I2034" s="106" t="n">
        <v>1</v>
      </c>
      <c r="J2034" s="117" t="n">
        <v>1</v>
      </c>
      <c r="K2034" s="108" t="n">
        <v>0.45</v>
      </c>
      <c r="L2034" s="108" t="n">
        <v>64.99</v>
      </c>
      <c r="M2034" s="117" t="n">
        <v>0.007</v>
      </c>
      <c r="N2034" s="106"/>
      <c r="O2034" s="106"/>
      <c r="P2034" s="106"/>
      <c r="Q2034" s="106"/>
      <c r="R2034" s="106" t="s">
        <v>4285</v>
      </c>
    </row>
    <row r="2035" customFormat="false" ht="15" hidden="false" customHeight="false" outlineLevel="0" collapsed="false">
      <c r="A2035" s="106" t="s">
        <v>6648</v>
      </c>
      <c r="B2035" s="106" t="s">
        <v>1403</v>
      </c>
      <c r="C2035" s="106"/>
      <c r="D2035" s="106"/>
      <c r="E2035" s="107" t="n">
        <v>1</v>
      </c>
      <c r="F2035" s="106" t="n">
        <v>1</v>
      </c>
      <c r="G2035" s="118" t="n">
        <v>1</v>
      </c>
      <c r="H2035" s="116" t="n">
        <v>0.45</v>
      </c>
      <c r="I2035" s="106" t="n">
        <v>0</v>
      </c>
      <c r="J2035" s="117" t="n">
        <v>0</v>
      </c>
      <c r="K2035" s="108" t="n">
        <v>0.45</v>
      </c>
      <c r="L2035" s="108" t="n">
        <v>0</v>
      </c>
      <c r="M2035" s="117"/>
      <c r="N2035" s="106"/>
      <c r="O2035" s="106"/>
      <c r="P2035" s="106"/>
      <c r="Q2035" s="106"/>
      <c r="R2035" s="106" t="s">
        <v>4537</v>
      </c>
    </row>
    <row r="2036" customFormat="false" ht="15" hidden="false" customHeight="false" outlineLevel="0" collapsed="false">
      <c r="A2036" s="106" t="s">
        <v>6649</v>
      </c>
      <c r="B2036" s="106" t="s">
        <v>1403</v>
      </c>
      <c r="C2036" s="106"/>
      <c r="D2036" s="106"/>
      <c r="E2036" s="107" t="n">
        <v>8</v>
      </c>
      <c r="F2036" s="106" t="n">
        <v>1</v>
      </c>
      <c r="G2036" s="118" t="n">
        <v>0.125</v>
      </c>
      <c r="H2036" s="116" t="n">
        <v>0.45</v>
      </c>
      <c r="I2036" s="106" t="n">
        <v>1</v>
      </c>
      <c r="J2036" s="117" t="n">
        <v>1</v>
      </c>
      <c r="K2036" s="108" t="n">
        <v>0.45</v>
      </c>
      <c r="L2036" s="108" t="n">
        <v>69.99</v>
      </c>
      <c r="M2036" s="117" t="n">
        <v>0.006</v>
      </c>
      <c r="N2036" s="106"/>
      <c r="O2036" s="106"/>
      <c r="P2036" s="106"/>
      <c r="Q2036" s="106"/>
      <c r="R2036" s="106" t="s">
        <v>4285</v>
      </c>
    </row>
    <row r="2037" customFormat="false" ht="15" hidden="false" customHeight="false" outlineLevel="0" collapsed="false">
      <c r="A2037" s="106" t="s">
        <v>6650</v>
      </c>
      <c r="B2037" s="106" t="s">
        <v>1403</v>
      </c>
      <c r="C2037" s="106"/>
      <c r="D2037" s="106" t="n">
        <v>1</v>
      </c>
      <c r="E2037" s="107" t="n">
        <v>4</v>
      </c>
      <c r="F2037" s="106" t="n">
        <v>1</v>
      </c>
      <c r="G2037" s="118" t="n">
        <v>0.25</v>
      </c>
      <c r="H2037" s="116" t="n">
        <v>0.45</v>
      </c>
      <c r="I2037" s="106" t="n">
        <v>0</v>
      </c>
      <c r="J2037" s="117" t="n">
        <v>0</v>
      </c>
      <c r="K2037" s="108" t="n">
        <v>0.45</v>
      </c>
      <c r="L2037" s="108" t="n">
        <v>0</v>
      </c>
      <c r="M2037" s="117"/>
      <c r="N2037" s="106"/>
      <c r="O2037" s="106"/>
      <c r="P2037" s="106"/>
      <c r="Q2037" s="106"/>
      <c r="R2037" s="106" t="s">
        <v>4537</v>
      </c>
    </row>
    <row r="2038" customFormat="false" ht="15" hidden="false" customHeight="false" outlineLevel="0" collapsed="false">
      <c r="A2038" s="106" t="s">
        <v>6651</v>
      </c>
      <c r="B2038" s="106" t="s">
        <v>1403</v>
      </c>
      <c r="C2038" s="106"/>
      <c r="D2038" s="106" t="n">
        <v>5</v>
      </c>
      <c r="E2038" s="107" t="n">
        <v>3</v>
      </c>
      <c r="F2038" s="106" t="n">
        <v>1</v>
      </c>
      <c r="G2038" s="118" t="n">
        <v>0.3333</v>
      </c>
      <c r="H2038" s="116" t="n">
        <v>0.45</v>
      </c>
      <c r="I2038" s="106" t="n">
        <v>3</v>
      </c>
      <c r="J2038" s="117" t="n">
        <v>3</v>
      </c>
      <c r="K2038" s="108" t="n">
        <v>0.45</v>
      </c>
      <c r="L2038" s="108" t="n">
        <v>239.97</v>
      </c>
      <c r="M2038" s="117" t="n">
        <v>0.002</v>
      </c>
      <c r="N2038" s="106"/>
      <c r="O2038" s="106"/>
      <c r="P2038" s="106"/>
      <c r="Q2038" s="106"/>
      <c r="R2038" s="106" t="s">
        <v>4285</v>
      </c>
    </row>
    <row r="2039" customFormat="false" ht="15" hidden="false" customHeight="false" outlineLevel="0" collapsed="false">
      <c r="A2039" s="106" t="s">
        <v>6652</v>
      </c>
      <c r="B2039" s="106" t="s">
        <v>1403</v>
      </c>
      <c r="C2039" s="106"/>
      <c r="D2039" s="106"/>
      <c r="E2039" s="107" t="n">
        <v>4</v>
      </c>
      <c r="F2039" s="106" t="n">
        <v>1</v>
      </c>
      <c r="G2039" s="118" t="n">
        <v>0.25</v>
      </c>
      <c r="H2039" s="116" t="n">
        <v>0.45</v>
      </c>
      <c r="I2039" s="106" t="n">
        <v>0</v>
      </c>
      <c r="J2039" s="117" t="n">
        <v>0</v>
      </c>
      <c r="K2039" s="108" t="n">
        <v>0.45</v>
      </c>
      <c r="L2039" s="108" t="n">
        <v>0</v>
      </c>
      <c r="M2039" s="117"/>
      <c r="N2039" s="106"/>
      <c r="O2039" s="106"/>
      <c r="P2039" s="106"/>
      <c r="Q2039" s="106"/>
      <c r="R2039" s="106" t="s">
        <v>4537</v>
      </c>
    </row>
    <row r="2040" customFormat="false" ht="15" hidden="false" customHeight="false" outlineLevel="0" collapsed="false">
      <c r="A2040" s="106" t="s">
        <v>6653</v>
      </c>
      <c r="B2040" s="106" t="s">
        <v>4284</v>
      </c>
      <c r="C2040" s="106"/>
      <c r="D2040" s="106"/>
      <c r="E2040" s="107" t="n">
        <v>1</v>
      </c>
      <c r="F2040" s="106" t="n">
        <v>1</v>
      </c>
      <c r="G2040" s="118" t="n">
        <v>1</v>
      </c>
      <c r="H2040" s="116" t="n">
        <v>0.43</v>
      </c>
      <c r="I2040" s="106" t="n">
        <v>0</v>
      </c>
      <c r="J2040" s="117" t="n">
        <v>0</v>
      </c>
      <c r="K2040" s="108" t="n">
        <v>0.43</v>
      </c>
      <c r="L2040" s="108" t="n">
        <v>0</v>
      </c>
      <c r="M2040" s="117"/>
      <c r="N2040" s="106"/>
      <c r="O2040" s="106"/>
      <c r="P2040" s="106"/>
      <c r="Q2040" s="106"/>
      <c r="R2040" s="106" t="s">
        <v>4537</v>
      </c>
    </row>
    <row r="2041" customFormat="false" ht="15" hidden="false" customHeight="false" outlineLevel="0" collapsed="false">
      <c r="A2041" s="106" t="s">
        <v>6654</v>
      </c>
      <c r="B2041" s="106" t="s">
        <v>4284</v>
      </c>
      <c r="C2041" s="106"/>
      <c r="D2041" s="106" t="n">
        <v>5</v>
      </c>
      <c r="E2041" s="107" t="n">
        <v>1</v>
      </c>
      <c r="F2041" s="106" t="n">
        <v>1</v>
      </c>
      <c r="G2041" s="118" t="n">
        <v>1</v>
      </c>
      <c r="H2041" s="116" t="n">
        <v>0.35</v>
      </c>
      <c r="I2041" s="106" t="n">
        <v>0</v>
      </c>
      <c r="J2041" s="117" t="n">
        <v>0</v>
      </c>
      <c r="K2041" s="108" t="n">
        <v>0.35</v>
      </c>
      <c r="L2041" s="108" t="n">
        <v>0</v>
      </c>
      <c r="M2041" s="117"/>
      <c r="N2041" s="106"/>
      <c r="O2041" s="106"/>
      <c r="P2041" s="106"/>
      <c r="Q2041" s="106"/>
      <c r="R2041" s="106" t="s">
        <v>4537</v>
      </c>
    </row>
    <row r="2042" customFormat="false" ht="15" hidden="false" customHeight="false" outlineLevel="0" collapsed="false">
      <c r="A2042" s="106" t="s">
        <v>6655</v>
      </c>
      <c r="B2042" s="106" t="s">
        <v>4329</v>
      </c>
      <c r="C2042" s="106"/>
      <c r="D2042" s="106" t="n">
        <v>5</v>
      </c>
      <c r="E2042" s="107" t="n">
        <v>1</v>
      </c>
      <c r="F2042" s="106" t="n">
        <v>1</v>
      </c>
      <c r="G2042" s="118" t="n">
        <v>1</v>
      </c>
      <c r="H2042" s="116" t="n">
        <v>0.46</v>
      </c>
      <c r="I2042" s="106" t="n">
        <v>0</v>
      </c>
      <c r="J2042" s="117" t="n">
        <v>0</v>
      </c>
      <c r="K2042" s="108" t="n">
        <v>0.46</v>
      </c>
      <c r="L2042" s="108" t="n">
        <v>0</v>
      </c>
      <c r="M2042" s="117"/>
      <c r="N2042" s="106"/>
      <c r="O2042" s="106"/>
      <c r="P2042" s="106"/>
      <c r="Q2042" s="106"/>
      <c r="R2042" s="106" t="s">
        <v>4537</v>
      </c>
    </row>
    <row r="2043" customFormat="false" ht="15" hidden="false" customHeight="false" outlineLevel="0" collapsed="false">
      <c r="A2043" s="106" t="s">
        <v>6656</v>
      </c>
      <c r="B2043" s="106" t="s">
        <v>4280</v>
      </c>
      <c r="C2043" s="106"/>
      <c r="D2043" s="106" t="n">
        <v>3</v>
      </c>
      <c r="E2043" s="107" t="n">
        <v>1</v>
      </c>
      <c r="F2043" s="106" t="n">
        <v>1</v>
      </c>
      <c r="G2043" s="118" t="n">
        <v>1</v>
      </c>
      <c r="H2043" s="116" t="n">
        <v>0.46</v>
      </c>
      <c r="I2043" s="106" t="n">
        <v>0</v>
      </c>
      <c r="J2043" s="117" t="n">
        <v>0</v>
      </c>
      <c r="K2043" s="108" t="n">
        <v>0.46</v>
      </c>
      <c r="L2043" s="108" t="n">
        <v>0</v>
      </c>
      <c r="M2043" s="117"/>
      <c r="N2043" s="106"/>
      <c r="O2043" s="106"/>
      <c r="P2043" s="106"/>
      <c r="Q2043" s="106"/>
      <c r="R2043" s="106" t="s">
        <v>4537</v>
      </c>
    </row>
    <row r="2044" customFormat="false" ht="15" hidden="false" customHeight="false" outlineLevel="0" collapsed="false">
      <c r="A2044" s="106" t="s">
        <v>6657</v>
      </c>
      <c r="B2044" s="106" t="s">
        <v>1403</v>
      </c>
      <c r="C2044" s="106"/>
      <c r="D2044" s="106"/>
      <c r="E2044" s="107" t="n">
        <v>2</v>
      </c>
      <c r="F2044" s="106" t="n">
        <v>1</v>
      </c>
      <c r="G2044" s="118" t="n">
        <v>0.5</v>
      </c>
      <c r="H2044" s="116" t="n">
        <v>0.46</v>
      </c>
      <c r="I2044" s="106" t="n">
        <v>0</v>
      </c>
      <c r="J2044" s="117" t="n">
        <v>0</v>
      </c>
      <c r="K2044" s="108" t="n">
        <v>0.46</v>
      </c>
      <c r="L2044" s="108" t="n">
        <v>0</v>
      </c>
      <c r="M2044" s="117"/>
      <c r="N2044" s="106"/>
      <c r="O2044" s="106"/>
      <c r="P2044" s="106"/>
      <c r="Q2044" s="106"/>
      <c r="R2044" s="106" t="s">
        <v>4537</v>
      </c>
    </row>
    <row r="2045" customFormat="false" ht="15" hidden="false" customHeight="false" outlineLevel="0" collapsed="false">
      <c r="A2045" s="106" t="s">
        <v>6658</v>
      </c>
      <c r="B2045" s="106" t="s">
        <v>1403</v>
      </c>
      <c r="C2045" s="106"/>
      <c r="D2045" s="106" t="n">
        <v>6</v>
      </c>
      <c r="E2045" s="107" t="n">
        <v>8</v>
      </c>
      <c r="F2045" s="106" t="n">
        <v>1</v>
      </c>
      <c r="G2045" s="118" t="n">
        <v>0.125</v>
      </c>
      <c r="H2045" s="116" t="n">
        <v>0.46</v>
      </c>
      <c r="I2045" s="106" t="n">
        <v>1</v>
      </c>
      <c r="J2045" s="117" t="n">
        <v>1</v>
      </c>
      <c r="K2045" s="108" t="n">
        <v>0.46</v>
      </c>
      <c r="L2045" s="108" t="n">
        <v>34.99</v>
      </c>
      <c r="M2045" s="117" t="n">
        <v>0.013</v>
      </c>
      <c r="N2045" s="106"/>
      <c r="O2045" s="106"/>
      <c r="P2045" s="106"/>
      <c r="Q2045" s="106"/>
      <c r="R2045" s="106" t="s">
        <v>4285</v>
      </c>
    </row>
    <row r="2046" customFormat="false" ht="15" hidden="false" customHeight="false" outlineLevel="0" collapsed="false">
      <c r="A2046" s="106" t="s">
        <v>6659</v>
      </c>
      <c r="B2046" s="106" t="s">
        <v>4280</v>
      </c>
      <c r="C2046" s="106"/>
      <c r="D2046" s="106" t="n">
        <v>17</v>
      </c>
      <c r="E2046" s="107" t="n">
        <v>13</v>
      </c>
      <c r="F2046" s="106" t="n">
        <v>1</v>
      </c>
      <c r="G2046" s="118" t="n">
        <v>0.0769</v>
      </c>
      <c r="H2046" s="116" t="n">
        <v>0.45</v>
      </c>
      <c r="I2046" s="106" t="n">
        <v>0</v>
      </c>
      <c r="J2046" s="117" t="n">
        <v>0</v>
      </c>
      <c r="K2046" s="108" t="n">
        <v>0.45</v>
      </c>
      <c r="L2046" s="108" t="n">
        <v>0</v>
      </c>
      <c r="M2046" s="117"/>
      <c r="N2046" s="106"/>
      <c r="O2046" s="106"/>
      <c r="P2046" s="106"/>
      <c r="Q2046" s="106"/>
      <c r="R2046" s="106" t="s">
        <v>4537</v>
      </c>
    </row>
    <row r="2047" customFormat="false" ht="15" hidden="false" customHeight="false" outlineLevel="0" collapsed="false">
      <c r="A2047" s="106" t="s">
        <v>6660</v>
      </c>
      <c r="B2047" s="106" t="s">
        <v>4280</v>
      </c>
      <c r="C2047" s="106"/>
      <c r="D2047" s="106"/>
      <c r="E2047" s="107" t="n">
        <v>2</v>
      </c>
      <c r="F2047" s="106" t="n">
        <v>1</v>
      </c>
      <c r="G2047" s="118" t="n">
        <v>0.5</v>
      </c>
      <c r="H2047" s="116" t="n">
        <v>0.45</v>
      </c>
      <c r="I2047" s="106" t="n">
        <v>0</v>
      </c>
      <c r="J2047" s="117" t="n">
        <v>0</v>
      </c>
      <c r="K2047" s="108" t="n">
        <v>0.45</v>
      </c>
      <c r="L2047" s="108" t="n">
        <v>0</v>
      </c>
      <c r="M2047" s="117"/>
      <c r="N2047" s="106"/>
      <c r="O2047" s="106"/>
      <c r="P2047" s="106"/>
      <c r="Q2047" s="106"/>
      <c r="R2047" s="106" t="s">
        <v>4537</v>
      </c>
    </row>
    <row r="2048" customFormat="false" ht="15" hidden="false" customHeight="false" outlineLevel="0" collapsed="false">
      <c r="A2048" s="106" t="s">
        <v>6661</v>
      </c>
      <c r="B2048" s="106" t="s">
        <v>1403</v>
      </c>
      <c r="C2048" s="106"/>
      <c r="D2048" s="106"/>
      <c r="E2048" s="107" t="n">
        <v>4</v>
      </c>
      <c r="F2048" s="106" t="n">
        <v>1</v>
      </c>
      <c r="G2048" s="118" t="n">
        <v>0.25</v>
      </c>
      <c r="H2048" s="116" t="n">
        <v>0.45</v>
      </c>
      <c r="I2048" s="106" t="n">
        <v>0</v>
      </c>
      <c r="J2048" s="117" t="n">
        <v>0</v>
      </c>
      <c r="K2048" s="108" t="n">
        <v>0.45</v>
      </c>
      <c r="L2048" s="108" t="n">
        <v>0</v>
      </c>
      <c r="M2048" s="117"/>
      <c r="N2048" s="106"/>
      <c r="O2048" s="106"/>
      <c r="P2048" s="106"/>
      <c r="Q2048" s="106"/>
      <c r="R2048" s="106" t="s">
        <v>4537</v>
      </c>
    </row>
    <row r="2049" customFormat="false" ht="15" hidden="false" customHeight="false" outlineLevel="0" collapsed="false">
      <c r="A2049" s="106" t="s">
        <v>6662</v>
      </c>
      <c r="B2049" s="106" t="s">
        <v>1403</v>
      </c>
      <c r="C2049" s="106"/>
      <c r="D2049" s="106" t="n">
        <v>3</v>
      </c>
      <c r="E2049" s="107" t="n">
        <v>2</v>
      </c>
      <c r="F2049" s="106" t="n">
        <v>1</v>
      </c>
      <c r="G2049" s="118" t="n">
        <v>0.5</v>
      </c>
      <c r="H2049" s="116" t="n">
        <v>0.45</v>
      </c>
      <c r="I2049" s="106" t="n">
        <v>0</v>
      </c>
      <c r="J2049" s="117" t="n">
        <v>0</v>
      </c>
      <c r="K2049" s="108" t="n">
        <v>0.45</v>
      </c>
      <c r="L2049" s="108" t="n">
        <v>0</v>
      </c>
      <c r="M2049" s="117"/>
      <c r="N2049" s="106"/>
      <c r="O2049" s="106"/>
      <c r="P2049" s="106"/>
      <c r="Q2049" s="106"/>
      <c r="R2049" s="106" t="s">
        <v>4537</v>
      </c>
    </row>
    <row r="2050" customFormat="false" ht="15" hidden="false" customHeight="false" outlineLevel="0" collapsed="false">
      <c r="A2050" s="106" t="s">
        <v>6663</v>
      </c>
      <c r="B2050" s="106" t="s">
        <v>4284</v>
      </c>
      <c r="C2050" s="106"/>
      <c r="D2050" s="106" t="n">
        <v>2</v>
      </c>
      <c r="E2050" s="107" t="n">
        <v>2</v>
      </c>
      <c r="F2050" s="106" t="n">
        <v>1</v>
      </c>
      <c r="G2050" s="118" t="n">
        <v>0.5</v>
      </c>
      <c r="H2050" s="116" t="n">
        <v>0.35</v>
      </c>
      <c r="I2050" s="106" t="n">
        <v>0</v>
      </c>
      <c r="J2050" s="117" t="n">
        <v>0</v>
      </c>
      <c r="K2050" s="108" t="n">
        <v>0.35</v>
      </c>
      <c r="L2050" s="108" t="n">
        <v>0</v>
      </c>
      <c r="M2050" s="117"/>
      <c r="N2050" s="106"/>
      <c r="O2050" s="106"/>
      <c r="P2050" s="106"/>
      <c r="Q2050" s="106"/>
      <c r="R2050" s="106" t="s">
        <v>4537</v>
      </c>
    </row>
    <row r="2051" customFormat="false" ht="15" hidden="false" customHeight="false" outlineLevel="0" collapsed="false">
      <c r="A2051" s="106" t="s">
        <v>6664</v>
      </c>
      <c r="B2051" s="106" t="s">
        <v>1403</v>
      </c>
      <c r="C2051" s="106"/>
      <c r="D2051" s="106"/>
      <c r="E2051" s="107" t="n">
        <v>1</v>
      </c>
      <c r="F2051" s="106" t="n">
        <v>1</v>
      </c>
      <c r="G2051" s="118" t="n">
        <v>1</v>
      </c>
      <c r="H2051" s="116" t="n">
        <v>0.35</v>
      </c>
      <c r="I2051" s="106" t="n">
        <v>0</v>
      </c>
      <c r="J2051" s="117" t="n">
        <v>0</v>
      </c>
      <c r="K2051" s="108" t="n">
        <v>0.35</v>
      </c>
      <c r="L2051" s="108" t="n">
        <v>0</v>
      </c>
      <c r="M2051" s="117"/>
      <c r="N2051" s="106"/>
      <c r="O2051" s="106"/>
      <c r="P2051" s="106"/>
      <c r="Q2051" s="106"/>
      <c r="R2051" s="106" t="s">
        <v>4537</v>
      </c>
    </row>
    <row r="2052" customFormat="false" ht="15" hidden="false" customHeight="false" outlineLevel="0" collapsed="false">
      <c r="A2052" s="106" t="s">
        <v>6665</v>
      </c>
      <c r="B2052" s="106" t="s">
        <v>1403</v>
      </c>
      <c r="C2052" s="106"/>
      <c r="D2052" s="106"/>
      <c r="E2052" s="107" t="n">
        <v>1</v>
      </c>
      <c r="F2052" s="106" t="n">
        <v>1</v>
      </c>
      <c r="G2052" s="118" t="n">
        <v>1</v>
      </c>
      <c r="H2052" s="116" t="n">
        <v>0.35</v>
      </c>
      <c r="I2052" s="106" t="n">
        <v>0</v>
      </c>
      <c r="J2052" s="117" t="n">
        <v>0</v>
      </c>
      <c r="K2052" s="108" t="n">
        <v>0.35</v>
      </c>
      <c r="L2052" s="108" t="n">
        <v>0</v>
      </c>
      <c r="M2052" s="117"/>
      <c r="N2052" s="106"/>
      <c r="O2052" s="106"/>
      <c r="P2052" s="106"/>
      <c r="Q2052" s="106"/>
      <c r="R2052" s="106" t="s">
        <v>4537</v>
      </c>
    </row>
    <row r="2053" customFormat="false" ht="15" hidden="false" customHeight="false" outlineLevel="0" collapsed="false">
      <c r="A2053" s="106" t="s">
        <v>6666</v>
      </c>
      <c r="B2053" s="106" t="s">
        <v>1403</v>
      </c>
      <c r="C2053" s="106"/>
      <c r="D2053" s="106" t="n">
        <v>1</v>
      </c>
      <c r="E2053" s="107" t="n">
        <v>1</v>
      </c>
      <c r="F2053" s="106" t="n">
        <v>1</v>
      </c>
      <c r="G2053" s="118" t="n">
        <v>1</v>
      </c>
      <c r="H2053" s="116" t="n">
        <v>0.35</v>
      </c>
      <c r="I2053" s="106" t="n">
        <v>0</v>
      </c>
      <c r="J2053" s="117" t="n">
        <v>0</v>
      </c>
      <c r="K2053" s="108" t="n">
        <v>0.35</v>
      </c>
      <c r="L2053" s="108" t="n">
        <v>0</v>
      </c>
      <c r="M2053" s="117"/>
      <c r="N2053" s="106"/>
      <c r="O2053" s="106"/>
      <c r="P2053" s="106"/>
      <c r="Q2053" s="106"/>
      <c r="R2053" s="106" t="s">
        <v>4537</v>
      </c>
    </row>
    <row r="2054" customFormat="false" ht="15" hidden="false" customHeight="false" outlineLevel="0" collapsed="false">
      <c r="A2054" s="106" t="s">
        <v>6667</v>
      </c>
      <c r="B2054" s="106" t="s">
        <v>1403</v>
      </c>
      <c r="C2054" s="106"/>
      <c r="D2054" s="106" t="n">
        <v>1</v>
      </c>
      <c r="E2054" s="107" t="n">
        <v>1</v>
      </c>
      <c r="F2054" s="106" t="n">
        <v>1</v>
      </c>
      <c r="G2054" s="118" t="n">
        <v>1</v>
      </c>
      <c r="H2054" s="116" t="n">
        <v>0.35</v>
      </c>
      <c r="I2054" s="106" t="n">
        <v>0</v>
      </c>
      <c r="J2054" s="117" t="n">
        <v>0</v>
      </c>
      <c r="K2054" s="108" t="n">
        <v>0.35</v>
      </c>
      <c r="L2054" s="108" t="n">
        <v>0</v>
      </c>
      <c r="M2054" s="117"/>
      <c r="N2054" s="106"/>
      <c r="O2054" s="106"/>
      <c r="P2054" s="106"/>
      <c r="Q2054" s="106"/>
      <c r="R2054" s="106" t="s">
        <v>4537</v>
      </c>
    </row>
    <row r="2055" customFormat="false" ht="15" hidden="false" customHeight="false" outlineLevel="0" collapsed="false">
      <c r="A2055" s="106" t="s">
        <v>6668</v>
      </c>
      <c r="B2055" s="106" t="s">
        <v>1403</v>
      </c>
      <c r="C2055" s="106"/>
      <c r="D2055" s="106" t="n">
        <v>3</v>
      </c>
      <c r="E2055" s="107" t="n">
        <v>2</v>
      </c>
      <c r="F2055" s="106" t="n">
        <v>1</v>
      </c>
      <c r="G2055" s="118" t="n">
        <v>0.5</v>
      </c>
      <c r="H2055" s="116" t="n">
        <v>0.35</v>
      </c>
      <c r="I2055" s="106" t="n">
        <v>0</v>
      </c>
      <c r="J2055" s="117" t="n">
        <v>0</v>
      </c>
      <c r="K2055" s="108" t="n">
        <v>0.35</v>
      </c>
      <c r="L2055" s="108" t="n">
        <v>0</v>
      </c>
      <c r="M2055" s="117"/>
      <c r="N2055" s="106"/>
      <c r="O2055" s="106"/>
      <c r="P2055" s="106"/>
      <c r="Q2055" s="106"/>
      <c r="R2055" s="106" t="s">
        <v>4537</v>
      </c>
    </row>
    <row r="2056" customFormat="false" ht="15" hidden="false" customHeight="false" outlineLevel="0" collapsed="false">
      <c r="A2056" s="106" t="s">
        <v>6669</v>
      </c>
      <c r="B2056" s="106" t="s">
        <v>4284</v>
      </c>
      <c r="C2056" s="106"/>
      <c r="D2056" s="106" t="n">
        <v>5</v>
      </c>
      <c r="E2056" s="107" t="n">
        <v>1</v>
      </c>
      <c r="F2056" s="106" t="n">
        <v>1</v>
      </c>
      <c r="G2056" s="118" t="n">
        <v>1</v>
      </c>
      <c r="H2056" s="116" t="n">
        <v>0.03</v>
      </c>
      <c r="I2056" s="106" t="n">
        <v>0</v>
      </c>
      <c r="J2056" s="117" t="n">
        <v>0</v>
      </c>
      <c r="K2056" s="108" t="n">
        <v>0.03</v>
      </c>
      <c r="L2056" s="108" t="n">
        <v>0</v>
      </c>
      <c r="M2056" s="117"/>
      <c r="N2056" s="106"/>
      <c r="O2056" s="106"/>
      <c r="P2056" s="106"/>
      <c r="Q2056" s="106"/>
      <c r="R2056" s="106" t="s">
        <v>4537</v>
      </c>
    </row>
    <row r="2057" customFormat="false" ht="15" hidden="false" customHeight="false" outlineLevel="0" collapsed="false">
      <c r="A2057" s="106" t="s">
        <v>6670</v>
      </c>
      <c r="B2057" s="106" t="s">
        <v>4284</v>
      </c>
      <c r="C2057" s="106"/>
      <c r="D2057" s="106"/>
      <c r="E2057" s="107" t="n">
        <v>1</v>
      </c>
      <c r="F2057" s="106" t="n">
        <v>1</v>
      </c>
      <c r="G2057" s="118" t="n">
        <v>1</v>
      </c>
      <c r="H2057" s="116" t="n">
        <v>0.35</v>
      </c>
      <c r="I2057" s="106" t="n">
        <v>0</v>
      </c>
      <c r="J2057" s="117" t="n">
        <v>0</v>
      </c>
      <c r="K2057" s="108" t="n">
        <v>0.35</v>
      </c>
      <c r="L2057" s="108" t="n">
        <v>0</v>
      </c>
      <c r="M2057" s="117"/>
      <c r="N2057" s="106"/>
      <c r="O2057" s="106"/>
      <c r="P2057" s="106"/>
      <c r="Q2057" s="106"/>
      <c r="R2057" s="106" t="s">
        <v>4537</v>
      </c>
    </row>
    <row r="2058" customFormat="false" ht="15" hidden="false" customHeight="false" outlineLevel="0" collapsed="false">
      <c r="A2058" s="106" t="s">
        <v>6671</v>
      </c>
      <c r="B2058" s="106" t="s">
        <v>4284</v>
      </c>
      <c r="C2058" s="106"/>
      <c r="D2058" s="106"/>
      <c r="E2058" s="107" t="n">
        <v>1</v>
      </c>
      <c r="F2058" s="106" t="n">
        <v>1</v>
      </c>
      <c r="G2058" s="118" t="n">
        <v>1</v>
      </c>
      <c r="H2058" s="116" t="n">
        <v>0.35</v>
      </c>
      <c r="I2058" s="106" t="n">
        <v>0</v>
      </c>
      <c r="J2058" s="117" t="n">
        <v>0</v>
      </c>
      <c r="K2058" s="108" t="n">
        <v>0.35</v>
      </c>
      <c r="L2058" s="108" t="n">
        <v>0</v>
      </c>
      <c r="M2058" s="117"/>
      <c r="N2058" s="106"/>
      <c r="O2058" s="106"/>
      <c r="P2058" s="106"/>
      <c r="Q2058" s="106"/>
      <c r="R2058" s="106" t="s">
        <v>4537</v>
      </c>
    </row>
    <row r="2059" customFormat="false" ht="15" hidden="false" customHeight="false" outlineLevel="0" collapsed="false">
      <c r="A2059" s="106" t="s">
        <v>6672</v>
      </c>
      <c r="B2059" s="106" t="s">
        <v>4297</v>
      </c>
      <c r="C2059" s="106"/>
      <c r="D2059" s="106" t="n">
        <v>484</v>
      </c>
      <c r="E2059" s="107" t="n">
        <v>1</v>
      </c>
      <c r="F2059" s="106" t="n">
        <v>1</v>
      </c>
      <c r="G2059" s="118" t="n">
        <v>1</v>
      </c>
      <c r="H2059" s="116" t="n">
        <v>0.35</v>
      </c>
      <c r="I2059" s="106" t="n">
        <v>0</v>
      </c>
      <c r="J2059" s="117" t="n">
        <v>0</v>
      </c>
      <c r="K2059" s="108" t="n">
        <v>0.35</v>
      </c>
      <c r="L2059" s="108" t="n">
        <v>0</v>
      </c>
      <c r="M2059" s="117"/>
      <c r="N2059" s="106"/>
      <c r="O2059" s="106"/>
      <c r="P2059" s="106"/>
      <c r="Q2059" s="106"/>
      <c r="R2059" s="106" t="s">
        <v>4537</v>
      </c>
    </row>
    <row r="2060" customFormat="false" ht="15" hidden="false" customHeight="false" outlineLevel="0" collapsed="false">
      <c r="A2060" s="106" t="s">
        <v>6673</v>
      </c>
      <c r="B2060" s="106" t="s">
        <v>4329</v>
      </c>
      <c r="C2060" s="106"/>
      <c r="D2060" s="106"/>
      <c r="E2060" s="107" t="n">
        <v>1</v>
      </c>
      <c r="F2060" s="106" t="n">
        <v>1</v>
      </c>
      <c r="G2060" s="118" t="n">
        <v>1</v>
      </c>
      <c r="H2060" s="116" t="n">
        <v>0.35</v>
      </c>
      <c r="I2060" s="106" t="n">
        <v>0</v>
      </c>
      <c r="J2060" s="117" t="n">
        <v>0</v>
      </c>
      <c r="K2060" s="108" t="n">
        <v>0.35</v>
      </c>
      <c r="L2060" s="108" t="n">
        <v>0</v>
      </c>
      <c r="M2060" s="117"/>
      <c r="N2060" s="106"/>
      <c r="O2060" s="106"/>
      <c r="P2060" s="106"/>
      <c r="Q2060" s="106"/>
      <c r="R2060" s="106" t="s">
        <v>4537</v>
      </c>
    </row>
    <row r="2061" customFormat="false" ht="15" hidden="false" customHeight="false" outlineLevel="0" collapsed="false">
      <c r="A2061" s="106" t="s">
        <v>6674</v>
      </c>
      <c r="B2061" s="106" t="s">
        <v>4284</v>
      </c>
      <c r="C2061" s="106"/>
      <c r="D2061" s="106"/>
      <c r="E2061" s="107" t="n">
        <v>1</v>
      </c>
      <c r="F2061" s="106" t="n">
        <v>1</v>
      </c>
      <c r="G2061" s="118" t="n">
        <v>1</v>
      </c>
      <c r="H2061" s="116" t="n">
        <v>0.35</v>
      </c>
      <c r="I2061" s="106" t="n">
        <v>0</v>
      </c>
      <c r="J2061" s="117" t="n">
        <v>0</v>
      </c>
      <c r="K2061" s="108" t="n">
        <v>0.35</v>
      </c>
      <c r="L2061" s="108" t="n">
        <v>0</v>
      </c>
      <c r="M2061" s="117"/>
      <c r="N2061" s="106"/>
      <c r="O2061" s="106"/>
      <c r="P2061" s="106"/>
      <c r="Q2061" s="106"/>
      <c r="R2061" s="106" t="s">
        <v>4537</v>
      </c>
    </row>
    <row r="2062" customFormat="false" ht="15" hidden="false" customHeight="false" outlineLevel="0" collapsed="false">
      <c r="A2062" s="106" t="s">
        <v>6675</v>
      </c>
      <c r="B2062" s="106" t="s">
        <v>4284</v>
      </c>
      <c r="C2062" s="106"/>
      <c r="D2062" s="106" t="n">
        <v>644</v>
      </c>
      <c r="E2062" s="107" t="n">
        <v>1</v>
      </c>
      <c r="F2062" s="106" t="n">
        <v>1</v>
      </c>
      <c r="G2062" s="118" t="n">
        <v>1</v>
      </c>
      <c r="H2062" s="116" t="n">
        <v>0.35</v>
      </c>
      <c r="I2062" s="106" t="n">
        <v>0</v>
      </c>
      <c r="J2062" s="117" t="n">
        <v>0</v>
      </c>
      <c r="K2062" s="108" t="n">
        <v>0.35</v>
      </c>
      <c r="L2062" s="108" t="n">
        <v>0</v>
      </c>
      <c r="M2062" s="117"/>
      <c r="N2062" s="106"/>
      <c r="O2062" s="106"/>
      <c r="P2062" s="106"/>
      <c r="Q2062" s="106"/>
      <c r="R2062" s="106" t="s">
        <v>4537</v>
      </c>
    </row>
    <row r="2063" customFormat="false" ht="15" hidden="false" customHeight="false" outlineLevel="0" collapsed="false">
      <c r="A2063" s="106" t="s">
        <v>6676</v>
      </c>
      <c r="B2063" s="106" t="s">
        <v>4284</v>
      </c>
      <c r="C2063" s="106"/>
      <c r="D2063" s="106"/>
      <c r="E2063" s="107" t="n">
        <v>1</v>
      </c>
      <c r="F2063" s="106" t="n">
        <v>1</v>
      </c>
      <c r="G2063" s="118" t="n">
        <v>1</v>
      </c>
      <c r="H2063" s="116" t="n">
        <v>0.35</v>
      </c>
      <c r="I2063" s="106" t="n">
        <v>0</v>
      </c>
      <c r="J2063" s="117" t="n">
        <v>0</v>
      </c>
      <c r="K2063" s="108" t="n">
        <v>0.35</v>
      </c>
      <c r="L2063" s="108" t="n">
        <v>0</v>
      </c>
      <c r="M2063" s="117"/>
      <c r="N2063" s="106"/>
      <c r="O2063" s="106"/>
      <c r="P2063" s="106"/>
      <c r="Q2063" s="106"/>
      <c r="R2063" s="106" t="s">
        <v>4537</v>
      </c>
    </row>
    <row r="2064" customFormat="false" ht="15" hidden="false" customHeight="false" outlineLevel="0" collapsed="false">
      <c r="A2064" s="106" t="s">
        <v>6677</v>
      </c>
      <c r="B2064" s="106" t="s">
        <v>4284</v>
      </c>
      <c r="C2064" s="106"/>
      <c r="D2064" s="106"/>
      <c r="E2064" s="107" t="n">
        <v>1</v>
      </c>
      <c r="F2064" s="106" t="n">
        <v>1</v>
      </c>
      <c r="G2064" s="118" t="n">
        <v>1</v>
      </c>
      <c r="H2064" s="116" t="n">
        <v>0.35</v>
      </c>
      <c r="I2064" s="106" t="n">
        <v>0</v>
      </c>
      <c r="J2064" s="117" t="n">
        <v>0</v>
      </c>
      <c r="K2064" s="108" t="n">
        <v>0.35</v>
      </c>
      <c r="L2064" s="108" t="n">
        <v>0</v>
      </c>
      <c r="M2064" s="117"/>
      <c r="N2064" s="106"/>
      <c r="O2064" s="106"/>
      <c r="P2064" s="106"/>
      <c r="Q2064" s="106"/>
      <c r="R2064" s="106" t="s">
        <v>4537</v>
      </c>
    </row>
    <row r="2065" customFormat="false" ht="15" hidden="false" customHeight="false" outlineLevel="0" collapsed="false">
      <c r="A2065" s="106" t="s">
        <v>6678</v>
      </c>
      <c r="B2065" s="106" t="s">
        <v>4284</v>
      </c>
      <c r="C2065" s="106"/>
      <c r="D2065" s="106" t="n">
        <v>4</v>
      </c>
      <c r="E2065" s="107" t="n">
        <v>1</v>
      </c>
      <c r="F2065" s="106" t="n">
        <v>1</v>
      </c>
      <c r="G2065" s="118" t="n">
        <v>1</v>
      </c>
      <c r="H2065" s="116" t="n">
        <v>0.35</v>
      </c>
      <c r="I2065" s="106" t="n">
        <v>0</v>
      </c>
      <c r="J2065" s="117" t="n">
        <v>0</v>
      </c>
      <c r="K2065" s="108" t="n">
        <v>0.35</v>
      </c>
      <c r="L2065" s="108" t="n">
        <v>0</v>
      </c>
      <c r="M2065" s="117"/>
      <c r="N2065" s="106"/>
      <c r="O2065" s="106"/>
      <c r="P2065" s="106"/>
      <c r="Q2065" s="106"/>
      <c r="R2065" s="106" t="s">
        <v>4537</v>
      </c>
    </row>
    <row r="2066" customFormat="false" ht="15" hidden="false" customHeight="false" outlineLevel="0" collapsed="false">
      <c r="A2066" s="106" t="s">
        <v>6679</v>
      </c>
      <c r="B2066" s="106" t="s">
        <v>4309</v>
      </c>
      <c r="C2066" s="106"/>
      <c r="D2066" s="106" t="n">
        <v>51</v>
      </c>
      <c r="E2066" s="107" t="n">
        <v>4</v>
      </c>
      <c r="F2066" s="106" t="n">
        <v>1</v>
      </c>
      <c r="G2066" s="118" t="n">
        <v>0.25</v>
      </c>
      <c r="H2066" s="116" t="n">
        <v>0.35</v>
      </c>
      <c r="I2066" s="106" t="n">
        <v>0</v>
      </c>
      <c r="J2066" s="117" t="n">
        <v>0</v>
      </c>
      <c r="K2066" s="108" t="n">
        <v>0.35</v>
      </c>
      <c r="L2066" s="108" t="n">
        <v>0</v>
      </c>
      <c r="M2066" s="117"/>
      <c r="N2066" s="106"/>
      <c r="O2066" s="106"/>
      <c r="P2066" s="106"/>
      <c r="Q2066" s="106"/>
      <c r="R2066" s="106" t="s">
        <v>4537</v>
      </c>
    </row>
    <row r="2067" customFormat="false" ht="15" hidden="false" customHeight="false" outlineLevel="0" collapsed="false">
      <c r="A2067" s="106" t="s">
        <v>4340</v>
      </c>
      <c r="B2067" s="106" t="s">
        <v>4309</v>
      </c>
      <c r="C2067" s="106"/>
      <c r="D2067" s="106" t="n">
        <v>35461</v>
      </c>
      <c r="E2067" s="107" t="n">
        <v>3</v>
      </c>
      <c r="F2067" s="106" t="n">
        <v>1</v>
      </c>
      <c r="G2067" s="118" t="n">
        <v>0.3333</v>
      </c>
      <c r="H2067" s="116" t="n">
        <v>0.35</v>
      </c>
      <c r="I2067" s="106" t="n">
        <v>0</v>
      </c>
      <c r="J2067" s="117" t="n">
        <v>0</v>
      </c>
      <c r="K2067" s="108" t="n">
        <v>0.35</v>
      </c>
      <c r="L2067" s="108" t="n">
        <v>0</v>
      </c>
      <c r="M2067" s="117"/>
      <c r="N2067" s="106"/>
      <c r="O2067" s="106"/>
      <c r="P2067" s="106"/>
      <c r="Q2067" s="106"/>
      <c r="R2067" s="106" t="s">
        <v>4537</v>
      </c>
    </row>
    <row r="2068" customFormat="false" ht="15" hidden="false" customHeight="false" outlineLevel="0" collapsed="false">
      <c r="A2068" s="106" t="s">
        <v>6680</v>
      </c>
      <c r="B2068" s="106" t="s">
        <v>4284</v>
      </c>
      <c r="C2068" s="106"/>
      <c r="D2068" s="106"/>
      <c r="E2068" s="107" t="n">
        <v>1</v>
      </c>
      <c r="F2068" s="106" t="n">
        <v>1</v>
      </c>
      <c r="G2068" s="118" t="n">
        <v>1</v>
      </c>
      <c r="H2068" s="116" t="n">
        <v>0.35</v>
      </c>
      <c r="I2068" s="106" t="n">
        <v>0</v>
      </c>
      <c r="J2068" s="117" t="n">
        <v>0</v>
      </c>
      <c r="K2068" s="108" t="n">
        <v>0.35</v>
      </c>
      <c r="L2068" s="108" t="n">
        <v>0</v>
      </c>
      <c r="M2068" s="117"/>
      <c r="N2068" s="106"/>
      <c r="O2068" s="106"/>
      <c r="P2068" s="106"/>
      <c r="Q2068" s="106"/>
      <c r="R2068" s="106" t="s">
        <v>4537</v>
      </c>
    </row>
    <row r="2069" customFormat="false" ht="15" hidden="false" customHeight="false" outlineLevel="0" collapsed="false">
      <c r="A2069" s="106" t="s">
        <v>6681</v>
      </c>
      <c r="B2069" s="106" t="s">
        <v>4309</v>
      </c>
      <c r="C2069" s="106"/>
      <c r="D2069" s="106" t="n">
        <v>850</v>
      </c>
      <c r="E2069" s="107" t="n">
        <v>2</v>
      </c>
      <c r="F2069" s="106" t="n">
        <v>1</v>
      </c>
      <c r="G2069" s="118" t="n">
        <v>0.5</v>
      </c>
      <c r="H2069" s="116" t="n">
        <v>0.35</v>
      </c>
      <c r="I2069" s="106" t="n">
        <v>0</v>
      </c>
      <c r="J2069" s="117" t="n">
        <v>0</v>
      </c>
      <c r="K2069" s="108" t="n">
        <v>0.35</v>
      </c>
      <c r="L2069" s="108" t="n">
        <v>0</v>
      </c>
      <c r="M2069" s="117"/>
      <c r="N2069" s="106"/>
      <c r="O2069" s="106"/>
      <c r="P2069" s="106"/>
      <c r="Q2069" s="106"/>
      <c r="R2069" s="106" t="s">
        <v>4537</v>
      </c>
    </row>
    <row r="2070" customFormat="false" ht="15" hidden="false" customHeight="false" outlineLevel="0" collapsed="false">
      <c r="A2070" s="106" t="s">
        <v>6682</v>
      </c>
      <c r="B2070" s="106" t="s">
        <v>1403</v>
      </c>
      <c r="C2070" s="106"/>
      <c r="D2070" s="106" t="n">
        <v>808</v>
      </c>
      <c r="E2070" s="107" t="n">
        <v>1</v>
      </c>
      <c r="F2070" s="106" t="n">
        <v>1</v>
      </c>
      <c r="G2070" s="118" t="n">
        <v>1</v>
      </c>
      <c r="H2070" s="116" t="n">
        <v>0.35</v>
      </c>
      <c r="I2070" s="106" t="n">
        <v>0</v>
      </c>
      <c r="J2070" s="117" t="n">
        <v>0</v>
      </c>
      <c r="K2070" s="108" t="n">
        <v>0.35</v>
      </c>
      <c r="L2070" s="108" t="n">
        <v>0</v>
      </c>
      <c r="M2070" s="117"/>
      <c r="N2070" s="106"/>
      <c r="O2070" s="106"/>
      <c r="P2070" s="106"/>
      <c r="Q2070" s="106"/>
      <c r="R2070" s="106" t="s">
        <v>4537</v>
      </c>
    </row>
    <row r="2071" customFormat="false" ht="15" hidden="false" customHeight="false" outlineLevel="0" collapsed="false">
      <c r="A2071" s="106" t="s">
        <v>6683</v>
      </c>
      <c r="B2071" s="106" t="s">
        <v>4329</v>
      </c>
      <c r="C2071" s="106"/>
      <c r="D2071" s="106" t="n">
        <v>4</v>
      </c>
      <c r="E2071" s="107" t="n">
        <v>1</v>
      </c>
      <c r="F2071" s="106" t="n">
        <v>1</v>
      </c>
      <c r="G2071" s="118" t="n">
        <v>1</v>
      </c>
      <c r="H2071" s="116" t="n">
        <v>0.35</v>
      </c>
      <c r="I2071" s="106" t="n">
        <v>0</v>
      </c>
      <c r="J2071" s="117" t="n">
        <v>0</v>
      </c>
      <c r="K2071" s="108" t="n">
        <v>0.35</v>
      </c>
      <c r="L2071" s="108" t="n">
        <v>0</v>
      </c>
      <c r="M2071" s="117"/>
      <c r="N2071" s="106"/>
      <c r="O2071" s="106"/>
      <c r="P2071" s="106"/>
      <c r="Q2071" s="106"/>
      <c r="R2071" s="106" t="s">
        <v>4537</v>
      </c>
    </row>
    <row r="2072" customFormat="false" ht="15" hidden="false" customHeight="false" outlineLevel="0" collapsed="false">
      <c r="A2072" s="106" t="s">
        <v>6684</v>
      </c>
      <c r="B2072" s="106" t="s">
        <v>1403</v>
      </c>
      <c r="C2072" s="106"/>
      <c r="D2072" s="106"/>
      <c r="E2072" s="107" t="n">
        <v>1</v>
      </c>
      <c r="F2072" s="106" t="n">
        <v>1</v>
      </c>
      <c r="G2072" s="118" t="n">
        <v>1</v>
      </c>
      <c r="H2072" s="116" t="n">
        <v>0.35</v>
      </c>
      <c r="I2072" s="106" t="n">
        <v>0</v>
      </c>
      <c r="J2072" s="117" t="n">
        <v>0</v>
      </c>
      <c r="K2072" s="108" t="n">
        <v>0.35</v>
      </c>
      <c r="L2072" s="108" t="n">
        <v>0</v>
      </c>
      <c r="M2072" s="117"/>
      <c r="N2072" s="106"/>
      <c r="O2072" s="106"/>
      <c r="P2072" s="106"/>
      <c r="Q2072" s="106"/>
      <c r="R2072" s="106" t="s">
        <v>4537</v>
      </c>
    </row>
    <row r="2073" customFormat="false" ht="15" hidden="false" customHeight="false" outlineLevel="0" collapsed="false">
      <c r="A2073" s="106" t="s">
        <v>6685</v>
      </c>
      <c r="B2073" s="106" t="s">
        <v>4284</v>
      </c>
      <c r="C2073" s="106"/>
      <c r="D2073" s="106"/>
      <c r="E2073" s="107" t="n">
        <v>2</v>
      </c>
      <c r="F2073" s="106" t="n">
        <v>1</v>
      </c>
      <c r="G2073" s="118" t="n">
        <v>0.5</v>
      </c>
      <c r="H2073" s="116" t="n">
        <v>0.35</v>
      </c>
      <c r="I2073" s="106" t="n">
        <v>0</v>
      </c>
      <c r="J2073" s="117" t="n">
        <v>0</v>
      </c>
      <c r="K2073" s="108" t="n">
        <v>0.35</v>
      </c>
      <c r="L2073" s="108" t="n">
        <v>0</v>
      </c>
      <c r="M2073" s="117"/>
      <c r="N2073" s="106"/>
      <c r="O2073" s="106"/>
      <c r="P2073" s="106"/>
      <c r="Q2073" s="106"/>
      <c r="R2073" s="106" t="s">
        <v>4537</v>
      </c>
    </row>
    <row r="2074" customFormat="false" ht="15" hidden="false" customHeight="false" outlineLevel="0" collapsed="false">
      <c r="A2074" s="106" t="s">
        <v>6686</v>
      </c>
      <c r="B2074" s="106" t="s">
        <v>4284</v>
      </c>
      <c r="C2074" s="106"/>
      <c r="D2074" s="106" t="n">
        <v>1</v>
      </c>
      <c r="E2074" s="107" t="n">
        <v>1</v>
      </c>
      <c r="F2074" s="106" t="n">
        <v>1</v>
      </c>
      <c r="G2074" s="118" t="n">
        <v>1</v>
      </c>
      <c r="H2074" s="116" t="n">
        <v>0.35</v>
      </c>
      <c r="I2074" s="106" t="n">
        <v>0</v>
      </c>
      <c r="J2074" s="117" t="n">
        <v>0</v>
      </c>
      <c r="K2074" s="108" t="n">
        <v>0.35</v>
      </c>
      <c r="L2074" s="108" t="n">
        <v>0</v>
      </c>
      <c r="M2074" s="117"/>
      <c r="N2074" s="106"/>
      <c r="O2074" s="106"/>
      <c r="P2074" s="106"/>
      <c r="Q2074" s="106"/>
      <c r="R2074" s="106" t="s">
        <v>4537</v>
      </c>
    </row>
    <row r="2075" customFormat="false" ht="15" hidden="false" customHeight="false" outlineLevel="0" collapsed="false">
      <c r="A2075" s="106" t="s">
        <v>6687</v>
      </c>
      <c r="B2075" s="106" t="s">
        <v>4284</v>
      </c>
      <c r="C2075" s="106"/>
      <c r="D2075" s="106" t="n">
        <v>26</v>
      </c>
      <c r="E2075" s="107" t="n">
        <v>1</v>
      </c>
      <c r="F2075" s="106" t="n">
        <v>1</v>
      </c>
      <c r="G2075" s="118" t="n">
        <v>1</v>
      </c>
      <c r="H2075" s="116" t="n">
        <v>0.35</v>
      </c>
      <c r="I2075" s="106" t="n">
        <v>0</v>
      </c>
      <c r="J2075" s="117" t="n">
        <v>0</v>
      </c>
      <c r="K2075" s="108" t="n">
        <v>0.35</v>
      </c>
      <c r="L2075" s="108" t="n">
        <v>0</v>
      </c>
      <c r="M2075" s="117"/>
      <c r="N2075" s="106"/>
      <c r="O2075" s="106"/>
      <c r="P2075" s="106"/>
      <c r="Q2075" s="106"/>
      <c r="R2075" s="106" t="s">
        <v>4537</v>
      </c>
    </row>
    <row r="2076" customFormat="false" ht="15" hidden="false" customHeight="false" outlineLevel="0" collapsed="false">
      <c r="A2076" s="106" t="s">
        <v>6688</v>
      </c>
      <c r="B2076" s="106" t="s">
        <v>4284</v>
      </c>
      <c r="C2076" s="106"/>
      <c r="D2076" s="106"/>
      <c r="E2076" s="107" t="n">
        <v>4</v>
      </c>
      <c r="F2076" s="106" t="n">
        <v>1</v>
      </c>
      <c r="G2076" s="118" t="n">
        <v>0.25</v>
      </c>
      <c r="H2076" s="116" t="n">
        <v>0.35</v>
      </c>
      <c r="I2076" s="106" t="n">
        <v>0</v>
      </c>
      <c r="J2076" s="117" t="n">
        <v>0</v>
      </c>
      <c r="K2076" s="108" t="n">
        <v>0.35</v>
      </c>
      <c r="L2076" s="108" t="n">
        <v>0</v>
      </c>
      <c r="M2076" s="117"/>
      <c r="N2076" s="106"/>
      <c r="O2076" s="106"/>
      <c r="P2076" s="106"/>
      <c r="Q2076" s="106"/>
      <c r="R2076" s="106" t="s">
        <v>4537</v>
      </c>
    </row>
    <row r="2077" customFormat="false" ht="15" hidden="false" customHeight="false" outlineLevel="0" collapsed="false">
      <c r="A2077" s="106" t="s">
        <v>6689</v>
      </c>
      <c r="B2077" s="106" t="s">
        <v>4284</v>
      </c>
      <c r="C2077" s="106"/>
      <c r="D2077" s="106"/>
      <c r="E2077" s="107" t="n">
        <v>1</v>
      </c>
      <c r="F2077" s="106" t="n">
        <v>1</v>
      </c>
      <c r="G2077" s="118" t="n">
        <v>1</v>
      </c>
      <c r="H2077" s="116" t="n">
        <v>0.35</v>
      </c>
      <c r="I2077" s="106" t="n">
        <v>0</v>
      </c>
      <c r="J2077" s="117" t="n">
        <v>0</v>
      </c>
      <c r="K2077" s="108" t="n">
        <v>0.35</v>
      </c>
      <c r="L2077" s="108" t="n">
        <v>0</v>
      </c>
      <c r="M2077" s="117"/>
      <c r="N2077" s="106"/>
      <c r="O2077" s="106"/>
      <c r="P2077" s="106"/>
      <c r="Q2077" s="106"/>
      <c r="R2077" s="106" t="s">
        <v>4537</v>
      </c>
    </row>
    <row r="2078" customFormat="false" ht="15" hidden="false" customHeight="false" outlineLevel="0" collapsed="false">
      <c r="A2078" s="106" t="s">
        <v>6690</v>
      </c>
      <c r="B2078" s="106" t="s">
        <v>4284</v>
      </c>
      <c r="C2078" s="106"/>
      <c r="D2078" s="106"/>
      <c r="E2078" s="107" t="n">
        <v>14</v>
      </c>
      <c r="F2078" s="106" t="n">
        <v>1</v>
      </c>
      <c r="G2078" s="118" t="n">
        <v>0.0714</v>
      </c>
      <c r="H2078" s="116" t="n">
        <v>0.35</v>
      </c>
      <c r="I2078" s="106" t="n">
        <v>0</v>
      </c>
      <c r="J2078" s="117" t="n">
        <v>0</v>
      </c>
      <c r="K2078" s="108" t="n">
        <v>0.35</v>
      </c>
      <c r="L2078" s="108" t="n">
        <v>0</v>
      </c>
      <c r="M2078" s="117"/>
      <c r="N2078" s="106"/>
      <c r="O2078" s="106"/>
      <c r="P2078" s="106"/>
      <c r="Q2078" s="106"/>
      <c r="R2078" s="106" t="s">
        <v>4537</v>
      </c>
    </row>
    <row r="2079" customFormat="false" ht="15" hidden="false" customHeight="false" outlineLevel="0" collapsed="false">
      <c r="A2079" s="106" t="s">
        <v>6691</v>
      </c>
      <c r="B2079" s="106" t="s">
        <v>1403</v>
      </c>
      <c r="C2079" s="106"/>
      <c r="D2079" s="106"/>
      <c r="E2079" s="107" t="n">
        <v>2</v>
      </c>
      <c r="F2079" s="106" t="n">
        <v>1</v>
      </c>
      <c r="G2079" s="118" t="n">
        <v>0.5</v>
      </c>
      <c r="H2079" s="116" t="n">
        <v>0.35</v>
      </c>
      <c r="I2079" s="106" t="n">
        <v>0</v>
      </c>
      <c r="J2079" s="117" t="n">
        <v>0</v>
      </c>
      <c r="K2079" s="108" t="n">
        <v>0.35</v>
      </c>
      <c r="L2079" s="108" t="n">
        <v>0</v>
      </c>
      <c r="M2079" s="117"/>
      <c r="N2079" s="106"/>
      <c r="O2079" s="106"/>
      <c r="P2079" s="106"/>
      <c r="Q2079" s="106"/>
      <c r="R2079" s="106" t="s">
        <v>4537</v>
      </c>
    </row>
    <row r="2080" customFormat="false" ht="15" hidden="false" customHeight="false" outlineLevel="0" collapsed="false">
      <c r="A2080" s="106" t="s">
        <v>6692</v>
      </c>
      <c r="B2080" s="106" t="s">
        <v>4280</v>
      </c>
      <c r="C2080" s="106"/>
      <c r="D2080" s="106"/>
      <c r="E2080" s="107" t="n">
        <v>1</v>
      </c>
      <c r="F2080" s="106" t="n">
        <v>1</v>
      </c>
      <c r="G2080" s="118" t="n">
        <v>1</v>
      </c>
      <c r="H2080" s="116" t="n">
        <v>0.35</v>
      </c>
      <c r="I2080" s="106" t="n">
        <v>0</v>
      </c>
      <c r="J2080" s="117" t="n">
        <v>0</v>
      </c>
      <c r="K2080" s="108" t="n">
        <v>0.35</v>
      </c>
      <c r="L2080" s="108" t="n">
        <v>0</v>
      </c>
      <c r="M2080" s="117"/>
      <c r="N2080" s="106"/>
      <c r="O2080" s="106"/>
      <c r="P2080" s="106"/>
      <c r="Q2080" s="106"/>
      <c r="R2080" s="106" t="s">
        <v>4537</v>
      </c>
    </row>
    <row r="2081" customFormat="false" ht="15" hidden="false" customHeight="false" outlineLevel="0" collapsed="false">
      <c r="A2081" s="106" t="s">
        <v>6693</v>
      </c>
      <c r="B2081" s="106" t="s">
        <v>4280</v>
      </c>
      <c r="C2081" s="106"/>
      <c r="D2081" s="106"/>
      <c r="E2081" s="107" t="n">
        <v>1</v>
      </c>
      <c r="F2081" s="106" t="n">
        <v>1</v>
      </c>
      <c r="G2081" s="118" t="n">
        <v>1</v>
      </c>
      <c r="H2081" s="116" t="n">
        <v>0.35</v>
      </c>
      <c r="I2081" s="106" t="n">
        <v>0</v>
      </c>
      <c r="J2081" s="117" t="n">
        <v>0</v>
      </c>
      <c r="K2081" s="108" t="n">
        <v>0.35</v>
      </c>
      <c r="L2081" s="108" t="n">
        <v>0</v>
      </c>
      <c r="M2081" s="117"/>
      <c r="N2081" s="106"/>
      <c r="O2081" s="106"/>
      <c r="P2081" s="106"/>
      <c r="Q2081" s="106"/>
      <c r="R2081" s="106" t="s">
        <v>4537</v>
      </c>
    </row>
    <row r="2082" customFormat="false" ht="15" hidden="false" customHeight="false" outlineLevel="0" collapsed="false">
      <c r="A2082" s="106" t="s">
        <v>6694</v>
      </c>
      <c r="B2082" s="106" t="s">
        <v>4329</v>
      </c>
      <c r="C2082" s="106"/>
      <c r="D2082" s="106" t="n">
        <v>47</v>
      </c>
      <c r="E2082" s="107" t="n">
        <v>19</v>
      </c>
      <c r="F2082" s="106" t="n">
        <v>1</v>
      </c>
      <c r="G2082" s="118" t="n">
        <v>0.0526</v>
      </c>
      <c r="H2082" s="116" t="n">
        <v>2.77</v>
      </c>
      <c r="I2082" s="106" t="n">
        <v>0</v>
      </c>
      <c r="J2082" s="117" t="n">
        <v>0</v>
      </c>
      <c r="K2082" s="108" t="n">
        <v>2.77</v>
      </c>
      <c r="L2082" s="108" t="n">
        <v>0</v>
      </c>
      <c r="M2082" s="117"/>
      <c r="N2082" s="106"/>
      <c r="O2082" s="106"/>
      <c r="P2082" s="106"/>
      <c r="Q2082" s="106"/>
      <c r="R2082" s="106" t="s">
        <v>4537</v>
      </c>
    </row>
    <row r="2083" customFormat="false" ht="15" hidden="false" customHeight="false" outlineLevel="0" collapsed="false">
      <c r="A2083" s="106" t="s">
        <v>6695</v>
      </c>
      <c r="B2083" s="106" t="s">
        <v>1403</v>
      </c>
      <c r="C2083" s="106"/>
      <c r="D2083" s="106"/>
      <c r="E2083" s="107" t="n">
        <v>1</v>
      </c>
      <c r="F2083" s="106" t="n">
        <v>1</v>
      </c>
      <c r="G2083" s="118" t="n">
        <v>1</v>
      </c>
      <c r="H2083" s="116" t="n">
        <v>2.77</v>
      </c>
      <c r="I2083" s="106" t="n">
        <v>0</v>
      </c>
      <c r="J2083" s="117" t="n">
        <v>0</v>
      </c>
      <c r="K2083" s="108" t="n">
        <v>2.77</v>
      </c>
      <c r="L2083" s="108" t="n">
        <v>0</v>
      </c>
      <c r="M2083" s="117"/>
      <c r="N2083" s="106"/>
      <c r="O2083" s="106"/>
      <c r="P2083" s="106"/>
      <c r="Q2083" s="106"/>
      <c r="R2083" s="106" t="s">
        <v>4537</v>
      </c>
    </row>
    <row r="2084" customFormat="false" ht="15" hidden="false" customHeight="false" outlineLevel="0" collapsed="false">
      <c r="A2084" s="106" t="s">
        <v>6696</v>
      </c>
      <c r="B2084" s="106" t="s">
        <v>4329</v>
      </c>
      <c r="C2084" s="106"/>
      <c r="D2084" s="106"/>
      <c r="E2084" s="107" t="n">
        <v>4</v>
      </c>
      <c r="F2084" s="106" t="n">
        <v>1</v>
      </c>
      <c r="G2084" s="118" t="n">
        <v>0.25</v>
      </c>
      <c r="H2084" s="116" t="n">
        <v>2.76</v>
      </c>
      <c r="I2084" s="106" t="n">
        <v>0</v>
      </c>
      <c r="J2084" s="117" t="n">
        <v>0</v>
      </c>
      <c r="K2084" s="108" t="n">
        <v>2.76</v>
      </c>
      <c r="L2084" s="108" t="n">
        <v>0</v>
      </c>
      <c r="M2084" s="117"/>
      <c r="N2084" s="106"/>
      <c r="O2084" s="106"/>
      <c r="P2084" s="106"/>
      <c r="Q2084" s="106"/>
      <c r="R2084" s="106" t="s">
        <v>4537</v>
      </c>
    </row>
    <row r="2085" customFormat="false" ht="15" hidden="false" customHeight="false" outlineLevel="0" collapsed="false">
      <c r="A2085" s="106" t="s">
        <v>6697</v>
      </c>
      <c r="B2085" s="106" t="s">
        <v>4280</v>
      </c>
      <c r="C2085" s="106"/>
      <c r="D2085" s="106" t="n">
        <v>8</v>
      </c>
      <c r="E2085" s="107" t="n">
        <v>1</v>
      </c>
      <c r="F2085" s="106" t="n">
        <v>1</v>
      </c>
      <c r="G2085" s="118" t="n">
        <v>1</v>
      </c>
      <c r="H2085" s="116" t="n">
        <v>2.73</v>
      </c>
      <c r="I2085" s="106" t="n">
        <v>0</v>
      </c>
      <c r="J2085" s="117" t="n">
        <v>0</v>
      </c>
      <c r="K2085" s="108" t="n">
        <v>2.73</v>
      </c>
      <c r="L2085" s="108" t="n">
        <v>0</v>
      </c>
      <c r="M2085" s="117"/>
      <c r="N2085" s="106"/>
      <c r="O2085" s="106"/>
      <c r="P2085" s="106"/>
      <c r="Q2085" s="106"/>
      <c r="R2085" s="106" t="s">
        <v>4537</v>
      </c>
    </row>
    <row r="2086" customFormat="false" ht="15" hidden="false" customHeight="false" outlineLevel="0" collapsed="false">
      <c r="A2086" s="106" t="s">
        <v>6698</v>
      </c>
      <c r="B2086" s="106" t="s">
        <v>4329</v>
      </c>
      <c r="C2086" s="106"/>
      <c r="D2086" s="106" t="n">
        <v>2</v>
      </c>
      <c r="E2086" s="107" t="n">
        <v>1</v>
      </c>
      <c r="F2086" s="106" t="n">
        <v>1</v>
      </c>
      <c r="G2086" s="118" t="n">
        <v>1</v>
      </c>
      <c r="H2086" s="116" t="n">
        <v>2.73</v>
      </c>
      <c r="I2086" s="106" t="n">
        <v>0</v>
      </c>
      <c r="J2086" s="117" t="n">
        <v>0</v>
      </c>
      <c r="K2086" s="108" t="n">
        <v>2.73</v>
      </c>
      <c r="L2086" s="108" t="n">
        <v>0</v>
      </c>
      <c r="M2086" s="117"/>
      <c r="N2086" s="106"/>
      <c r="O2086" s="106"/>
      <c r="P2086" s="106"/>
      <c r="Q2086" s="106"/>
      <c r="R2086" s="106" t="s">
        <v>4537</v>
      </c>
    </row>
    <row r="2087" customFormat="false" ht="15" hidden="false" customHeight="false" outlineLevel="0" collapsed="false">
      <c r="A2087" s="106" t="s">
        <v>6699</v>
      </c>
      <c r="B2087" s="106" t="s">
        <v>4280</v>
      </c>
      <c r="C2087" s="106" t="s">
        <v>4301</v>
      </c>
      <c r="D2087" s="106" t="n">
        <v>351</v>
      </c>
      <c r="E2087" s="107" t="n">
        <v>1</v>
      </c>
      <c r="F2087" s="106" t="n">
        <v>1</v>
      </c>
      <c r="G2087" s="118" t="n">
        <v>1</v>
      </c>
      <c r="H2087" s="116" t="n">
        <v>2.71</v>
      </c>
      <c r="I2087" s="106" t="n">
        <v>0</v>
      </c>
      <c r="J2087" s="117" t="n">
        <v>0</v>
      </c>
      <c r="K2087" s="108" t="n">
        <v>2.71</v>
      </c>
      <c r="L2087" s="108" t="n">
        <v>0</v>
      </c>
      <c r="M2087" s="117"/>
      <c r="N2087" s="106"/>
      <c r="O2087" s="106"/>
      <c r="P2087" s="106"/>
      <c r="Q2087" s="106"/>
      <c r="R2087" s="106" t="s">
        <v>4537</v>
      </c>
    </row>
    <row r="2088" customFormat="false" ht="15" hidden="false" customHeight="false" outlineLevel="0" collapsed="false">
      <c r="A2088" s="106" t="s">
        <v>6700</v>
      </c>
      <c r="B2088" s="106" t="s">
        <v>1403</v>
      </c>
      <c r="C2088" s="106"/>
      <c r="D2088" s="106" t="n">
        <v>1</v>
      </c>
      <c r="E2088" s="107" t="n">
        <v>2</v>
      </c>
      <c r="F2088" s="106" t="n">
        <v>1</v>
      </c>
      <c r="G2088" s="118" t="n">
        <v>0.5</v>
      </c>
      <c r="H2088" s="116" t="n">
        <v>2.7</v>
      </c>
      <c r="I2088" s="106" t="n">
        <v>0</v>
      </c>
      <c r="J2088" s="117" t="n">
        <v>0</v>
      </c>
      <c r="K2088" s="108" t="n">
        <v>2.7</v>
      </c>
      <c r="L2088" s="108" t="n">
        <v>0</v>
      </c>
      <c r="M2088" s="117"/>
      <c r="N2088" s="106"/>
      <c r="O2088" s="106"/>
      <c r="P2088" s="106"/>
      <c r="Q2088" s="106"/>
      <c r="R2088" s="106" t="s">
        <v>4537</v>
      </c>
    </row>
    <row r="2089" customFormat="false" ht="15" hidden="false" customHeight="false" outlineLevel="0" collapsed="false">
      <c r="A2089" s="106" t="s">
        <v>6701</v>
      </c>
      <c r="B2089" s="106" t="s">
        <v>4284</v>
      </c>
      <c r="C2089" s="106"/>
      <c r="D2089" s="106" t="n">
        <v>6</v>
      </c>
      <c r="E2089" s="107" t="n">
        <v>1</v>
      </c>
      <c r="F2089" s="106" t="n">
        <v>1</v>
      </c>
      <c r="G2089" s="118" t="n">
        <v>1</v>
      </c>
      <c r="H2089" s="116" t="n">
        <v>2.69</v>
      </c>
      <c r="I2089" s="106" t="n">
        <v>0</v>
      </c>
      <c r="J2089" s="117" t="n">
        <v>0</v>
      </c>
      <c r="K2089" s="108" t="n">
        <v>2.69</v>
      </c>
      <c r="L2089" s="108" t="n">
        <v>0</v>
      </c>
      <c r="M2089" s="117"/>
      <c r="N2089" s="106"/>
      <c r="O2089" s="106"/>
      <c r="P2089" s="106"/>
      <c r="Q2089" s="106"/>
      <c r="R2089" s="106" t="s">
        <v>4537</v>
      </c>
    </row>
    <row r="2090" customFormat="false" ht="15" hidden="false" customHeight="false" outlineLevel="0" collapsed="false">
      <c r="A2090" s="106" t="s">
        <v>6702</v>
      </c>
      <c r="B2090" s="106" t="s">
        <v>4329</v>
      </c>
      <c r="C2090" s="106"/>
      <c r="D2090" s="106"/>
      <c r="E2090" s="107" t="n">
        <v>2</v>
      </c>
      <c r="F2090" s="106" t="n">
        <v>1</v>
      </c>
      <c r="G2090" s="118" t="n">
        <v>0.5</v>
      </c>
      <c r="H2090" s="116" t="n">
        <v>2.84</v>
      </c>
      <c r="I2090" s="106" t="n">
        <v>0</v>
      </c>
      <c r="J2090" s="117" t="n">
        <v>0</v>
      </c>
      <c r="K2090" s="108" t="n">
        <v>2.84</v>
      </c>
      <c r="L2090" s="108" t="n">
        <v>0</v>
      </c>
      <c r="M2090" s="117"/>
      <c r="N2090" s="106"/>
      <c r="O2090" s="106"/>
      <c r="P2090" s="106"/>
      <c r="Q2090" s="106"/>
      <c r="R2090" s="106" t="s">
        <v>4537</v>
      </c>
    </row>
    <row r="2091" customFormat="false" ht="15" hidden="false" customHeight="false" outlineLevel="0" collapsed="false">
      <c r="A2091" s="106" t="s">
        <v>6703</v>
      </c>
      <c r="B2091" s="106" t="s">
        <v>4329</v>
      </c>
      <c r="C2091" s="106"/>
      <c r="D2091" s="106"/>
      <c r="E2091" s="107" t="n">
        <v>2</v>
      </c>
      <c r="F2091" s="106" t="n">
        <v>1</v>
      </c>
      <c r="G2091" s="118" t="n">
        <v>0.5</v>
      </c>
      <c r="H2091" s="116" t="n">
        <v>2.84</v>
      </c>
      <c r="I2091" s="106" t="n">
        <v>0</v>
      </c>
      <c r="J2091" s="117" t="n">
        <v>0</v>
      </c>
      <c r="K2091" s="108" t="n">
        <v>2.84</v>
      </c>
      <c r="L2091" s="108" t="n">
        <v>0</v>
      </c>
      <c r="M2091" s="117"/>
      <c r="N2091" s="106"/>
      <c r="O2091" s="106"/>
      <c r="P2091" s="106"/>
      <c r="Q2091" s="106"/>
      <c r="R2091" s="106" t="s">
        <v>4537</v>
      </c>
    </row>
    <row r="2092" customFormat="false" ht="15" hidden="false" customHeight="false" outlineLevel="0" collapsed="false">
      <c r="A2092" s="106" t="s">
        <v>6704</v>
      </c>
      <c r="B2092" s="106" t="s">
        <v>4284</v>
      </c>
      <c r="C2092" s="106"/>
      <c r="D2092" s="106" t="n">
        <v>7</v>
      </c>
      <c r="E2092" s="107" t="n">
        <v>1</v>
      </c>
      <c r="F2092" s="106" t="n">
        <v>1</v>
      </c>
      <c r="G2092" s="118" t="n">
        <v>1</v>
      </c>
      <c r="H2092" s="116" t="n">
        <v>2.84</v>
      </c>
      <c r="I2092" s="106" t="n">
        <v>0</v>
      </c>
      <c r="J2092" s="117" t="n">
        <v>0</v>
      </c>
      <c r="K2092" s="108" t="n">
        <v>2.84</v>
      </c>
      <c r="L2092" s="108" t="n">
        <v>0</v>
      </c>
      <c r="M2092" s="117"/>
      <c r="N2092" s="106"/>
      <c r="O2092" s="106"/>
      <c r="P2092" s="106"/>
      <c r="Q2092" s="106"/>
      <c r="R2092" s="106" t="s">
        <v>4537</v>
      </c>
    </row>
    <row r="2093" customFormat="false" ht="15" hidden="false" customHeight="false" outlineLevel="0" collapsed="false">
      <c r="A2093" s="106" t="s">
        <v>359</v>
      </c>
      <c r="B2093" s="106" t="s">
        <v>4280</v>
      </c>
      <c r="C2093" s="106" t="s">
        <v>4281</v>
      </c>
      <c r="D2093" s="106" t="n">
        <v>924</v>
      </c>
      <c r="E2093" s="107" t="n">
        <v>16</v>
      </c>
      <c r="F2093" s="106" t="n">
        <v>1</v>
      </c>
      <c r="G2093" s="118" t="n">
        <v>0.0625</v>
      </c>
      <c r="H2093" s="116" t="n">
        <v>2.84</v>
      </c>
      <c r="I2093" s="106" t="n">
        <v>1</v>
      </c>
      <c r="J2093" s="117" t="n">
        <v>1</v>
      </c>
      <c r="K2093" s="108" t="n">
        <v>2.84</v>
      </c>
      <c r="L2093" s="108" t="n">
        <v>74.99</v>
      </c>
      <c r="M2093" s="117" t="n">
        <v>0.038</v>
      </c>
      <c r="N2093" s="106" t="n">
        <v>41</v>
      </c>
      <c r="O2093" s="106" t="n">
        <v>8</v>
      </c>
      <c r="P2093" s="106" t="s">
        <v>4069</v>
      </c>
      <c r="Q2093" s="106" t="n">
        <v>39</v>
      </c>
      <c r="R2093" s="106" t="s">
        <v>4285</v>
      </c>
    </row>
    <row r="2094" customFormat="false" ht="15" hidden="false" customHeight="false" outlineLevel="0" collapsed="false">
      <c r="A2094" s="106" t="s">
        <v>6705</v>
      </c>
      <c r="B2094" s="106" t="s">
        <v>1403</v>
      </c>
      <c r="C2094" s="106"/>
      <c r="D2094" s="106" t="n">
        <v>2</v>
      </c>
      <c r="E2094" s="107" t="n">
        <v>5</v>
      </c>
      <c r="F2094" s="106" t="n">
        <v>1</v>
      </c>
      <c r="G2094" s="118" t="n">
        <v>0.2</v>
      </c>
      <c r="H2094" s="116" t="n">
        <v>2.82</v>
      </c>
      <c r="I2094" s="106" t="n">
        <v>0</v>
      </c>
      <c r="J2094" s="117" t="n">
        <v>0</v>
      </c>
      <c r="K2094" s="108" t="n">
        <v>2.82</v>
      </c>
      <c r="L2094" s="108" t="n">
        <v>0</v>
      </c>
      <c r="M2094" s="117"/>
      <c r="N2094" s="106"/>
      <c r="O2094" s="106"/>
      <c r="P2094" s="106"/>
      <c r="Q2094" s="106"/>
      <c r="R2094" s="106" t="s">
        <v>4537</v>
      </c>
    </row>
    <row r="2095" customFormat="false" ht="15" hidden="false" customHeight="false" outlineLevel="0" collapsed="false">
      <c r="A2095" s="106" t="s">
        <v>6706</v>
      </c>
      <c r="B2095" s="106" t="s">
        <v>4329</v>
      </c>
      <c r="C2095" s="106"/>
      <c r="D2095" s="106"/>
      <c r="E2095" s="107" t="n">
        <v>5</v>
      </c>
      <c r="F2095" s="106" t="n">
        <v>1</v>
      </c>
      <c r="G2095" s="118" t="n">
        <v>0.2</v>
      </c>
      <c r="H2095" s="116" t="n">
        <v>2.8</v>
      </c>
      <c r="I2095" s="106" t="n">
        <v>0</v>
      </c>
      <c r="J2095" s="117" t="n">
        <v>0</v>
      </c>
      <c r="K2095" s="108" t="n">
        <v>2.8</v>
      </c>
      <c r="L2095" s="108" t="n">
        <v>0</v>
      </c>
      <c r="M2095" s="117"/>
      <c r="N2095" s="106"/>
      <c r="O2095" s="106"/>
      <c r="P2095" s="106"/>
      <c r="Q2095" s="106"/>
      <c r="R2095" s="106" t="s">
        <v>4537</v>
      </c>
    </row>
    <row r="2096" customFormat="false" ht="15" hidden="false" customHeight="false" outlineLevel="0" collapsed="false">
      <c r="A2096" s="106" t="s">
        <v>6707</v>
      </c>
      <c r="B2096" s="106" t="s">
        <v>4329</v>
      </c>
      <c r="C2096" s="106"/>
      <c r="D2096" s="106"/>
      <c r="E2096" s="107" t="n">
        <v>7</v>
      </c>
      <c r="F2096" s="106" t="n">
        <v>1</v>
      </c>
      <c r="G2096" s="118" t="n">
        <v>0.1429</v>
      </c>
      <c r="H2096" s="116" t="n">
        <v>2.8</v>
      </c>
      <c r="I2096" s="106" t="n">
        <v>0</v>
      </c>
      <c r="J2096" s="117" t="n">
        <v>0</v>
      </c>
      <c r="K2096" s="108" t="n">
        <v>2.8</v>
      </c>
      <c r="L2096" s="108" t="n">
        <v>0</v>
      </c>
      <c r="M2096" s="117"/>
      <c r="N2096" s="106"/>
      <c r="O2096" s="106"/>
      <c r="P2096" s="106"/>
      <c r="Q2096" s="106"/>
      <c r="R2096" s="106" t="s">
        <v>4537</v>
      </c>
    </row>
    <row r="2097" customFormat="false" ht="15" hidden="false" customHeight="false" outlineLevel="0" collapsed="false">
      <c r="A2097" s="106" t="s">
        <v>6708</v>
      </c>
      <c r="B2097" s="106" t="s">
        <v>4329</v>
      </c>
      <c r="C2097" s="106"/>
      <c r="D2097" s="106"/>
      <c r="E2097" s="107" t="n">
        <v>1</v>
      </c>
      <c r="F2097" s="106" t="n">
        <v>1</v>
      </c>
      <c r="G2097" s="118" t="n">
        <v>1</v>
      </c>
      <c r="H2097" s="116" t="n">
        <v>2.79</v>
      </c>
      <c r="I2097" s="106" t="n">
        <v>0</v>
      </c>
      <c r="J2097" s="117" t="n">
        <v>0</v>
      </c>
      <c r="K2097" s="108" t="n">
        <v>2.79</v>
      </c>
      <c r="L2097" s="108" t="n">
        <v>0</v>
      </c>
      <c r="M2097" s="117"/>
      <c r="N2097" s="106"/>
      <c r="O2097" s="106"/>
      <c r="P2097" s="106"/>
      <c r="Q2097" s="106"/>
      <c r="R2097" s="106" t="s">
        <v>4537</v>
      </c>
    </row>
    <row r="2098" customFormat="false" ht="15" hidden="false" customHeight="false" outlineLevel="0" collapsed="false">
      <c r="A2098" s="106" t="s">
        <v>6709</v>
      </c>
      <c r="B2098" s="106" t="s">
        <v>1403</v>
      </c>
      <c r="C2098" s="106"/>
      <c r="D2098" s="106"/>
      <c r="E2098" s="107" t="n">
        <v>1</v>
      </c>
      <c r="F2098" s="106" t="n">
        <v>1</v>
      </c>
      <c r="G2098" s="118" t="n">
        <v>1</v>
      </c>
      <c r="H2098" s="116" t="n">
        <v>0.14</v>
      </c>
      <c r="I2098" s="106" t="n">
        <v>0</v>
      </c>
      <c r="J2098" s="117" t="n">
        <v>0</v>
      </c>
      <c r="K2098" s="108" t="n">
        <v>0.14</v>
      </c>
      <c r="L2098" s="108" t="n">
        <v>0</v>
      </c>
      <c r="M2098" s="117"/>
      <c r="N2098" s="106"/>
      <c r="O2098" s="106"/>
      <c r="P2098" s="106"/>
      <c r="Q2098" s="106"/>
      <c r="R2098" s="106" t="s">
        <v>4537</v>
      </c>
    </row>
    <row r="2099" customFormat="false" ht="15" hidden="false" customHeight="false" outlineLevel="0" collapsed="false">
      <c r="A2099" s="106" t="s">
        <v>6710</v>
      </c>
      <c r="B2099" s="106" t="s">
        <v>4284</v>
      </c>
      <c r="C2099" s="106"/>
      <c r="D2099" s="106"/>
      <c r="E2099" s="107" t="n">
        <v>13</v>
      </c>
      <c r="F2099" s="106" t="n">
        <v>1</v>
      </c>
      <c r="G2099" s="118" t="n">
        <v>0.0769</v>
      </c>
      <c r="H2099" s="116" t="n">
        <v>0.08</v>
      </c>
      <c r="I2099" s="106" t="n">
        <v>0</v>
      </c>
      <c r="J2099" s="117" t="n">
        <v>0</v>
      </c>
      <c r="K2099" s="108" t="n">
        <v>0.08</v>
      </c>
      <c r="L2099" s="108" t="n">
        <v>0</v>
      </c>
      <c r="M2099" s="117"/>
      <c r="N2099" s="106"/>
      <c r="O2099" s="106"/>
      <c r="P2099" s="106"/>
      <c r="Q2099" s="106"/>
      <c r="R2099" s="106" t="s">
        <v>4537</v>
      </c>
    </row>
    <row r="2100" customFormat="false" ht="15" hidden="false" customHeight="false" outlineLevel="0" collapsed="false">
      <c r="A2100" s="106" t="s">
        <v>6711</v>
      </c>
      <c r="B2100" s="106" t="s">
        <v>4280</v>
      </c>
      <c r="C2100" s="106"/>
      <c r="D2100" s="106"/>
      <c r="E2100" s="107" t="n">
        <v>2</v>
      </c>
      <c r="F2100" s="106" t="n">
        <v>1</v>
      </c>
      <c r="G2100" s="118" t="n">
        <v>0.5</v>
      </c>
      <c r="H2100" s="116" t="n">
        <v>0.08</v>
      </c>
      <c r="I2100" s="106" t="n">
        <v>1</v>
      </c>
      <c r="J2100" s="117" t="n">
        <v>1</v>
      </c>
      <c r="K2100" s="108" t="n">
        <v>0.08</v>
      </c>
      <c r="L2100" s="108" t="n">
        <v>69.99</v>
      </c>
      <c r="M2100" s="117" t="n">
        <v>0.001</v>
      </c>
      <c r="N2100" s="106"/>
      <c r="O2100" s="106"/>
      <c r="P2100" s="106"/>
      <c r="Q2100" s="106"/>
      <c r="R2100" s="106" t="s">
        <v>4285</v>
      </c>
    </row>
    <row r="2101" customFormat="false" ht="15" hidden="false" customHeight="false" outlineLevel="0" collapsed="false">
      <c r="A2101" s="106" t="s">
        <v>6712</v>
      </c>
      <c r="B2101" s="106" t="s">
        <v>4280</v>
      </c>
      <c r="C2101" s="106"/>
      <c r="D2101" s="106"/>
      <c r="E2101" s="107" t="n">
        <v>2</v>
      </c>
      <c r="F2101" s="106" t="n">
        <v>1</v>
      </c>
      <c r="G2101" s="118" t="n">
        <v>0.5</v>
      </c>
      <c r="H2101" s="116" t="n">
        <v>0.08</v>
      </c>
      <c r="I2101" s="106" t="n">
        <v>0</v>
      </c>
      <c r="J2101" s="117" t="n">
        <v>0</v>
      </c>
      <c r="K2101" s="108" t="n">
        <v>0.08</v>
      </c>
      <c r="L2101" s="108" t="n">
        <v>0</v>
      </c>
      <c r="M2101" s="117"/>
      <c r="N2101" s="106"/>
      <c r="O2101" s="106"/>
      <c r="P2101" s="106"/>
      <c r="Q2101" s="106"/>
      <c r="R2101" s="106" t="s">
        <v>4537</v>
      </c>
    </row>
    <row r="2102" customFormat="false" ht="15" hidden="false" customHeight="false" outlineLevel="0" collapsed="false">
      <c r="A2102" s="106" t="s">
        <v>4374</v>
      </c>
      <c r="B2102" s="106" t="s">
        <v>4309</v>
      </c>
      <c r="C2102" s="106"/>
      <c r="D2102" s="106"/>
      <c r="E2102" s="107" t="n">
        <v>1</v>
      </c>
      <c r="F2102" s="106" t="n">
        <v>1</v>
      </c>
      <c r="G2102" s="118" t="n">
        <v>1</v>
      </c>
      <c r="H2102" s="116" t="n">
        <v>0.08</v>
      </c>
      <c r="I2102" s="106" t="n">
        <v>2</v>
      </c>
      <c r="J2102" s="117" t="n">
        <v>2</v>
      </c>
      <c r="K2102" s="108" t="n">
        <v>0.08</v>
      </c>
      <c r="L2102" s="108" t="n">
        <v>141.98</v>
      </c>
      <c r="M2102" s="117" t="n">
        <v>0.001</v>
      </c>
      <c r="N2102" s="106"/>
      <c r="O2102" s="106"/>
      <c r="P2102" s="106"/>
      <c r="Q2102" s="106"/>
      <c r="R2102" s="106" t="s">
        <v>4285</v>
      </c>
    </row>
    <row r="2103" customFormat="false" ht="15" hidden="false" customHeight="false" outlineLevel="0" collapsed="false">
      <c r="A2103" s="106" t="s">
        <v>6713</v>
      </c>
      <c r="B2103" s="106" t="s">
        <v>4329</v>
      </c>
      <c r="C2103" s="106"/>
      <c r="D2103" s="106"/>
      <c r="E2103" s="107" t="n">
        <v>4</v>
      </c>
      <c r="F2103" s="106" t="n">
        <v>1</v>
      </c>
      <c r="G2103" s="118" t="n">
        <v>0.25</v>
      </c>
      <c r="H2103" s="116" t="n">
        <v>0.08</v>
      </c>
      <c r="I2103" s="106" t="n">
        <v>0</v>
      </c>
      <c r="J2103" s="117" t="n">
        <v>0</v>
      </c>
      <c r="K2103" s="108" t="n">
        <v>0.08</v>
      </c>
      <c r="L2103" s="108" t="n">
        <v>0</v>
      </c>
      <c r="M2103" s="117"/>
      <c r="N2103" s="106"/>
      <c r="O2103" s="106"/>
      <c r="P2103" s="106"/>
      <c r="Q2103" s="106"/>
      <c r="R2103" s="106" t="s">
        <v>4537</v>
      </c>
    </row>
    <row r="2104" customFormat="false" ht="15" hidden="false" customHeight="false" outlineLevel="0" collapsed="false">
      <c r="A2104" s="106" t="s">
        <v>6714</v>
      </c>
      <c r="B2104" s="106" t="s">
        <v>4284</v>
      </c>
      <c r="C2104" s="106"/>
      <c r="D2104" s="106" t="n">
        <v>7</v>
      </c>
      <c r="E2104" s="107" t="n">
        <v>2</v>
      </c>
      <c r="F2104" s="106" t="n">
        <v>1</v>
      </c>
      <c r="G2104" s="118" t="n">
        <v>0.5</v>
      </c>
      <c r="H2104" s="116" t="n">
        <v>0.06</v>
      </c>
      <c r="I2104" s="106" t="n">
        <v>0</v>
      </c>
      <c r="J2104" s="117" t="n">
        <v>0</v>
      </c>
      <c r="K2104" s="108" t="n">
        <v>0.06</v>
      </c>
      <c r="L2104" s="108" t="n">
        <v>0</v>
      </c>
      <c r="M2104" s="117"/>
      <c r="N2104" s="106"/>
      <c r="O2104" s="106"/>
      <c r="P2104" s="106"/>
      <c r="Q2104" s="106"/>
      <c r="R2104" s="106" t="s">
        <v>4537</v>
      </c>
    </row>
    <row r="2105" customFormat="false" ht="15" hidden="false" customHeight="false" outlineLevel="0" collapsed="false">
      <c r="A2105" s="106" t="s">
        <v>6715</v>
      </c>
      <c r="B2105" s="106" t="s">
        <v>4329</v>
      </c>
      <c r="C2105" s="106"/>
      <c r="D2105" s="106"/>
      <c r="E2105" s="107" t="n">
        <v>1</v>
      </c>
      <c r="F2105" s="106" t="n">
        <v>1</v>
      </c>
      <c r="G2105" s="118" t="n">
        <v>1</v>
      </c>
      <c r="H2105" s="116" t="n">
        <v>2.84</v>
      </c>
      <c r="I2105" s="106" t="n">
        <v>0</v>
      </c>
      <c r="J2105" s="117" t="n">
        <v>0</v>
      </c>
      <c r="K2105" s="108" t="n">
        <v>2.84</v>
      </c>
      <c r="L2105" s="108" t="n">
        <v>0</v>
      </c>
      <c r="M2105" s="117"/>
      <c r="N2105" s="106"/>
      <c r="O2105" s="106"/>
      <c r="P2105" s="106"/>
      <c r="Q2105" s="106"/>
      <c r="R2105" s="106" t="s">
        <v>4537</v>
      </c>
    </row>
    <row r="2106" customFormat="false" ht="15" hidden="false" customHeight="false" outlineLevel="0" collapsed="false">
      <c r="A2106" s="106" t="s">
        <v>6716</v>
      </c>
      <c r="B2106" s="106" t="s">
        <v>4284</v>
      </c>
      <c r="C2106" s="106"/>
      <c r="D2106" s="106" t="n">
        <v>1</v>
      </c>
      <c r="E2106" s="107" t="n">
        <v>1</v>
      </c>
      <c r="F2106" s="106" t="n">
        <v>1</v>
      </c>
      <c r="G2106" s="118" t="n">
        <v>1</v>
      </c>
      <c r="H2106" s="116" t="n">
        <v>0.35</v>
      </c>
      <c r="I2106" s="106" t="n">
        <v>1</v>
      </c>
      <c r="J2106" s="117" t="n">
        <v>1</v>
      </c>
      <c r="K2106" s="108" t="n">
        <v>0.35</v>
      </c>
      <c r="L2106" s="108" t="n">
        <v>64.99</v>
      </c>
      <c r="M2106" s="117" t="n">
        <v>0.005</v>
      </c>
      <c r="N2106" s="106"/>
      <c r="O2106" s="106"/>
      <c r="P2106" s="106"/>
      <c r="Q2106" s="106"/>
      <c r="R2106" s="106" t="s">
        <v>4285</v>
      </c>
    </row>
    <row r="2107" customFormat="false" ht="15" hidden="false" customHeight="false" outlineLevel="0" collapsed="false">
      <c r="A2107" s="106" t="s">
        <v>6717</v>
      </c>
      <c r="B2107" s="106" t="s">
        <v>4284</v>
      </c>
      <c r="C2107" s="106"/>
      <c r="D2107" s="106" t="n">
        <v>924</v>
      </c>
      <c r="E2107" s="107" t="n">
        <v>1</v>
      </c>
      <c r="F2107" s="106" t="n">
        <v>1</v>
      </c>
      <c r="G2107" s="118" t="n">
        <v>1</v>
      </c>
      <c r="H2107" s="116" t="n">
        <v>0.35</v>
      </c>
      <c r="I2107" s="106" t="n">
        <v>0</v>
      </c>
      <c r="J2107" s="117" t="n">
        <v>0</v>
      </c>
      <c r="K2107" s="108" t="n">
        <v>0.35</v>
      </c>
      <c r="L2107" s="108" t="n">
        <v>0</v>
      </c>
      <c r="M2107" s="117"/>
      <c r="N2107" s="106"/>
      <c r="O2107" s="106"/>
      <c r="P2107" s="106"/>
      <c r="Q2107" s="106"/>
      <c r="R2107" s="106" t="s">
        <v>4537</v>
      </c>
    </row>
    <row r="2108" customFormat="false" ht="15" hidden="false" customHeight="false" outlineLevel="0" collapsed="false">
      <c r="A2108" s="106" t="s">
        <v>6718</v>
      </c>
      <c r="B2108" s="106" t="s">
        <v>4329</v>
      </c>
      <c r="C2108" s="106"/>
      <c r="D2108" s="106" t="n">
        <v>1</v>
      </c>
      <c r="E2108" s="107" t="n">
        <v>1</v>
      </c>
      <c r="F2108" s="106" t="n">
        <v>1</v>
      </c>
      <c r="G2108" s="118" t="n">
        <v>1</v>
      </c>
      <c r="H2108" s="116" t="n">
        <v>0.35</v>
      </c>
      <c r="I2108" s="106" t="n">
        <v>1</v>
      </c>
      <c r="J2108" s="117" t="n">
        <v>1</v>
      </c>
      <c r="K2108" s="108" t="n">
        <v>0.35</v>
      </c>
      <c r="L2108" s="108" t="n">
        <v>64.99</v>
      </c>
      <c r="M2108" s="117" t="n">
        <v>0.005</v>
      </c>
      <c r="N2108" s="106"/>
      <c r="O2108" s="106"/>
      <c r="P2108" s="106"/>
      <c r="Q2108" s="106"/>
      <c r="R2108" s="106" t="s">
        <v>4285</v>
      </c>
    </row>
    <row r="2109" customFormat="false" ht="15" hidden="false" customHeight="false" outlineLevel="0" collapsed="false">
      <c r="A2109" s="106" t="s">
        <v>6719</v>
      </c>
      <c r="B2109" s="106" t="s">
        <v>4280</v>
      </c>
      <c r="C2109" s="106"/>
      <c r="D2109" s="106" t="n">
        <v>34</v>
      </c>
      <c r="E2109" s="107" t="n">
        <v>1</v>
      </c>
      <c r="F2109" s="106" t="n">
        <v>1</v>
      </c>
      <c r="G2109" s="118" t="n">
        <v>1</v>
      </c>
      <c r="H2109" s="116" t="n">
        <v>0.34</v>
      </c>
      <c r="I2109" s="106" t="n">
        <v>0</v>
      </c>
      <c r="J2109" s="117" t="n">
        <v>0</v>
      </c>
      <c r="K2109" s="108" t="n">
        <v>0.34</v>
      </c>
      <c r="L2109" s="108" t="n">
        <v>0</v>
      </c>
      <c r="M2109" s="117"/>
      <c r="N2109" s="106"/>
      <c r="O2109" s="106"/>
      <c r="P2109" s="106"/>
      <c r="Q2109" s="106"/>
      <c r="R2109" s="106" t="s">
        <v>4537</v>
      </c>
    </row>
    <row r="2110" customFormat="false" ht="15" hidden="false" customHeight="false" outlineLevel="0" collapsed="false">
      <c r="A2110" s="106" t="s">
        <v>6720</v>
      </c>
      <c r="B2110" s="106" t="s">
        <v>4284</v>
      </c>
      <c r="C2110" s="106"/>
      <c r="D2110" s="106" t="n">
        <v>4</v>
      </c>
      <c r="E2110" s="107" t="n">
        <v>1</v>
      </c>
      <c r="F2110" s="106" t="n">
        <v>1</v>
      </c>
      <c r="G2110" s="118" t="n">
        <v>1</v>
      </c>
      <c r="H2110" s="116" t="n">
        <v>0.33</v>
      </c>
      <c r="I2110" s="106" t="n">
        <v>0</v>
      </c>
      <c r="J2110" s="117" t="n">
        <v>0</v>
      </c>
      <c r="K2110" s="108" t="n">
        <v>0.33</v>
      </c>
      <c r="L2110" s="108" t="n">
        <v>0</v>
      </c>
      <c r="M2110" s="117"/>
      <c r="N2110" s="106"/>
      <c r="O2110" s="106"/>
      <c r="P2110" s="106"/>
      <c r="Q2110" s="106"/>
      <c r="R2110" s="106" t="s">
        <v>4537</v>
      </c>
    </row>
    <row r="2111" customFormat="false" ht="15" hidden="false" customHeight="false" outlineLevel="0" collapsed="false">
      <c r="A2111" s="106" t="s">
        <v>6721</v>
      </c>
      <c r="B2111" s="106" t="s">
        <v>1403</v>
      </c>
      <c r="C2111" s="106"/>
      <c r="D2111" s="106" t="n">
        <v>1</v>
      </c>
      <c r="E2111" s="107" t="n">
        <v>1</v>
      </c>
      <c r="F2111" s="106" t="n">
        <v>1</v>
      </c>
      <c r="G2111" s="118" t="n">
        <v>1</v>
      </c>
      <c r="H2111" s="116" t="n">
        <v>0.29</v>
      </c>
      <c r="I2111" s="106" t="n">
        <v>0</v>
      </c>
      <c r="J2111" s="117" t="n">
        <v>0</v>
      </c>
      <c r="K2111" s="108" t="n">
        <v>0.29</v>
      </c>
      <c r="L2111" s="108" t="n">
        <v>0</v>
      </c>
      <c r="M2111" s="117"/>
      <c r="N2111" s="106"/>
      <c r="O2111" s="106"/>
      <c r="P2111" s="106"/>
      <c r="Q2111" s="106"/>
      <c r="R2111" s="106" t="s">
        <v>4537</v>
      </c>
    </row>
    <row r="2112" customFormat="false" ht="15" hidden="false" customHeight="false" outlineLevel="0" collapsed="false">
      <c r="A2112" s="106" t="s">
        <v>6722</v>
      </c>
      <c r="B2112" s="106" t="s">
        <v>4280</v>
      </c>
      <c r="C2112" s="106"/>
      <c r="D2112" s="106"/>
      <c r="E2112" s="107" t="n">
        <v>1</v>
      </c>
      <c r="F2112" s="106" t="n">
        <v>1</v>
      </c>
      <c r="G2112" s="118" t="n">
        <v>1</v>
      </c>
      <c r="H2112" s="116" t="n">
        <v>0.28</v>
      </c>
      <c r="I2112" s="106" t="n">
        <v>0</v>
      </c>
      <c r="J2112" s="117" t="n">
        <v>0</v>
      </c>
      <c r="K2112" s="108" t="n">
        <v>0.28</v>
      </c>
      <c r="L2112" s="108" t="n">
        <v>0</v>
      </c>
      <c r="M2112" s="117"/>
      <c r="N2112" s="106"/>
      <c r="O2112" s="106"/>
      <c r="P2112" s="106"/>
      <c r="Q2112" s="106"/>
      <c r="R2112" s="106" t="s">
        <v>4537</v>
      </c>
    </row>
    <row r="2113" customFormat="false" ht="15" hidden="false" customHeight="false" outlineLevel="0" collapsed="false">
      <c r="A2113" s="106" t="s">
        <v>6723</v>
      </c>
      <c r="B2113" s="106" t="s">
        <v>1403</v>
      </c>
      <c r="C2113" s="106"/>
      <c r="D2113" s="106" t="n">
        <v>2</v>
      </c>
      <c r="E2113" s="107" t="n">
        <v>1</v>
      </c>
      <c r="F2113" s="106" t="n">
        <v>1</v>
      </c>
      <c r="G2113" s="118" t="n">
        <v>1</v>
      </c>
      <c r="H2113" s="116" t="n">
        <v>0.17</v>
      </c>
      <c r="I2113" s="106" t="n">
        <v>0</v>
      </c>
      <c r="J2113" s="117" t="n">
        <v>0</v>
      </c>
      <c r="K2113" s="108" t="n">
        <v>0.17</v>
      </c>
      <c r="L2113" s="108" t="n">
        <v>0</v>
      </c>
      <c r="M2113" s="117"/>
      <c r="N2113" s="106"/>
      <c r="O2113" s="106"/>
      <c r="P2113" s="106"/>
      <c r="Q2113" s="106"/>
      <c r="R2113" s="106" t="s">
        <v>4537</v>
      </c>
    </row>
    <row r="2114" customFormat="false" ht="15" hidden="false" customHeight="false" outlineLevel="0" collapsed="false">
      <c r="A2114" s="106" t="s">
        <v>6724</v>
      </c>
      <c r="B2114" s="106" t="s">
        <v>4329</v>
      </c>
      <c r="C2114" s="106"/>
      <c r="D2114" s="106" t="n">
        <v>626</v>
      </c>
      <c r="E2114" s="107" t="n">
        <v>0</v>
      </c>
      <c r="F2114" s="106" t="n">
        <v>0</v>
      </c>
      <c r="G2114" s="118"/>
      <c r="H2114" s="116"/>
      <c r="I2114" s="106" t="n">
        <v>1</v>
      </c>
      <c r="J2114" s="117"/>
      <c r="K2114" s="108" t="n">
        <v>0</v>
      </c>
      <c r="L2114" s="108" t="n">
        <v>79.99</v>
      </c>
      <c r="M2114" s="117" t="n">
        <v>0</v>
      </c>
      <c r="N2114" s="106"/>
      <c r="O2114" s="106"/>
      <c r="P2114" s="106"/>
      <c r="Q2114" s="106"/>
      <c r="R2114" s="106" t="s">
        <v>4285</v>
      </c>
    </row>
    <row r="2115" customFormat="false" ht="15" hidden="false" customHeight="false" outlineLevel="0" collapsed="false">
      <c r="A2115" s="106" t="s">
        <v>6725</v>
      </c>
      <c r="B2115" s="106" t="s">
        <v>4280</v>
      </c>
      <c r="C2115" s="106"/>
      <c r="D2115" s="106" t="n">
        <v>4</v>
      </c>
      <c r="E2115" s="107" t="n">
        <v>0</v>
      </c>
      <c r="F2115" s="106" t="n">
        <v>0</v>
      </c>
      <c r="G2115" s="118"/>
      <c r="H2115" s="116"/>
      <c r="I2115" s="106" t="n">
        <v>1</v>
      </c>
      <c r="J2115" s="117"/>
      <c r="K2115" s="108" t="n">
        <v>0</v>
      </c>
      <c r="L2115" s="108" t="n">
        <v>79.99</v>
      </c>
      <c r="M2115" s="117" t="n">
        <v>0</v>
      </c>
      <c r="N2115" s="106"/>
      <c r="O2115" s="106"/>
      <c r="P2115" s="106"/>
      <c r="Q2115" s="106"/>
      <c r="R2115" s="106" t="s">
        <v>4285</v>
      </c>
    </row>
  </sheetData>
  <mergeCells count="9">
    <mergeCell ref="A5:N5"/>
    <mergeCell ref="A6:N6"/>
    <mergeCell ref="A7:N7"/>
    <mergeCell ref="A8:N8"/>
    <mergeCell ref="A9:N9"/>
    <mergeCell ref="A10:N10"/>
    <mergeCell ref="A11:N11"/>
    <mergeCell ref="A12:N12"/>
    <mergeCell ref="A13:N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95"/>
    <col collapsed="false" customWidth="true" hidden="false" outlineLevel="0" max="11" min="4" style="0" width="14"/>
  </cols>
  <sheetData>
    <row r="1" customFormat="false" ht="17.35" hidden="false" customHeight="false" outlineLevel="0" collapsed="false">
      <c r="A1" s="1" t="s">
        <v>6726</v>
      </c>
    </row>
    <row r="2" customFormat="false" ht="15" hidden="false" customHeight="false" outlineLevel="0" collapsed="false">
      <c r="A2" s="2" t="s">
        <v>6727</v>
      </c>
    </row>
    <row r="4" customFormat="false" ht="15" hidden="false" customHeight="false" outlineLevel="0" collapsed="false">
      <c r="A4" s="82" t="s">
        <v>6728</v>
      </c>
    </row>
    <row r="5" customFormat="false" ht="15" hidden="false" customHeight="false" outlineLevel="0" collapsed="false">
      <c r="A5" s="84" t="s">
        <v>6729</v>
      </c>
      <c r="B5" s="119" t="s">
        <v>6730</v>
      </c>
      <c r="C5" s="120" t="s">
        <v>6731</v>
      </c>
    </row>
    <row r="6" customFormat="false" ht="19.4" hidden="false" customHeight="false" outlineLevel="0" collapsed="false">
      <c r="A6" s="84" t="s">
        <v>6732</v>
      </c>
      <c r="B6" s="121" t="n">
        <v>0.66</v>
      </c>
      <c r="C6" s="120" t="s">
        <v>6733</v>
      </c>
    </row>
    <row r="7" customFormat="false" ht="15" hidden="false" customHeight="false" outlineLevel="0" collapsed="false">
      <c r="A7" s="84" t="s">
        <v>6734</v>
      </c>
      <c r="B7" s="122" t="n">
        <f aca="false">50/14</f>
        <v>3.57142857142857</v>
      </c>
      <c r="C7" s="120" t="s">
        <v>6735</v>
      </c>
    </row>
    <row r="8" customFormat="false" ht="19.4" hidden="false" customHeight="false" outlineLevel="0" collapsed="false">
      <c r="A8" s="84" t="s">
        <v>6736</v>
      </c>
      <c r="B8" s="121" t="n">
        <v>0.1</v>
      </c>
      <c r="C8" s="120" t="s">
        <v>6737</v>
      </c>
    </row>
    <row r="9" customFormat="false" ht="19.4" hidden="false" customHeight="false" outlineLevel="0" collapsed="false">
      <c r="A9" s="84" t="s">
        <v>6738</v>
      </c>
      <c r="B9" s="123" t="n">
        <v>1</v>
      </c>
      <c r="C9" s="120" t="s">
        <v>6739</v>
      </c>
    </row>
    <row r="10" customFormat="false" ht="15" hidden="false" customHeight="false" outlineLevel="0" collapsed="false">
      <c r="A10" s="84" t="s">
        <v>6740</v>
      </c>
      <c r="B10" s="123" t="n">
        <v>0.75</v>
      </c>
      <c r="C10" s="120" t="s">
        <v>6741</v>
      </c>
    </row>
    <row r="11" customFormat="false" ht="15" hidden="false" customHeight="false" outlineLevel="0" collapsed="false">
      <c r="A11" s="84" t="s">
        <v>6742</v>
      </c>
      <c r="B11" s="123" t="n">
        <v>1</v>
      </c>
      <c r="C11" s="120" t="s">
        <v>6743</v>
      </c>
    </row>
    <row r="12" customFormat="false" ht="19.4" hidden="false" customHeight="false" outlineLevel="0" collapsed="false">
      <c r="A12" s="84" t="s">
        <v>6744</v>
      </c>
      <c r="B12" s="121" t="n">
        <v>1</v>
      </c>
      <c r="C12" s="120" t="s">
        <v>6745</v>
      </c>
    </row>
    <row r="13" customFormat="false" ht="19.4" hidden="false" customHeight="false" outlineLevel="0" collapsed="false">
      <c r="A13" s="84" t="s">
        <v>6746</v>
      </c>
      <c r="B13" s="121" t="n">
        <v>0.5</v>
      </c>
      <c r="C13" s="120" t="s">
        <v>6747</v>
      </c>
    </row>
    <row r="14" customFormat="false" ht="15" hidden="false" customHeight="false" outlineLevel="0" collapsed="false">
      <c r="A14" s="84" t="s">
        <v>6748</v>
      </c>
      <c r="B14" s="121" t="n">
        <v>0.25</v>
      </c>
      <c r="C14" s="120" t="s">
        <v>6749</v>
      </c>
    </row>
    <row r="15" customFormat="false" ht="15" hidden="false" customHeight="false" outlineLevel="0" collapsed="false">
      <c r="A15" s="84" t="s">
        <v>6750</v>
      </c>
      <c r="B15" s="121" t="n">
        <v>0.25</v>
      </c>
      <c r="C15" s="120" t="s">
        <v>6751</v>
      </c>
    </row>
    <row r="16" customFormat="false" ht="15" hidden="false" customHeight="false" outlineLevel="0" collapsed="false">
      <c r="A16" s="84" t="s">
        <v>6752</v>
      </c>
      <c r="B16" s="124" t="n">
        <v>10</v>
      </c>
      <c r="C16" s="120" t="s">
        <v>6753</v>
      </c>
    </row>
    <row r="17" customFormat="false" ht="15" hidden="false" customHeight="false" outlineLevel="0" collapsed="false">
      <c r="A17" s="84" t="s">
        <v>6754</v>
      </c>
      <c r="B17" s="121" t="n">
        <v>0.4</v>
      </c>
      <c r="C17" s="120" t="s">
        <v>6755</v>
      </c>
    </row>
    <row r="18" customFormat="false" ht="15" hidden="false" customHeight="false" outlineLevel="0" collapsed="false">
      <c r="A18" s="84" t="s">
        <v>6756</v>
      </c>
      <c r="B18" s="125" t="n">
        <v>21</v>
      </c>
      <c r="C18" s="120" t="s">
        <v>6757</v>
      </c>
    </row>
    <row r="19" customFormat="false" ht="15" hidden="false" customHeight="false" outlineLevel="0" collapsed="false">
      <c r="A19" s="84" t="s">
        <v>6758</v>
      </c>
      <c r="B19" s="125" t="n">
        <v>45</v>
      </c>
      <c r="C19" s="120" t="s">
        <v>6759</v>
      </c>
    </row>
    <row r="21" customFormat="false" ht="15" hidden="false" customHeight="false" outlineLevel="0" collapsed="false">
      <c r="A21" s="82" t="s">
        <v>6760</v>
      </c>
    </row>
    <row r="22" customFormat="false" ht="15" hidden="false" customHeight="false" outlineLevel="0" collapsed="false">
      <c r="A22" s="105" t="s">
        <v>6761</v>
      </c>
    </row>
    <row r="23" customFormat="false" ht="22.35" hidden="false" customHeight="false" outlineLevel="0" collapsed="false">
      <c r="A23" s="90" t="s">
        <v>6762</v>
      </c>
      <c r="B23" s="90" t="s">
        <v>6763</v>
      </c>
      <c r="C23" s="90" t="s">
        <v>6764</v>
      </c>
      <c r="D23" s="90" t="s">
        <v>6765</v>
      </c>
    </row>
    <row r="24" customFormat="false" ht="15" hidden="false" customHeight="false" outlineLevel="0" collapsed="false">
      <c r="A24" s="126" t="n">
        <v>5</v>
      </c>
      <c r="B24" s="127" t="n">
        <v>0.0426</v>
      </c>
      <c r="C24" s="118" t="n">
        <v>0.0385</v>
      </c>
      <c r="D24" s="106" t="n">
        <v>33</v>
      </c>
    </row>
    <row r="25" customFormat="false" ht="15" hidden="false" customHeight="false" outlineLevel="0" collapsed="false">
      <c r="A25" s="126" t="n">
        <v>10</v>
      </c>
      <c r="B25" s="127" t="n">
        <v>0.028</v>
      </c>
      <c r="C25" s="118" t="n">
        <v>0.0167</v>
      </c>
      <c r="D25" s="106" t="n">
        <v>33</v>
      </c>
    </row>
    <row r="26" customFormat="false" ht="15" hidden="false" customHeight="false" outlineLevel="0" collapsed="false">
      <c r="A26" s="126" t="n">
        <v>15</v>
      </c>
      <c r="B26" s="127" t="n">
        <v>0.0149</v>
      </c>
      <c r="C26" s="118" t="n">
        <v>0</v>
      </c>
      <c r="D26" s="106" t="n">
        <v>18</v>
      </c>
    </row>
    <row r="27" customFormat="false" ht="15" hidden="false" customHeight="false" outlineLevel="0" collapsed="false">
      <c r="A27" s="126" t="n">
        <v>20</v>
      </c>
      <c r="B27" s="127" t="n">
        <v>0.0124</v>
      </c>
      <c r="C27" s="118" t="n">
        <v>0.0064</v>
      </c>
      <c r="D27" s="106" t="n">
        <v>16</v>
      </c>
    </row>
    <row r="28" customFormat="false" ht="15" hidden="false" customHeight="false" outlineLevel="0" collapsed="false">
      <c r="A28" s="126" t="n">
        <v>30</v>
      </c>
      <c r="B28" s="127" t="n">
        <v>0.0111</v>
      </c>
      <c r="C28" s="118" t="n">
        <v>0</v>
      </c>
      <c r="D28" s="106" t="n">
        <v>14</v>
      </c>
    </row>
    <row r="30" customFormat="false" ht="15" hidden="false" customHeight="false" outlineLevel="0" collapsed="false">
      <c r="A30" s="82" t="s">
        <v>6766</v>
      </c>
    </row>
    <row r="31" customFormat="false" ht="15" hidden="false" customHeight="false" outlineLevel="0" collapsed="false">
      <c r="A31" s="105" t="s">
        <v>6767</v>
      </c>
    </row>
    <row r="32" customFormat="false" ht="15" hidden="false" customHeight="false" outlineLevel="0" collapsed="false">
      <c r="A32" s="60" t="s">
        <v>107</v>
      </c>
      <c r="B32" s="60" t="s">
        <v>6768</v>
      </c>
      <c r="C32" s="60" t="s">
        <v>6769</v>
      </c>
      <c r="D32" s="60" t="s">
        <v>6770</v>
      </c>
      <c r="E32" s="60" t="s">
        <v>6771</v>
      </c>
      <c r="F32" s="60" t="s">
        <v>6772</v>
      </c>
      <c r="G32" s="60" t="s">
        <v>6773</v>
      </c>
      <c r="H32" s="60" t="s">
        <v>6774</v>
      </c>
      <c r="I32" s="60" t="s">
        <v>6775</v>
      </c>
      <c r="J32" s="60" t="s">
        <v>6776</v>
      </c>
      <c r="K32" s="60" t="s">
        <v>6777</v>
      </c>
    </row>
    <row r="33" customFormat="false" ht="15" hidden="false" customHeight="false" outlineLevel="0" collapsed="false">
      <c r="A33" s="91" t="s">
        <v>185</v>
      </c>
      <c r="B33" s="128" t="n">
        <v>79.99</v>
      </c>
      <c r="C33" s="128" t="n">
        <v>26.2</v>
      </c>
      <c r="D33" s="128" t="n">
        <v>8.5</v>
      </c>
      <c r="E33" s="129" t="n">
        <f aca="false">B33*0.15</f>
        <v>11.9985</v>
      </c>
      <c r="F33" s="128" t="n">
        <v>3.5</v>
      </c>
      <c r="G33" s="129" t="n">
        <f aca="false">B33-C33-D33-E33-F33</f>
        <v>29.7915</v>
      </c>
      <c r="H33" s="97" t="n">
        <f aca="false">G33/B33</f>
        <v>0.37244030503813</v>
      </c>
      <c r="I33" s="97" t="n">
        <f aca="false">0.5*H33</f>
        <v>0.186220152519065</v>
      </c>
      <c r="J33" s="97" t="n">
        <f aca="false">0.75*H33</f>
        <v>0.279330228778597</v>
      </c>
      <c r="K33" s="97" t="n">
        <f aca="false">MIN(0.8,1.5*H33)</f>
        <v>0.558660457557195</v>
      </c>
    </row>
    <row r="34" customFormat="false" ht="15" hidden="false" customHeight="false" outlineLevel="0" collapsed="false">
      <c r="A34" s="91" t="s">
        <v>560</v>
      </c>
      <c r="B34" s="128" t="n">
        <v>84.99</v>
      </c>
      <c r="C34" s="128" t="n">
        <v>30.04</v>
      </c>
      <c r="D34" s="128" t="n">
        <v>8.9</v>
      </c>
      <c r="E34" s="129" t="n">
        <f aca="false">B34*0.15</f>
        <v>12.7485</v>
      </c>
      <c r="F34" s="128" t="n">
        <v>3.5</v>
      </c>
      <c r="G34" s="129" t="n">
        <f aca="false">B34-C34-D34-E34-F34</f>
        <v>29.8015</v>
      </c>
      <c r="H34" s="97" t="n">
        <f aca="false">G34/B34</f>
        <v>0.350647134957054</v>
      </c>
      <c r="I34" s="97" t="n">
        <f aca="false">0.5*H34</f>
        <v>0.175323567478527</v>
      </c>
      <c r="J34" s="97" t="n">
        <f aca="false">0.75*H34</f>
        <v>0.26298535121779</v>
      </c>
      <c r="K34" s="97" t="n">
        <f aca="false">MIN(0.8,1.5*H34)</f>
        <v>0.525970702435581</v>
      </c>
    </row>
    <row r="35" customFormat="false" ht="15" hidden="false" customHeight="false" outlineLevel="0" collapsed="false">
      <c r="A35" s="91" t="s">
        <v>422</v>
      </c>
      <c r="B35" s="128" t="n">
        <v>86.99</v>
      </c>
      <c r="C35" s="128" t="n">
        <v>30.9</v>
      </c>
      <c r="D35" s="128" t="n">
        <v>8.73</v>
      </c>
      <c r="E35" s="129" t="n">
        <f aca="false">B35*0.15</f>
        <v>13.0485</v>
      </c>
      <c r="F35" s="128" t="n">
        <v>3.5</v>
      </c>
      <c r="G35" s="129" t="n">
        <f aca="false">B35-C35-D35-E35-F35</f>
        <v>30.8115</v>
      </c>
      <c r="H35" s="97" t="n">
        <f aca="false">G35/B35</f>
        <v>0.354195884584435</v>
      </c>
      <c r="I35" s="97" t="n">
        <f aca="false">0.5*H35</f>
        <v>0.177097942292218</v>
      </c>
      <c r="J35" s="97" t="n">
        <f aca="false">0.75*H35</f>
        <v>0.265646913438326</v>
      </c>
      <c r="K35" s="97" t="n">
        <f aca="false">MIN(0.8,1.5*H35)</f>
        <v>0.531293826876653</v>
      </c>
    </row>
    <row r="36" customFormat="false" ht="15" hidden="false" customHeight="false" outlineLevel="0" collapsed="false">
      <c r="A36" s="91" t="s">
        <v>479</v>
      </c>
      <c r="B36" s="128" t="n">
        <v>67.99</v>
      </c>
      <c r="C36" s="128" t="n">
        <v>24.73</v>
      </c>
      <c r="D36" s="128" t="n">
        <v>8.31</v>
      </c>
      <c r="E36" s="129" t="n">
        <f aca="false">B36*0.15</f>
        <v>10.1985</v>
      </c>
      <c r="F36" s="128" t="n">
        <v>3.5</v>
      </c>
      <c r="G36" s="129" t="n">
        <f aca="false">B36-C36-D36-E36-F36</f>
        <v>21.2515</v>
      </c>
      <c r="H36" s="97" t="n">
        <f aca="false">G36/B36</f>
        <v>0.312568024709516</v>
      </c>
      <c r="I36" s="97" t="n">
        <f aca="false">0.5*H36</f>
        <v>0.156284012354758</v>
      </c>
      <c r="J36" s="97" t="n">
        <f aca="false">0.75*H36</f>
        <v>0.234426018532137</v>
      </c>
      <c r="K36" s="97" t="n">
        <f aca="false">MIN(0.8,1.5*H36)</f>
        <v>0.468852037064274</v>
      </c>
    </row>
    <row r="37" customFormat="false" ht="15" hidden="false" customHeight="false" outlineLevel="0" collapsed="false">
      <c r="A37" s="91" t="s">
        <v>696</v>
      </c>
      <c r="B37" s="128" t="n">
        <v>62.99</v>
      </c>
      <c r="C37" s="128" t="n">
        <v>20.79</v>
      </c>
      <c r="D37" s="128" t="n">
        <v>7.9</v>
      </c>
      <c r="E37" s="129" t="n">
        <f aca="false">B37*0.15</f>
        <v>9.4485</v>
      </c>
      <c r="F37" s="128" t="n">
        <v>3.5</v>
      </c>
      <c r="G37" s="129" t="n">
        <f aca="false">B37-C37-D37-E37-F37</f>
        <v>21.3515</v>
      </c>
      <c r="H37" s="97" t="n">
        <f aca="false">G37/B37</f>
        <v>0.338966502619464</v>
      </c>
      <c r="I37" s="97" t="n">
        <f aca="false">0.5*H37</f>
        <v>0.169483251309732</v>
      </c>
      <c r="J37" s="97" t="n">
        <f aca="false">0.75*H37</f>
        <v>0.254224876964598</v>
      </c>
      <c r="K37" s="97" t="n">
        <f aca="false">MIN(0.8,1.5*H37)</f>
        <v>0.508449753929195</v>
      </c>
    </row>
    <row r="39" customFormat="false" ht="15" hidden="false" customHeight="false" outlineLevel="0" collapsed="false">
      <c r="A39" s="105" t="s">
        <v>6778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16" min="16" style="0" width="110"/>
  </cols>
  <sheetData>
    <row r="1" customFormat="false" ht="17.35" hidden="false" customHeight="false" outlineLevel="0" collapsed="false">
      <c r="A1" s="1" t="s">
        <v>6779</v>
      </c>
    </row>
    <row r="2" customFormat="false" ht="15" hidden="false" customHeight="false" outlineLevel="0" collapsed="false">
      <c r="A2" s="2" t="s">
        <v>6780</v>
      </c>
    </row>
    <row r="4" customFormat="false" ht="64.15" hidden="false" customHeight="false" outlineLevel="0" collapsed="false">
      <c r="A4" s="90" t="s">
        <v>32</v>
      </c>
      <c r="B4" s="90" t="s">
        <v>6781</v>
      </c>
      <c r="C4" s="90" t="s">
        <v>107</v>
      </c>
      <c r="D4" s="90" t="s">
        <v>6782</v>
      </c>
      <c r="E4" s="90" t="s">
        <v>6783</v>
      </c>
      <c r="F4" s="90" t="s">
        <v>18</v>
      </c>
      <c r="G4" s="90" t="s">
        <v>20</v>
      </c>
      <c r="H4" s="90" t="s">
        <v>6784</v>
      </c>
      <c r="I4" s="90" t="s">
        <v>6785</v>
      </c>
      <c r="J4" s="90" t="s">
        <v>6786</v>
      </c>
      <c r="K4" s="90" t="s">
        <v>1805</v>
      </c>
      <c r="L4" s="90" t="s">
        <v>6787</v>
      </c>
      <c r="M4" s="90" t="s">
        <v>6788</v>
      </c>
      <c r="N4" s="90" t="s">
        <v>6789</v>
      </c>
      <c r="O4" s="90" t="s">
        <v>6790</v>
      </c>
      <c r="P4" s="90" t="s">
        <v>6791</v>
      </c>
    </row>
    <row r="5" customFormat="false" ht="15" hidden="false" customHeight="false" outlineLevel="0" collapsed="false">
      <c r="A5" s="106" t="s">
        <v>5397</v>
      </c>
      <c r="B5" s="106" t="s">
        <v>6792</v>
      </c>
      <c r="C5" s="106" t="s">
        <v>560</v>
      </c>
      <c r="D5" s="107" t="n">
        <v>162632</v>
      </c>
      <c r="E5" s="107" t="n">
        <v>263248.114285714</v>
      </c>
      <c r="F5" s="130" t="n">
        <v>0.7</v>
      </c>
      <c r="G5" s="106" t="s">
        <v>1411</v>
      </c>
      <c r="H5" s="106" t="n">
        <v>1</v>
      </c>
      <c r="I5" s="106" t="s">
        <v>6793</v>
      </c>
      <c r="J5" s="106" t="s">
        <v>6794</v>
      </c>
      <c r="K5" s="106" t="s">
        <v>6793</v>
      </c>
      <c r="L5" s="106" t="s">
        <v>6793</v>
      </c>
      <c r="M5" s="117"/>
      <c r="N5" s="106" t="n">
        <v>3</v>
      </c>
      <c r="O5" s="106" t="n">
        <v>0</v>
      </c>
      <c r="P5" s="27" t="s">
        <v>6795</v>
      </c>
    </row>
    <row r="6" customFormat="false" ht="15" hidden="false" customHeight="false" outlineLevel="0" collapsed="false">
      <c r="A6" s="106" t="s">
        <v>3886</v>
      </c>
      <c r="B6" s="106" t="s">
        <v>6792</v>
      </c>
      <c r="C6" s="106" t="s">
        <v>185</v>
      </c>
      <c r="D6" s="107"/>
      <c r="E6" s="107" t="n">
        <v>215548.714285714</v>
      </c>
      <c r="F6" s="130" t="n">
        <v>0.7</v>
      </c>
      <c r="G6" s="106" t="s">
        <v>1411</v>
      </c>
      <c r="H6" s="106" t="n">
        <v>-0.5</v>
      </c>
      <c r="I6" s="106" t="s">
        <v>6793</v>
      </c>
      <c r="J6" s="106" t="s">
        <v>6794</v>
      </c>
      <c r="K6" s="106" t="s">
        <v>6793</v>
      </c>
      <c r="L6" s="106" t="s">
        <v>6793</v>
      </c>
      <c r="M6" s="117"/>
      <c r="N6" s="106" t="n">
        <v>6</v>
      </c>
      <c r="O6" s="106" t="n">
        <v>0</v>
      </c>
      <c r="P6" s="27" t="s">
        <v>6795</v>
      </c>
    </row>
    <row r="7" customFormat="false" ht="15" hidden="false" customHeight="false" outlineLevel="0" collapsed="false">
      <c r="A7" s="106" t="s">
        <v>3874</v>
      </c>
      <c r="B7" s="106" t="s">
        <v>6792</v>
      </c>
      <c r="C7" s="106" t="s">
        <v>185</v>
      </c>
      <c r="D7" s="107"/>
      <c r="E7" s="107" t="n">
        <v>183294.6</v>
      </c>
      <c r="F7" s="130" t="n">
        <v>0.7</v>
      </c>
      <c r="G7" s="106" t="s">
        <v>1411</v>
      </c>
      <c r="H7" s="106" t="n">
        <v>1.5</v>
      </c>
      <c r="I7" s="106" t="s">
        <v>6793</v>
      </c>
      <c r="J7" s="106" t="s">
        <v>6794</v>
      </c>
      <c r="K7" s="106" t="s">
        <v>6793</v>
      </c>
      <c r="L7" s="106" t="s">
        <v>6793</v>
      </c>
      <c r="M7" s="117"/>
      <c r="N7" s="106" t="n">
        <v>3</v>
      </c>
      <c r="O7" s="106" t="n">
        <v>0</v>
      </c>
      <c r="P7" s="27" t="s">
        <v>6795</v>
      </c>
    </row>
    <row r="8" customFormat="false" ht="15" hidden="false" customHeight="false" outlineLevel="0" collapsed="false">
      <c r="A8" s="106" t="s">
        <v>4373</v>
      </c>
      <c r="B8" s="106" t="s">
        <v>6792</v>
      </c>
      <c r="C8" s="106"/>
      <c r="D8" s="107" t="n">
        <v>54706</v>
      </c>
      <c r="E8" s="107" t="n">
        <v>159685.628571429</v>
      </c>
      <c r="F8" s="130" t="n">
        <v>0.65</v>
      </c>
      <c r="G8" s="106" t="s">
        <v>1411</v>
      </c>
      <c r="H8" s="106" t="n">
        <v>0.5</v>
      </c>
      <c r="I8" s="106" t="s">
        <v>6793</v>
      </c>
      <c r="J8" s="106" t="s">
        <v>6794</v>
      </c>
      <c r="K8" s="106" t="s">
        <v>6793</v>
      </c>
      <c r="L8" s="106" t="s">
        <v>6793</v>
      </c>
      <c r="M8" s="117"/>
      <c r="N8" s="106" t="n">
        <v>1</v>
      </c>
      <c r="O8" s="106" t="n">
        <v>0</v>
      </c>
      <c r="P8" s="27" t="s">
        <v>6795</v>
      </c>
    </row>
    <row r="9" customFormat="false" ht="15" hidden="false" customHeight="false" outlineLevel="0" collapsed="false">
      <c r="A9" s="106" t="s">
        <v>6235</v>
      </c>
      <c r="B9" s="106" t="s">
        <v>6792</v>
      </c>
      <c r="C9" s="106"/>
      <c r="D9" s="107"/>
      <c r="E9" s="107" t="n">
        <v>127920</v>
      </c>
      <c r="F9" s="130" t="n">
        <v>0.65</v>
      </c>
      <c r="G9" s="106" t="s">
        <v>1411</v>
      </c>
      <c r="H9" s="106" t="n">
        <v>0.5</v>
      </c>
      <c r="I9" s="106" t="s">
        <v>6793</v>
      </c>
      <c r="J9" s="106" t="s">
        <v>6794</v>
      </c>
      <c r="K9" s="106" t="s">
        <v>6793</v>
      </c>
      <c r="L9" s="106" t="s">
        <v>6793</v>
      </c>
      <c r="M9" s="117"/>
      <c r="N9" s="106" t="n">
        <v>1</v>
      </c>
      <c r="O9" s="106" t="n">
        <v>0</v>
      </c>
      <c r="P9" s="27" t="s">
        <v>6795</v>
      </c>
    </row>
    <row r="10" customFormat="false" ht="15" hidden="false" customHeight="false" outlineLevel="0" collapsed="false">
      <c r="A10" s="106" t="s">
        <v>4340</v>
      </c>
      <c r="B10" s="106" t="s">
        <v>6792</v>
      </c>
      <c r="C10" s="106" t="s">
        <v>185</v>
      </c>
      <c r="D10" s="107"/>
      <c r="E10" s="107" t="n">
        <v>116611.028571429</v>
      </c>
      <c r="F10" s="130" t="n">
        <v>0.7</v>
      </c>
      <c r="G10" s="106" t="s">
        <v>1411</v>
      </c>
      <c r="H10" s="106" t="n">
        <v>1.5</v>
      </c>
      <c r="I10" s="106" t="s">
        <v>6793</v>
      </c>
      <c r="J10" s="106" t="s">
        <v>6794</v>
      </c>
      <c r="K10" s="106" t="s">
        <v>6793</v>
      </c>
      <c r="L10" s="106" t="s">
        <v>6793</v>
      </c>
      <c r="M10" s="117"/>
      <c r="N10" s="106" t="n">
        <v>1</v>
      </c>
      <c r="O10" s="106" t="n">
        <v>0</v>
      </c>
      <c r="P10" s="27" t="s">
        <v>6795</v>
      </c>
    </row>
    <row r="11" customFormat="false" ht="15" hidden="false" customHeight="false" outlineLevel="0" collapsed="false">
      <c r="A11" s="106" t="s">
        <v>6796</v>
      </c>
      <c r="B11" s="106" t="s">
        <v>6792</v>
      </c>
      <c r="C11" s="106" t="s">
        <v>479</v>
      </c>
      <c r="D11" s="107"/>
      <c r="E11" s="107" t="n">
        <v>92995.0285714286</v>
      </c>
      <c r="F11" s="130" t="n">
        <v>0.7</v>
      </c>
      <c r="G11" s="106" t="s">
        <v>1411</v>
      </c>
      <c r="H11" s="106" t="n">
        <v>0</v>
      </c>
      <c r="I11" s="106" t="s">
        <v>6793</v>
      </c>
      <c r="J11" s="106" t="s">
        <v>6794</v>
      </c>
      <c r="K11" s="106" t="s">
        <v>6793</v>
      </c>
      <c r="L11" s="106" t="s">
        <v>6793</v>
      </c>
      <c r="M11" s="117"/>
      <c r="N11" s="106" t="n">
        <v>0</v>
      </c>
      <c r="O11" s="106"/>
      <c r="P11" s="27" t="s">
        <v>6795</v>
      </c>
    </row>
    <row r="12" customFormat="false" ht="15" hidden="false" customHeight="false" outlineLevel="0" collapsed="false">
      <c r="A12" s="106" t="s">
        <v>6797</v>
      </c>
      <c r="B12" s="106" t="s">
        <v>6792</v>
      </c>
      <c r="C12" s="106"/>
      <c r="D12" s="107"/>
      <c r="E12" s="107" t="n">
        <v>92538.1714285714</v>
      </c>
      <c r="F12" s="130" t="n">
        <v>0.65</v>
      </c>
      <c r="G12" s="106" t="s">
        <v>1411</v>
      </c>
      <c r="H12" s="106" t="n">
        <v>0</v>
      </c>
      <c r="I12" s="106" t="s">
        <v>6793</v>
      </c>
      <c r="J12" s="106" t="s">
        <v>6794</v>
      </c>
      <c r="K12" s="106" t="s">
        <v>6793</v>
      </c>
      <c r="L12" s="106" t="s">
        <v>6793</v>
      </c>
      <c r="M12" s="117"/>
      <c r="N12" s="106" t="n">
        <v>0</v>
      </c>
      <c r="O12" s="106"/>
      <c r="P12" s="27" t="s">
        <v>6795</v>
      </c>
    </row>
    <row r="13" customFormat="false" ht="15" hidden="false" customHeight="false" outlineLevel="0" collapsed="false">
      <c r="A13" s="106" t="s">
        <v>6798</v>
      </c>
      <c r="B13" s="106" t="s">
        <v>6792</v>
      </c>
      <c r="C13" s="106" t="s">
        <v>560</v>
      </c>
      <c r="D13" s="107"/>
      <c r="E13" s="107" t="n">
        <v>89582.6571428571</v>
      </c>
      <c r="F13" s="130" t="n">
        <v>0.7</v>
      </c>
      <c r="G13" s="106" t="s">
        <v>1411</v>
      </c>
      <c r="H13" s="106" t="n">
        <v>1</v>
      </c>
      <c r="I13" s="106" t="s">
        <v>6793</v>
      </c>
      <c r="J13" s="106" t="s">
        <v>6794</v>
      </c>
      <c r="K13" s="106" t="s">
        <v>6793</v>
      </c>
      <c r="L13" s="106" t="s">
        <v>6793</v>
      </c>
      <c r="M13" s="117"/>
      <c r="N13" s="106" t="n">
        <v>0</v>
      </c>
      <c r="O13" s="106"/>
      <c r="P13" s="27" t="s">
        <v>6795</v>
      </c>
    </row>
    <row r="14" customFormat="false" ht="15" hidden="false" customHeight="false" outlineLevel="0" collapsed="false">
      <c r="A14" s="106" t="s">
        <v>3875</v>
      </c>
      <c r="B14" s="106" t="s">
        <v>6792</v>
      </c>
      <c r="C14" s="106" t="s">
        <v>185</v>
      </c>
      <c r="D14" s="107"/>
      <c r="E14" s="107" t="n">
        <v>79373.6571428571</v>
      </c>
      <c r="F14" s="130" t="n">
        <v>0.58</v>
      </c>
      <c r="G14" s="106" t="s">
        <v>1411</v>
      </c>
      <c r="H14" s="106" t="n">
        <v>1.5</v>
      </c>
      <c r="I14" s="106" t="s">
        <v>6799</v>
      </c>
      <c r="J14" s="106" t="s">
        <v>6794</v>
      </c>
      <c r="K14" s="106" t="s">
        <v>6793</v>
      </c>
      <c r="L14" s="106" t="s">
        <v>6793</v>
      </c>
      <c r="M14" s="117"/>
      <c r="N14" s="106" t="n">
        <v>5</v>
      </c>
      <c r="O14" s="106" t="n">
        <v>0</v>
      </c>
      <c r="P14" s="27" t="s">
        <v>6795</v>
      </c>
    </row>
    <row r="15" customFormat="false" ht="15" hidden="false" customHeight="false" outlineLevel="0" collapsed="false">
      <c r="A15" s="106" t="s">
        <v>6800</v>
      </c>
      <c r="B15" s="106" t="s">
        <v>6792</v>
      </c>
      <c r="C15" s="106" t="s">
        <v>696</v>
      </c>
      <c r="D15" s="107"/>
      <c r="E15" s="107" t="n">
        <v>74186.5714285714</v>
      </c>
      <c r="F15" s="130" t="n">
        <v>0.7</v>
      </c>
      <c r="G15" s="106" t="s">
        <v>1411</v>
      </c>
      <c r="H15" s="106" t="n">
        <v>0</v>
      </c>
      <c r="I15" s="106" t="s">
        <v>6793</v>
      </c>
      <c r="J15" s="106" t="s">
        <v>6794</v>
      </c>
      <c r="K15" s="106" t="s">
        <v>6793</v>
      </c>
      <c r="L15" s="106" t="s">
        <v>6793</v>
      </c>
      <c r="M15" s="117"/>
      <c r="N15" s="106" t="n">
        <v>0</v>
      </c>
      <c r="O15" s="106"/>
      <c r="P15" s="27" t="s">
        <v>6795</v>
      </c>
    </row>
    <row r="16" customFormat="false" ht="15" hidden="false" customHeight="false" outlineLevel="0" collapsed="false">
      <c r="A16" s="106" t="s">
        <v>6801</v>
      </c>
      <c r="B16" s="106" t="s">
        <v>6792</v>
      </c>
      <c r="C16" s="106" t="s">
        <v>696</v>
      </c>
      <c r="D16" s="107"/>
      <c r="E16" s="107" t="n">
        <v>71793.3428571429</v>
      </c>
      <c r="F16" s="130" t="n">
        <v>0.7</v>
      </c>
      <c r="G16" s="106" t="s">
        <v>1411</v>
      </c>
      <c r="H16" s="106" t="n">
        <v>0</v>
      </c>
      <c r="I16" s="106" t="s">
        <v>6793</v>
      </c>
      <c r="J16" s="106" t="s">
        <v>6794</v>
      </c>
      <c r="K16" s="106" t="s">
        <v>6793</v>
      </c>
      <c r="L16" s="106" t="s">
        <v>6793</v>
      </c>
      <c r="M16" s="117"/>
      <c r="N16" s="106" t="n">
        <v>0</v>
      </c>
      <c r="O16" s="106"/>
      <c r="P16" s="27" t="s">
        <v>6795</v>
      </c>
    </row>
    <row r="17" customFormat="false" ht="15" hidden="false" customHeight="false" outlineLevel="0" collapsed="false">
      <c r="A17" s="106" t="s">
        <v>6802</v>
      </c>
      <c r="B17" s="106" t="s">
        <v>6792</v>
      </c>
      <c r="C17" s="106" t="s">
        <v>696</v>
      </c>
      <c r="D17" s="107"/>
      <c r="E17" s="107" t="n">
        <v>64118.1428571429</v>
      </c>
      <c r="F17" s="130" t="n">
        <v>0.7</v>
      </c>
      <c r="G17" s="106" t="s">
        <v>1411</v>
      </c>
      <c r="H17" s="106" t="n">
        <v>0</v>
      </c>
      <c r="I17" s="106" t="s">
        <v>6793</v>
      </c>
      <c r="J17" s="106" t="s">
        <v>6794</v>
      </c>
      <c r="K17" s="106" t="s">
        <v>6793</v>
      </c>
      <c r="L17" s="106" t="s">
        <v>6793</v>
      </c>
      <c r="M17" s="117"/>
      <c r="N17" s="106" t="n">
        <v>0</v>
      </c>
      <c r="O17" s="106"/>
      <c r="P17" s="27" t="s">
        <v>6795</v>
      </c>
    </row>
    <row r="18" customFormat="false" ht="15" hidden="false" customHeight="false" outlineLevel="0" collapsed="false">
      <c r="A18" s="106" t="s">
        <v>6803</v>
      </c>
      <c r="B18" s="106" t="s">
        <v>6792</v>
      </c>
      <c r="C18" s="106"/>
      <c r="D18" s="107"/>
      <c r="E18" s="107" t="n">
        <v>62406.6857142857</v>
      </c>
      <c r="F18" s="130" t="n">
        <v>0.65</v>
      </c>
      <c r="G18" s="106" t="s">
        <v>1411</v>
      </c>
      <c r="H18" s="106" t="n">
        <v>0</v>
      </c>
      <c r="I18" s="106" t="s">
        <v>6793</v>
      </c>
      <c r="J18" s="106" t="s">
        <v>6794</v>
      </c>
      <c r="K18" s="106" t="s">
        <v>6793</v>
      </c>
      <c r="L18" s="106" t="s">
        <v>6793</v>
      </c>
      <c r="M18" s="117"/>
      <c r="N18" s="106" t="n">
        <v>0</v>
      </c>
      <c r="O18" s="106"/>
      <c r="P18" s="27" t="s">
        <v>6795</v>
      </c>
    </row>
    <row r="19" customFormat="false" ht="15" hidden="false" customHeight="false" outlineLevel="0" collapsed="false">
      <c r="A19" s="106" t="s">
        <v>6804</v>
      </c>
      <c r="B19" s="106" t="s">
        <v>6792</v>
      </c>
      <c r="C19" s="106" t="s">
        <v>479</v>
      </c>
      <c r="D19" s="107"/>
      <c r="E19" s="107" t="n">
        <v>55019.6571428572</v>
      </c>
      <c r="F19" s="130" t="n">
        <v>0.7</v>
      </c>
      <c r="G19" s="106" t="s">
        <v>1411</v>
      </c>
      <c r="H19" s="106" t="n">
        <v>0</v>
      </c>
      <c r="I19" s="106" t="s">
        <v>6793</v>
      </c>
      <c r="J19" s="106" t="s">
        <v>6794</v>
      </c>
      <c r="K19" s="106" t="s">
        <v>6793</v>
      </c>
      <c r="L19" s="106" t="s">
        <v>6793</v>
      </c>
      <c r="M19" s="117"/>
      <c r="N19" s="106" t="n">
        <v>0</v>
      </c>
      <c r="O19" s="106"/>
      <c r="P19" s="27" t="s">
        <v>6795</v>
      </c>
    </row>
    <row r="20" customFormat="false" ht="15" hidden="false" customHeight="false" outlineLevel="0" collapsed="false">
      <c r="A20" s="106" t="s">
        <v>4383</v>
      </c>
      <c r="B20" s="106" t="s">
        <v>6792</v>
      </c>
      <c r="C20" s="106" t="s">
        <v>185</v>
      </c>
      <c r="D20" s="107"/>
      <c r="E20" s="107" t="n">
        <v>49642.8</v>
      </c>
      <c r="F20" s="130" t="n">
        <v>0.7</v>
      </c>
      <c r="G20" s="106" t="s">
        <v>1411</v>
      </c>
      <c r="H20" s="106" t="n">
        <v>0</v>
      </c>
      <c r="I20" s="106" t="s">
        <v>6793</v>
      </c>
      <c r="J20" s="106" t="s">
        <v>6794</v>
      </c>
      <c r="K20" s="106" t="s">
        <v>6793</v>
      </c>
      <c r="L20" s="106" t="s">
        <v>6793</v>
      </c>
      <c r="M20" s="117"/>
      <c r="N20" s="106" t="n">
        <v>5</v>
      </c>
      <c r="O20" s="106" t="n">
        <v>20</v>
      </c>
      <c r="P20" s="27" t="s">
        <v>6795</v>
      </c>
    </row>
    <row r="21" customFormat="false" ht="15" hidden="false" customHeight="false" outlineLevel="0" collapsed="false">
      <c r="A21" s="106" t="s">
        <v>4374</v>
      </c>
      <c r="B21" s="106" t="s">
        <v>6792</v>
      </c>
      <c r="C21" s="106" t="s">
        <v>185</v>
      </c>
      <c r="D21" s="107"/>
      <c r="E21" s="107" t="n">
        <v>49561.9714285714</v>
      </c>
      <c r="F21" s="130" t="n">
        <v>0.7</v>
      </c>
      <c r="G21" s="106" t="s">
        <v>1411</v>
      </c>
      <c r="H21" s="106" t="n">
        <v>-0.5</v>
      </c>
      <c r="I21" s="106" t="s">
        <v>6793</v>
      </c>
      <c r="J21" s="106" t="s">
        <v>6794</v>
      </c>
      <c r="K21" s="106" t="s">
        <v>6793</v>
      </c>
      <c r="L21" s="106" t="s">
        <v>6793</v>
      </c>
      <c r="M21" s="117"/>
      <c r="N21" s="106" t="n">
        <v>1</v>
      </c>
      <c r="O21" s="106" t="n">
        <v>200</v>
      </c>
      <c r="P21" s="27" t="s">
        <v>6795</v>
      </c>
    </row>
    <row r="22" customFormat="false" ht="15" hidden="false" customHeight="false" outlineLevel="0" collapsed="false">
      <c r="A22" s="106" t="s">
        <v>4358</v>
      </c>
      <c r="B22" s="106" t="s">
        <v>6792</v>
      </c>
      <c r="C22" s="106" t="s">
        <v>422</v>
      </c>
      <c r="D22" s="107" t="n">
        <v>30207</v>
      </c>
      <c r="E22" s="107" t="n">
        <v>45741.9428571429</v>
      </c>
      <c r="F22" s="130" t="n">
        <v>0.7</v>
      </c>
      <c r="G22" s="106" t="s">
        <v>1411</v>
      </c>
      <c r="H22" s="106" t="n">
        <v>0.5</v>
      </c>
      <c r="I22" s="106" t="s">
        <v>6793</v>
      </c>
      <c r="J22" s="106" t="s">
        <v>6794</v>
      </c>
      <c r="K22" s="106" t="s">
        <v>6793</v>
      </c>
      <c r="L22" s="106" t="s">
        <v>6793</v>
      </c>
      <c r="M22" s="117"/>
      <c r="N22" s="106" t="n">
        <v>1</v>
      </c>
      <c r="O22" s="106" t="n">
        <v>0</v>
      </c>
      <c r="P22" s="27" t="s">
        <v>6795</v>
      </c>
    </row>
    <row r="23" customFormat="false" ht="15" hidden="false" customHeight="false" outlineLevel="0" collapsed="false">
      <c r="A23" s="106" t="s">
        <v>4377</v>
      </c>
      <c r="B23" s="106" t="s">
        <v>6792</v>
      </c>
      <c r="C23" s="106" t="s">
        <v>185</v>
      </c>
      <c r="D23" s="107"/>
      <c r="E23" s="107" t="n">
        <v>45559.2</v>
      </c>
      <c r="F23" s="130" t="n">
        <v>0.7</v>
      </c>
      <c r="G23" s="106" t="s">
        <v>1411</v>
      </c>
      <c r="H23" s="106" t="n">
        <v>0</v>
      </c>
      <c r="I23" s="106" t="s">
        <v>6793</v>
      </c>
      <c r="J23" s="106" t="s">
        <v>6794</v>
      </c>
      <c r="K23" s="106" t="s">
        <v>6793</v>
      </c>
      <c r="L23" s="106" t="s">
        <v>6793</v>
      </c>
      <c r="M23" s="117"/>
      <c r="N23" s="106" t="n">
        <v>0</v>
      </c>
      <c r="O23" s="106"/>
      <c r="P23" s="27" t="s">
        <v>6795</v>
      </c>
    </row>
    <row r="24" customFormat="false" ht="15" hidden="false" customHeight="false" outlineLevel="0" collapsed="false">
      <c r="A24" s="106" t="s">
        <v>4404</v>
      </c>
      <c r="B24" s="106" t="s">
        <v>6792</v>
      </c>
      <c r="C24" s="106" t="s">
        <v>560</v>
      </c>
      <c r="D24" s="107"/>
      <c r="E24" s="107" t="n">
        <v>40083.9428571429</v>
      </c>
      <c r="F24" s="130" t="n">
        <v>0.7</v>
      </c>
      <c r="G24" s="106" t="s">
        <v>1411</v>
      </c>
      <c r="H24" s="106" t="n">
        <v>0.5</v>
      </c>
      <c r="I24" s="106" t="s">
        <v>6793</v>
      </c>
      <c r="J24" s="106" t="s">
        <v>6794</v>
      </c>
      <c r="K24" s="106" t="s">
        <v>6793</v>
      </c>
      <c r="L24" s="106" t="s">
        <v>6793</v>
      </c>
      <c r="M24" s="117"/>
      <c r="N24" s="106" t="n">
        <v>3</v>
      </c>
      <c r="O24" s="106" t="n">
        <v>0</v>
      </c>
      <c r="P24" s="27" t="s">
        <v>6795</v>
      </c>
    </row>
    <row r="25" customFormat="false" ht="15" hidden="false" customHeight="false" outlineLevel="0" collapsed="false">
      <c r="A25" s="106" t="s">
        <v>5390</v>
      </c>
      <c r="B25" s="106" t="s">
        <v>6792</v>
      </c>
      <c r="C25" s="106" t="s">
        <v>185</v>
      </c>
      <c r="D25" s="107"/>
      <c r="E25" s="107" t="n">
        <v>36724.2857142857</v>
      </c>
      <c r="F25" s="130" t="n">
        <v>0.45</v>
      </c>
      <c r="G25" s="106" t="s">
        <v>1411</v>
      </c>
      <c r="H25" s="106" t="n">
        <v>0</v>
      </c>
      <c r="I25" s="106" t="s">
        <v>6794</v>
      </c>
      <c r="J25" s="106" t="s">
        <v>6794</v>
      </c>
      <c r="K25" s="106" t="s">
        <v>6793</v>
      </c>
      <c r="L25" s="106" t="s">
        <v>6793</v>
      </c>
      <c r="M25" s="117"/>
      <c r="N25" s="106" t="n">
        <v>3</v>
      </c>
      <c r="O25" s="106" t="n">
        <v>33.33</v>
      </c>
      <c r="P25" s="27" t="s">
        <v>6805</v>
      </c>
    </row>
    <row r="26" customFormat="false" ht="15" hidden="false" customHeight="false" outlineLevel="0" collapsed="false">
      <c r="A26" s="106" t="s">
        <v>6806</v>
      </c>
      <c r="B26" s="106" t="s">
        <v>6792</v>
      </c>
      <c r="C26" s="106" t="s">
        <v>560</v>
      </c>
      <c r="D26" s="107"/>
      <c r="E26" s="107" t="n">
        <v>36675.0857142857</v>
      </c>
      <c r="F26" s="130" t="n">
        <v>0.7</v>
      </c>
      <c r="G26" s="106" t="s">
        <v>1411</v>
      </c>
      <c r="H26" s="106" t="n">
        <v>0.5</v>
      </c>
      <c r="I26" s="106" t="s">
        <v>6793</v>
      </c>
      <c r="J26" s="106" t="s">
        <v>6794</v>
      </c>
      <c r="K26" s="106" t="s">
        <v>6793</v>
      </c>
      <c r="L26" s="106" t="s">
        <v>6793</v>
      </c>
      <c r="M26" s="117"/>
      <c r="N26" s="106" t="n">
        <v>0</v>
      </c>
      <c r="O26" s="106"/>
      <c r="P26" s="27" t="s">
        <v>6795</v>
      </c>
    </row>
    <row r="27" customFormat="false" ht="15" hidden="false" customHeight="false" outlineLevel="0" collapsed="false">
      <c r="A27" s="106" t="s">
        <v>4398</v>
      </c>
      <c r="B27" s="106" t="s">
        <v>6792</v>
      </c>
      <c r="C27" s="106" t="s">
        <v>185</v>
      </c>
      <c r="D27" s="107"/>
      <c r="E27" s="107" t="n">
        <v>35033.9142857143</v>
      </c>
      <c r="F27" s="130" t="n">
        <v>0.7</v>
      </c>
      <c r="G27" s="106" t="s">
        <v>1411</v>
      </c>
      <c r="H27" s="106" t="n">
        <v>0.5</v>
      </c>
      <c r="I27" s="106" t="s">
        <v>6793</v>
      </c>
      <c r="J27" s="106" t="s">
        <v>6794</v>
      </c>
      <c r="K27" s="106" t="s">
        <v>6793</v>
      </c>
      <c r="L27" s="106" t="s">
        <v>6793</v>
      </c>
      <c r="M27" s="117"/>
      <c r="N27" s="106" t="n">
        <v>3</v>
      </c>
      <c r="O27" s="106" t="n">
        <v>0</v>
      </c>
      <c r="P27" s="27" t="s">
        <v>6795</v>
      </c>
    </row>
    <row r="28" customFormat="false" ht="15" hidden="false" customHeight="false" outlineLevel="0" collapsed="false">
      <c r="A28" s="106" t="s">
        <v>6807</v>
      </c>
      <c r="B28" s="106" t="s">
        <v>6792</v>
      </c>
      <c r="C28" s="106" t="s">
        <v>696</v>
      </c>
      <c r="D28" s="107"/>
      <c r="E28" s="107" t="n">
        <v>33041.3142857143</v>
      </c>
      <c r="F28" s="130" t="n">
        <v>0.45</v>
      </c>
      <c r="G28" s="106" t="s">
        <v>1411</v>
      </c>
      <c r="H28" s="106" t="n">
        <v>0</v>
      </c>
      <c r="I28" s="106" t="s">
        <v>6794</v>
      </c>
      <c r="J28" s="106" t="s">
        <v>6794</v>
      </c>
      <c r="K28" s="106" t="s">
        <v>6793</v>
      </c>
      <c r="L28" s="106" t="s">
        <v>6793</v>
      </c>
      <c r="M28" s="117"/>
      <c r="N28" s="106" t="n">
        <v>0</v>
      </c>
      <c r="O28" s="106"/>
      <c r="P28" s="27" t="s">
        <v>6805</v>
      </c>
    </row>
    <row r="29" customFormat="false" ht="15" hidden="false" customHeight="false" outlineLevel="0" collapsed="false">
      <c r="A29" s="106" t="s">
        <v>6808</v>
      </c>
      <c r="B29" s="106" t="s">
        <v>6792</v>
      </c>
      <c r="C29" s="106" t="s">
        <v>560</v>
      </c>
      <c r="D29" s="107"/>
      <c r="E29" s="107" t="n">
        <v>32781.2571428572</v>
      </c>
      <c r="F29" s="130" t="n">
        <v>0.7</v>
      </c>
      <c r="G29" s="106" t="s">
        <v>1411</v>
      </c>
      <c r="H29" s="106" t="n">
        <v>0.5</v>
      </c>
      <c r="I29" s="106" t="s">
        <v>6793</v>
      </c>
      <c r="J29" s="106" t="s">
        <v>6794</v>
      </c>
      <c r="K29" s="106" t="s">
        <v>6793</v>
      </c>
      <c r="L29" s="106" t="s">
        <v>6793</v>
      </c>
      <c r="M29" s="117"/>
      <c r="N29" s="106" t="n">
        <v>0</v>
      </c>
      <c r="O29" s="106"/>
      <c r="P29" s="27" t="s">
        <v>6795</v>
      </c>
    </row>
    <row r="30" customFormat="false" ht="15" hidden="false" customHeight="false" outlineLevel="0" collapsed="false">
      <c r="A30" s="106" t="s">
        <v>6809</v>
      </c>
      <c r="B30" s="106" t="s">
        <v>6792</v>
      </c>
      <c r="C30" s="106" t="s">
        <v>560</v>
      </c>
      <c r="D30" s="107"/>
      <c r="E30" s="107" t="n">
        <v>32514.1714285714</v>
      </c>
      <c r="F30" s="130" t="n">
        <v>0.7</v>
      </c>
      <c r="G30" s="106" t="s">
        <v>1411</v>
      </c>
      <c r="H30" s="106" t="n">
        <v>0.5</v>
      </c>
      <c r="I30" s="106" t="s">
        <v>6793</v>
      </c>
      <c r="J30" s="106" t="s">
        <v>6794</v>
      </c>
      <c r="K30" s="106" t="s">
        <v>6793</v>
      </c>
      <c r="L30" s="106" t="s">
        <v>6793</v>
      </c>
      <c r="M30" s="117"/>
      <c r="N30" s="106" t="n">
        <v>0</v>
      </c>
      <c r="O30" s="106"/>
      <c r="P30" s="27" t="s">
        <v>6795</v>
      </c>
    </row>
    <row r="31" customFormat="false" ht="15" hidden="false" customHeight="false" outlineLevel="0" collapsed="false">
      <c r="A31" s="106" t="s">
        <v>6810</v>
      </c>
      <c r="B31" s="106" t="s">
        <v>6792</v>
      </c>
      <c r="C31" s="106" t="s">
        <v>560</v>
      </c>
      <c r="D31" s="107"/>
      <c r="E31" s="107" t="n">
        <v>30194.7428571429</v>
      </c>
      <c r="F31" s="130" t="n">
        <v>0.7</v>
      </c>
      <c r="G31" s="106" t="s">
        <v>1411</v>
      </c>
      <c r="H31" s="106" t="n">
        <v>1</v>
      </c>
      <c r="I31" s="106" t="s">
        <v>6793</v>
      </c>
      <c r="J31" s="106" t="s">
        <v>6794</v>
      </c>
      <c r="K31" s="106" t="s">
        <v>6793</v>
      </c>
      <c r="L31" s="106" t="s">
        <v>6793</v>
      </c>
      <c r="M31" s="117"/>
      <c r="N31" s="106" t="n">
        <v>0</v>
      </c>
      <c r="O31" s="106"/>
      <c r="P31" s="27" t="s">
        <v>6795</v>
      </c>
    </row>
    <row r="32" customFormat="false" ht="15" hidden="false" customHeight="false" outlineLevel="0" collapsed="false">
      <c r="A32" s="106" t="s">
        <v>6811</v>
      </c>
      <c r="B32" s="106" t="s">
        <v>6792</v>
      </c>
      <c r="C32" s="106" t="s">
        <v>479</v>
      </c>
      <c r="D32" s="107"/>
      <c r="E32" s="107" t="n">
        <v>28999.8857142857</v>
      </c>
      <c r="F32" s="130" t="n">
        <v>0.7</v>
      </c>
      <c r="G32" s="106" t="s">
        <v>1411</v>
      </c>
      <c r="H32" s="106" t="n">
        <v>0.5</v>
      </c>
      <c r="I32" s="106" t="s">
        <v>6793</v>
      </c>
      <c r="J32" s="106" t="s">
        <v>6794</v>
      </c>
      <c r="K32" s="106" t="s">
        <v>6793</v>
      </c>
      <c r="L32" s="106" t="s">
        <v>6793</v>
      </c>
      <c r="M32" s="117"/>
      <c r="N32" s="106" t="n">
        <v>0</v>
      </c>
      <c r="O32" s="106"/>
      <c r="P32" s="27" t="s">
        <v>6795</v>
      </c>
    </row>
    <row r="33" customFormat="false" ht="15" hidden="false" customHeight="false" outlineLevel="0" collapsed="false">
      <c r="A33" s="106" t="s">
        <v>6812</v>
      </c>
      <c r="B33" s="106" t="s">
        <v>6792</v>
      </c>
      <c r="C33" s="106" t="s">
        <v>560</v>
      </c>
      <c r="D33" s="107"/>
      <c r="E33" s="107" t="n">
        <v>28159.9714285714</v>
      </c>
      <c r="F33" s="130" t="n">
        <v>0.7</v>
      </c>
      <c r="G33" s="106" t="s">
        <v>1411</v>
      </c>
      <c r="H33" s="106" t="n">
        <v>0.5</v>
      </c>
      <c r="I33" s="106" t="s">
        <v>6793</v>
      </c>
      <c r="J33" s="106" t="s">
        <v>6794</v>
      </c>
      <c r="K33" s="106" t="s">
        <v>6793</v>
      </c>
      <c r="L33" s="106" t="s">
        <v>6793</v>
      </c>
      <c r="M33" s="117"/>
      <c r="N33" s="106" t="n">
        <v>0</v>
      </c>
      <c r="O33" s="106"/>
      <c r="P33" s="27" t="s">
        <v>6795</v>
      </c>
    </row>
    <row r="34" customFormat="false" ht="15" hidden="false" customHeight="false" outlineLevel="0" collapsed="false">
      <c r="A34" s="106" t="s">
        <v>6813</v>
      </c>
      <c r="B34" s="106" t="s">
        <v>6792</v>
      </c>
      <c r="C34" s="106" t="s">
        <v>479</v>
      </c>
      <c r="D34" s="107"/>
      <c r="E34" s="107" t="n">
        <v>27386.8285714286</v>
      </c>
      <c r="F34" s="130" t="n">
        <v>0.7</v>
      </c>
      <c r="G34" s="106" t="s">
        <v>1411</v>
      </c>
      <c r="H34" s="106" t="n">
        <v>0</v>
      </c>
      <c r="I34" s="106" t="s">
        <v>6793</v>
      </c>
      <c r="J34" s="106" t="s">
        <v>6794</v>
      </c>
      <c r="K34" s="106" t="s">
        <v>6793</v>
      </c>
      <c r="L34" s="106" t="s">
        <v>6793</v>
      </c>
      <c r="M34" s="117"/>
      <c r="N34" s="106" t="n">
        <v>0</v>
      </c>
      <c r="O34" s="106"/>
      <c r="P34" s="27" t="s">
        <v>6795</v>
      </c>
    </row>
    <row r="35" customFormat="false" ht="15" hidden="false" customHeight="false" outlineLevel="0" collapsed="false">
      <c r="A35" s="106" t="s">
        <v>6814</v>
      </c>
      <c r="B35" s="106" t="s">
        <v>6792</v>
      </c>
      <c r="C35" s="106" t="s">
        <v>185</v>
      </c>
      <c r="D35" s="107"/>
      <c r="E35" s="107" t="n">
        <v>27246.2571428571</v>
      </c>
      <c r="F35" s="130" t="n">
        <v>0.58</v>
      </c>
      <c r="G35" s="106" t="s">
        <v>1411</v>
      </c>
      <c r="H35" s="106" t="n">
        <v>0</v>
      </c>
      <c r="I35" s="106" t="s">
        <v>6799</v>
      </c>
      <c r="J35" s="106" t="s">
        <v>6794</v>
      </c>
      <c r="K35" s="106" t="s">
        <v>6793</v>
      </c>
      <c r="L35" s="106" t="s">
        <v>6793</v>
      </c>
      <c r="M35" s="117"/>
      <c r="N35" s="106" t="n">
        <v>0</v>
      </c>
      <c r="O35" s="106"/>
      <c r="P35" s="27" t="s">
        <v>6795</v>
      </c>
    </row>
    <row r="36" customFormat="false" ht="15" hidden="false" customHeight="false" outlineLevel="0" collapsed="false">
      <c r="A36" s="106" t="s">
        <v>6815</v>
      </c>
      <c r="B36" s="106" t="s">
        <v>6792</v>
      </c>
      <c r="C36" s="106" t="s">
        <v>479</v>
      </c>
      <c r="D36" s="107"/>
      <c r="E36" s="107" t="n">
        <v>27112.7142857143</v>
      </c>
      <c r="F36" s="130" t="n">
        <v>0.7</v>
      </c>
      <c r="G36" s="106" t="s">
        <v>1411</v>
      </c>
      <c r="H36" s="106" t="n">
        <v>0</v>
      </c>
      <c r="I36" s="106" t="s">
        <v>6793</v>
      </c>
      <c r="J36" s="106" t="s">
        <v>6794</v>
      </c>
      <c r="K36" s="106" t="s">
        <v>6793</v>
      </c>
      <c r="L36" s="106" t="s">
        <v>6793</v>
      </c>
      <c r="M36" s="117"/>
      <c r="N36" s="106" t="n">
        <v>0</v>
      </c>
      <c r="O36" s="106"/>
      <c r="P36" s="27" t="s">
        <v>6795</v>
      </c>
    </row>
    <row r="37" customFormat="false" ht="15" hidden="false" customHeight="false" outlineLevel="0" collapsed="false">
      <c r="A37" s="106" t="s">
        <v>6816</v>
      </c>
      <c r="B37" s="106" t="s">
        <v>6792</v>
      </c>
      <c r="C37" s="106"/>
      <c r="D37" s="107"/>
      <c r="E37" s="107" t="n">
        <v>26764.8</v>
      </c>
      <c r="F37" s="130" t="n">
        <v>0.4</v>
      </c>
      <c r="G37" s="106" t="s">
        <v>1411</v>
      </c>
      <c r="H37" s="106" t="n">
        <v>0</v>
      </c>
      <c r="I37" s="106" t="s">
        <v>6794</v>
      </c>
      <c r="J37" s="106" t="s">
        <v>6794</v>
      </c>
      <c r="K37" s="106" t="s">
        <v>6793</v>
      </c>
      <c r="L37" s="106" t="s">
        <v>6793</v>
      </c>
      <c r="M37" s="117"/>
      <c r="N37" s="106" t="n">
        <v>0</v>
      </c>
      <c r="O37" s="106"/>
      <c r="P37" s="27" t="s">
        <v>6805</v>
      </c>
    </row>
    <row r="38" customFormat="false" ht="15" hidden="false" customHeight="false" outlineLevel="0" collapsed="false">
      <c r="A38" s="106" t="s">
        <v>6817</v>
      </c>
      <c r="B38" s="106" t="s">
        <v>6792</v>
      </c>
      <c r="C38" s="106"/>
      <c r="D38" s="107"/>
      <c r="E38" s="107" t="n">
        <v>25830</v>
      </c>
      <c r="F38" s="130" t="n">
        <v>0.5</v>
      </c>
      <c r="G38" s="106" t="s">
        <v>1411</v>
      </c>
      <c r="H38" s="106" t="n">
        <v>0</v>
      </c>
      <c r="I38" s="106" t="s">
        <v>6793</v>
      </c>
      <c r="J38" s="106" t="s">
        <v>6794</v>
      </c>
      <c r="K38" s="106" t="s">
        <v>6793</v>
      </c>
      <c r="L38" s="106" t="s">
        <v>6794</v>
      </c>
      <c r="M38" s="117"/>
      <c r="N38" s="106" t="n">
        <v>0</v>
      </c>
      <c r="O38" s="106"/>
      <c r="P38" s="27" t="s">
        <v>6818</v>
      </c>
    </row>
    <row r="39" customFormat="false" ht="15" hidden="false" customHeight="false" outlineLevel="0" collapsed="false">
      <c r="A39" s="106" t="s">
        <v>6819</v>
      </c>
      <c r="B39" s="106" t="s">
        <v>6792</v>
      </c>
      <c r="C39" s="106"/>
      <c r="D39" s="107"/>
      <c r="E39" s="107" t="n">
        <v>25562.9142857143</v>
      </c>
      <c r="F39" s="130" t="n">
        <v>0.4</v>
      </c>
      <c r="G39" s="106" t="s">
        <v>1411</v>
      </c>
      <c r="H39" s="106" t="n">
        <v>0</v>
      </c>
      <c r="I39" s="106" t="s">
        <v>6794</v>
      </c>
      <c r="J39" s="106" t="s">
        <v>6794</v>
      </c>
      <c r="K39" s="106" t="s">
        <v>6793</v>
      </c>
      <c r="L39" s="106" t="s">
        <v>6793</v>
      </c>
      <c r="M39" s="117"/>
      <c r="N39" s="106" t="n">
        <v>0</v>
      </c>
      <c r="O39" s="106"/>
      <c r="P39" s="27" t="s">
        <v>6805</v>
      </c>
    </row>
    <row r="40" customFormat="false" ht="15" hidden="false" customHeight="false" outlineLevel="0" collapsed="false">
      <c r="A40" s="106" t="s">
        <v>5577</v>
      </c>
      <c r="B40" s="106" t="s">
        <v>6792</v>
      </c>
      <c r="C40" s="106"/>
      <c r="D40" s="107"/>
      <c r="E40" s="107" t="n">
        <v>25109.5714285714</v>
      </c>
      <c r="F40" s="130" t="n">
        <v>0.65</v>
      </c>
      <c r="G40" s="106" t="s">
        <v>1411</v>
      </c>
      <c r="H40" s="106" t="n">
        <v>0.5</v>
      </c>
      <c r="I40" s="106" t="s">
        <v>6793</v>
      </c>
      <c r="J40" s="106" t="s">
        <v>6794</v>
      </c>
      <c r="K40" s="106" t="s">
        <v>6793</v>
      </c>
      <c r="L40" s="106" t="s">
        <v>6793</v>
      </c>
      <c r="M40" s="117"/>
      <c r="N40" s="106" t="n">
        <v>2</v>
      </c>
      <c r="O40" s="106" t="n">
        <v>0</v>
      </c>
      <c r="P40" s="27" t="s">
        <v>6795</v>
      </c>
    </row>
    <row r="41" customFormat="false" ht="15" hidden="false" customHeight="false" outlineLevel="0" collapsed="false">
      <c r="A41" s="106" t="s">
        <v>6632</v>
      </c>
      <c r="B41" s="106" t="s">
        <v>6792</v>
      </c>
      <c r="C41" s="106" t="s">
        <v>479</v>
      </c>
      <c r="D41" s="107"/>
      <c r="E41" s="107" t="n">
        <v>24789.7714285714</v>
      </c>
      <c r="F41" s="130" t="n">
        <v>0.7</v>
      </c>
      <c r="G41" s="106" t="s">
        <v>1411</v>
      </c>
      <c r="H41" s="106" t="n">
        <v>0</v>
      </c>
      <c r="I41" s="106" t="s">
        <v>6793</v>
      </c>
      <c r="J41" s="106" t="s">
        <v>6794</v>
      </c>
      <c r="K41" s="106" t="s">
        <v>6793</v>
      </c>
      <c r="L41" s="106" t="s">
        <v>6793</v>
      </c>
      <c r="M41" s="117"/>
      <c r="N41" s="106" t="n">
        <v>1</v>
      </c>
      <c r="O41" s="106" t="n">
        <v>0</v>
      </c>
      <c r="P41" s="27" t="s">
        <v>6795</v>
      </c>
    </row>
    <row r="42" customFormat="false" ht="15" hidden="false" customHeight="false" outlineLevel="0" collapsed="false">
      <c r="A42" s="106" t="s">
        <v>6820</v>
      </c>
      <c r="B42" s="106" t="s">
        <v>6792</v>
      </c>
      <c r="C42" s="106" t="s">
        <v>185</v>
      </c>
      <c r="D42" s="107"/>
      <c r="E42" s="107" t="n">
        <v>24459.4285714286</v>
      </c>
      <c r="F42" s="130" t="n">
        <v>0.45</v>
      </c>
      <c r="G42" s="106" t="s">
        <v>1411</v>
      </c>
      <c r="H42" s="106" t="n">
        <v>0</v>
      </c>
      <c r="I42" s="106" t="s">
        <v>6794</v>
      </c>
      <c r="J42" s="106" t="s">
        <v>6794</v>
      </c>
      <c r="K42" s="106" t="s">
        <v>6793</v>
      </c>
      <c r="L42" s="106" t="s">
        <v>6793</v>
      </c>
      <c r="M42" s="117"/>
      <c r="N42" s="106" t="n">
        <v>0</v>
      </c>
      <c r="O42" s="106"/>
      <c r="P42" s="27" t="s">
        <v>6805</v>
      </c>
    </row>
    <row r="43" customFormat="false" ht="15" hidden="false" customHeight="false" outlineLevel="0" collapsed="false">
      <c r="A43" s="106" t="s">
        <v>6821</v>
      </c>
      <c r="B43" s="106" t="s">
        <v>6792</v>
      </c>
      <c r="C43" s="106" t="s">
        <v>479</v>
      </c>
      <c r="D43" s="107"/>
      <c r="E43" s="107" t="n">
        <v>24202.8857142857</v>
      </c>
      <c r="F43" s="130" t="n">
        <v>0.7</v>
      </c>
      <c r="G43" s="106" t="s">
        <v>1411</v>
      </c>
      <c r="H43" s="106" t="n">
        <v>0</v>
      </c>
      <c r="I43" s="106" t="s">
        <v>6793</v>
      </c>
      <c r="J43" s="106" t="s">
        <v>6794</v>
      </c>
      <c r="K43" s="106" t="s">
        <v>6793</v>
      </c>
      <c r="L43" s="106" t="s">
        <v>6793</v>
      </c>
      <c r="M43" s="117"/>
      <c r="N43" s="106" t="n">
        <v>0</v>
      </c>
      <c r="O43" s="106"/>
      <c r="P43" s="27" t="s">
        <v>6795</v>
      </c>
    </row>
    <row r="44" customFormat="false" ht="15" hidden="false" customHeight="false" outlineLevel="0" collapsed="false">
      <c r="A44" s="106" t="s">
        <v>6822</v>
      </c>
      <c r="B44" s="106" t="s">
        <v>6792</v>
      </c>
      <c r="C44" s="106" t="s">
        <v>560</v>
      </c>
      <c r="D44" s="107"/>
      <c r="E44" s="107" t="n">
        <v>24037.7142857143</v>
      </c>
      <c r="F44" s="130" t="n">
        <v>0.45</v>
      </c>
      <c r="G44" s="106" t="s">
        <v>1411</v>
      </c>
      <c r="H44" s="106" t="n">
        <v>0</v>
      </c>
      <c r="I44" s="106" t="s">
        <v>6794</v>
      </c>
      <c r="J44" s="106" t="s">
        <v>6794</v>
      </c>
      <c r="K44" s="106" t="s">
        <v>6793</v>
      </c>
      <c r="L44" s="106" t="s">
        <v>6793</v>
      </c>
      <c r="M44" s="117"/>
      <c r="N44" s="106" t="n">
        <v>0</v>
      </c>
      <c r="O44" s="106"/>
      <c r="P44" s="27" t="s">
        <v>6805</v>
      </c>
    </row>
    <row r="45" customFormat="false" ht="15" hidden="false" customHeight="false" outlineLevel="0" collapsed="false">
      <c r="A45" s="106" t="s">
        <v>6568</v>
      </c>
      <c r="B45" s="106" t="s">
        <v>6792</v>
      </c>
      <c r="C45" s="106" t="s">
        <v>185</v>
      </c>
      <c r="D45" s="107"/>
      <c r="E45" s="107" t="n">
        <v>23612.4857142857</v>
      </c>
      <c r="F45" s="130" t="n">
        <v>0.7</v>
      </c>
      <c r="G45" s="106" t="s">
        <v>1411</v>
      </c>
      <c r="H45" s="106" t="n">
        <v>0.5</v>
      </c>
      <c r="I45" s="106" t="s">
        <v>6793</v>
      </c>
      <c r="J45" s="106" t="s">
        <v>6794</v>
      </c>
      <c r="K45" s="106" t="s">
        <v>6793</v>
      </c>
      <c r="L45" s="106" t="s">
        <v>6793</v>
      </c>
      <c r="M45" s="117"/>
      <c r="N45" s="106" t="n">
        <v>1</v>
      </c>
      <c r="O45" s="106" t="n">
        <v>0</v>
      </c>
      <c r="P45" s="27" t="s">
        <v>6795</v>
      </c>
    </row>
    <row r="46" customFormat="false" ht="15" hidden="false" customHeight="false" outlineLevel="0" collapsed="false">
      <c r="A46" s="106" t="s">
        <v>6823</v>
      </c>
      <c r="B46" s="106" t="s">
        <v>6792</v>
      </c>
      <c r="C46" s="106" t="s">
        <v>560</v>
      </c>
      <c r="D46" s="107"/>
      <c r="E46" s="107" t="n">
        <v>22902.6</v>
      </c>
      <c r="F46" s="130" t="n">
        <v>0.7</v>
      </c>
      <c r="G46" s="106" t="s">
        <v>1411</v>
      </c>
      <c r="H46" s="106" t="n">
        <v>1</v>
      </c>
      <c r="I46" s="106" t="s">
        <v>6793</v>
      </c>
      <c r="J46" s="106" t="s">
        <v>6794</v>
      </c>
      <c r="K46" s="106" t="s">
        <v>6793</v>
      </c>
      <c r="L46" s="106" t="s">
        <v>6793</v>
      </c>
      <c r="M46" s="117"/>
      <c r="N46" s="106" t="n">
        <v>0</v>
      </c>
      <c r="O46" s="106"/>
      <c r="P46" s="27" t="s">
        <v>6795</v>
      </c>
    </row>
    <row r="47" customFormat="false" ht="15" hidden="false" customHeight="false" outlineLevel="0" collapsed="false">
      <c r="A47" s="106" t="s">
        <v>6824</v>
      </c>
      <c r="B47" s="106" t="s">
        <v>6792</v>
      </c>
      <c r="C47" s="106" t="s">
        <v>185</v>
      </c>
      <c r="D47" s="107"/>
      <c r="E47" s="107" t="n">
        <v>22554.6857142857</v>
      </c>
      <c r="F47" s="130" t="n">
        <v>0.7</v>
      </c>
      <c r="G47" s="106" t="s">
        <v>1411</v>
      </c>
      <c r="H47" s="106" t="n">
        <v>0</v>
      </c>
      <c r="I47" s="106" t="s">
        <v>6793</v>
      </c>
      <c r="J47" s="106" t="s">
        <v>6794</v>
      </c>
      <c r="K47" s="106" t="s">
        <v>6793</v>
      </c>
      <c r="L47" s="106" t="s">
        <v>6793</v>
      </c>
      <c r="M47" s="117"/>
      <c r="N47" s="106" t="n">
        <v>0</v>
      </c>
      <c r="O47" s="106"/>
      <c r="P47" s="27" t="s">
        <v>6795</v>
      </c>
    </row>
    <row r="48" customFormat="false" ht="15" hidden="false" customHeight="false" outlineLevel="0" collapsed="false">
      <c r="A48" s="106" t="s">
        <v>6825</v>
      </c>
      <c r="B48" s="106" t="s">
        <v>6792</v>
      </c>
      <c r="C48" s="106"/>
      <c r="D48" s="107"/>
      <c r="E48" s="107" t="n">
        <v>21184.1142857143</v>
      </c>
      <c r="F48" s="130" t="n">
        <v>0.65</v>
      </c>
      <c r="G48" s="106" t="s">
        <v>1411</v>
      </c>
      <c r="H48" s="106" t="n">
        <v>0.5</v>
      </c>
      <c r="I48" s="106" t="s">
        <v>6793</v>
      </c>
      <c r="J48" s="106" t="s">
        <v>6794</v>
      </c>
      <c r="K48" s="106" t="s">
        <v>6793</v>
      </c>
      <c r="L48" s="106" t="s">
        <v>6793</v>
      </c>
      <c r="M48" s="117"/>
      <c r="N48" s="106" t="n">
        <v>0</v>
      </c>
      <c r="O48" s="106"/>
      <c r="P48" s="27" t="s">
        <v>6795</v>
      </c>
    </row>
    <row r="49" customFormat="false" ht="15" hidden="false" customHeight="false" outlineLevel="0" collapsed="false">
      <c r="A49" s="106" t="s">
        <v>6826</v>
      </c>
      <c r="B49" s="106" t="s">
        <v>6792</v>
      </c>
      <c r="C49" s="106"/>
      <c r="D49" s="107"/>
      <c r="E49" s="107" t="n">
        <v>20980.2857142857</v>
      </c>
      <c r="F49" s="130" t="n">
        <v>0.65</v>
      </c>
      <c r="G49" s="106" t="s">
        <v>1411</v>
      </c>
      <c r="H49" s="106" t="n">
        <v>0</v>
      </c>
      <c r="I49" s="106" t="s">
        <v>6793</v>
      </c>
      <c r="J49" s="106" t="s">
        <v>6794</v>
      </c>
      <c r="K49" s="106" t="s">
        <v>6793</v>
      </c>
      <c r="L49" s="106" t="s">
        <v>6793</v>
      </c>
      <c r="M49" s="117"/>
      <c r="N49" s="106" t="n">
        <v>0</v>
      </c>
      <c r="O49" s="106"/>
      <c r="P49" s="27" t="s">
        <v>6795</v>
      </c>
    </row>
    <row r="50" customFormat="false" ht="15" hidden="false" customHeight="false" outlineLevel="0" collapsed="false">
      <c r="A50" s="106" t="s">
        <v>6827</v>
      </c>
      <c r="B50" s="106" t="s">
        <v>6792</v>
      </c>
      <c r="C50" s="106" t="s">
        <v>185</v>
      </c>
      <c r="D50" s="107"/>
      <c r="E50" s="107" t="n">
        <v>20456.6571428571</v>
      </c>
      <c r="F50" s="130" t="n">
        <v>0.58</v>
      </c>
      <c r="G50" s="106" t="s">
        <v>1411</v>
      </c>
      <c r="H50" s="106" t="n">
        <v>0</v>
      </c>
      <c r="I50" s="106" t="s">
        <v>6799</v>
      </c>
      <c r="J50" s="106" t="s">
        <v>6794</v>
      </c>
      <c r="K50" s="106" t="s">
        <v>6793</v>
      </c>
      <c r="L50" s="106" t="s">
        <v>6793</v>
      </c>
      <c r="M50" s="117"/>
      <c r="N50" s="106" t="n">
        <v>0</v>
      </c>
      <c r="O50" s="106"/>
      <c r="P50" s="27" t="s">
        <v>6795</v>
      </c>
    </row>
    <row r="51" customFormat="false" ht="15" hidden="false" customHeight="false" outlineLevel="0" collapsed="false">
      <c r="A51" s="106" t="s">
        <v>6828</v>
      </c>
      <c r="B51" s="106" t="s">
        <v>6792</v>
      </c>
      <c r="C51" s="106" t="s">
        <v>479</v>
      </c>
      <c r="D51" s="107"/>
      <c r="E51" s="107" t="n">
        <v>20017.3714285714</v>
      </c>
      <c r="F51" s="130" t="n">
        <v>0.7</v>
      </c>
      <c r="G51" s="106" t="s">
        <v>1411</v>
      </c>
      <c r="H51" s="106" t="n">
        <v>0</v>
      </c>
      <c r="I51" s="106" t="s">
        <v>6793</v>
      </c>
      <c r="J51" s="106" t="s">
        <v>6794</v>
      </c>
      <c r="K51" s="106" t="s">
        <v>6793</v>
      </c>
      <c r="L51" s="106" t="s">
        <v>6793</v>
      </c>
      <c r="M51" s="117"/>
      <c r="N51" s="106" t="n">
        <v>0</v>
      </c>
      <c r="O51" s="106"/>
      <c r="P51" s="27" t="s">
        <v>6795</v>
      </c>
    </row>
    <row r="52" customFormat="false" ht="15" hidden="false" customHeight="false" outlineLevel="0" collapsed="false">
      <c r="A52" s="106" t="s">
        <v>6633</v>
      </c>
      <c r="B52" s="106" t="s">
        <v>6792</v>
      </c>
      <c r="C52" s="106" t="s">
        <v>560</v>
      </c>
      <c r="D52" s="107"/>
      <c r="E52" s="107" t="n">
        <v>19968.1714285714</v>
      </c>
      <c r="F52" s="130" t="n">
        <v>0.7</v>
      </c>
      <c r="G52" s="106" t="s">
        <v>1411</v>
      </c>
      <c r="H52" s="106" t="n">
        <v>0.5</v>
      </c>
      <c r="I52" s="106" t="s">
        <v>6793</v>
      </c>
      <c r="J52" s="106" t="s">
        <v>6794</v>
      </c>
      <c r="K52" s="106" t="s">
        <v>6793</v>
      </c>
      <c r="L52" s="106" t="s">
        <v>6793</v>
      </c>
      <c r="M52" s="117"/>
      <c r="N52" s="106" t="n">
        <v>1</v>
      </c>
      <c r="O52" s="106" t="n">
        <v>0</v>
      </c>
      <c r="P52" s="27" t="s">
        <v>6795</v>
      </c>
    </row>
    <row r="53" customFormat="false" ht="15" hidden="false" customHeight="false" outlineLevel="0" collapsed="false">
      <c r="A53" s="106" t="s">
        <v>6829</v>
      </c>
      <c r="B53" s="106" t="s">
        <v>6792</v>
      </c>
      <c r="C53" s="106" t="s">
        <v>560</v>
      </c>
      <c r="D53" s="107"/>
      <c r="E53" s="107" t="n">
        <v>18797.9142857143</v>
      </c>
      <c r="F53" s="130" t="n">
        <v>0.45</v>
      </c>
      <c r="G53" s="106" t="s">
        <v>1411</v>
      </c>
      <c r="H53" s="106" t="n">
        <v>0.5</v>
      </c>
      <c r="I53" s="106" t="s">
        <v>6794</v>
      </c>
      <c r="J53" s="106" t="s">
        <v>6794</v>
      </c>
      <c r="K53" s="106" t="s">
        <v>6793</v>
      </c>
      <c r="L53" s="106" t="s">
        <v>6793</v>
      </c>
      <c r="M53" s="117"/>
      <c r="N53" s="106" t="n">
        <v>0</v>
      </c>
      <c r="O53" s="106"/>
      <c r="P53" s="27" t="s">
        <v>6805</v>
      </c>
    </row>
    <row r="54" customFormat="false" ht="15" hidden="false" customHeight="false" outlineLevel="0" collapsed="false">
      <c r="A54" s="106" t="s">
        <v>6518</v>
      </c>
      <c r="B54" s="106" t="s">
        <v>6792</v>
      </c>
      <c r="C54" s="106"/>
      <c r="D54" s="107" t="n">
        <v>5336</v>
      </c>
      <c r="E54" s="107" t="n">
        <v>18393.7714285714</v>
      </c>
      <c r="F54" s="130" t="n">
        <v>0.65</v>
      </c>
      <c r="G54" s="106" t="s">
        <v>1411</v>
      </c>
      <c r="H54" s="106" t="n">
        <v>0.5</v>
      </c>
      <c r="I54" s="106" t="s">
        <v>6793</v>
      </c>
      <c r="J54" s="106" t="s">
        <v>6794</v>
      </c>
      <c r="K54" s="106" t="s">
        <v>6793</v>
      </c>
      <c r="L54" s="106" t="s">
        <v>6793</v>
      </c>
      <c r="M54" s="117"/>
      <c r="N54" s="106" t="n">
        <v>1</v>
      </c>
      <c r="O54" s="106" t="n">
        <v>100</v>
      </c>
      <c r="P54" s="27" t="s">
        <v>6795</v>
      </c>
    </row>
    <row r="55" customFormat="false" ht="15" hidden="false" customHeight="false" outlineLevel="0" collapsed="false">
      <c r="A55" s="106" t="s">
        <v>6179</v>
      </c>
      <c r="B55" s="106" t="s">
        <v>6792</v>
      </c>
      <c r="C55" s="106" t="s">
        <v>422</v>
      </c>
      <c r="D55" s="107" t="n">
        <v>9249</v>
      </c>
      <c r="E55" s="107" t="n">
        <v>18182.9142857143</v>
      </c>
      <c r="F55" s="130" t="n">
        <v>0.7</v>
      </c>
      <c r="G55" s="106" t="s">
        <v>1411</v>
      </c>
      <c r="H55" s="106" t="n">
        <v>0.5</v>
      </c>
      <c r="I55" s="106" t="s">
        <v>6793</v>
      </c>
      <c r="J55" s="106" t="s">
        <v>6794</v>
      </c>
      <c r="K55" s="106" t="s">
        <v>6793</v>
      </c>
      <c r="L55" s="106" t="s">
        <v>6793</v>
      </c>
      <c r="M55" s="117"/>
      <c r="N55" s="106" t="n">
        <v>1</v>
      </c>
      <c r="O55" s="106" t="n">
        <v>0</v>
      </c>
      <c r="P55" s="27" t="s">
        <v>6795</v>
      </c>
    </row>
    <row r="56" customFormat="false" ht="15" hidden="false" customHeight="false" outlineLevel="0" collapsed="false">
      <c r="A56" s="106" t="s">
        <v>6830</v>
      </c>
      <c r="B56" s="106" t="s">
        <v>6792</v>
      </c>
      <c r="C56" s="106" t="s">
        <v>560</v>
      </c>
      <c r="D56" s="107"/>
      <c r="E56" s="107" t="n">
        <v>17775.2571428571</v>
      </c>
      <c r="F56" s="130" t="n">
        <v>0.58</v>
      </c>
      <c r="G56" s="106" t="s">
        <v>1411</v>
      </c>
      <c r="H56" s="106" t="n">
        <v>0</v>
      </c>
      <c r="I56" s="106" t="s">
        <v>6799</v>
      </c>
      <c r="J56" s="106" t="s">
        <v>6794</v>
      </c>
      <c r="K56" s="106" t="s">
        <v>6793</v>
      </c>
      <c r="L56" s="106" t="s">
        <v>6793</v>
      </c>
      <c r="M56" s="117"/>
      <c r="N56" s="106" t="n">
        <v>0</v>
      </c>
      <c r="O56" s="106"/>
      <c r="P56" s="27" t="s">
        <v>6795</v>
      </c>
    </row>
    <row r="57" customFormat="false" ht="15" hidden="false" customHeight="false" outlineLevel="0" collapsed="false">
      <c r="A57" s="106" t="s">
        <v>6831</v>
      </c>
      <c r="B57" s="106" t="s">
        <v>6792</v>
      </c>
      <c r="C57" s="106"/>
      <c r="D57" s="107"/>
      <c r="E57" s="107" t="n">
        <v>17712</v>
      </c>
      <c r="F57" s="130" t="n">
        <v>0.5</v>
      </c>
      <c r="G57" s="106" t="s">
        <v>1411</v>
      </c>
      <c r="H57" s="106" t="n">
        <v>0</v>
      </c>
      <c r="I57" s="106" t="s">
        <v>6793</v>
      </c>
      <c r="J57" s="106" t="s">
        <v>6794</v>
      </c>
      <c r="K57" s="106" t="s">
        <v>6793</v>
      </c>
      <c r="L57" s="106" t="s">
        <v>6794</v>
      </c>
      <c r="M57" s="117"/>
      <c r="N57" s="106" t="n">
        <v>0</v>
      </c>
      <c r="O57" s="106"/>
      <c r="P57" s="27" t="s">
        <v>6818</v>
      </c>
    </row>
    <row r="58" customFormat="false" ht="15" hidden="false" customHeight="false" outlineLevel="0" collapsed="false">
      <c r="A58" s="106" t="s">
        <v>4405</v>
      </c>
      <c r="B58" s="106" t="s">
        <v>6792</v>
      </c>
      <c r="C58" s="106" t="s">
        <v>185</v>
      </c>
      <c r="D58" s="107"/>
      <c r="E58" s="107" t="n">
        <v>17455.4571428571</v>
      </c>
      <c r="F58" s="130" t="n">
        <v>0.7</v>
      </c>
      <c r="G58" s="106" t="s">
        <v>1411</v>
      </c>
      <c r="H58" s="106" t="n">
        <v>1</v>
      </c>
      <c r="I58" s="106" t="s">
        <v>6793</v>
      </c>
      <c r="J58" s="106" t="s">
        <v>6794</v>
      </c>
      <c r="K58" s="106" t="s">
        <v>6793</v>
      </c>
      <c r="L58" s="106" t="s">
        <v>6793</v>
      </c>
      <c r="M58" s="117"/>
      <c r="N58" s="106" t="n">
        <v>0</v>
      </c>
      <c r="O58" s="106"/>
      <c r="P58" s="27" t="s">
        <v>6795</v>
      </c>
    </row>
    <row r="59" customFormat="false" ht="15" hidden="false" customHeight="false" outlineLevel="0" collapsed="false">
      <c r="A59" s="106" t="s">
        <v>6832</v>
      </c>
      <c r="B59" s="106" t="s">
        <v>6792</v>
      </c>
      <c r="C59" s="106" t="s">
        <v>560</v>
      </c>
      <c r="D59" s="107"/>
      <c r="E59" s="107" t="n">
        <v>17198.9142857143</v>
      </c>
      <c r="F59" s="130" t="n">
        <v>0.58</v>
      </c>
      <c r="G59" s="106" t="s">
        <v>1411</v>
      </c>
      <c r="H59" s="106" t="n">
        <v>0</v>
      </c>
      <c r="I59" s="106" t="s">
        <v>6799</v>
      </c>
      <c r="J59" s="106" t="s">
        <v>6794</v>
      </c>
      <c r="K59" s="106" t="s">
        <v>6793</v>
      </c>
      <c r="L59" s="106" t="s">
        <v>6793</v>
      </c>
      <c r="M59" s="117"/>
      <c r="N59" s="106" t="n">
        <v>0</v>
      </c>
      <c r="O59" s="106"/>
      <c r="P59" s="27" t="s">
        <v>6795</v>
      </c>
    </row>
    <row r="60" customFormat="false" ht="15" hidden="false" customHeight="false" outlineLevel="0" collapsed="false">
      <c r="A60" s="106" t="s">
        <v>6833</v>
      </c>
      <c r="B60" s="106" t="s">
        <v>6792</v>
      </c>
      <c r="C60" s="106" t="s">
        <v>696</v>
      </c>
      <c r="D60" s="107" t="n">
        <v>10561</v>
      </c>
      <c r="E60" s="107" t="n">
        <v>17177.8285714286</v>
      </c>
      <c r="F60" s="130" t="n">
        <v>0.7</v>
      </c>
      <c r="G60" s="106" t="s">
        <v>1411</v>
      </c>
      <c r="H60" s="106" t="n">
        <v>0</v>
      </c>
      <c r="I60" s="106" t="s">
        <v>6793</v>
      </c>
      <c r="J60" s="106" t="s">
        <v>6794</v>
      </c>
      <c r="K60" s="106" t="s">
        <v>6793</v>
      </c>
      <c r="L60" s="106" t="s">
        <v>6793</v>
      </c>
      <c r="M60" s="117"/>
      <c r="N60" s="106" t="n">
        <v>0</v>
      </c>
      <c r="O60" s="106"/>
      <c r="P60" s="27" t="s">
        <v>6795</v>
      </c>
    </row>
    <row r="61" customFormat="false" ht="15" hidden="false" customHeight="false" outlineLevel="0" collapsed="false">
      <c r="A61" s="106" t="s">
        <v>6834</v>
      </c>
      <c r="B61" s="106" t="s">
        <v>6792</v>
      </c>
      <c r="C61" s="106" t="s">
        <v>560</v>
      </c>
      <c r="D61" s="107"/>
      <c r="E61" s="107" t="n">
        <v>16383.6</v>
      </c>
      <c r="F61" s="130" t="n">
        <v>0.45</v>
      </c>
      <c r="G61" s="106" t="s">
        <v>1411</v>
      </c>
      <c r="H61" s="106" t="n">
        <v>0</v>
      </c>
      <c r="I61" s="106" t="s">
        <v>6794</v>
      </c>
      <c r="J61" s="106" t="s">
        <v>6794</v>
      </c>
      <c r="K61" s="106" t="s">
        <v>6793</v>
      </c>
      <c r="L61" s="106" t="s">
        <v>6793</v>
      </c>
      <c r="M61" s="117"/>
      <c r="N61" s="106" t="n">
        <v>0</v>
      </c>
      <c r="O61" s="106"/>
      <c r="P61" s="27" t="s">
        <v>6805</v>
      </c>
    </row>
    <row r="62" customFormat="false" ht="15" hidden="false" customHeight="false" outlineLevel="0" collapsed="false">
      <c r="A62" s="106" t="s">
        <v>6835</v>
      </c>
      <c r="B62" s="106" t="s">
        <v>6792</v>
      </c>
      <c r="C62" s="106"/>
      <c r="D62" s="107"/>
      <c r="E62" s="107" t="n">
        <v>16193.8285714286</v>
      </c>
      <c r="F62" s="130" t="n">
        <v>0.65</v>
      </c>
      <c r="G62" s="106" t="s">
        <v>1411</v>
      </c>
      <c r="H62" s="106" t="n">
        <v>0.5</v>
      </c>
      <c r="I62" s="106" t="s">
        <v>6793</v>
      </c>
      <c r="J62" s="106" t="s">
        <v>6794</v>
      </c>
      <c r="K62" s="106" t="s">
        <v>6793</v>
      </c>
      <c r="L62" s="106" t="s">
        <v>6793</v>
      </c>
      <c r="M62" s="117"/>
      <c r="N62" s="106" t="n">
        <v>0</v>
      </c>
      <c r="O62" s="106"/>
      <c r="P62" s="27" t="s">
        <v>6795</v>
      </c>
    </row>
    <row r="63" customFormat="false" ht="15" hidden="false" customHeight="false" outlineLevel="0" collapsed="false">
      <c r="A63" s="106" t="s">
        <v>6836</v>
      </c>
      <c r="B63" s="106" t="s">
        <v>6792</v>
      </c>
      <c r="C63" s="106" t="s">
        <v>185</v>
      </c>
      <c r="D63" s="107"/>
      <c r="E63" s="107" t="n">
        <v>15856.4571428571</v>
      </c>
      <c r="F63" s="130" t="n">
        <v>0.7</v>
      </c>
      <c r="G63" s="106" t="s">
        <v>1411</v>
      </c>
      <c r="H63" s="106" t="n">
        <v>0.5</v>
      </c>
      <c r="I63" s="106" t="s">
        <v>6793</v>
      </c>
      <c r="J63" s="106" t="s">
        <v>6794</v>
      </c>
      <c r="K63" s="106" t="s">
        <v>6793</v>
      </c>
      <c r="L63" s="106" t="s">
        <v>6793</v>
      </c>
      <c r="M63" s="117"/>
      <c r="N63" s="106" t="n">
        <v>0</v>
      </c>
      <c r="O63" s="106"/>
      <c r="P63" s="27" t="s">
        <v>6795</v>
      </c>
    </row>
    <row r="64" customFormat="false" ht="15" hidden="false" customHeight="false" outlineLevel="0" collapsed="false">
      <c r="A64" s="106" t="s">
        <v>6837</v>
      </c>
      <c r="B64" s="106" t="s">
        <v>6792</v>
      </c>
      <c r="C64" s="106" t="s">
        <v>696</v>
      </c>
      <c r="D64" s="107"/>
      <c r="E64" s="107" t="n">
        <v>15652.6285714286</v>
      </c>
      <c r="F64" s="130" t="n">
        <v>0.45</v>
      </c>
      <c r="G64" s="106" t="s">
        <v>1411</v>
      </c>
      <c r="H64" s="106" t="n">
        <v>0</v>
      </c>
      <c r="I64" s="106" t="s">
        <v>6794</v>
      </c>
      <c r="J64" s="106" t="s">
        <v>6794</v>
      </c>
      <c r="K64" s="106" t="s">
        <v>6793</v>
      </c>
      <c r="L64" s="106" t="s">
        <v>6793</v>
      </c>
      <c r="M64" s="117"/>
      <c r="N64" s="106" t="n">
        <v>0</v>
      </c>
      <c r="O64" s="106"/>
      <c r="P64" s="27" t="s">
        <v>6805</v>
      </c>
    </row>
    <row r="65" customFormat="false" ht="15" hidden="false" customHeight="false" outlineLevel="0" collapsed="false">
      <c r="A65" s="106" t="s">
        <v>6838</v>
      </c>
      <c r="B65" s="106" t="s">
        <v>6792</v>
      </c>
      <c r="C65" s="106" t="s">
        <v>560</v>
      </c>
      <c r="D65" s="107" t="n">
        <v>9246</v>
      </c>
      <c r="E65" s="107" t="n">
        <v>15526.1142857143</v>
      </c>
      <c r="F65" s="130" t="n">
        <v>0.45</v>
      </c>
      <c r="G65" s="106" t="s">
        <v>1411</v>
      </c>
      <c r="H65" s="106" t="n">
        <v>2</v>
      </c>
      <c r="I65" s="106" t="s">
        <v>6794</v>
      </c>
      <c r="J65" s="106" t="s">
        <v>6794</v>
      </c>
      <c r="K65" s="106" t="s">
        <v>6793</v>
      </c>
      <c r="L65" s="106" t="s">
        <v>6793</v>
      </c>
      <c r="M65" s="117" t="n">
        <v>0.0835794004304088</v>
      </c>
      <c r="N65" s="106" t="n">
        <v>0</v>
      </c>
      <c r="O65" s="106"/>
      <c r="P65" s="27" t="s">
        <v>6805</v>
      </c>
    </row>
    <row r="66" customFormat="false" ht="15" hidden="false" customHeight="false" outlineLevel="0" collapsed="false">
      <c r="A66" s="106" t="s">
        <v>6839</v>
      </c>
      <c r="B66" s="106" t="s">
        <v>6792</v>
      </c>
      <c r="C66" s="106" t="s">
        <v>185</v>
      </c>
      <c r="D66" s="107"/>
      <c r="E66" s="107" t="n">
        <v>15403.1142857143</v>
      </c>
      <c r="F66" s="130" t="n">
        <v>0.7</v>
      </c>
      <c r="G66" s="106" t="s">
        <v>1411</v>
      </c>
      <c r="H66" s="106" t="n">
        <v>0.5</v>
      </c>
      <c r="I66" s="106" t="s">
        <v>6793</v>
      </c>
      <c r="J66" s="106" t="s">
        <v>6794</v>
      </c>
      <c r="K66" s="106" t="s">
        <v>6793</v>
      </c>
      <c r="L66" s="106" t="s">
        <v>6793</v>
      </c>
      <c r="M66" s="117"/>
      <c r="N66" s="106" t="n">
        <v>0</v>
      </c>
      <c r="O66" s="106"/>
      <c r="P66" s="27" t="s">
        <v>6795</v>
      </c>
    </row>
    <row r="67" customFormat="false" ht="15" hidden="false" customHeight="false" outlineLevel="0" collapsed="false">
      <c r="A67" s="106" t="s">
        <v>6840</v>
      </c>
      <c r="B67" s="106" t="s">
        <v>6792</v>
      </c>
      <c r="C67" s="106"/>
      <c r="D67" s="107"/>
      <c r="E67" s="107" t="n">
        <v>15114.9428571429</v>
      </c>
      <c r="F67" s="130" t="n">
        <v>0.65</v>
      </c>
      <c r="G67" s="106" t="s">
        <v>1411</v>
      </c>
      <c r="H67" s="106" t="n">
        <v>0.5</v>
      </c>
      <c r="I67" s="106" t="s">
        <v>6793</v>
      </c>
      <c r="J67" s="106" t="s">
        <v>6794</v>
      </c>
      <c r="K67" s="106" t="s">
        <v>6793</v>
      </c>
      <c r="L67" s="106" t="s">
        <v>6793</v>
      </c>
      <c r="M67" s="117"/>
      <c r="N67" s="106" t="n">
        <v>0</v>
      </c>
      <c r="O67" s="106"/>
      <c r="P67" s="27" t="s">
        <v>6795</v>
      </c>
    </row>
    <row r="68" customFormat="false" ht="15" hidden="false" customHeight="false" outlineLevel="0" collapsed="false">
      <c r="A68" s="106" t="s">
        <v>6841</v>
      </c>
      <c r="B68" s="106" t="s">
        <v>6792</v>
      </c>
      <c r="C68" s="106" t="s">
        <v>560</v>
      </c>
      <c r="D68" s="107"/>
      <c r="E68" s="107" t="n">
        <v>14967.3428571429</v>
      </c>
      <c r="F68" s="130" t="n">
        <v>0.45</v>
      </c>
      <c r="G68" s="106" t="s">
        <v>1411</v>
      </c>
      <c r="H68" s="106" t="n">
        <v>0.5</v>
      </c>
      <c r="I68" s="106" t="s">
        <v>6794</v>
      </c>
      <c r="J68" s="106" t="s">
        <v>6794</v>
      </c>
      <c r="K68" s="106" t="s">
        <v>6793</v>
      </c>
      <c r="L68" s="106" t="s">
        <v>6793</v>
      </c>
      <c r="M68" s="117"/>
      <c r="N68" s="106" t="n">
        <v>0</v>
      </c>
      <c r="O68" s="106"/>
      <c r="P68" s="27" t="s">
        <v>6805</v>
      </c>
    </row>
    <row r="69" customFormat="false" ht="15" hidden="false" customHeight="false" outlineLevel="0" collapsed="false">
      <c r="A69" s="106" t="s">
        <v>6842</v>
      </c>
      <c r="B69" s="106" t="s">
        <v>6792</v>
      </c>
      <c r="C69" s="106"/>
      <c r="D69" s="107"/>
      <c r="E69" s="107" t="n">
        <v>14271.5142857143</v>
      </c>
      <c r="F69" s="130" t="n">
        <v>0.5</v>
      </c>
      <c r="G69" s="106" t="s">
        <v>1411</v>
      </c>
      <c r="H69" s="106" t="n">
        <v>0</v>
      </c>
      <c r="I69" s="106" t="s">
        <v>6793</v>
      </c>
      <c r="J69" s="106" t="s">
        <v>6794</v>
      </c>
      <c r="K69" s="106" t="s">
        <v>6793</v>
      </c>
      <c r="L69" s="106" t="s">
        <v>6794</v>
      </c>
      <c r="M69" s="117"/>
      <c r="N69" s="106" t="n">
        <v>0</v>
      </c>
      <c r="O69" s="106"/>
      <c r="P69" s="27" t="s">
        <v>6818</v>
      </c>
    </row>
    <row r="70" customFormat="false" ht="15" hidden="false" customHeight="false" outlineLevel="0" collapsed="false">
      <c r="A70" s="106" t="s">
        <v>6843</v>
      </c>
      <c r="B70" s="106" t="s">
        <v>6792</v>
      </c>
      <c r="C70" s="106" t="s">
        <v>560</v>
      </c>
      <c r="D70" s="107" t="n">
        <v>9979</v>
      </c>
      <c r="E70" s="107" t="n">
        <v>14215.2857142857</v>
      </c>
      <c r="F70" s="130" t="n">
        <v>0.7</v>
      </c>
      <c r="G70" s="106" t="s">
        <v>1411</v>
      </c>
      <c r="H70" s="106" t="n">
        <v>0.5</v>
      </c>
      <c r="I70" s="106" t="s">
        <v>6793</v>
      </c>
      <c r="J70" s="106" t="s">
        <v>6794</v>
      </c>
      <c r="K70" s="106" t="s">
        <v>6793</v>
      </c>
      <c r="L70" s="106" t="s">
        <v>6793</v>
      </c>
      <c r="M70" s="117"/>
      <c r="N70" s="106" t="n">
        <v>0</v>
      </c>
      <c r="O70" s="106"/>
      <c r="P70" s="27" t="s">
        <v>6795</v>
      </c>
    </row>
    <row r="71" customFormat="false" ht="15" hidden="false" customHeight="false" outlineLevel="0" collapsed="false">
      <c r="A71" s="106" t="s">
        <v>6844</v>
      </c>
      <c r="B71" s="106" t="s">
        <v>6792</v>
      </c>
      <c r="C71" s="106" t="s">
        <v>479</v>
      </c>
      <c r="D71" s="107"/>
      <c r="E71" s="107" t="n">
        <v>14187.1714285714</v>
      </c>
      <c r="F71" s="130" t="n">
        <v>0.45</v>
      </c>
      <c r="G71" s="106" t="s">
        <v>1411</v>
      </c>
      <c r="H71" s="106" t="n">
        <v>0.5</v>
      </c>
      <c r="I71" s="106" t="s">
        <v>6794</v>
      </c>
      <c r="J71" s="106" t="s">
        <v>6794</v>
      </c>
      <c r="K71" s="106" t="s">
        <v>6793</v>
      </c>
      <c r="L71" s="106" t="s">
        <v>6793</v>
      </c>
      <c r="M71" s="117"/>
      <c r="N71" s="106" t="n">
        <v>0</v>
      </c>
      <c r="O71" s="106"/>
      <c r="P71" s="27" t="s">
        <v>6805</v>
      </c>
    </row>
    <row r="72" customFormat="false" ht="15" hidden="false" customHeight="false" outlineLevel="0" collapsed="false">
      <c r="A72" s="106" t="s">
        <v>6845</v>
      </c>
      <c r="B72" s="106" t="s">
        <v>6792</v>
      </c>
      <c r="C72" s="106" t="s">
        <v>479</v>
      </c>
      <c r="D72" s="107"/>
      <c r="E72" s="107" t="n">
        <v>14036.0571428571</v>
      </c>
      <c r="F72" s="130" t="n">
        <v>0.58</v>
      </c>
      <c r="G72" s="106" t="s">
        <v>1411</v>
      </c>
      <c r="H72" s="106" t="n">
        <v>0</v>
      </c>
      <c r="I72" s="106" t="s">
        <v>6799</v>
      </c>
      <c r="J72" s="106" t="s">
        <v>6794</v>
      </c>
      <c r="K72" s="106" t="s">
        <v>6793</v>
      </c>
      <c r="L72" s="106" t="s">
        <v>6793</v>
      </c>
      <c r="M72" s="117"/>
      <c r="N72" s="106" t="n">
        <v>0</v>
      </c>
      <c r="O72" s="106"/>
      <c r="P72" s="27" t="s">
        <v>6795</v>
      </c>
    </row>
    <row r="73" customFormat="false" ht="15" hidden="false" customHeight="false" outlineLevel="0" collapsed="false">
      <c r="A73" s="106" t="s">
        <v>6846</v>
      </c>
      <c r="B73" s="106" t="s">
        <v>6792</v>
      </c>
      <c r="C73" s="106"/>
      <c r="D73" s="107"/>
      <c r="E73" s="107" t="n">
        <v>13934.1428571429</v>
      </c>
      <c r="F73" s="130" t="n">
        <v>0.52</v>
      </c>
      <c r="G73" s="106" t="s">
        <v>1411</v>
      </c>
      <c r="H73" s="106" t="n">
        <v>0</v>
      </c>
      <c r="I73" s="106" t="s">
        <v>6799</v>
      </c>
      <c r="J73" s="106" t="s">
        <v>6794</v>
      </c>
      <c r="K73" s="106" t="s">
        <v>6793</v>
      </c>
      <c r="L73" s="106" t="s">
        <v>6793</v>
      </c>
      <c r="M73" s="117"/>
      <c r="N73" s="106" t="n">
        <v>0</v>
      </c>
      <c r="O73" s="106"/>
      <c r="P73" s="27" t="s">
        <v>6795</v>
      </c>
    </row>
    <row r="74" customFormat="false" ht="15" hidden="false" customHeight="false" outlineLevel="0" collapsed="false">
      <c r="A74" s="106" t="s">
        <v>6847</v>
      </c>
      <c r="B74" s="106" t="s">
        <v>6792</v>
      </c>
      <c r="C74" s="106" t="s">
        <v>422</v>
      </c>
      <c r="D74" s="107" t="n">
        <v>8176</v>
      </c>
      <c r="E74" s="107" t="n">
        <v>13723.2857142857</v>
      </c>
      <c r="F74" s="130" t="n">
        <v>0.7</v>
      </c>
      <c r="G74" s="106" t="s">
        <v>1411</v>
      </c>
      <c r="H74" s="106" t="n">
        <v>0.5</v>
      </c>
      <c r="I74" s="106" t="s">
        <v>6793</v>
      </c>
      <c r="J74" s="106" t="s">
        <v>6794</v>
      </c>
      <c r="K74" s="106" t="s">
        <v>6793</v>
      </c>
      <c r="L74" s="106" t="s">
        <v>6793</v>
      </c>
      <c r="M74" s="117"/>
      <c r="N74" s="106" t="n">
        <v>0</v>
      </c>
      <c r="O74" s="106"/>
      <c r="P74" s="27" t="s">
        <v>6795</v>
      </c>
    </row>
    <row r="75" customFormat="false" ht="15" hidden="false" customHeight="false" outlineLevel="0" collapsed="false">
      <c r="A75" s="106" t="s">
        <v>6848</v>
      </c>
      <c r="B75" s="106" t="s">
        <v>6792</v>
      </c>
      <c r="C75" s="106"/>
      <c r="D75" s="107"/>
      <c r="E75" s="107" t="n">
        <v>13709.2285714286</v>
      </c>
      <c r="F75" s="130" t="n">
        <v>0.38</v>
      </c>
      <c r="G75" s="106" t="s">
        <v>1411</v>
      </c>
      <c r="H75" s="106" t="n">
        <v>0</v>
      </c>
      <c r="I75" s="106" t="s">
        <v>6799</v>
      </c>
      <c r="J75" s="106" t="s">
        <v>6794</v>
      </c>
      <c r="K75" s="106" t="s">
        <v>6793</v>
      </c>
      <c r="L75" s="106" t="s">
        <v>6794</v>
      </c>
      <c r="M75" s="117"/>
      <c r="N75" s="106" t="n">
        <v>0</v>
      </c>
      <c r="O75" s="106"/>
      <c r="P75" s="27" t="s">
        <v>6818</v>
      </c>
    </row>
    <row r="76" customFormat="false" ht="15" hidden="false" customHeight="false" outlineLevel="0" collapsed="false">
      <c r="A76" s="106" t="s">
        <v>6849</v>
      </c>
      <c r="B76" s="106" t="s">
        <v>6792</v>
      </c>
      <c r="C76" s="106" t="s">
        <v>479</v>
      </c>
      <c r="D76" s="107"/>
      <c r="E76" s="107" t="n">
        <v>13684.6285714286</v>
      </c>
      <c r="F76" s="130" t="n">
        <v>0.45</v>
      </c>
      <c r="G76" s="106" t="s">
        <v>1411</v>
      </c>
      <c r="H76" s="106" t="n">
        <v>0.5</v>
      </c>
      <c r="I76" s="106" t="s">
        <v>6794</v>
      </c>
      <c r="J76" s="106" t="s">
        <v>6794</v>
      </c>
      <c r="K76" s="106" t="s">
        <v>6793</v>
      </c>
      <c r="L76" s="106" t="s">
        <v>6793</v>
      </c>
      <c r="M76" s="117"/>
      <c r="N76" s="106" t="n">
        <v>0</v>
      </c>
      <c r="O76" s="106"/>
      <c r="P76" s="27" t="s">
        <v>6805</v>
      </c>
    </row>
    <row r="77" customFormat="false" ht="15" hidden="false" customHeight="false" outlineLevel="0" collapsed="false">
      <c r="A77" s="106" t="s">
        <v>6850</v>
      </c>
      <c r="B77" s="106" t="s">
        <v>6792</v>
      </c>
      <c r="C77" s="106"/>
      <c r="D77" s="107"/>
      <c r="E77" s="107" t="n">
        <v>13631.9142857143</v>
      </c>
      <c r="F77" s="130" t="n">
        <v>0.52</v>
      </c>
      <c r="G77" s="106" t="s">
        <v>1411</v>
      </c>
      <c r="H77" s="106" t="n">
        <v>0</v>
      </c>
      <c r="I77" s="106" t="s">
        <v>6799</v>
      </c>
      <c r="J77" s="106" t="s">
        <v>6794</v>
      </c>
      <c r="K77" s="106" t="s">
        <v>6793</v>
      </c>
      <c r="L77" s="106" t="s">
        <v>6793</v>
      </c>
      <c r="M77" s="117"/>
      <c r="N77" s="106" t="n">
        <v>0</v>
      </c>
      <c r="O77" s="106"/>
      <c r="P77" s="27" t="s">
        <v>6795</v>
      </c>
    </row>
    <row r="78" customFormat="false" ht="15" hidden="false" customHeight="false" outlineLevel="0" collapsed="false">
      <c r="A78" s="106" t="s">
        <v>5394</v>
      </c>
      <c r="B78" s="106" t="s">
        <v>6792</v>
      </c>
      <c r="C78" s="106" t="s">
        <v>185</v>
      </c>
      <c r="D78" s="107"/>
      <c r="E78" s="107" t="n">
        <v>13452.6857142857</v>
      </c>
      <c r="F78" s="130" t="n">
        <v>0.7</v>
      </c>
      <c r="G78" s="106" t="s">
        <v>1411</v>
      </c>
      <c r="H78" s="106" t="n">
        <v>0.5</v>
      </c>
      <c r="I78" s="106" t="s">
        <v>6793</v>
      </c>
      <c r="J78" s="106" t="s">
        <v>6794</v>
      </c>
      <c r="K78" s="106" t="s">
        <v>6793</v>
      </c>
      <c r="L78" s="106" t="s">
        <v>6793</v>
      </c>
      <c r="M78" s="117"/>
      <c r="N78" s="106" t="n">
        <v>3</v>
      </c>
      <c r="O78" s="106" t="n">
        <v>0</v>
      </c>
      <c r="P78" s="27" t="s">
        <v>6795</v>
      </c>
    </row>
    <row r="79" customFormat="false" ht="15" hidden="false" customHeight="false" outlineLevel="0" collapsed="false">
      <c r="A79" s="106" t="s">
        <v>6851</v>
      </c>
      <c r="B79" s="106" t="s">
        <v>6792</v>
      </c>
      <c r="C79" s="106"/>
      <c r="D79" s="107"/>
      <c r="E79" s="107" t="n">
        <v>13424.5714285714</v>
      </c>
      <c r="F79" s="130" t="n">
        <v>0.65</v>
      </c>
      <c r="G79" s="106" t="s">
        <v>1411</v>
      </c>
      <c r="H79" s="106" t="n">
        <v>0</v>
      </c>
      <c r="I79" s="106" t="s">
        <v>6793</v>
      </c>
      <c r="J79" s="106" t="s">
        <v>6794</v>
      </c>
      <c r="K79" s="106" t="s">
        <v>6793</v>
      </c>
      <c r="L79" s="106" t="s">
        <v>6793</v>
      </c>
      <c r="M79" s="117"/>
      <c r="N79" s="106" t="n">
        <v>0</v>
      </c>
      <c r="O79" s="106"/>
      <c r="P79" s="27" t="s">
        <v>6795</v>
      </c>
    </row>
    <row r="80" customFormat="false" ht="15" hidden="false" customHeight="false" outlineLevel="0" collapsed="false">
      <c r="A80" s="106" t="s">
        <v>6852</v>
      </c>
      <c r="B80" s="106" t="s">
        <v>6792</v>
      </c>
      <c r="C80" s="106"/>
      <c r="D80" s="107"/>
      <c r="E80" s="107" t="n">
        <v>13196.1428571429</v>
      </c>
      <c r="F80" s="130" t="n">
        <v>0.58</v>
      </c>
      <c r="G80" s="106" t="s">
        <v>1411</v>
      </c>
      <c r="H80" s="106" t="n">
        <v>0</v>
      </c>
      <c r="I80" s="106" t="s">
        <v>6793</v>
      </c>
      <c r="J80" s="106" t="s">
        <v>6794</v>
      </c>
      <c r="K80" s="106" t="s">
        <v>6793</v>
      </c>
      <c r="L80" s="106" t="s">
        <v>6799</v>
      </c>
      <c r="M80" s="117"/>
      <c r="N80" s="106" t="n">
        <v>0</v>
      </c>
      <c r="O80" s="106"/>
      <c r="P80" s="27" t="s">
        <v>6795</v>
      </c>
    </row>
    <row r="81" customFormat="false" ht="15" hidden="false" customHeight="false" outlineLevel="0" collapsed="false">
      <c r="A81" s="106" t="s">
        <v>6853</v>
      </c>
      <c r="B81" s="106" t="s">
        <v>6792</v>
      </c>
      <c r="C81" s="106" t="s">
        <v>185</v>
      </c>
      <c r="D81" s="107" t="n">
        <v>4285</v>
      </c>
      <c r="E81" s="107" t="n">
        <v>13136.4</v>
      </c>
      <c r="F81" s="130" t="n">
        <v>0.7</v>
      </c>
      <c r="G81" s="106" t="s">
        <v>1411</v>
      </c>
      <c r="H81" s="106" t="n">
        <v>0</v>
      </c>
      <c r="I81" s="106" t="s">
        <v>6793</v>
      </c>
      <c r="J81" s="106" t="s">
        <v>6794</v>
      </c>
      <c r="K81" s="106" t="s">
        <v>6793</v>
      </c>
      <c r="L81" s="106" t="s">
        <v>6793</v>
      </c>
      <c r="M81" s="117"/>
      <c r="N81" s="106" t="n">
        <v>0</v>
      </c>
      <c r="O81" s="106"/>
      <c r="P81" s="27" t="s">
        <v>6795</v>
      </c>
    </row>
    <row r="82" customFormat="false" ht="15" hidden="false" customHeight="false" outlineLevel="0" collapsed="false">
      <c r="A82" s="106" t="s">
        <v>6854</v>
      </c>
      <c r="B82" s="106" t="s">
        <v>6792</v>
      </c>
      <c r="C82" s="106" t="s">
        <v>696</v>
      </c>
      <c r="D82" s="107"/>
      <c r="E82" s="107" t="n">
        <v>12781.4571428571</v>
      </c>
      <c r="F82" s="130" t="n">
        <v>0.7</v>
      </c>
      <c r="G82" s="106" t="s">
        <v>1411</v>
      </c>
      <c r="H82" s="106" t="n">
        <v>0</v>
      </c>
      <c r="I82" s="106" t="s">
        <v>6793</v>
      </c>
      <c r="J82" s="106" t="s">
        <v>6794</v>
      </c>
      <c r="K82" s="106" t="s">
        <v>6793</v>
      </c>
      <c r="L82" s="106" t="s">
        <v>6793</v>
      </c>
      <c r="M82" s="117"/>
      <c r="N82" s="106" t="n">
        <v>0</v>
      </c>
      <c r="O82" s="106"/>
      <c r="P82" s="27" t="s">
        <v>6795</v>
      </c>
    </row>
    <row r="83" customFormat="false" ht="15" hidden="false" customHeight="false" outlineLevel="0" collapsed="false">
      <c r="A83" s="106" t="s">
        <v>6855</v>
      </c>
      <c r="B83" s="106" t="s">
        <v>6792</v>
      </c>
      <c r="C83" s="106"/>
      <c r="D83" s="107"/>
      <c r="E83" s="107" t="n">
        <v>12145.3714285714</v>
      </c>
      <c r="F83" s="130" t="n">
        <v>0.4</v>
      </c>
      <c r="G83" s="106" t="s">
        <v>1411</v>
      </c>
      <c r="H83" s="106" t="n">
        <v>0</v>
      </c>
      <c r="I83" s="106" t="s">
        <v>6794</v>
      </c>
      <c r="J83" s="106" t="s">
        <v>6794</v>
      </c>
      <c r="K83" s="106" t="s">
        <v>6793</v>
      </c>
      <c r="L83" s="106" t="s">
        <v>6793</v>
      </c>
      <c r="M83" s="117"/>
      <c r="N83" s="106" t="n">
        <v>0</v>
      </c>
      <c r="O83" s="106"/>
      <c r="P83" s="27" t="s">
        <v>6805</v>
      </c>
    </row>
    <row r="84" customFormat="false" ht="15" hidden="false" customHeight="false" outlineLevel="0" collapsed="false">
      <c r="A84" s="106" t="s">
        <v>6856</v>
      </c>
      <c r="B84" s="106" t="s">
        <v>6792</v>
      </c>
      <c r="C84" s="106" t="s">
        <v>696</v>
      </c>
      <c r="D84" s="107"/>
      <c r="E84" s="107" t="n">
        <v>12068.0571428571</v>
      </c>
      <c r="F84" s="130" t="n">
        <v>0.7</v>
      </c>
      <c r="G84" s="106" t="s">
        <v>1411</v>
      </c>
      <c r="H84" s="106" t="n">
        <v>0</v>
      </c>
      <c r="I84" s="106" t="s">
        <v>6793</v>
      </c>
      <c r="J84" s="106" t="s">
        <v>6794</v>
      </c>
      <c r="K84" s="106" t="s">
        <v>6793</v>
      </c>
      <c r="L84" s="106" t="s">
        <v>6793</v>
      </c>
      <c r="M84" s="117"/>
      <c r="N84" s="106" t="n">
        <v>0</v>
      </c>
      <c r="O84" s="106"/>
      <c r="P84" s="27" t="s">
        <v>6795</v>
      </c>
    </row>
    <row r="85" customFormat="false" ht="15" hidden="false" customHeight="false" outlineLevel="0" collapsed="false">
      <c r="A85" s="106" t="s">
        <v>6857</v>
      </c>
      <c r="B85" s="106" t="s">
        <v>6792</v>
      </c>
      <c r="C85" s="106" t="s">
        <v>479</v>
      </c>
      <c r="D85" s="107"/>
      <c r="E85" s="107" t="n">
        <v>11572.5428571429</v>
      </c>
      <c r="F85" s="130" t="n">
        <v>0.45</v>
      </c>
      <c r="G85" s="106" t="s">
        <v>1411</v>
      </c>
      <c r="H85" s="106" t="n">
        <v>0.5</v>
      </c>
      <c r="I85" s="106" t="s">
        <v>6794</v>
      </c>
      <c r="J85" s="106" t="s">
        <v>6794</v>
      </c>
      <c r="K85" s="106" t="s">
        <v>6793</v>
      </c>
      <c r="L85" s="106" t="s">
        <v>6793</v>
      </c>
      <c r="M85" s="117"/>
      <c r="N85" s="106" t="n">
        <v>0</v>
      </c>
      <c r="O85" s="106"/>
      <c r="P85" s="27" t="s">
        <v>6805</v>
      </c>
    </row>
    <row r="86" customFormat="false" ht="15" hidden="false" customHeight="false" outlineLevel="0" collapsed="false">
      <c r="A86" s="106" t="s">
        <v>6858</v>
      </c>
      <c r="B86" s="106" t="s">
        <v>6792</v>
      </c>
      <c r="C86" s="106" t="s">
        <v>560</v>
      </c>
      <c r="D86" s="107"/>
      <c r="E86" s="107" t="n">
        <v>11256.2571428571</v>
      </c>
      <c r="F86" s="130" t="n">
        <v>0.7</v>
      </c>
      <c r="G86" s="106" t="s">
        <v>1411</v>
      </c>
      <c r="H86" s="106" t="n">
        <v>0.5</v>
      </c>
      <c r="I86" s="106" t="s">
        <v>6793</v>
      </c>
      <c r="J86" s="106" t="s">
        <v>6794</v>
      </c>
      <c r="K86" s="106" t="s">
        <v>6793</v>
      </c>
      <c r="L86" s="106" t="s">
        <v>6793</v>
      </c>
      <c r="M86" s="117"/>
      <c r="N86" s="106" t="n">
        <v>0</v>
      </c>
      <c r="O86" s="106"/>
      <c r="P86" s="27" t="s">
        <v>6795</v>
      </c>
    </row>
    <row r="87" customFormat="false" ht="15" hidden="false" customHeight="false" outlineLevel="0" collapsed="false">
      <c r="A87" s="106" t="s">
        <v>6859</v>
      </c>
      <c r="B87" s="106" t="s">
        <v>6792</v>
      </c>
      <c r="C87" s="106"/>
      <c r="D87" s="107"/>
      <c r="E87" s="107" t="n">
        <v>10968.0857142857</v>
      </c>
      <c r="F87" s="130" t="n">
        <v>0.5</v>
      </c>
      <c r="G87" s="106" t="s">
        <v>1411</v>
      </c>
      <c r="H87" s="106" t="n">
        <v>0</v>
      </c>
      <c r="I87" s="106" t="s">
        <v>6793</v>
      </c>
      <c r="J87" s="106" t="s">
        <v>6794</v>
      </c>
      <c r="K87" s="106" t="s">
        <v>6793</v>
      </c>
      <c r="L87" s="106" t="s">
        <v>6794</v>
      </c>
      <c r="M87" s="117"/>
      <c r="N87" s="106" t="n">
        <v>0</v>
      </c>
      <c r="O87" s="106"/>
      <c r="P87" s="27" t="s">
        <v>6818</v>
      </c>
    </row>
    <row r="88" customFormat="false" ht="15" hidden="false" customHeight="false" outlineLevel="0" collapsed="false">
      <c r="A88" s="106" t="s">
        <v>6860</v>
      </c>
      <c r="B88" s="106" t="s">
        <v>6792</v>
      </c>
      <c r="C88" s="106" t="s">
        <v>696</v>
      </c>
      <c r="D88" s="107"/>
      <c r="E88" s="107" t="n">
        <v>10781.8285714286</v>
      </c>
      <c r="F88" s="130" t="n">
        <v>0.45</v>
      </c>
      <c r="G88" s="106" t="s">
        <v>1411</v>
      </c>
      <c r="H88" s="106" t="n">
        <v>0</v>
      </c>
      <c r="I88" s="106" t="s">
        <v>6794</v>
      </c>
      <c r="J88" s="106" t="s">
        <v>6794</v>
      </c>
      <c r="K88" s="106" t="s">
        <v>6793</v>
      </c>
      <c r="L88" s="106" t="s">
        <v>6793</v>
      </c>
      <c r="M88" s="117"/>
      <c r="N88" s="106" t="n">
        <v>0</v>
      </c>
      <c r="O88" s="106"/>
      <c r="P88" s="27" t="s">
        <v>6805</v>
      </c>
    </row>
    <row r="89" customFormat="false" ht="15" hidden="false" customHeight="false" outlineLevel="0" collapsed="false">
      <c r="A89" s="106" t="s">
        <v>6861</v>
      </c>
      <c r="B89" s="106" t="s">
        <v>6792</v>
      </c>
      <c r="C89" s="106"/>
      <c r="D89" s="107" t="n">
        <v>8125</v>
      </c>
      <c r="E89" s="107" t="n">
        <v>10764.2571428571</v>
      </c>
      <c r="F89" s="130" t="n">
        <v>0.65</v>
      </c>
      <c r="G89" s="106" t="s">
        <v>1411</v>
      </c>
      <c r="H89" s="106" t="n">
        <v>0.5</v>
      </c>
      <c r="I89" s="106" t="s">
        <v>6793</v>
      </c>
      <c r="J89" s="106" t="s">
        <v>6794</v>
      </c>
      <c r="K89" s="106" t="s">
        <v>6793</v>
      </c>
      <c r="L89" s="106" t="s">
        <v>6793</v>
      </c>
      <c r="M89" s="117"/>
      <c r="N89" s="106" t="n">
        <v>0</v>
      </c>
      <c r="O89" s="106"/>
      <c r="P89" s="27" t="s">
        <v>6795</v>
      </c>
    </row>
    <row r="90" customFormat="false" ht="15" hidden="false" customHeight="false" outlineLevel="0" collapsed="false">
      <c r="A90" s="106" t="s">
        <v>6862</v>
      </c>
      <c r="B90" s="106" t="s">
        <v>6792</v>
      </c>
      <c r="C90" s="106" t="s">
        <v>479</v>
      </c>
      <c r="D90" s="107"/>
      <c r="E90" s="107" t="n">
        <v>10310.9142857143</v>
      </c>
      <c r="F90" s="130" t="n">
        <v>0.45</v>
      </c>
      <c r="G90" s="106" t="s">
        <v>1411</v>
      </c>
      <c r="H90" s="106" t="n">
        <v>2.5</v>
      </c>
      <c r="I90" s="106" t="s">
        <v>6794</v>
      </c>
      <c r="J90" s="106" t="s">
        <v>6794</v>
      </c>
      <c r="K90" s="106" t="s">
        <v>6793</v>
      </c>
      <c r="L90" s="106" t="s">
        <v>6793</v>
      </c>
      <c r="M90" s="117" t="n">
        <v>0.0981152993348115</v>
      </c>
      <c r="N90" s="106" t="n">
        <v>0</v>
      </c>
      <c r="O90" s="106"/>
      <c r="P90" s="27" t="s">
        <v>6805</v>
      </c>
    </row>
    <row r="91" customFormat="false" ht="15" hidden="false" customHeight="false" outlineLevel="0" collapsed="false">
      <c r="A91" s="106" t="s">
        <v>6863</v>
      </c>
      <c r="B91" s="106" t="s">
        <v>6792</v>
      </c>
      <c r="C91" s="106" t="s">
        <v>560</v>
      </c>
      <c r="D91" s="107"/>
      <c r="E91" s="107" t="n">
        <v>10198.4571428571</v>
      </c>
      <c r="F91" s="130" t="n">
        <v>0.58</v>
      </c>
      <c r="G91" s="106" t="s">
        <v>1411</v>
      </c>
      <c r="H91" s="106" t="n">
        <v>0</v>
      </c>
      <c r="I91" s="106" t="s">
        <v>6799</v>
      </c>
      <c r="J91" s="106" t="s">
        <v>6794</v>
      </c>
      <c r="K91" s="106" t="s">
        <v>6793</v>
      </c>
      <c r="L91" s="106" t="s">
        <v>6793</v>
      </c>
      <c r="M91" s="117"/>
      <c r="N91" s="106" t="n">
        <v>0</v>
      </c>
      <c r="O91" s="106"/>
      <c r="P91" s="27" t="s">
        <v>6795</v>
      </c>
    </row>
    <row r="92" customFormat="false" ht="15" hidden="false" customHeight="false" outlineLevel="0" collapsed="false">
      <c r="A92" s="106" t="s">
        <v>6864</v>
      </c>
      <c r="B92" s="106" t="s">
        <v>6792</v>
      </c>
      <c r="C92" s="106"/>
      <c r="D92" s="107" t="n">
        <v>6734</v>
      </c>
      <c r="E92" s="107" t="n">
        <v>9787.28571428571</v>
      </c>
      <c r="F92" s="130" t="n">
        <v>0.65</v>
      </c>
      <c r="G92" s="106" t="s">
        <v>1411</v>
      </c>
      <c r="H92" s="106" t="n">
        <v>0.5</v>
      </c>
      <c r="I92" s="106" t="s">
        <v>6793</v>
      </c>
      <c r="J92" s="106" t="s">
        <v>6794</v>
      </c>
      <c r="K92" s="106" t="s">
        <v>6793</v>
      </c>
      <c r="L92" s="106" t="s">
        <v>6793</v>
      </c>
      <c r="M92" s="117"/>
      <c r="N92" s="106" t="n">
        <v>0</v>
      </c>
      <c r="O92" s="106"/>
      <c r="P92" s="27" t="s">
        <v>6795</v>
      </c>
    </row>
    <row r="93" customFormat="false" ht="15" hidden="false" customHeight="false" outlineLevel="0" collapsed="false">
      <c r="A93" s="106" t="s">
        <v>6865</v>
      </c>
      <c r="B93" s="106" t="s">
        <v>6792</v>
      </c>
      <c r="C93" s="106" t="s">
        <v>696</v>
      </c>
      <c r="D93" s="107" t="n">
        <v>5918</v>
      </c>
      <c r="E93" s="107" t="n">
        <v>9509.65714285714</v>
      </c>
      <c r="F93" s="130" t="n">
        <v>0.7</v>
      </c>
      <c r="G93" s="106" t="s">
        <v>1411</v>
      </c>
      <c r="H93" s="106" t="n">
        <v>0</v>
      </c>
      <c r="I93" s="106" t="s">
        <v>6793</v>
      </c>
      <c r="J93" s="106" t="s">
        <v>6794</v>
      </c>
      <c r="K93" s="106" t="s">
        <v>6793</v>
      </c>
      <c r="L93" s="106" t="s">
        <v>6793</v>
      </c>
      <c r="M93" s="117"/>
      <c r="N93" s="106" t="n">
        <v>0</v>
      </c>
      <c r="O93" s="106"/>
      <c r="P93" s="27" t="s">
        <v>6795</v>
      </c>
    </row>
    <row r="94" customFormat="false" ht="15" hidden="false" customHeight="false" outlineLevel="0" collapsed="false">
      <c r="A94" s="106" t="s">
        <v>6866</v>
      </c>
      <c r="B94" s="106" t="s">
        <v>6792</v>
      </c>
      <c r="C94" s="106" t="s">
        <v>696</v>
      </c>
      <c r="D94" s="107"/>
      <c r="E94" s="107" t="n">
        <v>9411.25714285715</v>
      </c>
      <c r="F94" s="130" t="n">
        <v>0.58</v>
      </c>
      <c r="G94" s="106" t="s">
        <v>1411</v>
      </c>
      <c r="H94" s="106" t="n">
        <v>0</v>
      </c>
      <c r="I94" s="106" t="s">
        <v>6799</v>
      </c>
      <c r="J94" s="106" t="s">
        <v>6794</v>
      </c>
      <c r="K94" s="106" t="s">
        <v>6793</v>
      </c>
      <c r="L94" s="106" t="s">
        <v>6793</v>
      </c>
      <c r="M94" s="117"/>
      <c r="N94" s="106" t="n">
        <v>0</v>
      </c>
      <c r="O94" s="106"/>
      <c r="P94" s="27" t="s">
        <v>6795</v>
      </c>
    </row>
    <row r="95" customFormat="false" ht="15" hidden="false" customHeight="false" outlineLevel="0" collapsed="false">
      <c r="A95" s="106" t="s">
        <v>6867</v>
      </c>
      <c r="B95" s="106" t="s">
        <v>6792</v>
      </c>
      <c r="C95" s="106"/>
      <c r="D95" s="107"/>
      <c r="E95" s="107" t="n">
        <v>9274.2</v>
      </c>
      <c r="F95" s="130" t="n">
        <v>0.4</v>
      </c>
      <c r="G95" s="106" t="s">
        <v>1411</v>
      </c>
      <c r="H95" s="106" t="n">
        <v>0</v>
      </c>
      <c r="I95" s="106" t="s">
        <v>6794</v>
      </c>
      <c r="J95" s="106" t="s">
        <v>6794</v>
      </c>
      <c r="K95" s="106" t="s">
        <v>6793</v>
      </c>
      <c r="L95" s="106" t="s">
        <v>6793</v>
      </c>
      <c r="M95" s="117"/>
      <c r="N95" s="106" t="n">
        <v>0</v>
      </c>
      <c r="O95" s="106"/>
      <c r="P95" s="27" t="s">
        <v>6805</v>
      </c>
    </row>
    <row r="96" customFormat="false" ht="15" hidden="false" customHeight="false" outlineLevel="0" collapsed="false">
      <c r="A96" s="106" t="s">
        <v>6868</v>
      </c>
      <c r="B96" s="106" t="s">
        <v>6792</v>
      </c>
      <c r="C96" s="106" t="s">
        <v>185</v>
      </c>
      <c r="D96" s="107"/>
      <c r="E96" s="107" t="n">
        <v>9168.77142857143</v>
      </c>
      <c r="F96" s="130" t="n">
        <v>0.7</v>
      </c>
      <c r="G96" s="106" t="s">
        <v>1411</v>
      </c>
      <c r="H96" s="106" t="n">
        <v>0.5</v>
      </c>
      <c r="I96" s="106" t="s">
        <v>6793</v>
      </c>
      <c r="J96" s="106" t="s">
        <v>6794</v>
      </c>
      <c r="K96" s="106" t="s">
        <v>6793</v>
      </c>
      <c r="L96" s="106" t="s">
        <v>6793</v>
      </c>
      <c r="M96" s="117"/>
      <c r="N96" s="106" t="n">
        <v>0</v>
      </c>
      <c r="O96" s="106"/>
      <c r="P96" s="27" t="s">
        <v>6795</v>
      </c>
    </row>
    <row r="97" customFormat="false" ht="15" hidden="false" customHeight="false" outlineLevel="0" collapsed="false">
      <c r="A97" s="106" t="s">
        <v>6869</v>
      </c>
      <c r="B97" s="106" t="s">
        <v>6792</v>
      </c>
      <c r="C97" s="106" t="s">
        <v>185</v>
      </c>
      <c r="D97" s="107"/>
      <c r="E97" s="107" t="n">
        <v>9091.45714285714</v>
      </c>
      <c r="F97" s="130" t="n">
        <v>0.7</v>
      </c>
      <c r="G97" s="106" t="s">
        <v>1411</v>
      </c>
      <c r="H97" s="106" t="n">
        <v>0</v>
      </c>
      <c r="I97" s="106" t="s">
        <v>6793</v>
      </c>
      <c r="J97" s="106" t="s">
        <v>6794</v>
      </c>
      <c r="K97" s="106" t="s">
        <v>6793</v>
      </c>
      <c r="L97" s="106" t="s">
        <v>6793</v>
      </c>
      <c r="M97" s="117"/>
      <c r="N97" s="106" t="n">
        <v>0</v>
      </c>
      <c r="O97" s="106"/>
      <c r="P97" s="27" t="s">
        <v>6795</v>
      </c>
    </row>
    <row r="98" customFormat="false" ht="15" hidden="false" customHeight="false" outlineLevel="0" collapsed="false">
      <c r="A98" s="106" t="s">
        <v>6870</v>
      </c>
      <c r="B98" s="106" t="s">
        <v>6792</v>
      </c>
      <c r="C98" s="106"/>
      <c r="D98" s="107"/>
      <c r="E98" s="107" t="n">
        <v>9070.37142857143</v>
      </c>
      <c r="F98" s="130" t="n">
        <v>0.65</v>
      </c>
      <c r="G98" s="106" t="s">
        <v>1411</v>
      </c>
      <c r="H98" s="106" t="n">
        <v>0.5</v>
      </c>
      <c r="I98" s="106" t="s">
        <v>6793</v>
      </c>
      <c r="J98" s="106" t="s">
        <v>6794</v>
      </c>
      <c r="K98" s="106" t="s">
        <v>6793</v>
      </c>
      <c r="L98" s="106" t="s">
        <v>6793</v>
      </c>
      <c r="M98" s="117"/>
      <c r="N98" s="106" t="n">
        <v>0</v>
      </c>
      <c r="O98" s="106"/>
      <c r="P98" s="27" t="s">
        <v>6795</v>
      </c>
    </row>
    <row r="99" customFormat="false" ht="15" hidden="false" customHeight="false" outlineLevel="0" collapsed="false">
      <c r="A99" s="106" t="s">
        <v>6871</v>
      </c>
      <c r="B99" s="106" t="s">
        <v>6792</v>
      </c>
      <c r="C99" s="106"/>
      <c r="D99" s="107"/>
      <c r="E99" s="107" t="n">
        <v>8827.88571428571</v>
      </c>
      <c r="F99" s="130" t="n">
        <v>0.5</v>
      </c>
      <c r="G99" s="106" t="s">
        <v>1411</v>
      </c>
      <c r="H99" s="106" t="n">
        <v>0</v>
      </c>
      <c r="I99" s="106" t="s">
        <v>6793</v>
      </c>
      <c r="J99" s="106" t="s">
        <v>6794</v>
      </c>
      <c r="K99" s="106" t="s">
        <v>6793</v>
      </c>
      <c r="L99" s="106" t="s">
        <v>6794</v>
      </c>
      <c r="M99" s="117"/>
      <c r="N99" s="106" t="n">
        <v>0</v>
      </c>
      <c r="O99" s="106"/>
      <c r="P99" s="27" t="s">
        <v>6818</v>
      </c>
    </row>
    <row r="100" customFormat="false" ht="15" hidden="false" customHeight="false" outlineLevel="0" collapsed="false">
      <c r="A100" s="106" t="s">
        <v>6872</v>
      </c>
      <c r="B100" s="106" t="s">
        <v>6792</v>
      </c>
      <c r="C100" s="106"/>
      <c r="D100" s="107"/>
      <c r="E100" s="107" t="n">
        <v>8655.68571428571</v>
      </c>
      <c r="F100" s="130" t="n">
        <v>0.65</v>
      </c>
      <c r="G100" s="106" t="s">
        <v>1411</v>
      </c>
      <c r="H100" s="106" t="n">
        <v>0.5</v>
      </c>
      <c r="I100" s="106" t="s">
        <v>6793</v>
      </c>
      <c r="J100" s="106" t="s">
        <v>6794</v>
      </c>
      <c r="K100" s="106" t="s">
        <v>6793</v>
      </c>
      <c r="L100" s="106" t="s">
        <v>6793</v>
      </c>
      <c r="M100" s="117"/>
      <c r="N100" s="106" t="n">
        <v>0</v>
      </c>
      <c r="O100" s="106"/>
      <c r="P100" s="27" t="s">
        <v>6795</v>
      </c>
    </row>
    <row r="101" customFormat="false" ht="15" hidden="false" customHeight="false" outlineLevel="0" collapsed="false">
      <c r="A101" s="106" t="s">
        <v>6873</v>
      </c>
      <c r="B101" s="106" t="s">
        <v>6792</v>
      </c>
      <c r="C101" s="106" t="s">
        <v>185</v>
      </c>
      <c r="D101" s="107"/>
      <c r="E101" s="107" t="n">
        <v>8645.14285714286</v>
      </c>
      <c r="F101" s="130" t="n">
        <v>0.7</v>
      </c>
      <c r="G101" s="106" t="s">
        <v>1411</v>
      </c>
      <c r="H101" s="106" t="n">
        <v>0</v>
      </c>
      <c r="I101" s="106" t="s">
        <v>6793</v>
      </c>
      <c r="J101" s="106" t="s">
        <v>6794</v>
      </c>
      <c r="K101" s="106" t="s">
        <v>6793</v>
      </c>
      <c r="L101" s="106" t="s">
        <v>6793</v>
      </c>
      <c r="M101" s="117"/>
      <c r="N101" s="106" t="n">
        <v>0</v>
      </c>
      <c r="O101" s="106"/>
      <c r="P101" s="27" t="s">
        <v>6795</v>
      </c>
    </row>
    <row r="102" customFormat="false" ht="15" hidden="false" customHeight="false" outlineLevel="0" collapsed="false">
      <c r="A102" s="106" t="s">
        <v>6505</v>
      </c>
      <c r="B102" s="106" t="s">
        <v>6792</v>
      </c>
      <c r="C102" s="106" t="s">
        <v>185</v>
      </c>
      <c r="D102" s="107"/>
      <c r="E102" s="107" t="n">
        <v>8645.14285714286</v>
      </c>
      <c r="F102" s="130" t="n">
        <v>0.7</v>
      </c>
      <c r="G102" s="106" t="s">
        <v>1411</v>
      </c>
      <c r="H102" s="106" t="n">
        <v>0.5</v>
      </c>
      <c r="I102" s="106" t="s">
        <v>6793</v>
      </c>
      <c r="J102" s="106" t="s">
        <v>6794</v>
      </c>
      <c r="K102" s="106" t="s">
        <v>6793</v>
      </c>
      <c r="L102" s="106" t="s">
        <v>6793</v>
      </c>
      <c r="M102" s="117"/>
      <c r="N102" s="106" t="n">
        <v>1</v>
      </c>
      <c r="O102" s="106" t="n">
        <v>100</v>
      </c>
      <c r="P102" s="27" t="s">
        <v>6795</v>
      </c>
    </row>
    <row r="103" customFormat="false" ht="15" hidden="false" customHeight="false" outlineLevel="0" collapsed="false">
      <c r="A103" s="106" t="s">
        <v>6874</v>
      </c>
      <c r="B103" s="106" t="s">
        <v>6792</v>
      </c>
      <c r="C103" s="106" t="s">
        <v>185</v>
      </c>
      <c r="D103" s="107"/>
      <c r="E103" s="107" t="n">
        <v>8645.14285714286</v>
      </c>
      <c r="F103" s="130" t="n">
        <v>0.7</v>
      </c>
      <c r="G103" s="106" t="s">
        <v>1411</v>
      </c>
      <c r="H103" s="106" t="n">
        <v>0</v>
      </c>
      <c r="I103" s="106" t="s">
        <v>6793</v>
      </c>
      <c r="J103" s="106" t="s">
        <v>6794</v>
      </c>
      <c r="K103" s="106" t="s">
        <v>6793</v>
      </c>
      <c r="L103" s="106" t="s">
        <v>6793</v>
      </c>
      <c r="M103" s="117"/>
      <c r="N103" s="106" t="n">
        <v>0</v>
      </c>
      <c r="O103" s="106"/>
      <c r="P103" s="27" t="s">
        <v>6795</v>
      </c>
    </row>
    <row r="104" customFormat="false" ht="15" hidden="false" customHeight="false" outlineLevel="0" collapsed="false">
      <c r="A104" s="106" t="s">
        <v>6875</v>
      </c>
      <c r="B104" s="106" t="s">
        <v>6792</v>
      </c>
      <c r="C104" s="106" t="s">
        <v>560</v>
      </c>
      <c r="D104" s="107"/>
      <c r="E104" s="107" t="n">
        <v>8504.57142857143</v>
      </c>
      <c r="F104" s="130" t="n">
        <v>0.7</v>
      </c>
      <c r="G104" s="106" t="s">
        <v>1411</v>
      </c>
      <c r="H104" s="106" t="n">
        <v>0.5</v>
      </c>
      <c r="I104" s="106" t="s">
        <v>6793</v>
      </c>
      <c r="J104" s="106" t="s">
        <v>6794</v>
      </c>
      <c r="K104" s="106" t="s">
        <v>6793</v>
      </c>
      <c r="L104" s="106" t="s">
        <v>6793</v>
      </c>
      <c r="M104" s="117"/>
      <c r="N104" s="106" t="n">
        <v>0</v>
      </c>
      <c r="O104" s="106"/>
      <c r="P104" s="27" t="s">
        <v>6795</v>
      </c>
    </row>
    <row r="105" customFormat="false" ht="15" hidden="false" customHeight="false" outlineLevel="0" collapsed="false">
      <c r="A105" s="106" t="s">
        <v>6876</v>
      </c>
      <c r="B105" s="106" t="s">
        <v>6792</v>
      </c>
      <c r="C105" s="106" t="s">
        <v>696</v>
      </c>
      <c r="D105" s="107" t="n">
        <v>6238</v>
      </c>
      <c r="E105" s="107" t="n">
        <v>8458.88571428571</v>
      </c>
      <c r="F105" s="130" t="n">
        <v>0.58</v>
      </c>
      <c r="G105" s="106" t="s">
        <v>1411</v>
      </c>
      <c r="H105" s="106" t="n">
        <v>0</v>
      </c>
      <c r="I105" s="106" t="s">
        <v>6799</v>
      </c>
      <c r="J105" s="106" t="s">
        <v>6794</v>
      </c>
      <c r="K105" s="106" t="s">
        <v>6793</v>
      </c>
      <c r="L105" s="106" t="s">
        <v>6793</v>
      </c>
      <c r="M105" s="117"/>
      <c r="N105" s="106" t="n">
        <v>0</v>
      </c>
      <c r="O105" s="106"/>
      <c r="P105" s="27" t="s">
        <v>6795</v>
      </c>
    </row>
    <row r="106" customFormat="false" ht="15" hidden="false" customHeight="false" outlineLevel="0" collapsed="false">
      <c r="A106" s="106" t="s">
        <v>6877</v>
      </c>
      <c r="B106" s="106" t="s">
        <v>6792</v>
      </c>
      <c r="C106" s="106" t="s">
        <v>185</v>
      </c>
      <c r="D106" s="107"/>
      <c r="E106" s="107" t="n">
        <v>8416.71428571429</v>
      </c>
      <c r="F106" s="130" t="n">
        <v>0.7</v>
      </c>
      <c r="G106" s="106" t="s">
        <v>1411</v>
      </c>
      <c r="H106" s="106" t="n">
        <v>0.5</v>
      </c>
      <c r="I106" s="106" t="s">
        <v>6793</v>
      </c>
      <c r="J106" s="106" t="s">
        <v>6794</v>
      </c>
      <c r="K106" s="106" t="s">
        <v>6793</v>
      </c>
      <c r="L106" s="106" t="s">
        <v>6793</v>
      </c>
      <c r="M106" s="117"/>
      <c r="N106" s="106" t="n">
        <v>0</v>
      </c>
      <c r="O106" s="106"/>
      <c r="P106" s="27" t="s">
        <v>6795</v>
      </c>
    </row>
    <row r="107" customFormat="false" ht="15" hidden="false" customHeight="false" outlineLevel="0" collapsed="false">
      <c r="A107" s="106" t="s">
        <v>6878</v>
      </c>
      <c r="B107" s="106" t="s">
        <v>6792</v>
      </c>
      <c r="C107" s="106" t="s">
        <v>185</v>
      </c>
      <c r="D107" s="107"/>
      <c r="E107" s="107" t="n">
        <v>8353.45714285714</v>
      </c>
      <c r="F107" s="130" t="n">
        <v>0.7</v>
      </c>
      <c r="G107" s="106" t="s">
        <v>1411</v>
      </c>
      <c r="H107" s="106" t="n">
        <v>0.5</v>
      </c>
      <c r="I107" s="106" t="s">
        <v>6793</v>
      </c>
      <c r="J107" s="106" t="s">
        <v>6794</v>
      </c>
      <c r="K107" s="106" t="s">
        <v>6793</v>
      </c>
      <c r="L107" s="106" t="s">
        <v>6793</v>
      </c>
      <c r="M107" s="117"/>
      <c r="N107" s="106" t="n">
        <v>0</v>
      </c>
      <c r="O107" s="106"/>
      <c r="P107" s="27" t="s">
        <v>6795</v>
      </c>
    </row>
    <row r="108" customFormat="false" ht="15" hidden="false" customHeight="false" outlineLevel="0" collapsed="false">
      <c r="A108" s="106" t="s">
        <v>6879</v>
      </c>
      <c r="B108" s="106" t="s">
        <v>6792</v>
      </c>
      <c r="C108" s="106" t="s">
        <v>479</v>
      </c>
      <c r="D108" s="107"/>
      <c r="E108" s="107" t="n">
        <v>8005.54285714286</v>
      </c>
      <c r="F108" s="130" t="n">
        <v>0.7</v>
      </c>
      <c r="G108" s="106" t="s">
        <v>1411</v>
      </c>
      <c r="H108" s="106" t="n">
        <v>0</v>
      </c>
      <c r="I108" s="106" t="s">
        <v>6793</v>
      </c>
      <c r="J108" s="106" t="s">
        <v>6794</v>
      </c>
      <c r="K108" s="106" t="s">
        <v>6793</v>
      </c>
      <c r="L108" s="106" t="s">
        <v>6793</v>
      </c>
      <c r="M108" s="117"/>
      <c r="N108" s="106" t="n">
        <v>0</v>
      </c>
      <c r="O108" s="106"/>
      <c r="P108" s="27" t="s">
        <v>6795</v>
      </c>
    </row>
    <row r="109" customFormat="false" ht="15" hidden="false" customHeight="false" outlineLevel="0" collapsed="false">
      <c r="A109" s="106" t="s">
        <v>6880</v>
      </c>
      <c r="B109" s="106" t="s">
        <v>6792</v>
      </c>
      <c r="C109" s="106" t="s">
        <v>479</v>
      </c>
      <c r="D109" s="107"/>
      <c r="E109" s="107" t="n">
        <v>7467.85714285714</v>
      </c>
      <c r="F109" s="130" t="n">
        <v>0.7</v>
      </c>
      <c r="G109" s="106" t="s">
        <v>1411</v>
      </c>
      <c r="H109" s="106" t="n">
        <v>0</v>
      </c>
      <c r="I109" s="106" t="s">
        <v>6793</v>
      </c>
      <c r="J109" s="106" t="s">
        <v>6794</v>
      </c>
      <c r="K109" s="106" t="s">
        <v>6793</v>
      </c>
      <c r="L109" s="106" t="s">
        <v>6793</v>
      </c>
      <c r="M109" s="117"/>
      <c r="N109" s="106" t="n">
        <v>0</v>
      </c>
      <c r="O109" s="106"/>
      <c r="P109" s="27" t="s">
        <v>6795</v>
      </c>
    </row>
    <row r="110" customFormat="false" ht="15" hidden="false" customHeight="false" outlineLevel="0" collapsed="false">
      <c r="A110" s="106" t="s">
        <v>6881</v>
      </c>
      <c r="B110" s="106" t="s">
        <v>6792</v>
      </c>
      <c r="C110" s="106" t="s">
        <v>185</v>
      </c>
      <c r="D110" s="107"/>
      <c r="E110" s="107" t="n">
        <v>7249.97142857143</v>
      </c>
      <c r="F110" s="130" t="n">
        <v>0.58</v>
      </c>
      <c r="G110" s="106" t="s">
        <v>1411</v>
      </c>
      <c r="H110" s="106" t="n">
        <v>0</v>
      </c>
      <c r="I110" s="106" t="s">
        <v>6799</v>
      </c>
      <c r="J110" s="106" t="s">
        <v>6794</v>
      </c>
      <c r="K110" s="106" t="s">
        <v>6793</v>
      </c>
      <c r="L110" s="106" t="s">
        <v>6793</v>
      </c>
      <c r="M110" s="117"/>
      <c r="N110" s="106" t="n">
        <v>0</v>
      </c>
      <c r="O110" s="106"/>
      <c r="P110" s="27" t="s">
        <v>6795</v>
      </c>
    </row>
    <row r="111" customFormat="false" ht="15" hidden="false" customHeight="false" outlineLevel="0" collapsed="false">
      <c r="A111" s="106" t="s">
        <v>6882</v>
      </c>
      <c r="B111" s="106" t="s">
        <v>6792</v>
      </c>
      <c r="C111" s="106"/>
      <c r="D111" s="107"/>
      <c r="E111" s="107" t="n">
        <v>7176.17142857143</v>
      </c>
      <c r="F111" s="130" t="n">
        <v>0.52</v>
      </c>
      <c r="G111" s="106" t="s">
        <v>1411</v>
      </c>
      <c r="H111" s="106" t="n">
        <v>0</v>
      </c>
      <c r="I111" s="106" t="s">
        <v>6799</v>
      </c>
      <c r="J111" s="106" t="s">
        <v>6794</v>
      </c>
      <c r="K111" s="106" t="s">
        <v>6793</v>
      </c>
      <c r="L111" s="106" t="s">
        <v>6793</v>
      </c>
      <c r="M111" s="117"/>
      <c r="N111" s="106" t="n">
        <v>0</v>
      </c>
      <c r="O111" s="106"/>
      <c r="P111" s="27" t="s">
        <v>6795</v>
      </c>
    </row>
    <row r="112" customFormat="false" ht="15" hidden="false" customHeight="false" outlineLevel="0" collapsed="false">
      <c r="A112" s="106" t="s">
        <v>6883</v>
      </c>
      <c r="B112" s="106" t="s">
        <v>6792</v>
      </c>
      <c r="C112" s="106" t="s">
        <v>185</v>
      </c>
      <c r="D112" s="107"/>
      <c r="E112" s="107" t="n">
        <v>6754.45714285714</v>
      </c>
      <c r="F112" s="130" t="n">
        <v>0.45</v>
      </c>
      <c r="G112" s="106" t="s">
        <v>1411</v>
      </c>
      <c r="H112" s="106" t="n">
        <v>0</v>
      </c>
      <c r="I112" s="106" t="s">
        <v>6794</v>
      </c>
      <c r="J112" s="106" t="s">
        <v>6794</v>
      </c>
      <c r="K112" s="106" t="s">
        <v>6793</v>
      </c>
      <c r="L112" s="106" t="s">
        <v>6793</v>
      </c>
      <c r="M112" s="117"/>
      <c r="N112" s="106" t="n">
        <v>0</v>
      </c>
      <c r="O112" s="106"/>
      <c r="P112" s="27" t="s">
        <v>6805</v>
      </c>
    </row>
    <row r="113" customFormat="false" ht="15" hidden="false" customHeight="false" outlineLevel="0" collapsed="false">
      <c r="A113" s="106" t="s">
        <v>6884</v>
      </c>
      <c r="B113" s="106" t="s">
        <v>6792</v>
      </c>
      <c r="C113" s="106"/>
      <c r="D113" s="107"/>
      <c r="E113" s="107" t="n">
        <v>6740.4</v>
      </c>
      <c r="F113" s="130" t="n">
        <v>0.7</v>
      </c>
      <c r="G113" s="106" t="s">
        <v>1411</v>
      </c>
      <c r="H113" s="106" t="n">
        <v>0</v>
      </c>
      <c r="I113" s="106" t="s">
        <v>6794</v>
      </c>
      <c r="J113" s="106" t="s">
        <v>6793</v>
      </c>
      <c r="K113" s="106" t="s">
        <v>6793</v>
      </c>
      <c r="L113" s="106" t="s">
        <v>6793</v>
      </c>
      <c r="M113" s="117"/>
      <c r="N113" s="106" t="n">
        <v>0</v>
      </c>
      <c r="O113" s="106"/>
      <c r="P113" s="27" t="s">
        <v>6885</v>
      </c>
    </row>
    <row r="114" customFormat="false" ht="15" hidden="false" customHeight="false" outlineLevel="0" collapsed="false">
      <c r="A114" s="106" t="s">
        <v>6886</v>
      </c>
      <c r="B114" s="106" t="s">
        <v>6792</v>
      </c>
      <c r="C114" s="106"/>
      <c r="D114" s="107"/>
      <c r="E114" s="107" t="n">
        <v>6606.85714285714</v>
      </c>
      <c r="F114" s="130" t="n">
        <v>0.65</v>
      </c>
      <c r="G114" s="106" t="s">
        <v>1411</v>
      </c>
      <c r="H114" s="106" t="n">
        <v>0.5</v>
      </c>
      <c r="I114" s="106" t="s">
        <v>6793</v>
      </c>
      <c r="J114" s="106" t="s">
        <v>6794</v>
      </c>
      <c r="K114" s="106" t="s">
        <v>6793</v>
      </c>
      <c r="L114" s="106" t="s">
        <v>6793</v>
      </c>
      <c r="M114" s="117"/>
      <c r="N114" s="106" t="n">
        <v>0</v>
      </c>
      <c r="O114" s="106"/>
      <c r="P114" s="27" t="s">
        <v>6795</v>
      </c>
    </row>
    <row r="115" customFormat="false" ht="15" hidden="false" customHeight="false" outlineLevel="0" collapsed="false">
      <c r="A115" s="106" t="s">
        <v>6887</v>
      </c>
      <c r="B115" s="106" t="s">
        <v>6792</v>
      </c>
      <c r="C115" s="106"/>
      <c r="D115" s="107"/>
      <c r="E115" s="107" t="n">
        <v>6378.42857142857</v>
      </c>
      <c r="F115" s="130" t="n">
        <v>0.65</v>
      </c>
      <c r="G115" s="106" t="s">
        <v>1411</v>
      </c>
      <c r="H115" s="106" t="n">
        <v>0</v>
      </c>
      <c r="I115" s="106" t="s">
        <v>6793</v>
      </c>
      <c r="J115" s="106" t="s">
        <v>6794</v>
      </c>
      <c r="K115" s="106" t="s">
        <v>6793</v>
      </c>
      <c r="L115" s="106" t="s">
        <v>6793</v>
      </c>
      <c r="M115" s="117"/>
      <c r="N115" s="106" t="n">
        <v>0</v>
      </c>
      <c r="O115" s="106"/>
      <c r="P115" s="27" t="s">
        <v>6795</v>
      </c>
    </row>
    <row r="116" customFormat="false" ht="15" hidden="false" customHeight="false" outlineLevel="0" collapsed="false">
      <c r="A116" s="106" t="s">
        <v>6888</v>
      </c>
      <c r="B116" s="106" t="s">
        <v>6792</v>
      </c>
      <c r="C116" s="106"/>
      <c r="D116" s="107"/>
      <c r="E116" s="107" t="n">
        <v>6283.54285714286</v>
      </c>
      <c r="F116" s="130" t="n">
        <v>0.65</v>
      </c>
      <c r="G116" s="106" t="s">
        <v>1411</v>
      </c>
      <c r="H116" s="106" t="n">
        <v>0.5</v>
      </c>
      <c r="I116" s="106" t="s">
        <v>6793</v>
      </c>
      <c r="J116" s="106" t="s">
        <v>6794</v>
      </c>
      <c r="K116" s="106" t="s">
        <v>6793</v>
      </c>
      <c r="L116" s="106" t="s">
        <v>6793</v>
      </c>
      <c r="M116" s="117"/>
      <c r="N116" s="106" t="n">
        <v>0</v>
      </c>
      <c r="O116" s="106"/>
      <c r="P116" s="27" t="s">
        <v>6795</v>
      </c>
    </row>
    <row r="117" customFormat="false" ht="15" hidden="false" customHeight="false" outlineLevel="0" collapsed="false">
      <c r="A117" s="106" t="s">
        <v>6889</v>
      </c>
      <c r="B117" s="106" t="s">
        <v>6792</v>
      </c>
      <c r="C117" s="106" t="s">
        <v>185</v>
      </c>
      <c r="D117" s="107"/>
      <c r="E117" s="107" t="n">
        <v>6258.94285714286</v>
      </c>
      <c r="F117" s="130" t="n">
        <v>0.7</v>
      </c>
      <c r="G117" s="106" t="s">
        <v>1411</v>
      </c>
      <c r="H117" s="106" t="n">
        <v>0.5</v>
      </c>
      <c r="I117" s="106" t="s">
        <v>6793</v>
      </c>
      <c r="J117" s="106" t="s">
        <v>6794</v>
      </c>
      <c r="K117" s="106" t="s">
        <v>6793</v>
      </c>
      <c r="L117" s="106" t="s">
        <v>6793</v>
      </c>
      <c r="M117" s="117"/>
      <c r="N117" s="106" t="n">
        <v>0</v>
      </c>
      <c r="O117" s="106"/>
      <c r="P117" s="27" t="s">
        <v>6795</v>
      </c>
    </row>
    <row r="118" customFormat="false" ht="15" hidden="false" customHeight="false" outlineLevel="0" collapsed="false">
      <c r="A118" s="106" t="s">
        <v>6890</v>
      </c>
      <c r="B118" s="106" t="s">
        <v>6792</v>
      </c>
      <c r="C118" s="106" t="s">
        <v>560</v>
      </c>
      <c r="D118" s="107"/>
      <c r="E118" s="107" t="n">
        <v>6202.71428571429</v>
      </c>
      <c r="F118" s="130" t="n">
        <v>0.7</v>
      </c>
      <c r="G118" s="106" t="s">
        <v>1411</v>
      </c>
      <c r="H118" s="106" t="n">
        <v>0.5</v>
      </c>
      <c r="I118" s="106" t="s">
        <v>6793</v>
      </c>
      <c r="J118" s="106" t="s">
        <v>6794</v>
      </c>
      <c r="K118" s="106" t="s">
        <v>6793</v>
      </c>
      <c r="L118" s="106" t="s">
        <v>6793</v>
      </c>
      <c r="M118" s="117"/>
      <c r="N118" s="106" t="n">
        <v>0</v>
      </c>
      <c r="O118" s="106"/>
      <c r="P118" s="27" t="s">
        <v>6795</v>
      </c>
    </row>
    <row r="119" customFormat="false" ht="15" hidden="false" customHeight="false" outlineLevel="0" collapsed="false">
      <c r="A119" s="106" t="s">
        <v>6891</v>
      </c>
      <c r="B119" s="106" t="s">
        <v>6792</v>
      </c>
      <c r="C119" s="106"/>
      <c r="D119" s="107"/>
      <c r="E119" s="107" t="n">
        <v>6192.17142857143</v>
      </c>
      <c r="F119" s="130" t="n">
        <v>0.5</v>
      </c>
      <c r="G119" s="106" t="s">
        <v>1411</v>
      </c>
      <c r="H119" s="106" t="n">
        <v>0</v>
      </c>
      <c r="I119" s="106" t="s">
        <v>6793</v>
      </c>
      <c r="J119" s="106" t="s">
        <v>6794</v>
      </c>
      <c r="K119" s="106" t="s">
        <v>6793</v>
      </c>
      <c r="L119" s="106" t="s">
        <v>6794</v>
      </c>
      <c r="M119" s="117"/>
      <c r="N119" s="106" t="n">
        <v>0</v>
      </c>
      <c r="O119" s="106"/>
      <c r="P119" s="27" t="s">
        <v>6818</v>
      </c>
    </row>
    <row r="120" customFormat="false" ht="15" hidden="false" customHeight="false" outlineLevel="0" collapsed="false">
      <c r="A120" s="106" t="s">
        <v>6892</v>
      </c>
      <c r="B120" s="106" t="s">
        <v>6792</v>
      </c>
      <c r="C120" s="106"/>
      <c r="D120" s="107"/>
      <c r="E120" s="107" t="n">
        <v>6192.17142857143</v>
      </c>
      <c r="F120" s="130" t="n">
        <v>0.65</v>
      </c>
      <c r="G120" s="106" t="s">
        <v>1411</v>
      </c>
      <c r="H120" s="106" t="n">
        <v>0.5</v>
      </c>
      <c r="I120" s="106" t="s">
        <v>6793</v>
      </c>
      <c r="J120" s="106" t="s">
        <v>6794</v>
      </c>
      <c r="K120" s="106" t="s">
        <v>6793</v>
      </c>
      <c r="L120" s="106" t="s">
        <v>6793</v>
      </c>
      <c r="M120" s="117"/>
      <c r="N120" s="106" t="n">
        <v>0</v>
      </c>
      <c r="O120" s="106"/>
      <c r="P120" s="27" t="s">
        <v>6795</v>
      </c>
    </row>
    <row r="121" customFormat="false" ht="15" hidden="false" customHeight="false" outlineLevel="0" collapsed="false">
      <c r="A121" s="106" t="s">
        <v>6893</v>
      </c>
      <c r="B121" s="106" t="s">
        <v>6792</v>
      </c>
      <c r="C121" s="106" t="s">
        <v>185</v>
      </c>
      <c r="D121" s="107"/>
      <c r="E121" s="107" t="n">
        <v>6181.62857142857</v>
      </c>
      <c r="F121" s="130" t="n">
        <v>0.7</v>
      </c>
      <c r="G121" s="106" t="s">
        <v>1411</v>
      </c>
      <c r="H121" s="106" t="n">
        <v>0.5</v>
      </c>
      <c r="I121" s="106" t="s">
        <v>6793</v>
      </c>
      <c r="J121" s="106" t="s">
        <v>6794</v>
      </c>
      <c r="K121" s="106" t="s">
        <v>6793</v>
      </c>
      <c r="L121" s="106" t="s">
        <v>6793</v>
      </c>
      <c r="M121" s="117"/>
      <c r="N121" s="106" t="n">
        <v>0</v>
      </c>
      <c r="O121" s="106"/>
      <c r="P121" s="27" t="s">
        <v>6795</v>
      </c>
    </row>
    <row r="122" customFormat="false" ht="15" hidden="false" customHeight="false" outlineLevel="0" collapsed="false">
      <c r="A122" s="106" t="s">
        <v>6894</v>
      </c>
      <c r="B122" s="106" t="s">
        <v>6792</v>
      </c>
      <c r="C122" s="106"/>
      <c r="D122" s="107"/>
      <c r="E122" s="107" t="n">
        <v>6135.94285714286</v>
      </c>
      <c r="F122" s="130" t="n">
        <v>0.65</v>
      </c>
      <c r="G122" s="106" t="s">
        <v>1411</v>
      </c>
      <c r="H122" s="106" t="n">
        <v>0</v>
      </c>
      <c r="I122" s="106" t="s">
        <v>6793</v>
      </c>
      <c r="J122" s="106" t="s">
        <v>6794</v>
      </c>
      <c r="K122" s="106" t="s">
        <v>6793</v>
      </c>
      <c r="L122" s="106" t="s">
        <v>6793</v>
      </c>
      <c r="M122" s="117"/>
      <c r="N122" s="106" t="n">
        <v>0</v>
      </c>
      <c r="O122" s="106"/>
      <c r="P122" s="27" t="s">
        <v>6795</v>
      </c>
    </row>
    <row r="123" customFormat="false" ht="15" hidden="false" customHeight="false" outlineLevel="0" collapsed="false">
      <c r="A123" s="106" t="s">
        <v>4317</v>
      </c>
      <c r="B123" s="106" t="s">
        <v>6792</v>
      </c>
      <c r="C123" s="106" t="s">
        <v>185</v>
      </c>
      <c r="D123" s="107"/>
      <c r="E123" s="107" t="n">
        <v>6111.34285714286</v>
      </c>
      <c r="F123" s="130" t="n">
        <v>0.7</v>
      </c>
      <c r="G123" s="106" t="s">
        <v>1411</v>
      </c>
      <c r="H123" s="106" t="n">
        <v>0</v>
      </c>
      <c r="I123" s="106" t="s">
        <v>6793</v>
      </c>
      <c r="J123" s="106" t="s">
        <v>6794</v>
      </c>
      <c r="K123" s="106" t="s">
        <v>6793</v>
      </c>
      <c r="L123" s="106" t="s">
        <v>6793</v>
      </c>
      <c r="M123" s="117"/>
      <c r="N123" s="106" t="n">
        <v>0</v>
      </c>
      <c r="O123" s="106"/>
      <c r="P123" s="27" t="s">
        <v>6795</v>
      </c>
    </row>
    <row r="124" customFormat="false" ht="15" hidden="false" customHeight="false" outlineLevel="0" collapsed="false">
      <c r="A124" s="106" t="s">
        <v>6895</v>
      </c>
      <c r="B124" s="106" t="s">
        <v>6792</v>
      </c>
      <c r="C124" s="106" t="s">
        <v>185</v>
      </c>
      <c r="D124" s="107"/>
      <c r="E124" s="107" t="n">
        <v>6076.2</v>
      </c>
      <c r="F124" s="130" t="n">
        <v>0.7</v>
      </c>
      <c r="G124" s="106" t="s">
        <v>1411</v>
      </c>
      <c r="H124" s="106" t="n">
        <v>0</v>
      </c>
      <c r="I124" s="106" t="s">
        <v>6793</v>
      </c>
      <c r="J124" s="106" t="s">
        <v>6794</v>
      </c>
      <c r="K124" s="106" t="s">
        <v>6793</v>
      </c>
      <c r="L124" s="106" t="s">
        <v>6793</v>
      </c>
      <c r="M124" s="117"/>
      <c r="N124" s="106" t="n">
        <v>0</v>
      </c>
      <c r="O124" s="106"/>
      <c r="P124" s="27" t="s">
        <v>6795</v>
      </c>
    </row>
    <row r="125" customFormat="false" ht="15" hidden="false" customHeight="false" outlineLevel="0" collapsed="false">
      <c r="A125" s="106" t="s">
        <v>6896</v>
      </c>
      <c r="B125" s="106" t="s">
        <v>6792</v>
      </c>
      <c r="C125" s="106"/>
      <c r="D125" s="107"/>
      <c r="E125" s="107" t="n">
        <v>6002.4</v>
      </c>
      <c r="F125" s="130" t="n">
        <v>0.4</v>
      </c>
      <c r="G125" s="106" t="s">
        <v>1411</v>
      </c>
      <c r="H125" s="106" t="n">
        <v>0</v>
      </c>
      <c r="I125" s="106" t="s">
        <v>6794</v>
      </c>
      <c r="J125" s="106" t="s">
        <v>6794</v>
      </c>
      <c r="K125" s="106" t="s">
        <v>6793</v>
      </c>
      <c r="L125" s="106" t="s">
        <v>6793</v>
      </c>
      <c r="M125" s="117"/>
      <c r="N125" s="106" t="n">
        <v>0</v>
      </c>
      <c r="O125" s="106"/>
      <c r="P125" s="27" t="s">
        <v>6805</v>
      </c>
    </row>
    <row r="126" customFormat="false" ht="15" hidden="false" customHeight="false" outlineLevel="0" collapsed="false">
      <c r="A126" s="106" t="s">
        <v>6897</v>
      </c>
      <c r="B126" s="106" t="s">
        <v>6792</v>
      </c>
      <c r="C126" s="106" t="s">
        <v>696</v>
      </c>
      <c r="D126" s="107"/>
      <c r="E126" s="107" t="n">
        <v>5981.31428571429</v>
      </c>
      <c r="F126" s="130" t="n">
        <v>0.45</v>
      </c>
      <c r="G126" s="106" t="s">
        <v>1411</v>
      </c>
      <c r="H126" s="106" t="n">
        <v>0</v>
      </c>
      <c r="I126" s="106" t="s">
        <v>6794</v>
      </c>
      <c r="J126" s="106" t="s">
        <v>6794</v>
      </c>
      <c r="K126" s="106" t="s">
        <v>6793</v>
      </c>
      <c r="L126" s="106" t="s">
        <v>6793</v>
      </c>
      <c r="M126" s="117"/>
      <c r="N126" s="106" t="n">
        <v>0</v>
      </c>
      <c r="O126" s="106"/>
      <c r="P126" s="27" t="s">
        <v>6805</v>
      </c>
    </row>
    <row r="127" customFormat="false" ht="15" hidden="false" customHeight="false" outlineLevel="0" collapsed="false">
      <c r="A127" s="106" t="s">
        <v>6898</v>
      </c>
      <c r="B127" s="106" t="s">
        <v>6792</v>
      </c>
      <c r="C127" s="106" t="s">
        <v>479</v>
      </c>
      <c r="D127" s="107"/>
      <c r="E127" s="107" t="n">
        <v>5911.02857142857</v>
      </c>
      <c r="F127" s="130" t="n">
        <v>0.7</v>
      </c>
      <c r="G127" s="106" t="s">
        <v>1411</v>
      </c>
      <c r="H127" s="106" t="n">
        <v>0</v>
      </c>
      <c r="I127" s="106" t="s">
        <v>6793</v>
      </c>
      <c r="J127" s="106" t="s">
        <v>6794</v>
      </c>
      <c r="K127" s="106" t="s">
        <v>6793</v>
      </c>
      <c r="L127" s="106" t="s">
        <v>6793</v>
      </c>
      <c r="M127" s="117"/>
      <c r="N127" s="106" t="n">
        <v>0</v>
      </c>
      <c r="O127" s="106"/>
      <c r="P127" s="27" t="s">
        <v>6795</v>
      </c>
    </row>
    <row r="128" customFormat="false" ht="15" hidden="false" customHeight="false" outlineLevel="0" collapsed="false">
      <c r="A128" s="106" t="s">
        <v>6899</v>
      </c>
      <c r="B128" s="106" t="s">
        <v>6792</v>
      </c>
      <c r="C128" s="106" t="s">
        <v>479</v>
      </c>
      <c r="D128" s="107"/>
      <c r="E128" s="107" t="n">
        <v>5896.97142857143</v>
      </c>
      <c r="F128" s="130" t="n">
        <v>0.58</v>
      </c>
      <c r="G128" s="106" t="s">
        <v>1411</v>
      </c>
      <c r="H128" s="106" t="n">
        <v>0</v>
      </c>
      <c r="I128" s="106" t="s">
        <v>6799</v>
      </c>
      <c r="J128" s="106" t="s">
        <v>6794</v>
      </c>
      <c r="K128" s="106" t="s">
        <v>6793</v>
      </c>
      <c r="L128" s="106" t="s">
        <v>6793</v>
      </c>
      <c r="M128" s="117"/>
      <c r="N128" s="106" t="n">
        <v>0</v>
      </c>
      <c r="O128" s="106"/>
      <c r="P128" s="27" t="s">
        <v>6795</v>
      </c>
    </row>
    <row r="129" customFormat="false" ht="15" hidden="false" customHeight="false" outlineLevel="0" collapsed="false">
      <c r="A129" s="106" t="s">
        <v>6900</v>
      </c>
      <c r="B129" s="106" t="s">
        <v>6792</v>
      </c>
      <c r="C129" s="106"/>
      <c r="D129" s="107"/>
      <c r="E129" s="107" t="n">
        <v>5823.17142857143</v>
      </c>
      <c r="F129" s="130" t="n">
        <v>0.52</v>
      </c>
      <c r="G129" s="106" t="s">
        <v>1411</v>
      </c>
      <c r="H129" s="106" t="n">
        <v>0</v>
      </c>
      <c r="I129" s="106" t="s">
        <v>6799</v>
      </c>
      <c r="J129" s="106" t="s">
        <v>6794</v>
      </c>
      <c r="K129" s="106" t="s">
        <v>6793</v>
      </c>
      <c r="L129" s="106" t="s">
        <v>6793</v>
      </c>
      <c r="M129" s="117"/>
      <c r="N129" s="106" t="n">
        <v>0</v>
      </c>
      <c r="O129" s="106"/>
      <c r="P129" s="27" t="s">
        <v>6795</v>
      </c>
    </row>
    <row r="130" customFormat="false" ht="15" hidden="false" customHeight="false" outlineLevel="0" collapsed="false">
      <c r="A130" s="106" t="s">
        <v>6901</v>
      </c>
      <c r="B130" s="106" t="s">
        <v>6792</v>
      </c>
      <c r="C130" s="106" t="s">
        <v>422</v>
      </c>
      <c r="D130" s="107" t="n">
        <v>4959</v>
      </c>
      <c r="E130" s="107" t="n">
        <v>5812.62857142857</v>
      </c>
      <c r="F130" s="130" t="n">
        <v>0.7</v>
      </c>
      <c r="G130" s="106" t="s">
        <v>1411</v>
      </c>
      <c r="H130" s="106" t="n">
        <v>0.5</v>
      </c>
      <c r="I130" s="106" t="s">
        <v>6793</v>
      </c>
      <c r="J130" s="106" t="s">
        <v>6794</v>
      </c>
      <c r="K130" s="106" t="s">
        <v>6793</v>
      </c>
      <c r="L130" s="106" t="s">
        <v>6793</v>
      </c>
      <c r="M130" s="117"/>
      <c r="N130" s="106" t="n">
        <v>0</v>
      </c>
      <c r="O130" s="106"/>
      <c r="P130" s="27" t="s">
        <v>6795</v>
      </c>
    </row>
    <row r="131" customFormat="false" ht="15" hidden="false" customHeight="false" outlineLevel="0" collapsed="false">
      <c r="A131" s="106" t="s">
        <v>6902</v>
      </c>
      <c r="B131" s="106" t="s">
        <v>6792</v>
      </c>
      <c r="C131" s="106" t="s">
        <v>560</v>
      </c>
      <c r="D131" s="107"/>
      <c r="E131" s="107" t="n">
        <v>5707.2</v>
      </c>
      <c r="F131" s="130" t="n">
        <v>0.45</v>
      </c>
      <c r="G131" s="106" t="s">
        <v>1411</v>
      </c>
      <c r="H131" s="106" t="n">
        <v>0</v>
      </c>
      <c r="I131" s="106" t="s">
        <v>6794</v>
      </c>
      <c r="J131" s="106" t="s">
        <v>6794</v>
      </c>
      <c r="K131" s="106" t="s">
        <v>6793</v>
      </c>
      <c r="L131" s="106" t="s">
        <v>6793</v>
      </c>
      <c r="M131" s="117"/>
      <c r="N131" s="106" t="n">
        <v>0</v>
      </c>
      <c r="O131" s="106"/>
      <c r="P131" s="27" t="s">
        <v>6805</v>
      </c>
    </row>
    <row r="132" customFormat="false" ht="15" hidden="false" customHeight="false" outlineLevel="0" collapsed="false">
      <c r="A132" s="106" t="s">
        <v>6903</v>
      </c>
      <c r="B132" s="106" t="s">
        <v>6792</v>
      </c>
      <c r="C132" s="106"/>
      <c r="D132" s="107" t="n">
        <v>4712</v>
      </c>
      <c r="E132" s="107" t="n">
        <v>5661.51428571429</v>
      </c>
      <c r="F132" s="130" t="n">
        <v>0.65</v>
      </c>
      <c r="G132" s="106" t="s">
        <v>1411</v>
      </c>
      <c r="H132" s="106" t="n">
        <v>0.5</v>
      </c>
      <c r="I132" s="106" t="s">
        <v>6793</v>
      </c>
      <c r="J132" s="106" t="s">
        <v>6794</v>
      </c>
      <c r="K132" s="106" t="s">
        <v>6793</v>
      </c>
      <c r="L132" s="106" t="s">
        <v>6793</v>
      </c>
      <c r="M132" s="117"/>
      <c r="N132" s="106" t="n">
        <v>0</v>
      </c>
      <c r="O132" s="106"/>
      <c r="P132" s="27" t="s">
        <v>6795</v>
      </c>
    </row>
    <row r="133" customFormat="false" ht="15" hidden="false" customHeight="false" outlineLevel="0" collapsed="false">
      <c r="A133" s="106" t="s">
        <v>6904</v>
      </c>
      <c r="B133" s="106" t="s">
        <v>6792</v>
      </c>
      <c r="C133" s="106" t="s">
        <v>185</v>
      </c>
      <c r="D133" s="107"/>
      <c r="E133" s="107" t="n">
        <v>5591.22857142857</v>
      </c>
      <c r="F133" s="130" t="n">
        <v>0.45</v>
      </c>
      <c r="G133" s="106" t="s">
        <v>1411</v>
      </c>
      <c r="H133" s="106" t="n">
        <v>2</v>
      </c>
      <c r="I133" s="106" t="s">
        <v>6794</v>
      </c>
      <c r="J133" s="106" t="s">
        <v>6794</v>
      </c>
      <c r="K133" s="106" t="s">
        <v>6793</v>
      </c>
      <c r="L133" s="106" t="s">
        <v>6793</v>
      </c>
      <c r="M133" s="117" t="n">
        <v>0.0938664859369705</v>
      </c>
      <c r="N133" s="106" t="n">
        <v>0</v>
      </c>
      <c r="O133" s="106"/>
      <c r="P133" s="27" t="s">
        <v>6805</v>
      </c>
    </row>
    <row r="134" customFormat="false" ht="15" hidden="false" customHeight="false" outlineLevel="0" collapsed="false">
      <c r="A134" s="106" t="s">
        <v>6905</v>
      </c>
      <c r="B134" s="106" t="s">
        <v>6792</v>
      </c>
      <c r="C134" s="106" t="s">
        <v>560</v>
      </c>
      <c r="D134" s="107"/>
      <c r="E134" s="107" t="n">
        <v>5570.14285714286</v>
      </c>
      <c r="F134" s="130" t="n">
        <v>0.45</v>
      </c>
      <c r="G134" s="106" t="s">
        <v>1411</v>
      </c>
      <c r="H134" s="106" t="n">
        <v>0</v>
      </c>
      <c r="I134" s="106" t="s">
        <v>6794</v>
      </c>
      <c r="J134" s="106" t="s">
        <v>6794</v>
      </c>
      <c r="K134" s="106" t="s">
        <v>6793</v>
      </c>
      <c r="L134" s="106" t="s">
        <v>6793</v>
      </c>
      <c r="M134" s="117"/>
      <c r="N134" s="106" t="n">
        <v>0</v>
      </c>
      <c r="O134" s="106"/>
      <c r="P134" s="27" t="s">
        <v>6805</v>
      </c>
    </row>
    <row r="135" customFormat="false" ht="15" hidden="false" customHeight="false" outlineLevel="0" collapsed="false">
      <c r="A135" s="106" t="s">
        <v>6906</v>
      </c>
      <c r="B135" s="106" t="s">
        <v>6792</v>
      </c>
      <c r="C135" s="106"/>
      <c r="D135" s="107"/>
      <c r="E135" s="107" t="n">
        <v>5513.91428571429</v>
      </c>
      <c r="F135" s="130" t="n">
        <v>0.65</v>
      </c>
      <c r="G135" s="106" t="s">
        <v>1411</v>
      </c>
      <c r="H135" s="106" t="n">
        <v>0.5</v>
      </c>
      <c r="I135" s="106" t="s">
        <v>6793</v>
      </c>
      <c r="J135" s="106" t="s">
        <v>6794</v>
      </c>
      <c r="K135" s="106" t="s">
        <v>6793</v>
      </c>
      <c r="L135" s="106" t="s">
        <v>6793</v>
      </c>
      <c r="M135" s="117"/>
      <c r="N135" s="106" t="n">
        <v>0</v>
      </c>
      <c r="O135" s="106"/>
      <c r="P135" s="27" t="s">
        <v>6795</v>
      </c>
    </row>
    <row r="136" customFormat="false" ht="15" hidden="false" customHeight="false" outlineLevel="0" collapsed="false">
      <c r="A136" s="106" t="s">
        <v>6907</v>
      </c>
      <c r="B136" s="106" t="s">
        <v>6792</v>
      </c>
      <c r="C136" s="106"/>
      <c r="D136" s="107" t="n">
        <v>4438</v>
      </c>
      <c r="E136" s="107" t="n">
        <v>5513.91428571429</v>
      </c>
      <c r="F136" s="130" t="n">
        <v>0.65</v>
      </c>
      <c r="G136" s="106" t="s">
        <v>1411</v>
      </c>
      <c r="H136" s="106" t="n">
        <v>1</v>
      </c>
      <c r="I136" s="106" t="s">
        <v>6793</v>
      </c>
      <c r="J136" s="106" t="s">
        <v>6794</v>
      </c>
      <c r="K136" s="106" t="s">
        <v>6793</v>
      </c>
      <c r="L136" s="106" t="s">
        <v>6793</v>
      </c>
      <c r="M136" s="117"/>
      <c r="N136" s="106" t="n">
        <v>0</v>
      </c>
      <c r="O136" s="106"/>
      <c r="P136" s="27" t="s">
        <v>6795</v>
      </c>
    </row>
    <row r="137" customFormat="false" ht="15" hidden="false" customHeight="false" outlineLevel="0" collapsed="false">
      <c r="A137" s="106" t="s">
        <v>6908</v>
      </c>
      <c r="B137" s="106" t="s">
        <v>6792</v>
      </c>
      <c r="C137" s="106" t="s">
        <v>479</v>
      </c>
      <c r="D137" s="107"/>
      <c r="E137" s="107" t="n">
        <v>5468.22857142857</v>
      </c>
      <c r="F137" s="130" t="n">
        <v>0.7</v>
      </c>
      <c r="G137" s="106" t="s">
        <v>1411</v>
      </c>
      <c r="H137" s="106" t="n">
        <v>0</v>
      </c>
      <c r="I137" s="106" t="s">
        <v>6793</v>
      </c>
      <c r="J137" s="106" t="s">
        <v>6794</v>
      </c>
      <c r="K137" s="106" t="s">
        <v>6793</v>
      </c>
      <c r="L137" s="106" t="s">
        <v>6793</v>
      </c>
      <c r="M137" s="117"/>
      <c r="N137" s="106" t="n">
        <v>0</v>
      </c>
      <c r="O137" s="106"/>
      <c r="P137" s="27" t="s">
        <v>6795</v>
      </c>
    </row>
    <row r="138" customFormat="false" ht="15" hidden="false" customHeight="false" outlineLevel="0" collapsed="false">
      <c r="A138" s="106" t="s">
        <v>6909</v>
      </c>
      <c r="B138" s="106" t="s">
        <v>6792</v>
      </c>
      <c r="C138" s="106"/>
      <c r="D138" s="107"/>
      <c r="E138" s="107" t="n">
        <v>5443.62857142857</v>
      </c>
      <c r="F138" s="130" t="n">
        <v>0.65</v>
      </c>
      <c r="G138" s="106" t="s">
        <v>1411</v>
      </c>
      <c r="H138" s="106" t="n">
        <v>0.5</v>
      </c>
      <c r="I138" s="106" t="s">
        <v>6793</v>
      </c>
      <c r="J138" s="106" t="s">
        <v>6794</v>
      </c>
      <c r="K138" s="106" t="s">
        <v>6793</v>
      </c>
      <c r="L138" s="106" t="s">
        <v>6793</v>
      </c>
      <c r="M138" s="117"/>
      <c r="N138" s="106" t="n">
        <v>0</v>
      </c>
      <c r="O138" s="106"/>
      <c r="P138" s="27" t="s">
        <v>6795</v>
      </c>
    </row>
    <row r="139" customFormat="false" ht="15" hidden="false" customHeight="false" outlineLevel="0" collapsed="false">
      <c r="A139" s="106" t="s">
        <v>6910</v>
      </c>
      <c r="B139" s="106" t="s">
        <v>6792</v>
      </c>
      <c r="C139" s="106"/>
      <c r="D139" s="107"/>
      <c r="E139" s="107" t="n">
        <v>5327.65714285714</v>
      </c>
      <c r="F139" s="130" t="n">
        <v>0.65</v>
      </c>
      <c r="G139" s="106" t="s">
        <v>1411</v>
      </c>
      <c r="H139" s="106" t="n">
        <v>0.5</v>
      </c>
      <c r="I139" s="106" t="s">
        <v>6793</v>
      </c>
      <c r="J139" s="106" t="s">
        <v>6794</v>
      </c>
      <c r="K139" s="106" t="s">
        <v>6793</v>
      </c>
      <c r="L139" s="106" t="s">
        <v>6793</v>
      </c>
      <c r="M139" s="117"/>
      <c r="N139" s="106" t="n">
        <v>0</v>
      </c>
      <c r="O139" s="106"/>
      <c r="P139" s="27" t="s">
        <v>6795</v>
      </c>
    </row>
    <row r="140" customFormat="false" ht="15" hidden="false" customHeight="false" outlineLevel="0" collapsed="false">
      <c r="A140" s="106" t="s">
        <v>6911</v>
      </c>
      <c r="B140" s="106" t="s">
        <v>6792</v>
      </c>
      <c r="C140" s="106" t="s">
        <v>185</v>
      </c>
      <c r="D140" s="107"/>
      <c r="E140" s="107" t="n">
        <v>5317.11428571429</v>
      </c>
      <c r="F140" s="130" t="n">
        <v>0.55</v>
      </c>
      <c r="G140" s="106" t="s">
        <v>1411</v>
      </c>
      <c r="H140" s="106" t="n">
        <v>0</v>
      </c>
      <c r="I140" s="106" t="s">
        <v>6793</v>
      </c>
      <c r="J140" s="106" t="s">
        <v>6794</v>
      </c>
      <c r="K140" s="106" t="s">
        <v>6793</v>
      </c>
      <c r="L140" s="106" t="s">
        <v>6794</v>
      </c>
      <c r="M140" s="117"/>
      <c r="N140" s="106" t="n">
        <v>0</v>
      </c>
      <c r="O140" s="106"/>
      <c r="P140" s="27" t="s">
        <v>6818</v>
      </c>
    </row>
    <row r="141" customFormat="false" ht="15" hidden="false" customHeight="false" outlineLevel="0" collapsed="false">
      <c r="A141" s="106" t="s">
        <v>6912</v>
      </c>
      <c r="B141" s="106" t="s">
        <v>6792</v>
      </c>
      <c r="C141" s="106" t="s">
        <v>185</v>
      </c>
      <c r="D141" s="107"/>
      <c r="E141" s="107" t="n">
        <v>5306.57142857143</v>
      </c>
      <c r="F141" s="130" t="n">
        <v>0.7</v>
      </c>
      <c r="G141" s="106" t="s">
        <v>1411</v>
      </c>
      <c r="H141" s="106" t="n">
        <v>0.5</v>
      </c>
      <c r="I141" s="106" t="s">
        <v>6793</v>
      </c>
      <c r="J141" s="106" t="s">
        <v>6794</v>
      </c>
      <c r="K141" s="106" t="s">
        <v>6793</v>
      </c>
      <c r="L141" s="106" t="s">
        <v>6793</v>
      </c>
      <c r="M141" s="117"/>
      <c r="N141" s="106" t="n">
        <v>0</v>
      </c>
      <c r="O141" s="106"/>
      <c r="P141" s="27" t="s">
        <v>6795</v>
      </c>
    </row>
    <row r="142" customFormat="false" ht="15" hidden="false" customHeight="false" outlineLevel="0" collapsed="false">
      <c r="A142" s="106" t="s">
        <v>6913</v>
      </c>
      <c r="B142" s="106" t="s">
        <v>6792</v>
      </c>
      <c r="C142" s="106" t="s">
        <v>185</v>
      </c>
      <c r="D142" s="107"/>
      <c r="E142" s="107" t="n">
        <v>5260.88571428571</v>
      </c>
      <c r="F142" s="130" t="n">
        <v>0.7</v>
      </c>
      <c r="G142" s="106" t="s">
        <v>1411</v>
      </c>
      <c r="H142" s="106" t="n">
        <v>0</v>
      </c>
      <c r="I142" s="106" t="s">
        <v>6793</v>
      </c>
      <c r="J142" s="106" t="s">
        <v>6794</v>
      </c>
      <c r="K142" s="106" t="s">
        <v>6793</v>
      </c>
      <c r="L142" s="106" t="s">
        <v>6793</v>
      </c>
      <c r="M142" s="117"/>
      <c r="N142" s="106" t="n">
        <v>0</v>
      </c>
      <c r="O142" s="106"/>
      <c r="P142" s="27" t="s">
        <v>6795</v>
      </c>
    </row>
    <row r="143" customFormat="false" ht="15" hidden="false" customHeight="false" outlineLevel="0" collapsed="false">
      <c r="A143" s="106" t="s">
        <v>6914</v>
      </c>
      <c r="B143" s="106" t="s">
        <v>6792</v>
      </c>
      <c r="C143" s="106"/>
      <c r="D143" s="107"/>
      <c r="E143" s="107" t="n">
        <v>5246.82857142857</v>
      </c>
      <c r="F143" s="130" t="n">
        <v>0.58</v>
      </c>
      <c r="G143" s="106" t="s">
        <v>1411</v>
      </c>
      <c r="H143" s="106" t="n">
        <v>0</v>
      </c>
      <c r="I143" s="106" t="s">
        <v>6793</v>
      </c>
      <c r="J143" s="106" t="s">
        <v>6794</v>
      </c>
      <c r="K143" s="106" t="s">
        <v>6793</v>
      </c>
      <c r="L143" s="106" t="s">
        <v>6799</v>
      </c>
      <c r="M143" s="117"/>
      <c r="N143" s="106" t="n">
        <v>0</v>
      </c>
      <c r="O143" s="106"/>
      <c r="P143" s="27" t="s">
        <v>6795</v>
      </c>
    </row>
    <row r="144" customFormat="false" ht="15" hidden="false" customHeight="false" outlineLevel="0" collapsed="false">
      <c r="A144" s="106" t="s">
        <v>6915</v>
      </c>
      <c r="B144" s="106" t="s">
        <v>6792</v>
      </c>
      <c r="C144" s="106"/>
      <c r="D144" s="107"/>
      <c r="E144" s="107" t="n">
        <v>5130.85714285714</v>
      </c>
      <c r="F144" s="130" t="n">
        <v>0.65</v>
      </c>
      <c r="G144" s="106" t="s">
        <v>1411</v>
      </c>
      <c r="H144" s="106" t="n">
        <v>0</v>
      </c>
      <c r="I144" s="106" t="s">
        <v>6793</v>
      </c>
      <c r="J144" s="106" t="s">
        <v>6794</v>
      </c>
      <c r="K144" s="106" t="s">
        <v>6793</v>
      </c>
      <c r="L144" s="106" t="s">
        <v>6793</v>
      </c>
      <c r="M144" s="117"/>
      <c r="N144" s="106" t="n">
        <v>0</v>
      </c>
      <c r="O144" s="106"/>
      <c r="P144" s="27" t="s">
        <v>6795</v>
      </c>
    </row>
    <row r="145" customFormat="false" ht="15" hidden="false" customHeight="false" outlineLevel="0" collapsed="false">
      <c r="A145" s="106" t="s">
        <v>6916</v>
      </c>
      <c r="B145" s="106" t="s">
        <v>6792</v>
      </c>
      <c r="C145" s="106" t="s">
        <v>479</v>
      </c>
      <c r="D145" s="107"/>
      <c r="E145" s="107" t="n">
        <v>5095.71428571429</v>
      </c>
      <c r="F145" s="130" t="n">
        <v>0.7</v>
      </c>
      <c r="G145" s="106" t="s">
        <v>1411</v>
      </c>
      <c r="H145" s="106" t="n">
        <v>0.5</v>
      </c>
      <c r="I145" s="106" t="s">
        <v>6793</v>
      </c>
      <c r="J145" s="106" t="s">
        <v>6794</v>
      </c>
      <c r="K145" s="106" t="s">
        <v>6793</v>
      </c>
      <c r="L145" s="106" t="s">
        <v>6793</v>
      </c>
      <c r="M145" s="117"/>
      <c r="N145" s="106" t="n">
        <v>0</v>
      </c>
      <c r="O145" s="106"/>
      <c r="P145" s="27" t="s">
        <v>6795</v>
      </c>
    </row>
    <row r="146" customFormat="false" ht="15" hidden="false" customHeight="false" outlineLevel="0" collapsed="false">
      <c r="A146" s="106" t="s">
        <v>6917</v>
      </c>
      <c r="B146" s="106" t="s">
        <v>6792</v>
      </c>
      <c r="C146" s="106" t="s">
        <v>185</v>
      </c>
      <c r="D146" s="107"/>
      <c r="E146" s="107" t="n">
        <v>4934.05714285714</v>
      </c>
      <c r="F146" s="130" t="n">
        <v>0.7</v>
      </c>
      <c r="G146" s="106" t="s">
        <v>1411</v>
      </c>
      <c r="H146" s="106" t="n">
        <v>0</v>
      </c>
      <c r="I146" s="106" t="s">
        <v>6793</v>
      </c>
      <c r="J146" s="106" t="s">
        <v>6794</v>
      </c>
      <c r="K146" s="106" t="s">
        <v>6793</v>
      </c>
      <c r="L146" s="106" t="s">
        <v>6793</v>
      </c>
      <c r="M146" s="117"/>
      <c r="N146" s="106" t="n">
        <v>0</v>
      </c>
      <c r="O146" s="106"/>
      <c r="P146" s="27" t="s">
        <v>6795</v>
      </c>
    </row>
    <row r="147" customFormat="false" ht="15" hidden="false" customHeight="false" outlineLevel="0" collapsed="false">
      <c r="A147" s="106" t="s">
        <v>6918</v>
      </c>
      <c r="B147" s="106" t="s">
        <v>6792</v>
      </c>
      <c r="C147" s="106" t="s">
        <v>560</v>
      </c>
      <c r="D147" s="107"/>
      <c r="E147" s="107" t="n">
        <v>4934.05714285714</v>
      </c>
      <c r="F147" s="130" t="n">
        <v>0.7</v>
      </c>
      <c r="G147" s="106" t="s">
        <v>1411</v>
      </c>
      <c r="H147" s="106" t="n">
        <v>0.5</v>
      </c>
      <c r="I147" s="106" t="s">
        <v>6793</v>
      </c>
      <c r="J147" s="106" t="s">
        <v>6794</v>
      </c>
      <c r="K147" s="106" t="s">
        <v>6793</v>
      </c>
      <c r="L147" s="106" t="s">
        <v>6793</v>
      </c>
      <c r="M147" s="117"/>
      <c r="N147" s="106" t="n">
        <v>0</v>
      </c>
      <c r="O147" s="106"/>
      <c r="P147" s="27" t="s">
        <v>6795</v>
      </c>
    </row>
    <row r="148" customFormat="false" ht="15" hidden="false" customHeight="false" outlineLevel="0" collapsed="false">
      <c r="A148" s="106" t="s">
        <v>6919</v>
      </c>
      <c r="B148" s="106" t="s">
        <v>6792</v>
      </c>
      <c r="C148" s="106" t="s">
        <v>185</v>
      </c>
      <c r="D148" s="107"/>
      <c r="E148" s="107" t="n">
        <v>4923.51428571429</v>
      </c>
      <c r="F148" s="130" t="n">
        <v>0.7</v>
      </c>
      <c r="G148" s="106" t="s">
        <v>1411</v>
      </c>
      <c r="H148" s="106" t="n">
        <v>0</v>
      </c>
      <c r="I148" s="106" t="s">
        <v>6793</v>
      </c>
      <c r="J148" s="106" t="s">
        <v>6794</v>
      </c>
      <c r="K148" s="106" t="s">
        <v>6793</v>
      </c>
      <c r="L148" s="106" t="s">
        <v>6793</v>
      </c>
      <c r="M148" s="117"/>
      <c r="N148" s="106" t="n">
        <v>0</v>
      </c>
      <c r="O148" s="106"/>
      <c r="P148" s="27" t="s">
        <v>6795</v>
      </c>
    </row>
    <row r="149" customFormat="false" ht="15" hidden="false" customHeight="false" outlineLevel="0" collapsed="false">
      <c r="A149" s="106" t="s">
        <v>6920</v>
      </c>
      <c r="B149" s="106" t="s">
        <v>6792</v>
      </c>
      <c r="C149" s="106"/>
      <c r="D149" s="107"/>
      <c r="E149" s="107" t="n">
        <v>4877.82857142857</v>
      </c>
      <c r="F149" s="130" t="n">
        <v>0.65</v>
      </c>
      <c r="G149" s="106" t="s">
        <v>1411</v>
      </c>
      <c r="H149" s="106" t="n">
        <v>0.5</v>
      </c>
      <c r="I149" s="106" t="s">
        <v>6793</v>
      </c>
      <c r="J149" s="106" t="s">
        <v>6794</v>
      </c>
      <c r="K149" s="106" t="s">
        <v>6793</v>
      </c>
      <c r="L149" s="106" t="s">
        <v>6793</v>
      </c>
      <c r="M149" s="117"/>
      <c r="N149" s="106" t="n">
        <v>0</v>
      </c>
      <c r="O149" s="106"/>
      <c r="P149" s="27" t="s">
        <v>6795</v>
      </c>
    </row>
    <row r="150" customFormat="false" ht="15" hidden="false" customHeight="false" outlineLevel="0" collapsed="false">
      <c r="A150" s="106" t="s">
        <v>6921</v>
      </c>
      <c r="B150" s="106" t="s">
        <v>6792</v>
      </c>
      <c r="C150" s="106"/>
      <c r="D150" s="107" t="n">
        <v>3327</v>
      </c>
      <c r="E150" s="107" t="n">
        <v>4832.14285714286</v>
      </c>
      <c r="F150" s="130" t="n">
        <v>0.58</v>
      </c>
      <c r="G150" s="106" t="s">
        <v>1411</v>
      </c>
      <c r="H150" s="106" t="n">
        <v>0.5</v>
      </c>
      <c r="I150" s="106" t="s">
        <v>6793</v>
      </c>
      <c r="J150" s="106" t="s">
        <v>6794</v>
      </c>
      <c r="K150" s="106" t="s">
        <v>6793</v>
      </c>
      <c r="L150" s="106" t="s">
        <v>6799</v>
      </c>
      <c r="M150" s="117"/>
      <c r="N150" s="106" t="n">
        <v>0</v>
      </c>
      <c r="O150" s="106"/>
      <c r="P150" s="27" t="s">
        <v>6795</v>
      </c>
    </row>
    <row r="151" customFormat="false" ht="15" hidden="false" customHeight="false" outlineLevel="0" collapsed="false">
      <c r="A151" s="106" t="s">
        <v>6922</v>
      </c>
      <c r="B151" s="106" t="s">
        <v>6792</v>
      </c>
      <c r="C151" s="106" t="s">
        <v>185</v>
      </c>
      <c r="D151" s="107"/>
      <c r="E151" s="107" t="n">
        <v>4832.14285714286</v>
      </c>
      <c r="F151" s="130" t="n">
        <v>0.7</v>
      </c>
      <c r="G151" s="106" t="s">
        <v>1411</v>
      </c>
      <c r="H151" s="106" t="n">
        <v>0.5</v>
      </c>
      <c r="I151" s="106" t="s">
        <v>6793</v>
      </c>
      <c r="J151" s="106" t="s">
        <v>6794</v>
      </c>
      <c r="K151" s="106" t="s">
        <v>6793</v>
      </c>
      <c r="L151" s="106" t="s">
        <v>6793</v>
      </c>
      <c r="M151" s="117"/>
      <c r="N151" s="106" t="n">
        <v>0</v>
      </c>
      <c r="O151" s="106"/>
      <c r="P151" s="27" t="s">
        <v>6795</v>
      </c>
    </row>
    <row r="152" customFormat="false" ht="15" hidden="false" customHeight="false" outlineLevel="0" collapsed="false">
      <c r="A152" s="106" t="s">
        <v>6923</v>
      </c>
      <c r="B152" s="106" t="s">
        <v>6792</v>
      </c>
      <c r="C152" s="106"/>
      <c r="D152" s="107"/>
      <c r="E152" s="107" t="n">
        <v>4821.6</v>
      </c>
      <c r="F152" s="130" t="n">
        <v>0.38</v>
      </c>
      <c r="G152" s="106" t="s">
        <v>1411</v>
      </c>
      <c r="H152" s="106" t="n">
        <v>0</v>
      </c>
      <c r="I152" s="106" t="s">
        <v>6799</v>
      </c>
      <c r="J152" s="106" t="s">
        <v>6794</v>
      </c>
      <c r="K152" s="106" t="s">
        <v>6793</v>
      </c>
      <c r="L152" s="106" t="s">
        <v>6794</v>
      </c>
      <c r="M152" s="117"/>
      <c r="N152" s="106" t="n">
        <v>0</v>
      </c>
      <c r="O152" s="106"/>
      <c r="P152" s="27" t="s">
        <v>6818</v>
      </c>
    </row>
    <row r="153" customFormat="false" ht="15" hidden="false" customHeight="false" outlineLevel="0" collapsed="false">
      <c r="A153" s="106" t="s">
        <v>5448</v>
      </c>
      <c r="B153" s="106" t="s">
        <v>6792</v>
      </c>
      <c r="C153" s="106"/>
      <c r="D153" s="107"/>
      <c r="E153" s="107" t="n">
        <v>4797</v>
      </c>
      <c r="F153" s="130" t="n">
        <v>0.4</v>
      </c>
      <c r="G153" s="106" t="s">
        <v>1411</v>
      </c>
      <c r="H153" s="106" t="n">
        <v>0</v>
      </c>
      <c r="I153" s="106" t="s">
        <v>6794</v>
      </c>
      <c r="J153" s="106" t="s">
        <v>6794</v>
      </c>
      <c r="K153" s="106" t="s">
        <v>6793</v>
      </c>
      <c r="L153" s="106" t="s">
        <v>6793</v>
      </c>
      <c r="M153" s="117"/>
      <c r="N153" s="106" t="n">
        <v>2</v>
      </c>
      <c r="O153" s="106" t="n">
        <v>0</v>
      </c>
      <c r="P153" s="27" t="s">
        <v>6805</v>
      </c>
    </row>
    <row r="154" customFormat="false" ht="15" hidden="false" customHeight="false" outlineLevel="0" collapsed="false">
      <c r="A154" s="106" t="s">
        <v>6924</v>
      </c>
      <c r="B154" s="106" t="s">
        <v>6792</v>
      </c>
      <c r="C154" s="106"/>
      <c r="D154" s="107"/>
      <c r="E154" s="107" t="n">
        <v>4761.85714285714</v>
      </c>
      <c r="F154" s="130" t="n">
        <v>0.5</v>
      </c>
      <c r="G154" s="106" t="s">
        <v>1411</v>
      </c>
      <c r="H154" s="106" t="n">
        <v>0</v>
      </c>
      <c r="I154" s="106" t="s">
        <v>6793</v>
      </c>
      <c r="J154" s="106" t="s">
        <v>6794</v>
      </c>
      <c r="K154" s="106" t="s">
        <v>6793</v>
      </c>
      <c r="L154" s="106" t="s">
        <v>6794</v>
      </c>
      <c r="M154" s="117"/>
      <c r="N154" s="106" t="n">
        <v>0</v>
      </c>
      <c r="O154" s="106"/>
      <c r="P154" s="27" t="s">
        <v>6818</v>
      </c>
    </row>
    <row r="155" customFormat="false" ht="15" hidden="false" customHeight="false" outlineLevel="0" collapsed="false">
      <c r="A155" s="106" t="s">
        <v>6925</v>
      </c>
      <c r="B155" s="106" t="s">
        <v>6792</v>
      </c>
      <c r="C155" s="106" t="s">
        <v>696</v>
      </c>
      <c r="D155" s="107"/>
      <c r="E155" s="107" t="n">
        <v>4740.77142857143</v>
      </c>
      <c r="F155" s="130" t="n">
        <v>0.45</v>
      </c>
      <c r="G155" s="106" t="s">
        <v>1411</v>
      </c>
      <c r="H155" s="106" t="n">
        <v>0</v>
      </c>
      <c r="I155" s="106" t="s">
        <v>6794</v>
      </c>
      <c r="J155" s="106" t="s">
        <v>6794</v>
      </c>
      <c r="K155" s="106" t="s">
        <v>6793</v>
      </c>
      <c r="L155" s="106" t="s">
        <v>6793</v>
      </c>
      <c r="M155" s="117"/>
      <c r="N155" s="106" t="n">
        <v>0</v>
      </c>
      <c r="O155" s="106"/>
      <c r="P155" s="27" t="s">
        <v>6805</v>
      </c>
    </row>
    <row r="156" customFormat="false" ht="15" hidden="false" customHeight="false" outlineLevel="0" collapsed="false">
      <c r="A156" s="106" t="s">
        <v>6926</v>
      </c>
      <c r="B156" s="106" t="s">
        <v>6792</v>
      </c>
      <c r="C156" s="106"/>
      <c r="D156" s="107"/>
      <c r="E156" s="107" t="n">
        <v>4740.77142857143</v>
      </c>
      <c r="F156" s="130" t="n">
        <v>0.4</v>
      </c>
      <c r="G156" s="106" t="s">
        <v>1411</v>
      </c>
      <c r="H156" s="106" t="n">
        <v>0.5</v>
      </c>
      <c r="I156" s="106" t="s">
        <v>6794</v>
      </c>
      <c r="J156" s="106" t="s">
        <v>6794</v>
      </c>
      <c r="K156" s="106" t="s">
        <v>6793</v>
      </c>
      <c r="L156" s="106" t="s">
        <v>6793</v>
      </c>
      <c r="M156" s="117"/>
      <c r="N156" s="106" t="n">
        <v>0</v>
      </c>
      <c r="O156" s="106"/>
      <c r="P156" s="27" t="s">
        <v>6805</v>
      </c>
    </row>
    <row r="157" customFormat="false" ht="15" hidden="false" customHeight="false" outlineLevel="0" collapsed="false">
      <c r="A157" s="106" t="s">
        <v>6927</v>
      </c>
      <c r="B157" s="106" t="s">
        <v>6792</v>
      </c>
      <c r="C157" s="106"/>
      <c r="D157" s="107"/>
      <c r="E157" s="107" t="n">
        <v>4730.22857142857</v>
      </c>
      <c r="F157" s="130" t="n">
        <v>0.5</v>
      </c>
      <c r="G157" s="106" t="s">
        <v>1411</v>
      </c>
      <c r="H157" s="106" t="n">
        <v>0.5</v>
      </c>
      <c r="I157" s="106" t="s">
        <v>6793</v>
      </c>
      <c r="J157" s="106" t="s">
        <v>6794</v>
      </c>
      <c r="K157" s="106" t="s">
        <v>6793</v>
      </c>
      <c r="L157" s="106" t="s">
        <v>6794</v>
      </c>
      <c r="M157" s="117"/>
      <c r="N157" s="106" t="n">
        <v>0</v>
      </c>
      <c r="O157" s="106"/>
      <c r="P157" s="27" t="s">
        <v>6818</v>
      </c>
    </row>
    <row r="158" customFormat="false" ht="15" hidden="false" customHeight="false" outlineLevel="0" collapsed="false">
      <c r="A158" s="106" t="s">
        <v>6928</v>
      </c>
      <c r="B158" s="106" t="s">
        <v>6792</v>
      </c>
      <c r="C158" s="106"/>
      <c r="D158" s="107"/>
      <c r="E158" s="107" t="n">
        <v>4709.14285714286</v>
      </c>
      <c r="F158" s="130" t="n">
        <v>0.65</v>
      </c>
      <c r="G158" s="106" t="s">
        <v>1411</v>
      </c>
      <c r="H158" s="106" t="n">
        <v>0</v>
      </c>
      <c r="I158" s="106" t="s">
        <v>6793</v>
      </c>
      <c r="J158" s="106" t="s">
        <v>6794</v>
      </c>
      <c r="K158" s="106" t="s">
        <v>6793</v>
      </c>
      <c r="L158" s="106" t="s">
        <v>6793</v>
      </c>
      <c r="M158" s="117"/>
      <c r="N158" s="106" t="n">
        <v>0</v>
      </c>
      <c r="O158" s="106"/>
      <c r="P158" s="27" t="s">
        <v>6795</v>
      </c>
    </row>
    <row r="159" customFormat="false" ht="15" hidden="false" customHeight="false" outlineLevel="0" collapsed="false">
      <c r="A159" s="106" t="s">
        <v>6929</v>
      </c>
      <c r="B159" s="106" t="s">
        <v>6792</v>
      </c>
      <c r="C159" s="106" t="s">
        <v>696</v>
      </c>
      <c r="D159" s="107"/>
      <c r="E159" s="107" t="n">
        <v>4709.14285714286</v>
      </c>
      <c r="F159" s="130" t="n">
        <v>0.45</v>
      </c>
      <c r="G159" s="106" t="s">
        <v>1411</v>
      </c>
      <c r="H159" s="106" t="n">
        <v>0</v>
      </c>
      <c r="I159" s="106" t="s">
        <v>6794</v>
      </c>
      <c r="J159" s="106" t="s">
        <v>6794</v>
      </c>
      <c r="K159" s="106" t="s">
        <v>6793</v>
      </c>
      <c r="L159" s="106" t="s">
        <v>6793</v>
      </c>
      <c r="M159" s="117"/>
      <c r="N159" s="106" t="n">
        <v>0</v>
      </c>
      <c r="O159" s="106"/>
      <c r="P159" s="27" t="s">
        <v>6805</v>
      </c>
    </row>
    <row r="160" customFormat="false" ht="15" hidden="false" customHeight="false" outlineLevel="0" collapsed="false">
      <c r="A160" s="106" t="s">
        <v>6930</v>
      </c>
      <c r="B160" s="106" t="s">
        <v>6792</v>
      </c>
      <c r="C160" s="106" t="s">
        <v>560</v>
      </c>
      <c r="D160" s="107"/>
      <c r="E160" s="107" t="n">
        <v>4617.77142857143</v>
      </c>
      <c r="F160" s="130" t="n">
        <v>0.45</v>
      </c>
      <c r="G160" s="106" t="s">
        <v>1411</v>
      </c>
      <c r="H160" s="106" t="n">
        <v>0.5</v>
      </c>
      <c r="I160" s="106" t="s">
        <v>6794</v>
      </c>
      <c r="J160" s="106" t="s">
        <v>6794</v>
      </c>
      <c r="K160" s="106" t="s">
        <v>6793</v>
      </c>
      <c r="L160" s="106" t="s">
        <v>6793</v>
      </c>
      <c r="M160" s="117"/>
      <c r="N160" s="106" t="n">
        <v>0</v>
      </c>
      <c r="O160" s="106"/>
      <c r="P160" s="27" t="s">
        <v>6805</v>
      </c>
    </row>
    <row r="161" customFormat="false" ht="15" hidden="false" customHeight="false" outlineLevel="0" collapsed="false">
      <c r="A161" s="106" t="s">
        <v>6931</v>
      </c>
      <c r="B161" s="106" t="s">
        <v>6792</v>
      </c>
      <c r="C161" s="106"/>
      <c r="D161" s="107"/>
      <c r="E161" s="107" t="n">
        <v>4572.08571428571</v>
      </c>
      <c r="F161" s="130" t="n">
        <v>0.65</v>
      </c>
      <c r="G161" s="106" t="s">
        <v>1411</v>
      </c>
      <c r="H161" s="106" t="n">
        <v>0</v>
      </c>
      <c r="I161" s="106" t="s">
        <v>6793</v>
      </c>
      <c r="J161" s="106" t="s">
        <v>6794</v>
      </c>
      <c r="K161" s="106" t="s">
        <v>6793</v>
      </c>
      <c r="L161" s="106" t="s">
        <v>6793</v>
      </c>
      <c r="M161" s="117"/>
      <c r="N161" s="106" t="n">
        <v>0</v>
      </c>
      <c r="O161" s="106"/>
      <c r="P161" s="27" t="s">
        <v>6795</v>
      </c>
    </row>
    <row r="162" customFormat="false" ht="15" hidden="false" customHeight="false" outlineLevel="0" collapsed="false">
      <c r="A162" s="106" t="s">
        <v>6932</v>
      </c>
      <c r="B162" s="106" t="s">
        <v>6792</v>
      </c>
      <c r="C162" s="106"/>
      <c r="D162" s="107"/>
      <c r="E162" s="107" t="n">
        <v>4536.94285714286</v>
      </c>
      <c r="F162" s="130" t="n">
        <v>0.5</v>
      </c>
      <c r="G162" s="106" t="s">
        <v>1411</v>
      </c>
      <c r="H162" s="106" t="n">
        <v>0</v>
      </c>
      <c r="I162" s="106" t="s">
        <v>6793</v>
      </c>
      <c r="J162" s="106" t="s">
        <v>6794</v>
      </c>
      <c r="K162" s="106" t="s">
        <v>6793</v>
      </c>
      <c r="L162" s="106" t="s">
        <v>6794</v>
      </c>
      <c r="M162" s="117"/>
      <c r="N162" s="106" t="n">
        <v>0</v>
      </c>
      <c r="O162" s="106"/>
      <c r="P162" s="27" t="s">
        <v>6818</v>
      </c>
    </row>
    <row r="163" customFormat="false" ht="15" hidden="false" customHeight="false" outlineLevel="0" collapsed="false">
      <c r="A163" s="106" t="s">
        <v>6933</v>
      </c>
      <c r="B163" s="106" t="s">
        <v>6792</v>
      </c>
      <c r="C163" s="106"/>
      <c r="D163" s="107"/>
      <c r="E163" s="107" t="n">
        <v>4445.57142857143</v>
      </c>
      <c r="F163" s="130" t="n">
        <v>0.38</v>
      </c>
      <c r="G163" s="106" t="s">
        <v>1411</v>
      </c>
      <c r="H163" s="106" t="n">
        <v>0</v>
      </c>
      <c r="I163" s="106" t="s">
        <v>6799</v>
      </c>
      <c r="J163" s="106" t="s">
        <v>6794</v>
      </c>
      <c r="K163" s="106" t="s">
        <v>6793</v>
      </c>
      <c r="L163" s="106" t="s">
        <v>6794</v>
      </c>
      <c r="M163" s="117"/>
      <c r="N163" s="106" t="n">
        <v>0</v>
      </c>
      <c r="O163" s="106"/>
      <c r="P163" s="27" t="s">
        <v>6818</v>
      </c>
    </row>
    <row r="164" customFormat="false" ht="15" hidden="false" customHeight="false" outlineLevel="0" collapsed="false">
      <c r="A164" s="106" t="s">
        <v>6934</v>
      </c>
      <c r="B164" s="106" t="s">
        <v>6792</v>
      </c>
      <c r="C164" s="106"/>
      <c r="D164" s="107"/>
      <c r="E164" s="107" t="n">
        <v>4445.57142857143</v>
      </c>
      <c r="F164" s="130" t="n">
        <v>0.5</v>
      </c>
      <c r="G164" s="106" t="s">
        <v>1411</v>
      </c>
      <c r="H164" s="106" t="n">
        <v>0</v>
      </c>
      <c r="I164" s="106" t="s">
        <v>6793</v>
      </c>
      <c r="J164" s="106" t="s">
        <v>6794</v>
      </c>
      <c r="K164" s="106" t="s">
        <v>6793</v>
      </c>
      <c r="L164" s="106" t="s">
        <v>6794</v>
      </c>
      <c r="M164" s="117"/>
      <c r="N164" s="106" t="n">
        <v>0</v>
      </c>
      <c r="O164" s="106"/>
      <c r="P164" s="27" t="s">
        <v>6818</v>
      </c>
    </row>
    <row r="165" customFormat="false" ht="15" hidden="false" customHeight="false" outlineLevel="0" collapsed="false">
      <c r="A165" s="106" t="s">
        <v>6935</v>
      </c>
      <c r="B165" s="106" t="s">
        <v>6792</v>
      </c>
      <c r="C165" s="106" t="s">
        <v>479</v>
      </c>
      <c r="D165" s="107"/>
      <c r="E165" s="107" t="n">
        <v>4424.48571428571</v>
      </c>
      <c r="F165" s="130" t="n">
        <v>0.45</v>
      </c>
      <c r="G165" s="106" t="s">
        <v>1411</v>
      </c>
      <c r="H165" s="106" t="n">
        <v>0</v>
      </c>
      <c r="I165" s="106" t="s">
        <v>6794</v>
      </c>
      <c r="J165" s="106" t="s">
        <v>6794</v>
      </c>
      <c r="K165" s="106" t="s">
        <v>6793</v>
      </c>
      <c r="L165" s="106" t="s">
        <v>6793</v>
      </c>
      <c r="M165" s="117"/>
      <c r="N165" s="106" t="n">
        <v>0</v>
      </c>
      <c r="O165" s="106"/>
      <c r="P165" s="27" t="s">
        <v>6805</v>
      </c>
    </row>
    <row r="166" customFormat="false" ht="15" hidden="false" customHeight="false" outlineLevel="0" collapsed="false">
      <c r="A166" s="106" t="s">
        <v>6936</v>
      </c>
      <c r="B166" s="106" t="s">
        <v>6792</v>
      </c>
      <c r="C166" s="106" t="s">
        <v>422</v>
      </c>
      <c r="D166" s="107" t="n">
        <v>3855</v>
      </c>
      <c r="E166" s="107" t="n">
        <v>4424.48571428571</v>
      </c>
      <c r="F166" s="130" t="n">
        <v>0.45</v>
      </c>
      <c r="G166" s="106" t="s">
        <v>1411</v>
      </c>
      <c r="H166" s="106" t="n">
        <v>0</v>
      </c>
      <c r="I166" s="106" t="s">
        <v>6794</v>
      </c>
      <c r="J166" s="106" t="s">
        <v>6794</v>
      </c>
      <c r="K166" s="106" t="s">
        <v>6793</v>
      </c>
      <c r="L166" s="106" t="s">
        <v>6793</v>
      </c>
      <c r="M166" s="117"/>
      <c r="N166" s="106" t="n">
        <v>0</v>
      </c>
      <c r="O166" s="106"/>
      <c r="P166" s="27" t="s">
        <v>6805</v>
      </c>
    </row>
    <row r="167" customFormat="false" ht="15" hidden="false" customHeight="false" outlineLevel="0" collapsed="false">
      <c r="A167" s="106" t="s">
        <v>6937</v>
      </c>
      <c r="B167" s="106" t="s">
        <v>6792</v>
      </c>
      <c r="C167" s="106" t="s">
        <v>560</v>
      </c>
      <c r="D167" s="107" t="n">
        <v>2643</v>
      </c>
      <c r="E167" s="107" t="n">
        <v>4368.25714285714</v>
      </c>
      <c r="F167" s="130" t="n">
        <v>0.7</v>
      </c>
      <c r="G167" s="106" t="s">
        <v>1411</v>
      </c>
      <c r="H167" s="106" t="n">
        <v>0</v>
      </c>
      <c r="I167" s="106" t="s">
        <v>6793</v>
      </c>
      <c r="J167" s="106" t="s">
        <v>6794</v>
      </c>
      <c r="K167" s="106" t="s">
        <v>6793</v>
      </c>
      <c r="L167" s="106" t="s">
        <v>6793</v>
      </c>
      <c r="M167" s="117"/>
      <c r="N167" s="106" t="n">
        <v>0</v>
      </c>
      <c r="O167" s="106"/>
      <c r="P167" s="27" t="s">
        <v>6795</v>
      </c>
    </row>
    <row r="168" customFormat="false" ht="15" hidden="false" customHeight="false" outlineLevel="0" collapsed="false">
      <c r="A168" s="106" t="s">
        <v>6938</v>
      </c>
      <c r="B168" s="106" t="s">
        <v>6792</v>
      </c>
      <c r="C168" s="106"/>
      <c r="D168" s="107"/>
      <c r="E168" s="107" t="n">
        <v>4343.65714285714</v>
      </c>
      <c r="F168" s="130" t="n">
        <v>0.52</v>
      </c>
      <c r="G168" s="106" t="s">
        <v>1411</v>
      </c>
      <c r="H168" s="106" t="n">
        <v>0</v>
      </c>
      <c r="I168" s="106" t="s">
        <v>6799</v>
      </c>
      <c r="J168" s="106" t="s">
        <v>6794</v>
      </c>
      <c r="K168" s="106" t="s">
        <v>6793</v>
      </c>
      <c r="L168" s="106" t="s">
        <v>6793</v>
      </c>
      <c r="M168" s="117"/>
      <c r="N168" s="106" t="n">
        <v>0</v>
      </c>
      <c r="O168" s="106"/>
      <c r="P168" s="27" t="s">
        <v>6795</v>
      </c>
    </row>
    <row r="169" customFormat="false" ht="15" hidden="false" customHeight="false" outlineLevel="0" collapsed="false">
      <c r="A169" s="106" t="s">
        <v>6939</v>
      </c>
      <c r="B169" s="106" t="s">
        <v>6792</v>
      </c>
      <c r="C169" s="106" t="s">
        <v>560</v>
      </c>
      <c r="D169" s="107" t="n">
        <v>3494</v>
      </c>
      <c r="E169" s="107" t="n">
        <v>4199.57142857143</v>
      </c>
      <c r="F169" s="130" t="n">
        <v>0.7</v>
      </c>
      <c r="G169" s="106" t="s">
        <v>1411</v>
      </c>
      <c r="H169" s="106" t="n">
        <v>0.5</v>
      </c>
      <c r="I169" s="106" t="s">
        <v>6793</v>
      </c>
      <c r="J169" s="106" t="s">
        <v>6794</v>
      </c>
      <c r="K169" s="106" t="s">
        <v>6793</v>
      </c>
      <c r="L169" s="106" t="s">
        <v>6793</v>
      </c>
      <c r="M169" s="117"/>
      <c r="N169" s="106" t="n">
        <v>0</v>
      </c>
      <c r="O169" s="106"/>
      <c r="P169" s="27" t="s">
        <v>6795</v>
      </c>
    </row>
    <row r="170" customFormat="false" ht="15" hidden="false" customHeight="false" outlineLevel="0" collapsed="false">
      <c r="A170" s="106" t="s">
        <v>6940</v>
      </c>
      <c r="B170" s="106" t="s">
        <v>6792</v>
      </c>
      <c r="C170" s="106" t="s">
        <v>479</v>
      </c>
      <c r="D170" s="107"/>
      <c r="E170" s="107" t="n">
        <v>4189.02857142857</v>
      </c>
      <c r="F170" s="130" t="n">
        <v>0.7</v>
      </c>
      <c r="G170" s="106" t="s">
        <v>1411</v>
      </c>
      <c r="H170" s="106" t="n">
        <v>0</v>
      </c>
      <c r="I170" s="106" t="s">
        <v>6793</v>
      </c>
      <c r="J170" s="106" t="s">
        <v>6794</v>
      </c>
      <c r="K170" s="106" t="s">
        <v>6793</v>
      </c>
      <c r="L170" s="106" t="s">
        <v>6793</v>
      </c>
      <c r="M170" s="117"/>
      <c r="N170" s="106" t="n">
        <v>0</v>
      </c>
      <c r="O170" s="106"/>
      <c r="P170" s="27" t="s">
        <v>6795</v>
      </c>
    </row>
    <row r="171" customFormat="false" ht="15" hidden="false" customHeight="false" outlineLevel="0" collapsed="false">
      <c r="A171" s="106" t="s">
        <v>6941</v>
      </c>
      <c r="B171" s="106" t="s">
        <v>6792</v>
      </c>
      <c r="C171" s="106"/>
      <c r="D171" s="107"/>
      <c r="E171" s="107" t="n">
        <v>4157.4</v>
      </c>
      <c r="F171" s="130" t="n">
        <v>0.5</v>
      </c>
      <c r="G171" s="106" t="s">
        <v>1411</v>
      </c>
      <c r="H171" s="106" t="n">
        <v>0.5</v>
      </c>
      <c r="I171" s="106" t="s">
        <v>6793</v>
      </c>
      <c r="J171" s="106" t="s">
        <v>6794</v>
      </c>
      <c r="K171" s="106" t="s">
        <v>6793</v>
      </c>
      <c r="L171" s="106" t="s">
        <v>6794</v>
      </c>
      <c r="M171" s="117"/>
      <c r="N171" s="106" t="n">
        <v>0</v>
      </c>
      <c r="O171" s="106"/>
      <c r="P171" s="27" t="s">
        <v>6818</v>
      </c>
    </row>
    <row r="172" customFormat="false" ht="15" hidden="false" customHeight="false" outlineLevel="0" collapsed="false">
      <c r="A172" s="106" t="s">
        <v>6942</v>
      </c>
      <c r="B172" s="106" t="s">
        <v>6792</v>
      </c>
      <c r="C172" s="106" t="s">
        <v>696</v>
      </c>
      <c r="D172" s="107"/>
      <c r="E172" s="107" t="n">
        <v>4122.25714285714</v>
      </c>
      <c r="F172" s="130" t="n">
        <v>0.7</v>
      </c>
      <c r="G172" s="106" t="s">
        <v>1411</v>
      </c>
      <c r="H172" s="106" t="n">
        <v>0</v>
      </c>
      <c r="I172" s="106" t="s">
        <v>6793</v>
      </c>
      <c r="J172" s="106" t="s">
        <v>6794</v>
      </c>
      <c r="K172" s="106" t="s">
        <v>6793</v>
      </c>
      <c r="L172" s="106" t="s">
        <v>6793</v>
      </c>
      <c r="M172" s="117"/>
      <c r="N172" s="106" t="n">
        <v>0</v>
      </c>
      <c r="O172" s="106"/>
      <c r="P172" s="27" t="s">
        <v>6795</v>
      </c>
    </row>
    <row r="173" customFormat="false" ht="15" hidden="false" customHeight="false" outlineLevel="0" collapsed="false">
      <c r="A173" s="106" t="s">
        <v>6943</v>
      </c>
      <c r="B173" s="106" t="s">
        <v>6792</v>
      </c>
      <c r="C173" s="106" t="s">
        <v>696</v>
      </c>
      <c r="D173" s="107"/>
      <c r="E173" s="107" t="n">
        <v>4090.62857142857</v>
      </c>
      <c r="F173" s="130" t="n">
        <v>0.7</v>
      </c>
      <c r="G173" s="106" t="s">
        <v>1411</v>
      </c>
      <c r="H173" s="106" t="n">
        <v>0</v>
      </c>
      <c r="I173" s="106" t="s">
        <v>6793</v>
      </c>
      <c r="J173" s="106" t="s">
        <v>6794</v>
      </c>
      <c r="K173" s="106" t="s">
        <v>6793</v>
      </c>
      <c r="L173" s="106" t="s">
        <v>6793</v>
      </c>
      <c r="M173" s="117"/>
      <c r="N173" s="106" t="n">
        <v>0</v>
      </c>
      <c r="O173" s="106"/>
      <c r="P173" s="27" t="s">
        <v>6795</v>
      </c>
    </row>
    <row r="174" customFormat="false" ht="15" hidden="false" customHeight="false" outlineLevel="0" collapsed="false">
      <c r="A174" s="106" t="s">
        <v>6944</v>
      </c>
      <c r="B174" s="106" t="s">
        <v>6792</v>
      </c>
      <c r="C174" s="106"/>
      <c r="D174" s="107"/>
      <c r="E174" s="107" t="n">
        <v>4055.48571428571</v>
      </c>
      <c r="F174" s="130" t="n">
        <v>0.5</v>
      </c>
      <c r="G174" s="106" t="s">
        <v>1411</v>
      </c>
      <c r="H174" s="106" t="n">
        <v>0</v>
      </c>
      <c r="I174" s="106" t="s">
        <v>6793</v>
      </c>
      <c r="J174" s="106" t="s">
        <v>6794</v>
      </c>
      <c r="K174" s="106" t="s">
        <v>6793</v>
      </c>
      <c r="L174" s="106" t="s">
        <v>6794</v>
      </c>
      <c r="M174" s="117"/>
      <c r="N174" s="106" t="n">
        <v>0</v>
      </c>
      <c r="O174" s="106"/>
      <c r="P174" s="27" t="s">
        <v>6818</v>
      </c>
    </row>
    <row r="175" customFormat="false" ht="15" hidden="false" customHeight="false" outlineLevel="0" collapsed="false">
      <c r="A175" s="106" t="s">
        <v>6945</v>
      </c>
      <c r="B175" s="106" t="s">
        <v>6792</v>
      </c>
      <c r="C175" s="106" t="s">
        <v>560</v>
      </c>
      <c r="D175" s="107" t="n">
        <v>3329</v>
      </c>
      <c r="E175" s="107" t="n">
        <v>3999.25714285714</v>
      </c>
      <c r="F175" s="130" t="n">
        <v>0.7</v>
      </c>
      <c r="G175" s="106" t="s">
        <v>1411</v>
      </c>
      <c r="H175" s="106" t="n">
        <v>0.5</v>
      </c>
      <c r="I175" s="106" t="s">
        <v>6793</v>
      </c>
      <c r="J175" s="106" t="s">
        <v>6794</v>
      </c>
      <c r="K175" s="106" t="s">
        <v>6793</v>
      </c>
      <c r="L175" s="106" t="s">
        <v>6793</v>
      </c>
      <c r="M175" s="117"/>
      <c r="N175" s="106" t="n">
        <v>0</v>
      </c>
      <c r="O175" s="106"/>
      <c r="P175" s="27" t="s">
        <v>6795</v>
      </c>
    </row>
    <row r="176" customFormat="false" ht="15" hidden="false" customHeight="false" outlineLevel="0" collapsed="false">
      <c r="A176" s="106" t="s">
        <v>6946</v>
      </c>
      <c r="B176" s="106" t="s">
        <v>6792</v>
      </c>
      <c r="C176" s="106" t="s">
        <v>560</v>
      </c>
      <c r="D176" s="107" t="n">
        <v>2635</v>
      </c>
      <c r="E176" s="107" t="n">
        <v>3967.62857142857</v>
      </c>
      <c r="F176" s="130" t="n">
        <v>0.7</v>
      </c>
      <c r="G176" s="106" t="s">
        <v>1411</v>
      </c>
      <c r="H176" s="106" t="n">
        <v>0</v>
      </c>
      <c r="I176" s="106" t="s">
        <v>6793</v>
      </c>
      <c r="J176" s="106" t="s">
        <v>6794</v>
      </c>
      <c r="K176" s="106" t="s">
        <v>6793</v>
      </c>
      <c r="L176" s="106" t="s">
        <v>6793</v>
      </c>
      <c r="M176" s="117"/>
      <c r="N176" s="106" t="n">
        <v>0</v>
      </c>
      <c r="O176" s="106"/>
      <c r="P176" s="27" t="s">
        <v>6795</v>
      </c>
    </row>
    <row r="177" customFormat="false" ht="15" hidden="false" customHeight="false" outlineLevel="0" collapsed="false">
      <c r="A177" s="106" t="s">
        <v>6947</v>
      </c>
      <c r="B177" s="106" t="s">
        <v>6792</v>
      </c>
      <c r="C177" s="106" t="s">
        <v>696</v>
      </c>
      <c r="D177" s="107"/>
      <c r="E177" s="107" t="n">
        <v>3932.48571428571</v>
      </c>
      <c r="F177" s="130" t="n">
        <v>0.7</v>
      </c>
      <c r="G177" s="106" t="s">
        <v>1411</v>
      </c>
      <c r="H177" s="106" t="n">
        <v>0</v>
      </c>
      <c r="I177" s="106" t="s">
        <v>6793</v>
      </c>
      <c r="J177" s="106" t="s">
        <v>6794</v>
      </c>
      <c r="K177" s="106" t="s">
        <v>6793</v>
      </c>
      <c r="L177" s="106" t="s">
        <v>6793</v>
      </c>
      <c r="M177" s="117"/>
      <c r="N177" s="106" t="n">
        <v>0</v>
      </c>
      <c r="O177" s="106"/>
      <c r="P177" s="27" t="s">
        <v>6795</v>
      </c>
    </row>
    <row r="178" customFormat="false" ht="15" hidden="false" customHeight="false" outlineLevel="0" collapsed="false">
      <c r="A178" s="106" t="s">
        <v>6948</v>
      </c>
      <c r="B178" s="106" t="s">
        <v>6792</v>
      </c>
      <c r="C178" s="106"/>
      <c r="D178" s="107"/>
      <c r="E178" s="107" t="n">
        <v>3921.94285714286</v>
      </c>
      <c r="F178" s="130" t="n">
        <v>0.52</v>
      </c>
      <c r="G178" s="106" t="s">
        <v>1411</v>
      </c>
      <c r="H178" s="106" t="n">
        <v>0</v>
      </c>
      <c r="I178" s="106" t="s">
        <v>6799</v>
      </c>
      <c r="J178" s="106" t="s">
        <v>6794</v>
      </c>
      <c r="K178" s="106" t="s">
        <v>6793</v>
      </c>
      <c r="L178" s="106" t="s">
        <v>6793</v>
      </c>
      <c r="M178" s="117"/>
      <c r="N178" s="106" t="n">
        <v>0</v>
      </c>
      <c r="O178" s="106"/>
      <c r="P178" s="27" t="s">
        <v>6795</v>
      </c>
    </row>
    <row r="179" customFormat="false" ht="15" hidden="false" customHeight="false" outlineLevel="0" collapsed="false">
      <c r="A179" s="106" t="s">
        <v>6949</v>
      </c>
      <c r="B179" s="106" t="s">
        <v>6792</v>
      </c>
      <c r="C179" s="106"/>
      <c r="D179" s="107"/>
      <c r="E179" s="107" t="n">
        <v>3900.85714285714</v>
      </c>
      <c r="F179" s="130" t="n">
        <v>0.38</v>
      </c>
      <c r="G179" s="106" t="s">
        <v>1411</v>
      </c>
      <c r="H179" s="106" t="n">
        <v>0</v>
      </c>
      <c r="I179" s="106" t="s">
        <v>6799</v>
      </c>
      <c r="J179" s="106" t="s">
        <v>6794</v>
      </c>
      <c r="K179" s="106" t="s">
        <v>6793</v>
      </c>
      <c r="L179" s="106" t="s">
        <v>6794</v>
      </c>
      <c r="M179" s="117"/>
      <c r="N179" s="106" t="n">
        <v>0</v>
      </c>
      <c r="O179" s="106"/>
      <c r="P179" s="27" t="s">
        <v>6818</v>
      </c>
    </row>
    <row r="180" customFormat="false" ht="15" hidden="false" customHeight="false" outlineLevel="0" collapsed="false">
      <c r="A180" s="106" t="s">
        <v>6950</v>
      </c>
      <c r="B180" s="106" t="s">
        <v>6792</v>
      </c>
      <c r="C180" s="106" t="s">
        <v>185</v>
      </c>
      <c r="D180" s="107"/>
      <c r="E180" s="107" t="n">
        <v>3876.25714285714</v>
      </c>
      <c r="F180" s="130" t="n">
        <v>0.55</v>
      </c>
      <c r="G180" s="106" t="s">
        <v>1411</v>
      </c>
      <c r="H180" s="106" t="n">
        <v>0</v>
      </c>
      <c r="I180" s="106" t="s">
        <v>6793</v>
      </c>
      <c r="J180" s="106" t="s">
        <v>6794</v>
      </c>
      <c r="K180" s="106" t="s">
        <v>6793</v>
      </c>
      <c r="L180" s="106" t="s">
        <v>6794</v>
      </c>
      <c r="M180" s="117"/>
      <c r="N180" s="106" t="n">
        <v>0</v>
      </c>
      <c r="O180" s="106"/>
      <c r="P180" s="27" t="s">
        <v>6818</v>
      </c>
    </row>
    <row r="181" customFormat="false" ht="15" hidden="false" customHeight="false" outlineLevel="0" collapsed="false">
      <c r="A181" s="106" t="s">
        <v>6951</v>
      </c>
      <c r="B181" s="106" t="s">
        <v>6792</v>
      </c>
      <c r="C181" s="106" t="s">
        <v>185</v>
      </c>
      <c r="D181" s="107"/>
      <c r="E181" s="107" t="n">
        <v>3855.17142857143</v>
      </c>
      <c r="F181" s="130" t="n">
        <v>0.7</v>
      </c>
      <c r="G181" s="106" t="s">
        <v>1411</v>
      </c>
      <c r="H181" s="106" t="n">
        <v>0.5</v>
      </c>
      <c r="I181" s="106" t="s">
        <v>6793</v>
      </c>
      <c r="J181" s="106" t="s">
        <v>6794</v>
      </c>
      <c r="K181" s="106" t="s">
        <v>6793</v>
      </c>
      <c r="L181" s="106" t="s">
        <v>6793</v>
      </c>
      <c r="M181" s="117"/>
      <c r="N181" s="106" t="n">
        <v>0</v>
      </c>
      <c r="O181" s="106"/>
      <c r="P181" s="27" t="s">
        <v>6795</v>
      </c>
    </row>
    <row r="182" customFormat="false" ht="15" hidden="false" customHeight="false" outlineLevel="0" collapsed="false">
      <c r="A182" s="106" t="s">
        <v>6952</v>
      </c>
      <c r="B182" s="106" t="s">
        <v>6792</v>
      </c>
      <c r="C182" s="106"/>
      <c r="D182" s="107"/>
      <c r="E182" s="107" t="n">
        <v>3844.62857142857</v>
      </c>
      <c r="F182" s="130" t="n">
        <v>0.38</v>
      </c>
      <c r="G182" s="106" t="s">
        <v>1411</v>
      </c>
      <c r="H182" s="106" t="n">
        <v>0</v>
      </c>
      <c r="I182" s="106" t="s">
        <v>6799</v>
      </c>
      <c r="J182" s="106" t="s">
        <v>6794</v>
      </c>
      <c r="K182" s="106" t="s">
        <v>6793</v>
      </c>
      <c r="L182" s="106" t="s">
        <v>6794</v>
      </c>
      <c r="M182" s="117"/>
      <c r="N182" s="106" t="n">
        <v>0</v>
      </c>
      <c r="O182" s="106"/>
      <c r="P182" s="27" t="s">
        <v>6818</v>
      </c>
    </row>
    <row r="183" customFormat="false" ht="15" hidden="false" customHeight="false" outlineLevel="0" collapsed="false">
      <c r="A183" s="106" t="s">
        <v>6953</v>
      </c>
      <c r="B183" s="106" t="s">
        <v>6792</v>
      </c>
      <c r="C183" s="106"/>
      <c r="D183" s="107" t="n">
        <v>2993</v>
      </c>
      <c r="E183" s="107" t="n">
        <v>3798.94285714286</v>
      </c>
      <c r="F183" s="130" t="n">
        <v>0.65</v>
      </c>
      <c r="G183" s="106" t="s">
        <v>1411</v>
      </c>
      <c r="H183" s="106" t="n">
        <v>1</v>
      </c>
      <c r="I183" s="106" t="s">
        <v>6793</v>
      </c>
      <c r="J183" s="106" t="s">
        <v>6794</v>
      </c>
      <c r="K183" s="106" t="s">
        <v>6793</v>
      </c>
      <c r="L183" s="106" t="s">
        <v>6793</v>
      </c>
      <c r="M183" s="117" t="n">
        <v>0.0125899280575539</v>
      </c>
      <c r="N183" s="106" t="n">
        <v>0</v>
      </c>
      <c r="O183" s="106"/>
      <c r="P183" s="27" t="s">
        <v>6795</v>
      </c>
    </row>
    <row r="184" customFormat="false" ht="15" hidden="false" customHeight="false" outlineLevel="0" collapsed="false">
      <c r="A184" s="106" t="s">
        <v>6954</v>
      </c>
      <c r="B184" s="106" t="s">
        <v>6792</v>
      </c>
      <c r="C184" s="106" t="s">
        <v>560</v>
      </c>
      <c r="D184" s="107"/>
      <c r="E184" s="107" t="n">
        <v>3732.17142857143</v>
      </c>
      <c r="F184" s="130" t="n">
        <v>0.55</v>
      </c>
      <c r="G184" s="106" t="s">
        <v>1411</v>
      </c>
      <c r="H184" s="106" t="n">
        <v>0.5</v>
      </c>
      <c r="I184" s="106" t="s">
        <v>6793</v>
      </c>
      <c r="J184" s="106" t="s">
        <v>6794</v>
      </c>
      <c r="K184" s="106" t="s">
        <v>6793</v>
      </c>
      <c r="L184" s="106" t="s">
        <v>6794</v>
      </c>
      <c r="M184" s="117"/>
      <c r="N184" s="106" t="n">
        <v>0</v>
      </c>
      <c r="O184" s="106"/>
      <c r="P184" s="27" t="s">
        <v>6818</v>
      </c>
    </row>
    <row r="185" customFormat="false" ht="15" hidden="false" customHeight="false" outlineLevel="0" collapsed="false">
      <c r="A185" s="106" t="s">
        <v>6955</v>
      </c>
      <c r="B185" s="106" t="s">
        <v>6792</v>
      </c>
      <c r="C185" s="106"/>
      <c r="D185" s="107"/>
      <c r="E185" s="107" t="n">
        <v>3721.62857142857</v>
      </c>
      <c r="F185" s="130" t="n">
        <v>0.52</v>
      </c>
      <c r="G185" s="106" t="s">
        <v>1411</v>
      </c>
      <c r="H185" s="106" t="n">
        <v>0</v>
      </c>
      <c r="I185" s="106" t="s">
        <v>6799</v>
      </c>
      <c r="J185" s="106" t="s">
        <v>6794</v>
      </c>
      <c r="K185" s="106" t="s">
        <v>6793</v>
      </c>
      <c r="L185" s="106" t="s">
        <v>6793</v>
      </c>
      <c r="M185" s="117"/>
      <c r="N185" s="106" t="n">
        <v>0</v>
      </c>
      <c r="O185" s="106"/>
      <c r="P185" s="27" t="s">
        <v>6795</v>
      </c>
    </row>
    <row r="186" customFormat="false" ht="15" hidden="false" customHeight="false" outlineLevel="0" collapsed="false">
      <c r="A186" s="106" t="s">
        <v>6956</v>
      </c>
      <c r="B186" s="106" t="s">
        <v>6792</v>
      </c>
      <c r="C186" s="106" t="s">
        <v>560</v>
      </c>
      <c r="D186" s="107" t="n">
        <v>3492</v>
      </c>
      <c r="E186" s="107" t="n">
        <v>3721.62857142857</v>
      </c>
      <c r="F186" s="130" t="n">
        <v>0.7</v>
      </c>
      <c r="G186" s="106" t="s">
        <v>1411</v>
      </c>
      <c r="H186" s="106" t="n">
        <v>0.5</v>
      </c>
      <c r="I186" s="106" t="s">
        <v>6793</v>
      </c>
      <c r="J186" s="106" t="s">
        <v>6794</v>
      </c>
      <c r="K186" s="106" t="s">
        <v>6793</v>
      </c>
      <c r="L186" s="106" t="s">
        <v>6793</v>
      </c>
      <c r="M186" s="117"/>
      <c r="N186" s="106" t="n">
        <v>0</v>
      </c>
      <c r="O186" s="106"/>
      <c r="P186" s="27" t="s">
        <v>6795</v>
      </c>
    </row>
    <row r="187" customFormat="false" ht="15" hidden="false" customHeight="false" outlineLevel="0" collapsed="false">
      <c r="A187" s="106" t="s">
        <v>6957</v>
      </c>
      <c r="B187" s="106" t="s">
        <v>6792</v>
      </c>
      <c r="C187" s="106" t="s">
        <v>560</v>
      </c>
      <c r="D187" s="107"/>
      <c r="E187" s="107" t="n">
        <v>3711.08571428571</v>
      </c>
      <c r="F187" s="130" t="n">
        <v>0.55</v>
      </c>
      <c r="G187" s="106" t="s">
        <v>1411</v>
      </c>
      <c r="H187" s="106" t="n">
        <v>0.5</v>
      </c>
      <c r="I187" s="106" t="s">
        <v>6793</v>
      </c>
      <c r="J187" s="106" t="s">
        <v>6794</v>
      </c>
      <c r="K187" s="106" t="s">
        <v>6793</v>
      </c>
      <c r="L187" s="106" t="s">
        <v>6794</v>
      </c>
      <c r="M187" s="117"/>
      <c r="N187" s="106" t="n">
        <v>0</v>
      </c>
      <c r="O187" s="106"/>
      <c r="P187" s="27" t="s">
        <v>6818</v>
      </c>
    </row>
    <row r="188" customFormat="false" ht="15" hidden="false" customHeight="false" outlineLevel="0" collapsed="false">
      <c r="A188" s="106" t="s">
        <v>6958</v>
      </c>
      <c r="B188" s="106" t="s">
        <v>6792</v>
      </c>
      <c r="C188" s="106"/>
      <c r="D188" s="107"/>
      <c r="E188" s="107" t="n">
        <v>3665.4</v>
      </c>
      <c r="F188" s="130" t="n">
        <v>0.65</v>
      </c>
      <c r="G188" s="106" t="s">
        <v>1411</v>
      </c>
      <c r="H188" s="106" t="n">
        <v>0</v>
      </c>
      <c r="I188" s="106" t="s">
        <v>6793</v>
      </c>
      <c r="J188" s="106" t="s">
        <v>6794</v>
      </c>
      <c r="K188" s="106" t="s">
        <v>6793</v>
      </c>
      <c r="L188" s="106" t="s">
        <v>6793</v>
      </c>
      <c r="M188" s="117"/>
      <c r="N188" s="106" t="n">
        <v>0</v>
      </c>
      <c r="O188" s="106"/>
      <c r="P188" s="27" t="s">
        <v>6795</v>
      </c>
    </row>
    <row r="189" customFormat="false" ht="15" hidden="false" customHeight="false" outlineLevel="0" collapsed="false">
      <c r="A189" s="106" t="s">
        <v>6959</v>
      </c>
      <c r="B189" s="106" t="s">
        <v>6792</v>
      </c>
      <c r="C189" s="106" t="s">
        <v>560</v>
      </c>
      <c r="D189" s="107"/>
      <c r="E189" s="107" t="n">
        <v>3665.4</v>
      </c>
      <c r="F189" s="130" t="n">
        <v>0.7</v>
      </c>
      <c r="G189" s="106" t="s">
        <v>1411</v>
      </c>
      <c r="H189" s="106" t="n">
        <v>1</v>
      </c>
      <c r="I189" s="106" t="s">
        <v>6793</v>
      </c>
      <c r="J189" s="106" t="s">
        <v>6794</v>
      </c>
      <c r="K189" s="106" t="s">
        <v>6793</v>
      </c>
      <c r="L189" s="106" t="s">
        <v>6793</v>
      </c>
      <c r="M189" s="117"/>
      <c r="N189" s="106" t="n">
        <v>0</v>
      </c>
      <c r="O189" s="106"/>
      <c r="P189" s="27" t="s">
        <v>6795</v>
      </c>
    </row>
    <row r="190" customFormat="false" ht="15" hidden="false" customHeight="false" outlineLevel="0" collapsed="false">
      <c r="A190" s="106" t="s">
        <v>6960</v>
      </c>
      <c r="B190" s="106" t="s">
        <v>6792</v>
      </c>
      <c r="C190" s="106" t="s">
        <v>560</v>
      </c>
      <c r="D190" s="107" t="n">
        <v>3276</v>
      </c>
      <c r="E190" s="107" t="n">
        <v>3654.85714285714</v>
      </c>
      <c r="F190" s="130" t="n">
        <v>0.7</v>
      </c>
      <c r="G190" s="106" t="s">
        <v>1411</v>
      </c>
      <c r="H190" s="106" t="n">
        <v>1</v>
      </c>
      <c r="I190" s="106" t="s">
        <v>6793</v>
      </c>
      <c r="J190" s="106" t="s">
        <v>6794</v>
      </c>
      <c r="K190" s="106" t="s">
        <v>6793</v>
      </c>
      <c r="L190" s="106" t="s">
        <v>6793</v>
      </c>
      <c r="M190" s="117"/>
      <c r="N190" s="106" t="n">
        <v>0</v>
      </c>
      <c r="O190" s="106"/>
      <c r="P190" s="27" t="s">
        <v>6795</v>
      </c>
    </row>
    <row r="191" customFormat="false" ht="15" hidden="false" customHeight="false" outlineLevel="0" collapsed="false">
      <c r="A191" s="106" t="s">
        <v>6961</v>
      </c>
      <c r="B191" s="106" t="s">
        <v>6792</v>
      </c>
      <c r="C191" s="106" t="s">
        <v>696</v>
      </c>
      <c r="D191" s="107"/>
      <c r="E191" s="107" t="n">
        <v>3644.31428571429</v>
      </c>
      <c r="F191" s="130" t="n">
        <v>0.7</v>
      </c>
      <c r="G191" s="106" t="s">
        <v>1411</v>
      </c>
      <c r="H191" s="106" t="n">
        <v>0</v>
      </c>
      <c r="I191" s="106" t="s">
        <v>6793</v>
      </c>
      <c r="J191" s="106" t="s">
        <v>6794</v>
      </c>
      <c r="K191" s="106" t="s">
        <v>6793</v>
      </c>
      <c r="L191" s="106" t="s">
        <v>6793</v>
      </c>
      <c r="M191" s="117"/>
      <c r="N191" s="106" t="n">
        <v>0</v>
      </c>
      <c r="O191" s="106"/>
      <c r="P191" s="27" t="s">
        <v>6795</v>
      </c>
    </row>
    <row r="192" customFormat="false" ht="15" hidden="false" customHeight="false" outlineLevel="0" collapsed="false">
      <c r="A192" s="106" t="s">
        <v>6962</v>
      </c>
      <c r="B192" s="106" t="s">
        <v>6792</v>
      </c>
      <c r="C192" s="106"/>
      <c r="D192" s="107"/>
      <c r="E192" s="107" t="n">
        <v>3623.22857142857</v>
      </c>
      <c r="F192" s="130" t="n">
        <v>0.65</v>
      </c>
      <c r="G192" s="106" t="s">
        <v>1411</v>
      </c>
      <c r="H192" s="106" t="n">
        <v>0</v>
      </c>
      <c r="I192" s="106" t="s">
        <v>6793</v>
      </c>
      <c r="J192" s="106" t="s">
        <v>6794</v>
      </c>
      <c r="K192" s="106" t="s">
        <v>6793</v>
      </c>
      <c r="L192" s="106" t="s">
        <v>6793</v>
      </c>
      <c r="M192" s="117"/>
      <c r="N192" s="106" t="n">
        <v>0</v>
      </c>
      <c r="O192" s="106"/>
      <c r="P192" s="27" t="s">
        <v>6795</v>
      </c>
    </row>
    <row r="193" customFormat="false" ht="15" hidden="false" customHeight="false" outlineLevel="0" collapsed="false">
      <c r="A193" s="106" t="s">
        <v>6963</v>
      </c>
      <c r="B193" s="106" t="s">
        <v>6792</v>
      </c>
      <c r="C193" s="106" t="s">
        <v>696</v>
      </c>
      <c r="D193" s="107"/>
      <c r="E193" s="107" t="n">
        <v>3609.17142857143</v>
      </c>
      <c r="F193" s="130" t="n">
        <v>0.7</v>
      </c>
      <c r="G193" s="106" t="s">
        <v>1411</v>
      </c>
      <c r="H193" s="106" t="n">
        <v>0</v>
      </c>
      <c r="I193" s="106" t="s">
        <v>6793</v>
      </c>
      <c r="J193" s="106" t="s">
        <v>6794</v>
      </c>
      <c r="K193" s="106" t="s">
        <v>6793</v>
      </c>
      <c r="L193" s="106" t="s">
        <v>6793</v>
      </c>
      <c r="M193" s="117"/>
      <c r="N193" s="106" t="n">
        <v>0</v>
      </c>
      <c r="O193" s="106"/>
      <c r="P193" s="27" t="s">
        <v>6795</v>
      </c>
    </row>
    <row r="194" customFormat="false" ht="15" hidden="false" customHeight="false" outlineLevel="0" collapsed="false">
      <c r="A194" s="106" t="s">
        <v>6964</v>
      </c>
      <c r="B194" s="106" t="s">
        <v>6792</v>
      </c>
      <c r="C194" s="106" t="s">
        <v>422</v>
      </c>
      <c r="D194" s="107" t="n">
        <v>3487</v>
      </c>
      <c r="E194" s="107" t="n">
        <v>3609.17142857143</v>
      </c>
      <c r="F194" s="130" t="n">
        <v>0.7</v>
      </c>
      <c r="G194" s="106" t="s">
        <v>1411</v>
      </c>
      <c r="H194" s="106" t="n">
        <v>0.5</v>
      </c>
      <c r="I194" s="106" t="s">
        <v>6793</v>
      </c>
      <c r="J194" s="106" t="s">
        <v>6794</v>
      </c>
      <c r="K194" s="106" t="s">
        <v>6793</v>
      </c>
      <c r="L194" s="106" t="s">
        <v>6793</v>
      </c>
      <c r="M194" s="117"/>
      <c r="N194" s="106" t="n">
        <v>0</v>
      </c>
      <c r="O194" s="106"/>
      <c r="P194" s="27" t="s">
        <v>6795</v>
      </c>
    </row>
    <row r="195" customFormat="false" ht="15" hidden="false" customHeight="false" outlineLevel="0" collapsed="false">
      <c r="A195" s="106" t="s">
        <v>6965</v>
      </c>
      <c r="B195" s="106" t="s">
        <v>6792</v>
      </c>
      <c r="C195" s="106" t="s">
        <v>422</v>
      </c>
      <c r="D195" s="107" t="n">
        <v>2803</v>
      </c>
      <c r="E195" s="107" t="n">
        <v>3598.62857142857</v>
      </c>
      <c r="F195" s="130" t="n">
        <v>0.7</v>
      </c>
      <c r="G195" s="106" t="s">
        <v>1411</v>
      </c>
      <c r="H195" s="106" t="n">
        <v>0.5</v>
      </c>
      <c r="I195" s="106" t="s">
        <v>6793</v>
      </c>
      <c r="J195" s="106" t="s">
        <v>6794</v>
      </c>
      <c r="K195" s="106" t="s">
        <v>6793</v>
      </c>
      <c r="L195" s="106" t="s">
        <v>6793</v>
      </c>
      <c r="M195" s="117"/>
      <c r="N195" s="106" t="n">
        <v>0</v>
      </c>
      <c r="O195" s="106"/>
      <c r="P195" s="27" t="s">
        <v>6795</v>
      </c>
    </row>
    <row r="196" customFormat="false" ht="15" hidden="false" customHeight="false" outlineLevel="0" collapsed="false">
      <c r="A196" s="106" t="s">
        <v>6966</v>
      </c>
      <c r="B196" s="106" t="s">
        <v>6792</v>
      </c>
      <c r="C196" s="106" t="s">
        <v>185</v>
      </c>
      <c r="D196" s="107"/>
      <c r="E196" s="107" t="n">
        <v>3567</v>
      </c>
      <c r="F196" s="130" t="n">
        <v>0.7</v>
      </c>
      <c r="G196" s="106" t="s">
        <v>1411</v>
      </c>
      <c r="H196" s="106" t="n">
        <v>0</v>
      </c>
      <c r="I196" s="106" t="s">
        <v>6793</v>
      </c>
      <c r="J196" s="106" t="s">
        <v>6794</v>
      </c>
      <c r="K196" s="106" t="s">
        <v>6793</v>
      </c>
      <c r="L196" s="106" t="s">
        <v>6793</v>
      </c>
      <c r="M196" s="117"/>
      <c r="N196" s="106" t="n">
        <v>0</v>
      </c>
      <c r="O196" s="106"/>
      <c r="P196" s="27" t="s">
        <v>6795</v>
      </c>
    </row>
    <row r="197" customFormat="false" ht="15" hidden="false" customHeight="false" outlineLevel="0" collapsed="false">
      <c r="A197" s="106" t="s">
        <v>6967</v>
      </c>
      <c r="B197" s="106" t="s">
        <v>6792</v>
      </c>
      <c r="C197" s="106"/>
      <c r="D197" s="107"/>
      <c r="E197" s="107" t="n">
        <v>3531.85714285714</v>
      </c>
      <c r="F197" s="130" t="n">
        <v>0.5</v>
      </c>
      <c r="G197" s="106" t="s">
        <v>1411</v>
      </c>
      <c r="H197" s="106" t="n">
        <v>0.5</v>
      </c>
      <c r="I197" s="106" t="s">
        <v>6793</v>
      </c>
      <c r="J197" s="106" t="s">
        <v>6794</v>
      </c>
      <c r="K197" s="106" t="s">
        <v>6793</v>
      </c>
      <c r="L197" s="106" t="s">
        <v>6794</v>
      </c>
      <c r="M197" s="117"/>
      <c r="N197" s="106" t="n">
        <v>0</v>
      </c>
      <c r="O197" s="106"/>
      <c r="P197" s="27" t="s">
        <v>6818</v>
      </c>
    </row>
    <row r="198" customFormat="false" ht="15" hidden="false" customHeight="false" outlineLevel="0" collapsed="false">
      <c r="A198" s="106" t="s">
        <v>6968</v>
      </c>
      <c r="B198" s="106" t="s">
        <v>6792</v>
      </c>
      <c r="C198" s="106" t="s">
        <v>560</v>
      </c>
      <c r="D198" s="107"/>
      <c r="E198" s="107" t="n">
        <v>3489.68571428572</v>
      </c>
      <c r="F198" s="130" t="n">
        <v>0.45</v>
      </c>
      <c r="G198" s="106" t="s">
        <v>1411</v>
      </c>
      <c r="H198" s="106" t="n">
        <v>0</v>
      </c>
      <c r="I198" s="106" t="s">
        <v>6794</v>
      </c>
      <c r="J198" s="106" t="s">
        <v>6794</v>
      </c>
      <c r="K198" s="106" t="s">
        <v>6793</v>
      </c>
      <c r="L198" s="106" t="s">
        <v>6793</v>
      </c>
      <c r="M198" s="117"/>
      <c r="N198" s="106" t="n">
        <v>0</v>
      </c>
      <c r="O198" s="106"/>
      <c r="P198" s="27" t="s">
        <v>6805</v>
      </c>
    </row>
    <row r="199" customFormat="false" ht="15" hidden="false" customHeight="false" outlineLevel="0" collapsed="false">
      <c r="A199" s="106" t="s">
        <v>6969</v>
      </c>
      <c r="B199" s="106" t="s">
        <v>6792</v>
      </c>
      <c r="C199" s="106"/>
      <c r="D199" s="107"/>
      <c r="E199" s="107" t="n">
        <v>3489.68571428572</v>
      </c>
      <c r="F199" s="130" t="n">
        <v>0.5</v>
      </c>
      <c r="G199" s="106" t="s">
        <v>1411</v>
      </c>
      <c r="H199" s="106" t="n">
        <v>0</v>
      </c>
      <c r="I199" s="106" t="s">
        <v>6793</v>
      </c>
      <c r="J199" s="106" t="s">
        <v>6794</v>
      </c>
      <c r="K199" s="106" t="s">
        <v>6793</v>
      </c>
      <c r="L199" s="106" t="s">
        <v>6794</v>
      </c>
      <c r="M199" s="117"/>
      <c r="N199" s="106" t="n">
        <v>0</v>
      </c>
      <c r="O199" s="106"/>
      <c r="P199" s="27" t="s">
        <v>6818</v>
      </c>
    </row>
    <row r="200" customFormat="false" ht="15" hidden="false" customHeight="false" outlineLevel="0" collapsed="false">
      <c r="A200" s="106" t="s">
        <v>6970</v>
      </c>
      <c r="B200" s="106" t="s">
        <v>6792</v>
      </c>
      <c r="C200" s="106" t="s">
        <v>560</v>
      </c>
      <c r="D200" s="107"/>
      <c r="E200" s="107" t="n">
        <v>3468.6</v>
      </c>
      <c r="F200" s="130" t="n">
        <v>0.7</v>
      </c>
      <c r="G200" s="106" t="s">
        <v>1411</v>
      </c>
      <c r="H200" s="106" t="n">
        <v>0.5</v>
      </c>
      <c r="I200" s="106" t="s">
        <v>6793</v>
      </c>
      <c r="J200" s="106" t="s">
        <v>6794</v>
      </c>
      <c r="K200" s="106" t="s">
        <v>6793</v>
      </c>
      <c r="L200" s="106" t="s">
        <v>6793</v>
      </c>
      <c r="M200" s="117"/>
      <c r="N200" s="106" t="n">
        <v>0</v>
      </c>
      <c r="O200" s="106"/>
      <c r="P200" s="27" t="s">
        <v>6795</v>
      </c>
    </row>
    <row r="201" customFormat="false" ht="15" hidden="false" customHeight="false" outlineLevel="0" collapsed="false">
      <c r="A201" s="106" t="s">
        <v>6971</v>
      </c>
      <c r="B201" s="106" t="s">
        <v>6792</v>
      </c>
      <c r="C201" s="106" t="s">
        <v>479</v>
      </c>
      <c r="D201" s="107"/>
      <c r="E201" s="107" t="n">
        <v>3458.05714285714</v>
      </c>
      <c r="F201" s="130" t="n">
        <v>0.7</v>
      </c>
      <c r="G201" s="106" t="s">
        <v>1411</v>
      </c>
      <c r="H201" s="106" t="n">
        <v>0</v>
      </c>
      <c r="I201" s="106" t="s">
        <v>6793</v>
      </c>
      <c r="J201" s="106" t="s">
        <v>6794</v>
      </c>
      <c r="K201" s="106" t="s">
        <v>6793</v>
      </c>
      <c r="L201" s="106" t="s">
        <v>6793</v>
      </c>
      <c r="M201" s="117"/>
      <c r="N201" s="106" t="n">
        <v>0</v>
      </c>
      <c r="O201" s="106"/>
      <c r="P201" s="27" t="s">
        <v>6795</v>
      </c>
    </row>
    <row r="202" customFormat="false" ht="15" hidden="false" customHeight="false" outlineLevel="0" collapsed="false">
      <c r="A202" s="106" t="s">
        <v>6972</v>
      </c>
      <c r="B202" s="106" t="s">
        <v>6792</v>
      </c>
      <c r="C202" s="106"/>
      <c r="D202" s="107"/>
      <c r="E202" s="107" t="n">
        <v>3415.88571428571</v>
      </c>
      <c r="F202" s="130" t="n">
        <v>0.5</v>
      </c>
      <c r="G202" s="106" t="s">
        <v>1411</v>
      </c>
      <c r="H202" s="106" t="n">
        <v>0</v>
      </c>
      <c r="I202" s="106" t="s">
        <v>6793</v>
      </c>
      <c r="J202" s="106" t="s">
        <v>6794</v>
      </c>
      <c r="K202" s="106" t="s">
        <v>6793</v>
      </c>
      <c r="L202" s="106" t="s">
        <v>6794</v>
      </c>
      <c r="M202" s="117"/>
      <c r="N202" s="106" t="n">
        <v>0</v>
      </c>
      <c r="O202" s="106"/>
      <c r="P202" s="27" t="s">
        <v>6818</v>
      </c>
    </row>
    <row r="203" customFormat="false" ht="15" hidden="false" customHeight="false" outlineLevel="0" collapsed="false">
      <c r="A203" s="106" t="s">
        <v>6973</v>
      </c>
      <c r="B203" s="106" t="s">
        <v>6792</v>
      </c>
      <c r="C203" s="106" t="s">
        <v>185</v>
      </c>
      <c r="D203" s="107"/>
      <c r="E203" s="107" t="n">
        <v>3415.88571428571</v>
      </c>
      <c r="F203" s="130" t="n">
        <v>0.45</v>
      </c>
      <c r="G203" s="106" t="s">
        <v>1411</v>
      </c>
      <c r="H203" s="106" t="n">
        <v>0</v>
      </c>
      <c r="I203" s="106" t="s">
        <v>6794</v>
      </c>
      <c r="J203" s="106" t="s">
        <v>6794</v>
      </c>
      <c r="K203" s="106" t="s">
        <v>6793</v>
      </c>
      <c r="L203" s="106" t="s">
        <v>6793</v>
      </c>
      <c r="M203" s="117"/>
      <c r="N203" s="106" t="n">
        <v>0</v>
      </c>
      <c r="O203" s="106"/>
      <c r="P203" s="27" t="s">
        <v>6805</v>
      </c>
    </row>
    <row r="204" customFormat="false" ht="15" hidden="false" customHeight="false" outlineLevel="0" collapsed="false">
      <c r="A204" s="106" t="s">
        <v>6974</v>
      </c>
      <c r="B204" s="106" t="s">
        <v>6792</v>
      </c>
      <c r="C204" s="106" t="s">
        <v>560</v>
      </c>
      <c r="D204" s="107"/>
      <c r="E204" s="107" t="n">
        <v>3380.74285714286</v>
      </c>
      <c r="F204" s="130" t="n">
        <v>0.45</v>
      </c>
      <c r="G204" s="106" t="s">
        <v>1411</v>
      </c>
      <c r="H204" s="106" t="n">
        <v>0</v>
      </c>
      <c r="I204" s="106" t="s">
        <v>6794</v>
      </c>
      <c r="J204" s="106" t="s">
        <v>6794</v>
      </c>
      <c r="K204" s="106" t="s">
        <v>6793</v>
      </c>
      <c r="L204" s="106" t="s">
        <v>6793</v>
      </c>
      <c r="M204" s="117"/>
      <c r="N204" s="106" t="n">
        <v>0</v>
      </c>
      <c r="O204" s="106"/>
      <c r="P204" s="27" t="s">
        <v>6805</v>
      </c>
    </row>
    <row r="205" customFormat="false" ht="15" hidden="false" customHeight="false" outlineLevel="0" collapsed="false">
      <c r="A205" s="106" t="s">
        <v>6975</v>
      </c>
      <c r="B205" s="106" t="s">
        <v>6792</v>
      </c>
      <c r="C205" s="106" t="s">
        <v>185</v>
      </c>
      <c r="D205" s="107"/>
      <c r="E205" s="107" t="n">
        <v>3380.74285714286</v>
      </c>
      <c r="F205" s="130" t="n">
        <v>0.7</v>
      </c>
      <c r="G205" s="106" t="s">
        <v>1411</v>
      </c>
      <c r="H205" s="106" t="n">
        <v>0</v>
      </c>
      <c r="I205" s="106" t="s">
        <v>6793</v>
      </c>
      <c r="J205" s="106" t="s">
        <v>6794</v>
      </c>
      <c r="K205" s="106" t="s">
        <v>6793</v>
      </c>
      <c r="L205" s="106" t="s">
        <v>6793</v>
      </c>
      <c r="M205" s="117"/>
      <c r="N205" s="106" t="n">
        <v>0</v>
      </c>
      <c r="O205" s="106"/>
      <c r="P205" s="27" t="s">
        <v>6795</v>
      </c>
    </row>
    <row r="206" customFormat="false" ht="15" hidden="false" customHeight="false" outlineLevel="0" collapsed="false">
      <c r="A206" s="106" t="s">
        <v>6976</v>
      </c>
      <c r="B206" s="106" t="s">
        <v>6792</v>
      </c>
      <c r="C206" s="106" t="s">
        <v>696</v>
      </c>
      <c r="D206" s="107" t="n">
        <v>3281</v>
      </c>
      <c r="E206" s="107" t="n">
        <v>3328.02857142857</v>
      </c>
      <c r="F206" s="130" t="n">
        <v>0.7</v>
      </c>
      <c r="G206" s="106" t="s">
        <v>1411</v>
      </c>
      <c r="H206" s="106" t="n">
        <v>0</v>
      </c>
      <c r="I206" s="106" t="s">
        <v>6793</v>
      </c>
      <c r="J206" s="106" t="s">
        <v>6794</v>
      </c>
      <c r="K206" s="106" t="s">
        <v>6793</v>
      </c>
      <c r="L206" s="106" t="s">
        <v>6793</v>
      </c>
      <c r="M206" s="117"/>
      <c r="N206" s="106" t="n">
        <v>0</v>
      </c>
      <c r="O206" s="106"/>
      <c r="P206" s="27" t="s">
        <v>6795</v>
      </c>
    </row>
    <row r="207" customFormat="false" ht="15" hidden="false" customHeight="false" outlineLevel="0" collapsed="false">
      <c r="A207" s="106" t="s">
        <v>6977</v>
      </c>
      <c r="B207" s="106" t="s">
        <v>6792</v>
      </c>
      <c r="C207" s="106" t="s">
        <v>696</v>
      </c>
      <c r="D207" s="107"/>
      <c r="E207" s="107" t="n">
        <v>3328.02857142857</v>
      </c>
      <c r="F207" s="130" t="n">
        <v>0.7</v>
      </c>
      <c r="G207" s="106" t="s">
        <v>1411</v>
      </c>
      <c r="H207" s="106" t="n">
        <v>0</v>
      </c>
      <c r="I207" s="106" t="s">
        <v>6793</v>
      </c>
      <c r="J207" s="106" t="s">
        <v>6794</v>
      </c>
      <c r="K207" s="106" t="s">
        <v>6793</v>
      </c>
      <c r="L207" s="106" t="s">
        <v>6793</v>
      </c>
      <c r="M207" s="117"/>
      <c r="N207" s="106" t="n">
        <v>0</v>
      </c>
      <c r="O207" s="106"/>
      <c r="P207" s="27" t="s">
        <v>6795</v>
      </c>
    </row>
    <row r="208" customFormat="false" ht="15" hidden="false" customHeight="false" outlineLevel="0" collapsed="false">
      <c r="A208" s="106" t="s">
        <v>6978</v>
      </c>
      <c r="B208" s="106" t="s">
        <v>6792</v>
      </c>
      <c r="C208" s="106" t="s">
        <v>479</v>
      </c>
      <c r="D208" s="107"/>
      <c r="E208" s="107" t="n">
        <v>3317.48571428571</v>
      </c>
      <c r="F208" s="130" t="n">
        <v>0.7</v>
      </c>
      <c r="G208" s="106" t="s">
        <v>1411</v>
      </c>
      <c r="H208" s="106" t="n">
        <v>0</v>
      </c>
      <c r="I208" s="106" t="s">
        <v>6793</v>
      </c>
      <c r="J208" s="106" t="s">
        <v>6794</v>
      </c>
      <c r="K208" s="106" t="s">
        <v>6793</v>
      </c>
      <c r="L208" s="106" t="s">
        <v>6793</v>
      </c>
      <c r="M208" s="117"/>
      <c r="N208" s="106" t="n">
        <v>0</v>
      </c>
      <c r="O208" s="106"/>
      <c r="P208" s="27" t="s">
        <v>6795</v>
      </c>
    </row>
    <row r="209" customFormat="false" ht="15" hidden="false" customHeight="false" outlineLevel="0" collapsed="false">
      <c r="A209" s="106" t="s">
        <v>6979</v>
      </c>
      <c r="B209" s="106" t="s">
        <v>6792</v>
      </c>
      <c r="C209" s="106" t="s">
        <v>185</v>
      </c>
      <c r="D209" s="107"/>
      <c r="E209" s="107" t="n">
        <v>3296.4</v>
      </c>
      <c r="F209" s="130" t="n">
        <v>0.7</v>
      </c>
      <c r="G209" s="106" t="s">
        <v>1411</v>
      </c>
      <c r="H209" s="106" t="n">
        <v>0</v>
      </c>
      <c r="I209" s="106" t="s">
        <v>6793</v>
      </c>
      <c r="J209" s="106" t="s">
        <v>6794</v>
      </c>
      <c r="K209" s="106" t="s">
        <v>6793</v>
      </c>
      <c r="L209" s="106" t="s">
        <v>6793</v>
      </c>
      <c r="M209" s="117"/>
      <c r="N209" s="106" t="n">
        <v>0</v>
      </c>
      <c r="O209" s="106"/>
      <c r="P209" s="27" t="s">
        <v>6795</v>
      </c>
    </row>
    <row r="210" customFormat="false" ht="15" hidden="false" customHeight="false" outlineLevel="0" collapsed="false">
      <c r="A210" s="106" t="s">
        <v>6980</v>
      </c>
      <c r="B210" s="106" t="s">
        <v>6792</v>
      </c>
      <c r="C210" s="106" t="s">
        <v>185</v>
      </c>
      <c r="D210" s="107"/>
      <c r="E210" s="107" t="n">
        <v>3261.25714285714</v>
      </c>
      <c r="F210" s="130" t="n">
        <v>0.45</v>
      </c>
      <c r="G210" s="106" t="s">
        <v>1411</v>
      </c>
      <c r="H210" s="106" t="n">
        <v>0</v>
      </c>
      <c r="I210" s="106" t="s">
        <v>6794</v>
      </c>
      <c r="J210" s="106" t="s">
        <v>6794</v>
      </c>
      <c r="K210" s="106" t="s">
        <v>6793</v>
      </c>
      <c r="L210" s="106" t="s">
        <v>6793</v>
      </c>
      <c r="M210" s="117"/>
      <c r="N210" s="106" t="n">
        <v>0</v>
      </c>
      <c r="O210" s="106"/>
      <c r="P210" s="27" t="s">
        <v>6805</v>
      </c>
    </row>
    <row r="211" customFormat="false" ht="15" hidden="false" customHeight="false" outlineLevel="0" collapsed="false">
      <c r="A211" s="106" t="s">
        <v>6981</v>
      </c>
      <c r="B211" s="106" t="s">
        <v>6792</v>
      </c>
      <c r="C211" s="106"/>
      <c r="D211" s="107"/>
      <c r="E211" s="107" t="n">
        <v>3240.17142857143</v>
      </c>
      <c r="F211" s="130" t="n">
        <v>0.65</v>
      </c>
      <c r="G211" s="106" t="s">
        <v>1411</v>
      </c>
      <c r="H211" s="106" t="n">
        <v>0</v>
      </c>
      <c r="I211" s="106" t="s">
        <v>6793</v>
      </c>
      <c r="J211" s="106" t="s">
        <v>6794</v>
      </c>
      <c r="K211" s="106" t="s">
        <v>6793</v>
      </c>
      <c r="L211" s="106" t="s">
        <v>6793</v>
      </c>
      <c r="M211" s="117"/>
      <c r="N211" s="106" t="n">
        <v>0</v>
      </c>
      <c r="O211" s="106"/>
      <c r="P211" s="27" t="s">
        <v>6795</v>
      </c>
    </row>
    <row r="212" customFormat="false" ht="15" hidden="false" customHeight="false" outlineLevel="0" collapsed="false">
      <c r="A212" s="106" t="s">
        <v>6982</v>
      </c>
      <c r="B212" s="106" t="s">
        <v>6792</v>
      </c>
      <c r="C212" s="106" t="s">
        <v>479</v>
      </c>
      <c r="D212" s="107"/>
      <c r="E212" s="107" t="n">
        <v>3208.54285714286</v>
      </c>
      <c r="F212" s="130" t="n">
        <v>0.7</v>
      </c>
      <c r="G212" s="106" t="s">
        <v>1411</v>
      </c>
      <c r="H212" s="106" t="n">
        <v>0</v>
      </c>
      <c r="I212" s="106" t="s">
        <v>6793</v>
      </c>
      <c r="J212" s="106" t="s">
        <v>6794</v>
      </c>
      <c r="K212" s="106" t="s">
        <v>6793</v>
      </c>
      <c r="L212" s="106" t="s">
        <v>6793</v>
      </c>
      <c r="M212" s="117"/>
      <c r="N212" s="106" t="n">
        <v>0</v>
      </c>
      <c r="O212" s="106"/>
      <c r="P212" s="27" t="s">
        <v>6795</v>
      </c>
    </row>
    <row r="213" customFormat="false" ht="15" hidden="false" customHeight="false" outlineLevel="0" collapsed="false">
      <c r="A213" s="106" t="s">
        <v>4810</v>
      </c>
      <c r="B213" s="106" t="s">
        <v>6792</v>
      </c>
      <c r="C213" s="106"/>
      <c r="D213" s="107" t="n">
        <v>2922</v>
      </c>
      <c r="E213" s="107" t="n">
        <v>3180.42857142857</v>
      </c>
      <c r="F213" s="130" t="n">
        <v>0.7</v>
      </c>
      <c r="G213" s="106" t="s">
        <v>1411</v>
      </c>
      <c r="H213" s="106" t="n">
        <v>-1.5</v>
      </c>
      <c r="I213" s="106" t="s">
        <v>6794</v>
      </c>
      <c r="J213" s="106" t="s">
        <v>6793</v>
      </c>
      <c r="K213" s="106" t="s">
        <v>6793</v>
      </c>
      <c r="L213" s="106" t="s">
        <v>6793</v>
      </c>
      <c r="M213" s="117" t="n">
        <v>0.0174889543446244</v>
      </c>
      <c r="N213" s="106" t="n">
        <v>25</v>
      </c>
      <c r="O213" s="106" t="n">
        <v>0</v>
      </c>
      <c r="P213" s="27" t="s">
        <v>6983</v>
      </c>
    </row>
    <row r="214" customFormat="false" ht="15" hidden="false" customHeight="false" outlineLevel="0" collapsed="false">
      <c r="A214" s="106" t="s">
        <v>6984</v>
      </c>
      <c r="B214" s="106" t="s">
        <v>6792</v>
      </c>
      <c r="C214" s="106"/>
      <c r="D214" s="107"/>
      <c r="E214" s="107" t="n">
        <v>3176.91428571429</v>
      </c>
      <c r="F214" s="130" t="n">
        <v>0.5</v>
      </c>
      <c r="G214" s="106" t="s">
        <v>1411</v>
      </c>
      <c r="H214" s="106" t="n">
        <v>0</v>
      </c>
      <c r="I214" s="106" t="s">
        <v>6793</v>
      </c>
      <c r="J214" s="106" t="s">
        <v>6794</v>
      </c>
      <c r="K214" s="106" t="s">
        <v>6793</v>
      </c>
      <c r="L214" s="106" t="s">
        <v>6794</v>
      </c>
      <c r="M214" s="117"/>
      <c r="N214" s="106" t="n">
        <v>0</v>
      </c>
      <c r="O214" s="106"/>
      <c r="P214" s="27" t="s">
        <v>6818</v>
      </c>
    </row>
    <row r="215" customFormat="false" ht="15" hidden="false" customHeight="false" outlineLevel="0" collapsed="false">
      <c r="A215" s="106" t="s">
        <v>6985</v>
      </c>
      <c r="B215" s="106" t="s">
        <v>6792</v>
      </c>
      <c r="C215" s="106" t="s">
        <v>185</v>
      </c>
      <c r="D215" s="107"/>
      <c r="E215" s="107" t="n">
        <v>3120.68571428571</v>
      </c>
      <c r="F215" s="130" t="n">
        <v>0.7</v>
      </c>
      <c r="G215" s="106" t="s">
        <v>1411</v>
      </c>
      <c r="H215" s="106" t="n">
        <v>0.5</v>
      </c>
      <c r="I215" s="106" t="s">
        <v>6793</v>
      </c>
      <c r="J215" s="106" t="s">
        <v>6794</v>
      </c>
      <c r="K215" s="106" t="s">
        <v>6793</v>
      </c>
      <c r="L215" s="106" t="s">
        <v>6793</v>
      </c>
      <c r="M215" s="117"/>
      <c r="N215" s="106" t="n">
        <v>0</v>
      </c>
      <c r="O215" s="106"/>
      <c r="P215" s="27" t="s">
        <v>6795</v>
      </c>
    </row>
    <row r="216" customFormat="false" ht="15" hidden="false" customHeight="false" outlineLevel="0" collapsed="false">
      <c r="A216" s="106" t="s">
        <v>6986</v>
      </c>
      <c r="B216" s="106" t="s">
        <v>6792</v>
      </c>
      <c r="C216" s="106" t="s">
        <v>479</v>
      </c>
      <c r="D216" s="107"/>
      <c r="E216" s="107" t="n">
        <v>3110.14285714286</v>
      </c>
      <c r="F216" s="130" t="n">
        <v>0.7</v>
      </c>
      <c r="G216" s="106" t="s">
        <v>1411</v>
      </c>
      <c r="H216" s="106" t="n">
        <v>0.5</v>
      </c>
      <c r="I216" s="106" t="s">
        <v>6793</v>
      </c>
      <c r="J216" s="106" t="s">
        <v>6794</v>
      </c>
      <c r="K216" s="106" t="s">
        <v>6793</v>
      </c>
      <c r="L216" s="106" t="s">
        <v>6793</v>
      </c>
      <c r="M216" s="117"/>
      <c r="N216" s="106" t="n">
        <v>0</v>
      </c>
      <c r="O216" s="106"/>
      <c r="P216" s="27" t="s">
        <v>6795</v>
      </c>
    </row>
    <row r="217" customFormat="false" ht="15" hidden="false" customHeight="false" outlineLevel="0" collapsed="false">
      <c r="A217" s="106" t="s">
        <v>4812</v>
      </c>
      <c r="B217" s="106" t="s">
        <v>6792</v>
      </c>
      <c r="C217" s="106"/>
      <c r="D217" s="107" t="n">
        <v>2973</v>
      </c>
      <c r="E217" s="107" t="n">
        <v>3060.94285714286</v>
      </c>
      <c r="F217" s="130" t="n">
        <v>0.7</v>
      </c>
      <c r="G217" s="106" t="s">
        <v>1411</v>
      </c>
      <c r="H217" s="106" t="n">
        <v>0.5</v>
      </c>
      <c r="I217" s="106" t="s">
        <v>6794</v>
      </c>
      <c r="J217" s="106" t="s">
        <v>6793</v>
      </c>
      <c r="K217" s="106" t="s">
        <v>6793</v>
      </c>
      <c r="L217" s="106" t="s">
        <v>6793</v>
      </c>
      <c r="M217" s="117" t="n">
        <v>0.0136532892014894</v>
      </c>
      <c r="N217" s="106" t="n">
        <v>9</v>
      </c>
      <c r="O217" s="106" t="n">
        <v>11.11</v>
      </c>
      <c r="P217" s="27" t="s">
        <v>6885</v>
      </c>
    </row>
    <row r="218" customFormat="false" ht="15" hidden="false" customHeight="false" outlineLevel="0" collapsed="false">
      <c r="A218" s="106" t="s">
        <v>6987</v>
      </c>
      <c r="B218" s="106" t="s">
        <v>6792</v>
      </c>
      <c r="C218" s="106"/>
      <c r="D218" s="107"/>
      <c r="E218" s="107" t="n">
        <v>3057.42857142857</v>
      </c>
      <c r="F218" s="130" t="n">
        <v>0.65</v>
      </c>
      <c r="G218" s="106" t="s">
        <v>1411</v>
      </c>
      <c r="H218" s="106" t="n">
        <v>0</v>
      </c>
      <c r="I218" s="106" t="s">
        <v>6793</v>
      </c>
      <c r="J218" s="106" t="s">
        <v>6794</v>
      </c>
      <c r="K218" s="106" t="s">
        <v>6793</v>
      </c>
      <c r="L218" s="106" t="s">
        <v>6793</v>
      </c>
      <c r="M218" s="117"/>
      <c r="N218" s="106" t="n">
        <v>0</v>
      </c>
      <c r="O218" s="106"/>
      <c r="P218" s="27" t="s">
        <v>6795</v>
      </c>
    </row>
    <row r="219" customFormat="false" ht="15" hidden="false" customHeight="false" outlineLevel="0" collapsed="false">
      <c r="A219" s="106" t="s">
        <v>6988</v>
      </c>
      <c r="B219" s="106" t="s">
        <v>6792</v>
      </c>
      <c r="C219" s="106"/>
      <c r="D219" s="107"/>
      <c r="E219" s="107" t="n">
        <v>3043.37142857143</v>
      </c>
      <c r="F219" s="130" t="n">
        <v>0.4</v>
      </c>
      <c r="G219" s="106" t="s">
        <v>1411</v>
      </c>
      <c r="H219" s="106" t="n">
        <v>0</v>
      </c>
      <c r="I219" s="106" t="s">
        <v>6794</v>
      </c>
      <c r="J219" s="106" t="s">
        <v>6794</v>
      </c>
      <c r="K219" s="106" t="s">
        <v>6793</v>
      </c>
      <c r="L219" s="106" t="s">
        <v>6793</v>
      </c>
      <c r="M219" s="117"/>
      <c r="N219" s="106" t="n">
        <v>0</v>
      </c>
      <c r="O219" s="106"/>
      <c r="P219" s="27" t="s">
        <v>6805</v>
      </c>
    </row>
    <row r="220" customFormat="false" ht="15" hidden="false" customHeight="false" outlineLevel="0" collapsed="false">
      <c r="A220" s="106" t="s">
        <v>6989</v>
      </c>
      <c r="B220" s="106" t="s">
        <v>6792</v>
      </c>
      <c r="C220" s="106" t="s">
        <v>696</v>
      </c>
      <c r="D220" s="107"/>
      <c r="E220" s="107" t="n">
        <v>3022.28571428571</v>
      </c>
      <c r="F220" s="130" t="n">
        <v>0.7</v>
      </c>
      <c r="G220" s="106" t="s">
        <v>1411</v>
      </c>
      <c r="H220" s="106" t="n">
        <v>0</v>
      </c>
      <c r="I220" s="106" t="s">
        <v>6793</v>
      </c>
      <c r="J220" s="106" t="s">
        <v>6794</v>
      </c>
      <c r="K220" s="106" t="s">
        <v>6793</v>
      </c>
      <c r="L220" s="106" t="s">
        <v>6793</v>
      </c>
      <c r="M220" s="117"/>
      <c r="N220" s="106" t="n">
        <v>0</v>
      </c>
      <c r="O220" s="106"/>
      <c r="P220" s="27" t="s">
        <v>6795</v>
      </c>
    </row>
    <row r="221" customFormat="false" ht="15" hidden="false" customHeight="false" outlineLevel="0" collapsed="false">
      <c r="A221" s="106" t="s">
        <v>6990</v>
      </c>
      <c r="B221" s="106" t="s">
        <v>6792</v>
      </c>
      <c r="C221" s="106" t="s">
        <v>479</v>
      </c>
      <c r="D221" s="107"/>
      <c r="E221" s="107" t="n">
        <v>3022.28571428571</v>
      </c>
      <c r="F221" s="130" t="n">
        <v>0.7</v>
      </c>
      <c r="G221" s="106" t="s">
        <v>1411</v>
      </c>
      <c r="H221" s="106" t="n">
        <v>0</v>
      </c>
      <c r="I221" s="106" t="s">
        <v>6793</v>
      </c>
      <c r="J221" s="106" t="s">
        <v>6794</v>
      </c>
      <c r="K221" s="106" t="s">
        <v>6793</v>
      </c>
      <c r="L221" s="106" t="s">
        <v>6793</v>
      </c>
      <c r="M221" s="117"/>
      <c r="N221" s="106" t="n">
        <v>0</v>
      </c>
      <c r="O221" s="106"/>
      <c r="P221" s="27" t="s">
        <v>6795</v>
      </c>
    </row>
    <row r="222" customFormat="false" ht="15" hidden="false" customHeight="false" outlineLevel="0" collapsed="false">
      <c r="A222" s="106" t="s">
        <v>6991</v>
      </c>
      <c r="B222" s="106" t="s">
        <v>6792</v>
      </c>
      <c r="C222" s="106" t="s">
        <v>185</v>
      </c>
      <c r="D222" s="107"/>
      <c r="E222" s="107" t="n">
        <v>3011.74285714286</v>
      </c>
      <c r="F222" s="130" t="n">
        <v>0.45</v>
      </c>
      <c r="G222" s="106" t="s">
        <v>1411</v>
      </c>
      <c r="H222" s="106" t="n">
        <v>0</v>
      </c>
      <c r="I222" s="106" t="s">
        <v>6794</v>
      </c>
      <c r="J222" s="106" t="s">
        <v>6794</v>
      </c>
      <c r="K222" s="106" t="s">
        <v>6793</v>
      </c>
      <c r="L222" s="106" t="s">
        <v>6793</v>
      </c>
      <c r="M222" s="117"/>
      <c r="N222" s="106" t="n">
        <v>0</v>
      </c>
      <c r="O222" s="106"/>
      <c r="P222" s="27" t="s">
        <v>6805</v>
      </c>
    </row>
    <row r="223" customFormat="false" ht="15" hidden="false" customHeight="false" outlineLevel="0" collapsed="false">
      <c r="A223" s="106" t="s">
        <v>6992</v>
      </c>
      <c r="B223" s="106" t="s">
        <v>6792</v>
      </c>
      <c r="C223" s="106"/>
      <c r="D223" s="107"/>
      <c r="E223" s="107" t="n">
        <v>3011.74285714286</v>
      </c>
      <c r="F223" s="130" t="n">
        <v>0.38</v>
      </c>
      <c r="G223" s="106" t="s">
        <v>1411</v>
      </c>
      <c r="H223" s="106" t="n">
        <v>0</v>
      </c>
      <c r="I223" s="106" t="s">
        <v>6799</v>
      </c>
      <c r="J223" s="106" t="s">
        <v>6794</v>
      </c>
      <c r="K223" s="106" t="s">
        <v>6793</v>
      </c>
      <c r="L223" s="106" t="s">
        <v>6794</v>
      </c>
      <c r="M223" s="117"/>
      <c r="N223" s="106" t="n">
        <v>0</v>
      </c>
      <c r="O223" s="106"/>
      <c r="P223" s="27" t="s">
        <v>6818</v>
      </c>
    </row>
    <row r="224" customFormat="false" ht="15" hidden="false" customHeight="false" outlineLevel="0" collapsed="false">
      <c r="A224" s="106" t="s">
        <v>6993</v>
      </c>
      <c r="B224" s="106" t="s">
        <v>6792</v>
      </c>
      <c r="C224" s="106" t="s">
        <v>696</v>
      </c>
      <c r="D224" s="107"/>
      <c r="E224" s="107" t="n">
        <v>2969.57142857143</v>
      </c>
      <c r="F224" s="130" t="n">
        <v>0.45</v>
      </c>
      <c r="G224" s="106" t="s">
        <v>1411</v>
      </c>
      <c r="H224" s="106" t="n">
        <v>0</v>
      </c>
      <c r="I224" s="106" t="s">
        <v>6794</v>
      </c>
      <c r="J224" s="106" t="s">
        <v>6794</v>
      </c>
      <c r="K224" s="106" t="s">
        <v>6793</v>
      </c>
      <c r="L224" s="106" t="s">
        <v>6793</v>
      </c>
      <c r="M224" s="117"/>
      <c r="N224" s="106" t="n">
        <v>0</v>
      </c>
      <c r="O224" s="106"/>
      <c r="P224" s="27" t="s">
        <v>6805</v>
      </c>
    </row>
    <row r="225" customFormat="false" ht="15" hidden="false" customHeight="false" outlineLevel="0" collapsed="false">
      <c r="A225" s="106" t="s">
        <v>6994</v>
      </c>
      <c r="B225" s="106" t="s">
        <v>6792</v>
      </c>
      <c r="C225" s="106" t="s">
        <v>560</v>
      </c>
      <c r="D225" s="107"/>
      <c r="E225" s="107" t="n">
        <v>2959.02857142857</v>
      </c>
      <c r="F225" s="130" t="n">
        <v>0.7</v>
      </c>
      <c r="G225" s="106" t="s">
        <v>1411</v>
      </c>
      <c r="H225" s="106" t="n">
        <v>0.5</v>
      </c>
      <c r="I225" s="106" t="s">
        <v>6793</v>
      </c>
      <c r="J225" s="106" t="s">
        <v>6794</v>
      </c>
      <c r="K225" s="106" t="s">
        <v>6793</v>
      </c>
      <c r="L225" s="106" t="s">
        <v>6793</v>
      </c>
      <c r="M225" s="117"/>
      <c r="N225" s="106" t="n">
        <v>0</v>
      </c>
      <c r="O225" s="106"/>
      <c r="P225" s="27" t="s">
        <v>6795</v>
      </c>
    </row>
    <row r="226" customFormat="false" ht="15" hidden="false" customHeight="false" outlineLevel="0" collapsed="false">
      <c r="A226" s="106" t="s">
        <v>6995</v>
      </c>
      <c r="B226" s="106" t="s">
        <v>6792</v>
      </c>
      <c r="C226" s="106" t="s">
        <v>185</v>
      </c>
      <c r="D226" s="107"/>
      <c r="E226" s="107" t="n">
        <v>2934.42857142857</v>
      </c>
      <c r="F226" s="130" t="n">
        <v>0.45</v>
      </c>
      <c r="G226" s="106" t="s">
        <v>1411</v>
      </c>
      <c r="H226" s="106" t="n">
        <v>0</v>
      </c>
      <c r="I226" s="106" t="s">
        <v>6794</v>
      </c>
      <c r="J226" s="106" t="s">
        <v>6794</v>
      </c>
      <c r="K226" s="106" t="s">
        <v>6793</v>
      </c>
      <c r="L226" s="106" t="s">
        <v>6793</v>
      </c>
      <c r="M226" s="117"/>
      <c r="N226" s="106" t="n">
        <v>0</v>
      </c>
      <c r="O226" s="106"/>
      <c r="P226" s="27" t="s">
        <v>6805</v>
      </c>
    </row>
    <row r="227" customFormat="false" ht="15" hidden="false" customHeight="false" outlineLevel="0" collapsed="false">
      <c r="A227" s="106" t="s">
        <v>6996</v>
      </c>
      <c r="B227" s="106" t="s">
        <v>6792</v>
      </c>
      <c r="C227" s="106" t="s">
        <v>696</v>
      </c>
      <c r="D227" s="107"/>
      <c r="E227" s="107" t="n">
        <v>2923.88571428572</v>
      </c>
      <c r="F227" s="130" t="n">
        <v>0.7</v>
      </c>
      <c r="G227" s="106" t="s">
        <v>1411</v>
      </c>
      <c r="H227" s="106" t="n">
        <v>0</v>
      </c>
      <c r="I227" s="106" t="s">
        <v>6793</v>
      </c>
      <c r="J227" s="106" t="s">
        <v>6794</v>
      </c>
      <c r="K227" s="106" t="s">
        <v>6793</v>
      </c>
      <c r="L227" s="106" t="s">
        <v>6793</v>
      </c>
      <c r="M227" s="117"/>
      <c r="N227" s="106" t="n">
        <v>0</v>
      </c>
      <c r="O227" s="106"/>
      <c r="P227" s="27" t="s">
        <v>6795</v>
      </c>
    </row>
    <row r="228" customFormat="false" ht="32.8" hidden="false" customHeight="false" outlineLevel="0" collapsed="false">
      <c r="A228" s="106" t="s">
        <v>3815</v>
      </c>
      <c r="B228" s="106" t="s">
        <v>6997</v>
      </c>
      <c r="C228" s="106" t="s">
        <v>185</v>
      </c>
      <c r="D228" s="107" t="n">
        <v>2976</v>
      </c>
      <c r="E228" s="107" t="n">
        <v>2895.77142857143</v>
      </c>
      <c r="F228" s="130" t="n">
        <v>1</v>
      </c>
      <c r="G228" s="106" t="s">
        <v>1411</v>
      </c>
      <c r="H228" s="106" t="n">
        <v>3</v>
      </c>
      <c r="I228" s="106" t="s">
        <v>6793</v>
      </c>
      <c r="J228" s="106" t="s">
        <v>6793</v>
      </c>
      <c r="K228" s="106" t="s">
        <v>6793</v>
      </c>
      <c r="L228" s="106" t="s">
        <v>6793</v>
      </c>
      <c r="M228" s="117" t="n">
        <v>0.0331809036034388</v>
      </c>
      <c r="N228" s="106" t="n">
        <v>86</v>
      </c>
      <c r="O228" s="106" t="n">
        <v>4.65</v>
      </c>
      <c r="P228" s="27" t="s">
        <v>6998</v>
      </c>
    </row>
    <row r="229" customFormat="false" ht="15" hidden="false" customHeight="false" outlineLevel="0" collapsed="false">
      <c r="A229" s="106" t="s">
        <v>6999</v>
      </c>
      <c r="B229" s="106" t="s">
        <v>6792</v>
      </c>
      <c r="C229" s="106"/>
      <c r="D229" s="107"/>
      <c r="E229" s="107" t="n">
        <v>2839.54285714286</v>
      </c>
      <c r="F229" s="130" t="n">
        <v>0.38</v>
      </c>
      <c r="G229" s="106" t="s">
        <v>1411</v>
      </c>
      <c r="H229" s="106" t="n">
        <v>0</v>
      </c>
      <c r="I229" s="106" t="s">
        <v>6799</v>
      </c>
      <c r="J229" s="106" t="s">
        <v>6794</v>
      </c>
      <c r="K229" s="106" t="s">
        <v>6793</v>
      </c>
      <c r="L229" s="106" t="s">
        <v>6794</v>
      </c>
      <c r="M229" s="117"/>
      <c r="N229" s="106" t="n">
        <v>0</v>
      </c>
      <c r="O229" s="106"/>
      <c r="P229" s="27" t="s">
        <v>6818</v>
      </c>
    </row>
    <row r="230" customFormat="false" ht="15" hidden="false" customHeight="false" outlineLevel="0" collapsed="false">
      <c r="A230" s="106" t="s">
        <v>7000</v>
      </c>
      <c r="B230" s="106" t="s">
        <v>6792</v>
      </c>
      <c r="C230" s="106" t="s">
        <v>185</v>
      </c>
      <c r="D230" s="107"/>
      <c r="E230" s="107" t="n">
        <v>2839.54285714286</v>
      </c>
      <c r="F230" s="130" t="n">
        <v>0.7</v>
      </c>
      <c r="G230" s="106" t="s">
        <v>1411</v>
      </c>
      <c r="H230" s="106" t="n">
        <v>0.5</v>
      </c>
      <c r="I230" s="106" t="s">
        <v>6793</v>
      </c>
      <c r="J230" s="106" t="s">
        <v>6794</v>
      </c>
      <c r="K230" s="106" t="s">
        <v>6793</v>
      </c>
      <c r="L230" s="106" t="s">
        <v>6793</v>
      </c>
      <c r="M230" s="117"/>
      <c r="N230" s="106" t="n">
        <v>0</v>
      </c>
      <c r="O230" s="106"/>
      <c r="P230" s="27" t="s">
        <v>6795</v>
      </c>
    </row>
    <row r="231" customFormat="false" ht="15" hidden="false" customHeight="false" outlineLevel="0" collapsed="false">
      <c r="A231" s="106" t="s">
        <v>7001</v>
      </c>
      <c r="B231" s="106" t="s">
        <v>6792</v>
      </c>
      <c r="C231" s="106" t="s">
        <v>422</v>
      </c>
      <c r="D231" s="107"/>
      <c r="E231" s="107" t="n">
        <v>2825.48571428572</v>
      </c>
      <c r="F231" s="130" t="n">
        <v>0.58</v>
      </c>
      <c r="G231" s="106" t="s">
        <v>1411</v>
      </c>
      <c r="H231" s="106" t="n">
        <v>0</v>
      </c>
      <c r="I231" s="106" t="s">
        <v>6799</v>
      </c>
      <c r="J231" s="106" t="s">
        <v>6794</v>
      </c>
      <c r="K231" s="106" t="s">
        <v>6793</v>
      </c>
      <c r="L231" s="106" t="s">
        <v>6793</v>
      </c>
      <c r="M231" s="117"/>
      <c r="N231" s="106" t="n">
        <v>0</v>
      </c>
      <c r="O231" s="106"/>
      <c r="P231" s="27" t="s">
        <v>6795</v>
      </c>
    </row>
    <row r="232" customFormat="false" ht="15" hidden="false" customHeight="false" outlineLevel="0" collapsed="false">
      <c r="A232" s="106" t="s">
        <v>7002</v>
      </c>
      <c r="B232" s="106" t="s">
        <v>6792</v>
      </c>
      <c r="C232" s="106" t="s">
        <v>560</v>
      </c>
      <c r="D232" s="107"/>
      <c r="E232" s="107" t="n">
        <v>2825.48571428572</v>
      </c>
      <c r="F232" s="130" t="n">
        <v>0.7</v>
      </c>
      <c r="G232" s="106" t="s">
        <v>1411</v>
      </c>
      <c r="H232" s="106" t="n">
        <v>0.5</v>
      </c>
      <c r="I232" s="106" t="s">
        <v>6793</v>
      </c>
      <c r="J232" s="106" t="s">
        <v>6794</v>
      </c>
      <c r="K232" s="106" t="s">
        <v>6793</v>
      </c>
      <c r="L232" s="106" t="s">
        <v>6793</v>
      </c>
      <c r="M232" s="117"/>
      <c r="N232" s="106" t="n">
        <v>0</v>
      </c>
      <c r="O232" s="106"/>
      <c r="P232" s="27" t="s">
        <v>6795</v>
      </c>
    </row>
    <row r="233" customFormat="false" ht="15" hidden="false" customHeight="false" outlineLevel="0" collapsed="false">
      <c r="A233" s="106" t="s">
        <v>7003</v>
      </c>
      <c r="B233" s="106" t="s">
        <v>6792</v>
      </c>
      <c r="C233" s="106" t="s">
        <v>560</v>
      </c>
      <c r="D233" s="107"/>
      <c r="E233" s="107" t="n">
        <v>2814.94285714286</v>
      </c>
      <c r="F233" s="130" t="n">
        <v>0.7</v>
      </c>
      <c r="G233" s="106" t="s">
        <v>1411</v>
      </c>
      <c r="H233" s="106" t="n">
        <v>0.5</v>
      </c>
      <c r="I233" s="106" t="s">
        <v>6793</v>
      </c>
      <c r="J233" s="106" t="s">
        <v>6794</v>
      </c>
      <c r="K233" s="106" t="s">
        <v>6793</v>
      </c>
      <c r="L233" s="106" t="s">
        <v>6793</v>
      </c>
      <c r="M233" s="117"/>
      <c r="N233" s="106" t="n">
        <v>0</v>
      </c>
      <c r="O233" s="106"/>
      <c r="P233" s="27" t="s">
        <v>6795</v>
      </c>
    </row>
    <row r="234" customFormat="false" ht="15" hidden="false" customHeight="false" outlineLevel="0" collapsed="false">
      <c r="A234" s="106" t="s">
        <v>7004</v>
      </c>
      <c r="B234" s="106" t="s">
        <v>6792</v>
      </c>
      <c r="C234" s="106" t="s">
        <v>696</v>
      </c>
      <c r="D234" s="107"/>
      <c r="E234" s="107" t="n">
        <v>2804.4</v>
      </c>
      <c r="F234" s="130" t="n">
        <v>0.45</v>
      </c>
      <c r="G234" s="106" t="s">
        <v>1411</v>
      </c>
      <c r="H234" s="106" t="n">
        <v>0</v>
      </c>
      <c r="I234" s="106" t="s">
        <v>6794</v>
      </c>
      <c r="J234" s="106" t="s">
        <v>6794</v>
      </c>
      <c r="K234" s="106" t="s">
        <v>6793</v>
      </c>
      <c r="L234" s="106" t="s">
        <v>6793</v>
      </c>
      <c r="M234" s="117"/>
      <c r="N234" s="106" t="n">
        <v>0</v>
      </c>
      <c r="O234" s="106"/>
      <c r="P234" s="27" t="s">
        <v>6805</v>
      </c>
    </row>
    <row r="235" customFormat="false" ht="15" hidden="false" customHeight="false" outlineLevel="0" collapsed="false">
      <c r="A235" s="106" t="s">
        <v>7005</v>
      </c>
      <c r="B235" s="106" t="s">
        <v>6792</v>
      </c>
      <c r="C235" s="106" t="s">
        <v>185</v>
      </c>
      <c r="D235" s="107"/>
      <c r="E235" s="107" t="n">
        <v>2804.4</v>
      </c>
      <c r="F235" s="130" t="n">
        <v>0.45</v>
      </c>
      <c r="G235" s="106" t="s">
        <v>1411</v>
      </c>
      <c r="H235" s="106" t="n">
        <v>0</v>
      </c>
      <c r="I235" s="106" t="s">
        <v>6794</v>
      </c>
      <c r="J235" s="106" t="s">
        <v>6794</v>
      </c>
      <c r="K235" s="106" t="s">
        <v>6793</v>
      </c>
      <c r="L235" s="106" t="s">
        <v>6793</v>
      </c>
      <c r="M235" s="117"/>
      <c r="N235" s="106" t="n">
        <v>0</v>
      </c>
      <c r="O235" s="106"/>
      <c r="P235" s="27" t="s">
        <v>6805</v>
      </c>
    </row>
    <row r="236" customFormat="false" ht="15" hidden="false" customHeight="false" outlineLevel="0" collapsed="false">
      <c r="A236" s="106" t="s">
        <v>7006</v>
      </c>
      <c r="B236" s="106" t="s">
        <v>6792</v>
      </c>
      <c r="C236" s="106" t="s">
        <v>185</v>
      </c>
      <c r="D236" s="107"/>
      <c r="E236" s="107" t="n">
        <v>2751.68571428571</v>
      </c>
      <c r="F236" s="130" t="n">
        <v>0.7</v>
      </c>
      <c r="G236" s="106" t="s">
        <v>1411</v>
      </c>
      <c r="H236" s="106" t="n">
        <v>0</v>
      </c>
      <c r="I236" s="106" t="s">
        <v>6793</v>
      </c>
      <c r="J236" s="106" t="s">
        <v>6794</v>
      </c>
      <c r="K236" s="106" t="s">
        <v>6793</v>
      </c>
      <c r="L236" s="106" t="s">
        <v>6793</v>
      </c>
      <c r="M236" s="117"/>
      <c r="N236" s="106" t="n">
        <v>0</v>
      </c>
      <c r="O236" s="106"/>
      <c r="P236" s="27" t="s">
        <v>6795</v>
      </c>
    </row>
    <row r="237" customFormat="false" ht="15" hidden="false" customHeight="false" outlineLevel="0" collapsed="false">
      <c r="A237" s="106" t="s">
        <v>7007</v>
      </c>
      <c r="B237" s="106" t="s">
        <v>6792</v>
      </c>
      <c r="C237" s="106"/>
      <c r="D237" s="107"/>
      <c r="E237" s="107" t="n">
        <v>2751.68571428571</v>
      </c>
      <c r="F237" s="130" t="n">
        <v>0.52</v>
      </c>
      <c r="G237" s="106" t="s">
        <v>1411</v>
      </c>
      <c r="H237" s="106" t="n">
        <v>0</v>
      </c>
      <c r="I237" s="106" t="s">
        <v>6799</v>
      </c>
      <c r="J237" s="106" t="s">
        <v>6794</v>
      </c>
      <c r="K237" s="106" t="s">
        <v>6793</v>
      </c>
      <c r="L237" s="106" t="s">
        <v>6793</v>
      </c>
      <c r="M237" s="117"/>
      <c r="N237" s="106" t="n">
        <v>0</v>
      </c>
      <c r="O237" s="106"/>
      <c r="P237" s="27" t="s">
        <v>6795</v>
      </c>
    </row>
    <row r="238" customFormat="false" ht="15" hidden="false" customHeight="false" outlineLevel="0" collapsed="false">
      <c r="A238" s="106" t="s">
        <v>7008</v>
      </c>
      <c r="B238" s="106" t="s">
        <v>6792</v>
      </c>
      <c r="C238" s="106" t="s">
        <v>185</v>
      </c>
      <c r="D238" s="107"/>
      <c r="E238" s="107" t="n">
        <v>2751.68571428571</v>
      </c>
      <c r="F238" s="130" t="n">
        <v>0.45</v>
      </c>
      <c r="G238" s="106" t="s">
        <v>1411</v>
      </c>
      <c r="H238" s="106" t="n">
        <v>0</v>
      </c>
      <c r="I238" s="106" t="s">
        <v>6794</v>
      </c>
      <c r="J238" s="106" t="s">
        <v>6794</v>
      </c>
      <c r="K238" s="106" t="s">
        <v>6793</v>
      </c>
      <c r="L238" s="106" t="s">
        <v>6793</v>
      </c>
      <c r="M238" s="117"/>
      <c r="N238" s="106" t="n">
        <v>0</v>
      </c>
      <c r="O238" s="106"/>
      <c r="P238" s="27" t="s">
        <v>6805</v>
      </c>
    </row>
    <row r="239" customFormat="false" ht="15" hidden="false" customHeight="false" outlineLevel="0" collapsed="false">
      <c r="A239" s="106" t="s">
        <v>7009</v>
      </c>
      <c r="B239" s="106" t="s">
        <v>6792</v>
      </c>
      <c r="C239" s="106" t="s">
        <v>696</v>
      </c>
      <c r="D239" s="107"/>
      <c r="E239" s="107" t="n">
        <v>2751.68571428571</v>
      </c>
      <c r="F239" s="130" t="n">
        <v>0.45</v>
      </c>
      <c r="G239" s="106" t="s">
        <v>1411</v>
      </c>
      <c r="H239" s="106" t="n">
        <v>0</v>
      </c>
      <c r="I239" s="106" t="s">
        <v>6794</v>
      </c>
      <c r="J239" s="106" t="s">
        <v>6794</v>
      </c>
      <c r="K239" s="106" t="s">
        <v>6793</v>
      </c>
      <c r="L239" s="106" t="s">
        <v>6793</v>
      </c>
      <c r="M239" s="117"/>
      <c r="N239" s="106" t="n">
        <v>0</v>
      </c>
      <c r="O239" s="106"/>
      <c r="P239" s="27" t="s">
        <v>6805</v>
      </c>
    </row>
    <row r="240" customFormat="false" ht="15" hidden="false" customHeight="false" outlineLevel="0" collapsed="false">
      <c r="A240" s="106" t="s">
        <v>7010</v>
      </c>
      <c r="B240" s="106" t="s">
        <v>6792</v>
      </c>
      <c r="C240" s="106" t="s">
        <v>560</v>
      </c>
      <c r="D240" s="107"/>
      <c r="E240" s="107" t="n">
        <v>2751.68571428571</v>
      </c>
      <c r="F240" s="130" t="n">
        <v>0.7</v>
      </c>
      <c r="G240" s="106" t="s">
        <v>1411</v>
      </c>
      <c r="H240" s="106" t="n">
        <v>0.5</v>
      </c>
      <c r="I240" s="106" t="s">
        <v>6793</v>
      </c>
      <c r="J240" s="106" t="s">
        <v>6794</v>
      </c>
      <c r="K240" s="106" t="s">
        <v>6793</v>
      </c>
      <c r="L240" s="106" t="s">
        <v>6793</v>
      </c>
      <c r="M240" s="117"/>
      <c r="N240" s="106" t="n">
        <v>0</v>
      </c>
      <c r="O240" s="106"/>
      <c r="P240" s="27" t="s">
        <v>6795</v>
      </c>
    </row>
    <row r="241" customFormat="false" ht="15" hidden="false" customHeight="false" outlineLevel="0" collapsed="false">
      <c r="A241" s="106" t="s">
        <v>7011</v>
      </c>
      <c r="B241" s="106" t="s">
        <v>6792</v>
      </c>
      <c r="C241" s="106" t="s">
        <v>185</v>
      </c>
      <c r="D241" s="107"/>
      <c r="E241" s="107" t="n">
        <v>2741.14285714286</v>
      </c>
      <c r="F241" s="130" t="n">
        <v>0.55</v>
      </c>
      <c r="G241" s="106" t="s">
        <v>1411</v>
      </c>
      <c r="H241" s="106" t="n">
        <v>0</v>
      </c>
      <c r="I241" s="106" t="s">
        <v>6793</v>
      </c>
      <c r="J241" s="106" t="s">
        <v>6794</v>
      </c>
      <c r="K241" s="106" t="s">
        <v>6793</v>
      </c>
      <c r="L241" s="106" t="s">
        <v>6794</v>
      </c>
      <c r="M241" s="117"/>
      <c r="N241" s="106" t="n">
        <v>0</v>
      </c>
      <c r="O241" s="106"/>
      <c r="P241" s="27" t="s">
        <v>6818</v>
      </c>
    </row>
    <row r="242" customFormat="false" ht="15" hidden="false" customHeight="false" outlineLevel="0" collapsed="false">
      <c r="A242" s="106" t="s">
        <v>7012</v>
      </c>
      <c r="B242" s="106" t="s">
        <v>6792</v>
      </c>
      <c r="C242" s="106" t="s">
        <v>560</v>
      </c>
      <c r="D242" s="107"/>
      <c r="E242" s="107" t="n">
        <v>2723.57142857143</v>
      </c>
      <c r="F242" s="130" t="n">
        <v>0.45</v>
      </c>
      <c r="G242" s="106" t="s">
        <v>1411</v>
      </c>
      <c r="H242" s="106" t="n">
        <v>0</v>
      </c>
      <c r="I242" s="106" t="s">
        <v>6794</v>
      </c>
      <c r="J242" s="106" t="s">
        <v>6794</v>
      </c>
      <c r="K242" s="106" t="s">
        <v>6793</v>
      </c>
      <c r="L242" s="106" t="s">
        <v>6793</v>
      </c>
      <c r="M242" s="117"/>
      <c r="N242" s="106" t="n">
        <v>0</v>
      </c>
      <c r="O242" s="106"/>
      <c r="P242" s="27" t="s">
        <v>6805</v>
      </c>
    </row>
    <row r="243" customFormat="false" ht="15" hidden="false" customHeight="false" outlineLevel="0" collapsed="false">
      <c r="A243" s="106" t="s">
        <v>7013</v>
      </c>
      <c r="B243" s="106" t="s">
        <v>6792</v>
      </c>
      <c r="C243" s="106" t="s">
        <v>560</v>
      </c>
      <c r="D243" s="107" t="n">
        <v>2643</v>
      </c>
      <c r="E243" s="107" t="n">
        <v>2698.97142857143</v>
      </c>
      <c r="F243" s="130" t="n">
        <v>0.7</v>
      </c>
      <c r="G243" s="106" t="s">
        <v>1411</v>
      </c>
      <c r="H243" s="106" t="n">
        <v>0.5</v>
      </c>
      <c r="I243" s="106" t="s">
        <v>6793</v>
      </c>
      <c r="J243" s="106" t="s">
        <v>6794</v>
      </c>
      <c r="K243" s="106" t="s">
        <v>6793</v>
      </c>
      <c r="L243" s="106" t="s">
        <v>6793</v>
      </c>
      <c r="M243" s="117"/>
      <c r="N243" s="106" t="n">
        <v>0</v>
      </c>
      <c r="O243" s="106"/>
      <c r="P243" s="27" t="s">
        <v>6795</v>
      </c>
    </row>
    <row r="244" customFormat="false" ht="15" hidden="false" customHeight="false" outlineLevel="0" collapsed="false">
      <c r="A244" s="106" t="s">
        <v>7014</v>
      </c>
      <c r="B244" s="106" t="s">
        <v>6792</v>
      </c>
      <c r="C244" s="106"/>
      <c r="D244" s="107"/>
      <c r="E244" s="107" t="n">
        <v>2688.42857142857</v>
      </c>
      <c r="F244" s="130" t="n">
        <v>0.5</v>
      </c>
      <c r="G244" s="106" t="s">
        <v>1411</v>
      </c>
      <c r="H244" s="106" t="n">
        <v>0</v>
      </c>
      <c r="I244" s="106" t="s">
        <v>6793</v>
      </c>
      <c r="J244" s="106" t="s">
        <v>6794</v>
      </c>
      <c r="K244" s="106" t="s">
        <v>6793</v>
      </c>
      <c r="L244" s="106" t="s">
        <v>6794</v>
      </c>
      <c r="M244" s="117"/>
      <c r="N244" s="106" t="n">
        <v>0</v>
      </c>
      <c r="O244" s="106"/>
      <c r="P244" s="27" t="s">
        <v>6818</v>
      </c>
    </row>
    <row r="245" customFormat="false" ht="15" hidden="false" customHeight="false" outlineLevel="0" collapsed="false">
      <c r="A245" s="106" t="s">
        <v>7015</v>
      </c>
      <c r="B245" s="106" t="s">
        <v>6792</v>
      </c>
      <c r="C245" s="106"/>
      <c r="D245" s="107"/>
      <c r="E245" s="107" t="n">
        <v>2677.88571428571</v>
      </c>
      <c r="F245" s="130" t="n">
        <v>0.5</v>
      </c>
      <c r="G245" s="106" t="s">
        <v>1411</v>
      </c>
      <c r="H245" s="106" t="n">
        <v>0.5</v>
      </c>
      <c r="I245" s="106" t="s">
        <v>6793</v>
      </c>
      <c r="J245" s="106" t="s">
        <v>6794</v>
      </c>
      <c r="K245" s="106" t="s">
        <v>6793</v>
      </c>
      <c r="L245" s="106" t="s">
        <v>6794</v>
      </c>
      <c r="M245" s="117"/>
      <c r="N245" s="106" t="n">
        <v>0</v>
      </c>
      <c r="O245" s="106"/>
      <c r="P245" s="27" t="s">
        <v>6818</v>
      </c>
    </row>
    <row r="246" customFormat="false" ht="15" hidden="false" customHeight="false" outlineLevel="0" collapsed="false">
      <c r="A246" s="106" t="s">
        <v>7016</v>
      </c>
      <c r="B246" s="106" t="s">
        <v>6792</v>
      </c>
      <c r="C246" s="106"/>
      <c r="D246" s="107"/>
      <c r="E246" s="107" t="n">
        <v>2667.34285714286</v>
      </c>
      <c r="F246" s="130" t="n">
        <v>0.4</v>
      </c>
      <c r="G246" s="106" t="s">
        <v>1411</v>
      </c>
      <c r="H246" s="106" t="n">
        <v>0</v>
      </c>
      <c r="I246" s="106" t="s">
        <v>6794</v>
      </c>
      <c r="J246" s="106" t="s">
        <v>6794</v>
      </c>
      <c r="K246" s="106" t="s">
        <v>6793</v>
      </c>
      <c r="L246" s="106" t="s">
        <v>6793</v>
      </c>
      <c r="M246" s="117"/>
      <c r="N246" s="106" t="n">
        <v>0</v>
      </c>
      <c r="O246" s="106"/>
      <c r="P246" s="27" t="s">
        <v>6805</v>
      </c>
    </row>
    <row r="247" customFormat="false" ht="15" hidden="false" customHeight="false" outlineLevel="0" collapsed="false">
      <c r="A247" s="106" t="s">
        <v>7017</v>
      </c>
      <c r="B247" s="106" t="s">
        <v>6792</v>
      </c>
      <c r="C247" s="106" t="s">
        <v>185</v>
      </c>
      <c r="D247" s="107"/>
      <c r="E247" s="107" t="n">
        <v>2656.8</v>
      </c>
      <c r="F247" s="130" t="n">
        <v>0.7</v>
      </c>
      <c r="G247" s="106" t="s">
        <v>1411</v>
      </c>
      <c r="H247" s="106" t="n">
        <v>0</v>
      </c>
      <c r="I247" s="106" t="s">
        <v>6793</v>
      </c>
      <c r="J247" s="106" t="s">
        <v>6794</v>
      </c>
      <c r="K247" s="106" t="s">
        <v>6793</v>
      </c>
      <c r="L247" s="106" t="s">
        <v>6793</v>
      </c>
      <c r="M247" s="117"/>
      <c r="N247" s="106" t="n">
        <v>0</v>
      </c>
      <c r="O247" s="106"/>
      <c r="P247" s="27" t="s">
        <v>6795</v>
      </c>
    </row>
    <row r="248" customFormat="false" ht="15" hidden="false" customHeight="false" outlineLevel="0" collapsed="false">
      <c r="A248" s="106" t="s">
        <v>7018</v>
      </c>
      <c r="B248" s="106" t="s">
        <v>6792</v>
      </c>
      <c r="C248" s="106"/>
      <c r="D248" s="107"/>
      <c r="E248" s="107" t="n">
        <v>2635.71428571429</v>
      </c>
      <c r="F248" s="130" t="n">
        <v>0.38</v>
      </c>
      <c r="G248" s="106" t="s">
        <v>1411</v>
      </c>
      <c r="H248" s="106" t="n">
        <v>0</v>
      </c>
      <c r="I248" s="106" t="s">
        <v>6799</v>
      </c>
      <c r="J248" s="106" t="s">
        <v>6794</v>
      </c>
      <c r="K248" s="106" t="s">
        <v>6793</v>
      </c>
      <c r="L248" s="106" t="s">
        <v>6794</v>
      </c>
      <c r="M248" s="117"/>
      <c r="N248" s="106" t="n">
        <v>0</v>
      </c>
      <c r="O248" s="106"/>
      <c r="P248" s="27" t="s">
        <v>6818</v>
      </c>
    </row>
    <row r="249" customFormat="false" ht="15" hidden="false" customHeight="false" outlineLevel="0" collapsed="false">
      <c r="A249" s="106" t="s">
        <v>7019</v>
      </c>
      <c r="B249" s="106" t="s">
        <v>6792</v>
      </c>
      <c r="C249" s="106" t="s">
        <v>185</v>
      </c>
      <c r="D249" s="107" t="n">
        <v>2279</v>
      </c>
      <c r="E249" s="107" t="n">
        <v>2618.14285714286</v>
      </c>
      <c r="F249" s="130" t="n">
        <v>0.7</v>
      </c>
      <c r="G249" s="106" t="s">
        <v>1411</v>
      </c>
      <c r="H249" s="106" t="n">
        <v>1.5</v>
      </c>
      <c r="I249" s="106" t="s">
        <v>6793</v>
      </c>
      <c r="J249" s="106" t="s">
        <v>6794</v>
      </c>
      <c r="K249" s="106" t="s">
        <v>6793</v>
      </c>
      <c r="L249" s="106" t="s">
        <v>6793</v>
      </c>
      <c r="M249" s="117" t="n">
        <v>0.0298295454545454</v>
      </c>
      <c r="N249" s="106" t="n">
        <v>0</v>
      </c>
      <c r="O249" s="106"/>
      <c r="P249" s="27" t="s">
        <v>6795</v>
      </c>
    </row>
    <row r="250" customFormat="false" ht="15" hidden="false" customHeight="false" outlineLevel="0" collapsed="false">
      <c r="A250" s="106" t="s">
        <v>7020</v>
      </c>
      <c r="B250" s="106" t="s">
        <v>6792</v>
      </c>
      <c r="C250" s="106" t="s">
        <v>479</v>
      </c>
      <c r="D250" s="107"/>
      <c r="E250" s="107" t="n">
        <v>2614.62857142857</v>
      </c>
      <c r="F250" s="130" t="n">
        <v>0.7</v>
      </c>
      <c r="G250" s="106" t="s">
        <v>1411</v>
      </c>
      <c r="H250" s="106" t="n">
        <v>0</v>
      </c>
      <c r="I250" s="106" t="s">
        <v>6793</v>
      </c>
      <c r="J250" s="106" t="s">
        <v>6794</v>
      </c>
      <c r="K250" s="106" t="s">
        <v>6793</v>
      </c>
      <c r="L250" s="106" t="s">
        <v>6793</v>
      </c>
      <c r="M250" s="117"/>
      <c r="N250" s="106" t="n">
        <v>0</v>
      </c>
      <c r="O250" s="106"/>
      <c r="P250" s="27" t="s">
        <v>6795</v>
      </c>
    </row>
    <row r="251" customFormat="false" ht="15" hidden="false" customHeight="false" outlineLevel="0" collapsed="false">
      <c r="A251" s="106" t="s">
        <v>7021</v>
      </c>
      <c r="B251" s="106" t="s">
        <v>6792</v>
      </c>
      <c r="C251" s="106" t="s">
        <v>560</v>
      </c>
      <c r="D251" s="107"/>
      <c r="E251" s="107" t="n">
        <v>2593.54285714286</v>
      </c>
      <c r="F251" s="130" t="n">
        <v>0.7</v>
      </c>
      <c r="G251" s="106" t="s">
        <v>1411</v>
      </c>
      <c r="H251" s="106" t="n">
        <v>0.5</v>
      </c>
      <c r="I251" s="106" t="s">
        <v>6793</v>
      </c>
      <c r="J251" s="106" t="s">
        <v>6794</v>
      </c>
      <c r="K251" s="106" t="s">
        <v>6793</v>
      </c>
      <c r="L251" s="106" t="s">
        <v>6793</v>
      </c>
      <c r="M251" s="117"/>
      <c r="N251" s="106" t="n">
        <v>0</v>
      </c>
      <c r="O251" s="106"/>
      <c r="P251" s="27" t="s">
        <v>6795</v>
      </c>
    </row>
    <row r="252" customFormat="false" ht="15" hidden="false" customHeight="false" outlineLevel="0" collapsed="false">
      <c r="A252" s="106" t="s">
        <v>7022</v>
      </c>
      <c r="B252" s="106" t="s">
        <v>6792</v>
      </c>
      <c r="C252" s="106" t="s">
        <v>479</v>
      </c>
      <c r="D252" s="107"/>
      <c r="E252" s="107" t="n">
        <v>2593.54285714286</v>
      </c>
      <c r="F252" s="130" t="n">
        <v>0.7</v>
      </c>
      <c r="G252" s="106" t="s">
        <v>1411</v>
      </c>
      <c r="H252" s="106" t="n">
        <v>0</v>
      </c>
      <c r="I252" s="106" t="s">
        <v>6793</v>
      </c>
      <c r="J252" s="106" t="s">
        <v>6794</v>
      </c>
      <c r="K252" s="106" t="s">
        <v>6793</v>
      </c>
      <c r="L252" s="106" t="s">
        <v>6793</v>
      </c>
      <c r="M252" s="117"/>
      <c r="N252" s="106" t="n">
        <v>0</v>
      </c>
      <c r="O252" s="106"/>
      <c r="P252" s="27" t="s">
        <v>6795</v>
      </c>
    </row>
    <row r="253" customFormat="false" ht="15" hidden="false" customHeight="false" outlineLevel="0" collapsed="false">
      <c r="A253" s="106" t="s">
        <v>7023</v>
      </c>
      <c r="B253" s="106" t="s">
        <v>6792</v>
      </c>
      <c r="C253" s="106" t="s">
        <v>479</v>
      </c>
      <c r="D253" s="107"/>
      <c r="E253" s="107" t="n">
        <v>2583</v>
      </c>
      <c r="F253" s="130" t="n">
        <v>0.7</v>
      </c>
      <c r="G253" s="106" t="s">
        <v>1411</v>
      </c>
      <c r="H253" s="106" t="n">
        <v>0.5</v>
      </c>
      <c r="I253" s="106" t="s">
        <v>6793</v>
      </c>
      <c r="J253" s="106" t="s">
        <v>6794</v>
      </c>
      <c r="K253" s="106" t="s">
        <v>6793</v>
      </c>
      <c r="L253" s="106" t="s">
        <v>6793</v>
      </c>
      <c r="M253" s="117"/>
      <c r="N253" s="106" t="n">
        <v>0</v>
      </c>
      <c r="O253" s="106"/>
      <c r="P253" s="27" t="s">
        <v>6795</v>
      </c>
    </row>
    <row r="254" customFormat="false" ht="15" hidden="false" customHeight="false" outlineLevel="0" collapsed="false">
      <c r="A254" s="106" t="s">
        <v>7024</v>
      </c>
      <c r="B254" s="106" t="s">
        <v>6792</v>
      </c>
      <c r="C254" s="106" t="s">
        <v>479</v>
      </c>
      <c r="D254" s="107"/>
      <c r="E254" s="107" t="n">
        <v>2583</v>
      </c>
      <c r="F254" s="130" t="n">
        <v>0.58</v>
      </c>
      <c r="G254" s="106" t="s">
        <v>1411</v>
      </c>
      <c r="H254" s="106" t="n">
        <v>0</v>
      </c>
      <c r="I254" s="106" t="s">
        <v>6799</v>
      </c>
      <c r="J254" s="106" t="s">
        <v>6794</v>
      </c>
      <c r="K254" s="106" t="s">
        <v>6793</v>
      </c>
      <c r="L254" s="106" t="s">
        <v>6793</v>
      </c>
      <c r="M254" s="117"/>
      <c r="N254" s="106" t="n">
        <v>0</v>
      </c>
      <c r="O254" s="106"/>
      <c r="P254" s="27" t="s">
        <v>6795</v>
      </c>
    </row>
    <row r="255" customFormat="false" ht="15" hidden="false" customHeight="false" outlineLevel="0" collapsed="false">
      <c r="A255" s="106" t="s">
        <v>7025</v>
      </c>
      <c r="B255" s="106" t="s">
        <v>6792</v>
      </c>
      <c r="C255" s="106" t="s">
        <v>560</v>
      </c>
      <c r="D255" s="107"/>
      <c r="E255" s="107" t="n">
        <v>2561.91428571429</v>
      </c>
      <c r="F255" s="130" t="n">
        <v>0.7</v>
      </c>
      <c r="G255" s="106" t="s">
        <v>1411</v>
      </c>
      <c r="H255" s="106" t="n">
        <v>0.5</v>
      </c>
      <c r="I255" s="106" t="s">
        <v>6793</v>
      </c>
      <c r="J255" s="106" t="s">
        <v>6794</v>
      </c>
      <c r="K255" s="106" t="s">
        <v>6793</v>
      </c>
      <c r="L255" s="106" t="s">
        <v>6793</v>
      </c>
      <c r="M255" s="117"/>
      <c r="N255" s="106" t="n">
        <v>0</v>
      </c>
      <c r="O255" s="106"/>
      <c r="P255" s="27" t="s">
        <v>6795</v>
      </c>
    </row>
    <row r="256" customFormat="false" ht="15" hidden="false" customHeight="false" outlineLevel="0" collapsed="false">
      <c r="A256" s="106" t="s">
        <v>7026</v>
      </c>
      <c r="B256" s="106" t="s">
        <v>6792</v>
      </c>
      <c r="C256" s="106" t="s">
        <v>560</v>
      </c>
      <c r="D256" s="107" t="n">
        <v>2200</v>
      </c>
      <c r="E256" s="107" t="n">
        <v>2526.77142857143</v>
      </c>
      <c r="F256" s="130" t="n">
        <v>0.7</v>
      </c>
      <c r="G256" s="106" t="s">
        <v>1411</v>
      </c>
      <c r="H256" s="106" t="n">
        <v>0.5</v>
      </c>
      <c r="I256" s="106" t="s">
        <v>6793</v>
      </c>
      <c r="J256" s="106" t="s">
        <v>6794</v>
      </c>
      <c r="K256" s="106" t="s">
        <v>6793</v>
      </c>
      <c r="L256" s="106" t="s">
        <v>6793</v>
      </c>
      <c r="M256" s="117"/>
      <c r="N256" s="106" t="n">
        <v>0</v>
      </c>
      <c r="O256" s="106"/>
      <c r="P256" s="27" t="s">
        <v>6795</v>
      </c>
    </row>
    <row r="257" customFormat="false" ht="15" hidden="false" customHeight="false" outlineLevel="0" collapsed="false">
      <c r="A257" s="106" t="s">
        <v>7027</v>
      </c>
      <c r="B257" s="106" t="s">
        <v>6792</v>
      </c>
      <c r="C257" s="106" t="s">
        <v>560</v>
      </c>
      <c r="D257" s="107" t="n">
        <v>2528</v>
      </c>
      <c r="E257" s="107" t="n">
        <v>2516.22857142857</v>
      </c>
      <c r="F257" s="130" t="n">
        <v>0.7</v>
      </c>
      <c r="G257" s="106" t="s">
        <v>1411</v>
      </c>
      <c r="H257" s="106" t="n">
        <v>0.5</v>
      </c>
      <c r="I257" s="106" t="s">
        <v>6793</v>
      </c>
      <c r="J257" s="106" t="s">
        <v>6794</v>
      </c>
      <c r="K257" s="106" t="s">
        <v>6793</v>
      </c>
      <c r="L257" s="106" t="s">
        <v>6793</v>
      </c>
      <c r="M257" s="117"/>
      <c r="N257" s="106" t="n">
        <v>0</v>
      </c>
      <c r="O257" s="106"/>
      <c r="P257" s="27" t="s">
        <v>6795</v>
      </c>
    </row>
    <row r="258" customFormat="false" ht="15" hidden="false" customHeight="false" outlineLevel="0" collapsed="false">
      <c r="A258" s="106" t="s">
        <v>7028</v>
      </c>
      <c r="B258" s="106" t="s">
        <v>6792</v>
      </c>
      <c r="C258" s="106" t="s">
        <v>696</v>
      </c>
      <c r="D258" s="107"/>
      <c r="E258" s="107" t="n">
        <v>2495.14285714286</v>
      </c>
      <c r="F258" s="130" t="n">
        <v>0.45</v>
      </c>
      <c r="G258" s="106" t="s">
        <v>1411</v>
      </c>
      <c r="H258" s="106" t="n">
        <v>0</v>
      </c>
      <c r="I258" s="106" t="s">
        <v>6794</v>
      </c>
      <c r="J258" s="106" t="s">
        <v>6794</v>
      </c>
      <c r="K258" s="106" t="s">
        <v>6793</v>
      </c>
      <c r="L258" s="106" t="s">
        <v>6793</v>
      </c>
      <c r="M258" s="117"/>
      <c r="N258" s="106" t="n">
        <v>0</v>
      </c>
      <c r="O258" s="106"/>
      <c r="P258" s="27" t="s">
        <v>6805</v>
      </c>
    </row>
    <row r="259" customFormat="false" ht="15" hidden="false" customHeight="false" outlineLevel="0" collapsed="false">
      <c r="A259" s="106" t="s">
        <v>7029</v>
      </c>
      <c r="B259" s="106" t="s">
        <v>6792</v>
      </c>
      <c r="C259" s="106"/>
      <c r="D259" s="107"/>
      <c r="E259" s="107" t="n">
        <v>2463.51428571429</v>
      </c>
      <c r="F259" s="130" t="n">
        <v>0.65</v>
      </c>
      <c r="G259" s="106" t="s">
        <v>1411</v>
      </c>
      <c r="H259" s="106" t="n">
        <v>0.5</v>
      </c>
      <c r="I259" s="106" t="s">
        <v>6793</v>
      </c>
      <c r="J259" s="106" t="s">
        <v>6794</v>
      </c>
      <c r="K259" s="106" t="s">
        <v>6793</v>
      </c>
      <c r="L259" s="106" t="s">
        <v>6793</v>
      </c>
      <c r="M259" s="117"/>
      <c r="N259" s="106" t="n">
        <v>0</v>
      </c>
      <c r="O259" s="106"/>
      <c r="P259" s="27" t="s">
        <v>6795</v>
      </c>
    </row>
    <row r="260" customFormat="false" ht="15" hidden="false" customHeight="false" outlineLevel="0" collapsed="false">
      <c r="A260" s="106" t="s">
        <v>7030</v>
      </c>
      <c r="B260" s="106" t="s">
        <v>6792</v>
      </c>
      <c r="C260" s="106" t="s">
        <v>185</v>
      </c>
      <c r="D260" s="107"/>
      <c r="E260" s="107" t="n">
        <v>2452.97142857143</v>
      </c>
      <c r="F260" s="130" t="n">
        <v>0.7</v>
      </c>
      <c r="G260" s="106" t="s">
        <v>1411</v>
      </c>
      <c r="H260" s="106" t="n">
        <v>0.5</v>
      </c>
      <c r="I260" s="106" t="s">
        <v>6793</v>
      </c>
      <c r="J260" s="106" t="s">
        <v>6794</v>
      </c>
      <c r="K260" s="106" t="s">
        <v>6793</v>
      </c>
      <c r="L260" s="106" t="s">
        <v>6793</v>
      </c>
      <c r="M260" s="117"/>
      <c r="N260" s="106" t="n">
        <v>0</v>
      </c>
      <c r="O260" s="106"/>
      <c r="P260" s="27" t="s">
        <v>6795</v>
      </c>
    </row>
    <row r="261" customFormat="false" ht="15" hidden="false" customHeight="false" outlineLevel="0" collapsed="false">
      <c r="A261" s="106" t="s">
        <v>5512</v>
      </c>
      <c r="B261" s="106" t="s">
        <v>6792</v>
      </c>
      <c r="C261" s="106"/>
      <c r="D261" s="107" t="n">
        <v>3207</v>
      </c>
      <c r="E261" s="107" t="n">
        <v>2437.32</v>
      </c>
      <c r="F261" s="130" t="n">
        <v>0.7</v>
      </c>
      <c r="G261" s="106" t="s">
        <v>1411</v>
      </c>
      <c r="H261" s="106" t="n">
        <v>0</v>
      </c>
      <c r="I261" s="106" t="s">
        <v>6794</v>
      </c>
      <c r="J261" s="106" t="s">
        <v>6793</v>
      </c>
      <c r="K261" s="106" t="s">
        <v>6793</v>
      </c>
      <c r="L261" s="106" t="s">
        <v>6793</v>
      </c>
      <c r="M261" s="117"/>
      <c r="N261" s="106" t="n">
        <v>2</v>
      </c>
      <c r="O261" s="106" t="n">
        <v>0</v>
      </c>
      <c r="P261" s="27" t="s">
        <v>6885</v>
      </c>
    </row>
    <row r="262" customFormat="false" ht="15" hidden="false" customHeight="false" outlineLevel="0" collapsed="false">
      <c r="A262" s="106" t="s">
        <v>7031</v>
      </c>
      <c r="B262" s="106" t="s">
        <v>6792</v>
      </c>
      <c r="C262" s="106" t="s">
        <v>696</v>
      </c>
      <c r="D262" s="107"/>
      <c r="E262" s="107" t="n">
        <v>2431.88571428571</v>
      </c>
      <c r="F262" s="130" t="n">
        <v>0.7</v>
      </c>
      <c r="G262" s="106" t="s">
        <v>1411</v>
      </c>
      <c r="H262" s="106" t="n">
        <v>0</v>
      </c>
      <c r="I262" s="106" t="s">
        <v>6793</v>
      </c>
      <c r="J262" s="106" t="s">
        <v>6794</v>
      </c>
      <c r="K262" s="106" t="s">
        <v>6793</v>
      </c>
      <c r="L262" s="106" t="s">
        <v>6793</v>
      </c>
      <c r="M262" s="117"/>
      <c r="N262" s="106" t="n">
        <v>0</v>
      </c>
      <c r="O262" s="106"/>
      <c r="P262" s="27" t="s">
        <v>6795</v>
      </c>
    </row>
    <row r="263" customFormat="false" ht="15" hidden="false" customHeight="false" outlineLevel="0" collapsed="false">
      <c r="A263" s="106" t="s">
        <v>7032</v>
      </c>
      <c r="B263" s="106" t="s">
        <v>6792</v>
      </c>
      <c r="C263" s="106"/>
      <c r="D263" s="107"/>
      <c r="E263" s="107" t="n">
        <v>2421.34285714286</v>
      </c>
      <c r="F263" s="130" t="n">
        <v>0.65</v>
      </c>
      <c r="G263" s="106" t="s">
        <v>1411</v>
      </c>
      <c r="H263" s="106" t="n">
        <v>0</v>
      </c>
      <c r="I263" s="106" t="s">
        <v>6793</v>
      </c>
      <c r="J263" s="106" t="s">
        <v>6794</v>
      </c>
      <c r="K263" s="106" t="s">
        <v>6793</v>
      </c>
      <c r="L263" s="106" t="s">
        <v>6793</v>
      </c>
      <c r="M263" s="117"/>
      <c r="N263" s="106" t="n">
        <v>0</v>
      </c>
      <c r="O263" s="106"/>
      <c r="P263" s="27" t="s">
        <v>6795</v>
      </c>
    </row>
    <row r="264" customFormat="false" ht="15" hidden="false" customHeight="false" outlineLevel="0" collapsed="false">
      <c r="A264" s="106" t="s">
        <v>7033</v>
      </c>
      <c r="B264" s="106" t="s">
        <v>6792</v>
      </c>
      <c r="C264" s="106"/>
      <c r="D264" s="107"/>
      <c r="E264" s="107" t="n">
        <v>2421.34285714286</v>
      </c>
      <c r="F264" s="130" t="n">
        <v>0.65</v>
      </c>
      <c r="G264" s="106" t="s">
        <v>1411</v>
      </c>
      <c r="H264" s="106" t="n">
        <v>0</v>
      </c>
      <c r="I264" s="106" t="s">
        <v>6793</v>
      </c>
      <c r="J264" s="106" t="s">
        <v>6794</v>
      </c>
      <c r="K264" s="106" t="s">
        <v>6793</v>
      </c>
      <c r="L264" s="106" t="s">
        <v>6793</v>
      </c>
      <c r="M264" s="117"/>
      <c r="N264" s="106" t="n">
        <v>0</v>
      </c>
      <c r="O264" s="106"/>
      <c r="P264" s="27" t="s">
        <v>6795</v>
      </c>
    </row>
    <row r="265" customFormat="false" ht="15" hidden="false" customHeight="false" outlineLevel="0" collapsed="false">
      <c r="A265" s="106" t="s">
        <v>7034</v>
      </c>
      <c r="B265" s="106" t="s">
        <v>6792</v>
      </c>
      <c r="C265" s="106" t="s">
        <v>422</v>
      </c>
      <c r="D265" s="107" t="n">
        <v>2274</v>
      </c>
      <c r="E265" s="107" t="n">
        <v>2414.31428571429</v>
      </c>
      <c r="F265" s="130" t="n">
        <v>0.45</v>
      </c>
      <c r="G265" s="106" t="s">
        <v>1411</v>
      </c>
      <c r="H265" s="106" t="n">
        <v>2</v>
      </c>
      <c r="I265" s="106" t="s">
        <v>6794</v>
      </c>
      <c r="J265" s="106" t="s">
        <v>6794</v>
      </c>
      <c r="K265" s="106" t="s">
        <v>6793</v>
      </c>
      <c r="L265" s="106" t="s">
        <v>6793</v>
      </c>
      <c r="M265" s="117" t="n">
        <v>0.088283378746594</v>
      </c>
      <c r="N265" s="106" t="n">
        <v>0</v>
      </c>
      <c r="O265" s="106"/>
      <c r="P265" s="27" t="s">
        <v>6805</v>
      </c>
    </row>
    <row r="266" customFormat="false" ht="15" hidden="false" customHeight="false" outlineLevel="0" collapsed="false">
      <c r="A266" s="106" t="s">
        <v>7035</v>
      </c>
      <c r="B266" s="106" t="s">
        <v>6792</v>
      </c>
      <c r="C266" s="106"/>
      <c r="D266" s="107"/>
      <c r="E266" s="107" t="n">
        <v>2414.31428571429</v>
      </c>
      <c r="F266" s="130" t="n">
        <v>0.65</v>
      </c>
      <c r="G266" s="106" t="s">
        <v>1411</v>
      </c>
      <c r="H266" s="106" t="n">
        <v>0.5</v>
      </c>
      <c r="I266" s="106" t="s">
        <v>6793</v>
      </c>
      <c r="J266" s="106" t="s">
        <v>6794</v>
      </c>
      <c r="K266" s="106" t="s">
        <v>6793</v>
      </c>
      <c r="L266" s="106" t="s">
        <v>6793</v>
      </c>
      <c r="M266" s="117"/>
      <c r="N266" s="106" t="n">
        <v>0</v>
      </c>
      <c r="O266" s="106"/>
      <c r="P266" s="27" t="s">
        <v>6795</v>
      </c>
    </row>
    <row r="267" customFormat="false" ht="15" hidden="false" customHeight="false" outlineLevel="0" collapsed="false">
      <c r="A267" s="106" t="s">
        <v>7036</v>
      </c>
      <c r="B267" s="106" t="s">
        <v>6792</v>
      </c>
      <c r="C267" s="106" t="s">
        <v>185</v>
      </c>
      <c r="D267" s="107"/>
      <c r="E267" s="107" t="n">
        <v>2414.31428571429</v>
      </c>
      <c r="F267" s="130" t="n">
        <v>0.7</v>
      </c>
      <c r="G267" s="106" t="s">
        <v>1411</v>
      </c>
      <c r="H267" s="106" t="n">
        <v>0.5</v>
      </c>
      <c r="I267" s="106" t="s">
        <v>6793</v>
      </c>
      <c r="J267" s="106" t="s">
        <v>6794</v>
      </c>
      <c r="K267" s="106" t="s">
        <v>6793</v>
      </c>
      <c r="L267" s="106" t="s">
        <v>6793</v>
      </c>
      <c r="M267" s="117"/>
      <c r="N267" s="106" t="n">
        <v>0</v>
      </c>
      <c r="O267" s="106"/>
      <c r="P267" s="27" t="s">
        <v>6795</v>
      </c>
    </row>
    <row r="268" customFormat="false" ht="15" hidden="false" customHeight="false" outlineLevel="0" collapsed="false">
      <c r="A268" s="106" t="s">
        <v>7037</v>
      </c>
      <c r="B268" s="106" t="s">
        <v>6792</v>
      </c>
      <c r="C268" s="106"/>
      <c r="D268" s="107"/>
      <c r="E268" s="107" t="n">
        <v>2400.25714285714</v>
      </c>
      <c r="F268" s="130" t="n">
        <v>0.5</v>
      </c>
      <c r="G268" s="106" t="s">
        <v>1411</v>
      </c>
      <c r="H268" s="106" t="n">
        <v>0</v>
      </c>
      <c r="I268" s="106" t="s">
        <v>6793</v>
      </c>
      <c r="J268" s="106" t="s">
        <v>6794</v>
      </c>
      <c r="K268" s="106" t="s">
        <v>6793</v>
      </c>
      <c r="L268" s="106" t="s">
        <v>6794</v>
      </c>
      <c r="M268" s="117"/>
      <c r="N268" s="106" t="n">
        <v>0</v>
      </c>
      <c r="O268" s="106"/>
      <c r="P268" s="27" t="s">
        <v>6818</v>
      </c>
    </row>
    <row r="269" customFormat="false" ht="15" hidden="false" customHeight="false" outlineLevel="0" collapsed="false">
      <c r="A269" s="106" t="s">
        <v>7038</v>
      </c>
      <c r="B269" s="106" t="s">
        <v>6792</v>
      </c>
      <c r="C269" s="106"/>
      <c r="D269" s="107"/>
      <c r="E269" s="107" t="n">
        <v>2393.22857142857</v>
      </c>
      <c r="F269" s="130" t="n">
        <v>0.4</v>
      </c>
      <c r="G269" s="106" t="s">
        <v>1411</v>
      </c>
      <c r="H269" s="106" t="n">
        <v>0</v>
      </c>
      <c r="I269" s="106" t="s">
        <v>6794</v>
      </c>
      <c r="J269" s="106" t="s">
        <v>6794</v>
      </c>
      <c r="K269" s="106" t="s">
        <v>6793</v>
      </c>
      <c r="L269" s="106" t="s">
        <v>6793</v>
      </c>
      <c r="M269" s="117"/>
      <c r="N269" s="106" t="n">
        <v>0</v>
      </c>
      <c r="O269" s="106"/>
      <c r="P269" s="27" t="s">
        <v>6805</v>
      </c>
    </row>
    <row r="270" customFormat="false" ht="15" hidden="false" customHeight="false" outlineLevel="0" collapsed="false">
      <c r="A270" s="106" t="s">
        <v>4824</v>
      </c>
      <c r="B270" s="106" t="s">
        <v>6792</v>
      </c>
      <c r="C270" s="106" t="s">
        <v>185</v>
      </c>
      <c r="D270" s="107" t="n">
        <v>2625</v>
      </c>
      <c r="E270" s="107" t="n">
        <v>2393.22857142857</v>
      </c>
      <c r="F270" s="130" t="n">
        <v>0.75</v>
      </c>
      <c r="G270" s="106" t="s">
        <v>1411</v>
      </c>
      <c r="H270" s="106" t="n">
        <v>1.5</v>
      </c>
      <c r="I270" s="106" t="s">
        <v>6794</v>
      </c>
      <c r="J270" s="106" t="s">
        <v>6793</v>
      </c>
      <c r="K270" s="106" t="s">
        <v>6793</v>
      </c>
      <c r="L270" s="106" t="s">
        <v>6793</v>
      </c>
      <c r="M270" s="117" t="n">
        <v>0.0394303754953986</v>
      </c>
      <c r="N270" s="106" t="n">
        <v>11</v>
      </c>
      <c r="O270" s="106" t="n">
        <v>0</v>
      </c>
      <c r="P270" s="27" t="s">
        <v>6983</v>
      </c>
    </row>
    <row r="271" customFormat="false" ht="15" hidden="false" customHeight="false" outlineLevel="0" collapsed="false">
      <c r="A271" s="106" t="s">
        <v>7039</v>
      </c>
      <c r="B271" s="106" t="s">
        <v>6792</v>
      </c>
      <c r="C271" s="106" t="s">
        <v>696</v>
      </c>
      <c r="D271" s="107"/>
      <c r="E271" s="107" t="n">
        <v>2393.22857142857</v>
      </c>
      <c r="F271" s="130" t="n">
        <v>0.58</v>
      </c>
      <c r="G271" s="106" t="s">
        <v>1411</v>
      </c>
      <c r="H271" s="106" t="n">
        <v>0</v>
      </c>
      <c r="I271" s="106" t="s">
        <v>6799</v>
      </c>
      <c r="J271" s="106" t="s">
        <v>6794</v>
      </c>
      <c r="K271" s="106" t="s">
        <v>6793</v>
      </c>
      <c r="L271" s="106" t="s">
        <v>6793</v>
      </c>
      <c r="M271" s="117"/>
      <c r="N271" s="106" t="n">
        <v>0</v>
      </c>
      <c r="O271" s="106"/>
      <c r="P271" s="27" t="s">
        <v>6795</v>
      </c>
    </row>
    <row r="272" customFormat="false" ht="32.8" hidden="false" customHeight="false" outlineLevel="0" collapsed="false">
      <c r="A272" s="106" t="s">
        <v>4331</v>
      </c>
      <c r="B272" s="106" t="s">
        <v>6997</v>
      </c>
      <c r="C272" s="106" t="s">
        <v>185</v>
      </c>
      <c r="D272" s="107" t="n">
        <v>2632</v>
      </c>
      <c r="E272" s="107" t="n">
        <v>2372.14285714286</v>
      </c>
      <c r="F272" s="130" t="n">
        <v>1</v>
      </c>
      <c r="G272" s="106" t="s">
        <v>1411</v>
      </c>
      <c r="H272" s="106" t="n">
        <v>2.5</v>
      </c>
      <c r="I272" s="106" t="s">
        <v>6793</v>
      </c>
      <c r="J272" s="106" t="s">
        <v>6793</v>
      </c>
      <c r="K272" s="106" t="s">
        <v>6793</v>
      </c>
      <c r="L272" s="106" t="s">
        <v>6793</v>
      </c>
      <c r="M272" s="117" t="n">
        <v>0.0523369421705835</v>
      </c>
      <c r="N272" s="106" t="n">
        <v>37</v>
      </c>
      <c r="O272" s="106" t="n">
        <v>2.7</v>
      </c>
      <c r="P272" s="27" t="s">
        <v>7040</v>
      </c>
    </row>
    <row r="273" customFormat="false" ht="15" hidden="false" customHeight="false" outlineLevel="0" collapsed="false">
      <c r="A273" s="106" t="s">
        <v>7041</v>
      </c>
      <c r="B273" s="106" t="s">
        <v>6792</v>
      </c>
      <c r="C273" s="106"/>
      <c r="D273" s="107"/>
      <c r="E273" s="107" t="n">
        <v>2372.14285714286</v>
      </c>
      <c r="F273" s="130" t="n">
        <v>0.5</v>
      </c>
      <c r="G273" s="106" t="s">
        <v>1411</v>
      </c>
      <c r="H273" s="106" t="n">
        <v>0</v>
      </c>
      <c r="I273" s="106" t="s">
        <v>6793</v>
      </c>
      <c r="J273" s="106" t="s">
        <v>6794</v>
      </c>
      <c r="K273" s="106" t="s">
        <v>6793</v>
      </c>
      <c r="L273" s="106" t="s">
        <v>6794</v>
      </c>
      <c r="M273" s="117"/>
      <c r="N273" s="106" t="n">
        <v>0</v>
      </c>
      <c r="O273" s="106"/>
      <c r="P273" s="27" t="s">
        <v>6818</v>
      </c>
    </row>
    <row r="274" customFormat="false" ht="15" hidden="false" customHeight="false" outlineLevel="0" collapsed="false">
      <c r="A274" s="106" t="s">
        <v>7042</v>
      </c>
      <c r="B274" s="106" t="s">
        <v>6792</v>
      </c>
      <c r="C274" s="106"/>
      <c r="D274" s="107"/>
      <c r="E274" s="107" t="n">
        <v>2361.6</v>
      </c>
      <c r="F274" s="130" t="n">
        <v>0.5</v>
      </c>
      <c r="G274" s="106" t="s">
        <v>1411</v>
      </c>
      <c r="H274" s="106" t="n">
        <v>0</v>
      </c>
      <c r="I274" s="106" t="s">
        <v>6793</v>
      </c>
      <c r="J274" s="106" t="s">
        <v>6794</v>
      </c>
      <c r="K274" s="106" t="s">
        <v>6793</v>
      </c>
      <c r="L274" s="106" t="s">
        <v>6794</v>
      </c>
      <c r="M274" s="117"/>
      <c r="N274" s="106" t="n">
        <v>0</v>
      </c>
      <c r="O274" s="106"/>
      <c r="P274" s="27" t="s">
        <v>6818</v>
      </c>
    </row>
    <row r="275" customFormat="false" ht="15" hidden="false" customHeight="false" outlineLevel="0" collapsed="false">
      <c r="A275" s="106" t="s">
        <v>7043</v>
      </c>
      <c r="B275" s="106" t="s">
        <v>6792</v>
      </c>
      <c r="C275" s="106" t="s">
        <v>422</v>
      </c>
      <c r="D275" s="107" t="n">
        <v>2536</v>
      </c>
      <c r="E275" s="107" t="n">
        <v>2361.6</v>
      </c>
      <c r="F275" s="130" t="n">
        <v>0.7</v>
      </c>
      <c r="G275" s="106" t="s">
        <v>1411</v>
      </c>
      <c r="H275" s="106" t="n">
        <v>1</v>
      </c>
      <c r="I275" s="106" t="s">
        <v>6793</v>
      </c>
      <c r="J275" s="106" t="s">
        <v>6794</v>
      </c>
      <c r="K275" s="106" t="s">
        <v>6793</v>
      </c>
      <c r="L275" s="106" t="s">
        <v>6793</v>
      </c>
      <c r="M275" s="117"/>
      <c r="N275" s="106" t="n">
        <v>0</v>
      </c>
      <c r="O275" s="106"/>
      <c r="P275" s="27" t="s">
        <v>6795</v>
      </c>
    </row>
    <row r="276" customFormat="false" ht="15" hidden="false" customHeight="false" outlineLevel="0" collapsed="false">
      <c r="A276" s="106" t="s">
        <v>7044</v>
      </c>
      <c r="B276" s="106" t="s">
        <v>6792</v>
      </c>
      <c r="C276" s="106" t="s">
        <v>560</v>
      </c>
      <c r="D276" s="107" t="n">
        <v>2315</v>
      </c>
      <c r="E276" s="107" t="n">
        <v>2351.05714285714</v>
      </c>
      <c r="F276" s="130" t="n">
        <v>0.7</v>
      </c>
      <c r="G276" s="106" t="s">
        <v>1411</v>
      </c>
      <c r="H276" s="106" t="n">
        <v>0.5</v>
      </c>
      <c r="I276" s="106" t="s">
        <v>6793</v>
      </c>
      <c r="J276" s="106" t="s">
        <v>6794</v>
      </c>
      <c r="K276" s="106" t="s">
        <v>6793</v>
      </c>
      <c r="L276" s="106" t="s">
        <v>6793</v>
      </c>
      <c r="M276" s="117"/>
      <c r="N276" s="106" t="n">
        <v>0</v>
      </c>
      <c r="O276" s="106"/>
      <c r="P276" s="27" t="s">
        <v>6795</v>
      </c>
    </row>
    <row r="277" customFormat="false" ht="15" hidden="false" customHeight="false" outlineLevel="0" collapsed="false">
      <c r="A277" s="106" t="s">
        <v>7045</v>
      </c>
      <c r="B277" s="106" t="s">
        <v>6792</v>
      </c>
      <c r="C277" s="106" t="s">
        <v>185</v>
      </c>
      <c r="D277" s="107"/>
      <c r="E277" s="107" t="n">
        <v>2308.88571428572</v>
      </c>
      <c r="F277" s="130" t="n">
        <v>0.7</v>
      </c>
      <c r="G277" s="106" t="s">
        <v>1411</v>
      </c>
      <c r="H277" s="106" t="n">
        <v>0.5</v>
      </c>
      <c r="I277" s="106" t="s">
        <v>6793</v>
      </c>
      <c r="J277" s="106" t="s">
        <v>6794</v>
      </c>
      <c r="K277" s="106" t="s">
        <v>6793</v>
      </c>
      <c r="L277" s="106" t="s">
        <v>6793</v>
      </c>
      <c r="M277" s="117"/>
      <c r="N277" s="106" t="n">
        <v>0</v>
      </c>
      <c r="O277" s="106"/>
      <c r="P277" s="27" t="s">
        <v>6795</v>
      </c>
    </row>
    <row r="278" customFormat="false" ht="15" hidden="false" customHeight="false" outlineLevel="0" collapsed="false">
      <c r="A278" s="106" t="s">
        <v>7046</v>
      </c>
      <c r="B278" s="106" t="s">
        <v>6792</v>
      </c>
      <c r="C278" s="106"/>
      <c r="D278" s="107" t="n">
        <v>2276</v>
      </c>
      <c r="E278" s="107" t="n">
        <v>2298.34285714286</v>
      </c>
      <c r="F278" s="130" t="n">
        <v>0.65</v>
      </c>
      <c r="G278" s="106" t="s">
        <v>1411</v>
      </c>
      <c r="H278" s="106" t="n">
        <v>1</v>
      </c>
      <c r="I278" s="106" t="s">
        <v>6793</v>
      </c>
      <c r="J278" s="106" t="s">
        <v>6794</v>
      </c>
      <c r="K278" s="106" t="s">
        <v>6793</v>
      </c>
      <c r="L278" s="106" t="s">
        <v>6793</v>
      </c>
      <c r="M278" s="117"/>
      <c r="N278" s="106" t="n">
        <v>0</v>
      </c>
      <c r="O278" s="106"/>
      <c r="P278" s="27" t="s">
        <v>6795</v>
      </c>
    </row>
    <row r="279" customFormat="false" ht="15" hidden="false" customHeight="false" outlineLevel="0" collapsed="false">
      <c r="A279" s="106" t="s">
        <v>7047</v>
      </c>
      <c r="B279" s="106" t="s">
        <v>6792</v>
      </c>
      <c r="C279" s="106" t="s">
        <v>696</v>
      </c>
      <c r="D279" s="107"/>
      <c r="E279" s="107" t="n">
        <v>2298.34285714286</v>
      </c>
      <c r="F279" s="130" t="n">
        <v>0.58</v>
      </c>
      <c r="G279" s="106" t="s">
        <v>1411</v>
      </c>
      <c r="H279" s="106" t="n">
        <v>0</v>
      </c>
      <c r="I279" s="106" t="s">
        <v>6799</v>
      </c>
      <c r="J279" s="106" t="s">
        <v>6794</v>
      </c>
      <c r="K279" s="106" t="s">
        <v>6793</v>
      </c>
      <c r="L279" s="106" t="s">
        <v>6793</v>
      </c>
      <c r="M279" s="117"/>
      <c r="N279" s="106" t="n">
        <v>0</v>
      </c>
      <c r="O279" s="106"/>
      <c r="P279" s="27" t="s">
        <v>6795</v>
      </c>
    </row>
    <row r="280" customFormat="false" ht="15" hidden="false" customHeight="false" outlineLevel="0" collapsed="false">
      <c r="A280" s="106" t="s">
        <v>7048</v>
      </c>
      <c r="B280" s="106" t="s">
        <v>6792</v>
      </c>
      <c r="C280" s="106" t="s">
        <v>185</v>
      </c>
      <c r="D280" s="107"/>
      <c r="E280" s="107" t="n">
        <v>2287.8</v>
      </c>
      <c r="F280" s="130" t="n">
        <v>0.45</v>
      </c>
      <c r="G280" s="106" t="s">
        <v>1411</v>
      </c>
      <c r="H280" s="106" t="n">
        <v>0</v>
      </c>
      <c r="I280" s="106" t="s">
        <v>6794</v>
      </c>
      <c r="J280" s="106" t="s">
        <v>6794</v>
      </c>
      <c r="K280" s="106" t="s">
        <v>6793</v>
      </c>
      <c r="L280" s="106" t="s">
        <v>6793</v>
      </c>
      <c r="M280" s="117"/>
      <c r="N280" s="106" t="n">
        <v>0</v>
      </c>
      <c r="O280" s="106"/>
      <c r="P280" s="27" t="s">
        <v>6805</v>
      </c>
    </row>
    <row r="281" customFormat="false" ht="15" hidden="false" customHeight="false" outlineLevel="0" collapsed="false">
      <c r="A281" s="106" t="s">
        <v>7049</v>
      </c>
      <c r="B281" s="106" t="s">
        <v>6792</v>
      </c>
      <c r="C281" s="106" t="s">
        <v>185</v>
      </c>
      <c r="D281" s="107"/>
      <c r="E281" s="107" t="n">
        <v>2287.8</v>
      </c>
      <c r="F281" s="130" t="n">
        <v>0.45</v>
      </c>
      <c r="G281" s="106" t="s">
        <v>1411</v>
      </c>
      <c r="H281" s="106" t="n">
        <v>0</v>
      </c>
      <c r="I281" s="106" t="s">
        <v>6794</v>
      </c>
      <c r="J281" s="106" t="s">
        <v>6794</v>
      </c>
      <c r="K281" s="106" t="s">
        <v>6793</v>
      </c>
      <c r="L281" s="106" t="s">
        <v>6793</v>
      </c>
      <c r="M281" s="117"/>
      <c r="N281" s="106" t="n">
        <v>0</v>
      </c>
      <c r="O281" s="106"/>
      <c r="P281" s="27" t="s">
        <v>6805</v>
      </c>
    </row>
    <row r="282" customFormat="false" ht="15" hidden="false" customHeight="false" outlineLevel="0" collapsed="false">
      <c r="A282" s="106" t="s">
        <v>7050</v>
      </c>
      <c r="B282" s="106" t="s">
        <v>6792</v>
      </c>
      <c r="C282" s="106"/>
      <c r="D282" s="107"/>
      <c r="E282" s="107" t="n">
        <v>2277.25714285714</v>
      </c>
      <c r="F282" s="130" t="n">
        <v>0.65</v>
      </c>
      <c r="G282" s="106" t="s">
        <v>1411</v>
      </c>
      <c r="H282" s="106" t="n">
        <v>0.5</v>
      </c>
      <c r="I282" s="106" t="s">
        <v>6793</v>
      </c>
      <c r="J282" s="106" t="s">
        <v>6794</v>
      </c>
      <c r="K282" s="106" t="s">
        <v>6793</v>
      </c>
      <c r="L282" s="106" t="s">
        <v>6793</v>
      </c>
      <c r="M282" s="117"/>
      <c r="N282" s="106" t="n">
        <v>0</v>
      </c>
      <c r="O282" s="106"/>
      <c r="P282" s="27" t="s">
        <v>6795</v>
      </c>
    </row>
    <row r="283" customFormat="false" ht="15" hidden="false" customHeight="false" outlineLevel="0" collapsed="false">
      <c r="A283" s="106" t="s">
        <v>7051</v>
      </c>
      <c r="B283" s="106" t="s">
        <v>6792</v>
      </c>
      <c r="C283" s="106" t="s">
        <v>185</v>
      </c>
      <c r="D283" s="107"/>
      <c r="E283" s="107" t="n">
        <v>2245.62857142857</v>
      </c>
      <c r="F283" s="130" t="n">
        <v>0.45</v>
      </c>
      <c r="G283" s="106" t="s">
        <v>1411</v>
      </c>
      <c r="H283" s="106" t="n">
        <v>0</v>
      </c>
      <c r="I283" s="106" t="s">
        <v>6794</v>
      </c>
      <c r="J283" s="106" t="s">
        <v>6794</v>
      </c>
      <c r="K283" s="106" t="s">
        <v>6793</v>
      </c>
      <c r="L283" s="106" t="s">
        <v>6793</v>
      </c>
      <c r="M283" s="117"/>
      <c r="N283" s="106" t="n">
        <v>0</v>
      </c>
      <c r="O283" s="106"/>
      <c r="P283" s="27" t="s">
        <v>6805</v>
      </c>
    </row>
    <row r="284" customFormat="false" ht="15" hidden="false" customHeight="false" outlineLevel="0" collapsed="false">
      <c r="A284" s="106" t="s">
        <v>7052</v>
      </c>
      <c r="B284" s="106" t="s">
        <v>6792</v>
      </c>
      <c r="C284" s="106" t="s">
        <v>479</v>
      </c>
      <c r="D284" s="107"/>
      <c r="E284" s="107" t="n">
        <v>2235.08571428571</v>
      </c>
      <c r="F284" s="130" t="n">
        <v>0.7</v>
      </c>
      <c r="G284" s="106" t="s">
        <v>1411</v>
      </c>
      <c r="H284" s="106" t="n">
        <v>0</v>
      </c>
      <c r="I284" s="106" t="s">
        <v>6793</v>
      </c>
      <c r="J284" s="106" t="s">
        <v>6794</v>
      </c>
      <c r="K284" s="106" t="s">
        <v>6793</v>
      </c>
      <c r="L284" s="106" t="s">
        <v>6793</v>
      </c>
      <c r="M284" s="117"/>
      <c r="N284" s="106" t="n">
        <v>0</v>
      </c>
      <c r="O284" s="106"/>
      <c r="P284" s="27" t="s">
        <v>6795</v>
      </c>
    </row>
    <row r="285" customFormat="false" ht="15" hidden="false" customHeight="false" outlineLevel="0" collapsed="false">
      <c r="A285" s="106" t="s">
        <v>7053</v>
      </c>
      <c r="B285" s="106" t="s">
        <v>6792</v>
      </c>
      <c r="C285" s="106"/>
      <c r="D285" s="107"/>
      <c r="E285" s="107" t="n">
        <v>2203.45714285714</v>
      </c>
      <c r="F285" s="130" t="n">
        <v>0.65</v>
      </c>
      <c r="G285" s="106" t="s">
        <v>1411</v>
      </c>
      <c r="H285" s="106" t="n">
        <v>0</v>
      </c>
      <c r="I285" s="106" t="s">
        <v>6793</v>
      </c>
      <c r="J285" s="106" t="s">
        <v>6794</v>
      </c>
      <c r="K285" s="106" t="s">
        <v>6793</v>
      </c>
      <c r="L285" s="106" t="s">
        <v>6793</v>
      </c>
      <c r="M285" s="117"/>
      <c r="N285" s="106" t="n">
        <v>0</v>
      </c>
      <c r="O285" s="106"/>
      <c r="P285" s="27" t="s">
        <v>6795</v>
      </c>
    </row>
    <row r="286" customFormat="false" ht="15" hidden="false" customHeight="false" outlineLevel="0" collapsed="false">
      <c r="A286" s="106" t="s">
        <v>7054</v>
      </c>
      <c r="B286" s="106" t="s">
        <v>6792</v>
      </c>
      <c r="C286" s="106"/>
      <c r="D286" s="107"/>
      <c r="E286" s="107" t="n">
        <v>2192.91428571429</v>
      </c>
      <c r="F286" s="130" t="n">
        <v>0.52</v>
      </c>
      <c r="G286" s="106" t="s">
        <v>1411</v>
      </c>
      <c r="H286" s="106" t="n">
        <v>0.5</v>
      </c>
      <c r="I286" s="106" t="s">
        <v>6799</v>
      </c>
      <c r="J286" s="106" t="s">
        <v>6794</v>
      </c>
      <c r="K286" s="106" t="s">
        <v>6793</v>
      </c>
      <c r="L286" s="106" t="s">
        <v>6793</v>
      </c>
      <c r="M286" s="117"/>
      <c r="N286" s="106" t="n">
        <v>0</v>
      </c>
      <c r="O286" s="106"/>
      <c r="P286" s="27" t="s">
        <v>6795</v>
      </c>
    </row>
    <row r="287" customFormat="false" ht="15" hidden="false" customHeight="false" outlineLevel="0" collapsed="false">
      <c r="A287" s="106" t="s">
        <v>7055</v>
      </c>
      <c r="B287" s="106" t="s">
        <v>6792</v>
      </c>
      <c r="C287" s="106" t="s">
        <v>185</v>
      </c>
      <c r="D287" s="107"/>
      <c r="E287" s="107" t="n">
        <v>2182.37142857143</v>
      </c>
      <c r="F287" s="130" t="n">
        <v>0.7</v>
      </c>
      <c r="G287" s="106" t="s">
        <v>1411</v>
      </c>
      <c r="H287" s="106" t="n">
        <v>0.5</v>
      </c>
      <c r="I287" s="106" t="s">
        <v>6793</v>
      </c>
      <c r="J287" s="106" t="s">
        <v>6794</v>
      </c>
      <c r="K287" s="106" t="s">
        <v>6793</v>
      </c>
      <c r="L287" s="106" t="s">
        <v>6793</v>
      </c>
      <c r="M287" s="117"/>
      <c r="N287" s="106" t="n">
        <v>0</v>
      </c>
      <c r="O287" s="106"/>
      <c r="P287" s="27" t="s">
        <v>6795</v>
      </c>
    </row>
    <row r="288" customFormat="false" ht="15" hidden="false" customHeight="false" outlineLevel="0" collapsed="false">
      <c r="A288" s="106" t="s">
        <v>7056</v>
      </c>
      <c r="B288" s="106" t="s">
        <v>6792</v>
      </c>
      <c r="C288" s="106" t="s">
        <v>185</v>
      </c>
      <c r="D288" s="107"/>
      <c r="E288" s="107" t="n">
        <v>2171.82857142857</v>
      </c>
      <c r="F288" s="130" t="n">
        <v>0.7</v>
      </c>
      <c r="G288" s="106" t="s">
        <v>1411</v>
      </c>
      <c r="H288" s="106" t="n">
        <v>0</v>
      </c>
      <c r="I288" s="106" t="s">
        <v>6793</v>
      </c>
      <c r="J288" s="106" t="s">
        <v>6794</v>
      </c>
      <c r="K288" s="106" t="s">
        <v>6793</v>
      </c>
      <c r="L288" s="106" t="s">
        <v>6793</v>
      </c>
      <c r="M288" s="117"/>
      <c r="N288" s="106" t="n">
        <v>0</v>
      </c>
      <c r="O288" s="106"/>
      <c r="P288" s="27" t="s">
        <v>6795</v>
      </c>
    </row>
    <row r="289" customFormat="false" ht="15" hidden="false" customHeight="false" outlineLevel="0" collapsed="false">
      <c r="A289" s="106" t="s">
        <v>7057</v>
      </c>
      <c r="B289" s="106" t="s">
        <v>6792</v>
      </c>
      <c r="C289" s="106" t="s">
        <v>185</v>
      </c>
      <c r="D289" s="107"/>
      <c r="E289" s="107" t="n">
        <v>2161.28571428571</v>
      </c>
      <c r="F289" s="130" t="n">
        <v>0.7</v>
      </c>
      <c r="G289" s="106" t="s">
        <v>1411</v>
      </c>
      <c r="H289" s="106" t="n">
        <v>0.5</v>
      </c>
      <c r="I289" s="106" t="s">
        <v>6793</v>
      </c>
      <c r="J289" s="106" t="s">
        <v>6794</v>
      </c>
      <c r="K289" s="106" t="s">
        <v>6793</v>
      </c>
      <c r="L289" s="106" t="s">
        <v>6793</v>
      </c>
      <c r="M289" s="117"/>
      <c r="N289" s="106" t="n">
        <v>0</v>
      </c>
      <c r="O289" s="106"/>
      <c r="P289" s="27" t="s">
        <v>6795</v>
      </c>
    </row>
    <row r="290" customFormat="false" ht="15" hidden="false" customHeight="false" outlineLevel="0" collapsed="false">
      <c r="A290" s="106" t="s">
        <v>7058</v>
      </c>
      <c r="B290" s="106" t="s">
        <v>6792</v>
      </c>
      <c r="C290" s="106"/>
      <c r="D290" s="107"/>
      <c r="E290" s="107" t="n">
        <v>2150.74285714286</v>
      </c>
      <c r="F290" s="130" t="n">
        <v>0.5</v>
      </c>
      <c r="G290" s="106" t="s">
        <v>1411</v>
      </c>
      <c r="H290" s="106" t="n">
        <v>0</v>
      </c>
      <c r="I290" s="106" t="s">
        <v>6793</v>
      </c>
      <c r="J290" s="106" t="s">
        <v>6794</v>
      </c>
      <c r="K290" s="106" t="s">
        <v>6793</v>
      </c>
      <c r="L290" s="106" t="s">
        <v>6794</v>
      </c>
      <c r="M290" s="117"/>
      <c r="N290" s="106" t="n">
        <v>0</v>
      </c>
      <c r="O290" s="106"/>
      <c r="P290" s="27" t="s">
        <v>6818</v>
      </c>
    </row>
    <row r="291" customFormat="false" ht="15" hidden="false" customHeight="false" outlineLevel="0" collapsed="false">
      <c r="A291" s="106" t="s">
        <v>7059</v>
      </c>
      <c r="B291" s="106" t="s">
        <v>6792</v>
      </c>
      <c r="C291" s="106" t="s">
        <v>185</v>
      </c>
      <c r="D291" s="107"/>
      <c r="E291" s="107" t="n">
        <v>2150.74285714286</v>
      </c>
      <c r="F291" s="130" t="n">
        <v>0.7</v>
      </c>
      <c r="G291" s="106" t="s">
        <v>1411</v>
      </c>
      <c r="H291" s="106" t="n">
        <v>0</v>
      </c>
      <c r="I291" s="106" t="s">
        <v>6793</v>
      </c>
      <c r="J291" s="106" t="s">
        <v>6794</v>
      </c>
      <c r="K291" s="106" t="s">
        <v>6793</v>
      </c>
      <c r="L291" s="106" t="s">
        <v>6793</v>
      </c>
      <c r="M291" s="117"/>
      <c r="N291" s="106" t="n">
        <v>0</v>
      </c>
      <c r="O291" s="106"/>
      <c r="P291" s="27" t="s">
        <v>6795</v>
      </c>
    </row>
    <row r="292" customFormat="false" ht="15" hidden="false" customHeight="false" outlineLevel="0" collapsed="false">
      <c r="A292" s="106" t="s">
        <v>7060</v>
      </c>
      <c r="B292" s="106" t="s">
        <v>6792</v>
      </c>
      <c r="C292" s="106" t="s">
        <v>560</v>
      </c>
      <c r="D292" s="107"/>
      <c r="E292" s="107" t="n">
        <v>2150.74285714286</v>
      </c>
      <c r="F292" s="130" t="n">
        <v>0.7</v>
      </c>
      <c r="G292" s="106" t="s">
        <v>1411</v>
      </c>
      <c r="H292" s="106" t="n">
        <v>0.5</v>
      </c>
      <c r="I292" s="106" t="s">
        <v>6793</v>
      </c>
      <c r="J292" s="106" t="s">
        <v>6794</v>
      </c>
      <c r="K292" s="106" t="s">
        <v>6793</v>
      </c>
      <c r="L292" s="106" t="s">
        <v>6793</v>
      </c>
      <c r="M292" s="117"/>
      <c r="N292" s="106" t="n">
        <v>0</v>
      </c>
      <c r="O292" s="106"/>
      <c r="P292" s="27" t="s">
        <v>6795</v>
      </c>
    </row>
    <row r="293" customFormat="false" ht="15" hidden="false" customHeight="false" outlineLevel="0" collapsed="false">
      <c r="A293" s="106" t="s">
        <v>4808</v>
      </c>
      <c r="B293" s="106" t="s">
        <v>6792</v>
      </c>
      <c r="C293" s="106"/>
      <c r="D293" s="107" t="n">
        <v>1961</v>
      </c>
      <c r="E293" s="107" t="n">
        <v>2143.71428571429</v>
      </c>
      <c r="F293" s="130" t="n">
        <v>0.55</v>
      </c>
      <c r="G293" s="106" t="s">
        <v>1411</v>
      </c>
      <c r="H293" s="106" t="n">
        <v>1</v>
      </c>
      <c r="I293" s="106" t="s">
        <v>6794</v>
      </c>
      <c r="J293" s="106" t="s">
        <v>6793</v>
      </c>
      <c r="K293" s="106" t="s">
        <v>6793</v>
      </c>
      <c r="L293" s="106" t="s">
        <v>6794</v>
      </c>
      <c r="M293" s="117" t="n">
        <v>0.0183193946634806</v>
      </c>
      <c r="N293" s="106" t="n">
        <v>2</v>
      </c>
      <c r="O293" s="106" t="n">
        <v>0</v>
      </c>
      <c r="P293" s="27" t="s">
        <v>7061</v>
      </c>
    </row>
    <row r="294" customFormat="false" ht="15" hidden="false" customHeight="false" outlineLevel="0" collapsed="false">
      <c r="A294" s="106" t="s">
        <v>7062</v>
      </c>
      <c r="B294" s="106" t="s">
        <v>6792</v>
      </c>
      <c r="C294" s="106" t="s">
        <v>696</v>
      </c>
      <c r="D294" s="107"/>
      <c r="E294" s="107" t="n">
        <v>2140.2</v>
      </c>
      <c r="F294" s="130" t="n">
        <v>0.7</v>
      </c>
      <c r="G294" s="106" t="s">
        <v>1411</v>
      </c>
      <c r="H294" s="106" t="n">
        <v>0</v>
      </c>
      <c r="I294" s="106" t="s">
        <v>6793</v>
      </c>
      <c r="J294" s="106" t="s">
        <v>6794</v>
      </c>
      <c r="K294" s="106" t="s">
        <v>6793</v>
      </c>
      <c r="L294" s="106" t="s">
        <v>6793</v>
      </c>
      <c r="M294" s="117"/>
      <c r="N294" s="106" t="n">
        <v>0</v>
      </c>
      <c r="O294" s="106"/>
      <c r="P294" s="27" t="s">
        <v>6795</v>
      </c>
    </row>
    <row r="295" customFormat="false" ht="15" hidden="false" customHeight="false" outlineLevel="0" collapsed="false">
      <c r="A295" s="106" t="s">
        <v>7063</v>
      </c>
      <c r="B295" s="106" t="s">
        <v>6792</v>
      </c>
      <c r="C295" s="106" t="s">
        <v>560</v>
      </c>
      <c r="D295" s="107"/>
      <c r="E295" s="107" t="n">
        <v>2108.57142857143</v>
      </c>
      <c r="F295" s="130" t="n">
        <v>0.7</v>
      </c>
      <c r="G295" s="106" t="s">
        <v>1411</v>
      </c>
      <c r="H295" s="106" t="n">
        <v>0.5</v>
      </c>
      <c r="I295" s="106" t="s">
        <v>6793</v>
      </c>
      <c r="J295" s="106" t="s">
        <v>6794</v>
      </c>
      <c r="K295" s="106" t="s">
        <v>6793</v>
      </c>
      <c r="L295" s="106" t="s">
        <v>6793</v>
      </c>
      <c r="M295" s="117"/>
      <c r="N295" s="106" t="n">
        <v>0</v>
      </c>
      <c r="O295" s="106"/>
      <c r="P295" s="27" t="s">
        <v>6795</v>
      </c>
    </row>
    <row r="296" customFormat="false" ht="15" hidden="false" customHeight="false" outlineLevel="0" collapsed="false">
      <c r="A296" s="106" t="s">
        <v>7064</v>
      </c>
      <c r="B296" s="106" t="s">
        <v>6792</v>
      </c>
      <c r="C296" s="106" t="s">
        <v>479</v>
      </c>
      <c r="D296" s="107"/>
      <c r="E296" s="107" t="n">
        <v>2098.02857142857</v>
      </c>
      <c r="F296" s="130" t="n">
        <v>0.7</v>
      </c>
      <c r="G296" s="106" t="s">
        <v>1411</v>
      </c>
      <c r="H296" s="106" t="n">
        <v>0</v>
      </c>
      <c r="I296" s="106" t="s">
        <v>6793</v>
      </c>
      <c r="J296" s="106" t="s">
        <v>6794</v>
      </c>
      <c r="K296" s="106" t="s">
        <v>6793</v>
      </c>
      <c r="L296" s="106" t="s">
        <v>6793</v>
      </c>
      <c r="M296" s="117"/>
      <c r="N296" s="106" t="n">
        <v>0</v>
      </c>
      <c r="O296" s="106"/>
      <c r="P296" s="27" t="s">
        <v>6795</v>
      </c>
    </row>
    <row r="297" customFormat="false" ht="15" hidden="false" customHeight="false" outlineLevel="0" collapsed="false">
      <c r="A297" s="106" t="s">
        <v>7065</v>
      </c>
      <c r="B297" s="106" t="s">
        <v>6792</v>
      </c>
      <c r="C297" s="106"/>
      <c r="D297" s="107"/>
      <c r="E297" s="107" t="n">
        <v>2098.02857142857</v>
      </c>
      <c r="F297" s="130" t="n">
        <v>0.65</v>
      </c>
      <c r="G297" s="106" t="s">
        <v>1411</v>
      </c>
      <c r="H297" s="106" t="n">
        <v>0.5</v>
      </c>
      <c r="I297" s="106" t="s">
        <v>6793</v>
      </c>
      <c r="J297" s="106" t="s">
        <v>6794</v>
      </c>
      <c r="K297" s="106" t="s">
        <v>6793</v>
      </c>
      <c r="L297" s="106" t="s">
        <v>6793</v>
      </c>
      <c r="M297" s="117"/>
      <c r="N297" s="106" t="n">
        <v>0</v>
      </c>
      <c r="O297" s="106"/>
      <c r="P297" s="27" t="s">
        <v>6795</v>
      </c>
    </row>
    <row r="298" customFormat="false" ht="15" hidden="false" customHeight="false" outlineLevel="0" collapsed="false">
      <c r="A298" s="106" t="s">
        <v>7066</v>
      </c>
      <c r="B298" s="106" t="s">
        <v>6792</v>
      </c>
      <c r="C298" s="106"/>
      <c r="D298" s="107"/>
      <c r="E298" s="107" t="n">
        <v>2098.02857142857</v>
      </c>
      <c r="F298" s="130" t="n">
        <v>0.5</v>
      </c>
      <c r="G298" s="106" t="s">
        <v>1411</v>
      </c>
      <c r="H298" s="106" t="n">
        <v>0</v>
      </c>
      <c r="I298" s="106" t="s">
        <v>6793</v>
      </c>
      <c r="J298" s="106" t="s">
        <v>6794</v>
      </c>
      <c r="K298" s="106" t="s">
        <v>6793</v>
      </c>
      <c r="L298" s="106" t="s">
        <v>6794</v>
      </c>
      <c r="M298" s="117"/>
      <c r="N298" s="106" t="n">
        <v>0</v>
      </c>
      <c r="O298" s="106"/>
      <c r="P298" s="27" t="s">
        <v>6818</v>
      </c>
    </row>
    <row r="299" customFormat="false" ht="15" hidden="false" customHeight="false" outlineLevel="0" collapsed="false">
      <c r="A299" s="106" t="s">
        <v>7067</v>
      </c>
      <c r="B299" s="106" t="s">
        <v>6792</v>
      </c>
      <c r="C299" s="106" t="s">
        <v>479</v>
      </c>
      <c r="D299" s="107"/>
      <c r="E299" s="107" t="n">
        <v>2087.48571428571</v>
      </c>
      <c r="F299" s="130" t="n">
        <v>0.7</v>
      </c>
      <c r="G299" s="106" t="s">
        <v>1411</v>
      </c>
      <c r="H299" s="106" t="n">
        <v>0</v>
      </c>
      <c r="I299" s="106" t="s">
        <v>6793</v>
      </c>
      <c r="J299" s="106" t="s">
        <v>6794</v>
      </c>
      <c r="K299" s="106" t="s">
        <v>6793</v>
      </c>
      <c r="L299" s="106" t="s">
        <v>6793</v>
      </c>
      <c r="M299" s="117"/>
      <c r="N299" s="106" t="n">
        <v>0</v>
      </c>
      <c r="O299" s="106"/>
      <c r="P299" s="27" t="s">
        <v>6795</v>
      </c>
    </row>
    <row r="300" customFormat="false" ht="15" hidden="false" customHeight="false" outlineLevel="0" collapsed="false">
      <c r="A300" s="106" t="s">
        <v>7068</v>
      </c>
      <c r="B300" s="106" t="s">
        <v>6792</v>
      </c>
      <c r="C300" s="106" t="s">
        <v>185</v>
      </c>
      <c r="D300" s="107"/>
      <c r="E300" s="107" t="n">
        <v>2087.48571428571</v>
      </c>
      <c r="F300" s="130" t="n">
        <v>0.58</v>
      </c>
      <c r="G300" s="106" t="s">
        <v>1411</v>
      </c>
      <c r="H300" s="106" t="n">
        <v>0</v>
      </c>
      <c r="I300" s="106" t="s">
        <v>6799</v>
      </c>
      <c r="J300" s="106" t="s">
        <v>6794</v>
      </c>
      <c r="K300" s="106" t="s">
        <v>6793</v>
      </c>
      <c r="L300" s="106" t="s">
        <v>6793</v>
      </c>
      <c r="M300" s="117"/>
      <c r="N300" s="106" t="n">
        <v>0</v>
      </c>
      <c r="O300" s="106"/>
      <c r="P300" s="27" t="s">
        <v>6795</v>
      </c>
    </row>
    <row r="301" customFormat="false" ht="15" hidden="false" customHeight="false" outlineLevel="0" collapsed="false">
      <c r="A301" s="106" t="s">
        <v>7069</v>
      </c>
      <c r="B301" s="106" t="s">
        <v>6792</v>
      </c>
      <c r="C301" s="106" t="s">
        <v>185</v>
      </c>
      <c r="D301" s="107"/>
      <c r="E301" s="107" t="n">
        <v>2055.85714285714</v>
      </c>
      <c r="F301" s="130" t="n">
        <v>0.7</v>
      </c>
      <c r="G301" s="106" t="s">
        <v>1411</v>
      </c>
      <c r="H301" s="106" t="n">
        <v>0.5</v>
      </c>
      <c r="I301" s="106" t="s">
        <v>6793</v>
      </c>
      <c r="J301" s="106" t="s">
        <v>6794</v>
      </c>
      <c r="K301" s="106" t="s">
        <v>6793</v>
      </c>
      <c r="L301" s="106" t="s">
        <v>6793</v>
      </c>
      <c r="M301" s="117"/>
      <c r="N301" s="106" t="n">
        <v>0</v>
      </c>
      <c r="O301" s="106"/>
      <c r="P301" s="27" t="s">
        <v>6795</v>
      </c>
    </row>
    <row r="302" customFormat="false" ht="15" hidden="false" customHeight="false" outlineLevel="0" collapsed="false">
      <c r="A302" s="106" t="s">
        <v>7070</v>
      </c>
      <c r="B302" s="106" t="s">
        <v>6792</v>
      </c>
      <c r="C302" s="106" t="s">
        <v>185</v>
      </c>
      <c r="D302" s="107"/>
      <c r="E302" s="107" t="n">
        <v>2055.85714285714</v>
      </c>
      <c r="F302" s="130" t="n">
        <v>0.7</v>
      </c>
      <c r="G302" s="106" t="s">
        <v>1411</v>
      </c>
      <c r="H302" s="106" t="n">
        <v>0</v>
      </c>
      <c r="I302" s="106" t="s">
        <v>6793</v>
      </c>
      <c r="J302" s="106" t="s">
        <v>6794</v>
      </c>
      <c r="K302" s="106" t="s">
        <v>6793</v>
      </c>
      <c r="L302" s="106" t="s">
        <v>6793</v>
      </c>
      <c r="M302" s="117"/>
      <c r="N302" s="106" t="n">
        <v>0</v>
      </c>
      <c r="O302" s="106"/>
      <c r="P302" s="27" t="s">
        <v>6795</v>
      </c>
    </row>
    <row r="303" customFormat="false" ht="15" hidden="false" customHeight="false" outlineLevel="0" collapsed="false">
      <c r="A303" s="106" t="s">
        <v>7071</v>
      </c>
      <c r="B303" s="106" t="s">
        <v>6792</v>
      </c>
      <c r="C303" s="106" t="s">
        <v>185</v>
      </c>
      <c r="D303" s="107"/>
      <c r="E303" s="107" t="n">
        <v>2045.31428571429</v>
      </c>
      <c r="F303" s="130" t="n">
        <v>0.58</v>
      </c>
      <c r="G303" s="106" t="s">
        <v>1411</v>
      </c>
      <c r="H303" s="106" t="n">
        <v>0</v>
      </c>
      <c r="I303" s="106" t="s">
        <v>6799</v>
      </c>
      <c r="J303" s="106" t="s">
        <v>6794</v>
      </c>
      <c r="K303" s="106" t="s">
        <v>6793</v>
      </c>
      <c r="L303" s="106" t="s">
        <v>6793</v>
      </c>
      <c r="M303" s="117"/>
      <c r="N303" s="106" t="n">
        <v>0</v>
      </c>
      <c r="O303" s="106"/>
      <c r="P303" s="27" t="s">
        <v>6795</v>
      </c>
    </row>
    <row r="304" customFormat="false" ht="15" hidden="false" customHeight="false" outlineLevel="0" collapsed="false">
      <c r="A304" s="106" t="s">
        <v>7072</v>
      </c>
      <c r="B304" s="106" t="s">
        <v>6792</v>
      </c>
      <c r="C304" s="106"/>
      <c r="D304" s="107"/>
      <c r="E304" s="107" t="n">
        <v>2024.22857142857</v>
      </c>
      <c r="F304" s="130" t="n">
        <v>0.52</v>
      </c>
      <c r="G304" s="106" t="s">
        <v>1411</v>
      </c>
      <c r="H304" s="106" t="n">
        <v>0</v>
      </c>
      <c r="I304" s="106" t="s">
        <v>6799</v>
      </c>
      <c r="J304" s="106" t="s">
        <v>6794</v>
      </c>
      <c r="K304" s="106" t="s">
        <v>6793</v>
      </c>
      <c r="L304" s="106" t="s">
        <v>6793</v>
      </c>
      <c r="M304" s="117"/>
      <c r="N304" s="106" t="n">
        <v>0</v>
      </c>
      <c r="O304" s="106"/>
      <c r="P304" s="27" t="s">
        <v>6795</v>
      </c>
    </row>
    <row r="305" customFormat="false" ht="15" hidden="false" customHeight="false" outlineLevel="0" collapsed="false">
      <c r="A305" s="106" t="s">
        <v>7073</v>
      </c>
      <c r="B305" s="106" t="s">
        <v>6792</v>
      </c>
      <c r="C305" s="106"/>
      <c r="D305" s="107"/>
      <c r="E305" s="107" t="n">
        <v>2013.68571428571</v>
      </c>
      <c r="F305" s="130" t="n">
        <v>0.5</v>
      </c>
      <c r="G305" s="106" t="s">
        <v>1411</v>
      </c>
      <c r="H305" s="106" t="n">
        <v>0.5</v>
      </c>
      <c r="I305" s="106" t="s">
        <v>6793</v>
      </c>
      <c r="J305" s="106" t="s">
        <v>6794</v>
      </c>
      <c r="K305" s="106" t="s">
        <v>6793</v>
      </c>
      <c r="L305" s="106" t="s">
        <v>6794</v>
      </c>
      <c r="M305" s="117"/>
      <c r="N305" s="106" t="n">
        <v>0</v>
      </c>
      <c r="O305" s="106"/>
      <c r="P305" s="27" t="s">
        <v>6818</v>
      </c>
    </row>
    <row r="306" customFormat="false" ht="15" hidden="false" customHeight="false" outlineLevel="0" collapsed="false">
      <c r="A306" s="106" t="s">
        <v>7074</v>
      </c>
      <c r="B306" s="106" t="s">
        <v>6792</v>
      </c>
      <c r="C306" s="106" t="s">
        <v>185</v>
      </c>
      <c r="D306" s="107"/>
      <c r="E306" s="107" t="n">
        <v>2013.68571428571</v>
      </c>
      <c r="F306" s="130" t="n">
        <v>0.7</v>
      </c>
      <c r="G306" s="106" t="s">
        <v>1411</v>
      </c>
      <c r="H306" s="106" t="n">
        <v>0.5</v>
      </c>
      <c r="I306" s="106" t="s">
        <v>6793</v>
      </c>
      <c r="J306" s="106" t="s">
        <v>6794</v>
      </c>
      <c r="K306" s="106" t="s">
        <v>6793</v>
      </c>
      <c r="L306" s="106" t="s">
        <v>6793</v>
      </c>
      <c r="M306" s="117"/>
      <c r="N306" s="106" t="n">
        <v>0</v>
      </c>
      <c r="O306" s="106"/>
      <c r="P306" s="27" t="s">
        <v>6795</v>
      </c>
    </row>
    <row r="307" customFormat="false" ht="15" hidden="false" customHeight="false" outlineLevel="0" collapsed="false">
      <c r="A307" s="106" t="s">
        <v>7075</v>
      </c>
      <c r="B307" s="106" t="s">
        <v>6792</v>
      </c>
      <c r="C307" s="106" t="s">
        <v>560</v>
      </c>
      <c r="D307" s="107"/>
      <c r="E307" s="107" t="n">
        <v>2013.68571428571</v>
      </c>
      <c r="F307" s="130" t="n">
        <v>0.7</v>
      </c>
      <c r="G307" s="106" t="s">
        <v>1411</v>
      </c>
      <c r="H307" s="106" t="n">
        <v>0.5</v>
      </c>
      <c r="I307" s="106" t="s">
        <v>6793</v>
      </c>
      <c r="J307" s="106" t="s">
        <v>6794</v>
      </c>
      <c r="K307" s="106" t="s">
        <v>6793</v>
      </c>
      <c r="L307" s="106" t="s">
        <v>6793</v>
      </c>
      <c r="M307" s="117"/>
      <c r="N307" s="106" t="n">
        <v>0</v>
      </c>
      <c r="O307" s="106"/>
      <c r="P307" s="27" t="s">
        <v>6795</v>
      </c>
    </row>
    <row r="308" customFormat="false" ht="15" hidden="false" customHeight="false" outlineLevel="0" collapsed="false">
      <c r="A308" s="106" t="s">
        <v>7076</v>
      </c>
      <c r="B308" s="106" t="s">
        <v>6792</v>
      </c>
      <c r="C308" s="106"/>
      <c r="D308" s="107"/>
      <c r="E308" s="107" t="n">
        <v>1992.6</v>
      </c>
      <c r="F308" s="130" t="n">
        <v>0.5</v>
      </c>
      <c r="G308" s="106" t="s">
        <v>1411</v>
      </c>
      <c r="H308" s="106" t="n">
        <v>0.5</v>
      </c>
      <c r="I308" s="106" t="s">
        <v>6793</v>
      </c>
      <c r="J308" s="106" t="s">
        <v>6794</v>
      </c>
      <c r="K308" s="106" t="s">
        <v>6793</v>
      </c>
      <c r="L308" s="106" t="s">
        <v>6794</v>
      </c>
      <c r="M308" s="117"/>
      <c r="N308" s="106" t="n">
        <v>0</v>
      </c>
      <c r="O308" s="106"/>
      <c r="P308" s="27" t="s">
        <v>6818</v>
      </c>
    </row>
    <row r="309" customFormat="false" ht="15" hidden="false" customHeight="false" outlineLevel="0" collapsed="false">
      <c r="A309" s="106" t="s">
        <v>7077</v>
      </c>
      <c r="B309" s="106" t="s">
        <v>6792</v>
      </c>
      <c r="C309" s="106"/>
      <c r="D309" s="107"/>
      <c r="E309" s="107" t="n">
        <v>1985.57142857143</v>
      </c>
      <c r="F309" s="130" t="n">
        <v>0.4</v>
      </c>
      <c r="G309" s="106" t="s">
        <v>1411</v>
      </c>
      <c r="H309" s="106" t="n">
        <v>0</v>
      </c>
      <c r="I309" s="106" t="s">
        <v>6794</v>
      </c>
      <c r="J309" s="106" t="s">
        <v>6794</v>
      </c>
      <c r="K309" s="106" t="s">
        <v>6793</v>
      </c>
      <c r="L309" s="106" t="s">
        <v>6793</v>
      </c>
      <c r="M309" s="117"/>
      <c r="N309" s="106" t="n">
        <v>0</v>
      </c>
      <c r="O309" s="106"/>
      <c r="P309" s="27" t="s">
        <v>6805</v>
      </c>
    </row>
    <row r="310" customFormat="false" ht="15" hidden="false" customHeight="false" outlineLevel="0" collapsed="false">
      <c r="A310" s="106" t="s">
        <v>7078</v>
      </c>
      <c r="B310" s="106" t="s">
        <v>6792</v>
      </c>
      <c r="C310" s="106" t="s">
        <v>560</v>
      </c>
      <c r="D310" s="107" t="n">
        <v>2274</v>
      </c>
      <c r="E310" s="107" t="n">
        <v>1985.57142857143</v>
      </c>
      <c r="F310" s="130" t="n">
        <v>0.7</v>
      </c>
      <c r="G310" s="106" t="s">
        <v>1411</v>
      </c>
      <c r="H310" s="106" t="n">
        <v>0.5</v>
      </c>
      <c r="I310" s="106" t="s">
        <v>6793</v>
      </c>
      <c r="J310" s="106" t="s">
        <v>6794</v>
      </c>
      <c r="K310" s="106" t="s">
        <v>6793</v>
      </c>
      <c r="L310" s="106" t="s">
        <v>6793</v>
      </c>
      <c r="M310" s="117"/>
      <c r="N310" s="106" t="n">
        <v>0</v>
      </c>
      <c r="O310" s="106"/>
      <c r="P310" s="27" t="s">
        <v>6795</v>
      </c>
    </row>
    <row r="311" customFormat="false" ht="15" hidden="false" customHeight="false" outlineLevel="0" collapsed="false">
      <c r="A311" s="106" t="s">
        <v>7079</v>
      </c>
      <c r="B311" s="106" t="s">
        <v>6792</v>
      </c>
      <c r="C311" s="106" t="s">
        <v>479</v>
      </c>
      <c r="D311" s="107"/>
      <c r="E311" s="107" t="n">
        <v>1953.94285714286</v>
      </c>
      <c r="F311" s="130" t="n">
        <v>0.7</v>
      </c>
      <c r="G311" s="106" t="s">
        <v>1411</v>
      </c>
      <c r="H311" s="106" t="n">
        <v>0</v>
      </c>
      <c r="I311" s="106" t="s">
        <v>6793</v>
      </c>
      <c r="J311" s="106" t="s">
        <v>6794</v>
      </c>
      <c r="K311" s="106" t="s">
        <v>6793</v>
      </c>
      <c r="L311" s="106" t="s">
        <v>6793</v>
      </c>
      <c r="M311" s="117"/>
      <c r="N311" s="106" t="n">
        <v>0</v>
      </c>
      <c r="O311" s="106"/>
      <c r="P311" s="27" t="s">
        <v>6795</v>
      </c>
    </row>
    <row r="312" customFormat="false" ht="15" hidden="false" customHeight="false" outlineLevel="0" collapsed="false">
      <c r="A312" s="106" t="s">
        <v>7080</v>
      </c>
      <c r="B312" s="106" t="s">
        <v>6792</v>
      </c>
      <c r="C312" s="106" t="s">
        <v>479</v>
      </c>
      <c r="D312" s="107"/>
      <c r="E312" s="107" t="n">
        <v>1943.4</v>
      </c>
      <c r="F312" s="130" t="n">
        <v>0.45</v>
      </c>
      <c r="G312" s="106" t="s">
        <v>1411</v>
      </c>
      <c r="H312" s="106" t="n">
        <v>0</v>
      </c>
      <c r="I312" s="106" t="s">
        <v>6794</v>
      </c>
      <c r="J312" s="106" t="s">
        <v>6794</v>
      </c>
      <c r="K312" s="106" t="s">
        <v>6793</v>
      </c>
      <c r="L312" s="106" t="s">
        <v>6793</v>
      </c>
      <c r="M312" s="117"/>
      <c r="N312" s="106" t="n">
        <v>0</v>
      </c>
      <c r="O312" s="106"/>
      <c r="P312" s="27" t="s">
        <v>6805</v>
      </c>
    </row>
    <row r="313" customFormat="false" ht="15" hidden="false" customHeight="false" outlineLevel="0" collapsed="false">
      <c r="A313" s="106" t="s">
        <v>4818</v>
      </c>
      <c r="B313" s="106" t="s">
        <v>6792</v>
      </c>
      <c r="C313" s="106"/>
      <c r="D313" s="107" t="n">
        <v>1969</v>
      </c>
      <c r="E313" s="107" t="n">
        <v>1932.85714285714</v>
      </c>
      <c r="F313" s="130" t="n">
        <v>0.7</v>
      </c>
      <c r="G313" s="106" t="s">
        <v>1411</v>
      </c>
      <c r="H313" s="106" t="n">
        <v>1</v>
      </c>
      <c r="I313" s="106" t="s">
        <v>6794</v>
      </c>
      <c r="J313" s="106" t="s">
        <v>6793</v>
      </c>
      <c r="K313" s="106" t="s">
        <v>6793</v>
      </c>
      <c r="L313" s="106" t="s">
        <v>6793</v>
      </c>
      <c r="M313" s="117" t="n">
        <v>0.0098389982110912</v>
      </c>
      <c r="N313" s="106" t="n">
        <v>0</v>
      </c>
      <c r="O313" s="106"/>
      <c r="P313" s="27" t="s">
        <v>6885</v>
      </c>
    </row>
    <row r="314" customFormat="false" ht="15" hidden="false" customHeight="false" outlineLevel="0" collapsed="false">
      <c r="A314" s="106" t="s">
        <v>7081</v>
      </c>
      <c r="B314" s="106" t="s">
        <v>6792</v>
      </c>
      <c r="C314" s="106"/>
      <c r="D314" s="107"/>
      <c r="E314" s="107" t="n">
        <v>1932.85714285714</v>
      </c>
      <c r="F314" s="130" t="n">
        <v>0.65</v>
      </c>
      <c r="G314" s="106" t="s">
        <v>1411</v>
      </c>
      <c r="H314" s="106" t="n">
        <v>0.5</v>
      </c>
      <c r="I314" s="106" t="s">
        <v>6793</v>
      </c>
      <c r="J314" s="106" t="s">
        <v>6794</v>
      </c>
      <c r="K314" s="106" t="s">
        <v>6793</v>
      </c>
      <c r="L314" s="106" t="s">
        <v>6793</v>
      </c>
      <c r="M314" s="117"/>
      <c r="N314" s="106" t="n">
        <v>0</v>
      </c>
      <c r="O314" s="106"/>
      <c r="P314" s="27" t="s">
        <v>6795</v>
      </c>
    </row>
    <row r="315" customFormat="false" ht="15" hidden="false" customHeight="false" outlineLevel="0" collapsed="false">
      <c r="A315" s="106" t="s">
        <v>5340</v>
      </c>
      <c r="B315" s="106" t="s">
        <v>7082</v>
      </c>
      <c r="C315" s="106" t="s">
        <v>185</v>
      </c>
      <c r="D315" s="107" t="n">
        <v>2531</v>
      </c>
      <c r="E315" s="107" t="n">
        <v>1925.82857142857</v>
      </c>
      <c r="F315" s="130" t="n">
        <v>1</v>
      </c>
      <c r="G315" s="106" t="s">
        <v>1411</v>
      </c>
      <c r="H315" s="106" t="n">
        <v>1.5</v>
      </c>
      <c r="I315" s="106" t="s">
        <v>6793</v>
      </c>
      <c r="J315" s="106" t="s">
        <v>6793</v>
      </c>
      <c r="K315" s="106" t="s">
        <v>6793</v>
      </c>
      <c r="L315" s="106" t="s">
        <v>6793</v>
      </c>
      <c r="M315" s="117"/>
      <c r="N315" s="106" t="n">
        <v>4</v>
      </c>
      <c r="O315" s="106" t="n">
        <v>0</v>
      </c>
      <c r="P315" s="27" t="s">
        <v>7083</v>
      </c>
    </row>
    <row r="316" customFormat="false" ht="15" hidden="false" customHeight="false" outlineLevel="0" collapsed="false">
      <c r="A316" s="106" t="s">
        <v>7084</v>
      </c>
      <c r="B316" s="106" t="s">
        <v>6792</v>
      </c>
      <c r="C316" s="106"/>
      <c r="D316" s="107"/>
      <c r="E316" s="107" t="n">
        <v>1922.31428571429</v>
      </c>
      <c r="F316" s="130" t="n">
        <v>0.38</v>
      </c>
      <c r="G316" s="106" t="s">
        <v>1411</v>
      </c>
      <c r="H316" s="106" t="n">
        <v>0</v>
      </c>
      <c r="I316" s="106" t="s">
        <v>6799</v>
      </c>
      <c r="J316" s="106" t="s">
        <v>6794</v>
      </c>
      <c r="K316" s="106" t="s">
        <v>6793</v>
      </c>
      <c r="L316" s="106" t="s">
        <v>6794</v>
      </c>
      <c r="M316" s="117"/>
      <c r="N316" s="106" t="n">
        <v>0</v>
      </c>
      <c r="O316" s="106"/>
      <c r="P316" s="27" t="s">
        <v>6818</v>
      </c>
    </row>
    <row r="317" customFormat="false" ht="15" hidden="false" customHeight="false" outlineLevel="0" collapsed="false">
      <c r="A317" s="106" t="s">
        <v>7085</v>
      </c>
      <c r="B317" s="106" t="s">
        <v>6792</v>
      </c>
      <c r="C317" s="106" t="s">
        <v>696</v>
      </c>
      <c r="D317" s="107"/>
      <c r="E317" s="107" t="n">
        <v>1911.77142857143</v>
      </c>
      <c r="F317" s="130" t="n">
        <v>0.7</v>
      </c>
      <c r="G317" s="106" t="s">
        <v>1411</v>
      </c>
      <c r="H317" s="106" t="n">
        <v>0</v>
      </c>
      <c r="I317" s="106" t="s">
        <v>6793</v>
      </c>
      <c r="J317" s="106" t="s">
        <v>6794</v>
      </c>
      <c r="K317" s="106" t="s">
        <v>6793</v>
      </c>
      <c r="L317" s="106" t="s">
        <v>6793</v>
      </c>
      <c r="M317" s="117"/>
      <c r="N317" s="106" t="n">
        <v>0</v>
      </c>
      <c r="O317" s="106"/>
      <c r="P317" s="27" t="s">
        <v>6795</v>
      </c>
    </row>
    <row r="318" customFormat="false" ht="15" hidden="false" customHeight="false" outlineLevel="0" collapsed="false">
      <c r="A318" s="106" t="s">
        <v>7086</v>
      </c>
      <c r="B318" s="106" t="s">
        <v>6792</v>
      </c>
      <c r="C318" s="106" t="s">
        <v>185</v>
      </c>
      <c r="D318" s="107"/>
      <c r="E318" s="107" t="n">
        <v>1911.77142857143</v>
      </c>
      <c r="F318" s="130" t="n">
        <v>0.58</v>
      </c>
      <c r="G318" s="106" t="s">
        <v>1411</v>
      </c>
      <c r="H318" s="106" t="n">
        <v>0</v>
      </c>
      <c r="I318" s="106" t="s">
        <v>6799</v>
      </c>
      <c r="J318" s="106" t="s">
        <v>6794</v>
      </c>
      <c r="K318" s="106" t="s">
        <v>6793</v>
      </c>
      <c r="L318" s="106" t="s">
        <v>6793</v>
      </c>
      <c r="M318" s="117"/>
      <c r="N318" s="106" t="n">
        <v>0</v>
      </c>
      <c r="O318" s="106"/>
      <c r="P318" s="27" t="s">
        <v>6795</v>
      </c>
    </row>
    <row r="319" customFormat="false" ht="15" hidden="false" customHeight="false" outlineLevel="0" collapsed="false">
      <c r="A319" s="106" t="s">
        <v>7087</v>
      </c>
      <c r="B319" s="106" t="s">
        <v>6792</v>
      </c>
      <c r="C319" s="106"/>
      <c r="D319" s="107"/>
      <c r="E319" s="107" t="n">
        <v>1901.22857142857</v>
      </c>
      <c r="F319" s="130" t="n">
        <v>0.65</v>
      </c>
      <c r="G319" s="106" t="s">
        <v>1411</v>
      </c>
      <c r="H319" s="106" t="n">
        <v>0</v>
      </c>
      <c r="I319" s="106" t="s">
        <v>6793</v>
      </c>
      <c r="J319" s="106" t="s">
        <v>6794</v>
      </c>
      <c r="K319" s="106" t="s">
        <v>6793</v>
      </c>
      <c r="L319" s="106" t="s">
        <v>6793</v>
      </c>
      <c r="M319" s="117"/>
      <c r="N319" s="106" t="n">
        <v>0</v>
      </c>
      <c r="O319" s="106"/>
      <c r="P319" s="27" t="s">
        <v>6795</v>
      </c>
    </row>
    <row r="320" customFormat="false" ht="15" hidden="false" customHeight="false" outlineLevel="0" collapsed="false">
      <c r="A320" s="106" t="s">
        <v>7088</v>
      </c>
      <c r="B320" s="106" t="s">
        <v>6792</v>
      </c>
      <c r="C320" s="106" t="s">
        <v>185</v>
      </c>
      <c r="D320" s="107"/>
      <c r="E320" s="107" t="n">
        <v>1890.68571428571</v>
      </c>
      <c r="F320" s="130" t="n">
        <v>0.7</v>
      </c>
      <c r="G320" s="106" t="s">
        <v>1411</v>
      </c>
      <c r="H320" s="106" t="n">
        <v>0</v>
      </c>
      <c r="I320" s="106" t="s">
        <v>6793</v>
      </c>
      <c r="J320" s="106" t="s">
        <v>6794</v>
      </c>
      <c r="K320" s="106" t="s">
        <v>6793</v>
      </c>
      <c r="L320" s="106" t="s">
        <v>6793</v>
      </c>
      <c r="M320" s="117"/>
      <c r="N320" s="106" t="n">
        <v>0</v>
      </c>
      <c r="O320" s="106"/>
      <c r="P320" s="27" t="s">
        <v>6795</v>
      </c>
    </row>
    <row r="321" customFormat="false" ht="15" hidden="false" customHeight="false" outlineLevel="0" collapsed="false">
      <c r="A321" s="106" t="s">
        <v>7089</v>
      </c>
      <c r="B321" s="106" t="s">
        <v>6792</v>
      </c>
      <c r="C321" s="106" t="s">
        <v>479</v>
      </c>
      <c r="D321" s="107"/>
      <c r="E321" s="107" t="n">
        <v>1859.05714285714</v>
      </c>
      <c r="F321" s="130" t="n">
        <v>0.55</v>
      </c>
      <c r="G321" s="106" t="s">
        <v>1411</v>
      </c>
      <c r="H321" s="106" t="n">
        <v>0</v>
      </c>
      <c r="I321" s="106" t="s">
        <v>6793</v>
      </c>
      <c r="J321" s="106" t="s">
        <v>6794</v>
      </c>
      <c r="K321" s="106" t="s">
        <v>6793</v>
      </c>
      <c r="L321" s="106" t="s">
        <v>6794</v>
      </c>
      <c r="M321" s="117"/>
      <c r="N321" s="106" t="n">
        <v>0</v>
      </c>
      <c r="O321" s="106"/>
      <c r="P321" s="27" t="s">
        <v>6818</v>
      </c>
    </row>
    <row r="322" customFormat="false" ht="15" hidden="false" customHeight="false" outlineLevel="0" collapsed="false">
      <c r="A322" s="106" t="s">
        <v>7090</v>
      </c>
      <c r="B322" s="106" t="s">
        <v>6792</v>
      </c>
      <c r="C322" s="106"/>
      <c r="D322" s="107"/>
      <c r="E322" s="107" t="n">
        <v>1859.05714285714</v>
      </c>
      <c r="F322" s="130" t="n">
        <v>0.5</v>
      </c>
      <c r="G322" s="106" t="s">
        <v>1411</v>
      </c>
      <c r="H322" s="106" t="n">
        <v>0</v>
      </c>
      <c r="I322" s="106" t="s">
        <v>6793</v>
      </c>
      <c r="J322" s="106" t="s">
        <v>6794</v>
      </c>
      <c r="K322" s="106" t="s">
        <v>6793</v>
      </c>
      <c r="L322" s="106" t="s">
        <v>6794</v>
      </c>
      <c r="M322" s="117"/>
      <c r="N322" s="106" t="n">
        <v>0</v>
      </c>
      <c r="O322" s="106"/>
      <c r="P322" s="27" t="s">
        <v>6818</v>
      </c>
    </row>
    <row r="323" customFormat="false" ht="15" hidden="false" customHeight="false" outlineLevel="0" collapsed="false">
      <c r="A323" s="106" t="s">
        <v>7091</v>
      </c>
      <c r="B323" s="106" t="s">
        <v>6792</v>
      </c>
      <c r="C323" s="106" t="s">
        <v>185</v>
      </c>
      <c r="D323" s="107"/>
      <c r="E323" s="107" t="n">
        <v>1848.51428571429</v>
      </c>
      <c r="F323" s="130" t="n">
        <v>0.55</v>
      </c>
      <c r="G323" s="106" t="s">
        <v>1411</v>
      </c>
      <c r="H323" s="106" t="n">
        <v>0</v>
      </c>
      <c r="I323" s="106" t="s">
        <v>6793</v>
      </c>
      <c r="J323" s="106" t="s">
        <v>6794</v>
      </c>
      <c r="K323" s="106" t="s">
        <v>6793</v>
      </c>
      <c r="L323" s="106" t="s">
        <v>6794</v>
      </c>
      <c r="M323" s="117"/>
      <c r="N323" s="106" t="n">
        <v>0</v>
      </c>
      <c r="O323" s="106"/>
      <c r="P323" s="27" t="s">
        <v>6818</v>
      </c>
    </row>
    <row r="324" customFormat="false" ht="15" hidden="false" customHeight="false" outlineLevel="0" collapsed="false">
      <c r="A324" s="106" t="s">
        <v>7092</v>
      </c>
      <c r="B324" s="106" t="s">
        <v>6792</v>
      </c>
      <c r="C324" s="106" t="s">
        <v>185</v>
      </c>
      <c r="D324" s="107"/>
      <c r="E324" s="107" t="n">
        <v>1848.51428571429</v>
      </c>
      <c r="F324" s="130" t="n">
        <v>0.7</v>
      </c>
      <c r="G324" s="106" t="s">
        <v>1411</v>
      </c>
      <c r="H324" s="106" t="n">
        <v>0</v>
      </c>
      <c r="I324" s="106" t="s">
        <v>6793</v>
      </c>
      <c r="J324" s="106" t="s">
        <v>6794</v>
      </c>
      <c r="K324" s="106" t="s">
        <v>6793</v>
      </c>
      <c r="L324" s="106" t="s">
        <v>6793</v>
      </c>
      <c r="M324" s="117"/>
      <c r="N324" s="106" t="n">
        <v>0</v>
      </c>
      <c r="O324" s="106"/>
      <c r="P324" s="27" t="s">
        <v>6795</v>
      </c>
    </row>
    <row r="325" customFormat="false" ht="15" hidden="false" customHeight="false" outlineLevel="0" collapsed="false">
      <c r="A325" s="106" t="s">
        <v>7093</v>
      </c>
      <c r="B325" s="106" t="s">
        <v>6792</v>
      </c>
      <c r="C325" s="106"/>
      <c r="D325" s="107"/>
      <c r="E325" s="107" t="n">
        <v>1837.97142857143</v>
      </c>
      <c r="F325" s="130" t="n">
        <v>0.52</v>
      </c>
      <c r="G325" s="106" t="s">
        <v>1411</v>
      </c>
      <c r="H325" s="106" t="n">
        <v>0</v>
      </c>
      <c r="I325" s="106" t="s">
        <v>6799</v>
      </c>
      <c r="J325" s="106" t="s">
        <v>6794</v>
      </c>
      <c r="K325" s="106" t="s">
        <v>6793</v>
      </c>
      <c r="L325" s="106" t="s">
        <v>6793</v>
      </c>
      <c r="M325" s="117"/>
      <c r="N325" s="106" t="n">
        <v>0</v>
      </c>
      <c r="O325" s="106"/>
      <c r="P325" s="27" t="s">
        <v>6795</v>
      </c>
    </row>
    <row r="326" customFormat="false" ht="15" hidden="false" customHeight="false" outlineLevel="0" collapsed="false">
      <c r="A326" s="106" t="s">
        <v>7094</v>
      </c>
      <c r="B326" s="106" t="s">
        <v>6792</v>
      </c>
      <c r="C326" s="106" t="s">
        <v>479</v>
      </c>
      <c r="D326" s="107"/>
      <c r="E326" s="107" t="n">
        <v>1837.97142857143</v>
      </c>
      <c r="F326" s="130" t="n">
        <v>0.7</v>
      </c>
      <c r="G326" s="106" t="s">
        <v>1411</v>
      </c>
      <c r="H326" s="106" t="n">
        <v>0</v>
      </c>
      <c r="I326" s="106" t="s">
        <v>6793</v>
      </c>
      <c r="J326" s="106" t="s">
        <v>6794</v>
      </c>
      <c r="K326" s="106" t="s">
        <v>6793</v>
      </c>
      <c r="L326" s="106" t="s">
        <v>6793</v>
      </c>
      <c r="M326" s="117"/>
      <c r="N326" s="106" t="n">
        <v>0</v>
      </c>
      <c r="O326" s="106"/>
      <c r="P326" s="27" t="s">
        <v>6795</v>
      </c>
    </row>
    <row r="327" customFormat="false" ht="15" hidden="false" customHeight="false" outlineLevel="0" collapsed="false">
      <c r="A327" s="106" t="s">
        <v>7095</v>
      </c>
      <c r="B327" s="106" t="s">
        <v>6792</v>
      </c>
      <c r="C327" s="106" t="s">
        <v>696</v>
      </c>
      <c r="D327" s="107"/>
      <c r="E327" s="107" t="n">
        <v>1827.42857142857</v>
      </c>
      <c r="F327" s="130" t="n">
        <v>0.7</v>
      </c>
      <c r="G327" s="106" t="s">
        <v>1411</v>
      </c>
      <c r="H327" s="106" t="n">
        <v>0</v>
      </c>
      <c r="I327" s="106" t="s">
        <v>6793</v>
      </c>
      <c r="J327" s="106" t="s">
        <v>6794</v>
      </c>
      <c r="K327" s="106" t="s">
        <v>6793</v>
      </c>
      <c r="L327" s="106" t="s">
        <v>6793</v>
      </c>
      <c r="M327" s="117"/>
      <c r="N327" s="106" t="n">
        <v>0</v>
      </c>
      <c r="O327" s="106"/>
      <c r="P327" s="27" t="s">
        <v>6795</v>
      </c>
    </row>
    <row r="328" customFormat="false" ht="15" hidden="false" customHeight="false" outlineLevel="0" collapsed="false">
      <c r="A328" s="106" t="s">
        <v>7096</v>
      </c>
      <c r="B328" s="106" t="s">
        <v>6792</v>
      </c>
      <c r="C328" s="106" t="s">
        <v>185</v>
      </c>
      <c r="D328" s="107"/>
      <c r="E328" s="107" t="n">
        <v>1816.88571428571</v>
      </c>
      <c r="F328" s="130" t="n">
        <v>0.7</v>
      </c>
      <c r="G328" s="106" t="s">
        <v>1411</v>
      </c>
      <c r="H328" s="106" t="n">
        <v>0.5</v>
      </c>
      <c r="I328" s="106" t="s">
        <v>6793</v>
      </c>
      <c r="J328" s="106" t="s">
        <v>6794</v>
      </c>
      <c r="K328" s="106" t="s">
        <v>6793</v>
      </c>
      <c r="L328" s="106" t="s">
        <v>6793</v>
      </c>
      <c r="M328" s="117"/>
      <c r="N328" s="106" t="n">
        <v>0</v>
      </c>
      <c r="O328" s="106"/>
      <c r="P328" s="27" t="s">
        <v>6795</v>
      </c>
    </row>
    <row r="329" customFormat="false" ht="15" hidden="false" customHeight="false" outlineLevel="0" collapsed="false">
      <c r="A329" s="106" t="s">
        <v>7097</v>
      </c>
      <c r="B329" s="106" t="s">
        <v>6792</v>
      </c>
      <c r="C329" s="106"/>
      <c r="D329" s="107"/>
      <c r="E329" s="107" t="n">
        <v>1778.22857142857</v>
      </c>
      <c r="F329" s="130" t="n">
        <v>0.38</v>
      </c>
      <c r="G329" s="106" t="s">
        <v>1411</v>
      </c>
      <c r="H329" s="106" t="n">
        <v>0</v>
      </c>
      <c r="I329" s="106" t="s">
        <v>6799</v>
      </c>
      <c r="J329" s="106" t="s">
        <v>6794</v>
      </c>
      <c r="K329" s="106" t="s">
        <v>6793</v>
      </c>
      <c r="L329" s="106" t="s">
        <v>6794</v>
      </c>
      <c r="M329" s="117"/>
      <c r="N329" s="106" t="n">
        <v>0</v>
      </c>
      <c r="O329" s="106"/>
      <c r="P329" s="27" t="s">
        <v>6818</v>
      </c>
    </row>
    <row r="330" customFormat="false" ht="15" hidden="false" customHeight="false" outlineLevel="0" collapsed="false">
      <c r="A330" s="106" t="s">
        <v>7098</v>
      </c>
      <c r="B330" s="106" t="s">
        <v>6792</v>
      </c>
      <c r="C330" s="106"/>
      <c r="D330" s="107"/>
      <c r="E330" s="107" t="n">
        <v>1778.22857142857</v>
      </c>
      <c r="F330" s="130" t="n">
        <v>0.4</v>
      </c>
      <c r="G330" s="106" t="s">
        <v>1411</v>
      </c>
      <c r="H330" s="106" t="n">
        <v>0</v>
      </c>
      <c r="I330" s="106" t="s">
        <v>6794</v>
      </c>
      <c r="J330" s="106" t="s">
        <v>6794</v>
      </c>
      <c r="K330" s="106" t="s">
        <v>6793</v>
      </c>
      <c r="L330" s="106" t="s">
        <v>6793</v>
      </c>
      <c r="M330" s="117"/>
      <c r="N330" s="106" t="n">
        <v>0</v>
      </c>
      <c r="O330" s="106"/>
      <c r="P330" s="27" t="s">
        <v>6805</v>
      </c>
    </row>
    <row r="331" customFormat="false" ht="15" hidden="false" customHeight="false" outlineLevel="0" collapsed="false">
      <c r="A331" s="106" t="s">
        <v>7099</v>
      </c>
      <c r="B331" s="106" t="s">
        <v>6792</v>
      </c>
      <c r="C331" s="106" t="s">
        <v>479</v>
      </c>
      <c r="D331" s="107"/>
      <c r="E331" s="107" t="n">
        <v>1778.22857142857</v>
      </c>
      <c r="F331" s="130" t="n">
        <v>0.7</v>
      </c>
      <c r="G331" s="106" t="s">
        <v>1411</v>
      </c>
      <c r="H331" s="106" t="n">
        <v>0</v>
      </c>
      <c r="I331" s="106" t="s">
        <v>6793</v>
      </c>
      <c r="J331" s="106" t="s">
        <v>6794</v>
      </c>
      <c r="K331" s="106" t="s">
        <v>6793</v>
      </c>
      <c r="L331" s="106" t="s">
        <v>6793</v>
      </c>
      <c r="M331" s="117"/>
      <c r="N331" s="106" t="n">
        <v>0</v>
      </c>
      <c r="O331" s="106"/>
      <c r="P331" s="27" t="s">
        <v>6795</v>
      </c>
    </row>
    <row r="332" customFormat="false" ht="15" hidden="false" customHeight="false" outlineLevel="0" collapsed="false">
      <c r="A332" s="106" t="s">
        <v>7100</v>
      </c>
      <c r="B332" s="106" t="s">
        <v>6792</v>
      </c>
      <c r="C332" s="106" t="s">
        <v>422</v>
      </c>
      <c r="D332" s="107"/>
      <c r="E332" s="107" t="n">
        <v>1746.6</v>
      </c>
      <c r="F332" s="130" t="n">
        <v>0.45</v>
      </c>
      <c r="G332" s="106" t="s">
        <v>1411</v>
      </c>
      <c r="H332" s="106" t="n">
        <v>0.5</v>
      </c>
      <c r="I332" s="106" t="s">
        <v>6794</v>
      </c>
      <c r="J332" s="106" t="s">
        <v>6794</v>
      </c>
      <c r="K332" s="106" t="s">
        <v>6793</v>
      </c>
      <c r="L332" s="106" t="s">
        <v>6793</v>
      </c>
      <c r="M332" s="117"/>
      <c r="N332" s="106" t="n">
        <v>0</v>
      </c>
      <c r="O332" s="106"/>
      <c r="P332" s="27" t="s">
        <v>6805</v>
      </c>
    </row>
    <row r="333" customFormat="false" ht="22.35" hidden="false" customHeight="false" outlineLevel="0" collapsed="false">
      <c r="A333" s="106" t="s">
        <v>5510</v>
      </c>
      <c r="B333" s="106" t="s">
        <v>7101</v>
      </c>
      <c r="C333" s="106"/>
      <c r="D333" s="107"/>
      <c r="E333" s="107" t="n">
        <v>1736.05714285714</v>
      </c>
      <c r="F333" s="130" t="n">
        <v>0.82</v>
      </c>
      <c r="G333" s="106" t="s">
        <v>1411</v>
      </c>
      <c r="H333" s="106" t="n">
        <v>1</v>
      </c>
      <c r="I333" s="106" t="s">
        <v>6799</v>
      </c>
      <c r="J333" s="106" t="s">
        <v>6793</v>
      </c>
      <c r="K333" s="106" t="s">
        <v>6793</v>
      </c>
      <c r="L333" s="106" t="s">
        <v>6793</v>
      </c>
      <c r="M333" s="117" t="n">
        <v>0.0121736062103034</v>
      </c>
      <c r="N333" s="106" t="n">
        <v>2</v>
      </c>
      <c r="O333" s="106" t="n">
        <v>0</v>
      </c>
      <c r="P333" s="27" t="s">
        <v>7102</v>
      </c>
    </row>
    <row r="334" customFormat="false" ht="15" hidden="false" customHeight="false" outlineLevel="0" collapsed="false">
      <c r="A334" s="106" t="s">
        <v>7103</v>
      </c>
      <c r="B334" s="106" t="s">
        <v>6792</v>
      </c>
      <c r="C334" s="106" t="s">
        <v>185</v>
      </c>
      <c r="D334" s="107"/>
      <c r="E334" s="107" t="n">
        <v>1725.51428571429</v>
      </c>
      <c r="F334" s="130" t="n">
        <v>0.7</v>
      </c>
      <c r="G334" s="106" t="s">
        <v>1411</v>
      </c>
      <c r="H334" s="106" t="n">
        <v>0.5</v>
      </c>
      <c r="I334" s="106" t="s">
        <v>6793</v>
      </c>
      <c r="J334" s="106" t="s">
        <v>6794</v>
      </c>
      <c r="K334" s="106" t="s">
        <v>6793</v>
      </c>
      <c r="L334" s="106" t="s">
        <v>6793</v>
      </c>
      <c r="M334" s="117"/>
      <c r="N334" s="106" t="n">
        <v>0</v>
      </c>
      <c r="O334" s="106"/>
      <c r="P334" s="27" t="s">
        <v>6795</v>
      </c>
    </row>
    <row r="335" customFormat="false" ht="15" hidden="false" customHeight="false" outlineLevel="0" collapsed="false">
      <c r="A335" s="106" t="s">
        <v>7104</v>
      </c>
      <c r="B335" s="106" t="s">
        <v>6792</v>
      </c>
      <c r="C335" s="106" t="s">
        <v>185</v>
      </c>
      <c r="D335" s="107"/>
      <c r="E335" s="107" t="n">
        <v>1725.51428571429</v>
      </c>
      <c r="F335" s="130" t="n">
        <v>0.7</v>
      </c>
      <c r="G335" s="106" t="s">
        <v>1411</v>
      </c>
      <c r="H335" s="106" t="n">
        <v>0</v>
      </c>
      <c r="I335" s="106" t="s">
        <v>6793</v>
      </c>
      <c r="J335" s="106" t="s">
        <v>6794</v>
      </c>
      <c r="K335" s="106" t="s">
        <v>6793</v>
      </c>
      <c r="L335" s="106" t="s">
        <v>6793</v>
      </c>
      <c r="M335" s="117"/>
      <c r="N335" s="106" t="n">
        <v>0</v>
      </c>
      <c r="O335" s="106"/>
      <c r="P335" s="27" t="s">
        <v>6795</v>
      </c>
    </row>
    <row r="336" customFormat="false" ht="15" hidden="false" customHeight="false" outlineLevel="0" collapsed="false">
      <c r="A336" s="106" t="s">
        <v>7105</v>
      </c>
      <c r="B336" s="106" t="s">
        <v>6792</v>
      </c>
      <c r="C336" s="106" t="s">
        <v>185</v>
      </c>
      <c r="D336" s="107"/>
      <c r="E336" s="107" t="n">
        <v>1714.97142857143</v>
      </c>
      <c r="F336" s="130" t="n">
        <v>0.58</v>
      </c>
      <c r="G336" s="106" t="s">
        <v>1411</v>
      </c>
      <c r="H336" s="106" t="n">
        <v>0</v>
      </c>
      <c r="I336" s="106" t="s">
        <v>6799</v>
      </c>
      <c r="J336" s="106" t="s">
        <v>6794</v>
      </c>
      <c r="K336" s="106" t="s">
        <v>6793</v>
      </c>
      <c r="L336" s="106" t="s">
        <v>6793</v>
      </c>
      <c r="M336" s="117"/>
      <c r="N336" s="106" t="n">
        <v>0</v>
      </c>
      <c r="O336" s="106"/>
      <c r="P336" s="27" t="s">
        <v>6795</v>
      </c>
    </row>
    <row r="337" customFormat="false" ht="15" hidden="false" customHeight="false" outlineLevel="0" collapsed="false">
      <c r="A337" s="106" t="s">
        <v>7106</v>
      </c>
      <c r="B337" s="106" t="s">
        <v>6792</v>
      </c>
      <c r="C337" s="106" t="s">
        <v>185</v>
      </c>
      <c r="D337" s="107"/>
      <c r="E337" s="107" t="n">
        <v>1714.97142857143</v>
      </c>
      <c r="F337" s="130" t="n">
        <v>0.45</v>
      </c>
      <c r="G337" s="106" t="s">
        <v>1411</v>
      </c>
      <c r="H337" s="106" t="n">
        <v>0</v>
      </c>
      <c r="I337" s="106" t="s">
        <v>6794</v>
      </c>
      <c r="J337" s="106" t="s">
        <v>6794</v>
      </c>
      <c r="K337" s="106" t="s">
        <v>6793</v>
      </c>
      <c r="L337" s="106" t="s">
        <v>6793</v>
      </c>
      <c r="M337" s="117"/>
      <c r="N337" s="106" t="n">
        <v>0</v>
      </c>
      <c r="O337" s="106"/>
      <c r="P337" s="27" t="s">
        <v>6805</v>
      </c>
    </row>
    <row r="338" customFormat="false" ht="15" hidden="false" customHeight="false" outlineLevel="0" collapsed="false">
      <c r="A338" s="106" t="s">
        <v>7107</v>
      </c>
      <c r="B338" s="106" t="s">
        <v>6792</v>
      </c>
      <c r="C338" s="106" t="s">
        <v>185</v>
      </c>
      <c r="D338" s="107"/>
      <c r="E338" s="107" t="n">
        <v>1714.97142857143</v>
      </c>
      <c r="F338" s="130" t="n">
        <v>0.7</v>
      </c>
      <c r="G338" s="106" t="s">
        <v>1411</v>
      </c>
      <c r="H338" s="106" t="n">
        <v>0</v>
      </c>
      <c r="I338" s="106" t="s">
        <v>6793</v>
      </c>
      <c r="J338" s="106" t="s">
        <v>6794</v>
      </c>
      <c r="K338" s="106" t="s">
        <v>6793</v>
      </c>
      <c r="L338" s="106" t="s">
        <v>6793</v>
      </c>
      <c r="M338" s="117"/>
      <c r="N338" s="106" t="n">
        <v>0</v>
      </c>
      <c r="O338" s="106"/>
      <c r="P338" s="27" t="s">
        <v>6795</v>
      </c>
    </row>
    <row r="339" customFormat="false" ht="15" hidden="false" customHeight="false" outlineLevel="0" collapsed="false">
      <c r="A339" s="106" t="s">
        <v>7108</v>
      </c>
      <c r="B339" s="106" t="s">
        <v>6792</v>
      </c>
      <c r="C339" s="106"/>
      <c r="D339" s="107"/>
      <c r="E339" s="107" t="n">
        <v>1704.42857142857</v>
      </c>
      <c r="F339" s="130" t="n">
        <v>0.4</v>
      </c>
      <c r="G339" s="106" t="s">
        <v>1411</v>
      </c>
      <c r="H339" s="106" t="n">
        <v>0</v>
      </c>
      <c r="I339" s="106" t="s">
        <v>6794</v>
      </c>
      <c r="J339" s="106" t="s">
        <v>6794</v>
      </c>
      <c r="K339" s="106" t="s">
        <v>6793</v>
      </c>
      <c r="L339" s="106" t="s">
        <v>6793</v>
      </c>
      <c r="M339" s="117"/>
      <c r="N339" s="106" t="n">
        <v>0</v>
      </c>
      <c r="O339" s="106"/>
      <c r="P339" s="27" t="s">
        <v>6805</v>
      </c>
    </row>
    <row r="340" customFormat="false" ht="15" hidden="false" customHeight="false" outlineLevel="0" collapsed="false">
      <c r="A340" s="106" t="s">
        <v>7109</v>
      </c>
      <c r="B340" s="106" t="s">
        <v>6792</v>
      </c>
      <c r="C340" s="106" t="s">
        <v>560</v>
      </c>
      <c r="D340" s="107"/>
      <c r="E340" s="107" t="n">
        <v>1704.42857142857</v>
      </c>
      <c r="F340" s="130" t="n">
        <v>0.7</v>
      </c>
      <c r="G340" s="106" t="s">
        <v>1411</v>
      </c>
      <c r="H340" s="106" t="n">
        <v>0.5</v>
      </c>
      <c r="I340" s="106" t="s">
        <v>6793</v>
      </c>
      <c r="J340" s="106" t="s">
        <v>6794</v>
      </c>
      <c r="K340" s="106" t="s">
        <v>6793</v>
      </c>
      <c r="L340" s="106" t="s">
        <v>6793</v>
      </c>
      <c r="M340" s="117"/>
      <c r="N340" s="106" t="n">
        <v>0</v>
      </c>
      <c r="O340" s="106"/>
      <c r="P340" s="27" t="s">
        <v>6795</v>
      </c>
    </row>
    <row r="341" customFormat="false" ht="15" hidden="false" customHeight="false" outlineLevel="0" collapsed="false">
      <c r="A341" s="106" t="s">
        <v>7110</v>
      </c>
      <c r="B341" s="106" t="s">
        <v>6792</v>
      </c>
      <c r="C341" s="106" t="s">
        <v>479</v>
      </c>
      <c r="D341" s="107"/>
      <c r="E341" s="107" t="n">
        <v>1704.42857142857</v>
      </c>
      <c r="F341" s="130" t="n">
        <v>0.7</v>
      </c>
      <c r="G341" s="106" t="s">
        <v>1411</v>
      </c>
      <c r="H341" s="106" t="n">
        <v>0</v>
      </c>
      <c r="I341" s="106" t="s">
        <v>6793</v>
      </c>
      <c r="J341" s="106" t="s">
        <v>6794</v>
      </c>
      <c r="K341" s="106" t="s">
        <v>6793</v>
      </c>
      <c r="L341" s="106" t="s">
        <v>6793</v>
      </c>
      <c r="M341" s="117"/>
      <c r="N341" s="106" t="n">
        <v>0</v>
      </c>
      <c r="O341" s="106"/>
      <c r="P341" s="27" t="s">
        <v>6795</v>
      </c>
    </row>
    <row r="342" customFormat="false" ht="15" hidden="false" customHeight="false" outlineLevel="0" collapsed="false">
      <c r="A342" s="106" t="s">
        <v>7111</v>
      </c>
      <c r="B342" s="106" t="s">
        <v>6792</v>
      </c>
      <c r="C342" s="106" t="s">
        <v>560</v>
      </c>
      <c r="D342" s="107"/>
      <c r="E342" s="107" t="n">
        <v>1693.88571428571</v>
      </c>
      <c r="F342" s="130" t="n">
        <v>0.7</v>
      </c>
      <c r="G342" s="106" t="s">
        <v>1411</v>
      </c>
      <c r="H342" s="106" t="n">
        <v>0.5</v>
      </c>
      <c r="I342" s="106" t="s">
        <v>6793</v>
      </c>
      <c r="J342" s="106" t="s">
        <v>6794</v>
      </c>
      <c r="K342" s="106" t="s">
        <v>6793</v>
      </c>
      <c r="L342" s="106" t="s">
        <v>6793</v>
      </c>
      <c r="M342" s="117"/>
      <c r="N342" s="106" t="n">
        <v>0</v>
      </c>
      <c r="O342" s="106"/>
      <c r="P342" s="27" t="s">
        <v>6795</v>
      </c>
    </row>
    <row r="343" customFormat="false" ht="15" hidden="false" customHeight="false" outlineLevel="0" collapsed="false">
      <c r="A343" s="106" t="s">
        <v>7112</v>
      </c>
      <c r="B343" s="106" t="s">
        <v>6792</v>
      </c>
      <c r="C343" s="106" t="s">
        <v>560</v>
      </c>
      <c r="D343" s="107"/>
      <c r="E343" s="107" t="n">
        <v>1693.88571428571</v>
      </c>
      <c r="F343" s="130" t="n">
        <v>0.45</v>
      </c>
      <c r="G343" s="106" t="s">
        <v>1411</v>
      </c>
      <c r="H343" s="106" t="n">
        <v>0</v>
      </c>
      <c r="I343" s="106" t="s">
        <v>6794</v>
      </c>
      <c r="J343" s="106" t="s">
        <v>6794</v>
      </c>
      <c r="K343" s="106" t="s">
        <v>6793</v>
      </c>
      <c r="L343" s="106" t="s">
        <v>6793</v>
      </c>
      <c r="M343" s="117"/>
      <c r="N343" s="106" t="n">
        <v>0</v>
      </c>
      <c r="O343" s="106"/>
      <c r="P343" s="27" t="s">
        <v>6805</v>
      </c>
    </row>
    <row r="344" customFormat="false" ht="15" hidden="false" customHeight="false" outlineLevel="0" collapsed="false">
      <c r="A344" s="106" t="s">
        <v>7113</v>
      </c>
      <c r="B344" s="106" t="s">
        <v>6792</v>
      </c>
      <c r="C344" s="106"/>
      <c r="D344" s="107"/>
      <c r="E344" s="107" t="n">
        <v>1693.88571428571</v>
      </c>
      <c r="F344" s="130" t="n">
        <v>0.65</v>
      </c>
      <c r="G344" s="106" t="s">
        <v>1411</v>
      </c>
      <c r="H344" s="106" t="n">
        <v>1</v>
      </c>
      <c r="I344" s="106" t="s">
        <v>6793</v>
      </c>
      <c r="J344" s="106" t="s">
        <v>6794</v>
      </c>
      <c r="K344" s="106" t="s">
        <v>6793</v>
      </c>
      <c r="L344" s="106" t="s">
        <v>6793</v>
      </c>
      <c r="M344" s="117"/>
      <c r="N344" s="106" t="n">
        <v>0</v>
      </c>
      <c r="O344" s="106"/>
      <c r="P344" s="27" t="s">
        <v>6795</v>
      </c>
    </row>
    <row r="345" customFormat="false" ht="15" hidden="false" customHeight="false" outlineLevel="0" collapsed="false">
      <c r="A345" s="106" t="s">
        <v>7114</v>
      </c>
      <c r="B345" s="106" t="s">
        <v>6792</v>
      </c>
      <c r="C345" s="106" t="s">
        <v>479</v>
      </c>
      <c r="D345" s="107"/>
      <c r="E345" s="107" t="n">
        <v>1686.85714285714</v>
      </c>
      <c r="F345" s="130" t="n">
        <v>0.7</v>
      </c>
      <c r="G345" s="106" t="s">
        <v>1411</v>
      </c>
      <c r="H345" s="106" t="n">
        <v>0</v>
      </c>
      <c r="I345" s="106" t="s">
        <v>6793</v>
      </c>
      <c r="J345" s="106" t="s">
        <v>6794</v>
      </c>
      <c r="K345" s="106" t="s">
        <v>6793</v>
      </c>
      <c r="L345" s="106" t="s">
        <v>6793</v>
      </c>
      <c r="M345" s="117"/>
      <c r="N345" s="106" t="n">
        <v>0</v>
      </c>
      <c r="O345" s="106"/>
      <c r="P345" s="27" t="s">
        <v>6795</v>
      </c>
    </row>
    <row r="346" customFormat="false" ht="15" hidden="false" customHeight="false" outlineLevel="0" collapsed="false">
      <c r="A346" s="106" t="s">
        <v>7115</v>
      </c>
      <c r="B346" s="106" t="s">
        <v>6792</v>
      </c>
      <c r="C346" s="106" t="s">
        <v>185</v>
      </c>
      <c r="D346" s="107"/>
      <c r="E346" s="107" t="n">
        <v>1676.31428571429</v>
      </c>
      <c r="F346" s="130" t="n">
        <v>0.45</v>
      </c>
      <c r="G346" s="106" t="s">
        <v>1411</v>
      </c>
      <c r="H346" s="106" t="n">
        <v>0</v>
      </c>
      <c r="I346" s="106" t="s">
        <v>6794</v>
      </c>
      <c r="J346" s="106" t="s">
        <v>6794</v>
      </c>
      <c r="K346" s="106" t="s">
        <v>6793</v>
      </c>
      <c r="L346" s="106" t="s">
        <v>6793</v>
      </c>
      <c r="M346" s="117"/>
      <c r="N346" s="106" t="n">
        <v>0</v>
      </c>
      <c r="O346" s="106"/>
      <c r="P346" s="27" t="s">
        <v>6805</v>
      </c>
    </row>
    <row r="347" customFormat="false" ht="15" hidden="false" customHeight="false" outlineLevel="0" collapsed="false">
      <c r="A347" s="106" t="s">
        <v>7116</v>
      </c>
      <c r="B347" s="106" t="s">
        <v>6792</v>
      </c>
      <c r="C347" s="106" t="s">
        <v>185</v>
      </c>
      <c r="D347" s="107"/>
      <c r="E347" s="107" t="n">
        <v>1665.77142857143</v>
      </c>
      <c r="F347" s="130" t="n">
        <v>0.7</v>
      </c>
      <c r="G347" s="106" t="s">
        <v>1411</v>
      </c>
      <c r="H347" s="106" t="n">
        <v>0.5</v>
      </c>
      <c r="I347" s="106" t="s">
        <v>6793</v>
      </c>
      <c r="J347" s="106" t="s">
        <v>6794</v>
      </c>
      <c r="K347" s="106" t="s">
        <v>6793</v>
      </c>
      <c r="L347" s="106" t="s">
        <v>6793</v>
      </c>
      <c r="M347" s="117"/>
      <c r="N347" s="106" t="n">
        <v>0</v>
      </c>
      <c r="O347" s="106"/>
      <c r="P347" s="27" t="s">
        <v>6795</v>
      </c>
    </row>
    <row r="348" customFormat="false" ht="15" hidden="false" customHeight="false" outlineLevel="0" collapsed="false">
      <c r="A348" s="106" t="s">
        <v>7117</v>
      </c>
      <c r="B348" s="106" t="s">
        <v>6792</v>
      </c>
      <c r="C348" s="106" t="s">
        <v>185</v>
      </c>
      <c r="D348" s="107"/>
      <c r="E348" s="107" t="n">
        <v>1655.22857142857</v>
      </c>
      <c r="F348" s="130" t="n">
        <v>0.45</v>
      </c>
      <c r="G348" s="106" t="s">
        <v>1411</v>
      </c>
      <c r="H348" s="106" t="n">
        <v>0</v>
      </c>
      <c r="I348" s="106" t="s">
        <v>6794</v>
      </c>
      <c r="J348" s="106" t="s">
        <v>6794</v>
      </c>
      <c r="K348" s="106" t="s">
        <v>6793</v>
      </c>
      <c r="L348" s="106" t="s">
        <v>6793</v>
      </c>
      <c r="M348" s="117"/>
      <c r="N348" s="106" t="n">
        <v>0</v>
      </c>
      <c r="O348" s="106"/>
      <c r="P348" s="27" t="s">
        <v>6805</v>
      </c>
    </row>
    <row r="349" customFormat="false" ht="15" hidden="false" customHeight="false" outlineLevel="0" collapsed="false">
      <c r="A349" s="106" t="s">
        <v>7118</v>
      </c>
      <c r="B349" s="106" t="s">
        <v>6792</v>
      </c>
      <c r="C349" s="106"/>
      <c r="D349" s="107"/>
      <c r="E349" s="107" t="n">
        <v>1655.22857142857</v>
      </c>
      <c r="F349" s="130" t="n">
        <v>0.5</v>
      </c>
      <c r="G349" s="106" t="s">
        <v>1411</v>
      </c>
      <c r="H349" s="106" t="n">
        <v>0</v>
      </c>
      <c r="I349" s="106" t="s">
        <v>6793</v>
      </c>
      <c r="J349" s="106" t="s">
        <v>6794</v>
      </c>
      <c r="K349" s="106" t="s">
        <v>6793</v>
      </c>
      <c r="L349" s="106" t="s">
        <v>6794</v>
      </c>
      <c r="M349" s="117"/>
      <c r="N349" s="106" t="n">
        <v>0</v>
      </c>
      <c r="O349" s="106"/>
      <c r="P349" s="27" t="s">
        <v>6818</v>
      </c>
    </row>
    <row r="350" customFormat="false" ht="15" hidden="false" customHeight="false" outlineLevel="0" collapsed="false">
      <c r="A350" s="106" t="s">
        <v>5723</v>
      </c>
      <c r="B350" s="106" t="s">
        <v>6792</v>
      </c>
      <c r="C350" s="106" t="s">
        <v>185</v>
      </c>
      <c r="D350" s="107"/>
      <c r="E350" s="107" t="n">
        <v>1655.22857142857</v>
      </c>
      <c r="F350" s="130" t="n">
        <v>0.7</v>
      </c>
      <c r="G350" s="106" t="s">
        <v>1411</v>
      </c>
      <c r="H350" s="106" t="n">
        <v>0</v>
      </c>
      <c r="I350" s="106" t="s">
        <v>6793</v>
      </c>
      <c r="J350" s="106" t="s">
        <v>6794</v>
      </c>
      <c r="K350" s="106" t="s">
        <v>6793</v>
      </c>
      <c r="L350" s="106" t="s">
        <v>6793</v>
      </c>
      <c r="M350" s="117"/>
      <c r="N350" s="106" t="n">
        <v>1</v>
      </c>
      <c r="O350" s="106" t="n">
        <v>0</v>
      </c>
      <c r="P350" s="27" t="s">
        <v>6795</v>
      </c>
    </row>
    <row r="351" customFormat="false" ht="15" hidden="false" customHeight="false" outlineLevel="0" collapsed="false">
      <c r="A351" s="106" t="s">
        <v>7119</v>
      </c>
      <c r="B351" s="106" t="s">
        <v>6792</v>
      </c>
      <c r="C351" s="106"/>
      <c r="D351" s="107"/>
      <c r="E351" s="107" t="n">
        <v>1655.22857142857</v>
      </c>
      <c r="F351" s="130" t="n">
        <v>0.5</v>
      </c>
      <c r="G351" s="106" t="s">
        <v>1411</v>
      </c>
      <c r="H351" s="106" t="n">
        <v>0</v>
      </c>
      <c r="I351" s="106" t="s">
        <v>6793</v>
      </c>
      <c r="J351" s="106" t="s">
        <v>6794</v>
      </c>
      <c r="K351" s="106" t="s">
        <v>6793</v>
      </c>
      <c r="L351" s="106" t="s">
        <v>6794</v>
      </c>
      <c r="M351" s="117"/>
      <c r="N351" s="106" t="n">
        <v>0</v>
      </c>
      <c r="O351" s="106"/>
      <c r="P351" s="27" t="s">
        <v>6818</v>
      </c>
    </row>
    <row r="352" customFormat="false" ht="15" hidden="false" customHeight="false" outlineLevel="0" collapsed="false">
      <c r="A352" s="106" t="s">
        <v>7120</v>
      </c>
      <c r="B352" s="106" t="s">
        <v>6792</v>
      </c>
      <c r="C352" s="106"/>
      <c r="D352" s="107"/>
      <c r="E352" s="107" t="n">
        <v>1644.68571428571</v>
      </c>
      <c r="F352" s="130" t="n">
        <v>0.38</v>
      </c>
      <c r="G352" s="106" t="s">
        <v>1411</v>
      </c>
      <c r="H352" s="106" t="n">
        <v>0</v>
      </c>
      <c r="I352" s="106" t="s">
        <v>6799</v>
      </c>
      <c r="J352" s="106" t="s">
        <v>6794</v>
      </c>
      <c r="K352" s="106" t="s">
        <v>6793</v>
      </c>
      <c r="L352" s="106" t="s">
        <v>6794</v>
      </c>
      <c r="M352" s="117"/>
      <c r="N352" s="106" t="n">
        <v>0</v>
      </c>
      <c r="O352" s="106"/>
      <c r="P352" s="27" t="s">
        <v>6818</v>
      </c>
    </row>
    <row r="353" customFormat="false" ht="15" hidden="false" customHeight="false" outlineLevel="0" collapsed="false">
      <c r="A353" s="106" t="s">
        <v>7121</v>
      </c>
      <c r="B353" s="106" t="s">
        <v>6792</v>
      </c>
      <c r="C353" s="106"/>
      <c r="D353" s="107"/>
      <c r="E353" s="107" t="n">
        <v>1634.14285714286</v>
      </c>
      <c r="F353" s="130" t="n">
        <v>0.5</v>
      </c>
      <c r="G353" s="106" t="s">
        <v>1411</v>
      </c>
      <c r="H353" s="106" t="n">
        <v>0</v>
      </c>
      <c r="I353" s="106" t="s">
        <v>6793</v>
      </c>
      <c r="J353" s="106" t="s">
        <v>6794</v>
      </c>
      <c r="K353" s="106" t="s">
        <v>6793</v>
      </c>
      <c r="L353" s="106" t="s">
        <v>6794</v>
      </c>
      <c r="M353" s="117"/>
      <c r="N353" s="106" t="n">
        <v>0</v>
      </c>
      <c r="O353" s="106"/>
      <c r="P353" s="27" t="s">
        <v>6818</v>
      </c>
    </row>
    <row r="354" customFormat="false" ht="15" hidden="false" customHeight="false" outlineLevel="0" collapsed="false">
      <c r="A354" s="106" t="s">
        <v>7122</v>
      </c>
      <c r="B354" s="106" t="s">
        <v>6792</v>
      </c>
      <c r="C354" s="106"/>
      <c r="D354" s="107"/>
      <c r="E354" s="107" t="n">
        <v>1634.14285714286</v>
      </c>
      <c r="F354" s="130" t="n">
        <v>0.5</v>
      </c>
      <c r="G354" s="106" t="s">
        <v>1411</v>
      </c>
      <c r="H354" s="106" t="n">
        <v>0</v>
      </c>
      <c r="I354" s="106" t="s">
        <v>6793</v>
      </c>
      <c r="J354" s="106" t="s">
        <v>6794</v>
      </c>
      <c r="K354" s="106" t="s">
        <v>6793</v>
      </c>
      <c r="L354" s="106" t="s">
        <v>6794</v>
      </c>
      <c r="M354" s="117"/>
      <c r="N354" s="106" t="n">
        <v>0</v>
      </c>
      <c r="O354" s="106"/>
      <c r="P354" s="27" t="s">
        <v>6818</v>
      </c>
    </row>
    <row r="355" customFormat="false" ht="15" hidden="false" customHeight="false" outlineLevel="0" collapsed="false">
      <c r="A355" s="106" t="s">
        <v>7123</v>
      </c>
      <c r="B355" s="106" t="s">
        <v>6792</v>
      </c>
      <c r="C355" s="106" t="s">
        <v>479</v>
      </c>
      <c r="D355" s="107"/>
      <c r="E355" s="107" t="n">
        <v>1634.14285714286</v>
      </c>
      <c r="F355" s="130" t="n">
        <v>0.45</v>
      </c>
      <c r="G355" s="106" t="s">
        <v>1411</v>
      </c>
      <c r="H355" s="106" t="n">
        <v>0</v>
      </c>
      <c r="I355" s="106" t="s">
        <v>6794</v>
      </c>
      <c r="J355" s="106" t="s">
        <v>6794</v>
      </c>
      <c r="K355" s="106" t="s">
        <v>6793</v>
      </c>
      <c r="L355" s="106" t="s">
        <v>6793</v>
      </c>
      <c r="M355" s="117"/>
      <c r="N355" s="106" t="n">
        <v>0</v>
      </c>
      <c r="O355" s="106"/>
      <c r="P355" s="27" t="s">
        <v>6805</v>
      </c>
    </row>
    <row r="356" customFormat="false" ht="15" hidden="false" customHeight="false" outlineLevel="0" collapsed="false">
      <c r="A356" s="106" t="s">
        <v>7124</v>
      </c>
      <c r="B356" s="106" t="s">
        <v>6792</v>
      </c>
      <c r="C356" s="106" t="s">
        <v>422</v>
      </c>
      <c r="D356" s="107"/>
      <c r="E356" s="107" t="n">
        <v>1623.6</v>
      </c>
      <c r="F356" s="130" t="n">
        <v>0.7</v>
      </c>
      <c r="G356" s="106" t="s">
        <v>1411</v>
      </c>
      <c r="H356" s="106" t="n">
        <v>0.5</v>
      </c>
      <c r="I356" s="106" t="s">
        <v>6793</v>
      </c>
      <c r="J356" s="106" t="s">
        <v>6794</v>
      </c>
      <c r="K356" s="106" t="s">
        <v>6793</v>
      </c>
      <c r="L356" s="106" t="s">
        <v>6793</v>
      </c>
      <c r="M356" s="117"/>
      <c r="N356" s="106" t="n">
        <v>0</v>
      </c>
      <c r="O356" s="106"/>
      <c r="P356" s="27" t="s">
        <v>6795</v>
      </c>
    </row>
    <row r="357" customFormat="false" ht="15" hidden="false" customHeight="false" outlineLevel="0" collapsed="false">
      <c r="A357" s="106" t="s">
        <v>7125</v>
      </c>
      <c r="B357" s="106" t="s">
        <v>6792</v>
      </c>
      <c r="C357" s="106"/>
      <c r="D357" s="107" t="n">
        <v>2200</v>
      </c>
      <c r="E357" s="107" t="n">
        <v>1616.57142857143</v>
      </c>
      <c r="F357" s="130" t="n">
        <v>0.65</v>
      </c>
      <c r="G357" s="106" t="s">
        <v>1411</v>
      </c>
      <c r="H357" s="106" t="n">
        <v>0.5</v>
      </c>
      <c r="I357" s="106" t="s">
        <v>6793</v>
      </c>
      <c r="J357" s="106" t="s">
        <v>6794</v>
      </c>
      <c r="K357" s="106" t="s">
        <v>6793</v>
      </c>
      <c r="L357" s="106" t="s">
        <v>6793</v>
      </c>
      <c r="M357" s="117"/>
      <c r="N357" s="106" t="n">
        <v>0</v>
      </c>
      <c r="O357" s="106"/>
      <c r="P357" s="27" t="s">
        <v>6795</v>
      </c>
    </row>
    <row r="358" customFormat="false" ht="15" hidden="false" customHeight="false" outlineLevel="0" collapsed="false">
      <c r="A358" s="106" t="s">
        <v>7126</v>
      </c>
      <c r="B358" s="106" t="s">
        <v>6792</v>
      </c>
      <c r="C358" s="106" t="s">
        <v>185</v>
      </c>
      <c r="D358" s="107"/>
      <c r="E358" s="107" t="n">
        <v>1616.57142857143</v>
      </c>
      <c r="F358" s="130" t="n">
        <v>0.45</v>
      </c>
      <c r="G358" s="106" t="s">
        <v>1411</v>
      </c>
      <c r="H358" s="106" t="n">
        <v>0</v>
      </c>
      <c r="I358" s="106" t="s">
        <v>6794</v>
      </c>
      <c r="J358" s="106" t="s">
        <v>6794</v>
      </c>
      <c r="K358" s="106" t="s">
        <v>6793</v>
      </c>
      <c r="L358" s="106" t="s">
        <v>6793</v>
      </c>
      <c r="M358" s="117"/>
      <c r="N358" s="106" t="n">
        <v>0</v>
      </c>
      <c r="O358" s="106"/>
      <c r="P358" s="27" t="s">
        <v>6805</v>
      </c>
    </row>
    <row r="359" customFormat="false" ht="15" hidden="false" customHeight="false" outlineLevel="0" collapsed="false">
      <c r="A359" s="106" t="s">
        <v>7127</v>
      </c>
      <c r="B359" s="106" t="s">
        <v>6792</v>
      </c>
      <c r="C359" s="106"/>
      <c r="D359" s="107"/>
      <c r="E359" s="107" t="n">
        <v>1595.48571428571</v>
      </c>
      <c r="F359" s="130" t="n">
        <v>0.32</v>
      </c>
      <c r="G359" s="106" t="s">
        <v>1411</v>
      </c>
      <c r="H359" s="106" t="n">
        <v>0</v>
      </c>
      <c r="I359" s="106" t="s">
        <v>6794</v>
      </c>
      <c r="J359" s="106" t="s">
        <v>6794</v>
      </c>
      <c r="K359" s="106" t="s">
        <v>6793</v>
      </c>
      <c r="L359" s="106" t="s">
        <v>6799</v>
      </c>
      <c r="M359" s="117"/>
      <c r="N359" s="106" t="n">
        <v>0</v>
      </c>
      <c r="O359" s="106"/>
      <c r="P359" s="27" t="s">
        <v>6805</v>
      </c>
    </row>
    <row r="360" customFormat="false" ht="15" hidden="false" customHeight="false" outlineLevel="0" collapsed="false">
      <c r="A360" s="106" t="s">
        <v>7128</v>
      </c>
      <c r="B360" s="106" t="s">
        <v>6792</v>
      </c>
      <c r="C360" s="106" t="s">
        <v>185</v>
      </c>
      <c r="D360" s="107"/>
      <c r="E360" s="107" t="n">
        <v>1595.48571428571</v>
      </c>
      <c r="F360" s="130" t="n">
        <v>0.45</v>
      </c>
      <c r="G360" s="106" t="s">
        <v>1411</v>
      </c>
      <c r="H360" s="106" t="n">
        <v>0</v>
      </c>
      <c r="I360" s="106" t="s">
        <v>6794</v>
      </c>
      <c r="J360" s="106" t="s">
        <v>6794</v>
      </c>
      <c r="K360" s="106" t="s">
        <v>6793</v>
      </c>
      <c r="L360" s="106" t="s">
        <v>6793</v>
      </c>
      <c r="M360" s="117"/>
      <c r="N360" s="106" t="n">
        <v>0</v>
      </c>
      <c r="O360" s="106"/>
      <c r="P360" s="27" t="s">
        <v>6805</v>
      </c>
    </row>
    <row r="361" customFormat="false" ht="15" hidden="false" customHeight="false" outlineLevel="0" collapsed="false">
      <c r="A361" s="106" t="s">
        <v>4836</v>
      </c>
      <c r="B361" s="106" t="s">
        <v>6792</v>
      </c>
      <c r="C361" s="106" t="s">
        <v>560</v>
      </c>
      <c r="D361" s="107" t="n">
        <v>1961</v>
      </c>
      <c r="E361" s="107" t="n">
        <v>1574.4</v>
      </c>
      <c r="F361" s="130" t="n">
        <v>0.75</v>
      </c>
      <c r="G361" s="106" t="s">
        <v>342</v>
      </c>
      <c r="H361" s="106" t="n">
        <v>4</v>
      </c>
      <c r="I361" s="106" t="s">
        <v>6794</v>
      </c>
      <c r="J361" s="106" t="s">
        <v>6793</v>
      </c>
      <c r="K361" s="106" t="s">
        <v>6793</v>
      </c>
      <c r="L361" s="106" t="s">
        <v>6793</v>
      </c>
      <c r="M361" s="117" t="n">
        <v>0.0450221343128944</v>
      </c>
      <c r="N361" s="106" t="n">
        <v>11</v>
      </c>
      <c r="O361" s="106" t="n">
        <v>9.09</v>
      </c>
      <c r="P361" s="27" t="s">
        <v>6983</v>
      </c>
    </row>
    <row r="362" customFormat="false" ht="15" hidden="false" customHeight="false" outlineLevel="0" collapsed="false">
      <c r="A362" s="106" t="s">
        <v>7129</v>
      </c>
      <c r="B362" s="106" t="s">
        <v>6792</v>
      </c>
      <c r="C362" s="106"/>
      <c r="D362" s="107"/>
      <c r="E362" s="107" t="n">
        <v>1574.4</v>
      </c>
      <c r="F362" s="130" t="n">
        <v>0.5</v>
      </c>
      <c r="G362" s="106" t="s">
        <v>1411</v>
      </c>
      <c r="H362" s="106" t="n">
        <v>0</v>
      </c>
      <c r="I362" s="106" t="s">
        <v>6793</v>
      </c>
      <c r="J362" s="106" t="s">
        <v>6794</v>
      </c>
      <c r="K362" s="106" t="s">
        <v>6793</v>
      </c>
      <c r="L362" s="106" t="s">
        <v>6794</v>
      </c>
      <c r="M362" s="117"/>
      <c r="N362" s="106" t="n">
        <v>0</v>
      </c>
      <c r="O362" s="106"/>
      <c r="P362" s="27" t="s">
        <v>6818</v>
      </c>
    </row>
    <row r="363" customFormat="false" ht="15" hidden="false" customHeight="false" outlineLevel="0" collapsed="false">
      <c r="A363" s="106" t="s">
        <v>7130</v>
      </c>
      <c r="B363" s="106" t="s">
        <v>6792</v>
      </c>
      <c r="C363" s="106"/>
      <c r="D363" s="107"/>
      <c r="E363" s="107" t="n">
        <v>1563.85714285714</v>
      </c>
      <c r="F363" s="130" t="n">
        <v>0.5</v>
      </c>
      <c r="G363" s="106" t="s">
        <v>1411</v>
      </c>
      <c r="H363" s="106" t="n">
        <v>0.5</v>
      </c>
      <c r="I363" s="106" t="s">
        <v>6793</v>
      </c>
      <c r="J363" s="106" t="s">
        <v>6794</v>
      </c>
      <c r="K363" s="106" t="s">
        <v>6793</v>
      </c>
      <c r="L363" s="106" t="s">
        <v>6794</v>
      </c>
      <c r="M363" s="117"/>
      <c r="N363" s="106" t="n">
        <v>0</v>
      </c>
      <c r="O363" s="106"/>
      <c r="P363" s="27" t="s">
        <v>6818</v>
      </c>
    </row>
    <row r="364" customFormat="false" ht="15" hidden="false" customHeight="false" outlineLevel="0" collapsed="false">
      <c r="A364" s="106" t="s">
        <v>7131</v>
      </c>
      <c r="B364" s="106" t="s">
        <v>6792</v>
      </c>
      <c r="C364" s="106" t="s">
        <v>560</v>
      </c>
      <c r="D364" s="107" t="n">
        <v>1959</v>
      </c>
      <c r="E364" s="107" t="n">
        <v>1542.77142857143</v>
      </c>
      <c r="F364" s="130" t="n">
        <v>0.62</v>
      </c>
      <c r="G364" s="106" t="s">
        <v>1411</v>
      </c>
      <c r="H364" s="106" t="n">
        <v>0</v>
      </c>
      <c r="I364" s="106" t="s">
        <v>6793</v>
      </c>
      <c r="J364" s="106" t="s">
        <v>6794</v>
      </c>
      <c r="K364" s="106" t="s">
        <v>6793</v>
      </c>
      <c r="L364" s="106" t="s">
        <v>6799</v>
      </c>
      <c r="M364" s="117"/>
      <c r="N364" s="106" t="n">
        <v>0</v>
      </c>
      <c r="O364" s="106"/>
      <c r="P364" s="27" t="s">
        <v>6795</v>
      </c>
    </row>
    <row r="365" customFormat="false" ht="15" hidden="false" customHeight="false" outlineLevel="0" collapsed="false">
      <c r="A365" s="106" t="s">
        <v>7132</v>
      </c>
      <c r="B365" s="106" t="s">
        <v>6792</v>
      </c>
      <c r="C365" s="106" t="s">
        <v>185</v>
      </c>
      <c r="D365" s="107"/>
      <c r="E365" s="107" t="n">
        <v>1514.65714285714</v>
      </c>
      <c r="F365" s="130" t="n">
        <v>0.55</v>
      </c>
      <c r="G365" s="106" t="s">
        <v>1411</v>
      </c>
      <c r="H365" s="106" t="n">
        <v>0.5</v>
      </c>
      <c r="I365" s="106" t="s">
        <v>6793</v>
      </c>
      <c r="J365" s="106" t="s">
        <v>6794</v>
      </c>
      <c r="K365" s="106" t="s">
        <v>6793</v>
      </c>
      <c r="L365" s="106" t="s">
        <v>6794</v>
      </c>
      <c r="M365" s="117"/>
      <c r="N365" s="106" t="n">
        <v>0</v>
      </c>
      <c r="O365" s="106"/>
      <c r="P365" s="27" t="s">
        <v>6818</v>
      </c>
    </row>
    <row r="366" customFormat="false" ht="15" hidden="false" customHeight="false" outlineLevel="0" collapsed="false">
      <c r="A366" s="106" t="s">
        <v>7133</v>
      </c>
      <c r="B366" s="106" t="s">
        <v>6792</v>
      </c>
      <c r="C366" s="106"/>
      <c r="D366" s="107"/>
      <c r="E366" s="107" t="n">
        <v>1504.11428571429</v>
      </c>
      <c r="F366" s="130" t="n">
        <v>0.5</v>
      </c>
      <c r="G366" s="106" t="s">
        <v>1411</v>
      </c>
      <c r="H366" s="106" t="n">
        <v>0</v>
      </c>
      <c r="I366" s="106" t="s">
        <v>6793</v>
      </c>
      <c r="J366" s="106" t="s">
        <v>6794</v>
      </c>
      <c r="K366" s="106" t="s">
        <v>6793</v>
      </c>
      <c r="L366" s="106" t="s">
        <v>6794</v>
      </c>
      <c r="M366" s="117"/>
      <c r="N366" s="106" t="n">
        <v>0</v>
      </c>
      <c r="O366" s="106"/>
      <c r="P366" s="27" t="s">
        <v>6818</v>
      </c>
    </row>
    <row r="367" customFormat="false" ht="15" hidden="false" customHeight="false" outlineLevel="0" collapsed="false">
      <c r="A367" s="106" t="s">
        <v>7134</v>
      </c>
      <c r="B367" s="106" t="s">
        <v>6792</v>
      </c>
      <c r="C367" s="106" t="s">
        <v>422</v>
      </c>
      <c r="D367" s="107"/>
      <c r="E367" s="107" t="n">
        <v>1504.11428571429</v>
      </c>
      <c r="F367" s="130" t="n">
        <v>0.45</v>
      </c>
      <c r="G367" s="106" t="s">
        <v>1411</v>
      </c>
      <c r="H367" s="106" t="n">
        <v>0</v>
      </c>
      <c r="I367" s="106" t="s">
        <v>6794</v>
      </c>
      <c r="J367" s="106" t="s">
        <v>6794</v>
      </c>
      <c r="K367" s="106" t="s">
        <v>6793</v>
      </c>
      <c r="L367" s="106" t="s">
        <v>6793</v>
      </c>
      <c r="M367" s="117"/>
      <c r="N367" s="106" t="n">
        <v>0</v>
      </c>
      <c r="O367" s="106"/>
      <c r="P367" s="27" t="s">
        <v>6805</v>
      </c>
    </row>
    <row r="368" customFormat="false" ht="15" hidden="false" customHeight="false" outlineLevel="0" collapsed="false">
      <c r="A368" s="106" t="s">
        <v>7135</v>
      </c>
      <c r="B368" s="106" t="s">
        <v>6792</v>
      </c>
      <c r="C368" s="106"/>
      <c r="D368" s="107"/>
      <c r="E368" s="107" t="n">
        <v>1483.02857142857</v>
      </c>
      <c r="F368" s="130" t="n">
        <v>0.5</v>
      </c>
      <c r="G368" s="106" t="s">
        <v>1411</v>
      </c>
      <c r="H368" s="106" t="n">
        <v>0</v>
      </c>
      <c r="I368" s="106" t="s">
        <v>6793</v>
      </c>
      <c r="J368" s="106" t="s">
        <v>6794</v>
      </c>
      <c r="K368" s="106" t="s">
        <v>6793</v>
      </c>
      <c r="L368" s="106" t="s">
        <v>6794</v>
      </c>
      <c r="M368" s="117"/>
      <c r="N368" s="106" t="n">
        <v>0</v>
      </c>
      <c r="O368" s="106"/>
      <c r="P368" s="27" t="s">
        <v>6818</v>
      </c>
    </row>
    <row r="369" customFormat="false" ht="15" hidden="false" customHeight="false" outlineLevel="0" collapsed="false">
      <c r="A369" s="106" t="s">
        <v>7136</v>
      </c>
      <c r="B369" s="106" t="s">
        <v>6792</v>
      </c>
      <c r="C369" s="106"/>
      <c r="D369" s="107"/>
      <c r="E369" s="107" t="n">
        <v>1483.02857142857</v>
      </c>
      <c r="F369" s="130" t="n">
        <v>0.38</v>
      </c>
      <c r="G369" s="106" t="s">
        <v>1411</v>
      </c>
      <c r="H369" s="106" t="n">
        <v>0</v>
      </c>
      <c r="I369" s="106" t="s">
        <v>6799</v>
      </c>
      <c r="J369" s="106" t="s">
        <v>6794</v>
      </c>
      <c r="K369" s="106" t="s">
        <v>6793</v>
      </c>
      <c r="L369" s="106" t="s">
        <v>6794</v>
      </c>
      <c r="M369" s="117"/>
      <c r="N369" s="106" t="n">
        <v>0</v>
      </c>
      <c r="O369" s="106"/>
      <c r="P369" s="27" t="s">
        <v>6818</v>
      </c>
    </row>
    <row r="370" customFormat="false" ht="15" hidden="false" customHeight="false" outlineLevel="0" collapsed="false">
      <c r="A370" s="106" t="s">
        <v>7137</v>
      </c>
      <c r="B370" s="106" t="s">
        <v>6792</v>
      </c>
      <c r="C370" s="106" t="s">
        <v>479</v>
      </c>
      <c r="D370" s="107"/>
      <c r="E370" s="107" t="n">
        <v>1476</v>
      </c>
      <c r="F370" s="130" t="n">
        <v>0.55</v>
      </c>
      <c r="G370" s="106" t="s">
        <v>1411</v>
      </c>
      <c r="H370" s="106" t="n">
        <v>0</v>
      </c>
      <c r="I370" s="106" t="s">
        <v>6793</v>
      </c>
      <c r="J370" s="106" t="s">
        <v>6794</v>
      </c>
      <c r="K370" s="106" t="s">
        <v>6793</v>
      </c>
      <c r="L370" s="106" t="s">
        <v>6794</v>
      </c>
      <c r="M370" s="117"/>
      <c r="N370" s="106" t="n">
        <v>0</v>
      </c>
      <c r="O370" s="106"/>
      <c r="P370" s="27" t="s">
        <v>6818</v>
      </c>
    </row>
    <row r="371" customFormat="false" ht="15" hidden="false" customHeight="false" outlineLevel="0" collapsed="false">
      <c r="A371" s="106" t="s">
        <v>7138</v>
      </c>
      <c r="B371" s="106" t="s">
        <v>6792</v>
      </c>
      <c r="C371" s="106" t="s">
        <v>185</v>
      </c>
      <c r="D371" s="107" t="n">
        <v>1669</v>
      </c>
      <c r="E371" s="107" t="n">
        <v>1465.45714285714</v>
      </c>
      <c r="F371" s="130" t="n">
        <v>0.62</v>
      </c>
      <c r="G371" s="106" t="s">
        <v>1411</v>
      </c>
      <c r="H371" s="106" t="n">
        <v>0</v>
      </c>
      <c r="I371" s="106" t="s">
        <v>6793</v>
      </c>
      <c r="J371" s="106" t="s">
        <v>6794</v>
      </c>
      <c r="K371" s="106" t="s">
        <v>6793</v>
      </c>
      <c r="L371" s="106" t="s">
        <v>6799</v>
      </c>
      <c r="M371" s="117"/>
      <c r="N371" s="106" t="n">
        <v>0</v>
      </c>
      <c r="O371" s="106"/>
      <c r="P371" s="27" t="s">
        <v>6795</v>
      </c>
    </row>
    <row r="372" customFormat="false" ht="15" hidden="false" customHeight="false" outlineLevel="0" collapsed="false">
      <c r="A372" s="106" t="s">
        <v>7139</v>
      </c>
      <c r="B372" s="106" t="s">
        <v>6792</v>
      </c>
      <c r="C372" s="106" t="s">
        <v>560</v>
      </c>
      <c r="D372" s="107"/>
      <c r="E372" s="107" t="n">
        <v>1454.91428571429</v>
      </c>
      <c r="F372" s="130" t="n">
        <v>0.45</v>
      </c>
      <c r="G372" s="106" t="s">
        <v>1411</v>
      </c>
      <c r="H372" s="106" t="n">
        <v>0</v>
      </c>
      <c r="I372" s="106" t="s">
        <v>6794</v>
      </c>
      <c r="J372" s="106" t="s">
        <v>6794</v>
      </c>
      <c r="K372" s="106" t="s">
        <v>6793</v>
      </c>
      <c r="L372" s="106" t="s">
        <v>6793</v>
      </c>
      <c r="M372" s="117"/>
      <c r="N372" s="106" t="n">
        <v>0</v>
      </c>
      <c r="O372" s="106"/>
      <c r="P372" s="27" t="s">
        <v>6805</v>
      </c>
    </row>
    <row r="373" customFormat="false" ht="15" hidden="false" customHeight="false" outlineLevel="0" collapsed="false">
      <c r="A373" s="106" t="s">
        <v>7140</v>
      </c>
      <c r="B373" s="106" t="s">
        <v>6792</v>
      </c>
      <c r="C373" s="106"/>
      <c r="D373" s="107"/>
      <c r="E373" s="107" t="n">
        <v>1454.91428571429</v>
      </c>
      <c r="F373" s="130" t="n">
        <v>0.5</v>
      </c>
      <c r="G373" s="106" t="s">
        <v>1411</v>
      </c>
      <c r="H373" s="106" t="n">
        <v>0</v>
      </c>
      <c r="I373" s="106" t="s">
        <v>6793</v>
      </c>
      <c r="J373" s="106" t="s">
        <v>6794</v>
      </c>
      <c r="K373" s="106" t="s">
        <v>6793</v>
      </c>
      <c r="L373" s="106" t="s">
        <v>6794</v>
      </c>
      <c r="M373" s="117"/>
      <c r="N373" s="106" t="n">
        <v>0</v>
      </c>
      <c r="O373" s="106"/>
      <c r="P373" s="27" t="s">
        <v>6818</v>
      </c>
    </row>
    <row r="374" customFormat="false" ht="15" hidden="false" customHeight="false" outlineLevel="0" collapsed="false">
      <c r="A374" s="106" t="s">
        <v>7141</v>
      </c>
      <c r="B374" s="106" t="s">
        <v>6792</v>
      </c>
      <c r="C374" s="106" t="s">
        <v>696</v>
      </c>
      <c r="D374" s="107"/>
      <c r="E374" s="107" t="n">
        <v>1444.37142857143</v>
      </c>
      <c r="F374" s="130" t="n">
        <v>0.45</v>
      </c>
      <c r="G374" s="106" t="s">
        <v>1411</v>
      </c>
      <c r="H374" s="106" t="n">
        <v>0</v>
      </c>
      <c r="I374" s="106" t="s">
        <v>6794</v>
      </c>
      <c r="J374" s="106" t="s">
        <v>6794</v>
      </c>
      <c r="K374" s="106" t="s">
        <v>6793</v>
      </c>
      <c r="L374" s="106" t="s">
        <v>6793</v>
      </c>
      <c r="M374" s="117"/>
      <c r="N374" s="106" t="n">
        <v>0</v>
      </c>
      <c r="O374" s="106"/>
      <c r="P374" s="27" t="s">
        <v>6805</v>
      </c>
    </row>
    <row r="375" customFormat="false" ht="15" hidden="false" customHeight="false" outlineLevel="0" collapsed="false">
      <c r="A375" s="106" t="s">
        <v>7142</v>
      </c>
      <c r="B375" s="106" t="s">
        <v>6792</v>
      </c>
      <c r="C375" s="106" t="s">
        <v>185</v>
      </c>
      <c r="D375" s="107"/>
      <c r="E375" s="107" t="n">
        <v>1444.37142857143</v>
      </c>
      <c r="F375" s="130" t="n">
        <v>0.55</v>
      </c>
      <c r="G375" s="106" t="s">
        <v>1411</v>
      </c>
      <c r="H375" s="106" t="n">
        <v>0</v>
      </c>
      <c r="I375" s="106" t="s">
        <v>6793</v>
      </c>
      <c r="J375" s="106" t="s">
        <v>6794</v>
      </c>
      <c r="K375" s="106" t="s">
        <v>6793</v>
      </c>
      <c r="L375" s="106" t="s">
        <v>6794</v>
      </c>
      <c r="M375" s="117"/>
      <c r="N375" s="106" t="n">
        <v>0</v>
      </c>
      <c r="O375" s="106"/>
      <c r="P375" s="27" t="s">
        <v>6818</v>
      </c>
    </row>
    <row r="376" customFormat="false" ht="15" hidden="false" customHeight="false" outlineLevel="0" collapsed="false">
      <c r="A376" s="106" t="s">
        <v>7143</v>
      </c>
      <c r="B376" s="106" t="s">
        <v>6792</v>
      </c>
      <c r="C376" s="106"/>
      <c r="D376" s="107"/>
      <c r="E376" s="107" t="n">
        <v>1426.8</v>
      </c>
      <c r="F376" s="130" t="n">
        <v>0.4</v>
      </c>
      <c r="G376" s="106" t="s">
        <v>1411</v>
      </c>
      <c r="H376" s="106" t="n">
        <v>0</v>
      </c>
      <c r="I376" s="106" t="s">
        <v>6794</v>
      </c>
      <c r="J376" s="106" t="s">
        <v>6794</v>
      </c>
      <c r="K376" s="106" t="s">
        <v>6793</v>
      </c>
      <c r="L376" s="106" t="s">
        <v>6793</v>
      </c>
      <c r="M376" s="117"/>
      <c r="N376" s="106" t="n">
        <v>0</v>
      </c>
      <c r="O376" s="106"/>
      <c r="P376" s="27" t="s">
        <v>6805</v>
      </c>
    </row>
    <row r="377" customFormat="false" ht="15" hidden="false" customHeight="false" outlineLevel="0" collapsed="false">
      <c r="A377" s="106" t="s">
        <v>7144</v>
      </c>
      <c r="B377" s="106" t="s">
        <v>6792</v>
      </c>
      <c r="C377" s="106" t="s">
        <v>185</v>
      </c>
      <c r="D377" s="107"/>
      <c r="E377" s="107" t="n">
        <v>1426.8</v>
      </c>
      <c r="F377" s="130" t="n">
        <v>0.55</v>
      </c>
      <c r="G377" s="106" t="s">
        <v>1411</v>
      </c>
      <c r="H377" s="106" t="n">
        <v>0.5</v>
      </c>
      <c r="I377" s="106" t="s">
        <v>6793</v>
      </c>
      <c r="J377" s="106" t="s">
        <v>6794</v>
      </c>
      <c r="K377" s="106" t="s">
        <v>6793</v>
      </c>
      <c r="L377" s="106" t="s">
        <v>6794</v>
      </c>
      <c r="M377" s="117"/>
      <c r="N377" s="106" t="n">
        <v>0</v>
      </c>
      <c r="O377" s="106"/>
      <c r="P377" s="27" t="s">
        <v>6818</v>
      </c>
    </row>
    <row r="378" customFormat="false" ht="15" hidden="false" customHeight="false" outlineLevel="0" collapsed="false">
      <c r="A378" s="106" t="s">
        <v>7145</v>
      </c>
      <c r="B378" s="106" t="s">
        <v>6792</v>
      </c>
      <c r="C378" s="106"/>
      <c r="D378" s="107"/>
      <c r="E378" s="107" t="n">
        <v>1426.8</v>
      </c>
      <c r="F378" s="130" t="n">
        <v>0.5</v>
      </c>
      <c r="G378" s="106" t="s">
        <v>1411</v>
      </c>
      <c r="H378" s="106" t="n">
        <v>0.5</v>
      </c>
      <c r="I378" s="106" t="s">
        <v>6793</v>
      </c>
      <c r="J378" s="106" t="s">
        <v>6794</v>
      </c>
      <c r="K378" s="106" t="s">
        <v>6793</v>
      </c>
      <c r="L378" s="106" t="s">
        <v>6794</v>
      </c>
      <c r="M378" s="117"/>
      <c r="N378" s="106" t="n">
        <v>0</v>
      </c>
      <c r="O378" s="106"/>
      <c r="P378" s="27" t="s">
        <v>6818</v>
      </c>
    </row>
    <row r="379" customFormat="false" ht="15" hidden="false" customHeight="false" outlineLevel="0" collapsed="false">
      <c r="A379" s="106" t="s">
        <v>7146</v>
      </c>
      <c r="B379" s="106" t="s">
        <v>6792</v>
      </c>
      <c r="C379" s="106" t="s">
        <v>560</v>
      </c>
      <c r="D379" s="107"/>
      <c r="E379" s="107" t="n">
        <v>1426.8</v>
      </c>
      <c r="F379" s="130" t="n">
        <v>0.45</v>
      </c>
      <c r="G379" s="106" t="s">
        <v>1411</v>
      </c>
      <c r="H379" s="106" t="n">
        <v>0</v>
      </c>
      <c r="I379" s="106" t="s">
        <v>6794</v>
      </c>
      <c r="J379" s="106" t="s">
        <v>6794</v>
      </c>
      <c r="K379" s="106" t="s">
        <v>6793</v>
      </c>
      <c r="L379" s="106" t="s">
        <v>6793</v>
      </c>
      <c r="M379" s="117"/>
      <c r="N379" s="106" t="n">
        <v>0</v>
      </c>
      <c r="O379" s="106"/>
      <c r="P379" s="27" t="s">
        <v>6805</v>
      </c>
    </row>
    <row r="380" customFormat="false" ht="15" hidden="false" customHeight="false" outlineLevel="0" collapsed="false">
      <c r="A380" s="106" t="s">
        <v>7147</v>
      </c>
      <c r="B380" s="106" t="s">
        <v>6792</v>
      </c>
      <c r="C380" s="106" t="s">
        <v>696</v>
      </c>
      <c r="D380" s="107"/>
      <c r="E380" s="107" t="n">
        <v>1405.71428571429</v>
      </c>
      <c r="F380" s="130" t="n">
        <v>0.45</v>
      </c>
      <c r="G380" s="106" t="s">
        <v>1411</v>
      </c>
      <c r="H380" s="106" t="n">
        <v>0</v>
      </c>
      <c r="I380" s="106" t="s">
        <v>6794</v>
      </c>
      <c r="J380" s="106" t="s">
        <v>6794</v>
      </c>
      <c r="K380" s="106" t="s">
        <v>6793</v>
      </c>
      <c r="L380" s="106" t="s">
        <v>6793</v>
      </c>
      <c r="M380" s="117"/>
      <c r="N380" s="106" t="n">
        <v>0</v>
      </c>
      <c r="O380" s="106"/>
      <c r="P380" s="27" t="s">
        <v>6805</v>
      </c>
    </row>
    <row r="381" customFormat="false" ht="15" hidden="false" customHeight="false" outlineLevel="0" collapsed="false">
      <c r="A381" s="106" t="s">
        <v>7148</v>
      </c>
      <c r="B381" s="106" t="s">
        <v>6792</v>
      </c>
      <c r="C381" s="106"/>
      <c r="D381" s="107"/>
      <c r="E381" s="107" t="n">
        <v>1395.17142857143</v>
      </c>
      <c r="F381" s="130" t="n">
        <v>0.38</v>
      </c>
      <c r="G381" s="106" t="s">
        <v>1411</v>
      </c>
      <c r="H381" s="106" t="n">
        <v>0</v>
      </c>
      <c r="I381" s="106" t="s">
        <v>6799</v>
      </c>
      <c r="J381" s="106" t="s">
        <v>6794</v>
      </c>
      <c r="K381" s="106" t="s">
        <v>6793</v>
      </c>
      <c r="L381" s="106" t="s">
        <v>6794</v>
      </c>
      <c r="M381" s="117"/>
      <c r="N381" s="106" t="n">
        <v>0</v>
      </c>
      <c r="O381" s="106"/>
      <c r="P381" s="27" t="s">
        <v>6818</v>
      </c>
    </row>
    <row r="382" customFormat="false" ht="22.35" hidden="false" customHeight="false" outlineLevel="0" collapsed="false">
      <c r="A382" s="106" t="s">
        <v>4363</v>
      </c>
      <c r="B382" s="106" t="s">
        <v>7101</v>
      </c>
      <c r="C382" s="106"/>
      <c r="D382" s="107" t="n">
        <v>1109</v>
      </c>
      <c r="E382" s="107" t="n">
        <v>1374.08571428571</v>
      </c>
      <c r="F382" s="130" t="n">
        <v>0.82</v>
      </c>
      <c r="G382" s="106" t="s">
        <v>1411</v>
      </c>
      <c r="H382" s="106" t="n">
        <v>3</v>
      </c>
      <c r="I382" s="106" t="s">
        <v>6799</v>
      </c>
      <c r="J382" s="106" t="s">
        <v>6793</v>
      </c>
      <c r="K382" s="106" t="s">
        <v>6793</v>
      </c>
      <c r="L382" s="106" t="s">
        <v>6793</v>
      </c>
      <c r="M382" s="117" t="n">
        <v>0.0137897469175859</v>
      </c>
      <c r="N382" s="106" t="n">
        <v>12</v>
      </c>
      <c r="O382" s="106" t="n">
        <v>0</v>
      </c>
      <c r="P382" s="27" t="s">
        <v>7149</v>
      </c>
    </row>
    <row r="383" customFormat="false" ht="15" hidden="false" customHeight="false" outlineLevel="0" collapsed="false">
      <c r="A383" s="106" t="s">
        <v>7150</v>
      </c>
      <c r="B383" s="106" t="s">
        <v>6792</v>
      </c>
      <c r="C383" s="106" t="s">
        <v>560</v>
      </c>
      <c r="D383" s="107"/>
      <c r="E383" s="107" t="n">
        <v>1356.51428571429</v>
      </c>
      <c r="F383" s="130" t="n">
        <v>0.45</v>
      </c>
      <c r="G383" s="106" t="s">
        <v>1411</v>
      </c>
      <c r="H383" s="106" t="n">
        <v>0</v>
      </c>
      <c r="I383" s="106" t="s">
        <v>6794</v>
      </c>
      <c r="J383" s="106" t="s">
        <v>6794</v>
      </c>
      <c r="K383" s="106" t="s">
        <v>6793</v>
      </c>
      <c r="L383" s="106" t="s">
        <v>6793</v>
      </c>
      <c r="M383" s="117"/>
      <c r="N383" s="106" t="n">
        <v>0</v>
      </c>
      <c r="O383" s="106"/>
      <c r="P383" s="27" t="s">
        <v>6805</v>
      </c>
    </row>
    <row r="384" customFormat="false" ht="15" hidden="false" customHeight="false" outlineLevel="0" collapsed="false">
      <c r="A384" s="106" t="s">
        <v>7151</v>
      </c>
      <c r="B384" s="106" t="s">
        <v>6792</v>
      </c>
      <c r="C384" s="106" t="s">
        <v>185</v>
      </c>
      <c r="D384" s="107"/>
      <c r="E384" s="107" t="n">
        <v>1356.51428571429</v>
      </c>
      <c r="F384" s="130" t="n">
        <v>0.55</v>
      </c>
      <c r="G384" s="106" t="s">
        <v>1411</v>
      </c>
      <c r="H384" s="106" t="n">
        <v>0.5</v>
      </c>
      <c r="I384" s="106" t="s">
        <v>6793</v>
      </c>
      <c r="J384" s="106" t="s">
        <v>6794</v>
      </c>
      <c r="K384" s="106" t="s">
        <v>6793</v>
      </c>
      <c r="L384" s="106" t="s">
        <v>6794</v>
      </c>
      <c r="M384" s="117"/>
      <c r="N384" s="106" t="n">
        <v>0</v>
      </c>
      <c r="O384" s="106"/>
      <c r="P384" s="27" t="s">
        <v>6818</v>
      </c>
    </row>
    <row r="385" customFormat="false" ht="15" hidden="false" customHeight="false" outlineLevel="0" collapsed="false">
      <c r="A385" s="106" t="s">
        <v>7152</v>
      </c>
      <c r="B385" s="106" t="s">
        <v>6792</v>
      </c>
      <c r="C385" s="106"/>
      <c r="D385" s="107"/>
      <c r="E385" s="107" t="n">
        <v>1328.4</v>
      </c>
      <c r="F385" s="130" t="n">
        <v>0.5</v>
      </c>
      <c r="G385" s="106" t="s">
        <v>1411</v>
      </c>
      <c r="H385" s="106" t="n">
        <v>0</v>
      </c>
      <c r="I385" s="106" t="s">
        <v>6793</v>
      </c>
      <c r="J385" s="106" t="s">
        <v>6794</v>
      </c>
      <c r="K385" s="106" t="s">
        <v>6793</v>
      </c>
      <c r="L385" s="106" t="s">
        <v>6794</v>
      </c>
      <c r="M385" s="117"/>
      <c r="N385" s="106" t="n">
        <v>0</v>
      </c>
      <c r="O385" s="106"/>
      <c r="P385" s="27" t="s">
        <v>6818</v>
      </c>
    </row>
    <row r="386" customFormat="false" ht="15" hidden="false" customHeight="false" outlineLevel="0" collapsed="false">
      <c r="A386" s="106" t="s">
        <v>7153</v>
      </c>
      <c r="B386" s="106" t="s">
        <v>6792</v>
      </c>
      <c r="C386" s="106"/>
      <c r="D386" s="107"/>
      <c r="E386" s="107" t="n">
        <v>1307.31428571429</v>
      </c>
      <c r="F386" s="130" t="n">
        <v>0.5</v>
      </c>
      <c r="G386" s="106" t="s">
        <v>1411</v>
      </c>
      <c r="H386" s="106" t="n">
        <v>0</v>
      </c>
      <c r="I386" s="106" t="s">
        <v>6793</v>
      </c>
      <c r="J386" s="106" t="s">
        <v>6794</v>
      </c>
      <c r="K386" s="106" t="s">
        <v>6793</v>
      </c>
      <c r="L386" s="106" t="s">
        <v>6794</v>
      </c>
      <c r="M386" s="117"/>
      <c r="N386" s="106" t="n">
        <v>0</v>
      </c>
      <c r="O386" s="106"/>
      <c r="P386" s="27" t="s">
        <v>6818</v>
      </c>
    </row>
    <row r="387" customFormat="false" ht="15" hidden="false" customHeight="false" outlineLevel="0" collapsed="false">
      <c r="A387" s="106" t="s">
        <v>7154</v>
      </c>
      <c r="B387" s="106" t="s">
        <v>6792</v>
      </c>
      <c r="C387" s="106"/>
      <c r="D387" s="107"/>
      <c r="E387" s="107" t="n">
        <v>1307.31428571429</v>
      </c>
      <c r="F387" s="130" t="n">
        <v>0.5</v>
      </c>
      <c r="G387" s="106" t="s">
        <v>1411</v>
      </c>
      <c r="H387" s="106" t="n">
        <v>0</v>
      </c>
      <c r="I387" s="106" t="s">
        <v>6793</v>
      </c>
      <c r="J387" s="106" t="s">
        <v>6794</v>
      </c>
      <c r="K387" s="106" t="s">
        <v>6793</v>
      </c>
      <c r="L387" s="106" t="s">
        <v>6794</v>
      </c>
      <c r="M387" s="117"/>
      <c r="N387" s="106" t="n">
        <v>0</v>
      </c>
      <c r="O387" s="106"/>
      <c r="P387" s="27" t="s">
        <v>6818</v>
      </c>
    </row>
    <row r="388" customFormat="false" ht="15" hidden="false" customHeight="false" outlineLevel="0" collapsed="false">
      <c r="A388" s="106" t="s">
        <v>7155</v>
      </c>
      <c r="B388" s="106" t="s">
        <v>6792</v>
      </c>
      <c r="C388" s="106"/>
      <c r="D388" s="107"/>
      <c r="E388" s="107" t="n">
        <v>1296.77142857143</v>
      </c>
      <c r="F388" s="130" t="n">
        <v>0.5</v>
      </c>
      <c r="G388" s="106" t="s">
        <v>1411</v>
      </c>
      <c r="H388" s="106" t="n">
        <v>0</v>
      </c>
      <c r="I388" s="106" t="s">
        <v>6793</v>
      </c>
      <c r="J388" s="106" t="s">
        <v>6794</v>
      </c>
      <c r="K388" s="106" t="s">
        <v>6793</v>
      </c>
      <c r="L388" s="106" t="s">
        <v>6794</v>
      </c>
      <c r="M388" s="117"/>
      <c r="N388" s="106" t="n">
        <v>0</v>
      </c>
      <c r="O388" s="106"/>
      <c r="P388" s="27" t="s">
        <v>6818</v>
      </c>
    </row>
    <row r="389" customFormat="false" ht="15" hidden="false" customHeight="false" outlineLevel="0" collapsed="false">
      <c r="A389" s="106" t="s">
        <v>7156</v>
      </c>
      <c r="B389" s="106" t="s">
        <v>6792</v>
      </c>
      <c r="C389" s="106" t="s">
        <v>185</v>
      </c>
      <c r="D389" s="107"/>
      <c r="E389" s="107" t="n">
        <v>1296.77142857143</v>
      </c>
      <c r="F389" s="130" t="n">
        <v>0.45</v>
      </c>
      <c r="G389" s="106" t="s">
        <v>1411</v>
      </c>
      <c r="H389" s="106" t="n">
        <v>0</v>
      </c>
      <c r="I389" s="106" t="s">
        <v>6794</v>
      </c>
      <c r="J389" s="106" t="s">
        <v>6794</v>
      </c>
      <c r="K389" s="106" t="s">
        <v>6793</v>
      </c>
      <c r="L389" s="106" t="s">
        <v>6793</v>
      </c>
      <c r="M389" s="117"/>
      <c r="N389" s="106" t="n">
        <v>0</v>
      </c>
      <c r="O389" s="106"/>
      <c r="P389" s="27" t="s">
        <v>6805</v>
      </c>
    </row>
    <row r="390" customFormat="false" ht="15" hidden="false" customHeight="false" outlineLevel="0" collapsed="false">
      <c r="A390" s="106" t="s">
        <v>7157</v>
      </c>
      <c r="B390" s="106" t="s">
        <v>6792</v>
      </c>
      <c r="C390" s="106" t="s">
        <v>560</v>
      </c>
      <c r="D390" s="107"/>
      <c r="E390" s="107" t="n">
        <v>1279.2</v>
      </c>
      <c r="F390" s="130" t="n">
        <v>0.55</v>
      </c>
      <c r="G390" s="106" t="s">
        <v>1411</v>
      </c>
      <c r="H390" s="106" t="n">
        <v>0.5</v>
      </c>
      <c r="I390" s="106" t="s">
        <v>6793</v>
      </c>
      <c r="J390" s="106" t="s">
        <v>6794</v>
      </c>
      <c r="K390" s="106" t="s">
        <v>6793</v>
      </c>
      <c r="L390" s="106" t="s">
        <v>6794</v>
      </c>
      <c r="M390" s="117"/>
      <c r="N390" s="106" t="n">
        <v>0</v>
      </c>
      <c r="O390" s="106"/>
      <c r="P390" s="27" t="s">
        <v>6818</v>
      </c>
    </row>
    <row r="391" customFormat="false" ht="15" hidden="false" customHeight="false" outlineLevel="0" collapsed="false">
      <c r="A391" s="106" t="s">
        <v>7158</v>
      </c>
      <c r="B391" s="106" t="s">
        <v>6792</v>
      </c>
      <c r="C391" s="106"/>
      <c r="D391" s="107"/>
      <c r="E391" s="107" t="n">
        <v>1279.2</v>
      </c>
      <c r="F391" s="130" t="n">
        <v>0.4</v>
      </c>
      <c r="G391" s="106" t="s">
        <v>1411</v>
      </c>
      <c r="H391" s="106" t="n">
        <v>0</v>
      </c>
      <c r="I391" s="106" t="s">
        <v>6794</v>
      </c>
      <c r="J391" s="106" t="s">
        <v>6794</v>
      </c>
      <c r="K391" s="106" t="s">
        <v>6793</v>
      </c>
      <c r="L391" s="106" t="s">
        <v>6793</v>
      </c>
      <c r="M391" s="117"/>
      <c r="N391" s="106" t="n">
        <v>0</v>
      </c>
      <c r="O391" s="106"/>
      <c r="P391" s="27" t="s">
        <v>6805</v>
      </c>
    </row>
    <row r="392" customFormat="false" ht="15" hidden="false" customHeight="false" outlineLevel="0" collapsed="false">
      <c r="A392" s="106" t="s">
        <v>7159</v>
      </c>
      <c r="B392" s="106" t="s">
        <v>6792</v>
      </c>
      <c r="C392" s="106"/>
      <c r="D392" s="107" t="n">
        <v>1023</v>
      </c>
      <c r="E392" s="107" t="n">
        <v>1275.68571428571</v>
      </c>
      <c r="F392" s="130" t="n">
        <v>0.58</v>
      </c>
      <c r="G392" s="106" t="s">
        <v>1411</v>
      </c>
      <c r="H392" s="106" t="n">
        <v>0.5</v>
      </c>
      <c r="I392" s="106" t="s">
        <v>6793</v>
      </c>
      <c r="J392" s="106" t="s">
        <v>6794</v>
      </c>
      <c r="K392" s="106" t="s">
        <v>6799</v>
      </c>
      <c r="L392" s="106" t="s">
        <v>6793</v>
      </c>
      <c r="M392" s="117"/>
      <c r="N392" s="106" t="n">
        <v>0</v>
      </c>
      <c r="O392" s="106"/>
      <c r="P392" s="27" t="s">
        <v>6795</v>
      </c>
    </row>
    <row r="393" customFormat="false" ht="15" hidden="false" customHeight="false" outlineLevel="0" collapsed="false">
      <c r="A393" s="106" t="s">
        <v>7160</v>
      </c>
      <c r="B393" s="106" t="s">
        <v>6792</v>
      </c>
      <c r="C393" s="106" t="s">
        <v>560</v>
      </c>
      <c r="D393" s="107"/>
      <c r="E393" s="107" t="n">
        <v>1258.11428571429</v>
      </c>
      <c r="F393" s="130" t="n">
        <v>0.45</v>
      </c>
      <c r="G393" s="106" t="s">
        <v>1411</v>
      </c>
      <c r="H393" s="106" t="n">
        <v>0</v>
      </c>
      <c r="I393" s="106" t="s">
        <v>6794</v>
      </c>
      <c r="J393" s="106" t="s">
        <v>6794</v>
      </c>
      <c r="K393" s="106" t="s">
        <v>6793</v>
      </c>
      <c r="L393" s="106" t="s">
        <v>6793</v>
      </c>
      <c r="M393" s="117"/>
      <c r="N393" s="106" t="n">
        <v>0</v>
      </c>
      <c r="O393" s="106"/>
      <c r="P393" s="27" t="s">
        <v>6805</v>
      </c>
    </row>
    <row r="394" customFormat="false" ht="15" hidden="false" customHeight="false" outlineLevel="0" collapsed="false">
      <c r="A394" s="106" t="s">
        <v>7161</v>
      </c>
      <c r="B394" s="106" t="s">
        <v>6792</v>
      </c>
      <c r="C394" s="106" t="s">
        <v>185</v>
      </c>
      <c r="D394" s="107"/>
      <c r="E394" s="107" t="n">
        <v>1258.11428571429</v>
      </c>
      <c r="F394" s="130" t="n">
        <v>0.55</v>
      </c>
      <c r="G394" s="106" t="s">
        <v>1411</v>
      </c>
      <c r="H394" s="106" t="n">
        <v>0</v>
      </c>
      <c r="I394" s="106" t="s">
        <v>6793</v>
      </c>
      <c r="J394" s="106" t="s">
        <v>6794</v>
      </c>
      <c r="K394" s="106" t="s">
        <v>6793</v>
      </c>
      <c r="L394" s="106" t="s">
        <v>6794</v>
      </c>
      <c r="M394" s="117"/>
      <c r="N394" s="106" t="n">
        <v>0</v>
      </c>
      <c r="O394" s="106"/>
      <c r="P394" s="27" t="s">
        <v>6818</v>
      </c>
    </row>
    <row r="395" customFormat="false" ht="15" hidden="false" customHeight="false" outlineLevel="0" collapsed="false">
      <c r="A395" s="106" t="s">
        <v>7162</v>
      </c>
      <c r="B395" s="106" t="s">
        <v>6792</v>
      </c>
      <c r="C395" s="106" t="s">
        <v>696</v>
      </c>
      <c r="D395" s="107"/>
      <c r="E395" s="107" t="n">
        <v>1247.57142857143</v>
      </c>
      <c r="F395" s="130" t="n">
        <v>0.45</v>
      </c>
      <c r="G395" s="106" t="s">
        <v>1411</v>
      </c>
      <c r="H395" s="106" t="n">
        <v>0</v>
      </c>
      <c r="I395" s="106" t="s">
        <v>6794</v>
      </c>
      <c r="J395" s="106" t="s">
        <v>6794</v>
      </c>
      <c r="K395" s="106" t="s">
        <v>6793</v>
      </c>
      <c r="L395" s="106" t="s">
        <v>6793</v>
      </c>
      <c r="M395" s="117"/>
      <c r="N395" s="106" t="n">
        <v>0</v>
      </c>
      <c r="O395" s="106"/>
      <c r="P395" s="27" t="s">
        <v>6805</v>
      </c>
    </row>
    <row r="396" customFormat="false" ht="15" hidden="false" customHeight="false" outlineLevel="0" collapsed="false">
      <c r="A396" s="106" t="s">
        <v>7163</v>
      </c>
      <c r="B396" s="106" t="s">
        <v>6792</v>
      </c>
      <c r="C396" s="106" t="s">
        <v>560</v>
      </c>
      <c r="D396" s="107"/>
      <c r="E396" s="107" t="n">
        <v>1247.57142857143</v>
      </c>
      <c r="F396" s="130" t="n">
        <v>0.45</v>
      </c>
      <c r="G396" s="106" t="s">
        <v>1411</v>
      </c>
      <c r="H396" s="106" t="n">
        <v>0</v>
      </c>
      <c r="I396" s="106" t="s">
        <v>6794</v>
      </c>
      <c r="J396" s="106" t="s">
        <v>6794</v>
      </c>
      <c r="K396" s="106" t="s">
        <v>6793</v>
      </c>
      <c r="L396" s="106" t="s">
        <v>6793</v>
      </c>
      <c r="M396" s="117"/>
      <c r="N396" s="106" t="n">
        <v>0</v>
      </c>
      <c r="O396" s="106"/>
      <c r="P396" s="27" t="s">
        <v>6805</v>
      </c>
    </row>
    <row r="397" customFormat="false" ht="15" hidden="false" customHeight="false" outlineLevel="0" collapsed="false">
      <c r="A397" s="106" t="s">
        <v>7164</v>
      </c>
      <c r="B397" s="106" t="s">
        <v>6792</v>
      </c>
      <c r="C397" s="106"/>
      <c r="D397" s="107"/>
      <c r="E397" s="107" t="n">
        <v>1237.02857142857</v>
      </c>
      <c r="F397" s="130" t="n">
        <v>0.5</v>
      </c>
      <c r="G397" s="106" t="s">
        <v>1411</v>
      </c>
      <c r="H397" s="106" t="n">
        <v>0</v>
      </c>
      <c r="I397" s="106" t="s">
        <v>6793</v>
      </c>
      <c r="J397" s="106" t="s">
        <v>6794</v>
      </c>
      <c r="K397" s="106" t="s">
        <v>6793</v>
      </c>
      <c r="L397" s="106" t="s">
        <v>6794</v>
      </c>
      <c r="M397" s="117"/>
      <c r="N397" s="106" t="n">
        <v>0</v>
      </c>
      <c r="O397" s="106"/>
      <c r="P397" s="27" t="s">
        <v>6818</v>
      </c>
    </row>
    <row r="398" customFormat="false" ht="15" hidden="false" customHeight="false" outlineLevel="0" collapsed="false">
      <c r="A398" s="106" t="s">
        <v>5313</v>
      </c>
      <c r="B398" s="106" t="s">
        <v>7082</v>
      </c>
      <c r="C398" s="106"/>
      <c r="D398" s="107" t="n">
        <v>1735</v>
      </c>
      <c r="E398" s="107" t="n">
        <v>1237.02857142857</v>
      </c>
      <c r="F398" s="130" t="n">
        <v>0.95</v>
      </c>
      <c r="G398" s="106" t="s">
        <v>1411</v>
      </c>
      <c r="H398" s="106" t="n">
        <v>2</v>
      </c>
      <c r="I398" s="106" t="s">
        <v>6793</v>
      </c>
      <c r="J398" s="106" t="s">
        <v>6793</v>
      </c>
      <c r="K398" s="106" t="s">
        <v>6793</v>
      </c>
      <c r="L398" s="106" t="s">
        <v>6793</v>
      </c>
      <c r="M398" s="117"/>
      <c r="N398" s="106" t="n">
        <v>5</v>
      </c>
      <c r="O398" s="106" t="n">
        <v>0</v>
      </c>
      <c r="P398" s="27" t="s">
        <v>7083</v>
      </c>
    </row>
    <row r="399" customFormat="false" ht="15" hidden="false" customHeight="false" outlineLevel="0" collapsed="false">
      <c r="A399" s="106" t="s">
        <v>7165</v>
      </c>
      <c r="B399" s="106" t="s">
        <v>6792</v>
      </c>
      <c r="C399" s="106" t="s">
        <v>479</v>
      </c>
      <c r="D399" s="107"/>
      <c r="E399" s="107" t="n">
        <v>1230</v>
      </c>
      <c r="F399" s="130" t="n">
        <v>0.45</v>
      </c>
      <c r="G399" s="106" t="s">
        <v>1411</v>
      </c>
      <c r="H399" s="106" t="n">
        <v>0</v>
      </c>
      <c r="I399" s="106" t="s">
        <v>6794</v>
      </c>
      <c r="J399" s="106" t="s">
        <v>6794</v>
      </c>
      <c r="K399" s="106" t="s">
        <v>6793</v>
      </c>
      <c r="L399" s="106" t="s">
        <v>6793</v>
      </c>
      <c r="M399" s="117"/>
      <c r="N399" s="106" t="n">
        <v>0</v>
      </c>
      <c r="O399" s="106"/>
      <c r="P399" s="27" t="s">
        <v>6805</v>
      </c>
    </row>
    <row r="400" customFormat="false" ht="15" hidden="false" customHeight="false" outlineLevel="0" collapsed="false">
      <c r="A400" s="106" t="s">
        <v>7166</v>
      </c>
      <c r="B400" s="106" t="s">
        <v>6792</v>
      </c>
      <c r="C400" s="106"/>
      <c r="D400" s="107"/>
      <c r="E400" s="107" t="n">
        <v>1230</v>
      </c>
      <c r="F400" s="130" t="n">
        <v>0.5</v>
      </c>
      <c r="G400" s="106" t="s">
        <v>1411</v>
      </c>
      <c r="H400" s="106" t="n">
        <v>0</v>
      </c>
      <c r="I400" s="106" t="s">
        <v>6793</v>
      </c>
      <c r="J400" s="106" t="s">
        <v>6794</v>
      </c>
      <c r="K400" s="106" t="s">
        <v>6793</v>
      </c>
      <c r="L400" s="106" t="s">
        <v>6794</v>
      </c>
      <c r="M400" s="117"/>
      <c r="N400" s="106" t="n">
        <v>0</v>
      </c>
      <c r="O400" s="106"/>
      <c r="P400" s="27" t="s">
        <v>6818</v>
      </c>
    </row>
    <row r="401" customFormat="false" ht="15" hidden="false" customHeight="false" outlineLevel="0" collapsed="false">
      <c r="A401" s="106" t="s">
        <v>7167</v>
      </c>
      <c r="B401" s="106" t="s">
        <v>6792</v>
      </c>
      <c r="C401" s="106"/>
      <c r="D401" s="107"/>
      <c r="E401" s="107" t="n">
        <v>1230</v>
      </c>
      <c r="F401" s="130" t="n">
        <v>0.4</v>
      </c>
      <c r="G401" s="106" t="s">
        <v>1411</v>
      </c>
      <c r="H401" s="106" t="n">
        <v>0</v>
      </c>
      <c r="I401" s="106" t="s">
        <v>6794</v>
      </c>
      <c r="J401" s="106" t="s">
        <v>6794</v>
      </c>
      <c r="K401" s="106" t="s">
        <v>6793</v>
      </c>
      <c r="L401" s="106" t="s">
        <v>6793</v>
      </c>
      <c r="M401" s="117"/>
      <c r="N401" s="106" t="n">
        <v>0</v>
      </c>
      <c r="O401" s="106"/>
      <c r="P401" s="27" t="s">
        <v>6805</v>
      </c>
    </row>
    <row r="402" customFormat="false" ht="15" hidden="false" customHeight="false" outlineLevel="0" collapsed="false">
      <c r="A402" s="106" t="s">
        <v>7168</v>
      </c>
      <c r="B402" s="106" t="s">
        <v>6792</v>
      </c>
      <c r="C402" s="106"/>
      <c r="D402" s="107"/>
      <c r="E402" s="107" t="n">
        <v>1230</v>
      </c>
      <c r="F402" s="130" t="n">
        <v>0.38</v>
      </c>
      <c r="G402" s="106" t="s">
        <v>1411</v>
      </c>
      <c r="H402" s="106" t="n">
        <v>0</v>
      </c>
      <c r="I402" s="106" t="s">
        <v>6799</v>
      </c>
      <c r="J402" s="106" t="s">
        <v>6794</v>
      </c>
      <c r="K402" s="106" t="s">
        <v>6793</v>
      </c>
      <c r="L402" s="106" t="s">
        <v>6794</v>
      </c>
      <c r="M402" s="117"/>
      <c r="N402" s="106" t="n">
        <v>0</v>
      </c>
      <c r="O402" s="106"/>
      <c r="P402" s="27" t="s">
        <v>6818</v>
      </c>
    </row>
    <row r="403" customFormat="false" ht="15" hidden="false" customHeight="false" outlineLevel="0" collapsed="false">
      <c r="A403" s="106" t="s">
        <v>7169</v>
      </c>
      <c r="B403" s="106" t="s">
        <v>6792</v>
      </c>
      <c r="C403" s="106" t="s">
        <v>479</v>
      </c>
      <c r="D403" s="107"/>
      <c r="E403" s="107" t="n">
        <v>1219.45714285714</v>
      </c>
      <c r="F403" s="130" t="n">
        <v>0.45</v>
      </c>
      <c r="G403" s="106" t="s">
        <v>1411</v>
      </c>
      <c r="H403" s="106" t="n">
        <v>0</v>
      </c>
      <c r="I403" s="106" t="s">
        <v>6794</v>
      </c>
      <c r="J403" s="106" t="s">
        <v>6794</v>
      </c>
      <c r="K403" s="106" t="s">
        <v>6793</v>
      </c>
      <c r="L403" s="106" t="s">
        <v>6793</v>
      </c>
      <c r="M403" s="117"/>
      <c r="N403" s="106" t="n">
        <v>0</v>
      </c>
      <c r="O403" s="106"/>
      <c r="P403" s="27" t="s">
        <v>6805</v>
      </c>
    </row>
    <row r="404" customFormat="false" ht="15" hidden="false" customHeight="false" outlineLevel="0" collapsed="false">
      <c r="A404" s="106" t="s">
        <v>7170</v>
      </c>
      <c r="B404" s="106" t="s">
        <v>6792</v>
      </c>
      <c r="C404" s="106"/>
      <c r="D404" s="107"/>
      <c r="E404" s="107" t="n">
        <v>1208.91428571429</v>
      </c>
      <c r="F404" s="130" t="n">
        <v>0.38</v>
      </c>
      <c r="G404" s="106" t="s">
        <v>1411</v>
      </c>
      <c r="H404" s="106" t="n">
        <v>0</v>
      </c>
      <c r="I404" s="106" t="s">
        <v>6799</v>
      </c>
      <c r="J404" s="106" t="s">
        <v>6794</v>
      </c>
      <c r="K404" s="106" t="s">
        <v>6793</v>
      </c>
      <c r="L404" s="106" t="s">
        <v>6794</v>
      </c>
      <c r="M404" s="117"/>
      <c r="N404" s="106" t="n">
        <v>0</v>
      </c>
      <c r="O404" s="106"/>
      <c r="P404" s="27" t="s">
        <v>6818</v>
      </c>
    </row>
    <row r="405" customFormat="false" ht="15" hidden="false" customHeight="false" outlineLevel="0" collapsed="false">
      <c r="A405" s="106" t="s">
        <v>7171</v>
      </c>
      <c r="B405" s="106" t="s">
        <v>6792</v>
      </c>
      <c r="C405" s="106" t="s">
        <v>560</v>
      </c>
      <c r="D405" s="107" t="n">
        <v>1213</v>
      </c>
      <c r="E405" s="107" t="n">
        <v>1208.91428571429</v>
      </c>
      <c r="F405" s="130" t="n">
        <v>0.45</v>
      </c>
      <c r="G405" s="106" t="s">
        <v>1411</v>
      </c>
      <c r="H405" s="106" t="n">
        <v>2</v>
      </c>
      <c r="I405" s="106" t="s">
        <v>6794</v>
      </c>
      <c r="J405" s="106" t="s">
        <v>6794</v>
      </c>
      <c r="K405" s="106" t="s">
        <v>6793</v>
      </c>
      <c r="L405" s="106" t="s">
        <v>6793</v>
      </c>
      <c r="M405" s="117" t="n">
        <v>0.1015625</v>
      </c>
      <c r="N405" s="106" t="n">
        <v>0</v>
      </c>
      <c r="O405" s="106"/>
      <c r="P405" s="27" t="s">
        <v>6805</v>
      </c>
    </row>
    <row r="406" customFormat="false" ht="15" hidden="false" customHeight="false" outlineLevel="0" collapsed="false">
      <c r="A406" s="106" t="s">
        <v>7172</v>
      </c>
      <c r="B406" s="106" t="s">
        <v>6792</v>
      </c>
      <c r="C406" s="106"/>
      <c r="D406" s="107"/>
      <c r="E406" s="107" t="n">
        <v>1180.8</v>
      </c>
      <c r="F406" s="130" t="n">
        <v>0.38</v>
      </c>
      <c r="G406" s="106" t="s">
        <v>1411</v>
      </c>
      <c r="H406" s="106" t="n">
        <v>0</v>
      </c>
      <c r="I406" s="106" t="s">
        <v>6799</v>
      </c>
      <c r="J406" s="106" t="s">
        <v>6794</v>
      </c>
      <c r="K406" s="106" t="s">
        <v>6793</v>
      </c>
      <c r="L406" s="106" t="s">
        <v>6794</v>
      </c>
      <c r="M406" s="117"/>
      <c r="N406" s="106" t="n">
        <v>0</v>
      </c>
      <c r="O406" s="106"/>
      <c r="P406" s="27" t="s">
        <v>6818</v>
      </c>
    </row>
    <row r="407" customFormat="false" ht="15" hidden="false" customHeight="false" outlineLevel="0" collapsed="false">
      <c r="A407" s="106" t="s">
        <v>7173</v>
      </c>
      <c r="B407" s="106" t="s">
        <v>6792</v>
      </c>
      <c r="C407" s="106" t="s">
        <v>185</v>
      </c>
      <c r="D407" s="107"/>
      <c r="E407" s="107" t="n">
        <v>1180.8</v>
      </c>
      <c r="F407" s="130" t="n">
        <v>0.45</v>
      </c>
      <c r="G407" s="106" t="s">
        <v>1411</v>
      </c>
      <c r="H407" s="106" t="n">
        <v>0</v>
      </c>
      <c r="I407" s="106" t="s">
        <v>6794</v>
      </c>
      <c r="J407" s="106" t="s">
        <v>6794</v>
      </c>
      <c r="K407" s="106" t="s">
        <v>6793</v>
      </c>
      <c r="L407" s="106" t="s">
        <v>6793</v>
      </c>
      <c r="M407" s="117"/>
      <c r="N407" s="106" t="n">
        <v>0</v>
      </c>
      <c r="O407" s="106"/>
      <c r="P407" s="27" t="s">
        <v>6805</v>
      </c>
    </row>
    <row r="408" customFormat="false" ht="15" hidden="false" customHeight="false" outlineLevel="0" collapsed="false">
      <c r="A408" s="106" t="s">
        <v>7174</v>
      </c>
      <c r="B408" s="106" t="s">
        <v>6792</v>
      </c>
      <c r="C408" s="106" t="s">
        <v>185</v>
      </c>
      <c r="D408" s="107"/>
      <c r="E408" s="107" t="n">
        <v>1170.25714285714</v>
      </c>
      <c r="F408" s="130" t="n">
        <v>0.55</v>
      </c>
      <c r="G408" s="106" t="s">
        <v>1411</v>
      </c>
      <c r="H408" s="106" t="n">
        <v>0</v>
      </c>
      <c r="I408" s="106" t="s">
        <v>6793</v>
      </c>
      <c r="J408" s="106" t="s">
        <v>6794</v>
      </c>
      <c r="K408" s="106" t="s">
        <v>6793</v>
      </c>
      <c r="L408" s="106" t="s">
        <v>6794</v>
      </c>
      <c r="M408" s="117"/>
      <c r="N408" s="106" t="n">
        <v>0</v>
      </c>
      <c r="O408" s="106"/>
      <c r="P408" s="27" t="s">
        <v>6818</v>
      </c>
    </row>
    <row r="409" customFormat="false" ht="15" hidden="false" customHeight="false" outlineLevel="0" collapsed="false">
      <c r="A409" s="106" t="s">
        <v>7175</v>
      </c>
      <c r="B409" s="106" t="s">
        <v>6792</v>
      </c>
      <c r="C409" s="106" t="s">
        <v>185</v>
      </c>
      <c r="D409" s="107"/>
      <c r="E409" s="107" t="n">
        <v>1170.25714285714</v>
      </c>
      <c r="F409" s="130" t="n">
        <v>0.55</v>
      </c>
      <c r="G409" s="106" t="s">
        <v>1411</v>
      </c>
      <c r="H409" s="106" t="n">
        <v>0</v>
      </c>
      <c r="I409" s="106" t="s">
        <v>6793</v>
      </c>
      <c r="J409" s="106" t="s">
        <v>6794</v>
      </c>
      <c r="K409" s="106" t="s">
        <v>6793</v>
      </c>
      <c r="L409" s="106" t="s">
        <v>6794</v>
      </c>
      <c r="M409" s="117"/>
      <c r="N409" s="106" t="n">
        <v>0</v>
      </c>
      <c r="O409" s="106"/>
      <c r="P409" s="27" t="s">
        <v>6818</v>
      </c>
    </row>
    <row r="410" customFormat="false" ht="15" hidden="false" customHeight="false" outlineLevel="0" collapsed="false">
      <c r="A410" s="106" t="s">
        <v>7176</v>
      </c>
      <c r="B410" s="106" t="s">
        <v>6792</v>
      </c>
      <c r="C410" s="106" t="s">
        <v>185</v>
      </c>
      <c r="D410" s="107"/>
      <c r="E410" s="107" t="n">
        <v>1159.71428571429</v>
      </c>
      <c r="F410" s="130" t="n">
        <v>0.55</v>
      </c>
      <c r="G410" s="106" t="s">
        <v>1411</v>
      </c>
      <c r="H410" s="106" t="n">
        <v>0</v>
      </c>
      <c r="I410" s="106" t="s">
        <v>6793</v>
      </c>
      <c r="J410" s="106" t="s">
        <v>6794</v>
      </c>
      <c r="K410" s="106" t="s">
        <v>6793</v>
      </c>
      <c r="L410" s="106" t="s">
        <v>6794</v>
      </c>
      <c r="M410" s="117"/>
      <c r="N410" s="106" t="n">
        <v>0</v>
      </c>
      <c r="O410" s="106"/>
      <c r="P410" s="27" t="s">
        <v>6818</v>
      </c>
    </row>
    <row r="411" customFormat="false" ht="15" hidden="false" customHeight="false" outlineLevel="0" collapsed="false">
      <c r="A411" s="106" t="s">
        <v>7177</v>
      </c>
      <c r="B411" s="106" t="s">
        <v>6792</v>
      </c>
      <c r="C411" s="106" t="s">
        <v>560</v>
      </c>
      <c r="D411" s="107"/>
      <c r="E411" s="107" t="n">
        <v>1159.71428571429</v>
      </c>
      <c r="F411" s="130" t="n">
        <v>0.55</v>
      </c>
      <c r="G411" s="106" t="s">
        <v>1411</v>
      </c>
      <c r="H411" s="106" t="n">
        <v>0</v>
      </c>
      <c r="I411" s="106" t="s">
        <v>6793</v>
      </c>
      <c r="J411" s="106" t="s">
        <v>6794</v>
      </c>
      <c r="K411" s="106" t="s">
        <v>6793</v>
      </c>
      <c r="L411" s="106" t="s">
        <v>6794</v>
      </c>
      <c r="M411" s="117"/>
      <c r="N411" s="106" t="n">
        <v>0</v>
      </c>
      <c r="O411" s="106"/>
      <c r="P411" s="27" t="s">
        <v>6818</v>
      </c>
    </row>
    <row r="412" customFormat="false" ht="15" hidden="false" customHeight="false" outlineLevel="0" collapsed="false">
      <c r="A412" s="106" t="s">
        <v>7178</v>
      </c>
      <c r="B412" s="106" t="s">
        <v>6792</v>
      </c>
      <c r="C412" s="106" t="s">
        <v>696</v>
      </c>
      <c r="D412" s="107"/>
      <c r="E412" s="107" t="n">
        <v>1149.17142857143</v>
      </c>
      <c r="F412" s="130" t="n">
        <v>0.45</v>
      </c>
      <c r="G412" s="106" t="s">
        <v>1411</v>
      </c>
      <c r="H412" s="106" t="n">
        <v>2</v>
      </c>
      <c r="I412" s="106" t="s">
        <v>6794</v>
      </c>
      <c r="J412" s="106" t="s">
        <v>6794</v>
      </c>
      <c r="K412" s="106" t="s">
        <v>6793</v>
      </c>
      <c r="L412" s="106" t="s">
        <v>6793</v>
      </c>
      <c r="M412" s="117" t="n">
        <v>0.0941176470588235</v>
      </c>
      <c r="N412" s="106" t="n">
        <v>0</v>
      </c>
      <c r="O412" s="106"/>
      <c r="P412" s="27" t="s">
        <v>6805</v>
      </c>
    </row>
    <row r="413" customFormat="false" ht="15" hidden="false" customHeight="false" outlineLevel="0" collapsed="false">
      <c r="A413" s="106" t="s">
        <v>6177</v>
      </c>
      <c r="B413" s="106" t="s">
        <v>6792</v>
      </c>
      <c r="C413" s="106" t="s">
        <v>422</v>
      </c>
      <c r="D413" s="107"/>
      <c r="E413" s="107" t="n">
        <v>1142.14285714286</v>
      </c>
      <c r="F413" s="130" t="n">
        <v>0.45</v>
      </c>
      <c r="G413" s="106" t="s">
        <v>1411</v>
      </c>
      <c r="H413" s="106" t="n">
        <v>0</v>
      </c>
      <c r="I413" s="106" t="s">
        <v>6794</v>
      </c>
      <c r="J413" s="106" t="s">
        <v>6794</v>
      </c>
      <c r="K413" s="106" t="s">
        <v>6793</v>
      </c>
      <c r="L413" s="106" t="s">
        <v>6793</v>
      </c>
      <c r="M413" s="117"/>
      <c r="N413" s="106" t="n">
        <v>1</v>
      </c>
      <c r="O413" s="106" t="n">
        <v>0</v>
      </c>
      <c r="P413" s="27" t="s">
        <v>6805</v>
      </c>
    </row>
    <row r="414" customFormat="false" ht="15" hidden="false" customHeight="false" outlineLevel="0" collapsed="false">
      <c r="A414" s="106" t="s">
        <v>7179</v>
      </c>
      <c r="B414" s="106" t="s">
        <v>6792</v>
      </c>
      <c r="C414" s="106"/>
      <c r="D414" s="107"/>
      <c r="E414" s="107" t="n">
        <v>1131.6</v>
      </c>
      <c r="F414" s="130" t="n">
        <v>0.5</v>
      </c>
      <c r="G414" s="106" t="s">
        <v>1411</v>
      </c>
      <c r="H414" s="106" t="n">
        <v>0</v>
      </c>
      <c r="I414" s="106" t="s">
        <v>6793</v>
      </c>
      <c r="J414" s="106" t="s">
        <v>6794</v>
      </c>
      <c r="K414" s="106" t="s">
        <v>6793</v>
      </c>
      <c r="L414" s="106" t="s">
        <v>6794</v>
      </c>
      <c r="M414" s="117"/>
      <c r="N414" s="106" t="n">
        <v>0</v>
      </c>
      <c r="O414" s="106"/>
      <c r="P414" s="27" t="s">
        <v>6818</v>
      </c>
    </row>
    <row r="415" customFormat="false" ht="15" hidden="false" customHeight="false" outlineLevel="0" collapsed="false">
      <c r="A415" s="106" t="s">
        <v>7180</v>
      </c>
      <c r="B415" s="106" t="s">
        <v>6792</v>
      </c>
      <c r="C415" s="106" t="s">
        <v>560</v>
      </c>
      <c r="D415" s="107"/>
      <c r="E415" s="107" t="n">
        <v>1121.05714285714</v>
      </c>
      <c r="F415" s="130" t="n">
        <v>0.45</v>
      </c>
      <c r="G415" s="106" t="s">
        <v>1411</v>
      </c>
      <c r="H415" s="106" t="n">
        <v>0</v>
      </c>
      <c r="I415" s="106" t="s">
        <v>6794</v>
      </c>
      <c r="J415" s="106" t="s">
        <v>6794</v>
      </c>
      <c r="K415" s="106" t="s">
        <v>6793</v>
      </c>
      <c r="L415" s="106" t="s">
        <v>6793</v>
      </c>
      <c r="M415" s="117"/>
      <c r="N415" s="106" t="n">
        <v>0</v>
      </c>
      <c r="O415" s="106"/>
      <c r="P415" s="27" t="s">
        <v>6805</v>
      </c>
    </row>
    <row r="416" customFormat="false" ht="15" hidden="false" customHeight="false" outlineLevel="0" collapsed="false">
      <c r="A416" s="106" t="s">
        <v>7181</v>
      </c>
      <c r="B416" s="106" t="s">
        <v>6792</v>
      </c>
      <c r="C416" s="106"/>
      <c r="D416" s="107"/>
      <c r="E416" s="107" t="n">
        <v>1110.51428571429</v>
      </c>
      <c r="F416" s="130" t="n">
        <v>0.38</v>
      </c>
      <c r="G416" s="106" t="s">
        <v>1411</v>
      </c>
      <c r="H416" s="106" t="n">
        <v>0</v>
      </c>
      <c r="I416" s="106" t="s">
        <v>6799</v>
      </c>
      <c r="J416" s="106" t="s">
        <v>6794</v>
      </c>
      <c r="K416" s="106" t="s">
        <v>6793</v>
      </c>
      <c r="L416" s="106" t="s">
        <v>6794</v>
      </c>
      <c r="M416" s="117"/>
      <c r="N416" s="106" t="n">
        <v>0</v>
      </c>
      <c r="O416" s="106"/>
      <c r="P416" s="27" t="s">
        <v>6818</v>
      </c>
    </row>
    <row r="417" customFormat="false" ht="15" hidden="false" customHeight="false" outlineLevel="0" collapsed="false">
      <c r="A417" s="106" t="s">
        <v>7182</v>
      </c>
      <c r="B417" s="106" t="s">
        <v>6792</v>
      </c>
      <c r="C417" s="106"/>
      <c r="D417" s="107"/>
      <c r="E417" s="107" t="n">
        <v>1110.51428571429</v>
      </c>
      <c r="F417" s="130" t="n">
        <v>0.5</v>
      </c>
      <c r="G417" s="106" t="s">
        <v>1411</v>
      </c>
      <c r="H417" s="106" t="n">
        <v>0</v>
      </c>
      <c r="I417" s="106" t="s">
        <v>6793</v>
      </c>
      <c r="J417" s="106" t="s">
        <v>6794</v>
      </c>
      <c r="K417" s="106" t="s">
        <v>6793</v>
      </c>
      <c r="L417" s="106" t="s">
        <v>6794</v>
      </c>
      <c r="M417" s="117"/>
      <c r="N417" s="106" t="n">
        <v>0</v>
      </c>
      <c r="O417" s="106"/>
      <c r="P417" s="27" t="s">
        <v>6818</v>
      </c>
    </row>
    <row r="418" customFormat="false" ht="15" hidden="false" customHeight="false" outlineLevel="0" collapsed="false">
      <c r="A418" s="106" t="s">
        <v>7183</v>
      </c>
      <c r="B418" s="106" t="s">
        <v>6792</v>
      </c>
      <c r="C418" s="106"/>
      <c r="D418" s="107"/>
      <c r="E418" s="107" t="n">
        <v>1110.51428571429</v>
      </c>
      <c r="F418" s="130" t="n">
        <v>0.32</v>
      </c>
      <c r="G418" s="106" t="s">
        <v>1411</v>
      </c>
      <c r="H418" s="106" t="n">
        <v>0</v>
      </c>
      <c r="I418" s="106" t="s">
        <v>6794</v>
      </c>
      <c r="J418" s="106" t="s">
        <v>6794</v>
      </c>
      <c r="K418" s="106" t="s">
        <v>6793</v>
      </c>
      <c r="L418" s="106" t="s">
        <v>6799</v>
      </c>
      <c r="M418" s="117"/>
      <c r="N418" s="106" t="n">
        <v>0</v>
      </c>
      <c r="O418" s="106"/>
      <c r="P418" s="27" t="s">
        <v>6805</v>
      </c>
    </row>
    <row r="419" customFormat="false" ht="15" hidden="false" customHeight="false" outlineLevel="0" collapsed="false">
      <c r="A419" s="106" t="s">
        <v>7184</v>
      </c>
      <c r="B419" s="106" t="s">
        <v>6792</v>
      </c>
      <c r="C419" s="106" t="s">
        <v>185</v>
      </c>
      <c r="D419" s="107"/>
      <c r="E419" s="107" t="n">
        <v>1099.97142857143</v>
      </c>
      <c r="F419" s="130" t="n">
        <v>0.55</v>
      </c>
      <c r="G419" s="106" t="s">
        <v>1411</v>
      </c>
      <c r="H419" s="106" t="n">
        <v>0</v>
      </c>
      <c r="I419" s="106" t="s">
        <v>6793</v>
      </c>
      <c r="J419" s="106" t="s">
        <v>6794</v>
      </c>
      <c r="K419" s="106" t="s">
        <v>6793</v>
      </c>
      <c r="L419" s="106" t="s">
        <v>6794</v>
      </c>
      <c r="M419" s="117"/>
      <c r="N419" s="106" t="n">
        <v>0</v>
      </c>
      <c r="O419" s="106"/>
      <c r="P419" s="27" t="s">
        <v>6818</v>
      </c>
    </row>
    <row r="420" customFormat="false" ht="15" hidden="false" customHeight="false" outlineLevel="0" collapsed="false">
      <c r="A420" s="106" t="s">
        <v>7185</v>
      </c>
      <c r="B420" s="106" t="s">
        <v>6792</v>
      </c>
      <c r="C420" s="106" t="s">
        <v>185</v>
      </c>
      <c r="D420" s="107"/>
      <c r="E420" s="107" t="n">
        <v>1099.97142857143</v>
      </c>
      <c r="F420" s="130" t="n">
        <v>0.55</v>
      </c>
      <c r="G420" s="106" t="s">
        <v>1411</v>
      </c>
      <c r="H420" s="106" t="n">
        <v>0</v>
      </c>
      <c r="I420" s="106" t="s">
        <v>6793</v>
      </c>
      <c r="J420" s="106" t="s">
        <v>6794</v>
      </c>
      <c r="K420" s="106" t="s">
        <v>6793</v>
      </c>
      <c r="L420" s="106" t="s">
        <v>6794</v>
      </c>
      <c r="M420" s="117"/>
      <c r="N420" s="106" t="n">
        <v>0</v>
      </c>
      <c r="O420" s="106"/>
      <c r="P420" s="27" t="s">
        <v>6818</v>
      </c>
    </row>
    <row r="421" customFormat="false" ht="15" hidden="false" customHeight="false" outlineLevel="0" collapsed="false">
      <c r="A421" s="106" t="s">
        <v>7186</v>
      </c>
      <c r="B421" s="106" t="s">
        <v>6792</v>
      </c>
      <c r="C421" s="106"/>
      <c r="D421" s="107"/>
      <c r="E421" s="107" t="n">
        <v>1092.94285714286</v>
      </c>
      <c r="F421" s="130" t="n">
        <v>0.4</v>
      </c>
      <c r="G421" s="106" t="s">
        <v>1411</v>
      </c>
      <c r="H421" s="106" t="n">
        <v>0</v>
      </c>
      <c r="I421" s="106" t="s">
        <v>6794</v>
      </c>
      <c r="J421" s="106" t="s">
        <v>6794</v>
      </c>
      <c r="K421" s="106" t="s">
        <v>6793</v>
      </c>
      <c r="L421" s="106" t="s">
        <v>6793</v>
      </c>
      <c r="M421" s="117"/>
      <c r="N421" s="106" t="n">
        <v>0</v>
      </c>
      <c r="O421" s="106"/>
      <c r="P421" s="27" t="s">
        <v>6805</v>
      </c>
    </row>
    <row r="422" customFormat="false" ht="15" hidden="false" customHeight="false" outlineLevel="0" collapsed="false">
      <c r="A422" s="106" t="s">
        <v>7187</v>
      </c>
      <c r="B422" s="106" t="s">
        <v>6792</v>
      </c>
      <c r="C422" s="106"/>
      <c r="D422" s="107"/>
      <c r="E422" s="107" t="n">
        <v>1082.4</v>
      </c>
      <c r="F422" s="130" t="n">
        <v>0.38</v>
      </c>
      <c r="G422" s="106" t="s">
        <v>1411</v>
      </c>
      <c r="H422" s="106" t="n">
        <v>0</v>
      </c>
      <c r="I422" s="106" t="s">
        <v>6799</v>
      </c>
      <c r="J422" s="106" t="s">
        <v>6794</v>
      </c>
      <c r="K422" s="106" t="s">
        <v>6793</v>
      </c>
      <c r="L422" s="106" t="s">
        <v>6794</v>
      </c>
      <c r="M422" s="117"/>
      <c r="N422" s="106" t="n">
        <v>0</v>
      </c>
      <c r="O422" s="106"/>
      <c r="P422" s="27" t="s">
        <v>6818</v>
      </c>
    </row>
    <row r="423" customFormat="false" ht="15" hidden="false" customHeight="false" outlineLevel="0" collapsed="false">
      <c r="A423" s="106" t="s">
        <v>7188</v>
      </c>
      <c r="B423" s="106" t="s">
        <v>6792</v>
      </c>
      <c r="C423" s="106" t="s">
        <v>479</v>
      </c>
      <c r="D423" s="107"/>
      <c r="E423" s="107" t="n">
        <v>1071.85714285714</v>
      </c>
      <c r="F423" s="130" t="n">
        <v>0.45</v>
      </c>
      <c r="G423" s="106" t="s">
        <v>1411</v>
      </c>
      <c r="H423" s="106" t="n">
        <v>0</v>
      </c>
      <c r="I423" s="106" t="s">
        <v>6794</v>
      </c>
      <c r="J423" s="106" t="s">
        <v>6794</v>
      </c>
      <c r="K423" s="106" t="s">
        <v>6793</v>
      </c>
      <c r="L423" s="106" t="s">
        <v>6793</v>
      </c>
      <c r="M423" s="117"/>
      <c r="N423" s="106" t="n">
        <v>0</v>
      </c>
      <c r="O423" s="106"/>
      <c r="P423" s="27" t="s">
        <v>6805</v>
      </c>
    </row>
    <row r="424" customFormat="false" ht="15" hidden="false" customHeight="false" outlineLevel="0" collapsed="false">
      <c r="A424" s="106" t="s">
        <v>7189</v>
      </c>
      <c r="B424" s="106" t="s">
        <v>6792</v>
      </c>
      <c r="C424" s="106" t="s">
        <v>185</v>
      </c>
      <c r="D424" s="107"/>
      <c r="E424" s="107" t="n">
        <v>1071.85714285714</v>
      </c>
      <c r="F424" s="130" t="n">
        <v>0.55</v>
      </c>
      <c r="G424" s="106" t="s">
        <v>1411</v>
      </c>
      <c r="H424" s="106" t="n">
        <v>0</v>
      </c>
      <c r="I424" s="106" t="s">
        <v>6793</v>
      </c>
      <c r="J424" s="106" t="s">
        <v>6794</v>
      </c>
      <c r="K424" s="106" t="s">
        <v>6793</v>
      </c>
      <c r="L424" s="106" t="s">
        <v>6794</v>
      </c>
      <c r="M424" s="117"/>
      <c r="N424" s="106" t="n">
        <v>0</v>
      </c>
      <c r="O424" s="106"/>
      <c r="P424" s="27" t="s">
        <v>6818</v>
      </c>
    </row>
    <row r="425" customFormat="false" ht="15" hidden="false" customHeight="false" outlineLevel="0" collapsed="false">
      <c r="A425" s="106" t="s">
        <v>7190</v>
      </c>
      <c r="B425" s="106" t="s">
        <v>6792</v>
      </c>
      <c r="C425" s="106"/>
      <c r="D425" s="107"/>
      <c r="E425" s="107" t="n">
        <v>1071.85714285714</v>
      </c>
      <c r="F425" s="130" t="n">
        <v>0.5</v>
      </c>
      <c r="G425" s="106" t="s">
        <v>1411</v>
      </c>
      <c r="H425" s="106" t="n">
        <v>0.5</v>
      </c>
      <c r="I425" s="106" t="s">
        <v>6793</v>
      </c>
      <c r="J425" s="106" t="s">
        <v>6794</v>
      </c>
      <c r="K425" s="106" t="s">
        <v>6793</v>
      </c>
      <c r="L425" s="106" t="s">
        <v>6794</v>
      </c>
      <c r="M425" s="117"/>
      <c r="N425" s="106" t="n">
        <v>0</v>
      </c>
      <c r="O425" s="106"/>
      <c r="P425" s="27" t="s">
        <v>6818</v>
      </c>
    </row>
    <row r="426" customFormat="false" ht="15" hidden="false" customHeight="false" outlineLevel="0" collapsed="false">
      <c r="A426" s="106" t="s">
        <v>7191</v>
      </c>
      <c r="B426" s="106" t="s">
        <v>6792</v>
      </c>
      <c r="C426" s="106"/>
      <c r="D426" s="107"/>
      <c r="E426" s="107" t="n">
        <v>1050.77142857143</v>
      </c>
      <c r="F426" s="130" t="n">
        <v>0.4</v>
      </c>
      <c r="G426" s="106" t="s">
        <v>1411</v>
      </c>
      <c r="H426" s="106" t="n">
        <v>0</v>
      </c>
      <c r="I426" s="106" t="s">
        <v>6794</v>
      </c>
      <c r="J426" s="106" t="s">
        <v>6794</v>
      </c>
      <c r="K426" s="106" t="s">
        <v>6793</v>
      </c>
      <c r="L426" s="106" t="s">
        <v>6793</v>
      </c>
      <c r="M426" s="117"/>
      <c r="N426" s="106" t="n">
        <v>0</v>
      </c>
      <c r="O426" s="106"/>
      <c r="P426" s="27" t="s">
        <v>6805</v>
      </c>
    </row>
    <row r="427" customFormat="false" ht="15" hidden="false" customHeight="false" outlineLevel="0" collapsed="false">
      <c r="A427" s="106" t="s">
        <v>7192</v>
      </c>
      <c r="B427" s="106" t="s">
        <v>6792</v>
      </c>
      <c r="C427" s="106" t="s">
        <v>560</v>
      </c>
      <c r="D427" s="107"/>
      <c r="E427" s="107" t="n">
        <v>1050.77142857143</v>
      </c>
      <c r="F427" s="130" t="n">
        <v>0.55</v>
      </c>
      <c r="G427" s="106" t="s">
        <v>1411</v>
      </c>
      <c r="H427" s="106" t="n">
        <v>0</v>
      </c>
      <c r="I427" s="106" t="s">
        <v>6793</v>
      </c>
      <c r="J427" s="106" t="s">
        <v>6794</v>
      </c>
      <c r="K427" s="106" t="s">
        <v>6793</v>
      </c>
      <c r="L427" s="106" t="s">
        <v>6794</v>
      </c>
      <c r="M427" s="117"/>
      <c r="N427" s="106" t="n">
        <v>0</v>
      </c>
      <c r="O427" s="106"/>
      <c r="P427" s="27" t="s">
        <v>6818</v>
      </c>
    </row>
    <row r="428" customFormat="false" ht="15" hidden="false" customHeight="false" outlineLevel="0" collapsed="false">
      <c r="A428" s="106" t="s">
        <v>7193</v>
      </c>
      <c r="B428" s="106" t="s">
        <v>6792</v>
      </c>
      <c r="C428" s="106" t="s">
        <v>696</v>
      </c>
      <c r="D428" s="107"/>
      <c r="E428" s="107" t="n">
        <v>1050.77142857143</v>
      </c>
      <c r="F428" s="130" t="n">
        <v>0.55</v>
      </c>
      <c r="G428" s="106" t="s">
        <v>1411</v>
      </c>
      <c r="H428" s="106" t="n">
        <v>0</v>
      </c>
      <c r="I428" s="106" t="s">
        <v>6793</v>
      </c>
      <c r="J428" s="106" t="s">
        <v>6794</v>
      </c>
      <c r="K428" s="106" t="s">
        <v>6793</v>
      </c>
      <c r="L428" s="106" t="s">
        <v>6794</v>
      </c>
      <c r="M428" s="117"/>
      <c r="N428" s="106" t="n">
        <v>0</v>
      </c>
      <c r="O428" s="106"/>
      <c r="P428" s="27" t="s">
        <v>6818</v>
      </c>
    </row>
    <row r="429" customFormat="false" ht="15" hidden="false" customHeight="false" outlineLevel="0" collapsed="false">
      <c r="A429" s="106" t="s">
        <v>7194</v>
      </c>
      <c r="B429" s="106" t="s">
        <v>6792</v>
      </c>
      <c r="C429" s="106" t="s">
        <v>696</v>
      </c>
      <c r="D429" s="107"/>
      <c r="E429" s="107" t="n">
        <v>1043.74285714286</v>
      </c>
      <c r="F429" s="130" t="n">
        <v>0.45</v>
      </c>
      <c r="G429" s="106" t="s">
        <v>1411</v>
      </c>
      <c r="H429" s="106" t="n">
        <v>0</v>
      </c>
      <c r="I429" s="106" t="s">
        <v>6794</v>
      </c>
      <c r="J429" s="106" t="s">
        <v>6794</v>
      </c>
      <c r="K429" s="106" t="s">
        <v>6793</v>
      </c>
      <c r="L429" s="106" t="s">
        <v>6793</v>
      </c>
      <c r="M429" s="117"/>
      <c r="N429" s="106" t="n">
        <v>0</v>
      </c>
      <c r="O429" s="106"/>
      <c r="P429" s="27" t="s">
        <v>6805</v>
      </c>
    </row>
    <row r="430" customFormat="false" ht="15" hidden="false" customHeight="false" outlineLevel="0" collapsed="false">
      <c r="A430" s="106" t="s">
        <v>7195</v>
      </c>
      <c r="B430" s="106" t="s">
        <v>6792</v>
      </c>
      <c r="C430" s="106" t="s">
        <v>185</v>
      </c>
      <c r="D430" s="107"/>
      <c r="E430" s="107" t="n">
        <v>1043.74285714286</v>
      </c>
      <c r="F430" s="130" t="n">
        <v>0.55</v>
      </c>
      <c r="G430" s="106" t="s">
        <v>1411</v>
      </c>
      <c r="H430" s="106" t="n">
        <v>0</v>
      </c>
      <c r="I430" s="106" t="s">
        <v>6793</v>
      </c>
      <c r="J430" s="106" t="s">
        <v>6794</v>
      </c>
      <c r="K430" s="106" t="s">
        <v>6793</v>
      </c>
      <c r="L430" s="106" t="s">
        <v>6794</v>
      </c>
      <c r="M430" s="117"/>
      <c r="N430" s="106" t="n">
        <v>0</v>
      </c>
      <c r="O430" s="106"/>
      <c r="P430" s="27" t="s">
        <v>6818</v>
      </c>
    </row>
    <row r="431" customFormat="false" ht="15" hidden="false" customHeight="false" outlineLevel="0" collapsed="false">
      <c r="A431" s="106" t="s">
        <v>7196</v>
      </c>
      <c r="B431" s="106" t="s">
        <v>6792</v>
      </c>
      <c r="C431" s="106"/>
      <c r="D431" s="107"/>
      <c r="E431" s="107" t="n">
        <v>1043.74285714286</v>
      </c>
      <c r="F431" s="130" t="n">
        <v>0.38</v>
      </c>
      <c r="G431" s="106" t="s">
        <v>1411</v>
      </c>
      <c r="H431" s="106" t="n">
        <v>0</v>
      </c>
      <c r="I431" s="106" t="s">
        <v>6799</v>
      </c>
      <c r="J431" s="106" t="s">
        <v>6794</v>
      </c>
      <c r="K431" s="106" t="s">
        <v>6793</v>
      </c>
      <c r="L431" s="106" t="s">
        <v>6794</v>
      </c>
      <c r="M431" s="117"/>
      <c r="N431" s="106" t="n">
        <v>0</v>
      </c>
      <c r="O431" s="106"/>
      <c r="P431" s="27" t="s">
        <v>6818</v>
      </c>
    </row>
    <row r="432" customFormat="false" ht="15" hidden="false" customHeight="false" outlineLevel="0" collapsed="false">
      <c r="A432" s="106" t="s">
        <v>7197</v>
      </c>
      <c r="B432" s="106" t="s">
        <v>6792</v>
      </c>
      <c r="C432" s="106" t="s">
        <v>560</v>
      </c>
      <c r="D432" s="107"/>
      <c r="E432" s="107" t="n">
        <v>1033.2</v>
      </c>
      <c r="F432" s="130" t="n">
        <v>0.55</v>
      </c>
      <c r="G432" s="106" t="s">
        <v>1411</v>
      </c>
      <c r="H432" s="106" t="n">
        <v>0</v>
      </c>
      <c r="I432" s="106" t="s">
        <v>6793</v>
      </c>
      <c r="J432" s="106" t="s">
        <v>6794</v>
      </c>
      <c r="K432" s="106" t="s">
        <v>6793</v>
      </c>
      <c r="L432" s="106" t="s">
        <v>6794</v>
      </c>
      <c r="M432" s="117"/>
      <c r="N432" s="106" t="n">
        <v>0</v>
      </c>
      <c r="O432" s="106"/>
      <c r="P432" s="27" t="s">
        <v>6818</v>
      </c>
    </row>
    <row r="433" customFormat="false" ht="15" hidden="false" customHeight="false" outlineLevel="0" collapsed="false">
      <c r="A433" s="106" t="s">
        <v>7198</v>
      </c>
      <c r="B433" s="106" t="s">
        <v>6792</v>
      </c>
      <c r="C433" s="106" t="s">
        <v>560</v>
      </c>
      <c r="D433" s="107"/>
      <c r="E433" s="107" t="n">
        <v>1022.65714285714</v>
      </c>
      <c r="F433" s="130" t="n">
        <v>0.55</v>
      </c>
      <c r="G433" s="106" t="s">
        <v>1411</v>
      </c>
      <c r="H433" s="106" t="n">
        <v>0.5</v>
      </c>
      <c r="I433" s="106" t="s">
        <v>6793</v>
      </c>
      <c r="J433" s="106" t="s">
        <v>6794</v>
      </c>
      <c r="K433" s="106" t="s">
        <v>6793</v>
      </c>
      <c r="L433" s="106" t="s">
        <v>6794</v>
      </c>
      <c r="M433" s="117"/>
      <c r="N433" s="106" t="n">
        <v>0</v>
      </c>
      <c r="O433" s="106"/>
      <c r="P433" s="27" t="s">
        <v>6818</v>
      </c>
    </row>
    <row r="434" customFormat="false" ht="15" hidden="false" customHeight="false" outlineLevel="0" collapsed="false">
      <c r="A434" s="106" t="s">
        <v>7199</v>
      </c>
      <c r="B434" s="106" t="s">
        <v>6792</v>
      </c>
      <c r="C434" s="106"/>
      <c r="D434" s="107"/>
      <c r="E434" s="107" t="n">
        <v>1001.57142857143</v>
      </c>
      <c r="F434" s="130" t="n">
        <v>0.65</v>
      </c>
      <c r="G434" s="106" t="s">
        <v>1411</v>
      </c>
      <c r="H434" s="106" t="n">
        <v>0</v>
      </c>
      <c r="I434" s="106" t="s">
        <v>6793</v>
      </c>
      <c r="J434" s="106" t="s">
        <v>6794</v>
      </c>
      <c r="K434" s="106" t="s">
        <v>6793</v>
      </c>
      <c r="L434" s="106" t="s">
        <v>6793</v>
      </c>
      <c r="M434" s="117"/>
      <c r="N434" s="106" t="n">
        <v>0</v>
      </c>
      <c r="O434" s="106"/>
      <c r="P434" s="27" t="s">
        <v>6795</v>
      </c>
    </row>
    <row r="435" customFormat="false" ht="15" hidden="false" customHeight="false" outlineLevel="0" collapsed="false">
      <c r="A435" s="106" t="s">
        <v>7200</v>
      </c>
      <c r="B435" s="106" t="s">
        <v>6792</v>
      </c>
      <c r="C435" s="106" t="s">
        <v>696</v>
      </c>
      <c r="D435" s="107"/>
      <c r="E435" s="107" t="n">
        <v>1001.57142857143</v>
      </c>
      <c r="F435" s="130" t="n">
        <v>0.45</v>
      </c>
      <c r="G435" s="106" t="s">
        <v>1411</v>
      </c>
      <c r="H435" s="106" t="n">
        <v>0</v>
      </c>
      <c r="I435" s="106" t="s">
        <v>6794</v>
      </c>
      <c r="J435" s="106" t="s">
        <v>6794</v>
      </c>
      <c r="K435" s="106" t="s">
        <v>6793</v>
      </c>
      <c r="L435" s="106" t="s">
        <v>6793</v>
      </c>
      <c r="M435" s="117"/>
      <c r="N435" s="106" t="n">
        <v>0</v>
      </c>
      <c r="O435" s="106"/>
      <c r="P435" s="27" t="s">
        <v>6805</v>
      </c>
    </row>
    <row r="436" customFormat="false" ht="15" hidden="false" customHeight="false" outlineLevel="0" collapsed="false">
      <c r="A436" s="106" t="s">
        <v>7201</v>
      </c>
      <c r="B436" s="106" t="s">
        <v>6792</v>
      </c>
      <c r="C436" s="106"/>
      <c r="D436" s="107"/>
      <c r="E436" s="107" t="n">
        <v>1001.57142857143</v>
      </c>
      <c r="F436" s="130" t="n">
        <v>0.4</v>
      </c>
      <c r="G436" s="106" t="s">
        <v>1411</v>
      </c>
      <c r="H436" s="106" t="n">
        <v>0</v>
      </c>
      <c r="I436" s="106" t="s">
        <v>6794</v>
      </c>
      <c r="J436" s="106" t="s">
        <v>6794</v>
      </c>
      <c r="K436" s="106" t="s">
        <v>6793</v>
      </c>
      <c r="L436" s="106" t="s">
        <v>6793</v>
      </c>
      <c r="M436" s="117"/>
      <c r="N436" s="106" t="n">
        <v>0</v>
      </c>
      <c r="O436" s="106"/>
      <c r="P436" s="27" t="s">
        <v>6805</v>
      </c>
    </row>
    <row r="437" customFormat="false" ht="15" hidden="false" customHeight="false" outlineLevel="0" collapsed="false">
      <c r="A437" s="106" t="s">
        <v>7202</v>
      </c>
      <c r="B437" s="106" t="s">
        <v>6792</v>
      </c>
      <c r="C437" s="106"/>
      <c r="D437" s="107"/>
      <c r="E437" s="107" t="n">
        <v>994.542857142857</v>
      </c>
      <c r="F437" s="130" t="n">
        <v>0.38</v>
      </c>
      <c r="G437" s="106" t="s">
        <v>1411</v>
      </c>
      <c r="H437" s="106" t="n">
        <v>0</v>
      </c>
      <c r="I437" s="106" t="s">
        <v>6799</v>
      </c>
      <c r="J437" s="106" t="s">
        <v>6794</v>
      </c>
      <c r="K437" s="106" t="s">
        <v>6793</v>
      </c>
      <c r="L437" s="106" t="s">
        <v>6794</v>
      </c>
      <c r="M437" s="117"/>
      <c r="N437" s="106" t="n">
        <v>0</v>
      </c>
      <c r="O437" s="106"/>
      <c r="P437" s="27" t="s">
        <v>6818</v>
      </c>
    </row>
    <row r="438" customFormat="false" ht="15" hidden="false" customHeight="false" outlineLevel="0" collapsed="false">
      <c r="A438" s="106" t="s">
        <v>7203</v>
      </c>
      <c r="B438" s="106" t="s">
        <v>6792</v>
      </c>
      <c r="C438" s="106" t="s">
        <v>185</v>
      </c>
      <c r="D438" s="107"/>
      <c r="E438" s="107" t="n">
        <v>994.542857142857</v>
      </c>
      <c r="F438" s="130" t="n">
        <v>0.55</v>
      </c>
      <c r="G438" s="106" t="s">
        <v>1411</v>
      </c>
      <c r="H438" s="106" t="n">
        <v>0.5</v>
      </c>
      <c r="I438" s="106" t="s">
        <v>6793</v>
      </c>
      <c r="J438" s="106" t="s">
        <v>6794</v>
      </c>
      <c r="K438" s="106" t="s">
        <v>6793</v>
      </c>
      <c r="L438" s="106" t="s">
        <v>6794</v>
      </c>
      <c r="M438" s="117"/>
      <c r="N438" s="106" t="n">
        <v>0</v>
      </c>
      <c r="O438" s="106"/>
      <c r="P438" s="27" t="s">
        <v>6818</v>
      </c>
    </row>
    <row r="439" customFormat="false" ht="15" hidden="false" customHeight="false" outlineLevel="0" collapsed="false">
      <c r="A439" s="106" t="s">
        <v>7204</v>
      </c>
      <c r="B439" s="106" t="s">
        <v>6792</v>
      </c>
      <c r="C439" s="106"/>
      <c r="D439" s="107"/>
      <c r="E439" s="107" t="n">
        <v>984</v>
      </c>
      <c r="F439" s="130" t="n">
        <v>0.5</v>
      </c>
      <c r="G439" s="106" t="s">
        <v>1411</v>
      </c>
      <c r="H439" s="106" t="n">
        <v>0</v>
      </c>
      <c r="I439" s="106" t="s">
        <v>6793</v>
      </c>
      <c r="J439" s="106" t="s">
        <v>6794</v>
      </c>
      <c r="K439" s="106" t="s">
        <v>6793</v>
      </c>
      <c r="L439" s="106" t="s">
        <v>6794</v>
      </c>
      <c r="M439" s="117"/>
      <c r="N439" s="106" t="n">
        <v>0</v>
      </c>
      <c r="O439" s="106"/>
      <c r="P439" s="27" t="s">
        <v>6818</v>
      </c>
    </row>
    <row r="440" customFormat="false" ht="15" hidden="false" customHeight="false" outlineLevel="0" collapsed="false">
      <c r="A440" s="106" t="s">
        <v>7205</v>
      </c>
      <c r="B440" s="106" t="s">
        <v>6792</v>
      </c>
      <c r="C440" s="106" t="s">
        <v>185</v>
      </c>
      <c r="D440" s="107"/>
      <c r="E440" s="107" t="n">
        <v>962.914285714286</v>
      </c>
      <c r="F440" s="130" t="n">
        <v>0.45</v>
      </c>
      <c r="G440" s="106" t="s">
        <v>1411</v>
      </c>
      <c r="H440" s="106" t="n">
        <v>0</v>
      </c>
      <c r="I440" s="106" t="s">
        <v>6794</v>
      </c>
      <c r="J440" s="106" t="s">
        <v>6794</v>
      </c>
      <c r="K440" s="106" t="s">
        <v>6793</v>
      </c>
      <c r="L440" s="106" t="s">
        <v>6793</v>
      </c>
      <c r="M440" s="117"/>
      <c r="N440" s="106" t="n">
        <v>0</v>
      </c>
      <c r="O440" s="106"/>
      <c r="P440" s="27" t="s">
        <v>6805</v>
      </c>
    </row>
    <row r="441" customFormat="false" ht="15" hidden="false" customHeight="false" outlineLevel="0" collapsed="false">
      <c r="A441" s="106" t="s">
        <v>7206</v>
      </c>
      <c r="B441" s="106" t="s">
        <v>6792</v>
      </c>
      <c r="C441" s="106"/>
      <c r="D441" s="107"/>
      <c r="E441" s="107" t="n">
        <v>962.914285714286</v>
      </c>
      <c r="F441" s="130" t="n">
        <v>0.5</v>
      </c>
      <c r="G441" s="106" t="s">
        <v>1411</v>
      </c>
      <c r="H441" s="106" t="n">
        <v>0</v>
      </c>
      <c r="I441" s="106" t="s">
        <v>6793</v>
      </c>
      <c r="J441" s="106" t="s">
        <v>6794</v>
      </c>
      <c r="K441" s="106" t="s">
        <v>6793</v>
      </c>
      <c r="L441" s="106" t="s">
        <v>6794</v>
      </c>
      <c r="M441" s="117"/>
      <c r="N441" s="106" t="n">
        <v>0</v>
      </c>
      <c r="O441" s="106"/>
      <c r="P441" s="27" t="s">
        <v>6818</v>
      </c>
    </row>
    <row r="442" customFormat="false" ht="15" hidden="false" customHeight="false" outlineLevel="0" collapsed="false">
      <c r="A442" s="106" t="s">
        <v>7207</v>
      </c>
      <c r="B442" s="106" t="s">
        <v>6792</v>
      </c>
      <c r="C442" s="106"/>
      <c r="D442" s="107"/>
      <c r="E442" s="107" t="n">
        <v>962.914285714286</v>
      </c>
      <c r="F442" s="130" t="n">
        <v>0.4</v>
      </c>
      <c r="G442" s="106" t="s">
        <v>1411</v>
      </c>
      <c r="H442" s="106" t="n">
        <v>0</v>
      </c>
      <c r="I442" s="106" t="s">
        <v>6794</v>
      </c>
      <c r="J442" s="106" t="s">
        <v>6794</v>
      </c>
      <c r="K442" s="106" t="s">
        <v>6793</v>
      </c>
      <c r="L442" s="106" t="s">
        <v>6793</v>
      </c>
      <c r="M442" s="117"/>
      <c r="N442" s="106" t="n">
        <v>0</v>
      </c>
      <c r="O442" s="106"/>
      <c r="P442" s="27" t="s">
        <v>6805</v>
      </c>
    </row>
    <row r="443" customFormat="false" ht="15" hidden="false" customHeight="false" outlineLevel="0" collapsed="false">
      <c r="A443" s="106" t="s">
        <v>7208</v>
      </c>
      <c r="B443" s="106" t="s">
        <v>6792</v>
      </c>
      <c r="C443" s="106"/>
      <c r="D443" s="107"/>
      <c r="E443" s="107" t="n">
        <v>952.371428571429</v>
      </c>
      <c r="F443" s="130" t="n">
        <v>0.4</v>
      </c>
      <c r="G443" s="106" t="s">
        <v>1411</v>
      </c>
      <c r="H443" s="106" t="n">
        <v>0</v>
      </c>
      <c r="I443" s="106" t="s">
        <v>6794</v>
      </c>
      <c r="J443" s="106" t="s">
        <v>6794</v>
      </c>
      <c r="K443" s="106" t="s">
        <v>6793</v>
      </c>
      <c r="L443" s="106" t="s">
        <v>6793</v>
      </c>
      <c r="M443" s="117"/>
      <c r="N443" s="106" t="n">
        <v>0</v>
      </c>
      <c r="O443" s="106"/>
      <c r="P443" s="27" t="s">
        <v>6805</v>
      </c>
    </row>
    <row r="444" customFormat="false" ht="15" hidden="false" customHeight="false" outlineLevel="0" collapsed="false">
      <c r="A444" s="106" t="s">
        <v>7209</v>
      </c>
      <c r="B444" s="106" t="s">
        <v>6792</v>
      </c>
      <c r="C444" s="106" t="s">
        <v>185</v>
      </c>
      <c r="D444" s="107"/>
      <c r="E444" s="107" t="n">
        <v>952.371428571429</v>
      </c>
      <c r="F444" s="130" t="n">
        <v>0.55</v>
      </c>
      <c r="G444" s="106" t="s">
        <v>1411</v>
      </c>
      <c r="H444" s="106" t="n">
        <v>0</v>
      </c>
      <c r="I444" s="106" t="s">
        <v>6793</v>
      </c>
      <c r="J444" s="106" t="s">
        <v>6794</v>
      </c>
      <c r="K444" s="106" t="s">
        <v>6793</v>
      </c>
      <c r="L444" s="106" t="s">
        <v>6794</v>
      </c>
      <c r="M444" s="117"/>
      <c r="N444" s="106" t="n">
        <v>0</v>
      </c>
      <c r="O444" s="106"/>
      <c r="P444" s="27" t="s">
        <v>6818</v>
      </c>
    </row>
    <row r="445" customFormat="false" ht="15" hidden="false" customHeight="false" outlineLevel="0" collapsed="false">
      <c r="A445" s="106" t="s">
        <v>7210</v>
      </c>
      <c r="B445" s="106" t="s">
        <v>6792</v>
      </c>
      <c r="C445" s="106"/>
      <c r="D445" s="107"/>
      <c r="E445" s="107" t="n">
        <v>952.371428571429</v>
      </c>
      <c r="F445" s="130" t="n">
        <v>0.5</v>
      </c>
      <c r="G445" s="106" t="s">
        <v>1411</v>
      </c>
      <c r="H445" s="106" t="n">
        <v>0</v>
      </c>
      <c r="I445" s="106" t="s">
        <v>6793</v>
      </c>
      <c r="J445" s="106" t="s">
        <v>6794</v>
      </c>
      <c r="K445" s="106" t="s">
        <v>6793</v>
      </c>
      <c r="L445" s="106" t="s">
        <v>6794</v>
      </c>
      <c r="M445" s="117"/>
      <c r="N445" s="106" t="n">
        <v>0</v>
      </c>
      <c r="O445" s="106"/>
      <c r="P445" s="27" t="s">
        <v>6818</v>
      </c>
    </row>
    <row r="446" customFormat="false" ht="15" hidden="false" customHeight="false" outlineLevel="0" collapsed="false">
      <c r="A446" s="106" t="s">
        <v>7211</v>
      </c>
      <c r="B446" s="106" t="s">
        <v>6792</v>
      </c>
      <c r="C446" s="106" t="s">
        <v>185</v>
      </c>
      <c r="D446" s="107" t="n">
        <v>2302</v>
      </c>
      <c r="E446" s="107" t="n">
        <v>952.371428571429</v>
      </c>
      <c r="F446" s="130" t="n">
        <v>0.7</v>
      </c>
      <c r="G446" s="106" t="s">
        <v>1411</v>
      </c>
      <c r="H446" s="106" t="n">
        <v>1</v>
      </c>
      <c r="I446" s="106" t="s">
        <v>6793</v>
      </c>
      <c r="J446" s="106" t="s">
        <v>6794</v>
      </c>
      <c r="K446" s="106" t="s">
        <v>6793</v>
      </c>
      <c r="L446" s="106" t="s">
        <v>6793</v>
      </c>
      <c r="M446" s="117"/>
      <c r="N446" s="106" t="n">
        <v>0</v>
      </c>
      <c r="O446" s="106"/>
      <c r="P446" s="27" t="s">
        <v>6795</v>
      </c>
    </row>
    <row r="447" customFormat="false" ht="15" hidden="false" customHeight="false" outlineLevel="0" collapsed="false">
      <c r="A447" s="106" t="s">
        <v>7212</v>
      </c>
      <c r="B447" s="106" t="s">
        <v>6792</v>
      </c>
      <c r="C447" s="106" t="s">
        <v>185</v>
      </c>
      <c r="D447" s="107"/>
      <c r="E447" s="107" t="n">
        <v>941.828571428571</v>
      </c>
      <c r="F447" s="130" t="n">
        <v>0.55</v>
      </c>
      <c r="G447" s="106" t="s">
        <v>1411</v>
      </c>
      <c r="H447" s="106" t="n">
        <v>0</v>
      </c>
      <c r="I447" s="106" t="s">
        <v>6793</v>
      </c>
      <c r="J447" s="106" t="s">
        <v>6794</v>
      </c>
      <c r="K447" s="106" t="s">
        <v>6793</v>
      </c>
      <c r="L447" s="106" t="s">
        <v>6794</v>
      </c>
      <c r="M447" s="117"/>
      <c r="N447" s="106" t="n">
        <v>0</v>
      </c>
      <c r="O447" s="106"/>
      <c r="P447" s="27" t="s">
        <v>6818</v>
      </c>
    </row>
    <row r="448" customFormat="false" ht="22.35" hidden="false" customHeight="false" outlineLevel="0" collapsed="false">
      <c r="A448" s="106" t="s">
        <v>3867</v>
      </c>
      <c r="B448" s="106" t="s">
        <v>6792</v>
      </c>
      <c r="C448" s="106"/>
      <c r="D448" s="107" t="n">
        <v>901</v>
      </c>
      <c r="E448" s="107" t="n">
        <v>931.285714285714</v>
      </c>
      <c r="F448" s="130" t="n">
        <v>0.95</v>
      </c>
      <c r="G448" s="106" t="s">
        <v>1411</v>
      </c>
      <c r="H448" s="106" t="n">
        <v>1.5</v>
      </c>
      <c r="I448" s="106" t="s">
        <v>6793</v>
      </c>
      <c r="J448" s="106" t="s">
        <v>6793</v>
      </c>
      <c r="K448" s="106" t="s">
        <v>6793</v>
      </c>
      <c r="L448" s="106" t="s">
        <v>6793</v>
      </c>
      <c r="M448" s="117" t="n">
        <v>0.0155115105256678</v>
      </c>
      <c r="N448" s="106" t="n">
        <v>80</v>
      </c>
      <c r="O448" s="106" t="n">
        <v>1.25</v>
      </c>
      <c r="P448" s="27" t="s">
        <v>7213</v>
      </c>
    </row>
    <row r="449" customFormat="false" ht="15" hidden="false" customHeight="false" outlineLevel="0" collapsed="false">
      <c r="A449" s="106" t="s">
        <v>7214</v>
      </c>
      <c r="B449" s="106" t="s">
        <v>6792</v>
      </c>
      <c r="C449" s="106"/>
      <c r="D449" s="107"/>
      <c r="E449" s="107" t="n">
        <v>924.257142857143</v>
      </c>
      <c r="F449" s="130" t="n">
        <v>0.65</v>
      </c>
      <c r="G449" s="106" t="s">
        <v>1411</v>
      </c>
      <c r="H449" s="106" t="n">
        <v>0</v>
      </c>
      <c r="I449" s="106" t="s">
        <v>6793</v>
      </c>
      <c r="J449" s="106" t="s">
        <v>6794</v>
      </c>
      <c r="K449" s="106" t="s">
        <v>6793</v>
      </c>
      <c r="L449" s="106" t="s">
        <v>6793</v>
      </c>
      <c r="M449" s="117"/>
      <c r="N449" s="106" t="n">
        <v>0</v>
      </c>
      <c r="O449" s="106"/>
      <c r="P449" s="27" t="s">
        <v>6795</v>
      </c>
    </row>
    <row r="450" customFormat="false" ht="15" hidden="false" customHeight="false" outlineLevel="0" collapsed="false">
      <c r="A450" s="106" t="s">
        <v>7215</v>
      </c>
      <c r="B450" s="106" t="s">
        <v>6792</v>
      </c>
      <c r="C450" s="106"/>
      <c r="D450" s="107"/>
      <c r="E450" s="107" t="n">
        <v>924.257142857143</v>
      </c>
      <c r="F450" s="130" t="n">
        <v>0.38</v>
      </c>
      <c r="G450" s="106" t="s">
        <v>1411</v>
      </c>
      <c r="H450" s="106" t="n">
        <v>0</v>
      </c>
      <c r="I450" s="106" t="s">
        <v>6799</v>
      </c>
      <c r="J450" s="106" t="s">
        <v>6794</v>
      </c>
      <c r="K450" s="106" t="s">
        <v>6793</v>
      </c>
      <c r="L450" s="106" t="s">
        <v>6794</v>
      </c>
      <c r="M450" s="117"/>
      <c r="N450" s="106" t="n">
        <v>0</v>
      </c>
      <c r="O450" s="106"/>
      <c r="P450" s="27" t="s">
        <v>6818</v>
      </c>
    </row>
    <row r="451" customFormat="false" ht="15" hidden="false" customHeight="false" outlineLevel="0" collapsed="false">
      <c r="A451" s="106" t="s">
        <v>7216</v>
      </c>
      <c r="B451" s="106" t="s">
        <v>6792</v>
      </c>
      <c r="C451" s="106"/>
      <c r="D451" s="107"/>
      <c r="E451" s="107" t="n">
        <v>913.714285714286</v>
      </c>
      <c r="F451" s="130" t="n">
        <v>0.7</v>
      </c>
      <c r="G451" s="106" t="s">
        <v>1411</v>
      </c>
      <c r="H451" s="106" t="n">
        <v>0</v>
      </c>
      <c r="I451" s="106" t="s">
        <v>6794</v>
      </c>
      <c r="J451" s="106" t="s">
        <v>6793</v>
      </c>
      <c r="K451" s="106" t="s">
        <v>6793</v>
      </c>
      <c r="L451" s="106" t="s">
        <v>6793</v>
      </c>
      <c r="M451" s="117"/>
      <c r="N451" s="106" t="n">
        <v>0</v>
      </c>
      <c r="O451" s="106"/>
      <c r="P451" s="27" t="s">
        <v>6885</v>
      </c>
    </row>
    <row r="452" customFormat="false" ht="15" hidden="false" customHeight="false" outlineLevel="0" collapsed="false">
      <c r="A452" s="106" t="s">
        <v>7217</v>
      </c>
      <c r="B452" s="106" t="s">
        <v>6792</v>
      </c>
      <c r="C452" s="106"/>
      <c r="D452" s="107"/>
      <c r="E452" s="107" t="n">
        <v>913.714285714286</v>
      </c>
      <c r="F452" s="130" t="n">
        <v>0.5</v>
      </c>
      <c r="G452" s="106" t="s">
        <v>1411</v>
      </c>
      <c r="H452" s="106" t="n">
        <v>0</v>
      </c>
      <c r="I452" s="106" t="s">
        <v>6793</v>
      </c>
      <c r="J452" s="106" t="s">
        <v>6794</v>
      </c>
      <c r="K452" s="106" t="s">
        <v>6793</v>
      </c>
      <c r="L452" s="106" t="s">
        <v>6794</v>
      </c>
      <c r="M452" s="117"/>
      <c r="N452" s="106" t="n">
        <v>0</v>
      </c>
      <c r="O452" s="106"/>
      <c r="P452" s="27" t="s">
        <v>6818</v>
      </c>
    </row>
    <row r="453" customFormat="false" ht="15" hidden="false" customHeight="false" outlineLevel="0" collapsed="false">
      <c r="A453" s="106" t="s">
        <v>7218</v>
      </c>
      <c r="B453" s="106" t="s">
        <v>6792</v>
      </c>
      <c r="C453" s="106"/>
      <c r="D453" s="107"/>
      <c r="E453" s="107" t="n">
        <v>913.714285714286</v>
      </c>
      <c r="F453" s="130" t="n">
        <v>0.5</v>
      </c>
      <c r="G453" s="106" t="s">
        <v>1411</v>
      </c>
      <c r="H453" s="106" t="n">
        <v>0.5</v>
      </c>
      <c r="I453" s="106" t="s">
        <v>6793</v>
      </c>
      <c r="J453" s="106" t="s">
        <v>6794</v>
      </c>
      <c r="K453" s="106" t="s">
        <v>6793</v>
      </c>
      <c r="L453" s="106" t="s">
        <v>6794</v>
      </c>
      <c r="M453" s="117"/>
      <c r="N453" s="106" t="n">
        <v>0</v>
      </c>
      <c r="O453" s="106"/>
      <c r="P453" s="27" t="s">
        <v>6818</v>
      </c>
    </row>
    <row r="454" customFormat="false" ht="15" hidden="false" customHeight="false" outlineLevel="0" collapsed="false">
      <c r="A454" s="106" t="s">
        <v>7219</v>
      </c>
      <c r="B454" s="106" t="s">
        <v>6792</v>
      </c>
      <c r="C454" s="106" t="s">
        <v>479</v>
      </c>
      <c r="D454" s="107"/>
      <c r="E454" s="107" t="n">
        <v>903.171428571429</v>
      </c>
      <c r="F454" s="130" t="n">
        <v>0.45</v>
      </c>
      <c r="G454" s="106" t="s">
        <v>1411</v>
      </c>
      <c r="H454" s="106" t="n">
        <v>0</v>
      </c>
      <c r="I454" s="106" t="s">
        <v>6794</v>
      </c>
      <c r="J454" s="106" t="s">
        <v>6794</v>
      </c>
      <c r="K454" s="106" t="s">
        <v>6793</v>
      </c>
      <c r="L454" s="106" t="s">
        <v>6793</v>
      </c>
      <c r="M454" s="117"/>
      <c r="N454" s="106" t="n">
        <v>0</v>
      </c>
      <c r="O454" s="106"/>
      <c r="P454" s="27" t="s">
        <v>6805</v>
      </c>
    </row>
    <row r="455" customFormat="false" ht="15" hidden="false" customHeight="false" outlineLevel="0" collapsed="false">
      <c r="A455" s="106" t="s">
        <v>7220</v>
      </c>
      <c r="B455" s="106" t="s">
        <v>6792</v>
      </c>
      <c r="C455" s="106" t="s">
        <v>560</v>
      </c>
      <c r="D455" s="107"/>
      <c r="E455" s="107" t="n">
        <v>892.628571428571</v>
      </c>
      <c r="F455" s="130" t="n">
        <v>0.45</v>
      </c>
      <c r="G455" s="106" t="s">
        <v>1411</v>
      </c>
      <c r="H455" s="106" t="n">
        <v>0</v>
      </c>
      <c r="I455" s="106" t="s">
        <v>6794</v>
      </c>
      <c r="J455" s="106" t="s">
        <v>6794</v>
      </c>
      <c r="K455" s="106" t="s">
        <v>6793</v>
      </c>
      <c r="L455" s="106" t="s">
        <v>6793</v>
      </c>
      <c r="M455" s="117"/>
      <c r="N455" s="106" t="n">
        <v>0</v>
      </c>
      <c r="O455" s="106"/>
      <c r="P455" s="27" t="s">
        <v>6805</v>
      </c>
    </row>
    <row r="456" customFormat="false" ht="15" hidden="false" customHeight="false" outlineLevel="0" collapsed="false">
      <c r="A456" s="106" t="s">
        <v>7221</v>
      </c>
      <c r="B456" s="106" t="s">
        <v>6792</v>
      </c>
      <c r="C456" s="106" t="s">
        <v>185</v>
      </c>
      <c r="D456" s="107"/>
      <c r="E456" s="107" t="n">
        <v>892.628571428571</v>
      </c>
      <c r="F456" s="130" t="n">
        <v>0.45</v>
      </c>
      <c r="G456" s="106" t="s">
        <v>1411</v>
      </c>
      <c r="H456" s="106" t="n">
        <v>0</v>
      </c>
      <c r="I456" s="106" t="s">
        <v>6794</v>
      </c>
      <c r="J456" s="106" t="s">
        <v>6794</v>
      </c>
      <c r="K456" s="106" t="s">
        <v>6793</v>
      </c>
      <c r="L456" s="106" t="s">
        <v>6793</v>
      </c>
      <c r="M456" s="117"/>
      <c r="N456" s="106" t="n">
        <v>0</v>
      </c>
      <c r="O456" s="106"/>
      <c r="P456" s="27" t="s">
        <v>6805</v>
      </c>
    </row>
    <row r="457" customFormat="false" ht="15" hidden="false" customHeight="false" outlineLevel="0" collapsed="false">
      <c r="A457" s="106" t="s">
        <v>7222</v>
      </c>
      <c r="B457" s="106" t="s">
        <v>6792</v>
      </c>
      <c r="C457" s="106" t="s">
        <v>560</v>
      </c>
      <c r="D457" s="107"/>
      <c r="E457" s="107" t="n">
        <v>892.628571428571</v>
      </c>
      <c r="F457" s="130" t="n">
        <v>0.45</v>
      </c>
      <c r="G457" s="106" t="s">
        <v>1411</v>
      </c>
      <c r="H457" s="106" t="n">
        <v>0</v>
      </c>
      <c r="I457" s="106" t="s">
        <v>6794</v>
      </c>
      <c r="J457" s="106" t="s">
        <v>6794</v>
      </c>
      <c r="K457" s="106" t="s">
        <v>6793</v>
      </c>
      <c r="L457" s="106" t="s">
        <v>6793</v>
      </c>
      <c r="M457" s="117"/>
      <c r="N457" s="106" t="n">
        <v>0</v>
      </c>
      <c r="O457" s="106"/>
      <c r="P457" s="27" t="s">
        <v>6805</v>
      </c>
    </row>
    <row r="458" customFormat="false" ht="15" hidden="false" customHeight="false" outlineLevel="0" collapsed="false">
      <c r="A458" s="106" t="s">
        <v>7223</v>
      </c>
      <c r="B458" s="106" t="s">
        <v>6792</v>
      </c>
      <c r="C458" s="106"/>
      <c r="D458" s="107"/>
      <c r="E458" s="107" t="n">
        <v>882.085714285714</v>
      </c>
      <c r="F458" s="130" t="n">
        <v>0.4</v>
      </c>
      <c r="G458" s="106" t="s">
        <v>1411</v>
      </c>
      <c r="H458" s="106" t="n">
        <v>0</v>
      </c>
      <c r="I458" s="106" t="s">
        <v>6794</v>
      </c>
      <c r="J458" s="106" t="s">
        <v>6794</v>
      </c>
      <c r="K458" s="106" t="s">
        <v>6793</v>
      </c>
      <c r="L458" s="106" t="s">
        <v>6793</v>
      </c>
      <c r="M458" s="117"/>
      <c r="N458" s="106" t="n">
        <v>0</v>
      </c>
      <c r="O458" s="106"/>
      <c r="P458" s="27" t="s">
        <v>6805</v>
      </c>
    </row>
    <row r="459" customFormat="false" ht="15" hidden="false" customHeight="false" outlineLevel="0" collapsed="false">
      <c r="A459" s="106" t="s">
        <v>7224</v>
      </c>
      <c r="B459" s="106" t="s">
        <v>6792</v>
      </c>
      <c r="C459" s="106" t="s">
        <v>479</v>
      </c>
      <c r="D459" s="107"/>
      <c r="E459" s="107" t="n">
        <v>882.085714285714</v>
      </c>
      <c r="F459" s="130" t="n">
        <v>0.45</v>
      </c>
      <c r="G459" s="106" t="s">
        <v>1411</v>
      </c>
      <c r="H459" s="106" t="n">
        <v>0</v>
      </c>
      <c r="I459" s="106" t="s">
        <v>6794</v>
      </c>
      <c r="J459" s="106" t="s">
        <v>6794</v>
      </c>
      <c r="K459" s="106" t="s">
        <v>6793</v>
      </c>
      <c r="L459" s="106" t="s">
        <v>6793</v>
      </c>
      <c r="M459" s="117"/>
      <c r="N459" s="106" t="n">
        <v>0</v>
      </c>
      <c r="O459" s="106"/>
      <c r="P459" s="27" t="s">
        <v>6805</v>
      </c>
    </row>
    <row r="460" customFormat="false" ht="15" hidden="false" customHeight="false" outlineLevel="0" collapsed="false">
      <c r="A460" s="106" t="s">
        <v>7225</v>
      </c>
      <c r="B460" s="106" t="s">
        <v>6792</v>
      </c>
      <c r="C460" s="106" t="s">
        <v>185</v>
      </c>
      <c r="D460" s="107"/>
      <c r="E460" s="107" t="n">
        <v>882.085714285714</v>
      </c>
      <c r="F460" s="130" t="n">
        <v>0.55</v>
      </c>
      <c r="G460" s="106" t="s">
        <v>1411</v>
      </c>
      <c r="H460" s="106" t="n">
        <v>0</v>
      </c>
      <c r="I460" s="106" t="s">
        <v>6793</v>
      </c>
      <c r="J460" s="106" t="s">
        <v>6794</v>
      </c>
      <c r="K460" s="106" t="s">
        <v>6793</v>
      </c>
      <c r="L460" s="106" t="s">
        <v>6794</v>
      </c>
      <c r="M460" s="117"/>
      <c r="N460" s="106" t="n">
        <v>0</v>
      </c>
      <c r="O460" s="106"/>
      <c r="P460" s="27" t="s">
        <v>6818</v>
      </c>
    </row>
    <row r="461" customFormat="false" ht="15" hidden="false" customHeight="false" outlineLevel="0" collapsed="false">
      <c r="A461" s="106" t="s">
        <v>7226</v>
      </c>
      <c r="B461" s="106" t="s">
        <v>6792</v>
      </c>
      <c r="C461" s="106"/>
      <c r="D461" s="107"/>
      <c r="E461" s="107" t="n">
        <v>875.057142857143</v>
      </c>
      <c r="F461" s="130" t="n">
        <v>0.5</v>
      </c>
      <c r="G461" s="106" t="s">
        <v>1411</v>
      </c>
      <c r="H461" s="106" t="n">
        <v>0</v>
      </c>
      <c r="I461" s="106" t="s">
        <v>6793</v>
      </c>
      <c r="J461" s="106" t="s">
        <v>6794</v>
      </c>
      <c r="K461" s="106" t="s">
        <v>6793</v>
      </c>
      <c r="L461" s="106" t="s">
        <v>6794</v>
      </c>
      <c r="M461" s="117"/>
      <c r="N461" s="106" t="n">
        <v>0</v>
      </c>
      <c r="O461" s="106"/>
      <c r="P461" s="27" t="s">
        <v>6818</v>
      </c>
    </row>
    <row r="462" customFormat="false" ht="15" hidden="false" customHeight="false" outlineLevel="0" collapsed="false">
      <c r="A462" s="106" t="s">
        <v>7227</v>
      </c>
      <c r="B462" s="106" t="s">
        <v>6792</v>
      </c>
      <c r="C462" s="106" t="s">
        <v>560</v>
      </c>
      <c r="D462" s="107"/>
      <c r="E462" s="107" t="n">
        <v>864.514285714286</v>
      </c>
      <c r="F462" s="130" t="n">
        <v>0.45</v>
      </c>
      <c r="G462" s="106" t="s">
        <v>1411</v>
      </c>
      <c r="H462" s="106" t="n">
        <v>0</v>
      </c>
      <c r="I462" s="106" t="s">
        <v>6794</v>
      </c>
      <c r="J462" s="106" t="s">
        <v>6794</v>
      </c>
      <c r="K462" s="106" t="s">
        <v>6793</v>
      </c>
      <c r="L462" s="106" t="s">
        <v>6793</v>
      </c>
      <c r="M462" s="117"/>
      <c r="N462" s="106" t="n">
        <v>0</v>
      </c>
      <c r="O462" s="106"/>
      <c r="P462" s="27" t="s">
        <v>6805</v>
      </c>
    </row>
    <row r="463" customFormat="false" ht="15" hidden="false" customHeight="false" outlineLevel="0" collapsed="false">
      <c r="A463" s="106" t="s">
        <v>7228</v>
      </c>
      <c r="B463" s="106" t="s">
        <v>6792</v>
      </c>
      <c r="C463" s="106" t="s">
        <v>696</v>
      </c>
      <c r="D463" s="107"/>
      <c r="E463" s="107" t="n">
        <v>864.514285714286</v>
      </c>
      <c r="F463" s="130" t="n">
        <v>0.45</v>
      </c>
      <c r="G463" s="106" t="s">
        <v>1411</v>
      </c>
      <c r="H463" s="106" t="n">
        <v>0</v>
      </c>
      <c r="I463" s="106" t="s">
        <v>6794</v>
      </c>
      <c r="J463" s="106" t="s">
        <v>6794</v>
      </c>
      <c r="K463" s="106" t="s">
        <v>6793</v>
      </c>
      <c r="L463" s="106" t="s">
        <v>6793</v>
      </c>
      <c r="M463" s="117"/>
      <c r="N463" s="106" t="n">
        <v>0</v>
      </c>
      <c r="O463" s="106"/>
      <c r="P463" s="27" t="s">
        <v>6805</v>
      </c>
    </row>
    <row r="464" customFormat="false" ht="15" hidden="false" customHeight="false" outlineLevel="0" collapsed="false">
      <c r="A464" s="106" t="s">
        <v>7229</v>
      </c>
      <c r="B464" s="106" t="s">
        <v>6792</v>
      </c>
      <c r="C464" s="106" t="s">
        <v>560</v>
      </c>
      <c r="D464" s="107"/>
      <c r="E464" s="107" t="n">
        <v>864.514285714286</v>
      </c>
      <c r="F464" s="130" t="n">
        <v>0.45</v>
      </c>
      <c r="G464" s="106" t="s">
        <v>1411</v>
      </c>
      <c r="H464" s="106" t="n">
        <v>0</v>
      </c>
      <c r="I464" s="106" t="s">
        <v>6794</v>
      </c>
      <c r="J464" s="106" t="s">
        <v>6794</v>
      </c>
      <c r="K464" s="106" t="s">
        <v>6793</v>
      </c>
      <c r="L464" s="106" t="s">
        <v>6793</v>
      </c>
      <c r="M464" s="117"/>
      <c r="N464" s="106" t="n">
        <v>0</v>
      </c>
      <c r="O464" s="106"/>
      <c r="P464" s="27" t="s">
        <v>6805</v>
      </c>
    </row>
    <row r="465" customFormat="false" ht="15" hidden="false" customHeight="false" outlineLevel="0" collapsed="false">
      <c r="A465" s="106" t="s">
        <v>7230</v>
      </c>
      <c r="B465" s="106" t="s">
        <v>6792</v>
      </c>
      <c r="C465" s="106" t="s">
        <v>560</v>
      </c>
      <c r="D465" s="107"/>
      <c r="E465" s="107" t="n">
        <v>853.971428571429</v>
      </c>
      <c r="F465" s="130" t="n">
        <v>0.45</v>
      </c>
      <c r="G465" s="106" t="s">
        <v>1411</v>
      </c>
      <c r="H465" s="106" t="n">
        <v>0</v>
      </c>
      <c r="I465" s="106" t="s">
        <v>6794</v>
      </c>
      <c r="J465" s="106" t="s">
        <v>6794</v>
      </c>
      <c r="K465" s="106" t="s">
        <v>6793</v>
      </c>
      <c r="L465" s="106" t="s">
        <v>6793</v>
      </c>
      <c r="M465" s="117"/>
      <c r="N465" s="106" t="n">
        <v>0</v>
      </c>
      <c r="O465" s="106"/>
      <c r="P465" s="27" t="s">
        <v>6805</v>
      </c>
    </row>
    <row r="466" customFormat="false" ht="15" hidden="false" customHeight="false" outlineLevel="0" collapsed="false">
      <c r="A466" s="106" t="s">
        <v>7231</v>
      </c>
      <c r="B466" s="106" t="s">
        <v>6792</v>
      </c>
      <c r="C466" s="106" t="s">
        <v>422</v>
      </c>
      <c r="D466" s="107" t="n">
        <v>768</v>
      </c>
      <c r="E466" s="107" t="n">
        <v>853.971428571429</v>
      </c>
      <c r="F466" s="130" t="n">
        <v>0.45</v>
      </c>
      <c r="G466" s="106" t="s">
        <v>1411</v>
      </c>
      <c r="H466" s="106" t="n">
        <v>0</v>
      </c>
      <c r="I466" s="106" t="s">
        <v>6794</v>
      </c>
      <c r="J466" s="106" t="s">
        <v>6794</v>
      </c>
      <c r="K466" s="106" t="s">
        <v>6793</v>
      </c>
      <c r="L466" s="106" t="s">
        <v>6793</v>
      </c>
      <c r="M466" s="117"/>
      <c r="N466" s="106" t="n">
        <v>0</v>
      </c>
      <c r="O466" s="106"/>
      <c r="P466" s="27" t="s">
        <v>6805</v>
      </c>
    </row>
    <row r="467" customFormat="false" ht="15" hidden="false" customHeight="false" outlineLevel="0" collapsed="false">
      <c r="A467" s="106" t="s">
        <v>7232</v>
      </c>
      <c r="B467" s="106" t="s">
        <v>6792</v>
      </c>
      <c r="C467" s="106" t="s">
        <v>696</v>
      </c>
      <c r="D467" s="107"/>
      <c r="E467" s="107" t="n">
        <v>843.428571428571</v>
      </c>
      <c r="F467" s="130" t="n">
        <v>0.45</v>
      </c>
      <c r="G467" s="106" t="s">
        <v>1411</v>
      </c>
      <c r="H467" s="106" t="n">
        <v>0</v>
      </c>
      <c r="I467" s="106" t="s">
        <v>6794</v>
      </c>
      <c r="J467" s="106" t="s">
        <v>6794</v>
      </c>
      <c r="K467" s="106" t="s">
        <v>6793</v>
      </c>
      <c r="L467" s="106" t="s">
        <v>6793</v>
      </c>
      <c r="M467" s="117"/>
      <c r="N467" s="106" t="n">
        <v>0</v>
      </c>
      <c r="O467" s="106"/>
      <c r="P467" s="27" t="s">
        <v>6805</v>
      </c>
    </row>
    <row r="468" customFormat="false" ht="15" hidden="false" customHeight="false" outlineLevel="0" collapsed="false">
      <c r="A468" s="106" t="s">
        <v>7233</v>
      </c>
      <c r="B468" s="106" t="s">
        <v>6792</v>
      </c>
      <c r="C468" s="106"/>
      <c r="D468" s="107"/>
      <c r="E468" s="107" t="n">
        <v>843.428571428571</v>
      </c>
      <c r="F468" s="130" t="n">
        <v>0.4</v>
      </c>
      <c r="G468" s="106" t="s">
        <v>1411</v>
      </c>
      <c r="H468" s="106" t="n">
        <v>0</v>
      </c>
      <c r="I468" s="106" t="s">
        <v>6794</v>
      </c>
      <c r="J468" s="106" t="s">
        <v>6794</v>
      </c>
      <c r="K468" s="106" t="s">
        <v>6793</v>
      </c>
      <c r="L468" s="106" t="s">
        <v>6793</v>
      </c>
      <c r="M468" s="117"/>
      <c r="N468" s="106" t="n">
        <v>0</v>
      </c>
      <c r="O468" s="106"/>
      <c r="P468" s="27" t="s">
        <v>6805</v>
      </c>
    </row>
    <row r="469" customFormat="false" ht="15" hidden="false" customHeight="false" outlineLevel="0" collapsed="false">
      <c r="A469" s="106" t="s">
        <v>7234</v>
      </c>
      <c r="B469" s="106" t="s">
        <v>6792</v>
      </c>
      <c r="C469" s="106" t="s">
        <v>560</v>
      </c>
      <c r="D469" s="107"/>
      <c r="E469" s="107" t="n">
        <v>843.428571428571</v>
      </c>
      <c r="F469" s="130" t="n">
        <v>0.45</v>
      </c>
      <c r="G469" s="106" t="s">
        <v>1411</v>
      </c>
      <c r="H469" s="106" t="n">
        <v>0</v>
      </c>
      <c r="I469" s="106" t="s">
        <v>6794</v>
      </c>
      <c r="J469" s="106" t="s">
        <v>6794</v>
      </c>
      <c r="K469" s="106" t="s">
        <v>6793</v>
      </c>
      <c r="L469" s="106" t="s">
        <v>6793</v>
      </c>
      <c r="M469" s="117"/>
      <c r="N469" s="106" t="n">
        <v>0</v>
      </c>
      <c r="O469" s="106"/>
      <c r="P469" s="27" t="s">
        <v>6805</v>
      </c>
    </row>
    <row r="470" customFormat="false" ht="15" hidden="false" customHeight="false" outlineLevel="0" collapsed="false">
      <c r="A470" s="106" t="s">
        <v>7235</v>
      </c>
      <c r="B470" s="106" t="s">
        <v>6792</v>
      </c>
      <c r="C470" s="106" t="s">
        <v>185</v>
      </c>
      <c r="D470" s="107"/>
      <c r="E470" s="107" t="n">
        <v>832.885714285714</v>
      </c>
      <c r="F470" s="130" t="n">
        <v>0.45</v>
      </c>
      <c r="G470" s="106" t="s">
        <v>1411</v>
      </c>
      <c r="H470" s="106" t="n">
        <v>0</v>
      </c>
      <c r="I470" s="106" t="s">
        <v>6794</v>
      </c>
      <c r="J470" s="106" t="s">
        <v>6794</v>
      </c>
      <c r="K470" s="106" t="s">
        <v>6793</v>
      </c>
      <c r="L470" s="106" t="s">
        <v>6793</v>
      </c>
      <c r="M470" s="117"/>
      <c r="N470" s="106" t="n">
        <v>0</v>
      </c>
      <c r="O470" s="106"/>
      <c r="P470" s="27" t="s">
        <v>6805</v>
      </c>
    </row>
    <row r="471" customFormat="false" ht="15" hidden="false" customHeight="false" outlineLevel="0" collapsed="false">
      <c r="A471" s="106" t="s">
        <v>7236</v>
      </c>
      <c r="B471" s="106" t="s">
        <v>6792</v>
      </c>
      <c r="C471" s="106"/>
      <c r="D471" s="107"/>
      <c r="E471" s="107" t="n">
        <v>832.885714285714</v>
      </c>
      <c r="F471" s="130" t="n">
        <v>0.5</v>
      </c>
      <c r="G471" s="106" t="s">
        <v>1411</v>
      </c>
      <c r="H471" s="106" t="n">
        <v>0</v>
      </c>
      <c r="I471" s="106" t="s">
        <v>6793</v>
      </c>
      <c r="J471" s="106" t="s">
        <v>6794</v>
      </c>
      <c r="K471" s="106" t="s">
        <v>6793</v>
      </c>
      <c r="L471" s="106" t="s">
        <v>6794</v>
      </c>
      <c r="M471" s="117"/>
      <c r="N471" s="106" t="n">
        <v>0</v>
      </c>
      <c r="O471" s="106"/>
      <c r="P471" s="27" t="s">
        <v>6818</v>
      </c>
    </row>
    <row r="472" customFormat="false" ht="15" hidden="false" customHeight="false" outlineLevel="0" collapsed="false">
      <c r="A472" s="106" t="s">
        <v>7237</v>
      </c>
      <c r="B472" s="106" t="s">
        <v>6792</v>
      </c>
      <c r="C472" s="106" t="s">
        <v>479</v>
      </c>
      <c r="D472" s="107"/>
      <c r="E472" s="107" t="n">
        <v>825.857142857143</v>
      </c>
      <c r="F472" s="130" t="n">
        <v>0.45</v>
      </c>
      <c r="G472" s="106" t="s">
        <v>1411</v>
      </c>
      <c r="H472" s="106" t="n">
        <v>0</v>
      </c>
      <c r="I472" s="106" t="s">
        <v>6794</v>
      </c>
      <c r="J472" s="106" t="s">
        <v>6794</v>
      </c>
      <c r="K472" s="106" t="s">
        <v>6793</v>
      </c>
      <c r="L472" s="106" t="s">
        <v>6793</v>
      </c>
      <c r="M472" s="117"/>
      <c r="N472" s="106" t="n">
        <v>0</v>
      </c>
      <c r="O472" s="106"/>
      <c r="P472" s="27" t="s">
        <v>6805</v>
      </c>
    </row>
    <row r="473" customFormat="false" ht="15" hidden="false" customHeight="false" outlineLevel="0" collapsed="false">
      <c r="A473" s="106" t="s">
        <v>7238</v>
      </c>
      <c r="B473" s="106" t="s">
        <v>6792</v>
      </c>
      <c r="C473" s="106" t="s">
        <v>560</v>
      </c>
      <c r="D473" s="107"/>
      <c r="E473" s="107" t="n">
        <v>815.314285714286</v>
      </c>
      <c r="F473" s="130" t="n">
        <v>0.42</v>
      </c>
      <c r="G473" s="106" t="s">
        <v>1411</v>
      </c>
      <c r="H473" s="106" t="n">
        <v>0</v>
      </c>
      <c r="I473" s="106" t="s">
        <v>6799</v>
      </c>
      <c r="J473" s="106" t="s">
        <v>6794</v>
      </c>
      <c r="K473" s="106" t="s">
        <v>6793</v>
      </c>
      <c r="L473" s="106" t="s">
        <v>6794</v>
      </c>
      <c r="M473" s="117"/>
      <c r="N473" s="106" t="n">
        <v>0</v>
      </c>
      <c r="O473" s="106"/>
      <c r="P473" s="27" t="s">
        <v>6818</v>
      </c>
    </row>
    <row r="474" customFormat="false" ht="15" hidden="false" customHeight="false" outlineLevel="0" collapsed="false">
      <c r="A474" s="106" t="s">
        <v>7239</v>
      </c>
      <c r="B474" s="106" t="s">
        <v>6792</v>
      </c>
      <c r="C474" s="106" t="s">
        <v>185</v>
      </c>
      <c r="D474" s="107"/>
      <c r="E474" s="107" t="n">
        <v>815.314285714286</v>
      </c>
      <c r="F474" s="130" t="n">
        <v>0.55</v>
      </c>
      <c r="G474" s="106" t="s">
        <v>1411</v>
      </c>
      <c r="H474" s="106" t="n">
        <v>0</v>
      </c>
      <c r="I474" s="106" t="s">
        <v>6793</v>
      </c>
      <c r="J474" s="106" t="s">
        <v>6794</v>
      </c>
      <c r="K474" s="106" t="s">
        <v>6793</v>
      </c>
      <c r="L474" s="106" t="s">
        <v>6794</v>
      </c>
      <c r="M474" s="117"/>
      <c r="N474" s="106" t="n">
        <v>0</v>
      </c>
      <c r="O474" s="106"/>
      <c r="P474" s="27" t="s">
        <v>6818</v>
      </c>
    </row>
    <row r="475" customFormat="false" ht="15" hidden="false" customHeight="false" outlineLevel="0" collapsed="false">
      <c r="A475" s="106" t="s">
        <v>7240</v>
      </c>
      <c r="B475" s="106" t="s">
        <v>6792</v>
      </c>
      <c r="C475" s="106"/>
      <c r="D475" s="107"/>
      <c r="E475" s="107" t="n">
        <v>815.314285714286</v>
      </c>
      <c r="F475" s="130" t="n">
        <v>0.38</v>
      </c>
      <c r="G475" s="106" t="s">
        <v>1411</v>
      </c>
      <c r="H475" s="106" t="n">
        <v>0</v>
      </c>
      <c r="I475" s="106" t="s">
        <v>6799</v>
      </c>
      <c r="J475" s="106" t="s">
        <v>6794</v>
      </c>
      <c r="K475" s="106" t="s">
        <v>6793</v>
      </c>
      <c r="L475" s="106" t="s">
        <v>6794</v>
      </c>
      <c r="M475" s="117"/>
      <c r="N475" s="106" t="n">
        <v>0</v>
      </c>
      <c r="O475" s="106"/>
      <c r="P475" s="27" t="s">
        <v>6818</v>
      </c>
    </row>
    <row r="476" customFormat="false" ht="15" hidden="false" customHeight="false" outlineLevel="0" collapsed="false">
      <c r="A476" s="106" t="s">
        <v>7241</v>
      </c>
      <c r="B476" s="106" t="s">
        <v>6792</v>
      </c>
      <c r="C476" s="106" t="s">
        <v>185</v>
      </c>
      <c r="D476" s="107"/>
      <c r="E476" s="107" t="n">
        <v>804.771428571429</v>
      </c>
      <c r="F476" s="130" t="n">
        <v>0.45</v>
      </c>
      <c r="G476" s="106" t="s">
        <v>1411</v>
      </c>
      <c r="H476" s="106" t="n">
        <v>0</v>
      </c>
      <c r="I476" s="106" t="s">
        <v>6794</v>
      </c>
      <c r="J476" s="106" t="s">
        <v>6794</v>
      </c>
      <c r="K476" s="106" t="s">
        <v>6793</v>
      </c>
      <c r="L476" s="106" t="s">
        <v>6793</v>
      </c>
      <c r="M476" s="117"/>
      <c r="N476" s="106" t="n">
        <v>0</v>
      </c>
      <c r="O476" s="106"/>
      <c r="P476" s="27" t="s">
        <v>6805</v>
      </c>
    </row>
    <row r="477" customFormat="false" ht="15" hidden="false" customHeight="false" outlineLevel="0" collapsed="false">
      <c r="A477" s="106" t="s">
        <v>7242</v>
      </c>
      <c r="B477" s="106" t="s">
        <v>6792</v>
      </c>
      <c r="C477" s="106" t="s">
        <v>696</v>
      </c>
      <c r="D477" s="107"/>
      <c r="E477" s="107" t="n">
        <v>804.771428571429</v>
      </c>
      <c r="F477" s="130" t="n">
        <v>0.45</v>
      </c>
      <c r="G477" s="106" t="s">
        <v>1411</v>
      </c>
      <c r="H477" s="106" t="n">
        <v>0</v>
      </c>
      <c r="I477" s="106" t="s">
        <v>6794</v>
      </c>
      <c r="J477" s="106" t="s">
        <v>6794</v>
      </c>
      <c r="K477" s="106" t="s">
        <v>6793</v>
      </c>
      <c r="L477" s="106" t="s">
        <v>6793</v>
      </c>
      <c r="M477" s="117"/>
      <c r="N477" s="106" t="n">
        <v>0</v>
      </c>
      <c r="O477" s="106"/>
      <c r="P477" s="27" t="s">
        <v>6805</v>
      </c>
    </row>
    <row r="478" customFormat="false" ht="15" hidden="false" customHeight="false" outlineLevel="0" collapsed="false">
      <c r="A478" s="106" t="s">
        <v>7243</v>
      </c>
      <c r="B478" s="106" t="s">
        <v>6792</v>
      </c>
      <c r="C478" s="106"/>
      <c r="D478" s="107"/>
      <c r="E478" s="107" t="n">
        <v>794.228571428572</v>
      </c>
      <c r="F478" s="130" t="n">
        <v>0.4</v>
      </c>
      <c r="G478" s="106" t="s">
        <v>1411</v>
      </c>
      <c r="H478" s="106" t="n">
        <v>0</v>
      </c>
      <c r="I478" s="106" t="s">
        <v>6794</v>
      </c>
      <c r="J478" s="106" t="s">
        <v>6794</v>
      </c>
      <c r="K478" s="106" t="s">
        <v>6793</v>
      </c>
      <c r="L478" s="106" t="s">
        <v>6793</v>
      </c>
      <c r="M478" s="117"/>
      <c r="N478" s="106" t="n">
        <v>0</v>
      </c>
      <c r="O478" s="106"/>
      <c r="P478" s="27" t="s">
        <v>6805</v>
      </c>
    </row>
    <row r="479" customFormat="false" ht="15" hidden="false" customHeight="false" outlineLevel="0" collapsed="false">
      <c r="A479" s="106" t="s">
        <v>7244</v>
      </c>
      <c r="B479" s="106" t="s">
        <v>6792</v>
      </c>
      <c r="C479" s="106" t="s">
        <v>185</v>
      </c>
      <c r="D479" s="107"/>
      <c r="E479" s="107" t="n">
        <v>794.228571428572</v>
      </c>
      <c r="F479" s="130" t="n">
        <v>0.45</v>
      </c>
      <c r="G479" s="106" t="s">
        <v>1411</v>
      </c>
      <c r="H479" s="106" t="n">
        <v>0</v>
      </c>
      <c r="I479" s="106" t="s">
        <v>6794</v>
      </c>
      <c r="J479" s="106" t="s">
        <v>6794</v>
      </c>
      <c r="K479" s="106" t="s">
        <v>6793</v>
      </c>
      <c r="L479" s="106" t="s">
        <v>6793</v>
      </c>
      <c r="M479" s="117"/>
      <c r="N479" s="106" t="n">
        <v>0</v>
      </c>
      <c r="O479" s="106"/>
      <c r="P479" s="27" t="s">
        <v>6805</v>
      </c>
    </row>
    <row r="480" customFormat="false" ht="15" hidden="false" customHeight="false" outlineLevel="0" collapsed="false">
      <c r="A480" s="106" t="s">
        <v>7245</v>
      </c>
      <c r="B480" s="106" t="s">
        <v>6792</v>
      </c>
      <c r="C480" s="106" t="s">
        <v>479</v>
      </c>
      <c r="D480" s="107"/>
      <c r="E480" s="107" t="n">
        <v>794.228571428572</v>
      </c>
      <c r="F480" s="130" t="n">
        <v>0.55</v>
      </c>
      <c r="G480" s="106" t="s">
        <v>1411</v>
      </c>
      <c r="H480" s="106" t="n">
        <v>0</v>
      </c>
      <c r="I480" s="106" t="s">
        <v>6793</v>
      </c>
      <c r="J480" s="106" t="s">
        <v>6794</v>
      </c>
      <c r="K480" s="106" t="s">
        <v>6793</v>
      </c>
      <c r="L480" s="106" t="s">
        <v>6794</v>
      </c>
      <c r="M480" s="117"/>
      <c r="N480" s="106" t="n">
        <v>0</v>
      </c>
      <c r="O480" s="106"/>
      <c r="P480" s="27" t="s">
        <v>6818</v>
      </c>
    </row>
    <row r="481" customFormat="false" ht="15" hidden="false" customHeight="false" outlineLevel="0" collapsed="false">
      <c r="A481" s="106" t="s">
        <v>7246</v>
      </c>
      <c r="B481" s="106" t="s">
        <v>6792</v>
      </c>
      <c r="C481" s="106" t="s">
        <v>560</v>
      </c>
      <c r="D481" s="107"/>
      <c r="E481" s="107" t="n">
        <v>783.685714285714</v>
      </c>
      <c r="F481" s="130" t="n">
        <v>0.45</v>
      </c>
      <c r="G481" s="106" t="s">
        <v>1411</v>
      </c>
      <c r="H481" s="106" t="n">
        <v>0</v>
      </c>
      <c r="I481" s="106" t="s">
        <v>6794</v>
      </c>
      <c r="J481" s="106" t="s">
        <v>6794</v>
      </c>
      <c r="K481" s="106" t="s">
        <v>6793</v>
      </c>
      <c r="L481" s="106" t="s">
        <v>6793</v>
      </c>
      <c r="M481" s="117"/>
      <c r="N481" s="106" t="n">
        <v>0</v>
      </c>
      <c r="O481" s="106"/>
      <c r="P481" s="27" t="s">
        <v>6805</v>
      </c>
    </row>
    <row r="482" customFormat="false" ht="15" hidden="false" customHeight="false" outlineLevel="0" collapsed="false">
      <c r="A482" s="106" t="s">
        <v>7247</v>
      </c>
      <c r="B482" s="106" t="s">
        <v>6792</v>
      </c>
      <c r="C482" s="106" t="s">
        <v>479</v>
      </c>
      <c r="D482" s="107"/>
      <c r="E482" s="107" t="n">
        <v>783.685714285714</v>
      </c>
      <c r="F482" s="130" t="n">
        <v>0.45</v>
      </c>
      <c r="G482" s="106" t="s">
        <v>1411</v>
      </c>
      <c r="H482" s="106" t="n">
        <v>0</v>
      </c>
      <c r="I482" s="106" t="s">
        <v>6794</v>
      </c>
      <c r="J482" s="106" t="s">
        <v>6794</v>
      </c>
      <c r="K482" s="106" t="s">
        <v>6793</v>
      </c>
      <c r="L482" s="106" t="s">
        <v>6793</v>
      </c>
      <c r="M482" s="117"/>
      <c r="N482" s="106" t="n">
        <v>0</v>
      </c>
      <c r="O482" s="106"/>
      <c r="P482" s="27" t="s">
        <v>6805</v>
      </c>
    </row>
    <row r="483" customFormat="false" ht="15" hidden="false" customHeight="false" outlineLevel="0" collapsed="false">
      <c r="A483" s="106" t="s">
        <v>7248</v>
      </c>
      <c r="B483" s="106" t="s">
        <v>6792</v>
      </c>
      <c r="C483" s="106" t="s">
        <v>185</v>
      </c>
      <c r="D483" s="107"/>
      <c r="E483" s="107" t="n">
        <v>783.685714285714</v>
      </c>
      <c r="F483" s="130" t="n">
        <v>0.45</v>
      </c>
      <c r="G483" s="106" t="s">
        <v>1411</v>
      </c>
      <c r="H483" s="106" t="n">
        <v>0</v>
      </c>
      <c r="I483" s="106" t="s">
        <v>6794</v>
      </c>
      <c r="J483" s="106" t="s">
        <v>6794</v>
      </c>
      <c r="K483" s="106" t="s">
        <v>6793</v>
      </c>
      <c r="L483" s="106" t="s">
        <v>6793</v>
      </c>
      <c r="M483" s="117"/>
      <c r="N483" s="106" t="n">
        <v>0</v>
      </c>
      <c r="O483" s="106"/>
      <c r="P483" s="27" t="s">
        <v>6805</v>
      </c>
    </row>
    <row r="484" customFormat="false" ht="15" hidden="false" customHeight="false" outlineLevel="0" collapsed="false">
      <c r="A484" s="106" t="s">
        <v>7249</v>
      </c>
      <c r="B484" s="106" t="s">
        <v>6792</v>
      </c>
      <c r="C484" s="106"/>
      <c r="D484" s="107" t="n">
        <v>1023</v>
      </c>
      <c r="E484" s="107" t="n">
        <v>777.48</v>
      </c>
      <c r="F484" s="130" t="n">
        <v>0.7</v>
      </c>
      <c r="G484" s="106" t="s">
        <v>1411</v>
      </c>
      <c r="H484" s="106" t="n">
        <v>0</v>
      </c>
      <c r="I484" s="106" t="s">
        <v>6794</v>
      </c>
      <c r="J484" s="106" t="s">
        <v>6793</v>
      </c>
      <c r="K484" s="106" t="s">
        <v>6793</v>
      </c>
      <c r="L484" s="106" t="s">
        <v>6793</v>
      </c>
      <c r="M484" s="117"/>
      <c r="N484" s="106" t="n">
        <v>0</v>
      </c>
      <c r="O484" s="106"/>
      <c r="P484" s="27" t="s">
        <v>6885</v>
      </c>
    </row>
    <row r="485" customFormat="false" ht="15" hidden="false" customHeight="false" outlineLevel="0" collapsed="false">
      <c r="A485" s="106" t="s">
        <v>7250</v>
      </c>
      <c r="B485" s="106" t="s">
        <v>6792</v>
      </c>
      <c r="C485" s="106"/>
      <c r="D485" s="107"/>
      <c r="E485" s="107" t="n">
        <v>773.142857142857</v>
      </c>
      <c r="F485" s="130" t="n">
        <v>0.38</v>
      </c>
      <c r="G485" s="106" t="s">
        <v>1411</v>
      </c>
      <c r="H485" s="106" t="n">
        <v>0</v>
      </c>
      <c r="I485" s="106" t="s">
        <v>6799</v>
      </c>
      <c r="J485" s="106" t="s">
        <v>6794</v>
      </c>
      <c r="K485" s="106" t="s">
        <v>6793</v>
      </c>
      <c r="L485" s="106" t="s">
        <v>6794</v>
      </c>
      <c r="M485" s="117"/>
      <c r="N485" s="106" t="n">
        <v>0</v>
      </c>
      <c r="O485" s="106"/>
      <c r="P485" s="27" t="s">
        <v>6818</v>
      </c>
    </row>
    <row r="486" customFormat="false" ht="15" hidden="false" customHeight="false" outlineLevel="0" collapsed="false">
      <c r="A486" s="106" t="s">
        <v>7251</v>
      </c>
      <c r="B486" s="106" t="s">
        <v>6792</v>
      </c>
      <c r="C486" s="106"/>
      <c r="D486" s="107" t="n">
        <v>173</v>
      </c>
      <c r="E486" s="107" t="n">
        <v>773.142857142857</v>
      </c>
      <c r="F486" s="130" t="n">
        <v>0.8</v>
      </c>
      <c r="G486" s="106" t="s">
        <v>1411</v>
      </c>
      <c r="H486" s="106" t="n">
        <v>0.5</v>
      </c>
      <c r="I486" s="106" t="s">
        <v>6793</v>
      </c>
      <c r="J486" s="106" t="s">
        <v>6793</v>
      </c>
      <c r="K486" s="106" t="s">
        <v>6793</v>
      </c>
      <c r="L486" s="106" t="s">
        <v>6794</v>
      </c>
      <c r="M486" s="117"/>
      <c r="N486" s="106" t="n">
        <v>0</v>
      </c>
      <c r="O486" s="106"/>
      <c r="P486" s="27" t="s">
        <v>7252</v>
      </c>
    </row>
    <row r="487" customFormat="false" ht="15" hidden="false" customHeight="false" outlineLevel="0" collapsed="false">
      <c r="A487" s="106" t="s">
        <v>7253</v>
      </c>
      <c r="B487" s="106" t="s">
        <v>6792</v>
      </c>
      <c r="C487" s="106"/>
      <c r="D487" s="107"/>
      <c r="E487" s="107" t="n">
        <v>773.142857142857</v>
      </c>
      <c r="F487" s="130" t="n">
        <v>0.5</v>
      </c>
      <c r="G487" s="106" t="s">
        <v>1411</v>
      </c>
      <c r="H487" s="106" t="n">
        <v>0</v>
      </c>
      <c r="I487" s="106" t="s">
        <v>6793</v>
      </c>
      <c r="J487" s="106" t="s">
        <v>6794</v>
      </c>
      <c r="K487" s="106" t="s">
        <v>6793</v>
      </c>
      <c r="L487" s="106" t="s">
        <v>6794</v>
      </c>
      <c r="M487" s="117"/>
      <c r="N487" s="106" t="n">
        <v>0</v>
      </c>
      <c r="O487" s="106"/>
      <c r="P487" s="27" t="s">
        <v>6818</v>
      </c>
    </row>
    <row r="488" customFormat="false" ht="15" hidden="false" customHeight="false" outlineLevel="0" collapsed="false">
      <c r="A488" s="106" t="s">
        <v>7254</v>
      </c>
      <c r="B488" s="106" t="s">
        <v>6792</v>
      </c>
      <c r="C488" s="106"/>
      <c r="D488" s="107"/>
      <c r="E488" s="107" t="n">
        <v>773.142857142857</v>
      </c>
      <c r="F488" s="130" t="n">
        <v>0.65</v>
      </c>
      <c r="G488" s="106" t="s">
        <v>1411</v>
      </c>
      <c r="H488" s="106" t="n">
        <v>0</v>
      </c>
      <c r="I488" s="106" t="s">
        <v>6793</v>
      </c>
      <c r="J488" s="106" t="s">
        <v>6794</v>
      </c>
      <c r="K488" s="106" t="s">
        <v>6793</v>
      </c>
      <c r="L488" s="106" t="s">
        <v>6793</v>
      </c>
      <c r="M488" s="117"/>
      <c r="N488" s="106" t="n">
        <v>0</v>
      </c>
      <c r="O488" s="106"/>
      <c r="P488" s="27" t="s">
        <v>6795</v>
      </c>
    </row>
    <row r="489" customFormat="false" ht="15" hidden="false" customHeight="false" outlineLevel="0" collapsed="false">
      <c r="A489" s="106" t="s">
        <v>7255</v>
      </c>
      <c r="B489" s="106" t="s">
        <v>6792</v>
      </c>
      <c r="C489" s="106"/>
      <c r="D489" s="107"/>
      <c r="E489" s="107" t="n">
        <v>773.142857142857</v>
      </c>
      <c r="F489" s="130" t="n">
        <v>0.4</v>
      </c>
      <c r="G489" s="106" t="s">
        <v>1411</v>
      </c>
      <c r="H489" s="106" t="n">
        <v>0</v>
      </c>
      <c r="I489" s="106" t="s">
        <v>6794</v>
      </c>
      <c r="J489" s="106" t="s">
        <v>6794</v>
      </c>
      <c r="K489" s="106" t="s">
        <v>6793</v>
      </c>
      <c r="L489" s="106" t="s">
        <v>6793</v>
      </c>
      <c r="M489" s="117"/>
      <c r="N489" s="106" t="n">
        <v>0</v>
      </c>
      <c r="O489" s="106"/>
      <c r="P489" s="27" t="s">
        <v>6805</v>
      </c>
    </row>
    <row r="490" customFormat="false" ht="15" hidden="false" customHeight="false" outlineLevel="0" collapsed="false">
      <c r="A490" s="106" t="s">
        <v>7256</v>
      </c>
      <c r="B490" s="106" t="s">
        <v>6792</v>
      </c>
      <c r="C490" s="106"/>
      <c r="D490" s="107"/>
      <c r="E490" s="107" t="n">
        <v>773.142857142857</v>
      </c>
      <c r="F490" s="130" t="n">
        <v>0.5</v>
      </c>
      <c r="G490" s="106" t="s">
        <v>1411</v>
      </c>
      <c r="H490" s="106" t="n">
        <v>0</v>
      </c>
      <c r="I490" s="106" t="s">
        <v>6793</v>
      </c>
      <c r="J490" s="106" t="s">
        <v>6794</v>
      </c>
      <c r="K490" s="106" t="s">
        <v>6793</v>
      </c>
      <c r="L490" s="106" t="s">
        <v>6794</v>
      </c>
      <c r="M490" s="117"/>
      <c r="N490" s="106" t="n">
        <v>0</v>
      </c>
      <c r="O490" s="106"/>
      <c r="P490" s="27" t="s">
        <v>6818</v>
      </c>
    </row>
    <row r="491" customFormat="false" ht="15" hidden="false" customHeight="false" outlineLevel="0" collapsed="false">
      <c r="A491" s="106" t="s">
        <v>7257</v>
      </c>
      <c r="B491" s="106" t="s">
        <v>6792</v>
      </c>
      <c r="C491" s="106"/>
      <c r="D491" s="107"/>
      <c r="E491" s="107" t="n">
        <v>766.114285714286</v>
      </c>
      <c r="F491" s="130" t="n">
        <v>0.5</v>
      </c>
      <c r="G491" s="106" t="s">
        <v>1411</v>
      </c>
      <c r="H491" s="106" t="n">
        <v>0</v>
      </c>
      <c r="I491" s="106" t="s">
        <v>6793</v>
      </c>
      <c r="J491" s="106" t="s">
        <v>6794</v>
      </c>
      <c r="K491" s="106" t="s">
        <v>6793</v>
      </c>
      <c r="L491" s="106" t="s">
        <v>6794</v>
      </c>
      <c r="M491" s="117"/>
      <c r="N491" s="106" t="n">
        <v>0</v>
      </c>
      <c r="O491" s="106"/>
      <c r="P491" s="27" t="s">
        <v>6818</v>
      </c>
    </row>
    <row r="492" customFormat="false" ht="15" hidden="false" customHeight="false" outlineLevel="0" collapsed="false">
      <c r="A492" s="106" t="s">
        <v>7258</v>
      </c>
      <c r="B492" s="106" t="s">
        <v>6792</v>
      </c>
      <c r="C492" s="106"/>
      <c r="D492" s="107"/>
      <c r="E492" s="107" t="n">
        <v>766.114285714286</v>
      </c>
      <c r="F492" s="130" t="n">
        <v>0.38</v>
      </c>
      <c r="G492" s="106" t="s">
        <v>1411</v>
      </c>
      <c r="H492" s="106" t="n">
        <v>0</v>
      </c>
      <c r="I492" s="106" t="s">
        <v>6799</v>
      </c>
      <c r="J492" s="106" t="s">
        <v>6794</v>
      </c>
      <c r="K492" s="106" t="s">
        <v>6793</v>
      </c>
      <c r="L492" s="106" t="s">
        <v>6794</v>
      </c>
      <c r="M492" s="117"/>
      <c r="N492" s="106" t="n">
        <v>0</v>
      </c>
      <c r="O492" s="106"/>
      <c r="P492" s="27" t="s">
        <v>6818</v>
      </c>
    </row>
    <row r="493" customFormat="false" ht="15" hidden="false" customHeight="false" outlineLevel="0" collapsed="false">
      <c r="A493" s="106" t="s">
        <v>7259</v>
      </c>
      <c r="B493" s="106" t="s">
        <v>6792</v>
      </c>
      <c r="C493" s="106" t="s">
        <v>185</v>
      </c>
      <c r="D493" s="107"/>
      <c r="E493" s="107" t="n">
        <v>766.114285714286</v>
      </c>
      <c r="F493" s="130" t="n">
        <v>0.55</v>
      </c>
      <c r="G493" s="106" t="s">
        <v>1411</v>
      </c>
      <c r="H493" s="106" t="n">
        <v>0</v>
      </c>
      <c r="I493" s="106" t="s">
        <v>6793</v>
      </c>
      <c r="J493" s="106" t="s">
        <v>6794</v>
      </c>
      <c r="K493" s="106" t="s">
        <v>6793</v>
      </c>
      <c r="L493" s="106" t="s">
        <v>6794</v>
      </c>
      <c r="M493" s="117"/>
      <c r="N493" s="106" t="n">
        <v>0</v>
      </c>
      <c r="O493" s="106"/>
      <c r="P493" s="27" t="s">
        <v>6818</v>
      </c>
    </row>
    <row r="494" customFormat="false" ht="15" hidden="false" customHeight="false" outlineLevel="0" collapsed="false">
      <c r="A494" s="106" t="s">
        <v>7260</v>
      </c>
      <c r="B494" s="106" t="s">
        <v>6792</v>
      </c>
      <c r="C494" s="106"/>
      <c r="D494" s="107"/>
      <c r="E494" s="107" t="n">
        <v>766.114285714286</v>
      </c>
      <c r="F494" s="130" t="n">
        <v>0.5</v>
      </c>
      <c r="G494" s="106" t="s">
        <v>1411</v>
      </c>
      <c r="H494" s="106" t="n">
        <v>0</v>
      </c>
      <c r="I494" s="106" t="s">
        <v>6793</v>
      </c>
      <c r="J494" s="106" t="s">
        <v>6794</v>
      </c>
      <c r="K494" s="106" t="s">
        <v>6793</v>
      </c>
      <c r="L494" s="106" t="s">
        <v>6794</v>
      </c>
      <c r="M494" s="117"/>
      <c r="N494" s="106" t="n">
        <v>0</v>
      </c>
      <c r="O494" s="106"/>
      <c r="P494" s="27" t="s">
        <v>6818</v>
      </c>
    </row>
    <row r="495" customFormat="false" ht="15" hidden="false" customHeight="false" outlineLevel="0" collapsed="false">
      <c r="A495" s="106" t="s">
        <v>7261</v>
      </c>
      <c r="B495" s="106" t="s">
        <v>6792</v>
      </c>
      <c r="C495" s="106"/>
      <c r="D495" s="107"/>
      <c r="E495" s="107" t="n">
        <v>755.571428571428</v>
      </c>
      <c r="F495" s="130" t="n">
        <v>0.4</v>
      </c>
      <c r="G495" s="106" t="s">
        <v>1411</v>
      </c>
      <c r="H495" s="106" t="n">
        <v>0</v>
      </c>
      <c r="I495" s="106" t="s">
        <v>6794</v>
      </c>
      <c r="J495" s="106" t="s">
        <v>6794</v>
      </c>
      <c r="K495" s="106" t="s">
        <v>6793</v>
      </c>
      <c r="L495" s="106" t="s">
        <v>6793</v>
      </c>
      <c r="M495" s="117"/>
      <c r="N495" s="106" t="n">
        <v>0</v>
      </c>
      <c r="O495" s="106"/>
      <c r="P495" s="27" t="s">
        <v>6805</v>
      </c>
    </row>
    <row r="496" customFormat="false" ht="15" hidden="false" customHeight="false" outlineLevel="0" collapsed="false">
      <c r="A496" s="106" t="s">
        <v>7262</v>
      </c>
      <c r="B496" s="106" t="s">
        <v>6792</v>
      </c>
      <c r="C496" s="106" t="s">
        <v>185</v>
      </c>
      <c r="D496" s="107"/>
      <c r="E496" s="107" t="n">
        <v>755.571428571428</v>
      </c>
      <c r="F496" s="130" t="n">
        <v>0.55</v>
      </c>
      <c r="G496" s="106" t="s">
        <v>1411</v>
      </c>
      <c r="H496" s="106" t="n">
        <v>0</v>
      </c>
      <c r="I496" s="106" t="s">
        <v>6793</v>
      </c>
      <c r="J496" s="106" t="s">
        <v>6794</v>
      </c>
      <c r="K496" s="106" t="s">
        <v>6793</v>
      </c>
      <c r="L496" s="106" t="s">
        <v>6794</v>
      </c>
      <c r="M496" s="117"/>
      <c r="N496" s="106" t="n">
        <v>0</v>
      </c>
      <c r="O496" s="106"/>
      <c r="P496" s="27" t="s">
        <v>6818</v>
      </c>
    </row>
    <row r="497" customFormat="false" ht="15" hidden="false" customHeight="false" outlineLevel="0" collapsed="false">
      <c r="A497" s="106" t="s">
        <v>7263</v>
      </c>
      <c r="B497" s="106" t="s">
        <v>6792</v>
      </c>
      <c r="C497" s="106" t="s">
        <v>479</v>
      </c>
      <c r="D497" s="107"/>
      <c r="E497" s="107" t="n">
        <v>745.028571428572</v>
      </c>
      <c r="F497" s="130" t="n">
        <v>0.45</v>
      </c>
      <c r="G497" s="106" t="s">
        <v>1411</v>
      </c>
      <c r="H497" s="106" t="n">
        <v>0</v>
      </c>
      <c r="I497" s="106" t="s">
        <v>6794</v>
      </c>
      <c r="J497" s="106" t="s">
        <v>6794</v>
      </c>
      <c r="K497" s="106" t="s">
        <v>6793</v>
      </c>
      <c r="L497" s="106" t="s">
        <v>6793</v>
      </c>
      <c r="M497" s="117"/>
      <c r="N497" s="106" t="n">
        <v>0</v>
      </c>
      <c r="O497" s="106"/>
      <c r="P497" s="27" t="s">
        <v>6805</v>
      </c>
    </row>
    <row r="498" customFormat="false" ht="15" hidden="false" customHeight="false" outlineLevel="0" collapsed="false">
      <c r="A498" s="106" t="s">
        <v>7264</v>
      </c>
      <c r="B498" s="106" t="s">
        <v>6792</v>
      </c>
      <c r="C498" s="106" t="s">
        <v>479</v>
      </c>
      <c r="D498" s="107"/>
      <c r="E498" s="107" t="n">
        <v>745.028571428572</v>
      </c>
      <c r="F498" s="130" t="n">
        <v>0.45</v>
      </c>
      <c r="G498" s="106" t="s">
        <v>1411</v>
      </c>
      <c r="H498" s="106" t="n">
        <v>0</v>
      </c>
      <c r="I498" s="106" t="s">
        <v>6794</v>
      </c>
      <c r="J498" s="106" t="s">
        <v>6794</v>
      </c>
      <c r="K498" s="106" t="s">
        <v>6793</v>
      </c>
      <c r="L498" s="106" t="s">
        <v>6793</v>
      </c>
      <c r="M498" s="117"/>
      <c r="N498" s="106" t="n">
        <v>0</v>
      </c>
      <c r="O498" s="106"/>
      <c r="P498" s="27" t="s">
        <v>6805</v>
      </c>
    </row>
    <row r="499" customFormat="false" ht="15" hidden="false" customHeight="false" outlineLevel="0" collapsed="false">
      <c r="A499" s="106" t="s">
        <v>7265</v>
      </c>
      <c r="B499" s="106" t="s">
        <v>6792</v>
      </c>
      <c r="C499" s="106" t="s">
        <v>560</v>
      </c>
      <c r="D499" s="107"/>
      <c r="E499" s="107" t="n">
        <v>745.028571428572</v>
      </c>
      <c r="F499" s="130" t="n">
        <v>0.45</v>
      </c>
      <c r="G499" s="106" t="s">
        <v>1411</v>
      </c>
      <c r="H499" s="106" t="n">
        <v>0</v>
      </c>
      <c r="I499" s="106" t="s">
        <v>6794</v>
      </c>
      <c r="J499" s="106" t="s">
        <v>6794</v>
      </c>
      <c r="K499" s="106" t="s">
        <v>6793</v>
      </c>
      <c r="L499" s="106" t="s">
        <v>6793</v>
      </c>
      <c r="M499" s="117"/>
      <c r="N499" s="106" t="n">
        <v>0</v>
      </c>
      <c r="O499" s="106"/>
      <c r="P499" s="27" t="s">
        <v>6805</v>
      </c>
    </row>
    <row r="500" customFormat="false" ht="15" hidden="false" customHeight="false" outlineLevel="0" collapsed="false">
      <c r="A500" s="106" t="s">
        <v>7266</v>
      </c>
      <c r="B500" s="106" t="s">
        <v>6792</v>
      </c>
      <c r="C500" s="106"/>
      <c r="D500" s="107"/>
      <c r="E500" s="107" t="n">
        <v>734.485714285714</v>
      </c>
      <c r="F500" s="130" t="n">
        <v>0.5</v>
      </c>
      <c r="G500" s="106" t="s">
        <v>1411</v>
      </c>
      <c r="H500" s="106" t="n">
        <v>0</v>
      </c>
      <c r="I500" s="106" t="s">
        <v>6793</v>
      </c>
      <c r="J500" s="106" t="s">
        <v>6794</v>
      </c>
      <c r="K500" s="106" t="s">
        <v>6793</v>
      </c>
      <c r="L500" s="106" t="s">
        <v>6794</v>
      </c>
      <c r="M500" s="117"/>
      <c r="N500" s="106" t="n">
        <v>0</v>
      </c>
      <c r="O500" s="106"/>
      <c r="P500" s="27" t="s">
        <v>6818</v>
      </c>
    </row>
    <row r="501" customFormat="false" ht="15" hidden="false" customHeight="false" outlineLevel="0" collapsed="false">
      <c r="A501" s="106" t="s">
        <v>7267</v>
      </c>
      <c r="B501" s="106" t="s">
        <v>6792</v>
      </c>
      <c r="C501" s="106"/>
      <c r="D501" s="107"/>
      <c r="E501" s="107" t="n">
        <v>734.485714285714</v>
      </c>
      <c r="F501" s="130" t="n">
        <v>0.58</v>
      </c>
      <c r="G501" s="106" t="s">
        <v>1411</v>
      </c>
      <c r="H501" s="106" t="n">
        <v>0</v>
      </c>
      <c r="I501" s="106" t="s">
        <v>6793</v>
      </c>
      <c r="J501" s="106" t="s">
        <v>6794</v>
      </c>
      <c r="K501" s="106" t="s">
        <v>6793</v>
      </c>
      <c r="L501" s="106" t="s">
        <v>6799</v>
      </c>
      <c r="M501" s="117"/>
      <c r="N501" s="106" t="n">
        <v>0</v>
      </c>
      <c r="O501" s="106"/>
      <c r="P501" s="27" t="s">
        <v>6795</v>
      </c>
    </row>
    <row r="502" customFormat="false" ht="15" hidden="false" customHeight="false" outlineLevel="0" collapsed="false">
      <c r="A502" s="106" t="s">
        <v>7268</v>
      </c>
      <c r="B502" s="106" t="s">
        <v>6792</v>
      </c>
      <c r="C502" s="106" t="s">
        <v>560</v>
      </c>
      <c r="D502" s="107"/>
      <c r="E502" s="107" t="n">
        <v>723.942857142857</v>
      </c>
      <c r="F502" s="130" t="n">
        <v>0.45</v>
      </c>
      <c r="G502" s="106" t="s">
        <v>1411</v>
      </c>
      <c r="H502" s="106" t="n">
        <v>0</v>
      </c>
      <c r="I502" s="106" t="s">
        <v>6794</v>
      </c>
      <c r="J502" s="106" t="s">
        <v>6794</v>
      </c>
      <c r="K502" s="106" t="s">
        <v>6793</v>
      </c>
      <c r="L502" s="106" t="s">
        <v>6793</v>
      </c>
      <c r="M502" s="117"/>
      <c r="N502" s="106" t="n">
        <v>0</v>
      </c>
      <c r="O502" s="106"/>
      <c r="P502" s="27" t="s">
        <v>6805</v>
      </c>
    </row>
    <row r="503" customFormat="false" ht="15" hidden="false" customHeight="false" outlineLevel="0" collapsed="false">
      <c r="A503" s="106" t="s">
        <v>7269</v>
      </c>
      <c r="B503" s="106" t="s">
        <v>6792</v>
      </c>
      <c r="C503" s="106" t="s">
        <v>185</v>
      </c>
      <c r="D503" s="107"/>
      <c r="E503" s="107" t="n">
        <v>723.942857142857</v>
      </c>
      <c r="F503" s="130" t="n">
        <v>0.55</v>
      </c>
      <c r="G503" s="106" t="s">
        <v>1411</v>
      </c>
      <c r="H503" s="106" t="n">
        <v>0</v>
      </c>
      <c r="I503" s="106" t="s">
        <v>6793</v>
      </c>
      <c r="J503" s="106" t="s">
        <v>6794</v>
      </c>
      <c r="K503" s="106" t="s">
        <v>6793</v>
      </c>
      <c r="L503" s="106" t="s">
        <v>6794</v>
      </c>
      <c r="M503" s="117"/>
      <c r="N503" s="106" t="n">
        <v>0</v>
      </c>
      <c r="O503" s="106"/>
      <c r="P503" s="27" t="s">
        <v>6818</v>
      </c>
    </row>
    <row r="504" customFormat="false" ht="15" hidden="false" customHeight="false" outlineLevel="0" collapsed="false">
      <c r="A504" s="106" t="s">
        <v>7270</v>
      </c>
      <c r="B504" s="106" t="s">
        <v>6792</v>
      </c>
      <c r="C504" s="106"/>
      <c r="D504" s="107"/>
      <c r="E504" s="107" t="n">
        <v>723.942857142857</v>
      </c>
      <c r="F504" s="130" t="n">
        <v>0.5</v>
      </c>
      <c r="G504" s="106" t="s">
        <v>1411</v>
      </c>
      <c r="H504" s="106" t="n">
        <v>0</v>
      </c>
      <c r="I504" s="106" t="s">
        <v>6793</v>
      </c>
      <c r="J504" s="106" t="s">
        <v>6794</v>
      </c>
      <c r="K504" s="106" t="s">
        <v>6793</v>
      </c>
      <c r="L504" s="106" t="s">
        <v>6794</v>
      </c>
      <c r="M504" s="117"/>
      <c r="N504" s="106" t="n">
        <v>0</v>
      </c>
      <c r="O504" s="106"/>
      <c r="P504" s="27" t="s">
        <v>6818</v>
      </c>
    </row>
    <row r="505" customFormat="false" ht="15" hidden="false" customHeight="false" outlineLevel="0" collapsed="false">
      <c r="A505" s="106" t="s">
        <v>7271</v>
      </c>
      <c r="B505" s="106" t="s">
        <v>6792</v>
      </c>
      <c r="C505" s="106"/>
      <c r="D505" s="107" t="n">
        <v>697</v>
      </c>
      <c r="E505" s="107" t="n">
        <v>723.942857142857</v>
      </c>
      <c r="F505" s="130" t="n">
        <v>0.58</v>
      </c>
      <c r="G505" s="106" t="s">
        <v>1411</v>
      </c>
      <c r="H505" s="106" t="n">
        <v>1</v>
      </c>
      <c r="I505" s="106" t="s">
        <v>6793</v>
      </c>
      <c r="J505" s="106" t="s">
        <v>6794</v>
      </c>
      <c r="K505" s="106" t="s">
        <v>6799</v>
      </c>
      <c r="L505" s="106" t="s">
        <v>6793</v>
      </c>
      <c r="M505" s="117"/>
      <c r="N505" s="106" t="n">
        <v>0</v>
      </c>
      <c r="O505" s="106"/>
      <c r="P505" s="27" t="s">
        <v>6795</v>
      </c>
    </row>
    <row r="506" customFormat="false" ht="15" hidden="false" customHeight="false" outlineLevel="0" collapsed="false">
      <c r="A506" s="106" t="s">
        <v>7272</v>
      </c>
      <c r="B506" s="106" t="s">
        <v>6792</v>
      </c>
      <c r="C506" s="106"/>
      <c r="D506" s="107"/>
      <c r="E506" s="107" t="n">
        <v>723.942857142857</v>
      </c>
      <c r="F506" s="130" t="n">
        <v>0.38</v>
      </c>
      <c r="G506" s="106" t="s">
        <v>1411</v>
      </c>
      <c r="H506" s="106" t="n">
        <v>0</v>
      </c>
      <c r="I506" s="106" t="s">
        <v>6799</v>
      </c>
      <c r="J506" s="106" t="s">
        <v>6794</v>
      </c>
      <c r="K506" s="106" t="s">
        <v>6793</v>
      </c>
      <c r="L506" s="106" t="s">
        <v>6794</v>
      </c>
      <c r="M506" s="117"/>
      <c r="N506" s="106" t="n">
        <v>0</v>
      </c>
      <c r="O506" s="106"/>
      <c r="P506" s="27" t="s">
        <v>6818</v>
      </c>
    </row>
    <row r="507" customFormat="false" ht="15" hidden="false" customHeight="false" outlineLevel="0" collapsed="false">
      <c r="A507" s="106" t="s">
        <v>7273</v>
      </c>
      <c r="B507" s="106" t="s">
        <v>6792</v>
      </c>
      <c r="C507" s="106"/>
      <c r="D507" s="107"/>
      <c r="E507" s="107" t="n">
        <v>723.942857142857</v>
      </c>
      <c r="F507" s="130" t="n">
        <v>0.5</v>
      </c>
      <c r="G507" s="106" t="s">
        <v>1411</v>
      </c>
      <c r="H507" s="106" t="n">
        <v>0</v>
      </c>
      <c r="I507" s="106" t="s">
        <v>6793</v>
      </c>
      <c r="J507" s="106" t="s">
        <v>6794</v>
      </c>
      <c r="K507" s="106" t="s">
        <v>6793</v>
      </c>
      <c r="L507" s="106" t="s">
        <v>6794</v>
      </c>
      <c r="M507" s="117"/>
      <c r="N507" s="106" t="n">
        <v>0</v>
      </c>
      <c r="O507" s="106"/>
      <c r="P507" s="27" t="s">
        <v>6818</v>
      </c>
    </row>
    <row r="508" customFormat="false" ht="15" hidden="false" customHeight="false" outlineLevel="0" collapsed="false">
      <c r="A508" s="106" t="s">
        <v>7274</v>
      </c>
      <c r="B508" s="106" t="s">
        <v>6792</v>
      </c>
      <c r="C508" s="106" t="s">
        <v>696</v>
      </c>
      <c r="D508" s="107"/>
      <c r="E508" s="107" t="n">
        <v>723.942857142857</v>
      </c>
      <c r="F508" s="130" t="n">
        <v>0.45</v>
      </c>
      <c r="G508" s="106" t="s">
        <v>1411</v>
      </c>
      <c r="H508" s="106" t="n">
        <v>0</v>
      </c>
      <c r="I508" s="106" t="s">
        <v>6794</v>
      </c>
      <c r="J508" s="106" t="s">
        <v>6794</v>
      </c>
      <c r="K508" s="106" t="s">
        <v>6793</v>
      </c>
      <c r="L508" s="106" t="s">
        <v>6793</v>
      </c>
      <c r="M508" s="117"/>
      <c r="N508" s="106" t="n">
        <v>0</v>
      </c>
      <c r="O508" s="106"/>
      <c r="P508" s="27" t="s">
        <v>6805</v>
      </c>
    </row>
    <row r="509" customFormat="false" ht="15" hidden="false" customHeight="false" outlineLevel="0" collapsed="false">
      <c r="A509" s="106" t="s">
        <v>7275</v>
      </c>
      <c r="B509" s="106" t="s">
        <v>6792</v>
      </c>
      <c r="C509" s="106"/>
      <c r="D509" s="107"/>
      <c r="E509" s="107" t="n">
        <v>713.4</v>
      </c>
      <c r="F509" s="130" t="n">
        <v>0.5</v>
      </c>
      <c r="G509" s="106" t="s">
        <v>1411</v>
      </c>
      <c r="H509" s="106" t="n">
        <v>0.5</v>
      </c>
      <c r="I509" s="106" t="s">
        <v>6793</v>
      </c>
      <c r="J509" s="106" t="s">
        <v>6794</v>
      </c>
      <c r="K509" s="106" t="s">
        <v>6793</v>
      </c>
      <c r="L509" s="106" t="s">
        <v>6794</v>
      </c>
      <c r="M509" s="117"/>
      <c r="N509" s="106" t="n">
        <v>0</v>
      </c>
      <c r="O509" s="106"/>
      <c r="P509" s="27" t="s">
        <v>6818</v>
      </c>
    </row>
    <row r="510" customFormat="false" ht="15" hidden="false" customHeight="false" outlineLevel="0" collapsed="false">
      <c r="A510" s="106" t="s">
        <v>7276</v>
      </c>
      <c r="B510" s="106" t="s">
        <v>6792</v>
      </c>
      <c r="C510" s="106" t="s">
        <v>560</v>
      </c>
      <c r="D510" s="107"/>
      <c r="E510" s="107" t="n">
        <v>713.4</v>
      </c>
      <c r="F510" s="130" t="n">
        <v>0.7</v>
      </c>
      <c r="G510" s="106" t="s">
        <v>1411</v>
      </c>
      <c r="H510" s="106" t="n">
        <v>0</v>
      </c>
      <c r="I510" s="106" t="s">
        <v>6793</v>
      </c>
      <c r="J510" s="106" t="s">
        <v>6794</v>
      </c>
      <c r="K510" s="106" t="s">
        <v>6793</v>
      </c>
      <c r="L510" s="106" t="s">
        <v>6793</v>
      </c>
      <c r="M510" s="117"/>
      <c r="N510" s="106" t="n">
        <v>0</v>
      </c>
      <c r="O510" s="106"/>
      <c r="P510" s="27" t="s">
        <v>6795</v>
      </c>
    </row>
    <row r="511" customFormat="false" ht="15" hidden="false" customHeight="false" outlineLevel="0" collapsed="false">
      <c r="A511" s="106" t="s">
        <v>7277</v>
      </c>
      <c r="B511" s="106" t="s">
        <v>6792</v>
      </c>
      <c r="C511" s="106" t="s">
        <v>185</v>
      </c>
      <c r="D511" s="107"/>
      <c r="E511" s="107" t="n">
        <v>713.4</v>
      </c>
      <c r="F511" s="130" t="n">
        <v>0.45</v>
      </c>
      <c r="G511" s="106" t="s">
        <v>1411</v>
      </c>
      <c r="H511" s="106" t="n">
        <v>0</v>
      </c>
      <c r="I511" s="106" t="s">
        <v>6794</v>
      </c>
      <c r="J511" s="106" t="s">
        <v>6794</v>
      </c>
      <c r="K511" s="106" t="s">
        <v>6793</v>
      </c>
      <c r="L511" s="106" t="s">
        <v>6793</v>
      </c>
      <c r="M511" s="117"/>
      <c r="N511" s="106" t="n">
        <v>0</v>
      </c>
      <c r="O511" s="106"/>
      <c r="P511" s="27" t="s">
        <v>6805</v>
      </c>
    </row>
    <row r="512" customFormat="false" ht="15" hidden="false" customHeight="false" outlineLevel="0" collapsed="false">
      <c r="A512" s="106" t="s">
        <v>7278</v>
      </c>
      <c r="B512" s="106" t="s">
        <v>6792</v>
      </c>
      <c r="C512" s="106" t="s">
        <v>696</v>
      </c>
      <c r="D512" s="107"/>
      <c r="E512" s="107" t="n">
        <v>713.4</v>
      </c>
      <c r="F512" s="130" t="n">
        <v>0.45</v>
      </c>
      <c r="G512" s="106" t="s">
        <v>1411</v>
      </c>
      <c r="H512" s="106" t="n">
        <v>0</v>
      </c>
      <c r="I512" s="106" t="s">
        <v>6794</v>
      </c>
      <c r="J512" s="106" t="s">
        <v>6794</v>
      </c>
      <c r="K512" s="106" t="s">
        <v>6793</v>
      </c>
      <c r="L512" s="106" t="s">
        <v>6793</v>
      </c>
      <c r="M512" s="117"/>
      <c r="N512" s="106" t="n">
        <v>0</v>
      </c>
      <c r="O512" s="106"/>
      <c r="P512" s="27" t="s">
        <v>6805</v>
      </c>
    </row>
    <row r="513" customFormat="false" ht="15" hidden="false" customHeight="false" outlineLevel="0" collapsed="false">
      <c r="A513" s="106" t="s">
        <v>7279</v>
      </c>
      <c r="B513" s="106" t="s">
        <v>6792</v>
      </c>
      <c r="C513" s="106"/>
      <c r="D513" s="107"/>
      <c r="E513" s="107" t="n">
        <v>702.857142857143</v>
      </c>
      <c r="F513" s="130" t="n">
        <v>0.38</v>
      </c>
      <c r="G513" s="106" t="s">
        <v>1411</v>
      </c>
      <c r="H513" s="106" t="n">
        <v>0</v>
      </c>
      <c r="I513" s="106" t="s">
        <v>6799</v>
      </c>
      <c r="J513" s="106" t="s">
        <v>6794</v>
      </c>
      <c r="K513" s="106" t="s">
        <v>6793</v>
      </c>
      <c r="L513" s="106" t="s">
        <v>6794</v>
      </c>
      <c r="M513" s="117"/>
      <c r="N513" s="106" t="n">
        <v>0</v>
      </c>
      <c r="O513" s="106"/>
      <c r="P513" s="27" t="s">
        <v>6818</v>
      </c>
    </row>
    <row r="514" customFormat="false" ht="15" hidden="false" customHeight="false" outlineLevel="0" collapsed="false">
      <c r="A514" s="106" t="s">
        <v>4874</v>
      </c>
      <c r="B514" s="106" t="s">
        <v>6792</v>
      </c>
      <c r="C514" s="106" t="s">
        <v>479</v>
      </c>
      <c r="D514" s="107" t="n">
        <v>682</v>
      </c>
      <c r="E514" s="107" t="n">
        <v>702.857142857143</v>
      </c>
      <c r="F514" s="130" t="n">
        <v>0.75</v>
      </c>
      <c r="G514" s="106" t="s">
        <v>1411</v>
      </c>
      <c r="H514" s="106" t="n">
        <v>2</v>
      </c>
      <c r="I514" s="106" t="s">
        <v>6794</v>
      </c>
      <c r="J514" s="106" t="s">
        <v>6793</v>
      </c>
      <c r="K514" s="106" t="s">
        <v>6793</v>
      </c>
      <c r="L514" s="106" t="s">
        <v>6793</v>
      </c>
      <c r="M514" s="117" t="n">
        <v>0.0408781226343679</v>
      </c>
      <c r="N514" s="106" t="n">
        <v>3</v>
      </c>
      <c r="O514" s="106" t="n">
        <v>0</v>
      </c>
      <c r="P514" s="27" t="s">
        <v>6983</v>
      </c>
    </row>
    <row r="515" customFormat="false" ht="15" hidden="false" customHeight="false" outlineLevel="0" collapsed="false">
      <c r="A515" s="106" t="s">
        <v>7280</v>
      </c>
      <c r="B515" s="106" t="s">
        <v>6792</v>
      </c>
      <c r="C515" s="106" t="s">
        <v>560</v>
      </c>
      <c r="D515" s="107"/>
      <c r="E515" s="107" t="n">
        <v>695.828571428571</v>
      </c>
      <c r="F515" s="130" t="n">
        <v>0.55</v>
      </c>
      <c r="G515" s="106" t="s">
        <v>1411</v>
      </c>
      <c r="H515" s="106" t="n">
        <v>0</v>
      </c>
      <c r="I515" s="106" t="s">
        <v>6793</v>
      </c>
      <c r="J515" s="106" t="s">
        <v>6794</v>
      </c>
      <c r="K515" s="106" t="s">
        <v>6793</v>
      </c>
      <c r="L515" s="106" t="s">
        <v>6794</v>
      </c>
      <c r="M515" s="117"/>
      <c r="N515" s="106" t="n">
        <v>0</v>
      </c>
      <c r="O515" s="106"/>
      <c r="P515" s="27" t="s">
        <v>6818</v>
      </c>
    </row>
    <row r="516" customFormat="false" ht="15" hidden="false" customHeight="false" outlineLevel="0" collapsed="false">
      <c r="A516" s="106" t="s">
        <v>7281</v>
      </c>
      <c r="B516" s="106" t="s">
        <v>6792</v>
      </c>
      <c r="C516" s="106"/>
      <c r="D516" s="107"/>
      <c r="E516" s="107" t="n">
        <v>695.828571428571</v>
      </c>
      <c r="F516" s="130" t="n">
        <v>0.5</v>
      </c>
      <c r="G516" s="106" t="s">
        <v>1411</v>
      </c>
      <c r="H516" s="106" t="n">
        <v>0</v>
      </c>
      <c r="I516" s="106" t="s">
        <v>6793</v>
      </c>
      <c r="J516" s="106" t="s">
        <v>6794</v>
      </c>
      <c r="K516" s="106" t="s">
        <v>6793</v>
      </c>
      <c r="L516" s="106" t="s">
        <v>6794</v>
      </c>
      <c r="M516" s="117"/>
      <c r="N516" s="106" t="n">
        <v>0</v>
      </c>
      <c r="O516" s="106"/>
      <c r="P516" s="27" t="s">
        <v>6818</v>
      </c>
    </row>
    <row r="517" customFormat="false" ht="22.35" hidden="false" customHeight="false" outlineLevel="0" collapsed="false">
      <c r="A517" s="106" t="s">
        <v>4865</v>
      </c>
      <c r="B517" s="106" t="s">
        <v>6792</v>
      </c>
      <c r="C517" s="106"/>
      <c r="D517" s="107" t="n">
        <v>924</v>
      </c>
      <c r="E517" s="107" t="n">
        <v>685.285714285714</v>
      </c>
      <c r="F517" s="130" t="n">
        <v>0.95</v>
      </c>
      <c r="G517" s="106" t="s">
        <v>1411</v>
      </c>
      <c r="H517" s="106" t="n">
        <v>1.5</v>
      </c>
      <c r="I517" s="106" t="s">
        <v>6793</v>
      </c>
      <c r="J517" s="106" t="s">
        <v>6793</v>
      </c>
      <c r="K517" s="106" t="s">
        <v>6793</v>
      </c>
      <c r="L517" s="106" t="s">
        <v>6793</v>
      </c>
      <c r="M517" s="117" t="n">
        <v>0.0194906444906444</v>
      </c>
      <c r="N517" s="106" t="n">
        <v>28</v>
      </c>
      <c r="O517" s="106" t="n">
        <v>0</v>
      </c>
      <c r="P517" s="27" t="s">
        <v>7282</v>
      </c>
    </row>
    <row r="518" customFormat="false" ht="15" hidden="false" customHeight="false" outlineLevel="0" collapsed="false">
      <c r="A518" s="106" t="s">
        <v>7283</v>
      </c>
      <c r="B518" s="106" t="s">
        <v>6792</v>
      </c>
      <c r="C518" s="106"/>
      <c r="D518" s="107"/>
      <c r="E518" s="107" t="n">
        <v>685.285714285714</v>
      </c>
      <c r="F518" s="130" t="n">
        <v>0.5</v>
      </c>
      <c r="G518" s="106" t="s">
        <v>1411</v>
      </c>
      <c r="H518" s="106" t="n">
        <v>0</v>
      </c>
      <c r="I518" s="106" t="s">
        <v>6793</v>
      </c>
      <c r="J518" s="106" t="s">
        <v>6794</v>
      </c>
      <c r="K518" s="106" t="s">
        <v>6793</v>
      </c>
      <c r="L518" s="106" t="s">
        <v>6794</v>
      </c>
      <c r="M518" s="117"/>
      <c r="N518" s="106" t="n">
        <v>0</v>
      </c>
      <c r="O518" s="106"/>
      <c r="P518" s="27" t="s">
        <v>6818</v>
      </c>
    </row>
    <row r="519" customFormat="false" ht="15" hidden="false" customHeight="false" outlineLevel="0" collapsed="false">
      <c r="A519" s="106" t="s">
        <v>7284</v>
      </c>
      <c r="B519" s="106" t="s">
        <v>6792</v>
      </c>
      <c r="C519" s="106" t="s">
        <v>560</v>
      </c>
      <c r="D519" s="107"/>
      <c r="E519" s="107" t="n">
        <v>685.285714285714</v>
      </c>
      <c r="F519" s="130" t="n">
        <v>0.55</v>
      </c>
      <c r="G519" s="106" t="s">
        <v>1411</v>
      </c>
      <c r="H519" s="106" t="n">
        <v>0</v>
      </c>
      <c r="I519" s="106" t="s">
        <v>6793</v>
      </c>
      <c r="J519" s="106" t="s">
        <v>6794</v>
      </c>
      <c r="K519" s="106" t="s">
        <v>6793</v>
      </c>
      <c r="L519" s="106" t="s">
        <v>6794</v>
      </c>
      <c r="M519" s="117"/>
      <c r="N519" s="106" t="n">
        <v>0</v>
      </c>
      <c r="O519" s="106"/>
      <c r="P519" s="27" t="s">
        <v>6818</v>
      </c>
    </row>
    <row r="520" customFormat="false" ht="15" hidden="false" customHeight="false" outlineLevel="0" collapsed="false">
      <c r="A520" s="106" t="s">
        <v>7285</v>
      </c>
      <c r="B520" s="106" t="s">
        <v>6792</v>
      </c>
      <c r="C520" s="106" t="s">
        <v>696</v>
      </c>
      <c r="D520" s="107"/>
      <c r="E520" s="107" t="n">
        <v>685.285714285714</v>
      </c>
      <c r="F520" s="130" t="n">
        <v>0.45</v>
      </c>
      <c r="G520" s="106" t="s">
        <v>1411</v>
      </c>
      <c r="H520" s="106" t="n">
        <v>0</v>
      </c>
      <c r="I520" s="106" t="s">
        <v>6794</v>
      </c>
      <c r="J520" s="106" t="s">
        <v>6794</v>
      </c>
      <c r="K520" s="106" t="s">
        <v>6793</v>
      </c>
      <c r="L520" s="106" t="s">
        <v>6793</v>
      </c>
      <c r="M520" s="117"/>
      <c r="N520" s="106" t="n">
        <v>0</v>
      </c>
      <c r="O520" s="106"/>
      <c r="P520" s="27" t="s">
        <v>6805</v>
      </c>
    </row>
    <row r="521" customFormat="false" ht="15" hidden="false" customHeight="false" outlineLevel="0" collapsed="false">
      <c r="A521" s="106" t="s">
        <v>7286</v>
      </c>
      <c r="B521" s="106" t="s">
        <v>6792</v>
      </c>
      <c r="C521" s="106"/>
      <c r="D521" s="107"/>
      <c r="E521" s="107" t="n">
        <v>685.285714285714</v>
      </c>
      <c r="F521" s="130" t="n">
        <v>0.5</v>
      </c>
      <c r="G521" s="106" t="s">
        <v>1411</v>
      </c>
      <c r="H521" s="106" t="n">
        <v>0</v>
      </c>
      <c r="I521" s="106" t="s">
        <v>6793</v>
      </c>
      <c r="J521" s="106" t="s">
        <v>6794</v>
      </c>
      <c r="K521" s="106" t="s">
        <v>6793</v>
      </c>
      <c r="L521" s="106" t="s">
        <v>6794</v>
      </c>
      <c r="M521" s="117"/>
      <c r="N521" s="106" t="n">
        <v>0</v>
      </c>
      <c r="O521" s="106"/>
      <c r="P521" s="27" t="s">
        <v>6818</v>
      </c>
    </row>
    <row r="522" customFormat="false" ht="15" hidden="false" customHeight="false" outlineLevel="0" collapsed="false">
      <c r="A522" s="106" t="s">
        <v>7287</v>
      </c>
      <c r="B522" s="106" t="s">
        <v>6792</v>
      </c>
      <c r="C522" s="106" t="s">
        <v>185</v>
      </c>
      <c r="D522" s="107"/>
      <c r="E522" s="107" t="n">
        <v>685.285714285714</v>
      </c>
      <c r="F522" s="130" t="n">
        <v>0.7</v>
      </c>
      <c r="G522" s="106" t="s">
        <v>1411</v>
      </c>
      <c r="H522" s="106" t="n">
        <v>0</v>
      </c>
      <c r="I522" s="106" t="s">
        <v>6793</v>
      </c>
      <c r="J522" s="106" t="s">
        <v>6794</v>
      </c>
      <c r="K522" s="106" t="s">
        <v>6793</v>
      </c>
      <c r="L522" s="106" t="s">
        <v>6793</v>
      </c>
      <c r="M522" s="117"/>
      <c r="N522" s="106" t="n">
        <v>0</v>
      </c>
      <c r="O522" s="106"/>
      <c r="P522" s="27" t="s">
        <v>6795</v>
      </c>
    </row>
    <row r="523" customFormat="false" ht="15" hidden="false" customHeight="false" outlineLevel="0" collapsed="false">
      <c r="A523" s="106" t="s">
        <v>7288</v>
      </c>
      <c r="B523" s="106" t="s">
        <v>6792</v>
      </c>
      <c r="C523" s="106" t="s">
        <v>696</v>
      </c>
      <c r="D523" s="107"/>
      <c r="E523" s="107" t="n">
        <v>685.285714285714</v>
      </c>
      <c r="F523" s="130" t="n">
        <v>0.45</v>
      </c>
      <c r="G523" s="106" t="s">
        <v>1411</v>
      </c>
      <c r="H523" s="106" t="n">
        <v>0</v>
      </c>
      <c r="I523" s="106" t="s">
        <v>6794</v>
      </c>
      <c r="J523" s="106" t="s">
        <v>6794</v>
      </c>
      <c r="K523" s="106" t="s">
        <v>6793</v>
      </c>
      <c r="L523" s="106" t="s">
        <v>6793</v>
      </c>
      <c r="M523" s="117"/>
      <c r="N523" s="106" t="n">
        <v>0</v>
      </c>
      <c r="O523" s="106"/>
      <c r="P523" s="27" t="s">
        <v>6805</v>
      </c>
    </row>
    <row r="524" customFormat="false" ht="15" hidden="false" customHeight="false" outlineLevel="0" collapsed="false">
      <c r="A524" s="106" t="s">
        <v>7289</v>
      </c>
      <c r="B524" s="106" t="s">
        <v>6792</v>
      </c>
      <c r="C524" s="106" t="s">
        <v>185</v>
      </c>
      <c r="D524" s="107"/>
      <c r="E524" s="107" t="n">
        <v>674.742857142857</v>
      </c>
      <c r="F524" s="130" t="n">
        <v>0.55</v>
      </c>
      <c r="G524" s="106" t="s">
        <v>1411</v>
      </c>
      <c r="H524" s="106" t="n">
        <v>0</v>
      </c>
      <c r="I524" s="106" t="s">
        <v>6793</v>
      </c>
      <c r="J524" s="106" t="s">
        <v>6794</v>
      </c>
      <c r="K524" s="106" t="s">
        <v>6793</v>
      </c>
      <c r="L524" s="106" t="s">
        <v>6794</v>
      </c>
      <c r="M524" s="117"/>
      <c r="N524" s="106" t="n">
        <v>0</v>
      </c>
      <c r="O524" s="106"/>
      <c r="P524" s="27" t="s">
        <v>6818</v>
      </c>
    </row>
    <row r="525" customFormat="false" ht="15" hidden="false" customHeight="false" outlineLevel="0" collapsed="false">
      <c r="A525" s="106" t="s">
        <v>7290</v>
      </c>
      <c r="B525" s="106" t="s">
        <v>6792</v>
      </c>
      <c r="C525" s="106" t="s">
        <v>422</v>
      </c>
      <c r="D525" s="107"/>
      <c r="E525" s="107" t="n">
        <v>674.742857142857</v>
      </c>
      <c r="F525" s="130" t="n">
        <v>0.45</v>
      </c>
      <c r="G525" s="106" t="s">
        <v>1411</v>
      </c>
      <c r="H525" s="106" t="n">
        <v>0</v>
      </c>
      <c r="I525" s="106" t="s">
        <v>6794</v>
      </c>
      <c r="J525" s="106" t="s">
        <v>6794</v>
      </c>
      <c r="K525" s="106" t="s">
        <v>6793</v>
      </c>
      <c r="L525" s="106" t="s">
        <v>6793</v>
      </c>
      <c r="M525" s="117"/>
      <c r="N525" s="106" t="n">
        <v>0</v>
      </c>
      <c r="O525" s="106"/>
      <c r="P525" s="27" t="s">
        <v>6805</v>
      </c>
    </row>
    <row r="526" customFormat="false" ht="15" hidden="false" customHeight="false" outlineLevel="0" collapsed="false">
      <c r="A526" s="106" t="s">
        <v>7291</v>
      </c>
      <c r="B526" s="106" t="s">
        <v>6792</v>
      </c>
      <c r="C526" s="106" t="s">
        <v>185</v>
      </c>
      <c r="D526" s="107"/>
      <c r="E526" s="107" t="n">
        <v>674.742857142857</v>
      </c>
      <c r="F526" s="130" t="n">
        <v>0.55</v>
      </c>
      <c r="G526" s="106" t="s">
        <v>1411</v>
      </c>
      <c r="H526" s="106" t="n">
        <v>0</v>
      </c>
      <c r="I526" s="106" t="s">
        <v>6793</v>
      </c>
      <c r="J526" s="106" t="s">
        <v>6794</v>
      </c>
      <c r="K526" s="106" t="s">
        <v>6793</v>
      </c>
      <c r="L526" s="106" t="s">
        <v>6794</v>
      </c>
      <c r="M526" s="117"/>
      <c r="N526" s="106" t="n">
        <v>0</v>
      </c>
      <c r="O526" s="106"/>
      <c r="P526" s="27" t="s">
        <v>6818</v>
      </c>
    </row>
    <row r="527" customFormat="false" ht="15" hidden="false" customHeight="false" outlineLevel="0" collapsed="false">
      <c r="A527" s="106" t="s">
        <v>7292</v>
      </c>
      <c r="B527" s="106" t="s">
        <v>6792</v>
      </c>
      <c r="C527" s="106"/>
      <c r="D527" s="107"/>
      <c r="E527" s="107" t="n">
        <v>674.742857142857</v>
      </c>
      <c r="F527" s="130" t="n">
        <v>0.38</v>
      </c>
      <c r="G527" s="106" t="s">
        <v>1411</v>
      </c>
      <c r="H527" s="106" t="n">
        <v>0</v>
      </c>
      <c r="I527" s="106" t="s">
        <v>6799</v>
      </c>
      <c r="J527" s="106" t="s">
        <v>6794</v>
      </c>
      <c r="K527" s="106" t="s">
        <v>6793</v>
      </c>
      <c r="L527" s="106" t="s">
        <v>6794</v>
      </c>
      <c r="M527" s="117"/>
      <c r="N527" s="106" t="n">
        <v>0</v>
      </c>
      <c r="O527" s="106"/>
      <c r="P527" s="27" t="s">
        <v>6818</v>
      </c>
    </row>
    <row r="528" customFormat="false" ht="15" hidden="false" customHeight="false" outlineLevel="0" collapsed="false">
      <c r="A528" s="106" t="s">
        <v>7293</v>
      </c>
      <c r="B528" s="106" t="s">
        <v>6792</v>
      </c>
      <c r="C528" s="106" t="s">
        <v>560</v>
      </c>
      <c r="D528" s="107"/>
      <c r="E528" s="107" t="n">
        <v>674.742857142857</v>
      </c>
      <c r="F528" s="130" t="n">
        <v>0.45</v>
      </c>
      <c r="G528" s="106" t="s">
        <v>1411</v>
      </c>
      <c r="H528" s="106" t="n">
        <v>0</v>
      </c>
      <c r="I528" s="106" t="s">
        <v>6794</v>
      </c>
      <c r="J528" s="106" t="s">
        <v>6794</v>
      </c>
      <c r="K528" s="106" t="s">
        <v>6793</v>
      </c>
      <c r="L528" s="106" t="s">
        <v>6793</v>
      </c>
      <c r="M528" s="117"/>
      <c r="N528" s="106" t="n">
        <v>0</v>
      </c>
      <c r="O528" s="106"/>
      <c r="P528" s="27" t="s">
        <v>6805</v>
      </c>
    </row>
    <row r="529" customFormat="false" ht="15" hidden="false" customHeight="false" outlineLevel="0" collapsed="false">
      <c r="A529" s="106" t="s">
        <v>7294</v>
      </c>
      <c r="B529" s="106" t="s">
        <v>6792</v>
      </c>
      <c r="C529" s="106" t="s">
        <v>479</v>
      </c>
      <c r="D529" s="107"/>
      <c r="E529" s="107" t="n">
        <v>664.2</v>
      </c>
      <c r="F529" s="130" t="n">
        <v>0.45</v>
      </c>
      <c r="G529" s="106" t="s">
        <v>1411</v>
      </c>
      <c r="H529" s="106" t="n">
        <v>0</v>
      </c>
      <c r="I529" s="106" t="s">
        <v>6794</v>
      </c>
      <c r="J529" s="106" t="s">
        <v>6794</v>
      </c>
      <c r="K529" s="106" t="s">
        <v>6793</v>
      </c>
      <c r="L529" s="106" t="s">
        <v>6793</v>
      </c>
      <c r="M529" s="117"/>
      <c r="N529" s="106" t="n">
        <v>0</v>
      </c>
      <c r="O529" s="106"/>
      <c r="P529" s="27" t="s">
        <v>6805</v>
      </c>
    </row>
    <row r="530" customFormat="false" ht="15" hidden="false" customHeight="false" outlineLevel="0" collapsed="false">
      <c r="A530" s="106" t="s">
        <v>7295</v>
      </c>
      <c r="B530" s="106" t="s">
        <v>6792</v>
      </c>
      <c r="C530" s="106"/>
      <c r="D530" s="107"/>
      <c r="E530" s="107" t="n">
        <v>664.2</v>
      </c>
      <c r="F530" s="130" t="n">
        <v>0.5</v>
      </c>
      <c r="G530" s="106" t="s">
        <v>1411</v>
      </c>
      <c r="H530" s="106" t="n">
        <v>0</v>
      </c>
      <c r="I530" s="106" t="s">
        <v>6793</v>
      </c>
      <c r="J530" s="106" t="s">
        <v>6794</v>
      </c>
      <c r="K530" s="106" t="s">
        <v>6793</v>
      </c>
      <c r="L530" s="106" t="s">
        <v>6794</v>
      </c>
      <c r="M530" s="117"/>
      <c r="N530" s="106" t="n">
        <v>0</v>
      </c>
      <c r="O530" s="106"/>
      <c r="P530" s="27" t="s">
        <v>6818</v>
      </c>
    </row>
    <row r="531" customFormat="false" ht="15" hidden="false" customHeight="false" outlineLevel="0" collapsed="false">
      <c r="A531" s="106" t="s">
        <v>7296</v>
      </c>
      <c r="B531" s="106" t="s">
        <v>6792</v>
      </c>
      <c r="C531" s="106" t="s">
        <v>696</v>
      </c>
      <c r="D531" s="107"/>
      <c r="E531" s="107" t="n">
        <v>664.2</v>
      </c>
      <c r="F531" s="130" t="n">
        <v>0.45</v>
      </c>
      <c r="G531" s="106" t="s">
        <v>1411</v>
      </c>
      <c r="H531" s="106" t="n">
        <v>0</v>
      </c>
      <c r="I531" s="106" t="s">
        <v>6794</v>
      </c>
      <c r="J531" s="106" t="s">
        <v>6794</v>
      </c>
      <c r="K531" s="106" t="s">
        <v>6793</v>
      </c>
      <c r="L531" s="106" t="s">
        <v>6793</v>
      </c>
      <c r="M531" s="117"/>
      <c r="N531" s="106" t="n">
        <v>0</v>
      </c>
      <c r="O531" s="106"/>
      <c r="P531" s="27" t="s">
        <v>6805</v>
      </c>
    </row>
    <row r="532" customFormat="false" ht="15" hidden="false" customHeight="false" outlineLevel="0" collapsed="false">
      <c r="A532" s="106" t="s">
        <v>7297</v>
      </c>
      <c r="B532" s="106" t="s">
        <v>6792</v>
      </c>
      <c r="C532" s="106" t="s">
        <v>696</v>
      </c>
      <c r="D532" s="107"/>
      <c r="E532" s="107" t="n">
        <v>653.657142857143</v>
      </c>
      <c r="F532" s="130" t="n">
        <v>0.45</v>
      </c>
      <c r="G532" s="106" t="s">
        <v>1411</v>
      </c>
      <c r="H532" s="106" t="n">
        <v>0</v>
      </c>
      <c r="I532" s="106" t="s">
        <v>6794</v>
      </c>
      <c r="J532" s="106" t="s">
        <v>6794</v>
      </c>
      <c r="K532" s="106" t="s">
        <v>6793</v>
      </c>
      <c r="L532" s="106" t="s">
        <v>6793</v>
      </c>
      <c r="M532" s="117"/>
      <c r="N532" s="106" t="n">
        <v>0</v>
      </c>
      <c r="O532" s="106"/>
      <c r="P532" s="27" t="s">
        <v>6805</v>
      </c>
    </row>
    <row r="533" customFormat="false" ht="15" hidden="false" customHeight="false" outlineLevel="0" collapsed="false">
      <c r="A533" s="106" t="s">
        <v>7298</v>
      </c>
      <c r="B533" s="106" t="s">
        <v>6792</v>
      </c>
      <c r="C533" s="106" t="s">
        <v>560</v>
      </c>
      <c r="D533" s="107"/>
      <c r="E533" s="107" t="n">
        <v>653.657142857143</v>
      </c>
      <c r="F533" s="130" t="n">
        <v>0.55</v>
      </c>
      <c r="G533" s="106" t="s">
        <v>1411</v>
      </c>
      <c r="H533" s="106" t="n">
        <v>0.5</v>
      </c>
      <c r="I533" s="106" t="s">
        <v>6793</v>
      </c>
      <c r="J533" s="106" t="s">
        <v>6794</v>
      </c>
      <c r="K533" s="106" t="s">
        <v>6793</v>
      </c>
      <c r="L533" s="106" t="s">
        <v>6794</v>
      </c>
      <c r="M533" s="117"/>
      <c r="N533" s="106" t="n">
        <v>0</v>
      </c>
      <c r="O533" s="106"/>
      <c r="P533" s="27" t="s">
        <v>6818</v>
      </c>
    </row>
    <row r="534" customFormat="false" ht="15" hidden="false" customHeight="false" outlineLevel="0" collapsed="false">
      <c r="A534" s="106" t="s">
        <v>7299</v>
      </c>
      <c r="B534" s="106" t="s">
        <v>6792</v>
      </c>
      <c r="C534" s="106"/>
      <c r="D534" s="107"/>
      <c r="E534" s="107" t="n">
        <v>643.114285714286</v>
      </c>
      <c r="F534" s="130" t="n">
        <v>0.38</v>
      </c>
      <c r="G534" s="106" t="s">
        <v>1411</v>
      </c>
      <c r="H534" s="106" t="n">
        <v>0</v>
      </c>
      <c r="I534" s="106" t="s">
        <v>6799</v>
      </c>
      <c r="J534" s="106" t="s">
        <v>6794</v>
      </c>
      <c r="K534" s="106" t="s">
        <v>6793</v>
      </c>
      <c r="L534" s="106" t="s">
        <v>6794</v>
      </c>
      <c r="M534" s="117"/>
      <c r="N534" s="106" t="n">
        <v>0</v>
      </c>
      <c r="O534" s="106"/>
      <c r="P534" s="27" t="s">
        <v>6818</v>
      </c>
    </row>
    <row r="535" customFormat="false" ht="15" hidden="false" customHeight="false" outlineLevel="0" collapsed="false">
      <c r="A535" s="106" t="s">
        <v>7300</v>
      </c>
      <c r="B535" s="106" t="s">
        <v>6792</v>
      </c>
      <c r="C535" s="106"/>
      <c r="D535" s="107"/>
      <c r="E535" s="107" t="n">
        <v>643.114285714286</v>
      </c>
      <c r="F535" s="130" t="n">
        <v>0.5</v>
      </c>
      <c r="G535" s="106" t="s">
        <v>1411</v>
      </c>
      <c r="H535" s="106" t="n">
        <v>0</v>
      </c>
      <c r="I535" s="106" t="s">
        <v>6793</v>
      </c>
      <c r="J535" s="106" t="s">
        <v>6794</v>
      </c>
      <c r="K535" s="106" t="s">
        <v>6793</v>
      </c>
      <c r="L535" s="106" t="s">
        <v>6794</v>
      </c>
      <c r="M535" s="117"/>
      <c r="N535" s="106" t="n">
        <v>0</v>
      </c>
      <c r="O535" s="106"/>
      <c r="P535" s="27" t="s">
        <v>6818</v>
      </c>
    </row>
    <row r="536" customFormat="false" ht="15" hidden="false" customHeight="false" outlineLevel="0" collapsed="false">
      <c r="A536" s="106" t="s">
        <v>7301</v>
      </c>
      <c r="B536" s="106" t="s">
        <v>6792</v>
      </c>
      <c r="C536" s="106"/>
      <c r="D536" s="107"/>
      <c r="E536" s="107" t="n">
        <v>643.114285714286</v>
      </c>
      <c r="F536" s="130" t="n">
        <v>0.4</v>
      </c>
      <c r="G536" s="106" t="s">
        <v>1411</v>
      </c>
      <c r="H536" s="106" t="n">
        <v>0</v>
      </c>
      <c r="I536" s="106" t="s">
        <v>6794</v>
      </c>
      <c r="J536" s="106" t="s">
        <v>6794</v>
      </c>
      <c r="K536" s="106" t="s">
        <v>6793</v>
      </c>
      <c r="L536" s="106" t="s">
        <v>6793</v>
      </c>
      <c r="M536" s="117"/>
      <c r="N536" s="106" t="n">
        <v>0</v>
      </c>
      <c r="O536" s="106"/>
      <c r="P536" s="27" t="s">
        <v>6805</v>
      </c>
    </row>
    <row r="537" customFormat="false" ht="15" hidden="false" customHeight="false" outlineLevel="0" collapsed="false">
      <c r="A537" s="106" t="s">
        <v>7302</v>
      </c>
      <c r="B537" s="106" t="s">
        <v>6792</v>
      </c>
      <c r="C537" s="106"/>
      <c r="D537" s="107"/>
      <c r="E537" s="107" t="n">
        <v>643.114285714286</v>
      </c>
      <c r="F537" s="130" t="n">
        <v>0.4</v>
      </c>
      <c r="G537" s="106" t="s">
        <v>1411</v>
      </c>
      <c r="H537" s="106" t="n">
        <v>0</v>
      </c>
      <c r="I537" s="106" t="s">
        <v>6794</v>
      </c>
      <c r="J537" s="106" t="s">
        <v>6794</v>
      </c>
      <c r="K537" s="106" t="s">
        <v>6793</v>
      </c>
      <c r="L537" s="106" t="s">
        <v>6793</v>
      </c>
      <c r="M537" s="117"/>
      <c r="N537" s="106" t="n">
        <v>0</v>
      </c>
      <c r="O537" s="106"/>
      <c r="P537" s="27" t="s">
        <v>6805</v>
      </c>
    </row>
    <row r="538" customFormat="false" ht="15" hidden="false" customHeight="false" outlineLevel="0" collapsed="false">
      <c r="A538" s="106" t="s">
        <v>7303</v>
      </c>
      <c r="B538" s="106" t="s">
        <v>6792</v>
      </c>
      <c r="C538" s="106" t="s">
        <v>185</v>
      </c>
      <c r="D538" s="107"/>
      <c r="E538" s="107" t="n">
        <v>643.114285714286</v>
      </c>
      <c r="F538" s="130" t="n">
        <v>0.55</v>
      </c>
      <c r="G538" s="106" t="s">
        <v>1411</v>
      </c>
      <c r="H538" s="106" t="n">
        <v>0</v>
      </c>
      <c r="I538" s="106" t="s">
        <v>6793</v>
      </c>
      <c r="J538" s="106" t="s">
        <v>6794</v>
      </c>
      <c r="K538" s="106" t="s">
        <v>6793</v>
      </c>
      <c r="L538" s="106" t="s">
        <v>6794</v>
      </c>
      <c r="M538" s="117"/>
      <c r="N538" s="106" t="n">
        <v>0</v>
      </c>
      <c r="O538" s="106"/>
      <c r="P538" s="27" t="s">
        <v>6818</v>
      </c>
    </row>
    <row r="539" customFormat="false" ht="32.8" hidden="false" customHeight="false" outlineLevel="0" collapsed="false">
      <c r="A539" s="106" t="s">
        <v>4520</v>
      </c>
      <c r="B539" s="106" t="s">
        <v>6997</v>
      </c>
      <c r="C539" s="106"/>
      <c r="D539" s="107" t="n">
        <v>901</v>
      </c>
      <c r="E539" s="107" t="n">
        <v>643.114285714286</v>
      </c>
      <c r="F539" s="130" t="n">
        <v>0.95</v>
      </c>
      <c r="G539" s="106" t="s">
        <v>1411</v>
      </c>
      <c r="H539" s="106" t="n">
        <v>1.5</v>
      </c>
      <c r="I539" s="106" t="s">
        <v>6793</v>
      </c>
      <c r="J539" s="106" t="s">
        <v>6793</v>
      </c>
      <c r="K539" s="106" t="s">
        <v>6793</v>
      </c>
      <c r="L539" s="106" t="s">
        <v>6793</v>
      </c>
      <c r="M539" s="117" t="n">
        <v>0.0140474100087796</v>
      </c>
      <c r="N539" s="106" t="n">
        <v>23</v>
      </c>
      <c r="O539" s="106" t="n">
        <v>4.35</v>
      </c>
      <c r="P539" s="27" t="s">
        <v>7304</v>
      </c>
    </row>
    <row r="540" customFormat="false" ht="15" hidden="false" customHeight="false" outlineLevel="0" collapsed="false">
      <c r="A540" s="106" t="s">
        <v>7305</v>
      </c>
      <c r="B540" s="106" t="s">
        <v>6792</v>
      </c>
      <c r="C540" s="106" t="s">
        <v>479</v>
      </c>
      <c r="D540" s="107"/>
      <c r="E540" s="107" t="n">
        <v>643.114285714286</v>
      </c>
      <c r="F540" s="130" t="n">
        <v>0.45</v>
      </c>
      <c r="G540" s="106" t="s">
        <v>1411</v>
      </c>
      <c r="H540" s="106" t="n">
        <v>0</v>
      </c>
      <c r="I540" s="106" t="s">
        <v>6794</v>
      </c>
      <c r="J540" s="106" t="s">
        <v>6794</v>
      </c>
      <c r="K540" s="106" t="s">
        <v>6793</v>
      </c>
      <c r="L540" s="106" t="s">
        <v>6793</v>
      </c>
      <c r="M540" s="117"/>
      <c r="N540" s="106" t="n">
        <v>0</v>
      </c>
      <c r="O540" s="106"/>
      <c r="P540" s="27" t="s">
        <v>6805</v>
      </c>
    </row>
    <row r="541" customFormat="false" ht="15" hidden="false" customHeight="false" outlineLevel="0" collapsed="false">
      <c r="A541" s="106" t="s">
        <v>7306</v>
      </c>
      <c r="B541" s="106" t="s">
        <v>6792</v>
      </c>
      <c r="C541" s="106" t="s">
        <v>560</v>
      </c>
      <c r="D541" s="107"/>
      <c r="E541" s="107" t="n">
        <v>643.114285714286</v>
      </c>
      <c r="F541" s="130" t="n">
        <v>0.55</v>
      </c>
      <c r="G541" s="106" t="s">
        <v>1411</v>
      </c>
      <c r="H541" s="106" t="n">
        <v>0</v>
      </c>
      <c r="I541" s="106" t="s">
        <v>6793</v>
      </c>
      <c r="J541" s="106" t="s">
        <v>6794</v>
      </c>
      <c r="K541" s="106" t="s">
        <v>6793</v>
      </c>
      <c r="L541" s="106" t="s">
        <v>6794</v>
      </c>
      <c r="M541" s="117"/>
      <c r="N541" s="106" t="n">
        <v>0</v>
      </c>
      <c r="O541" s="106"/>
      <c r="P541" s="27" t="s">
        <v>6818</v>
      </c>
    </row>
    <row r="542" customFormat="false" ht="15" hidden="false" customHeight="false" outlineLevel="0" collapsed="false">
      <c r="A542" s="106" t="s">
        <v>7307</v>
      </c>
      <c r="B542" s="106" t="s">
        <v>6792</v>
      </c>
      <c r="C542" s="106"/>
      <c r="D542" s="107"/>
      <c r="E542" s="107" t="n">
        <v>636.085714285714</v>
      </c>
      <c r="F542" s="130" t="n">
        <v>0.4</v>
      </c>
      <c r="G542" s="106" t="s">
        <v>1411</v>
      </c>
      <c r="H542" s="106" t="n">
        <v>0</v>
      </c>
      <c r="I542" s="106" t="s">
        <v>6794</v>
      </c>
      <c r="J542" s="106" t="s">
        <v>6794</v>
      </c>
      <c r="K542" s="106" t="s">
        <v>6793</v>
      </c>
      <c r="L542" s="106" t="s">
        <v>6793</v>
      </c>
      <c r="M542" s="117"/>
      <c r="N542" s="106" t="n">
        <v>0</v>
      </c>
      <c r="O542" s="106"/>
      <c r="P542" s="27" t="s">
        <v>6805</v>
      </c>
    </row>
    <row r="543" customFormat="false" ht="15" hidden="false" customHeight="false" outlineLevel="0" collapsed="false">
      <c r="A543" s="106" t="s">
        <v>7308</v>
      </c>
      <c r="B543" s="106" t="s">
        <v>6792</v>
      </c>
      <c r="C543" s="106" t="s">
        <v>185</v>
      </c>
      <c r="D543" s="107"/>
      <c r="E543" s="107" t="n">
        <v>636.085714285714</v>
      </c>
      <c r="F543" s="130" t="n">
        <v>0.45</v>
      </c>
      <c r="G543" s="106" t="s">
        <v>1411</v>
      </c>
      <c r="H543" s="106" t="n">
        <v>0</v>
      </c>
      <c r="I543" s="106" t="s">
        <v>6794</v>
      </c>
      <c r="J543" s="106" t="s">
        <v>6794</v>
      </c>
      <c r="K543" s="106" t="s">
        <v>6793</v>
      </c>
      <c r="L543" s="106" t="s">
        <v>6793</v>
      </c>
      <c r="M543" s="117"/>
      <c r="N543" s="106" t="n">
        <v>0</v>
      </c>
      <c r="O543" s="106"/>
      <c r="P543" s="27" t="s">
        <v>6805</v>
      </c>
    </row>
    <row r="544" customFormat="false" ht="15" hidden="false" customHeight="false" outlineLevel="0" collapsed="false">
      <c r="A544" s="106" t="s">
        <v>7309</v>
      </c>
      <c r="B544" s="106" t="s">
        <v>6792</v>
      </c>
      <c r="C544" s="106"/>
      <c r="D544" s="107"/>
      <c r="E544" s="107" t="n">
        <v>636.085714285714</v>
      </c>
      <c r="F544" s="130" t="n">
        <v>0.5</v>
      </c>
      <c r="G544" s="106" t="s">
        <v>1411</v>
      </c>
      <c r="H544" s="106" t="n">
        <v>0</v>
      </c>
      <c r="I544" s="106" t="s">
        <v>6793</v>
      </c>
      <c r="J544" s="106" t="s">
        <v>6794</v>
      </c>
      <c r="K544" s="106" t="s">
        <v>6793</v>
      </c>
      <c r="L544" s="106" t="s">
        <v>6794</v>
      </c>
      <c r="M544" s="117"/>
      <c r="N544" s="106" t="n">
        <v>0</v>
      </c>
      <c r="O544" s="106"/>
      <c r="P544" s="27" t="s">
        <v>6818</v>
      </c>
    </row>
    <row r="545" customFormat="false" ht="15" hidden="false" customHeight="false" outlineLevel="0" collapsed="false">
      <c r="A545" s="106" t="s">
        <v>7310</v>
      </c>
      <c r="B545" s="106" t="s">
        <v>6792</v>
      </c>
      <c r="C545" s="106"/>
      <c r="D545" s="107"/>
      <c r="E545" s="107" t="n">
        <v>636.085714285714</v>
      </c>
      <c r="F545" s="130" t="n">
        <v>0.5</v>
      </c>
      <c r="G545" s="106" t="s">
        <v>1411</v>
      </c>
      <c r="H545" s="106" t="n">
        <v>0</v>
      </c>
      <c r="I545" s="106" t="s">
        <v>6793</v>
      </c>
      <c r="J545" s="106" t="s">
        <v>6794</v>
      </c>
      <c r="K545" s="106" t="s">
        <v>6793</v>
      </c>
      <c r="L545" s="106" t="s">
        <v>6794</v>
      </c>
      <c r="M545" s="117"/>
      <c r="N545" s="106" t="n">
        <v>0</v>
      </c>
      <c r="O545" s="106"/>
      <c r="P545" s="27" t="s">
        <v>6818</v>
      </c>
    </row>
    <row r="546" customFormat="false" ht="15" hidden="false" customHeight="false" outlineLevel="0" collapsed="false">
      <c r="A546" s="106" t="s">
        <v>7311</v>
      </c>
      <c r="B546" s="106" t="s">
        <v>6792</v>
      </c>
      <c r="C546" s="106" t="s">
        <v>185</v>
      </c>
      <c r="D546" s="107"/>
      <c r="E546" s="107" t="n">
        <v>636.085714285714</v>
      </c>
      <c r="F546" s="130" t="n">
        <v>0.45</v>
      </c>
      <c r="G546" s="106" t="s">
        <v>1411</v>
      </c>
      <c r="H546" s="106" t="n">
        <v>0</v>
      </c>
      <c r="I546" s="106" t="s">
        <v>6794</v>
      </c>
      <c r="J546" s="106" t="s">
        <v>6794</v>
      </c>
      <c r="K546" s="106" t="s">
        <v>6793</v>
      </c>
      <c r="L546" s="106" t="s">
        <v>6793</v>
      </c>
      <c r="M546" s="117"/>
      <c r="N546" s="106" t="n">
        <v>0</v>
      </c>
      <c r="O546" s="106"/>
      <c r="P546" s="27" t="s">
        <v>6805</v>
      </c>
    </row>
    <row r="547" customFormat="false" ht="15" hidden="false" customHeight="false" outlineLevel="0" collapsed="false">
      <c r="A547" s="106" t="s">
        <v>7312</v>
      </c>
      <c r="B547" s="106" t="s">
        <v>6792</v>
      </c>
      <c r="C547" s="106"/>
      <c r="D547" s="107"/>
      <c r="E547" s="107" t="n">
        <v>636.085714285714</v>
      </c>
      <c r="F547" s="130" t="n">
        <v>0.5</v>
      </c>
      <c r="G547" s="106" t="s">
        <v>1411</v>
      </c>
      <c r="H547" s="106" t="n">
        <v>0</v>
      </c>
      <c r="I547" s="106" t="s">
        <v>6793</v>
      </c>
      <c r="J547" s="106" t="s">
        <v>6794</v>
      </c>
      <c r="K547" s="106" t="s">
        <v>6793</v>
      </c>
      <c r="L547" s="106" t="s">
        <v>6794</v>
      </c>
      <c r="M547" s="117"/>
      <c r="N547" s="106" t="n">
        <v>0</v>
      </c>
      <c r="O547" s="106"/>
      <c r="P547" s="27" t="s">
        <v>6818</v>
      </c>
    </row>
    <row r="548" customFormat="false" ht="15" hidden="false" customHeight="false" outlineLevel="0" collapsed="false">
      <c r="A548" s="106" t="s">
        <v>7313</v>
      </c>
      <c r="B548" s="106" t="s">
        <v>6792</v>
      </c>
      <c r="C548" s="106"/>
      <c r="D548" s="107"/>
      <c r="E548" s="107" t="n">
        <v>636.085714285714</v>
      </c>
      <c r="F548" s="130" t="n">
        <v>0.5</v>
      </c>
      <c r="G548" s="106" t="s">
        <v>1411</v>
      </c>
      <c r="H548" s="106" t="n">
        <v>0</v>
      </c>
      <c r="I548" s="106" t="s">
        <v>6793</v>
      </c>
      <c r="J548" s="106" t="s">
        <v>6794</v>
      </c>
      <c r="K548" s="106" t="s">
        <v>6793</v>
      </c>
      <c r="L548" s="106" t="s">
        <v>6794</v>
      </c>
      <c r="M548" s="117"/>
      <c r="N548" s="106" t="n">
        <v>0</v>
      </c>
      <c r="O548" s="106"/>
      <c r="P548" s="27" t="s">
        <v>6818</v>
      </c>
    </row>
    <row r="549" customFormat="false" ht="15" hidden="false" customHeight="false" outlineLevel="0" collapsed="false">
      <c r="A549" s="106" t="s">
        <v>7314</v>
      </c>
      <c r="B549" s="106" t="s">
        <v>6792</v>
      </c>
      <c r="C549" s="106" t="s">
        <v>560</v>
      </c>
      <c r="D549" s="107"/>
      <c r="E549" s="107" t="n">
        <v>636.085714285714</v>
      </c>
      <c r="F549" s="130" t="n">
        <v>0.45</v>
      </c>
      <c r="G549" s="106" t="s">
        <v>1411</v>
      </c>
      <c r="H549" s="106" t="n">
        <v>0.5</v>
      </c>
      <c r="I549" s="106" t="s">
        <v>6794</v>
      </c>
      <c r="J549" s="106" t="s">
        <v>6794</v>
      </c>
      <c r="K549" s="106" t="s">
        <v>6793</v>
      </c>
      <c r="L549" s="106" t="s">
        <v>6793</v>
      </c>
      <c r="M549" s="117"/>
      <c r="N549" s="106" t="n">
        <v>0</v>
      </c>
      <c r="O549" s="106"/>
      <c r="P549" s="27" t="s">
        <v>6805</v>
      </c>
    </row>
    <row r="550" customFormat="false" ht="15" hidden="false" customHeight="false" outlineLevel="0" collapsed="false">
      <c r="A550" s="106" t="s">
        <v>7315</v>
      </c>
      <c r="B550" s="106" t="s">
        <v>6792</v>
      </c>
      <c r="C550" s="106" t="s">
        <v>560</v>
      </c>
      <c r="D550" s="107"/>
      <c r="E550" s="107" t="n">
        <v>625.542857142857</v>
      </c>
      <c r="F550" s="130" t="n">
        <v>0.45</v>
      </c>
      <c r="G550" s="106" t="s">
        <v>1411</v>
      </c>
      <c r="H550" s="106" t="n">
        <v>0</v>
      </c>
      <c r="I550" s="106" t="s">
        <v>6794</v>
      </c>
      <c r="J550" s="106" t="s">
        <v>6794</v>
      </c>
      <c r="K550" s="106" t="s">
        <v>6793</v>
      </c>
      <c r="L550" s="106" t="s">
        <v>6793</v>
      </c>
      <c r="M550" s="117"/>
      <c r="N550" s="106" t="n">
        <v>0</v>
      </c>
      <c r="O550" s="106"/>
      <c r="P550" s="27" t="s">
        <v>6805</v>
      </c>
    </row>
    <row r="551" customFormat="false" ht="15" hidden="false" customHeight="false" outlineLevel="0" collapsed="false">
      <c r="A551" s="106" t="s">
        <v>7316</v>
      </c>
      <c r="B551" s="106" t="s">
        <v>6792</v>
      </c>
      <c r="C551" s="106" t="s">
        <v>185</v>
      </c>
      <c r="D551" s="107"/>
      <c r="E551" s="107" t="n">
        <v>625.542857142857</v>
      </c>
      <c r="F551" s="130" t="n">
        <v>0.45</v>
      </c>
      <c r="G551" s="106" t="s">
        <v>1411</v>
      </c>
      <c r="H551" s="106" t="n">
        <v>2</v>
      </c>
      <c r="I551" s="106" t="s">
        <v>6794</v>
      </c>
      <c r="J551" s="106" t="s">
        <v>6794</v>
      </c>
      <c r="K551" s="106" t="s">
        <v>6793</v>
      </c>
      <c r="L551" s="106" t="s">
        <v>6793</v>
      </c>
      <c r="M551" s="117" t="n">
        <v>0.0423728813559322</v>
      </c>
      <c r="N551" s="106" t="n">
        <v>0</v>
      </c>
      <c r="O551" s="106"/>
      <c r="P551" s="27" t="s">
        <v>6805</v>
      </c>
    </row>
    <row r="552" customFormat="false" ht="15" hidden="false" customHeight="false" outlineLevel="0" collapsed="false">
      <c r="A552" s="106" t="s">
        <v>7317</v>
      </c>
      <c r="B552" s="106" t="s">
        <v>6792</v>
      </c>
      <c r="C552" s="106" t="s">
        <v>560</v>
      </c>
      <c r="D552" s="107"/>
      <c r="E552" s="107" t="n">
        <v>625.542857142857</v>
      </c>
      <c r="F552" s="130" t="n">
        <v>0.45</v>
      </c>
      <c r="G552" s="106" t="s">
        <v>1411</v>
      </c>
      <c r="H552" s="106" t="n">
        <v>0</v>
      </c>
      <c r="I552" s="106" t="s">
        <v>6794</v>
      </c>
      <c r="J552" s="106" t="s">
        <v>6794</v>
      </c>
      <c r="K552" s="106" t="s">
        <v>6793</v>
      </c>
      <c r="L552" s="106" t="s">
        <v>6793</v>
      </c>
      <c r="M552" s="117"/>
      <c r="N552" s="106" t="n">
        <v>0</v>
      </c>
      <c r="O552" s="106"/>
      <c r="P552" s="27" t="s">
        <v>6805</v>
      </c>
    </row>
    <row r="553" customFormat="false" ht="15" hidden="false" customHeight="false" outlineLevel="0" collapsed="false">
      <c r="A553" s="106" t="s">
        <v>7318</v>
      </c>
      <c r="B553" s="106" t="s">
        <v>6792</v>
      </c>
      <c r="C553" s="106"/>
      <c r="D553" s="107"/>
      <c r="E553" s="107" t="n">
        <v>625.542857142857</v>
      </c>
      <c r="F553" s="130" t="n">
        <v>0.5</v>
      </c>
      <c r="G553" s="106" t="s">
        <v>1411</v>
      </c>
      <c r="H553" s="106" t="n">
        <v>0</v>
      </c>
      <c r="I553" s="106" t="s">
        <v>6793</v>
      </c>
      <c r="J553" s="106" t="s">
        <v>6794</v>
      </c>
      <c r="K553" s="106" t="s">
        <v>6793</v>
      </c>
      <c r="L553" s="106" t="s">
        <v>6794</v>
      </c>
      <c r="M553" s="117"/>
      <c r="N553" s="106" t="n">
        <v>0</v>
      </c>
      <c r="O553" s="106"/>
      <c r="P553" s="27" t="s">
        <v>6818</v>
      </c>
    </row>
    <row r="554" customFormat="false" ht="15" hidden="false" customHeight="false" outlineLevel="0" collapsed="false">
      <c r="A554" s="106" t="s">
        <v>7319</v>
      </c>
      <c r="B554" s="106" t="s">
        <v>6792</v>
      </c>
      <c r="C554" s="106" t="s">
        <v>185</v>
      </c>
      <c r="D554" s="107"/>
      <c r="E554" s="107" t="n">
        <v>625.542857142857</v>
      </c>
      <c r="F554" s="130" t="n">
        <v>0.55</v>
      </c>
      <c r="G554" s="106" t="s">
        <v>1411</v>
      </c>
      <c r="H554" s="106" t="n">
        <v>0</v>
      </c>
      <c r="I554" s="106" t="s">
        <v>6793</v>
      </c>
      <c r="J554" s="106" t="s">
        <v>6794</v>
      </c>
      <c r="K554" s="106" t="s">
        <v>6793</v>
      </c>
      <c r="L554" s="106" t="s">
        <v>6794</v>
      </c>
      <c r="M554" s="117"/>
      <c r="N554" s="106" t="n">
        <v>0</v>
      </c>
      <c r="O554" s="106"/>
      <c r="P554" s="27" t="s">
        <v>6818</v>
      </c>
    </row>
    <row r="555" customFormat="false" ht="15" hidden="false" customHeight="false" outlineLevel="0" collapsed="false">
      <c r="A555" s="106" t="s">
        <v>7320</v>
      </c>
      <c r="B555" s="106" t="s">
        <v>6792</v>
      </c>
      <c r="C555" s="106" t="s">
        <v>185</v>
      </c>
      <c r="D555" s="107"/>
      <c r="E555" s="107" t="n">
        <v>615</v>
      </c>
      <c r="F555" s="130" t="n">
        <v>0.55</v>
      </c>
      <c r="G555" s="106" t="s">
        <v>1411</v>
      </c>
      <c r="H555" s="106" t="n">
        <v>0.5</v>
      </c>
      <c r="I555" s="106" t="s">
        <v>6793</v>
      </c>
      <c r="J555" s="106" t="s">
        <v>6794</v>
      </c>
      <c r="K555" s="106" t="s">
        <v>6793</v>
      </c>
      <c r="L555" s="106" t="s">
        <v>6794</v>
      </c>
      <c r="M555" s="117"/>
      <c r="N555" s="106" t="n">
        <v>0</v>
      </c>
      <c r="O555" s="106"/>
      <c r="P555" s="27" t="s">
        <v>6818</v>
      </c>
    </row>
    <row r="556" customFormat="false" ht="15" hidden="false" customHeight="false" outlineLevel="0" collapsed="false">
      <c r="A556" s="106" t="s">
        <v>7321</v>
      </c>
      <c r="B556" s="106" t="s">
        <v>6792</v>
      </c>
      <c r="C556" s="106"/>
      <c r="D556" s="107"/>
      <c r="E556" s="107" t="n">
        <v>615</v>
      </c>
      <c r="F556" s="130" t="n">
        <v>0.4</v>
      </c>
      <c r="G556" s="106" t="s">
        <v>1411</v>
      </c>
      <c r="H556" s="106" t="n">
        <v>0</v>
      </c>
      <c r="I556" s="106" t="s">
        <v>6794</v>
      </c>
      <c r="J556" s="106" t="s">
        <v>6794</v>
      </c>
      <c r="K556" s="106" t="s">
        <v>6793</v>
      </c>
      <c r="L556" s="106" t="s">
        <v>6793</v>
      </c>
      <c r="M556" s="117"/>
      <c r="N556" s="106" t="n">
        <v>0</v>
      </c>
      <c r="O556" s="106"/>
      <c r="P556" s="27" t="s">
        <v>6805</v>
      </c>
    </row>
    <row r="557" customFormat="false" ht="22.35" hidden="false" customHeight="false" outlineLevel="0" collapsed="false">
      <c r="A557" s="106" t="s">
        <v>4878</v>
      </c>
      <c r="B557" s="106" t="s">
        <v>7101</v>
      </c>
      <c r="C557" s="106" t="s">
        <v>560</v>
      </c>
      <c r="D557" s="107" t="n">
        <v>697</v>
      </c>
      <c r="E557" s="107" t="n">
        <v>615</v>
      </c>
      <c r="F557" s="130" t="n">
        <v>1</v>
      </c>
      <c r="G557" s="106" t="s">
        <v>1411</v>
      </c>
      <c r="H557" s="106" t="n">
        <v>2</v>
      </c>
      <c r="I557" s="106" t="s">
        <v>6793</v>
      </c>
      <c r="J557" s="106" t="s">
        <v>6793</v>
      </c>
      <c r="K557" s="106" t="s">
        <v>6793</v>
      </c>
      <c r="L557" s="106" t="s">
        <v>6793</v>
      </c>
      <c r="M557" s="117" t="n">
        <v>0.0267295597484276</v>
      </c>
      <c r="N557" s="106" t="n">
        <v>3</v>
      </c>
      <c r="O557" s="106" t="n">
        <v>0</v>
      </c>
      <c r="P557" s="27" t="s">
        <v>7322</v>
      </c>
    </row>
    <row r="558" customFormat="false" ht="15" hidden="false" customHeight="false" outlineLevel="0" collapsed="false">
      <c r="A558" s="106" t="s">
        <v>7323</v>
      </c>
      <c r="B558" s="106" t="s">
        <v>6792</v>
      </c>
      <c r="C558" s="106" t="s">
        <v>560</v>
      </c>
      <c r="D558" s="107"/>
      <c r="E558" s="107" t="n">
        <v>615</v>
      </c>
      <c r="F558" s="130" t="n">
        <v>0.55</v>
      </c>
      <c r="G558" s="106" t="s">
        <v>1411</v>
      </c>
      <c r="H558" s="106" t="n">
        <v>0.5</v>
      </c>
      <c r="I558" s="106" t="s">
        <v>6793</v>
      </c>
      <c r="J558" s="106" t="s">
        <v>6794</v>
      </c>
      <c r="K558" s="106" t="s">
        <v>6793</v>
      </c>
      <c r="L558" s="106" t="s">
        <v>6794</v>
      </c>
      <c r="M558" s="117"/>
      <c r="N558" s="106" t="n">
        <v>0</v>
      </c>
      <c r="O558" s="106"/>
      <c r="P558" s="27" t="s">
        <v>6818</v>
      </c>
    </row>
    <row r="559" customFormat="false" ht="15" hidden="false" customHeight="false" outlineLevel="0" collapsed="false">
      <c r="A559" s="106" t="s">
        <v>7324</v>
      </c>
      <c r="B559" s="106" t="s">
        <v>6792</v>
      </c>
      <c r="C559" s="106"/>
      <c r="D559" s="107"/>
      <c r="E559" s="107" t="n">
        <v>615</v>
      </c>
      <c r="F559" s="130" t="n">
        <v>0.4</v>
      </c>
      <c r="G559" s="106" t="s">
        <v>1411</v>
      </c>
      <c r="H559" s="106" t="n">
        <v>0</v>
      </c>
      <c r="I559" s="106" t="s">
        <v>6794</v>
      </c>
      <c r="J559" s="106" t="s">
        <v>6794</v>
      </c>
      <c r="K559" s="106" t="s">
        <v>6793</v>
      </c>
      <c r="L559" s="106" t="s">
        <v>6793</v>
      </c>
      <c r="M559" s="117"/>
      <c r="N559" s="106" t="n">
        <v>0</v>
      </c>
      <c r="O559" s="106"/>
      <c r="P559" s="27" t="s">
        <v>6805</v>
      </c>
    </row>
    <row r="560" customFormat="false" ht="15" hidden="false" customHeight="false" outlineLevel="0" collapsed="false">
      <c r="A560" s="106" t="s">
        <v>7325</v>
      </c>
      <c r="B560" s="106" t="s">
        <v>6792</v>
      </c>
      <c r="C560" s="106" t="s">
        <v>185</v>
      </c>
      <c r="D560" s="107"/>
      <c r="E560" s="107" t="n">
        <v>615</v>
      </c>
      <c r="F560" s="130" t="n">
        <v>0.45</v>
      </c>
      <c r="G560" s="106" t="s">
        <v>1411</v>
      </c>
      <c r="H560" s="106" t="n">
        <v>0</v>
      </c>
      <c r="I560" s="106" t="s">
        <v>6794</v>
      </c>
      <c r="J560" s="106" t="s">
        <v>6794</v>
      </c>
      <c r="K560" s="106" t="s">
        <v>6793</v>
      </c>
      <c r="L560" s="106" t="s">
        <v>6793</v>
      </c>
      <c r="M560" s="117"/>
      <c r="N560" s="106" t="n">
        <v>0</v>
      </c>
      <c r="O560" s="106"/>
      <c r="P560" s="27" t="s">
        <v>6805</v>
      </c>
    </row>
    <row r="561" customFormat="false" ht="15" hidden="false" customHeight="false" outlineLevel="0" collapsed="false">
      <c r="A561" s="106" t="s">
        <v>7326</v>
      </c>
      <c r="B561" s="106" t="s">
        <v>6792</v>
      </c>
      <c r="C561" s="106" t="s">
        <v>185</v>
      </c>
      <c r="D561" s="107"/>
      <c r="E561" s="107" t="n">
        <v>604.457142857143</v>
      </c>
      <c r="F561" s="130" t="n">
        <v>0.55</v>
      </c>
      <c r="G561" s="106" t="s">
        <v>1411</v>
      </c>
      <c r="H561" s="106" t="n">
        <v>0.5</v>
      </c>
      <c r="I561" s="106" t="s">
        <v>6793</v>
      </c>
      <c r="J561" s="106" t="s">
        <v>6794</v>
      </c>
      <c r="K561" s="106" t="s">
        <v>6793</v>
      </c>
      <c r="L561" s="106" t="s">
        <v>6794</v>
      </c>
      <c r="M561" s="117"/>
      <c r="N561" s="106" t="n">
        <v>0</v>
      </c>
      <c r="O561" s="106"/>
      <c r="P561" s="27" t="s">
        <v>6818</v>
      </c>
    </row>
    <row r="562" customFormat="false" ht="15" hidden="false" customHeight="false" outlineLevel="0" collapsed="false">
      <c r="A562" s="106" t="s">
        <v>7327</v>
      </c>
      <c r="B562" s="106" t="s">
        <v>6792</v>
      </c>
      <c r="C562" s="106"/>
      <c r="D562" s="107"/>
      <c r="E562" s="107" t="n">
        <v>604.457142857143</v>
      </c>
      <c r="F562" s="130" t="n">
        <v>0.5</v>
      </c>
      <c r="G562" s="106" t="s">
        <v>1411</v>
      </c>
      <c r="H562" s="106" t="n">
        <v>0</v>
      </c>
      <c r="I562" s="106" t="s">
        <v>6793</v>
      </c>
      <c r="J562" s="106" t="s">
        <v>6794</v>
      </c>
      <c r="K562" s="106" t="s">
        <v>6793</v>
      </c>
      <c r="L562" s="106" t="s">
        <v>6794</v>
      </c>
      <c r="M562" s="117"/>
      <c r="N562" s="106" t="n">
        <v>0</v>
      </c>
      <c r="O562" s="106"/>
      <c r="P562" s="27" t="s">
        <v>6818</v>
      </c>
    </row>
    <row r="563" customFormat="false" ht="15" hidden="false" customHeight="false" outlineLevel="0" collapsed="false">
      <c r="A563" s="106" t="s">
        <v>7328</v>
      </c>
      <c r="B563" s="106" t="s">
        <v>6792</v>
      </c>
      <c r="C563" s="106" t="s">
        <v>185</v>
      </c>
      <c r="D563" s="107"/>
      <c r="E563" s="107" t="n">
        <v>604.457142857143</v>
      </c>
      <c r="F563" s="130" t="n">
        <v>0.45</v>
      </c>
      <c r="G563" s="106" t="s">
        <v>1411</v>
      </c>
      <c r="H563" s="106" t="n">
        <v>0</v>
      </c>
      <c r="I563" s="106" t="s">
        <v>6794</v>
      </c>
      <c r="J563" s="106" t="s">
        <v>6794</v>
      </c>
      <c r="K563" s="106" t="s">
        <v>6793</v>
      </c>
      <c r="L563" s="106" t="s">
        <v>6793</v>
      </c>
      <c r="M563" s="117"/>
      <c r="N563" s="106" t="n">
        <v>0</v>
      </c>
      <c r="O563" s="106"/>
      <c r="P563" s="27" t="s">
        <v>6805</v>
      </c>
    </row>
    <row r="564" customFormat="false" ht="15" hidden="false" customHeight="false" outlineLevel="0" collapsed="false">
      <c r="A564" s="106" t="s">
        <v>7329</v>
      </c>
      <c r="B564" s="106" t="s">
        <v>6792</v>
      </c>
      <c r="C564" s="106"/>
      <c r="D564" s="107"/>
      <c r="E564" s="107" t="n">
        <v>604.457142857143</v>
      </c>
      <c r="F564" s="130" t="n">
        <v>0.5</v>
      </c>
      <c r="G564" s="106" t="s">
        <v>1411</v>
      </c>
      <c r="H564" s="106" t="n">
        <v>0</v>
      </c>
      <c r="I564" s="106" t="s">
        <v>6793</v>
      </c>
      <c r="J564" s="106" t="s">
        <v>6794</v>
      </c>
      <c r="K564" s="106" t="s">
        <v>6793</v>
      </c>
      <c r="L564" s="106" t="s">
        <v>6794</v>
      </c>
      <c r="M564" s="117"/>
      <c r="N564" s="106" t="n">
        <v>0</v>
      </c>
      <c r="O564" s="106"/>
      <c r="P564" s="27" t="s">
        <v>6818</v>
      </c>
    </row>
    <row r="565" customFormat="false" ht="15" hidden="false" customHeight="false" outlineLevel="0" collapsed="false">
      <c r="A565" s="106" t="s">
        <v>7330</v>
      </c>
      <c r="B565" s="106" t="s">
        <v>6792</v>
      </c>
      <c r="C565" s="106" t="s">
        <v>479</v>
      </c>
      <c r="D565" s="107"/>
      <c r="E565" s="107" t="n">
        <v>604.457142857143</v>
      </c>
      <c r="F565" s="130" t="n">
        <v>0.45</v>
      </c>
      <c r="G565" s="106" t="s">
        <v>1411</v>
      </c>
      <c r="H565" s="106" t="n">
        <v>0</v>
      </c>
      <c r="I565" s="106" t="s">
        <v>6794</v>
      </c>
      <c r="J565" s="106" t="s">
        <v>6794</v>
      </c>
      <c r="K565" s="106" t="s">
        <v>6793</v>
      </c>
      <c r="L565" s="106" t="s">
        <v>6793</v>
      </c>
      <c r="M565" s="117"/>
      <c r="N565" s="106" t="n">
        <v>0</v>
      </c>
      <c r="O565" s="106"/>
      <c r="P565" s="27" t="s">
        <v>6805</v>
      </c>
    </row>
    <row r="566" customFormat="false" ht="15" hidden="false" customHeight="false" outlineLevel="0" collapsed="false">
      <c r="A566" s="106" t="s">
        <v>4852</v>
      </c>
      <c r="B566" s="106" t="s">
        <v>6792</v>
      </c>
      <c r="C566" s="106"/>
      <c r="D566" s="107" t="n">
        <v>669</v>
      </c>
      <c r="E566" s="107" t="n">
        <v>593.914285714286</v>
      </c>
      <c r="F566" s="130" t="n">
        <v>0.58</v>
      </c>
      <c r="G566" s="106" t="s">
        <v>1411</v>
      </c>
      <c r="H566" s="106" t="n">
        <v>2</v>
      </c>
      <c r="I566" s="106" t="s">
        <v>6793</v>
      </c>
      <c r="J566" s="106" t="s">
        <v>6794</v>
      </c>
      <c r="K566" s="106" t="s">
        <v>6799</v>
      </c>
      <c r="L566" s="106" t="s">
        <v>6793</v>
      </c>
      <c r="M566" s="117" t="n">
        <v>0.0277777777777777</v>
      </c>
      <c r="N566" s="106" t="n">
        <v>0</v>
      </c>
      <c r="O566" s="106"/>
      <c r="P566" s="27" t="s">
        <v>6795</v>
      </c>
    </row>
    <row r="567" customFormat="false" ht="15" hidden="false" customHeight="false" outlineLevel="0" collapsed="false">
      <c r="A567" s="106" t="s">
        <v>7331</v>
      </c>
      <c r="B567" s="106" t="s">
        <v>6792</v>
      </c>
      <c r="C567" s="106" t="s">
        <v>560</v>
      </c>
      <c r="D567" s="107"/>
      <c r="E567" s="107" t="n">
        <v>593.914285714286</v>
      </c>
      <c r="F567" s="130" t="n">
        <v>0.55</v>
      </c>
      <c r="G567" s="106" t="s">
        <v>1411</v>
      </c>
      <c r="H567" s="106" t="n">
        <v>0</v>
      </c>
      <c r="I567" s="106" t="s">
        <v>6793</v>
      </c>
      <c r="J567" s="106" t="s">
        <v>6794</v>
      </c>
      <c r="K567" s="106" t="s">
        <v>6793</v>
      </c>
      <c r="L567" s="106" t="s">
        <v>6794</v>
      </c>
      <c r="M567" s="117"/>
      <c r="N567" s="106" t="n">
        <v>0</v>
      </c>
      <c r="O567" s="106"/>
      <c r="P567" s="27" t="s">
        <v>6818</v>
      </c>
    </row>
    <row r="568" customFormat="false" ht="15" hidden="false" customHeight="false" outlineLevel="0" collapsed="false">
      <c r="A568" s="106" t="s">
        <v>7332</v>
      </c>
      <c r="B568" s="106" t="s">
        <v>6792</v>
      </c>
      <c r="C568" s="106" t="s">
        <v>185</v>
      </c>
      <c r="D568" s="107"/>
      <c r="E568" s="107" t="n">
        <v>593.914285714286</v>
      </c>
      <c r="F568" s="130" t="n">
        <v>0.45</v>
      </c>
      <c r="G568" s="106" t="s">
        <v>1411</v>
      </c>
      <c r="H568" s="106" t="n">
        <v>0</v>
      </c>
      <c r="I568" s="106" t="s">
        <v>6794</v>
      </c>
      <c r="J568" s="106" t="s">
        <v>6794</v>
      </c>
      <c r="K568" s="106" t="s">
        <v>6793</v>
      </c>
      <c r="L568" s="106" t="s">
        <v>6793</v>
      </c>
      <c r="M568" s="117"/>
      <c r="N568" s="106" t="n">
        <v>0</v>
      </c>
      <c r="O568" s="106"/>
      <c r="P568" s="27" t="s">
        <v>6805</v>
      </c>
    </row>
    <row r="569" customFormat="false" ht="15" hidden="false" customHeight="false" outlineLevel="0" collapsed="false">
      <c r="A569" s="106" t="s">
        <v>7333</v>
      </c>
      <c r="B569" s="106" t="s">
        <v>6792</v>
      </c>
      <c r="C569" s="106"/>
      <c r="D569" s="107"/>
      <c r="E569" s="107" t="n">
        <v>593.914285714286</v>
      </c>
      <c r="F569" s="130" t="n">
        <v>0.5</v>
      </c>
      <c r="G569" s="106" t="s">
        <v>1411</v>
      </c>
      <c r="H569" s="106" t="n">
        <v>0</v>
      </c>
      <c r="I569" s="106" t="s">
        <v>6793</v>
      </c>
      <c r="J569" s="106" t="s">
        <v>6794</v>
      </c>
      <c r="K569" s="106" t="s">
        <v>6793</v>
      </c>
      <c r="L569" s="106" t="s">
        <v>6794</v>
      </c>
      <c r="M569" s="117"/>
      <c r="N569" s="106" t="n">
        <v>0</v>
      </c>
      <c r="O569" s="106"/>
      <c r="P569" s="27" t="s">
        <v>6818</v>
      </c>
    </row>
    <row r="570" customFormat="false" ht="15" hidden="false" customHeight="false" outlineLevel="0" collapsed="false">
      <c r="A570" s="106" t="s">
        <v>7334</v>
      </c>
      <c r="B570" s="106" t="s">
        <v>6792</v>
      </c>
      <c r="C570" s="106"/>
      <c r="D570" s="107"/>
      <c r="E570" s="107" t="n">
        <v>593.914285714286</v>
      </c>
      <c r="F570" s="130" t="n">
        <v>0.5</v>
      </c>
      <c r="G570" s="106" t="s">
        <v>1411</v>
      </c>
      <c r="H570" s="106" t="n">
        <v>0</v>
      </c>
      <c r="I570" s="106" t="s">
        <v>6793</v>
      </c>
      <c r="J570" s="106" t="s">
        <v>6794</v>
      </c>
      <c r="K570" s="106" t="s">
        <v>6793</v>
      </c>
      <c r="L570" s="106" t="s">
        <v>6794</v>
      </c>
      <c r="M570" s="117"/>
      <c r="N570" s="106" t="n">
        <v>0</v>
      </c>
      <c r="O570" s="106"/>
      <c r="P570" s="27" t="s">
        <v>6818</v>
      </c>
    </row>
    <row r="571" customFormat="false" ht="15" hidden="false" customHeight="false" outlineLevel="0" collapsed="false">
      <c r="A571" s="106" t="s">
        <v>7335</v>
      </c>
      <c r="B571" s="106" t="s">
        <v>6792</v>
      </c>
      <c r="C571" s="106"/>
      <c r="D571" s="107"/>
      <c r="E571" s="107" t="n">
        <v>593.914285714286</v>
      </c>
      <c r="F571" s="130" t="n">
        <v>0.38</v>
      </c>
      <c r="G571" s="106" t="s">
        <v>1411</v>
      </c>
      <c r="H571" s="106" t="n">
        <v>0</v>
      </c>
      <c r="I571" s="106" t="s">
        <v>6799</v>
      </c>
      <c r="J571" s="106" t="s">
        <v>6794</v>
      </c>
      <c r="K571" s="106" t="s">
        <v>6793</v>
      </c>
      <c r="L571" s="106" t="s">
        <v>6794</v>
      </c>
      <c r="M571" s="117"/>
      <c r="N571" s="106" t="n">
        <v>0</v>
      </c>
      <c r="O571" s="106"/>
      <c r="P571" s="27" t="s">
        <v>6818</v>
      </c>
    </row>
    <row r="572" customFormat="false" ht="15" hidden="false" customHeight="false" outlineLevel="0" collapsed="false">
      <c r="A572" s="106" t="s">
        <v>7336</v>
      </c>
      <c r="B572" s="106" t="s">
        <v>6792</v>
      </c>
      <c r="C572" s="106" t="s">
        <v>560</v>
      </c>
      <c r="D572" s="107"/>
      <c r="E572" s="107" t="n">
        <v>586.885714285714</v>
      </c>
      <c r="F572" s="130" t="n">
        <v>0.55</v>
      </c>
      <c r="G572" s="106" t="s">
        <v>1411</v>
      </c>
      <c r="H572" s="106" t="n">
        <v>0.5</v>
      </c>
      <c r="I572" s="106" t="s">
        <v>6793</v>
      </c>
      <c r="J572" s="106" t="s">
        <v>6794</v>
      </c>
      <c r="K572" s="106" t="s">
        <v>6793</v>
      </c>
      <c r="L572" s="106" t="s">
        <v>6794</v>
      </c>
      <c r="M572" s="117"/>
      <c r="N572" s="106" t="n">
        <v>0</v>
      </c>
      <c r="O572" s="106"/>
      <c r="P572" s="27" t="s">
        <v>6818</v>
      </c>
    </row>
    <row r="573" customFormat="false" ht="15" hidden="false" customHeight="false" outlineLevel="0" collapsed="false">
      <c r="A573" s="106" t="s">
        <v>7337</v>
      </c>
      <c r="B573" s="106" t="s">
        <v>6792</v>
      </c>
      <c r="C573" s="106" t="s">
        <v>479</v>
      </c>
      <c r="D573" s="107"/>
      <c r="E573" s="107" t="n">
        <v>586.885714285714</v>
      </c>
      <c r="F573" s="130" t="n">
        <v>0.55</v>
      </c>
      <c r="G573" s="106" t="s">
        <v>1411</v>
      </c>
      <c r="H573" s="106" t="n">
        <v>0</v>
      </c>
      <c r="I573" s="106" t="s">
        <v>6793</v>
      </c>
      <c r="J573" s="106" t="s">
        <v>6794</v>
      </c>
      <c r="K573" s="106" t="s">
        <v>6793</v>
      </c>
      <c r="L573" s="106" t="s">
        <v>6794</v>
      </c>
      <c r="M573" s="117"/>
      <c r="N573" s="106" t="n">
        <v>0</v>
      </c>
      <c r="O573" s="106"/>
      <c r="P573" s="27" t="s">
        <v>6818</v>
      </c>
    </row>
    <row r="574" customFormat="false" ht="15" hidden="false" customHeight="false" outlineLevel="0" collapsed="false">
      <c r="A574" s="106" t="s">
        <v>7338</v>
      </c>
      <c r="B574" s="106" t="s">
        <v>6792</v>
      </c>
      <c r="C574" s="106"/>
      <c r="D574" s="107"/>
      <c r="E574" s="107" t="n">
        <v>586.885714285714</v>
      </c>
      <c r="F574" s="130" t="n">
        <v>0.4</v>
      </c>
      <c r="G574" s="106" t="s">
        <v>1411</v>
      </c>
      <c r="H574" s="106" t="n">
        <v>0</v>
      </c>
      <c r="I574" s="106" t="s">
        <v>6794</v>
      </c>
      <c r="J574" s="106" t="s">
        <v>6794</v>
      </c>
      <c r="K574" s="106" t="s">
        <v>6793</v>
      </c>
      <c r="L574" s="106" t="s">
        <v>6793</v>
      </c>
      <c r="M574" s="117"/>
      <c r="N574" s="106" t="n">
        <v>0</v>
      </c>
      <c r="O574" s="106"/>
      <c r="P574" s="27" t="s">
        <v>6805</v>
      </c>
    </row>
    <row r="575" customFormat="false" ht="15" hidden="false" customHeight="false" outlineLevel="0" collapsed="false">
      <c r="A575" s="106" t="s">
        <v>7339</v>
      </c>
      <c r="B575" s="106" t="s">
        <v>6792</v>
      </c>
      <c r="C575" s="106" t="s">
        <v>560</v>
      </c>
      <c r="D575" s="107"/>
      <c r="E575" s="107" t="n">
        <v>586.885714285714</v>
      </c>
      <c r="F575" s="130" t="n">
        <v>0.55</v>
      </c>
      <c r="G575" s="106" t="s">
        <v>1411</v>
      </c>
      <c r="H575" s="106" t="n">
        <v>0.5</v>
      </c>
      <c r="I575" s="106" t="s">
        <v>6793</v>
      </c>
      <c r="J575" s="106" t="s">
        <v>6794</v>
      </c>
      <c r="K575" s="106" t="s">
        <v>6793</v>
      </c>
      <c r="L575" s="106" t="s">
        <v>6794</v>
      </c>
      <c r="M575" s="117"/>
      <c r="N575" s="106" t="n">
        <v>0</v>
      </c>
      <c r="O575" s="106"/>
      <c r="P575" s="27" t="s">
        <v>6818</v>
      </c>
    </row>
    <row r="576" customFormat="false" ht="15" hidden="false" customHeight="false" outlineLevel="0" collapsed="false">
      <c r="A576" s="106" t="s">
        <v>7340</v>
      </c>
      <c r="B576" s="106" t="s">
        <v>6792</v>
      </c>
      <c r="C576" s="106" t="s">
        <v>696</v>
      </c>
      <c r="D576" s="107"/>
      <c r="E576" s="107" t="n">
        <v>586.885714285714</v>
      </c>
      <c r="F576" s="130" t="n">
        <v>0.45</v>
      </c>
      <c r="G576" s="106" t="s">
        <v>1411</v>
      </c>
      <c r="H576" s="106" t="n">
        <v>0</v>
      </c>
      <c r="I576" s="106" t="s">
        <v>6794</v>
      </c>
      <c r="J576" s="106" t="s">
        <v>6794</v>
      </c>
      <c r="K576" s="106" t="s">
        <v>6793</v>
      </c>
      <c r="L576" s="106" t="s">
        <v>6793</v>
      </c>
      <c r="M576" s="117"/>
      <c r="N576" s="106" t="n">
        <v>0</v>
      </c>
      <c r="O576" s="106"/>
      <c r="P576" s="27" t="s">
        <v>6805</v>
      </c>
    </row>
    <row r="577" customFormat="false" ht="15" hidden="false" customHeight="false" outlineLevel="0" collapsed="false">
      <c r="A577" s="106" t="s">
        <v>4869</v>
      </c>
      <c r="B577" s="106" t="s">
        <v>6792</v>
      </c>
      <c r="C577" s="106"/>
      <c r="D577" s="107" t="n">
        <v>105</v>
      </c>
      <c r="E577" s="107" t="n">
        <v>586.885714285714</v>
      </c>
      <c r="F577" s="130" t="n">
        <v>0.7</v>
      </c>
      <c r="G577" s="106" t="s">
        <v>1411</v>
      </c>
      <c r="H577" s="106" t="n">
        <v>1</v>
      </c>
      <c r="I577" s="106" t="s">
        <v>6794</v>
      </c>
      <c r="J577" s="106" t="s">
        <v>6793</v>
      </c>
      <c r="K577" s="106" t="s">
        <v>6793</v>
      </c>
      <c r="L577" s="106" t="s">
        <v>6793</v>
      </c>
      <c r="M577" s="117" t="n">
        <v>0.0297029702970297</v>
      </c>
      <c r="N577" s="106" t="n">
        <v>0</v>
      </c>
      <c r="O577" s="106"/>
      <c r="P577" s="27" t="s">
        <v>6885</v>
      </c>
    </row>
    <row r="578" customFormat="false" ht="15" hidden="false" customHeight="false" outlineLevel="0" collapsed="false">
      <c r="A578" s="106" t="s">
        <v>7341</v>
      </c>
      <c r="B578" s="106" t="s">
        <v>6792</v>
      </c>
      <c r="C578" s="106" t="s">
        <v>560</v>
      </c>
      <c r="D578" s="107" t="n">
        <v>690</v>
      </c>
      <c r="E578" s="107" t="n">
        <v>576.342857142857</v>
      </c>
      <c r="F578" s="130" t="n">
        <v>0.38</v>
      </c>
      <c r="G578" s="106" t="s">
        <v>1411</v>
      </c>
      <c r="H578" s="106" t="n">
        <v>0</v>
      </c>
      <c r="I578" s="106" t="s">
        <v>6794</v>
      </c>
      <c r="J578" s="106" t="s">
        <v>6794</v>
      </c>
      <c r="K578" s="106" t="s">
        <v>6793</v>
      </c>
      <c r="L578" s="106" t="s">
        <v>6799</v>
      </c>
      <c r="M578" s="117"/>
      <c r="N578" s="106" t="n">
        <v>0</v>
      </c>
      <c r="O578" s="106"/>
      <c r="P578" s="27" t="s">
        <v>6805</v>
      </c>
    </row>
    <row r="579" customFormat="false" ht="15" hidden="false" customHeight="false" outlineLevel="0" collapsed="false">
      <c r="A579" s="106" t="s">
        <v>7342</v>
      </c>
      <c r="B579" s="106" t="s">
        <v>6792</v>
      </c>
      <c r="C579" s="106" t="s">
        <v>696</v>
      </c>
      <c r="D579" s="107"/>
      <c r="E579" s="107" t="n">
        <v>576.342857142857</v>
      </c>
      <c r="F579" s="130" t="n">
        <v>0.45</v>
      </c>
      <c r="G579" s="106" t="s">
        <v>1411</v>
      </c>
      <c r="H579" s="106" t="n">
        <v>0</v>
      </c>
      <c r="I579" s="106" t="s">
        <v>6794</v>
      </c>
      <c r="J579" s="106" t="s">
        <v>6794</v>
      </c>
      <c r="K579" s="106" t="s">
        <v>6793</v>
      </c>
      <c r="L579" s="106" t="s">
        <v>6793</v>
      </c>
      <c r="M579" s="117"/>
      <c r="N579" s="106" t="n">
        <v>0</v>
      </c>
      <c r="O579" s="106"/>
      <c r="P579" s="27" t="s">
        <v>6805</v>
      </c>
    </row>
    <row r="580" customFormat="false" ht="15" hidden="false" customHeight="false" outlineLevel="0" collapsed="false">
      <c r="A580" s="106" t="s">
        <v>7343</v>
      </c>
      <c r="B580" s="106" t="s">
        <v>6792</v>
      </c>
      <c r="C580" s="106"/>
      <c r="D580" s="107"/>
      <c r="E580" s="107" t="n">
        <v>576.342857142857</v>
      </c>
      <c r="F580" s="130" t="n">
        <v>0.38</v>
      </c>
      <c r="G580" s="106" t="s">
        <v>1411</v>
      </c>
      <c r="H580" s="106" t="n">
        <v>0</v>
      </c>
      <c r="I580" s="106" t="s">
        <v>6799</v>
      </c>
      <c r="J580" s="106" t="s">
        <v>6794</v>
      </c>
      <c r="K580" s="106" t="s">
        <v>6793</v>
      </c>
      <c r="L580" s="106" t="s">
        <v>6794</v>
      </c>
      <c r="M580" s="117"/>
      <c r="N580" s="106" t="n">
        <v>0</v>
      </c>
      <c r="O580" s="106"/>
      <c r="P580" s="27" t="s">
        <v>6818</v>
      </c>
    </row>
    <row r="581" customFormat="false" ht="15" hidden="false" customHeight="false" outlineLevel="0" collapsed="false">
      <c r="A581" s="106" t="s">
        <v>7344</v>
      </c>
      <c r="B581" s="106" t="s">
        <v>6792</v>
      </c>
      <c r="C581" s="106" t="s">
        <v>185</v>
      </c>
      <c r="D581" s="107"/>
      <c r="E581" s="107" t="n">
        <v>576.342857142857</v>
      </c>
      <c r="F581" s="130" t="n">
        <v>0.55</v>
      </c>
      <c r="G581" s="106" t="s">
        <v>1411</v>
      </c>
      <c r="H581" s="106" t="n">
        <v>0</v>
      </c>
      <c r="I581" s="106" t="s">
        <v>6793</v>
      </c>
      <c r="J581" s="106" t="s">
        <v>6794</v>
      </c>
      <c r="K581" s="106" t="s">
        <v>6793</v>
      </c>
      <c r="L581" s="106" t="s">
        <v>6794</v>
      </c>
      <c r="M581" s="117"/>
      <c r="N581" s="106" t="n">
        <v>0</v>
      </c>
      <c r="O581" s="106"/>
      <c r="P581" s="27" t="s">
        <v>6818</v>
      </c>
    </row>
    <row r="582" customFormat="false" ht="15" hidden="false" customHeight="false" outlineLevel="0" collapsed="false">
      <c r="A582" s="106" t="s">
        <v>7345</v>
      </c>
      <c r="B582" s="106" t="s">
        <v>6792</v>
      </c>
      <c r="C582" s="106"/>
      <c r="D582" s="107"/>
      <c r="E582" s="107" t="n">
        <v>576.342857142857</v>
      </c>
      <c r="F582" s="130" t="n">
        <v>0.5</v>
      </c>
      <c r="G582" s="106" t="s">
        <v>1411</v>
      </c>
      <c r="H582" s="106" t="n">
        <v>0</v>
      </c>
      <c r="I582" s="106" t="s">
        <v>6793</v>
      </c>
      <c r="J582" s="106" t="s">
        <v>6794</v>
      </c>
      <c r="K582" s="106" t="s">
        <v>6793</v>
      </c>
      <c r="L582" s="106" t="s">
        <v>6794</v>
      </c>
      <c r="M582" s="117"/>
      <c r="N582" s="106" t="n">
        <v>0</v>
      </c>
      <c r="O582" s="106"/>
      <c r="P582" s="27" t="s">
        <v>6818</v>
      </c>
    </row>
    <row r="583" customFormat="false" ht="15" hidden="false" customHeight="false" outlineLevel="0" collapsed="false">
      <c r="A583" s="106" t="s">
        <v>7346</v>
      </c>
      <c r="B583" s="106" t="s">
        <v>6792</v>
      </c>
      <c r="C583" s="106" t="s">
        <v>560</v>
      </c>
      <c r="D583" s="107"/>
      <c r="E583" s="107" t="n">
        <v>576.342857142857</v>
      </c>
      <c r="F583" s="130" t="n">
        <v>0.55</v>
      </c>
      <c r="G583" s="106" t="s">
        <v>1411</v>
      </c>
      <c r="H583" s="106" t="n">
        <v>0.5</v>
      </c>
      <c r="I583" s="106" t="s">
        <v>6793</v>
      </c>
      <c r="J583" s="106" t="s">
        <v>6794</v>
      </c>
      <c r="K583" s="106" t="s">
        <v>6793</v>
      </c>
      <c r="L583" s="106" t="s">
        <v>6794</v>
      </c>
      <c r="M583" s="117"/>
      <c r="N583" s="106" t="n">
        <v>0</v>
      </c>
      <c r="O583" s="106"/>
      <c r="P583" s="27" t="s">
        <v>6818</v>
      </c>
    </row>
    <row r="584" customFormat="false" ht="15" hidden="false" customHeight="false" outlineLevel="0" collapsed="false">
      <c r="A584" s="106" t="s">
        <v>7347</v>
      </c>
      <c r="B584" s="106" t="s">
        <v>6792</v>
      </c>
      <c r="C584" s="106"/>
      <c r="D584" s="107"/>
      <c r="E584" s="107" t="n">
        <v>576.342857142857</v>
      </c>
      <c r="F584" s="130" t="n">
        <v>0.4</v>
      </c>
      <c r="G584" s="106" t="s">
        <v>1411</v>
      </c>
      <c r="H584" s="106" t="n">
        <v>0</v>
      </c>
      <c r="I584" s="106" t="s">
        <v>6794</v>
      </c>
      <c r="J584" s="106" t="s">
        <v>6794</v>
      </c>
      <c r="K584" s="106" t="s">
        <v>6793</v>
      </c>
      <c r="L584" s="106" t="s">
        <v>6793</v>
      </c>
      <c r="M584" s="117"/>
      <c r="N584" s="106" t="n">
        <v>0</v>
      </c>
      <c r="O584" s="106"/>
      <c r="P584" s="27" t="s">
        <v>6805</v>
      </c>
    </row>
    <row r="585" customFormat="false" ht="15" hidden="false" customHeight="false" outlineLevel="0" collapsed="false">
      <c r="A585" s="106" t="s">
        <v>7348</v>
      </c>
      <c r="B585" s="106" t="s">
        <v>6792</v>
      </c>
      <c r="C585" s="106"/>
      <c r="D585" s="107"/>
      <c r="E585" s="107" t="n">
        <v>576.342857142857</v>
      </c>
      <c r="F585" s="130" t="n">
        <v>0.4</v>
      </c>
      <c r="G585" s="106" t="s">
        <v>1411</v>
      </c>
      <c r="H585" s="106" t="n">
        <v>0</v>
      </c>
      <c r="I585" s="106" t="s">
        <v>6794</v>
      </c>
      <c r="J585" s="106" t="s">
        <v>6794</v>
      </c>
      <c r="K585" s="106" t="s">
        <v>6793</v>
      </c>
      <c r="L585" s="106" t="s">
        <v>6793</v>
      </c>
      <c r="M585" s="117"/>
      <c r="N585" s="106" t="n">
        <v>0</v>
      </c>
      <c r="O585" s="106"/>
      <c r="P585" s="27" t="s">
        <v>6805</v>
      </c>
    </row>
    <row r="586" customFormat="false" ht="15" hidden="false" customHeight="false" outlineLevel="0" collapsed="false">
      <c r="A586" s="106" t="s">
        <v>7349</v>
      </c>
      <c r="B586" s="106" t="s">
        <v>6792</v>
      </c>
      <c r="C586" s="106" t="s">
        <v>185</v>
      </c>
      <c r="D586" s="107"/>
      <c r="E586" s="107" t="n">
        <v>576.342857142857</v>
      </c>
      <c r="F586" s="130" t="n">
        <v>0.55</v>
      </c>
      <c r="G586" s="106" t="s">
        <v>1411</v>
      </c>
      <c r="H586" s="106" t="n">
        <v>0</v>
      </c>
      <c r="I586" s="106" t="s">
        <v>6793</v>
      </c>
      <c r="J586" s="106" t="s">
        <v>6794</v>
      </c>
      <c r="K586" s="106" t="s">
        <v>6793</v>
      </c>
      <c r="L586" s="106" t="s">
        <v>6794</v>
      </c>
      <c r="M586" s="117"/>
      <c r="N586" s="106" t="n">
        <v>0</v>
      </c>
      <c r="O586" s="106"/>
      <c r="P586" s="27" t="s">
        <v>6818</v>
      </c>
    </row>
    <row r="587" customFormat="false" ht="15" hidden="false" customHeight="false" outlineLevel="0" collapsed="false">
      <c r="A587" s="106" t="s">
        <v>7350</v>
      </c>
      <c r="B587" s="106" t="s">
        <v>6792</v>
      </c>
      <c r="C587" s="106" t="s">
        <v>479</v>
      </c>
      <c r="D587" s="107"/>
      <c r="E587" s="107" t="n">
        <v>576.342857142857</v>
      </c>
      <c r="F587" s="130" t="n">
        <v>0.55</v>
      </c>
      <c r="G587" s="106" t="s">
        <v>1411</v>
      </c>
      <c r="H587" s="106" t="n">
        <v>0</v>
      </c>
      <c r="I587" s="106" t="s">
        <v>6793</v>
      </c>
      <c r="J587" s="106" t="s">
        <v>6794</v>
      </c>
      <c r="K587" s="106" t="s">
        <v>6793</v>
      </c>
      <c r="L587" s="106" t="s">
        <v>6794</v>
      </c>
      <c r="M587" s="117"/>
      <c r="N587" s="106" t="n">
        <v>0</v>
      </c>
      <c r="O587" s="106"/>
      <c r="P587" s="27" t="s">
        <v>6818</v>
      </c>
    </row>
    <row r="588" customFormat="false" ht="15" hidden="false" customHeight="false" outlineLevel="0" collapsed="false">
      <c r="A588" s="106" t="s">
        <v>7351</v>
      </c>
      <c r="B588" s="106" t="s">
        <v>6792</v>
      </c>
      <c r="C588" s="106" t="s">
        <v>560</v>
      </c>
      <c r="D588" s="107"/>
      <c r="E588" s="107" t="n">
        <v>576.342857142857</v>
      </c>
      <c r="F588" s="130" t="n">
        <v>0.55</v>
      </c>
      <c r="G588" s="106" t="s">
        <v>1411</v>
      </c>
      <c r="H588" s="106" t="n">
        <v>0</v>
      </c>
      <c r="I588" s="106" t="s">
        <v>6793</v>
      </c>
      <c r="J588" s="106" t="s">
        <v>6794</v>
      </c>
      <c r="K588" s="106" t="s">
        <v>6793</v>
      </c>
      <c r="L588" s="106" t="s">
        <v>6794</v>
      </c>
      <c r="M588" s="117"/>
      <c r="N588" s="106" t="n">
        <v>0</v>
      </c>
      <c r="O588" s="106"/>
      <c r="P588" s="27" t="s">
        <v>6818</v>
      </c>
    </row>
    <row r="589" customFormat="false" ht="15" hidden="false" customHeight="false" outlineLevel="0" collapsed="false">
      <c r="A589" s="106" t="s">
        <v>7352</v>
      </c>
      <c r="B589" s="106" t="s">
        <v>6792</v>
      </c>
      <c r="C589" s="106" t="s">
        <v>560</v>
      </c>
      <c r="D589" s="107"/>
      <c r="E589" s="107" t="n">
        <v>576.342857142857</v>
      </c>
      <c r="F589" s="130" t="n">
        <v>0.45</v>
      </c>
      <c r="G589" s="106" t="s">
        <v>1411</v>
      </c>
      <c r="H589" s="106" t="n">
        <v>0</v>
      </c>
      <c r="I589" s="106" t="s">
        <v>6794</v>
      </c>
      <c r="J589" s="106" t="s">
        <v>6794</v>
      </c>
      <c r="K589" s="106" t="s">
        <v>6793</v>
      </c>
      <c r="L589" s="106" t="s">
        <v>6793</v>
      </c>
      <c r="M589" s="117"/>
      <c r="N589" s="106" t="n">
        <v>0</v>
      </c>
      <c r="O589" s="106"/>
      <c r="P589" s="27" t="s">
        <v>6805</v>
      </c>
    </row>
    <row r="590" customFormat="false" ht="15" hidden="false" customHeight="false" outlineLevel="0" collapsed="false">
      <c r="A590" s="106" t="s">
        <v>7353</v>
      </c>
      <c r="B590" s="106" t="s">
        <v>6792</v>
      </c>
      <c r="C590" s="106" t="s">
        <v>560</v>
      </c>
      <c r="D590" s="107"/>
      <c r="E590" s="107" t="n">
        <v>565.8</v>
      </c>
      <c r="F590" s="130" t="n">
        <v>0.55</v>
      </c>
      <c r="G590" s="106" t="s">
        <v>1411</v>
      </c>
      <c r="H590" s="106" t="n">
        <v>0</v>
      </c>
      <c r="I590" s="106" t="s">
        <v>6793</v>
      </c>
      <c r="J590" s="106" t="s">
        <v>6794</v>
      </c>
      <c r="K590" s="106" t="s">
        <v>6793</v>
      </c>
      <c r="L590" s="106" t="s">
        <v>6794</v>
      </c>
      <c r="M590" s="117"/>
      <c r="N590" s="106" t="n">
        <v>0</v>
      </c>
      <c r="O590" s="106"/>
      <c r="P590" s="27" t="s">
        <v>6818</v>
      </c>
    </row>
    <row r="591" customFormat="false" ht="15" hidden="false" customHeight="false" outlineLevel="0" collapsed="false">
      <c r="A591" s="106" t="s">
        <v>7354</v>
      </c>
      <c r="B591" s="106" t="s">
        <v>6792</v>
      </c>
      <c r="C591" s="106" t="s">
        <v>185</v>
      </c>
      <c r="D591" s="107"/>
      <c r="E591" s="107" t="n">
        <v>565.8</v>
      </c>
      <c r="F591" s="130" t="n">
        <v>0.55</v>
      </c>
      <c r="G591" s="106" t="s">
        <v>1411</v>
      </c>
      <c r="H591" s="106" t="n">
        <v>0</v>
      </c>
      <c r="I591" s="106" t="s">
        <v>6793</v>
      </c>
      <c r="J591" s="106" t="s">
        <v>6794</v>
      </c>
      <c r="K591" s="106" t="s">
        <v>6793</v>
      </c>
      <c r="L591" s="106" t="s">
        <v>6794</v>
      </c>
      <c r="M591" s="117"/>
      <c r="N591" s="106" t="n">
        <v>0</v>
      </c>
      <c r="O591" s="106"/>
      <c r="P591" s="27" t="s">
        <v>6818</v>
      </c>
    </row>
    <row r="592" customFormat="false" ht="15" hidden="false" customHeight="false" outlineLevel="0" collapsed="false">
      <c r="A592" s="106" t="s">
        <v>7355</v>
      </c>
      <c r="B592" s="106" t="s">
        <v>6792</v>
      </c>
      <c r="C592" s="106" t="s">
        <v>696</v>
      </c>
      <c r="D592" s="107"/>
      <c r="E592" s="107" t="n">
        <v>565.8</v>
      </c>
      <c r="F592" s="130" t="n">
        <v>0.45</v>
      </c>
      <c r="G592" s="106" t="s">
        <v>1411</v>
      </c>
      <c r="H592" s="106" t="n">
        <v>0</v>
      </c>
      <c r="I592" s="106" t="s">
        <v>6794</v>
      </c>
      <c r="J592" s="106" t="s">
        <v>6794</v>
      </c>
      <c r="K592" s="106" t="s">
        <v>6793</v>
      </c>
      <c r="L592" s="106" t="s">
        <v>6793</v>
      </c>
      <c r="M592" s="117"/>
      <c r="N592" s="106" t="n">
        <v>0</v>
      </c>
      <c r="O592" s="106"/>
      <c r="P592" s="27" t="s">
        <v>6805</v>
      </c>
    </row>
    <row r="593" customFormat="false" ht="15" hidden="false" customHeight="false" outlineLevel="0" collapsed="false">
      <c r="A593" s="106" t="s">
        <v>7356</v>
      </c>
      <c r="B593" s="106" t="s">
        <v>6792</v>
      </c>
      <c r="C593" s="106" t="s">
        <v>185</v>
      </c>
      <c r="D593" s="107"/>
      <c r="E593" s="107" t="n">
        <v>565.8</v>
      </c>
      <c r="F593" s="130" t="n">
        <v>0.45</v>
      </c>
      <c r="G593" s="106" t="s">
        <v>1411</v>
      </c>
      <c r="H593" s="106" t="n">
        <v>0</v>
      </c>
      <c r="I593" s="106" t="s">
        <v>6794</v>
      </c>
      <c r="J593" s="106" t="s">
        <v>6794</v>
      </c>
      <c r="K593" s="106" t="s">
        <v>6793</v>
      </c>
      <c r="L593" s="106" t="s">
        <v>6793</v>
      </c>
      <c r="M593" s="117"/>
      <c r="N593" s="106" t="n">
        <v>0</v>
      </c>
      <c r="O593" s="106"/>
      <c r="P593" s="27" t="s">
        <v>6805</v>
      </c>
    </row>
    <row r="594" customFormat="false" ht="22.35" hidden="false" customHeight="false" outlineLevel="0" collapsed="false">
      <c r="A594" s="106" t="s">
        <v>5284</v>
      </c>
      <c r="B594" s="106" t="s">
        <v>7101</v>
      </c>
      <c r="C594" s="106" t="s">
        <v>560</v>
      </c>
      <c r="D594" s="107" t="n">
        <v>593</v>
      </c>
      <c r="E594" s="107" t="n">
        <v>555.257142857143</v>
      </c>
      <c r="F594" s="130" t="n">
        <v>1</v>
      </c>
      <c r="G594" s="106" t="s">
        <v>1411</v>
      </c>
      <c r="H594" s="106" t="n">
        <v>2.5</v>
      </c>
      <c r="I594" s="106" t="s">
        <v>6793</v>
      </c>
      <c r="J594" s="106" t="s">
        <v>6793</v>
      </c>
      <c r="K594" s="106" t="s">
        <v>6793</v>
      </c>
      <c r="L594" s="106" t="s">
        <v>6793</v>
      </c>
      <c r="M594" s="117" t="n">
        <v>0.0344827586206896</v>
      </c>
      <c r="N594" s="106" t="n">
        <v>8</v>
      </c>
      <c r="O594" s="106" t="n">
        <v>12.5</v>
      </c>
      <c r="P594" s="27" t="s">
        <v>7357</v>
      </c>
    </row>
    <row r="595" customFormat="false" ht="15" hidden="false" customHeight="false" outlineLevel="0" collapsed="false">
      <c r="A595" s="106" t="s">
        <v>7358</v>
      </c>
      <c r="B595" s="106" t="s">
        <v>6792</v>
      </c>
      <c r="C595" s="106" t="s">
        <v>696</v>
      </c>
      <c r="D595" s="107" t="n">
        <v>697</v>
      </c>
      <c r="E595" s="107" t="n">
        <v>555.257142857143</v>
      </c>
      <c r="F595" s="130" t="n">
        <v>0.55</v>
      </c>
      <c r="G595" s="106" t="s">
        <v>1411</v>
      </c>
      <c r="H595" s="106" t="n">
        <v>0</v>
      </c>
      <c r="I595" s="106" t="s">
        <v>6793</v>
      </c>
      <c r="J595" s="106" t="s">
        <v>6794</v>
      </c>
      <c r="K595" s="106" t="s">
        <v>6793</v>
      </c>
      <c r="L595" s="106" t="s">
        <v>6794</v>
      </c>
      <c r="M595" s="117"/>
      <c r="N595" s="106" t="n">
        <v>0</v>
      </c>
      <c r="O595" s="106"/>
      <c r="P595" s="27" t="s">
        <v>6818</v>
      </c>
    </row>
    <row r="596" customFormat="false" ht="15" hidden="false" customHeight="false" outlineLevel="0" collapsed="false">
      <c r="A596" s="106" t="s">
        <v>7359</v>
      </c>
      <c r="B596" s="106" t="s">
        <v>6792</v>
      </c>
      <c r="C596" s="106" t="s">
        <v>479</v>
      </c>
      <c r="D596" s="107"/>
      <c r="E596" s="107" t="n">
        <v>555.257142857143</v>
      </c>
      <c r="F596" s="130" t="n">
        <v>0.55</v>
      </c>
      <c r="G596" s="106" t="s">
        <v>1411</v>
      </c>
      <c r="H596" s="106" t="n">
        <v>0</v>
      </c>
      <c r="I596" s="106" t="s">
        <v>6793</v>
      </c>
      <c r="J596" s="106" t="s">
        <v>6794</v>
      </c>
      <c r="K596" s="106" t="s">
        <v>6793</v>
      </c>
      <c r="L596" s="106" t="s">
        <v>6794</v>
      </c>
      <c r="M596" s="117"/>
      <c r="N596" s="106" t="n">
        <v>0</v>
      </c>
      <c r="O596" s="106"/>
      <c r="P596" s="27" t="s">
        <v>6818</v>
      </c>
    </row>
    <row r="597" customFormat="false" ht="32.8" hidden="false" customHeight="false" outlineLevel="0" collapsed="false">
      <c r="A597" s="106" t="s">
        <v>4863</v>
      </c>
      <c r="B597" s="106" t="s">
        <v>6997</v>
      </c>
      <c r="C597" s="106" t="s">
        <v>185</v>
      </c>
      <c r="D597" s="107" t="n">
        <v>766</v>
      </c>
      <c r="E597" s="107" t="n">
        <v>555.257142857143</v>
      </c>
      <c r="F597" s="130" t="n">
        <v>1</v>
      </c>
      <c r="G597" s="106" t="s">
        <v>1411</v>
      </c>
      <c r="H597" s="106" t="n">
        <v>2.5</v>
      </c>
      <c r="I597" s="106" t="s">
        <v>6793</v>
      </c>
      <c r="J597" s="106" t="s">
        <v>6793</v>
      </c>
      <c r="K597" s="106" t="s">
        <v>6793</v>
      </c>
      <c r="L597" s="106" t="s">
        <v>6793</v>
      </c>
      <c r="M597" s="117" t="n">
        <v>0.0361332707648991</v>
      </c>
      <c r="N597" s="106" t="n">
        <v>22</v>
      </c>
      <c r="O597" s="106" t="n">
        <v>4.55</v>
      </c>
      <c r="P597" s="27" t="s">
        <v>7360</v>
      </c>
    </row>
    <row r="598" customFormat="false" ht="15" hidden="false" customHeight="false" outlineLevel="0" collapsed="false">
      <c r="A598" s="106" t="s">
        <v>7361</v>
      </c>
      <c r="B598" s="106" t="s">
        <v>6792</v>
      </c>
      <c r="C598" s="106" t="s">
        <v>560</v>
      </c>
      <c r="D598" s="107"/>
      <c r="E598" s="107" t="n">
        <v>555.257142857143</v>
      </c>
      <c r="F598" s="130" t="n">
        <v>0.45</v>
      </c>
      <c r="G598" s="106" t="s">
        <v>1411</v>
      </c>
      <c r="H598" s="106" t="n">
        <v>0.5</v>
      </c>
      <c r="I598" s="106" t="s">
        <v>6794</v>
      </c>
      <c r="J598" s="106" t="s">
        <v>6794</v>
      </c>
      <c r="K598" s="106" t="s">
        <v>6793</v>
      </c>
      <c r="L598" s="106" t="s">
        <v>6793</v>
      </c>
      <c r="M598" s="117"/>
      <c r="N598" s="106" t="n">
        <v>0</v>
      </c>
      <c r="O598" s="106"/>
      <c r="P598" s="27" t="s">
        <v>6805</v>
      </c>
    </row>
    <row r="599" customFormat="false" ht="15" hidden="false" customHeight="false" outlineLevel="0" collapsed="false">
      <c r="A599" s="106" t="s">
        <v>7362</v>
      </c>
      <c r="B599" s="106" t="s">
        <v>6792</v>
      </c>
      <c r="C599" s="106" t="s">
        <v>185</v>
      </c>
      <c r="D599" s="107"/>
      <c r="E599" s="107" t="n">
        <v>555.257142857143</v>
      </c>
      <c r="F599" s="130" t="n">
        <v>0.45</v>
      </c>
      <c r="G599" s="106" t="s">
        <v>1411</v>
      </c>
      <c r="H599" s="106" t="n">
        <v>0</v>
      </c>
      <c r="I599" s="106" t="s">
        <v>6794</v>
      </c>
      <c r="J599" s="106" t="s">
        <v>6794</v>
      </c>
      <c r="K599" s="106" t="s">
        <v>6793</v>
      </c>
      <c r="L599" s="106" t="s">
        <v>6793</v>
      </c>
      <c r="M599" s="117"/>
      <c r="N599" s="106" t="n">
        <v>0</v>
      </c>
      <c r="O599" s="106"/>
      <c r="P599" s="27" t="s">
        <v>6805</v>
      </c>
    </row>
    <row r="600" customFormat="false" ht="15" hidden="false" customHeight="false" outlineLevel="0" collapsed="false">
      <c r="A600" s="106" t="s">
        <v>7363</v>
      </c>
      <c r="B600" s="106" t="s">
        <v>6792</v>
      </c>
      <c r="C600" s="106"/>
      <c r="D600" s="107"/>
      <c r="E600" s="107" t="n">
        <v>544.714285714286</v>
      </c>
      <c r="F600" s="130" t="n">
        <v>0.5</v>
      </c>
      <c r="G600" s="106" t="s">
        <v>1411</v>
      </c>
      <c r="H600" s="106" t="n">
        <v>0</v>
      </c>
      <c r="I600" s="106" t="s">
        <v>6793</v>
      </c>
      <c r="J600" s="106" t="s">
        <v>6794</v>
      </c>
      <c r="K600" s="106" t="s">
        <v>6793</v>
      </c>
      <c r="L600" s="106" t="s">
        <v>6794</v>
      </c>
      <c r="M600" s="117"/>
      <c r="N600" s="106" t="n">
        <v>0</v>
      </c>
      <c r="O600" s="106"/>
      <c r="P600" s="27" t="s">
        <v>6818</v>
      </c>
    </row>
    <row r="601" customFormat="false" ht="15" hidden="false" customHeight="false" outlineLevel="0" collapsed="false">
      <c r="A601" s="106" t="s">
        <v>7364</v>
      </c>
      <c r="B601" s="106" t="s">
        <v>6792</v>
      </c>
      <c r="C601" s="106"/>
      <c r="D601" s="107"/>
      <c r="E601" s="107" t="n">
        <v>544.714285714286</v>
      </c>
      <c r="F601" s="130" t="n">
        <v>0.5</v>
      </c>
      <c r="G601" s="106" t="s">
        <v>1411</v>
      </c>
      <c r="H601" s="106" t="n">
        <v>0</v>
      </c>
      <c r="I601" s="106" t="s">
        <v>6793</v>
      </c>
      <c r="J601" s="106" t="s">
        <v>6794</v>
      </c>
      <c r="K601" s="106" t="s">
        <v>6793</v>
      </c>
      <c r="L601" s="106" t="s">
        <v>6794</v>
      </c>
      <c r="M601" s="117"/>
      <c r="N601" s="106" t="n">
        <v>0</v>
      </c>
      <c r="O601" s="106"/>
      <c r="P601" s="27" t="s">
        <v>6818</v>
      </c>
    </row>
    <row r="602" customFormat="false" ht="15" hidden="false" customHeight="false" outlineLevel="0" collapsed="false">
      <c r="A602" s="106" t="s">
        <v>7365</v>
      </c>
      <c r="B602" s="106" t="s">
        <v>6792</v>
      </c>
      <c r="C602" s="106"/>
      <c r="D602" s="107"/>
      <c r="E602" s="107" t="n">
        <v>544.714285714286</v>
      </c>
      <c r="F602" s="130" t="n">
        <v>0.4</v>
      </c>
      <c r="G602" s="106" t="s">
        <v>1411</v>
      </c>
      <c r="H602" s="106" t="n">
        <v>0</v>
      </c>
      <c r="I602" s="106" t="s">
        <v>6794</v>
      </c>
      <c r="J602" s="106" t="s">
        <v>6794</v>
      </c>
      <c r="K602" s="106" t="s">
        <v>6793</v>
      </c>
      <c r="L602" s="106" t="s">
        <v>6793</v>
      </c>
      <c r="M602" s="117"/>
      <c r="N602" s="106" t="n">
        <v>0</v>
      </c>
      <c r="O602" s="106"/>
      <c r="P602" s="27" t="s">
        <v>6805</v>
      </c>
    </row>
    <row r="603" customFormat="false" ht="15" hidden="false" customHeight="false" outlineLevel="0" collapsed="false">
      <c r="A603" s="106" t="s">
        <v>7366</v>
      </c>
      <c r="B603" s="106" t="s">
        <v>6792</v>
      </c>
      <c r="C603" s="106" t="s">
        <v>560</v>
      </c>
      <c r="D603" s="107"/>
      <c r="E603" s="107" t="n">
        <v>534.171428571429</v>
      </c>
      <c r="F603" s="130" t="n">
        <v>0.45</v>
      </c>
      <c r="G603" s="106" t="s">
        <v>1411</v>
      </c>
      <c r="H603" s="106" t="n">
        <v>0</v>
      </c>
      <c r="I603" s="106" t="s">
        <v>6794</v>
      </c>
      <c r="J603" s="106" t="s">
        <v>6794</v>
      </c>
      <c r="K603" s="106" t="s">
        <v>6793</v>
      </c>
      <c r="L603" s="106" t="s">
        <v>6793</v>
      </c>
      <c r="M603" s="117"/>
      <c r="N603" s="106" t="n">
        <v>0</v>
      </c>
      <c r="O603" s="106"/>
      <c r="P603" s="27" t="s">
        <v>6805</v>
      </c>
    </row>
    <row r="604" customFormat="false" ht="15" hidden="false" customHeight="false" outlineLevel="0" collapsed="false">
      <c r="A604" s="106" t="s">
        <v>7367</v>
      </c>
      <c r="B604" s="106" t="s">
        <v>6792</v>
      </c>
      <c r="C604" s="106"/>
      <c r="D604" s="107"/>
      <c r="E604" s="107" t="n">
        <v>534.171428571429</v>
      </c>
      <c r="F604" s="130" t="n">
        <v>0.5</v>
      </c>
      <c r="G604" s="106" t="s">
        <v>1411</v>
      </c>
      <c r="H604" s="106" t="n">
        <v>0</v>
      </c>
      <c r="I604" s="106" t="s">
        <v>6793</v>
      </c>
      <c r="J604" s="106" t="s">
        <v>6794</v>
      </c>
      <c r="K604" s="106" t="s">
        <v>6793</v>
      </c>
      <c r="L604" s="106" t="s">
        <v>6794</v>
      </c>
      <c r="M604" s="117"/>
      <c r="N604" s="106" t="n">
        <v>0</v>
      </c>
      <c r="O604" s="106"/>
      <c r="P604" s="27" t="s">
        <v>6818</v>
      </c>
    </row>
    <row r="605" customFormat="false" ht="15" hidden="false" customHeight="false" outlineLevel="0" collapsed="false">
      <c r="A605" s="106" t="s">
        <v>7368</v>
      </c>
      <c r="B605" s="106" t="s">
        <v>6792</v>
      </c>
      <c r="C605" s="106" t="s">
        <v>696</v>
      </c>
      <c r="D605" s="107"/>
      <c r="E605" s="107" t="n">
        <v>534.171428571429</v>
      </c>
      <c r="F605" s="130" t="n">
        <v>0.45</v>
      </c>
      <c r="G605" s="106" t="s">
        <v>1411</v>
      </c>
      <c r="H605" s="106" t="n">
        <v>0</v>
      </c>
      <c r="I605" s="106" t="s">
        <v>6794</v>
      </c>
      <c r="J605" s="106" t="s">
        <v>6794</v>
      </c>
      <c r="K605" s="106" t="s">
        <v>6793</v>
      </c>
      <c r="L605" s="106" t="s">
        <v>6793</v>
      </c>
      <c r="M605" s="117"/>
      <c r="N605" s="106" t="n">
        <v>0</v>
      </c>
      <c r="O605" s="106"/>
      <c r="P605" s="27" t="s">
        <v>6805</v>
      </c>
    </row>
    <row r="606" customFormat="false" ht="15" hidden="false" customHeight="false" outlineLevel="0" collapsed="false">
      <c r="A606" s="106" t="s">
        <v>7369</v>
      </c>
      <c r="B606" s="106" t="s">
        <v>6792</v>
      </c>
      <c r="C606" s="106" t="s">
        <v>560</v>
      </c>
      <c r="D606" s="107"/>
      <c r="E606" s="107" t="n">
        <v>534.171428571429</v>
      </c>
      <c r="F606" s="130" t="n">
        <v>0.55</v>
      </c>
      <c r="G606" s="106" t="s">
        <v>1411</v>
      </c>
      <c r="H606" s="106" t="n">
        <v>0.5</v>
      </c>
      <c r="I606" s="106" t="s">
        <v>6793</v>
      </c>
      <c r="J606" s="106" t="s">
        <v>6794</v>
      </c>
      <c r="K606" s="106" t="s">
        <v>6793</v>
      </c>
      <c r="L606" s="106" t="s">
        <v>6794</v>
      </c>
      <c r="M606" s="117"/>
      <c r="N606" s="106" t="n">
        <v>0</v>
      </c>
      <c r="O606" s="106"/>
      <c r="P606" s="27" t="s">
        <v>6818</v>
      </c>
    </row>
    <row r="607" customFormat="false" ht="15" hidden="false" customHeight="false" outlineLevel="0" collapsed="false">
      <c r="A607" s="106" t="s">
        <v>7370</v>
      </c>
      <c r="B607" s="106" t="s">
        <v>6792</v>
      </c>
      <c r="C607" s="106"/>
      <c r="D607" s="107"/>
      <c r="E607" s="107" t="n">
        <v>534.171428571429</v>
      </c>
      <c r="F607" s="130" t="n">
        <v>0.65</v>
      </c>
      <c r="G607" s="106" t="s">
        <v>1411</v>
      </c>
      <c r="H607" s="106" t="n">
        <v>0</v>
      </c>
      <c r="I607" s="106" t="s">
        <v>6793</v>
      </c>
      <c r="J607" s="106" t="s">
        <v>6794</v>
      </c>
      <c r="K607" s="106" t="s">
        <v>6793</v>
      </c>
      <c r="L607" s="106" t="s">
        <v>6793</v>
      </c>
      <c r="M607" s="117"/>
      <c r="N607" s="106" t="n">
        <v>0</v>
      </c>
      <c r="O607" s="106"/>
      <c r="P607" s="27" t="s">
        <v>6795</v>
      </c>
    </row>
    <row r="608" customFormat="false" ht="15" hidden="false" customHeight="false" outlineLevel="0" collapsed="false">
      <c r="A608" s="106" t="s">
        <v>7371</v>
      </c>
      <c r="B608" s="106" t="s">
        <v>6792</v>
      </c>
      <c r="C608" s="106"/>
      <c r="D608" s="107"/>
      <c r="E608" s="107" t="n">
        <v>527.142857142857</v>
      </c>
      <c r="F608" s="130" t="n">
        <v>0.5</v>
      </c>
      <c r="G608" s="106" t="s">
        <v>1411</v>
      </c>
      <c r="H608" s="106" t="n">
        <v>0</v>
      </c>
      <c r="I608" s="106" t="s">
        <v>6793</v>
      </c>
      <c r="J608" s="106" t="s">
        <v>6794</v>
      </c>
      <c r="K608" s="106" t="s">
        <v>6793</v>
      </c>
      <c r="L608" s="106" t="s">
        <v>6794</v>
      </c>
      <c r="M608" s="117"/>
      <c r="N608" s="106" t="n">
        <v>0</v>
      </c>
      <c r="O608" s="106"/>
      <c r="P608" s="27" t="s">
        <v>6818</v>
      </c>
    </row>
    <row r="609" customFormat="false" ht="15" hidden="false" customHeight="false" outlineLevel="0" collapsed="false">
      <c r="A609" s="106" t="s">
        <v>7372</v>
      </c>
      <c r="B609" s="106" t="s">
        <v>6792</v>
      </c>
      <c r="C609" s="106" t="s">
        <v>696</v>
      </c>
      <c r="D609" s="107"/>
      <c r="E609" s="107" t="n">
        <v>527.142857142857</v>
      </c>
      <c r="F609" s="130" t="n">
        <v>0.55</v>
      </c>
      <c r="G609" s="106" t="s">
        <v>1411</v>
      </c>
      <c r="H609" s="106" t="n">
        <v>0</v>
      </c>
      <c r="I609" s="106" t="s">
        <v>6793</v>
      </c>
      <c r="J609" s="106" t="s">
        <v>6794</v>
      </c>
      <c r="K609" s="106" t="s">
        <v>6793</v>
      </c>
      <c r="L609" s="106" t="s">
        <v>6794</v>
      </c>
      <c r="M609" s="117"/>
      <c r="N609" s="106" t="n">
        <v>0</v>
      </c>
      <c r="O609" s="106"/>
      <c r="P609" s="27" t="s">
        <v>6818</v>
      </c>
    </row>
    <row r="610" customFormat="false" ht="15" hidden="false" customHeight="false" outlineLevel="0" collapsed="false">
      <c r="A610" s="106" t="s">
        <v>7373</v>
      </c>
      <c r="B610" s="106" t="s">
        <v>6792</v>
      </c>
      <c r="C610" s="106" t="s">
        <v>696</v>
      </c>
      <c r="D610" s="107"/>
      <c r="E610" s="107" t="n">
        <v>527.142857142857</v>
      </c>
      <c r="F610" s="130" t="n">
        <v>0.55</v>
      </c>
      <c r="G610" s="106" t="s">
        <v>1411</v>
      </c>
      <c r="H610" s="106" t="n">
        <v>0</v>
      </c>
      <c r="I610" s="106" t="s">
        <v>6793</v>
      </c>
      <c r="J610" s="106" t="s">
        <v>6794</v>
      </c>
      <c r="K610" s="106" t="s">
        <v>6793</v>
      </c>
      <c r="L610" s="106" t="s">
        <v>6794</v>
      </c>
      <c r="M610" s="117"/>
      <c r="N610" s="106" t="n">
        <v>0</v>
      </c>
      <c r="O610" s="106"/>
      <c r="P610" s="27" t="s">
        <v>6818</v>
      </c>
    </row>
    <row r="611" customFormat="false" ht="15" hidden="false" customHeight="false" outlineLevel="0" collapsed="false">
      <c r="A611" s="106" t="s">
        <v>7374</v>
      </c>
      <c r="B611" s="106" t="s">
        <v>6792</v>
      </c>
      <c r="C611" s="106" t="s">
        <v>185</v>
      </c>
      <c r="D611" s="107"/>
      <c r="E611" s="107" t="n">
        <v>527.142857142857</v>
      </c>
      <c r="F611" s="130" t="n">
        <v>0.55</v>
      </c>
      <c r="G611" s="106" t="s">
        <v>1411</v>
      </c>
      <c r="H611" s="106" t="n">
        <v>0</v>
      </c>
      <c r="I611" s="106" t="s">
        <v>6793</v>
      </c>
      <c r="J611" s="106" t="s">
        <v>6794</v>
      </c>
      <c r="K611" s="106" t="s">
        <v>6793</v>
      </c>
      <c r="L611" s="106" t="s">
        <v>6794</v>
      </c>
      <c r="M611" s="117"/>
      <c r="N611" s="106" t="n">
        <v>0</v>
      </c>
      <c r="O611" s="106"/>
      <c r="P611" s="27" t="s">
        <v>6818</v>
      </c>
    </row>
    <row r="612" customFormat="false" ht="15" hidden="false" customHeight="false" outlineLevel="0" collapsed="false">
      <c r="A612" s="106" t="s">
        <v>7375</v>
      </c>
      <c r="B612" s="106" t="s">
        <v>6792</v>
      </c>
      <c r="C612" s="106" t="s">
        <v>185</v>
      </c>
      <c r="D612" s="107"/>
      <c r="E612" s="107" t="n">
        <v>527.142857142857</v>
      </c>
      <c r="F612" s="130" t="n">
        <v>0.45</v>
      </c>
      <c r="G612" s="106" t="s">
        <v>1411</v>
      </c>
      <c r="H612" s="106" t="n">
        <v>0</v>
      </c>
      <c r="I612" s="106" t="s">
        <v>6794</v>
      </c>
      <c r="J612" s="106" t="s">
        <v>6794</v>
      </c>
      <c r="K612" s="106" t="s">
        <v>6793</v>
      </c>
      <c r="L612" s="106" t="s">
        <v>6793</v>
      </c>
      <c r="M612" s="117"/>
      <c r="N612" s="106" t="n">
        <v>0</v>
      </c>
      <c r="O612" s="106"/>
      <c r="P612" s="27" t="s">
        <v>6805</v>
      </c>
    </row>
    <row r="613" customFormat="false" ht="15" hidden="false" customHeight="false" outlineLevel="0" collapsed="false">
      <c r="A613" s="106" t="s">
        <v>7376</v>
      </c>
      <c r="B613" s="106" t="s">
        <v>6792</v>
      </c>
      <c r="C613" s="106" t="s">
        <v>185</v>
      </c>
      <c r="D613" s="107"/>
      <c r="E613" s="107" t="n">
        <v>527.142857142857</v>
      </c>
      <c r="F613" s="130" t="n">
        <v>0.45</v>
      </c>
      <c r="G613" s="106" t="s">
        <v>1411</v>
      </c>
      <c r="H613" s="106" t="n">
        <v>0</v>
      </c>
      <c r="I613" s="106" t="s">
        <v>6794</v>
      </c>
      <c r="J613" s="106" t="s">
        <v>6794</v>
      </c>
      <c r="K613" s="106" t="s">
        <v>6793</v>
      </c>
      <c r="L613" s="106" t="s">
        <v>6793</v>
      </c>
      <c r="M613" s="117"/>
      <c r="N613" s="106" t="n">
        <v>0</v>
      </c>
      <c r="O613" s="106"/>
      <c r="P613" s="27" t="s">
        <v>6805</v>
      </c>
    </row>
    <row r="614" customFormat="false" ht="15" hidden="false" customHeight="false" outlineLevel="0" collapsed="false">
      <c r="A614" s="106" t="s">
        <v>7377</v>
      </c>
      <c r="B614" s="106" t="s">
        <v>6792</v>
      </c>
      <c r="C614" s="106" t="s">
        <v>479</v>
      </c>
      <c r="D614" s="107"/>
      <c r="E614" s="107" t="n">
        <v>527.142857142857</v>
      </c>
      <c r="F614" s="130" t="n">
        <v>0.45</v>
      </c>
      <c r="G614" s="106" t="s">
        <v>1411</v>
      </c>
      <c r="H614" s="106" t="n">
        <v>0</v>
      </c>
      <c r="I614" s="106" t="s">
        <v>6794</v>
      </c>
      <c r="J614" s="106" t="s">
        <v>6794</v>
      </c>
      <c r="K614" s="106" t="s">
        <v>6793</v>
      </c>
      <c r="L614" s="106" t="s">
        <v>6793</v>
      </c>
      <c r="M614" s="117"/>
      <c r="N614" s="106" t="n">
        <v>0</v>
      </c>
      <c r="O614" s="106"/>
      <c r="P614" s="27" t="s">
        <v>6805</v>
      </c>
    </row>
    <row r="615" customFormat="false" ht="15" hidden="false" customHeight="false" outlineLevel="0" collapsed="false">
      <c r="A615" s="106" t="s">
        <v>7378</v>
      </c>
      <c r="B615" s="106" t="s">
        <v>6792</v>
      </c>
      <c r="C615" s="106" t="s">
        <v>560</v>
      </c>
      <c r="D615" s="107"/>
      <c r="E615" s="107" t="n">
        <v>527.142857142857</v>
      </c>
      <c r="F615" s="130" t="n">
        <v>0.45</v>
      </c>
      <c r="G615" s="106" t="s">
        <v>1411</v>
      </c>
      <c r="H615" s="106" t="n">
        <v>0</v>
      </c>
      <c r="I615" s="106" t="s">
        <v>6794</v>
      </c>
      <c r="J615" s="106" t="s">
        <v>6794</v>
      </c>
      <c r="K615" s="106" t="s">
        <v>6793</v>
      </c>
      <c r="L615" s="106" t="s">
        <v>6793</v>
      </c>
      <c r="M615" s="117"/>
      <c r="N615" s="106" t="n">
        <v>0</v>
      </c>
      <c r="O615" s="106"/>
      <c r="P615" s="27" t="s">
        <v>6805</v>
      </c>
    </row>
    <row r="616" customFormat="false" ht="22.35" hidden="false" customHeight="false" outlineLevel="0" collapsed="false">
      <c r="A616" s="106" t="s">
        <v>6039</v>
      </c>
      <c r="B616" s="106" t="s">
        <v>7101</v>
      </c>
      <c r="C616" s="106"/>
      <c r="D616" s="107" t="n">
        <v>634</v>
      </c>
      <c r="E616" s="107" t="n">
        <v>523.628571428571</v>
      </c>
      <c r="F616" s="130" t="n">
        <v>0.95</v>
      </c>
      <c r="G616" s="106" t="s">
        <v>1411</v>
      </c>
      <c r="H616" s="106" t="n">
        <v>1.5</v>
      </c>
      <c r="I616" s="106" t="s">
        <v>6793</v>
      </c>
      <c r="J616" s="106" t="s">
        <v>6793</v>
      </c>
      <c r="K616" s="106" t="s">
        <v>6793</v>
      </c>
      <c r="L616" s="106" t="s">
        <v>6793</v>
      </c>
      <c r="M616" s="117"/>
      <c r="N616" s="106" t="n">
        <v>1</v>
      </c>
      <c r="O616" s="106" t="n">
        <v>0</v>
      </c>
      <c r="P616" s="27" t="s">
        <v>7379</v>
      </c>
    </row>
    <row r="617" customFormat="false" ht="15" hidden="false" customHeight="false" outlineLevel="0" collapsed="false">
      <c r="A617" s="106" t="s">
        <v>7380</v>
      </c>
      <c r="B617" s="106" t="s">
        <v>6792</v>
      </c>
      <c r="C617" s="106"/>
      <c r="D617" s="107"/>
      <c r="E617" s="107" t="n">
        <v>516.6</v>
      </c>
      <c r="F617" s="130" t="n">
        <v>0.4</v>
      </c>
      <c r="G617" s="106" t="s">
        <v>1411</v>
      </c>
      <c r="H617" s="106" t="n">
        <v>0</v>
      </c>
      <c r="I617" s="106" t="s">
        <v>6794</v>
      </c>
      <c r="J617" s="106" t="s">
        <v>6794</v>
      </c>
      <c r="K617" s="106" t="s">
        <v>6793</v>
      </c>
      <c r="L617" s="106" t="s">
        <v>6793</v>
      </c>
      <c r="M617" s="117"/>
      <c r="N617" s="106" t="n">
        <v>0</v>
      </c>
      <c r="O617" s="106"/>
      <c r="P617" s="27" t="s">
        <v>6805</v>
      </c>
    </row>
    <row r="618" customFormat="false" ht="15" hidden="false" customHeight="false" outlineLevel="0" collapsed="false">
      <c r="A618" s="106" t="s">
        <v>7381</v>
      </c>
      <c r="B618" s="106" t="s">
        <v>6792</v>
      </c>
      <c r="C618" s="106" t="s">
        <v>560</v>
      </c>
      <c r="D618" s="107"/>
      <c r="E618" s="107" t="n">
        <v>516.6</v>
      </c>
      <c r="F618" s="130" t="n">
        <v>0.55</v>
      </c>
      <c r="G618" s="106" t="s">
        <v>1411</v>
      </c>
      <c r="H618" s="106" t="n">
        <v>0.5</v>
      </c>
      <c r="I618" s="106" t="s">
        <v>6793</v>
      </c>
      <c r="J618" s="106" t="s">
        <v>6794</v>
      </c>
      <c r="K618" s="106" t="s">
        <v>6793</v>
      </c>
      <c r="L618" s="106" t="s">
        <v>6794</v>
      </c>
      <c r="M618" s="117"/>
      <c r="N618" s="106" t="n">
        <v>0</v>
      </c>
      <c r="O618" s="106"/>
      <c r="P618" s="27" t="s">
        <v>6818</v>
      </c>
    </row>
    <row r="619" customFormat="false" ht="15" hidden="false" customHeight="false" outlineLevel="0" collapsed="false">
      <c r="A619" s="106" t="s">
        <v>7382</v>
      </c>
      <c r="B619" s="106" t="s">
        <v>6792</v>
      </c>
      <c r="C619" s="106"/>
      <c r="D619" s="107"/>
      <c r="E619" s="107" t="n">
        <v>516.6</v>
      </c>
      <c r="F619" s="130" t="n">
        <v>0.5</v>
      </c>
      <c r="G619" s="106" t="s">
        <v>1411</v>
      </c>
      <c r="H619" s="106" t="n">
        <v>0.5</v>
      </c>
      <c r="I619" s="106" t="s">
        <v>6793</v>
      </c>
      <c r="J619" s="106" t="s">
        <v>6794</v>
      </c>
      <c r="K619" s="106" t="s">
        <v>6793</v>
      </c>
      <c r="L619" s="106" t="s">
        <v>6794</v>
      </c>
      <c r="M619" s="117"/>
      <c r="N619" s="106" t="n">
        <v>0</v>
      </c>
      <c r="O619" s="106"/>
      <c r="P619" s="27" t="s">
        <v>6818</v>
      </c>
    </row>
    <row r="620" customFormat="false" ht="15" hidden="false" customHeight="false" outlineLevel="0" collapsed="false">
      <c r="A620" s="106" t="s">
        <v>7383</v>
      </c>
      <c r="B620" s="106" t="s">
        <v>6792</v>
      </c>
      <c r="C620" s="106"/>
      <c r="D620" s="107"/>
      <c r="E620" s="107" t="n">
        <v>516.6</v>
      </c>
      <c r="F620" s="130" t="n">
        <v>0.5</v>
      </c>
      <c r="G620" s="106" t="s">
        <v>1411</v>
      </c>
      <c r="H620" s="106" t="n">
        <v>1</v>
      </c>
      <c r="I620" s="106" t="s">
        <v>6793</v>
      </c>
      <c r="J620" s="106" t="s">
        <v>6794</v>
      </c>
      <c r="K620" s="106" t="s">
        <v>6793</v>
      </c>
      <c r="L620" s="106" t="s">
        <v>6794</v>
      </c>
      <c r="M620" s="117"/>
      <c r="N620" s="106" t="n">
        <v>0</v>
      </c>
      <c r="O620" s="106"/>
      <c r="P620" s="27" t="s">
        <v>6818</v>
      </c>
    </row>
    <row r="621" customFormat="false" ht="15" hidden="false" customHeight="false" outlineLevel="0" collapsed="false">
      <c r="A621" s="106" t="s">
        <v>7384</v>
      </c>
      <c r="B621" s="106" t="s">
        <v>6792</v>
      </c>
      <c r="C621" s="106" t="s">
        <v>185</v>
      </c>
      <c r="D621" s="107"/>
      <c r="E621" s="107" t="n">
        <v>516.6</v>
      </c>
      <c r="F621" s="130" t="n">
        <v>0.55</v>
      </c>
      <c r="G621" s="106" t="s">
        <v>1411</v>
      </c>
      <c r="H621" s="106" t="n">
        <v>0</v>
      </c>
      <c r="I621" s="106" t="s">
        <v>6793</v>
      </c>
      <c r="J621" s="106" t="s">
        <v>6794</v>
      </c>
      <c r="K621" s="106" t="s">
        <v>6793</v>
      </c>
      <c r="L621" s="106" t="s">
        <v>6794</v>
      </c>
      <c r="M621" s="117"/>
      <c r="N621" s="106" t="n">
        <v>0</v>
      </c>
      <c r="O621" s="106"/>
      <c r="P621" s="27" t="s">
        <v>6818</v>
      </c>
    </row>
    <row r="622" customFormat="false" ht="15" hidden="false" customHeight="false" outlineLevel="0" collapsed="false">
      <c r="A622" s="106" t="s">
        <v>7385</v>
      </c>
      <c r="B622" s="106" t="s">
        <v>6792</v>
      </c>
      <c r="C622" s="106" t="s">
        <v>560</v>
      </c>
      <c r="D622" s="107"/>
      <c r="E622" s="107" t="n">
        <v>506.057142857143</v>
      </c>
      <c r="F622" s="130" t="n">
        <v>0.55</v>
      </c>
      <c r="G622" s="106" t="s">
        <v>1411</v>
      </c>
      <c r="H622" s="106" t="n">
        <v>0.5</v>
      </c>
      <c r="I622" s="106" t="s">
        <v>6793</v>
      </c>
      <c r="J622" s="106" t="s">
        <v>6794</v>
      </c>
      <c r="K622" s="106" t="s">
        <v>6793</v>
      </c>
      <c r="L622" s="106" t="s">
        <v>6794</v>
      </c>
      <c r="M622" s="117"/>
      <c r="N622" s="106" t="n">
        <v>0</v>
      </c>
      <c r="O622" s="106"/>
      <c r="P622" s="27" t="s">
        <v>6818</v>
      </c>
    </row>
    <row r="623" customFormat="false" ht="15" hidden="false" customHeight="false" outlineLevel="0" collapsed="false">
      <c r="A623" s="106" t="s">
        <v>7386</v>
      </c>
      <c r="B623" s="106" t="s">
        <v>6792</v>
      </c>
      <c r="C623" s="106" t="s">
        <v>185</v>
      </c>
      <c r="D623" s="107"/>
      <c r="E623" s="107" t="n">
        <v>506.057142857143</v>
      </c>
      <c r="F623" s="130" t="n">
        <v>0.55</v>
      </c>
      <c r="G623" s="106" t="s">
        <v>1411</v>
      </c>
      <c r="H623" s="106" t="n">
        <v>0</v>
      </c>
      <c r="I623" s="106" t="s">
        <v>6793</v>
      </c>
      <c r="J623" s="106" t="s">
        <v>6794</v>
      </c>
      <c r="K623" s="106" t="s">
        <v>6793</v>
      </c>
      <c r="L623" s="106" t="s">
        <v>6794</v>
      </c>
      <c r="M623" s="117"/>
      <c r="N623" s="106" t="n">
        <v>0</v>
      </c>
      <c r="O623" s="106"/>
      <c r="P623" s="27" t="s">
        <v>6818</v>
      </c>
    </row>
    <row r="624" customFormat="false" ht="15" hidden="false" customHeight="false" outlineLevel="0" collapsed="false">
      <c r="A624" s="106" t="s">
        <v>7387</v>
      </c>
      <c r="B624" s="106" t="s">
        <v>6792</v>
      </c>
      <c r="C624" s="106" t="s">
        <v>422</v>
      </c>
      <c r="D624" s="107"/>
      <c r="E624" s="107" t="n">
        <v>506.057142857143</v>
      </c>
      <c r="F624" s="130" t="n">
        <v>0.45</v>
      </c>
      <c r="G624" s="106" t="s">
        <v>1411</v>
      </c>
      <c r="H624" s="106" t="n">
        <v>0</v>
      </c>
      <c r="I624" s="106" t="s">
        <v>6794</v>
      </c>
      <c r="J624" s="106" t="s">
        <v>6794</v>
      </c>
      <c r="K624" s="106" t="s">
        <v>6793</v>
      </c>
      <c r="L624" s="106" t="s">
        <v>6793</v>
      </c>
      <c r="M624" s="117"/>
      <c r="N624" s="106" t="n">
        <v>0</v>
      </c>
      <c r="O624" s="106"/>
      <c r="P624" s="27" t="s">
        <v>6805</v>
      </c>
    </row>
    <row r="625" customFormat="false" ht="15" hidden="false" customHeight="false" outlineLevel="0" collapsed="false">
      <c r="A625" s="106" t="s">
        <v>7388</v>
      </c>
      <c r="B625" s="106" t="s">
        <v>6792</v>
      </c>
      <c r="C625" s="106" t="s">
        <v>479</v>
      </c>
      <c r="D625" s="107"/>
      <c r="E625" s="107" t="n">
        <v>506.057142857143</v>
      </c>
      <c r="F625" s="130" t="n">
        <v>0.55</v>
      </c>
      <c r="G625" s="106" t="s">
        <v>1411</v>
      </c>
      <c r="H625" s="106" t="n">
        <v>0</v>
      </c>
      <c r="I625" s="106" t="s">
        <v>6793</v>
      </c>
      <c r="J625" s="106" t="s">
        <v>6794</v>
      </c>
      <c r="K625" s="106" t="s">
        <v>6793</v>
      </c>
      <c r="L625" s="106" t="s">
        <v>6794</v>
      </c>
      <c r="M625" s="117"/>
      <c r="N625" s="106" t="n">
        <v>0</v>
      </c>
      <c r="O625" s="106"/>
      <c r="P625" s="27" t="s">
        <v>6818</v>
      </c>
    </row>
    <row r="626" customFormat="false" ht="15" hidden="false" customHeight="false" outlineLevel="0" collapsed="false">
      <c r="A626" s="106" t="s">
        <v>7389</v>
      </c>
      <c r="B626" s="106" t="s">
        <v>6792</v>
      </c>
      <c r="C626" s="106"/>
      <c r="D626" s="107"/>
      <c r="E626" s="107" t="n">
        <v>506.057142857143</v>
      </c>
      <c r="F626" s="130" t="n">
        <v>0.4</v>
      </c>
      <c r="G626" s="106" t="s">
        <v>1411</v>
      </c>
      <c r="H626" s="106" t="n">
        <v>0</v>
      </c>
      <c r="I626" s="106" t="s">
        <v>6794</v>
      </c>
      <c r="J626" s="106" t="s">
        <v>6794</v>
      </c>
      <c r="K626" s="106" t="s">
        <v>6793</v>
      </c>
      <c r="L626" s="106" t="s">
        <v>6793</v>
      </c>
      <c r="M626" s="117"/>
      <c r="N626" s="106" t="n">
        <v>0</v>
      </c>
      <c r="O626" s="106"/>
      <c r="P626" s="27" t="s">
        <v>6805</v>
      </c>
    </row>
    <row r="627" customFormat="false" ht="15" hidden="false" customHeight="false" outlineLevel="0" collapsed="false">
      <c r="A627" s="106" t="s">
        <v>7390</v>
      </c>
      <c r="B627" s="106" t="s">
        <v>6792</v>
      </c>
      <c r="C627" s="106" t="s">
        <v>479</v>
      </c>
      <c r="D627" s="107"/>
      <c r="E627" s="107" t="n">
        <v>506.057142857143</v>
      </c>
      <c r="F627" s="130" t="n">
        <v>0.45</v>
      </c>
      <c r="G627" s="106" t="s">
        <v>1411</v>
      </c>
      <c r="H627" s="106" t="n">
        <v>0</v>
      </c>
      <c r="I627" s="106" t="s">
        <v>6794</v>
      </c>
      <c r="J627" s="106" t="s">
        <v>6794</v>
      </c>
      <c r="K627" s="106" t="s">
        <v>6793</v>
      </c>
      <c r="L627" s="106" t="s">
        <v>6793</v>
      </c>
      <c r="M627" s="117"/>
      <c r="N627" s="106" t="n">
        <v>0</v>
      </c>
      <c r="O627" s="106"/>
      <c r="P627" s="27" t="s">
        <v>6805</v>
      </c>
    </row>
    <row r="628" customFormat="false" ht="15" hidden="false" customHeight="false" outlineLevel="0" collapsed="false">
      <c r="A628" s="106" t="s">
        <v>7391</v>
      </c>
      <c r="B628" s="106" t="s">
        <v>6792</v>
      </c>
      <c r="C628" s="106" t="s">
        <v>696</v>
      </c>
      <c r="D628" s="107"/>
      <c r="E628" s="107" t="n">
        <v>506.057142857143</v>
      </c>
      <c r="F628" s="130" t="n">
        <v>0.55</v>
      </c>
      <c r="G628" s="106" t="s">
        <v>1411</v>
      </c>
      <c r="H628" s="106" t="n">
        <v>0</v>
      </c>
      <c r="I628" s="106" t="s">
        <v>6793</v>
      </c>
      <c r="J628" s="106" t="s">
        <v>6794</v>
      </c>
      <c r="K628" s="106" t="s">
        <v>6793</v>
      </c>
      <c r="L628" s="106" t="s">
        <v>6794</v>
      </c>
      <c r="M628" s="117"/>
      <c r="N628" s="106" t="n">
        <v>0</v>
      </c>
      <c r="O628" s="106"/>
      <c r="P628" s="27" t="s">
        <v>6818</v>
      </c>
    </row>
    <row r="629" customFormat="false" ht="15" hidden="false" customHeight="false" outlineLevel="0" collapsed="false">
      <c r="A629" s="106" t="s">
        <v>7392</v>
      </c>
      <c r="B629" s="106" t="s">
        <v>6792</v>
      </c>
      <c r="C629" s="106"/>
      <c r="D629" s="107"/>
      <c r="E629" s="107" t="n">
        <v>495.514285714286</v>
      </c>
      <c r="F629" s="130" t="n">
        <v>0.4</v>
      </c>
      <c r="G629" s="106" t="s">
        <v>1411</v>
      </c>
      <c r="H629" s="106" t="n">
        <v>0</v>
      </c>
      <c r="I629" s="106" t="s">
        <v>6794</v>
      </c>
      <c r="J629" s="106" t="s">
        <v>6794</v>
      </c>
      <c r="K629" s="106" t="s">
        <v>6793</v>
      </c>
      <c r="L629" s="106" t="s">
        <v>6793</v>
      </c>
      <c r="M629" s="117"/>
      <c r="N629" s="106" t="n">
        <v>0</v>
      </c>
      <c r="O629" s="106"/>
      <c r="P629" s="27" t="s">
        <v>6805</v>
      </c>
    </row>
    <row r="630" customFormat="false" ht="15" hidden="false" customHeight="false" outlineLevel="0" collapsed="false">
      <c r="A630" s="106" t="s">
        <v>7393</v>
      </c>
      <c r="B630" s="106" t="s">
        <v>6792</v>
      </c>
      <c r="C630" s="106"/>
      <c r="D630" s="107"/>
      <c r="E630" s="107" t="n">
        <v>495.514285714286</v>
      </c>
      <c r="F630" s="130" t="n">
        <v>0.4</v>
      </c>
      <c r="G630" s="106" t="s">
        <v>1411</v>
      </c>
      <c r="H630" s="106" t="n">
        <v>0</v>
      </c>
      <c r="I630" s="106" t="s">
        <v>6794</v>
      </c>
      <c r="J630" s="106" t="s">
        <v>6794</v>
      </c>
      <c r="K630" s="106" t="s">
        <v>6793</v>
      </c>
      <c r="L630" s="106" t="s">
        <v>6793</v>
      </c>
      <c r="M630" s="117"/>
      <c r="N630" s="106" t="n">
        <v>0</v>
      </c>
      <c r="O630" s="106"/>
      <c r="P630" s="27" t="s">
        <v>6805</v>
      </c>
    </row>
    <row r="631" customFormat="false" ht="15" hidden="false" customHeight="false" outlineLevel="0" collapsed="false">
      <c r="A631" s="106" t="s">
        <v>7394</v>
      </c>
      <c r="B631" s="106" t="s">
        <v>6792</v>
      </c>
      <c r="C631" s="106" t="s">
        <v>185</v>
      </c>
      <c r="D631" s="107"/>
      <c r="E631" s="107" t="n">
        <v>495.514285714286</v>
      </c>
      <c r="F631" s="130" t="n">
        <v>0.45</v>
      </c>
      <c r="G631" s="106" t="s">
        <v>1411</v>
      </c>
      <c r="H631" s="106" t="n">
        <v>0.5</v>
      </c>
      <c r="I631" s="106" t="s">
        <v>6794</v>
      </c>
      <c r="J631" s="106" t="s">
        <v>6794</v>
      </c>
      <c r="K631" s="106" t="s">
        <v>6793</v>
      </c>
      <c r="L631" s="106" t="s">
        <v>6793</v>
      </c>
      <c r="M631" s="117"/>
      <c r="N631" s="106" t="n">
        <v>0</v>
      </c>
      <c r="O631" s="106"/>
      <c r="P631" s="27" t="s">
        <v>6805</v>
      </c>
    </row>
    <row r="632" customFormat="false" ht="15" hidden="false" customHeight="false" outlineLevel="0" collapsed="false">
      <c r="A632" s="106" t="s">
        <v>7395</v>
      </c>
      <c r="B632" s="106" t="s">
        <v>6792</v>
      </c>
      <c r="C632" s="106"/>
      <c r="D632" s="107"/>
      <c r="E632" s="107" t="n">
        <v>495.514285714286</v>
      </c>
      <c r="F632" s="130" t="n">
        <v>0.4</v>
      </c>
      <c r="G632" s="106" t="s">
        <v>1411</v>
      </c>
      <c r="H632" s="106" t="n">
        <v>0</v>
      </c>
      <c r="I632" s="106" t="s">
        <v>6794</v>
      </c>
      <c r="J632" s="106" t="s">
        <v>6794</v>
      </c>
      <c r="K632" s="106" t="s">
        <v>6793</v>
      </c>
      <c r="L632" s="106" t="s">
        <v>6793</v>
      </c>
      <c r="M632" s="117"/>
      <c r="N632" s="106" t="n">
        <v>0</v>
      </c>
      <c r="O632" s="106"/>
      <c r="P632" s="27" t="s">
        <v>6805</v>
      </c>
    </row>
    <row r="633" customFormat="false" ht="15" hidden="false" customHeight="false" outlineLevel="0" collapsed="false">
      <c r="A633" s="106" t="s">
        <v>7396</v>
      </c>
      <c r="B633" s="106" t="s">
        <v>6792</v>
      </c>
      <c r="C633" s="106" t="s">
        <v>185</v>
      </c>
      <c r="D633" s="107"/>
      <c r="E633" s="107" t="n">
        <v>495.514285714286</v>
      </c>
      <c r="F633" s="130" t="n">
        <v>0.55</v>
      </c>
      <c r="G633" s="106" t="s">
        <v>1411</v>
      </c>
      <c r="H633" s="106" t="n">
        <v>0</v>
      </c>
      <c r="I633" s="106" t="s">
        <v>6793</v>
      </c>
      <c r="J633" s="106" t="s">
        <v>6794</v>
      </c>
      <c r="K633" s="106" t="s">
        <v>6793</v>
      </c>
      <c r="L633" s="106" t="s">
        <v>6794</v>
      </c>
      <c r="M633" s="117"/>
      <c r="N633" s="106" t="n">
        <v>0</v>
      </c>
      <c r="O633" s="106"/>
      <c r="P633" s="27" t="s">
        <v>6818</v>
      </c>
    </row>
    <row r="634" customFormat="false" ht="15" hidden="false" customHeight="false" outlineLevel="0" collapsed="false">
      <c r="A634" s="106" t="s">
        <v>7397</v>
      </c>
      <c r="B634" s="106" t="s">
        <v>6792</v>
      </c>
      <c r="C634" s="106" t="s">
        <v>560</v>
      </c>
      <c r="D634" s="107"/>
      <c r="E634" s="107" t="n">
        <v>495.514285714286</v>
      </c>
      <c r="F634" s="130" t="n">
        <v>0.55</v>
      </c>
      <c r="G634" s="106" t="s">
        <v>1411</v>
      </c>
      <c r="H634" s="106" t="n">
        <v>0.5</v>
      </c>
      <c r="I634" s="106" t="s">
        <v>6793</v>
      </c>
      <c r="J634" s="106" t="s">
        <v>6794</v>
      </c>
      <c r="K634" s="106" t="s">
        <v>6793</v>
      </c>
      <c r="L634" s="106" t="s">
        <v>6794</v>
      </c>
      <c r="M634" s="117"/>
      <c r="N634" s="106" t="n">
        <v>0</v>
      </c>
      <c r="O634" s="106"/>
      <c r="P634" s="27" t="s">
        <v>6818</v>
      </c>
    </row>
    <row r="635" customFormat="false" ht="15" hidden="false" customHeight="false" outlineLevel="0" collapsed="false">
      <c r="A635" s="106" t="s">
        <v>7398</v>
      </c>
      <c r="B635" s="106" t="s">
        <v>6792</v>
      </c>
      <c r="C635" s="106" t="s">
        <v>185</v>
      </c>
      <c r="D635" s="107"/>
      <c r="E635" s="107" t="n">
        <v>495.514285714286</v>
      </c>
      <c r="F635" s="130" t="n">
        <v>0.45</v>
      </c>
      <c r="G635" s="106" t="s">
        <v>1411</v>
      </c>
      <c r="H635" s="106" t="n">
        <v>0</v>
      </c>
      <c r="I635" s="106" t="s">
        <v>6794</v>
      </c>
      <c r="J635" s="106" t="s">
        <v>6794</v>
      </c>
      <c r="K635" s="106" t="s">
        <v>6793</v>
      </c>
      <c r="L635" s="106" t="s">
        <v>6793</v>
      </c>
      <c r="M635" s="117"/>
      <c r="N635" s="106" t="n">
        <v>0</v>
      </c>
      <c r="O635" s="106"/>
      <c r="P635" s="27" t="s">
        <v>6805</v>
      </c>
    </row>
    <row r="636" customFormat="false" ht="15" hidden="false" customHeight="false" outlineLevel="0" collapsed="false">
      <c r="A636" s="106" t="s">
        <v>7399</v>
      </c>
      <c r="B636" s="106" t="s">
        <v>6792</v>
      </c>
      <c r="C636" s="106"/>
      <c r="D636" s="107"/>
      <c r="E636" s="107" t="n">
        <v>495.514285714286</v>
      </c>
      <c r="F636" s="130" t="n">
        <v>0.5</v>
      </c>
      <c r="G636" s="106" t="s">
        <v>1411</v>
      </c>
      <c r="H636" s="106" t="n">
        <v>0</v>
      </c>
      <c r="I636" s="106" t="s">
        <v>6793</v>
      </c>
      <c r="J636" s="106" t="s">
        <v>6794</v>
      </c>
      <c r="K636" s="106" t="s">
        <v>6793</v>
      </c>
      <c r="L636" s="106" t="s">
        <v>6794</v>
      </c>
      <c r="M636" s="117"/>
      <c r="N636" s="106" t="n">
        <v>0</v>
      </c>
      <c r="O636" s="106"/>
      <c r="P636" s="27" t="s">
        <v>6818</v>
      </c>
    </row>
    <row r="637" customFormat="false" ht="15" hidden="false" customHeight="false" outlineLevel="0" collapsed="false">
      <c r="A637" s="106" t="s">
        <v>7400</v>
      </c>
      <c r="B637" s="106" t="s">
        <v>6792</v>
      </c>
      <c r="C637" s="106" t="s">
        <v>560</v>
      </c>
      <c r="D637" s="107"/>
      <c r="E637" s="107" t="n">
        <v>495.514285714286</v>
      </c>
      <c r="F637" s="130" t="n">
        <v>0.55</v>
      </c>
      <c r="G637" s="106" t="s">
        <v>1411</v>
      </c>
      <c r="H637" s="106" t="n">
        <v>0.5</v>
      </c>
      <c r="I637" s="106" t="s">
        <v>6793</v>
      </c>
      <c r="J637" s="106" t="s">
        <v>6794</v>
      </c>
      <c r="K637" s="106" t="s">
        <v>6793</v>
      </c>
      <c r="L637" s="106" t="s">
        <v>6794</v>
      </c>
      <c r="M637" s="117"/>
      <c r="N637" s="106" t="n">
        <v>0</v>
      </c>
      <c r="O637" s="106"/>
      <c r="P637" s="27" t="s">
        <v>6818</v>
      </c>
    </row>
    <row r="638" customFormat="false" ht="15" hidden="false" customHeight="false" outlineLevel="0" collapsed="false">
      <c r="A638" s="106" t="s">
        <v>7401</v>
      </c>
      <c r="B638" s="106" t="s">
        <v>6792</v>
      </c>
      <c r="C638" s="106" t="s">
        <v>560</v>
      </c>
      <c r="D638" s="107"/>
      <c r="E638" s="107" t="n">
        <v>495.514285714286</v>
      </c>
      <c r="F638" s="130" t="n">
        <v>0.55</v>
      </c>
      <c r="G638" s="106" t="s">
        <v>1411</v>
      </c>
      <c r="H638" s="106" t="n">
        <v>0</v>
      </c>
      <c r="I638" s="106" t="s">
        <v>6793</v>
      </c>
      <c r="J638" s="106" t="s">
        <v>6794</v>
      </c>
      <c r="K638" s="106" t="s">
        <v>6793</v>
      </c>
      <c r="L638" s="106" t="s">
        <v>6794</v>
      </c>
      <c r="M638" s="117"/>
      <c r="N638" s="106" t="n">
        <v>0</v>
      </c>
      <c r="O638" s="106"/>
      <c r="P638" s="27" t="s">
        <v>6818</v>
      </c>
    </row>
    <row r="639" customFormat="false" ht="15" hidden="false" customHeight="false" outlineLevel="0" collapsed="false">
      <c r="A639" s="106" t="s">
        <v>7402</v>
      </c>
      <c r="B639" s="106" t="s">
        <v>6792</v>
      </c>
      <c r="C639" s="106" t="s">
        <v>560</v>
      </c>
      <c r="D639" s="107"/>
      <c r="E639" s="107" t="n">
        <v>484.971428571429</v>
      </c>
      <c r="F639" s="130" t="n">
        <v>0.55</v>
      </c>
      <c r="G639" s="106" t="s">
        <v>1411</v>
      </c>
      <c r="H639" s="106" t="n">
        <v>0</v>
      </c>
      <c r="I639" s="106" t="s">
        <v>6793</v>
      </c>
      <c r="J639" s="106" t="s">
        <v>6794</v>
      </c>
      <c r="K639" s="106" t="s">
        <v>6793</v>
      </c>
      <c r="L639" s="106" t="s">
        <v>6794</v>
      </c>
      <c r="M639" s="117"/>
      <c r="N639" s="106" t="n">
        <v>0</v>
      </c>
      <c r="O639" s="106"/>
      <c r="P639" s="27" t="s">
        <v>6818</v>
      </c>
    </row>
    <row r="640" customFormat="false" ht="15" hidden="false" customHeight="false" outlineLevel="0" collapsed="false">
      <c r="A640" s="106" t="s">
        <v>7403</v>
      </c>
      <c r="B640" s="106" t="s">
        <v>6792</v>
      </c>
      <c r="C640" s="106" t="s">
        <v>696</v>
      </c>
      <c r="D640" s="107"/>
      <c r="E640" s="107" t="n">
        <v>484.971428571429</v>
      </c>
      <c r="F640" s="130" t="n">
        <v>0.45</v>
      </c>
      <c r="G640" s="106" t="s">
        <v>1411</v>
      </c>
      <c r="H640" s="106" t="n">
        <v>0</v>
      </c>
      <c r="I640" s="106" t="s">
        <v>6794</v>
      </c>
      <c r="J640" s="106" t="s">
        <v>6794</v>
      </c>
      <c r="K640" s="106" t="s">
        <v>6793</v>
      </c>
      <c r="L640" s="106" t="s">
        <v>6793</v>
      </c>
      <c r="M640" s="117"/>
      <c r="N640" s="106" t="n">
        <v>0</v>
      </c>
      <c r="O640" s="106"/>
      <c r="P640" s="27" t="s">
        <v>6805</v>
      </c>
    </row>
    <row r="641" customFormat="false" ht="15" hidden="false" customHeight="false" outlineLevel="0" collapsed="false">
      <c r="A641" s="106" t="s">
        <v>7404</v>
      </c>
      <c r="B641" s="106" t="s">
        <v>6792</v>
      </c>
      <c r="C641" s="106"/>
      <c r="D641" s="107"/>
      <c r="E641" s="107" t="n">
        <v>484.971428571429</v>
      </c>
      <c r="F641" s="130" t="n">
        <v>0.5</v>
      </c>
      <c r="G641" s="106" t="s">
        <v>1411</v>
      </c>
      <c r="H641" s="106" t="n">
        <v>0</v>
      </c>
      <c r="I641" s="106" t="s">
        <v>6793</v>
      </c>
      <c r="J641" s="106" t="s">
        <v>6794</v>
      </c>
      <c r="K641" s="106" t="s">
        <v>6793</v>
      </c>
      <c r="L641" s="106" t="s">
        <v>6794</v>
      </c>
      <c r="M641" s="117"/>
      <c r="N641" s="106" t="n">
        <v>0</v>
      </c>
      <c r="O641" s="106"/>
      <c r="P641" s="27" t="s">
        <v>6818</v>
      </c>
    </row>
    <row r="642" customFormat="false" ht="15" hidden="false" customHeight="false" outlineLevel="0" collapsed="false">
      <c r="A642" s="106" t="s">
        <v>7405</v>
      </c>
      <c r="B642" s="106" t="s">
        <v>6792</v>
      </c>
      <c r="C642" s="106" t="s">
        <v>560</v>
      </c>
      <c r="D642" s="107" t="n">
        <v>654</v>
      </c>
      <c r="E642" s="107" t="n">
        <v>484.971428571429</v>
      </c>
      <c r="F642" s="130" t="n">
        <v>0.75</v>
      </c>
      <c r="G642" s="106" t="s">
        <v>1411</v>
      </c>
      <c r="H642" s="106" t="n">
        <v>2.5</v>
      </c>
      <c r="I642" s="106" t="s">
        <v>6794</v>
      </c>
      <c r="J642" s="106" t="s">
        <v>6793</v>
      </c>
      <c r="K642" s="106" t="s">
        <v>6793</v>
      </c>
      <c r="L642" s="106" t="s">
        <v>6793</v>
      </c>
      <c r="M642" s="117" t="n">
        <v>0.0656624179219775</v>
      </c>
      <c r="N642" s="106" t="n">
        <v>0</v>
      </c>
      <c r="O642" s="106"/>
      <c r="P642" s="27" t="s">
        <v>6983</v>
      </c>
    </row>
    <row r="643" customFormat="false" ht="15" hidden="false" customHeight="false" outlineLevel="0" collapsed="false">
      <c r="A643" s="106" t="s">
        <v>7406</v>
      </c>
      <c r="B643" s="106" t="s">
        <v>6792</v>
      </c>
      <c r="C643" s="106"/>
      <c r="D643" s="107"/>
      <c r="E643" s="107" t="n">
        <v>474.428571428571</v>
      </c>
      <c r="F643" s="130" t="n">
        <v>0.5</v>
      </c>
      <c r="G643" s="106" t="s">
        <v>1411</v>
      </c>
      <c r="H643" s="106" t="n">
        <v>0</v>
      </c>
      <c r="I643" s="106" t="s">
        <v>6793</v>
      </c>
      <c r="J643" s="106" t="s">
        <v>6794</v>
      </c>
      <c r="K643" s="106" t="s">
        <v>6793</v>
      </c>
      <c r="L643" s="106" t="s">
        <v>6794</v>
      </c>
      <c r="M643" s="117"/>
      <c r="N643" s="106" t="n">
        <v>0</v>
      </c>
      <c r="O643" s="106"/>
      <c r="P643" s="27" t="s">
        <v>6818</v>
      </c>
    </row>
    <row r="644" customFormat="false" ht="15" hidden="false" customHeight="false" outlineLevel="0" collapsed="false">
      <c r="A644" s="106" t="s">
        <v>7407</v>
      </c>
      <c r="B644" s="106" t="s">
        <v>6792</v>
      </c>
      <c r="C644" s="106"/>
      <c r="D644" s="107"/>
      <c r="E644" s="107" t="n">
        <v>474.428571428571</v>
      </c>
      <c r="F644" s="130" t="n">
        <v>0.5</v>
      </c>
      <c r="G644" s="106" t="s">
        <v>1411</v>
      </c>
      <c r="H644" s="106" t="n">
        <v>0</v>
      </c>
      <c r="I644" s="106" t="s">
        <v>6793</v>
      </c>
      <c r="J644" s="106" t="s">
        <v>6794</v>
      </c>
      <c r="K644" s="106" t="s">
        <v>6793</v>
      </c>
      <c r="L644" s="106" t="s">
        <v>6794</v>
      </c>
      <c r="M644" s="117"/>
      <c r="N644" s="106" t="n">
        <v>0</v>
      </c>
      <c r="O644" s="106"/>
      <c r="P644" s="27" t="s">
        <v>6818</v>
      </c>
    </row>
    <row r="645" customFormat="false" ht="15" hidden="false" customHeight="false" outlineLevel="0" collapsed="false">
      <c r="A645" s="106" t="s">
        <v>7408</v>
      </c>
      <c r="B645" s="106" t="s">
        <v>6792</v>
      </c>
      <c r="C645" s="106" t="s">
        <v>560</v>
      </c>
      <c r="D645" s="107"/>
      <c r="E645" s="107" t="n">
        <v>474.428571428571</v>
      </c>
      <c r="F645" s="130" t="n">
        <v>0.55</v>
      </c>
      <c r="G645" s="106" t="s">
        <v>1411</v>
      </c>
      <c r="H645" s="106" t="n">
        <v>0</v>
      </c>
      <c r="I645" s="106" t="s">
        <v>6793</v>
      </c>
      <c r="J645" s="106" t="s">
        <v>6794</v>
      </c>
      <c r="K645" s="106" t="s">
        <v>6793</v>
      </c>
      <c r="L645" s="106" t="s">
        <v>6794</v>
      </c>
      <c r="M645" s="117"/>
      <c r="N645" s="106" t="n">
        <v>0</v>
      </c>
      <c r="O645" s="106"/>
      <c r="P645" s="27" t="s">
        <v>6818</v>
      </c>
    </row>
    <row r="646" customFormat="false" ht="15" hidden="false" customHeight="false" outlineLevel="0" collapsed="false">
      <c r="A646" s="106" t="s">
        <v>7409</v>
      </c>
      <c r="B646" s="106" t="s">
        <v>6792</v>
      </c>
      <c r="C646" s="106"/>
      <c r="D646" s="107"/>
      <c r="E646" s="107" t="n">
        <v>474.428571428571</v>
      </c>
      <c r="F646" s="130" t="n">
        <v>0.5</v>
      </c>
      <c r="G646" s="106" t="s">
        <v>1411</v>
      </c>
      <c r="H646" s="106" t="n">
        <v>0</v>
      </c>
      <c r="I646" s="106" t="s">
        <v>6793</v>
      </c>
      <c r="J646" s="106" t="s">
        <v>6794</v>
      </c>
      <c r="K646" s="106" t="s">
        <v>6793</v>
      </c>
      <c r="L646" s="106" t="s">
        <v>6794</v>
      </c>
      <c r="M646" s="117"/>
      <c r="N646" s="106" t="n">
        <v>0</v>
      </c>
      <c r="O646" s="106"/>
      <c r="P646" s="27" t="s">
        <v>6818</v>
      </c>
    </row>
    <row r="647" customFormat="false" ht="15" hidden="false" customHeight="false" outlineLevel="0" collapsed="false">
      <c r="A647" s="106" t="s">
        <v>7410</v>
      </c>
      <c r="B647" s="106" t="s">
        <v>6792</v>
      </c>
      <c r="C647" s="106" t="s">
        <v>560</v>
      </c>
      <c r="D647" s="107"/>
      <c r="E647" s="107" t="n">
        <v>474.428571428571</v>
      </c>
      <c r="F647" s="130" t="n">
        <v>0.45</v>
      </c>
      <c r="G647" s="106" t="s">
        <v>1411</v>
      </c>
      <c r="H647" s="106" t="n">
        <v>0</v>
      </c>
      <c r="I647" s="106" t="s">
        <v>6794</v>
      </c>
      <c r="J647" s="106" t="s">
        <v>6794</v>
      </c>
      <c r="K647" s="106" t="s">
        <v>6793</v>
      </c>
      <c r="L647" s="106" t="s">
        <v>6793</v>
      </c>
      <c r="M647" s="117"/>
      <c r="N647" s="106" t="n">
        <v>0</v>
      </c>
      <c r="O647" s="106"/>
      <c r="P647" s="27" t="s">
        <v>6805</v>
      </c>
    </row>
    <row r="648" customFormat="false" ht="15" hidden="false" customHeight="false" outlineLevel="0" collapsed="false">
      <c r="A648" s="106" t="s">
        <v>6675</v>
      </c>
      <c r="B648" s="106" t="s">
        <v>6792</v>
      </c>
      <c r="C648" s="106" t="s">
        <v>185</v>
      </c>
      <c r="D648" s="107" t="n">
        <v>644</v>
      </c>
      <c r="E648" s="107" t="n">
        <v>474.428571428571</v>
      </c>
      <c r="F648" s="130" t="n">
        <v>0.62</v>
      </c>
      <c r="G648" s="106" t="s">
        <v>1411</v>
      </c>
      <c r="H648" s="106" t="n">
        <v>1</v>
      </c>
      <c r="I648" s="106" t="s">
        <v>6793</v>
      </c>
      <c r="J648" s="106" t="s">
        <v>6794</v>
      </c>
      <c r="K648" s="106" t="s">
        <v>6799</v>
      </c>
      <c r="L648" s="106" t="s">
        <v>6793</v>
      </c>
      <c r="M648" s="117"/>
      <c r="N648" s="106" t="n">
        <v>1</v>
      </c>
      <c r="O648" s="106" t="n">
        <v>0</v>
      </c>
      <c r="P648" s="27" t="s">
        <v>6795</v>
      </c>
    </row>
    <row r="649" customFormat="false" ht="15" hidden="false" customHeight="false" outlineLevel="0" collapsed="false">
      <c r="A649" s="106" t="s">
        <v>7411</v>
      </c>
      <c r="B649" s="106" t="s">
        <v>6792</v>
      </c>
      <c r="C649" s="106"/>
      <c r="D649" s="107"/>
      <c r="E649" s="107" t="n">
        <v>474.428571428571</v>
      </c>
      <c r="F649" s="130" t="n">
        <v>0.4</v>
      </c>
      <c r="G649" s="106" t="s">
        <v>1411</v>
      </c>
      <c r="H649" s="106" t="n">
        <v>0</v>
      </c>
      <c r="I649" s="106" t="s">
        <v>6794</v>
      </c>
      <c r="J649" s="106" t="s">
        <v>6794</v>
      </c>
      <c r="K649" s="106" t="s">
        <v>6793</v>
      </c>
      <c r="L649" s="106" t="s">
        <v>6793</v>
      </c>
      <c r="M649" s="117"/>
      <c r="N649" s="106" t="n">
        <v>0</v>
      </c>
      <c r="O649" s="106"/>
      <c r="P649" s="27" t="s">
        <v>6805</v>
      </c>
    </row>
    <row r="650" customFormat="false" ht="15" hidden="false" customHeight="false" outlineLevel="0" collapsed="false">
      <c r="A650" s="106" t="s">
        <v>7412</v>
      </c>
      <c r="B650" s="106" t="s">
        <v>6792</v>
      </c>
      <c r="C650" s="106" t="s">
        <v>185</v>
      </c>
      <c r="D650" s="107"/>
      <c r="E650" s="107" t="n">
        <v>474.428571428571</v>
      </c>
      <c r="F650" s="130" t="n">
        <v>0.55</v>
      </c>
      <c r="G650" s="106" t="s">
        <v>1411</v>
      </c>
      <c r="H650" s="106" t="n">
        <v>0</v>
      </c>
      <c r="I650" s="106" t="s">
        <v>6793</v>
      </c>
      <c r="J650" s="106" t="s">
        <v>6794</v>
      </c>
      <c r="K650" s="106" t="s">
        <v>6793</v>
      </c>
      <c r="L650" s="106" t="s">
        <v>6794</v>
      </c>
      <c r="M650" s="117"/>
      <c r="N650" s="106" t="n">
        <v>0</v>
      </c>
      <c r="O650" s="106"/>
      <c r="P650" s="27" t="s">
        <v>6818</v>
      </c>
    </row>
    <row r="651" customFormat="false" ht="15" hidden="false" customHeight="false" outlineLevel="0" collapsed="false">
      <c r="A651" s="106" t="s">
        <v>7413</v>
      </c>
      <c r="B651" s="106" t="s">
        <v>6792</v>
      </c>
      <c r="C651" s="106"/>
      <c r="D651" s="107"/>
      <c r="E651" s="107" t="n">
        <v>474.428571428571</v>
      </c>
      <c r="F651" s="130" t="n">
        <v>0.38</v>
      </c>
      <c r="G651" s="106" t="s">
        <v>1411</v>
      </c>
      <c r="H651" s="106" t="n">
        <v>0</v>
      </c>
      <c r="I651" s="106" t="s">
        <v>6799</v>
      </c>
      <c r="J651" s="106" t="s">
        <v>6794</v>
      </c>
      <c r="K651" s="106" t="s">
        <v>6793</v>
      </c>
      <c r="L651" s="106" t="s">
        <v>6794</v>
      </c>
      <c r="M651" s="117"/>
      <c r="N651" s="106" t="n">
        <v>0</v>
      </c>
      <c r="O651" s="106"/>
      <c r="P651" s="27" t="s">
        <v>6818</v>
      </c>
    </row>
    <row r="652" customFormat="false" ht="15" hidden="false" customHeight="false" outlineLevel="0" collapsed="false">
      <c r="A652" s="106" t="s">
        <v>7414</v>
      </c>
      <c r="B652" s="106" t="s">
        <v>6792</v>
      </c>
      <c r="C652" s="106" t="s">
        <v>422</v>
      </c>
      <c r="D652" s="107"/>
      <c r="E652" s="107" t="n">
        <v>474.428571428571</v>
      </c>
      <c r="F652" s="130" t="n">
        <v>0.45</v>
      </c>
      <c r="G652" s="106" t="s">
        <v>1411</v>
      </c>
      <c r="H652" s="106" t="n">
        <v>2</v>
      </c>
      <c r="I652" s="106" t="s">
        <v>6794</v>
      </c>
      <c r="J652" s="106" t="s">
        <v>6794</v>
      </c>
      <c r="K652" s="106" t="s">
        <v>6793</v>
      </c>
      <c r="L652" s="106" t="s">
        <v>6793</v>
      </c>
      <c r="M652" s="117" t="n">
        <v>0.0641025641025641</v>
      </c>
      <c r="N652" s="106" t="n">
        <v>0</v>
      </c>
      <c r="O652" s="106"/>
      <c r="P652" s="27" t="s">
        <v>6805</v>
      </c>
    </row>
    <row r="653" customFormat="false" ht="15" hidden="false" customHeight="false" outlineLevel="0" collapsed="false">
      <c r="A653" s="106" t="s">
        <v>7415</v>
      </c>
      <c r="B653" s="106" t="s">
        <v>6792</v>
      </c>
      <c r="C653" s="106"/>
      <c r="D653" s="107"/>
      <c r="E653" s="107" t="n">
        <v>467.4</v>
      </c>
      <c r="F653" s="130" t="n">
        <v>0.38</v>
      </c>
      <c r="G653" s="106" t="s">
        <v>1411</v>
      </c>
      <c r="H653" s="106" t="n">
        <v>0</v>
      </c>
      <c r="I653" s="106" t="s">
        <v>6799</v>
      </c>
      <c r="J653" s="106" t="s">
        <v>6794</v>
      </c>
      <c r="K653" s="106" t="s">
        <v>6793</v>
      </c>
      <c r="L653" s="106" t="s">
        <v>6794</v>
      </c>
      <c r="M653" s="117"/>
      <c r="N653" s="106" t="n">
        <v>0</v>
      </c>
      <c r="O653" s="106"/>
      <c r="P653" s="27" t="s">
        <v>6818</v>
      </c>
    </row>
    <row r="654" customFormat="false" ht="15" hidden="false" customHeight="false" outlineLevel="0" collapsed="false">
      <c r="A654" s="106" t="s">
        <v>7416</v>
      </c>
      <c r="B654" s="106" t="s">
        <v>6792</v>
      </c>
      <c r="C654" s="106"/>
      <c r="D654" s="107"/>
      <c r="E654" s="107" t="n">
        <v>467.4</v>
      </c>
      <c r="F654" s="130" t="n">
        <v>0.5</v>
      </c>
      <c r="G654" s="106" t="s">
        <v>1411</v>
      </c>
      <c r="H654" s="106" t="n">
        <v>0</v>
      </c>
      <c r="I654" s="106" t="s">
        <v>6793</v>
      </c>
      <c r="J654" s="106" t="s">
        <v>6794</v>
      </c>
      <c r="K654" s="106" t="s">
        <v>6793</v>
      </c>
      <c r="L654" s="106" t="s">
        <v>6794</v>
      </c>
      <c r="M654" s="117"/>
      <c r="N654" s="106" t="n">
        <v>0</v>
      </c>
      <c r="O654" s="106"/>
      <c r="P654" s="27" t="s">
        <v>6818</v>
      </c>
    </row>
    <row r="655" customFormat="false" ht="15" hidden="false" customHeight="false" outlineLevel="0" collapsed="false">
      <c r="A655" s="106" t="s">
        <v>7417</v>
      </c>
      <c r="B655" s="106" t="s">
        <v>6792</v>
      </c>
      <c r="C655" s="106"/>
      <c r="D655" s="107"/>
      <c r="E655" s="107" t="n">
        <v>467.4</v>
      </c>
      <c r="F655" s="130" t="n">
        <v>0.4</v>
      </c>
      <c r="G655" s="106" t="s">
        <v>1411</v>
      </c>
      <c r="H655" s="106" t="n">
        <v>0</v>
      </c>
      <c r="I655" s="106" t="s">
        <v>6794</v>
      </c>
      <c r="J655" s="106" t="s">
        <v>6794</v>
      </c>
      <c r="K655" s="106" t="s">
        <v>6793</v>
      </c>
      <c r="L655" s="106" t="s">
        <v>6793</v>
      </c>
      <c r="M655" s="117"/>
      <c r="N655" s="106" t="n">
        <v>0</v>
      </c>
      <c r="O655" s="106"/>
      <c r="P655" s="27" t="s">
        <v>6805</v>
      </c>
    </row>
    <row r="656" customFormat="false" ht="15" hidden="false" customHeight="false" outlineLevel="0" collapsed="false">
      <c r="A656" s="106" t="s">
        <v>7418</v>
      </c>
      <c r="B656" s="106" t="s">
        <v>6792</v>
      </c>
      <c r="C656" s="106"/>
      <c r="D656" s="107"/>
      <c r="E656" s="107" t="n">
        <v>467.4</v>
      </c>
      <c r="F656" s="130" t="n">
        <v>0.5</v>
      </c>
      <c r="G656" s="106" t="s">
        <v>1411</v>
      </c>
      <c r="H656" s="106" t="n">
        <v>0</v>
      </c>
      <c r="I656" s="106" t="s">
        <v>6793</v>
      </c>
      <c r="J656" s="106" t="s">
        <v>6794</v>
      </c>
      <c r="K656" s="106" t="s">
        <v>6793</v>
      </c>
      <c r="L656" s="106" t="s">
        <v>6794</v>
      </c>
      <c r="M656" s="117"/>
      <c r="N656" s="106" t="n">
        <v>0</v>
      </c>
      <c r="O656" s="106"/>
      <c r="P656" s="27" t="s">
        <v>6818</v>
      </c>
    </row>
    <row r="657" customFormat="false" ht="15" hidden="false" customHeight="false" outlineLevel="0" collapsed="false">
      <c r="A657" s="106" t="s">
        <v>7419</v>
      </c>
      <c r="B657" s="106" t="s">
        <v>6792</v>
      </c>
      <c r="C657" s="106" t="s">
        <v>560</v>
      </c>
      <c r="D657" s="107"/>
      <c r="E657" s="107" t="n">
        <v>467.4</v>
      </c>
      <c r="F657" s="130" t="n">
        <v>0.55</v>
      </c>
      <c r="G657" s="106" t="s">
        <v>1411</v>
      </c>
      <c r="H657" s="106" t="n">
        <v>0</v>
      </c>
      <c r="I657" s="106" t="s">
        <v>6793</v>
      </c>
      <c r="J657" s="106" t="s">
        <v>6794</v>
      </c>
      <c r="K657" s="106" t="s">
        <v>6793</v>
      </c>
      <c r="L657" s="106" t="s">
        <v>6794</v>
      </c>
      <c r="M657" s="117"/>
      <c r="N657" s="106" t="n">
        <v>0</v>
      </c>
      <c r="O657" s="106"/>
      <c r="P657" s="27" t="s">
        <v>6818</v>
      </c>
    </row>
    <row r="658" customFormat="false" ht="15" hidden="false" customHeight="false" outlineLevel="0" collapsed="false">
      <c r="A658" s="106" t="s">
        <v>4880</v>
      </c>
      <c r="B658" s="106" t="s">
        <v>6792</v>
      </c>
      <c r="C658" s="106"/>
      <c r="D658" s="107" t="n">
        <v>598</v>
      </c>
      <c r="E658" s="107" t="n">
        <v>463.885714285714</v>
      </c>
      <c r="F658" s="130" t="n">
        <v>0.58</v>
      </c>
      <c r="G658" s="106" t="s">
        <v>1411</v>
      </c>
      <c r="H658" s="106" t="n">
        <v>1.5</v>
      </c>
      <c r="I658" s="106" t="s">
        <v>6793</v>
      </c>
      <c r="J658" s="106" t="s">
        <v>6794</v>
      </c>
      <c r="K658" s="106" t="s">
        <v>6799</v>
      </c>
      <c r="L658" s="106" t="s">
        <v>6793</v>
      </c>
      <c r="M658" s="117" t="n">
        <v>0</v>
      </c>
      <c r="N658" s="106" t="n">
        <v>0</v>
      </c>
      <c r="O658" s="106"/>
      <c r="P658" s="27" t="s">
        <v>6795</v>
      </c>
    </row>
    <row r="659" customFormat="false" ht="15" hidden="false" customHeight="false" outlineLevel="0" collapsed="false">
      <c r="A659" s="106" t="s">
        <v>7420</v>
      </c>
      <c r="B659" s="106" t="s">
        <v>6792</v>
      </c>
      <c r="C659" s="106" t="s">
        <v>479</v>
      </c>
      <c r="D659" s="107"/>
      <c r="E659" s="107" t="n">
        <v>456.857142857143</v>
      </c>
      <c r="F659" s="130" t="n">
        <v>0.55</v>
      </c>
      <c r="G659" s="106" t="s">
        <v>1411</v>
      </c>
      <c r="H659" s="106" t="n">
        <v>0</v>
      </c>
      <c r="I659" s="106" t="s">
        <v>6793</v>
      </c>
      <c r="J659" s="106" t="s">
        <v>6794</v>
      </c>
      <c r="K659" s="106" t="s">
        <v>6793</v>
      </c>
      <c r="L659" s="106" t="s">
        <v>6794</v>
      </c>
      <c r="M659" s="117"/>
      <c r="N659" s="106" t="n">
        <v>0</v>
      </c>
      <c r="O659" s="106"/>
      <c r="P659" s="27" t="s">
        <v>6818</v>
      </c>
    </row>
    <row r="660" customFormat="false" ht="15" hidden="false" customHeight="false" outlineLevel="0" collapsed="false">
      <c r="A660" s="106" t="s">
        <v>7421</v>
      </c>
      <c r="B660" s="106" t="s">
        <v>6792</v>
      </c>
      <c r="C660" s="106" t="s">
        <v>185</v>
      </c>
      <c r="D660" s="107"/>
      <c r="E660" s="107" t="n">
        <v>456.857142857143</v>
      </c>
      <c r="F660" s="130" t="n">
        <v>0.45</v>
      </c>
      <c r="G660" s="106" t="s">
        <v>1411</v>
      </c>
      <c r="H660" s="106" t="n">
        <v>0</v>
      </c>
      <c r="I660" s="106" t="s">
        <v>6794</v>
      </c>
      <c r="J660" s="106" t="s">
        <v>6794</v>
      </c>
      <c r="K660" s="106" t="s">
        <v>6793</v>
      </c>
      <c r="L660" s="106" t="s">
        <v>6793</v>
      </c>
      <c r="M660" s="117"/>
      <c r="N660" s="106" t="n">
        <v>0</v>
      </c>
      <c r="O660" s="106"/>
      <c r="P660" s="27" t="s">
        <v>6805</v>
      </c>
    </row>
    <row r="661" customFormat="false" ht="15" hidden="false" customHeight="false" outlineLevel="0" collapsed="false">
      <c r="A661" s="106" t="s">
        <v>7422</v>
      </c>
      <c r="B661" s="106" t="s">
        <v>6792</v>
      </c>
      <c r="C661" s="106"/>
      <c r="D661" s="107"/>
      <c r="E661" s="107" t="n">
        <v>456.857142857143</v>
      </c>
      <c r="F661" s="130" t="n">
        <v>0.38</v>
      </c>
      <c r="G661" s="106" t="s">
        <v>1411</v>
      </c>
      <c r="H661" s="106" t="n">
        <v>0</v>
      </c>
      <c r="I661" s="106" t="s">
        <v>6799</v>
      </c>
      <c r="J661" s="106" t="s">
        <v>6794</v>
      </c>
      <c r="K661" s="106" t="s">
        <v>6793</v>
      </c>
      <c r="L661" s="106" t="s">
        <v>6794</v>
      </c>
      <c r="M661" s="117"/>
      <c r="N661" s="106" t="n">
        <v>0</v>
      </c>
      <c r="O661" s="106"/>
      <c r="P661" s="27" t="s">
        <v>6818</v>
      </c>
    </row>
    <row r="662" customFormat="false" ht="15" hidden="false" customHeight="false" outlineLevel="0" collapsed="false">
      <c r="A662" s="106" t="s">
        <v>7423</v>
      </c>
      <c r="B662" s="106" t="s">
        <v>6792</v>
      </c>
      <c r="C662" s="106" t="s">
        <v>422</v>
      </c>
      <c r="D662" s="107" t="n">
        <v>580</v>
      </c>
      <c r="E662" s="107" t="n">
        <v>456.857142857143</v>
      </c>
      <c r="F662" s="130" t="n">
        <v>0.45</v>
      </c>
      <c r="G662" s="106" t="s">
        <v>1411</v>
      </c>
      <c r="H662" s="106" t="n">
        <v>0</v>
      </c>
      <c r="I662" s="106" t="s">
        <v>6794</v>
      </c>
      <c r="J662" s="106" t="s">
        <v>6794</v>
      </c>
      <c r="K662" s="106" t="s">
        <v>6793</v>
      </c>
      <c r="L662" s="106" t="s">
        <v>6793</v>
      </c>
      <c r="M662" s="117"/>
      <c r="N662" s="106" t="n">
        <v>0</v>
      </c>
      <c r="O662" s="106"/>
      <c r="P662" s="27" t="s">
        <v>6805</v>
      </c>
    </row>
    <row r="663" customFormat="false" ht="15" hidden="false" customHeight="false" outlineLevel="0" collapsed="false">
      <c r="A663" s="106" t="s">
        <v>7424</v>
      </c>
      <c r="B663" s="106" t="s">
        <v>6792</v>
      </c>
      <c r="C663" s="106"/>
      <c r="D663" s="107"/>
      <c r="E663" s="107" t="n">
        <v>456.857142857143</v>
      </c>
      <c r="F663" s="130" t="n">
        <v>0.38</v>
      </c>
      <c r="G663" s="106" t="s">
        <v>1411</v>
      </c>
      <c r="H663" s="106" t="n">
        <v>0</v>
      </c>
      <c r="I663" s="106" t="s">
        <v>6799</v>
      </c>
      <c r="J663" s="106" t="s">
        <v>6794</v>
      </c>
      <c r="K663" s="106" t="s">
        <v>6793</v>
      </c>
      <c r="L663" s="106" t="s">
        <v>6794</v>
      </c>
      <c r="M663" s="117"/>
      <c r="N663" s="106" t="n">
        <v>0</v>
      </c>
      <c r="O663" s="106"/>
      <c r="P663" s="27" t="s">
        <v>6818</v>
      </c>
    </row>
    <row r="664" customFormat="false" ht="15" hidden="false" customHeight="false" outlineLevel="0" collapsed="false">
      <c r="A664" s="106" t="s">
        <v>7425</v>
      </c>
      <c r="B664" s="106" t="s">
        <v>6792</v>
      </c>
      <c r="C664" s="106"/>
      <c r="D664" s="107"/>
      <c r="E664" s="107" t="n">
        <v>456.857142857143</v>
      </c>
      <c r="F664" s="130" t="n">
        <v>0.4</v>
      </c>
      <c r="G664" s="106" t="s">
        <v>1411</v>
      </c>
      <c r="H664" s="106" t="n">
        <v>0</v>
      </c>
      <c r="I664" s="106" t="s">
        <v>6794</v>
      </c>
      <c r="J664" s="106" t="s">
        <v>6794</v>
      </c>
      <c r="K664" s="106" t="s">
        <v>6793</v>
      </c>
      <c r="L664" s="106" t="s">
        <v>6793</v>
      </c>
      <c r="M664" s="117"/>
      <c r="N664" s="106" t="n">
        <v>0</v>
      </c>
      <c r="O664" s="106"/>
      <c r="P664" s="27" t="s">
        <v>6805</v>
      </c>
    </row>
    <row r="665" customFormat="false" ht="15" hidden="false" customHeight="false" outlineLevel="0" collapsed="false">
      <c r="A665" s="106" t="s">
        <v>7426</v>
      </c>
      <c r="B665" s="106" t="s">
        <v>6792</v>
      </c>
      <c r="C665" s="106"/>
      <c r="D665" s="107"/>
      <c r="E665" s="107" t="n">
        <v>456.857142857143</v>
      </c>
      <c r="F665" s="130" t="n">
        <v>0.32</v>
      </c>
      <c r="G665" s="106" t="s">
        <v>1411</v>
      </c>
      <c r="H665" s="106" t="n">
        <v>0</v>
      </c>
      <c r="I665" s="106" t="s">
        <v>6794</v>
      </c>
      <c r="J665" s="106" t="s">
        <v>6794</v>
      </c>
      <c r="K665" s="106" t="s">
        <v>6793</v>
      </c>
      <c r="L665" s="106" t="s">
        <v>6799</v>
      </c>
      <c r="M665" s="117"/>
      <c r="N665" s="106" t="n">
        <v>0</v>
      </c>
      <c r="O665" s="106"/>
      <c r="P665" s="27" t="s">
        <v>6805</v>
      </c>
    </row>
    <row r="666" customFormat="false" ht="15" hidden="false" customHeight="false" outlineLevel="0" collapsed="false">
      <c r="A666" s="106" t="s">
        <v>7427</v>
      </c>
      <c r="B666" s="106" t="s">
        <v>6792</v>
      </c>
      <c r="C666" s="106" t="s">
        <v>560</v>
      </c>
      <c r="D666" s="107"/>
      <c r="E666" s="107" t="n">
        <v>456.857142857143</v>
      </c>
      <c r="F666" s="130" t="n">
        <v>0.55</v>
      </c>
      <c r="G666" s="106" t="s">
        <v>1411</v>
      </c>
      <c r="H666" s="106" t="n">
        <v>0.5</v>
      </c>
      <c r="I666" s="106" t="s">
        <v>6793</v>
      </c>
      <c r="J666" s="106" t="s">
        <v>6794</v>
      </c>
      <c r="K666" s="106" t="s">
        <v>6793</v>
      </c>
      <c r="L666" s="106" t="s">
        <v>6794</v>
      </c>
      <c r="M666" s="117"/>
      <c r="N666" s="106" t="n">
        <v>0</v>
      </c>
      <c r="O666" s="106"/>
      <c r="P666" s="27" t="s">
        <v>6818</v>
      </c>
    </row>
    <row r="667" customFormat="false" ht="15" hidden="false" customHeight="false" outlineLevel="0" collapsed="false">
      <c r="A667" s="106" t="s">
        <v>7428</v>
      </c>
      <c r="B667" s="106" t="s">
        <v>6792</v>
      </c>
      <c r="C667" s="106" t="s">
        <v>185</v>
      </c>
      <c r="D667" s="107"/>
      <c r="E667" s="107" t="n">
        <v>456.857142857143</v>
      </c>
      <c r="F667" s="130" t="n">
        <v>0.45</v>
      </c>
      <c r="G667" s="106" t="s">
        <v>1411</v>
      </c>
      <c r="H667" s="106" t="n">
        <v>0</v>
      </c>
      <c r="I667" s="106" t="s">
        <v>6794</v>
      </c>
      <c r="J667" s="106" t="s">
        <v>6794</v>
      </c>
      <c r="K667" s="106" t="s">
        <v>6793</v>
      </c>
      <c r="L667" s="106" t="s">
        <v>6793</v>
      </c>
      <c r="M667" s="117"/>
      <c r="N667" s="106" t="n">
        <v>0</v>
      </c>
      <c r="O667" s="106"/>
      <c r="P667" s="27" t="s">
        <v>6805</v>
      </c>
    </row>
    <row r="668" customFormat="false" ht="15" hidden="false" customHeight="false" outlineLevel="0" collapsed="false">
      <c r="A668" s="106" t="s">
        <v>7429</v>
      </c>
      <c r="B668" s="106" t="s">
        <v>6792</v>
      </c>
      <c r="C668" s="106" t="s">
        <v>185</v>
      </c>
      <c r="D668" s="107"/>
      <c r="E668" s="107" t="n">
        <v>456.857142857143</v>
      </c>
      <c r="F668" s="130" t="n">
        <v>0.55</v>
      </c>
      <c r="G668" s="106" t="s">
        <v>1411</v>
      </c>
      <c r="H668" s="106" t="n">
        <v>0</v>
      </c>
      <c r="I668" s="106" t="s">
        <v>6793</v>
      </c>
      <c r="J668" s="106" t="s">
        <v>6794</v>
      </c>
      <c r="K668" s="106" t="s">
        <v>6793</v>
      </c>
      <c r="L668" s="106" t="s">
        <v>6794</v>
      </c>
      <c r="M668" s="117"/>
      <c r="N668" s="106" t="n">
        <v>0</v>
      </c>
      <c r="O668" s="106"/>
      <c r="P668" s="27" t="s">
        <v>6818</v>
      </c>
    </row>
    <row r="669" customFormat="false" ht="15" hidden="false" customHeight="false" outlineLevel="0" collapsed="false">
      <c r="A669" s="106" t="s">
        <v>7430</v>
      </c>
      <c r="B669" s="106" t="s">
        <v>6792</v>
      </c>
      <c r="C669" s="106"/>
      <c r="D669" s="107"/>
      <c r="E669" s="107" t="n">
        <v>446.314285714286</v>
      </c>
      <c r="F669" s="130" t="n">
        <v>0.5</v>
      </c>
      <c r="G669" s="106" t="s">
        <v>1411</v>
      </c>
      <c r="H669" s="106" t="n">
        <v>0.5</v>
      </c>
      <c r="I669" s="106" t="s">
        <v>6793</v>
      </c>
      <c r="J669" s="106" t="s">
        <v>6794</v>
      </c>
      <c r="K669" s="106" t="s">
        <v>6793</v>
      </c>
      <c r="L669" s="106" t="s">
        <v>6794</v>
      </c>
      <c r="M669" s="117"/>
      <c r="N669" s="106" t="n">
        <v>0</v>
      </c>
      <c r="O669" s="106"/>
      <c r="P669" s="27" t="s">
        <v>6818</v>
      </c>
    </row>
    <row r="670" customFormat="false" ht="15" hidden="false" customHeight="false" outlineLevel="0" collapsed="false">
      <c r="A670" s="106" t="s">
        <v>7431</v>
      </c>
      <c r="B670" s="106" t="s">
        <v>6792</v>
      </c>
      <c r="C670" s="106" t="s">
        <v>560</v>
      </c>
      <c r="D670" s="107"/>
      <c r="E670" s="107" t="n">
        <v>446.314285714286</v>
      </c>
      <c r="F670" s="130" t="n">
        <v>0.45</v>
      </c>
      <c r="G670" s="106" t="s">
        <v>1411</v>
      </c>
      <c r="H670" s="106" t="n">
        <v>0</v>
      </c>
      <c r="I670" s="106" t="s">
        <v>6794</v>
      </c>
      <c r="J670" s="106" t="s">
        <v>6794</v>
      </c>
      <c r="K670" s="106" t="s">
        <v>6793</v>
      </c>
      <c r="L670" s="106" t="s">
        <v>6793</v>
      </c>
      <c r="M670" s="117"/>
      <c r="N670" s="106" t="n">
        <v>0</v>
      </c>
      <c r="O670" s="106"/>
      <c r="P670" s="27" t="s">
        <v>6805</v>
      </c>
    </row>
    <row r="671" customFormat="false" ht="15" hidden="false" customHeight="false" outlineLevel="0" collapsed="false">
      <c r="A671" s="106" t="s">
        <v>7432</v>
      </c>
      <c r="B671" s="106" t="s">
        <v>6792</v>
      </c>
      <c r="C671" s="106"/>
      <c r="D671" s="107"/>
      <c r="E671" s="107" t="n">
        <v>446.314285714286</v>
      </c>
      <c r="F671" s="130" t="n">
        <v>0.5</v>
      </c>
      <c r="G671" s="106" t="s">
        <v>1411</v>
      </c>
      <c r="H671" s="106" t="n">
        <v>0.5</v>
      </c>
      <c r="I671" s="106" t="s">
        <v>6793</v>
      </c>
      <c r="J671" s="106" t="s">
        <v>6794</v>
      </c>
      <c r="K671" s="106" t="s">
        <v>6793</v>
      </c>
      <c r="L671" s="106" t="s">
        <v>6794</v>
      </c>
      <c r="M671" s="117"/>
      <c r="N671" s="106" t="n">
        <v>0</v>
      </c>
      <c r="O671" s="106"/>
      <c r="P671" s="27" t="s">
        <v>6818</v>
      </c>
    </row>
    <row r="672" customFormat="false" ht="15" hidden="false" customHeight="false" outlineLevel="0" collapsed="false">
      <c r="A672" s="106" t="s">
        <v>7433</v>
      </c>
      <c r="B672" s="106" t="s">
        <v>6792</v>
      </c>
      <c r="C672" s="106" t="s">
        <v>185</v>
      </c>
      <c r="D672" s="107"/>
      <c r="E672" s="107" t="n">
        <v>446.314285714286</v>
      </c>
      <c r="F672" s="130" t="n">
        <v>0.55</v>
      </c>
      <c r="G672" s="106" t="s">
        <v>1411</v>
      </c>
      <c r="H672" s="106" t="n">
        <v>0</v>
      </c>
      <c r="I672" s="106" t="s">
        <v>6793</v>
      </c>
      <c r="J672" s="106" t="s">
        <v>6794</v>
      </c>
      <c r="K672" s="106" t="s">
        <v>6793</v>
      </c>
      <c r="L672" s="106" t="s">
        <v>6794</v>
      </c>
      <c r="M672" s="117"/>
      <c r="N672" s="106" t="n">
        <v>0</v>
      </c>
      <c r="O672" s="106"/>
      <c r="P672" s="27" t="s">
        <v>6818</v>
      </c>
    </row>
    <row r="673" customFormat="false" ht="15" hidden="false" customHeight="false" outlineLevel="0" collapsed="false">
      <c r="A673" s="106" t="s">
        <v>7434</v>
      </c>
      <c r="B673" s="106" t="s">
        <v>6792</v>
      </c>
      <c r="C673" s="106" t="s">
        <v>560</v>
      </c>
      <c r="D673" s="107"/>
      <c r="E673" s="107" t="n">
        <v>446.314285714286</v>
      </c>
      <c r="F673" s="130" t="n">
        <v>0.45</v>
      </c>
      <c r="G673" s="106" t="s">
        <v>1411</v>
      </c>
      <c r="H673" s="106" t="n">
        <v>0</v>
      </c>
      <c r="I673" s="106" t="s">
        <v>6794</v>
      </c>
      <c r="J673" s="106" t="s">
        <v>6794</v>
      </c>
      <c r="K673" s="106" t="s">
        <v>6793</v>
      </c>
      <c r="L673" s="106" t="s">
        <v>6793</v>
      </c>
      <c r="M673" s="117"/>
      <c r="N673" s="106" t="n">
        <v>0</v>
      </c>
      <c r="O673" s="106"/>
      <c r="P673" s="27" t="s">
        <v>6805</v>
      </c>
    </row>
    <row r="674" customFormat="false" ht="15" hidden="false" customHeight="false" outlineLevel="0" collapsed="false">
      <c r="A674" s="106" t="s">
        <v>7435</v>
      </c>
      <c r="B674" s="106" t="s">
        <v>6792</v>
      </c>
      <c r="C674" s="106"/>
      <c r="D674" s="107"/>
      <c r="E674" s="107" t="n">
        <v>446.314285714286</v>
      </c>
      <c r="F674" s="130" t="n">
        <v>0.58</v>
      </c>
      <c r="G674" s="106" t="s">
        <v>1411</v>
      </c>
      <c r="H674" s="106" t="n">
        <v>0</v>
      </c>
      <c r="I674" s="106" t="s">
        <v>6793</v>
      </c>
      <c r="J674" s="106" t="s">
        <v>6794</v>
      </c>
      <c r="K674" s="106" t="s">
        <v>6793</v>
      </c>
      <c r="L674" s="106" t="s">
        <v>6799</v>
      </c>
      <c r="M674" s="117"/>
      <c r="N674" s="106" t="n">
        <v>0</v>
      </c>
      <c r="O674" s="106"/>
      <c r="P674" s="27" t="s">
        <v>6795</v>
      </c>
    </row>
    <row r="675" customFormat="false" ht="15" hidden="false" customHeight="false" outlineLevel="0" collapsed="false">
      <c r="A675" s="106" t="s">
        <v>7436</v>
      </c>
      <c r="B675" s="106" t="s">
        <v>6792</v>
      </c>
      <c r="C675" s="106" t="s">
        <v>185</v>
      </c>
      <c r="D675" s="107"/>
      <c r="E675" s="107" t="n">
        <v>446.314285714286</v>
      </c>
      <c r="F675" s="130" t="n">
        <v>0.45</v>
      </c>
      <c r="G675" s="106" t="s">
        <v>1411</v>
      </c>
      <c r="H675" s="106" t="n">
        <v>0</v>
      </c>
      <c r="I675" s="106" t="s">
        <v>6794</v>
      </c>
      <c r="J675" s="106" t="s">
        <v>6794</v>
      </c>
      <c r="K675" s="106" t="s">
        <v>6793</v>
      </c>
      <c r="L675" s="106" t="s">
        <v>6793</v>
      </c>
      <c r="M675" s="117"/>
      <c r="N675" s="106" t="n">
        <v>0</v>
      </c>
      <c r="O675" s="106"/>
      <c r="P675" s="27" t="s">
        <v>6805</v>
      </c>
    </row>
    <row r="676" customFormat="false" ht="15" hidden="false" customHeight="false" outlineLevel="0" collapsed="false">
      <c r="A676" s="106" t="s">
        <v>7437</v>
      </c>
      <c r="B676" s="106" t="s">
        <v>6792</v>
      </c>
      <c r="C676" s="106"/>
      <c r="D676" s="107"/>
      <c r="E676" s="107" t="n">
        <v>446.314285714286</v>
      </c>
      <c r="F676" s="130" t="n">
        <v>0.5</v>
      </c>
      <c r="G676" s="106" t="s">
        <v>1411</v>
      </c>
      <c r="H676" s="106" t="n">
        <v>0</v>
      </c>
      <c r="I676" s="106" t="s">
        <v>6793</v>
      </c>
      <c r="J676" s="106" t="s">
        <v>6794</v>
      </c>
      <c r="K676" s="106" t="s">
        <v>6793</v>
      </c>
      <c r="L676" s="106" t="s">
        <v>6794</v>
      </c>
      <c r="M676" s="117"/>
      <c r="N676" s="106" t="n">
        <v>0</v>
      </c>
      <c r="O676" s="106"/>
      <c r="P676" s="27" t="s">
        <v>6818</v>
      </c>
    </row>
    <row r="677" customFormat="false" ht="15" hidden="false" customHeight="false" outlineLevel="0" collapsed="false">
      <c r="A677" s="106" t="s">
        <v>7438</v>
      </c>
      <c r="B677" s="106" t="s">
        <v>6792</v>
      </c>
      <c r="C677" s="106"/>
      <c r="D677" s="107"/>
      <c r="E677" s="107" t="n">
        <v>446.314285714286</v>
      </c>
      <c r="F677" s="130" t="n">
        <v>0.4</v>
      </c>
      <c r="G677" s="106" t="s">
        <v>1411</v>
      </c>
      <c r="H677" s="106" t="n">
        <v>0</v>
      </c>
      <c r="I677" s="106" t="s">
        <v>6794</v>
      </c>
      <c r="J677" s="106" t="s">
        <v>6794</v>
      </c>
      <c r="K677" s="106" t="s">
        <v>6793</v>
      </c>
      <c r="L677" s="106" t="s">
        <v>6793</v>
      </c>
      <c r="M677" s="117"/>
      <c r="N677" s="106" t="n">
        <v>0</v>
      </c>
      <c r="O677" s="106"/>
      <c r="P677" s="27" t="s">
        <v>6805</v>
      </c>
    </row>
    <row r="678" customFormat="false" ht="15" hidden="false" customHeight="false" outlineLevel="0" collapsed="false">
      <c r="A678" s="106" t="s">
        <v>7439</v>
      </c>
      <c r="B678" s="106" t="s">
        <v>6792</v>
      </c>
      <c r="C678" s="106" t="s">
        <v>479</v>
      </c>
      <c r="D678" s="107"/>
      <c r="E678" s="107" t="n">
        <v>435.771428571429</v>
      </c>
      <c r="F678" s="130" t="n">
        <v>0.42</v>
      </c>
      <c r="G678" s="106" t="s">
        <v>1411</v>
      </c>
      <c r="H678" s="106" t="n">
        <v>0</v>
      </c>
      <c r="I678" s="106" t="s">
        <v>6799</v>
      </c>
      <c r="J678" s="106" t="s">
        <v>6794</v>
      </c>
      <c r="K678" s="106" t="s">
        <v>6793</v>
      </c>
      <c r="L678" s="106" t="s">
        <v>6794</v>
      </c>
      <c r="M678" s="117"/>
      <c r="N678" s="106" t="n">
        <v>0</v>
      </c>
      <c r="O678" s="106"/>
      <c r="P678" s="27" t="s">
        <v>6818</v>
      </c>
    </row>
    <row r="679" customFormat="false" ht="15" hidden="false" customHeight="false" outlineLevel="0" collapsed="false">
      <c r="A679" s="106" t="s">
        <v>7440</v>
      </c>
      <c r="B679" s="106" t="s">
        <v>6792</v>
      </c>
      <c r="C679" s="106"/>
      <c r="D679" s="107"/>
      <c r="E679" s="107" t="n">
        <v>435.771428571429</v>
      </c>
      <c r="F679" s="130" t="n">
        <v>0.5</v>
      </c>
      <c r="G679" s="106" t="s">
        <v>1411</v>
      </c>
      <c r="H679" s="106" t="n">
        <v>0</v>
      </c>
      <c r="I679" s="106" t="s">
        <v>6793</v>
      </c>
      <c r="J679" s="106" t="s">
        <v>6794</v>
      </c>
      <c r="K679" s="106" t="s">
        <v>6793</v>
      </c>
      <c r="L679" s="106" t="s">
        <v>6794</v>
      </c>
      <c r="M679" s="117"/>
      <c r="N679" s="106" t="n">
        <v>0</v>
      </c>
      <c r="O679" s="106"/>
      <c r="P679" s="27" t="s">
        <v>6818</v>
      </c>
    </row>
    <row r="680" customFormat="false" ht="15" hidden="false" customHeight="false" outlineLevel="0" collapsed="false">
      <c r="A680" s="106" t="s">
        <v>7441</v>
      </c>
      <c r="B680" s="106" t="s">
        <v>6792</v>
      </c>
      <c r="C680" s="106" t="s">
        <v>560</v>
      </c>
      <c r="D680" s="107"/>
      <c r="E680" s="107" t="n">
        <v>435.771428571429</v>
      </c>
      <c r="F680" s="130" t="n">
        <v>0.45</v>
      </c>
      <c r="G680" s="106" t="s">
        <v>1411</v>
      </c>
      <c r="H680" s="106" t="n">
        <v>0</v>
      </c>
      <c r="I680" s="106" t="s">
        <v>6794</v>
      </c>
      <c r="J680" s="106" t="s">
        <v>6794</v>
      </c>
      <c r="K680" s="106" t="s">
        <v>6793</v>
      </c>
      <c r="L680" s="106" t="s">
        <v>6793</v>
      </c>
      <c r="M680" s="117"/>
      <c r="N680" s="106" t="n">
        <v>0</v>
      </c>
      <c r="O680" s="106"/>
      <c r="P680" s="27" t="s">
        <v>6805</v>
      </c>
    </row>
    <row r="681" customFormat="false" ht="15" hidden="false" customHeight="false" outlineLevel="0" collapsed="false">
      <c r="A681" s="106" t="s">
        <v>7442</v>
      </c>
      <c r="B681" s="106" t="s">
        <v>6792</v>
      </c>
      <c r="C681" s="106" t="s">
        <v>696</v>
      </c>
      <c r="D681" s="107"/>
      <c r="E681" s="107" t="n">
        <v>435.771428571429</v>
      </c>
      <c r="F681" s="130" t="n">
        <v>0.55</v>
      </c>
      <c r="G681" s="106" t="s">
        <v>1411</v>
      </c>
      <c r="H681" s="106" t="n">
        <v>0</v>
      </c>
      <c r="I681" s="106" t="s">
        <v>6793</v>
      </c>
      <c r="J681" s="106" t="s">
        <v>6794</v>
      </c>
      <c r="K681" s="106" t="s">
        <v>6793</v>
      </c>
      <c r="L681" s="106" t="s">
        <v>6794</v>
      </c>
      <c r="M681" s="117"/>
      <c r="N681" s="106" t="n">
        <v>0</v>
      </c>
      <c r="O681" s="106"/>
      <c r="P681" s="27" t="s">
        <v>6818</v>
      </c>
    </row>
    <row r="682" customFormat="false" ht="15" hidden="false" customHeight="false" outlineLevel="0" collapsed="false">
      <c r="A682" s="106" t="s">
        <v>7443</v>
      </c>
      <c r="B682" s="106" t="s">
        <v>6792</v>
      </c>
      <c r="C682" s="106" t="s">
        <v>185</v>
      </c>
      <c r="D682" s="107"/>
      <c r="E682" s="107" t="n">
        <v>435.771428571429</v>
      </c>
      <c r="F682" s="130" t="n">
        <v>0.45</v>
      </c>
      <c r="G682" s="106" t="s">
        <v>1411</v>
      </c>
      <c r="H682" s="106" t="n">
        <v>0</v>
      </c>
      <c r="I682" s="106" t="s">
        <v>6794</v>
      </c>
      <c r="J682" s="106" t="s">
        <v>6794</v>
      </c>
      <c r="K682" s="106" t="s">
        <v>6793</v>
      </c>
      <c r="L682" s="106" t="s">
        <v>6793</v>
      </c>
      <c r="M682" s="117"/>
      <c r="N682" s="106" t="n">
        <v>0</v>
      </c>
      <c r="O682" s="106"/>
      <c r="P682" s="27" t="s">
        <v>6805</v>
      </c>
    </row>
    <row r="683" customFormat="false" ht="15" hidden="false" customHeight="false" outlineLevel="0" collapsed="false">
      <c r="A683" s="106" t="s">
        <v>7444</v>
      </c>
      <c r="B683" s="106" t="s">
        <v>6792</v>
      </c>
      <c r="C683" s="106" t="s">
        <v>479</v>
      </c>
      <c r="D683" s="107"/>
      <c r="E683" s="107" t="n">
        <v>435.771428571429</v>
      </c>
      <c r="F683" s="130" t="n">
        <v>0.55</v>
      </c>
      <c r="G683" s="106" t="s">
        <v>1411</v>
      </c>
      <c r="H683" s="106" t="n">
        <v>0</v>
      </c>
      <c r="I683" s="106" t="s">
        <v>6793</v>
      </c>
      <c r="J683" s="106" t="s">
        <v>6794</v>
      </c>
      <c r="K683" s="106" t="s">
        <v>6793</v>
      </c>
      <c r="L683" s="106" t="s">
        <v>6794</v>
      </c>
      <c r="M683" s="117"/>
      <c r="N683" s="106" t="n">
        <v>0</v>
      </c>
      <c r="O683" s="106"/>
      <c r="P683" s="27" t="s">
        <v>6818</v>
      </c>
    </row>
    <row r="684" customFormat="false" ht="15" hidden="false" customHeight="false" outlineLevel="0" collapsed="false">
      <c r="A684" s="106" t="s">
        <v>7445</v>
      </c>
      <c r="B684" s="106" t="s">
        <v>6792</v>
      </c>
      <c r="C684" s="106" t="s">
        <v>560</v>
      </c>
      <c r="D684" s="107"/>
      <c r="E684" s="107" t="n">
        <v>435.771428571429</v>
      </c>
      <c r="F684" s="130" t="n">
        <v>0.55</v>
      </c>
      <c r="G684" s="106" t="s">
        <v>1411</v>
      </c>
      <c r="H684" s="106" t="n">
        <v>0.5</v>
      </c>
      <c r="I684" s="106" t="s">
        <v>6793</v>
      </c>
      <c r="J684" s="106" t="s">
        <v>6794</v>
      </c>
      <c r="K684" s="106" t="s">
        <v>6793</v>
      </c>
      <c r="L684" s="106" t="s">
        <v>6794</v>
      </c>
      <c r="M684" s="117"/>
      <c r="N684" s="106" t="n">
        <v>0</v>
      </c>
      <c r="O684" s="106"/>
      <c r="P684" s="27" t="s">
        <v>6818</v>
      </c>
    </row>
    <row r="685" customFormat="false" ht="22.35" hidden="false" customHeight="false" outlineLevel="0" collapsed="false">
      <c r="A685" s="106" t="s">
        <v>7446</v>
      </c>
      <c r="B685" s="106" t="s">
        <v>7101</v>
      </c>
      <c r="C685" s="106"/>
      <c r="D685" s="107" t="n">
        <v>611</v>
      </c>
      <c r="E685" s="107" t="n">
        <v>425.228571428571</v>
      </c>
      <c r="F685" s="130" t="n">
        <v>0.8</v>
      </c>
      <c r="G685" s="106" t="s">
        <v>1411</v>
      </c>
      <c r="H685" s="106" t="n">
        <v>0</v>
      </c>
      <c r="I685" s="106" t="s">
        <v>6793</v>
      </c>
      <c r="J685" s="106" t="s">
        <v>6799</v>
      </c>
      <c r="K685" s="106" t="s">
        <v>6793</v>
      </c>
      <c r="L685" s="106" t="s">
        <v>6793</v>
      </c>
      <c r="M685" s="117"/>
      <c r="N685" s="106" t="n">
        <v>0</v>
      </c>
      <c r="O685" s="106"/>
      <c r="P685" s="27" t="s">
        <v>7447</v>
      </c>
    </row>
    <row r="686" customFormat="false" ht="15" hidden="false" customHeight="false" outlineLevel="0" collapsed="false">
      <c r="A686" s="106" t="s">
        <v>7448</v>
      </c>
      <c r="B686" s="106" t="s">
        <v>6792</v>
      </c>
      <c r="C686" s="106"/>
      <c r="D686" s="107"/>
      <c r="E686" s="107" t="n">
        <v>425.228571428571</v>
      </c>
      <c r="F686" s="130" t="n">
        <v>0.65</v>
      </c>
      <c r="G686" s="106" t="s">
        <v>1411</v>
      </c>
      <c r="H686" s="106" t="n">
        <v>0</v>
      </c>
      <c r="I686" s="106" t="s">
        <v>6793</v>
      </c>
      <c r="J686" s="106" t="s">
        <v>6794</v>
      </c>
      <c r="K686" s="106" t="s">
        <v>6793</v>
      </c>
      <c r="L686" s="106" t="s">
        <v>6793</v>
      </c>
      <c r="M686" s="117"/>
      <c r="N686" s="106" t="n">
        <v>0</v>
      </c>
      <c r="O686" s="106"/>
      <c r="P686" s="27" t="s">
        <v>6795</v>
      </c>
    </row>
    <row r="687" customFormat="false" ht="15" hidden="false" customHeight="false" outlineLevel="0" collapsed="false">
      <c r="A687" s="106" t="s">
        <v>4926</v>
      </c>
      <c r="B687" s="106" t="s">
        <v>6792</v>
      </c>
      <c r="C687" s="106"/>
      <c r="D687" s="107" t="n">
        <v>71</v>
      </c>
      <c r="E687" s="107" t="n">
        <v>425.228571428571</v>
      </c>
      <c r="F687" s="130" t="n">
        <v>0.7</v>
      </c>
      <c r="G687" s="106" t="s">
        <v>1411</v>
      </c>
      <c r="H687" s="106" t="n">
        <v>0.5</v>
      </c>
      <c r="I687" s="106" t="s">
        <v>6794</v>
      </c>
      <c r="J687" s="106" t="s">
        <v>6793</v>
      </c>
      <c r="K687" s="106" t="s">
        <v>6793</v>
      </c>
      <c r="L687" s="106" t="s">
        <v>6793</v>
      </c>
      <c r="M687" s="117" t="n">
        <v>0</v>
      </c>
      <c r="N687" s="106" t="n">
        <v>5</v>
      </c>
      <c r="O687" s="106" t="n">
        <v>0</v>
      </c>
      <c r="P687" s="27" t="s">
        <v>6983</v>
      </c>
    </row>
    <row r="688" customFormat="false" ht="15" hidden="false" customHeight="false" outlineLevel="0" collapsed="false">
      <c r="A688" s="106" t="s">
        <v>7449</v>
      </c>
      <c r="B688" s="106" t="s">
        <v>6792</v>
      </c>
      <c r="C688" s="106"/>
      <c r="D688" s="107"/>
      <c r="E688" s="107" t="n">
        <v>425.228571428571</v>
      </c>
      <c r="F688" s="130" t="n">
        <v>0.4</v>
      </c>
      <c r="G688" s="106" t="s">
        <v>1411</v>
      </c>
      <c r="H688" s="106" t="n">
        <v>0</v>
      </c>
      <c r="I688" s="106" t="s">
        <v>6794</v>
      </c>
      <c r="J688" s="106" t="s">
        <v>6794</v>
      </c>
      <c r="K688" s="106" t="s">
        <v>6793</v>
      </c>
      <c r="L688" s="106" t="s">
        <v>6793</v>
      </c>
      <c r="M688" s="117"/>
      <c r="N688" s="106" t="n">
        <v>0</v>
      </c>
      <c r="O688" s="106"/>
      <c r="P688" s="27" t="s">
        <v>6805</v>
      </c>
    </row>
    <row r="689" customFormat="false" ht="15" hidden="false" customHeight="false" outlineLevel="0" collapsed="false">
      <c r="A689" s="106" t="s">
        <v>7450</v>
      </c>
      <c r="B689" s="106" t="s">
        <v>6792</v>
      </c>
      <c r="C689" s="106"/>
      <c r="D689" s="107"/>
      <c r="E689" s="107" t="n">
        <v>425.228571428571</v>
      </c>
      <c r="F689" s="130" t="n">
        <v>0.5</v>
      </c>
      <c r="G689" s="106" t="s">
        <v>1411</v>
      </c>
      <c r="H689" s="106" t="n">
        <v>0</v>
      </c>
      <c r="I689" s="106" t="s">
        <v>6793</v>
      </c>
      <c r="J689" s="106" t="s">
        <v>6794</v>
      </c>
      <c r="K689" s="106" t="s">
        <v>6793</v>
      </c>
      <c r="L689" s="106" t="s">
        <v>6794</v>
      </c>
      <c r="M689" s="117"/>
      <c r="N689" s="106" t="n">
        <v>0</v>
      </c>
      <c r="O689" s="106"/>
      <c r="P689" s="27" t="s">
        <v>6818</v>
      </c>
    </row>
    <row r="690" customFormat="false" ht="15" hidden="false" customHeight="false" outlineLevel="0" collapsed="false">
      <c r="A690" s="106" t="s">
        <v>7451</v>
      </c>
      <c r="B690" s="106" t="s">
        <v>6792</v>
      </c>
      <c r="C690" s="106"/>
      <c r="D690" s="107"/>
      <c r="E690" s="107" t="n">
        <v>425.228571428571</v>
      </c>
      <c r="F690" s="130" t="n">
        <v>0.4</v>
      </c>
      <c r="G690" s="106" t="s">
        <v>1411</v>
      </c>
      <c r="H690" s="106" t="n">
        <v>0</v>
      </c>
      <c r="I690" s="106" t="s">
        <v>6794</v>
      </c>
      <c r="J690" s="106" t="s">
        <v>6794</v>
      </c>
      <c r="K690" s="106" t="s">
        <v>6793</v>
      </c>
      <c r="L690" s="106" t="s">
        <v>6793</v>
      </c>
      <c r="M690" s="117"/>
      <c r="N690" s="106" t="n">
        <v>0</v>
      </c>
      <c r="O690" s="106"/>
      <c r="P690" s="27" t="s">
        <v>6805</v>
      </c>
    </row>
    <row r="691" customFormat="false" ht="15" hidden="false" customHeight="false" outlineLevel="0" collapsed="false">
      <c r="A691" s="106" t="s">
        <v>7452</v>
      </c>
      <c r="B691" s="106" t="s">
        <v>6792</v>
      </c>
      <c r="C691" s="106" t="s">
        <v>696</v>
      </c>
      <c r="D691" s="107" t="n">
        <v>641</v>
      </c>
      <c r="E691" s="107" t="n">
        <v>425.228571428571</v>
      </c>
      <c r="F691" s="130" t="n">
        <v>0.55</v>
      </c>
      <c r="G691" s="106" t="s">
        <v>1411</v>
      </c>
      <c r="H691" s="106" t="n">
        <v>0</v>
      </c>
      <c r="I691" s="106" t="s">
        <v>6793</v>
      </c>
      <c r="J691" s="106" t="s">
        <v>6794</v>
      </c>
      <c r="K691" s="106" t="s">
        <v>6793</v>
      </c>
      <c r="L691" s="106" t="s">
        <v>6794</v>
      </c>
      <c r="M691" s="117"/>
      <c r="N691" s="106" t="n">
        <v>0</v>
      </c>
      <c r="O691" s="106"/>
      <c r="P691" s="27" t="s">
        <v>6818</v>
      </c>
    </row>
    <row r="692" customFormat="false" ht="15" hidden="false" customHeight="false" outlineLevel="0" collapsed="false">
      <c r="A692" s="106" t="s">
        <v>7453</v>
      </c>
      <c r="B692" s="106" t="s">
        <v>6792</v>
      </c>
      <c r="C692" s="106"/>
      <c r="D692" s="107"/>
      <c r="E692" s="107" t="n">
        <v>425.228571428571</v>
      </c>
      <c r="F692" s="130" t="n">
        <v>0.38</v>
      </c>
      <c r="G692" s="106" t="s">
        <v>1411</v>
      </c>
      <c r="H692" s="106" t="n">
        <v>0</v>
      </c>
      <c r="I692" s="106" t="s">
        <v>6799</v>
      </c>
      <c r="J692" s="106" t="s">
        <v>6794</v>
      </c>
      <c r="K692" s="106" t="s">
        <v>6793</v>
      </c>
      <c r="L692" s="106" t="s">
        <v>6794</v>
      </c>
      <c r="M692" s="117"/>
      <c r="N692" s="106" t="n">
        <v>0</v>
      </c>
      <c r="O692" s="106"/>
      <c r="P692" s="27" t="s">
        <v>6818</v>
      </c>
    </row>
    <row r="693" customFormat="false" ht="15" hidden="false" customHeight="false" outlineLevel="0" collapsed="false">
      <c r="A693" s="106" t="s">
        <v>7454</v>
      </c>
      <c r="B693" s="106" t="s">
        <v>6792</v>
      </c>
      <c r="C693" s="106" t="s">
        <v>560</v>
      </c>
      <c r="D693" s="107"/>
      <c r="E693" s="107" t="n">
        <v>425.228571428571</v>
      </c>
      <c r="F693" s="130" t="n">
        <v>0.55</v>
      </c>
      <c r="G693" s="106" t="s">
        <v>1411</v>
      </c>
      <c r="H693" s="106" t="n">
        <v>0.5</v>
      </c>
      <c r="I693" s="106" t="s">
        <v>6793</v>
      </c>
      <c r="J693" s="106" t="s">
        <v>6794</v>
      </c>
      <c r="K693" s="106" t="s">
        <v>6793</v>
      </c>
      <c r="L693" s="106" t="s">
        <v>6794</v>
      </c>
      <c r="M693" s="117"/>
      <c r="N693" s="106" t="n">
        <v>0</v>
      </c>
      <c r="O693" s="106"/>
      <c r="P693" s="27" t="s">
        <v>6818</v>
      </c>
    </row>
    <row r="694" customFormat="false" ht="15" hidden="false" customHeight="false" outlineLevel="0" collapsed="false">
      <c r="A694" s="106" t="s">
        <v>7455</v>
      </c>
      <c r="B694" s="106" t="s">
        <v>6792</v>
      </c>
      <c r="C694" s="106"/>
      <c r="D694" s="107"/>
      <c r="E694" s="107" t="n">
        <v>425.228571428571</v>
      </c>
      <c r="F694" s="130" t="n">
        <v>0.5</v>
      </c>
      <c r="G694" s="106" t="s">
        <v>1411</v>
      </c>
      <c r="H694" s="106" t="n">
        <v>0</v>
      </c>
      <c r="I694" s="106" t="s">
        <v>6793</v>
      </c>
      <c r="J694" s="106" t="s">
        <v>6794</v>
      </c>
      <c r="K694" s="106" t="s">
        <v>6793</v>
      </c>
      <c r="L694" s="106" t="s">
        <v>6794</v>
      </c>
      <c r="M694" s="117"/>
      <c r="N694" s="106" t="n">
        <v>0</v>
      </c>
      <c r="O694" s="106"/>
      <c r="P694" s="27" t="s">
        <v>6818</v>
      </c>
    </row>
    <row r="695" customFormat="false" ht="15" hidden="false" customHeight="false" outlineLevel="0" collapsed="false">
      <c r="A695" s="106" t="s">
        <v>7456</v>
      </c>
      <c r="B695" s="106" t="s">
        <v>6792</v>
      </c>
      <c r="C695" s="106" t="s">
        <v>560</v>
      </c>
      <c r="D695" s="107"/>
      <c r="E695" s="107" t="n">
        <v>425.228571428571</v>
      </c>
      <c r="F695" s="130" t="n">
        <v>0.55</v>
      </c>
      <c r="G695" s="106" t="s">
        <v>1411</v>
      </c>
      <c r="H695" s="106" t="n">
        <v>0</v>
      </c>
      <c r="I695" s="106" t="s">
        <v>6793</v>
      </c>
      <c r="J695" s="106" t="s">
        <v>6794</v>
      </c>
      <c r="K695" s="106" t="s">
        <v>6793</v>
      </c>
      <c r="L695" s="106" t="s">
        <v>6794</v>
      </c>
      <c r="M695" s="117"/>
      <c r="N695" s="106" t="n">
        <v>0</v>
      </c>
      <c r="O695" s="106"/>
      <c r="P695" s="27" t="s">
        <v>6818</v>
      </c>
    </row>
    <row r="696" customFormat="false" ht="15" hidden="false" customHeight="false" outlineLevel="0" collapsed="false">
      <c r="A696" s="106" t="s">
        <v>7457</v>
      </c>
      <c r="B696" s="106" t="s">
        <v>6792</v>
      </c>
      <c r="C696" s="106" t="s">
        <v>185</v>
      </c>
      <c r="D696" s="107"/>
      <c r="E696" s="107" t="n">
        <v>425.228571428571</v>
      </c>
      <c r="F696" s="130" t="n">
        <v>0.55</v>
      </c>
      <c r="G696" s="106" t="s">
        <v>1411</v>
      </c>
      <c r="H696" s="106" t="n">
        <v>0</v>
      </c>
      <c r="I696" s="106" t="s">
        <v>6793</v>
      </c>
      <c r="J696" s="106" t="s">
        <v>6794</v>
      </c>
      <c r="K696" s="106" t="s">
        <v>6793</v>
      </c>
      <c r="L696" s="106" t="s">
        <v>6794</v>
      </c>
      <c r="M696" s="117"/>
      <c r="N696" s="106" t="n">
        <v>0</v>
      </c>
      <c r="O696" s="106"/>
      <c r="P696" s="27" t="s">
        <v>6818</v>
      </c>
    </row>
    <row r="697" customFormat="false" ht="15" hidden="false" customHeight="false" outlineLevel="0" collapsed="false">
      <c r="A697" s="106" t="s">
        <v>7458</v>
      </c>
      <c r="B697" s="106" t="s">
        <v>6792</v>
      </c>
      <c r="C697" s="106" t="s">
        <v>185</v>
      </c>
      <c r="D697" s="107"/>
      <c r="E697" s="107" t="n">
        <v>425.228571428571</v>
      </c>
      <c r="F697" s="130" t="n">
        <v>0.55</v>
      </c>
      <c r="G697" s="106" t="s">
        <v>1411</v>
      </c>
      <c r="H697" s="106" t="n">
        <v>0</v>
      </c>
      <c r="I697" s="106" t="s">
        <v>6793</v>
      </c>
      <c r="J697" s="106" t="s">
        <v>6794</v>
      </c>
      <c r="K697" s="106" t="s">
        <v>6793</v>
      </c>
      <c r="L697" s="106" t="s">
        <v>6794</v>
      </c>
      <c r="M697" s="117"/>
      <c r="N697" s="106" t="n">
        <v>0</v>
      </c>
      <c r="O697" s="106"/>
      <c r="P697" s="27" t="s">
        <v>6818</v>
      </c>
    </row>
    <row r="698" customFormat="false" ht="15" hidden="false" customHeight="false" outlineLevel="0" collapsed="false">
      <c r="A698" s="106" t="s">
        <v>7459</v>
      </c>
      <c r="B698" s="106" t="s">
        <v>6792</v>
      </c>
      <c r="C698" s="106"/>
      <c r="D698" s="107"/>
      <c r="E698" s="107" t="n">
        <v>425.228571428571</v>
      </c>
      <c r="F698" s="130" t="n">
        <v>0.4</v>
      </c>
      <c r="G698" s="106" t="s">
        <v>1411</v>
      </c>
      <c r="H698" s="106" t="n">
        <v>0</v>
      </c>
      <c r="I698" s="106" t="s">
        <v>6794</v>
      </c>
      <c r="J698" s="106" t="s">
        <v>6794</v>
      </c>
      <c r="K698" s="106" t="s">
        <v>6793</v>
      </c>
      <c r="L698" s="106" t="s">
        <v>6793</v>
      </c>
      <c r="M698" s="117"/>
      <c r="N698" s="106" t="n">
        <v>0</v>
      </c>
      <c r="O698" s="106"/>
      <c r="P698" s="27" t="s">
        <v>6805</v>
      </c>
    </row>
    <row r="699" customFormat="false" ht="15" hidden="false" customHeight="false" outlineLevel="0" collapsed="false">
      <c r="A699" s="106" t="s">
        <v>7460</v>
      </c>
      <c r="B699" s="106" t="s">
        <v>6792</v>
      </c>
      <c r="C699" s="106" t="s">
        <v>479</v>
      </c>
      <c r="D699" s="107"/>
      <c r="E699" s="107" t="n">
        <v>425.228571428571</v>
      </c>
      <c r="F699" s="130" t="n">
        <v>0.45</v>
      </c>
      <c r="G699" s="106" t="s">
        <v>1411</v>
      </c>
      <c r="H699" s="106" t="n">
        <v>0</v>
      </c>
      <c r="I699" s="106" t="s">
        <v>6794</v>
      </c>
      <c r="J699" s="106" t="s">
        <v>6794</v>
      </c>
      <c r="K699" s="106" t="s">
        <v>6793</v>
      </c>
      <c r="L699" s="106" t="s">
        <v>6793</v>
      </c>
      <c r="M699" s="117"/>
      <c r="N699" s="106" t="n">
        <v>0</v>
      </c>
      <c r="O699" s="106"/>
      <c r="P699" s="27" t="s">
        <v>6805</v>
      </c>
    </row>
    <row r="700" customFormat="false" ht="15" hidden="false" customHeight="false" outlineLevel="0" collapsed="false">
      <c r="A700" s="106" t="s">
        <v>7461</v>
      </c>
      <c r="B700" s="106" t="s">
        <v>6792</v>
      </c>
      <c r="C700" s="106" t="s">
        <v>696</v>
      </c>
      <c r="D700" s="107"/>
      <c r="E700" s="107" t="n">
        <v>425.228571428571</v>
      </c>
      <c r="F700" s="130" t="n">
        <v>0.45</v>
      </c>
      <c r="G700" s="106" t="s">
        <v>1411</v>
      </c>
      <c r="H700" s="106" t="n">
        <v>0</v>
      </c>
      <c r="I700" s="106" t="s">
        <v>6794</v>
      </c>
      <c r="J700" s="106" t="s">
        <v>6794</v>
      </c>
      <c r="K700" s="106" t="s">
        <v>6793</v>
      </c>
      <c r="L700" s="106" t="s">
        <v>6793</v>
      </c>
      <c r="M700" s="117"/>
      <c r="N700" s="106" t="n">
        <v>0</v>
      </c>
      <c r="O700" s="106"/>
      <c r="P700" s="27" t="s">
        <v>6805</v>
      </c>
    </row>
    <row r="701" customFormat="false" ht="15" hidden="false" customHeight="false" outlineLevel="0" collapsed="false">
      <c r="A701" s="106" t="s">
        <v>7462</v>
      </c>
      <c r="B701" s="106" t="s">
        <v>6792</v>
      </c>
      <c r="C701" s="106" t="s">
        <v>185</v>
      </c>
      <c r="D701" s="107"/>
      <c r="E701" s="107" t="n">
        <v>425.228571428571</v>
      </c>
      <c r="F701" s="130" t="n">
        <v>0.45</v>
      </c>
      <c r="G701" s="106" t="s">
        <v>1411</v>
      </c>
      <c r="H701" s="106" t="n">
        <v>0</v>
      </c>
      <c r="I701" s="106" t="s">
        <v>6794</v>
      </c>
      <c r="J701" s="106" t="s">
        <v>6794</v>
      </c>
      <c r="K701" s="106" t="s">
        <v>6793</v>
      </c>
      <c r="L701" s="106" t="s">
        <v>6793</v>
      </c>
      <c r="M701" s="117"/>
      <c r="N701" s="106" t="n">
        <v>0</v>
      </c>
      <c r="O701" s="106"/>
      <c r="P701" s="27" t="s">
        <v>6805</v>
      </c>
    </row>
    <row r="702" customFormat="false" ht="15" hidden="false" customHeight="false" outlineLevel="0" collapsed="false">
      <c r="A702" s="106" t="s">
        <v>7463</v>
      </c>
      <c r="B702" s="106" t="s">
        <v>6792</v>
      </c>
      <c r="C702" s="106" t="s">
        <v>479</v>
      </c>
      <c r="D702" s="107" t="n">
        <v>560</v>
      </c>
      <c r="E702" s="107" t="n">
        <v>414.685714285714</v>
      </c>
      <c r="F702" s="130" t="n">
        <v>0.45</v>
      </c>
      <c r="G702" s="106" t="s">
        <v>1411</v>
      </c>
      <c r="H702" s="106" t="n">
        <v>0</v>
      </c>
      <c r="I702" s="106" t="s">
        <v>6794</v>
      </c>
      <c r="J702" s="106" t="s">
        <v>6794</v>
      </c>
      <c r="K702" s="106" t="s">
        <v>6793</v>
      </c>
      <c r="L702" s="106" t="s">
        <v>6793</v>
      </c>
      <c r="M702" s="117"/>
      <c r="N702" s="106" t="n">
        <v>0</v>
      </c>
      <c r="O702" s="106"/>
      <c r="P702" s="27" t="s">
        <v>6805</v>
      </c>
    </row>
    <row r="703" customFormat="false" ht="15" hidden="false" customHeight="false" outlineLevel="0" collapsed="false">
      <c r="A703" s="106" t="s">
        <v>7464</v>
      </c>
      <c r="B703" s="106" t="s">
        <v>6792</v>
      </c>
      <c r="C703" s="106" t="s">
        <v>560</v>
      </c>
      <c r="D703" s="107"/>
      <c r="E703" s="107" t="n">
        <v>414.685714285714</v>
      </c>
      <c r="F703" s="130" t="n">
        <v>0.55</v>
      </c>
      <c r="G703" s="106" t="s">
        <v>1411</v>
      </c>
      <c r="H703" s="106" t="n">
        <v>1</v>
      </c>
      <c r="I703" s="106" t="s">
        <v>6793</v>
      </c>
      <c r="J703" s="106" t="s">
        <v>6794</v>
      </c>
      <c r="K703" s="106" t="s">
        <v>6793</v>
      </c>
      <c r="L703" s="106" t="s">
        <v>6794</v>
      </c>
      <c r="M703" s="117"/>
      <c r="N703" s="106" t="n">
        <v>0</v>
      </c>
      <c r="O703" s="106"/>
      <c r="P703" s="27" t="s">
        <v>6818</v>
      </c>
    </row>
    <row r="704" customFormat="false" ht="15" hidden="false" customHeight="false" outlineLevel="0" collapsed="false">
      <c r="A704" s="106" t="s">
        <v>7465</v>
      </c>
      <c r="B704" s="106" t="s">
        <v>6792</v>
      </c>
      <c r="C704" s="106" t="s">
        <v>696</v>
      </c>
      <c r="D704" s="107"/>
      <c r="E704" s="107" t="n">
        <v>414.685714285714</v>
      </c>
      <c r="F704" s="130" t="n">
        <v>0.45</v>
      </c>
      <c r="G704" s="106" t="s">
        <v>1411</v>
      </c>
      <c r="H704" s="106" t="n">
        <v>0</v>
      </c>
      <c r="I704" s="106" t="s">
        <v>6794</v>
      </c>
      <c r="J704" s="106" t="s">
        <v>6794</v>
      </c>
      <c r="K704" s="106" t="s">
        <v>6793</v>
      </c>
      <c r="L704" s="106" t="s">
        <v>6793</v>
      </c>
      <c r="M704" s="117"/>
      <c r="N704" s="106" t="n">
        <v>0</v>
      </c>
      <c r="O704" s="106"/>
      <c r="P704" s="27" t="s">
        <v>6805</v>
      </c>
    </row>
    <row r="705" customFormat="false" ht="15" hidden="false" customHeight="false" outlineLevel="0" collapsed="false">
      <c r="A705" s="106" t="s">
        <v>7466</v>
      </c>
      <c r="B705" s="106" t="s">
        <v>6792</v>
      </c>
      <c r="C705" s="106" t="s">
        <v>185</v>
      </c>
      <c r="D705" s="107"/>
      <c r="E705" s="107" t="n">
        <v>414.685714285714</v>
      </c>
      <c r="F705" s="130" t="n">
        <v>0.45</v>
      </c>
      <c r="G705" s="106" t="s">
        <v>1411</v>
      </c>
      <c r="H705" s="106" t="n">
        <v>0</v>
      </c>
      <c r="I705" s="106" t="s">
        <v>6794</v>
      </c>
      <c r="J705" s="106" t="s">
        <v>6794</v>
      </c>
      <c r="K705" s="106" t="s">
        <v>6793</v>
      </c>
      <c r="L705" s="106" t="s">
        <v>6793</v>
      </c>
      <c r="M705" s="117"/>
      <c r="N705" s="106" t="n">
        <v>0</v>
      </c>
      <c r="O705" s="106"/>
      <c r="P705" s="27" t="s">
        <v>6805</v>
      </c>
    </row>
    <row r="706" customFormat="false" ht="15" hidden="false" customHeight="false" outlineLevel="0" collapsed="false">
      <c r="A706" s="106" t="s">
        <v>7467</v>
      </c>
      <c r="B706" s="106" t="s">
        <v>6792</v>
      </c>
      <c r="C706" s="106" t="s">
        <v>560</v>
      </c>
      <c r="D706" s="107"/>
      <c r="E706" s="107" t="n">
        <v>414.685714285714</v>
      </c>
      <c r="F706" s="130" t="n">
        <v>0.55</v>
      </c>
      <c r="G706" s="106" t="s">
        <v>1411</v>
      </c>
      <c r="H706" s="106" t="n">
        <v>0</v>
      </c>
      <c r="I706" s="106" t="s">
        <v>6793</v>
      </c>
      <c r="J706" s="106" t="s">
        <v>6794</v>
      </c>
      <c r="K706" s="106" t="s">
        <v>6793</v>
      </c>
      <c r="L706" s="106" t="s">
        <v>6794</v>
      </c>
      <c r="M706" s="117"/>
      <c r="N706" s="106" t="n">
        <v>0</v>
      </c>
      <c r="O706" s="106"/>
      <c r="P706" s="27" t="s">
        <v>6818</v>
      </c>
    </row>
    <row r="707" customFormat="false" ht="15" hidden="false" customHeight="false" outlineLevel="0" collapsed="false">
      <c r="A707" s="106" t="s">
        <v>7468</v>
      </c>
      <c r="B707" s="106" t="s">
        <v>6792</v>
      </c>
      <c r="C707" s="106" t="s">
        <v>479</v>
      </c>
      <c r="D707" s="107"/>
      <c r="E707" s="107" t="n">
        <v>414.685714285714</v>
      </c>
      <c r="F707" s="130" t="n">
        <v>0.45</v>
      </c>
      <c r="G707" s="106" t="s">
        <v>1411</v>
      </c>
      <c r="H707" s="106" t="n">
        <v>0</v>
      </c>
      <c r="I707" s="106" t="s">
        <v>6794</v>
      </c>
      <c r="J707" s="106" t="s">
        <v>6794</v>
      </c>
      <c r="K707" s="106" t="s">
        <v>6793</v>
      </c>
      <c r="L707" s="106" t="s">
        <v>6793</v>
      </c>
      <c r="M707" s="117"/>
      <c r="N707" s="106" t="n">
        <v>0</v>
      </c>
      <c r="O707" s="106"/>
      <c r="P707" s="27" t="s">
        <v>6805</v>
      </c>
    </row>
    <row r="708" customFormat="false" ht="15" hidden="false" customHeight="false" outlineLevel="0" collapsed="false">
      <c r="A708" s="106" t="s">
        <v>7469</v>
      </c>
      <c r="B708" s="106" t="s">
        <v>6792</v>
      </c>
      <c r="C708" s="106" t="s">
        <v>185</v>
      </c>
      <c r="D708" s="107"/>
      <c r="E708" s="107" t="n">
        <v>414.685714285714</v>
      </c>
      <c r="F708" s="130" t="n">
        <v>0.45</v>
      </c>
      <c r="G708" s="106" t="s">
        <v>1411</v>
      </c>
      <c r="H708" s="106" t="n">
        <v>0</v>
      </c>
      <c r="I708" s="106" t="s">
        <v>6794</v>
      </c>
      <c r="J708" s="106" t="s">
        <v>6794</v>
      </c>
      <c r="K708" s="106" t="s">
        <v>6793</v>
      </c>
      <c r="L708" s="106" t="s">
        <v>6793</v>
      </c>
      <c r="M708" s="117"/>
      <c r="N708" s="106" t="n">
        <v>0</v>
      </c>
      <c r="O708" s="106"/>
      <c r="P708" s="27" t="s">
        <v>6805</v>
      </c>
    </row>
    <row r="709" customFormat="false" ht="15" hidden="false" customHeight="false" outlineLevel="0" collapsed="false">
      <c r="A709" s="106" t="s">
        <v>7470</v>
      </c>
      <c r="B709" s="106" t="s">
        <v>6792</v>
      </c>
      <c r="C709" s="106"/>
      <c r="D709" s="107"/>
      <c r="E709" s="107" t="n">
        <v>414.685714285714</v>
      </c>
      <c r="F709" s="130" t="n">
        <v>0.38</v>
      </c>
      <c r="G709" s="106" t="s">
        <v>1411</v>
      </c>
      <c r="H709" s="106" t="n">
        <v>0</v>
      </c>
      <c r="I709" s="106" t="s">
        <v>6799</v>
      </c>
      <c r="J709" s="106" t="s">
        <v>6794</v>
      </c>
      <c r="K709" s="106" t="s">
        <v>6793</v>
      </c>
      <c r="L709" s="106" t="s">
        <v>6794</v>
      </c>
      <c r="M709" s="117"/>
      <c r="N709" s="106" t="n">
        <v>0</v>
      </c>
      <c r="O709" s="106"/>
      <c r="P709" s="27" t="s">
        <v>6818</v>
      </c>
    </row>
    <row r="710" customFormat="false" ht="22.35" hidden="false" customHeight="false" outlineLevel="0" collapsed="false">
      <c r="A710" s="106" t="s">
        <v>7471</v>
      </c>
      <c r="B710" s="106" t="s">
        <v>7101</v>
      </c>
      <c r="C710" s="106" t="s">
        <v>185</v>
      </c>
      <c r="D710" s="107" t="n">
        <v>626</v>
      </c>
      <c r="E710" s="107" t="n">
        <v>414.685714285714</v>
      </c>
      <c r="F710" s="130" t="n">
        <v>1</v>
      </c>
      <c r="G710" s="106" t="s">
        <v>1411</v>
      </c>
      <c r="H710" s="106" t="n">
        <v>1</v>
      </c>
      <c r="I710" s="106" t="s">
        <v>6793</v>
      </c>
      <c r="J710" s="106" t="s">
        <v>6793</v>
      </c>
      <c r="K710" s="106" t="s">
        <v>6793</v>
      </c>
      <c r="L710" s="106" t="s">
        <v>6793</v>
      </c>
      <c r="M710" s="117"/>
      <c r="N710" s="106" t="n">
        <v>0</v>
      </c>
      <c r="O710" s="106"/>
      <c r="P710" s="27" t="s">
        <v>7472</v>
      </c>
    </row>
    <row r="711" customFormat="false" ht="32.8" hidden="false" customHeight="false" outlineLevel="0" collapsed="false">
      <c r="A711" s="106" t="s">
        <v>5255</v>
      </c>
      <c r="B711" s="106" t="s">
        <v>7101</v>
      </c>
      <c r="C711" s="106" t="s">
        <v>422</v>
      </c>
      <c r="D711" s="107" t="n">
        <v>537</v>
      </c>
      <c r="E711" s="107" t="n">
        <v>408.12</v>
      </c>
      <c r="F711" s="130" t="n">
        <v>1</v>
      </c>
      <c r="G711" s="106" t="s">
        <v>1411</v>
      </c>
      <c r="H711" s="106" t="n">
        <v>1.5</v>
      </c>
      <c r="I711" s="106" t="s">
        <v>6793</v>
      </c>
      <c r="J711" s="106" t="s">
        <v>6793</v>
      </c>
      <c r="K711" s="106" t="s">
        <v>6793</v>
      </c>
      <c r="L711" s="106" t="s">
        <v>6793</v>
      </c>
      <c r="M711" s="117"/>
      <c r="N711" s="106" t="n">
        <v>14</v>
      </c>
      <c r="O711" s="106" t="n">
        <v>14.29</v>
      </c>
      <c r="P711" s="27" t="s">
        <v>7473</v>
      </c>
    </row>
    <row r="712" customFormat="false" ht="15" hidden="false" customHeight="false" outlineLevel="0" collapsed="false">
      <c r="A712" s="106" t="s">
        <v>7474</v>
      </c>
      <c r="B712" s="106" t="s">
        <v>6792</v>
      </c>
      <c r="C712" s="106"/>
      <c r="D712" s="107"/>
      <c r="E712" s="107" t="n">
        <v>407.657142857143</v>
      </c>
      <c r="F712" s="130" t="n">
        <v>0.5</v>
      </c>
      <c r="G712" s="106" t="s">
        <v>1411</v>
      </c>
      <c r="H712" s="106" t="n">
        <v>0</v>
      </c>
      <c r="I712" s="106" t="s">
        <v>6793</v>
      </c>
      <c r="J712" s="106" t="s">
        <v>6794</v>
      </c>
      <c r="K712" s="106" t="s">
        <v>6793</v>
      </c>
      <c r="L712" s="106" t="s">
        <v>6794</v>
      </c>
      <c r="M712" s="117"/>
      <c r="N712" s="106" t="n">
        <v>0</v>
      </c>
      <c r="O712" s="106"/>
      <c r="P712" s="27" t="s">
        <v>6818</v>
      </c>
    </row>
    <row r="713" customFormat="false" ht="15" hidden="false" customHeight="false" outlineLevel="0" collapsed="false">
      <c r="A713" s="106" t="s">
        <v>7475</v>
      </c>
      <c r="B713" s="106" t="s">
        <v>6792</v>
      </c>
      <c r="C713" s="106"/>
      <c r="D713" s="107"/>
      <c r="E713" s="107" t="n">
        <v>407.657142857143</v>
      </c>
      <c r="F713" s="130" t="n">
        <v>0.4</v>
      </c>
      <c r="G713" s="106" t="s">
        <v>1411</v>
      </c>
      <c r="H713" s="106" t="n">
        <v>0</v>
      </c>
      <c r="I713" s="106" t="s">
        <v>6794</v>
      </c>
      <c r="J713" s="106" t="s">
        <v>6794</v>
      </c>
      <c r="K713" s="106" t="s">
        <v>6793</v>
      </c>
      <c r="L713" s="106" t="s">
        <v>6793</v>
      </c>
      <c r="M713" s="117"/>
      <c r="N713" s="106" t="n">
        <v>0</v>
      </c>
      <c r="O713" s="106"/>
      <c r="P713" s="27" t="s">
        <v>6805</v>
      </c>
    </row>
    <row r="714" customFormat="false" ht="15" hidden="false" customHeight="false" outlineLevel="0" collapsed="false">
      <c r="A714" s="106" t="s">
        <v>7476</v>
      </c>
      <c r="B714" s="106" t="s">
        <v>6792</v>
      </c>
      <c r="C714" s="106"/>
      <c r="D714" s="107"/>
      <c r="E714" s="107" t="n">
        <v>407.657142857143</v>
      </c>
      <c r="F714" s="130" t="n">
        <v>0.38</v>
      </c>
      <c r="G714" s="106" t="s">
        <v>1411</v>
      </c>
      <c r="H714" s="106" t="n">
        <v>0</v>
      </c>
      <c r="I714" s="106" t="s">
        <v>6799</v>
      </c>
      <c r="J714" s="106" t="s">
        <v>6794</v>
      </c>
      <c r="K714" s="106" t="s">
        <v>6793</v>
      </c>
      <c r="L714" s="106" t="s">
        <v>6794</v>
      </c>
      <c r="M714" s="117"/>
      <c r="N714" s="106" t="n">
        <v>0</v>
      </c>
      <c r="O714" s="106"/>
      <c r="P714" s="27" t="s">
        <v>6818</v>
      </c>
    </row>
    <row r="715" customFormat="false" ht="15" hidden="false" customHeight="false" outlineLevel="0" collapsed="false">
      <c r="A715" s="106" t="s">
        <v>7477</v>
      </c>
      <c r="B715" s="106" t="s">
        <v>6792</v>
      </c>
      <c r="C715" s="106" t="s">
        <v>185</v>
      </c>
      <c r="D715" s="107"/>
      <c r="E715" s="107" t="n">
        <v>407.657142857143</v>
      </c>
      <c r="F715" s="130" t="n">
        <v>0.55</v>
      </c>
      <c r="G715" s="106" t="s">
        <v>1411</v>
      </c>
      <c r="H715" s="106" t="n">
        <v>0</v>
      </c>
      <c r="I715" s="106" t="s">
        <v>6793</v>
      </c>
      <c r="J715" s="106" t="s">
        <v>6794</v>
      </c>
      <c r="K715" s="106" t="s">
        <v>6793</v>
      </c>
      <c r="L715" s="106" t="s">
        <v>6794</v>
      </c>
      <c r="M715" s="117"/>
      <c r="N715" s="106" t="n">
        <v>0</v>
      </c>
      <c r="O715" s="106"/>
      <c r="P715" s="27" t="s">
        <v>6818</v>
      </c>
    </row>
    <row r="716" customFormat="false" ht="15" hidden="false" customHeight="false" outlineLevel="0" collapsed="false">
      <c r="A716" s="106" t="s">
        <v>7478</v>
      </c>
      <c r="B716" s="106" t="s">
        <v>6792</v>
      </c>
      <c r="C716" s="106" t="s">
        <v>185</v>
      </c>
      <c r="D716" s="107"/>
      <c r="E716" s="107" t="n">
        <v>407.657142857143</v>
      </c>
      <c r="F716" s="130" t="n">
        <v>0.55</v>
      </c>
      <c r="G716" s="106" t="s">
        <v>1411</v>
      </c>
      <c r="H716" s="106" t="n">
        <v>0</v>
      </c>
      <c r="I716" s="106" t="s">
        <v>6793</v>
      </c>
      <c r="J716" s="106" t="s">
        <v>6794</v>
      </c>
      <c r="K716" s="106" t="s">
        <v>6793</v>
      </c>
      <c r="L716" s="106" t="s">
        <v>6794</v>
      </c>
      <c r="M716" s="117"/>
      <c r="N716" s="106" t="n">
        <v>0</v>
      </c>
      <c r="O716" s="106"/>
      <c r="P716" s="27" t="s">
        <v>6818</v>
      </c>
    </row>
    <row r="717" customFormat="false" ht="15" hidden="false" customHeight="false" outlineLevel="0" collapsed="false">
      <c r="A717" s="106" t="s">
        <v>7479</v>
      </c>
      <c r="B717" s="106" t="s">
        <v>6792</v>
      </c>
      <c r="C717" s="106"/>
      <c r="D717" s="107"/>
      <c r="E717" s="107" t="n">
        <v>407.657142857143</v>
      </c>
      <c r="F717" s="130" t="n">
        <v>0.4</v>
      </c>
      <c r="G717" s="106" t="s">
        <v>1411</v>
      </c>
      <c r="H717" s="106" t="n">
        <v>0</v>
      </c>
      <c r="I717" s="106" t="s">
        <v>6794</v>
      </c>
      <c r="J717" s="106" t="s">
        <v>6794</v>
      </c>
      <c r="K717" s="106" t="s">
        <v>6793</v>
      </c>
      <c r="L717" s="106" t="s">
        <v>6793</v>
      </c>
      <c r="M717" s="117"/>
      <c r="N717" s="106" t="n">
        <v>0</v>
      </c>
      <c r="O717" s="106"/>
      <c r="P717" s="27" t="s">
        <v>6805</v>
      </c>
    </row>
    <row r="718" customFormat="false" ht="15" hidden="false" customHeight="false" outlineLevel="0" collapsed="false">
      <c r="A718" s="106" t="s">
        <v>7480</v>
      </c>
      <c r="B718" s="106" t="s">
        <v>6792</v>
      </c>
      <c r="C718" s="106" t="s">
        <v>560</v>
      </c>
      <c r="D718" s="107"/>
      <c r="E718" s="107" t="n">
        <v>407.657142857143</v>
      </c>
      <c r="F718" s="130" t="n">
        <v>0.55</v>
      </c>
      <c r="G718" s="106" t="s">
        <v>1411</v>
      </c>
      <c r="H718" s="106" t="n">
        <v>0</v>
      </c>
      <c r="I718" s="106" t="s">
        <v>6793</v>
      </c>
      <c r="J718" s="106" t="s">
        <v>6794</v>
      </c>
      <c r="K718" s="106" t="s">
        <v>6793</v>
      </c>
      <c r="L718" s="106" t="s">
        <v>6794</v>
      </c>
      <c r="M718" s="117"/>
      <c r="N718" s="106" t="n">
        <v>0</v>
      </c>
      <c r="O718" s="106"/>
      <c r="P718" s="27" t="s">
        <v>6818</v>
      </c>
    </row>
    <row r="719" customFormat="false" ht="15" hidden="false" customHeight="false" outlineLevel="0" collapsed="false">
      <c r="A719" s="106" t="s">
        <v>7481</v>
      </c>
      <c r="B719" s="106" t="s">
        <v>6792</v>
      </c>
      <c r="C719" s="106" t="s">
        <v>185</v>
      </c>
      <c r="D719" s="107" t="n">
        <v>532</v>
      </c>
      <c r="E719" s="107" t="n">
        <v>404.32</v>
      </c>
      <c r="F719" s="130" t="n">
        <v>0.75</v>
      </c>
      <c r="G719" s="106" t="s">
        <v>1411</v>
      </c>
      <c r="H719" s="106" t="n">
        <v>2</v>
      </c>
      <c r="I719" s="106" t="s">
        <v>6794</v>
      </c>
      <c r="J719" s="106" t="s">
        <v>6793</v>
      </c>
      <c r="K719" s="106" t="s">
        <v>6793</v>
      </c>
      <c r="L719" s="106" t="s">
        <v>6793</v>
      </c>
      <c r="M719" s="117" t="n">
        <v>0.0689655172413793</v>
      </c>
      <c r="N719" s="106" t="n">
        <v>0</v>
      </c>
      <c r="O719" s="106"/>
      <c r="P719" s="27" t="s">
        <v>6983</v>
      </c>
    </row>
    <row r="720" customFormat="false" ht="22.35" hidden="false" customHeight="false" outlineLevel="0" collapsed="false">
      <c r="A720" s="106" t="s">
        <v>4900</v>
      </c>
      <c r="B720" s="106" t="s">
        <v>7101</v>
      </c>
      <c r="C720" s="106" t="s">
        <v>560</v>
      </c>
      <c r="D720" s="107" t="n">
        <v>636</v>
      </c>
      <c r="E720" s="107" t="n">
        <v>404.142857142857</v>
      </c>
      <c r="F720" s="130" t="n">
        <v>1</v>
      </c>
      <c r="G720" s="106" t="s">
        <v>1411</v>
      </c>
      <c r="H720" s="106" t="n">
        <v>2</v>
      </c>
      <c r="I720" s="106" t="s">
        <v>6793</v>
      </c>
      <c r="J720" s="106" t="s">
        <v>6793</v>
      </c>
      <c r="K720" s="106" t="s">
        <v>6793</v>
      </c>
      <c r="L720" s="106" t="s">
        <v>6793</v>
      </c>
      <c r="M720" s="117" t="n">
        <v>0.0276872964169381</v>
      </c>
      <c r="N720" s="106" t="n">
        <v>11</v>
      </c>
      <c r="O720" s="106" t="n">
        <v>0</v>
      </c>
      <c r="P720" s="27" t="s">
        <v>7322</v>
      </c>
    </row>
    <row r="721" customFormat="false" ht="15" hidden="false" customHeight="false" outlineLevel="0" collapsed="false">
      <c r="A721" s="106" t="s">
        <v>7482</v>
      </c>
      <c r="B721" s="106" t="s">
        <v>6792</v>
      </c>
      <c r="C721" s="106" t="s">
        <v>560</v>
      </c>
      <c r="D721" s="107"/>
      <c r="E721" s="107" t="n">
        <v>404.142857142857</v>
      </c>
      <c r="F721" s="130" t="n">
        <v>0.45</v>
      </c>
      <c r="G721" s="106" t="s">
        <v>1411</v>
      </c>
      <c r="H721" s="106" t="n">
        <v>0</v>
      </c>
      <c r="I721" s="106" t="s">
        <v>6794</v>
      </c>
      <c r="J721" s="106" t="s">
        <v>6794</v>
      </c>
      <c r="K721" s="106" t="s">
        <v>6793</v>
      </c>
      <c r="L721" s="106" t="s">
        <v>6793</v>
      </c>
      <c r="M721" s="117"/>
      <c r="N721" s="106" t="n">
        <v>0</v>
      </c>
      <c r="O721" s="106"/>
      <c r="P721" s="27" t="s">
        <v>6805</v>
      </c>
    </row>
    <row r="722" customFormat="false" ht="15" hidden="false" customHeight="false" outlineLevel="0" collapsed="false">
      <c r="A722" s="106" t="s">
        <v>7483</v>
      </c>
      <c r="B722" s="106" t="s">
        <v>6792</v>
      </c>
      <c r="C722" s="106"/>
      <c r="D722" s="107" t="n">
        <v>529</v>
      </c>
      <c r="E722" s="107" t="n">
        <v>402.04</v>
      </c>
      <c r="F722" s="130" t="n">
        <v>0.7</v>
      </c>
      <c r="G722" s="106" t="s">
        <v>1411</v>
      </c>
      <c r="H722" s="106" t="n">
        <v>0</v>
      </c>
      <c r="I722" s="106" t="s">
        <v>6794</v>
      </c>
      <c r="J722" s="106" t="s">
        <v>6793</v>
      </c>
      <c r="K722" s="106" t="s">
        <v>6793</v>
      </c>
      <c r="L722" s="106" t="s">
        <v>6793</v>
      </c>
      <c r="M722" s="117"/>
      <c r="N722" s="106" t="n">
        <v>0</v>
      </c>
      <c r="O722" s="106"/>
      <c r="P722" s="27" t="s">
        <v>6885</v>
      </c>
    </row>
    <row r="723" customFormat="false" ht="15" hidden="false" customHeight="false" outlineLevel="0" collapsed="false">
      <c r="A723" s="106" t="s">
        <v>7484</v>
      </c>
      <c r="B723" s="106" t="s">
        <v>6792</v>
      </c>
      <c r="C723" s="106" t="s">
        <v>560</v>
      </c>
      <c r="D723" s="107" t="n">
        <v>527</v>
      </c>
      <c r="E723" s="107" t="n">
        <v>400.52</v>
      </c>
      <c r="F723" s="130" t="n">
        <v>0.75</v>
      </c>
      <c r="G723" s="106" t="s">
        <v>1411</v>
      </c>
      <c r="H723" s="106" t="n">
        <v>0</v>
      </c>
      <c r="I723" s="106" t="s">
        <v>6794</v>
      </c>
      <c r="J723" s="106" t="s">
        <v>6793</v>
      </c>
      <c r="K723" s="106" t="s">
        <v>6793</v>
      </c>
      <c r="L723" s="106" t="s">
        <v>6793</v>
      </c>
      <c r="M723" s="117"/>
      <c r="N723" s="106" t="n">
        <v>0</v>
      </c>
      <c r="O723" s="106"/>
      <c r="P723" s="27" t="s">
        <v>6983</v>
      </c>
    </row>
    <row r="724" customFormat="false" ht="15" hidden="false" customHeight="false" outlineLevel="0" collapsed="false">
      <c r="A724" s="106" t="s">
        <v>7485</v>
      </c>
      <c r="B724" s="106" t="s">
        <v>6792</v>
      </c>
      <c r="C724" s="106" t="s">
        <v>185</v>
      </c>
      <c r="D724" s="107"/>
      <c r="E724" s="107" t="n">
        <v>397.114285714286</v>
      </c>
      <c r="F724" s="130" t="n">
        <v>0.55</v>
      </c>
      <c r="G724" s="106" t="s">
        <v>1411</v>
      </c>
      <c r="H724" s="106" t="n">
        <v>0</v>
      </c>
      <c r="I724" s="106" t="s">
        <v>6793</v>
      </c>
      <c r="J724" s="106" t="s">
        <v>6794</v>
      </c>
      <c r="K724" s="106" t="s">
        <v>6793</v>
      </c>
      <c r="L724" s="106" t="s">
        <v>6794</v>
      </c>
      <c r="M724" s="117"/>
      <c r="N724" s="106" t="n">
        <v>0</v>
      </c>
      <c r="O724" s="106"/>
      <c r="P724" s="27" t="s">
        <v>6818</v>
      </c>
    </row>
    <row r="725" customFormat="false" ht="15" hidden="false" customHeight="false" outlineLevel="0" collapsed="false">
      <c r="A725" s="106" t="s">
        <v>7486</v>
      </c>
      <c r="B725" s="106" t="s">
        <v>6792</v>
      </c>
      <c r="C725" s="106" t="s">
        <v>479</v>
      </c>
      <c r="D725" s="107"/>
      <c r="E725" s="107" t="n">
        <v>397.114285714286</v>
      </c>
      <c r="F725" s="130" t="n">
        <v>0.55</v>
      </c>
      <c r="G725" s="106" t="s">
        <v>1411</v>
      </c>
      <c r="H725" s="106" t="n">
        <v>0</v>
      </c>
      <c r="I725" s="106" t="s">
        <v>6793</v>
      </c>
      <c r="J725" s="106" t="s">
        <v>6794</v>
      </c>
      <c r="K725" s="106" t="s">
        <v>6793</v>
      </c>
      <c r="L725" s="106" t="s">
        <v>6794</v>
      </c>
      <c r="M725" s="117"/>
      <c r="N725" s="106" t="n">
        <v>0</v>
      </c>
      <c r="O725" s="106"/>
      <c r="P725" s="27" t="s">
        <v>6818</v>
      </c>
    </row>
    <row r="726" customFormat="false" ht="15" hidden="false" customHeight="false" outlineLevel="0" collapsed="false">
      <c r="A726" s="106" t="s">
        <v>7487</v>
      </c>
      <c r="B726" s="106" t="s">
        <v>6792</v>
      </c>
      <c r="C726" s="106" t="s">
        <v>185</v>
      </c>
      <c r="D726" s="107"/>
      <c r="E726" s="107" t="n">
        <v>397.114285714286</v>
      </c>
      <c r="F726" s="130" t="n">
        <v>0.55</v>
      </c>
      <c r="G726" s="106" t="s">
        <v>1411</v>
      </c>
      <c r="H726" s="106" t="n">
        <v>0</v>
      </c>
      <c r="I726" s="106" t="s">
        <v>6793</v>
      </c>
      <c r="J726" s="106" t="s">
        <v>6794</v>
      </c>
      <c r="K726" s="106" t="s">
        <v>6793</v>
      </c>
      <c r="L726" s="106" t="s">
        <v>6794</v>
      </c>
      <c r="M726" s="117"/>
      <c r="N726" s="106" t="n">
        <v>0</v>
      </c>
      <c r="O726" s="106"/>
      <c r="P726" s="27" t="s">
        <v>6818</v>
      </c>
    </row>
    <row r="727" customFormat="false" ht="15" hidden="false" customHeight="false" outlineLevel="0" collapsed="false">
      <c r="A727" s="106" t="s">
        <v>7488</v>
      </c>
      <c r="B727" s="106" t="s">
        <v>6792</v>
      </c>
      <c r="C727" s="106" t="s">
        <v>185</v>
      </c>
      <c r="D727" s="107"/>
      <c r="E727" s="107" t="n">
        <v>397.114285714286</v>
      </c>
      <c r="F727" s="130" t="n">
        <v>0.55</v>
      </c>
      <c r="G727" s="106" t="s">
        <v>1411</v>
      </c>
      <c r="H727" s="106" t="n">
        <v>0</v>
      </c>
      <c r="I727" s="106" t="s">
        <v>6793</v>
      </c>
      <c r="J727" s="106" t="s">
        <v>6794</v>
      </c>
      <c r="K727" s="106" t="s">
        <v>6793</v>
      </c>
      <c r="L727" s="106" t="s">
        <v>6794</v>
      </c>
      <c r="M727" s="117"/>
      <c r="N727" s="106" t="n">
        <v>0</v>
      </c>
      <c r="O727" s="106"/>
      <c r="P727" s="27" t="s">
        <v>6818</v>
      </c>
    </row>
    <row r="728" customFormat="false" ht="15" hidden="false" customHeight="false" outlineLevel="0" collapsed="false">
      <c r="A728" s="106" t="s">
        <v>7489</v>
      </c>
      <c r="B728" s="106" t="s">
        <v>6792</v>
      </c>
      <c r="C728" s="106"/>
      <c r="D728" s="107"/>
      <c r="E728" s="107" t="n">
        <v>397.114285714286</v>
      </c>
      <c r="F728" s="130" t="n">
        <v>0.4</v>
      </c>
      <c r="G728" s="106" t="s">
        <v>1411</v>
      </c>
      <c r="H728" s="106" t="n">
        <v>0</v>
      </c>
      <c r="I728" s="106" t="s">
        <v>6794</v>
      </c>
      <c r="J728" s="106" t="s">
        <v>6794</v>
      </c>
      <c r="K728" s="106" t="s">
        <v>6793</v>
      </c>
      <c r="L728" s="106" t="s">
        <v>6793</v>
      </c>
      <c r="M728" s="117"/>
      <c r="N728" s="106" t="n">
        <v>0</v>
      </c>
      <c r="O728" s="106"/>
      <c r="P728" s="27" t="s">
        <v>6805</v>
      </c>
    </row>
    <row r="729" customFormat="false" ht="15" hidden="false" customHeight="false" outlineLevel="0" collapsed="false">
      <c r="A729" s="106" t="s">
        <v>7490</v>
      </c>
      <c r="B729" s="106" t="s">
        <v>6792</v>
      </c>
      <c r="C729" s="106"/>
      <c r="D729" s="107"/>
      <c r="E729" s="107" t="n">
        <v>397.114285714286</v>
      </c>
      <c r="F729" s="130" t="n">
        <v>0.5</v>
      </c>
      <c r="G729" s="106" t="s">
        <v>1411</v>
      </c>
      <c r="H729" s="106" t="n">
        <v>0</v>
      </c>
      <c r="I729" s="106" t="s">
        <v>6793</v>
      </c>
      <c r="J729" s="106" t="s">
        <v>6794</v>
      </c>
      <c r="K729" s="106" t="s">
        <v>6793</v>
      </c>
      <c r="L729" s="106" t="s">
        <v>6794</v>
      </c>
      <c r="M729" s="117"/>
      <c r="N729" s="106" t="n">
        <v>0</v>
      </c>
      <c r="O729" s="106"/>
      <c r="P729" s="27" t="s">
        <v>6818</v>
      </c>
    </row>
    <row r="730" customFormat="false" ht="15" hidden="false" customHeight="false" outlineLevel="0" collapsed="false">
      <c r="A730" s="106" t="s">
        <v>7491</v>
      </c>
      <c r="B730" s="106" t="s">
        <v>6792</v>
      </c>
      <c r="C730" s="106" t="s">
        <v>560</v>
      </c>
      <c r="D730" s="107"/>
      <c r="E730" s="107" t="n">
        <v>397.114285714286</v>
      </c>
      <c r="F730" s="130" t="n">
        <v>0.55</v>
      </c>
      <c r="G730" s="106" t="s">
        <v>1411</v>
      </c>
      <c r="H730" s="106" t="n">
        <v>0.5</v>
      </c>
      <c r="I730" s="106" t="s">
        <v>6793</v>
      </c>
      <c r="J730" s="106" t="s">
        <v>6794</v>
      </c>
      <c r="K730" s="106" t="s">
        <v>6793</v>
      </c>
      <c r="L730" s="106" t="s">
        <v>6794</v>
      </c>
      <c r="M730" s="117"/>
      <c r="N730" s="106" t="n">
        <v>0</v>
      </c>
      <c r="O730" s="106"/>
      <c r="P730" s="27" t="s">
        <v>6818</v>
      </c>
    </row>
    <row r="731" customFormat="false" ht="15" hidden="false" customHeight="false" outlineLevel="0" collapsed="false">
      <c r="A731" s="106" t="s">
        <v>7492</v>
      </c>
      <c r="B731" s="106" t="s">
        <v>6792</v>
      </c>
      <c r="C731" s="106" t="s">
        <v>185</v>
      </c>
      <c r="D731" s="107"/>
      <c r="E731" s="107" t="n">
        <v>397.114285714286</v>
      </c>
      <c r="F731" s="130" t="n">
        <v>0.55</v>
      </c>
      <c r="G731" s="106" t="s">
        <v>1411</v>
      </c>
      <c r="H731" s="106" t="n">
        <v>0</v>
      </c>
      <c r="I731" s="106" t="s">
        <v>6793</v>
      </c>
      <c r="J731" s="106" t="s">
        <v>6794</v>
      </c>
      <c r="K731" s="106" t="s">
        <v>6793</v>
      </c>
      <c r="L731" s="106" t="s">
        <v>6794</v>
      </c>
      <c r="M731" s="117"/>
      <c r="N731" s="106" t="n">
        <v>0</v>
      </c>
      <c r="O731" s="106"/>
      <c r="P731" s="27" t="s">
        <v>6818</v>
      </c>
    </row>
    <row r="732" customFormat="false" ht="15" hidden="false" customHeight="false" outlineLevel="0" collapsed="false">
      <c r="A732" s="106" t="s">
        <v>7493</v>
      </c>
      <c r="B732" s="106" t="s">
        <v>6792</v>
      </c>
      <c r="C732" s="106" t="s">
        <v>696</v>
      </c>
      <c r="D732" s="107"/>
      <c r="E732" s="107" t="n">
        <v>397.114285714286</v>
      </c>
      <c r="F732" s="130" t="n">
        <v>0.45</v>
      </c>
      <c r="G732" s="106" t="s">
        <v>1411</v>
      </c>
      <c r="H732" s="106" t="n">
        <v>0</v>
      </c>
      <c r="I732" s="106" t="s">
        <v>6794</v>
      </c>
      <c r="J732" s="106" t="s">
        <v>6794</v>
      </c>
      <c r="K732" s="106" t="s">
        <v>6793</v>
      </c>
      <c r="L732" s="106" t="s">
        <v>6793</v>
      </c>
      <c r="M732" s="117"/>
      <c r="N732" s="106" t="n">
        <v>0</v>
      </c>
      <c r="O732" s="106"/>
      <c r="P732" s="27" t="s">
        <v>6805</v>
      </c>
    </row>
    <row r="733" customFormat="false" ht="15" hidden="false" customHeight="false" outlineLevel="0" collapsed="false">
      <c r="A733" s="106" t="s">
        <v>7494</v>
      </c>
      <c r="B733" s="106" t="s">
        <v>6792</v>
      </c>
      <c r="C733" s="106" t="s">
        <v>479</v>
      </c>
      <c r="D733" s="107"/>
      <c r="E733" s="107" t="n">
        <v>397.114285714286</v>
      </c>
      <c r="F733" s="130" t="n">
        <v>0.45</v>
      </c>
      <c r="G733" s="106" t="s">
        <v>1411</v>
      </c>
      <c r="H733" s="106" t="n">
        <v>0</v>
      </c>
      <c r="I733" s="106" t="s">
        <v>6794</v>
      </c>
      <c r="J733" s="106" t="s">
        <v>6794</v>
      </c>
      <c r="K733" s="106" t="s">
        <v>6793</v>
      </c>
      <c r="L733" s="106" t="s">
        <v>6793</v>
      </c>
      <c r="M733" s="117"/>
      <c r="N733" s="106" t="n">
        <v>0</v>
      </c>
      <c r="O733" s="106"/>
      <c r="P733" s="27" t="s">
        <v>6805</v>
      </c>
    </row>
    <row r="734" customFormat="false" ht="15" hidden="false" customHeight="false" outlineLevel="0" collapsed="false">
      <c r="A734" s="106" t="s">
        <v>7495</v>
      </c>
      <c r="B734" s="106" t="s">
        <v>6792</v>
      </c>
      <c r="C734" s="106" t="s">
        <v>479</v>
      </c>
      <c r="D734" s="107"/>
      <c r="E734" s="107" t="n">
        <v>397.114285714286</v>
      </c>
      <c r="F734" s="130" t="n">
        <v>0.55</v>
      </c>
      <c r="G734" s="106" t="s">
        <v>1411</v>
      </c>
      <c r="H734" s="106" t="n">
        <v>0</v>
      </c>
      <c r="I734" s="106" t="s">
        <v>6793</v>
      </c>
      <c r="J734" s="106" t="s">
        <v>6794</v>
      </c>
      <c r="K734" s="106" t="s">
        <v>6793</v>
      </c>
      <c r="L734" s="106" t="s">
        <v>6794</v>
      </c>
      <c r="M734" s="117"/>
      <c r="N734" s="106" t="n">
        <v>0</v>
      </c>
      <c r="O734" s="106"/>
      <c r="P734" s="27" t="s">
        <v>6818</v>
      </c>
    </row>
    <row r="735" customFormat="false" ht="15" hidden="false" customHeight="false" outlineLevel="0" collapsed="false">
      <c r="A735" s="106" t="s">
        <v>7496</v>
      </c>
      <c r="B735" s="106" t="s">
        <v>6792</v>
      </c>
      <c r="C735" s="106" t="s">
        <v>696</v>
      </c>
      <c r="D735" s="107"/>
      <c r="E735" s="107" t="n">
        <v>397.114285714286</v>
      </c>
      <c r="F735" s="130" t="n">
        <v>0.45</v>
      </c>
      <c r="G735" s="106" t="s">
        <v>1411</v>
      </c>
      <c r="H735" s="106" t="n">
        <v>0</v>
      </c>
      <c r="I735" s="106" t="s">
        <v>6794</v>
      </c>
      <c r="J735" s="106" t="s">
        <v>6794</v>
      </c>
      <c r="K735" s="106" t="s">
        <v>6793</v>
      </c>
      <c r="L735" s="106" t="s">
        <v>6793</v>
      </c>
      <c r="M735" s="117"/>
      <c r="N735" s="106" t="n">
        <v>0</v>
      </c>
      <c r="O735" s="106"/>
      <c r="P735" s="27" t="s">
        <v>6805</v>
      </c>
    </row>
    <row r="736" customFormat="false" ht="15" hidden="false" customHeight="false" outlineLevel="0" collapsed="false">
      <c r="A736" s="106" t="s">
        <v>7497</v>
      </c>
      <c r="B736" s="106" t="s">
        <v>6792</v>
      </c>
      <c r="C736" s="106"/>
      <c r="D736" s="107"/>
      <c r="E736" s="107" t="n">
        <v>397.114285714286</v>
      </c>
      <c r="F736" s="130" t="n">
        <v>0.38</v>
      </c>
      <c r="G736" s="106" t="s">
        <v>1411</v>
      </c>
      <c r="H736" s="106" t="n">
        <v>0</v>
      </c>
      <c r="I736" s="106" t="s">
        <v>6799</v>
      </c>
      <c r="J736" s="106" t="s">
        <v>6794</v>
      </c>
      <c r="K736" s="106" t="s">
        <v>6793</v>
      </c>
      <c r="L736" s="106" t="s">
        <v>6794</v>
      </c>
      <c r="M736" s="117"/>
      <c r="N736" s="106" t="n">
        <v>0</v>
      </c>
      <c r="O736" s="106"/>
      <c r="P736" s="27" t="s">
        <v>6818</v>
      </c>
    </row>
    <row r="737" customFormat="false" ht="15" hidden="false" customHeight="false" outlineLevel="0" collapsed="false">
      <c r="A737" s="106" t="s">
        <v>7498</v>
      </c>
      <c r="B737" s="106" t="s">
        <v>6792</v>
      </c>
      <c r="C737" s="106"/>
      <c r="D737" s="107"/>
      <c r="E737" s="107" t="n">
        <v>397.114285714286</v>
      </c>
      <c r="F737" s="130" t="n">
        <v>0.5</v>
      </c>
      <c r="G737" s="106" t="s">
        <v>1411</v>
      </c>
      <c r="H737" s="106" t="n">
        <v>0</v>
      </c>
      <c r="I737" s="106" t="s">
        <v>6793</v>
      </c>
      <c r="J737" s="106" t="s">
        <v>6794</v>
      </c>
      <c r="K737" s="106" t="s">
        <v>6793</v>
      </c>
      <c r="L737" s="106" t="s">
        <v>6794</v>
      </c>
      <c r="M737" s="117"/>
      <c r="N737" s="106" t="n">
        <v>0</v>
      </c>
      <c r="O737" s="106"/>
      <c r="P737" s="27" t="s">
        <v>6818</v>
      </c>
    </row>
    <row r="738" customFormat="false" ht="15" hidden="false" customHeight="false" outlineLevel="0" collapsed="false">
      <c r="A738" s="106" t="s">
        <v>7499</v>
      </c>
      <c r="B738" s="106" t="s">
        <v>6792</v>
      </c>
      <c r="C738" s="106"/>
      <c r="D738" s="107"/>
      <c r="E738" s="107" t="n">
        <v>397.114285714286</v>
      </c>
      <c r="F738" s="130" t="n">
        <v>0.5</v>
      </c>
      <c r="G738" s="106" t="s">
        <v>1411</v>
      </c>
      <c r="H738" s="106" t="n">
        <v>0</v>
      </c>
      <c r="I738" s="106" t="s">
        <v>6793</v>
      </c>
      <c r="J738" s="106" t="s">
        <v>6794</v>
      </c>
      <c r="K738" s="106" t="s">
        <v>6793</v>
      </c>
      <c r="L738" s="106" t="s">
        <v>6794</v>
      </c>
      <c r="M738" s="117"/>
      <c r="N738" s="106" t="n">
        <v>0</v>
      </c>
      <c r="O738" s="106"/>
      <c r="P738" s="27" t="s">
        <v>6818</v>
      </c>
    </row>
    <row r="739" customFormat="false" ht="15" hidden="false" customHeight="false" outlineLevel="0" collapsed="false">
      <c r="A739" s="106" t="s">
        <v>7500</v>
      </c>
      <c r="B739" s="106" t="s">
        <v>6792</v>
      </c>
      <c r="C739" s="106" t="s">
        <v>185</v>
      </c>
      <c r="D739" s="107"/>
      <c r="E739" s="107" t="n">
        <v>397.114285714286</v>
      </c>
      <c r="F739" s="130" t="n">
        <v>0.55</v>
      </c>
      <c r="G739" s="106" t="s">
        <v>1411</v>
      </c>
      <c r="H739" s="106" t="n">
        <v>0</v>
      </c>
      <c r="I739" s="106" t="s">
        <v>6793</v>
      </c>
      <c r="J739" s="106" t="s">
        <v>6794</v>
      </c>
      <c r="K739" s="106" t="s">
        <v>6793</v>
      </c>
      <c r="L739" s="106" t="s">
        <v>6794</v>
      </c>
      <c r="M739" s="117"/>
      <c r="N739" s="106" t="n">
        <v>0</v>
      </c>
      <c r="O739" s="106"/>
      <c r="P739" s="27" t="s">
        <v>6818</v>
      </c>
    </row>
    <row r="740" customFormat="false" ht="15" hidden="false" customHeight="false" outlineLevel="0" collapsed="false">
      <c r="A740" s="106" t="s">
        <v>7501</v>
      </c>
      <c r="B740" s="106" t="s">
        <v>6792</v>
      </c>
      <c r="C740" s="106"/>
      <c r="D740" s="107"/>
      <c r="E740" s="107" t="n">
        <v>397.114285714286</v>
      </c>
      <c r="F740" s="130" t="n">
        <v>0.5</v>
      </c>
      <c r="G740" s="106" t="s">
        <v>1411</v>
      </c>
      <c r="H740" s="106" t="n">
        <v>0</v>
      </c>
      <c r="I740" s="106" t="s">
        <v>6793</v>
      </c>
      <c r="J740" s="106" t="s">
        <v>6794</v>
      </c>
      <c r="K740" s="106" t="s">
        <v>6793</v>
      </c>
      <c r="L740" s="106" t="s">
        <v>6794</v>
      </c>
      <c r="M740" s="117"/>
      <c r="N740" s="106" t="n">
        <v>0</v>
      </c>
      <c r="O740" s="106"/>
      <c r="P740" s="27" t="s">
        <v>6818</v>
      </c>
    </row>
    <row r="741" customFormat="false" ht="32.8" hidden="false" customHeight="false" outlineLevel="0" collapsed="false">
      <c r="A741" s="106" t="s">
        <v>7502</v>
      </c>
      <c r="B741" s="106" t="s">
        <v>7101</v>
      </c>
      <c r="C741" s="106" t="s">
        <v>479</v>
      </c>
      <c r="D741" s="107" t="n">
        <v>509</v>
      </c>
      <c r="E741" s="107" t="n">
        <v>386.84</v>
      </c>
      <c r="F741" s="130" t="n">
        <v>1</v>
      </c>
      <c r="G741" s="106" t="s">
        <v>1411</v>
      </c>
      <c r="H741" s="106" t="n">
        <v>1.5</v>
      </c>
      <c r="I741" s="106" t="s">
        <v>6793</v>
      </c>
      <c r="J741" s="106" t="s">
        <v>6793</v>
      </c>
      <c r="K741" s="106" t="s">
        <v>6793</v>
      </c>
      <c r="L741" s="106" t="s">
        <v>6793</v>
      </c>
      <c r="M741" s="117"/>
      <c r="N741" s="106" t="n">
        <v>0</v>
      </c>
      <c r="O741" s="106"/>
      <c r="P741" s="27" t="s">
        <v>7503</v>
      </c>
    </row>
    <row r="742" customFormat="false" ht="15" hidden="false" customHeight="false" outlineLevel="0" collapsed="false">
      <c r="A742" s="106" t="s">
        <v>7504</v>
      </c>
      <c r="B742" s="106" t="s">
        <v>6792</v>
      </c>
      <c r="C742" s="106"/>
      <c r="D742" s="107"/>
      <c r="E742" s="107" t="n">
        <v>386.571428571429</v>
      </c>
      <c r="F742" s="130" t="n">
        <v>0.38</v>
      </c>
      <c r="G742" s="106" t="s">
        <v>1411</v>
      </c>
      <c r="H742" s="106" t="n">
        <v>0</v>
      </c>
      <c r="I742" s="106" t="s">
        <v>6799</v>
      </c>
      <c r="J742" s="106" t="s">
        <v>6794</v>
      </c>
      <c r="K742" s="106" t="s">
        <v>6793</v>
      </c>
      <c r="L742" s="106" t="s">
        <v>6794</v>
      </c>
      <c r="M742" s="117"/>
      <c r="N742" s="106" t="n">
        <v>0</v>
      </c>
      <c r="O742" s="106"/>
      <c r="P742" s="27" t="s">
        <v>6818</v>
      </c>
    </row>
    <row r="743" customFormat="false" ht="15" hidden="false" customHeight="false" outlineLevel="0" collapsed="false">
      <c r="A743" s="106" t="s">
        <v>7505</v>
      </c>
      <c r="B743" s="106" t="s">
        <v>6792</v>
      </c>
      <c r="C743" s="106" t="s">
        <v>185</v>
      </c>
      <c r="D743" s="107"/>
      <c r="E743" s="107" t="n">
        <v>386.571428571429</v>
      </c>
      <c r="F743" s="130" t="n">
        <v>0.55</v>
      </c>
      <c r="G743" s="106" t="s">
        <v>1411</v>
      </c>
      <c r="H743" s="106" t="n">
        <v>0</v>
      </c>
      <c r="I743" s="106" t="s">
        <v>6793</v>
      </c>
      <c r="J743" s="106" t="s">
        <v>6794</v>
      </c>
      <c r="K743" s="106" t="s">
        <v>6793</v>
      </c>
      <c r="L743" s="106" t="s">
        <v>6794</v>
      </c>
      <c r="M743" s="117"/>
      <c r="N743" s="106" t="n">
        <v>0</v>
      </c>
      <c r="O743" s="106"/>
      <c r="P743" s="27" t="s">
        <v>6818</v>
      </c>
    </row>
    <row r="744" customFormat="false" ht="15" hidden="false" customHeight="false" outlineLevel="0" collapsed="false">
      <c r="A744" s="106" t="s">
        <v>7506</v>
      </c>
      <c r="B744" s="106" t="s">
        <v>6792</v>
      </c>
      <c r="C744" s="106" t="s">
        <v>560</v>
      </c>
      <c r="D744" s="107"/>
      <c r="E744" s="107" t="n">
        <v>386.571428571429</v>
      </c>
      <c r="F744" s="130" t="n">
        <v>0.55</v>
      </c>
      <c r="G744" s="106" t="s">
        <v>1411</v>
      </c>
      <c r="H744" s="106" t="n">
        <v>0</v>
      </c>
      <c r="I744" s="106" t="s">
        <v>6793</v>
      </c>
      <c r="J744" s="106" t="s">
        <v>6794</v>
      </c>
      <c r="K744" s="106" t="s">
        <v>6793</v>
      </c>
      <c r="L744" s="106" t="s">
        <v>6794</v>
      </c>
      <c r="M744" s="117"/>
      <c r="N744" s="106" t="n">
        <v>0</v>
      </c>
      <c r="O744" s="106"/>
      <c r="P744" s="27" t="s">
        <v>6818</v>
      </c>
    </row>
    <row r="745" customFormat="false" ht="15" hidden="false" customHeight="false" outlineLevel="0" collapsed="false">
      <c r="A745" s="106" t="s">
        <v>7507</v>
      </c>
      <c r="B745" s="106" t="s">
        <v>6792</v>
      </c>
      <c r="C745" s="106" t="s">
        <v>185</v>
      </c>
      <c r="D745" s="107"/>
      <c r="E745" s="107" t="n">
        <v>386.571428571429</v>
      </c>
      <c r="F745" s="130" t="n">
        <v>0.55</v>
      </c>
      <c r="G745" s="106" t="s">
        <v>1411</v>
      </c>
      <c r="H745" s="106" t="n">
        <v>0</v>
      </c>
      <c r="I745" s="106" t="s">
        <v>6793</v>
      </c>
      <c r="J745" s="106" t="s">
        <v>6794</v>
      </c>
      <c r="K745" s="106" t="s">
        <v>6793</v>
      </c>
      <c r="L745" s="106" t="s">
        <v>6794</v>
      </c>
      <c r="M745" s="117"/>
      <c r="N745" s="106" t="n">
        <v>0</v>
      </c>
      <c r="O745" s="106"/>
      <c r="P745" s="27" t="s">
        <v>6818</v>
      </c>
    </row>
    <row r="746" customFormat="false" ht="15" hidden="false" customHeight="false" outlineLevel="0" collapsed="false">
      <c r="A746" s="106" t="s">
        <v>7508</v>
      </c>
      <c r="B746" s="106" t="s">
        <v>6792</v>
      </c>
      <c r="C746" s="106"/>
      <c r="D746" s="107"/>
      <c r="E746" s="107" t="n">
        <v>386.571428571429</v>
      </c>
      <c r="F746" s="130" t="n">
        <v>0.4</v>
      </c>
      <c r="G746" s="106" t="s">
        <v>1411</v>
      </c>
      <c r="H746" s="106" t="n">
        <v>0</v>
      </c>
      <c r="I746" s="106" t="s">
        <v>6794</v>
      </c>
      <c r="J746" s="106" t="s">
        <v>6794</v>
      </c>
      <c r="K746" s="106" t="s">
        <v>6793</v>
      </c>
      <c r="L746" s="106" t="s">
        <v>6793</v>
      </c>
      <c r="M746" s="117"/>
      <c r="N746" s="106" t="n">
        <v>0</v>
      </c>
      <c r="O746" s="106"/>
      <c r="P746" s="27" t="s">
        <v>6805</v>
      </c>
    </row>
    <row r="747" customFormat="false" ht="15" hidden="false" customHeight="false" outlineLevel="0" collapsed="false">
      <c r="A747" s="106" t="s">
        <v>7509</v>
      </c>
      <c r="B747" s="106" t="s">
        <v>6792</v>
      </c>
      <c r="C747" s="106"/>
      <c r="D747" s="107"/>
      <c r="E747" s="107" t="n">
        <v>386.571428571429</v>
      </c>
      <c r="F747" s="130" t="n">
        <v>0.5</v>
      </c>
      <c r="G747" s="106" t="s">
        <v>1411</v>
      </c>
      <c r="H747" s="106" t="n">
        <v>0</v>
      </c>
      <c r="I747" s="106" t="s">
        <v>6793</v>
      </c>
      <c r="J747" s="106" t="s">
        <v>6794</v>
      </c>
      <c r="K747" s="106" t="s">
        <v>6793</v>
      </c>
      <c r="L747" s="106" t="s">
        <v>6794</v>
      </c>
      <c r="M747" s="117"/>
      <c r="N747" s="106" t="n">
        <v>0</v>
      </c>
      <c r="O747" s="106"/>
      <c r="P747" s="27" t="s">
        <v>6818</v>
      </c>
    </row>
    <row r="748" customFormat="false" ht="15" hidden="false" customHeight="false" outlineLevel="0" collapsed="false">
      <c r="A748" s="106" t="s">
        <v>7510</v>
      </c>
      <c r="B748" s="106" t="s">
        <v>6792</v>
      </c>
      <c r="C748" s="106" t="s">
        <v>185</v>
      </c>
      <c r="D748" s="107"/>
      <c r="E748" s="107" t="n">
        <v>386.571428571429</v>
      </c>
      <c r="F748" s="130" t="n">
        <v>0.55</v>
      </c>
      <c r="G748" s="106" t="s">
        <v>1411</v>
      </c>
      <c r="H748" s="106" t="n">
        <v>0</v>
      </c>
      <c r="I748" s="106" t="s">
        <v>6793</v>
      </c>
      <c r="J748" s="106" t="s">
        <v>6794</v>
      </c>
      <c r="K748" s="106" t="s">
        <v>6793</v>
      </c>
      <c r="L748" s="106" t="s">
        <v>6794</v>
      </c>
      <c r="M748" s="117"/>
      <c r="N748" s="106" t="n">
        <v>0</v>
      </c>
      <c r="O748" s="106"/>
      <c r="P748" s="27" t="s">
        <v>6818</v>
      </c>
    </row>
    <row r="749" customFormat="false" ht="15" hidden="false" customHeight="false" outlineLevel="0" collapsed="false">
      <c r="A749" s="106" t="s">
        <v>7511</v>
      </c>
      <c r="B749" s="106" t="s">
        <v>6792</v>
      </c>
      <c r="C749" s="106" t="s">
        <v>560</v>
      </c>
      <c r="D749" s="107"/>
      <c r="E749" s="107" t="n">
        <v>386.571428571429</v>
      </c>
      <c r="F749" s="130" t="n">
        <v>0.45</v>
      </c>
      <c r="G749" s="106" t="s">
        <v>1411</v>
      </c>
      <c r="H749" s="106" t="n">
        <v>0</v>
      </c>
      <c r="I749" s="106" t="s">
        <v>6794</v>
      </c>
      <c r="J749" s="106" t="s">
        <v>6794</v>
      </c>
      <c r="K749" s="106" t="s">
        <v>6793</v>
      </c>
      <c r="L749" s="106" t="s">
        <v>6793</v>
      </c>
      <c r="M749" s="117"/>
      <c r="N749" s="106" t="n">
        <v>0</v>
      </c>
      <c r="O749" s="106"/>
      <c r="P749" s="27" t="s">
        <v>6805</v>
      </c>
    </row>
    <row r="750" customFormat="false" ht="15" hidden="false" customHeight="false" outlineLevel="0" collapsed="false">
      <c r="A750" s="106" t="s">
        <v>7512</v>
      </c>
      <c r="B750" s="106" t="s">
        <v>6792</v>
      </c>
      <c r="C750" s="106" t="s">
        <v>560</v>
      </c>
      <c r="D750" s="107"/>
      <c r="E750" s="107" t="n">
        <v>386.571428571429</v>
      </c>
      <c r="F750" s="130" t="n">
        <v>0.45</v>
      </c>
      <c r="G750" s="106" t="s">
        <v>1411</v>
      </c>
      <c r="H750" s="106" t="n">
        <v>0</v>
      </c>
      <c r="I750" s="106" t="s">
        <v>6794</v>
      </c>
      <c r="J750" s="106" t="s">
        <v>6794</v>
      </c>
      <c r="K750" s="106" t="s">
        <v>6793</v>
      </c>
      <c r="L750" s="106" t="s">
        <v>6793</v>
      </c>
      <c r="M750" s="117"/>
      <c r="N750" s="106" t="n">
        <v>0</v>
      </c>
      <c r="O750" s="106"/>
      <c r="P750" s="27" t="s">
        <v>6805</v>
      </c>
    </row>
    <row r="751" customFormat="false" ht="15" hidden="false" customHeight="false" outlineLevel="0" collapsed="false">
      <c r="A751" s="106" t="s">
        <v>7513</v>
      </c>
      <c r="B751" s="106" t="s">
        <v>6792</v>
      </c>
      <c r="C751" s="106" t="s">
        <v>479</v>
      </c>
      <c r="D751" s="107"/>
      <c r="E751" s="107" t="n">
        <v>386.571428571429</v>
      </c>
      <c r="F751" s="130" t="n">
        <v>0.45</v>
      </c>
      <c r="G751" s="106" t="s">
        <v>1411</v>
      </c>
      <c r="H751" s="106" t="n">
        <v>0</v>
      </c>
      <c r="I751" s="106" t="s">
        <v>6794</v>
      </c>
      <c r="J751" s="106" t="s">
        <v>6794</v>
      </c>
      <c r="K751" s="106" t="s">
        <v>6793</v>
      </c>
      <c r="L751" s="106" t="s">
        <v>6793</v>
      </c>
      <c r="M751" s="117"/>
      <c r="N751" s="106" t="n">
        <v>0</v>
      </c>
      <c r="O751" s="106"/>
      <c r="P751" s="27" t="s">
        <v>6805</v>
      </c>
    </row>
    <row r="752" customFormat="false" ht="15" hidden="false" customHeight="false" outlineLevel="0" collapsed="false">
      <c r="A752" s="106" t="s">
        <v>7514</v>
      </c>
      <c r="B752" s="106" t="s">
        <v>6792</v>
      </c>
      <c r="C752" s="106"/>
      <c r="D752" s="107" t="n">
        <v>819</v>
      </c>
      <c r="E752" s="107" t="n">
        <v>386.571428571429</v>
      </c>
      <c r="F752" s="130" t="n">
        <v>0.7</v>
      </c>
      <c r="G752" s="106" t="s">
        <v>1411</v>
      </c>
      <c r="H752" s="106" t="n">
        <v>0</v>
      </c>
      <c r="I752" s="106" t="s">
        <v>6794</v>
      </c>
      <c r="J752" s="106" t="s">
        <v>6793</v>
      </c>
      <c r="K752" s="106" t="s">
        <v>6793</v>
      </c>
      <c r="L752" s="106" t="s">
        <v>6793</v>
      </c>
      <c r="M752" s="117"/>
      <c r="N752" s="106" t="n">
        <v>0</v>
      </c>
      <c r="O752" s="106"/>
      <c r="P752" s="27" t="s">
        <v>6885</v>
      </c>
    </row>
    <row r="753" customFormat="false" ht="22.35" hidden="false" customHeight="false" outlineLevel="0" collapsed="false">
      <c r="A753" s="106" t="s">
        <v>6120</v>
      </c>
      <c r="B753" s="106" t="s">
        <v>7101</v>
      </c>
      <c r="C753" s="106" t="s">
        <v>422</v>
      </c>
      <c r="D753" s="107" t="n">
        <v>501</v>
      </c>
      <c r="E753" s="107" t="n">
        <v>380.76</v>
      </c>
      <c r="F753" s="130" t="n">
        <v>1</v>
      </c>
      <c r="G753" s="106" t="s">
        <v>1411</v>
      </c>
      <c r="H753" s="106" t="n">
        <v>1</v>
      </c>
      <c r="I753" s="106" t="s">
        <v>6793</v>
      </c>
      <c r="J753" s="106" t="s">
        <v>6793</v>
      </c>
      <c r="K753" s="106" t="s">
        <v>6793</v>
      </c>
      <c r="L753" s="106" t="s">
        <v>6793</v>
      </c>
      <c r="M753" s="117"/>
      <c r="N753" s="106" t="n">
        <v>1</v>
      </c>
      <c r="O753" s="106" t="n">
        <v>0</v>
      </c>
      <c r="P753" s="27" t="s">
        <v>7515</v>
      </c>
    </row>
    <row r="754" customFormat="false" ht="22.35" hidden="false" customHeight="false" outlineLevel="0" collapsed="false">
      <c r="A754" s="106" t="s">
        <v>5240</v>
      </c>
      <c r="B754" s="106" t="s">
        <v>7101</v>
      </c>
      <c r="C754" s="106" t="s">
        <v>185</v>
      </c>
      <c r="D754" s="107" t="n">
        <v>501</v>
      </c>
      <c r="E754" s="107" t="n">
        <v>380.76</v>
      </c>
      <c r="F754" s="130" t="n">
        <v>1</v>
      </c>
      <c r="G754" s="106" t="s">
        <v>1411</v>
      </c>
      <c r="H754" s="106" t="n">
        <v>2</v>
      </c>
      <c r="I754" s="106" t="s">
        <v>6793</v>
      </c>
      <c r="J754" s="106" t="s">
        <v>6793</v>
      </c>
      <c r="K754" s="106" t="s">
        <v>6793</v>
      </c>
      <c r="L754" s="106" t="s">
        <v>6793</v>
      </c>
      <c r="M754" s="117"/>
      <c r="N754" s="106" t="n">
        <v>21</v>
      </c>
      <c r="O754" s="106" t="n">
        <v>19.05</v>
      </c>
      <c r="P754" s="27" t="s">
        <v>7516</v>
      </c>
    </row>
    <row r="755" customFormat="false" ht="15" hidden="false" customHeight="false" outlineLevel="0" collapsed="false">
      <c r="A755" s="106" t="s">
        <v>7517</v>
      </c>
      <c r="B755" s="106" t="s">
        <v>6792</v>
      </c>
      <c r="C755" s="106"/>
      <c r="D755" s="107"/>
      <c r="E755" s="107" t="n">
        <v>376.028571428571</v>
      </c>
      <c r="F755" s="130" t="n">
        <v>0.38</v>
      </c>
      <c r="G755" s="106" t="s">
        <v>1411</v>
      </c>
      <c r="H755" s="106" t="n">
        <v>0</v>
      </c>
      <c r="I755" s="106" t="s">
        <v>6799</v>
      </c>
      <c r="J755" s="106" t="s">
        <v>6794</v>
      </c>
      <c r="K755" s="106" t="s">
        <v>6793</v>
      </c>
      <c r="L755" s="106" t="s">
        <v>6794</v>
      </c>
      <c r="M755" s="117"/>
      <c r="N755" s="106" t="n">
        <v>0</v>
      </c>
      <c r="O755" s="106"/>
      <c r="P755" s="27" t="s">
        <v>6818</v>
      </c>
    </row>
    <row r="756" customFormat="false" ht="15" hidden="false" customHeight="false" outlineLevel="0" collapsed="false">
      <c r="A756" s="106" t="s">
        <v>7518</v>
      </c>
      <c r="B756" s="106" t="s">
        <v>6792</v>
      </c>
      <c r="C756" s="106" t="s">
        <v>422</v>
      </c>
      <c r="D756" s="107"/>
      <c r="E756" s="107" t="n">
        <v>376.028571428571</v>
      </c>
      <c r="F756" s="130" t="n">
        <v>0.45</v>
      </c>
      <c r="G756" s="106" t="s">
        <v>1411</v>
      </c>
      <c r="H756" s="106" t="n">
        <v>0</v>
      </c>
      <c r="I756" s="106" t="s">
        <v>6794</v>
      </c>
      <c r="J756" s="106" t="s">
        <v>6794</v>
      </c>
      <c r="K756" s="106" t="s">
        <v>6793</v>
      </c>
      <c r="L756" s="106" t="s">
        <v>6793</v>
      </c>
      <c r="M756" s="117"/>
      <c r="N756" s="106" t="n">
        <v>0</v>
      </c>
      <c r="O756" s="106"/>
      <c r="P756" s="27" t="s">
        <v>6805</v>
      </c>
    </row>
    <row r="757" customFormat="false" ht="15" hidden="false" customHeight="false" outlineLevel="0" collapsed="false">
      <c r="A757" s="106" t="s">
        <v>7519</v>
      </c>
      <c r="B757" s="106" t="s">
        <v>6792</v>
      </c>
      <c r="C757" s="106" t="s">
        <v>422</v>
      </c>
      <c r="D757" s="107"/>
      <c r="E757" s="107" t="n">
        <v>376.028571428571</v>
      </c>
      <c r="F757" s="130" t="n">
        <v>0.45</v>
      </c>
      <c r="G757" s="106" t="s">
        <v>1411</v>
      </c>
      <c r="H757" s="106" t="n">
        <v>0</v>
      </c>
      <c r="I757" s="106" t="s">
        <v>6794</v>
      </c>
      <c r="J757" s="106" t="s">
        <v>6794</v>
      </c>
      <c r="K757" s="106" t="s">
        <v>6793</v>
      </c>
      <c r="L757" s="106" t="s">
        <v>6793</v>
      </c>
      <c r="M757" s="117"/>
      <c r="N757" s="106" t="n">
        <v>0</v>
      </c>
      <c r="O757" s="106"/>
      <c r="P757" s="27" t="s">
        <v>6805</v>
      </c>
    </row>
    <row r="758" customFormat="false" ht="15" hidden="false" customHeight="false" outlineLevel="0" collapsed="false">
      <c r="A758" s="106" t="s">
        <v>7520</v>
      </c>
      <c r="B758" s="106" t="s">
        <v>6792</v>
      </c>
      <c r="C758" s="106" t="s">
        <v>185</v>
      </c>
      <c r="D758" s="107"/>
      <c r="E758" s="107" t="n">
        <v>376.028571428571</v>
      </c>
      <c r="F758" s="130" t="n">
        <v>0.42</v>
      </c>
      <c r="G758" s="106" t="s">
        <v>1411</v>
      </c>
      <c r="H758" s="106" t="n">
        <v>0</v>
      </c>
      <c r="I758" s="106" t="s">
        <v>6799</v>
      </c>
      <c r="J758" s="106" t="s">
        <v>6794</v>
      </c>
      <c r="K758" s="106" t="s">
        <v>6793</v>
      </c>
      <c r="L758" s="106" t="s">
        <v>6794</v>
      </c>
      <c r="M758" s="117"/>
      <c r="N758" s="106" t="n">
        <v>0</v>
      </c>
      <c r="O758" s="106"/>
      <c r="P758" s="27" t="s">
        <v>6818</v>
      </c>
    </row>
    <row r="759" customFormat="false" ht="15" hidden="false" customHeight="false" outlineLevel="0" collapsed="false">
      <c r="A759" s="106" t="s">
        <v>7521</v>
      </c>
      <c r="B759" s="106" t="s">
        <v>6792</v>
      </c>
      <c r="C759" s="106"/>
      <c r="D759" s="107"/>
      <c r="E759" s="107" t="n">
        <v>376.028571428571</v>
      </c>
      <c r="F759" s="130" t="n">
        <v>0.5</v>
      </c>
      <c r="G759" s="106" t="s">
        <v>1411</v>
      </c>
      <c r="H759" s="106" t="n">
        <v>0</v>
      </c>
      <c r="I759" s="106" t="s">
        <v>6793</v>
      </c>
      <c r="J759" s="106" t="s">
        <v>6794</v>
      </c>
      <c r="K759" s="106" t="s">
        <v>6793</v>
      </c>
      <c r="L759" s="106" t="s">
        <v>6794</v>
      </c>
      <c r="M759" s="117"/>
      <c r="N759" s="106" t="n">
        <v>0</v>
      </c>
      <c r="O759" s="106"/>
      <c r="P759" s="27" t="s">
        <v>6818</v>
      </c>
    </row>
    <row r="760" customFormat="false" ht="15" hidden="false" customHeight="false" outlineLevel="0" collapsed="false">
      <c r="A760" s="106" t="s">
        <v>7522</v>
      </c>
      <c r="B760" s="106" t="s">
        <v>6792</v>
      </c>
      <c r="C760" s="106"/>
      <c r="D760" s="107"/>
      <c r="E760" s="107" t="n">
        <v>376.028571428571</v>
      </c>
      <c r="F760" s="130" t="n">
        <v>0.5</v>
      </c>
      <c r="G760" s="106" t="s">
        <v>1411</v>
      </c>
      <c r="H760" s="106" t="n">
        <v>0</v>
      </c>
      <c r="I760" s="106" t="s">
        <v>6793</v>
      </c>
      <c r="J760" s="106" t="s">
        <v>6794</v>
      </c>
      <c r="K760" s="106" t="s">
        <v>6793</v>
      </c>
      <c r="L760" s="106" t="s">
        <v>6794</v>
      </c>
      <c r="M760" s="117"/>
      <c r="N760" s="106" t="n">
        <v>0</v>
      </c>
      <c r="O760" s="106"/>
      <c r="P760" s="27" t="s">
        <v>6818</v>
      </c>
    </row>
    <row r="761" customFormat="false" ht="15" hidden="false" customHeight="false" outlineLevel="0" collapsed="false">
      <c r="A761" s="106" t="s">
        <v>7523</v>
      </c>
      <c r="B761" s="106" t="s">
        <v>6792</v>
      </c>
      <c r="C761" s="106" t="s">
        <v>479</v>
      </c>
      <c r="D761" s="107"/>
      <c r="E761" s="107" t="n">
        <v>376.028571428571</v>
      </c>
      <c r="F761" s="130" t="n">
        <v>0.45</v>
      </c>
      <c r="G761" s="106" t="s">
        <v>1411</v>
      </c>
      <c r="H761" s="106" t="n">
        <v>0</v>
      </c>
      <c r="I761" s="106" t="s">
        <v>6794</v>
      </c>
      <c r="J761" s="106" t="s">
        <v>6794</v>
      </c>
      <c r="K761" s="106" t="s">
        <v>6793</v>
      </c>
      <c r="L761" s="106" t="s">
        <v>6793</v>
      </c>
      <c r="M761" s="117"/>
      <c r="N761" s="106" t="n">
        <v>0</v>
      </c>
      <c r="O761" s="106"/>
      <c r="P761" s="27" t="s">
        <v>6805</v>
      </c>
    </row>
    <row r="762" customFormat="false" ht="15" hidden="false" customHeight="false" outlineLevel="0" collapsed="false">
      <c r="A762" s="106" t="s">
        <v>7524</v>
      </c>
      <c r="B762" s="106" t="s">
        <v>6792</v>
      </c>
      <c r="C762" s="106"/>
      <c r="D762" s="107"/>
      <c r="E762" s="107" t="n">
        <v>376.028571428571</v>
      </c>
      <c r="F762" s="130" t="n">
        <v>0.4</v>
      </c>
      <c r="G762" s="106" t="s">
        <v>1411</v>
      </c>
      <c r="H762" s="106" t="n">
        <v>0</v>
      </c>
      <c r="I762" s="106" t="s">
        <v>6794</v>
      </c>
      <c r="J762" s="106" t="s">
        <v>6794</v>
      </c>
      <c r="K762" s="106" t="s">
        <v>6793</v>
      </c>
      <c r="L762" s="106" t="s">
        <v>6793</v>
      </c>
      <c r="M762" s="117"/>
      <c r="N762" s="106" t="n">
        <v>0</v>
      </c>
      <c r="O762" s="106"/>
      <c r="P762" s="27" t="s">
        <v>6805</v>
      </c>
    </row>
    <row r="763" customFormat="false" ht="15" hidden="false" customHeight="false" outlineLevel="0" collapsed="false">
      <c r="A763" s="106" t="s">
        <v>7525</v>
      </c>
      <c r="B763" s="106" t="s">
        <v>6792</v>
      </c>
      <c r="C763" s="106"/>
      <c r="D763" s="107"/>
      <c r="E763" s="107" t="n">
        <v>376.028571428571</v>
      </c>
      <c r="F763" s="130" t="n">
        <v>0.4</v>
      </c>
      <c r="G763" s="106" t="s">
        <v>1411</v>
      </c>
      <c r="H763" s="106" t="n">
        <v>0</v>
      </c>
      <c r="I763" s="106" t="s">
        <v>6794</v>
      </c>
      <c r="J763" s="106" t="s">
        <v>6794</v>
      </c>
      <c r="K763" s="106" t="s">
        <v>6793</v>
      </c>
      <c r="L763" s="106" t="s">
        <v>6793</v>
      </c>
      <c r="M763" s="117"/>
      <c r="N763" s="106" t="n">
        <v>0</v>
      </c>
      <c r="O763" s="106"/>
      <c r="P763" s="27" t="s">
        <v>6805</v>
      </c>
    </row>
    <row r="764" customFormat="false" ht="22.35" hidden="false" customHeight="false" outlineLevel="0" collapsed="false">
      <c r="A764" s="106" t="s">
        <v>4456</v>
      </c>
      <c r="B764" s="106" t="s">
        <v>7101</v>
      </c>
      <c r="C764" s="106" t="s">
        <v>185</v>
      </c>
      <c r="D764" s="107" t="n">
        <v>639</v>
      </c>
      <c r="E764" s="107" t="n">
        <v>376.028571428571</v>
      </c>
      <c r="F764" s="130" t="n">
        <v>0.88</v>
      </c>
      <c r="G764" s="106" t="s">
        <v>1411</v>
      </c>
      <c r="H764" s="106" t="n">
        <v>1.5</v>
      </c>
      <c r="I764" s="106" t="s">
        <v>6799</v>
      </c>
      <c r="J764" s="106" t="s">
        <v>6793</v>
      </c>
      <c r="K764" s="106" t="s">
        <v>6793</v>
      </c>
      <c r="L764" s="106" t="s">
        <v>6793</v>
      </c>
      <c r="M764" s="117" t="n">
        <v>0.0219076508257499</v>
      </c>
      <c r="N764" s="106" t="n">
        <v>8</v>
      </c>
      <c r="O764" s="106" t="n">
        <v>0</v>
      </c>
      <c r="P764" s="27" t="s">
        <v>7526</v>
      </c>
    </row>
    <row r="765" customFormat="false" ht="15" hidden="false" customHeight="false" outlineLevel="0" collapsed="false">
      <c r="A765" s="106" t="s">
        <v>7527</v>
      </c>
      <c r="B765" s="106" t="s">
        <v>6792</v>
      </c>
      <c r="C765" s="106" t="s">
        <v>560</v>
      </c>
      <c r="D765" s="107"/>
      <c r="E765" s="107" t="n">
        <v>376.028571428571</v>
      </c>
      <c r="F765" s="130" t="n">
        <v>0.55</v>
      </c>
      <c r="G765" s="106" t="s">
        <v>1411</v>
      </c>
      <c r="H765" s="106" t="n">
        <v>0.5</v>
      </c>
      <c r="I765" s="106" t="s">
        <v>6793</v>
      </c>
      <c r="J765" s="106" t="s">
        <v>6794</v>
      </c>
      <c r="K765" s="106" t="s">
        <v>6793</v>
      </c>
      <c r="L765" s="106" t="s">
        <v>6794</v>
      </c>
      <c r="M765" s="117"/>
      <c r="N765" s="106" t="n">
        <v>0</v>
      </c>
      <c r="O765" s="106"/>
      <c r="P765" s="27" t="s">
        <v>6818</v>
      </c>
    </row>
    <row r="766" customFormat="false" ht="22.35" hidden="false" customHeight="false" outlineLevel="0" collapsed="false">
      <c r="A766" s="106" t="s">
        <v>5299</v>
      </c>
      <c r="B766" s="106" t="s">
        <v>7101</v>
      </c>
      <c r="C766" s="106" t="s">
        <v>185</v>
      </c>
      <c r="D766" s="107" t="n">
        <v>491</v>
      </c>
      <c r="E766" s="107" t="n">
        <v>373.16</v>
      </c>
      <c r="F766" s="130" t="n">
        <v>1</v>
      </c>
      <c r="G766" s="106" t="s">
        <v>1411</v>
      </c>
      <c r="H766" s="106" t="n">
        <v>0</v>
      </c>
      <c r="I766" s="106" t="s">
        <v>6793</v>
      </c>
      <c r="J766" s="106" t="s">
        <v>6793</v>
      </c>
      <c r="K766" s="106" t="s">
        <v>6793</v>
      </c>
      <c r="L766" s="106" t="s">
        <v>6793</v>
      </c>
      <c r="M766" s="117"/>
      <c r="N766" s="106" t="n">
        <v>6</v>
      </c>
      <c r="O766" s="106" t="n">
        <v>0</v>
      </c>
      <c r="P766" s="27" t="s">
        <v>7447</v>
      </c>
    </row>
    <row r="767" customFormat="false" ht="22.35" hidden="false" customHeight="false" outlineLevel="0" collapsed="false">
      <c r="A767" s="106" t="s">
        <v>5226</v>
      </c>
      <c r="B767" s="106" t="s">
        <v>7101</v>
      </c>
      <c r="C767" s="106" t="s">
        <v>185</v>
      </c>
      <c r="D767" s="107" t="n">
        <v>489</v>
      </c>
      <c r="E767" s="107" t="n">
        <v>371.64</v>
      </c>
      <c r="F767" s="130" t="n">
        <v>1</v>
      </c>
      <c r="G767" s="106" t="s">
        <v>1411</v>
      </c>
      <c r="H767" s="106" t="n">
        <v>2</v>
      </c>
      <c r="I767" s="106" t="s">
        <v>6793</v>
      </c>
      <c r="J767" s="106" t="s">
        <v>6793</v>
      </c>
      <c r="K767" s="106" t="s">
        <v>6793</v>
      </c>
      <c r="L767" s="106" t="s">
        <v>6793</v>
      </c>
      <c r="M767" s="117"/>
      <c r="N767" s="106" t="n">
        <v>46</v>
      </c>
      <c r="O767" s="106" t="n">
        <v>13.04</v>
      </c>
      <c r="P767" s="27" t="s">
        <v>7516</v>
      </c>
    </row>
    <row r="768" customFormat="false" ht="15" hidden="false" customHeight="false" outlineLevel="0" collapsed="false">
      <c r="A768" s="106" t="s">
        <v>6439</v>
      </c>
      <c r="B768" s="106" t="s">
        <v>6792</v>
      </c>
      <c r="C768" s="106" t="s">
        <v>560</v>
      </c>
      <c r="D768" s="107" t="n">
        <v>486</v>
      </c>
      <c r="E768" s="107" t="n">
        <v>369.36</v>
      </c>
      <c r="F768" s="130" t="n">
        <v>0.75</v>
      </c>
      <c r="G768" s="106" t="s">
        <v>1411</v>
      </c>
      <c r="H768" s="106" t="n">
        <v>0</v>
      </c>
      <c r="I768" s="106" t="s">
        <v>6794</v>
      </c>
      <c r="J768" s="106" t="s">
        <v>6793</v>
      </c>
      <c r="K768" s="106" t="s">
        <v>6793</v>
      </c>
      <c r="L768" s="106" t="s">
        <v>6793</v>
      </c>
      <c r="M768" s="117"/>
      <c r="N768" s="106" t="n">
        <v>1</v>
      </c>
      <c r="O768" s="106" t="n">
        <v>0</v>
      </c>
      <c r="P768" s="27" t="s">
        <v>6983</v>
      </c>
    </row>
    <row r="769" customFormat="false" ht="22.35" hidden="false" customHeight="false" outlineLevel="0" collapsed="false">
      <c r="A769" s="106" t="s">
        <v>7528</v>
      </c>
      <c r="B769" s="106" t="s">
        <v>7101</v>
      </c>
      <c r="C769" s="106" t="s">
        <v>185</v>
      </c>
      <c r="D769" s="107" t="n">
        <v>486</v>
      </c>
      <c r="E769" s="107" t="n">
        <v>369.36</v>
      </c>
      <c r="F769" s="130" t="n">
        <v>0.85</v>
      </c>
      <c r="G769" s="106" t="s">
        <v>1411</v>
      </c>
      <c r="H769" s="106" t="n">
        <v>0</v>
      </c>
      <c r="I769" s="106" t="s">
        <v>6793</v>
      </c>
      <c r="J769" s="106" t="s">
        <v>6799</v>
      </c>
      <c r="K769" s="106" t="s">
        <v>6793</v>
      </c>
      <c r="L769" s="106" t="s">
        <v>6793</v>
      </c>
      <c r="M769" s="117"/>
      <c r="N769" s="106" t="n">
        <v>0</v>
      </c>
      <c r="O769" s="106"/>
      <c r="P769" s="27" t="s">
        <v>7447</v>
      </c>
    </row>
    <row r="770" customFormat="false" ht="15" hidden="false" customHeight="false" outlineLevel="0" collapsed="false">
      <c r="A770" s="106" t="s">
        <v>7529</v>
      </c>
      <c r="B770" s="106" t="s">
        <v>6792</v>
      </c>
      <c r="C770" s="106"/>
      <c r="D770" s="107"/>
      <c r="E770" s="107" t="n">
        <v>365.485714285714</v>
      </c>
      <c r="F770" s="130" t="n">
        <v>0.38</v>
      </c>
      <c r="G770" s="106" t="s">
        <v>1411</v>
      </c>
      <c r="H770" s="106" t="n">
        <v>0</v>
      </c>
      <c r="I770" s="106" t="s">
        <v>6799</v>
      </c>
      <c r="J770" s="106" t="s">
        <v>6794</v>
      </c>
      <c r="K770" s="106" t="s">
        <v>6793</v>
      </c>
      <c r="L770" s="106" t="s">
        <v>6794</v>
      </c>
      <c r="M770" s="117"/>
      <c r="N770" s="106" t="n">
        <v>0</v>
      </c>
      <c r="O770" s="106"/>
      <c r="P770" s="27" t="s">
        <v>6818</v>
      </c>
    </row>
    <row r="771" customFormat="false" ht="15" hidden="false" customHeight="false" outlineLevel="0" collapsed="false">
      <c r="A771" s="106" t="s">
        <v>7530</v>
      </c>
      <c r="B771" s="106" t="s">
        <v>6792</v>
      </c>
      <c r="C771" s="106"/>
      <c r="D771" s="107" t="n">
        <v>679</v>
      </c>
      <c r="E771" s="107" t="n">
        <v>365.485714285714</v>
      </c>
      <c r="F771" s="130" t="n">
        <v>0.7</v>
      </c>
      <c r="G771" s="106" t="s">
        <v>1411</v>
      </c>
      <c r="H771" s="106" t="n">
        <v>0</v>
      </c>
      <c r="I771" s="106" t="s">
        <v>6794</v>
      </c>
      <c r="J771" s="106" t="s">
        <v>6793</v>
      </c>
      <c r="K771" s="106" t="s">
        <v>6793</v>
      </c>
      <c r="L771" s="106" t="s">
        <v>6793</v>
      </c>
      <c r="M771" s="117"/>
      <c r="N771" s="106" t="n">
        <v>0</v>
      </c>
      <c r="O771" s="106"/>
      <c r="P771" s="27" t="s">
        <v>6885</v>
      </c>
    </row>
    <row r="772" customFormat="false" ht="15" hidden="false" customHeight="false" outlineLevel="0" collapsed="false">
      <c r="A772" s="106" t="s">
        <v>7531</v>
      </c>
      <c r="B772" s="106" t="s">
        <v>6792</v>
      </c>
      <c r="C772" s="106" t="s">
        <v>560</v>
      </c>
      <c r="D772" s="107"/>
      <c r="E772" s="107" t="n">
        <v>365.485714285714</v>
      </c>
      <c r="F772" s="130" t="n">
        <v>0.45</v>
      </c>
      <c r="G772" s="106" t="s">
        <v>1411</v>
      </c>
      <c r="H772" s="106" t="n">
        <v>0</v>
      </c>
      <c r="I772" s="106" t="s">
        <v>6794</v>
      </c>
      <c r="J772" s="106" t="s">
        <v>6794</v>
      </c>
      <c r="K772" s="106" t="s">
        <v>6793</v>
      </c>
      <c r="L772" s="106" t="s">
        <v>6793</v>
      </c>
      <c r="M772" s="117"/>
      <c r="N772" s="106" t="n">
        <v>0</v>
      </c>
      <c r="O772" s="106"/>
      <c r="P772" s="27" t="s">
        <v>6805</v>
      </c>
    </row>
    <row r="773" customFormat="false" ht="15" hidden="false" customHeight="false" outlineLevel="0" collapsed="false">
      <c r="A773" s="106" t="s">
        <v>7532</v>
      </c>
      <c r="B773" s="106" t="s">
        <v>6792</v>
      </c>
      <c r="C773" s="106" t="s">
        <v>560</v>
      </c>
      <c r="D773" s="107"/>
      <c r="E773" s="107" t="n">
        <v>365.485714285714</v>
      </c>
      <c r="F773" s="130" t="n">
        <v>0.45</v>
      </c>
      <c r="G773" s="106" t="s">
        <v>1411</v>
      </c>
      <c r="H773" s="106" t="n">
        <v>0</v>
      </c>
      <c r="I773" s="106" t="s">
        <v>6794</v>
      </c>
      <c r="J773" s="106" t="s">
        <v>6794</v>
      </c>
      <c r="K773" s="106" t="s">
        <v>6793</v>
      </c>
      <c r="L773" s="106" t="s">
        <v>6793</v>
      </c>
      <c r="M773" s="117"/>
      <c r="N773" s="106" t="n">
        <v>0</v>
      </c>
      <c r="O773" s="106"/>
      <c r="P773" s="27" t="s">
        <v>6805</v>
      </c>
    </row>
    <row r="774" customFormat="false" ht="15" hidden="false" customHeight="false" outlineLevel="0" collapsed="false">
      <c r="A774" s="106" t="s">
        <v>7533</v>
      </c>
      <c r="B774" s="106" t="s">
        <v>6792</v>
      </c>
      <c r="C774" s="106" t="s">
        <v>560</v>
      </c>
      <c r="D774" s="107"/>
      <c r="E774" s="107" t="n">
        <v>365.485714285714</v>
      </c>
      <c r="F774" s="130" t="n">
        <v>0.55</v>
      </c>
      <c r="G774" s="106" t="s">
        <v>1411</v>
      </c>
      <c r="H774" s="106" t="n">
        <v>0.5</v>
      </c>
      <c r="I774" s="106" t="s">
        <v>6793</v>
      </c>
      <c r="J774" s="106" t="s">
        <v>6794</v>
      </c>
      <c r="K774" s="106" t="s">
        <v>6793</v>
      </c>
      <c r="L774" s="106" t="s">
        <v>6794</v>
      </c>
      <c r="M774" s="117"/>
      <c r="N774" s="106" t="n">
        <v>0</v>
      </c>
      <c r="O774" s="106"/>
      <c r="P774" s="27" t="s">
        <v>6818</v>
      </c>
    </row>
    <row r="775" customFormat="false" ht="15" hidden="false" customHeight="false" outlineLevel="0" collapsed="false">
      <c r="A775" s="106" t="s">
        <v>7534</v>
      </c>
      <c r="B775" s="106" t="s">
        <v>6792</v>
      </c>
      <c r="C775" s="106" t="s">
        <v>560</v>
      </c>
      <c r="D775" s="107"/>
      <c r="E775" s="107" t="n">
        <v>365.485714285714</v>
      </c>
      <c r="F775" s="130" t="n">
        <v>0.55</v>
      </c>
      <c r="G775" s="106" t="s">
        <v>1411</v>
      </c>
      <c r="H775" s="106" t="n">
        <v>0</v>
      </c>
      <c r="I775" s="106" t="s">
        <v>6793</v>
      </c>
      <c r="J775" s="106" t="s">
        <v>6794</v>
      </c>
      <c r="K775" s="106" t="s">
        <v>6793</v>
      </c>
      <c r="L775" s="106" t="s">
        <v>6794</v>
      </c>
      <c r="M775" s="117"/>
      <c r="N775" s="106" t="n">
        <v>0</v>
      </c>
      <c r="O775" s="106"/>
      <c r="P775" s="27" t="s">
        <v>6818</v>
      </c>
    </row>
    <row r="776" customFormat="false" ht="22.35" hidden="false" customHeight="false" outlineLevel="0" collapsed="false">
      <c r="A776" s="106" t="s">
        <v>5553</v>
      </c>
      <c r="B776" s="106" t="s">
        <v>7101</v>
      </c>
      <c r="C776" s="106" t="s">
        <v>185</v>
      </c>
      <c r="D776" s="107" t="n">
        <v>590</v>
      </c>
      <c r="E776" s="107" t="n">
        <v>365.485714285714</v>
      </c>
      <c r="F776" s="130" t="n">
        <v>1</v>
      </c>
      <c r="G776" s="106" t="s">
        <v>1411</v>
      </c>
      <c r="H776" s="106" t="n">
        <v>1</v>
      </c>
      <c r="I776" s="106" t="s">
        <v>6793</v>
      </c>
      <c r="J776" s="106" t="s">
        <v>6793</v>
      </c>
      <c r="K776" s="106" t="s">
        <v>6793</v>
      </c>
      <c r="L776" s="106" t="s">
        <v>6793</v>
      </c>
      <c r="M776" s="117"/>
      <c r="N776" s="106" t="n">
        <v>2</v>
      </c>
      <c r="O776" s="106" t="n">
        <v>50</v>
      </c>
      <c r="P776" s="27" t="s">
        <v>7472</v>
      </c>
    </row>
    <row r="777" customFormat="false" ht="15" hidden="false" customHeight="false" outlineLevel="0" collapsed="false">
      <c r="A777" s="106" t="s">
        <v>7535</v>
      </c>
      <c r="B777" s="106" t="s">
        <v>6792</v>
      </c>
      <c r="C777" s="106" t="s">
        <v>479</v>
      </c>
      <c r="D777" s="107" t="n">
        <v>596</v>
      </c>
      <c r="E777" s="107" t="n">
        <v>365.485714285714</v>
      </c>
      <c r="F777" s="130" t="n">
        <v>0.62</v>
      </c>
      <c r="G777" s="106" t="s">
        <v>1411</v>
      </c>
      <c r="H777" s="106" t="n">
        <v>0</v>
      </c>
      <c r="I777" s="106" t="s">
        <v>6793</v>
      </c>
      <c r="J777" s="106" t="s">
        <v>6794</v>
      </c>
      <c r="K777" s="106" t="s">
        <v>6793</v>
      </c>
      <c r="L777" s="106" t="s">
        <v>6799</v>
      </c>
      <c r="M777" s="117"/>
      <c r="N777" s="106" t="n">
        <v>0</v>
      </c>
      <c r="O777" s="106"/>
      <c r="P777" s="27" t="s">
        <v>6795</v>
      </c>
    </row>
    <row r="778" customFormat="false" ht="22.35" hidden="false" customHeight="false" outlineLevel="0" collapsed="false">
      <c r="A778" s="106" t="s">
        <v>4954</v>
      </c>
      <c r="B778" s="106" t="s">
        <v>7101</v>
      </c>
      <c r="C778" s="106" t="s">
        <v>560</v>
      </c>
      <c r="D778" s="107" t="n">
        <v>651</v>
      </c>
      <c r="E778" s="107" t="n">
        <v>365.485714285714</v>
      </c>
      <c r="F778" s="130" t="n">
        <v>1</v>
      </c>
      <c r="G778" s="106" t="s">
        <v>1411</v>
      </c>
      <c r="H778" s="106" t="n">
        <v>2</v>
      </c>
      <c r="I778" s="106" t="s">
        <v>6793</v>
      </c>
      <c r="J778" s="106" t="s">
        <v>6793</v>
      </c>
      <c r="K778" s="106" t="s">
        <v>6793</v>
      </c>
      <c r="L778" s="106" t="s">
        <v>6793</v>
      </c>
      <c r="M778" s="117" t="n">
        <v>0.024330900243309</v>
      </c>
      <c r="N778" s="106" t="n">
        <v>13</v>
      </c>
      <c r="O778" s="106" t="n">
        <v>7.69</v>
      </c>
      <c r="P778" s="27" t="s">
        <v>7322</v>
      </c>
    </row>
    <row r="779" customFormat="false" ht="22.35" hidden="false" customHeight="false" outlineLevel="0" collapsed="false">
      <c r="A779" s="106" t="s">
        <v>5834</v>
      </c>
      <c r="B779" s="106" t="s">
        <v>7101</v>
      </c>
      <c r="C779" s="106" t="s">
        <v>560</v>
      </c>
      <c r="D779" s="107" t="n">
        <v>476</v>
      </c>
      <c r="E779" s="107" t="n">
        <v>361.76</v>
      </c>
      <c r="F779" s="130" t="n">
        <v>1</v>
      </c>
      <c r="G779" s="106" t="s">
        <v>1411</v>
      </c>
      <c r="H779" s="106" t="n">
        <v>0</v>
      </c>
      <c r="I779" s="106" t="s">
        <v>6793</v>
      </c>
      <c r="J779" s="106" t="s">
        <v>6793</v>
      </c>
      <c r="K779" s="106" t="s">
        <v>6793</v>
      </c>
      <c r="L779" s="106" t="s">
        <v>6793</v>
      </c>
      <c r="M779" s="117"/>
      <c r="N779" s="106" t="n">
        <v>1</v>
      </c>
      <c r="O779" s="106" t="n">
        <v>0</v>
      </c>
      <c r="P779" s="27" t="s">
        <v>7447</v>
      </c>
    </row>
    <row r="780" customFormat="false" ht="22.35" hidden="false" customHeight="false" outlineLevel="0" collapsed="false">
      <c r="A780" s="106" t="s">
        <v>7536</v>
      </c>
      <c r="B780" s="106" t="s">
        <v>7101</v>
      </c>
      <c r="C780" s="106" t="s">
        <v>422</v>
      </c>
      <c r="D780" s="107" t="n">
        <v>476</v>
      </c>
      <c r="E780" s="107" t="n">
        <v>361.76</v>
      </c>
      <c r="F780" s="130" t="n">
        <v>1</v>
      </c>
      <c r="G780" s="106" t="s">
        <v>1411</v>
      </c>
      <c r="H780" s="106" t="n">
        <v>0</v>
      </c>
      <c r="I780" s="106" t="s">
        <v>6793</v>
      </c>
      <c r="J780" s="106" t="s">
        <v>6793</v>
      </c>
      <c r="K780" s="106" t="s">
        <v>6793</v>
      </c>
      <c r="L780" s="106" t="s">
        <v>6793</v>
      </c>
      <c r="M780" s="117"/>
      <c r="N780" s="106" t="n">
        <v>0</v>
      </c>
      <c r="O780" s="106"/>
      <c r="P780" s="27" t="s">
        <v>7447</v>
      </c>
    </row>
    <row r="781" customFormat="false" ht="22.35" hidden="false" customHeight="false" outlineLevel="0" collapsed="false">
      <c r="A781" s="106" t="s">
        <v>5314</v>
      </c>
      <c r="B781" s="106" t="s">
        <v>7101</v>
      </c>
      <c r="C781" s="106"/>
      <c r="D781" s="107" t="n">
        <v>476</v>
      </c>
      <c r="E781" s="107" t="n">
        <v>361.76</v>
      </c>
      <c r="F781" s="130" t="n">
        <v>0.95</v>
      </c>
      <c r="G781" s="106" t="s">
        <v>1411</v>
      </c>
      <c r="H781" s="106" t="n">
        <v>0</v>
      </c>
      <c r="I781" s="106" t="s">
        <v>6793</v>
      </c>
      <c r="J781" s="106" t="s">
        <v>6793</v>
      </c>
      <c r="K781" s="106" t="s">
        <v>6793</v>
      </c>
      <c r="L781" s="106" t="s">
        <v>6793</v>
      </c>
      <c r="M781" s="117"/>
      <c r="N781" s="106" t="n">
        <v>5</v>
      </c>
      <c r="O781" s="106" t="n">
        <v>0</v>
      </c>
      <c r="P781" s="27" t="s">
        <v>7447</v>
      </c>
    </row>
    <row r="782" customFormat="false" ht="15" hidden="false" customHeight="false" outlineLevel="0" collapsed="false">
      <c r="A782" s="106" t="s">
        <v>7537</v>
      </c>
      <c r="B782" s="106" t="s">
        <v>6792</v>
      </c>
      <c r="C782" s="106" t="s">
        <v>560</v>
      </c>
      <c r="D782" s="107"/>
      <c r="E782" s="107" t="n">
        <v>354.942857142857</v>
      </c>
      <c r="F782" s="130" t="n">
        <v>0.45</v>
      </c>
      <c r="G782" s="106" t="s">
        <v>1411</v>
      </c>
      <c r="H782" s="106" t="n">
        <v>0</v>
      </c>
      <c r="I782" s="106" t="s">
        <v>6794</v>
      </c>
      <c r="J782" s="106" t="s">
        <v>6794</v>
      </c>
      <c r="K782" s="106" t="s">
        <v>6793</v>
      </c>
      <c r="L782" s="106" t="s">
        <v>6793</v>
      </c>
      <c r="M782" s="117"/>
      <c r="N782" s="106" t="n">
        <v>0</v>
      </c>
      <c r="O782" s="106"/>
      <c r="P782" s="27" t="s">
        <v>6805</v>
      </c>
    </row>
    <row r="783" customFormat="false" ht="15" hidden="false" customHeight="false" outlineLevel="0" collapsed="false">
      <c r="A783" s="106" t="s">
        <v>7538</v>
      </c>
      <c r="B783" s="106" t="s">
        <v>6792</v>
      </c>
      <c r="C783" s="106" t="s">
        <v>560</v>
      </c>
      <c r="D783" s="107"/>
      <c r="E783" s="107" t="n">
        <v>354.942857142857</v>
      </c>
      <c r="F783" s="130" t="n">
        <v>0.45</v>
      </c>
      <c r="G783" s="106" t="s">
        <v>1411</v>
      </c>
      <c r="H783" s="106" t="n">
        <v>0</v>
      </c>
      <c r="I783" s="106" t="s">
        <v>6794</v>
      </c>
      <c r="J783" s="106" t="s">
        <v>6794</v>
      </c>
      <c r="K783" s="106" t="s">
        <v>6793</v>
      </c>
      <c r="L783" s="106" t="s">
        <v>6793</v>
      </c>
      <c r="M783" s="117"/>
      <c r="N783" s="106" t="n">
        <v>0</v>
      </c>
      <c r="O783" s="106"/>
      <c r="P783" s="27" t="s">
        <v>6805</v>
      </c>
    </row>
    <row r="784" customFormat="false" ht="15" hidden="false" customHeight="false" outlineLevel="0" collapsed="false">
      <c r="A784" s="106" t="s">
        <v>7539</v>
      </c>
      <c r="B784" s="106" t="s">
        <v>6792</v>
      </c>
      <c r="C784" s="106"/>
      <c r="D784" s="107"/>
      <c r="E784" s="107" t="n">
        <v>354.942857142857</v>
      </c>
      <c r="F784" s="130" t="n">
        <v>0.38</v>
      </c>
      <c r="G784" s="106" t="s">
        <v>1411</v>
      </c>
      <c r="H784" s="106" t="n">
        <v>0</v>
      </c>
      <c r="I784" s="106" t="s">
        <v>6799</v>
      </c>
      <c r="J784" s="106" t="s">
        <v>6794</v>
      </c>
      <c r="K784" s="106" t="s">
        <v>6793</v>
      </c>
      <c r="L784" s="106" t="s">
        <v>6794</v>
      </c>
      <c r="M784" s="117"/>
      <c r="N784" s="106" t="n">
        <v>0</v>
      </c>
      <c r="O784" s="106"/>
      <c r="P784" s="27" t="s">
        <v>6818</v>
      </c>
    </row>
    <row r="785" customFormat="false" ht="22.35" hidden="false" customHeight="false" outlineLevel="0" collapsed="false">
      <c r="A785" s="106" t="s">
        <v>5289</v>
      </c>
      <c r="B785" s="106" t="s">
        <v>7101</v>
      </c>
      <c r="C785" s="106" t="s">
        <v>560</v>
      </c>
      <c r="D785" s="107" t="n">
        <v>486</v>
      </c>
      <c r="E785" s="107" t="n">
        <v>354.942857142857</v>
      </c>
      <c r="F785" s="130" t="n">
        <v>1</v>
      </c>
      <c r="G785" s="106" t="s">
        <v>1411</v>
      </c>
      <c r="H785" s="106" t="n">
        <v>1</v>
      </c>
      <c r="I785" s="106" t="s">
        <v>6793</v>
      </c>
      <c r="J785" s="106" t="s">
        <v>6793</v>
      </c>
      <c r="K785" s="106" t="s">
        <v>6793</v>
      </c>
      <c r="L785" s="106" t="s">
        <v>6793</v>
      </c>
      <c r="M785" s="117"/>
      <c r="N785" s="106" t="n">
        <v>7</v>
      </c>
      <c r="O785" s="106" t="n">
        <v>14.29</v>
      </c>
      <c r="P785" s="27" t="s">
        <v>7472</v>
      </c>
    </row>
    <row r="786" customFormat="false" ht="15" hidden="false" customHeight="false" outlineLevel="0" collapsed="false">
      <c r="A786" s="106" t="s">
        <v>4928</v>
      </c>
      <c r="B786" s="106" t="s">
        <v>6792</v>
      </c>
      <c r="C786" s="106" t="s">
        <v>185</v>
      </c>
      <c r="D786" s="107" t="n">
        <v>649</v>
      </c>
      <c r="E786" s="107" t="n">
        <v>354.942857142857</v>
      </c>
      <c r="F786" s="130" t="n">
        <v>0.75</v>
      </c>
      <c r="G786" s="106" t="s">
        <v>1411</v>
      </c>
      <c r="H786" s="106" t="n">
        <v>2</v>
      </c>
      <c r="I786" s="106" t="s">
        <v>6794</v>
      </c>
      <c r="J786" s="106" t="s">
        <v>6793</v>
      </c>
      <c r="K786" s="106" t="s">
        <v>6793</v>
      </c>
      <c r="L786" s="106" t="s">
        <v>6793</v>
      </c>
      <c r="M786" s="117" t="n">
        <v>0.0632222977566281</v>
      </c>
      <c r="N786" s="106" t="n">
        <v>1</v>
      </c>
      <c r="O786" s="106" t="n">
        <v>0</v>
      </c>
      <c r="P786" s="27" t="s">
        <v>6983</v>
      </c>
    </row>
    <row r="787" customFormat="false" ht="15" hidden="false" customHeight="false" outlineLevel="0" collapsed="false">
      <c r="A787" s="106" t="s">
        <v>4931</v>
      </c>
      <c r="B787" s="106" t="s">
        <v>6792</v>
      </c>
      <c r="C787" s="106" t="s">
        <v>185</v>
      </c>
      <c r="D787" s="107" t="n">
        <v>626</v>
      </c>
      <c r="E787" s="107" t="n">
        <v>354.942857142857</v>
      </c>
      <c r="F787" s="130" t="n">
        <v>0.62</v>
      </c>
      <c r="G787" s="106" t="s">
        <v>1411</v>
      </c>
      <c r="H787" s="106" t="n">
        <v>1.5</v>
      </c>
      <c r="I787" s="106" t="s">
        <v>6793</v>
      </c>
      <c r="J787" s="106" t="s">
        <v>6794</v>
      </c>
      <c r="K787" s="106" t="s">
        <v>6799</v>
      </c>
      <c r="L787" s="106" t="s">
        <v>6793</v>
      </c>
      <c r="M787" s="117" t="n">
        <v>0.0289017341040462</v>
      </c>
      <c r="N787" s="106" t="n">
        <v>0</v>
      </c>
      <c r="O787" s="106"/>
      <c r="P787" s="27" t="s">
        <v>6795</v>
      </c>
    </row>
    <row r="788" customFormat="false" ht="15" hidden="false" customHeight="false" outlineLevel="0" collapsed="false">
      <c r="A788" s="106" t="s">
        <v>7540</v>
      </c>
      <c r="B788" s="106" t="s">
        <v>6792</v>
      </c>
      <c r="C788" s="106" t="s">
        <v>560</v>
      </c>
      <c r="D788" s="107"/>
      <c r="E788" s="107" t="n">
        <v>354.942857142857</v>
      </c>
      <c r="F788" s="130" t="n">
        <v>0.45</v>
      </c>
      <c r="G788" s="106" t="s">
        <v>1411</v>
      </c>
      <c r="H788" s="106" t="n">
        <v>0</v>
      </c>
      <c r="I788" s="106" t="s">
        <v>6794</v>
      </c>
      <c r="J788" s="106" t="s">
        <v>6794</v>
      </c>
      <c r="K788" s="106" t="s">
        <v>6793</v>
      </c>
      <c r="L788" s="106" t="s">
        <v>6793</v>
      </c>
      <c r="M788" s="117"/>
      <c r="N788" s="106" t="n">
        <v>0</v>
      </c>
      <c r="O788" s="106"/>
      <c r="P788" s="27" t="s">
        <v>6805</v>
      </c>
    </row>
    <row r="789" customFormat="false" ht="15" hidden="false" customHeight="false" outlineLevel="0" collapsed="false">
      <c r="A789" s="106" t="s">
        <v>7541</v>
      </c>
      <c r="B789" s="106" t="s">
        <v>6792</v>
      </c>
      <c r="C789" s="106" t="s">
        <v>560</v>
      </c>
      <c r="D789" s="107"/>
      <c r="E789" s="107" t="n">
        <v>354.942857142857</v>
      </c>
      <c r="F789" s="130" t="n">
        <v>0.55</v>
      </c>
      <c r="G789" s="106" t="s">
        <v>1411</v>
      </c>
      <c r="H789" s="106" t="n">
        <v>0</v>
      </c>
      <c r="I789" s="106" t="s">
        <v>6793</v>
      </c>
      <c r="J789" s="106" t="s">
        <v>6794</v>
      </c>
      <c r="K789" s="106" t="s">
        <v>6793</v>
      </c>
      <c r="L789" s="106" t="s">
        <v>6794</v>
      </c>
      <c r="M789" s="117"/>
      <c r="N789" s="106" t="n">
        <v>0</v>
      </c>
      <c r="O789" s="106"/>
      <c r="P789" s="27" t="s">
        <v>6818</v>
      </c>
    </row>
    <row r="790" customFormat="false" ht="15" hidden="false" customHeight="false" outlineLevel="0" collapsed="false">
      <c r="A790" s="106" t="s">
        <v>7542</v>
      </c>
      <c r="B790" s="106" t="s">
        <v>6792</v>
      </c>
      <c r="C790" s="106"/>
      <c r="D790" s="107"/>
      <c r="E790" s="107" t="n">
        <v>354.942857142857</v>
      </c>
      <c r="F790" s="130" t="n">
        <v>0.4</v>
      </c>
      <c r="G790" s="106" t="s">
        <v>1411</v>
      </c>
      <c r="H790" s="106" t="n">
        <v>0</v>
      </c>
      <c r="I790" s="106" t="s">
        <v>6794</v>
      </c>
      <c r="J790" s="106" t="s">
        <v>6794</v>
      </c>
      <c r="K790" s="106" t="s">
        <v>6793</v>
      </c>
      <c r="L790" s="106" t="s">
        <v>6793</v>
      </c>
      <c r="M790" s="117"/>
      <c r="N790" s="106" t="n">
        <v>0</v>
      </c>
      <c r="O790" s="106"/>
      <c r="P790" s="27" t="s">
        <v>6805</v>
      </c>
    </row>
    <row r="791" customFormat="false" ht="15" hidden="false" customHeight="false" outlineLevel="0" collapsed="false">
      <c r="A791" s="106" t="s">
        <v>7543</v>
      </c>
      <c r="B791" s="106" t="s">
        <v>6792</v>
      </c>
      <c r="C791" s="106" t="s">
        <v>560</v>
      </c>
      <c r="D791" s="107"/>
      <c r="E791" s="107" t="n">
        <v>354.942857142857</v>
      </c>
      <c r="F791" s="130" t="n">
        <v>0.45</v>
      </c>
      <c r="G791" s="106" t="s">
        <v>1411</v>
      </c>
      <c r="H791" s="106" t="n">
        <v>0</v>
      </c>
      <c r="I791" s="106" t="s">
        <v>6794</v>
      </c>
      <c r="J791" s="106" t="s">
        <v>6794</v>
      </c>
      <c r="K791" s="106" t="s">
        <v>6793</v>
      </c>
      <c r="L791" s="106" t="s">
        <v>6793</v>
      </c>
      <c r="M791" s="117"/>
      <c r="N791" s="106" t="n">
        <v>0</v>
      </c>
      <c r="O791" s="106"/>
      <c r="P791" s="27" t="s">
        <v>6805</v>
      </c>
    </row>
    <row r="792" customFormat="false" ht="15" hidden="false" customHeight="false" outlineLevel="0" collapsed="false">
      <c r="A792" s="106" t="s">
        <v>7544</v>
      </c>
      <c r="B792" s="106" t="s">
        <v>6792</v>
      </c>
      <c r="C792" s="106"/>
      <c r="D792" s="107"/>
      <c r="E792" s="107" t="n">
        <v>354.942857142857</v>
      </c>
      <c r="F792" s="130" t="n">
        <v>0.38</v>
      </c>
      <c r="G792" s="106" t="s">
        <v>1411</v>
      </c>
      <c r="H792" s="106" t="n">
        <v>0</v>
      </c>
      <c r="I792" s="106" t="s">
        <v>6799</v>
      </c>
      <c r="J792" s="106" t="s">
        <v>6794</v>
      </c>
      <c r="K792" s="106" t="s">
        <v>6793</v>
      </c>
      <c r="L792" s="106" t="s">
        <v>6794</v>
      </c>
      <c r="M792" s="117"/>
      <c r="N792" s="106" t="n">
        <v>0</v>
      </c>
      <c r="O792" s="106"/>
      <c r="P792" s="27" t="s">
        <v>6818</v>
      </c>
    </row>
    <row r="793" customFormat="false" ht="15" hidden="false" customHeight="false" outlineLevel="0" collapsed="false">
      <c r="A793" s="106" t="s">
        <v>7545</v>
      </c>
      <c r="B793" s="106" t="s">
        <v>6792</v>
      </c>
      <c r="C793" s="106"/>
      <c r="D793" s="107"/>
      <c r="E793" s="107" t="n">
        <v>354.942857142857</v>
      </c>
      <c r="F793" s="130" t="n">
        <v>0.4</v>
      </c>
      <c r="G793" s="106" t="s">
        <v>1411</v>
      </c>
      <c r="H793" s="106" t="n">
        <v>0</v>
      </c>
      <c r="I793" s="106" t="s">
        <v>6794</v>
      </c>
      <c r="J793" s="106" t="s">
        <v>6794</v>
      </c>
      <c r="K793" s="106" t="s">
        <v>6793</v>
      </c>
      <c r="L793" s="106" t="s">
        <v>6793</v>
      </c>
      <c r="M793" s="117"/>
      <c r="N793" s="106" t="n">
        <v>0</v>
      </c>
      <c r="O793" s="106"/>
      <c r="P793" s="27" t="s">
        <v>6805</v>
      </c>
    </row>
    <row r="794" customFormat="false" ht="15" hidden="false" customHeight="false" outlineLevel="0" collapsed="false">
      <c r="A794" s="106" t="s">
        <v>7546</v>
      </c>
      <c r="B794" s="106" t="s">
        <v>6792</v>
      </c>
      <c r="C794" s="106"/>
      <c r="D794" s="107"/>
      <c r="E794" s="107" t="n">
        <v>354.942857142857</v>
      </c>
      <c r="F794" s="130" t="n">
        <v>0.5</v>
      </c>
      <c r="G794" s="106" t="s">
        <v>1411</v>
      </c>
      <c r="H794" s="106" t="n">
        <v>0</v>
      </c>
      <c r="I794" s="106" t="s">
        <v>6793</v>
      </c>
      <c r="J794" s="106" t="s">
        <v>6794</v>
      </c>
      <c r="K794" s="106" t="s">
        <v>6793</v>
      </c>
      <c r="L794" s="106" t="s">
        <v>6794</v>
      </c>
      <c r="M794" s="117"/>
      <c r="N794" s="106" t="n">
        <v>0</v>
      </c>
      <c r="O794" s="106"/>
      <c r="P794" s="27" t="s">
        <v>6818</v>
      </c>
    </row>
    <row r="795" customFormat="false" ht="15" hidden="false" customHeight="false" outlineLevel="0" collapsed="false">
      <c r="A795" s="106" t="s">
        <v>4949</v>
      </c>
      <c r="B795" s="106" t="s">
        <v>6792</v>
      </c>
      <c r="C795" s="106"/>
      <c r="D795" s="107" t="n">
        <v>466</v>
      </c>
      <c r="E795" s="107" t="n">
        <v>354.16</v>
      </c>
      <c r="F795" s="130" t="n">
        <v>0.65</v>
      </c>
      <c r="G795" s="106" t="s">
        <v>1411</v>
      </c>
      <c r="H795" s="106" t="n">
        <v>1.5</v>
      </c>
      <c r="I795" s="106" t="s">
        <v>6794</v>
      </c>
      <c r="J795" s="106" t="s">
        <v>6793</v>
      </c>
      <c r="K795" s="106" t="s">
        <v>6793</v>
      </c>
      <c r="L795" s="106" t="s">
        <v>6793</v>
      </c>
      <c r="M795" s="117"/>
      <c r="N795" s="106" t="n">
        <v>4</v>
      </c>
      <c r="O795" s="106" t="n">
        <v>25</v>
      </c>
      <c r="P795" s="27" t="s">
        <v>6983</v>
      </c>
    </row>
    <row r="796" customFormat="false" ht="22.35" hidden="false" customHeight="false" outlineLevel="0" collapsed="false">
      <c r="A796" s="106" t="s">
        <v>5404</v>
      </c>
      <c r="B796" s="106" t="s">
        <v>7101</v>
      </c>
      <c r="C796" s="106" t="s">
        <v>560</v>
      </c>
      <c r="D796" s="107" t="n">
        <v>463</v>
      </c>
      <c r="E796" s="107" t="n">
        <v>351.88</v>
      </c>
      <c r="F796" s="130" t="n">
        <v>0.88</v>
      </c>
      <c r="G796" s="106" t="s">
        <v>1411</v>
      </c>
      <c r="H796" s="106" t="n">
        <v>0</v>
      </c>
      <c r="I796" s="106" t="s">
        <v>6799</v>
      </c>
      <c r="J796" s="106" t="s">
        <v>6793</v>
      </c>
      <c r="K796" s="106" t="s">
        <v>6793</v>
      </c>
      <c r="L796" s="106" t="s">
        <v>6793</v>
      </c>
      <c r="M796" s="117"/>
      <c r="N796" s="106" t="n">
        <v>3</v>
      </c>
      <c r="O796" s="106" t="n">
        <v>33.33</v>
      </c>
      <c r="P796" s="27" t="s">
        <v>7447</v>
      </c>
    </row>
    <row r="797" customFormat="false" ht="15" hidden="false" customHeight="false" outlineLevel="0" collapsed="false">
      <c r="A797" s="106" t="s">
        <v>7547</v>
      </c>
      <c r="B797" s="106" t="s">
        <v>6792</v>
      </c>
      <c r="C797" s="106"/>
      <c r="D797" s="107"/>
      <c r="E797" s="107" t="n">
        <v>347.914285714286</v>
      </c>
      <c r="F797" s="130" t="n">
        <v>0.5</v>
      </c>
      <c r="G797" s="106" t="s">
        <v>1411</v>
      </c>
      <c r="H797" s="106" t="n">
        <v>0</v>
      </c>
      <c r="I797" s="106" t="s">
        <v>6793</v>
      </c>
      <c r="J797" s="106" t="s">
        <v>6794</v>
      </c>
      <c r="K797" s="106" t="s">
        <v>6793</v>
      </c>
      <c r="L797" s="106" t="s">
        <v>6794</v>
      </c>
      <c r="M797" s="117"/>
      <c r="N797" s="106" t="n">
        <v>0</v>
      </c>
      <c r="O797" s="106"/>
      <c r="P797" s="27" t="s">
        <v>6818</v>
      </c>
    </row>
    <row r="798" customFormat="false" ht="15" hidden="false" customHeight="false" outlineLevel="0" collapsed="false">
      <c r="A798" s="106" t="s">
        <v>7548</v>
      </c>
      <c r="B798" s="106" t="s">
        <v>6792</v>
      </c>
      <c r="C798" s="106" t="s">
        <v>479</v>
      </c>
      <c r="D798" s="107"/>
      <c r="E798" s="107" t="n">
        <v>347.914285714286</v>
      </c>
      <c r="F798" s="130" t="n">
        <v>0.45</v>
      </c>
      <c r="G798" s="106" t="s">
        <v>1411</v>
      </c>
      <c r="H798" s="106" t="n">
        <v>0</v>
      </c>
      <c r="I798" s="106" t="s">
        <v>6794</v>
      </c>
      <c r="J798" s="106" t="s">
        <v>6794</v>
      </c>
      <c r="K798" s="106" t="s">
        <v>6793</v>
      </c>
      <c r="L798" s="106" t="s">
        <v>6793</v>
      </c>
      <c r="M798" s="117"/>
      <c r="N798" s="106" t="n">
        <v>0</v>
      </c>
      <c r="O798" s="106"/>
      <c r="P798" s="27" t="s">
        <v>6805</v>
      </c>
    </row>
    <row r="799" customFormat="false" ht="15" hidden="false" customHeight="false" outlineLevel="0" collapsed="false">
      <c r="A799" s="106" t="s">
        <v>7549</v>
      </c>
      <c r="B799" s="106" t="s">
        <v>6792</v>
      </c>
      <c r="C799" s="106"/>
      <c r="D799" s="107"/>
      <c r="E799" s="107" t="n">
        <v>347.914285714286</v>
      </c>
      <c r="F799" s="130" t="n">
        <v>0.5</v>
      </c>
      <c r="G799" s="106" t="s">
        <v>1411</v>
      </c>
      <c r="H799" s="106" t="n">
        <v>0</v>
      </c>
      <c r="I799" s="106" t="s">
        <v>6793</v>
      </c>
      <c r="J799" s="106" t="s">
        <v>6794</v>
      </c>
      <c r="K799" s="106" t="s">
        <v>6793</v>
      </c>
      <c r="L799" s="106" t="s">
        <v>6794</v>
      </c>
      <c r="M799" s="117"/>
      <c r="N799" s="106" t="n">
        <v>0</v>
      </c>
      <c r="O799" s="106"/>
      <c r="P799" s="27" t="s">
        <v>6818</v>
      </c>
    </row>
    <row r="800" customFormat="false" ht="15" hidden="false" customHeight="false" outlineLevel="0" collapsed="false">
      <c r="A800" s="106" t="s">
        <v>7550</v>
      </c>
      <c r="B800" s="106" t="s">
        <v>6792</v>
      </c>
      <c r="C800" s="106"/>
      <c r="D800" s="107"/>
      <c r="E800" s="107" t="n">
        <v>347.914285714286</v>
      </c>
      <c r="F800" s="130" t="n">
        <v>0.5</v>
      </c>
      <c r="G800" s="106" t="s">
        <v>1411</v>
      </c>
      <c r="H800" s="106" t="n">
        <v>0</v>
      </c>
      <c r="I800" s="106" t="s">
        <v>6793</v>
      </c>
      <c r="J800" s="106" t="s">
        <v>6794</v>
      </c>
      <c r="K800" s="106" t="s">
        <v>6793</v>
      </c>
      <c r="L800" s="106" t="s">
        <v>6794</v>
      </c>
      <c r="M800" s="117"/>
      <c r="N800" s="106" t="n">
        <v>0</v>
      </c>
      <c r="O800" s="106"/>
      <c r="P800" s="27" t="s">
        <v>6818</v>
      </c>
    </row>
    <row r="801" customFormat="false" ht="15" hidden="false" customHeight="false" outlineLevel="0" collapsed="false">
      <c r="A801" s="106" t="s">
        <v>7551</v>
      </c>
      <c r="B801" s="106" t="s">
        <v>6792</v>
      </c>
      <c r="C801" s="106" t="s">
        <v>696</v>
      </c>
      <c r="D801" s="107"/>
      <c r="E801" s="107" t="n">
        <v>347.914285714286</v>
      </c>
      <c r="F801" s="130" t="n">
        <v>0.45</v>
      </c>
      <c r="G801" s="106" t="s">
        <v>1411</v>
      </c>
      <c r="H801" s="106" t="n">
        <v>0</v>
      </c>
      <c r="I801" s="106" t="s">
        <v>6794</v>
      </c>
      <c r="J801" s="106" t="s">
        <v>6794</v>
      </c>
      <c r="K801" s="106" t="s">
        <v>6793</v>
      </c>
      <c r="L801" s="106" t="s">
        <v>6793</v>
      </c>
      <c r="M801" s="117"/>
      <c r="N801" s="106" t="n">
        <v>0</v>
      </c>
      <c r="O801" s="106"/>
      <c r="P801" s="27" t="s">
        <v>6805</v>
      </c>
    </row>
    <row r="802" customFormat="false" ht="15" hidden="false" customHeight="false" outlineLevel="0" collapsed="false">
      <c r="A802" s="106" t="s">
        <v>7552</v>
      </c>
      <c r="B802" s="106" t="s">
        <v>6792</v>
      </c>
      <c r="C802" s="106" t="s">
        <v>185</v>
      </c>
      <c r="D802" s="107"/>
      <c r="E802" s="107" t="n">
        <v>347.914285714286</v>
      </c>
      <c r="F802" s="130" t="n">
        <v>0.55</v>
      </c>
      <c r="G802" s="106" t="s">
        <v>1411</v>
      </c>
      <c r="H802" s="106" t="n">
        <v>0</v>
      </c>
      <c r="I802" s="106" t="s">
        <v>6793</v>
      </c>
      <c r="J802" s="106" t="s">
        <v>6794</v>
      </c>
      <c r="K802" s="106" t="s">
        <v>6793</v>
      </c>
      <c r="L802" s="106" t="s">
        <v>6794</v>
      </c>
      <c r="M802" s="117"/>
      <c r="N802" s="106" t="n">
        <v>0</v>
      </c>
      <c r="O802" s="106"/>
      <c r="P802" s="27" t="s">
        <v>6818</v>
      </c>
    </row>
    <row r="803" customFormat="false" ht="15" hidden="false" customHeight="false" outlineLevel="0" collapsed="false">
      <c r="A803" s="106" t="s">
        <v>7553</v>
      </c>
      <c r="B803" s="106" t="s">
        <v>6792</v>
      </c>
      <c r="C803" s="106" t="s">
        <v>185</v>
      </c>
      <c r="D803" s="107"/>
      <c r="E803" s="107" t="n">
        <v>347.914285714286</v>
      </c>
      <c r="F803" s="130" t="n">
        <v>0.55</v>
      </c>
      <c r="G803" s="106" t="s">
        <v>1411</v>
      </c>
      <c r="H803" s="106" t="n">
        <v>0.5</v>
      </c>
      <c r="I803" s="106" t="s">
        <v>6793</v>
      </c>
      <c r="J803" s="106" t="s">
        <v>6794</v>
      </c>
      <c r="K803" s="106" t="s">
        <v>6793</v>
      </c>
      <c r="L803" s="106" t="s">
        <v>6794</v>
      </c>
      <c r="M803" s="117"/>
      <c r="N803" s="106" t="n">
        <v>0</v>
      </c>
      <c r="O803" s="106"/>
      <c r="P803" s="27" t="s">
        <v>6818</v>
      </c>
    </row>
    <row r="804" customFormat="false" ht="15" hidden="false" customHeight="false" outlineLevel="0" collapsed="false">
      <c r="A804" s="106" t="s">
        <v>7554</v>
      </c>
      <c r="B804" s="106" t="s">
        <v>6792</v>
      </c>
      <c r="C804" s="106"/>
      <c r="D804" s="107"/>
      <c r="E804" s="107" t="n">
        <v>347.914285714286</v>
      </c>
      <c r="F804" s="130" t="n">
        <v>0.5</v>
      </c>
      <c r="G804" s="106" t="s">
        <v>1411</v>
      </c>
      <c r="H804" s="106" t="n">
        <v>0</v>
      </c>
      <c r="I804" s="106" t="s">
        <v>6793</v>
      </c>
      <c r="J804" s="106" t="s">
        <v>6794</v>
      </c>
      <c r="K804" s="106" t="s">
        <v>6793</v>
      </c>
      <c r="L804" s="106" t="s">
        <v>6794</v>
      </c>
      <c r="M804" s="117"/>
      <c r="N804" s="106" t="n">
        <v>0</v>
      </c>
      <c r="O804" s="106"/>
      <c r="P804" s="27" t="s">
        <v>6818</v>
      </c>
    </row>
    <row r="805" customFormat="false" ht="15" hidden="false" customHeight="false" outlineLevel="0" collapsed="false">
      <c r="A805" s="106" t="s">
        <v>7555</v>
      </c>
      <c r="B805" s="106" t="s">
        <v>6792</v>
      </c>
      <c r="C805" s="106" t="s">
        <v>479</v>
      </c>
      <c r="D805" s="107"/>
      <c r="E805" s="107" t="n">
        <v>347.914285714286</v>
      </c>
      <c r="F805" s="130" t="n">
        <v>0.45</v>
      </c>
      <c r="G805" s="106" t="s">
        <v>1411</v>
      </c>
      <c r="H805" s="106" t="n">
        <v>2</v>
      </c>
      <c r="I805" s="106" t="s">
        <v>6794</v>
      </c>
      <c r="J805" s="106" t="s">
        <v>6794</v>
      </c>
      <c r="K805" s="106" t="s">
        <v>6793</v>
      </c>
      <c r="L805" s="106" t="s">
        <v>6793</v>
      </c>
      <c r="M805" s="117" t="n">
        <v>0.142857142857143</v>
      </c>
      <c r="N805" s="106" t="n">
        <v>0</v>
      </c>
      <c r="O805" s="106"/>
      <c r="P805" s="27" t="s">
        <v>6805</v>
      </c>
    </row>
    <row r="806" customFormat="false" ht="15" hidden="false" customHeight="false" outlineLevel="0" collapsed="false">
      <c r="A806" s="106" t="s">
        <v>7556</v>
      </c>
      <c r="B806" s="106" t="s">
        <v>6792</v>
      </c>
      <c r="C806" s="106"/>
      <c r="D806" s="107"/>
      <c r="E806" s="107" t="n">
        <v>347.914285714286</v>
      </c>
      <c r="F806" s="130" t="n">
        <v>0.38</v>
      </c>
      <c r="G806" s="106" t="s">
        <v>1411</v>
      </c>
      <c r="H806" s="106" t="n">
        <v>0</v>
      </c>
      <c r="I806" s="106" t="s">
        <v>6799</v>
      </c>
      <c r="J806" s="106" t="s">
        <v>6794</v>
      </c>
      <c r="K806" s="106" t="s">
        <v>6793</v>
      </c>
      <c r="L806" s="106" t="s">
        <v>6794</v>
      </c>
      <c r="M806" s="117"/>
      <c r="N806" s="106" t="n">
        <v>0</v>
      </c>
      <c r="O806" s="106"/>
      <c r="P806" s="27" t="s">
        <v>6818</v>
      </c>
    </row>
    <row r="807" customFormat="false" ht="15" hidden="false" customHeight="false" outlineLevel="0" collapsed="false">
      <c r="A807" s="106" t="s">
        <v>7557</v>
      </c>
      <c r="B807" s="106" t="s">
        <v>6792</v>
      </c>
      <c r="C807" s="106"/>
      <c r="D807" s="107"/>
      <c r="E807" s="107" t="n">
        <v>347.914285714286</v>
      </c>
      <c r="F807" s="130" t="n">
        <v>0.4</v>
      </c>
      <c r="G807" s="106" t="s">
        <v>1411</v>
      </c>
      <c r="H807" s="106" t="n">
        <v>0</v>
      </c>
      <c r="I807" s="106" t="s">
        <v>6794</v>
      </c>
      <c r="J807" s="106" t="s">
        <v>6794</v>
      </c>
      <c r="K807" s="106" t="s">
        <v>6793</v>
      </c>
      <c r="L807" s="106" t="s">
        <v>6793</v>
      </c>
      <c r="M807" s="117"/>
      <c r="N807" s="106" t="n">
        <v>0</v>
      </c>
      <c r="O807" s="106"/>
      <c r="P807" s="27" t="s">
        <v>6805</v>
      </c>
    </row>
    <row r="808" customFormat="false" ht="15" hidden="false" customHeight="false" outlineLevel="0" collapsed="false">
      <c r="A808" s="106" t="s">
        <v>7558</v>
      </c>
      <c r="B808" s="106" t="s">
        <v>6792</v>
      </c>
      <c r="C808" s="106"/>
      <c r="D808" s="107"/>
      <c r="E808" s="107" t="n">
        <v>347.914285714286</v>
      </c>
      <c r="F808" s="130" t="n">
        <v>0.5</v>
      </c>
      <c r="G808" s="106" t="s">
        <v>1411</v>
      </c>
      <c r="H808" s="106" t="n">
        <v>0</v>
      </c>
      <c r="I808" s="106" t="s">
        <v>6793</v>
      </c>
      <c r="J808" s="106" t="s">
        <v>6794</v>
      </c>
      <c r="K808" s="106" t="s">
        <v>6793</v>
      </c>
      <c r="L808" s="106" t="s">
        <v>6794</v>
      </c>
      <c r="M808" s="117"/>
      <c r="N808" s="106" t="n">
        <v>0</v>
      </c>
      <c r="O808" s="106"/>
      <c r="P808" s="27" t="s">
        <v>6818</v>
      </c>
    </row>
    <row r="809" customFormat="false" ht="15" hidden="false" customHeight="false" outlineLevel="0" collapsed="false">
      <c r="A809" s="106" t="s">
        <v>7559</v>
      </c>
      <c r="B809" s="106" t="s">
        <v>6792</v>
      </c>
      <c r="C809" s="106"/>
      <c r="D809" s="107"/>
      <c r="E809" s="107" t="n">
        <v>347.914285714286</v>
      </c>
      <c r="F809" s="130" t="n">
        <v>0.32</v>
      </c>
      <c r="G809" s="106" t="s">
        <v>1411</v>
      </c>
      <c r="H809" s="106" t="n">
        <v>0</v>
      </c>
      <c r="I809" s="106" t="s">
        <v>6794</v>
      </c>
      <c r="J809" s="106" t="s">
        <v>6794</v>
      </c>
      <c r="K809" s="106" t="s">
        <v>6793</v>
      </c>
      <c r="L809" s="106" t="s">
        <v>6799</v>
      </c>
      <c r="M809" s="117"/>
      <c r="N809" s="106" t="n">
        <v>0</v>
      </c>
      <c r="O809" s="106"/>
      <c r="P809" s="27" t="s">
        <v>6805</v>
      </c>
    </row>
    <row r="810" customFormat="false" ht="15" hidden="false" customHeight="false" outlineLevel="0" collapsed="false">
      <c r="A810" s="106" t="s">
        <v>7560</v>
      </c>
      <c r="B810" s="106" t="s">
        <v>6792</v>
      </c>
      <c r="C810" s="106"/>
      <c r="D810" s="107"/>
      <c r="E810" s="107" t="n">
        <v>347.914285714286</v>
      </c>
      <c r="F810" s="130" t="n">
        <v>0.5</v>
      </c>
      <c r="G810" s="106" t="s">
        <v>1411</v>
      </c>
      <c r="H810" s="106" t="n">
        <v>0</v>
      </c>
      <c r="I810" s="106" t="s">
        <v>6793</v>
      </c>
      <c r="J810" s="106" t="s">
        <v>6794</v>
      </c>
      <c r="K810" s="106" t="s">
        <v>6793</v>
      </c>
      <c r="L810" s="106" t="s">
        <v>6794</v>
      </c>
      <c r="M810" s="117"/>
      <c r="N810" s="106" t="n">
        <v>0</v>
      </c>
      <c r="O810" s="106"/>
      <c r="P810" s="27" t="s">
        <v>6818</v>
      </c>
    </row>
    <row r="811" customFormat="false" ht="15" hidden="false" customHeight="false" outlineLevel="0" collapsed="false">
      <c r="A811" s="106" t="s">
        <v>7561</v>
      </c>
      <c r="B811" s="106" t="s">
        <v>6792</v>
      </c>
      <c r="C811" s="106"/>
      <c r="D811" s="107"/>
      <c r="E811" s="107" t="n">
        <v>347.914285714286</v>
      </c>
      <c r="F811" s="130" t="n">
        <v>0.5</v>
      </c>
      <c r="G811" s="106" t="s">
        <v>1411</v>
      </c>
      <c r="H811" s="106" t="n">
        <v>0</v>
      </c>
      <c r="I811" s="106" t="s">
        <v>6793</v>
      </c>
      <c r="J811" s="106" t="s">
        <v>6794</v>
      </c>
      <c r="K811" s="106" t="s">
        <v>6793</v>
      </c>
      <c r="L811" s="106" t="s">
        <v>6794</v>
      </c>
      <c r="M811" s="117"/>
      <c r="N811" s="106" t="n">
        <v>0</v>
      </c>
      <c r="O811" s="106"/>
      <c r="P811" s="27" t="s">
        <v>6818</v>
      </c>
    </row>
    <row r="812" customFormat="false" ht="15" hidden="false" customHeight="false" outlineLevel="0" collapsed="false">
      <c r="A812" s="106" t="s">
        <v>7562</v>
      </c>
      <c r="B812" s="106" t="s">
        <v>6792</v>
      </c>
      <c r="C812" s="106"/>
      <c r="D812" s="107"/>
      <c r="E812" s="107" t="n">
        <v>347.914285714286</v>
      </c>
      <c r="F812" s="130" t="n">
        <v>0.4</v>
      </c>
      <c r="G812" s="106" t="s">
        <v>1411</v>
      </c>
      <c r="H812" s="106" t="n">
        <v>0</v>
      </c>
      <c r="I812" s="106" t="s">
        <v>6794</v>
      </c>
      <c r="J812" s="106" t="s">
        <v>6794</v>
      </c>
      <c r="K812" s="106" t="s">
        <v>6793</v>
      </c>
      <c r="L812" s="106" t="s">
        <v>6793</v>
      </c>
      <c r="M812" s="117"/>
      <c r="N812" s="106" t="n">
        <v>0</v>
      </c>
      <c r="O812" s="106"/>
      <c r="P812" s="27" t="s">
        <v>6805</v>
      </c>
    </row>
    <row r="813" customFormat="false" ht="15" hidden="false" customHeight="false" outlineLevel="0" collapsed="false">
      <c r="A813" s="106" t="s">
        <v>7563</v>
      </c>
      <c r="B813" s="106" t="s">
        <v>6792</v>
      </c>
      <c r="C813" s="106"/>
      <c r="D813" s="107"/>
      <c r="E813" s="107" t="n">
        <v>347.914285714286</v>
      </c>
      <c r="F813" s="130" t="n">
        <v>0.4</v>
      </c>
      <c r="G813" s="106" t="s">
        <v>1411</v>
      </c>
      <c r="H813" s="106" t="n">
        <v>0</v>
      </c>
      <c r="I813" s="106" t="s">
        <v>6794</v>
      </c>
      <c r="J813" s="106" t="s">
        <v>6794</v>
      </c>
      <c r="K813" s="106" t="s">
        <v>6793</v>
      </c>
      <c r="L813" s="106" t="s">
        <v>6793</v>
      </c>
      <c r="M813" s="117"/>
      <c r="N813" s="106" t="n">
        <v>0</v>
      </c>
      <c r="O813" s="106"/>
      <c r="P813" s="27" t="s">
        <v>6805</v>
      </c>
    </row>
    <row r="814" customFormat="false" ht="15" hidden="false" customHeight="false" outlineLevel="0" collapsed="false">
      <c r="A814" s="106" t="s">
        <v>7564</v>
      </c>
      <c r="B814" s="106" t="s">
        <v>6792</v>
      </c>
      <c r="C814" s="106"/>
      <c r="D814" s="107"/>
      <c r="E814" s="107" t="n">
        <v>347.914285714286</v>
      </c>
      <c r="F814" s="130" t="n">
        <v>0.4</v>
      </c>
      <c r="G814" s="106" t="s">
        <v>1411</v>
      </c>
      <c r="H814" s="106" t="n">
        <v>0</v>
      </c>
      <c r="I814" s="106" t="s">
        <v>6794</v>
      </c>
      <c r="J814" s="106" t="s">
        <v>6794</v>
      </c>
      <c r="K814" s="106" t="s">
        <v>6793</v>
      </c>
      <c r="L814" s="106" t="s">
        <v>6793</v>
      </c>
      <c r="M814" s="117"/>
      <c r="N814" s="106" t="n">
        <v>0</v>
      </c>
      <c r="O814" s="106"/>
      <c r="P814" s="27" t="s">
        <v>6805</v>
      </c>
    </row>
    <row r="815" customFormat="false" ht="22.35" hidden="false" customHeight="false" outlineLevel="0" collapsed="false">
      <c r="A815" s="106" t="s">
        <v>6163</v>
      </c>
      <c r="B815" s="106" t="s">
        <v>7101</v>
      </c>
      <c r="C815" s="106" t="s">
        <v>560</v>
      </c>
      <c r="D815" s="107" t="n">
        <v>580</v>
      </c>
      <c r="E815" s="107" t="n">
        <v>347.914285714286</v>
      </c>
      <c r="F815" s="130" t="n">
        <v>1</v>
      </c>
      <c r="G815" s="106" t="s">
        <v>1411</v>
      </c>
      <c r="H815" s="106" t="n">
        <v>1</v>
      </c>
      <c r="I815" s="106" t="s">
        <v>6793</v>
      </c>
      <c r="J815" s="106" t="s">
        <v>6793</v>
      </c>
      <c r="K815" s="106" t="s">
        <v>6793</v>
      </c>
      <c r="L815" s="106" t="s">
        <v>6793</v>
      </c>
      <c r="M815" s="117"/>
      <c r="N815" s="106" t="n">
        <v>1</v>
      </c>
      <c r="O815" s="106" t="n">
        <v>0</v>
      </c>
      <c r="P815" s="27" t="s">
        <v>7472</v>
      </c>
    </row>
    <row r="816" customFormat="false" ht="15" hidden="false" customHeight="false" outlineLevel="0" collapsed="false">
      <c r="A816" s="106" t="s">
        <v>7565</v>
      </c>
      <c r="B816" s="106" t="s">
        <v>6792</v>
      </c>
      <c r="C816" s="106"/>
      <c r="D816" s="107"/>
      <c r="E816" s="107" t="n">
        <v>347.914285714286</v>
      </c>
      <c r="F816" s="130" t="n">
        <v>0.4</v>
      </c>
      <c r="G816" s="106" t="s">
        <v>1411</v>
      </c>
      <c r="H816" s="106" t="n">
        <v>0</v>
      </c>
      <c r="I816" s="106" t="s">
        <v>6794</v>
      </c>
      <c r="J816" s="106" t="s">
        <v>6794</v>
      </c>
      <c r="K816" s="106" t="s">
        <v>6793</v>
      </c>
      <c r="L816" s="106" t="s">
        <v>6793</v>
      </c>
      <c r="M816" s="117"/>
      <c r="N816" s="106" t="n">
        <v>0</v>
      </c>
      <c r="O816" s="106"/>
      <c r="P816" s="27" t="s">
        <v>6805</v>
      </c>
    </row>
    <row r="817" customFormat="false" ht="22.35" hidden="false" customHeight="false" outlineLevel="0" collapsed="false">
      <c r="A817" s="106" t="s">
        <v>5462</v>
      </c>
      <c r="B817" s="106" t="s">
        <v>7101</v>
      </c>
      <c r="C817" s="106" t="s">
        <v>479</v>
      </c>
      <c r="D817" s="107" t="n">
        <v>454</v>
      </c>
      <c r="E817" s="107" t="n">
        <v>345.04</v>
      </c>
      <c r="F817" s="130" t="n">
        <v>1</v>
      </c>
      <c r="G817" s="106" t="s">
        <v>1411</v>
      </c>
      <c r="H817" s="106" t="n">
        <v>0</v>
      </c>
      <c r="I817" s="106" t="s">
        <v>6793</v>
      </c>
      <c r="J817" s="106" t="s">
        <v>6793</v>
      </c>
      <c r="K817" s="106" t="s">
        <v>6793</v>
      </c>
      <c r="L817" s="106" t="s">
        <v>6793</v>
      </c>
      <c r="M817" s="117"/>
      <c r="N817" s="106" t="n">
        <v>2</v>
      </c>
      <c r="O817" s="106" t="n">
        <v>0</v>
      </c>
      <c r="P817" s="27" t="s">
        <v>7447</v>
      </c>
    </row>
    <row r="818" customFormat="false" ht="22.35" hidden="false" customHeight="false" outlineLevel="0" collapsed="false">
      <c r="A818" s="106" t="s">
        <v>4924</v>
      </c>
      <c r="B818" s="106" t="s">
        <v>7101</v>
      </c>
      <c r="C818" s="106" t="s">
        <v>560</v>
      </c>
      <c r="D818" s="107" t="n">
        <v>337</v>
      </c>
      <c r="E818" s="107" t="n">
        <v>345</v>
      </c>
      <c r="F818" s="130" t="n">
        <v>1</v>
      </c>
      <c r="G818" s="106" t="s">
        <v>1411</v>
      </c>
      <c r="H818" s="106" t="n">
        <v>1</v>
      </c>
      <c r="I818" s="106" t="s">
        <v>6793</v>
      </c>
      <c r="J818" s="106" t="s">
        <v>6793</v>
      </c>
      <c r="K818" s="106" t="s">
        <v>6793</v>
      </c>
      <c r="L818" s="106" t="s">
        <v>6793</v>
      </c>
      <c r="M818" s="117" t="n">
        <v>0.0277777777777777</v>
      </c>
      <c r="N818" s="106" t="n">
        <v>4</v>
      </c>
      <c r="O818" s="106" t="n">
        <v>0</v>
      </c>
      <c r="P818" s="27" t="s">
        <v>7566</v>
      </c>
    </row>
    <row r="819" customFormat="false" ht="22.35" hidden="false" customHeight="false" outlineLevel="0" collapsed="false">
      <c r="A819" s="106" t="s">
        <v>4970</v>
      </c>
      <c r="B819" s="106" t="s">
        <v>7101</v>
      </c>
      <c r="C819" s="106" t="s">
        <v>185</v>
      </c>
      <c r="D819" s="107" t="n">
        <v>631</v>
      </c>
      <c r="E819" s="107" t="n">
        <v>344.4</v>
      </c>
      <c r="F819" s="130" t="n">
        <v>1</v>
      </c>
      <c r="G819" s="106" t="s">
        <v>1411</v>
      </c>
      <c r="H819" s="106" t="n">
        <v>3</v>
      </c>
      <c r="I819" s="106" t="s">
        <v>6793</v>
      </c>
      <c r="J819" s="106" t="s">
        <v>6793</v>
      </c>
      <c r="K819" s="106" t="s">
        <v>6793</v>
      </c>
      <c r="L819" s="106" t="s">
        <v>6793</v>
      </c>
      <c r="M819" s="117" t="n">
        <v>0.0620915032679738</v>
      </c>
      <c r="N819" s="106" t="n">
        <v>2</v>
      </c>
      <c r="O819" s="106" t="n">
        <v>0</v>
      </c>
      <c r="P819" s="27" t="s">
        <v>7567</v>
      </c>
    </row>
    <row r="820" customFormat="false" ht="22.35" hidden="false" customHeight="false" outlineLevel="0" collapsed="false">
      <c r="A820" s="106" t="s">
        <v>7568</v>
      </c>
      <c r="B820" s="106" t="s">
        <v>7101</v>
      </c>
      <c r="C820" s="106" t="s">
        <v>185</v>
      </c>
      <c r="D820" s="107" t="n">
        <v>453</v>
      </c>
      <c r="E820" s="107" t="n">
        <v>344.28</v>
      </c>
      <c r="F820" s="130" t="n">
        <v>0.88</v>
      </c>
      <c r="G820" s="106" t="s">
        <v>1411</v>
      </c>
      <c r="H820" s="106" t="n">
        <v>0</v>
      </c>
      <c r="I820" s="106" t="s">
        <v>6799</v>
      </c>
      <c r="J820" s="106" t="s">
        <v>6793</v>
      </c>
      <c r="K820" s="106" t="s">
        <v>6793</v>
      </c>
      <c r="L820" s="106" t="s">
        <v>6793</v>
      </c>
      <c r="M820" s="117"/>
      <c r="N820" s="106" t="n">
        <v>0</v>
      </c>
      <c r="O820" s="106"/>
      <c r="P820" s="27" t="s">
        <v>7447</v>
      </c>
    </row>
    <row r="821" customFormat="false" ht="15" hidden="false" customHeight="false" outlineLevel="0" collapsed="false">
      <c r="A821" s="106" t="s">
        <v>5408</v>
      </c>
      <c r="B821" s="106" t="s">
        <v>6792</v>
      </c>
      <c r="C821" s="106" t="s">
        <v>185</v>
      </c>
      <c r="D821" s="107" t="n">
        <v>452</v>
      </c>
      <c r="E821" s="107" t="n">
        <v>343.52</v>
      </c>
      <c r="F821" s="130" t="n">
        <v>0.85</v>
      </c>
      <c r="G821" s="106" t="s">
        <v>1411</v>
      </c>
      <c r="H821" s="106" t="n">
        <v>0</v>
      </c>
      <c r="I821" s="106" t="s">
        <v>6793</v>
      </c>
      <c r="J821" s="106" t="s">
        <v>6793</v>
      </c>
      <c r="K821" s="106" t="s">
        <v>6793</v>
      </c>
      <c r="L821" s="106" t="s">
        <v>6794</v>
      </c>
      <c r="M821" s="117"/>
      <c r="N821" s="106" t="n">
        <v>3</v>
      </c>
      <c r="O821" s="106" t="n">
        <v>0</v>
      </c>
      <c r="P821" s="27" t="s">
        <v>7569</v>
      </c>
    </row>
    <row r="822" customFormat="false" ht="22.35" hidden="false" customHeight="false" outlineLevel="0" collapsed="false">
      <c r="A822" s="106" t="s">
        <v>7570</v>
      </c>
      <c r="B822" s="106" t="s">
        <v>7101</v>
      </c>
      <c r="C822" s="106" t="s">
        <v>696</v>
      </c>
      <c r="D822" s="107" t="n">
        <v>451</v>
      </c>
      <c r="E822" s="107" t="n">
        <v>342.76</v>
      </c>
      <c r="F822" s="130" t="n">
        <v>1</v>
      </c>
      <c r="G822" s="106" t="s">
        <v>1411</v>
      </c>
      <c r="H822" s="106" t="n">
        <v>0</v>
      </c>
      <c r="I822" s="106" t="s">
        <v>6793</v>
      </c>
      <c r="J822" s="106" t="s">
        <v>6793</v>
      </c>
      <c r="K822" s="106" t="s">
        <v>6793</v>
      </c>
      <c r="L822" s="106" t="s">
        <v>6793</v>
      </c>
      <c r="M822" s="117"/>
      <c r="N822" s="106" t="n">
        <v>0</v>
      </c>
      <c r="O822" s="106"/>
      <c r="P822" s="27" t="s">
        <v>7447</v>
      </c>
    </row>
    <row r="823" customFormat="false" ht="15" hidden="false" customHeight="false" outlineLevel="0" collapsed="false">
      <c r="A823" s="106" t="s">
        <v>7571</v>
      </c>
      <c r="B823" s="106" t="s">
        <v>7082</v>
      </c>
      <c r="C823" s="106"/>
      <c r="D823" s="107" t="n">
        <v>449</v>
      </c>
      <c r="E823" s="107" t="n">
        <v>341.24</v>
      </c>
      <c r="F823" s="130" t="n">
        <v>0.8</v>
      </c>
      <c r="G823" s="106" t="s">
        <v>1411</v>
      </c>
      <c r="H823" s="106" t="n">
        <v>0</v>
      </c>
      <c r="I823" s="106" t="s">
        <v>6793</v>
      </c>
      <c r="J823" s="106" t="s">
        <v>6799</v>
      </c>
      <c r="K823" s="106" t="s">
        <v>6793</v>
      </c>
      <c r="L823" s="106" t="s">
        <v>6793</v>
      </c>
      <c r="M823" s="117"/>
      <c r="N823" s="106" t="n">
        <v>0</v>
      </c>
      <c r="O823" s="106"/>
      <c r="P823" s="27" t="s">
        <v>7083</v>
      </c>
    </row>
    <row r="824" customFormat="false" ht="22.35" hidden="false" customHeight="false" outlineLevel="0" collapsed="false">
      <c r="A824" s="106" t="s">
        <v>7572</v>
      </c>
      <c r="B824" s="106" t="s">
        <v>7101</v>
      </c>
      <c r="C824" s="106" t="s">
        <v>560</v>
      </c>
      <c r="D824" s="107" t="n">
        <v>449</v>
      </c>
      <c r="E824" s="107" t="n">
        <v>341.24</v>
      </c>
      <c r="F824" s="130" t="n">
        <v>1</v>
      </c>
      <c r="G824" s="106" t="s">
        <v>1411</v>
      </c>
      <c r="H824" s="106" t="n">
        <v>0</v>
      </c>
      <c r="I824" s="106" t="s">
        <v>6793</v>
      </c>
      <c r="J824" s="106" t="s">
        <v>6793</v>
      </c>
      <c r="K824" s="106" t="s">
        <v>6793</v>
      </c>
      <c r="L824" s="106" t="s">
        <v>6793</v>
      </c>
      <c r="M824" s="117"/>
      <c r="N824" s="106" t="n">
        <v>0</v>
      </c>
      <c r="O824" s="106"/>
      <c r="P824" s="27" t="s">
        <v>7447</v>
      </c>
    </row>
    <row r="825" customFormat="false" ht="15" hidden="false" customHeight="false" outlineLevel="0" collapsed="false">
      <c r="A825" s="106" t="s">
        <v>7573</v>
      </c>
      <c r="B825" s="106" t="s">
        <v>6792</v>
      </c>
      <c r="C825" s="106"/>
      <c r="D825" s="107"/>
      <c r="E825" s="107" t="n">
        <v>337.371428571429</v>
      </c>
      <c r="F825" s="130" t="n">
        <v>0.65</v>
      </c>
      <c r="G825" s="106" t="s">
        <v>1411</v>
      </c>
      <c r="H825" s="106" t="n">
        <v>0</v>
      </c>
      <c r="I825" s="106" t="s">
        <v>6793</v>
      </c>
      <c r="J825" s="106" t="s">
        <v>6794</v>
      </c>
      <c r="K825" s="106" t="s">
        <v>6793</v>
      </c>
      <c r="L825" s="106" t="s">
        <v>6793</v>
      </c>
      <c r="M825" s="117"/>
      <c r="N825" s="106" t="n">
        <v>0</v>
      </c>
      <c r="O825" s="106"/>
      <c r="P825" s="27" t="s">
        <v>6795</v>
      </c>
    </row>
    <row r="826" customFormat="false" ht="15" hidden="false" customHeight="false" outlineLevel="0" collapsed="false">
      <c r="A826" s="106" t="s">
        <v>7574</v>
      </c>
      <c r="B826" s="106" t="s">
        <v>6792</v>
      </c>
      <c r="C826" s="106"/>
      <c r="D826" s="107"/>
      <c r="E826" s="107" t="n">
        <v>337.371428571429</v>
      </c>
      <c r="F826" s="130" t="n">
        <v>0.5</v>
      </c>
      <c r="G826" s="106" t="s">
        <v>1411</v>
      </c>
      <c r="H826" s="106" t="n">
        <v>0</v>
      </c>
      <c r="I826" s="106" t="s">
        <v>6793</v>
      </c>
      <c r="J826" s="106" t="s">
        <v>6794</v>
      </c>
      <c r="K826" s="106" t="s">
        <v>6793</v>
      </c>
      <c r="L826" s="106" t="s">
        <v>6794</v>
      </c>
      <c r="M826" s="117"/>
      <c r="N826" s="106" t="n">
        <v>0</v>
      </c>
      <c r="O826" s="106"/>
      <c r="P826" s="27" t="s">
        <v>6818</v>
      </c>
    </row>
    <row r="827" customFormat="false" ht="15" hidden="false" customHeight="false" outlineLevel="0" collapsed="false">
      <c r="A827" s="106" t="s">
        <v>7575</v>
      </c>
      <c r="B827" s="106" t="s">
        <v>6792</v>
      </c>
      <c r="C827" s="106" t="s">
        <v>560</v>
      </c>
      <c r="D827" s="107"/>
      <c r="E827" s="107" t="n">
        <v>337.371428571429</v>
      </c>
      <c r="F827" s="130" t="n">
        <v>0.45</v>
      </c>
      <c r="G827" s="106" t="s">
        <v>1411</v>
      </c>
      <c r="H827" s="106" t="n">
        <v>0</v>
      </c>
      <c r="I827" s="106" t="s">
        <v>6794</v>
      </c>
      <c r="J827" s="106" t="s">
        <v>6794</v>
      </c>
      <c r="K827" s="106" t="s">
        <v>6793</v>
      </c>
      <c r="L827" s="106" t="s">
        <v>6793</v>
      </c>
      <c r="M827" s="117"/>
      <c r="N827" s="106" t="n">
        <v>0</v>
      </c>
      <c r="O827" s="106"/>
      <c r="P827" s="27" t="s">
        <v>6805</v>
      </c>
    </row>
    <row r="828" customFormat="false" ht="15" hidden="false" customHeight="false" outlineLevel="0" collapsed="false">
      <c r="A828" s="106" t="s">
        <v>7576</v>
      </c>
      <c r="B828" s="106" t="s">
        <v>6792</v>
      </c>
      <c r="C828" s="106" t="s">
        <v>479</v>
      </c>
      <c r="D828" s="107"/>
      <c r="E828" s="107" t="n">
        <v>337.371428571429</v>
      </c>
      <c r="F828" s="130" t="n">
        <v>0.55</v>
      </c>
      <c r="G828" s="106" t="s">
        <v>1411</v>
      </c>
      <c r="H828" s="106" t="n">
        <v>0</v>
      </c>
      <c r="I828" s="106" t="s">
        <v>6793</v>
      </c>
      <c r="J828" s="106" t="s">
        <v>6794</v>
      </c>
      <c r="K828" s="106" t="s">
        <v>6793</v>
      </c>
      <c r="L828" s="106" t="s">
        <v>6794</v>
      </c>
      <c r="M828" s="117"/>
      <c r="N828" s="106" t="n">
        <v>0</v>
      </c>
      <c r="O828" s="106"/>
      <c r="P828" s="27" t="s">
        <v>6818</v>
      </c>
    </row>
    <row r="829" customFormat="false" ht="15" hidden="false" customHeight="false" outlineLevel="0" collapsed="false">
      <c r="A829" s="106" t="s">
        <v>7577</v>
      </c>
      <c r="B829" s="106" t="s">
        <v>6792</v>
      </c>
      <c r="C829" s="106" t="s">
        <v>479</v>
      </c>
      <c r="D829" s="107"/>
      <c r="E829" s="107" t="n">
        <v>337.371428571429</v>
      </c>
      <c r="F829" s="130" t="n">
        <v>0.45</v>
      </c>
      <c r="G829" s="106" t="s">
        <v>1411</v>
      </c>
      <c r="H829" s="106" t="n">
        <v>0</v>
      </c>
      <c r="I829" s="106" t="s">
        <v>6794</v>
      </c>
      <c r="J829" s="106" t="s">
        <v>6794</v>
      </c>
      <c r="K829" s="106" t="s">
        <v>6793</v>
      </c>
      <c r="L829" s="106" t="s">
        <v>6793</v>
      </c>
      <c r="M829" s="117"/>
      <c r="N829" s="106" t="n">
        <v>0</v>
      </c>
      <c r="O829" s="106"/>
      <c r="P829" s="27" t="s">
        <v>6805</v>
      </c>
    </row>
    <row r="830" customFormat="false" ht="15" hidden="false" customHeight="false" outlineLevel="0" collapsed="false">
      <c r="A830" s="106" t="s">
        <v>7578</v>
      </c>
      <c r="B830" s="106" t="s">
        <v>6792</v>
      </c>
      <c r="C830" s="106" t="s">
        <v>185</v>
      </c>
      <c r="D830" s="107"/>
      <c r="E830" s="107" t="n">
        <v>337.371428571429</v>
      </c>
      <c r="F830" s="130" t="n">
        <v>0.45</v>
      </c>
      <c r="G830" s="106" t="s">
        <v>1411</v>
      </c>
      <c r="H830" s="106" t="n">
        <v>0</v>
      </c>
      <c r="I830" s="106" t="s">
        <v>6794</v>
      </c>
      <c r="J830" s="106" t="s">
        <v>6794</v>
      </c>
      <c r="K830" s="106" t="s">
        <v>6793</v>
      </c>
      <c r="L830" s="106" t="s">
        <v>6793</v>
      </c>
      <c r="M830" s="117"/>
      <c r="N830" s="106" t="n">
        <v>0</v>
      </c>
      <c r="O830" s="106"/>
      <c r="P830" s="27" t="s">
        <v>6805</v>
      </c>
    </row>
    <row r="831" customFormat="false" ht="15" hidden="false" customHeight="false" outlineLevel="0" collapsed="false">
      <c r="A831" s="106" t="s">
        <v>7579</v>
      </c>
      <c r="B831" s="106" t="s">
        <v>6792</v>
      </c>
      <c r="C831" s="106"/>
      <c r="D831" s="107"/>
      <c r="E831" s="107" t="n">
        <v>337.371428571429</v>
      </c>
      <c r="F831" s="130" t="n">
        <v>0.5</v>
      </c>
      <c r="G831" s="106" t="s">
        <v>1411</v>
      </c>
      <c r="H831" s="106" t="n">
        <v>0</v>
      </c>
      <c r="I831" s="106" t="s">
        <v>6793</v>
      </c>
      <c r="J831" s="106" t="s">
        <v>6794</v>
      </c>
      <c r="K831" s="106" t="s">
        <v>6793</v>
      </c>
      <c r="L831" s="106" t="s">
        <v>6794</v>
      </c>
      <c r="M831" s="117"/>
      <c r="N831" s="106" t="n">
        <v>0</v>
      </c>
      <c r="O831" s="106"/>
      <c r="P831" s="27" t="s">
        <v>6818</v>
      </c>
    </row>
    <row r="832" customFormat="false" ht="15" hidden="false" customHeight="false" outlineLevel="0" collapsed="false">
      <c r="A832" s="106" t="s">
        <v>7580</v>
      </c>
      <c r="B832" s="106" t="s">
        <v>6792</v>
      </c>
      <c r="C832" s="106" t="s">
        <v>185</v>
      </c>
      <c r="D832" s="107"/>
      <c r="E832" s="107" t="n">
        <v>337.371428571429</v>
      </c>
      <c r="F832" s="130" t="n">
        <v>0.38</v>
      </c>
      <c r="G832" s="106" t="s">
        <v>1411</v>
      </c>
      <c r="H832" s="106" t="n">
        <v>0</v>
      </c>
      <c r="I832" s="106" t="s">
        <v>6794</v>
      </c>
      <c r="J832" s="106" t="s">
        <v>6794</v>
      </c>
      <c r="K832" s="106" t="s">
        <v>6793</v>
      </c>
      <c r="L832" s="106" t="s">
        <v>6799</v>
      </c>
      <c r="M832" s="117"/>
      <c r="N832" s="106" t="n">
        <v>0</v>
      </c>
      <c r="O832" s="106"/>
      <c r="P832" s="27" t="s">
        <v>6805</v>
      </c>
    </row>
    <row r="833" customFormat="false" ht="15" hidden="false" customHeight="false" outlineLevel="0" collapsed="false">
      <c r="A833" s="106" t="s">
        <v>7581</v>
      </c>
      <c r="B833" s="106" t="s">
        <v>6792</v>
      </c>
      <c r="C833" s="106" t="s">
        <v>560</v>
      </c>
      <c r="D833" s="107"/>
      <c r="E833" s="107" t="n">
        <v>337.371428571429</v>
      </c>
      <c r="F833" s="130" t="n">
        <v>0.55</v>
      </c>
      <c r="G833" s="106" t="s">
        <v>1411</v>
      </c>
      <c r="H833" s="106" t="n">
        <v>0</v>
      </c>
      <c r="I833" s="106" t="s">
        <v>6793</v>
      </c>
      <c r="J833" s="106" t="s">
        <v>6794</v>
      </c>
      <c r="K833" s="106" t="s">
        <v>6793</v>
      </c>
      <c r="L833" s="106" t="s">
        <v>6794</v>
      </c>
      <c r="M833" s="117"/>
      <c r="N833" s="106" t="n">
        <v>0</v>
      </c>
      <c r="O833" s="106"/>
      <c r="P833" s="27" t="s">
        <v>6818</v>
      </c>
    </row>
    <row r="834" customFormat="false" ht="15" hidden="false" customHeight="false" outlineLevel="0" collapsed="false">
      <c r="A834" s="106" t="s">
        <v>7582</v>
      </c>
      <c r="B834" s="106" t="s">
        <v>6792</v>
      </c>
      <c r="C834" s="106" t="s">
        <v>185</v>
      </c>
      <c r="D834" s="107"/>
      <c r="E834" s="107" t="n">
        <v>337.371428571429</v>
      </c>
      <c r="F834" s="130" t="n">
        <v>0.55</v>
      </c>
      <c r="G834" s="106" t="s">
        <v>1411</v>
      </c>
      <c r="H834" s="106" t="n">
        <v>0</v>
      </c>
      <c r="I834" s="106" t="s">
        <v>6793</v>
      </c>
      <c r="J834" s="106" t="s">
        <v>6794</v>
      </c>
      <c r="K834" s="106" t="s">
        <v>6793</v>
      </c>
      <c r="L834" s="106" t="s">
        <v>6794</v>
      </c>
      <c r="M834" s="117"/>
      <c r="N834" s="106" t="n">
        <v>0</v>
      </c>
      <c r="O834" s="106"/>
      <c r="P834" s="27" t="s">
        <v>6818</v>
      </c>
    </row>
    <row r="835" customFormat="false" ht="15" hidden="false" customHeight="false" outlineLevel="0" collapsed="false">
      <c r="A835" s="106" t="s">
        <v>7583</v>
      </c>
      <c r="B835" s="106" t="s">
        <v>6792</v>
      </c>
      <c r="C835" s="106" t="s">
        <v>185</v>
      </c>
      <c r="D835" s="107"/>
      <c r="E835" s="107" t="n">
        <v>337.371428571429</v>
      </c>
      <c r="F835" s="130" t="n">
        <v>0.55</v>
      </c>
      <c r="G835" s="106" t="s">
        <v>1411</v>
      </c>
      <c r="H835" s="106" t="n">
        <v>0.5</v>
      </c>
      <c r="I835" s="106" t="s">
        <v>6793</v>
      </c>
      <c r="J835" s="106" t="s">
        <v>6794</v>
      </c>
      <c r="K835" s="106" t="s">
        <v>6793</v>
      </c>
      <c r="L835" s="106" t="s">
        <v>6794</v>
      </c>
      <c r="M835" s="117"/>
      <c r="N835" s="106" t="n">
        <v>0</v>
      </c>
      <c r="O835" s="106"/>
      <c r="P835" s="27" t="s">
        <v>6818</v>
      </c>
    </row>
    <row r="836" customFormat="false" ht="15" hidden="false" customHeight="false" outlineLevel="0" collapsed="false">
      <c r="A836" s="106" t="s">
        <v>7584</v>
      </c>
      <c r="B836" s="106" t="s">
        <v>6792</v>
      </c>
      <c r="C836" s="106" t="s">
        <v>560</v>
      </c>
      <c r="D836" s="107"/>
      <c r="E836" s="107" t="n">
        <v>337.371428571429</v>
      </c>
      <c r="F836" s="130" t="n">
        <v>0.45</v>
      </c>
      <c r="G836" s="106" t="s">
        <v>1411</v>
      </c>
      <c r="H836" s="106" t="n">
        <v>0</v>
      </c>
      <c r="I836" s="106" t="s">
        <v>6794</v>
      </c>
      <c r="J836" s="106" t="s">
        <v>6794</v>
      </c>
      <c r="K836" s="106" t="s">
        <v>6793</v>
      </c>
      <c r="L836" s="106" t="s">
        <v>6793</v>
      </c>
      <c r="M836" s="117"/>
      <c r="N836" s="106" t="n">
        <v>0</v>
      </c>
      <c r="O836" s="106"/>
      <c r="P836" s="27" t="s">
        <v>6805</v>
      </c>
    </row>
    <row r="837" customFormat="false" ht="15" hidden="false" customHeight="false" outlineLevel="0" collapsed="false">
      <c r="A837" s="106" t="s">
        <v>7585</v>
      </c>
      <c r="B837" s="106" t="s">
        <v>6792</v>
      </c>
      <c r="C837" s="106"/>
      <c r="D837" s="107"/>
      <c r="E837" s="107" t="n">
        <v>337.371428571429</v>
      </c>
      <c r="F837" s="130" t="n">
        <v>0.5</v>
      </c>
      <c r="G837" s="106" t="s">
        <v>1411</v>
      </c>
      <c r="H837" s="106" t="n">
        <v>0</v>
      </c>
      <c r="I837" s="106" t="s">
        <v>6793</v>
      </c>
      <c r="J837" s="106" t="s">
        <v>6794</v>
      </c>
      <c r="K837" s="106" t="s">
        <v>6793</v>
      </c>
      <c r="L837" s="106" t="s">
        <v>6794</v>
      </c>
      <c r="M837" s="117"/>
      <c r="N837" s="106" t="n">
        <v>0</v>
      </c>
      <c r="O837" s="106"/>
      <c r="P837" s="27" t="s">
        <v>6818</v>
      </c>
    </row>
    <row r="838" customFormat="false" ht="15" hidden="false" customHeight="false" outlineLevel="0" collapsed="false">
      <c r="A838" s="106" t="s">
        <v>7586</v>
      </c>
      <c r="B838" s="106" t="s">
        <v>6792</v>
      </c>
      <c r="C838" s="106" t="s">
        <v>560</v>
      </c>
      <c r="D838" s="107"/>
      <c r="E838" s="107" t="n">
        <v>337.371428571429</v>
      </c>
      <c r="F838" s="130" t="n">
        <v>0.55</v>
      </c>
      <c r="G838" s="106" t="s">
        <v>1411</v>
      </c>
      <c r="H838" s="106" t="n">
        <v>0.5</v>
      </c>
      <c r="I838" s="106" t="s">
        <v>6793</v>
      </c>
      <c r="J838" s="106" t="s">
        <v>6794</v>
      </c>
      <c r="K838" s="106" t="s">
        <v>6793</v>
      </c>
      <c r="L838" s="106" t="s">
        <v>6794</v>
      </c>
      <c r="M838" s="117"/>
      <c r="N838" s="106" t="n">
        <v>0</v>
      </c>
      <c r="O838" s="106"/>
      <c r="P838" s="27" t="s">
        <v>6818</v>
      </c>
    </row>
    <row r="839" customFormat="false" ht="22.35" hidden="false" customHeight="false" outlineLevel="0" collapsed="false">
      <c r="A839" s="106" t="s">
        <v>5649</v>
      </c>
      <c r="B839" s="106" t="s">
        <v>7101</v>
      </c>
      <c r="C839" s="106" t="s">
        <v>560</v>
      </c>
      <c r="D839" s="107" t="n">
        <v>441</v>
      </c>
      <c r="E839" s="107" t="n">
        <v>335.16</v>
      </c>
      <c r="F839" s="130" t="n">
        <v>1</v>
      </c>
      <c r="G839" s="106" t="s">
        <v>1411</v>
      </c>
      <c r="H839" s="106" t="n">
        <v>0</v>
      </c>
      <c r="I839" s="106" t="s">
        <v>6793</v>
      </c>
      <c r="J839" s="106" t="s">
        <v>6793</v>
      </c>
      <c r="K839" s="106" t="s">
        <v>6793</v>
      </c>
      <c r="L839" s="106" t="s">
        <v>6793</v>
      </c>
      <c r="M839" s="117"/>
      <c r="N839" s="106" t="n">
        <v>1</v>
      </c>
      <c r="O839" s="106" t="n">
        <v>0</v>
      </c>
      <c r="P839" s="27" t="s">
        <v>7447</v>
      </c>
    </row>
    <row r="840" customFormat="false" ht="15" hidden="false" customHeight="false" outlineLevel="0" collapsed="false">
      <c r="A840" s="106" t="s">
        <v>4951</v>
      </c>
      <c r="B840" s="106" t="s">
        <v>6792</v>
      </c>
      <c r="C840" s="106"/>
      <c r="D840" s="107" t="n">
        <v>433</v>
      </c>
      <c r="E840" s="107" t="n">
        <v>329.08</v>
      </c>
      <c r="F840" s="130" t="n">
        <v>0.7</v>
      </c>
      <c r="G840" s="106" t="s">
        <v>1411</v>
      </c>
      <c r="H840" s="106" t="n">
        <v>1.5</v>
      </c>
      <c r="I840" s="106" t="s">
        <v>6794</v>
      </c>
      <c r="J840" s="106" t="s">
        <v>6793</v>
      </c>
      <c r="K840" s="106" t="s">
        <v>6793</v>
      </c>
      <c r="L840" s="106" t="s">
        <v>6793</v>
      </c>
      <c r="M840" s="117"/>
      <c r="N840" s="106" t="n">
        <v>0</v>
      </c>
      <c r="O840" s="106"/>
      <c r="P840" s="27" t="s">
        <v>6885</v>
      </c>
    </row>
    <row r="841" customFormat="false" ht="22.35" hidden="false" customHeight="false" outlineLevel="0" collapsed="false">
      <c r="A841" s="106" t="s">
        <v>5344</v>
      </c>
      <c r="B841" s="106" t="s">
        <v>7101</v>
      </c>
      <c r="C841" s="106" t="s">
        <v>185</v>
      </c>
      <c r="D841" s="107" t="n">
        <v>433</v>
      </c>
      <c r="E841" s="107" t="n">
        <v>329.08</v>
      </c>
      <c r="F841" s="130" t="n">
        <v>0.88</v>
      </c>
      <c r="G841" s="106" t="s">
        <v>1411</v>
      </c>
      <c r="H841" s="106" t="n">
        <v>0</v>
      </c>
      <c r="I841" s="106" t="s">
        <v>6799</v>
      </c>
      <c r="J841" s="106" t="s">
        <v>6793</v>
      </c>
      <c r="K841" s="106" t="s">
        <v>6793</v>
      </c>
      <c r="L841" s="106" t="s">
        <v>6793</v>
      </c>
      <c r="M841" s="117"/>
      <c r="N841" s="106" t="n">
        <v>4</v>
      </c>
      <c r="O841" s="106" t="n">
        <v>25</v>
      </c>
      <c r="P841" s="27" t="s">
        <v>7447</v>
      </c>
    </row>
    <row r="842" customFormat="false" ht="15" hidden="false" customHeight="false" outlineLevel="0" collapsed="false">
      <c r="A842" s="106" t="s">
        <v>7587</v>
      </c>
      <c r="B842" s="106" t="s">
        <v>6792</v>
      </c>
      <c r="C842" s="106"/>
      <c r="D842" s="107"/>
      <c r="E842" s="107" t="n">
        <v>326.828571428572</v>
      </c>
      <c r="F842" s="130" t="n">
        <v>0.5</v>
      </c>
      <c r="G842" s="106" t="s">
        <v>1411</v>
      </c>
      <c r="H842" s="106" t="n">
        <v>0</v>
      </c>
      <c r="I842" s="106" t="s">
        <v>6793</v>
      </c>
      <c r="J842" s="106" t="s">
        <v>6794</v>
      </c>
      <c r="K842" s="106" t="s">
        <v>6793</v>
      </c>
      <c r="L842" s="106" t="s">
        <v>6794</v>
      </c>
      <c r="M842" s="117"/>
      <c r="N842" s="106" t="n">
        <v>0</v>
      </c>
      <c r="O842" s="106"/>
      <c r="P842" s="27" t="s">
        <v>6818</v>
      </c>
    </row>
    <row r="843" customFormat="false" ht="15" hidden="false" customHeight="false" outlineLevel="0" collapsed="false">
      <c r="A843" s="106" t="s">
        <v>7588</v>
      </c>
      <c r="B843" s="106" t="s">
        <v>6792</v>
      </c>
      <c r="C843" s="106" t="s">
        <v>696</v>
      </c>
      <c r="D843" s="107"/>
      <c r="E843" s="107" t="n">
        <v>326.828571428572</v>
      </c>
      <c r="F843" s="130" t="n">
        <v>0.45</v>
      </c>
      <c r="G843" s="106" t="s">
        <v>1411</v>
      </c>
      <c r="H843" s="106" t="n">
        <v>0</v>
      </c>
      <c r="I843" s="106" t="s">
        <v>6794</v>
      </c>
      <c r="J843" s="106" t="s">
        <v>6794</v>
      </c>
      <c r="K843" s="106" t="s">
        <v>6793</v>
      </c>
      <c r="L843" s="106" t="s">
        <v>6793</v>
      </c>
      <c r="M843" s="117"/>
      <c r="N843" s="106" t="n">
        <v>0</v>
      </c>
      <c r="O843" s="106"/>
      <c r="P843" s="27" t="s">
        <v>6805</v>
      </c>
    </row>
    <row r="844" customFormat="false" ht="15" hidden="false" customHeight="false" outlineLevel="0" collapsed="false">
      <c r="A844" s="106" t="s">
        <v>7589</v>
      </c>
      <c r="B844" s="106" t="s">
        <v>6792</v>
      </c>
      <c r="C844" s="106"/>
      <c r="D844" s="107"/>
      <c r="E844" s="107" t="n">
        <v>326.828571428572</v>
      </c>
      <c r="F844" s="130" t="n">
        <v>0.5</v>
      </c>
      <c r="G844" s="106" t="s">
        <v>1411</v>
      </c>
      <c r="H844" s="106" t="n">
        <v>0</v>
      </c>
      <c r="I844" s="106" t="s">
        <v>6793</v>
      </c>
      <c r="J844" s="106" t="s">
        <v>6794</v>
      </c>
      <c r="K844" s="106" t="s">
        <v>6793</v>
      </c>
      <c r="L844" s="106" t="s">
        <v>6794</v>
      </c>
      <c r="M844" s="117"/>
      <c r="N844" s="106" t="n">
        <v>0</v>
      </c>
      <c r="O844" s="106"/>
      <c r="P844" s="27" t="s">
        <v>6818</v>
      </c>
    </row>
    <row r="845" customFormat="false" ht="15" hidden="false" customHeight="false" outlineLevel="0" collapsed="false">
      <c r="A845" s="106" t="s">
        <v>7590</v>
      </c>
      <c r="B845" s="106" t="s">
        <v>6792</v>
      </c>
      <c r="C845" s="106"/>
      <c r="D845" s="107"/>
      <c r="E845" s="107" t="n">
        <v>326.828571428572</v>
      </c>
      <c r="F845" s="130" t="n">
        <v>0.4</v>
      </c>
      <c r="G845" s="106" t="s">
        <v>1411</v>
      </c>
      <c r="H845" s="106" t="n">
        <v>0</v>
      </c>
      <c r="I845" s="106" t="s">
        <v>6794</v>
      </c>
      <c r="J845" s="106" t="s">
        <v>6794</v>
      </c>
      <c r="K845" s="106" t="s">
        <v>6793</v>
      </c>
      <c r="L845" s="106" t="s">
        <v>6793</v>
      </c>
      <c r="M845" s="117"/>
      <c r="N845" s="106" t="n">
        <v>0</v>
      </c>
      <c r="O845" s="106"/>
      <c r="P845" s="27" t="s">
        <v>6805</v>
      </c>
    </row>
    <row r="846" customFormat="false" ht="15" hidden="false" customHeight="false" outlineLevel="0" collapsed="false">
      <c r="A846" s="106" t="s">
        <v>7591</v>
      </c>
      <c r="B846" s="106" t="s">
        <v>6792</v>
      </c>
      <c r="C846" s="106" t="s">
        <v>185</v>
      </c>
      <c r="D846" s="107"/>
      <c r="E846" s="107" t="n">
        <v>326.828571428572</v>
      </c>
      <c r="F846" s="130" t="n">
        <v>0.55</v>
      </c>
      <c r="G846" s="106" t="s">
        <v>1411</v>
      </c>
      <c r="H846" s="106" t="n">
        <v>0</v>
      </c>
      <c r="I846" s="106" t="s">
        <v>6793</v>
      </c>
      <c r="J846" s="106" t="s">
        <v>6794</v>
      </c>
      <c r="K846" s="106" t="s">
        <v>6793</v>
      </c>
      <c r="L846" s="106" t="s">
        <v>6794</v>
      </c>
      <c r="M846" s="117"/>
      <c r="N846" s="106" t="n">
        <v>0</v>
      </c>
      <c r="O846" s="106"/>
      <c r="P846" s="27" t="s">
        <v>6818</v>
      </c>
    </row>
    <row r="847" customFormat="false" ht="15" hidden="false" customHeight="false" outlineLevel="0" collapsed="false">
      <c r="A847" s="106" t="s">
        <v>7592</v>
      </c>
      <c r="B847" s="106" t="s">
        <v>6792</v>
      </c>
      <c r="C847" s="106"/>
      <c r="D847" s="107"/>
      <c r="E847" s="107" t="n">
        <v>326.828571428572</v>
      </c>
      <c r="F847" s="130" t="n">
        <v>0.5</v>
      </c>
      <c r="G847" s="106" t="s">
        <v>1411</v>
      </c>
      <c r="H847" s="106" t="n">
        <v>0</v>
      </c>
      <c r="I847" s="106" t="s">
        <v>6793</v>
      </c>
      <c r="J847" s="106" t="s">
        <v>6794</v>
      </c>
      <c r="K847" s="106" t="s">
        <v>6793</v>
      </c>
      <c r="L847" s="106" t="s">
        <v>6794</v>
      </c>
      <c r="M847" s="117"/>
      <c r="N847" s="106" t="n">
        <v>0</v>
      </c>
      <c r="O847" s="106"/>
      <c r="P847" s="27" t="s">
        <v>6818</v>
      </c>
    </row>
    <row r="848" customFormat="false" ht="15" hidden="false" customHeight="false" outlineLevel="0" collapsed="false">
      <c r="A848" s="106" t="s">
        <v>7593</v>
      </c>
      <c r="B848" s="106" t="s">
        <v>6792</v>
      </c>
      <c r="C848" s="106"/>
      <c r="D848" s="107"/>
      <c r="E848" s="107" t="n">
        <v>326.828571428572</v>
      </c>
      <c r="F848" s="130" t="n">
        <v>0.5</v>
      </c>
      <c r="G848" s="106" t="s">
        <v>1411</v>
      </c>
      <c r="H848" s="106" t="n">
        <v>0.5</v>
      </c>
      <c r="I848" s="106" t="s">
        <v>6793</v>
      </c>
      <c r="J848" s="106" t="s">
        <v>6794</v>
      </c>
      <c r="K848" s="106" t="s">
        <v>6793</v>
      </c>
      <c r="L848" s="106" t="s">
        <v>6794</v>
      </c>
      <c r="M848" s="117"/>
      <c r="N848" s="106" t="n">
        <v>0</v>
      </c>
      <c r="O848" s="106"/>
      <c r="P848" s="27" t="s">
        <v>6818</v>
      </c>
    </row>
    <row r="849" customFormat="false" ht="15" hidden="false" customHeight="false" outlineLevel="0" collapsed="false">
      <c r="A849" s="106" t="s">
        <v>7594</v>
      </c>
      <c r="B849" s="106" t="s">
        <v>6792</v>
      </c>
      <c r="C849" s="106"/>
      <c r="D849" s="107"/>
      <c r="E849" s="107" t="n">
        <v>326.828571428572</v>
      </c>
      <c r="F849" s="130" t="n">
        <v>0.5</v>
      </c>
      <c r="G849" s="106" t="s">
        <v>1411</v>
      </c>
      <c r="H849" s="106" t="n">
        <v>0</v>
      </c>
      <c r="I849" s="106" t="s">
        <v>6793</v>
      </c>
      <c r="J849" s="106" t="s">
        <v>6794</v>
      </c>
      <c r="K849" s="106" t="s">
        <v>6793</v>
      </c>
      <c r="L849" s="106" t="s">
        <v>6794</v>
      </c>
      <c r="M849" s="117"/>
      <c r="N849" s="106" t="n">
        <v>0</v>
      </c>
      <c r="O849" s="106"/>
      <c r="P849" s="27" t="s">
        <v>6818</v>
      </c>
    </row>
    <row r="850" customFormat="false" ht="15" hidden="false" customHeight="false" outlineLevel="0" collapsed="false">
      <c r="A850" s="106" t="s">
        <v>7595</v>
      </c>
      <c r="B850" s="106" t="s">
        <v>6792</v>
      </c>
      <c r="C850" s="106" t="s">
        <v>185</v>
      </c>
      <c r="D850" s="107"/>
      <c r="E850" s="107" t="n">
        <v>326.828571428572</v>
      </c>
      <c r="F850" s="130" t="n">
        <v>0.45</v>
      </c>
      <c r="G850" s="106" t="s">
        <v>1411</v>
      </c>
      <c r="H850" s="106" t="n">
        <v>0</v>
      </c>
      <c r="I850" s="106" t="s">
        <v>6794</v>
      </c>
      <c r="J850" s="106" t="s">
        <v>6794</v>
      </c>
      <c r="K850" s="106" t="s">
        <v>6793</v>
      </c>
      <c r="L850" s="106" t="s">
        <v>6793</v>
      </c>
      <c r="M850" s="117"/>
      <c r="N850" s="106" t="n">
        <v>0</v>
      </c>
      <c r="O850" s="106"/>
      <c r="P850" s="27" t="s">
        <v>6805</v>
      </c>
    </row>
    <row r="851" customFormat="false" ht="15" hidden="false" customHeight="false" outlineLevel="0" collapsed="false">
      <c r="A851" s="106" t="s">
        <v>7596</v>
      </c>
      <c r="B851" s="106" t="s">
        <v>6792</v>
      </c>
      <c r="C851" s="106" t="s">
        <v>696</v>
      </c>
      <c r="D851" s="107"/>
      <c r="E851" s="107" t="n">
        <v>326.828571428572</v>
      </c>
      <c r="F851" s="130" t="n">
        <v>0.45</v>
      </c>
      <c r="G851" s="106" t="s">
        <v>1411</v>
      </c>
      <c r="H851" s="106" t="n">
        <v>0</v>
      </c>
      <c r="I851" s="106" t="s">
        <v>6794</v>
      </c>
      <c r="J851" s="106" t="s">
        <v>6794</v>
      </c>
      <c r="K851" s="106" t="s">
        <v>6793</v>
      </c>
      <c r="L851" s="106" t="s">
        <v>6793</v>
      </c>
      <c r="M851" s="117"/>
      <c r="N851" s="106" t="n">
        <v>0</v>
      </c>
      <c r="O851" s="106"/>
      <c r="P851" s="27" t="s">
        <v>6805</v>
      </c>
    </row>
    <row r="852" customFormat="false" ht="15" hidden="false" customHeight="false" outlineLevel="0" collapsed="false">
      <c r="A852" s="106" t="s">
        <v>7597</v>
      </c>
      <c r="B852" s="106" t="s">
        <v>6792</v>
      </c>
      <c r="C852" s="106"/>
      <c r="D852" s="107"/>
      <c r="E852" s="107" t="n">
        <v>326.828571428572</v>
      </c>
      <c r="F852" s="130" t="n">
        <v>0.38</v>
      </c>
      <c r="G852" s="106" t="s">
        <v>1411</v>
      </c>
      <c r="H852" s="106" t="n">
        <v>0</v>
      </c>
      <c r="I852" s="106" t="s">
        <v>6799</v>
      </c>
      <c r="J852" s="106" t="s">
        <v>6794</v>
      </c>
      <c r="K852" s="106" t="s">
        <v>6793</v>
      </c>
      <c r="L852" s="106" t="s">
        <v>6794</v>
      </c>
      <c r="M852" s="117"/>
      <c r="N852" s="106" t="n">
        <v>0</v>
      </c>
      <c r="O852" s="106"/>
      <c r="P852" s="27" t="s">
        <v>6818</v>
      </c>
    </row>
    <row r="853" customFormat="false" ht="15" hidden="false" customHeight="false" outlineLevel="0" collapsed="false">
      <c r="A853" s="106" t="s">
        <v>7598</v>
      </c>
      <c r="B853" s="106" t="s">
        <v>6792</v>
      </c>
      <c r="C853" s="106" t="s">
        <v>479</v>
      </c>
      <c r="D853" s="107"/>
      <c r="E853" s="107" t="n">
        <v>326.828571428572</v>
      </c>
      <c r="F853" s="130" t="n">
        <v>0.55</v>
      </c>
      <c r="G853" s="106" t="s">
        <v>1411</v>
      </c>
      <c r="H853" s="106" t="n">
        <v>0</v>
      </c>
      <c r="I853" s="106" t="s">
        <v>6793</v>
      </c>
      <c r="J853" s="106" t="s">
        <v>6794</v>
      </c>
      <c r="K853" s="106" t="s">
        <v>6793</v>
      </c>
      <c r="L853" s="106" t="s">
        <v>6794</v>
      </c>
      <c r="M853" s="117"/>
      <c r="N853" s="106" t="n">
        <v>0</v>
      </c>
      <c r="O853" s="106"/>
      <c r="P853" s="27" t="s">
        <v>6818</v>
      </c>
    </row>
    <row r="854" customFormat="false" ht="15" hidden="false" customHeight="false" outlineLevel="0" collapsed="false">
      <c r="A854" s="106" t="s">
        <v>7599</v>
      </c>
      <c r="B854" s="106" t="s">
        <v>6792</v>
      </c>
      <c r="C854" s="106"/>
      <c r="D854" s="107"/>
      <c r="E854" s="107" t="n">
        <v>326.828571428572</v>
      </c>
      <c r="F854" s="130" t="n">
        <v>0.38</v>
      </c>
      <c r="G854" s="106" t="s">
        <v>1411</v>
      </c>
      <c r="H854" s="106" t="n">
        <v>0</v>
      </c>
      <c r="I854" s="106" t="s">
        <v>6799</v>
      </c>
      <c r="J854" s="106" t="s">
        <v>6794</v>
      </c>
      <c r="K854" s="106" t="s">
        <v>6793</v>
      </c>
      <c r="L854" s="106" t="s">
        <v>6794</v>
      </c>
      <c r="M854" s="117"/>
      <c r="N854" s="106" t="n">
        <v>0</v>
      </c>
      <c r="O854" s="106"/>
      <c r="P854" s="27" t="s">
        <v>6818</v>
      </c>
    </row>
    <row r="855" customFormat="false" ht="15" hidden="false" customHeight="false" outlineLevel="0" collapsed="false">
      <c r="A855" s="106" t="s">
        <v>7600</v>
      </c>
      <c r="B855" s="106" t="s">
        <v>6792</v>
      </c>
      <c r="C855" s="106" t="s">
        <v>696</v>
      </c>
      <c r="D855" s="107"/>
      <c r="E855" s="107" t="n">
        <v>326.828571428572</v>
      </c>
      <c r="F855" s="130" t="n">
        <v>0.55</v>
      </c>
      <c r="G855" s="106" t="s">
        <v>1411</v>
      </c>
      <c r="H855" s="106" t="n">
        <v>0</v>
      </c>
      <c r="I855" s="106" t="s">
        <v>6793</v>
      </c>
      <c r="J855" s="106" t="s">
        <v>6794</v>
      </c>
      <c r="K855" s="106" t="s">
        <v>6793</v>
      </c>
      <c r="L855" s="106" t="s">
        <v>6794</v>
      </c>
      <c r="M855" s="117"/>
      <c r="N855" s="106" t="n">
        <v>0</v>
      </c>
      <c r="O855" s="106"/>
      <c r="P855" s="27" t="s">
        <v>6818</v>
      </c>
    </row>
    <row r="856" customFormat="false" ht="15" hidden="false" customHeight="false" outlineLevel="0" collapsed="false">
      <c r="A856" s="106" t="s">
        <v>7601</v>
      </c>
      <c r="B856" s="106" t="s">
        <v>6792</v>
      </c>
      <c r="C856" s="106" t="s">
        <v>479</v>
      </c>
      <c r="D856" s="107"/>
      <c r="E856" s="107" t="n">
        <v>326.828571428572</v>
      </c>
      <c r="F856" s="130" t="n">
        <v>0.55</v>
      </c>
      <c r="G856" s="106" t="s">
        <v>1411</v>
      </c>
      <c r="H856" s="106" t="n">
        <v>0</v>
      </c>
      <c r="I856" s="106" t="s">
        <v>6793</v>
      </c>
      <c r="J856" s="106" t="s">
        <v>6794</v>
      </c>
      <c r="K856" s="106" t="s">
        <v>6793</v>
      </c>
      <c r="L856" s="106" t="s">
        <v>6794</v>
      </c>
      <c r="M856" s="117"/>
      <c r="N856" s="106" t="n">
        <v>0</v>
      </c>
      <c r="O856" s="106"/>
      <c r="P856" s="27" t="s">
        <v>6818</v>
      </c>
    </row>
    <row r="857" customFormat="false" ht="15" hidden="false" customHeight="false" outlineLevel="0" collapsed="false">
      <c r="A857" s="106" t="s">
        <v>7602</v>
      </c>
      <c r="B857" s="106" t="s">
        <v>6792</v>
      </c>
      <c r="C857" s="106" t="s">
        <v>479</v>
      </c>
      <c r="D857" s="107"/>
      <c r="E857" s="107" t="n">
        <v>326.828571428572</v>
      </c>
      <c r="F857" s="130" t="n">
        <v>0.55</v>
      </c>
      <c r="G857" s="106" t="s">
        <v>1411</v>
      </c>
      <c r="H857" s="106" t="n">
        <v>0</v>
      </c>
      <c r="I857" s="106" t="s">
        <v>6793</v>
      </c>
      <c r="J857" s="106" t="s">
        <v>6794</v>
      </c>
      <c r="K857" s="106" t="s">
        <v>6793</v>
      </c>
      <c r="L857" s="106" t="s">
        <v>6794</v>
      </c>
      <c r="M857" s="117"/>
      <c r="N857" s="106" t="n">
        <v>0</v>
      </c>
      <c r="O857" s="106"/>
      <c r="P857" s="27" t="s">
        <v>6818</v>
      </c>
    </row>
    <row r="858" customFormat="false" ht="22.35" hidden="false" customHeight="false" outlineLevel="0" collapsed="false">
      <c r="A858" s="106" t="s">
        <v>5305</v>
      </c>
      <c r="B858" s="106" t="s">
        <v>7101</v>
      </c>
      <c r="C858" s="106" t="s">
        <v>560</v>
      </c>
      <c r="D858" s="107" t="n">
        <v>573</v>
      </c>
      <c r="E858" s="107" t="n">
        <v>326.828571428572</v>
      </c>
      <c r="F858" s="130" t="n">
        <v>1</v>
      </c>
      <c r="G858" s="106" t="s">
        <v>1411</v>
      </c>
      <c r="H858" s="106" t="n">
        <v>1</v>
      </c>
      <c r="I858" s="106" t="s">
        <v>6793</v>
      </c>
      <c r="J858" s="106" t="s">
        <v>6793</v>
      </c>
      <c r="K858" s="106" t="s">
        <v>6793</v>
      </c>
      <c r="L858" s="106" t="s">
        <v>6793</v>
      </c>
      <c r="M858" s="117"/>
      <c r="N858" s="106" t="n">
        <v>6</v>
      </c>
      <c r="O858" s="106" t="n">
        <v>0</v>
      </c>
      <c r="P858" s="27" t="s">
        <v>7472</v>
      </c>
    </row>
    <row r="859" customFormat="false" ht="15" hidden="false" customHeight="false" outlineLevel="0" collapsed="false">
      <c r="A859" s="106" t="s">
        <v>7603</v>
      </c>
      <c r="B859" s="106" t="s">
        <v>6792</v>
      </c>
      <c r="C859" s="106" t="s">
        <v>560</v>
      </c>
      <c r="D859" s="107"/>
      <c r="E859" s="107" t="n">
        <v>326.828571428572</v>
      </c>
      <c r="F859" s="130" t="n">
        <v>0.55</v>
      </c>
      <c r="G859" s="106" t="s">
        <v>1411</v>
      </c>
      <c r="H859" s="106" t="n">
        <v>0</v>
      </c>
      <c r="I859" s="106" t="s">
        <v>6793</v>
      </c>
      <c r="J859" s="106" t="s">
        <v>6794</v>
      </c>
      <c r="K859" s="106" t="s">
        <v>6793</v>
      </c>
      <c r="L859" s="106" t="s">
        <v>6794</v>
      </c>
      <c r="M859" s="117"/>
      <c r="N859" s="106" t="n">
        <v>0</v>
      </c>
      <c r="O859" s="106"/>
      <c r="P859" s="27" t="s">
        <v>6818</v>
      </c>
    </row>
    <row r="860" customFormat="false" ht="22.35" hidden="false" customHeight="false" outlineLevel="0" collapsed="false">
      <c r="A860" s="106" t="s">
        <v>7604</v>
      </c>
      <c r="B860" s="106" t="s">
        <v>7101</v>
      </c>
      <c r="C860" s="106" t="s">
        <v>560</v>
      </c>
      <c r="D860" s="107" t="n">
        <v>429</v>
      </c>
      <c r="E860" s="107" t="n">
        <v>326.04</v>
      </c>
      <c r="F860" s="130" t="n">
        <v>1</v>
      </c>
      <c r="G860" s="106" t="s">
        <v>1411</v>
      </c>
      <c r="H860" s="106" t="n">
        <v>0</v>
      </c>
      <c r="I860" s="106" t="s">
        <v>6793</v>
      </c>
      <c r="J860" s="106" t="s">
        <v>6793</v>
      </c>
      <c r="K860" s="106" t="s">
        <v>6793</v>
      </c>
      <c r="L860" s="106" t="s">
        <v>6793</v>
      </c>
      <c r="M860" s="117"/>
      <c r="N860" s="106" t="n">
        <v>0</v>
      </c>
      <c r="O860" s="106"/>
      <c r="P860" s="27" t="s">
        <v>7447</v>
      </c>
    </row>
    <row r="861" customFormat="false" ht="32.8" hidden="false" customHeight="false" outlineLevel="0" collapsed="false">
      <c r="A861" s="106" t="s">
        <v>7605</v>
      </c>
      <c r="B861" s="106" t="s">
        <v>7101</v>
      </c>
      <c r="C861" s="106" t="s">
        <v>696</v>
      </c>
      <c r="D861" s="107" t="n">
        <v>429</v>
      </c>
      <c r="E861" s="107" t="n">
        <v>326.04</v>
      </c>
      <c r="F861" s="130" t="n">
        <v>1</v>
      </c>
      <c r="G861" s="106" t="s">
        <v>1411</v>
      </c>
      <c r="H861" s="106" t="n">
        <v>1.5</v>
      </c>
      <c r="I861" s="106" t="s">
        <v>6793</v>
      </c>
      <c r="J861" s="106" t="s">
        <v>6793</v>
      </c>
      <c r="K861" s="106" t="s">
        <v>6793</v>
      </c>
      <c r="L861" s="106" t="s">
        <v>6793</v>
      </c>
      <c r="M861" s="117"/>
      <c r="N861" s="106" t="n">
        <v>0</v>
      </c>
      <c r="O861" s="106"/>
      <c r="P861" s="27" t="s">
        <v>7606</v>
      </c>
    </row>
    <row r="862" customFormat="false" ht="22.35" hidden="false" customHeight="false" outlineLevel="0" collapsed="false">
      <c r="A862" s="106" t="s">
        <v>7607</v>
      </c>
      <c r="B862" s="106" t="s">
        <v>7101</v>
      </c>
      <c r="C862" s="106"/>
      <c r="D862" s="107" t="n">
        <v>428</v>
      </c>
      <c r="E862" s="107" t="n">
        <v>325.28</v>
      </c>
      <c r="F862" s="130" t="n">
        <v>0.82</v>
      </c>
      <c r="G862" s="106" t="s">
        <v>1411</v>
      </c>
      <c r="H862" s="106" t="n">
        <v>0</v>
      </c>
      <c r="I862" s="106" t="s">
        <v>6799</v>
      </c>
      <c r="J862" s="106" t="s">
        <v>6793</v>
      </c>
      <c r="K862" s="106" t="s">
        <v>6793</v>
      </c>
      <c r="L862" s="106" t="s">
        <v>6793</v>
      </c>
      <c r="M862" s="117"/>
      <c r="N862" s="106" t="n">
        <v>0</v>
      </c>
      <c r="O862" s="106"/>
      <c r="P862" s="27" t="s">
        <v>7447</v>
      </c>
    </row>
    <row r="863" customFormat="false" ht="22.35" hidden="false" customHeight="false" outlineLevel="0" collapsed="false">
      <c r="A863" s="106" t="s">
        <v>7608</v>
      </c>
      <c r="B863" s="106" t="s">
        <v>7101</v>
      </c>
      <c r="C863" s="106" t="s">
        <v>185</v>
      </c>
      <c r="D863" s="107" t="n">
        <v>428</v>
      </c>
      <c r="E863" s="107" t="n">
        <v>325.28</v>
      </c>
      <c r="F863" s="130" t="n">
        <v>0.88</v>
      </c>
      <c r="G863" s="106" t="s">
        <v>1411</v>
      </c>
      <c r="H863" s="106" t="n">
        <v>0</v>
      </c>
      <c r="I863" s="106" t="s">
        <v>6799</v>
      </c>
      <c r="J863" s="106" t="s">
        <v>6793</v>
      </c>
      <c r="K863" s="106" t="s">
        <v>6793</v>
      </c>
      <c r="L863" s="106" t="s">
        <v>6793</v>
      </c>
      <c r="M863" s="117"/>
      <c r="N863" s="106" t="n">
        <v>0</v>
      </c>
      <c r="O863" s="106"/>
      <c r="P863" s="27" t="s">
        <v>7447</v>
      </c>
    </row>
    <row r="864" customFormat="false" ht="22.35" hidden="false" customHeight="false" outlineLevel="0" collapsed="false">
      <c r="A864" s="106" t="s">
        <v>7609</v>
      </c>
      <c r="B864" s="106" t="s">
        <v>6792</v>
      </c>
      <c r="C864" s="106"/>
      <c r="D864" s="107" t="n">
        <v>426</v>
      </c>
      <c r="E864" s="107" t="n">
        <v>323.76</v>
      </c>
      <c r="F864" s="130" t="n">
        <v>0.52</v>
      </c>
      <c r="G864" s="106" t="s">
        <v>1411</v>
      </c>
      <c r="H864" s="106" t="n">
        <v>0</v>
      </c>
      <c r="I864" s="106" t="s">
        <v>6799</v>
      </c>
      <c r="J864" s="106" t="s">
        <v>6794</v>
      </c>
      <c r="K864" s="106" t="s">
        <v>6793</v>
      </c>
      <c r="L864" s="106" t="s">
        <v>6793</v>
      </c>
      <c r="M864" s="117"/>
      <c r="N864" s="106" t="n">
        <v>0</v>
      </c>
      <c r="O864" s="106"/>
      <c r="P864" s="27" t="s">
        <v>7610</v>
      </c>
    </row>
    <row r="865" customFormat="false" ht="22.35" hidden="false" customHeight="false" outlineLevel="0" collapsed="false">
      <c r="A865" s="106" t="s">
        <v>5286</v>
      </c>
      <c r="B865" s="106" t="s">
        <v>7101</v>
      </c>
      <c r="C865" s="106" t="s">
        <v>560</v>
      </c>
      <c r="D865" s="107" t="n">
        <v>424</v>
      </c>
      <c r="E865" s="107" t="n">
        <v>322.24</v>
      </c>
      <c r="F865" s="130" t="n">
        <v>1</v>
      </c>
      <c r="G865" s="106" t="s">
        <v>1411</v>
      </c>
      <c r="H865" s="106" t="n">
        <v>0</v>
      </c>
      <c r="I865" s="106" t="s">
        <v>6793</v>
      </c>
      <c r="J865" s="106" t="s">
        <v>6793</v>
      </c>
      <c r="K865" s="106" t="s">
        <v>6793</v>
      </c>
      <c r="L865" s="106" t="s">
        <v>6793</v>
      </c>
      <c r="M865" s="117"/>
      <c r="N865" s="106" t="n">
        <v>7</v>
      </c>
      <c r="O865" s="106" t="n">
        <v>0</v>
      </c>
      <c r="P865" s="27" t="s">
        <v>7447</v>
      </c>
    </row>
    <row r="866" customFormat="false" ht="15" hidden="false" customHeight="false" outlineLevel="0" collapsed="false">
      <c r="A866" s="106" t="s">
        <v>7611</v>
      </c>
      <c r="B866" s="106" t="s">
        <v>6792</v>
      </c>
      <c r="C866" s="106" t="s">
        <v>696</v>
      </c>
      <c r="D866" s="107" t="n">
        <v>424</v>
      </c>
      <c r="E866" s="107" t="n">
        <v>322.24</v>
      </c>
      <c r="F866" s="130" t="n">
        <v>0.55</v>
      </c>
      <c r="G866" s="106" t="s">
        <v>1411</v>
      </c>
      <c r="H866" s="106" t="n">
        <v>0</v>
      </c>
      <c r="I866" s="106" t="s">
        <v>6793</v>
      </c>
      <c r="J866" s="106" t="s">
        <v>6794</v>
      </c>
      <c r="K866" s="106" t="s">
        <v>6793</v>
      </c>
      <c r="L866" s="106" t="s">
        <v>6794</v>
      </c>
      <c r="M866" s="117"/>
      <c r="N866" s="106" t="n">
        <v>0</v>
      </c>
      <c r="O866" s="106"/>
      <c r="P866" s="27" t="s">
        <v>6818</v>
      </c>
    </row>
    <row r="867" customFormat="false" ht="32.8" hidden="false" customHeight="false" outlineLevel="0" collapsed="false">
      <c r="A867" s="106" t="s">
        <v>7612</v>
      </c>
      <c r="B867" s="106" t="s">
        <v>7101</v>
      </c>
      <c r="C867" s="106" t="s">
        <v>185</v>
      </c>
      <c r="D867" s="107" t="n">
        <v>418</v>
      </c>
      <c r="E867" s="107" t="n">
        <v>317.68</v>
      </c>
      <c r="F867" s="130" t="n">
        <v>1</v>
      </c>
      <c r="G867" s="106" t="s">
        <v>1411</v>
      </c>
      <c r="H867" s="106" t="n">
        <v>1.5</v>
      </c>
      <c r="I867" s="106" t="s">
        <v>6793</v>
      </c>
      <c r="J867" s="106" t="s">
        <v>6793</v>
      </c>
      <c r="K867" s="106" t="s">
        <v>6793</v>
      </c>
      <c r="L867" s="106" t="s">
        <v>6793</v>
      </c>
      <c r="M867" s="117"/>
      <c r="N867" s="106" t="n">
        <v>0</v>
      </c>
      <c r="O867" s="106"/>
      <c r="P867" s="27" t="s">
        <v>7613</v>
      </c>
    </row>
    <row r="868" customFormat="false" ht="15" hidden="false" customHeight="false" outlineLevel="0" collapsed="false">
      <c r="A868" s="106" t="s">
        <v>7614</v>
      </c>
      <c r="B868" s="106" t="s">
        <v>6792</v>
      </c>
      <c r="C868" s="106"/>
      <c r="D868" s="107"/>
      <c r="E868" s="107" t="n">
        <v>316.285714285714</v>
      </c>
      <c r="F868" s="130" t="n">
        <v>0.4</v>
      </c>
      <c r="G868" s="106" t="s">
        <v>1411</v>
      </c>
      <c r="H868" s="106" t="n">
        <v>0</v>
      </c>
      <c r="I868" s="106" t="s">
        <v>6794</v>
      </c>
      <c r="J868" s="106" t="s">
        <v>6794</v>
      </c>
      <c r="K868" s="106" t="s">
        <v>6793</v>
      </c>
      <c r="L868" s="106" t="s">
        <v>6793</v>
      </c>
      <c r="M868" s="117"/>
      <c r="N868" s="106" t="n">
        <v>0</v>
      </c>
      <c r="O868" s="106"/>
      <c r="P868" s="27" t="s">
        <v>6805</v>
      </c>
    </row>
    <row r="869" customFormat="false" ht="15" hidden="false" customHeight="false" outlineLevel="0" collapsed="false">
      <c r="A869" s="106" t="s">
        <v>7615</v>
      </c>
      <c r="B869" s="106" t="s">
        <v>6792</v>
      </c>
      <c r="C869" s="106"/>
      <c r="D869" s="107"/>
      <c r="E869" s="107" t="n">
        <v>316.285714285714</v>
      </c>
      <c r="F869" s="130" t="n">
        <v>0.5</v>
      </c>
      <c r="G869" s="106" t="s">
        <v>1411</v>
      </c>
      <c r="H869" s="106" t="n">
        <v>0</v>
      </c>
      <c r="I869" s="106" t="s">
        <v>6793</v>
      </c>
      <c r="J869" s="106" t="s">
        <v>6794</v>
      </c>
      <c r="K869" s="106" t="s">
        <v>6793</v>
      </c>
      <c r="L869" s="106" t="s">
        <v>6794</v>
      </c>
      <c r="M869" s="117"/>
      <c r="N869" s="106" t="n">
        <v>0</v>
      </c>
      <c r="O869" s="106"/>
      <c r="P869" s="27" t="s">
        <v>6818</v>
      </c>
    </row>
    <row r="870" customFormat="false" ht="15" hidden="false" customHeight="false" outlineLevel="0" collapsed="false">
      <c r="A870" s="106" t="s">
        <v>7616</v>
      </c>
      <c r="B870" s="106" t="s">
        <v>6792</v>
      </c>
      <c r="C870" s="106"/>
      <c r="D870" s="107"/>
      <c r="E870" s="107" t="n">
        <v>316.285714285714</v>
      </c>
      <c r="F870" s="130" t="n">
        <v>0.4</v>
      </c>
      <c r="G870" s="106" t="s">
        <v>1411</v>
      </c>
      <c r="H870" s="106" t="n">
        <v>0</v>
      </c>
      <c r="I870" s="106" t="s">
        <v>6794</v>
      </c>
      <c r="J870" s="106" t="s">
        <v>6794</v>
      </c>
      <c r="K870" s="106" t="s">
        <v>6793</v>
      </c>
      <c r="L870" s="106" t="s">
        <v>6793</v>
      </c>
      <c r="M870" s="117"/>
      <c r="N870" s="106" t="n">
        <v>0</v>
      </c>
      <c r="O870" s="106"/>
      <c r="P870" s="27" t="s">
        <v>6805</v>
      </c>
    </row>
    <row r="871" customFormat="false" ht="15" hidden="false" customHeight="false" outlineLevel="0" collapsed="false">
      <c r="A871" s="106" t="s">
        <v>7617</v>
      </c>
      <c r="B871" s="106" t="s">
        <v>6792</v>
      </c>
      <c r="C871" s="106" t="s">
        <v>185</v>
      </c>
      <c r="D871" s="107"/>
      <c r="E871" s="107" t="n">
        <v>316.285714285714</v>
      </c>
      <c r="F871" s="130" t="n">
        <v>0.55</v>
      </c>
      <c r="G871" s="106" t="s">
        <v>1411</v>
      </c>
      <c r="H871" s="106" t="n">
        <v>0</v>
      </c>
      <c r="I871" s="106" t="s">
        <v>6793</v>
      </c>
      <c r="J871" s="106" t="s">
        <v>6794</v>
      </c>
      <c r="K871" s="106" t="s">
        <v>6793</v>
      </c>
      <c r="L871" s="106" t="s">
        <v>6794</v>
      </c>
      <c r="M871" s="117"/>
      <c r="N871" s="106" t="n">
        <v>0</v>
      </c>
      <c r="O871" s="106"/>
      <c r="P871" s="27" t="s">
        <v>6818</v>
      </c>
    </row>
    <row r="872" customFormat="false" ht="15" hidden="false" customHeight="false" outlineLevel="0" collapsed="false">
      <c r="A872" s="106" t="s">
        <v>7618</v>
      </c>
      <c r="B872" s="106" t="s">
        <v>6792</v>
      </c>
      <c r="C872" s="106" t="s">
        <v>560</v>
      </c>
      <c r="D872" s="107"/>
      <c r="E872" s="107" t="n">
        <v>316.285714285714</v>
      </c>
      <c r="F872" s="130" t="n">
        <v>0.55</v>
      </c>
      <c r="G872" s="106" t="s">
        <v>1411</v>
      </c>
      <c r="H872" s="106" t="n">
        <v>0</v>
      </c>
      <c r="I872" s="106" t="s">
        <v>6793</v>
      </c>
      <c r="J872" s="106" t="s">
        <v>6794</v>
      </c>
      <c r="K872" s="106" t="s">
        <v>6793</v>
      </c>
      <c r="L872" s="106" t="s">
        <v>6794</v>
      </c>
      <c r="M872" s="117"/>
      <c r="N872" s="106" t="n">
        <v>0</v>
      </c>
      <c r="O872" s="106"/>
      <c r="P872" s="27" t="s">
        <v>6818</v>
      </c>
    </row>
    <row r="873" customFormat="false" ht="15" hidden="false" customHeight="false" outlineLevel="0" collapsed="false">
      <c r="A873" s="106" t="s">
        <v>7619</v>
      </c>
      <c r="B873" s="106" t="s">
        <v>6792</v>
      </c>
      <c r="C873" s="106" t="s">
        <v>696</v>
      </c>
      <c r="D873" s="107"/>
      <c r="E873" s="107" t="n">
        <v>316.285714285714</v>
      </c>
      <c r="F873" s="130" t="n">
        <v>0.45</v>
      </c>
      <c r="G873" s="106" t="s">
        <v>1411</v>
      </c>
      <c r="H873" s="106" t="n">
        <v>0</v>
      </c>
      <c r="I873" s="106" t="s">
        <v>6794</v>
      </c>
      <c r="J873" s="106" t="s">
        <v>6794</v>
      </c>
      <c r="K873" s="106" t="s">
        <v>6793</v>
      </c>
      <c r="L873" s="106" t="s">
        <v>6793</v>
      </c>
      <c r="M873" s="117"/>
      <c r="N873" s="106" t="n">
        <v>0</v>
      </c>
      <c r="O873" s="106"/>
      <c r="P873" s="27" t="s">
        <v>6805</v>
      </c>
    </row>
    <row r="874" customFormat="false" ht="15" hidden="false" customHeight="false" outlineLevel="0" collapsed="false">
      <c r="A874" s="106" t="s">
        <v>7620</v>
      </c>
      <c r="B874" s="106" t="s">
        <v>6792</v>
      </c>
      <c r="C874" s="106"/>
      <c r="D874" s="107"/>
      <c r="E874" s="107" t="n">
        <v>316.285714285714</v>
      </c>
      <c r="F874" s="130" t="n">
        <v>0.32</v>
      </c>
      <c r="G874" s="106" t="s">
        <v>1411</v>
      </c>
      <c r="H874" s="106" t="n">
        <v>0</v>
      </c>
      <c r="I874" s="106" t="s">
        <v>6794</v>
      </c>
      <c r="J874" s="106" t="s">
        <v>6794</v>
      </c>
      <c r="K874" s="106" t="s">
        <v>6793</v>
      </c>
      <c r="L874" s="106" t="s">
        <v>6799</v>
      </c>
      <c r="M874" s="117"/>
      <c r="N874" s="106" t="n">
        <v>0</v>
      </c>
      <c r="O874" s="106"/>
      <c r="P874" s="27" t="s">
        <v>6805</v>
      </c>
    </row>
    <row r="875" customFormat="false" ht="15" hidden="false" customHeight="false" outlineLevel="0" collapsed="false">
      <c r="A875" s="106" t="s">
        <v>7621</v>
      </c>
      <c r="B875" s="106" t="s">
        <v>6792</v>
      </c>
      <c r="C875" s="106"/>
      <c r="D875" s="107"/>
      <c r="E875" s="107" t="n">
        <v>316.285714285714</v>
      </c>
      <c r="F875" s="130" t="n">
        <v>0.5</v>
      </c>
      <c r="G875" s="106" t="s">
        <v>1411</v>
      </c>
      <c r="H875" s="106" t="n">
        <v>0</v>
      </c>
      <c r="I875" s="106" t="s">
        <v>6793</v>
      </c>
      <c r="J875" s="106" t="s">
        <v>6794</v>
      </c>
      <c r="K875" s="106" t="s">
        <v>6793</v>
      </c>
      <c r="L875" s="106" t="s">
        <v>6794</v>
      </c>
      <c r="M875" s="117"/>
      <c r="N875" s="106" t="n">
        <v>0</v>
      </c>
      <c r="O875" s="106"/>
      <c r="P875" s="27" t="s">
        <v>6818</v>
      </c>
    </row>
    <row r="876" customFormat="false" ht="15" hidden="false" customHeight="false" outlineLevel="0" collapsed="false">
      <c r="A876" s="106" t="s">
        <v>7622</v>
      </c>
      <c r="B876" s="106" t="s">
        <v>6792</v>
      </c>
      <c r="C876" s="106" t="s">
        <v>185</v>
      </c>
      <c r="D876" s="107"/>
      <c r="E876" s="107" t="n">
        <v>316.285714285714</v>
      </c>
      <c r="F876" s="130" t="n">
        <v>0.45</v>
      </c>
      <c r="G876" s="106" t="s">
        <v>1411</v>
      </c>
      <c r="H876" s="106" t="n">
        <v>0</v>
      </c>
      <c r="I876" s="106" t="s">
        <v>6794</v>
      </c>
      <c r="J876" s="106" t="s">
        <v>6794</v>
      </c>
      <c r="K876" s="106" t="s">
        <v>6793</v>
      </c>
      <c r="L876" s="106" t="s">
        <v>6793</v>
      </c>
      <c r="M876" s="117"/>
      <c r="N876" s="106" t="n">
        <v>0</v>
      </c>
      <c r="O876" s="106"/>
      <c r="P876" s="27" t="s">
        <v>6805</v>
      </c>
    </row>
    <row r="877" customFormat="false" ht="15" hidden="false" customHeight="false" outlineLevel="0" collapsed="false">
      <c r="A877" s="106" t="s">
        <v>7623</v>
      </c>
      <c r="B877" s="106" t="s">
        <v>6792</v>
      </c>
      <c r="C877" s="106" t="s">
        <v>479</v>
      </c>
      <c r="D877" s="107"/>
      <c r="E877" s="107" t="n">
        <v>316.285714285714</v>
      </c>
      <c r="F877" s="130" t="n">
        <v>0.55</v>
      </c>
      <c r="G877" s="106" t="s">
        <v>1411</v>
      </c>
      <c r="H877" s="106" t="n">
        <v>0</v>
      </c>
      <c r="I877" s="106" t="s">
        <v>6793</v>
      </c>
      <c r="J877" s="106" t="s">
        <v>6794</v>
      </c>
      <c r="K877" s="106" t="s">
        <v>6793</v>
      </c>
      <c r="L877" s="106" t="s">
        <v>6794</v>
      </c>
      <c r="M877" s="117"/>
      <c r="N877" s="106" t="n">
        <v>0</v>
      </c>
      <c r="O877" s="106"/>
      <c r="P877" s="27" t="s">
        <v>6818</v>
      </c>
    </row>
    <row r="878" customFormat="false" ht="15" hidden="false" customHeight="false" outlineLevel="0" collapsed="false">
      <c r="A878" s="106" t="s">
        <v>7624</v>
      </c>
      <c r="B878" s="106" t="s">
        <v>6792</v>
      </c>
      <c r="C878" s="106" t="s">
        <v>185</v>
      </c>
      <c r="D878" s="107"/>
      <c r="E878" s="107" t="n">
        <v>316.285714285714</v>
      </c>
      <c r="F878" s="130" t="n">
        <v>0.55</v>
      </c>
      <c r="G878" s="106" t="s">
        <v>1411</v>
      </c>
      <c r="H878" s="106" t="n">
        <v>0</v>
      </c>
      <c r="I878" s="106" t="s">
        <v>6793</v>
      </c>
      <c r="J878" s="106" t="s">
        <v>6794</v>
      </c>
      <c r="K878" s="106" t="s">
        <v>6793</v>
      </c>
      <c r="L878" s="106" t="s">
        <v>6794</v>
      </c>
      <c r="M878" s="117"/>
      <c r="N878" s="106" t="n">
        <v>0</v>
      </c>
      <c r="O878" s="106"/>
      <c r="P878" s="27" t="s">
        <v>6818</v>
      </c>
    </row>
    <row r="879" customFormat="false" ht="15" hidden="false" customHeight="false" outlineLevel="0" collapsed="false">
      <c r="A879" s="106" t="s">
        <v>7625</v>
      </c>
      <c r="B879" s="106" t="s">
        <v>6792</v>
      </c>
      <c r="C879" s="106" t="s">
        <v>479</v>
      </c>
      <c r="D879" s="107"/>
      <c r="E879" s="107" t="n">
        <v>316.285714285714</v>
      </c>
      <c r="F879" s="130" t="n">
        <v>0.55</v>
      </c>
      <c r="G879" s="106" t="s">
        <v>1411</v>
      </c>
      <c r="H879" s="106" t="n">
        <v>0</v>
      </c>
      <c r="I879" s="106" t="s">
        <v>6793</v>
      </c>
      <c r="J879" s="106" t="s">
        <v>6794</v>
      </c>
      <c r="K879" s="106" t="s">
        <v>6793</v>
      </c>
      <c r="L879" s="106" t="s">
        <v>6794</v>
      </c>
      <c r="M879" s="117"/>
      <c r="N879" s="106" t="n">
        <v>0</v>
      </c>
      <c r="O879" s="106"/>
      <c r="P879" s="27" t="s">
        <v>6818</v>
      </c>
    </row>
    <row r="880" customFormat="false" ht="22.35" hidden="false" customHeight="false" outlineLevel="0" collapsed="false">
      <c r="A880" s="106" t="s">
        <v>7626</v>
      </c>
      <c r="B880" s="106" t="s">
        <v>7101</v>
      </c>
      <c r="C880" s="106"/>
      <c r="D880" s="107" t="n">
        <v>416</v>
      </c>
      <c r="E880" s="107" t="n">
        <v>316.16</v>
      </c>
      <c r="F880" s="130" t="n">
        <v>0.95</v>
      </c>
      <c r="G880" s="106" t="s">
        <v>1411</v>
      </c>
      <c r="H880" s="106" t="n">
        <v>0</v>
      </c>
      <c r="I880" s="106" t="s">
        <v>6793</v>
      </c>
      <c r="J880" s="106" t="s">
        <v>6793</v>
      </c>
      <c r="K880" s="106" t="s">
        <v>6793</v>
      </c>
      <c r="L880" s="106" t="s">
        <v>6793</v>
      </c>
      <c r="M880" s="117"/>
      <c r="N880" s="106" t="n">
        <v>0</v>
      </c>
      <c r="O880" s="106"/>
      <c r="P880" s="27" t="s">
        <v>7447</v>
      </c>
    </row>
    <row r="881" customFormat="false" ht="22.35" hidden="false" customHeight="false" outlineLevel="0" collapsed="false">
      <c r="A881" s="106" t="s">
        <v>5371</v>
      </c>
      <c r="B881" s="106" t="s">
        <v>7101</v>
      </c>
      <c r="C881" s="106" t="s">
        <v>185</v>
      </c>
      <c r="D881" s="107" t="n">
        <v>415</v>
      </c>
      <c r="E881" s="107" t="n">
        <v>315.4</v>
      </c>
      <c r="F881" s="130" t="n">
        <v>1</v>
      </c>
      <c r="G881" s="106" t="s">
        <v>1411</v>
      </c>
      <c r="H881" s="106" t="n">
        <v>0</v>
      </c>
      <c r="I881" s="106" t="s">
        <v>6793</v>
      </c>
      <c r="J881" s="106" t="s">
        <v>6793</v>
      </c>
      <c r="K881" s="106" t="s">
        <v>6793</v>
      </c>
      <c r="L881" s="106" t="s">
        <v>6793</v>
      </c>
      <c r="M881" s="117"/>
      <c r="N881" s="106" t="n">
        <v>3</v>
      </c>
      <c r="O881" s="106" t="n">
        <v>0</v>
      </c>
      <c r="P881" s="27" t="s">
        <v>7447</v>
      </c>
    </row>
    <row r="882" customFormat="false" ht="22.35" hidden="false" customHeight="false" outlineLevel="0" collapsed="false">
      <c r="A882" s="106" t="s">
        <v>7627</v>
      </c>
      <c r="B882" s="106" t="s">
        <v>7101</v>
      </c>
      <c r="C882" s="106" t="s">
        <v>560</v>
      </c>
      <c r="D882" s="107" t="n">
        <v>415</v>
      </c>
      <c r="E882" s="107" t="n">
        <v>315.4</v>
      </c>
      <c r="F882" s="130" t="n">
        <v>1</v>
      </c>
      <c r="G882" s="106" t="s">
        <v>1411</v>
      </c>
      <c r="H882" s="106" t="n">
        <v>0</v>
      </c>
      <c r="I882" s="106" t="s">
        <v>6793</v>
      </c>
      <c r="J882" s="106" t="s">
        <v>6793</v>
      </c>
      <c r="K882" s="106" t="s">
        <v>6793</v>
      </c>
      <c r="L882" s="106" t="s">
        <v>6793</v>
      </c>
      <c r="M882" s="117"/>
      <c r="N882" s="106" t="n">
        <v>0</v>
      </c>
      <c r="O882" s="106"/>
      <c r="P882" s="27" t="s">
        <v>7447</v>
      </c>
    </row>
    <row r="883" customFormat="false" ht="22.35" hidden="false" customHeight="false" outlineLevel="0" collapsed="false">
      <c r="A883" s="106" t="s">
        <v>7628</v>
      </c>
      <c r="B883" s="106" t="s">
        <v>7101</v>
      </c>
      <c r="C883" s="106" t="s">
        <v>479</v>
      </c>
      <c r="D883" s="107" t="n">
        <v>411</v>
      </c>
      <c r="E883" s="107" t="n">
        <v>312.36</v>
      </c>
      <c r="F883" s="130" t="n">
        <v>1</v>
      </c>
      <c r="G883" s="106" t="s">
        <v>1411</v>
      </c>
      <c r="H883" s="106" t="n">
        <v>0</v>
      </c>
      <c r="I883" s="106" t="s">
        <v>6793</v>
      </c>
      <c r="J883" s="106" t="s">
        <v>6793</v>
      </c>
      <c r="K883" s="106" t="s">
        <v>6793</v>
      </c>
      <c r="L883" s="106" t="s">
        <v>6793</v>
      </c>
      <c r="M883" s="117"/>
      <c r="N883" s="106" t="n">
        <v>0</v>
      </c>
      <c r="O883" s="106"/>
      <c r="P883" s="27" t="s">
        <v>7447</v>
      </c>
    </row>
    <row r="884" customFormat="false" ht="22.35" hidden="false" customHeight="false" outlineLevel="0" collapsed="false">
      <c r="A884" s="106" t="s">
        <v>7629</v>
      </c>
      <c r="B884" s="106" t="s">
        <v>7101</v>
      </c>
      <c r="C884" s="106" t="s">
        <v>185</v>
      </c>
      <c r="D884" s="107" t="n">
        <v>411</v>
      </c>
      <c r="E884" s="107" t="n">
        <v>312.36</v>
      </c>
      <c r="F884" s="130" t="n">
        <v>1</v>
      </c>
      <c r="G884" s="106" t="s">
        <v>1411</v>
      </c>
      <c r="H884" s="106" t="n">
        <v>0</v>
      </c>
      <c r="I884" s="106" t="s">
        <v>6793</v>
      </c>
      <c r="J884" s="106" t="s">
        <v>6793</v>
      </c>
      <c r="K884" s="106" t="s">
        <v>6793</v>
      </c>
      <c r="L884" s="106" t="s">
        <v>6793</v>
      </c>
      <c r="M884" s="117"/>
      <c r="N884" s="106" t="n">
        <v>0</v>
      </c>
      <c r="O884" s="106"/>
      <c r="P884" s="27" t="s">
        <v>7447</v>
      </c>
    </row>
    <row r="885" customFormat="false" ht="15" hidden="false" customHeight="false" outlineLevel="0" collapsed="false">
      <c r="A885" s="106" t="s">
        <v>7630</v>
      </c>
      <c r="B885" s="106" t="s">
        <v>6792</v>
      </c>
      <c r="C885" s="106" t="s">
        <v>185</v>
      </c>
      <c r="D885" s="107" t="n">
        <v>410</v>
      </c>
      <c r="E885" s="107" t="n">
        <v>311.6</v>
      </c>
      <c r="F885" s="130" t="n">
        <v>0.75</v>
      </c>
      <c r="G885" s="106" t="s">
        <v>1411</v>
      </c>
      <c r="H885" s="106" t="n">
        <v>1.5</v>
      </c>
      <c r="I885" s="106" t="s">
        <v>6794</v>
      </c>
      <c r="J885" s="106" t="s">
        <v>6793</v>
      </c>
      <c r="K885" s="106" t="s">
        <v>6793</v>
      </c>
      <c r="L885" s="106" t="s">
        <v>6793</v>
      </c>
      <c r="M885" s="117"/>
      <c r="N885" s="106" t="n">
        <v>0</v>
      </c>
      <c r="O885" s="106"/>
      <c r="P885" s="27" t="s">
        <v>6983</v>
      </c>
    </row>
    <row r="886" customFormat="false" ht="15" hidden="false" customHeight="false" outlineLevel="0" collapsed="false">
      <c r="A886" s="106" t="s">
        <v>4957</v>
      </c>
      <c r="B886" s="106" t="s">
        <v>6792</v>
      </c>
      <c r="C886" s="106" t="s">
        <v>560</v>
      </c>
      <c r="D886" s="107" t="n">
        <v>410</v>
      </c>
      <c r="E886" s="107" t="n">
        <v>311.6</v>
      </c>
      <c r="F886" s="130" t="n">
        <v>0.62</v>
      </c>
      <c r="G886" s="106" t="s">
        <v>1411</v>
      </c>
      <c r="H886" s="106" t="n">
        <v>0.5</v>
      </c>
      <c r="I886" s="106" t="s">
        <v>6793</v>
      </c>
      <c r="J886" s="106" t="s">
        <v>6794</v>
      </c>
      <c r="K886" s="106" t="s">
        <v>6799</v>
      </c>
      <c r="L886" s="106" t="s">
        <v>6793</v>
      </c>
      <c r="M886" s="117" t="n">
        <v>0</v>
      </c>
      <c r="N886" s="106" t="n">
        <v>0</v>
      </c>
      <c r="O886" s="106"/>
      <c r="P886" s="27" t="s">
        <v>6795</v>
      </c>
    </row>
    <row r="887" customFormat="false" ht="15" hidden="false" customHeight="false" outlineLevel="0" collapsed="false">
      <c r="A887" s="106" t="s">
        <v>7631</v>
      </c>
      <c r="B887" s="106" t="s">
        <v>6792</v>
      </c>
      <c r="C887" s="106" t="s">
        <v>479</v>
      </c>
      <c r="D887" s="107" t="n">
        <v>409</v>
      </c>
      <c r="E887" s="107" t="n">
        <v>310.84</v>
      </c>
      <c r="F887" s="130" t="n">
        <v>0.45</v>
      </c>
      <c r="G887" s="106" t="s">
        <v>1411</v>
      </c>
      <c r="H887" s="106" t="n">
        <v>0</v>
      </c>
      <c r="I887" s="106" t="s">
        <v>6794</v>
      </c>
      <c r="J887" s="106" t="s">
        <v>6794</v>
      </c>
      <c r="K887" s="106" t="s">
        <v>6793</v>
      </c>
      <c r="L887" s="106" t="s">
        <v>6793</v>
      </c>
      <c r="M887" s="117"/>
      <c r="N887" s="106" t="n">
        <v>0</v>
      </c>
      <c r="O887" s="106"/>
      <c r="P887" s="27" t="s">
        <v>6805</v>
      </c>
    </row>
    <row r="888" customFormat="false" ht="15" hidden="false" customHeight="false" outlineLevel="0" collapsed="false">
      <c r="A888" s="106" t="s">
        <v>7632</v>
      </c>
      <c r="B888" s="106" t="s">
        <v>6792</v>
      </c>
      <c r="C888" s="106"/>
      <c r="D888" s="107" t="n">
        <v>409</v>
      </c>
      <c r="E888" s="107" t="n">
        <v>310.84</v>
      </c>
      <c r="F888" s="130" t="n">
        <v>0.7</v>
      </c>
      <c r="G888" s="106" t="s">
        <v>1411</v>
      </c>
      <c r="H888" s="106" t="n">
        <v>0</v>
      </c>
      <c r="I888" s="106" t="s">
        <v>6794</v>
      </c>
      <c r="J888" s="106" t="s">
        <v>6793</v>
      </c>
      <c r="K888" s="106" t="s">
        <v>6793</v>
      </c>
      <c r="L888" s="106" t="s">
        <v>6793</v>
      </c>
      <c r="M888" s="117"/>
      <c r="N888" s="106" t="n">
        <v>0</v>
      </c>
      <c r="O888" s="106"/>
      <c r="P888" s="27" t="s">
        <v>6885</v>
      </c>
    </row>
    <row r="889" customFormat="false" ht="22.35" hidden="false" customHeight="false" outlineLevel="0" collapsed="false">
      <c r="A889" s="106" t="s">
        <v>7633</v>
      </c>
      <c r="B889" s="106" t="s">
        <v>7101</v>
      </c>
      <c r="C889" s="106" t="s">
        <v>560</v>
      </c>
      <c r="D889" s="107" t="n">
        <v>407</v>
      </c>
      <c r="E889" s="107" t="n">
        <v>309.32</v>
      </c>
      <c r="F889" s="130" t="n">
        <v>0.72</v>
      </c>
      <c r="G889" s="106" t="s">
        <v>1411</v>
      </c>
      <c r="H889" s="106" t="n">
        <v>0</v>
      </c>
      <c r="I889" s="106" t="s">
        <v>6799</v>
      </c>
      <c r="J889" s="106" t="s">
        <v>6799</v>
      </c>
      <c r="K889" s="106" t="s">
        <v>6793</v>
      </c>
      <c r="L889" s="106" t="s">
        <v>6793</v>
      </c>
      <c r="M889" s="117"/>
      <c r="N889" s="106" t="n">
        <v>0</v>
      </c>
      <c r="O889" s="106"/>
      <c r="P889" s="27" t="s">
        <v>7634</v>
      </c>
    </row>
    <row r="890" customFormat="false" ht="15" hidden="false" customHeight="false" outlineLevel="0" collapsed="false">
      <c r="A890" s="106" t="s">
        <v>7635</v>
      </c>
      <c r="B890" s="106" t="s">
        <v>6792</v>
      </c>
      <c r="C890" s="106"/>
      <c r="D890" s="107" t="n">
        <v>405</v>
      </c>
      <c r="E890" s="107" t="n">
        <v>307.8</v>
      </c>
      <c r="F890" s="130" t="n">
        <v>0.7</v>
      </c>
      <c r="G890" s="106" t="s">
        <v>1411</v>
      </c>
      <c r="H890" s="106" t="n">
        <v>0</v>
      </c>
      <c r="I890" s="106" t="s">
        <v>6794</v>
      </c>
      <c r="J890" s="106" t="s">
        <v>6793</v>
      </c>
      <c r="K890" s="106" t="s">
        <v>6793</v>
      </c>
      <c r="L890" s="106" t="s">
        <v>6793</v>
      </c>
      <c r="M890" s="117"/>
      <c r="N890" s="106" t="n">
        <v>0</v>
      </c>
      <c r="O890" s="106"/>
      <c r="P890" s="27" t="s">
        <v>6983</v>
      </c>
    </row>
    <row r="891" customFormat="false" ht="22.35" hidden="false" customHeight="false" outlineLevel="0" collapsed="false">
      <c r="A891" s="106" t="s">
        <v>5420</v>
      </c>
      <c r="B891" s="106" t="s">
        <v>7101</v>
      </c>
      <c r="C891" s="106"/>
      <c r="D891" s="107" t="n">
        <v>405</v>
      </c>
      <c r="E891" s="107" t="n">
        <v>307.8</v>
      </c>
      <c r="F891" s="130" t="n">
        <v>0.95</v>
      </c>
      <c r="G891" s="106" t="s">
        <v>1411</v>
      </c>
      <c r="H891" s="106" t="n">
        <v>0</v>
      </c>
      <c r="I891" s="106" t="s">
        <v>6793</v>
      </c>
      <c r="J891" s="106" t="s">
        <v>6793</v>
      </c>
      <c r="K891" s="106" t="s">
        <v>6793</v>
      </c>
      <c r="L891" s="106" t="s">
        <v>6793</v>
      </c>
      <c r="M891" s="117"/>
      <c r="N891" s="106" t="n">
        <v>3</v>
      </c>
      <c r="O891" s="106" t="n">
        <v>33.33</v>
      </c>
      <c r="P891" s="27" t="s">
        <v>7447</v>
      </c>
    </row>
    <row r="892" customFormat="false" ht="22.35" hidden="false" customHeight="false" outlineLevel="0" collapsed="false">
      <c r="A892" s="106" t="s">
        <v>5354</v>
      </c>
      <c r="B892" s="106" t="s">
        <v>7101</v>
      </c>
      <c r="C892" s="106" t="s">
        <v>185</v>
      </c>
      <c r="D892" s="107" t="n">
        <v>403</v>
      </c>
      <c r="E892" s="107" t="n">
        <v>306.28</v>
      </c>
      <c r="F892" s="130" t="n">
        <v>1</v>
      </c>
      <c r="G892" s="106" t="s">
        <v>1411</v>
      </c>
      <c r="H892" s="106" t="n">
        <v>0</v>
      </c>
      <c r="I892" s="106" t="s">
        <v>6793</v>
      </c>
      <c r="J892" s="106" t="s">
        <v>6793</v>
      </c>
      <c r="K892" s="106" t="s">
        <v>6793</v>
      </c>
      <c r="L892" s="106" t="s">
        <v>6793</v>
      </c>
      <c r="M892" s="117"/>
      <c r="N892" s="106" t="n">
        <v>4</v>
      </c>
      <c r="O892" s="106" t="n">
        <v>25</v>
      </c>
      <c r="P892" s="27" t="s">
        <v>7447</v>
      </c>
    </row>
    <row r="893" customFormat="false" ht="22.35" hidden="false" customHeight="false" outlineLevel="0" collapsed="false">
      <c r="A893" s="106" t="s">
        <v>7636</v>
      </c>
      <c r="B893" s="106" t="s">
        <v>7101</v>
      </c>
      <c r="C893" s="106" t="s">
        <v>185</v>
      </c>
      <c r="D893" s="107" t="n">
        <v>403</v>
      </c>
      <c r="E893" s="107" t="n">
        <v>306.28</v>
      </c>
      <c r="F893" s="130" t="n">
        <v>1</v>
      </c>
      <c r="G893" s="106" t="s">
        <v>1411</v>
      </c>
      <c r="H893" s="106" t="n">
        <v>0</v>
      </c>
      <c r="I893" s="106" t="s">
        <v>6793</v>
      </c>
      <c r="J893" s="106" t="s">
        <v>6793</v>
      </c>
      <c r="K893" s="106" t="s">
        <v>6793</v>
      </c>
      <c r="L893" s="106" t="s">
        <v>6793</v>
      </c>
      <c r="M893" s="117"/>
      <c r="N893" s="106" t="n">
        <v>0</v>
      </c>
      <c r="O893" s="106"/>
      <c r="P893" s="27" t="s">
        <v>7447</v>
      </c>
    </row>
    <row r="894" customFormat="false" ht="15" hidden="false" customHeight="false" outlineLevel="0" collapsed="false">
      <c r="A894" s="106" t="s">
        <v>7637</v>
      </c>
      <c r="B894" s="106" t="s">
        <v>6792</v>
      </c>
      <c r="C894" s="106"/>
      <c r="D894" s="107"/>
      <c r="E894" s="107" t="n">
        <v>305.742857142857</v>
      </c>
      <c r="F894" s="130" t="n">
        <v>0.5</v>
      </c>
      <c r="G894" s="106" t="s">
        <v>1411</v>
      </c>
      <c r="H894" s="106" t="n">
        <v>0.5</v>
      </c>
      <c r="I894" s="106" t="s">
        <v>6793</v>
      </c>
      <c r="J894" s="106" t="s">
        <v>6794</v>
      </c>
      <c r="K894" s="106" t="s">
        <v>6793</v>
      </c>
      <c r="L894" s="106" t="s">
        <v>6794</v>
      </c>
      <c r="M894" s="117"/>
      <c r="N894" s="106" t="n">
        <v>0</v>
      </c>
      <c r="O894" s="106"/>
      <c r="P894" s="27" t="s">
        <v>6818</v>
      </c>
    </row>
    <row r="895" customFormat="false" ht="15" hidden="false" customHeight="false" outlineLevel="0" collapsed="false">
      <c r="A895" s="106" t="s">
        <v>7638</v>
      </c>
      <c r="B895" s="106" t="s">
        <v>6792</v>
      </c>
      <c r="C895" s="106" t="s">
        <v>185</v>
      </c>
      <c r="D895" s="107"/>
      <c r="E895" s="107" t="n">
        <v>305.742857142857</v>
      </c>
      <c r="F895" s="130" t="n">
        <v>0.42</v>
      </c>
      <c r="G895" s="106" t="s">
        <v>1411</v>
      </c>
      <c r="H895" s="106" t="n">
        <v>0</v>
      </c>
      <c r="I895" s="106" t="s">
        <v>6799</v>
      </c>
      <c r="J895" s="106" t="s">
        <v>6794</v>
      </c>
      <c r="K895" s="106" t="s">
        <v>6793</v>
      </c>
      <c r="L895" s="106" t="s">
        <v>6794</v>
      </c>
      <c r="M895" s="117"/>
      <c r="N895" s="106" t="n">
        <v>0</v>
      </c>
      <c r="O895" s="106"/>
      <c r="P895" s="27" t="s">
        <v>6818</v>
      </c>
    </row>
    <row r="896" customFormat="false" ht="15" hidden="false" customHeight="false" outlineLevel="0" collapsed="false">
      <c r="A896" s="106" t="s">
        <v>7639</v>
      </c>
      <c r="B896" s="106" t="s">
        <v>6792</v>
      </c>
      <c r="C896" s="106"/>
      <c r="D896" s="107"/>
      <c r="E896" s="107" t="n">
        <v>305.742857142857</v>
      </c>
      <c r="F896" s="130" t="n">
        <v>0.4</v>
      </c>
      <c r="G896" s="106" t="s">
        <v>1411</v>
      </c>
      <c r="H896" s="106" t="n">
        <v>0</v>
      </c>
      <c r="I896" s="106" t="s">
        <v>6794</v>
      </c>
      <c r="J896" s="106" t="s">
        <v>6794</v>
      </c>
      <c r="K896" s="106" t="s">
        <v>6793</v>
      </c>
      <c r="L896" s="106" t="s">
        <v>6793</v>
      </c>
      <c r="M896" s="117"/>
      <c r="N896" s="106" t="n">
        <v>0</v>
      </c>
      <c r="O896" s="106"/>
      <c r="P896" s="27" t="s">
        <v>6805</v>
      </c>
    </row>
    <row r="897" customFormat="false" ht="15" hidden="false" customHeight="false" outlineLevel="0" collapsed="false">
      <c r="A897" s="106" t="s">
        <v>7640</v>
      </c>
      <c r="B897" s="106" t="s">
        <v>6792</v>
      </c>
      <c r="C897" s="106"/>
      <c r="D897" s="107"/>
      <c r="E897" s="107" t="n">
        <v>305.742857142857</v>
      </c>
      <c r="F897" s="130" t="n">
        <v>0.4</v>
      </c>
      <c r="G897" s="106" t="s">
        <v>1411</v>
      </c>
      <c r="H897" s="106" t="n">
        <v>0</v>
      </c>
      <c r="I897" s="106" t="s">
        <v>6794</v>
      </c>
      <c r="J897" s="106" t="s">
        <v>6794</v>
      </c>
      <c r="K897" s="106" t="s">
        <v>6793</v>
      </c>
      <c r="L897" s="106" t="s">
        <v>6793</v>
      </c>
      <c r="M897" s="117"/>
      <c r="N897" s="106" t="n">
        <v>0</v>
      </c>
      <c r="O897" s="106"/>
      <c r="P897" s="27" t="s">
        <v>6805</v>
      </c>
    </row>
    <row r="898" customFormat="false" ht="22.35" hidden="false" customHeight="false" outlineLevel="0" collapsed="false">
      <c r="A898" s="106" t="s">
        <v>5461</v>
      </c>
      <c r="B898" s="106" t="s">
        <v>7101</v>
      </c>
      <c r="C898" s="106" t="s">
        <v>185</v>
      </c>
      <c r="D898" s="107" t="n">
        <v>527</v>
      </c>
      <c r="E898" s="107" t="n">
        <v>305.742857142857</v>
      </c>
      <c r="F898" s="130" t="n">
        <v>1</v>
      </c>
      <c r="G898" s="106" t="s">
        <v>1411</v>
      </c>
      <c r="H898" s="106" t="n">
        <v>1</v>
      </c>
      <c r="I898" s="106" t="s">
        <v>6793</v>
      </c>
      <c r="J898" s="106" t="s">
        <v>6793</v>
      </c>
      <c r="K898" s="106" t="s">
        <v>6793</v>
      </c>
      <c r="L898" s="106" t="s">
        <v>6793</v>
      </c>
      <c r="M898" s="117"/>
      <c r="N898" s="106" t="n">
        <v>2</v>
      </c>
      <c r="O898" s="106" t="n">
        <v>50</v>
      </c>
      <c r="P898" s="27" t="s">
        <v>7472</v>
      </c>
    </row>
    <row r="899" customFormat="false" ht="15" hidden="false" customHeight="false" outlineLevel="0" collapsed="false">
      <c r="A899" s="106" t="s">
        <v>7641</v>
      </c>
      <c r="B899" s="106" t="s">
        <v>6792</v>
      </c>
      <c r="C899" s="106" t="s">
        <v>479</v>
      </c>
      <c r="D899" s="107"/>
      <c r="E899" s="107" t="n">
        <v>305.742857142857</v>
      </c>
      <c r="F899" s="130" t="n">
        <v>0.55</v>
      </c>
      <c r="G899" s="106" t="s">
        <v>1411</v>
      </c>
      <c r="H899" s="106" t="n">
        <v>0</v>
      </c>
      <c r="I899" s="106" t="s">
        <v>6793</v>
      </c>
      <c r="J899" s="106" t="s">
        <v>6794</v>
      </c>
      <c r="K899" s="106" t="s">
        <v>6793</v>
      </c>
      <c r="L899" s="106" t="s">
        <v>6794</v>
      </c>
      <c r="M899" s="117"/>
      <c r="N899" s="106" t="n">
        <v>0</v>
      </c>
      <c r="O899" s="106"/>
      <c r="P899" s="27" t="s">
        <v>6818</v>
      </c>
    </row>
    <row r="900" customFormat="false" ht="15" hidden="false" customHeight="false" outlineLevel="0" collapsed="false">
      <c r="A900" s="106" t="s">
        <v>7642</v>
      </c>
      <c r="B900" s="106" t="s">
        <v>6792</v>
      </c>
      <c r="C900" s="106"/>
      <c r="D900" s="107"/>
      <c r="E900" s="107" t="n">
        <v>305.742857142857</v>
      </c>
      <c r="F900" s="130" t="n">
        <v>0.5</v>
      </c>
      <c r="G900" s="106" t="s">
        <v>1411</v>
      </c>
      <c r="H900" s="106" t="n">
        <v>0</v>
      </c>
      <c r="I900" s="106" t="s">
        <v>6793</v>
      </c>
      <c r="J900" s="106" t="s">
        <v>6794</v>
      </c>
      <c r="K900" s="106" t="s">
        <v>6793</v>
      </c>
      <c r="L900" s="106" t="s">
        <v>6794</v>
      </c>
      <c r="M900" s="117"/>
      <c r="N900" s="106" t="n">
        <v>0</v>
      </c>
      <c r="O900" s="106"/>
      <c r="P900" s="27" t="s">
        <v>6818</v>
      </c>
    </row>
    <row r="901" customFormat="false" ht="15" hidden="false" customHeight="false" outlineLevel="0" collapsed="false">
      <c r="A901" s="106" t="s">
        <v>7643</v>
      </c>
      <c r="B901" s="106" t="s">
        <v>6792</v>
      </c>
      <c r="C901" s="106" t="s">
        <v>696</v>
      </c>
      <c r="D901" s="107"/>
      <c r="E901" s="107" t="n">
        <v>305.742857142857</v>
      </c>
      <c r="F901" s="130" t="n">
        <v>0.45</v>
      </c>
      <c r="G901" s="106" t="s">
        <v>1411</v>
      </c>
      <c r="H901" s="106" t="n">
        <v>0</v>
      </c>
      <c r="I901" s="106" t="s">
        <v>6794</v>
      </c>
      <c r="J901" s="106" t="s">
        <v>6794</v>
      </c>
      <c r="K901" s="106" t="s">
        <v>6793</v>
      </c>
      <c r="L901" s="106" t="s">
        <v>6793</v>
      </c>
      <c r="M901" s="117"/>
      <c r="N901" s="106" t="n">
        <v>0</v>
      </c>
      <c r="O901" s="106"/>
      <c r="P901" s="27" t="s">
        <v>6805</v>
      </c>
    </row>
    <row r="902" customFormat="false" ht="15" hidden="false" customHeight="false" outlineLevel="0" collapsed="false">
      <c r="A902" s="106" t="s">
        <v>7644</v>
      </c>
      <c r="B902" s="106" t="s">
        <v>6792</v>
      </c>
      <c r="C902" s="106" t="s">
        <v>479</v>
      </c>
      <c r="D902" s="107"/>
      <c r="E902" s="107" t="n">
        <v>305.742857142857</v>
      </c>
      <c r="F902" s="130" t="n">
        <v>0.45</v>
      </c>
      <c r="G902" s="106" t="s">
        <v>1411</v>
      </c>
      <c r="H902" s="106" t="n">
        <v>0</v>
      </c>
      <c r="I902" s="106" t="s">
        <v>6794</v>
      </c>
      <c r="J902" s="106" t="s">
        <v>6794</v>
      </c>
      <c r="K902" s="106" t="s">
        <v>6793</v>
      </c>
      <c r="L902" s="106" t="s">
        <v>6793</v>
      </c>
      <c r="M902" s="117"/>
      <c r="N902" s="106" t="n">
        <v>0</v>
      </c>
      <c r="O902" s="106"/>
      <c r="P902" s="27" t="s">
        <v>6805</v>
      </c>
    </row>
    <row r="903" customFormat="false" ht="15" hidden="false" customHeight="false" outlineLevel="0" collapsed="false">
      <c r="A903" s="106" t="s">
        <v>7645</v>
      </c>
      <c r="B903" s="106" t="s">
        <v>6792</v>
      </c>
      <c r="C903" s="106"/>
      <c r="D903" s="107"/>
      <c r="E903" s="107" t="n">
        <v>305.742857142857</v>
      </c>
      <c r="F903" s="130" t="n">
        <v>0.5</v>
      </c>
      <c r="G903" s="106" t="s">
        <v>1411</v>
      </c>
      <c r="H903" s="106" t="n">
        <v>0</v>
      </c>
      <c r="I903" s="106" t="s">
        <v>6793</v>
      </c>
      <c r="J903" s="106" t="s">
        <v>6794</v>
      </c>
      <c r="K903" s="106" t="s">
        <v>6793</v>
      </c>
      <c r="L903" s="106" t="s">
        <v>6794</v>
      </c>
      <c r="M903" s="117"/>
      <c r="N903" s="106" t="n">
        <v>0</v>
      </c>
      <c r="O903" s="106"/>
      <c r="P903" s="27" t="s">
        <v>6818</v>
      </c>
    </row>
    <row r="904" customFormat="false" ht="15" hidden="false" customHeight="false" outlineLevel="0" collapsed="false">
      <c r="A904" s="106" t="s">
        <v>7646</v>
      </c>
      <c r="B904" s="106" t="s">
        <v>6792</v>
      </c>
      <c r="C904" s="106" t="s">
        <v>696</v>
      </c>
      <c r="D904" s="107"/>
      <c r="E904" s="107" t="n">
        <v>305.742857142857</v>
      </c>
      <c r="F904" s="130" t="n">
        <v>0.45</v>
      </c>
      <c r="G904" s="106" t="s">
        <v>1411</v>
      </c>
      <c r="H904" s="106" t="n">
        <v>0</v>
      </c>
      <c r="I904" s="106" t="s">
        <v>6794</v>
      </c>
      <c r="J904" s="106" t="s">
        <v>6794</v>
      </c>
      <c r="K904" s="106" t="s">
        <v>6793</v>
      </c>
      <c r="L904" s="106" t="s">
        <v>6793</v>
      </c>
      <c r="M904" s="117"/>
      <c r="N904" s="106" t="n">
        <v>0</v>
      </c>
      <c r="O904" s="106"/>
      <c r="P904" s="27" t="s">
        <v>6805</v>
      </c>
    </row>
    <row r="905" customFormat="false" ht="15" hidden="false" customHeight="false" outlineLevel="0" collapsed="false">
      <c r="A905" s="106" t="s">
        <v>7647</v>
      </c>
      <c r="B905" s="106" t="s">
        <v>6792</v>
      </c>
      <c r="C905" s="106" t="s">
        <v>185</v>
      </c>
      <c r="D905" s="107"/>
      <c r="E905" s="107" t="n">
        <v>305.742857142857</v>
      </c>
      <c r="F905" s="130" t="n">
        <v>0.55</v>
      </c>
      <c r="G905" s="106" t="s">
        <v>1411</v>
      </c>
      <c r="H905" s="106" t="n">
        <v>0</v>
      </c>
      <c r="I905" s="106" t="s">
        <v>6793</v>
      </c>
      <c r="J905" s="106" t="s">
        <v>6794</v>
      </c>
      <c r="K905" s="106" t="s">
        <v>6793</v>
      </c>
      <c r="L905" s="106" t="s">
        <v>6794</v>
      </c>
      <c r="M905" s="117"/>
      <c r="N905" s="106" t="n">
        <v>0</v>
      </c>
      <c r="O905" s="106"/>
      <c r="P905" s="27" t="s">
        <v>6818</v>
      </c>
    </row>
    <row r="906" customFormat="false" ht="15" hidden="false" customHeight="false" outlineLevel="0" collapsed="false">
      <c r="A906" s="106" t="s">
        <v>7648</v>
      </c>
      <c r="B906" s="106" t="s">
        <v>6792</v>
      </c>
      <c r="C906" s="106"/>
      <c r="D906" s="107"/>
      <c r="E906" s="107" t="n">
        <v>305.742857142857</v>
      </c>
      <c r="F906" s="130" t="n">
        <v>0.5</v>
      </c>
      <c r="G906" s="106" t="s">
        <v>1411</v>
      </c>
      <c r="H906" s="106" t="n">
        <v>0</v>
      </c>
      <c r="I906" s="106" t="s">
        <v>6793</v>
      </c>
      <c r="J906" s="106" t="s">
        <v>6794</v>
      </c>
      <c r="K906" s="106" t="s">
        <v>6793</v>
      </c>
      <c r="L906" s="106" t="s">
        <v>6794</v>
      </c>
      <c r="M906" s="117"/>
      <c r="N906" s="106" t="n">
        <v>0</v>
      </c>
      <c r="O906" s="106"/>
      <c r="P906" s="27" t="s">
        <v>6818</v>
      </c>
    </row>
    <row r="907" customFormat="false" ht="22.35" hidden="false" customHeight="false" outlineLevel="0" collapsed="false">
      <c r="A907" s="106" t="s">
        <v>7649</v>
      </c>
      <c r="B907" s="106" t="s">
        <v>7101</v>
      </c>
      <c r="C907" s="106" t="s">
        <v>696</v>
      </c>
      <c r="D907" s="107" t="n">
        <v>555</v>
      </c>
      <c r="E907" s="107" t="n">
        <v>305.742857142857</v>
      </c>
      <c r="F907" s="130" t="n">
        <v>1</v>
      </c>
      <c r="G907" s="106" t="s">
        <v>1411</v>
      </c>
      <c r="H907" s="106" t="n">
        <v>0.5</v>
      </c>
      <c r="I907" s="106" t="s">
        <v>6793</v>
      </c>
      <c r="J907" s="106" t="s">
        <v>6793</v>
      </c>
      <c r="K907" s="106" t="s">
        <v>6793</v>
      </c>
      <c r="L907" s="106" t="s">
        <v>6793</v>
      </c>
      <c r="M907" s="117"/>
      <c r="N907" s="106" t="n">
        <v>0</v>
      </c>
      <c r="O907" s="106"/>
      <c r="P907" s="27" t="s">
        <v>7650</v>
      </c>
    </row>
    <row r="908" customFormat="false" ht="22.35" hidden="false" customHeight="false" outlineLevel="0" collapsed="false">
      <c r="A908" s="106" t="s">
        <v>5719</v>
      </c>
      <c r="B908" s="106" t="s">
        <v>7101</v>
      </c>
      <c r="C908" s="106" t="s">
        <v>185</v>
      </c>
      <c r="D908" s="107" t="n">
        <v>402</v>
      </c>
      <c r="E908" s="107" t="n">
        <v>305.52</v>
      </c>
      <c r="F908" s="130" t="n">
        <v>1</v>
      </c>
      <c r="G908" s="106" t="s">
        <v>1411</v>
      </c>
      <c r="H908" s="106" t="n">
        <v>0</v>
      </c>
      <c r="I908" s="106" t="s">
        <v>6793</v>
      </c>
      <c r="J908" s="106" t="s">
        <v>6793</v>
      </c>
      <c r="K908" s="106" t="s">
        <v>6793</v>
      </c>
      <c r="L908" s="106" t="s">
        <v>6793</v>
      </c>
      <c r="M908" s="117"/>
      <c r="N908" s="106" t="n">
        <v>1</v>
      </c>
      <c r="O908" s="106" t="n">
        <v>0</v>
      </c>
      <c r="P908" s="27" t="s">
        <v>7447</v>
      </c>
    </row>
    <row r="909" customFormat="false" ht="22.35" hidden="false" customHeight="false" outlineLevel="0" collapsed="false">
      <c r="A909" s="106" t="s">
        <v>4536</v>
      </c>
      <c r="B909" s="106" t="s">
        <v>7101</v>
      </c>
      <c r="C909" s="106"/>
      <c r="D909" s="107" t="n">
        <v>401</v>
      </c>
      <c r="E909" s="107" t="n">
        <v>304.76</v>
      </c>
      <c r="F909" s="130" t="n">
        <v>0.95</v>
      </c>
      <c r="G909" s="106" t="s">
        <v>1411</v>
      </c>
      <c r="H909" s="106" t="n">
        <v>0</v>
      </c>
      <c r="I909" s="106" t="s">
        <v>6793</v>
      </c>
      <c r="J909" s="106" t="s">
        <v>6793</v>
      </c>
      <c r="K909" s="106" t="s">
        <v>6793</v>
      </c>
      <c r="L909" s="106" t="s">
        <v>6793</v>
      </c>
      <c r="M909" s="117"/>
      <c r="N909" s="106" t="n">
        <v>4</v>
      </c>
      <c r="O909" s="106" t="n">
        <v>0</v>
      </c>
      <c r="P909" s="27" t="s">
        <v>7447</v>
      </c>
    </row>
    <row r="910" customFormat="false" ht="22.35" hidden="false" customHeight="false" outlineLevel="0" collapsed="false">
      <c r="A910" s="106" t="s">
        <v>6424</v>
      </c>
      <c r="B910" s="106" t="s">
        <v>7101</v>
      </c>
      <c r="C910" s="106"/>
      <c r="D910" s="107" t="n">
        <v>535</v>
      </c>
      <c r="E910" s="107" t="n">
        <v>302.228571428572</v>
      </c>
      <c r="F910" s="130" t="n">
        <v>0.8</v>
      </c>
      <c r="G910" s="106" t="s">
        <v>1411</v>
      </c>
      <c r="H910" s="106" t="n">
        <v>0.5</v>
      </c>
      <c r="I910" s="106" t="s">
        <v>6793</v>
      </c>
      <c r="J910" s="106" t="s">
        <v>6799</v>
      </c>
      <c r="K910" s="106" t="s">
        <v>6793</v>
      </c>
      <c r="L910" s="106" t="s">
        <v>6793</v>
      </c>
      <c r="M910" s="117"/>
      <c r="N910" s="106" t="n">
        <v>1</v>
      </c>
      <c r="O910" s="106" t="n">
        <v>0</v>
      </c>
      <c r="P910" s="27" t="s">
        <v>7650</v>
      </c>
    </row>
    <row r="911" customFormat="false" ht="22.35" hidden="false" customHeight="false" outlineLevel="0" collapsed="false">
      <c r="A911" s="106" t="s">
        <v>7651</v>
      </c>
      <c r="B911" s="106" t="s">
        <v>7101</v>
      </c>
      <c r="C911" s="106" t="s">
        <v>185</v>
      </c>
      <c r="D911" s="107" t="n">
        <v>397</v>
      </c>
      <c r="E911" s="107" t="n">
        <v>301.72</v>
      </c>
      <c r="F911" s="130" t="n">
        <v>1</v>
      </c>
      <c r="G911" s="106" t="s">
        <v>1411</v>
      </c>
      <c r="H911" s="106" t="n">
        <v>0</v>
      </c>
      <c r="I911" s="106" t="s">
        <v>6793</v>
      </c>
      <c r="J911" s="106" t="s">
        <v>6793</v>
      </c>
      <c r="K911" s="106" t="s">
        <v>6793</v>
      </c>
      <c r="L911" s="106" t="s">
        <v>6793</v>
      </c>
      <c r="M911" s="117"/>
      <c r="N911" s="106" t="n">
        <v>0</v>
      </c>
      <c r="O911" s="106"/>
      <c r="P911" s="27" t="s">
        <v>7447</v>
      </c>
    </row>
    <row r="912" customFormat="false" ht="15" hidden="false" customHeight="false" outlineLevel="0" collapsed="false">
      <c r="A912" s="106" t="s">
        <v>7652</v>
      </c>
      <c r="B912" s="106" t="s">
        <v>6792</v>
      </c>
      <c r="C912" s="106"/>
      <c r="D912" s="107" t="n">
        <v>396</v>
      </c>
      <c r="E912" s="107" t="n">
        <v>300.96</v>
      </c>
      <c r="F912" s="130" t="n">
        <v>0.55</v>
      </c>
      <c r="G912" s="106" t="s">
        <v>1411</v>
      </c>
      <c r="H912" s="106" t="n">
        <v>0</v>
      </c>
      <c r="I912" s="106" t="s">
        <v>6794</v>
      </c>
      <c r="J912" s="106" t="s">
        <v>6793</v>
      </c>
      <c r="K912" s="106" t="s">
        <v>6793</v>
      </c>
      <c r="L912" s="106" t="s">
        <v>6794</v>
      </c>
      <c r="M912" s="117"/>
      <c r="N912" s="106" t="n">
        <v>0</v>
      </c>
      <c r="O912" s="106"/>
      <c r="P912" s="27" t="s">
        <v>7653</v>
      </c>
    </row>
    <row r="913" customFormat="false" ht="22.35" hidden="false" customHeight="false" outlineLevel="0" collapsed="false">
      <c r="A913" s="106" t="s">
        <v>4540</v>
      </c>
      <c r="B913" s="106" t="s">
        <v>7101</v>
      </c>
      <c r="C913" s="106" t="s">
        <v>185</v>
      </c>
      <c r="D913" s="107" t="n">
        <v>392</v>
      </c>
      <c r="E913" s="107" t="n">
        <v>297.92</v>
      </c>
      <c r="F913" s="130" t="n">
        <v>1</v>
      </c>
      <c r="G913" s="106" t="s">
        <v>1411</v>
      </c>
      <c r="H913" s="106" t="n">
        <v>0</v>
      </c>
      <c r="I913" s="106" t="s">
        <v>6793</v>
      </c>
      <c r="J913" s="106" t="s">
        <v>6793</v>
      </c>
      <c r="K913" s="106" t="s">
        <v>6793</v>
      </c>
      <c r="L913" s="106" t="s">
        <v>6793</v>
      </c>
      <c r="M913" s="117"/>
      <c r="N913" s="106" t="n">
        <v>1</v>
      </c>
      <c r="O913" s="106" t="n">
        <v>0</v>
      </c>
      <c r="P913" s="27" t="s">
        <v>7447</v>
      </c>
    </row>
    <row r="914" customFormat="false" ht="15" hidden="false" customHeight="false" outlineLevel="0" collapsed="false">
      <c r="A914" s="106" t="s">
        <v>7654</v>
      </c>
      <c r="B914" s="106" t="s">
        <v>6792</v>
      </c>
      <c r="C914" s="106" t="s">
        <v>696</v>
      </c>
      <c r="D914" s="107"/>
      <c r="E914" s="107" t="n">
        <v>295.2</v>
      </c>
      <c r="F914" s="130" t="n">
        <v>0.45</v>
      </c>
      <c r="G914" s="106" t="s">
        <v>1411</v>
      </c>
      <c r="H914" s="106" t="n">
        <v>0</v>
      </c>
      <c r="I914" s="106" t="s">
        <v>6794</v>
      </c>
      <c r="J914" s="106" t="s">
        <v>6794</v>
      </c>
      <c r="K914" s="106" t="s">
        <v>6793</v>
      </c>
      <c r="L914" s="106" t="s">
        <v>6793</v>
      </c>
      <c r="M914" s="117"/>
      <c r="N914" s="106" t="n">
        <v>0</v>
      </c>
      <c r="O914" s="106"/>
      <c r="P914" s="27" t="s">
        <v>6805</v>
      </c>
    </row>
    <row r="915" customFormat="false" ht="22.35" hidden="false" customHeight="false" outlineLevel="0" collapsed="false">
      <c r="A915" s="106" t="s">
        <v>5328</v>
      </c>
      <c r="B915" s="106" t="s">
        <v>7101</v>
      </c>
      <c r="C915" s="106" t="s">
        <v>185</v>
      </c>
      <c r="D915" s="107" t="n">
        <v>532</v>
      </c>
      <c r="E915" s="107" t="n">
        <v>295.2</v>
      </c>
      <c r="F915" s="130" t="n">
        <v>1</v>
      </c>
      <c r="G915" s="106" t="s">
        <v>1411</v>
      </c>
      <c r="H915" s="106" t="n">
        <v>1</v>
      </c>
      <c r="I915" s="106" t="s">
        <v>6793</v>
      </c>
      <c r="J915" s="106" t="s">
        <v>6793</v>
      </c>
      <c r="K915" s="106" t="s">
        <v>6793</v>
      </c>
      <c r="L915" s="106" t="s">
        <v>6793</v>
      </c>
      <c r="M915" s="117"/>
      <c r="N915" s="106" t="n">
        <v>4</v>
      </c>
      <c r="O915" s="106" t="n">
        <v>0</v>
      </c>
      <c r="P915" s="27" t="s">
        <v>7472</v>
      </c>
    </row>
    <row r="916" customFormat="false" ht="15" hidden="false" customHeight="false" outlineLevel="0" collapsed="false">
      <c r="A916" s="106" t="s">
        <v>7655</v>
      </c>
      <c r="B916" s="106" t="s">
        <v>6792</v>
      </c>
      <c r="C916" s="106" t="s">
        <v>185</v>
      </c>
      <c r="D916" s="107"/>
      <c r="E916" s="107" t="n">
        <v>295.2</v>
      </c>
      <c r="F916" s="130" t="n">
        <v>0.55</v>
      </c>
      <c r="G916" s="106" t="s">
        <v>1411</v>
      </c>
      <c r="H916" s="106" t="n">
        <v>0</v>
      </c>
      <c r="I916" s="106" t="s">
        <v>6793</v>
      </c>
      <c r="J916" s="106" t="s">
        <v>6794</v>
      </c>
      <c r="K916" s="106" t="s">
        <v>6793</v>
      </c>
      <c r="L916" s="106" t="s">
        <v>6794</v>
      </c>
      <c r="M916" s="117"/>
      <c r="N916" s="106" t="n">
        <v>0</v>
      </c>
      <c r="O916" s="106"/>
      <c r="P916" s="27" t="s">
        <v>6818</v>
      </c>
    </row>
    <row r="917" customFormat="false" ht="22.35" hidden="false" customHeight="false" outlineLevel="0" collapsed="false">
      <c r="A917" s="106" t="s">
        <v>5544</v>
      </c>
      <c r="B917" s="106" t="s">
        <v>7101</v>
      </c>
      <c r="C917" s="106"/>
      <c r="D917" s="107" t="n">
        <v>641</v>
      </c>
      <c r="E917" s="107" t="n">
        <v>295.2</v>
      </c>
      <c r="F917" s="130" t="n">
        <v>0.95</v>
      </c>
      <c r="G917" s="106" t="s">
        <v>1411</v>
      </c>
      <c r="H917" s="106" t="n">
        <v>1.5</v>
      </c>
      <c r="I917" s="106" t="s">
        <v>6793</v>
      </c>
      <c r="J917" s="106" t="s">
        <v>6793</v>
      </c>
      <c r="K917" s="106" t="s">
        <v>6793</v>
      </c>
      <c r="L917" s="106" t="s">
        <v>6793</v>
      </c>
      <c r="M917" s="117" t="n">
        <v>0.0290322580645161</v>
      </c>
      <c r="N917" s="106" t="n">
        <v>2</v>
      </c>
      <c r="O917" s="106" t="n">
        <v>0</v>
      </c>
      <c r="P917" s="27" t="s">
        <v>7526</v>
      </c>
    </row>
    <row r="918" customFormat="false" ht="15" hidden="false" customHeight="false" outlineLevel="0" collapsed="false">
      <c r="A918" s="106" t="s">
        <v>7656</v>
      </c>
      <c r="B918" s="106" t="s">
        <v>6792</v>
      </c>
      <c r="C918" s="106"/>
      <c r="D918" s="107"/>
      <c r="E918" s="107" t="n">
        <v>295.2</v>
      </c>
      <c r="F918" s="130" t="n">
        <v>0.5</v>
      </c>
      <c r="G918" s="106" t="s">
        <v>1411</v>
      </c>
      <c r="H918" s="106" t="n">
        <v>0</v>
      </c>
      <c r="I918" s="106" t="s">
        <v>6793</v>
      </c>
      <c r="J918" s="106" t="s">
        <v>6794</v>
      </c>
      <c r="K918" s="106" t="s">
        <v>6793</v>
      </c>
      <c r="L918" s="106" t="s">
        <v>6794</v>
      </c>
      <c r="M918" s="117"/>
      <c r="N918" s="106" t="n">
        <v>0</v>
      </c>
      <c r="O918" s="106"/>
      <c r="P918" s="27" t="s">
        <v>6818</v>
      </c>
    </row>
    <row r="919" customFormat="false" ht="15" hidden="false" customHeight="false" outlineLevel="0" collapsed="false">
      <c r="A919" s="106" t="s">
        <v>7657</v>
      </c>
      <c r="B919" s="106" t="s">
        <v>6792</v>
      </c>
      <c r="C919" s="106" t="s">
        <v>696</v>
      </c>
      <c r="D919" s="107"/>
      <c r="E919" s="107" t="n">
        <v>295.2</v>
      </c>
      <c r="F919" s="130" t="n">
        <v>0.55</v>
      </c>
      <c r="G919" s="106" t="s">
        <v>1411</v>
      </c>
      <c r="H919" s="106" t="n">
        <v>0</v>
      </c>
      <c r="I919" s="106" t="s">
        <v>6793</v>
      </c>
      <c r="J919" s="106" t="s">
        <v>6794</v>
      </c>
      <c r="K919" s="106" t="s">
        <v>6793</v>
      </c>
      <c r="L919" s="106" t="s">
        <v>6794</v>
      </c>
      <c r="M919" s="117"/>
      <c r="N919" s="106" t="n">
        <v>0</v>
      </c>
      <c r="O919" s="106"/>
      <c r="P919" s="27" t="s">
        <v>6818</v>
      </c>
    </row>
    <row r="920" customFormat="false" ht="15" hidden="false" customHeight="false" outlineLevel="0" collapsed="false">
      <c r="A920" s="106" t="s">
        <v>7658</v>
      </c>
      <c r="B920" s="106" t="s">
        <v>6792</v>
      </c>
      <c r="C920" s="106" t="s">
        <v>560</v>
      </c>
      <c r="D920" s="107"/>
      <c r="E920" s="107" t="n">
        <v>295.2</v>
      </c>
      <c r="F920" s="130" t="n">
        <v>0.45</v>
      </c>
      <c r="G920" s="106" t="s">
        <v>1411</v>
      </c>
      <c r="H920" s="106" t="n">
        <v>0</v>
      </c>
      <c r="I920" s="106" t="s">
        <v>6794</v>
      </c>
      <c r="J920" s="106" t="s">
        <v>6794</v>
      </c>
      <c r="K920" s="106" t="s">
        <v>6793</v>
      </c>
      <c r="L920" s="106" t="s">
        <v>6793</v>
      </c>
      <c r="M920" s="117"/>
      <c r="N920" s="106" t="n">
        <v>0</v>
      </c>
      <c r="O920" s="106"/>
      <c r="P920" s="27" t="s">
        <v>6805</v>
      </c>
    </row>
    <row r="921" customFormat="false" ht="15" hidden="false" customHeight="false" outlineLevel="0" collapsed="false">
      <c r="A921" s="106" t="s">
        <v>7659</v>
      </c>
      <c r="B921" s="106" t="s">
        <v>6792</v>
      </c>
      <c r="C921" s="106"/>
      <c r="D921" s="107"/>
      <c r="E921" s="107" t="n">
        <v>295.2</v>
      </c>
      <c r="F921" s="130" t="n">
        <v>0.5</v>
      </c>
      <c r="G921" s="106" t="s">
        <v>1411</v>
      </c>
      <c r="H921" s="106" t="n">
        <v>0</v>
      </c>
      <c r="I921" s="106" t="s">
        <v>6793</v>
      </c>
      <c r="J921" s="106" t="s">
        <v>6794</v>
      </c>
      <c r="K921" s="106" t="s">
        <v>6793</v>
      </c>
      <c r="L921" s="106" t="s">
        <v>6794</v>
      </c>
      <c r="M921" s="117"/>
      <c r="N921" s="106" t="n">
        <v>0</v>
      </c>
      <c r="O921" s="106"/>
      <c r="P921" s="27" t="s">
        <v>6818</v>
      </c>
    </row>
    <row r="922" customFormat="false" ht="22.35" hidden="false" customHeight="false" outlineLevel="0" collapsed="false">
      <c r="A922" s="106" t="s">
        <v>5414</v>
      </c>
      <c r="B922" s="106" t="s">
        <v>7101</v>
      </c>
      <c r="C922" s="106" t="s">
        <v>560</v>
      </c>
      <c r="D922" s="107" t="n">
        <v>476</v>
      </c>
      <c r="E922" s="107" t="n">
        <v>295.2</v>
      </c>
      <c r="F922" s="130" t="n">
        <v>1</v>
      </c>
      <c r="G922" s="106" t="s">
        <v>1411</v>
      </c>
      <c r="H922" s="106" t="n">
        <v>1</v>
      </c>
      <c r="I922" s="106" t="s">
        <v>6793</v>
      </c>
      <c r="J922" s="106" t="s">
        <v>6793</v>
      </c>
      <c r="K922" s="106" t="s">
        <v>6793</v>
      </c>
      <c r="L922" s="106" t="s">
        <v>6793</v>
      </c>
      <c r="M922" s="117"/>
      <c r="N922" s="106" t="n">
        <v>3</v>
      </c>
      <c r="O922" s="106" t="n">
        <v>0</v>
      </c>
      <c r="P922" s="27" t="s">
        <v>7472</v>
      </c>
    </row>
    <row r="923" customFormat="false" ht="22.35" hidden="false" customHeight="false" outlineLevel="0" collapsed="false">
      <c r="A923" s="106" t="s">
        <v>5283</v>
      </c>
      <c r="B923" s="106" t="s">
        <v>7101</v>
      </c>
      <c r="C923" s="106" t="s">
        <v>185</v>
      </c>
      <c r="D923" s="107" t="n">
        <v>674</v>
      </c>
      <c r="E923" s="107" t="n">
        <v>295.2</v>
      </c>
      <c r="F923" s="130" t="n">
        <v>1</v>
      </c>
      <c r="G923" s="106" t="s">
        <v>1411</v>
      </c>
      <c r="H923" s="106" t="n">
        <v>3</v>
      </c>
      <c r="I923" s="106" t="s">
        <v>6793</v>
      </c>
      <c r="J923" s="106" t="s">
        <v>6793</v>
      </c>
      <c r="K923" s="106" t="s">
        <v>6793</v>
      </c>
      <c r="L923" s="106" t="s">
        <v>6793</v>
      </c>
      <c r="M923" s="117"/>
      <c r="N923" s="106" t="n">
        <v>8</v>
      </c>
      <c r="O923" s="106" t="n">
        <v>25</v>
      </c>
      <c r="P923" s="27" t="s">
        <v>7660</v>
      </c>
    </row>
    <row r="924" customFormat="false" ht="15" hidden="false" customHeight="false" outlineLevel="0" collapsed="false">
      <c r="A924" s="106" t="s">
        <v>7661</v>
      </c>
      <c r="B924" s="106" t="s">
        <v>6792</v>
      </c>
      <c r="C924" s="106" t="s">
        <v>696</v>
      </c>
      <c r="D924" s="107"/>
      <c r="E924" s="107" t="n">
        <v>295.2</v>
      </c>
      <c r="F924" s="130" t="n">
        <v>0.55</v>
      </c>
      <c r="G924" s="106" t="s">
        <v>1411</v>
      </c>
      <c r="H924" s="106" t="n">
        <v>0</v>
      </c>
      <c r="I924" s="106" t="s">
        <v>6793</v>
      </c>
      <c r="J924" s="106" t="s">
        <v>6794</v>
      </c>
      <c r="K924" s="106" t="s">
        <v>6793</v>
      </c>
      <c r="L924" s="106" t="s">
        <v>6794</v>
      </c>
      <c r="M924" s="117"/>
      <c r="N924" s="106" t="n">
        <v>0</v>
      </c>
      <c r="O924" s="106"/>
      <c r="P924" s="27" t="s">
        <v>6818</v>
      </c>
    </row>
    <row r="925" customFormat="false" ht="15" hidden="false" customHeight="false" outlineLevel="0" collapsed="false">
      <c r="A925" s="106" t="s">
        <v>7662</v>
      </c>
      <c r="B925" s="106" t="s">
        <v>6792</v>
      </c>
      <c r="C925" s="106" t="s">
        <v>560</v>
      </c>
      <c r="D925" s="107"/>
      <c r="E925" s="107" t="n">
        <v>295.2</v>
      </c>
      <c r="F925" s="130" t="n">
        <v>0.45</v>
      </c>
      <c r="G925" s="106" t="s">
        <v>1411</v>
      </c>
      <c r="H925" s="106" t="n">
        <v>0</v>
      </c>
      <c r="I925" s="106" t="s">
        <v>6794</v>
      </c>
      <c r="J925" s="106" t="s">
        <v>6794</v>
      </c>
      <c r="K925" s="106" t="s">
        <v>6793</v>
      </c>
      <c r="L925" s="106" t="s">
        <v>6793</v>
      </c>
      <c r="M925" s="117"/>
      <c r="N925" s="106" t="n">
        <v>0</v>
      </c>
      <c r="O925" s="106"/>
      <c r="P925" s="27" t="s">
        <v>6805</v>
      </c>
    </row>
    <row r="926" customFormat="false" ht="15" hidden="false" customHeight="false" outlineLevel="0" collapsed="false">
      <c r="A926" s="106" t="s">
        <v>7663</v>
      </c>
      <c r="B926" s="106" t="s">
        <v>6792</v>
      </c>
      <c r="C926" s="106"/>
      <c r="D926" s="107"/>
      <c r="E926" s="107" t="n">
        <v>295.2</v>
      </c>
      <c r="F926" s="130" t="n">
        <v>0.38</v>
      </c>
      <c r="G926" s="106" t="s">
        <v>1411</v>
      </c>
      <c r="H926" s="106" t="n">
        <v>0</v>
      </c>
      <c r="I926" s="106" t="s">
        <v>6799</v>
      </c>
      <c r="J926" s="106" t="s">
        <v>6794</v>
      </c>
      <c r="K926" s="106" t="s">
        <v>6793</v>
      </c>
      <c r="L926" s="106" t="s">
        <v>6794</v>
      </c>
      <c r="M926" s="117"/>
      <c r="N926" s="106" t="n">
        <v>0</v>
      </c>
      <c r="O926" s="106"/>
      <c r="P926" s="27" t="s">
        <v>6818</v>
      </c>
    </row>
    <row r="927" customFormat="false" ht="15" hidden="false" customHeight="false" outlineLevel="0" collapsed="false">
      <c r="A927" s="106" t="s">
        <v>7664</v>
      </c>
      <c r="B927" s="106" t="s">
        <v>6792</v>
      </c>
      <c r="C927" s="106" t="s">
        <v>185</v>
      </c>
      <c r="D927" s="107"/>
      <c r="E927" s="107" t="n">
        <v>295.2</v>
      </c>
      <c r="F927" s="130" t="n">
        <v>0.45</v>
      </c>
      <c r="G927" s="106" t="s">
        <v>1411</v>
      </c>
      <c r="H927" s="106" t="n">
        <v>0</v>
      </c>
      <c r="I927" s="106" t="s">
        <v>6794</v>
      </c>
      <c r="J927" s="106" t="s">
        <v>6794</v>
      </c>
      <c r="K927" s="106" t="s">
        <v>6793</v>
      </c>
      <c r="L927" s="106" t="s">
        <v>6793</v>
      </c>
      <c r="M927" s="117"/>
      <c r="N927" s="106" t="n">
        <v>0</v>
      </c>
      <c r="O927" s="106"/>
      <c r="P927" s="27" t="s">
        <v>6805</v>
      </c>
    </row>
    <row r="928" customFormat="false" ht="15" hidden="false" customHeight="false" outlineLevel="0" collapsed="false">
      <c r="A928" s="106" t="s">
        <v>7665</v>
      </c>
      <c r="B928" s="106" t="s">
        <v>6792</v>
      </c>
      <c r="C928" s="106" t="s">
        <v>185</v>
      </c>
      <c r="D928" s="107"/>
      <c r="E928" s="107" t="n">
        <v>295.2</v>
      </c>
      <c r="F928" s="130" t="n">
        <v>0.55</v>
      </c>
      <c r="G928" s="106" t="s">
        <v>1411</v>
      </c>
      <c r="H928" s="106" t="n">
        <v>0</v>
      </c>
      <c r="I928" s="106" t="s">
        <v>6793</v>
      </c>
      <c r="J928" s="106" t="s">
        <v>6794</v>
      </c>
      <c r="K928" s="106" t="s">
        <v>6793</v>
      </c>
      <c r="L928" s="106" t="s">
        <v>6794</v>
      </c>
      <c r="M928" s="117"/>
      <c r="N928" s="106" t="n">
        <v>0</v>
      </c>
      <c r="O928" s="106"/>
      <c r="P928" s="27" t="s">
        <v>6818</v>
      </c>
    </row>
    <row r="929" customFormat="false" ht="22.35" hidden="false" customHeight="false" outlineLevel="0" collapsed="false">
      <c r="A929" s="106" t="s">
        <v>7666</v>
      </c>
      <c r="B929" s="106" t="s">
        <v>7101</v>
      </c>
      <c r="C929" s="106" t="s">
        <v>479</v>
      </c>
      <c r="D929" s="107" t="n">
        <v>388</v>
      </c>
      <c r="E929" s="107" t="n">
        <v>294.88</v>
      </c>
      <c r="F929" s="130" t="n">
        <v>1</v>
      </c>
      <c r="G929" s="106" t="s">
        <v>1411</v>
      </c>
      <c r="H929" s="106" t="n">
        <v>0</v>
      </c>
      <c r="I929" s="106" t="s">
        <v>6793</v>
      </c>
      <c r="J929" s="106" t="s">
        <v>6793</v>
      </c>
      <c r="K929" s="106" t="s">
        <v>6793</v>
      </c>
      <c r="L929" s="106" t="s">
        <v>6793</v>
      </c>
      <c r="M929" s="117"/>
      <c r="N929" s="106" t="n">
        <v>0</v>
      </c>
      <c r="O929" s="106"/>
      <c r="P929" s="27" t="s">
        <v>7447</v>
      </c>
    </row>
    <row r="930" customFormat="false" ht="15" hidden="false" customHeight="false" outlineLevel="0" collapsed="false">
      <c r="A930" s="106" t="s">
        <v>7667</v>
      </c>
      <c r="B930" s="106" t="s">
        <v>6792</v>
      </c>
      <c r="C930" s="106" t="s">
        <v>696</v>
      </c>
      <c r="D930" s="107" t="n">
        <v>387</v>
      </c>
      <c r="E930" s="107" t="n">
        <v>294.12</v>
      </c>
      <c r="F930" s="130" t="n">
        <v>0.55</v>
      </c>
      <c r="G930" s="106" t="s">
        <v>1411</v>
      </c>
      <c r="H930" s="106" t="n">
        <v>0</v>
      </c>
      <c r="I930" s="106" t="s">
        <v>6793</v>
      </c>
      <c r="J930" s="106" t="s">
        <v>6794</v>
      </c>
      <c r="K930" s="106" t="s">
        <v>6793</v>
      </c>
      <c r="L930" s="106" t="s">
        <v>6794</v>
      </c>
      <c r="M930" s="117"/>
      <c r="N930" s="106" t="n">
        <v>0</v>
      </c>
      <c r="O930" s="106"/>
      <c r="P930" s="27" t="s">
        <v>6818</v>
      </c>
    </row>
    <row r="931" customFormat="false" ht="22.35" hidden="false" customHeight="false" outlineLevel="0" collapsed="false">
      <c r="A931" s="106" t="s">
        <v>7668</v>
      </c>
      <c r="B931" s="106" t="s">
        <v>7101</v>
      </c>
      <c r="C931" s="106"/>
      <c r="D931" s="107" t="n">
        <v>387</v>
      </c>
      <c r="E931" s="107" t="n">
        <v>294.12</v>
      </c>
      <c r="F931" s="130" t="n">
        <v>0.9</v>
      </c>
      <c r="G931" s="106" t="s">
        <v>1411</v>
      </c>
      <c r="H931" s="106" t="n">
        <v>0</v>
      </c>
      <c r="I931" s="106" t="s">
        <v>6793</v>
      </c>
      <c r="J931" s="106" t="s">
        <v>6793</v>
      </c>
      <c r="K931" s="106" t="s">
        <v>6793</v>
      </c>
      <c r="L931" s="106" t="s">
        <v>6793</v>
      </c>
      <c r="M931" s="117"/>
      <c r="N931" s="106" t="n">
        <v>0</v>
      </c>
      <c r="O931" s="106"/>
      <c r="P931" s="27" t="s">
        <v>7447</v>
      </c>
    </row>
    <row r="932" customFormat="false" ht="15" hidden="false" customHeight="false" outlineLevel="0" collapsed="false">
      <c r="A932" s="106" t="s">
        <v>7669</v>
      </c>
      <c r="B932" s="106" t="s">
        <v>6792</v>
      </c>
      <c r="C932" s="106" t="s">
        <v>185</v>
      </c>
      <c r="D932" s="107" t="n">
        <v>385</v>
      </c>
      <c r="E932" s="107" t="n">
        <v>292.6</v>
      </c>
      <c r="F932" s="130" t="n">
        <v>0.75</v>
      </c>
      <c r="G932" s="106" t="s">
        <v>1411</v>
      </c>
      <c r="H932" s="106" t="n">
        <v>0</v>
      </c>
      <c r="I932" s="106" t="s">
        <v>6794</v>
      </c>
      <c r="J932" s="106" t="s">
        <v>6793</v>
      </c>
      <c r="K932" s="106" t="s">
        <v>6793</v>
      </c>
      <c r="L932" s="106" t="s">
        <v>6793</v>
      </c>
      <c r="M932" s="117"/>
      <c r="N932" s="106" t="n">
        <v>0</v>
      </c>
      <c r="O932" s="106"/>
      <c r="P932" s="27" t="s">
        <v>6983</v>
      </c>
    </row>
    <row r="933" customFormat="false" ht="22.35" hidden="false" customHeight="false" outlineLevel="0" collapsed="false">
      <c r="A933" s="106" t="s">
        <v>5381</v>
      </c>
      <c r="B933" s="106" t="s">
        <v>7101</v>
      </c>
      <c r="C933" s="106" t="s">
        <v>185</v>
      </c>
      <c r="D933" s="107" t="n">
        <v>383</v>
      </c>
      <c r="E933" s="107" t="n">
        <v>291.08</v>
      </c>
      <c r="F933" s="130" t="n">
        <v>1</v>
      </c>
      <c r="G933" s="106" t="s">
        <v>1411</v>
      </c>
      <c r="H933" s="106" t="n">
        <v>0</v>
      </c>
      <c r="I933" s="106" t="s">
        <v>6793</v>
      </c>
      <c r="J933" s="106" t="s">
        <v>6793</v>
      </c>
      <c r="K933" s="106" t="s">
        <v>6793</v>
      </c>
      <c r="L933" s="106" t="s">
        <v>6793</v>
      </c>
      <c r="M933" s="117"/>
      <c r="N933" s="106" t="n">
        <v>3</v>
      </c>
      <c r="O933" s="106" t="n">
        <v>33.33</v>
      </c>
      <c r="P933" s="27" t="s">
        <v>7447</v>
      </c>
    </row>
    <row r="934" customFormat="false" ht="15" hidden="false" customHeight="false" outlineLevel="0" collapsed="false">
      <c r="A934" s="106" t="s">
        <v>7670</v>
      </c>
      <c r="B934" s="106" t="s">
        <v>6792</v>
      </c>
      <c r="C934" s="106" t="s">
        <v>422</v>
      </c>
      <c r="D934" s="107" t="n">
        <v>379</v>
      </c>
      <c r="E934" s="107" t="n">
        <v>288.04</v>
      </c>
      <c r="F934" s="130" t="n">
        <v>0.45</v>
      </c>
      <c r="G934" s="106" t="s">
        <v>1411</v>
      </c>
      <c r="H934" s="106" t="n">
        <v>0</v>
      </c>
      <c r="I934" s="106" t="s">
        <v>6794</v>
      </c>
      <c r="J934" s="106" t="s">
        <v>6794</v>
      </c>
      <c r="K934" s="106" t="s">
        <v>6793</v>
      </c>
      <c r="L934" s="106" t="s">
        <v>6793</v>
      </c>
      <c r="M934" s="117"/>
      <c r="N934" s="106" t="n">
        <v>0</v>
      </c>
      <c r="O934" s="106"/>
      <c r="P934" s="27" t="s">
        <v>6805</v>
      </c>
    </row>
    <row r="935" customFormat="false" ht="15" hidden="false" customHeight="false" outlineLevel="0" collapsed="false">
      <c r="A935" s="106" t="s">
        <v>7671</v>
      </c>
      <c r="B935" s="106" t="s">
        <v>6792</v>
      </c>
      <c r="C935" s="106" t="s">
        <v>560</v>
      </c>
      <c r="D935" s="107" t="n">
        <v>378</v>
      </c>
      <c r="E935" s="107" t="n">
        <v>287.28</v>
      </c>
      <c r="F935" s="130" t="n">
        <v>0.62</v>
      </c>
      <c r="G935" s="106" t="s">
        <v>1411</v>
      </c>
      <c r="H935" s="106" t="n">
        <v>0</v>
      </c>
      <c r="I935" s="106" t="s">
        <v>6793</v>
      </c>
      <c r="J935" s="106" t="s">
        <v>6794</v>
      </c>
      <c r="K935" s="106" t="s">
        <v>6799</v>
      </c>
      <c r="L935" s="106" t="s">
        <v>6793</v>
      </c>
      <c r="M935" s="117"/>
      <c r="N935" s="106" t="n">
        <v>0</v>
      </c>
      <c r="O935" s="106"/>
      <c r="P935" s="27" t="s">
        <v>6795</v>
      </c>
    </row>
    <row r="936" customFormat="false" ht="22.35" hidden="false" customHeight="false" outlineLevel="0" collapsed="false">
      <c r="A936" s="106" t="s">
        <v>7672</v>
      </c>
      <c r="B936" s="106" t="s">
        <v>7101</v>
      </c>
      <c r="C936" s="106"/>
      <c r="D936" s="107" t="n">
        <v>378</v>
      </c>
      <c r="E936" s="107" t="n">
        <v>287.28</v>
      </c>
      <c r="F936" s="130" t="n">
        <v>0.95</v>
      </c>
      <c r="G936" s="106" t="s">
        <v>1411</v>
      </c>
      <c r="H936" s="106" t="n">
        <v>0</v>
      </c>
      <c r="I936" s="106" t="s">
        <v>6793</v>
      </c>
      <c r="J936" s="106" t="s">
        <v>6793</v>
      </c>
      <c r="K936" s="106" t="s">
        <v>6793</v>
      </c>
      <c r="L936" s="106" t="s">
        <v>6793</v>
      </c>
      <c r="M936" s="117"/>
      <c r="N936" s="106" t="n">
        <v>0</v>
      </c>
      <c r="O936" s="106"/>
      <c r="P936" s="27" t="s">
        <v>7447</v>
      </c>
    </row>
    <row r="937" customFormat="false" ht="22.35" hidden="false" customHeight="false" outlineLevel="0" collapsed="false">
      <c r="A937" s="106" t="s">
        <v>7673</v>
      </c>
      <c r="B937" s="106" t="s">
        <v>7101</v>
      </c>
      <c r="C937" s="106"/>
      <c r="D937" s="107" t="n">
        <v>378</v>
      </c>
      <c r="E937" s="107" t="n">
        <v>287.28</v>
      </c>
      <c r="F937" s="130" t="n">
        <v>0.8</v>
      </c>
      <c r="G937" s="106" t="s">
        <v>1411</v>
      </c>
      <c r="H937" s="106" t="n">
        <v>0</v>
      </c>
      <c r="I937" s="106" t="s">
        <v>6793</v>
      </c>
      <c r="J937" s="106" t="s">
        <v>6799</v>
      </c>
      <c r="K937" s="106" t="s">
        <v>6793</v>
      </c>
      <c r="L937" s="106" t="s">
        <v>6793</v>
      </c>
      <c r="M937" s="117"/>
      <c r="N937" s="106" t="n">
        <v>0</v>
      </c>
      <c r="O937" s="106"/>
      <c r="P937" s="27" t="s">
        <v>7447</v>
      </c>
    </row>
    <row r="938" customFormat="false" ht="22.35" hidden="false" customHeight="false" outlineLevel="0" collapsed="false">
      <c r="A938" s="106" t="s">
        <v>7674</v>
      </c>
      <c r="B938" s="106" t="s">
        <v>7101</v>
      </c>
      <c r="C938" s="106"/>
      <c r="D938" s="107" t="n">
        <v>375</v>
      </c>
      <c r="E938" s="107" t="n">
        <v>285</v>
      </c>
      <c r="F938" s="130" t="n">
        <v>0.8</v>
      </c>
      <c r="G938" s="106" t="s">
        <v>1411</v>
      </c>
      <c r="H938" s="106" t="n">
        <v>0</v>
      </c>
      <c r="I938" s="106" t="s">
        <v>6793</v>
      </c>
      <c r="J938" s="106" t="s">
        <v>6799</v>
      </c>
      <c r="K938" s="106" t="s">
        <v>6793</v>
      </c>
      <c r="L938" s="106" t="s">
        <v>6793</v>
      </c>
      <c r="M938" s="117"/>
      <c r="N938" s="106" t="n">
        <v>0</v>
      </c>
      <c r="O938" s="106"/>
      <c r="P938" s="27" t="s">
        <v>7447</v>
      </c>
    </row>
    <row r="939" customFormat="false" ht="15" hidden="false" customHeight="false" outlineLevel="0" collapsed="false">
      <c r="A939" s="106" t="s">
        <v>7675</v>
      </c>
      <c r="B939" s="106" t="s">
        <v>6792</v>
      </c>
      <c r="C939" s="106" t="s">
        <v>560</v>
      </c>
      <c r="D939" s="107"/>
      <c r="E939" s="107" t="n">
        <v>284.657142857143</v>
      </c>
      <c r="F939" s="130" t="n">
        <v>0.42</v>
      </c>
      <c r="G939" s="106" t="s">
        <v>1411</v>
      </c>
      <c r="H939" s="106" t="n">
        <v>0</v>
      </c>
      <c r="I939" s="106" t="s">
        <v>6799</v>
      </c>
      <c r="J939" s="106" t="s">
        <v>6794</v>
      </c>
      <c r="K939" s="106" t="s">
        <v>6793</v>
      </c>
      <c r="L939" s="106" t="s">
        <v>6794</v>
      </c>
      <c r="M939" s="117"/>
      <c r="N939" s="106" t="n">
        <v>0</v>
      </c>
      <c r="O939" s="106"/>
      <c r="P939" s="27" t="s">
        <v>6818</v>
      </c>
    </row>
    <row r="940" customFormat="false" ht="15" hidden="false" customHeight="false" outlineLevel="0" collapsed="false">
      <c r="A940" s="106" t="s">
        <v>7676</v>
      </c>
      <c r="B940" s="106" t="s">
        <v>6792</v>
      </c>
      <c r="C940" s="106"/>
      <c r="D940" s="107"/>
      <c r="E940" s="107" t="n">
        <v>284.657142857143</v>
      </c>
      <c r="F940" s="130" t="n">
        <v>0.4</v>
      </c>
      <c r="G940" s="106" t="s">
        <v>1411</v>
      </c>
      <c r="H940" s="106" t="n">
        <v>0</v>
      </c>
      <c r="I940" s="106" t="s">
        <v>6794</v>
      </c>
      <c r="J940" s="106" t="s">
        <v>6794</v>
      </c>
      <c r="K940" s="106" t="s">
        <v>6793</v>
      </c>
      <c r="L940" s="106" t="s">
        <v>6793</v>
      </c>
      <c r="M940" s="117"/>
      <c r="N940" s="106" t="n">
        <v>0</v>
      </c>
      <c r="O940" s="106"/>
      <c r="P940" s="27" t="s">
        <v>6805</v>
      </c>
    </row>
    <row r="941" customFormat="false" ht="15" hidden="false" customHeight="false" outlineLevel="0" collapsed="false">
      <c r="A941" s="106" t="s">
        <v>7677</v>
      </c>
      <c r="B941" s="106" t="s">
        <v>6792</v>
      </c>
      <c r="C941" s="106" t="s">
        <v>185</v>
      </c>
      <c r="D941" s="107"/>
      <c r="E941" s="107" t="n">
        <v>284.657142857143</v>
      </c>
      <c r="F941" s="130" t="n">
        <v>0.55</v>
      </c>
      <c r="G941" s="106" t="s">
        <v>1411</v>
      </c>
      <c r="H941" s="106" t="n">
        <v>0</v>
      </c>
      <c r="I941" s="106" t="s">
        <v>6793</v>
      </c>
      <c r="J941" s="106" t="s">
        <v>6794</v>
      </c>
      <c r="K941" s="106" t="s">
        <v>6793</v>
      </c>
      <c r="L941" s="106" t="s">
        <v>6794</v>
      </c>
      <c r="M941" s="117"/>
      <c r="N941" s="106" t="n">
        <v>0</v>
      </c>
      <c r="O941" s="106"/>
      <c r="P941" s="27" t="s">
        <v>6818</v>
      </c>
    </row>
    <row r="942" customFormat="false" ht="15" hidden="false" customHeight="false" outlineLevel="0" collapsed="false">
      <c r="A942" s="106" t="s">
        <v>7678</v>
      </c>
      <c r="B942" s="106" t="s">
        <v>6792</v>
      </c>
      <c r="C942" s="106"/>
      <c r="D942" s="107"/>
      <c r="E942" s="107" t="n">
        <v>284.657142857143</v>
      </c>
      <c r="F942" s="130" t="n">
        <v>0.4</v>
      </c>
      <c r="G942" s="106" t="s">
        <v>1411</v>
      </c>
      <c r="H942" s="106" t="n">
        <v>0</v>
      </c>
      <c r="I942" s="106" t="s">
        <v>6794</v>
      </c>
      <c r="J942" s="106" t="s">
        <v>6794</v>
      </c>
      <c r="K942" s="106" t="s">
        <v>6793</v>
      </c>
      <c r="L942" s="106" t="s">
        <v>6793</v>
      </c>
      <c r="M942" s="117"/>
      <c r="N942" s="106" t="n">
        <v>0</v>
      </c>
      <c r="O942" s="106"/>
      <c r="P942" s="27" t="s">
        <v>6805</v>
      </c>
    </row>
    <row r="943" customFormat="false" ht="15" hidden="false" customHeight="false" outlineLevel="0" collapsed="false">
      <c r="A943" s="106" t="s">
        <v>7679</v>
      </c>
      <c r="B943" s="106" t="s">
        <v>6792</v>
      </c>
      <c r="C943" s="106"/>
      <c r="D943" s="107"/>
      <c r="E943" s="107" t="n">
        <v>284.657142857143</v>
      </c>
      <c r="F943" s="130" t="n">
        <v>0.4</v>
      </c>
      <c r="G943" s="106" t="s">
        <v>1411</v>
      </c>
      <c r="H943" s="106" t="n">
        <v>0</v>
      </c>
      <c r="I943" s="106" t="s">
        <v>6794</v>
      </c>
      <c r="J943" s="106" t="s">
        <v>6794</v>
      </c>
      <c r="K943" s="106" t="s">
        <v>6793</v>
      </c>
      <c r="L943" s="106" t="s">
        <v>6793</v>
      </c>
      <c r="M943" s="117"/>
      <c r="N943" s="106" t="n">
        <v>0</v>
      </c>
      <c r="O943" s="106"/>
      <c r="P943" s="27" t="s">
        <v>6805</v>
      </c>
    </row>
    <row r="944" customFormat="false" ht="15" hidden="false" customHeight="false" outlineLevel="0" collapsed="false">
      <c r="A944" s="106" t="s">
        <v>7680</v>
      </c>
      <c r="B944" s="106" t="s">
        <v>6792</v>
      </c>
      <c r="C944" s="106" t="s">
        <v>185</v>
      </c>
      <c r="D944" s="107"/>
      <c r="E944" s="107" t="n">
        <v>284.657142857143</v>
      </c>
      <c r="F944" s="130" t="n">
        <v>0.55</v>
      </c>
      <c r="G944" s="106" t="s">
        <v>1411</v>
      </c>
      <c r="H944" s="106" t="n">
        <v>0</v>
      </c>
      <c r="I944" s="106" t="s">
        <v>6793</v>
      </c>
      <c r="J944" s="106" t="s">
        <v>6794</v>
      </c>
      <c r="K944" s="106" t="s">
        <v>6793</v>
      </c>
      <c r="L944" s="106" t="s">
        <v>6794</v>
      </c>
      <c r="M944" s="117"/>
      <c r="N944" s="106" t="n">
        <v>0</v>
      </c>
      <c r="O944" s="106"/>
      <c r="P944" s="27" t="s">
        <v>6818</v>
      </c>
    </row>
    <row r="945" customFormat="false" ht="15" hidden="false" customHeight="false" outlineLevel="0" collapsed="false">
      <c r="A945" s="106" t="s">
        <v>7681</v>
      </c>
      <c r="B945" s="106" t="s">
        <v>6792</v>
      </c>
      <c r="C945" s="106" t="s">
        <v>185</v>
      </c>
      <c r="D945" s="107"/>
      <c r="E945" s="107" t="n">
        <v>284.657142857143</v>
      </c>
      <c r="F945" s="130" t="n">
        <v>0.45</v>
      </c>
      <c r="G945" s="106" t="s">
        <v>1411</v>
      </c>
      <c r="H945" s="106" t="n">
        <v>0</v>
      </c>
      <c r="I945" s="106" t="s">
        <v>6794</v>
      </c>
      <c r="J945" s="106" t="s">
        <v>6794</v>
      </c>
      <c r="K945" s="106" t="s">
        <v>6793</v>
      </c>
      <c r="L945" s="106" t="s">
        <v>6793</v>
      </c>
      <c r="M945" s="117"/>
      <c r="N945" s="106" t="n">
        <v>0</v>
      </c>
      <c r="O945" s="106"/>
      <c r="P945" s="27" t="s">
        <v>6805</v>
      </c>
    </row>
    <row r="946" customFormat="false" ht="15" hidden="false" customHeight="false" outlineLevel="0" collapsed="false">
      <c r="A946" s="106" t="s">
        <v>7682</v>
      </c>
      <c r="B946" s="106" t="s">
        <v>6792</v>
      </c>
      <c r="C946" s="106"/>
      <c r="D946" s="107"/>
      <c r="E946" s="107" t="n">
        <v>284.657142857143</v>
      </c>
      <c r="F946" s="130" t="n">
        <v>0.5</v>
      </c>
      <c r="G946" s="106" t="s">
        <v>1411</v>
      </c>
      <c r="H946" s="106" t="n">
        <v>0</v>
      </c>
      <c r="I946" s="106" t="s">
        <v>6793</v>
      </c>
      <c r="J946" s="106" t="s">
        <v>6794</v>
      </c>
      <c r="K946" s="106" t="s">
        <v>6793</v>
      </c>
      <c r="L946" s="106" t="s">
        <v>6794</v>
      </c>
      <c r="M946" s="117"/>
      <c r="N946" s="106" t="n">
        <v>0</v>
      </c>
      <c r="O946" s="106"/>
      <c r="P946" s="27" t="s">
        <v>6818</v>
      </c>
    </row>
    <row r="947" customFormat="false" ht="22.35" hidden="false" customHeight="false" outlineLevel="0" collapsed="false">
      <c r="A947" s="106" t="s">
        <v>7683</v>
      </c>
      <c r="B947" s="106" t="s">
        <v>7101</v>
      </c>
      <c r="C947" s="106" t="s">
        <v>185</v>
      </c>
      <c r="D947" s="107" t="n">
        <v>374</v>
      </c>
      <c r="E947" s="107" t="n">
        <v>284.24</v>
      </c>
      <c r="F947" s="130" t="n">
        <v>1</v>
      </c>
      <c r="G947" s="106" t="s">
        <v>1411</v>
      </c>
      <c r="H947" s="106" t="n">
        <v>0</v>
      </c>
      <c r="I947" s="106" t="s">
        <v>6793</v>
      </c>
      <c r="J947" s="106" t="s">
        <v>6793</v>
      </c>
      <c r="K947" s="106" t="s">
        <v>6793</v>
      </c>
      <c r="L947" s="106" t="s">
        <v>6793</v>
      </c>
      <c r="M947" s="117"/>
      <c r="N947" s="106" t="n">
        <v>0</v>
      </c>
      <c r="O947" s="106"/>
      <c r="P947" s="27" t="s">
        <v>7447</v>
      </c>
    </row>
    <row r="948" customFormat="false" ht="22.35" hidden="false" customHeight="false" outlineLevel="0" collapsed="false">
      <c r="A948" s="106" t="s">
        <v>7684</v>
      </c>
      <c r="B948" s="106" t="s">
        <v>7101</v>
      </c>
      <c r="C948" s="106"/>
      <c r="D948" s="107" t="n">
        <v>371</v>
      </c>
      <c r="E948" s="107" t="n">
        <v>281.96</v>
      </c>
      <c r="F948" s="130" t="n">
        <v>0.8</v>
      </c>
      <c r="G948" s="106" t="s">
        <v>1411</v>
      </c>
      <c r="H948" s="106" t="n">
        <v>0</v>
      </c>
      <c r="I948" s="106" t="s">
        <v>6793</v>
      </c>
      <c r="J948" s="106" t="s">
        <v>6799</v>
      </c>
      <c r="K948" s="106" t="s">
        <v>6793</v>
      </c>
      <c r="L948" s="106" t="s">
        <v>6793</v>
      </c>
      <c r="M948" s="117"/>
      <c r="N948" s="106" t="n">
        <v>0</v>
      </c>
      <c r="O948" s="106"/>
      <c r="P948" s="27" t="s">
        <v>7447</v>
      </c>
    </row>
    <row r="949" customFormat="false" ht="15" hidden="false" customHeight="false" outlineLevel="0" collapsed="false">
      <c r="A949" s="106" t="s">
        <v>7685</v>
      </c>
      <c r="B949" s="106" t="s">
        <v>6792</v>
      </c>
      <c r="C949" s="106" t="s">
        <v>479</v>
      </c>
      <c r="D949" s="107" t="n">
        <v>368</v>
      </c>
      <c r="E949" s="107" t="n">
        <v>279.68</v>
      </c>
      <c r="F949" s="130" t="n">
        <v>0.75</v>
      </c>
      <c r="G949" s="106" t="s">
        <v>1411</v>
      </c>
      <c r="H949" s="106" t="n">
        <v>0</v>
      </c>
      <c r="I949" s="106" t="s">
        <v>6794</v>
      </c>
      <c r="J949" s="106" t="s">
        <v>6793</v>
      </c>
      <c r="K949" s="106" t="s">
        <v>6793</v>
      </c>
      <c r="L949" s="106" t="s">
        <v>6793</v>
      </c>
      <c r="M949" s="117"/>
      <c r="N949" s="106" t="n">
        <v>0</v>
      </c>
      <c r="O949" s="106"/>
      <c r="P949" s="27" t="s">
        <v>6983</v>
      </c>
    </row>
    <row r="950" customFormat="false" ht="22.35" hidden="false" customHeight="false" outlineLevel="0" collapsed="false">
      <c r="A950" s="106" t="s">
        <v>7686</v>
      </c>
      <c r="B950" s="106" t="s">
        <v>6792</v>
      </c>
      <c r="C950" s="106"/>
      <c r="D950" s="107" t="n">
        <v>366</v>
      </c>
      <c r="E950" s="107" t="n">
        <v>278.16</v>
      </c>
      <c r="F950" s="130" t="n">
        <v>0.65</v>
      </c>
      <c r="G950" s="106" t="s">
        <v>1411</v>
      </c>
      <c r="H950" s="106" t="n">
        <v>0</v>
      </c>
      <c r="I950" s="106" t="s">
        <v>6793</v>
      </c>
      <c r="J950" s="106" t="s">
        <v>6794</v>
      </c>
      <c r="K950" s="106" t="s">
        <v>6793</v>
      </c>
      <c r="L950" s="106" t="s">
        <v>6793</v>
      </c>
      <c r="M950" s="117"/>
      <c r="N950" s="106" t="n">
        <v>0</v>
      </c>
      <c r="O950" s="106"/>
      <c r="P950" s="27" t="s">
        <v>7610</v>
      </c>
    </row>
    <row r="951" customFormat="false" ht="22.35" hidden="false" customHeight="false" outlineLevel="0" collapsed="false">
      <c r="A951" s="106" t="s">
        <v>7687</v>
      </c>
      <c r="B951" s="106" t="s">
        <v>7101</v>
      </c>
      <c r="C951" s="106" t="s">
        <v>696</v>
      </c>
      <c r="D951" s="107" t="n">
        <v>364</v>
      </c>
      <c r="E951" s="107" t="n">
        <v>276.64</v>
      </c>
      <c r="F951" s="130" t="n">
        <v>1</v>
      </c>
      <c r="G951" s="106" t="s">
        <v>1411</v>
      </c>
      <c r="H951" s="106" t="n">
        <v>0</v>
      </c>
      <c r="I951" s="106" t="s">
        <v>6793</v>
      </c>
      <c r="J951" s="106" t="s">
        <v>6793</v>
      </c>
      <c r="K951" s="106" t="s">
        <v>6793</v>
      </c>
      <c r="L951" s="106" t="s">
        <v>6793</v>
      </c>
      <c r="M951" s="117"/>
      <c r="N951" s="106" t="n">
        <v>0</v>
      </c>
      <c r="O951" s="106"/>
      <c r="P951" s="27" t="s">
        <v>7447</v>
      </c>
    </row>
    <row r="952" customFormat="false" ht="22.35" hidden="false" customHeight="false" outlineLevel="0" collapsed="false">
      <c r="A952" s="106" t="s">
        <v>5232</v>
      </c>
      <c r="B952" s="106" t="s">
        <v>7101</v>
      </c>
      <c r="C952" s="106"/>
      <c r="D952" s="107" t="n">
        <v>364</v>
      </c>
      <c r="E952" s="107" t="n">
        <v>276.64</v>
      </c>
      <c r="F952" s="130" t="n">
        <v>0.95</v>
      </c>
      <c r="G952" s="106" t="s">
        <v>1411</v>
      </c>
      <c r="H952" s="106" t="n">
        <v>3</v>
      </c>
      <c r="I952" s="106" t="s">
        <v>6793</v>
      </c>
      <c r="J952" s="106" t="s">
        <v>6793</v>
      </c>
      <c r="K952" s="106" t="s">
        <v>6793</v>
      </c>
      <c r="L952" s="106" t="s">
        <v>6793</v>
      </c>
      <c r="M952" s="117"/>
      <c r="N952" s="106" t="n">
        <v>29</v>
      </c>
      <c r="O952" s="106" t="n">
        <v>6.9</v>
      </c>
      <c r="P952" s="27" t="s">
        <v>7688</v>
      </c>
    </row>
    <row r="953" customFormat="false" ht="15" hidden="false" customHeight="false" outlineLevel="0" collapsed="false">
      <c r="A953" s="106" t="s">
        <v>5383</v>
      </c>
      <c r="B953" s="106" t="s">
        <v>6792</v>
      </c>
      <c r="C953" s="106"/>
      <c r="D953" s="107" t="n">
        <v>363</v>
      </c>
      <c r="E953" s="107" t="n">
        <v>275.88</v>
      </c>
      <c r="F953" s="130" t="n">
        <v>0.7</v>
      </c>
      <c r="G953" s="106" t="s">
        <v>1411</v>
      </c>
      <c r="H953" s="106" t="n">
        <v>0</v>
      </c>
      <c r="I953" s="106" t="s">
        <v>6794</v>
      </c>
      <c r="J953" s="106" t="s">
        <v>6793</v>
      </c>
      <c r="K953" s="106" t="s">
        <v>6793</v>
      </c>
      <c r="L953" s="106" t="s">
        <v>6793</v>
      </c>
      <c r="M953" s="117"/>
      <c r="N953" s="106" t="n">
        <v>3</v>
      </c>
      <c r="O953" s="106" t="n">
        <v>0</v>
      </c>
      <c r="P953" s="27" t="s">
        <v>6983</v>
      </c>
    </row>
    <row r="954" customFormat="false" ht="15" hidden="false" customHeight="false" outlineLevel="0" collapsed="false">
      <c r="A954" s="106" t="s">
        <v>7689</v>
      </c>
      <c r="B954" s="106" t="s">
        <v>6792</v>
      </c>
      <c r="C954" s="106"/>
      <c r="D954" s="107"/>
      <c r="E954" s="107" t="n">
        <v>274.114285714286</v>
      </c>
      <c r="F954" s="130" t="n">
        <v>0.4</v>
      </c>
      <c r="G954" s="106" t="s">
        <v>1411</v>
      </c>
      <c r="H954" s="106" t="n">
        <v>0</v>
      </c>
      <c r="I954" s="106" t="s">
        <v>6794</v>
      </c>
      <c r="J954" s="106" t="s">
        <v>6794</v>
      </c>
      <c r="K954" s="106" t="s">
        <v>6793</v>
      </c>
      <c r="L954" s="106" t="s">
        <v>6793</v>
      </c>
      <c r="M954" s="117"/>
      <c r="N954" s="106" t="n">
        <v>0</v>
      </c>
      <c r="O954" s="106"/>
      <c r="P954" s="27" t="s">
        <v>6805</v>
      </c>
    </row>
    <row r="955" customFormat="false" ht="15" hidden="false" customHeight="false" outlineLevel="0" collapsed="false">
      <c r="A955" s="106" t="s">
        <v>7690</v>
      </c>
      <c r="B955" s="106" t="s">
        <v>6792</v>
      </c>
      <c r="C955" s="106" t="s">
        <v>185</v>
      </c>
      <c r="D955" s="107"/>
      <c r="E955" s="107" t="n">
        <v>274.114285714286</v>
      </c>
      <c r="F955" s="130" t="n">
        <v>0.45</v>
      </c>
      <c r="G955" s="106" t="s">
        <v>1411</v>
      </c>
      <c r="H955" s="106" t="n">
        <v>0</v>
      </c>
      <c r="I955" s="106" t="s">
        <v>6794</v>
      </c>
      <c r="J955" s="106" t="s">
        <v>6794</v>
      </c>
      <c r="K955" s="106" t="s">
        <v>6793</v>
      </c>
      <c r="L955" s="106" t="s">
        <v>6793</v>
      </c>
      <c r="M955" s="117"/>
      <c r="N955" s="106" t="n">
        <v>0</v>
      </c>
      <c r="O955" s="106"/>
      <c r="P955" s="27" t="s">
        <v>6805</v>
      </c>
    </row>
    <row r="956" customFormat="false" ht="15" hidden="false" customHeight="false" outlineLevel="0" collapsed="false">
      <c r="A956" s="106" t="s">
        <v>7691</v>
      </c>
      <c r="B956" s="106" t="s">
        <v>6792</v>
      </c>
      <c r="C956" s="106" t="s">
        <v>560</v>
      </c>
      <c r="D956" s="107"/>
      <c r="E956" s="107" t="n">
        <v>274.114285714286</v>
      </c>
      <c r="F956" s="130" t="n">
        <v>0.55</v>
      </c>
      <c r="G956" s="106" t="s">
        <v>1411</v>
      </c>
      <c r="H956" s="106" t="n">
        <v>0</v>
      </c>
      <c r="I956" s="106" t="s">
        <v>6793</v>
      </c>
      <c r="J956" s="106" t="s">
        <v>6794</v>
      </c>
      <c r="K956" s="106" t="s">
        <v>6793</v>
      </c>
      <c r="L956" s="106" t="s">
        <v>6794</v>
      </c>
      <c r="M956" s="117"/>
      <c r="N956" s="106" t="n">
        <v>0</v>
      </c>
      <c r="O956" s="106"/>
      <c r="P956" s="27" t="s">
        <v>6818</v>
      </c>
    </row>
    <row r="957" customFormat="false" ht="15" hidden="false" customHeight="false" outlineLevel="0" collapsed="false">
      <c r="A957" s="106" t="s">
        <v>7692</v>
      </c>
      <c r="B957" s="106" t="s">
        <v>6792</v>
      </c>
      <c r="C957" s="106" t="s">
        <v>560</v>
      </c>
      <c r="D957" s="107"/>
      <c r="E957" s="107" t="n">
        <v>274.114285714286</v>
      </c>
      <c r="F957" s="130" t="n">
        <v>0.45</v>
      </c>
      <c r="G957" s="106" t="s">
        <v>1411</v>
      </c>
      <c r="H957" s="106" t="n">
        <v>0</v>
      </c>
      <c r="I957" s="106" t="s">
        <v>6794</v>
      </c>
      <c r="J957" s="106" t="s">
        <v>6794</v>
      </c>
      <c r="K957" s="106" t="s">
        <v>6793</v>
      </c>
      <c r="L957" s="106" t="s">
        <v>6793</v>
      </c>
      <c r="M957" s="117"/>
      <c r="N957" s="106" t="n">
        <v>0</v>
      </c>
      <c r="O957" s="106"/>
      <c r="P957" s="27" t="s">
        <v>6805</v>
      </c>
    </row>
    <row r="958" customFormat="false" ht="15" hidden="false" customHeight="false" outlineLevel="0" collapsed="false">
      <c r="A958" s="106" t="s">
        <v>7693</v>
      </c>
      <c r="B958" s="106" t="s">
        <v>6792</v>
      </c>
      <c r="C958" s="106"/>
      <c r="D958" s="107" t="n">
        <v>77</v>
      </c>
      <c r="E958" s="107" t="n">
        <v>274.114285714286</v>
      </c>
      <c r="F958" s="130" t="n">
        <v>0.7</v>
      </c>
      <c r="G958" s="106" t="s">
        <v>1411</v>
      </c>
      <c r="H958" s="106" t="n">
        <v>0</v>
      </c>
      <c r="I958" s="106" t="s">
        <v>6794</v>
      </c>
      <c r="J958" s="106" t="s">
        <v>6793</v>
      </c>
      <c r="K958" s="106" t="s">
        <v>6793</v>
      </c>
      <c r="L958" s="106" t="s">
        <v>6793</v>
      </c>
      <c r="M958" s="117"/>
      <c r="N958" s="106" t="n">
        <v>0</v>
      </c>
      <c r="O958" s="106"/>
      <c r="P958" s="27" t="s">
        <v>6885</v>
      </c>
    </row>
    <row r="959" customFormat="false" ht="15" hidden="false" customHeight="false" outlineLevel="0" collapsed="false">
      <c r="A959" s="106" t="s">
        <v>7694</v>
      </c>
      <c r="B959" s="106" t="s">
        <v>6792</v>
      </c>
      <c r="C959" s="106" t="s">
        <v>185</v>
      </c>
      <c r="D959" s="107"/>
      <c r="E959" s="107" t="n">
        <v>274.114285714286</v>
      </c>
      <c r="F959" s="130" t="n">
        <v>0.45</v>
      </c>
      <c r="G959" s="106" t="s">
        <v>1411</v>
      </c>
      <c r="H959" s="106" t="n">
        <v>0</v>
      </c>
      <c r="I959" s="106" t="s">
        <v>6794</v>
      </c>
      <c r="J959" s="106" t="s">
        <v>6794</v>
      </c>
      <c r="K959" s="106" t="s">
        <v>6793</v>
      </c>
      <c r="L959" s="106" t="s">
        <v>6793</v>
      </c>
      <c r="M959" s="117"/>
      <c r="N959" s="106" t="n">
        <v>0</v>
      </c>
      <c r="O959" s="106"/>
      <c r="P959" s="27" t="s">
        <v>6805</v>
      </c>
    </row>
    <row r="960" customFormat="false" ht="15" hidden="false" customHeight="false" outlineLevel="0" collapsed="false">
      <c r="A960" s="106" t="s">
        <v>7695</v>
      </c>
      <c r="B960" s="106" t="s">
        <v>6792</v>
      </c>
      <c r="C960" s="106" t="s">
        <v>560</v>
      </c>
      <c r="D960" s="107"/>
      <c r="E960" s="107" t="n">
        <v>274.114285714286</v>
      </c>
      <c r="F960" s="130" t="n">
        <v>0.45</v>
      </c>
      <c r="G960" s="106" t="s">
        <v>1411</v>
      </c>
      <c r="H960" s="106" t="n">
        <v>0</v>
      </c>
      <c r="I960" s="106" t="s">
        <v>6794</v>
      </c>
      <c r="J960" s="106" t="s">
        <v>6794</v>
      </c>
      <c r="K960" s="106" t="s">
        <v>6793</v>
      </c>
      <c r="L960" s="106" t="s">
        <v>6793</v>
      </c>
      <c r="M960" s="117"/>
      <c r="N960" s="106" t="n">
        <v>0</v>
      </c>
      <c r="O960" s="106"/>
      <c r="P960" s="27" t="s">
        <v>6805</v>
      </c>
    </row>
    <row r="961" customFormat="false" ht="15" hidden="false" customHeight="false" outlineLevel="0" collapsed="false">
      <c r="A961" s="106" t="s">
        <v>7696</v>
      </c>
      <c r="B961" s="106" t="s">
        <v>6792</v>
      </c>
      <c r="C961" s="106" t="s">
        <v>560</v>
      </c>
      <c r="D961" s="107"/>
      <c r="E961" s="107" t="n">
        <v>274.114285714286</v>
      </c>
      <c r="F961" s="130" t="n">
        <v>0.55</v>
      </c>
      <c r="G961" s="106" t="s">
        <v>1411</v>
      </c>
      <c r="H961" s="106" t="n">
        <v>0</v>
      </c>
      <c r="I961" s="106" t="s">
        <v>6793</v>
      </c>
      <c r="J961" s="106" t="s">
        <v>6794</v>
      </c>
      <c r="K961" s="106" t="s">
        <v>6793</v>
      </c>
      <c r="L961" s="106" t="s">
        <v>6794</v>
      </c>
      <c r="M961" s="117"/>
      <c r="N961" s="106" t="n">
        <v>0</v>
      </c>
      <c r="O961" s="106"/>
      <c r="P961" s="27" t="s">
        <v>6818</v>
      </c>
    </row>
    <row r="962" customFormat="false" ht="15" hidden="false" customHeight="false" outlineLevel="0" collapsed="false">
      <c r="A962" s="106" t="s">
        <v>7697</v>
      </c>
      <c r="B962" s="106" t="s">
        <v>6792</v>
      </c>
      <c r="C962" s="106"/>
      <c r="D962" s="107"/>
      <c r="E962" s="107" t="n">
        <v>274.114285714286</v>
      </c>
      <c r="F962" s="130" t="n">
        <v>0.4</v>
      </c>
      <c r="G962" s="106" t="s">
        <v>1411</v>
      </c>
      <c r="H962" s="106" t="n">
        <v>0</v>
      </c>
      <c r="I962" s="106" t="s">
        <v>6794</v>
      </c>
      <c r="J962" s="106" t="s">
        <v>6794</v>
      </c>
      <c r="K962" s="106" t="s">
        <v>6793</v>
      </c>
      <c r="L962" s="106" t="s">
        <v>6793</v>
      </c>
      <c r="M962" s="117"/>
      <c r="N962" s="106" t="n">
        <v>0</v>
      </c>
      <c r="O962" s="106"/>
      <c r="P962" s="27" t="s">
        <v>6805</v>
      </c>
    </row>
    <row r="963" customFormat="false" ht="15" hidden="false" customHeight="false" outlineLevel="0" collapsed="false">
      <c r="A963" s="106" t="s">
        <v>7698</v>
      </c>
      <c r="B963" s="106" t="s">
        <v>6792</v>
      </c>
      <c r="C963" s="106" t="s">
        <v>479</v>
      </c>
      <c r="D963" s="107"/>
      <c r="E963" s="107" t="n">
        <v>274.114285714286</v>
      </c>
      <c r="F963" s="130" t="n">
        <v>0.55</v>
      </c>
      <c r="G963" s="106" t="s">
        <v>1411</v>
      </c>
      <c r="H963" s="106" t="n">
        <v>0</v>
      </c>
      <c r="I963" s="106" t="s">
        <v>6793</v>
      </c>
      <c r="J963" s="106" t="s">
        <v>6794</v>
      </c>
      <c r="K963" s="106" t="s">
        <v>6793</v>
      </c>
      <c r="L963" s="106" t="s">
        <v>6794</v>
      </c>
      <c r="M963" s="117"/>
      <c r="N963" s="106" t="n">
        <v>0</v>
      </c>
      <c r="O963" s="106"/>
      <c r="P963" s="27" t="s">
        <v>6818</v>
      </c>
    </row>
    <row r="964" customFormat="false" ht="22.35" hidden="false" customHeight="false" outlineLevel="0" collapsed="false">
      <c r="A964" s="106" t="s">
        <v>7699</v>
      </c>
      <c r="B964" s="106" t="s">
        <v>7101</v>
      </c>
      <c r="C964" s="106"/>
      <c r="D964" s="107" t="n">
        <v>473</v>
      </c>
      <c r="E964" s="107" t="n">
        <v>274.114285714286</v>
      </c>
      <c r="F964" s="130" t="n">
        <v>0.8</v>
      </c>
      <c r="G964" s="106" t="s">
        <v>1411</v>
      </c>
      <c r="H964" s="106" t="n">
        <v>0</v>
      </c>
      <c r="I964" s="106" t="s">
        <v>6793</v>
      </c>
      <c r="J964" s="106" t="s">
        <v>6799</v>
      </c>
      <c r="K964" s="106" t="s">
        <v>6793</v>
      </c>
      <c r="L964" s="106" t="s">
        <v>6793</v>
      </c>
      <c r="M964" s="117"/>
      <c r="N964" s="106" t="n">
        <v>0</v>
      </c>
      <c r="O964" s="106"/>
      <c r="P964" s="27" t="s">
        <v>7447</v>
      </c>
    </row>
    <row r="965" customFormat="false" ht="15" hidden="false" customHeight="false" outlineLevel="0" collapsed="false">
      <c r="A965" s="106" t="s">
        <v>7700</v>
      </c>
      <c r="B965" s="106" t="s">
        <v>6792</v>
      </c>
      <c r="C965" s="106"/>
      <c r="D965" s="107"/>
      <c r="E965" s="107" t="n">
        <v>274.114285714286</v>
      </c>
      <c r="F965" s="130" t="n">
        <v>0.5</v>
      </c>
      <c r="G965" s="106" t="s">
        <v>1411</v>
      </c>
      <c r="H965" s="106" t="n">
        <v>0</v>
      </c>
      <c r="I965" s="106" t="s">
        <v>6793</v>
      </c>
      <c r="J965" s="106" t="s">
        <v>6794</v>
      </c>
      <c r="K965" s="106" t="s">
        <v>6793</v>
      </c>
      <c r="L965" s="106" t="s">
        <v>6794</v>
      </c>
      <c r="M965" s="117"/>
      <c r="N965" s="106" t="n">
        <v>0</v>
      </c>
      <c r="O965" s="106"/>
      <c r="P965" s="27" t="s">
        <v>6818</v>
      </c>
    </row>
    <row r="966" customFormat="false" ht="22.35" hidden="false" customHeight="false" outlineLevel="0" collapsed="false">
      <c r="A966" s="106" t="s">
        <v>5481</v>
      </c>
      <c r="B966" s="106" t="s">
        <v>7101</v>
      </c>
      <c r="C966" s="106" t="s">
        <v>560</v>
      </c>
      <c r="D966" s="107" t="n">
        <v>360</v>
      </c>
      <c r="E966" s="107" t="n">
        <v>273.6</v>
      </c>
      <c r="F966" s="130" t="n">
        <v>1</v>
      </c>
      <c r="G966" s="106" t="s">
        <v>1411</v>
      </c>
      <c r="H966" s="106" t="n">
        <v>0</v>
      </c>
      <c r="I966" s="106" t="s">
        <v>6793</v>
      </c>
      <c r="J966" s="106" t="s">
        <v>6793</v>
      </c>
      <c r="K966" s="106" t="s">
        <v>6793</v>
      </c>
      <c r="L966" s="106" t="s">
        <v>6793</v>
      </c>
      <c r="M966" s="117"/>
      <c r="N966" s="106" t="n">
        <v>2</v>
      </c>
      <c r="O966" s="106" t="n">
        <v>50</v>
      </c>
      <c r="P966" s="27" t="s">
        <v>7447</v>
      </c>
    </row>
    <row r="967" customFormat="false" ht="22.35" hidden="false" customHeight="false" outlineLevel="0" collapsed="false">
      <c r="A967" s="106" t="s">
        <v>4892</v>
      </c>
      <c r="B967" s="106" t="s">
        <v>7101</v>
      </c>
      <c r="C967" s="106" t="s">
        <v>560</v>
      </c>
      <c r="D967" s="107" t="n">
        <v>360</v>
      </c>
      <c r="E967" s="107" t="n">
        <v>273.6</v>
      </c>
      <c r="F967" s="130" t="n">
        <v>1</v>
      </c>
      <c r="G967" s="106" t="s">
        <v>1411</v>
      </c>
      <c r="H967" s="106" t="n">
        <v>2</v>
      </c>
      <c r="I967" s="106" t="s">
        <v>6793</v>
      </c>
      <c r="J967" s="106" t="s">
        <v>6793</v>
      </c>
      <c r="K967" s="106" t="s">
        <v>6793</v>
      </c>
      <c r="L967" s="106" t="s">
        <v>6793</v>
      </c>
      <c r="M967" s="117" t="n">
        <v>0.0677966101694915</v>
      </c>
      <c r="N967" s="106" t="n">
        <v>2</v>
      </c>
      <c r="O967" s="106" t="n">
        <v>0</v>
      </c>
      <c r="P967" s="27" t="s">
        <v>7701</v>
      </c>
    </row>
    <row r="968" customFormat="false" ht="22.35" hidden="false" customHeight="false" outlineLevel="0" collapsed="false">
      <c r="A968" s="106" t="s">
        <v>7702</v>
      </c>
      <c r="B968" s="106" t="s">
        <v>7101</v>
      </c>
      <c r="C968" s="106" t="s">
        <v>185</v>
      </c>
      <c r="D968" s="107" t="n">
        <v>360</v>
      </c>
      <c r="E968" s="107" t="n">
        <v>273.6</v>
      </c>
      <c r="F968" s="130" t="n">
        <v>1</v>
      </c>
      <c r="G968" s="106" t="s">
        <v>1411</v>
      </c>
      <c r="H968" s="106" t="n">
        <v>0</v>
      </c>
      <c r="I968" s="106" t="s">
        <v>6793</v>
      </c>
      <c r="J968" s="106" t="s">
        <v>6793</v>
      </c>
      <c r="K968" s="106" t="s">
        <v>6793</v>
      </c>
      <c r="L968" s="106" t="s">
        <v>6793</v>
      </c>
      <c r="M968" s="117"/>
      <c r="N968" s="106" t="n">
        <v>0</v>
      </c>
      <c r="O968" s="106"/>
      <c r="P968" s="27" t="s">
        <v>7447</v>
      </c>
    </row>
    <row r="969" customFormat="false" ht="15" hidden="false" customHeight="false" outlineLevel="0" collapsed="false">
      <c r="A969" s="106" t="s">
        <v>6207</v>
      </c>
      <c r="B969" s="106" t="s">
        <v>6792</v>
      </c>
      <c r="C969" s="106" t="s">
        <v>560</v>
      </c>
      <c r="D969" s="107" t="n">
        <v>360</v>
      </c>
      <c r="E969" s="107" t="n">
        <v>273.6</v>
      </c>
      <c r="F969" s="130" t="n">
        <v>0.75</v>
      </c>
      <c r="G969" s="106" t="s">
        <v>1411</v>
      </c>
      <c r="H969" s="106" t="n">
        <v>0</v>
      </c>
      <c r="I969" s="106" t="s">
        <v>6794</v>
      </c>
      <c r="J969" s="106" t="s">
        <v>6793</v>
      </c>
      <c r="K969" s="106" t="s">
        <v>6793</v>
      </c>
      <c r="L969" s="106" t="s">
        <v>6793</v>
      </c>
      <c r="M969" s="117"/>
      <c r="N969" s="106" t="n">
        <v>1</v>
      </c>
      <c r="O969" s="106" t="n">
        <v>0</v>
      </c>
      <c r="P969" s="27" t="s">
        <v>6983</v>
      </c>
    </row>
    <row r="970" customFormat="false" ht="22.35" hidden="false" customHeight="false" outlineLevel="0" collapsed="false">
      <c r="A970" s="106" t="s">
        <v>7703</v>
      </c>
      <c r="B970" s="106" t="s">
        <v>7101</v>
      </c>
      <c r="C970" s="106" t="s">
        <v>560</v>
      </c>
      <c r="D970" s="107" t="n">
        <v>358</v>
      </c>
      <c r="E970" s="107" t="n">
        <v>272.08</v>
      </c>
      <c r="F970" s="130" t="n">
        <v>0.88</v>
      </c>
      <c r="G970" s="106" t="s">
        <v>1411</v>
      </c>
      <c r="H970" s="106" t="n">
        <v>0</v>
      </c>
      <c r="I970" s="106" t="s">
        <v>6799</v>
      </c>
      <c r="J970" s="106" t="s">
        <v>6793</v>
      </c>
      <c r="K970" s="106" t="s">
        <v>6793</v>
      </c>
      <c r="L970" s="106" t="s">
        <v>6793</v>
      </c>
      <c r="M970" s="117"/>
      <c r="N970" s="106" t="n">
        <v>0</v>
      </c>
      <c r="O970" s="106"/>
      <c r="P970" s="27" t="s">
        <v>7447</v>
      </c>
    </row>
    <row r="971" customFormat="false" ht="22.35" hidden="false" customHeight="false" outlineLevel="0" collapsed="false">
      <c r="A971" s="106" t="s">
        <v>7704</v>
      </c>
      <c r="B971" s="106" t="s">
        <v>7101</v>
      </c>
      <c r="C971" s="106" t="s">
        <v>560</v>
      </c>
      <c r="D971" s="107" t="n">
        <v>355</v>
      </c>
      <c r="E971" s="107" t="n">
        <v>269.8</v>
      </c>
      <c r="F971" s="130" t="n">
        <v>0.85</v>
      </c>
      <c r="G971" s="106" t="s">
        <v>1411</v>
      </c>
      <c r="H971" s="106" t="n">
        <v>0</v>
      </c>
      <c r="I971" s="106" t="s">
        <v>6793</v>
      </c>
      <c r="J971" s="106" t="s">
        <v>6799</v>
      </c>
      <c r="K971" s="106" t="s">
        <v>6793</v>
      </c>
      <c r="L971" s="106" t="s">
        <v>6793</v>
      </c>
      <c r="M971" s="117"/>
      <c r="N971" s="106" t="n">
        <v>0</v>
      </c>
      <c r="O971" s="106"/>
      <c r="P971" s="27" t="s">
        <v>7447</v>
      </c>
    </row>
    <row r="972" customFormat="false" ht="15" hidden="false" customHeight="false" outlineLevel="0" collapsed="false">
      <c r="A972" s="106" t="s">
        <v>7705</v>
      </c>
      <c r="B972" s="106" t="s">
        <v>6792</v>
      </c>
      <c r="C972" s="106"/>
      <c r="D972" s="107" t="n">
        <v>355</v>
      </c>
      <c r="E972" s="107" t="n">
        <v>269.8</v>
      </c>
      <c r="F972" s="130" t="n">
        <v>0.45</v>
      </c>
      <c r="G972" s="106" t="s">
        <v>1411</v>
      </c>
      <c r="H972" s="106" t="n">
        <v>0</v>
      </c>
      <c r="I972" s="106" t="s">
        <v>6799</v>
      </c>
      <c r="J972" s="106" t="s">
        <v>6794</v>
      </c>
      <c r="K972" s="106" t="s">
        <v>6799</v>
      </c>
      <c r="L972" s="106" t="s">
        <v>6793</v>
      </c>
      <c r="M972" s="117"/>
      <c r="N972" s="106" t="n">
        <v>0</v>
      </c>
      <c r="O972" s="106"/>
      <c r="P972" s="27" t="s">
        <v>6795</v>
      </c>
    </row>
    <row r="973" customFormat="false" ht="22.35" hidden="false" customHeight="false" outlineLevel="0" collapsed="false">
      <c r="A973" s="106" t="s">
        <v>5459</v>
      </c>
      <c r="B973" s="106" t="s">
        <v>7101</v>
      </c>
      <c r="C973" s="106" t="s">
        <v>185</v>
      </c>
      <c r="D973" s="107" t="n">
        <v>355</v>
      </c>
      <c r="E973" s="107" t="n">
        <v>269.8</v>
      </c>
      <c r="F973" s="130" t="n">
        <v>1</v>
      </c>
      <c r="G973" s="106" t="s">
        <v>1411</v>
      </c>
      <c r="H973" s="106" t="n">
        <v>0</v>
      </c>
      <c r="I973" s="106" t="s">
        <v>6793</v>
      </c>
      <c r="J973" s="106" t="s">
        <v>6793</v>
      </c>
      <c r="K973" s="106" t="s">
        <v>6793</v>
      </c>
      <c r="L973" s="106" t="s">
        <v>6793</v>
      </c>
      <c r="M973" s="117"/>
      <c r="N973" s="106" t="n">
        <v>2</v>
      </c>
      <c r="O973" s="106" t="n">
        <v>0</v>
      </c>
      <c r="P973" s="27" t="s">
        <v>7447</v>
      </c>
    </row>
    <row r="974" customFormat="false" ht="15" hidden="false" customHeight="false" outlineLevel="0" collapsed="false">
      <c r="A974" s="106" t="s">
        <v>7706</v>
      </c>
      <c r="B974" s="106" t="s">
        <v>6792</v>
      </c>
      <c r="C974" s="106" t="s">
        <v>560</v>
      </c>
      <c r="D974" s="107"/>
      <c r="E974" s="107" t="n">
        <v>267.085714285714</v>
      </c>
      <c r="F974" s="130" t="n">
        <v>0.55</v>
      </c>
      <c r="G974" s="106" t="s">
        <v>1411</v>
      </c>
      <c r="H974" s="106" t="n">
        <v>0</v>
      </c>
      <c r="I974" s="106" t="s">
        <v>6793</v>
      </c>
      <c r="J974" s="106" t="s">
        <v>6794</v>
      </c>
      <c r="K974" s="106" t="s">
        <v>6793</v>
      </c>
      <c r="L974" s="106" t="s">
        <v>6794</v>
      </c>
      <c r="M974" s="117"/>
      <c r="N974" s="106" t="n">
        <v>0</v>
      </c>
      <c r="O974" s="106"/>
      <c r="P974" s="27" t="s">
        <v>6818</v>
      </c>
    </row>
    <row r="975" customFormat="false" ht="15" hidden="false" customHeight="false" outlineLevel="0" collapsed="false">
      <c r="A975" s="106" t="s">
        <v>7707</v>
      </c>
      <c r="B975" s="106" t="s">
        <v>6792</v>
      </c>
      <c r="C975" s="106"/>
      <c r="D975" s="107"/>
      <c r="E975" s="107" t="n">
        <v>267.085714285714</v>
      </c>
      <c r="F975" s="130" t="n">
        <v>0.5</v>
      </c>
      <c r="G975" s="106" t="s">
        <v>1411</v>
      </c>
      <c r="H975" s="106" t="n">
        <v>0</v>
      </c>
      <c r="I975" s="106" t="s">
        <v>6793</v>
      </c>
      <c r="J975" s="106" t="s">
        <v>6794</v>
      </c>
      <c r="K975" s="106" t="s">
        <v>6793</v>
      </c>
      <c r="L975" s="106" t="s">
        <v>6794</v>
      </c>
      <c r="M975" s="117"/>
      <c r="N975" s="106" t="n">
        <v>0</v>
      </c>
      <c r="O975" s="106"/>
      <c r="P975" s="27" t="s">
        <v>6818</v>
      </c>
    </row>
    <row r="976" customFormat="false" ht="15" hidden="false" customHeight="false" outlineLevel="0" collapsed="false">
      <c r="A976" s="106" t="s">
        <v>7708</v>
      </c>
      <c r="B976" s="106" t="s">
        <v>6792</v>
      </c>
      <c r="C976" s="106" t="s">
        <v>479</v>
      </c>
      <c r="D976" s="107"/>
      <c r="E976" s="107" t="n">
        <v>267.085714285714</v>
      </c>
      <c r="F976" s="130" t="n">
        <v>0.45</v>
      </c>
      <c r="G976" s="106" t="s">
        <v>1411</v>
      </c>
      <c r="H976" s="106" t="n">
        <v>0</v>
      </c>
      <c r="I976" s="106" t="s">
        <v>6794</v>
      </c>
      <c r="J976" s="106" t="s">
        <v>6794</v>
      </c>
      <c r="K976" s="106" t="s">
        <v>6793</v>
      </c>
      <c r="L976" s="106" t="s">
        <v>6793</v>
      </c>
      <c r="M976" s="117"/>
      <c r="N976" s="106" t="n">
        <v>0</v>
      </c>
      <c r="O976" s="106"/>
      <c r="P976" s="27" t="s">
        <v>6805</v>
      </c>
    </row>
    <row r="977" customFormat="false" ht="15" hidden="false" customHeight="false" outlineLevel="0" collapsed="false">
      <c r="A977" s="106" t="s">
        <v>7709</v>
      </c>
      <c r="B977" s="106" t="s">
        <v>6792</v>
      </c>
      <c r="C977" s="106"/>
      <c r="D977" s="107"/>
      <c r="E977" s="107" t="n">
        <v>267.085714285714</v>
      </c>
      <c r="F977" s="130" t="n">
        <v>0.5</v>
      </c>
      <c r="G977" s="106" t="s">
        <v>1411</v>
      </c>
      <c r="H977" s="106" t="n">
        <v>0</v>
      </c>
      <c r="I977" s="106" t="s">
        <v>6793</v>
      </c>
      <c r="J977" s="106" t="s">
        <v>6794</v>
      </c>
      <c r="K977" s="106" t="s">
        <v>6793</v>
      </c>
      <c r="L977" s="106" t="s">
        <v>6794</v>
      </c>
      <c r="M977" s="117"/>
      <c r="N977" s="106" t="n">
        <v>0</v>
      </c>
      <c r="O977" s="106"/>
      <c r="P977" s="27" t="s">
        <v>6818</v>
      </c>
    </row>
    <row r="978" customFormat="false" ht="15" hidden="false" customHeight="false" outlineLevel="0" collapsed="false">
      <c r="A978" s="106" t="s">
        <v>7710</v>
      </c>
      <c r="B978" s="106" t="s">
        <v>6792</v>
      </c>
      <c r="C978" s="106" t="s">
        <v>185</v>
      </c>
      <c r="D978" s="107"/>
      <c r="E978" s="107" t="n">
        <v>267.085714285714</v>
      </c>
      <c r="F978" s="130" t="n">
        <v>0.45</v>
      </c>
      <c r="G978" s="106" t="s">
        <v>1411</v>
      </c>
      <c r="H978" s="106" t="n">
        <v>0</v>
      </c>
      <c r="I978" s="106" t="s">
        <v>6794</v>
      </c>
      <c r="J978" s="106" t="s">
        <v>6794</v>
      </c>
      <c r="K978" s="106" t="s">
        <v>6793</v>
      </c>
      <c r="L978" s="106" t="s">
        <v>6793</v>
      </c>
      <c r="M978" s="117"/>
      <c r="N978" s="106" t="n">
        <v>0</v>
      </c>
      <c r="O978" s="106"/>
      <c r="P978" s="27" t="s">
        <v>6805</v>
      </c>
    </row>
    <row r="979" customFormat="false" ht="15" hidden="false" customHeight="false" outlineLevel="0" collapsed="false">
      <c r="A979" s="106" t="s">
        <v>7711</v>
      </c>
      <c r="B979" s="106" t="s">
        <v>6792</v>
      </c>
      <c r="C979" s="106" t="s">
        <v>696</v>
      </c>
      <c r="D979" s="107"/>
      <c r="E979" s="107" t="n">
        <v>267.085714285714</v>
      </c>
      <c r="F979" s="130" t="n">
        <v>0.45</v>
      </c>
      <c r="G979" s="106" t="s">
        <v>1411</v>
      </c>
      <c r="H979" s="106" t="n">
        <v>0</v>
      </c>
      <c r="I979" s="106" t="s">
        <v>6794</v>
      </c>
      <c r="J979" s="106" t="s">
        <v>6794</v>
      </c>
      <c r="K979" s="106" t="s">
        <v>6793</v>
      </c>
      <c r="L979" s="106" t="s">
        <v>6793</v>
      </c>
      <c r="M979" s="117"/>
      <c r="N979" s="106" t="n">
        <v>0</v>
      </c>
      <c r="O979" s="106"/>
      <c r="P979" s="27" t="s">
        <v>6805</v>
      </c>
    </row>
    <row r="980" customFormat="false" ht="15" hidden="false" customHeight="false" outlineLevel="0" collapsed="false">
      <c r="A980" s="106" t="s">
        <v>7712</v>
      </c>
      <c r="B980" s="106" t="s">
        <v>6792</v>
      </c>
      <c r="C980" s="106"/>
      <c r="D980" s="107"/>
      <c r="E980" s="107" t="n">
        <v>267.085714285714</v>
      </c>
      <c r="F980" s="130" t="n">
        <v>0.38</v>
      </c>
      <c r="G980" s="106" t="s">
        <v>1411</v>
      </c>
      <c r="H980" s="106" t="n">
        <v>0</v>
      </c>
      <c r="I980" s="106" t="s">
        <v>6799</v>
      </c>
      <c r="J980" s="106" t="s">
        <v>6794</v>
      </c>
      <c r="K980" s="106" t="s">
        <v>6793</v>
      </c>
      <c r="L980" s="106" t="s">
        <v>6794</v>
      </c>
      <c r="M980" s="117"/>
      <c r="N980" s="106" t="n">
        <v>0</v>
      </c>
      <c r="O980" s="106"/>
      <c r="P980" s="27" t="s">
        <v>6818</v>
      </c>
    </row>
    <row r="981" customFormat="false" ht="15" hidden="false" customHeight="false" outlineLevel="0" collapsed="false">
      <c r="A981" s="106" t="s">
        <v>7713</v>
      </c>
      <c r="B981" s="106" t="s">
        <v>6792</v>
      </c>
      <c r="C981" s="106"/>
      <c r="D981" s="107"/>
      <c r="E981" s="107" t="n">
        <v>267.085714285714</v>
      </c>
      <c r="F981" s="130" t="n">
        <v>0.7</v>
      </c>
      <c r="G981" s="106" t="s">
        <v>1411</v>
      </c>
      <c r="H981" s="106" t="n">
        <v>0</v>
      </c>
      <c r="I981" s="106" t="s">
        <v>6794</v>
      </c>
      <c r="J981" s="106" t="s">
        <v>6793</v>
      </c>
      <c r="K981" s="106" t="s">
        <v>6793</v>
      </c>
      <c r="L981" s="106" t="s">
        <v>6793</v>
      </c>
      <c r="M981" s="117"/>
      <c r="N981" s="106" t="n">
        <v>0</v>
      </c>
      <c r="O981" s="106"/>
      <c r="P981" s="27" t="s">
        <v>6885</v>
      </c>
    </row>
    <row r="982" customFormat="false" ht="15" hidden="false" customHeight="false" outlineLevel="0" collapsed="false">
      <c r="A982" s="106" t="s">
        <v>7714</v>
      </c>
      <c r="B982" s="106" t="s">
        <v>6792</v>
      </c>
      <c r="C982" s="106" t="s">
        <v>422</v>
      </c>
      <c r="D982" s="107"/>
      <c r="E982" s="107" t="n">
        <v>267.085714285714</v>
      </c>
      <c r="F982" s="130" t="n">
        <v>0.45</v>
      </c>
      <c r="G982" s="106" t="s">
        <v>1411</v>
      </c>
      <c r="H982" s="106" t="n">
        <v>0</v>
      </c>
      <c r="I982" s="106" t="s">
        <v>6794</v>
      </c>
      <c r="J982" s="106" t="s">
        <v>6794</v>
      </c>
      <c r="K982" s="106" t="s">
        <v>6793</v>
      </c>
      <c r="L982" s="106" t="s">
        <v>6793</v>
      </c>
      <c r="M982" s="117"/>
      <c r="N982" s="106" t="n">
        <v>0</v>
      </c>
      <c r="O982" s="106"/>
      <c r="P982" s="27" t="s">
        <v>6805</v>
      </c>
    </row>
    <row r="983" customFormat="false" ht="15" hidden="false" customHeight="false" outlineLevel="0" collapsed="false">
      <c r="A983" s="106" t="s">
        <v>7715</v>
      </c>
      <c r="B983" s="106" t="s">
        <v>6792</v>
      </c>
      <c r="C983" s="106" t="s">
        <v>696</v>
      </c>
      <c r="D983" s="107"/>
      <c r="E983" s="107" t="n">
        <v>267.085714285714</v>
      </c>
      <c r="F983" s="130" t="n">
        <v>0.55</v>
      </c>
      <c r="G983" s="106" t="s">
        <v>1411</v>
      </c>
      <c r="H983" s="106" t="n">
        <v>0</v>
      </c>
      <c r="I983" s="106" t="s">
        <v>6793</v>
      </c>
      <c r="J983" s="106" t="s">
        <v>6794</v>
      </c>
      <c r="K983" s="106" t="s">
        <v>6793</v>
      </c>
      <c r="L983" s="106" t="s">
        <v>6794</v>
      </c>
      <c r="M983" s="117"/>
      <c r="N983" s="106" t="n">
        <v>0</v>
      </c>
      <c r="O983" s="106"/>
      <c r="P983" s="27" t="s">
        <v>6818</v>
      </c>
    </row>
    <row r="984" customFormat="false" ht="15" hidden="false" customHeight="false" outlineLevel="0" collapsed="false">
      <c r="A984" s="106" t="s">
        <v>7716</v>
      </c>
      <c r="B984" s="106" t="s">
        <v>6792</v>
      </c>
      <c r="C984" s="106" t="s">
        <v>185</v>
      </c>
      <c r="D984" s="107"/>
      <c r="E984" s="107" t="n">
        <v>267.085714285714</v>
      </c>
      <c r="F984" s="130" t="n">
        <v>0.45</v>
      </c>
      <c r="G984" s="106" t="s">
        <v>1411</v>
      </c>
      <c r="H984" s="106" t="n">
        <v>0</v>
      </c>
      <c r="I984" s="106" t="s">
        <v>6794</v>
      </c>
      <c r="J984" s="106" t="s">
        <v>6794</v>
      </c>
      <c r="K984" s="106" t="s">
        <v>6793</v>
      </c>
      <c r="L984" s="106" t="s">
        <v>6793</v>
      </c>
      <c r="M984" s="117"/>
      <c r="N984" s="106" t="n">
        <v>0</v>
      </c>
      <c r="O984" s="106"/>
      <c r="P984" s="27" t="s">
        <v>6805</v>
      </c>
    </row>
    <row r="985" customFormat="false" ht="15" hidden="false" customHeight="false" outlineLevel="0" collapsed="false">
      <c r="A985" s="106" t="s">
        <v>7717</v>
      </c>
      <c r="B985" s="106" t="s">
        <v>6792</v>
      </c>
      <c r="C985" s="106"/>
      <c r="D985" s="107"/>
      <c r="E985" s="107" t="n">
        <v>267.085714285714</v>
      </c>
      <c r="F985" s="130" t="n">
        <v>0.4</v>
      </c>
      <c r="G985" s="106" t="s">
        <v>1411</v>
      </c>
      <c r="H985" s="106" t="n">
        <v>0</v>
      </c>
      <c r="I985" s="106" t="s">
        <v>6794</v>
      </c>
      <c r="J985" s="106" t="s">
        <v>6794</v>
      </c>
      <c r="K985" s="106" t="s">
        <v>6793</v>
      </c>
      <c r="L985" s="106" t="s">
        <v>6793</v>
      </c>
      <c r="M985" s="117"/>
      <c r="N985" s="106" t="n">
        <v>0</v>
      </c>
      <c r="O985" s="106"/>
      <c r="P985" s="27" t="s">
        <v>6805</v>
      </c>
    </row>
    <row r="986" customFormat="false" ht="15" hidden="false" customHeight="false" outlineLevel="0" collapsed="false">
      <c r="A986" s="106" t="s">
        <v>7718</v>
      </c>
      <c r="B986" s="106" t="s">
        <v>6792</v>
      </c>
      <c r="C986" s="106" t="s">
        <v>560</v>
      </c>
      <c r="D986" s="107"/>
      <c r="E986" s="107" t="n">
        <v>267.085714285714</v>
      </c>
      <c r="F986" s="130" t="n">
        <v>0.45</v>
      </c>
      <c r="G986" s="106" t="s">
        <v>1411</v>
      </c>
      <c r="H986" s="106" t="n">
        <v>0</v>
      </c>
      <c r="I986" s="106" t="s">
        <v>6794</v>
      </c>
      <c r="J986" s="106" t="s">
        <v>6794</v>
      </c>
      <c r="K986" s="106" t="s">
        <v>6793</v>
      </c>
      <c r="L986" s="106" t="s">
        <v>6793</v>
      </c>
      <c r="M986" s="117"/>
      <c r="N986" s="106" t="n">
        <v>0</v>
      </c>
      <c r="O986" s="106"/>
      <c r="P986" s="27" t="s">
        <v>6805</v>
      </c>
    </row>
    <row r="987" customFormat="false" ht="15" hidden="false" customHeight="false" outlineLevel="0" collapsed="false">
      <c r="A987" s="106" t="s">
        <v>7719</v>
      </c>
      <c r="B987" s="106" t="s">
        <v>6792</v>
      </c>
      <c r="C987" s="106" t="s">
        <v>560</v>
      </c>
      <c r="D987" s="107"/>
      <c r="E987" s="107" t="n">
        <v>267.085714285714</v>
      </c>
      <c r="F987" s="130" t="n">
        <v>0.45</v>
      </c>
      <c r="G987" s="106" t="s">
        <v>1411</v>
      </c>
      <c r="H987" s="106" t="n">
        <v>0</v>
      </c>
      <c r="I987" s="106" t="s">
        <v>6794</v>
      </c>
      <c r="J987" s="106" t="s">
        <v>6794</v>
      </c>
      <c r="K987" s="106" t="s">
        <v>6793</v>
      </c>
      <c r="L987" s="106" t="s">
        <v>6793</v>
      </c>
      <c r="M987" s="117"/>
      <c r="N987" s="106" t="n">
        <v>0</v>
      </c>
      <c r="O987" s="106"/>
      <c r="P987" s="27" t="s">
        <v>6805</v>
      </c>
    </row>
    <row r="988" customFormat="false" ht="22.35" hidden="false" customHeight="false" outlineLevel="0" collapsed="false">
      <c r="A988" s="106" t="s">
        <v>7720</v>
      </c>
      <c r="B988" s="106" t="s">
        <v>7101</v>
      </c>
      <c r="C988" s="106"/>
      <c r="D988" s="107" t="n">
        <v>350</v>
      </c>
      <c r="E988" s="107" t="n">
        <v>266</v>
      </c>
      <c r="F988" s="130" t="n">
        <v>0.95</v>
      </c>
      <c r="G988" s="106" t="s">
        <v>1411</v>
      </c>
      <c r="H988" s="106" t="n">
        <v>0</v>
      </c>
      <c r="I988" s="106" t="s">
        <v>6793</v>
      </c>
      <c r="J988" s="106" t="s">
        <v>6793</v>
      </c>
      <c r="K988" s="106" t="s">
        <v>6793</v>
      </c>
      <c r="L988" s="106" t="s">
        <v>6793</v>
      </c>
      <c r="M988" s="117"/>
      <c r="N988" s="106" t="n">
        <v>0</v>
      </c>
      <c r="O988" s="106"/>
      <c r="P988" s="27" t="s">
        <v>7447</v>
      </c>
    </row>
    <row r="989" customFormat="false" ht="22.35" hidden="false" customHeight="false" outlineLevel="0" collapsed="false">
      <c r="A989" s="106" t="s">
        <v>7721</v>
      </c>
      <c r="B989" s="106" t="s">
        <v>7101</v>
      </c>
      <c r="C989" s="106" t="s">
        <v>185</v>
      </c>
      <c r="D989" s="107" t="n">
        <v>348</v>
      </c>
      <c r="E989" s="107" t="n">
        <v>264.48</v>
      </c>
      <c r="F989" s="130" t="n">
        <v>1</v>
      </c>
      <c r="G989" s="106" t="s">
        <v>1411</v>
      </c>
      <c r="H989" s="106" t="n">
        <v>0</v>
      </c>
      <c r="I989" s="106" t="s">
        <v>6793</v>
      </c>
      <c r="J989" s="106" t="s">
        <v>6793</v>
      </c>
      <c r="K989" s="106" t="s">
        <v>6793</v>
      </c>
      <c r="L989" s="106" t="s">
        <v>6793</v>
      </c>
      <c r="M989" s="117"/>
      <c r="N989" s="106" t="n">
        <v>0</v>
      </c>
      <c r="O989" s="106"/>
      <c r="P989" s="27" t="s">
        <v>7447</v>
      </c>
    </row>
    <row r="990" customFormat="false" ht="15" hidden="false" customHeight="false" outlineLevel="0" collapsed="false">
      <c r="A990" s="106" t="s">
        <v>7722</v>
      </c>
      <c r="B990" s="106" t="s">
        <v>6792</v>
      </c>
      <c r="C990" s="106"/>
      <c r="D990" s="107"/>
      <c r="E990" s="107" t="n">
        <v>263.571428571429</v>
      </c>
      <c r="F990" s="130" t="n">
        <v>0.4</v>
      </c>
      <c r="G990" s="106" t="s">
        <v>1411</v>
      </c>
      <c r="H990" s="106" t="n">
        <v>0</v>
      </c>
      <c r="I990" s="106" t="s">
        <v>6794</v>
      </c>
      <c r="J990" s="106" t="s">
        <v>6794</v>
      </c>
      <c r="K990" s="106" t="s">
        <v>6793</v>
      </c>
      <c r="L990" s="106" t="s">
        <v>6793</v>
      </c>
      <c r="M990" s="117"/>
      <c r="N990" s="106" t="n">
        <v>0</v>
      </c>
      <c r="O990" s="106"/>
      <c r="P990" s="27" t="s">
        <v>6805</v>
      </c>
    </row>
    <row r="991" customFormat="false" ht="22.35" hidden="false" customHeight="false" outlineLevel="0" collapsed="false">
      <c r="A991" s="106" t="s">
        <v>4904</v>
      </c>
      <c r="B991" s="106" t="s">
        <v>7101</v>
      </c>
      <c r="C991" s="106" t="s">
        <v>185</v>
      </c>
      <c r="D991" s="107" t="n">
        <v>535</v>
      </c>
      <c r="E991" s="107" t="n">
        <v>263.571428571429</v>
      </c>
      <c r="F991" s="130" t="n">
        <v>1</v>
      </c>
      <c r="G991" s="106" t="s">
        <v>1411</v>
      </c>
      <c r="H991" s="106" t="n">
        <v>1.5</v>
      </c>
      <c r="I991" s="106" t="s">
        <v>6793</v>
      </c>
      <c r="J991" s="106" t="s">
        <v>6793</v>
      </c>
      <c r="K991" s="106" t="s">
        <v>6793</v>
      </c>
      <c r="L991" s="106" t="s">
        <v>6793</v>
      </c>
      <c r="M991" s="117" t="n">
        <v>0.01890756302521</v>
      </c>
      <c r="N991" s="106" t="n">
        <v>15</v>
      </c>
      <c r="O991" s="106" t="n">
        <v>6.67</v>
      </c>
      <c r="P991" s="27" t="s">
        <v>7723</v>
      </c>
    </row>
    <row r="992" customFormat="false" ht="15" hidden="false" customHeight="false" outlineLevel="0" collapsed="false">
      <c r="A992" s="106" t="s">
        <v>7724</v>
      </c>
      <c r="B992" s="106" t="s">
        <v>6792</v>
      </c>
      <c r="C992" s="106" t="s">
        <v>560</v>
      </c>
      <c r="D992" s="107" t="n">
        <v>346</v>
      </c>
      <c r="E992" s="107" t="n">
        <v>262.96</v>
      </c>
      <c r="F992" s="130" t="n">
        <v>0.75</v>
      </c>
      <c r="G992" s="106" t="s">
        <v>1411</v>
      </c>
      <c r="H992" s="106" t="n">
        <v>0</v>
      </c>
      <c r="I992" s="106" t="s">
        <v>6794</v>
      </c>
      <c r="J992" s="106" t="s">
        <v>6793</v>
      </c>
      <c r="K992" s="106" t="s">
        <v>6793</v>
      </c>
      <c r="L992" s="106" t="s">
        <v>6793</v>
      </c>
      <c r="M992" s="117"/>
      <c r="N992" s="106" t="n">
        <v>0</v>
      </c>
      <c r="O992" s="106"/>
      <c r="P992" s="27" t="s">
        <v>6983</v>
      </c>
    </row>
    <row r="993" customFormat="false" ht="22.35" hidden="false" customHeight="false" outlineLevel="0" collapsed="false">
      <c r="A993" s="106" t="s">
        <v>7725</v>
      </c>
      <c r="B993" s="106" t="s">
        <v>7101</v>
      </c>
      <c r="C993" s="106" t="s">
        <v>560</v>
      </c>
      <c r="D993" s="107" t="n">
        <v>343</v>
      </c>
      <c r="E993" s="107" t="n">
        <v>260.68</v>
      </c>
      <c r="F993" s="130" t="n">
        <v>1</v>
      </c>
      <c r="G993" s="106" t="s">
        <v>1411</v>
      </c>
      <c r="H993" s="106" t="n">
        <v>0</v>
      </c>
      <c r="I993" s="106" t="s">
        <v>6793</v>
      </c>
      <c r="J993" s="106" t="s">
        <v>6793</v>
      </c>
      <c r="K993" s="106" t="s">
        <v>6793</v>
      </c>
      <c r="L993" s="106" t="s">
        <v>6793</v>
      </c>
      <c r="M993" s="117"/>
      <c r="N993" s="106" t="n">
        <v>0</v>
      </c>
      <c r="O993" s="106"/>
      <c r="P993" s="27" t="s">
        <v>7447</v>
      </c>
    </row>
    <row r="994" customFormat="false" ht="22.35" hidden="false" customHeight="false" outlineLevel="0" collapsed="false">
      <c r="A994" s="106" t="s">
        <v>7726</v>
      </c>
      <c r="B994" s="106" t="s">
        <v>7101</v>
      </c>
      <c r="C994" s="106" t="s">
        <v>560</v>
      </c>
      <c r="D994" s="107" t="n">
        <v>342</v>
      </c>
      <c r="E994" s="107" t="n">
        <v>259.92</v>
      </c>
      <c r="F994" s="130" t="n">
        <v>0.88</v>
      </c>
      <c r="G994" s="106" t="s">
        <v>1411</v>
      </c>
      <c r="H994" s="106" t="n">
        <v>0</v>
      </c>
      <c r="I994" s="106" t="s">
        <v>6799</v>
      </c>
      <c r="J994" s="106" t="s">
        <v>6793</v>
      </c>
      <c r="K994" s="106" t="s">
        <v>6793</v>
      </c>
      <c r="L994" s="106" t="s">
        <v>6793</v>
      </c>
      <c r="M994" s="117"/>
      <c r="N994" s="106" t="n">
        <v>0</v>
      </c>
      <c r="O994" s="106"/>
      <c r="P994" s="27" t="s">
        <v>7447</v>
      </c>
    </row>
    <row r="995" customFormat="false" ht="22.35" hidden="false" customHeight="false" outlineLevel="0" collapsed="false">
      <c r="A995" s="106" t="s">
        <v>7727</v>
      </c>
      <c r="B995" s="106" t="s">
        <v>7101</v>
      </c>
      <c r="C995" s="106"/>
      <c r="D995" s="107" t="n">
        <v>341</v>
      </c>
      <c r="E995" s="107" t="n">
        <v>259.16</v>
      </c>
      <c r="F995" s="130" t="n">
        <v>0.8</v>
      </c>
      <c r="G995" s="106" t="s">
        <v>1411</v>
      </c>
      <c r="H995" s="106" t="n">
        <v>0</v>
      </c>
      <c r="I995" s="106" t="s">
        <v>6793</v>
      </c>
      <c r="J995" s="106" t="s">
        <v>6799</v>
      </c>
      <c r="K995" s="106" t="s">
        <v>6793</v>
      </c>
      <c r="L995" s="106" t="s">
        <v>6793</v>
      </c>
      <c r="M995" s="117"/>
      <c r="N995" s="106" t="n">
        <v>0</v>
      </c>
      <c r="O995" s="106"/>
      <c r="P995" s="27" t="s">
        <v>7447</v>
      </c>
    </row>
    <row r="996" customFormat="false" ht="15" hidden="false" customHeight="false" outlineLevel="0" collapsed="false">
      <c r="A996" s="106" t="s">
        <v>7728</v>
      </c>
      <c r="B996" s="106" t="s">
        <v>6792</v>
      </c>
      <c r="C996" s="106" t="s">
        <v>422</v>
      </c>
      <c r="D996" s="107"/>
      <c r="E996" s="107" t="n">
        <v>256.542857142857</v>
      </c>
      <c r="F996" s="130" t="n">
        <v>0.45</v>
      </c>
      <c r="G996" s="106" t="s">
        <v>1411</v>
      </c>
      <c r="H996" s="106" t="n">
        <v>0</v>
      </c>
      <c r="I996" s="106" t="s">
        <v>6794</v>
      </c>
      <c r="J996" s="106" t="s">
        <v>6794</v>
      </c>
      <c r="K996" s="106" t="s">
        <v>6793</v>
      </c>
      <c r="L996" s="106" t="s">
        <v>6793</v>
      </c>
      <c r="M996" s="117"/>
      <c r="N996" s="106" t="n">
        <v>0</v>
      </c>
      <c r="O996" s="106"/>
      <c r="P996" s="27" t="s">
        <v>6805</v>
      </c>
    </row>
    <row r="997" customFormat="false" ht="15" hidden="false" customHeight="false" outlineLevel="0" collapsed="false">
      <c r="A997" s="106" t="s">
        <v>7729</v>
      </c>
      <c r="B997" s="106" t="s">
        <v>6792</v>
      </c>
      <c r="C997" s="106"/>
      <c r="D997" s="107"/>
      <c r="E997" s="107" t="n">
        <v>256.542857142857</v>
      </c>
      <c r="F997" s="130" t="n">
        <v>0.5</v>
      </c>
      <c r="G997" s="106" t="s">
        <v>1411</v>
      </c>
      <c r="H997" s="106" t="n">
        <v>0</v>
      </c>
      <c r="I997" s="106" t="s">
        <v>6793</v>
      </c>
      <c r="J997" s="106" t="s">
        <v>6794</v>
      </c>
      <c r="K997" s="106" t="s">
        <v>6793</v>
      </c>
      <c r="L997" s="106" t="s">
        <v>6794</v>
      </c>
      <c r="M997" s="117"/>
      <c r="N997" s="106" t="n">
        <v>0</v>
      </c>
      <c r="O997" s="106"/>
      <c r="P997" s="27" t="s">
        <v>6818</v>
      </c>
    </row>
    <row r="998" customFormat="false" ht="15" hidden="false" customHeight="false" outlineLevel="0" collapsed="false">
      <c r="A998" s="106" t="s">
        <v>7730</v>
      </c>
      <c r="B998" s="106" t="s">
        <v>6792</v>
      </c>
      <c r="C998" s="106"/>
      <c r="D998" s="107"/>
      <c r="E998" s="107" t="n">
        <v>256.542857142857</v>
      </c>
      <c r="F998" s="130" t="n">
        <v>0.38</v>
      </c>
      <c r="G998" s="106" t="s">
        <v>1411</v>
      </c>
      <c r="H998" s="106" t="n">
        <v>0</v>
      </c>
      <c r="I998" s="106" t="s">
        <v>6799</v>
      </c>
      <c r="J998" s="106" t="s">
        <v>6794</v>
      </c>
      <c r="K998" s="106" t="s">
        <v>6793</v>
      </c>
      <c r="L998" s="106" t="s">
        <v>6794</v>
      </c>
      <c r="M998" s="117"/>
      <c r="N998" s="106" t="n">
        <v>0</v>
      </c>
      <c r="O998" s="106"/>
      <c r="P998" s="27" t="s">
        <v>6818</v>
      </c>
    </row>
    <row r="999" customFormat="false" ht="15" hidden="false" customHeight="false" outlineLevel="0" collapsed="false">
      <c r="A999" s="106" t="s">
        <v>7731</v>
      </c>
      <c r="B999" s="106" t="s">
        <v>6792</v>
      </c>
      <c r="C999" s="106"/>
      <c r="D999" s="107"/>
      <c r="E999" s="107" t="n">
        <v>256.542857142857</v>
      </c>
      <c r="F999" s="130" t="n">
        <v>0.5</v>
      </c>
      <c r="G999" s="106" t="s">
        <v>1411</v>
      </c>
      <c r="H999" s="106" t="n">
        <v>0</v>
      </c>
      <c r="I999" s="106" t="s">
        <v>6793</v>
      </c>
      <c r="J999" s="106" t="s">
        <v>6794</v>
      </c>
      <c r="K999" s="106" t="s">
        <v>6793</v>
      </c>
      <c r="L999" s="106" t="s">
        <v>6794</v>
      </c>
      <c r="M999" s="117"/>
      <c r="N999" s="106" t="n">
        <v>0</v>
      </c>
      <c r="O999" s="106"/>
      <c r="P999" s="27" t="s">
        <v>6818</v>
      </c>
    </row>
    <row r="1000" customFormat="false" ht="15" hidden="false" customHeight="false" outlineLevel="0" collapsed="false">
      <c r="A1000" s="106" t="s">
        <v>7732</v>
      </c>
      <c r="B1000" s="106" t="s">
        <v>6792</v>
      </c>
      <c r="C1000" s="106"/>
      <c r="D1000" s="107"/>
      <c r="E1000" s="107" t="n">
        <v>256.542857142857</v>
      </c>
      <c r="F1000" s="130" t="n">
        <v>0.4</v>
      </c>
      <c r="G1000" s="106" t="s">
        <v>1411</v>
      </c>
      <c r="H1000" s="106" t="n">
        <v>0</v>
      </c>
      <c r="I1000" s="106" t="s">
        <v>6794</v>
      </c>
      <c r="J1000" s="106" t="s">
        <v>6794</v>
      </c>
      <c r="K1000" s="106" t="s">
        <v>6793</v>
      </c>
      <c r="L1000" s="106" t="s">
        <v>6793</v>
      </c>
      <c r="M1000" s="117"/>
      <c r="N1000" s="106" t="n">
        <v>0</v>
      </c>
      <c r="O1000" s="106"/>
      <c r="P1000" s="27" t="s">
        <v>6805</v>
      </c>
    </row>
    <row r="1001" customFormat="false" ht="15" hidden="false" customHeight="false" outlineLevel="0" collapsed="false">
      <c r="A1001" s="106" t="s">
        <v>7733</v>
      </c>
      <c r="B1001" s="106" t="s">
        <v>6792</v>
      </c>
      <c r="C1001" s="106" t="s">
        <v>185</v>
      </c>
      <c r="D1001" s="107"/>
      <c r="E1001" s="107" t="n">
        <v>256.542857142857</v>
      </c>
      <c r="F1001" s="130" t="n">
        <v>0.45</v>
      </c>
      <c r="G1001" s="106" t="s">
        <v>1411</v>
      </c>
      <c r="H1001" s="106" t="n">
        <v>0</v>
      </c>
      <c r="I1001" s="106" t="s">
        <v>6794</v>
      </c>
      <c r="J1001" s="106" t="s">
        <v>6794</v>
      </c>
      <c r="K1001" s="106" t="s">
        <v>6793</v>
      </c>
      <c r="L1001" s="106" t="s">
        <v>6793</v>
      </c>
      <c r="M1001" s="117"/>
      <c r="N1001" s="106" t="n">
        <v>0</v>
      </c>
      <c r="O1001" s="106"/>
      <c r="P1001" s="27" t="s">
        <v>6805</v>
      </c>
    </row>
    <row r="1002" customFormat="false" ht="15" hidden="false" customHeight="false" outlineLevel="0" collapsed="false">
      <c r="A1002" s="106" t="s">
        <v>7734</v>
      </c>
      <c r="B1002" s="106" t="s">
        <v>6792</v>
      </c>
      <c r="C1002" s="106"/>
      <c r="D1002" s="107"/>
      <c r="E1002" s="107" t="n">
        <v>256.542857142857</v>
      </c>
      <c r="F1002" s="130" t="n">
        <v>0.5</v>
      </c>
      <c r="G1002" s="106" t="s">
        <v>1411</v>
      </c>
      <c r="H1002" s="106" t="n">
        <v>0</v>
      </c>
      <c r="I1002" s="106" t="s">
        <v>6793</v>
      </c>
      <c r="J1002" s="106" t="s">
        <v>6794</v>
      </c>
      <c r="K1002" s="106" t="s">
        <v>6793</v>
      </c>
      <c r="L1002" s="106" t="s">
        <v>6794</v>
      </c>
      <c r="M1002" s="117"/>
      <c r="N1002" s="106" t="n">
        <v>0</v>
      </c>
      <c r="O1002" s="106"/>
      <c r="P1002" s="27" t="s">
        <v>6818</v>
      </c>
    </row>
    <row r="1003" customFormat="false" ht="15" hidden="false" customHeight="false" outlineLevel="0" collapsed="false">
      <c r="A1003" s="106" t="s">
        <v>7735</v>
      </c>
      <c r="B1003" s="106" t="s">
        <v>6792</v>
      </c>
      <c r="C1003" s="106"/>
      <c r="D1003" s="107"/>
      <c r="E1003" s="107" t="n">
        <v>256.542857142857</v>
      </c>
      <c r="F1003" s="130" t="n">
        <v>0.38</v>
      </c>
      <c r="G1003" s="106" t="s">
        <v>1411</v>
      </c>
      <c r="H1003" s="106" t="n">
        <v>0</v>
      </c>
      <c r="I1003" s="106" t="s">
        <v>6799</v>
      </c>
      <c r="J1003" s="106" t="s">
        <v>6794</v>
      </c>
      <c r="K1003" s="106" t="s">
        <v>6793</v>
      </c>
      <c r="L1003" s="106" t="s">
        <v>6794</v>
      </c>
      <c r="M1003" s="117"/>
      <c r="N1003" s="106" t="n">
        <v>0</v>
      </c>
      <c r="O1003" s="106"/>
      <c r="P1003" s="27" t="s">
        <v>6818</v>
      </c>
    </row>
    <row r="1004" customFormat="false" ht="15" hidden="false" customHeight="false" outlineLevel="0" collapsed="false">
      <c r="A1004" s="106" t="s">
        <v>7736</v>
      </c>
      <c r="B1004" s="106" t="s">
        <v>6792</v>
      </c>
      <c r="C1004" s="106"/>
      <c r="D1004" s="107"/>
      <c r="E1004" s="107" t="n">
        <v>256.542857142857</v>
      </c>
      <c r="F1004" s="130" t="n">
        <v>0.38</v>
      </c>
      <c r="G1004" s="106" t="s">
        <v>1411</v>
      </c>
      <c r="H1004" s="106" t="n">
        <v>0</v>
      </c>
      <c r="I1004" s="106" t="s">
        <v>6799</v>
      </c>
      <c r="J1004" s="106" t="s">
        <v>6794</v>
      </c>
      <c r="K1004" s="106" t="s">
        <v>6793</v>
      </c>
      <c r="L1004" s="106" t="s">
        <v>6794</v>
      </c>
      <c r="M1004" s="117"/>
      <c r="N1004" s="106" t="n">
        <v>0</v>
      </c>
      <c r="O1004" s="106"/>
      <c r="P1004" s="27" t="s">
        <v>6818</v>
      </c>
    </row>
    <row r="1005" customFormat="false" ht="15" hidden="false" customHeight="false" outlineLevel="0" collapsed="false">
      <c r="A1005" s="106" t="s">
        <v>7737</v>
      </c>
      <c r="B1005" s="106" t="s">
        <v>6792</v>
      </c>
      <c r="C1005" s="106"/>
      <c r="D1005" s="107"/>
      <c r="E1005" s="107" t="n">
        <v>256.542857142857</v>
      </c>
      <c r="F1005" s="130" t="n">
        <v>0.4</v>
      </c>
      <c r="G1005" s="106" t="s">
        <v>1411</v>
      </c>
      <c r="H1005" s="106" t="n">
        <v>0</v>
      </c>
      <c r="I1005" s="106" t="s">
        <v>6794</v>
      </c>
      <c r="J1005" s="106" t="s">
        <v>6794</v>
      </c>
      <c r="K1005" s="106" t="s">
        <v>6793</v>
      </c>
      <c r="L1005" s="106" t="s">
        <v>6793</v>
      </c>
      <c r="M1005" s="117"/>
      <c r="N1005" s="106" t="n">
        <v>0</v>
      </c>
      <c r="O1005" s="106"/>
      <c r="P1005" s="27" t="s">
        <v>6805</v>
      </c>
    </row>
    <row r="1006" customFormat="false" ht="22.35" hidden="false" customHeight="false" outlineLevel="0" collapsed="false">
      <c r="A1006" s="106" t="s">
        <v>5537</v>
      </c>
      <c r="B1006" s="106" t="s">
        <v>7101</v>
      </c>
      <c r="C1006" s="106"/>
      <c r="D1006" s="107" t="n">
        <v>337</v>
      </c>
      <c r="E1006" s="107" t="n">
        <v>256.12</v>
      </c>
      <c r="F1006" s="130" t="n">
        <v>0.9</v>
      </c>
      <c r="G1006" s="106" t="s">
        <v>1411</v>
      </c>
      <c r="H1006" s="106" t="n">
        <v>0</v>
      </c>
      <c r="I1006" s="106" t="s">
        <v>6793</v>
      </c>
      <c r="J1006" s="106" t="s">
        <v>6793</v>
      </c>
      <c r="K1006" s="106" t="s">
        <v>6793</v>
      </c>
      <c r="L1006" s="106" t="s">
        <v>6793</v>
      </c>
      <c r="M1006" s="117"/>
      <c r="N1006" s="106" t="n">
        <v>2</v>
      </c>
      <c r="O1006" s="106" t="n">
        <v>50</v>
      </c>
      <c r="P1006" s="27" t="s">
        <v>7447</v>
      </c>
    </row>
    <row r="1007" customFormat="false" ht="15" hidden="false" customHeight="false" outlineLevel="0" collapsed="false">
      <c r="A1007" s="106" t="s">
        <v>7738</v>
      </c>
      <c r="B1007" s="106" t="s">
        <v>6792</v>
      </c>
      <c r="C1007" s="106"/>
      <c r="D1007" s="107" t="n">
        <v>334</v>
      </c>
      <c r="E1007" s="107" t="n">
        <v>253.84</v>
      </c>
      <c r="F1007" s="130" t="n">
        <v>0.55</v>
      </c>
      <c r="G1007" s="106" t="s">
        <v>1411</v>
      </c>
      <c r="H1007" s="106" t="n">
        <v>0</v>
      </c>
      <c r="I1007" s="106" t="s">
        <v>6794</v>
      </c>
      <c r="J1007" s="106" t="s">
        <v>6793</v>
      </c>
      <c r="K1007" s="106" t="s">
        <v>6793</v>
      </c>
      <c r="L1007" s="106" t="s">
        <v>6794</v>
      </c>
      <c r="M1007" s="117"/>
      <c r="N1007" s="106" t="n">
        <v>0</v>
      </c>
      <c r="O1007" s="106"/>
      <c r="P1007" s="27" t="s">
        <v>7061</v>
      </c>
    </row>
    <row r="1008" customFormat="false" ht="22.35" hidden="false" customHeight="false" outlineLevel="0" collapsed="false">
      <c r="A1008" s="106" t="s">
        <v>5292</v>
      </c>
      <c r="B1008" s="106" t="s">
        <v>7101</v>
      </c>
      <c r="C1008" s="106"/>
      <c r="D1008" s="107" t="n">
        <v>333</v>
      </c>
      <c r="E1008" s="107" t="n">
        <v>253.08</v>
      </c>
      <c r="F1008" s="130" t="n">
        <v>0.95</v>
      </c>
      <c r="G1008" s="106" t="s">
        <v>1411</v>
      </c>
      <c r="H1008" s="106" t="n">
        <v>0</v>
      </c>
      <c r="I1008" s="106" t="s">
        <v>6793</v>
      </c>
      <c r="J1008" s="106" t="s">
        <v>6793</v>
      </c>
      <c r="K1008" s="106" t="s">
        <v>6793</v>
      </c>
      <c r="L1008" s="106" t="s">
        <v>6793</v>
      </c>
      <c r="M1008" s="117"/>
      <c r="N1008" s="106" t="n">
        <v>7</v>
      </c>
      <c r="O1008" s="106" t="n">
        <v>0</v>
      </c>
      <c r="P1008" s="27" t="s">
        <v>7447</v>
      </c>
    </row>
    <row r="1009" customFormat="false" ht="22.35" hidden="false" customHeight="false" outlineLevel="0" collapsed="false">
      <c r="A1009" s="106" t="s">
        <v>7739</v>
      </c>
      <c r="B1009" s="106" t="s">
        <v>7101</v>
      </c>
      <c r="C1009" s="106" t="s">
        <v>560</v>
      </c>
      <c r="D1009" s="107" t="n">
        <v>333</v>
      </c>
      <c r="E1009" s="107" t="n">
        <v>253.08</v>
      </c>
      <c r="F1009" s="130" t="n">
        <v>1</v>
      </c>
      <c r="G1009" s="106" t="s">
        <v>1411</v>
      </c>
      <c r="H1009" s="106" t="n">
        <v>0</v>
      </c>
      <c r="I1009" s="106" t="s">
        <v>6793</v>
      </c>
      <c r="J1009" s="106" t="s">
        <v>6793</v>
      </c>
      <c r="K1009" s="106" t="s">
        <v>6793</v>
      </c>
      <c r="L1009" s="106" t="s">
        <v>6793</v>
      </c>
      <c r="M1009" s="117"/>
      <c r="N1009" s="106" t="n">
        <v>0</v>
      </c>
      <c r="O1009" s="106"/>
      <c r="P1009" s="27" t="s">
        <v>7447</v>
      </c>
    </row>
    <row r="1010" customFormat="false" ht="15" hidden="false" customHeight="false" outlineLevel="0" collapsed="false">
      <c r="A1010" s="106" t="s">
        <v>7740</v>
      </c>
      <c r="B1010" s="106" t="s">
        <v>6792</v>
      </c>
      <c r="C1010" s="106" t="s">
        <v>696</v>
      </c>
      <c r="D1010" s="107" t="n">
        <v>616</v>
      </c>
      <c r="E1010" s="107" t="n">
        <v>253.028571428571</v>
      </c>
      <c r="F1010" s="130" t="n">
        <v>0.75</v>
      </c>
      <c r="G1010" s="106" t="s">
        <v>1411</v>
      </c>
      <c r="H1010" s="106" t="n">
        <v>2</v>
      </c>
      <c r="I1010" s="106" t="s">
        <v>6794</v>
      </c>
      <c r="J1010" s="106" t="s">
        <v>6793</v>
      </c>
      <c r="K1010" s="106" t="s">
        <v>6793</v>
      </c>
      <c r="L1010" s="106" t="s">
        <v>6793</v>
      </c>
      <c r="M1010" s="117" t="n">
        <v>0.0444743935309973</v>
      </c>
      <c r="N1010" s="106" t="n">
        <v>0</v>
      </c>
      <c r="O1010" s="106"/>
      <c r="P1010" s="27" t="s">
        <v>6983</v>
      </c>
    </row>
    <row r="1011" customFormat="false" ht="22.35" hidden="false" customHeight="false" outlineLevel="0" collapsed="false">
      <c r="A1011" s="106" t="s">
        <v>5628</v>
      </c>
      <c r="B1011" s="106" t="s">
        <v>7101</v>
      </c>
      <c r="C1011" s="106"/>
      <c r="D1011" s="107" t="n">
        <v>399</v>
      </c>
      <c r="E1011" s="107" t="n">
        <v>253.028571428571</v>
      </c>
      <c r="F1011" s="130" t="n">
        <v>0.88</v>
      </c>
      <c r="G1011" s="106" t="s">
        <v>1411</v>
      </c>
      <c r="H1011" s="106" t="n">
        <v>0</v>
      </c>
      <c r="I1011" s="106" t="s">
        <v>6793</v>
      </c>
      <c r="J1011" s="106" t="s">
        <v>6793</v>
      </c>
      <c r="K1011" s="106" t="s">
        <v>6793</v>
      </c>
      <c r="L1011" s="106" t="s">
        <v>6799</v>
      </c>
      <c r="M1011" s="117"/>
      <c r="N1011" s="106" t="n">
        <v>1</v>
      </c>
      <c r="O1011" s="106" t="n">
        <v>0</v>
      </c>
      <c r="P1011" s="27" t="s">
        <v>7447</v>
      </c>
    </row>
    <row r="1012" customFormat="false" ht="15" hidden="false" customHeight="false" outlineLevel="0" collapsed="false">
      <c r="A1012" s="106" t="s">
        <v>7741</v>
      </c>
      <c r="B1012" s="106" t="s">
        <v>6792</v>
      </c>
      <c r="C1012" s="106" t="s">
        <v>560</v>
      </c>
      <c r="D1012" s="107" t="n">
        <v>560</v>
      </c>
      <c r="E1012" s="107" t="n">
        <v>253.028571428571</v>
      </c>
      <c r="F1012" s="130" t="n">
        <v>0.75</v>
      </c>
      <c r="G1012" s="106" t="s">
        <v>1411</v>
      </c>
      <c r="H1012" s="106" t="n">
        <v>0</v>
      </c>
      <c r="I1012" s="106" t="s">
        <v>6794</v>
      </c>
      <c r="J1012" s="106" t="s">
        <v>6793</v>
      </c>
      <c r="K1012" s="106" t="s">
        <v>6793</v>
      </c>
      <c r="L1012" s="106" t="s">
        <v>6793</v>
      </c>
      <c r="M1012" s="117"/>
      <c r="N1012" s="106" t="n">
        <v>0</v>
      </c>
      <c r="O1012" s="106"/>
      <c r="P1012" s="27" t="s">
        <v>6983</v>
      </c>
    </row>
    <row r="1013" customFormat="false" ht="22.35" hidden="false" customHeight="false" outlineLevel="0" collapsed="false">
      <c r="A1013" s="106" t="s">
        <v>5272</v>
      </c>
      <c r="B1013" s="106" t="s">
        <v>7101</v>
      </c>
      <c r="C1013" s="106"/>
      <c r="D1013" s="107" t="n">
        <v>659</v>
      </c>
      <c r="E1013" s="107" t="n">
        <v>253.028571428571</v>
      </c>
      <c r="F1013" s="130" t="n">
        <v>0.95</v>
      </c>
      <c r="G1013" s="106" t="s">
        <v>1411</v>
      </c>
      <c r="H1013" s="106" t="n">
        <v>1</v>
      </c>
      <c r="I1013" s="106" t="s">
        <v>6793</v>
      </c>
      <c r="J1013" s="106" t="s">
        <v>6793</v>
      </c>
      <c r="K1013" s="106" t="s">
        <v>6793</v>
      </c>
      <c r="L1013" s="106" t="s">
        <v>6793</v>
      </c>
      <c r="M1013" s="117"/>
      <c r="N1013" s="106" t="n">
        <v>10</v>
      </c>
      <c r="O1013" s="106" t="n">
        <v>20</v>
      </c>
      <c r="P1013" s="27" t="s">
        <v>7472</v>
      </c>
    </row>
    <row r="1014" customFormat="false" ht="22.35" hidden="false" customHeight="false" outlineLevel="0" collapsed="false">
      <c r="A1014" s="106" t="s">
        <v>7742</v>
      </c>
      <c r="B1014" s="106" t="s">
        <v>7101</v>
      </c>
      <c r="C1014" s="106"/>
      <c r="D1014" s="107" t="n">
        <v>331</v>
      </c>
      <c r="E1014" s="107" t="n">
        <v>251.56</v>
      </c>
      <c r="F1014" s="130" t="n">
        <v>0.95</v>
      </c>
      <c r="G1014" s="106" t="s">
        <v>1411</v>
      </c>
      <c r="H1014" s="106" t="n">
        <v>0</v>
      </c>
      <c r="I1014" s="106" t="s">
        <v>6793</v>
      </c>
      <c r="J1014" s="106" t="s">
        <v>6793</v>
      </c>
      <c r="K1014" s="106" t="s">
        <v>6793</v>
      </c>
      <c r="L1014" s="106" t="s">
        <v>6793</v>
      </c>
      <c r="M1014" s="117"/>
      <c r="N1014" s="106" t="n">
        <v>0</v>
      </c>
      <c r="O1014" s="106"/>
      <c r="P1014" s="27" t="s">
        <v>7447</v>
      </c>
    </row>
    <row r="1015" customFormat="false" ht="22.35" hidden="false" customHeight="false" outlineLevel="0" collapsed="false">
      <c r="A1015" s="106" t="s">
        <v>6546</v>
      </c>
      <c r="B1015" s="106" t="s">
        <v>7101</v>
      </c>
      <c r="C1015" s="106" t="s">
        <v>560</v>
      </c>
      <c r="D1015" s="107" t="n">
        <v>328</v>
      </c>
      <c r="E1015" s="107" t="n">
        <v>249.28</v>
      </c>
      <c r="F1015" s="130" t="n">
        <v>1</v>
      </c>
      <c r="G1015" s="106" t="s">
        <v>1411</v>
      </c>
      <c r="H1015" s="106" t="n">
        <v>0</v>
      </c>
      <c r="I1015" s="106" t="s">
        <v>6793</v>
      </c>
      <c r="J1015" s="106" t="s">
        <v>6793</v>
      </c>
      <c r="K1015" s="106" t="s">
        <v>6793</v>
      </c>
      <c r="L1015" s="106" t="s">
        <v>6793</v>
      </c>
      <c r="M1015" s="117"/>
      <c r="N1015" s="106" t="n">
        <v>1</v>
      </c>
      <c r="O1015" s="106" t="n">
        <v>0</v>
      </c>
      <c r="P1015" s="27" t="s">
        <v>7447</v>
      </c>
    </row>
    <row r="1016" customFormat="false" ht="15" hidden="false" customHeight="false" outlineLevel="0" collapsed="false">
      <c r="A1016" s="106" t="s">
        <v>7743</v>
      </c>
      <c r="B1016" s="106" t="s">
        <v>6792</v>
      </c>
      <c r="C1016" s="106"/>
      <c r="D1016" s="107"/>
      <c r="E1016" s="107" t="n">
        <v>246</v>
      </c>
      <c r="F1016" s="130" t="n">
        <v>0.4</v>
      </c>
      <c r="G1016" s="106" t="s">
        <v>1411</v>
      </c>
      <c r="H1016" s="106" t="n">
        <v>0</v>
      </c>
      <c r="I1016" s="106" t="s">
        <v>6794</v>
      </c>
      <c r="J1016" s="106" t="s">
        <v>6794</v>
      </c>
      <c r="K1016" s="106" t="s">
        <v>6793</v>
      </c>
      <c r="L1016" s="106" t="s">
        <v>6793</v>
      </c>
      <c r="M1016" s="117"/>
      <c r="N1016" s="106" t="n">
        <v>0</v>
      </c>
      <c r="O1016" s="106"/>
      <c r="P1016" s="27" t="s">
        <v>6805</v>
      </c>
    </row>
    <row r="1017" customFormat="false" ht="15" hidden="false" customHeight="false" outlineLevel="0" collapsed="false">
      <c r="A1017" s="106" t="s">
        <v>7744</v>
      </c>
      <c r="B1017" s="106" t="s">
        <v>6792</v>
      </c>
      <c r="C1017" s="106"/>
      <c r="D1017" s="107"/>
      <c r="E1017" s="107" t="n">
        <v>246</v>
      </c>
      <c r="F1017" s="130" t="n">
        <v>0.5</v>
      </c>
      <c r="G1017" s="106" t="s">
        <v>1411</v>
      </c>
      <c r="H1017" s="106" t="n">
        <v>0.5</v>
      </c>
      <c r="I1017" s="106" t="s">
        <v>6793</v>
      </c>
      <c r="J1017" s="106" t="s">
        <v>6794</v>
      </c>
      <c r="K1017" s="106" t="s">
        <v>6793</v>
      </c>
      <c r="L1017" s="106" t="s">
        <v>6794</v>
      </c>
      <c r="M1017" s="117"/>
      <c r="N1017" s="106" t="n">
        <v>0</v>
      </c>
      <c r="O1017" s="106"/>
      <c r="P1017" s="27" t="s">
        <v>6818</v>
      </c>
    </row>
    <row r="1018" customFormat="false" ht="22.35" hidden="false" customHeight="false" outlineLevel="0" collapsed="false">
      <c r="A1018" s="106" t="s">
        <v>5339</v>
      </c>
      <c r="B1018" s="106" t="s">
        <v>7101</v>
      </c>
      <c r="C1018" s="106" t="s">
        <v>185</v>
      </c>
      <c r="D1018" s="107" t="n">
        <v>479</v>
      </c>
      <c r="E1018" s="107" t="n">
        <v>246</v>
      </c>
      <c r="F1018" s="130" t="n">
        <v>1</v>
      </c>
      <c r="G1018" s="106" t="s">
        <v>1411</v>
      </c>
      <c r="H1018" s="106" t="n">
        <v>1</v>
      </c>
      <c r="I1018" s="106" t="s">
        <v>6793</v>
      </c>
      <c r="J1018" s="106" t="s">
        <v>6793</v>
      </c>
      <c r="K1018" s="106" t="s">
        <v>6793</v>
      </c>
      <c r="L1018" s="106" t="s">
        <v>6793</v>
      </c>
      <c r="M1018" s="117"/>
      <c r="N1018" s="106" t="n">
        <v>4</v>
      </c>
      <c r="O1018" s="106" t="n">
        <v>25</v>
      </c>
      <c r="P1018" s="27" t="s">
        <v>7472</v>
      </c>
    </row>
    <row r="1019" customFormat="false" ht="15" hidden="false" customHeight="false" outlineLevel="0" collapsed="false">
      <c r="A1019" s="106" t="s">
        <v>7745</v>
      </c>
      <c r="B1019" s="106" t="s">
        <v>6792</v>
      </c>
      <c r="C1019" s="106" t="s">
        <v>696</v>
      </c>
      <c r="D1019" s="107"/>
      <c r="E1019" s="107" t="n">
        <v>246</v>
      </c>
      <c r="F1019" s="130" t="n">
        <v>0.45</v>
      </c>
      <c r="G1019" s="106" t="s">
        <v>1411</v>
      </c>
      <c r="H1019" s="106" t="n">
        <v>0</v>
      </c>
      <c r="I1019" s="106" t="s">
        <v>6794</v>
      </c>
      <c r="J1019" s="106" t="s">
        <v>6794</v>
      </c>
      <c r="K1019" s="106" t="s">
        <v>6793</v>
      </c>
      <c r="L1019" s="106" t="s">
        <v>6793</v>
      </c>
      <c r="M1019" s="117"/>
      <c r="N1019" s="106" t="n">
        <v>0</v>
      </c>
      <c r="O1019" s="106"/>
      <c r="P1019" s="27" t="s">
        <v>6805</v>
      </c>
    </row>
    <row r="1020" customFormat="false" ht="15" hidden="false" customHeight="false" outlineLevel="0" collapsed="false">
      <c r="A1020" s="106" t="s">
        <v>7746</v>
      </c>
      <c r="B1020" s="106" t="s">
        <v>6792</v>
      </c>
      <c r="C1020" s="106"/>
      <c r="D1020" s="107"/>
      <c r="E1020" s="107" t="n">
        <v>246</v>
      </c>
      <c r="F1020" s="130" t="n">
        <v>0.4</v>
      </c>
      <c r="G1020" s="106" t="s">
        <v>1411</v>
      </c>
      <c r="H1020" s="106" t="n">
        <v>0</v>
      </c>
      <c r="I1020" s="106" t="s">
        <v>6794</v>
      </c>
      <c r="J1020" s="106" t="s">
        <v>6794</v>
      </c>
      <c r="K1020" s="106" t="s">
        <v>6793</v>
      </c>
      <c r="L1020" s="106" t="s">
        <v>6793</v>
      </c>
      <c r="M1020" s="117"/>
      <c r="N1020" s="106" t="n">
        <v>0</v>
      </c>
      <c r="O1020" s="106"/>
      <c r="P1020" s="27" t="s">
        <v>6805</v>
      </c>
    </row>
    <row r="1021" customFormat="false" ht="15" hidden="false" customHeight="false" outlineLevel="0" collapsed="false">
      <c r="A1021" s="106" t="s">
        <v>7747</v>
      </c>
      <c r="B1021" s="106" t="s">
        <v>6792</v>
      </c>
      <c r="C1021" s="106"/>
      <c r="D1021" s="107"/>
      <c r="E1021" s="107" t="n">
        <v>246</v>
      </c>
      <c r="F1021" s="130" t="n">
        <v>0.4</v>
      </c>
      <c r="G1021" s="106" t="s">
        <v>1411</v>
      </c>
      <c r="H1021" s="106" t="n">
        <v>0</v>
      </c>
      <c r="I1021" s="106" t="s">
        <v>6794</v>
      </c>
      <c r="J1021" s="106" t="s">
        <v>6794</v>
      </c>
      <c r="K1021" s="106" t="s">
        <v>6793</v>
      </c>
      <c r="L1021" s="106" t="s">
        <v>6793</v>
      </c>
      <c r="M1021" s="117"/>
      <c r="N1021" s="106" t="n">
        <v>0</v>
      </c>
      <c r="O1021" s="106"/>
      <c r="P1021" s="27" t="s">
        <v>6805</v>
      </c>
    </row>
    <row r="1022" customFormat="false" ht="15" hidden="false" customHeight="false" outlineLevel="0" collapsed="false">
      <c r="A1022" s="106" t="s">
        <v>4944</v>
      </c>
      <c r="B1022" s="106" t="s">
        <v>6792</v>
      </c>
      <c r="C1022" s="106"/>
      <c r="D1022" s="107" t="n">
        <v>621</v>
      </c>
      <c r="E1022" s="107" t="n">
        <v>246</v>
      </c>
      <c r="F1022" s="130" t="n">
        <v>0.7</v>
      </c>
      <c r="G1022" s="106" t="s">
        <v>1411</v>
      </c>
      <c r="H1022" s="106" t="n">
        <v>1.5</v>
      </c>
      <c r="I1022" s="106" t="s">
        <v>6794</v>
      </c>
      <c r="J1022" s="106" t="s">
        <v>6793</v>
      </c>
      <c r="K1022" s="106" t="s">
        <v>6793</v>
      </c>
      <c r="L1022" s="106" t="s">
        <v>6793</v>
      </c>
      <c r="M1022" s="117"/>
      <c r="N1022" s="106" t="n">
        <v>0</v>
      </c>
      <c r="O1022" s="106"/>
      <c r="P1022" s="27" t="s">
        <v>6885</v>
      </c>
    </row>
    <row r="1023" customFormat="false" ht="15" hidden="false" customHeight="false" outlineLevel="0" collapsed="false">
      <c r="A1023" s="106" t="s">
        <v>7748</v>
      </c>
      <c r="B1023" s="106" t="s">
        <v>6792</v>
      </c>
      <c r="C1023" s="106" t="s">
        <v>185</v>
      </c>
      <c r="D1023" s="107" t="n">
        <v>522</v>
      </c>
      <c r="E1023" s="107" t="n">
        <v>246</v>
      </c>
      <c r="F1023" s="130" t="n">
        <v>0.75</v>
      </c>
      <c r="G1023" s="106" t="s">
        <v>1411</v>
      </c>
      <c r="H1023" s="106" t="n">
        <v>0</v>
      </c>
      <c r="I1023" s="106" t="s">
        <v>6794</v>
      </c>
      <c r="J1023" s="106" t="s">
        <v>6793</v>
      </c>
      <c r="K1023" s="106" t="s">
        <v>6793</v>
      </c>
      <c r="L1023" s="106" t="s">
        <v>6793</v>
      </c>
      <c r="M1023" s="117"/>
      <c r="N1023" s="106" t="n">
        <v>0</v>
      </c>
      <c r="O1023" s="106"/>
      <c r="P1023" s="27" t="s">
        <v>6983</v>
      </c>
    </row>
    <row r="1024" customFormat="false" ht="15" hidden="false" customHeight="false" outlineLevel="0" collapsed="false">
      <c r="A1024" s="106" t="s">
        <v>7749</v>
      </c>
      <c r="B1024" s="106" t="s">
        <v>6792</v>
      </c>
      <c r="C1024" s="106"/>
      <c r="D1024" s="107"/>
      <c r="E1024" s="107" t="n">
        <v>246</v>
      </c>
      <c r="F1024" s="130" t="n">
        <v>0.4</v>
      </c>
      <c r="G1024" s="106" t="s">
        <v>1411</v>
      </c>
      <c r="H1024" s="106" t="n">
        <v>0</v>
      </c>
      <c r="I1024" s="106" t="s">
        <v>6794</v>
      </c>
      <c r="J1024" s="106" t="s">
        <v>6794</v>
      </c>
      <c r="K1024" s="106" t="s">
        <v>6793</v>
      </c>
      <c r="L1024" s="106" t="s">
        <v>6793</v>
      </c>
      <c r="M1024" s="117"/>
      <c r="N1024" s="106" t="n">
        <v>0</v>
      </c>
      <c r="O1024" s="106"/>
      <c r="P1024" s="27" t="s">
        <v>6805</v>
      </c>
    </row>
    <row r="1025" customFormat="false" ht="15" hidden="false" customHeight="false" outlineLevel="0" collapsed="false">
      <c r="A1025" s="106" t="s">
        <v>7750</v>
      </c>
      <c r="B1025" s="106" t="s">
        <v>6792</v>
      </c>
      <c r="C1025" s="106"/>
      <c r="D1025" s="107"/>
      <c r="E1025" s="107" t="n">
        <v>246</v>
      </c>
      <c r="F1025" s="130" t="n">
        <v>0.5</v>
      </c>
      <c r="G1025" s="106" t="s">
        <v>1411</v>
      </c>
      <c r="H1025" s="106" t="n">
        <v>0</v>
      </c>
      <c r="I1025" s="106" t="s">
        <v>6793</v>
      </c>
      <c r="J1025" s="106" t="s">
        <v>6794</v>
      </c>
      <c r="K1025" s="106" t="s">
        <v>6793</v>
      </c>
      <c r="L1025" s="106" t="s">
        <v>6794</v>
      </c>
      <c r="M1025" s="117"/>
      <c r="N1025" s="106" t="n">
        <v>0</v>
      </c>
      <c r="O1025" s="106"/>
      <c r="P1025" s="27" t="s">
        <v>6818</v>
      </c>
    </row>
    <row r="1026" customFormat="false" ht="15" hidden="false" customHeight="false" outlineLevel="0" collapsed="false">
      <c r="A1026" s="106" t="s">
        <v>7751</v>
      </c>
      <c r="B1026" s="106" t="s">
        <v>6792</v>
      </c>
      <c r="C1026" s="106" t="s">
        <v>479</v>
      </c>
      <c r="D1026" s="107"/>
      <c r="E1026" s="107" t="n">
        <v>246</v>
      </c>
      <c r="F1026" s="130" t="n">
        <v>0.55</v>
      </c>
      <c r="G1026" s="106" t="s">
        <v>1411</v>
      </c>
      <c r="H1026" s="106" t="n">
        <v>0</v>
      </c>
      <c r="I1026" s="106" t="s">
        <v>6793</v>
      </c>
      <c r="J1026" s="106" t="s">
        <v>6794</v>
      </c>
      <c r="K1026" s="106" t="s">
        <v>6793</v>
      </c>
      <c r="L1026" s="106" t="s">
        <v>6794</v>
      </c>
      <c r="M1026" s="117"/>
      <c r="N1026" s="106" t="n">
        <v>0</v>
      </c>
      <c r="O1026" s="106"/>
      <c r="P1026" s="27" t="s">
        <v>6818</v>
      </c>
    </row>
    <row r="1027" customFormat="false" ht="15" hidden="false" customHeight="false" outlineLevel="0" collapsed="false">
      <c r="A1027" s="106" t="s">
        <v>7752</v>
      </c>
      <c r="B1027" s="106" t="s">
        <v>6792</v>
      </c>
      <c r="C1027" s="106"/>
      <c r="D1027" s="107"/>
      <c r="E1027" s="107" t="n">
        <v>246</v>
      </c>
      <c r="F1027" s="130" t="n">
        <v>0.38</v>
      </c>
      <c r="G1027" s="106" t="s">
        <v>1411</v>
      </c>
      <c r="H1027" s="106" t="n">
        <v>0</v>
      </c>
      <c r="I1027" s="106" t="s">
        <v>6799</v>
      </c>
      <c r="J1027" s="106" t="s">
        <v>6794</v>
      </c>
      <c r="K1027" s="106" t="s">
        <v>6793</v>
      </c>
      <c r="L1027" s="106" t="s">
        <v>6794</v>
      </c>
      <c r="M1027" s="117"/>
      <c r="N1027" s="106" t="n">
        <v>0</v>
      </c>
      <c r="O1027" s="106"/>
      <c r="P1027" s="27" t="s">
        <v>6818</v>
      </c>
    </row>
    <row r="1028" customFormat="false" ht="15" hidden="false" customHeight="false" outlineLevel="0" collapsed="false">
      <c r="A1028" s="106" t="s">
        <v>7753</v>
      </c>
      <c r="B1028" s="106" t="s">
        <v>6792</v>
      </c>
      <c r="C1028" s="106"/>
      <c r="D1028" s="107" t="n">
        <v>319</v>
      </c>
      <c r="E1028" s="107" t="n">
        <v>242.44</v>
      </c>
      <c r="F1028" s="130" t="n">
        <v>0.8</v>
      </c>
      <c r="G1028" s="106" t="s">
        <v>1411</v>
      </c>
      <c r="H1028" s="106" t="n">
        <v>0</v>
      </c>
      <c r="I1028" s="106" t="s">
        <v>6793</v>
      </c>
      <c r="J1028" s="106" t="s">
        <v>6793</v>
      </c>
      <c r="K1028" s="106" t="s">
        <v>6793</v>
      </c>
      <c r="L1028" s="106" t="s">
        <v>6794</v>
      </c>
      <c r="M1028" s="117"/>
      <c r="N1028" s="106" t="n">
        <v>0</v>
      </c>
      <c r="O1028" s="106"/>
      <c r="P1028" s="27" t="s">
        <v>7754</v>
      </c>
    </row>
    <row r="1029" customFormat="false" ht="22.35" hidden="false" customHeight="false" outlineLevel="0" collapsed="false">
      <c r="A1029" s="106" t="s">
        <v>4976</v>
      </c>
      <c r="B1029" s="106" t="s">
        <v>7101</v>
      </c>
      <c r="C1029" s="106" t="s">
        <v>560</v>
      </c>
      <c r="D1029" s="107" t="n">
        <v>319</v>
      </c>
      <c r="E1029" s="107" t="n">
        <v>242.44</v>
      </c>
      <c r="F1029" s="130" t="n">
        <v>0.88</v>
      </c>
      <c r="G1029" s="106" t="s">
        <v>1411</v>
      </c>
      <c r="H1029" s="106" t="n">
        <v>2.5</v>
      </c>
      <c r="I1029" s="106" t="s">
        <v>6799</v>
      </c>
      <c r="J1029" s="106" t="s">
        <v>6793</v>
      </c>
      <c r="K1029" s="106" t="s">
        <v>6793</v>
      </c>
      <c r="L1029" s="106" t="s">
        <v>6793</v>
      </c>
      <c r="M1029" s="117" t="n">
        <v>0.0042735042735042</v>
      </c>
      <c r="N1029" s="106" t="n">
        <v>9</v>
      </c>
      <c r="O1029" s="106" t="n">
        <v>22.22</v>
      </c>
      <c r="P1029" s="27" t="s">
        <v>7755</v>
      </c>
    </row>
    <row r="1030" customFormat="false" ht="22.35" hidden="false" customHeight="false" outlineLevel="0" collapsed="false">
      <c r="A1030" s="106" t="s">
        <v>4920</v>
      </c>
      <c r="B1030" s="106" t="s">
        <v>7101</v>
      </c>
      <c r="C1030" s="106"/>
      <c r="D1030" s="107" t="n">
        <v>319</v>
      </c>
      <c r="E1030" s="107" t="n">
        <v>242.44</v>
      </c>
      <c r="F1030" s="130" t="n">
        <v>0.95</v>
      </c>
      <c r="G1030" s="106" t="s">
        <v>1411</v>
      </c>
      <c r="H1030" s="106" t="n">
        <v>2.5</v>
      </c>
      <c r="I1030" s="106" t="s">
        <v>6793</v>
      </c>
      <c r="J1030" s="106" t="s">
        <v>6793</v>
      </c>
      <c r="K1030" s="106" t="s">
        <v>6793</v>
      </c>
      <c r="L1030" s="106" t="s">
        <v>6793</v>
      </c>
      <c r="M1030" s="117" t="n">
        <v>0.0084745762711864</v>
      </c>
      <c r="N1030" s="106" t="n">
        <v>0</v>
      </c>
      <c r="O1030" s="106"/>
      <c r="P1030" s="27" t="s">
        <v>7755</v>
      </c>
    </row>
    <row r="1031" customFormat="false" ht="15" hidden="false" customHeight="false" outlineLevel="0" collapsed="false">
      <c r="A1031" s="106" t="s">
        <v>7756</v>
      </c>
      <c r="B1031" s="106" t="s">
        <v>6792</v>
      </c>
      <c r="C1031" s="106" t="s">
        <v>560</v>
      </c>
      <c r="D1031" s="107" t="n">
        <v>319</v>
      </c>
      <c r="E1031" s="107" t="n">
        <v>242.44</v>
      </c>
      <c r="F1031" s="130" t="n">
        <v>0.75</v>
      </c>
      <c r="G1031" s="106" t="s">
        <v>1411</v>
      </c>
      <c r="H1031" s="106" t="n">
        <v>0</v>
      </c>
      <c r="I1031" s="106" t="s">
        <v>6794</v>
      </c>
      <c r="J1031" s="106" t="s">
        <v>6793</v>
      </c>
      <c r="K1031" s="106" t="s">
        <v>6793</v>
      </c>
      <c r="L1031" s="106" t="s">
        <v>6793</v>
      </c>
      <c r="M1031" s="117"/>
      <c r="N1031" s="106" t="n">
        <v>0</v>
      </c>
      <c r="O1031" s="106"/>
      <c r="P1031" s="27" t="s">
        <v>6983</v>
      </c>
    </row>
    <row r="1032" customFormat="false" ht="15" hidden="false" customHeight="false" outlineLevel="0" collapsed="false">
      <c r="A1032" s="106" t="s">
        <v>7757</v>
      </c>
      <c r="B1032" s="106" t="s">
        <v>6792</v>
      </c>
      <c r="C1032" s="106" t="s">
        <v>185</v>
      </c>
      <c r="D1032" s="107" t="n">
        <v>319</v>
      </c>
      <c r="E1032" s="107" t="n">
        <v>242.44</v>
      </c>
      <c r="F1032" s="130" t="n">
        <v>0.45</v>
      </c>
      <c r="G1032" s="106" t="s">
        <v>1411</v>
      </c>
      <c r="H1032" s="106" t="n">
        <v>0</v>
      </c>
      <c r="I1032" s="106" t="s">
        <v>6794</v>
      </c>
      <c r="J1032" s="106" t="s">
        <v>6794</v>
      </c>
      <c r="K1032" s="106" t="s">
        <v>6793</v>
      </c>
      <c r="L1032" s="106" t="s">
        <v>6793</v>
      </c>
      <c r="M1032" s="117"/>
      <c r="N1032" s="106" t="n">
        <v>0</v>
      </c>
      <c r="O1032" s="106"/>
      <c r="P1032" s="27" t="s">
        <v>6805</v>
      </c>
    </row>
    <row r="1033" customFormat="false" ht="15" hidden="false" customHeight="false" outlineLevel="0" collapsed="false">
      <c r="A1033" s="106" t="s">
        <v>7758</v>
      </c>
      <c r="B1033" s="106" t="s">
        <v>6792</v>
      </c>
      <c r="C1033" s="106" t="s">
        <v>479</v>
      </c>
      <c r="D1033" s="107" t="n">
        <v>319</v>
      </c>
      <c r="E1033" s="107" t="n">
        <v>242.44</v>
      </c>
      <c r="F1033" s="130" t="n">
        <v>0.62</v>
      </c>
      <c r="G1033" s="106" t="s">
        <v>1411</v>
      </c>
      <c r="H1033" s="106" t="n">
        <v>0</v>
      </c>
      <c r="I1033" s="106" t="s">
        <v>6793</v>
      </c>
      <c r="J1033" s="106" t="s">
        <v>6794</v>
      </c>
      <c r="K1033" s="106" t="s">
        <v>6799</v>
      </c>
      <c r="L1033" s="106" t="s">
        <v>6793</v>
      </c>
      <c r="M1033" s="117"/>
      <c r="N1033" s="106" t="n">
        <v>0</v>
      </c>
      <c r="O1033" s="106"/>
      <c r="P1033" s="27" t="s">
        <v>6795</v>
      </c>
    </row>
    <row r="1034" customFormat="false" ht="22.35" hidden="false" customHeight="false" outlineLevel="0" collapsed="false">
      <c r="A1034" s="106" t="s">
        <v>7759</v>
      </c>
      <c r="B1034" s="106" t="s">
        <v>7101</v>
      </c>
      <c r="C1034" s="106"/>
      <c r="D1034" s="107" t="n">
        <v>315</v>
      </c>
      <c r="E1034" s="107" t="n">
        <v>239.4</v>
      </c>
      <c r="F1034" s="130" t="n">
        <v>0.8</v>
      </c>
      <c r="G1034" s="106" t="s">
        <v>1411</v>
      </c>
      <c r="H1034" s="106" t="n">
        <v>0</v>
      </c>
      <c r="I1034" s="106" t="s">
        <v>6793</v>
      </c>
      <c r="J1034" s="106" t="s">
        <v>6799</v>
      </c>
      <c r="K1034" s="106" t="s">
        <v>6793</v>
      </c>
      <c r="L1034" s="106" t="s">
        <v>6793</v>
      </c>
      <c r="M1034" s="117"/>
      <c r="N1034" s="106" t="n">
        <v>0</v>
      </c>
      <c r="O1034" s="106"/>
      <c r="P1034" s="27" t="s">
        <v>7447</v>
      </c>
    </row>
    <row r="1035" customFormat="false" ht="22.35" hidden="false" customHeight="false" outlineLevel="0" collapsed="false">
      <c r="A1035" s="106" t="s">
        <v>7760</v>
      </c>
      <c r="B1035" s="106" t="s">
        <v>7101</v>
      </c>
      <c r="C1035" s="106" t="s">
        <v>560</v>
      </c>
      <c r="D1035" s="107" t="n">
        <v>310</v>
      </c>
      <c r="E1035" s="107" t="n">
        <v>235.6</v>
      </c>
      <c r="F1035" s="130" t="n">
        <v>0.88</v>
      </c>
      <c r="G1035" s="106" t="s">
        <v>1411</v>
      </c>
      <c r="H1035" s="106" t="n">
        <v>0</v>
      </c>
      <c r="I1035" s="106" t="s">
        <v>6799</v>
      </c>
      <c r="J1035" s="106" t="s">
        <v>6793</v>
      </c>
      <c r="K1035" s="106" t="s">
        <v>6793</v>
      </c>
      <c r="L1035" s="106" t="s">
        <v>6793</v>
      </c>
      <c r="M1035" s="117"/>
      <c r="N1035" s="106" t="n">
        <v>0</v>
      </c>
      <c r="O1035" s="106"/>
      <c r="P1035" s="27" t="s">
        <v>7447</v>
      </c>
    </row>
    <row r="1036" customFormat="false" ht="15" hidden="false" customHeight="false" outlineLevel="0" collapsed="false">
      <c r="A1036" s="106" t="s">
        <v>7761</v>
      </c>
      <c r="B1036" s="106" t="s">
        <v>6792</v>
      </c>
      <c r="C1036" s="106" t="s">
        <v>185</v>
      </c>
      <c r="D1036" s="107"/>
      <c r="E1036" s="107" t="n">
        <v>235.457142857143</v>
      </c>
      <c r="F1036" s="130" t="n">
        <v>0.45</v>
      </c>
      <c r="G1036" s="106" t="s">
        <v>1411</v>
      </c>
      <c r="H1036" s="106" t="n">
        <v>0</v>
      </c>
      <c r="I1036" s="106" t="s">
        <v>6794</v>
      </c>
      <c r="J1036" s="106" t="s">
        <v>6794</v>
      </c>
      <c r="K1036" s="106" t="s">
        <v>6793</v>
      </c>
      <c r="L1036" s="106" t="s">
        <v>6793</v>
      </c>
      <c r="M1036" s="117"/>
      <c r="N1036" s="106" t="n">
        <v>0</v>
      </c>
      <c r="O1036" s="106"/>
      <c r="P1036" s="27" t="s">
        <v>6805</v>
      </c>
    </row>
    <row r="1037" customFormat="false" ht="15" hidden="false" customHeight="false" outlineLevel="0" collapsed="false">
      <c r="A1037" s="106" t="s">
        <v>7762</v>
      </c>
      <c r="B1037" s="106" t="s">
        <v>6792</v>
      </c>
      <c r="C1037" s="106"/>
      <c r="D1037" s="107"/>
      <c r="E1037" s="107" t="n">
        <v>235.457142857143</v>
      </c>
      <c r="F1037" s="130" t="n">
        <v>0.5</v>
      </c>
      <c r="G1037" s="106" t="s">
        <v>1411</v>
      </c>
      <c r="H1037" s="106" t="n">
        <v>0</v>
      </c>
      <c r="I1037" s="106" t="s">
        <v>6793</v>
      </c>
      <c r="J1037" s="106" t="s">
        <v>6794</v>
      </c>
      <c r="K1037" s="106" t="s">
        <v>6793</v>
      </c>
      <c r="L1037" s="106" t="s">
        <v>6794</v>
      </c>
      <c r="M1037" s="117"/>
      <c r="N1037" s="106" t="n">
        <v>0</v>
      </c>
      <c r="O1037" s="106"/>
      <c r="P1037" s="27" t="s">
        <v>6818</v>
      </c>
    </row>
    <row r="1038" customFormat="false" ht="15" hidden="false" customHeight="false" outlineLevel="0" collapsed="false">
      <c r="A1038" s="106" t="s">
        <v>7763</v>
      </c>
      <c r="B1038" s="106" t="s">
        <v>6792</v>
      </c>
      <c r="C1038" s="106" t="s">
        <v>185</v>
      </c>
      <c r="D1038" s="107"/>
      <c r="E1038" s="107" t="n">
        <v>235.457142857143</v>
      </c>
      <c r="F1038" s="130" t="n">
        <v>0.55</v>
      </c>
      <c r="G1038" s="106" t="s">
        <v>1411</v>
      </c>
      <c r="H1038" s="106" t="n">
        <v>0.5</v>
      </c>
      <c r="I1038" s="106" t="s">
        <v>6793</v>
      </c>
      <c r="J1038" s="106" t="s">
        <v>6794</v>
      </c>
      <c r="K1038" s="106" t="s">
        <v>6793</v>
      </c>
      <c r="L1038" s="106" t="s">
        <v>6794</v>
      </c>
      <c r="M1038" s="117"/>
      <c r="N1038" s="106" t="n">
        <v>0</v>
      </c>
      <c r="O1038" s="106"/>
      <c r="P1038" s="27" t="s">
        <v>6818</v>
      </c>
    </row>
    <row r="1039" customFormat="false" ht="15" hidden="false" customHeight="false" outlineLevel="0" collapsed="false">
      <c r="A1039" s="106" t="s">
        <v>7764</v>
      </c>
      <c r="B1039" s="106" t="s">
        <v>6792</v>
      </c>
      <c r="C1039" s="106" t="s">
        <v>479</v>
      </c>
      <c r="D1039" s="107"/>
      <c r="E1039" s="107" t="n">
        <v>235.457142857143</v>
      </c>
      <c r="F1039" s="130" t="n">
        <v>0.45</v>
      </c>
      <c r="G1039" s="106" t="s">
        <v>1411</v>
      </c>
      <c r="H1039" s="106" t="n">
        <v>0</v>
      </c>
      <c r="I1039" s="106" t="s">
        <v>6794</v>
      </c>
      <c r="J1039" s="106" t="s">
        <v>6794</v>
      </c>
      <c r="K1039" s="106" t="s">
        <v>6793</v>
      </c>
      <c r="L1039" s="106" t="s">
        <v>6793</v>
      </c>
      <c r="M1039" s="117"/>
      <c r="N1039" s="106" t="n">
        <v>0</v>
      </c>
      <c r="O1039" s="106"/>
      <c r="P1039" s="27" t="s">
        <v>6805</v>
      </c>
    </row>
    <row r="1040" customFormat="false" ht="15" hidden="false" customHeight="false" outlineLevel="0" collapsed="false">
      <c r="A1040" s="106" t="s">
        <v>7765</v>
      </c>
      <c r="B1040" s="106" t="s">
        <v>6792</v>
      </c>
      <c r="C1040" s="106" t="s">
        <v>479</v>
      </c>
      <c r="D1040" s="107"/>
      <c r="E1040" s="107" t="n">
        <v>235.457142857143</v>
      </c>
      <c r="F1040" s="130" t="n">
        <v>0.55</v>
      </c>
      <c r="G1040" s="106" t="s">
        <v>1411</v>
      </c>
      <c r="H1040" s="106" t="n">
        <v>0</v>
      </c>
      <c r="I1040" s="106" t="s">
        <v>6793</v>
      </c>
      <c r="J1040" s="106" t="s">
        <v>6794</v>
      </c>
      <c r="K1040" s="106" t="s">
        <v>6793</v>
      </c>
      <c r="L1040" s="106" t="s">
        <v>6794</v>
      </c>
      <c r="M1040" s="117"/>
      <c r="N1040" s="106" t="n">
        <v>0</v>
      </c>
      <c r="O1040" s="106"/>
      <c r="P1040" s="27" t="s">
        <v>6818</v>
      </c>
    </row>
    <row r="1041" customFormat="false" ht="15" hidden="false" customHeight="false" outlineLevel="0" collapsed="false">
      <c r="A1041" s="106" t="s">
        <v>7766</v>
      </c>
      <c r="B1041" s="106" t="s">
        <v>6792</v>
      </c>
      <c r="C1041" s="106"/>
      <c r="D1041" s="107"/>
      <c r="E1041" s="107" t="n">
        <v>235.457142857143</v>
      </c>
      <c r="F1041" s="130" t="n">
        <v>0.5</v>
      </c>
      <c r="G1041" s="106" t="s">
        <v>1411</v>
      </c>
      <c r="H1041" s="106" t="n">
        <v>0</v>
      </c>
      <c r="I1041" s="106" t="s">
        <v>6793</v>
      </c>
      <c r="J1041" s="106" t="s">
        <v>6794</v>
      </c>
      <c r="K1041" s="106" t="s">
        <v>6793</v>
      </c>
      <c r="L1041" s="106" t="s">
        <v>6794</v>
      </c>
      <c r="M1041" s="117"/>
      <c r="N1041" s="106" t="n">
        <v>0</v>
      </c>
      <c r="O1041" s="106"/>
      <c r="P1041" s="27" t="s">
        <v>6818</v>
      </c>
    </row>
    <row r="1042" customFormat="false" ht="15" hidden="false" customHeight="false" outlineLevel="0" collapsed="false">
      <c r="A1042" s="106" t="s">
        <v>7767</v>
      </c>
      <c r="B1042" s="106" t="s">
        <v>6792</v>
      </c>
      <c r="C1042" s="106"/>
      <c r="D1042" s="107"/>
      <c r="E1042" s="107" t="n">
        <v>235.457142857143</v>
      </c>
      <c r="F1042" s="130" t="n">
        <v>0.5</v>
      </c>
      <c r="G1042" s="106" t="s">
        <v>1411</v>
      </c>
      <c r="H1042" s="106" t="n">
        <v>0</v>
      </c>
      <c r="I1042" s="106" t="s">
        <v>6793</v>
      </c>
      <c r="J1042" s="106" t="s">
        <v>6794</v>
      </c>
      <c r="K1042" s="106" t="s">
        <v>6793</v>
      </c>
      <c r="L1042" s="106" t="s">
        <v>6794</v>
      </c>
      <c r="M1042" s="117"/>
      <c r="N1042" s="106" t="n">
        <v>0</v>
      </c>
      <c r="O1042" s="106"/>
      <c r="P1042" s="27" t="s">
        <v>6818</v>
      </c>
    </row>
    <row r="1043" customFormat="false" ht="15" hidden="false" customHeight="false" outlineLevel="0" collapsed="false">
      <c r="A1043" s="106" t="s">
        <v>5507</v>
      </c>
      <c r="B1043" s="106" t="s">
        <v>6792</v>
      </c>
      <c r="C1043" s="106"/>
      <c r="D1043" s="107" t="n">
        <v>537</v>
      </c>
      <c r="E1043" s="107" t="n">
        <v>235.457142857143</v>
      </c>
      <c r="F1043" s="130" t="n">
        <v>0.7</v>
      </c>
      <c r="G1043" s="106" t="s">
        <v>1411</v>
      </c>
      <c r="H1043" s="106" t="n">
        <v>0.5</v>
      </c>
      <c r="I1043" s="106" t="s">
        <v>6794</v>
      </c>
      <c r="J1043" s="106" t="s">
        <v>6793</v>
      </c>
      <c r="K1043" s="106" t="s">
        <v>6793</v>
      </c>
      <c r="L1043" s="106" t="s">
        <v>6793</v>
      </c>
      <c r="M1043" s="117"/>
      <c r="N1043" s="106" t="n">
        <v>2</v>
      </c>
      <c r="O1043" s="106" t="n">
        <v>0</v>
      </c>
      <c r="P1043" s="27" t="s">
        <v>6983</v>
      </c>
    </row>
    <row r="1044" customFormat="false" ht="15" hidden="false" customHeight="false" outlineLevel="0" collapsed="false">
      <c r="A1044" s="106" t="s">
        <v>7768</v>
      </c>
      <c r="B1044" s="106" t="s">
        <v>6792</v>
      </c>
      <c r="C1044" s="106"/>
      <c r="D1044" s="107"/>
      <c r="E1044" s="107" t="n">
        <v>235.457142857143</v>
      </c>
      <c r="F1044" s="130" t="n">
        <v>0.5</v>
      </c>
      <c r="G1044" s="106" t="s">
        <v>1411</v>
      </c>
      <c r="H1044" s="106" t="n">
        <v>0</v>
      </c>
      <c r="I1044" s="106" t="s">
        <v>6793</v>
      </c>
      <c r="J1044" s="106" t="s">
        <v>6794</v>
      </c>
      <c r="K1044" s="106" t="s">
        <v>6793</v>
      </c>
      <c r="L1044" s="106" t="s">
        <v>6794</v>
      </c>
      <c r="M1044" s="117"/>
      <c r="N1044" s="106" t="n">
        <v>0</v>
      </c>
      <c r="O1044" s="106"/>
      <c r="P1044" s="27" t="s">
        <v>6818</v>
      </c>
    </row>
    <row r="1045" customFormat="false" ht="22.35" hidden="false" customHeight="false" outlineLevel="0" collapsed="false">
      <c r="A1045" s="106" t="s">
        <v>5235</v>
      </c>
      <c r="B1045" s="106" t="s">
        <v>7101</v>
      </c>
      <c r="C1045" s="106" t="s">
        <v>185</v>
      </c>
      <c r="D1045" s="107" t="n">
        <v>512</v>
      </c>
      <c r="E1045" s="107" t="n">
        <v>235.457142857143</v>
      </c>
      <c r="F1045" s="130" t="n">
        <v>1</v>
      </c>
      <c r="G1045" s="106" t="s">
        <v>1411</v>
      </c>
      <c r="H1045" s="106" t="n">
        <v>3</v>
      </c>
      <c r="I1045" s="106" t="s">
        <v>6793</v>
      </c>
      <c r="J1045" s="106" t="s">
        <v>6793</v>
      </c>
      <c r="K1045" s="106" t="s">
        <v>6793</v>
      </c>
      <c r="L1045" s="106" t="s">
        <v>6793</v>
      </c>
      <c r="M1045" s="117"/>
      <c r="N1045" s="106" t="n">
        <v>28</v>
      </c>
      <c r="O1045" s="106" t="n">
        <v>21.43</v>
      </c>
      <c r="P1045" s="27" t="s">
        <v>7769</v>
      </c>
    </row>
    <row r="1046" customFormat="false" ht="22.35" hidden="false" customHeight="false" outlineLevel="0" collapsed="false">
      <c r="A1046" s="106" t="s">
        <v>7770</v>
      </c>
      <c r="B1046" s="106" t="s">
        <v>7101</v>
      </c>
      <c r="C1046" s="106" t="s">
        <v>560</v>
      </c>
      <c r="D1046" s="107" t="n">
        <v>308</v>
      </c>
      <c r="E1046" s="107" t="n">
        <v>234.08</v>
      </c>
      <c r="F1046" s="130" t="n">
        <v>1</v>
      </c>
      <c r="G1046" s="106" t="s">
        <v>1411</v>
      </c>
      <c r="H1046" s="106" t="n">
        <v>0</v>
      </c>
      <c r="I1046" s="106" t="s">
        <v>6793</v>
      </c>
      <c r="J1046" s="106" t="s">
        <v>6793</v>
      </c>
      <c r="K1046" s="106" t="s">
        <v>6793</v>
      </c>
      <c r="L1046" s="106" t="s">
        <v>6793</v>
      </c>
      <c r="M1046" s="117"/>
      <c r="N1046" s="106" t="n">
        <v>0</v>
      </c>
      <c r="O1046" s="106"/>
      <c r="P1046" s="27" t="s">
        <v>7447</v>
      </c>
    </row>
    <row r="1047" customFormat="false" ht="22.35" hidden="false" customHeight="false" outlineLevel="0" collapsed="false">
      <c r="A1047" s="106" t="s">
        <v>7771</v>
      </c>
      <c r="B1047" s="106" t="s">
        <v>7101</v>
      </c>
      <c r="C1047" s="106" t="s">
        <v>560</v>
      </c>
      <c r="D1047" s="107" t="n">
        <v>307</v>
      </c>
      <c r="E1047" s="107" t="n">
        <v>233.32</v>
      </c>
      <c r="F1047" s="130" t="n">
        <v>1</v>
      </c>
      <c r="G1047" s="106" t="s">
        <v>1411</v>
      </c>
      <c r="H1047" s="106" t="n">
        <v>0</v>
      </c>
      <c r="I1047" s="106" t="s">
        <v>6793</v>
      </c>
      <c r="J1047" s="106" t="s">
        <v>6793</v>
      </c>
      <c r="K1047" s="106" t="s">
        <v>6793</v>
      </c>
      <c r="L1047" s="106" t="s">
        <v>6793</v>
      </c>
      <c r="M1047" s="117"/>
      <c r="N1047" s="106" t="n">
        <v>0</v>
      </c>
      <c r="O1047" s="106"/>
      <c r="P1047" s="27" t="s">
        <v>7447</v>
      </c>
    </row>
    <row r="1048" customFormat="false" ht="22.35" hidden="false" customHeight="false" outlineLevel="0" collapsed="false">
      <c r="A1048" s="106" t="s">
        <v>5473</v>
      </c>
      <c r="B1048" s="106" t="s">
        <v>7101</v>
      </c>
      <c r="C1048" s="106" t="s">
        <v>422</v>
      </c>
      <c r="D1048" s="107" t="n">
        <v>307</v>
      </c>
      <c r="E1048" s="107" t="n">
        <v>233.32</v>
      </c>
      <c r="F1048" s="130" t="n">
        <v>1</v>
      </c>
      <c r="G1048" s="106" t="s">
        <v>1411</v>
      </c>
      <c r="H1048" s="106" t="n">
        <v>0</v>
      </c>
      <c r="I1048" s="106" t="s">
        <v>6793</v>
      </c>
      <c r="J1048" s="106" t="s">
        <v>6793</v>
      </c>
      <c r="K1048" s="106" t="s">
        <v>6793</v>
      </c>
      <c r="L1048" s="106" t="s">
        <v>6793</v>
      </c>
      <c r="M1048" s="117"/>
      <c r="N1048" s="106" t="n">
        <v>2</v>
      </c>
      <c r="O1048" s="106" t="n">
        <v>0</v>
      </c>
      <c r="P1048" s="27" t="s">
        <v>7447</v>
      </c>
    </row>
    <row r="1049" customFormat="false" ht="22.35" hidden="false" customHeight="false" outlineLevel="0" collapsed="false">
      <c r="A1049" s="106" t="s">
        <v>7772</v>
      </c>
      <c r="B1049" s="106" t="s">
        <v>7101</v>
      </c>
      <c r="C1049" s="106" t="s">
        <v>185</v>
      </c>
      <c r="D1049" s="107" t="n">
        <v>306</v>
      </c>
      <c r="E1049" s="107" t="n">
        <v>232.56</v>
      </c>
      <c r="F1049" s="130" t="n">
        <v>1</v>
      </c>
      <c r="G1049" s="106" t="s">
        <v>1411</v>
      </c>
      <c r="H1049" s="106" t="n">
        <v>0</v>
      </c>
      <c r="I1049" s="106" t="s">
        <v>6793</v>
      </c>
      <c r="J1049" s="106" t="s">
        <v>6793</v>
      </c>
      <c r="K1049" s="106" t="s">
        <v>6793</v>
      </c>
      <c r="L1049" s="106" t="s">
        <v>6793</v>
      </c>
      <c r="M1049" s="117"/>
      <c r="N1049" s="106" t="n">
        <v>0</v>
      </c>
      <c r="O1049" s="106"/>
      <c r="P1049" s="27" t="s">
        <v>7447</v>
      </c>
    </row>
    <row r="1050" customFormat="false" ht="15" hidden="false" customHeight="false" outlineLevel="0" collapsed="false">
      <c r="A1050" s="106" t="s">
        <v>7773</v>
      </c>
      <c r="B1050" s="106" t="s">
        <v>6792</v>
      </c>
      <c r="C1050" s="106" t="s">
        <v>560</v>
      </c>
      <c r="D1050" s="107" t="n">
        <v>304</v>
      </c>
      <c r="E1050" s="107" t="n">
        <v>231.04</v>
      </c>
      <c r="F1050" s="130" t="n">
        <v>0.45</v>
      </c>
      <c r="G1050" s="106" t="s">
        <v>1411</v>
      </c>
      <c r="H1050" s="106" t="n">
        <v>0</v>
      </c>
      <c r="I1050" s="106" t="s">
        <v>6794</v>
      </c>
      <c r="J1050" s="106" t="s">
        <v>6794</v>
      </c>
      <c r="K1050" s="106" t="s">
        <v>6793</v>
      </c>
      <c r="L1050" s="106" t="s">
        <v>6793</v>
      </c>
      <c r="M1050" s="117"/>
      <c r="N1050" s="106" t="n">
        <v>0</v>
      </c>
      <c r="O1050" s="106"/>
      <c r="P1050" s="27" t="s">
        <v>6805</v>
      </c>
    </row>
    <row r="1051" customFormat="false" ht="22.35" hidden="false" customHeight="false" outlineLevel="0" collapsed="false">
      <c r="A1051" s="106" t="s">
        <v>7774</v>
      </c>
      <c r="B1051" s="106" t="s">
        <v>7101</v>
      </c>
      <c r="C1051" s="106" t="s">
        <v>560</v>
      </c>
      <c r="D1051" s="107" t="n">
        <v>301</v>
      </c>
      <c r="E1051" s="107" t="n">
        <v>228.76</v>
      </c>
      <c r="F1051" s="130" t="n">
        <v>1</v>
      </c>
      <c r="G1051" s="106" t="s">
        <v>1411</v>
      </c>
      <c r="H1051" s="106" t="n">
        <v>0</v>
      </c>
      <c r="I1051" s="106" t="s">
        <v>6793</v>
      </c>
      <c r="J1051" s="106" t="s">
        <v>6793</v>
      </c>
      <c r="K1051" s="106" t="s">
        <v>6793</v>
      </c>
      <c r="L1051" s="106" t="s">
        <v>6793</v>
      </c>
      <c r="M1051" s="117"/>
      <c r="N1051" s="106" t="n">
        <v>0</v>
      </c>
      <c r="O1051" s="106"/>
      <c r="P1051" s="27" t="s">
        <v>7447</v>
      </c>
    </row>
    <row r="1052" customFormat="false" ht="22.35" hidden="false" customHeight="false" outlineLevel="0" collapsed="false">
      <c r="A1052" s="106" t="s">
        <v>5999</v>
      </c>
      <c r="B1052" s="106" t="s">
        <v>7101</v>
      </c>
      <c r="C1052" s="106" t="s">
        <v>560</v>
      </c>
      <c r="D1052" s="107" t="n">
        <v>301</v>
      </c>
      <c r="E1052" s="107" t="n">
        <v>228.76</v>
      </c>
      <c r="F1052" s="130" t="n">
        <v>1</v>
      </c>
      <c r="G1052" s="106" t="s">
        <v>1411</v>
      </c>
      <c r="H1052" s="106" t="n">
        <v>0</v>
      </c>
      <c r="I1052" s="106" t="s">
        <v>6793</v>
      </c>
      <c r="J1052" s="106" t="s">
        <v>6793</v>
      </c>
      <c r="K1052" s="106" t="s">
        <v>6793</v>
      </c>
      <c r="L1052" s="106" t="s">
        <v>6793</v>
      </c>
      <c r="M1052" s="117"/>
      <c r="N1052" s="106" t="n">
        <v>1</v>
      </c>
      <c r="O1052" s="106" t="n">
        <v>0</v>
      </c>
      <c r="P1052" s="27" t="s">
        <v>7447</v>
      </c>
    </row>
    <row r="1053" customFormat="false" ht="22.35" hidden="false" customHeight="false" outlineLevel="0" collapsed="false">
      <c r="A1053" s="106" t="s">
        <v>7775</v>
      </c>
      <c r="B1053" s="106" t="s">
        <v>7101</v>
      </c>
      <c r="C1053" s="106" t="s">
        <v>185</v>
      </c>
      <c r="D1053" s="107" t="n">
        <v>300</v>
      </c>
      <c r="E1053" s="107" t="n">
        <v>228</v>
      </c>
      <c r="F1053" s="130" t="n">
        <v>1</v>
      </c>
      <c r="G1053" s="106" t="s">
        <v>1411</v>
      </c>
      <c r="H1053" s="106" t="n">
        <v>0</v>
      </c>
      <c r="I1053" s="106" t="s">
        <v>6793</v>
      </c>
      <c r="J1053" s="106" t="s">
        <v>6793</v>
      </c>
      <c r="K1053" s="106" t="s">
        <v>6793</v>
      </c>
      <c r="L1053" s="106" t="s">
        <v>6793</v>
      </c>
      <c r="M1053" s="117"/>
      <c r="N1053" s="106" t="n">
        <v>0</v>
      </c>
      <c r="O1053" s="106"/>
      <c r="P1053" s="27" t="s">
        <v>7447</v>
      </c>
    </row>
    <row r="1054" customFormat="false" ht="15" hidden="false" customHeight="false" outlineLevel="0" collapsed="false">
      <c r="A1054" s="106" t="s">
        <v>7776</v>
      </c>
      <c r="B1054" s="106" t="s">
        <v>6792</v>
      </c>
      <c r="C1054" s="106" t="s">
        <v>560</v>
      </c>
      <c r="D1054" s="107" t="n">
        <v>299</v>
      </c>
      <c r="E1054" s="107" t="n">
        <v>227.24</v>
      </c>
      <c r="F1054" s="130" t="n">
        <v>0.45</v>
      </c>
      <c r="G1054" s="106" t="s">
        <v>1411</v>
      </c>
      <c r="H1054" s="106" t="n">
        <v>0</v>
      </c>
      <c r="I1054" s="106" t="s">
        <v>6794</v>
      </c>
      <c r="J1054" s="106" t="s">
        <v>6794</v>
      </c>
      <c r="K1054" s="106" t="s">
        <v>6793</v>
      </c>
      <c r="L1054" s="106" t="s">
        <v>6793</v>
      </c>
      <c r="M1054" s="117"/>
      <c r="N1054" s="106" t="n">
        <v>0</v>
      </c>
      <c r="O1054" s="106"/>
      <c r="P1054" s="27" t="s">
        <v>6805</v>
      </c>
    </row>
    <row r="1055" customFormat="false" ht="22.35" hidden="false" customHeight="false" outlineLevel="0" collapsed="false">
      <c r="A1055" s="106" t="s">
        <v>7777</v>
      </c>
      <c r="B1055" s="106" t="s">
        <v>7101</v>
      </c>
      <c r="C1055" s="106" t="s">
        <v>560</v>
      </c>
      <c r="D1055" s="107" t="n">
        <v>297</v>
      </c>
      <c r="E1055" s="107" t="n">
        <v>225.72</v>
      </c>
      <c r="F1055" s="130" t="n">
        <v>1</v>
      </c>
      <c r="G1055" s="106" t="s">
        <v>1411</v>
      </c>
      <c r="H1055" s="106" t="n">
        <v>0</v>
      </c>
      <c r="I1055" s="106" t="s">
        <v>6793</v>
      </c>
      <c r="J1055" s="106" t="s">
        <v>6793</v>
      </c>
      <c r="K1055" s="106" t="s">
        <v>6793</v>
      </c>
      <c r="L1055" s="106" t="s">
        <v>6793</v>
      </c>
      <c r="M1055" s="117"/>
      <c r="N1055" s="106" t="n">
        <v>0</v>
      </c>
      <c r="O1055" s="106"/>
      <c r="P1055" s="27" t="s">
        <v>7447</v>
      </c>
    </row>
    <row r="1056" customFormat="false" ht="22.35" hidden="false" customHeight="false" outlineLevel="0" collapsed="false">
      <c r="A1056" s="106" t="s">
        <v>5746</v>
      </c>
      <c r="B1056" s="106" t="s">
        <v>7101</v>
      </c>
      <c r="C1056" s="106" t="s">
        <v>185</v>
      </c>
      <c r="D1056" s="107" t="n">
        <v>296</v>
      </c>
      <c r="E1056" s="107" t="n">
        <v>224.96</v>
      </c>
      <c r="F1056" s="130" t="n">
        <v>1</v>
      </c>
      <c r="G1056" s="106" t="s">
        <v>1411</v>
      </c>
      <c r="H1056" s="106" t="n">
        <v>0</v>
      </c>
      <c r="I1056" s="106" t="s">
        <v>6793</v>
      </c>
      <c r="J1056" s="106" t="s">
        <v>6793</v>
      </c>
      <c r="K1056" s="106" t="s">
        <v>6793</v>
      </c>
      <c r="L1056" s="106" t="s">
        <v>6793</v>
      </c>
      <c r="M1056" s="117"/>
      <c r="N1056" s="106" t="n">
        <v>1</v>
      </c>
      <c r="O1056" s="106" t="n">
        <v>0</v>
      </c>
      <c r="P1056" s="27" t="s">
        <v>7447</v>
      </c>
    </row>
    <row r="1057" customFormat="false" ht="15" hidden="false" customHeight="false" outlineLevel="0" collapsed="false">
      <c r="A1057" s="106" t="s">
        <v>7778</v>
      </c>
      <c r="B1057" s="106" t="s">
        <v>6792</v>
      </c>
      <c r="C1057" s="106"/>
      <c r="D1057" s="107"/>
      <c r="E1057" s="107" t="n">
        <v>224.914285714286</v>
      </c>
      <c r="F1057" s="130" t="n">
        <v>0.4</v>
      </c>
      <c r="G1057" s="106" t="s">
        <v>1411</v>
      </c>
      <c r="H1057" s="106" t="n">
        <v>0</v>
      </c>
      <c r="I1057" s="106" t="s">
        <v>6794</v>
      </c>
      <c r="J1057" s="106" t="s">
        <v>6794</v>
      </c>
      <c r="K1057" s="106" t="s">
        <v>6793</v>
      </c>
      <c r="L1057" s="106" t="s">
        <v>6793</v>
      </c>
      <c r="M1057" s="117"/>
      <c r="N1057" s="106" t="n">
        <v>0</v>
      </c>
      <c r="O1057" s="106"/>
      <c r="P1057" s="27" t="s">
        <v>6805</v>
      </c>
    </row>
    <row r="1058" customFormat="false" ht="22.35" hidden="false" customHeight="false" outlineLevel="0" collapsed="false">
      <c r="A1058" s="106" t="s">
        <v>7779</v>
      </c>
      <c r="B1058" s="106" t="s">
        <v>7101</v>
      </c>
      <c r="C1058" s="106" t="s">
        <v>185</v>
      </c>
      <c r="D1058" s="107" t="n">
        <v>550</v>
      </c>
      <c r="E1058" s="107" t="n">
        <v>224.914285714286</v>
      </c>
      <c r="F1058" s="130" t="n">
        <v>0.88</v>
      </c>
      <c r="G1058" s="106" t="s">
        <v>1411</v>
      </c>
      <c r="H1058" s="106" t="n">
        <v>2</v>
      </c>
      <c r="I1058" s="106" t="s">
        <v>6799</v>
      </c>
      <c r="J1058" s="106" t="s">
        <v>6793</v>
      </c>
      <c r="K1058" s="106" t="s">
        <v>6793</v>
      </c>
      <c r="L1058" s="106" t="s">
        <v>6793</v>
      </c>
      <c r="M1058" s="117" t="n">
        <v>0.0387722132471728</v>
      </c>
      <c r="N1058" s="106" t="n">
        <v>0</v>
      </c>
      <c r="O1058" s="106"/>
      <c r="P1058" s="27" t="s">
        <v>7780</v>
      </c>
    </row>
    <row r="1059" customFormat="false" ht="15" hidden="false" customHeight="false" outlineLevel="0" collapsed="false">
      <c r="A1059" s="106" t="s">
        <v>7781</v>
      </c>
      <c r="B1059" s="106" t="s">
        <v>6792</v>
      </c>
      <c r="C1059" s="106" t="s">
        <v>185</v>
      </c>
      <c r="D1059" s="107"/>
      <c r="E1059" s="107" t="n">
        <v>224.914285714286</v>
      </c>
      <c r="F1059" s="130" t="n">
        <v>0.45</v>
      </c>
      <c r="G1059" s="106" t="s">
        <v>1411</v>
      </c>
      <c r="H1059" s="106" t="n">
        <v>0</v>
      </c>
      <c r="I1059" s="106" t="s">
        <v>6794</v>
      </c>
      <c r="J1059" s="106" t="s">
        <v>6794</v>
      </c>
      <c r="K1059" s="106" t="s">
        <v>6793</v>
      </c>
      <c r="L1059" s="106" t="s">
        <v>6793</v>
      </c>
      <c r="M1059" s="117"/>
      <c r="N1059" s="106" t="n">
        <v>0</v>
      </c>
      <c r="O1059" s="106"/>
      <c r="P1059" s="27" t="s">
        <v>6805</v>
      </c>
    </row>
    <row r="1060" customFormat="false" ht="22.35" hidden="false" customHeight="false" outlineLevel="0" collapsed="false">
      <c r="A1060" s="106" t="s">
        <v>5261</v>
      </c>
      <c r="B1060" s="106" t="s">
        <v>7101</v>
      </c>
      <c r="C1060" s="106"/>
      <c r="D1060" s="107" t="n">
        <v>489</v>
      </c>
      <c r="E1060" s="107" t="n">
        <v>224.914285714286</v>
      </c>
      <c r="F1060" s="130" t="n">
        <v>0.95</v>
      </c>
      <c r="G1060" s="106" t="s">
        <v>1411</v>
      </c>
      <c r="H1060" s="106" t="n">
        <v>1</v>
      </c>
      <c r="I1060" s="106" t="s">
        <v>6793</v>
      </c>
      <c r="J1060" s="106" t="s">
        <v>6793</v>
      </c>
      <c r="K1060" s="106" t="s">
        <v>6793</v>
      </c>
      <c r="L1060" s="106" t="s">
        <v>6793</v>
      </c>
      <c r="M1060" s="117"/>
      <c r="N1060" s="106" t="n">
        <v>12</v>
      </c>
      <c r="O1060" s="106" t="n">
        <v>0</v>
      </c>
      <c r="P1060" s="27" t="s">
        <v>7472</v>
      </c>
    </row>
    <row r="1061" customFormat="false" ht="15" hidden="false" customHeight="false" outlineLevel="0" collapsed="false">
      <c r="A1061" s="106" t="s">
        <v>7782</v>
      </c>
      <c r="B1061" s="106" t="s">
        <v>6792</v>
      </c>
      <c r="C1061" s="106"/>
      <c r="D1061" s="107"/>
      <c r="E1061" s="107" t="n">
        <v>224.914285714286</v>
      </c>
      <c r="F1061" s="130" t="n">
        <v>0.5</v>
      </c>
      <c r="G1061" s="106" t="s">
        <v>1411</v>
      </c>
      <c r="H1061" s="106" t="n">
        <v>0</v>
      </c>
      <c r="I1061" s="106" t="s">
        <v>6793</v>
      </c>
      <c r="J1061" s="106" t="s">
        <v>6794</v>
      </c>
      <c r="K1061" s="106" t="s">
        <v>6793</v>
      </c>
      <c r="L1061" s="106" t="s">
        <v>6794</v>
      </c>
      <c r="M1061" s="117"/>
      <c r="N1061" s="106" t="n">
        <v>0</v>
      </c>
      <c r="O1061" s="106"/>
      <c r="P1061" s="27" t="s">
        <v>6818</v>
      </c>
    </row>
    <row r="1062" customFormat="false" ht="15" hidden="false" customHeight="false" outlineLevel="0" collapsed="false">
      <c r="A1062" s="106" t="s">
        <v>7783</v>
      </c>
      <c r="B1062" s="106" t="s">
        <v>6792</v>
      </c>
      <c r="C1062" s="106" t="s">
        <v>185</v>
      </c>
      <c r="D1062" s="107"/>
      <c r="E1062" s="107" t="n">
        <v>224.914285714286</v>
      </c>
      <c r="F1062" s="130" t="n">
        <v>0.45</v>
      </c>
      <c r="G1062" s="106" t="s">
        <v>1411</v>
      </c>
      <c r="H1062" s="106" t="n">
        <v>0</v>
      </c>
      <c r="I1062" s="106" t="s">
        <v>6794</v>
      </c>
      <c r="J1062" s="106" t="s">
        <v>6794</v>
      </c>
      <c r="K1062" s="106" t="s">
        <v>6793</v>
      </c>
      <c r="L1062" s="106" t="s">
        <v>6793</v>
      </c>
      <c r="M1062" s="117"/>
      <c r="N1062" s="106" t="n">
        <v>0</v>
      </c>
      <c r="O1062" s="106"/>
      <c r="P1062" s="27" t="s">
        <v>6805</v>
      </c>
    </row>
    <row r="1063" customFormat="false" ht="15" hidden="false" customHeight="false" outlineLevel="0" collapsed="false">
      <c r="A1063" s="106" t="s">
        <v>7784</v>
      </c>
      <c r="B1063" s="106" t="s">
        <v>6792</v>
      </c>
      <c r="C1063" s="106" t="s">
        <v>479</v>
      </c>
      <c r="D1063" s="107"/>
      <c r="E1063" s="107" t="n">
        <v>224.914285714286</v>
      </c>
      <c r="F1063" s="130" t="n">
        <v>0.55</v>
      </c>
      <c r="G1063" s="106" t="s">
        <v>1411</v>
      </c>
      <c r="H1063" s="106" t="n">
        <v>0</v>
      </c>
      <c r="I1063" s="106" t="s">
        <v>6793</v>
      </c>
      <c r="J1063" s="106" t="s">
        <v>6794</v>
      </c>
      <c r="K1063" s="106" t="s">
        <v>6793</v>
      </c>
      <c r="L1063" s="106" t="s">
        <v>6794</v>
      </c>
      <c r="M1063" s="117"/>
      <c r="N1063" s="106" t="n">
        <v>0</v>
      </c>
      <c r="O1063" s="106"/>
      <c r="P1063" s="27" t="s">
        <v>6818</v>
      </c>
    </row>
    <row r="1064" customFormat="false" ht="15" hidden="false" customHeight="false" outlineLevel="0" collapsed="false">
      <c r="A1064" s="106" t="s">
        <v>7785</v>
      </c>
      <c r="B1064" s="106" t="s">
        <v>6792</v>
      </c>
      <c r="C1064" s="106"/>
      <c r="D1064" s="107"/>
      <c r="E1064" s="107" t="n">
        <v>224.914285714286</v>
      </c>
      <c r="F1064" s="130" t="n">
        <v>0.5</v>
      </c>
      <c r="G1064" s="106" t="s">
        <v>1411</v>
      </c>
      <c r="H1064" s="106" t="n">
        <v>0</v>
      </c>
      <c r="I1064" s="106" t="s">
        <v>6793</v>
      </c>
      <c r="J1064" s="106" t="s">
        <v>6794</v>
      </c>
      <c r="K1064" s="106" t="s">
        <v>6793</v>
      </c>
      <c r="L1064" s="106" t="s">
        <v>6794</v>
      </c>
      <c r="M1064" s="117"/>
      <c r="N1064" s="106" t="n">
        <v>0</v>
      </c>
      <c r="O1064" s="106"/>
      <c r="P1064" s="27" t="s">
        <v>6818</v>
      </c>
    </row>
    <row r="1065" customFormat="false" ht="15" hidden="false" customHeight="false" outlineLevel="0" collapsed="false">
      <c r="A1065" s="106" t="s">
        <v>7786</v>
      </c>
      <c r="B1065" s="106" t="s">
        <v>6792</v>
      </c>
      <c r="C1065" s="106" t="s">
        <v>696</v>
      </c>
      <c r="D1065" s="107"/>
      <c r="E1065" s="107" t="n">
        <v>224.914285714286</v>
      </c>
      <c r="F1065" s="130" t="n">
        <v>0.55</v>
      </c>
      <c r="G1065" s="106" t="s">
        <v>1411</v>
      </c>
      <c r="H1065" s="106" t="n">
        <v>0</v>
      </c>
      <c r="I1065" s="106" t="s">
        <v>6793</v>
      </c>
      <c r="J1065" s="106" t="s">
        <v>6794</v>
      </c>
      <c r="K1065" s="106" t="s">
        <v>6793</v>
      </c>
      <c r="L1065" s="106" t="s">
        <v>6794</v>
      </c>
      <c r="M1065" s="117"/>
      <c r="N1065" s="106" t="n">
        <v>0</v>
      </c>
      <c r="O1065" s="106"/>
      <c r="P1065" s="27" t="s">
        <v>6818</v>
      </c>
    </row>
    <row r="1066" customFormat="false" ht="15" hidden="false" customHeight="false" outlineLevel="0" collapsed="false">
      <c r="A1066" s="106" t="s">
        <v>7787</v>
      </c>
      <c r="B1066" s="106" t="s">
        <v>6792</v>
      </c>
      <c r="C1066" s="106"/>
      <c r="D1066" s="107"/>
      <c r="E1066" s="107" t="n">
        <v>224.914285714286</v>
      </c>
      <c r="F1066" s="130" t="n">
        <v>0.5</v>
      </c>
      <c r="G1066" s="106" t="s">
        <v>1411</v>
      </c>
      <c r="H1066" s="106" t="n">
        <v>0</v>
      </c>
      <c r="I1066" s="106" t="s">
        <v>6793</v>
      </c>
      <c r="J1066" s="106" t="s">
        <v>6794</v>
      </c>
      <c r="K1066" s="106" t="s">
        <v>6793</v>
      </c>
      <c r="L1066" s="106" t="s">
        <v>6794</v>
      </c>
      <c r="M1066" s="117"/>
      <c r="N1066" s="106" t="n">
        <v>0</v>
      </c>
      <c r="O1066" s="106"/>
      <c r="P1066" s="27" t="s">
        <v>6818</v>
      </c>
    </row>
    <row r="1067" customFormat="false" ht="15" hidden="false" customHeight="false" outlineLevel="0" collapsed="false">
      <c r="A1067" s="106" t="s">
        <v>7788</v>
      </c>
      <c r="B1067" s="106" t="s">
        <v>6792</v>
      </c>
      <c r="C1067" s="106"/>
      <c r="D1067" s="107"/>
      <c r="E1067" s="107" t="n">
        <v>224.914285714286</v>
      </c>
      <c r="F1067" s="130" t="n">
        <v>0.5</v>
      </c>
      <c r="G1067" s="106" t="s">
        <v>1411</v>
      </c>
      <c r="H1067" s="106" t="n">
        <v>0.5</v>
      </c>
      <c r="I1067" s="106" t="s">
        <v>6793</v>
      </c>
      <c r="J1067" s="106" t="s">
        <v>6794</v>
      </c>
      <c r="K1067" s="106" t="s">
        <v>6793</v>
      </c>
      <c r="L1067" s="106" t="s">
        <v>6794</v>
      </c>
      <c r="M1067" s="117"/>
      <c r="N1067" s="106" t="n">
        <v>0</v>
      </c>
      <c r="O1067" s="106"/>
      <c r="P1067" s="27" t="s">
        <v>6818</v>
      </c>
    </row>
    <row r="1068" customFormat="false" ht="15" hidden="false" customHeight="false" outlineLevel="0" collapsed="false">
      <c r="A1068" s="106" t="s">
        <v>7789</v>
      </c>
      <c r="B1068" s="106" t="s">
        <v>6792</v>
      </c>
      <c r="C1068" s="106" t="s">
        <v>560</v>
      </c>
      <c r="D1068" s="107" t="n">
        <v>601</v>
      </c>
      <c r="E1068" s="107" t="n">
        <v>224.914285714286</v>
      </c>
      <c r="F1068" s="130" t="n">
        <v>0.38</v>
      </c>
      <c r="G1068" s="106" t="s">
        <v>1411</v>
      </c>
      <c r="H1068" s="106" t="n">
        <v>0</v>
      </c>
      <c r="I1068" s="106" t="s">
        <v>6794</v>
      </c>
      <c r="J1068" s="106" t="s">
        <v>6794</v>
      </c>
      <c r="K1068" s="106" t="s">
        <v>6793</v>
      </c>
      <c r="L1068" s="106" t="s">
        <v>6799</v>
      </c>
      <c r="M1068" s="117"/>
      <c r="N1068" s="106" t="n">
        <v>0</v>
      </c>
      <c r="O1068" s="106"/>
      <c r="P1068" s="27" t="s">
        <v>6805</v>
      </c>
    </row>
    <row r="1069" customFormat="false" ht="22.35" hidden="false" customHeight="false" outlineLevel="0" collapsed="false">
      <c r="A1069" s="106" t="s">
        <v>5343</v>
      </c>
      <c r="B1069" s="106" t="s">
        <v>7101</v>
      </c>
      <c r="C1069" s="106" t="s">
        <v>479</v>
      </c>
      <c r="D1069" s="107" t="n">
        <v>555</v>
      </c>
      <c r="E1069" s="107" t="n">
        <v>224.914285714286</v>
      </c>
      <c r="F1069" s="130" t="n">
        <v>1</v>
      </c>
      <c r="G1069" s="106" t="s">
        <v>1411</v>
      </c>
      <c r="H1069" s="106" t="n">
        <v>1</v>
      </c>
      <c r="I1069" s="106" t="s">
        <v>6793</v>
      </c>
      <c r="J1069" s="106" t="s">
        <v>6793</v>
      </c>
      <c r="K1069" s="106" t="s">
        <v>6793</v>
      </c>
      <c r="L1069" s="106" t="s">
        <v>6793</v>
      </c>
      <c r="M1069" s="117"/>
      <c r="N1069" s="106" t="n">
        <v>4</v>
      </c>
      <c r="O1069" s="106" t="n">
        <v>0</v>
      </c>
      <c r="P1069" s="27" t="s">
        <v>7472</v>
      </c>
    </row>
    <row r="1070" customFormat="false" ht="15" hidden="false" customHeight="false" outlineLevel="0" collapsed="false">
      <c r="A1070" s="106" t="s">
        <v>7790</v>
      </c>
      <c r="B1070" s="106" t="s">
        <v>6792</v>
      </c>
      <c r="C1070" s="106" t="s">
        <v>479</v>
      </c>
      <c r="D1070" s="107"/>
      <c r="E1070" s="107" t="n">
        <v>224.914285714286</v>
      </c>
      <c r="F1070" s="130" t="n">
        <v>0.45</v>
      </c>
      <c r="G1070" s="106" t="s">
        <v>1411</v>
      </c>
      <c r="H1070" s="106" t="n">
        <v>2</v>
      </c>
      <c r="I1070" s="106" t="s">
        <v>6794</v>
      </c>
      <c r="J1070" s="106" t="s">
        <v>6794</v>
      </c>
      <c r="K1070" s="106" t="s">
        <v>6793</v>
      </c>
      <c r="L1070" s="106" t="s">
        <v>6793</v>
      </c>
      <c r="M1070" s="117" t="n">
        <v>0.103448275862069</v>
      </c>
      <c r="N1070" s="106" t="n">
        <v>0</v>
      </c>
      <c r="O1070" s="106"/>
      <c r="P1070" s="27" t="s">
        <v>6805</v>
      </c>
    </row>
    <row r="1071" customFormat="false" ht="15" hidden="false" customHeight="false" outlineLevel="0" collapsed="false">
      <c r="A1071" s="106" t="s">
        <v>7791</v>
      </c>
      <c r="B1071" s="106" t="s">
        <v>6792</v>
      </c>
      <c r="C1071" s="106" t="s">
        <v>479</v>
      </c>
      <c r="D1071" s="107"/>
      <c r="E1071" s="107" t="n">
        <v>224.914285714286</v>
      </c>
      <c r="F1071" s="130" t="n">
        <v>0.55</v>
      </c>
      <c r="G1071" s="106" t="s">
        <v>1411</v>
      </c>
      <c r="H1071" s="106" t="n">
        <v>0</v>
      </c>
      <c r="I1071" s="106" t="s">
        <v>6793</v>
      </c>
      <c r="J1071" s="106" t="s">
        <v>6794</v>
      </c>
      <c r="K1071" s="106" t="s">
        <v>6793</v>
      </c>
      <c r="L1071" s="106" t="s">
        <v>6794</v>
      </c>
      <c r="M1071" s="117"/>
      <c r="N1071" s="106" t="n">
        <v>0</v>
      </c>
      <c r="O1071" s="106"/>
      <c r="P1071" s="27" t="s">
        <v>6818</v>
      </c>
    </row>
    <row r="1072" customFormat="false" ht="15" hidden="false" customHeight="false" outlineLevel="0" collapsed="false">
      <c r="A1072" s="106" t="s">
        <v>7792</v>
      </c>
      <c r="B1072" s="106" t="s">
        <v>6792</v>
      </c>
      <c r="C1072" s="106"/>
      <c r="D1072" s="107"/>
      <c r="E1072" s="107" t="n">
        <v>224.914285714286</v>
      </c>
      <c r="F1072" s="130" t="n">
        <v>0.4</v>
      </c>
      <c r="G1072" s="106" t="s">
        <v>1411</v>
      </c>
      <c r="H1072" s="106" t="n">
        <v>0</v>
      </c>
      <c r="I1072" s="106" t="s">
        <v>6794</v>
      </c>
      <c r="J1072" s="106" t="s">
        <v>6794</v>
      </c>
      <c r="K1072" s="106" t="s">
        <v>6793</v>
      </c>
      <c r="L1072" s="106" t="s">
        <v>6793</v>
      </c>
      <c r="M1072" s="117"/>
      <c r="N1072" s="106" t="n">
        <v>0</v>
      </c>
      <c r="O1072" s="106"/>
      <c r="P1072" s="27" t="s">
        <v>6805</v>
      </c>
    </row>
    <row r="1073" customFormat="false" ht="15" hidden="false" customHeight="false" outlineLevel="0" collapsed="false">
      <c r="A1073" s="106" t="s">
        <v>7793</v>
      </c>
      <c r="B1073" s="106" t="s">
        <v>6792</v>
      </c>
      <c r="C1073" s="106" t="s">
        <v>560</v>
      </c>
      <c r="D1073" s="107"/>
      <c r="E1073" s="107" t="n">
        <v>224.914285714286</v>
      </c>
      <c r="F1073" s="130" t="n">
        <v>0.45</v>
      </c>
      <c r="G1073" s="106" t="s">
        <v>1411</v>
      </c>
      <c r="H1073" s="106" t="n">
        <v>0</v>
      </c>
      <c r="I1073" s="106" t="s">
        <v>6794</v>
      </c>
      <c r="J1073" s="106" t="s">
        <v>6794</v>
      </c>
      <c r="K1073" s="106" t="s">
        <v>6793</v>
      </c>
      <c r="L1073" s="106" t="s">
        <v>6793</v>
      </c>
      <c r="M1073" s="117"/>
      <c r="N1073" s="106" t="n">
        <v>0</v>
      </c>
      <c r="O1073" s="106"/>
      <c r="P1073" s="27" t="s">
        <v>6805</v>
      </c>
    </row>
    <row r="1074" customFormat="false" ht="15" hidden="false" customHeight="false" outlineLevel="0" collapsed="false">
      <c r="A1074" s="106" t="s">
        <v>7794</v>
      </c>
      <c r="B1074" s="106" t="s">
        <v>6792</v>
      </c>
      <c r="C1074" s="106"/>
      <c r="D1074" s="107"/>
      <c r="E1074" s="107" t="n">
        <v>224.914285714286</v>
      </c>
      <c r="F1074" s="130" t="n">
        <v>0.4</v>
      </c>
      <c r="G1074" s="106" t="s">
        <v>1411</v>
      </c>
      <c r="H1074" s="106" t="n">
        <v>0</v>
      </c>
      <c r="I1074" s="106" t="s">
        <v>6794</v>
      </c>
      <c r="J1074" s="106" t="s">
        <v>6794</v>
      </c>
      <c r="K1074" s="106" t="s">
        <v>6793</v>
      </c>
      <c r="L1074" s="106" t="s">
        <v>6793</v>
      </c>
      <c r="M1074" s="117"/>
      <c r="N1074" s="106" t="n">
        <v>0</v>
      </c>
      <c r="O1074" s="106"/>
      <c r="P1074" s="27" t="s">
        <v>6805</v>
      </c>
    </row>
    <row r="1075" customFormat="false" ht="22.35" hidden="false" customHeight="false" outlineLevel="0" collapsed="false">
      <c r="A1075" s="106" t="s">
        <v>5380</v>
      </c>
      <c r="B1075" s="106" t="s">
        <v>7101</v>
      </c>
      <c r="C1075" s="106" t="s">
        <v>185</v>
      </c>
      <c r="D1075" s="107" t="n">
        <v>287</v>
      </c>
      <c r="E1075" s="107" t="n">
        <v>218.12</v>
      </c>
      <c r="F1075" s="130" t="n">
        <v>0.88</v>
      </c>
      <c r="G1075" s="106" t="s">
        <v>1411</v>
      </c>
      <c r="H1075" s="106" t="n">
        <v>0</v>
      </c>
      <c r="I1075" s="106" t="s">
        <v>6799</v>
      </c>
      <c r="J1075" s="106" t="s">
        <v>6793</v>
      </c>
      <c r="K1075" s="106" t="s">
        <v>6793</v>
      </c>
      <c r="L1075" s="106" t="s">
        <v>6793</v>
      </c>
      <c r="M1075" s="117"/>
      <c r="N1075" s="106" t="n">
        <v>3</v>
      </c>
      <c r="O1075" s="106" t="n">
        <v>33.33</v>
      </c>
      <c r="P1075" s="27" t="s">
        <v>7447</v>
      </c>
    </row>
    <row r="1076" customFormat="false" ht="22.35" hidden="false" customHeight="false" outlineLevel="0" collapsed="false">
      <c r="A1076" s="106" t="s">
        <v>5253</v>
      </c>
      <c r="B1076" s="106" t="s">
        <v>7101</v>
      </c>
      <c r="C1076" s="106"/>
      <c r="D1076" s="107" t="n">
        <v>285</v>
      </c>
      <c r="E1076" s="107" t="n">
        <v>216.6</v>
      </c>
      <c r="F1076" s="130" t="n">
        <v>0.95</v>
      </c>
      <c r="G1076" s="106" t="s">
        <v>1411</v>
      </c>
      <c r="H1076" s="106" t="n">
        <v>0</v>
      </c>
      <c r="I1076" s="106" t="s">
        <v>6793</v>
      </c>
      <c r="J1076" s="106" t="s">
        <v>6793</v>
      </c>
      <c r="K1076" s="106" t="s">
        <v>6793</v>
      </c>
      <c r="L1076" s="106" t="s">
        <v>6793</v>
      </c>
      <c r="M1076" s="117"/>
      <c r="N1076" s="106" t="n">
        <v>14</v>
      </c>
      <c r="O1076" s="106" t="n">
        <v>14.29</v>
      </c>
      <c r="P1076" s="27" t="s">
        <v>7447</v>
      </c>
    </row>
    <row r="1077" customFormat="false" ht="15" hidden="false" customHeight="false" outlineLevel="0" collapsed="false">
      <c r="A1077" s="106" t="s">
        <v>4982</v>
      </c>
      <c r="B1077" s="106" t="s">
        <v>6792</v>
      </c>
      <c r="C1077" s="106" t="s">
        <v>185</v>
      </c>
      <c r="D1077" s="107" t="n">
        <v>401</v>
      </c>
      <c r="E1077" s="107" t="n">
        <v>214.371428571429</v>
      </c>
      <c r="F1077" s="130" t="n">
        <v>0.75</v>
      </c>
      <c r="G1077" s="106" t="s">
        <v>1411</v>
      </c>
      <c r="H1077" s="106" t="n">
        <v>2</v>
      </c>
      <c r="I1077" s="106" t="s">
        <v>6794</v>
      </c>
      <c r="J1077" s="106" t="s">
        <v>6793</v>
      </c>
      <c r="K1077" s="106" t="s">
        <v>6793</v>
      </c>
      <c r="L1077" s="106" t="s">
        <v>6793</v>
      </c>
      <c r="M1077" s="117" t="n">
        <v>0.0601635514018691</v>
      </c>
      <c r="N1077" s="106" t="n">
        <v>0</v>
      </c>
      <c r="O1077" s="106"/>
      <c r="P1077" s="27" t="s">
        <v>6983</v>
      </c>
    </row>
    <row r="1078" customFormat="false" ht="15" hidden="false" customHeight="false" outlineLevel="0" collapsed="false">
      <c r="A1078" s="106" t="s">
        <v>7795</v>
      </c>
      <c r="B1078" s="106" t="s">
        <v>6792</v>
      </c>
      <c r="C1078" s="106" t="s">
        <v>560</v>
      </c>
      <c r="D1078" s="107"/>
      <c r="E1078" s="107" t="n">
        <v>214.371428571429</v>
      </c>
      <c r="F1078" s="130" t="n">
        <v>0.55</v>
      </c>
      <c r="G1078" s="106" t="s">
        <v>1411</v>
      </c>
      <c r="H1078" s="106" t="n">
        <v>0</v>
      </c>
      <c r="I1078" s="106" t="s">
        <v>6793</v>
      </c>
      <c r="J1078" s="106" t="s">
        <v>6794</v>
      </c>
      <c r="K1078" s="106" t="s">
        <v>6793</v>
      </c>
      <c r="L1078" s="106" t="s">
        <v>6794</v>
      </c>
      <c r="M1078" s="117"/>
      <c r="N1078" s="106" t="n">
        <v>0</v>
      </c>
      <c r="O1078" s="106"/>
      <c r="P1078" s="27" t="s">
        <v>6818</v>
      </c>
    </row>
    <row r="1079" customFormat="false" ht="15" hidden="false" customHeight="false" outlineLevel="0" collapsed="false">
      <c r="A1079" s="106" t="s">
        <v>7796</v>
      </c>
      <c r="B1079" s="106" t="s">
        <v>6792</v>
      </c>
      <c r="C1079" s="106"/>
      <c r="D1079" s="107"/>
      <c r="E1079" s="107" t="n">
        <v>214.371428571429</v>
      </c>
      <c r="F1079" s="130" t="n">
        <v>0.35</v>
      </c>
      <c r="G1079" s="106" t="s">
        <v>1411</v>
      </c>
      <c r="H1079" s="106" t="n">
        <v>0</v>
      </c>
      <c r="I1079" s="106" t="s">
        <v>6794</v>
      </c>
      <c r="J1079" s="106" t="s">
        <v>6794</v>
      </c>
      <c r="K1079" s="106" t="s">
        <v>6793</v>
      </c>
      <c r="L1079" s="106" t="s">
        <v>6793</v>
      </c>
      <c r="M1079" s="117"/>
      <c r="N1079" s="106" t="n">
        <v>0</v>
      </c>
      <c r="O1079" s="106"/>
      <c r="P1079" s="27" t="s">
        <v>6805</v>
      </c>
    </row>
    <row r="1080" customFormat="false" ht="15" hidden="false" customHeight="false" outlineLevel="0" collapsed="false">
      <c r="A1080" s="106" t="s">
        <v>7797</v>
      </c>
      <c r="B1080" s="106" t="s">
        <v>6792</v>
      </c>
      <c r="C1080" s="106"/>
      <c r="D1080" s="107"/>
      <c r="E1080" s="107" t="n">
        <v>214.371428571429</v>
      </c>
      <c r="F1080" s="130" t="n">
        <v>0.38</v>
      </c>
      <c r="G1080" s="106" t="s">
        <v>1411</v>
      </c>
      <c r="H1080" s="106" t="n">
        <v>0</v>
      </c>
      <c r="I1080" s="106" t="s">
        <v>6799</v>
      </c>
      <c r="J1080" s="106" t="s">
        <v>6794</v>
      </c>
      <c r="K1080" s="106" t="s">
        <v>6793</v>
      </c>
      <c r="L1080" s="106" t="s">
        <v>6794</v>
      </c>
      <c r="M1080" s="117"/>
      <c r="N1080" s="106" t="n">
        <v>0</v>
      </c>
      <c r="O1080" s="106"/>
      <c r="P1080" s="27" t="s">
        <v>6818</v>
      </c>
    </row>
    <row r="1081" customFormat="false" ht="15" hidden="false" customHeight="false" outlineLevel="0" collapsed="false">
      <c r="A1081" s="106" t="s">
        <v>7798</v>
      </c>
      <c r="B1081" s="106" t="s">
        <v>6792</v>
      </c>
      <c r="C1081" s="106" t="s">
        <v>185</v>
      </c>
      <c r="D1081" s="107"/>
      <c r="E1081" s="107" t="n">
        <v>214.371428571429</v>
      </c>
      <c r="F1081" s="130" t="n">
        <v>0.45</v>
      </c>
      <c r="G1081" s="106" t="s">
        <v>1411</v>
      </c>
      <c r="H1081" s="106" t="n">
        <v>0</v>
      </c>
      <c r="I1081" s="106" t="s">
        <v>6794</v>
      </c>
      <c r="J1081" s="106" t="s">
        <v>6794</v>
      </c>
      <c r="K1081" s="106" t="s">
        <v>6793</v>
      </c>
      <c r="L1081" s="106" t="s">
        <v>6793</v>
      </c>
      <c r="M1081" s="117"/>
      <c r="N1081" s="106" t="n">
        <v>0</v>
      </c>
      <c r="O1081" s="106"/>
      <c r="P1081" s="27" t="s">
        <v>6805</v>
      </c>
    </row>
    <row r="1082" customFormat="false" ht="15" hidden="false" customHeight="false" outlineLevel="0" collapsed="false">
      <c r="A1082" s="106" t="s">
        <v>7799</v>
      </c>
      <c r="B1082" s="106" t="s">
        <v>6792</v>
      </c>
      <c r="C1082" s="106"/>
      <c r="D1082" s="107"/>
      <c r="E1082" s="107" t="n">
        <v>214.371428571429</v>
      </c>
      <c r="F1082" s="130" t="n">
        <v>0.4</v>
      </c>
      <c r="G1082" s="106" t="s">
        <v>1411</v>
      </c>
      <c r="H1082" s="106" t="n">
        <v>0</v>
      </c>
      <c r="I1082" s="106" t="s">
        <v>6794</v>
      </c>
      <c r="J1082" s="106" t="s">
        <v>6794</v>
      </c>
      <c r="K1082" s="106" t="s">
        <v>6793</v>
      </c>
      <c r="L1082" s="106" t="s">
        <v>6793</v>
      </c>
      <c r="M1082" s="117"/>
      <c r="N1082" s="106" t="n">
        <v>0</v>
      </c>
      <c r="O1082" s="106"/>
      <c r="P1082" s="27" t="s">
        <v>6805</v>
      </c>
    </row>
    <row r="1083" customFormat="false" ht="15" hidden="false" customHeight="false" outlineLevel="0" collapsed="false">
      <c r="A1083" s="106" t="s">
        <v>7800</v>
      </c>
      <c r="B1083" s="106" t="s">
        <v>6792</v>
      </c>
      <c r="C1083" s="106" t="s">
        <v>479</v>
      </c>
      <c r="D1083" s="107"/>
      <c r="E1083" s="107" t="n">
        <v>214.371428571429</v>
      </c>
      <c r="F1083" s="130" t="n">
        <v>0.55</v>
      </c>
      <c r="G1083" s="106" t="s">
        <v>1411</v>
      </c>
      <c r="H1083" s="106" t="n">
        <v>0</v>
      </c>
      <c r="I1083" s="106" t="s">
        <v>6793</v>
      </c>
      <c r="J1083" s="106" t="s">
        <v>6794</v>
      </c>
      <c r="K1083" s="106" t="s">
        <v>6793</v>
      </c>
      <c r="L1083" s="106" t="s">
        <v>6794</v>
      </c>
      <c r="M1083" s="117"/>
      <c r="N1083" s="106" t="n">
        <v>0</v>
      </c>
      <c r="O1083" s="106"/>
      <c r="P1083" s="27" t="s">
        <v>6818</v>
      </c>
    </row>
    <row r="1084" customFormat="false" ht="15" hidden="false" customHeight="false" outlineLevel="0" collapsed="false">
      <c r="A1084" s="106" t="s">
        <v>7801</v>
      </c>
      <c r="B1084" s="106" t="s">
        <v>6792</v>
      </c>
      <c r="C1084" s="106"/>
      <c r="D1084" s="107"/>
      <c r="E1084" s="107" t="n">
        <v>214.371428571429</v>
      </c>
      <c r="F1084" s="130" t="n">
        <v>0.5</v>
      </c>
      <c r="G1084" s="106" t="s">
        <v>1411</v>
      </c>
      <c r="H1084" s="106" t="n">
        <v>0</v>
      </c>
      <c r="I1084" s="106" t="s">
        <v>6793</v>
      </c>
      <c r="J1084" s="106" t="s">
        <v>6794</v>
      </c>
      <c r="K1084" s="106" t="s">
        <v>6793</v>
      </c>
      <c r="L1084" s="106" t="s">
        <v>6794</v>
      </c>
      <c r="M1084" s="117"/>
      <c r="N1084" s="106" t="n">
        <v>0</v>
      </c>
      <c r="O1084" s="106"/>
      <c r="P1084" s="27" t="s">
        <v>6818</v>
      </c>
    </row>
    <row r="1085" customFormat="false" ht="15" hidden="false" customHeight="false" outlineLevel="0" collapsed="false">
      <c r="A1085" s="106" t="s">
        <v>7802</v>
      </c>
      <c r="B1085" s="106" t="s">
        <v>6792</v>
      </c>
      <c r="C1085" s="106" t="s">
        <v>696</v>
      </c>
      <c r="D1085" s="107"/>
      <c r="E1085" s="107" t="n">
        <v>214.371428571429</v>
      </c>
      <c r="F1085" s="130" t="n">
        <v>0.45</v>
      </c>
      <c r="G1085" s="106" t="s">
        <v>1411</v>
      </c>
      <c r="H1085" s="106" t="n">
        <v>0</v>
      </c>
      <c r="I1085" s="106" t="s">
        <v>6794</v>
      </c>
      <c r="J1085" s="106" t="s">
        <v>6794</v>
      </c>
      <c r="K1085" s="106" t="s">
        <v>6793</v>
      </c>
      <c r="L1085" s="106" t="s">
        <v>6793</v>
      </c>
      <c r="M1085" s="117"/>
      <c r="N1085" s="106" t="n">
        <v>0</v>
      </c>
      <c r="O1085" s="106"/>
      <c r="P1085" s="27" t="s">
        <v>6805</v>
      </c>
    </row>
    <row r="1086" customFormat="false" ht="22.35" hidden="false" customHeight="false" outlineLevel="0" collapsed="false">
      <c r="A1086" s="106" t="s">
        <v>5556</v>
      </c>
      <c r="B1086" s="106" t="s">
        <v>7101</v>
      </c>
      <c r="C1086" s="106" t="s">
        <v>560</v>
      </c>
      <c r="D1086" s="107" t="n">
        <v>280</v>
      </c>
      <c r="E1086" s="107" t="n">
        <v>212.8</v>
      </c>
      <c r="F1086" s="130" t="n">
        <v>1</v>
      </c>
      <c r="G1086" s="106" t="s">
        <v>1411</v>
      </c>
      <c r="H1086" s="106" t="n">
        <v>0</v>
      </c>
      <c r="I1086" s="106" t="s">
        <v>6793</v>
      </c>
      <c r="J1086" s="106" t="s">
        <v>6793</v>
      </c>
      <c r="K1086" s="106" t="s">
        <v>6793</v>
      </c>
      <c r="L1086" s="106" t="s">
        <v>6793</v>
      </c>
      <c r="M1086" s="117"/>
      <c r="N1086" s="106" t="n">
        <v>2</v>
      </c>
      <c r="O1086" s="106" t="n">
        <v>0</v>
      </c>
      <c r="P1086" s="27" t="s">
        <v>7447</v>
      </c>
    </row>
    <row r="1087" customFormat="false" ht="15" hidden="false" customHeight="false" outlineLevel="0" collapsed="false">
      <c r="A1087" s="106" t="s">
        <v>5401</v>
      </c>
      <c r="B1087" s="106" t="s">
        <v>6792</v>
      </c>
      <c r="C1087" s="106"/>
      <c r="D1087" s="107" t="n">
        <v>277</v>
      </c>
      <c r="E1087" s="107" t="n">
        <v>210.52</v>
      </c>
      <c r="F1087" s="130" t="n">
        <v>0.7</v>
      </c>
      <c r="G1087" s="106" t="s">
        <v>1411</v>
      </c>
      <c r="H1087" s="106" t="n">
        <v>0</v>
      </c>
      <c r="I1087" s="106" t="s">
        <v>6794</v>
      </c>
      <c r="J1087" s="106" t="s">
        <v>6793</v>
      </c>
      <c r="K1087" s="106" t="s">
        <v>6793</v>
      </c>
      <c r="L1087" s="106" t="s">
        <v>6793</v>
      </c>
      <c r="M1087" s="117"/>
      <c r="N1087" s="106" t="n">
        <v>3</v>
      </c>
      <c r="O1087" s="106" t="n">
        <v>0</v>
      </c>
      <c r="P1087" s="27" t="s">
        <v>6885</v>
      </c>
    </row>
    <row r="1088" customFormat="false" ht="22.35" hidden="false" customHeight="false" outlineLevel="0" collapsed="false">
      <c r="A1088" s="106" t="s">
        <v>5336</v>
      </c>
      <c r="B1088" s="106" t="s">
        <v>7101</v>
      </c>
      <c r="C1088" s="106" t="s">
        <v>422</v>
      </c>
      <c r="D1088" s="107" t="n">
        <v>276</v>
      </c>
      <c r="E1088" s="107" t="n">
        <v>209.76</v>
      </c>
      <c r="F1088" s="130" t="n">
        <v>1</v>
      </c>
      <c r="G1088" s="106" t="s">
        <v>1411</v>
      </c>
      <c r="H1088" s="106" t="n">
        <v>0</v>
      </c>
      <c r="I1088" s="106" t="s">
        <v>6793</v>
      </c>
      <c r="J1088" s="106" t="s">
        <v>6793</v>
      </c>
      <c r="K1088" s="106" t="s">
        <v>6793</v>
      </c>
      <c r="L1088" s="106" t="s">
        <v>6793</v>
      </c>
      <c r="M1088" s="117"/>
      <c r="N1088" s="106" t="n">
        <v>4</v>
      </c>
      <c r="O1088" s="106" t="n">
        <v>0</v>
      </c>
      <c r="P1088" s="27" t="s">
        <v>7447</v>
      </c>
    </row>
    <row r="1089" customFormat="false" ht="22.35" hidden="false" customHeight="false" outlineLevel="0" collapsed="false">
      <c r="A1089" s="106" t="s">
        <v>5871</v>
      </c>
      <c r="B1089" s="106" t="s">
        <v>7101</v>
      </c>
      <c r="C1089" s="106" t="s">
        <v>479</v>
      </c>
      <c r="D1089" s="107" t="n">
        <v>276</v>
      </c>
      <c r="E1089" s="107" t="n">
        <v>209.76</v>
      </c>
      <c r="F1089" s="130" t="n">
        <v>1</v>
      </c>
      <c r="G1089" s="106" t="s">
        <v>1411</v>
      </c>
      <c r="H1089" s="106" t="n">
        <v>1.5</v>
      </c>
      <c r="I1089" s="106" t="s">
        <v>6793</v>
      </c>
      <c r="J1089" s="106" t="s">
        <v>6793</v>
      </c>
      <c r="K1089" s="106" t="s">
        <v>6793</v>
      </c>
      <c r="L1089" s="106" t="s">
        <v>6793</v>
      </c>
      <c r="M1089" s="117"/>
      <c r="N1089" s="106" t="n">
        <v>1</v>
      </c>
      <c r="O1089" s="106" t="n">
        <v>100</v>
      </c>
      <c r="P1089" s="27" t="s">
        <v>7803</v>
      </c>
    </row>
    <row r="1090" customFormat="false" ht="15" hidden="false" customHeight="false" outlineLevel="0" collapsed="false">
      <c r="A1090" s="106" t="s">
        <v>7804</v>
      </c>
      <c r="B1090" s="106" t="s">
        <v>6792</v>
      </c>
      <c r="C1090" s="106"/>
      <c r="D1090" s="107" t="n">
        <v>275</v>
      </c>
      <c r="E1090" s="107" t="n">
        <v>209</v>
      </c>
      <c r="F1090" s="130" t="n">
        <v>0.7</v>
      </c>
      <c r="G1090" s="106" t="s">
        <v>1411</v>
      </c>
      <c r="H1090" s="106" t="n">
        <v>0</v>
      </c>
      <c r="I1090" s="106" t="s">
        <v>6794</v>
      </c>
      <c r="J1090" s="106" t="s">
        <v>6793</v>
      </c>
      <c r="K1090" s="106" t="s">
        <v>6793</v>
      </c>
      <c r="L1090" s="106" t="s">
        <v>6793</v>
      </c>
      <c r="M1090" s="117"/>
      <c r="N1090" s="106" t="n">
        <v>0</v>
      </c>
      <c r="O1090" s="106"/>
      <c r="P1090" s="27" t="s">
        <v>6885</v>
      </c>
    </row>
    <row r="1091" customFormat="false" ht="15" hidden="false" customHeight="false" outlineLevel="0" collapsed="false">
      <c r="A1091" s="106" t="s">
        <v>7805</v>
      </c>
      <c r="B1091" s="106" t="s">
        <v>6792</v>
      </c>
      <c r="C1091" s="106" t="s">
        <v>185</v>
      </c>
      <c r="D1091" s="107" t="n">
        <v>274</v>
      </c>
      <c r="E1091" s="107" t="n">
        <v>208.24</v>
      </c>
      <c r="F1091" s="130" t="n">
        <v>0.75</v>
      </c>
      <c r="G1091" s="106" t="s">
        <v>1411</v>
      </c>
      <c r="H1091" s="106" t="n">
        <v>0</v>
      </c>
      <c r="I1091" s="106" t="s">
        <v>6794</v>
      </c>
      <c r="J1091" s="106" t="s">
        <v>6793</v>
      </c>
      <c r="K1091" s="106" t="s">
        <v>6793</v>
      </c>
      <c r="L1091" s="106" t="s">
        <v>6793</v>
      </c>
      <c r="M1091" s="117"/>
      <c r="N1091" s="106" t="n">
        <v>0</v>
      </c>
      <c r="O1091" s="106"/>
      <c r="P1091" s="27" t="s">
        <v>6983</v>
      </c>
    </row>
    <row r="1092" customFormat="false" ht="22.35" hidden="false" customHeight="false" outlineLevel="0" collapsed="false">
      <c r="A1092" s="106" t="s">
        <v>7806</v>
      </c>
      <c r="B1092" s="106" t="s">
        <v>7101</v>
      </c>
      <c r="C1092" s="106" t="s">
        <v>560</v>
      </c>
      <c r="D1092" s="107" t="n">
        <v>272</v>
      </c>
      <c r="E1092" s="107" t="n">
        <v>206.72</v>
      </c>
      <c r="F1092" s="130" t="n">
        <v>1</v>
      </c>
      <c r="G1092" s="106" t="s">
        <v>1411</v>
      </c>
      <c r="H1092" s="106" t="n">
        <v>0</v>
      </c>
      <c r="I1092" s="106" t="s">
        <v>6793</v>
      </c>
      <c r="J1092" s="106" t="s">
        <v>6793</v>
      </c>
      <c r="K1092" s="106" t="s">
        <v>6793</v>
      </c>
      <c r="L1092" s="106" t="s">
        <v>6793</v>
      </c>
      <c r="M1092" s="117"/>
      <c r="N1092" s="106" t="n">
        <v>0</v>
      </c>
      <c r="O1092" s="106"/>
      <c r="P1092" s="27" t="s">
        <v>7447</v>
      </c>
    </row>
    <row r="1093" customFormat="false" ht="22.35" hidden="false" customHeight="false" outlineLevel="0" collapsed="false">
      <c r="A1093" s="106" t="s">
        <v>7807</v>
      </c>
      <c r="B1093" s="106" t="s">
        <v>7101</v>
      </c>
      <c r="C1093" s="106"/>
      <c r="D1093" s="107" t="n">
        <v>269</v>
      </c>
      <c r="E1093" s="107" t="n">
        <v>204.44</v>
      </c>
      <c r="F1093" s="130" t="n">
        <v>0.95</v>
      </c>
      <c r="G1093" s="106" t="s">
        <v>1411</v>
      </c>
      <c r="H1093" s="106" t="n">
        <v>0</v>
      </c>
      <c r="I1093" s="106" t="s">
        <v>6793</v>
      </c>
      <c r="J1093" s="106" t="s">
        <v>6793</v>
      </c>
      <c r="K1093" s="106" t="s">
        <v>6793</v>
      </c>
      <c r="L1093" s="106" t="s">
        <v>6793</v>
      </c>
      <c r="M1093" s="117"/>
      <c r="N1093" s="106" t="n">
        <v>0</v>
      </c>
      <c r="O1093" s="106"/>
      <c r="P1093" s="27" t="s">
        <v>7447</v>
      </c>
    </row>
    <row r="1094" customFormat="false" ht="22.35" hidden="false" customHeight="false" outlineLevel="0" collapsed="false">
      <c r="A1094" s="106" t="s">
        <v>5780</v>
      </c>
      <c r="B1094" s="106" t="s">
        <v>7101</v>
      </c>
      <c r="C1094" s="106" t="s">
        <v>560</v>
      </c>
      <c r="D1094" s="107" t="n">
        <v>440</v>
      </c>
      <c r="E1094" s="107" t="n">
        <v>203.828571428572</v>
      </c>
      <c r="F1094" s="130" t="n">
        <v>1</v>
      </c>
      <c r="G1094" s="106" t="s">
        <v>1411</v>
      </c>
      <c r="H1094" s="106" t="n">
        <v>0</v>
      </c>
      <c r="I1094" s="106" t="s">
        <v>6793</v>
      </c>
      <c r="J1094" s="106" t="s">
        <v>6793</v>
      </c>
      <c r="K1094" s="106" t="s">
        <v>6793</v>
      </c>
      <c r="L1094" s="106" t="s">
        <v>6793</v>
      </c>
      <c r="M1094" s="117"/>
      <c r="N1094" s="106" t="n">
        <v>1</v>
      </c>
      <c r="O1094" s="106" t="n">
        <v>0</v>
      </c>
      <c r="P1094" s="27" t="s">
        <v>7447</v>
      </c>
    </row>
    <row r="1095" customFormat="false" ht="15" hidden="false" customHeight="false" outlineLevel="0" collapsed="false">
      <c r="A1095" s="106" t="s">
        <v>7808</v>
      </c>
      <c r="B1095" s="106" t="s">
        <v>6792</v>
      </c>
      <c r="C1095" s="106"/>
      <c r="D1095" s="107" t="n">
        <v>585</v>
      </c>
      <c r="E1095" s="107" t="n">
        <v>203.828571428572</v>
      </c>
      <c r="F1095" s="130" t="n">
        <v>0.7</v>
      </c>
      <c r="G1095" s="106" t="s">
        <v>1411</v>
      </c>
      <c r="H1095" s="106" t="n">
        <v>0</v>
      </c>
      <c r="I1095" s="106" t="s">
        <v>6794</v>
      </c>
      <c r="J1095" s="106" t="s">
        <v>6793</v>
      </c>
      <c r="K1095" s="106" t="s">
        <v>6793</v>
      </c>
      <c r="L1095" s="106" t="s">
        <v>6793</v>
      </c>
      <c r="M1095" s="117"/>
      <c r="N1095" s="106" t="n">
        <v>0</v>
      </c>
      <c r="O1095" s="106"/>
      <c r="P1095" s="27" t="s">
        <v>6885</v>
      </c>
    </row>
    <row r="1096" customFormat="false" ht="15" hidden="false" customHeight="false" outlineLevel="0" collapsed="false">
      <c r="A1096" s="106" t="s">
        <v>7809</v>
      </c>
      <c r="B1096" s="106" t="s">
        <v>6792</v>
      </c>
      <c r="C1096" s="106" t="s">
        <v>560</v>
      </c>
      <c r="D1096" s="107" t="n">
        <v>268</v>
      </c>
      <c r="E1096" s="107" t="n">
        <v>203.68</v>
      </c>
      <c r="F1096" s="130" t="n">
        <v>0.85</v>
      </c>
      <c r="G1096" s="106" t="s">
        <v>1411</v>
      </c>
      <c r="H1096" s="106" t="n">
        <v>0</v>
      </c>
      <c r="I1096" s="106" t="s">
        <v>6793</v>
      </c>
      <c r="J1096" s="106" t="s">
        <v>6793</v>
      </c>
      <c r="K1096" s="106" t="s">
        <v>6793</v>
      </c>
      <c r="L1096" s="106" t="s">
        <v>6794</v>
      </c>
      <c r="M1096" s="117"/>
      <c r="N1096" s="106" t="n">
        <v>0</v>
      </c>
      <c r="O1096" s="106"/>
      <c r="P1096" s="27" t="s">
        <v>7569</v>
      </c>
    </row>
    <row r="1097" customFormat="false" ht="22.35" hidden="false" customHeight="false" outlineLevel="0" collapsed="false">
      <c r="A1097" s="106" t="s">
        <v>7810</v>
      </c>
      <c r="B1097" s="106" t="s">
        <v>7101</v>
      </c>
      <c r="C1097" s="106" t="s">
        <v>560</v>
      </c>
      <c r="D1097" s="107" t="n">
        <v>262</v>
      </c>
      <c r="E1097" s="107" t="n">
        <v>199.12</v>
      </c>
      <c r="F1097" s="130" t="n">
        <v>1</v>
      </c>
      <c r="G1097" s="106" t="s">
        <v>1411</v>
      </c>
      <c r="H1097" s="106" t="n">
        <v>0</v>
      </c>
      <c r="I1097" s="106" t="s">
        <v>6793</v>
      </c>
      <c r="J1097" s="106" t="s">
        <v>6793</v>
      </c>
      <c r="K1097" s="106" t="s">
        <v>6793</v>
      </c>
      <c r="L1097" s="106" t="s">
        <v>6793</v>
      </c>
      <c r="M1097" s="117"/>
      <c r="N1097" s="106" t="n">
        <v>0</v>
      </c>
      <c r="O1097" s="106"/>
      <c r="P1097" s="27" t="s">
        <v>7447</v>
      </c>
    </row>
    <row r="1098" customFormat="false" ht="15" hidden="false" customHeight="false" outlineLevel="0" collapsed="false">
      <c r="A1098" s="106" t="s">
        <v>7811</v>
      </c>
      <c r="B1098" s="106" t="s">
        <v>6792</v>
      </c>
      <c r="C1098" s="106"/>
      <c r="D1098" s="107" t="n">
        <v>260</v>
      </c>
      <c r="E1098" s="107" t="n">
        <v>197.6</v>
      </c>
      <c r="F1098" s="130" t="n">
        <v>0.55</v>
      </c>
      <c r="G1098" s="106" t="s">
        <v>1411</v>
      </c>
      <c r="H1098" s="106" t="n">
        <v>0</v>
      </c>
      <c r="I1098" s="106" t="s">
        <v>6794</v>
      </c>
      <c r="J1098" s="106" t="s">
        <v>6793</v>
      </c>
      <c r="K1098" s="106" t="s">
        <v>6793</v>
      </c>
      <c r="L1098" s="106" t="s">
        <v>6794</v>
      </c>
      <c r="M1098" s="117"/>
      <c r="N1098" s="106" t="n">
        <v>0</v>
      </c>
      <c r="O1098" s="106"/>
      <c r="P1098" s="27" t="s">
        <v>7653</v>
      </c>
    </row>
    <row r="1099" customFormat="false" ht="22.35" hidden="false" customHeight="false" outlineLevel="0" collapsed="false">
      <c r="A1099" s="106" t="s">
        <v>7812</v>
      </c>
      <c r="B1099" s="106" t="s">
        <v>7101</v>
      </c>
      <c r="C1099" s="106" t="s">
        <v>185</v>
      </c>
      <c r="D1099" s="107" t="n">
        <v>259</v>
      </c>
      <c r="E1099" s="107" t="n">
        <v>196.84</v>
      </c>
      <c r="F1099" s="130" t="n">
        <v>1</v>
      </c>
      <c r="G1099" s="106" t="s">
        <v>1411</v>
      </c>
      <c r="H1099" s="106" t="n">
        <v>0</v>
      </c>
      <c r="I1099" s="106" t="s">
        <v>6793</v>
      </c>
      <c r="J1099" s="106" t="s">
        <v>6793</v>
      </c>
      <c r="K1099" s="106" t="s">
        <v>6793</v>
      </c>
      <c r="L1099" s="106" t="s">
        <v>6793</v>
      </c>
      <c r="M1099" s="117"/>
      <c r="N1099" s="106" t="n">
        <v>0</v>
      </c>
      <c r="O1099" s="106"/>
      <c r="P1099" s="27" t="s">
        <v>7447</v>
      </c>
    </row>
    <row r="1100" customFormat="false" ht="22.35" hidden="false" customHeight="false" outlineLevel="0" collapsed="false">
      <c r="A1100" s="106" t="s">
        <v>7813</v>
      </c>
      <c r="B1100" s="106" t="s">
        <v>7101</v>
      </c>
      <c r="C1100" s="106" t="s">
        <v>185</v>
      </c>
      <c r="D1100" s="107" t="n">
        <v>258</v>
      </c>
      <c r="E1100" s="107" t="n">
        <v>196.08</v>
      </c>
      <c r="F1100" s="130" t="n">
        <v>0.88</v>
      </c>
      <c r="G1100" s="106" t="s">
        <v>1411</v>
      </c>
      <c r="H1100" s="106" t="n">
        <v>0</v>
      </c>
      <c r="I1100" s="106" t="s">
        <v>6799</v>
      </c>
      <c r="J1100" s="106" t="s">
        <v>6793</v>
      </c>
      <c r="K1100" s="106" t="s">
        <v>6793</v>
      </c>
      <c r="L1100" s="106" t="s">
        <v>6793</v>
      </c>
      <c r="M1100" s="117"/>
      <c r="N1100" s="106" t="n">
        <v>0</v>
      </c>
      <c r="O1100" s="106"/>
      <c r="P1100" s="27" t="s">
        <v>7447</v>
      </c>
    </row>
    <row r="1101" customFormat="false" ht="22.35" hidden="false" customHeight="false" outlineLevel="0" collapsed="false">
      <c r="A1101" s="106" t="s">
        <v>7814</v>
      </c>
      <c r="B1101" s="106" t="s">
        <v>7101</v>
      </c>
      <c r="C1101" s="106"/>
      <c r="D1101" s="107" t="n">
        <v>255</v>
      </c>
      <c r="E1101" s="107" t="n">
        <v>193.8</v>
      </c>
      <c r="F1101" s="130" t="n">
        <v>0.95</v>
      </c>
      <c r="G1101" s="106" t="s">
        <v>1411</v>
      </c>
      <c r="H1101" s="106" t="n">
        <v>0</v>
      </c>
      <c r="I1101" s="106" t="s">
        <v>6793</v>
      </c>
      <c r="J1101" s="106" t="s">
        <v>6793</v>
      </c>
      <c r="K1101" s="106" t="s">
        <v>6793</v>
      </c>
      <c r="L1101" s="106" t="s">
        <v>6793</v>
      </c>
      <c r="M1101" s="117"/>
      <c r="N1101" s="106" t="n">
        <v>0</v>
      </c>
      <c r="O1101" s="106"/>
      <c r="P1101" s="27" t="s">
        <v>7447</v>
      </c>
    </row>
    <row r="1102" customFormat="false" ht="22.35" hidden="false" customHeight="false" outlineLevel="0" collapsed="false">
      <c r="A1102" s="106" t="s">
        <v>5559</v>
      </c>
      <c r="B1102" s="106" t="s">
        <v>7101</v>
      </c>
      <c r="C1102" s="106"/>
      <c r="D1102" s="107" t="n">
        <v>255</v>
      </c>
      <c r="E1102" s="107" t="n">
        <v>193.8</v>
      </c>
      <c r="F1102" s="130" t="n">
        <v>0.95</v>
      </c>
      <c r="G1102" s="106" t="s">
        <v>1411</v>
      </c>
      <c r="H1102" s="106" t="n">
        <v>0</v>
      </c>
      <c r="I1102" s="106" t="s">
        <v>6793</v>
      </c>
      <c r="J1102" s="106" t="s">
        <v>6793</v>
      </c>
      <c r="K1102" s="106" t="s">
        <v>6793</v>
      </c>
      <c r="L1102" s="106" t="s">
        <v>6793</v>
      </c>
      <c r="M1102" s="117"/>
      <c r="N1102" s="106" t="n">
        <v>2</v>
      </c>
      <c r="O1102" s="106" t="n">
        <v>0</v>
      </c>
      <c r="P1102" s="27" t="s">
        <v>7447</v>
      </c>
    </row>
    <row r="1103" customFormat="false" ht="15" hidden="false" customHeight="false" outlineLevel="0" collapsed="false">
      <c r="A1103" s="106" t="s">
        <v>7815</v>
      </c>
      <c r="B1103" s="106" t="s">
        <v>6792</v>
      </c>
      <c r="C1103" s="106" t="s">
        <v>696</v>
      </c>
      <c r="D1103" s="107" t="n">
        <v>557</v>
      </c>
      <c r="E1103" s="107" t="n">
        <v>193.285714285714</v>
      </c>
      <c r="F1103" s="130" t="n">
        <v>0.55</v>
      </c>
      <c r="G1103" s="106" t="s">
        <v>1411</v>
      </c>
      <c r="H1103" s="106" t="n">
        <v>0</v>
      </c>
      <c r="I1103" s="106" t="s">
        <v>6793</v>
      </c>
      <c r="J1103" s="106" t="s">
        <v>6794</v>
      </c>
      <c r="K1103" s="106" t="s">
        <v>6793</v>
      </c>
      <c r="L1103" s="106" t="s">
        <v>6794</v>
      </c>
      <c r="M1103" s="117"/>
      <c r="N1103" s="106" t="n">
        <v>0</v>
      </c>
      <c r="O1103" s="106"/>
      <c r="P1103" s="27" t="s">
        <v>6818</v>
      </c>
    </row>
    <row r="1104" customFormat="false" ht="22.35" hidden="false" customHeight="false" outlineLevel="0" collapsed="false">
      <c r="A1104" s="106" t="s">
        <v>7816</v>
      </c>
      <c r="B1104" s="106" t="s">
        <v>7101</v>
      </c>
      <c r="C1104" s="106" t="s">
        <v>185</v>
      </c>
      <c r="D1104" s="107" t="n">
        <v>250</v>
      </c>
      <c r="E1104" s="107" t="n">
        <v>190</v>
      </c>
      <c r="F1104" s="130" t="n">
        <v>1</v>
      </c>
      <c r="G1104" s="106" t="s">
        <v>1411</v>
      </c>
      <c r="H1104" s="106" t="n">
        <v>0</v>
      </c>
      <c r="I1104" s="106" t="s">
        <v>6793</v>
      </c>
      <c r="J1104" s="106" t="s">
        <v>6793</v>
      </c>
      <c r="K1104" s="106" t="s">
        <v>6793</v>
      </c>
      <c r="L1104" s="106" t="s">
        <v>6793</v>
      </c>
      <c r="M1104" s="117"/>
      <c r="N1104" s="106" t="n">
        <v>0</v>
      </c>
      <c r="O1104" s="106"/>
      <c r="P1104" s="27" t="s">
        <v>7447</v>
      </c>
    </row>
    <row r="1105" customFormat="false" ht="15" hidden="false" customHeight="false" outlineLevel="0" collapsed="false">
      <c r="A1105" s="106" t="s">
        <v>7817</v>
      </c>
      <c r="B1105" s="106" t="s">
        <v>6792</v>
      </c>
      <c r="C1105" s="106"/>
      <c r="D1105" s="107" t="n">
        <v>250</v>
      </c>
      <c r="E1105" s="107" t="n">
        <v>190</v>
      </c>
      <c r="F1105" s="130" t="n">
        <v>0.72</v>
      </c>
      <c r="G1105" s="106" t="s">
        <v>1411</v>
      </c>
      <c r="H1105" s="106" t="n">
        <v>0</v>
      </c>
      <c r="I1105" s="106" t="s">
        <v>6793</v>
      </c>
      <c r="J1105" s="106" t="s">
        <v>6793</v>
      </c>
      <c r="K1105" s="106" t="s">
        <v>6799</v>
      </c>
      <c r="L1105" s="106" t="s">
        <v>6794</v>
      </c>
      <c r="M1105" s="117"/>
      <c r="N1105" s="106" t="n">
        <v>0</v>
      </c>
      <c r="O1105" s="106"/>
      <c r="P1105" s="27" t="s">
        <v>7754</v>
      </c>
    </row>
    <row r="1106" customFormat="false" ht="22.35" hidden="false" customHeight="false" outlineLevel="0" collapsed="false">
      <c r="A1106" s="106" t="s">
        <v>7818</v>
      </c>
      <c r="B1106" s="106" t="s">
        <v>7101</v>
      </c>
      <c r="C1106" s="106" t="s">
        <v>185</v>
      </c>
      <c r="D1106" s="107" t="n">
        <v>250</v>
      </c>
      <c r="E1106" s="107" t="n">
        <v>190</v>
      </c>
      <c r="F1106" s="130" t="n">
        <v>1</v>
      </c>
      <c r="G1106" s="106" t="s">
        <v>1411</v>
      </c>
      <c r="H1106" s="106" t="n">
        <v>0</v>
      </c>
      <c r="I1106" s="106" t="s">
        <v>6793</v>
      </c>
      <c r="J1106" s="106" t="s">
        <v>6793</v>
      </c>
      <c r="K1106" s="106" t="s">
        <v>6793</v>
      </c>
      <c r="L1106" s="106" t="s">
        <v>6793</v>
      </c>
      <c r="M1106" s="117"/>
      <c r="N1106" s="106" t="n">
        <v>0</v>
      </c>
      <c r="O1106" s="106"/>
      <c r="P1106" s="27" t="s">
        <v>7447</v>
      </c>
    </row>
    <row r="1107" customFormat="false" ht="22.35" hidden="false" customHeight="false" outlineLevel="0" collapsed="false">
      <c r="A1107" s="106" t="s">
        <v>5485</v>
      </c>
      <c r="B1107" s="106" t="s">
        <v>7101</v>
      </c>
      <c r="C1107" s="106"/>
      <c r="D1107" s="107" t="n">
        <v>250</v>
      </c>
      <c r="E1107" s="107" t="n">
        <v>190</v>
      </c>
      <c r="F1107" s="130" t="n">
        <v>0.9</v>
      </c>
      <c r="G1107" s="106" t="s">
        <v>1411</v>
      </c>
      <c r="H1107" s="106" t="n">
        <v>0</v>
      </c>
      <c r="I1107" s="106" t="s">
        <v>6793</v>
      </c>
      <c r="J1107" s="106" t="s">
        <v>6793</v>
      </c>
      <c r="K1107" s="106" t="s">
        <v>6793</v>
      </c>
      <c r="L1107" s="106" t="s">
        <v>6793</v>
      </c>
      <c r="M1107" s="117"/>
      <c r="N1107" s="106" t="n">
        <v>2</v>
      </c>
      <c r="O1107" s="106" t="n">
        <v>0</v>
      </c>
      <c r="P1107" s="27" t="s">
        <v>7447</v>
      </c>
    </row>
    <row r="1108" customFormat="false" ht="15" hidden="false" customHeight="false" outlineLevel="0" collapsed="false">
      <c r="A1108" s="106" t="s">
        <v>7819</v>
      </c>
      <c r="B1108" s="106" t="s">
        <v>6792</v>
      </c>
      <c r="C1108" s="106"/>
      <c r="D1108" s="107" t="n">
        <v>250</v>
      </c>
      <c r="E1108" s="107" t="n">
        <v>190</v>
      </c>
      <c r="F1108" s="130" t="n">
        <v>0.7</v>
      </c>
      <c r="G1108" s="106" t="s">
        <v>1411</v>
      </c>
      <c r="H1108" s="106" t="n">
        <v>0</v>
      </c>
      <c r="I1108" s="106" t="s">
        <v>6794</v>
      </c>
      <c r="J1108" s="106" t="s">
        <v>6793</v>
      </c>
      <c r="K1108" s="106" t="s">
        <v>6793</v>
      </c>
      <c r="L1108" s="106" t="s">
        <v>6793</v>
      </c>
      <c r="M1108" s="117"/>
      <c r="N1108" s="106" t="n">
        <v>0</v>
      </c>
      <c r="O1108" s="106"/>
      <c r="P1108" s="27" t="s">
        <v>6885</v>
      </c>
    </row>
    <row r="1109" customFormat="false" ht="22.35" hidden="false" customHeight="false" outlineLevel="0" collapsed="false">
      <c r="A1109" s="106" t="s">
        <v>7820</v>
      </c>
      <c r="B1109" s="106" t="s">
        <v>7101</v>
      </c>
      <c r="C1109" s="106" t="s">
        <v>185</v>
      </c>
      <c r="D1109" s="107" t="n">
        <v>249</v>
      </c>
      <c r="E1109" s="107" t="n">
        <v>189.24</v>
      </c>
      <c r="F1109" s="130" t="n">
        <v>1</v>
      </c>
      <c r="G1109" s="106" t="s">
        <v>1411</v>
      </c>
      <c r="H1109" s="106" t="n">
        <v>0</v>
      </c>
      <c r="I1109" s="106" t="s">
        <v>6793</v>
      </c>
      <c r="J1109" s="106" t="s">
        <v>6793</v>
      </c>
      <c r="K1109" s="106" t="s">
        <v>6793</v>
      </c>
      <c r="L1109" s="106" t="s">
        <v>6793</v>
      </c>
      <c r="M1109" s="117"/>
      <c r="N1109" s="106" t="n">
        <v>0</v>
      </c>
      <c r="O1109" s="106"/>
      <c r="P1109" s="27" t="s">
        <v>7447</v>
      </c>
    </row>
    <row r="1110" customFormat="false" ht="22.35" hidden="false" customHeight="false" outlineLevel="0" collapsed="false">
      <c r="A1110" s="106" t="s">
        <v>7821</v>
      </c>
      <c r="B1110" s="106" t="s">
        <v>7101</v>
      </c>
      <c r="C1110" s="106"/>
      <c r="D1110" s="107" t="n">
        <v>249</v>
      </c>
      <c r="E1110" s="107" t="n">
        <v>189.24</v>
      </c>
      <c r="F1110" s="130" t="n">
        <v>0.95</v>
      </c>
      <c r="G1110" s="106" t="s">
        <v>1411</v>
      </c>
      <c r="H1110" s="106" t="n">
        <v>0</v>
      </c>
      <c r="I1110" s="106" t="s">
        <v>6793</v>
      </c>
      <c r="J1110" s="106" t="s">
        <v>6793</v>
      </c>
      <c r="K1110" s="106" t="s">
        <v>6793</v>
      </c>
      <c r="L1110" s="106" t="s">
        <v>6793</v>
      </c>
      <c r="M1110" s="117"/>
      <c r="N1110" s="106" t="n">
        <v>0</v>
      </c>
      <c r="O1110" s="106"/>
      <c r="P1110" s="27" t="s">
        <v>7447</v>
      </c>
    </row>
    <row r="1111" customFormat="false" ht="22.35" hidden="false" customHeight="false" outlineLevel="0" collapsed="false">
      <c r="A1111" s="106" t="s">
        <v>5271</v>
      </c>
      <c r="B1111" s="106" t="s">
        <v>7101</v>
      </c>
      <c r="C1111" s="106" t="s">
        <v>560</v>
      </c>
      <c r="D1111" s="107" t="n">
        <v>248</v>
      </c>
      <c r="E1111" s="107" t="n">
        <v>188.48</v>
      </c>
      <c r="F1111" s="130" t="n">
        <v>1</v>
      </c>
      <c r="G1111" s="106" t="s">
        <v>1411</v>
      </c>
      <c r="H1111" s="106" t="n">
        <v>0</v>
      </c>
      <c r="I1111" s="106" t="s">
        <v>6793</v>
      </c>
      <c r="J1111" s="106" t="s">
        <v>6793</v>
      </c>
      <c r="K1111" s="106" t="s">
        <v>6793</v>
      </c>
      <c r="L1111" s="106" t="s">
        <v>6793</v>
      </c>
      <c r="M1111" s="117"/>
      <c r="N1111" s="106" t="n">
        <v>10</v>
      </c>
      <c r="O1111" s="106" t="n">
        <v>20</v>
      </c>
      <c r="P1111" s="27" t="s">
        <v>7447</v>
      </c>
    </row>
    <row r="1112" customFormat="false" ht="15" hidden="false" customHeight="false" outlineLevel="0" collapsed="false">
      <c r="A1112" s="106" t="s">
        <v>7822</v>
      </c>
      <c r="B1112" s="106" t="s">
        <v>6792</v>
      </c>
      <c r="C1112" s="106"/>
      <c r="D1112" s="107" t="n">
        <v>245</v>
      </c>
      <c r="E1112" s="107" t="n">
        <v>186.2</v>
      </c>
      <c r="F1112" s="130" t="n">
        <v>0.4</v>
      </c>
      <c r="G1112" s="106" t="s">
        <v>1411</v>
      </c>
      <c r="H1112" s="106" t="n">
        <v>0</v>
      </c>
      <c r="I1112" s="106" t="s">
        <v>6794</v>
      </c>
      <c r="J1112" s="106" t="s">
        <v>6799</v>
      </c>
      <c r="K1112" s="106" t="s">
        <v>6793</v>
      </c>
      <c r="L1112" s="106" t="s">
        <v>6794</v>
      </c>
      <c r="M1112" s="117"/>
      <c r="N1112" s="106" t="n">
        <v>0</v>
      </c>
      <c r="O1112" s="106"/>
      <c r="P1112" s="27" t="s">
        <v>7653</v>
      </c>
    </row>
    <row r="1113" customFormat="false" ht="22.35" hidden="false" customHeight="false" outlineLevel="0" collapsed="false">
      <c r="A1113" s="106" t="s">
        <v>5355</v>
      </c>
      <c r="B1113" s="106" t="s">
        <v>7101</v>
      </c>
      <c r="C1113" s="106"/>
      <c r="D1113" s="107" t="n">
        <v>244</v>
      </c>
      <c r="E1113" s="107" t="n">
        <v>185.44</v>
      </c>
      <c r="F1113" s="130" t="n">
        <v>0.95</v>
      </c>
      <c r="G1113" s="106" t="s">
        <v>1411</v>
      </c>
      <c r="H1113" s="106" t="n">
        <v>0</v>
      </c>
      <c r="I1113" s="106" t="s">
        <v>6793</v>
      </c>
      <c r="J1113" s="106" t="s">
        <v>6793</v>
      </c>
      <c r="K1113" s="106" t="s">
        <v>6793</v>
      </c>
      <c r="L1113" s="106" t="s">
        <v>6793</v>
      </c>
      <c r="M1113" s="117"/>
      <c r="N1113" s="106" t="n">
        <v>4</v>
      </c>
      <c r="O1113" s="106" t="n">
        <v>0</v>
      </c>
      <c r="P1113" s="27" t="s">
        <v>7447</v>
      </c>
    </row>
    <row r="1114" customFormat="false" ht="22.35" hidden="false" customHeight="false" outlineLevel="0" collapsed="false">
      <c r="A1114" s="106" t="s">
        <v>7823</v>
      </c>
      <c r="B1114" s="106" t="s">
        <v>7101</v>
      </c>
      <c r="C1114" s="106"/>
      <c r="D1114" s="107" t="n">
        <v>244</v>
      </c>
      <c r="E1114" s="107" t="n">
        <v>185.44</v>
      </c>
      <c r="F1114" s="130" t="n">
        <v>0.95</v>
      </c>
      <c r="G1114" s="106" t="s">
        <v>1411</v>
      </c>
      <c r="H1114" s="106" t="n">
        <v>0</v>
      </c>
      <c r="I1114" s="106" t="s">
        <v>6793</v>
      </c>
      <c r="J1114" s="106" t="s">
        <v>6793</v>
      </c>
      <c r="K1114" s="106" t="s">
        <v>6793</v>
      </c>
      <c r="L1114" s="106" t="s">
        <v>6793</v>
      </c>
      <c r="M1114" s="117"/>
      <c r="N1114" s="106" t="n">
        <v>0</v>
      </c>
      <c r="O1114" s="106"/>
      <c r="P1114" s="27" t="s">
        <v>7447</v>
      </c>
    </row>
    <row r="1115" customFormat="false" ht="15" hidden="false" customHeight="false" outlineLevel="0" collapsed="false">
      <c r="A1115" s="106" t="s">
        <v>7824</v>
      </c>
      <c r="B1115" s="106" t="s">
        <v>6792</v>
      </c>
      <c r="C1115" s="106" t="s">
        <v>185</v>
      </c>
      <c r="D1115" s="107" t="n">
        <v>241</v>
      </c>
      <c r="E1115" s="107" t="n">
        <v>183.16</v>
      </c>
      <c r="F1115" s="130" t="n">
        <v>0.75</v>
      </c>
      <c r="G1115" s="106" t="s">
        <v>1411</v>
      </c>
      <c r="H1115" s="106" t="n">
        <v>0</v>
      </c>
      <c r="I1115" s="106" t="s">
        <v>6794</v>
      </c>
      <c r="J1115" s="106" t="s">
        <v>6793</v>
      </c>
      <c r="K1115" s="106" t="s">
        <v>6793</v>
      </c>
      <c r="L1115" s="106" t="s">
        <v>6793</v>
      </c>
      <c r="M1115" s="117"/>
      <c r="N1115" s="106" t="n">
        <v>0</v>
      </c>
      <c r="O1115" s="106"/>
      <c r="P1115" s="27" t="s">
        <v>6983</v>
      </c>
    </row>
    <row r="1116" customFormat="false" ht="15" hidden="false" customHeight="false" outlineLevel="0" collapsed="false">
      <c r="A1116" s="106" t="s">
        <v>7825</v>
      </c>
      <c r="B1116" s="106" t="s">
        <v>6792</v>
      </c>
      <c r="C1116" s="106"/>
      <c r="D1116" s="107" t="n">
        <v>240</v>
      </c>
      <c r="E1116" s="107" t="n">
        <v>182.4</v>
      </c>
      <c r="F1116" s="130" t="n">
        <v>0.4</v>
      </c>
      <c r="G1116" s="106" t="s">
        <v>1411</v>
      </c>
      <c r="H1116" s="106" t="n">
        <v>0</v>
      </c>
      <c r="I1116" s="106" t="s">
        <v>6794</v>
      </c>
      <c r="J1116" s="106" t="s">
        <v>6794</v>
      </c>
      <c r="K1116" s="106" t="s">
        <v>6793</v>
      </c>
      <c r="L1116" s="106" t="s">
        <v>6793</v>
      </c>
      <c r="M1116" s="117"/>
      <c r="N1116" s="106" t="n">
        <v>0</v>
      </c>
      <c r="O1116" s="106"/>
      <c r="P1116" s="27" t="s">
        <v>6805</v>
      </c>
    </row>
    <row r="1117" customFormat="false" ht="15" hidden="false" customHeight="false" outlineLevel="0" collapsed="false">
      <c r="A1117" s="106" t="s">
        <v>7826</v>
      </c>
      <c r="B1117" s="106" t="s">
        <v>6792</v>
      </c>
      <c r="C1117" s="106"/>
      <c r="D1117" s="107" t="n">
        <v>239</v>
      </c>
      <c r="E1117" s="107" t="n">
        <v>181.64</v>
      </c>
      <c r="F1117" s="130" t="n">
        <v>0.7</v>
      </c>
      <c r="G1117" s="106" t="s">
        <v>1411</v>
      </c>
      <c r="H1117" s="106" t="n">
        <v>0</v>
      </c>
      <c r="I1117" s="106" t="s">
        <v>6794</v>
      </c>
      <c r="J1117" s="106" t="s">
        <v>6793</v>
      </c>
      <c r="K1117" s="106" t="s">
        <v>6793</v>
      </c>
      <c r="L1117" s="106" t="s">
        <v>6793</v>
      </c>
      <c r="M1117" s="117"/>
      <c r="N1117" s="106" t="n">
        <v>0</v>
      </c>
      <c r="O1117" s="106"/>
      <c r="P1117" s="27" t="s">
        <v>6885</v>
      </c>
    </row>
    <row r="1118" customFormat="false" ht="15" hidden="false" customHeight="false" outlineLevel="0" collapsed="false">
      <c r="A1118" s="106" t="s">
        <v>7827</v>
      </c>
      <c r="B1118" s="106" t="s">
        <v>6792</v>
      </c>
      <c r="C1118" s="106" t="s">
        <v>696</v>
      </c>
      <c r="D1118" s="107" t="n">
        <v>235</v>
      </c>
      <c r="E1118" s="107" t="n">
        <v>178.6</v>
      </c>
      <c r="F1118" s="130" t="n">
        <v>0.75</v>
      </c>
      <c r="G1118" s="106" t="s">
        <v>1411</v>
      </c>
      <c r="H1118" s="106" t="n">
        <v>0</v>
      </c>
      <c r="I1118" s="106" t="s">
        <v>6794</v>
      </c>
      <c r="J1118" s="106" t="s">
        <v>6793</v>
      </c>
      <c r="K1118" s="106" t="s">
        <v>6793</v>
      </c>
      <c r="L1118" s="106" t="s">
        <v>6793</v>
      </c>
      <c r="M1118" s="117"/>
      <c r="N1118" s="106" t="n">
        <v>0</v>
      </c>
      <c r="O1118" s="106"/>
      <c r="P1118" s="27" t="s">
        <v>6983</v>
      </c>
    </row>
    <row r="1119" customFormat="false" ht="15" hidden="false" customHeight="false" outlineLevel="0" collapsed="false">
      <c r="A1119" s="106" t="s">
        <v>7828</v>
      </c>
      <c r="B1119" s="106" t="s">
        <v>6792</v>
      </c>
      <c r="C1119" s="106" t="s">
        <v>185</v>
      </c>
      <c r="D1119" s="107" t="n">
        <v>234</v>
      </c>
      <c r="E1119" s="107" t="n">
        <v>177.84</v>
      </c>
      <c r="F1119" s="130" t="n">
        <v>0.75</v>
      </c>
      <c r="G1119" s="106" t="s">
        <v>1411</v>
      </c>
      <c r="H1119" s="106" t="n">
        <v>0</v>
      </c>
      <c r="I1119" s="106" t="s">
        <v>6794</v>
      </c>
      <c r="J1119" s="106" t="s">
        <v>6793</v>
      </c>
      <c r="K1119" s="106" t="s">
        <v>6793</v>
      </c>
      <c r="L1119" s="106" t="s">
        <v>6793</v>
      </c>
      <c r="M1119" s="117"/>
      <c r="N1119" s="106" t="n">
        <v>0</v>
      </c>
      <c r="O1119" s="106"/>
      <c r="P1119" s="27" t="s">
        <v>6983</v>
      </c>
    </row>
    <row r="1120" customFormat="false" ht="22.35" hidden="false" customHeight="false" outlineLevel="0" collapsed="false">
      <c r="A1120" s="106" t="s">
        <v>5415</v>
      </c>
      <c r="B1120" s="106" t="s">
        <v>7101</v>
      </c>
      <c r="C1120" s="106" t="s">
        <v>185</v>
      </c>
      <c r="D1120" s="107" t="n">
        <v>231</v>
      </c>
      <c r="E1120" s="107" t="n">
        <v>175.56</v>
      </c>
      <c r="F1120" s="130" t="n">
        <v>1</v>
      </c>
      <c r="G1120" s="106" t="s">
        <v>1411</v>
      </c>
      <c r="H1120" s="106" t="n">
        <v>0</v>
      </c>
      <c r="I1120" s="106" t="s">
        <v>6793</v>
      </c>
      <c r="J1120" s="106" t="s">
        <v>6793</v>
      </c>
      <c r="K1120" s="106" t="s">
        <v>6793</v>
      </c>
      <c r="L1120" s="106" t="s">
        <v>6793</v>
      </c>
      <c r="M1120" s="117"/>
      <c r="N1120" s="106" t="n">
        <v>3</v>
      </c>
      <c r="O1120" s="106" t="n">
        <v>0</v>
      </c>
      <c r="P1120" s="27" t="s">
        <v>7447</v>
      </c>
    </row>
    <row r="1121" customFormat="false" ht="15" hidden="false" customHeight="false" outlineLevel="0" collapsed="false">
      <c r="A1121" s="106" t="s">
        <v>7829</v>
      </c>
      <c r="B1121" s="106" t="s">
        <v>6792</v>
      </c>
      <c r="C1121" s="106" t="s">
        <v>560</v>
      </c>
      <c r="D1121" s="107" t="n">
        <v>227</v>
      </c>
      <c r="E1121" s="107" t="n">
        <v>172.52</v>
      </c>
      <c r="F1121" s="130" t="n">
        <v>0.38</v>
      </c>
      <c r="G1121" s="106" t="s">
        <v>1411</v>
      </c>
      <c r="H1121" s="106" t="n">
        <v>0</v>
      </c>
      <c r="I1121" s="106" t="s">
        <v>6794</v>
      </c>
      <c r="J1121" s="106" t="s">
        <v>6794</v>
      </c>
      <c r="K1121" s="106" t="s">
        <v>6793</v>
      </c>
      <c r="L1121" s="106" t="s">
        <v>6799</v>
      </c>
      <c r="M1121" s="117"/>
      <c r="N1121" s="106" t="n">
        <v>0</v>
      </c>
      <c r="O1121" s="106"/>
      <c r="P1121" s="27" t="s">
        <v>6805</v>
      </c>
    </row>
    <row r="1122" customFormat="false" ht="22.35" hidden="false" customHeight="false" outlineLevel="0" collapsed="false">
      <c r="A1122" s="106" t="s">
        <v>7830</v>
      </c>
      <c r="B1122" s="106" t="s">
        <v>7101</v>
      </c>
      <c r="C1122" s="106"/>
      <c r="D1122" s="107" t="n">
        <v>226</v>
      </c>
      <c r="E1122" s="107" t="n">
        <v>171.76</v>
      </c>
      <c r="F1122" s="130" t="n">
        <v>0.95</v>
      </c>
      <c r="G1122" s="106" t="s">
        <v>1411</v>
      </c>
      <c r="H1122" s="106" t="n">
        <v>0</v>
      </c>
      <c r="I1122" s="106" t="s">
        <v>6793</v>
      </c>
      <c r="J1122" s="106" t="s">
        <v>6793</v>
      </c>
      <c r="K1122" s="106" t="s">
        <v>6793</v>
      </c>
      <c r="L1122" s="106" t="s">
        <v>6793</v>
      </c>
      <c r="M1122" s="117"/>
      <c r="N1122" s="106" t="n">
        <v>0</v>
      </c>
      <c r="O1122" s="106"/>
      <c r="P1122" s="27" t="s">
        <v>7447</v>
      </c>
    </row>
    <row r="1123" customFormat="false" ht="15" hidden="false" customHeight="false" outlineLevel="0" collapsed="false">
      <c r="A1123" s="106" t="s">
        <v>7831</v>
      </c>
      <c r="B1123" s="106" t="s">
        <v>6792</v>
      </c>
      <c r="C1123" s="106"/>
      <c r="D1123" s="107" t="n">
        <v>226</v>
      </c>
      <c r="E1123" s="107" t="n">
        <v>171.76</v>
      </c>
      <c r="F1123" s="130" t="n">
        <v>0.58</v>
      </c>
      <c r="G1123" s="106" t="s">
        <v>1411</v>
      </c>
      <c r="H1123" s="106" t="n">
        <v>0</v>
      </c>
      <c r="I1123" s="106" t="s">
        <v>6793</v>
      </c>
      <c r="J1123" s="106" t="s">
        <v>6794</v>
      </c>
      <c r="K1123" s="106" t="s">
        <v>6799</v>
      </c>
      <c r="L1123" s="106" t="s">
        <v>6793</v>
      </c>
      <c r="M1123" s="117"/>
      <c r="N1123" s="106" t="n">
        <v>0</v>
      </c>
      <c r="O1123" s="106"/>
      <c r="P1123" s="27" t="s">
        <v>6795</v>
      </c>
    </row>
    <row r="1124" customFormat="false" ht="22.35" hidden="false" customHeight="false" outlineLevel="0" collapsed="false">
      <c r="A1124" s="106" t="s">
        <v>7832</v>
      </c>
      <c r="B1124" s="106" t="s">
        <v>7101</v>
      </c>
      <c r="C1124" s="106"/>
      <c r="D1124" s="107" t="n">
        <v>225</v>
      </c>
      <c r="E1124" s="107" t="n">
        <v>171</v>
      </c>
      <c r="F1124" s="130" t="n">
        <v>0.82</v>
      </c>
      <c r="G1124" s="106" t="s">
        <v>1411</v>
      </c>
      <c r="H1124" s="106" t="n">
        <v>0</v>
      </c>
      <c r="I1124" s="106" t="s">
        <v>6799</v>
      </c>
      <c r="J1124" s="106" t="s">
        <v>6793</v>
      </c>
      <c r="K1124" s="106" t="s">
        <v>6793</v>
      </c>
      <c r="L1124" s="106" t="s">
        <v>6793</v>
      </c>
      <c r="M1124" s="117"/>
      <c r="N1124" s="106" t="n">
        <v>0</v>
      </c>
      <c r="O1124" s="106"/>
      <c r="P1124" s="27" t="s">
        <v>7447</v>
      </c>
    </row>
    <row r="1125" customFormat="false" ht="22.35" hidden="false" customHeight="false" outlineLevel="0" collapsed="false">
      <c r="A1125" s="106" t="s">
        <v>5487</v>
      </c>
      <c r="B1125" s="106" t="s">
        <v>7101</v>
      </c>
      <c r="C1125" s="106"/>
      <c r="D1125" s="107" t="n">
        <v>225</v>
      </c>
      <c r="E1125" s="107" t="n">
        <v>171</v>
      </c>
      <c r="F1125" s="130" t="n">
        <v>0.8</v>
      </c>
      <c r="G1125" s="106" t="s">
        <v>1411</v>
      </c>
      <c r="H1125" s="106" t="n">
        <v>0</v>
      </c>
      <c r="I1125" s="106" t="s">
        <v>6793</v>
      </c>
      <c r="J1125" s="106" t="s">
        <v>6799</v>
      </c>
      <c r="K1125" s="106" t="s">
        <v>6793</v>
      </c>
      <c r="L1125" s="106" t="s">
        <v>6793</v>
      </c>
      <c r="M1125" s="117"/>
      <c r="N1125" s="106" t="n">
        <v>2</v>
      </c>
      <c r="O1125" s="106" t="n">
        <v>0</v>
      </c>
      <c r="P1125" s="27" t="s">
        <v>7447</v>
      </c>
    </row>
    <row r="1126" customFormat="false" ht="22.35" hidden="false" customHeight="false" outlineLevel="0" collapsed="false">
      <c r="A1126" s="106" t="s">
        <v>7833</v>
      </c>
      <c r="B1126" s="106" t="s">
        <v>7101</v>
      </c>
      <c r="C1126" s="106" t="s">
        <v>560</v>
      </c>
      <c r="D1126" s="107" t="n">
        <v>225</v>
      </c>
      <c r="E1126" s="107" t="n">
        <v>171</v>
      </c>
      <c r="F1126" s="130" t="n">
        <v>0.88</v>
      </c>
      <c r="G1126" s="106" t="s">
        <v>1411</v>
      </c>
      <c r="H1126" s="106" t="n">
        <v>0</v>
      </c>
      <c r="I1126" s="106" t="s">
        <v>6799</v>
      </c>
      <c r="J1126" s="106" t="s">
        <v>6793</v>
      </c>
      <c r="K1126" s="106" t="s">
        <v>6793</v>
      </c>
      <c r="L1126" s="106" t="s">
        <v>6793</v>
      </c>
      <c r="M1126" s="117"/>
      <c r="N1126" s="106" t="n">
        <v>0</v>
      </c>
      <c r="O1126" s="106"/>
      <c r="P1126" s="27" t="s">
        <v>7447</v>
      </c>
    </row>
    <row r="1127" customFormat="false" ht="22.35" hidden="false" customHeight="false" outlineLevel="0" collapsed="false">
      <c r="A1127" s="106" t="s">
        <v>5536</v>
      </c>
      <c r="B1127" s="106" t="s">
        <v>7101</v>
      </c>
      <c r="C1127" s="106"/>
      <c r="D1127" s="107" t="n">
        <v>223</v>
      </c>
      <c r="E1127" s="107" t="n">
        <v>169.48</v>
      </c>
      <c r="F1127" s="130" t="n">
        <v>0.95</v>
      </c>
      <c r="G1127" s="106" t="s">
        <v>1411</v>
      </c>
      <c r="H1127" s="106" t="n">
        <v>0</v>
      </c>
      <c r="I1127" s="106" t="s">
        <v>6793</v>
      </c>
      <c r="J1127" s="106" t="s">
        <v>6793</v>
      </c>
      <c r="K1127" s="106" t="s">
        <v>6793</v>
      </c>
      <c r="L1127" s="106" t="s">
        <v>6793</v>
      </c>
      <c r="M1127" s="117"/>
      <c r="N1127" s="106" t="n">
        <v>2</v>
      </c>
      <c r="O1127" s="106" t="n">
        <v>0</v>
      </c>
      <c r="P1127" s="27" t="s">
        <v>7447</v>
      </c>
    </row>
    <row r="1128" customFormat="false" ht="22.35" hidden="false" customHeight="false" outlineLevel="0" collapsed="false">
      <c r="A1128" s="106" t="s">
        <v>7834</v>
      </c>
      <c r="B1128" s="106" t="s">
        <v>7101</v>
      </c>
      <c r="C1128" s="106" t="s">
        <v>560</v>
      </c>
      <c r="D1128" s="107" t="n">
        <v>219</v>
      </c>
      <c r="E1128" s="107" t="n">
        <v>166.44</v>
      </c>
      <c r="F1128" s="130" t="n">
        <v>1</v>
      </c>
      <c r="G1128" s="106" t="s">
        <v>1411</v>
      </c>
      <c r="H1128" s="106" t="n">
        <v>0</v>
      </c>
      <c r="I1128" s="106" t="s">
        <v>6793</v>
      </c>
      <c r="J1128" s="106" t="s">
        <v>6793</v>
      </c>
      <c r="K1128" s="106" t="s">
        <v>6793</v>
      </c>
      <c r="L1128" s="106" t="s">
        <v>6793</v>
      </c>
      <c r="M1128" s="117"/>
      <c r="N1128" s="106" t="n">
        <v>0</v>
      </c>
      <c r="O1128" s="106"/>
      <c r="P1128" s="27" t="s">
        <v>7447</v>
      </c>
    </row>
    <row r="1129" customFormat="false" ht="22.35" hidden="false" customHeight="false" outlineLevel="0" collapsed="false">
      <c r="A1129" s="106" t="s">
        <v>5645</v>
      </c>
      <c r="B1129" s="106" t="s">
        <v>7101</v>
      </c>
      <c r="C1129" s="106" t="s">
        <v>560</v>
      </c>
      <c r="D1129" s="107" t="n">
        <v>217</v>
      </c>
      <c r="E1129" s="107" t="n">
        <v>164.92</v>
      </c>
      <c r="F1129" s="130" t="n">
        <v>1</v>
      </c>
      <c r="G1129" s="106" t="s">
        <v>1411</v>
      </c>
      <c r="H1129" s="106" t="n">
        <v>0</v>
      </c>
      <c r="I1129" s="106" t="s">
        <v>6793</v>
      </c>
      <c r="J1129" s="106" t="s">
        <v>6793</v>
      </c>
      <c r="K1129" s="106" t="s">
        <v>6793</v>
      </c>
      <c r="L1129" s="106" t="s">
        <v>6793</v>
      </c>
      <c r="M1129" s="117"/>
      <c r="N1129" s="106" t="n">
        <v>1</v>
      </c>
      <c r="O1129" s="106" t="n">
        <v>0</v>
      </c>
      <c r="P1129" s="27" t="s">
        <v>7447</v>
      </c>
    </row>
    <row r="1130" customFormat="false" ht="15" hidden="false" customHeight="false" outlineLevel="0" collapsed="false">
      <c r="A1130" s="106" t="s">
        <v>7835</v>
      </c>
      <c r="B1130" s="106" t="s">
        <v>6792</v>
      </c>
      <c r="C1130" s="106" t="s">
        <v>185</v>
      </c>
      <c r="D1130" s="107" t="n">
        <v>216</v>
      </c>
      <c r="E1130" s="107" t="n">
        <v>164.16</v>
      </c>
      <c r="F1130" s="130" t="n">
        <v>0.62</v>
      </c>
      <c r="G1130" s="106" t="s">
        <v>1411</v>
      </c>
      <c r="H1130" s="106" t="n">
        <v>0</v>
      </c>
      <c r="I1130" s="106" t="s">
        <v>6793</v>
      </c>
      <c r="J1130" s="106" t="s">
        <v>6794</v>
      </c>
      <c r="K1130" s="106" t="s">
        <v>6799</v>
      </c>
      <c r="L1130" s="106" t="s">
        <v>6793</v>
      </c>
      <c r="M1130" s="117"/>
      <c r="N1130" s="106" t="n">
        <v>0</v>
      </c>
      <c r="O1130" s="106"/>
      <c r="P1130" s="27" t="s">
        <v>6795</v>
      </c>
    </row>
    <row r="1131" customFormat="false" ht="22.35" hidden="false" customHeight="false" outlineLevel="0" collapsed="false">
      <c r="A1131" s="106" t="s">
        <v>7836</v>
      </c>
      <c r="B1131" s="106" t="s">
        <v>7101</v>
      </c>
      <c r="C1131" s="106" t="s">
        <v>185</v>
      </c>
      <c r="D1131" s="107" t="n">
        <v>214</v>
      </c>
      <c r="E1131" s="107" t="n">
        <v>162.64</v>
      </c>
      <c r="F1131" s="130" t="n">
        <v>1</v>
      </c>
      <c r="G1131" s="106" t="s">
        <v>1411</v>
      </c>
      <c r="H1131" s="106" t="n">
        <v>0</v>
      </c>
      <c r="I1131" s="106" t="s">
        <v>6793</v>
      </c>
      <c r="J1131" s="106" t="s">
        <v>6793</v>
      </c>
      <c r="K1131" s="106" t="s">
        <v>6793</v>
      </c>
      <c r="L1131" s="106" t="s">
        <v>6793</v>
      </c>
      <c r="M1131" s="117"/>
      <c r="N1131" s="106" t="n">
        <v>0</v>
      </c>
      <c r="O1131" s="106"/>
      <c r="P1131" s="27" t="s">
        <v>7447</v>
      </c>
    </row>
    <row r="1132" customFormat="false" ht="22.35" hidden="false" customHeight="false" outlineLevel="0" collapsed="false">
      <c r="A1132" s="106" t="s">
        <v>4548</v>
      </c>
      <c r="B1132" s="106" t="s">
        <v>7101</v>
      </c>
      <c r="C1132" s="106"/>
      <c r="D1132" s="107" t="n">
        <v>210</v>
      </c>
      <c r="E1132" s="107" t="n">
        <v>159.6</v>
      </c>
      <c r="F1132" s="130" t="n">
        <v>0.95</v>
      </c>
      <c r="G1132" s="106" t="s">
        <v>1411</v>
      </c>
      <c r="H1132" s="106" t="n">
        <v>0</v>
      </c>
      <c r="I1132" s="106" t="s">
        <v>6793</v>
      </c>
      <c r="J1132" s="106" t="s">
        <v>6793</v>
      </c>
      <c r="K1132" s="106" t="s">
        <v>6793</v>
      </c>
      <c r="L1132" s="106" t="s">
        <v>6793</v>
      </c>
      <c r="M1132" s="117"/>
      <c r="N1132" s="106" t="n">
        <v>0</v>
      </c>
      <c r="O1132" s="106"/>
      <c r="P1132" s="27" t="s">
        <v>7447</v>
      </c>
    </row>
    <row r="1133" customFormat="false" ht="15" hidden="false" customHeight="false" outlineLevel="0" collapsed="false">
      <c r="A1133" s="106" t="s">
        <v>7837</v>
      </c>
      <c r="B1133" s="106" t="s">
        <v>6792</v>
      </c>
      <c r="C1133" s="106" t="s">
        <v>560</v>
      </c>
      <c r="D1133" s="107" t="n">
        <v>207</v>
      </c>
      <c r="E1133" s="107" t="n">
        <v>157.32</v>
      </c>
      <c r="F1133" s="130" t="n">
        <v>0.75</v>
      </c>
      <c r="G1133" s="106" t="s">
        <v>1411</v>
      </c>
      <c r="H1133" s="106" t="n">
        <v>0</v>
      </c>
      <c r="I1133" s="106" t="s">
        <v>6794</v>
      </c>
      <c r="J1133" s="106" t="s">
        <v>6793</v>
      </c>
      <c r="K1133" s="106" t="s">
        <v>6793</v>
      </c>
      <c r="L1133" s="106" t="s">
        <v>6793</v>
      </c>
      <c r="M1133" s="117"/>
      <c r="N1133" s="106" t="n">
        <v>0</v>
      </c>
      <c r="O1133" s="106"/>
      <c r="P1133" s="27" t="s">
        <v>6983</v>
      </c>
    </row>
    <row r="1134" customFormat="false" ht="22.35" hidden="false" customHeight="false" outlineLevel="0" collapsed="false">
      <c r="A1134" s="106" t="s">
        <v>5234</v>
      </c>
      <c r="B1134" s="106" t="s">
        <v>7101</v>
      </c>
      <c r="C1134" s="106" t="s">
        <v>479</v>
      </c>
      <c r="D1134" s="107" t="n">
        <v>207</v>
      </c>
      <c r="E1134" s="107" t="n">
        <v>157.32</v>
      </c>
      <c r="F1134" s="130" t="n">
        <v>1</v>
      </c>
      <c r="G1134" s="106" t="s">
        <v>1411</v>
      </c>
      <c r="H1134" s="106" t="n">
        <v>1</v>
      </c>
      <c r="I1134" s="106" t="s">
        <v>6793</v>
      </c>
      <c r="J1134" s="106" t="s">
        <v>6793</v>
      </c>
      <c r="K1134" s="106" t="s">
        <v>6793</v>
      </c>
      <c r="L1134" s="106" t="s">
        <v>6793</v>
      </c>
      <c r="M1134" s="117"/>
      <c r="N1134" s="106" t="n">
        <v>29</v>
      </c>
      <c r="O1134" s="106" t="n">
        <v>6.9</v>
      </c>
      <c r="P1134" s="27" t="s">
        <v>7838</v>
      </c>
    </row>
    <row r="1135" customFormat="false" ht="15" hidden="false" customHeight="false" outlineLevel="0" collapsed="false">
      <c r="A1135" s="106" t="s">
        <v>7839</v>
      </c>
      <c r="B1135" s="106" t="s">
        <v>6792</v>
      </c>
      <c r="C1135" s="106"/>
      <c r="D1135" s="107" t="n">
        <v>203</v>
      </c>
      <c r="E1135" s="107" t="n">
        <v>154.28</v>
      </c>
      <c r="F1135" s="130" t="n">
        <v>0.7</v>
      </c>
      <c r="G1135" s="106" t="s">
        <v>1411</v>
      </c>
      <c r="H1135" s="106" t="n">
        <v>0</v>
      </c>
      <c r="I1135" s="106" t="s">
        <v>6794</v>
      </c>
      <c r="J1135" s="106" t="s">
        <v>6793</v>
      </c>
      <c r="K1135" s="106" t="s">
        <v>6793</v>
      </c>
      <c r="L1135" s="106" t="s">
        <v>6793</v>
      </c>
      <c r="M1135" s="117"/>
      <c r="N1135" s="106" t="n">
        <v>0</v>
      </c>
      <c r="O1135" s="106"/>
      <c r="P1135" s="27" t="s">
        <v>6885</v>
      </c>
    </row>
    <row r="1136" customFormat="false" ht="22.35" hidden="false" customHeight="false" outlineLevel="0" collapsed="false">
      <c r="A1136" s="106" t="s">
        <v>7840</v>
      </c>
      <c r="B1136" s="106" t="s">
        <v>7101</v>
      </c>
      <c r="C1136" s="106" t="s">
        <v>422</v>
      </c>
      <c r="D1136" s="107" t="n">
        <v>200</v>
      </c>
      <c r="E1136" s="107" t="n">
        <v>152</v>
      </c>
      <c r="F1136" s="130" t="n">
        <v>1</v>
      </c>
      <c r="G1136" s="106" t="s">
        <v>1411</v>
      </c>
      <c r="H1136" s="106" t="n">
        <v>0</v>
      </c>
      <c r="I1136" s="106" t="s">
        <v>6793</v>
      </c>
      <c r="J1136" s="106" t="s">
        <v>6793</v>
      </c>
      <c r="K1136" s="106" t="s">
        <v>6793</v>
      </c>
      <c r="L1136" s="106" t="s">
        <v>6793</v>
      </c>
      <c r="M1136" s="117"/>
      <c r="N1136" s="106" t="n">
        <v>0</v>
      </c>
      <c r="O1136" s="106"/>
      <c r="P1136" s="27" t="s">
        <v>7447</v>
      </c>
    </row>
    <row r="1137" customFormat="false" ht="22.35" hidden="false" customHeight="false" outlineLevel="0" collapsed="false">
      <c r="A1137" s="106" t="s">
        <v>7841</v>
      </c>
      <c r="B1137" s="106" t="s">
        <v>7101</v>
      </c>
      <c r="C1137" s="106" t="s">
        <v>560</v>
      </c>
      <c r="D1137" s="107" t="n">
        <v>200</v>
      </c>
      <c r="E1137" s="107" t="n">
        <v>152</v>
      </c>
      <c r="F1137" s="130" t="n">
        <v>1</v>
      </c>
      <c r="G1137" s="106" t="s">
        <v>1411</v>
      </c>
      <c r="H1137" s="106" t="n">
        <v>0</v>
      </c>
      <c r="I1137" s="106" t="s">
        <v>6793</v>
      </c>
      <c r="J1137" s="106" t="s">
        <v>6793</v>
      </c>
      <c r="K1137" s="106" t="s">
        <v>6793</v>
      </c>
      <c r="L1137" s="106" t="s">
        <v>6793</v>
      </c>
      <c r="M1137" s="117"/>
      <c r="N1137" s="106" t="n">
        <v>0</v>
      </c>
      <c r="O1137" s="106"/>
      <c r="P1137" s="27" t="s">
        <v>7447</v>
      </c>
    </row>
    <row r="1138" customFormat="false" ht="22.35" hidden="false" customHeight="false" outlineLevel="0" collapsed="false">
      <c r="A1138" s="106" t="s">
        <v>5412</v>
      </c>
      <c r="B1138" s="106" t="s">
        <v>6792</v>
      </c>
      <c r="C1138" s="106"/>
      <c r="D1138" s="107" t="n">
        <v>198</v>
      </c>
      <c r="E1138" s="107" t="n">
        <v>150.48</v>
      </c>
      <c r="F1138" s="130" t="n">
        <v>0.65</v>
      </c>
      <c r="G1138" s="106" t="s">
        <v>1411</v>
      </c>
      <c r="H1138" s="106" t="n">
        <v>0</v>
      </c>
      <c r="I1138" s="106" t="s">
        <v>6793</v>
      </c>
      <c r="J1138" s="106" t="s">
        <v>6794</v>
      </c>
      <c r="K1138" s="106" t="s">
        <v>6793</v>
      </c>
      <c r="L1138" s="106" t="s">
        <v>6793</v>
      </c>
      <c r="M1138" s="117"/>
      <c r="N1138" s="106" t="n">
        <v>3</v>
      </c>
      <c r="O1138" s="106" t="n">
        <v>33.33</v>
      </c>
      <c r="P1138" s="27" t="s">
        <v>7610</v>
      </c>
    </row>
    <row r="1139" customFormat="false" ht="22.35" hidden="false" customHeight="false" outlineLevel="0" collapsed="false">
      <c r="A1139" s="106" t="s">
        <v>7842</v>
      </c>
      <c r="B1139" s="106" t="s">
        <v>7101</v>
      </c>
      <c r="C1139" s="106" t="s">
        <v>479</v>
      </c>
      <c r="D1139" s="107" t="n">
        <v>196</v>
      </c>
      <c r="E1139" s="107" t="n">
        <v>148.96</v>
      </c>
      <c r="F1139" s="130" t="n">
        <v>1</v>
      </c>
      <c r="G1139" s="106" t="s">
        <v>1411</v>
      </c>
      <c r="H1139" s="106" t="n">
        <v>0</v>
      </c>
      <c r="I1139" s="106" t="s">
        <v>6793</v>
      </c>
      <c r="J1139" s="106" t="s">
        <v>6793</v>
      </c>
      <c r="K1139" s="106" t="s">
        <v>6793</v>
      </c>
      <c r="L1139" s="106" t="s">
        <v>6793</v>
      </c>
      <c r="M1139" s="117"/>
      <c r="N1139" s="106" t="n">
        <v>0</v>
      </c>
      <c r="O1139" s="106"/>
      <c r="P1139" s="27" t="s">
        <v>7447</v>
      </c>
    </row>
    <row r="1140" customFormat="false" ht="22.35" hidden="false" customHeight="false" outlineLevel="0" collapsed="false">
      <c r="A1140" s="106" t="s">
        <v>7843</v>
      </c>
      <c r="B1140" s="106" t="s">
        <v>7101</v>
      </c>
      <c r="C1140" s="106" t="s">
        <v>479</v>
      </c>
      <c r="D1140" s="107" t="n">
        <v>195</v>
      </c>
      <c r="E1140" s="107" t="n">
        <v>148.2</v>
      </c>
      <c r="F1140" s="130" t="n">
        <v>0.88</v>
      </c>
      <c r="G1140" s="106" t="s">
        <v>1411</v>
      </c>
      <c r="H1140" s="106" t="n">
        <v>0</v>
      </c>
      <c r="I1140" s="106" t="s">
        <v>6799</v>
      </c>
      <c r="J1140" s="106" t="s">
        <v>6793</v>
      </c>
      <c r="K1140" s="106" t="s">
        <v>6793</v>
      </c>
      <c r="L1140" s="106" t="s">
        <v>6793</v>
      </c>
      <c r="M1140" s="117"/>
      <c r="N1140" s="106" t="n">
        <v>0</v>
      </c>
      <c r="O1140" s="106"/>
      <c r="P1140" s="27" t="s">
        <v>7447</v>
      </c>
    </row>
    <row r="1141" customFormat="false" ht="22.35" hidden="false" customHeight="false" outlineLevel="0" collapsed="false">
      <c r="A1141" s="106" t="s">
        <v>5425</v>
      </c>
      <c r="B1141" s="106" t="s">
        <v>7101</v>
      </c>
      <c r="C1141" s="106" t="s">
        <v>560</v>
      </c>
      <c r="D1141" s="107" t="n">
        <v>195</v>
      </c>
      <c r="E1141" s="107" t="n">
        <v>148.2</v>
      </c>
      <c r="F1141" s="130" t="n">
        <v>1</v>
      </c>
      <c r="G1141" s="106" t="s">
        <v>1411</v>
      </c>
      <c r="H1141" s="106" t="n">
        <v>0</v>
      </c>
      <c r="I1141" s="106" t="s">
        <v>6793</v>
      </c>
      <c r="J1141" s="106" t="s">
        <v>6793</v>
      </c>
      <c r="K1141" s="106" t="s">
        <v>6793</v>
      </c>
      <c r="L1141" s="106" t="s">
        <v>6793</v>
      </c>
      <c r="M1141" s="117"/>
      <c r="N1141" s="106" t="n">
        <v>2</v>
      </c>
      <c r="O1141" s="106" t="n">
        <v>0</v>
      </c>
      <c r="P1141" s="27" t="s">
        <v>7447</v>
      </c>
    </row>
    <row r="1142" customFormat="false" ht="22.35" hidden="false" customHeight="false" outlineLevel="0" collapsed="false">
      <c r="A1142" s="106" t="s">
        <v>7844</v>
      </c>
      <c r="B1142" s="106" t="s">
        <v>7101</v>
      </c>
      <c r="C1142" s="106"/>
      <c r="D1142" s="107" t="n">
        <v>194</v>
      </c>
      <c r="E1142" s="107" t="n">
        <v>147.44</v>
      </c>
      <c r="F1142" s="130" t="n">
        <v>0.95</v>
      </c>
      <c r="G1142" s="106" t="s">
        <v>1411</v>
      </c>
      <c r="H1142" s="106" t="n">
        <v>0</v>
      </c>
      <c r="I1142" s="106" t="s">
        <v>6793</v>
      </c>
      <c r="J1142" s="106" t="s">
        <v>6793</v>
      </c>
      <c r="K1142" s="106" t="s">
        <v>6793</v>
      </c>
      <c r="L1142" s="106" t="s">
        <v>6793</v>
      </c>
      <c r="M1142" s="117"/>
      <c r="N1142" s="106" t="n">
        <v>0</v>
      </c>
      <c r="O1142" s="106"/>
      <c r="P1142" s="27" t="s">
        <v>7447</v>
      </c>
    </row>
    <row r="1143" customFormat="false" ht="15" hidden="false" customHeight="false" outlineLevel="0" collapsed="false">
      <c r="A1143" s="106" t="s">
        <v>7845</v>
      </c>
      <c r="B1143" s="106" t="s">
        <v>6792</v>
      </c>
      <c r="C1143" s="106" t="s">
        <v>479</v>
      </c>
      <c r="D1143" s="107" t="n">
        <v>194</v>
      </c>
      <c r="E1143" s="107" t="n">
        <v>147.44</v>
      </c>
      <c r="F1143" s="130" t="n">
        <v>0.62</v>
      </c>
      <c r="G1143" s="106" t="s">
        <v>1411</v>
      </c>
      <c r="H1143" s="106" t="n">
        <v>0</v>
      </c>
      <c r="I1143" s="106" t="s">
        <v>6793</v>
      </c>
      <c r="J1143" s="106" t="s">
        <v>6794</v>
      </c>
      <c r="K1143" s="106" t="s">
        <v>6799</v>
      </c>
      <c r="L1143" s="106" t="s">
        <v>6793</v>
      </c>
      <c r="M1143" s="117"/>
      <c r="N1143" s="106" t="n">
        <v>0</v>
      </c>
      <c r="O1143" s="106"/>
      <c r="P1143" s="27" t="s">
        <v>6795</v>
      </c>
    </row>
    <row r="1144" customFormat="false" ht="22.35" hidden="false" customHeight="false" outlineLevel="0" collapsed="false">
      <c r="A1144" s="106" t="s">
        <v>5482</v>
      </c>
      <c r="B1144" s="106" t="s">
        <v>7101</v>
      </c>
      <c r="C1144" s="106"/>
      <c r="D1144" s="107" t="n">
        <v>193</v>
      </c>
      <c r="E1144" s="107" t="n">
        <v>146.68</v>
      </c>
      <c r="F1144" s="130" t="n">
        <v>0.95</v>
      </c>
      <c r="G1144" s="106" t="s">
        <v>1411</v>
      </c>
      <c r="H1144" s="106" t="n">
        <v>0</v>
      </c>
      <c r="I1144" s="106" t="s">
        <v>6793</v>
      </c>
      <c r="J1144" s="106" t="s">
        <v>6793</v>
      </c>
      <c r="K1144" s="106" t="s">
        <v>6793</v>
      </c>
      <c r="L1144" s="106" t="s">
        <v>6793</v>
      </c>
      <c r="M1144" s="117"/>
      <c r="N1144" s="106" t="n">
        <v>2</v>
      </c>
      <c r="O1144" s="106" t="n">
        <v>0</v>
      </c>
      <c r="P1144" s="27" t="s">
        <v>7447</v>
      </c>
    </row>
    <row r="1145" customFormat="false" ht="22.35" hidden="false" customHeight="false" outlineLevel="0" collapsed="false">
      <c r="A1145" s="106" t="s">
        <v>5791</v>
      </c>
      <c r="B1145" s="106" t="s">
        <v>7101</v>
      </c>
      <c r="C1145" s="106" t="s">
        <v>185</v>
      </c>
      <c r="D1145" s="107" t="n">
        <v>191</v>
      </c>
      <c r="E1145" s="107" t="n">
        <v>145.16</v>
      </c>
      <c r="F1145" s="130" t="n">
        <v>1</v>
      </c>
      <c r="G1145" s="106" t="s">
        <v>1411</v>
      </c>
      <c r="H1145" s="106" t="n">
        <v>0</v>
      </c>
      <c r="I1145" s="106" t="s">
        <v>6793</v>
      </c>
      <c r="J1145" s="106" t="s">
        <v>6793</v>
      </c>
      <c r="K1145" s="106" t="s">
        <v>6793</v>
      </c>
      <c r="L1145" s="106" t="s">
        <v>6793</v>
      </c>
      <c r="M1145" s="117"/>
      <c r="N1145" s="106" t="n">
        <v>1</v>
      </c>
      <c r="O1145" s="106" t="n">
        <v>0</v>
      </c>
      <c r="P1145" s="27" t="s">
        <v>7447</v>
      </c>
    </row>
    <row r="1146" customFormat="false" ht="15" hidden="false" customHeight="false" outlineLevel="0" collapsed="false">
      <c r="A1146" s="106" t="s">
        <v>7846</v>
      </c>
      <c r="B1146" s="106" t="s">
        <v>6792</v>
      </c>
      <c r="C1146" s="106"/>
      <c r="D1146" s="107" t="n">
        <v>190</v>
      </c>
      <c r="E1146" s="107" t="n">
        <v>144.4</v>
      </c>
      <c r="F1146" s="130" t="n">
        <v>0.7</v>
      </c>
      <c r="G1146" s="106" t="s">
        <v>1411</v>
      </c>
      <c r="H1146" s="106" t="n">
        <v>0</v>
      </c>
      <c r="I1146" s="106" t="s">
        <v>6794</v>
      </c>
      <c r="J1146" s="106" t="s">
        <v>6793</v>
      </c>
      <c r="K1146" s="106" t="s">
        <v>6793</v>
      </c>
      <c r="L1146" s="106" t="s">
        <v>6793</v>
      </c>
      <c r="M1146" s="117"/>
      <c r="N1146" s="106" t="n">
        <v>0</v>
      </c>
      <c r="O1146" s="106"/>
      <c r="P1146" s="27" t="s">
        <v>6885</v>
      </c>
    </row>
    <row r="1147" customFormat="false" ht="22.35" hidden="false" customHeight="false" outlineLevel="0" collapsed="false">
      <c r="A1147" s="106" t="s">
        <v>5759</v>
      </c>
      <c r="B1147" s="106" t="s">
        <v>7101</v>
      </c>
      <c r="C1147" s="106"/>
      <c r="D1147" s="107" t="n">
        <v>190</v>
      </c>
      <c r="E1147" s="107" t="n">
        <v>144.4</v>
      </c>
      <c r="F1147" s="130" t="n">
        <v>0.9</v>
      </c>
      <c r="G1147" s="106" t="s">
        <v>1411</v>
      </c>
      <c r="H1147" s="106" t="n">
        <v>0</v>
      </c>
      <c r="I1147" s="106" t="s">
        <v>6793</v>
      </c>
      <c r="J1147" s="106" t="s">
        <v>6793</v>
      </c>
      <c r="K1147" s="106" t="s">
        <v>6793</v>
      </c>
      <c r="L1147" s="106" t="s">
        <v>6793</v>
      </c>
      <c r="M1147" s="117"/>
      <c r="N1147" s="106" t="n">
        <v>1</v>
      </c>
      <c r="O1147" s="106" t="n">
        <v>0</v>
      </c>
      <c r="P1147" s="27" t="s">
        <v>7447</v>
      </c>
    </row>
    <row r="1148" customFormat="false" ht="22.35" hidden="false" customHeight="false" outlineLevel="0" collapsed="false">
      <c r="A1148" s="106" t="s">
        <v>7847</v>
      </c>
      <c r="B1148" s="106" t="s">
        <v>7101</v>
      </c>
      <c r="C1148" s="106" t="s">
        <v>185</v>
      </c>
      <c r="D1148" s="107" t="n">
        <v>189</v>
      </c>
      <c r="E1148" s="107" t="n">
        <v>143.64</v>
      </c>
      <c r="F1148" s="130" t="n">
        <v>1</v>
      </c>
      <c r="G1148" s="106" t="s">
        <v>1411</v>
      </c>
      <c r="H1148" s="106" t="n">
        <v>0</v>
      </c>
      <c r="I1148" s="106" t="s">
        <v>6793</v>
      </c>
      <c r="J1148" s="106" t="s">
        <v>6793</v>
      </c>
      <c r="K1148" s="106" t="s">
        <v>6793</v>
      </c>
      <c r="L1148" s="106" t="s">
        <v>6793</v>
      </c>
      <c r="M1148" s="117"/>
      <c r="N1148" s="106" t="n">
        <v>0</v>
      </c>
      <c r="O1148" s="106"/>
      <c r="P1148" s="27" t="s">
        <v>7447</v>
      </c>
    </row>
    <row r="1149" customFormat="false" ht="15" hidden="false" customHeight="false" outlineLevel="0" collapsed="false">
      <c r="A1149" s="106" t="s">
        <v>7848</v>
      </c>
      <c r="B1149" s="106" t="s">
        <v>6792</v>
      </c>
      <c r="C1149" s="106"/>
      <c r="D1149" s="107" t="n">
        <v>189</v>
      </c>
      <c r="E1149" s="107" t="n">
        <v>143.64</v>
      </c>
      <c r="F1149" s="130" t="n">
        <v>0.8</v>
      </c>
      <c r="G1149" s="106" t="s">
        <v>1411</v>
      </c>
      <c r="H1149" s="106" t="n">
        <v>0</v>
      </c>
      <c r="I1149" s="106" t="s">
        <v>6793</v>
      </c>
      <c r="J1149" s="106" t="s">
        <v>6793</v>
      </c>
      <c r="K1149" s="106" t="s">
        <v>6793</v>
      </c>
      <c r="L1149" s="106" t="s">
        <v>6794</v>
      </c>
      <c r="M1149" s="117"/>
      <c r="N1149" s="106" t="n">
        <v>0</v>
      </c>
      <c r="O1149" s="106"/>
      <c r="P1149" s="27" t="s">
        <v>7252</v>
      </c>
    </row>
    <row r="1150" customFormat="false" ht="22.35" hidden="false" customHeight="false" outlineLevel="0" collapsed="false">
      <c r="A1150" s="106" t="s">
        <v>5838</v>
      </c>
      <c r="B1150" s="106" t="s">
        <v>7101</v>
      </c>
      <c r="C1150" s="106" t="s">
        <v>560</v>
      </c>
      <c r="D1150" s="107" t="n">
        <v>186</v>
      </c>
      <c r="E1150" s="107" t="n">
        <v>141.36</v>
      </c>
      <c r="F1150" s="130" t="n">
        <v>1</v>
      </c>
      <c r="G1150" s="106" t="s">
        <v>1411</v>
      </c>
      <c r="H1150" s="106" t="n">
        <v>0</v>
      </c>
      <c r="I1150" s="106" t="s">
        <v>6793</v>
      </c>
      <c r="J1150" s="106" t="s">
        <v>6793</v>
      </c>
      <c r="K1150" s="106" t="s">
        <v>6793</v>
      </c>
      <c r="L1150" s="106" t="s">
        <v>6793</v>
      </c>
      <c r="M1150" s="117"/>
      <c r="N1150" s="106" t="n">
        <v>1</v>
      </c>
      <c r="O1150" s="106" t="n">
        <v>0</v>
      </c>
      <c r="P1150" s="27" t="s">
        <v>7447</v>
      </c>
    </row>
    <row r="1151" customFormat="false" ht="15" hidden="false" customHeight="false" outlineLevel="0" collapsed="false">
      <c r="A1151" s="106" t="s">
        <v>7849</v>
      </c>
      <c r="B1151" s="106" t="s">
        <v>6792</v>
      </c>
      <c r="C1151" s="106"/>
      <c r="D1151" s="107" t="n">
        <v>185</v>
      </c>
      <c r="E1151" s="107" t="n">
        <v>140.6</v>
      </c>
      <c r="F1151" s="130" t="n">
        <v>0.4</v>
      </c>
      <c r="G1151" s="106" t="s">
        <v>1411</v>
      </c>
      <c r="H1151" s="106" t="n">
        <v>0</v>
      </c>
      <c r="I1151" s="106" t="s">
        <v>6794</v>
      </c>
      <c r="J1151" s="106" t="s">
        <v>6799</v>
      </c>
      <c r="K1151" s="106" t="s">
        <v>6793</v>
      </c>
      <c r="L1151" s="106" t="s">
        <v>6794</v>
      </c>
      <c r="M1151" s="117"/>
      <c r="N1151" s="106" t="n">
        <v>0</v>
      </c>
      <c r="O1151" s="106"/>
      <c r="P1151" s="27" t="s">
        <v>7653</v>
      </c>
    </row>
    <row r="1152" customFormat="false" ht="15" hidden="false" customHeight="false" outlineLevel="0" collapsed="false">
      <c r="A1152" s="106" t="s">
        <v>7850</v>
      </c>
      <c r="B1152" s="106" t="s">
        <v>6792</v>
      </c>
      <c r="C1152" s="106" t="s">
        <v>185</v>
      </c>
      <c r="D1152" s="107" t="n">
        <v>184</v>
      </c>
      <c r="E1152" s="107" t="n">
        <v>139.84</v>
      </c>
      <c r="F1152" s="130" t="n">
        <v>0.75</v>
      </c>
      <c r="G1152" s="106" t="s">
        <v>1411</v>
      </c>
      <c r="H1152" s="106" t="n">
        <v>0</v>
      </c>
      <c r="I1152" s="106" t="s">
        <v>6794</v>
      </c>
      <c r="J1152" s="106" t="s">
        <v>6793</v>
      </c>
      <c r="K1152" s="106" t="s">
        <v>6793</v>
      </c>
      <c r="L1152" s="106" t="s">
        <v>6793</v>
      </c>
      <c r="M1152" s="117"/>
      <c r="N1152" s="106" t="n">
        <v>0</v>
      </c>
      <c r="O1152" s="106"/>
      <c r="P1152" s="27" t="s">
        <v>6983</v>
      </c>
    </row>
    <row r="1153" customFormat="false" ht="22.35" hidden="false" customHeight="false" outlineLevel="0" collapsed="false">
      <c r="A1153" s="106" t="s">
        <v>5333</v>
      </c>
      <c r="B1153" s="106" t="s">
        <v>7101</v>
      </c>
      <c r="C1153" s="106" t="s">
        <v>185</v>
      </c>
      <c r="D1153" s="107" t="n">
        <v>183</v>
      </c>
      <c r="E1153" s="107" t="n">
        <v>139.08</v>
      </c>
      <c r="F1153" s="130" t="n">
        <v>1</v>
      </c>
      <c r="G1153" s="106" t="s">
        <v>1411</v>
      </c>
      <c r="H1153" s="106" t="n">
        <v>0</v>
      </c>
      <c r="I1153" s="106" t="s">
        <v>6793</v>
      </c>
      <c r="J1153" s="106" t="s">
        <v>6793</v>
      </c>
      <c r="K1153" s="106" t="s">
        <v>6793</v>
      </c>
      <c r="L1153" s="106" t="s">
        <v>6793</v>
      </c>
      <c r="M1153" s="117"/>
      <c r="N1153" s="106" t="n">
        <v>4</v>
      </c>
      <c r="O1153" s="106" t="n">
        <v>0</v>
      </c>
      <c r="P1153" s="27" t="s">
        <v>7447</v>
      </c>
    </row>
    <row r="1154" customFormat="false" ht="22.35" hidden="false" customHeight="false" outlineLevel="0" collapsed="false">
      <c r="A1154" s="106" t="s">
        <v>7851</v>
      </c>
      <c r="B1154" s="106" t="s">
        <v>7101</v>
      </c>
      <c r="C1154" s="106" t="s">
        <v>560</v>
      </c>
      <c r="D1154" s="107" t="n">
        <v>181</v>
      </c>
      <c r="E1154" s="107" t="n">
        <v>137.56</v>
      </c>
      <c r="F1154" s="130" t="n">
        <v>1</v>
      </c>
      <c r="G1154" s="106" t="s">
        <v>1411</v>
      </c>
      <c r="H1154" s="106" t="n">
        <v>0</v>
      </c>
      <c r="I1154" s="106" t="s">
        <v>6793</v>
      </c>
      <c r="J1154" s="106" t="s">
        <v>6793</v>
      </c>
      <c r="K1154" s="106" t="s">
        <v>6793</v>
      </c>
      <c r="L1154" s="106" t="s">
        <v>6793</v>
      </c>
      <c r="M1154" s="117"/>
      <c r="N1154" s="106" t="n">
        <v>0</v>
      </c>
      <c r="O1154" s="106"/>
      <c r="P1154" s="27" t="s">
        <v>7447</v>
      </c>
    </row>
    <row r="1155" customFormat="false" ht="15" hidden="false" customHeight="false" outlineLevel="0" collapsed="false">
      <c r="A1155" s="106" t="s">
        <v>7852</v>
      </c>
      <c r="B1155" s="106" t="s">
        <v>6792</v>
      </c>
      <c r="C1155" s="106" t="s">
        <v>696</v>
      </c>
      <c r="D1155" s="107" t="n">
        <v>177</v>
      </c>
      <c r="E1155" s="107" t="n">
        <v>134.52</v>
      </c>
      <c r="F1155" s="130" t="n">
        <v>0.75</v>
      </c>
      <c r="G1155" s="106" t="s">
        <v>1411</v>
      </c>
      <c r="H1155" s="106" t="n">
        <v>0</v>
      </c>
      <c r="I1155" s="106" t="s">
        <v>6794</v>
      </c>
      <c r="J1155" s="106" t="s">
        <v>6793</v>
      </c>
      <c r="K1155" s="106" t="s">
        <v>6793</v>
      </c>
      <c r="L1155" s="106" t="s">
        <v>6793</v>
      </c>
      <c r="M1155" s="117"/>
      <c r="N1155" s="106" t="n">
        <v>0</v>
      </c>
      <c r="O1155" s="106"/>
      <c r="P1155" s="27" t="s">
        <v>6983</v>
      </c>
    </row>
    <row r="1156" customFormat="false" ht="15" hidden="false" customHeight="false" outlineLevel="0" collapsed="false">
      <c r="A1156" s="106" t="s">
        <v>5330</v>
      </c>
      <c r="B1156" s="106" t="s">
        <v>6792</v>
      </c>
      <c r="C1156" s="106" t="s">
        <v>560</v>
      </c>
      <c r="D1156" s="107" t="n">
        <v>174</v>
      </c>
      <c r="E1156" s="107" t="n">
        <v>132.24</v>
      </c>
      <c r="F1156" s="130" t="n">
        <v>0.85</v>
      </c>
      <c r="G1156" s="106" t="s">
        <v>1411</v>
      </c>
      <c r="H1156" s="106" t="n">
        <v>0</v>
      </c>
      <c r="I1156" s="106" t="s">
        <v>6793</v>
      </c>
      <c r="J1156" s="106" t="s">
        <v>6793</v>
      </c>
      <c r="K1156" s="106" t="s">
        <v>6793</v>
      </c>
      <c r="L1156" s="106" t="s">
        <v>6794</v>
      </c>
      <c r="M1156" s="117"/>
      <c r="N1156" s="106" t="n">
        <v>4</v>
      </c>
      <c r="O1156" s="106" t="n">
        <v>0</v>
      </c>
      <c r="P1156" s="27" t="s">
        <v>7569</v>
      </c>
    </row>
    <row r="1157" customFormat="false" ht="15" hidden="false" customHeight="false" outlineLevel="0" collapsed="false">
      <c r="A1157" s="106" t="s">
        <v>7853</v>
      </c>
      <c r="B1157" s="106" t="s">
        <v>6792</v>
      </c>
      <c r="C1157" s="106" t="s">
        <v>185</v>
      </c>
      <c r="D1157" s="107" t="n">
        <v>174</v>
      </c>
      <c r="E1157" s="107" t="n">
        <v>132.24</v>
      </c>
      <c r="F1157" s="130" t="n">
        <v>0.62</v>
      </c>
      <c r="G1157" s="106" t="s">
        <v>1411</v>
      </c>
      <c r="H1157" s="106" t="n">
        <v>0</v>
      </c>
      <c r="I1157" s="106" t="s">
        <v>6793</v>
      </c>
      <c r="J1157" s="106" t="s">
        <v>6794</v>
      </c>
      <c r="K1157" s="106" t="s">
        <v>6799</v>
      </c>
      <c r="L1157" s="106" t="s">
        <v>6793</v>
      </c>
      <c r="M1157" s="117"/>
      <c r="N1157" s="106" t="n">
        <v>0</v>
      </c>
      <c r="O1157" s="106"/>
      <c r="P1157" s="27" t="s">
        <v>6795</v>
      </c>
    </row>
    <row r="1158" customFormat="false" ht="15" hidden="false" customHeight="false" outlineLevel="0" collapsed="false">
      <c r="A1158" s="106" t="s">
        <v>7854</v>
      </c>
      <c r="B1158" s="106" t="s">
        <v>6792</v>
      </c>
      <c r="C1158" s="106" t="s">
        <v>185</v>
      </c>
      <c r="D1158" s="107" t="n">
        <v>172</v>
      </c>
      <c r="E1158" s="107" t="n">
        <v>130.72</v>
      </c>
      <c r="F1158" s="130" t="n">
        <v>0.85</v>
      </c>
      <c r="G1158" s="106" t="s">
        <v>1411</v>
      </c>
      <c r="H1158" s="106" t="n">
        <v>0</v>
      </c>
      <c r="I1158" s="106" t="s">
        <v>6793</v>
      </c>
      <c r="J1158" s="106" t="s">
        <v>6793</v>
      </c>
      <c r="K1158" s="106" t="s">
        <v>6793</v>
      </c>
      <c r="L1158" s="106" t="s">
        <v>6794</v>
      </c>
      <c r="M1158" s="117"/>
      <c r="N1158" s="106" t="n">
        <v>0</v>
      </c>
      <c r="O1158" s="106"/>
      <c r="P1158" s="27" t="s">
        <v>7569</v>
      </c>
    </row>
    <row r="1159" customFormat="false" ht="15" hidden="false" customHeight="false" outlineLevel="0" collapsed="false">
      <c r="A1159" s="106" t="s">
        <v>7855</v>
      </c>
      <c r="B1159" s="106" t="s">
        <v>6792</v>
      </c>
      <c r="C1159" s="106" t="s">
        <v>560</v>
      </c>
      <c r="D1159" s="107" t="n">
        <v>171</v>
      </c>
      <c r="E1159" s="107" t="n">
        <v>129.96</v>
      </c>
      <c r="F1159" s="130" t="n">
        <v>0.75</v>
      </c>
      <c r="G1159" s="106" t="s">
        <v>1411</v>
      </c>
      <c r="H1159" s="106" t="n">
        <v>0</v>
      </c>
      <c r="I1159" s="106" t="s">
        <v>6794</v>
      </c>
      <c r="J1159" s="106" t="s">
        <v>6793</v>
      </c>
      <c r="K1159" s="106" t="s">
        <v>6793</v>
      </c>
      <c r="L1159" s="106" t="s">
        <v>6793</v>
      </c>
      <c r="M1159" s="117"/>
      <c r="N1159" s="106" t="n">
        <v>0</v>
      </c>
      <c r="O1159" s="106"/>
      <c r="P1159" s="27" t="s">
        <v>6983</v>
      </c>
    </row>
    <row r="1160" customFormat="false" ht="15" hidden="false" customHeight="false" outlineLevel="0" collapsed="false">
      <c r="A1160" s="106" t="s">
        <v>7856</v>
      </c>
      <c r="B1160" s="106" t="s">
        <v>6792</v>
      </c>
      <c r="C1160" s="106" t="s">
        <v>560</v>
      </c>
      <c r="D1160" s="107" t="n">
        <v>168</v>
      </c>
      <c r="E1160" s="107" t="n">
        <v>127.68</v>
      </c>
      <c r="F1160" s="130" t="n">
        <v>0.75</v>
      </c>
      <c r="G1160" s="106" t="s">
        <v>1411</v>
      </c>
      <c r="H1160" s="106" t="n">
        <v>0</v>
      </c>
      <c r="I1160" s="106" t="s">
        <v>6794</v>
      </c>
      <c r="J1160" s="106" t="s">
        <v>6793</v>
      </c>
      <c r="K1160" s="106" t="s">
        <v>6793</v>
      </c>
      <c r="L1160" s="106" t="s">
        <v>6793</v>
      </c>
      <c r="M1160" s="117"/>
      <c r="N1160" s="106" t="n">
        <v>0</v>
      </c>
      <c r="O1160" s="106"/>
      <c r="P1160" s="27" t="s">
        <v>6983</v>
      </c>
    </row>
    <row r="1161" customFormat="false" ht="15" hidden="false" customHeight="false" outlineLevel="0" collapsed="false">
      <c r="A1161" s="106" t="s">
        <v>7857</v>
      </c>
      <c r="B1161" s="106" t="s">
        <v>6792</v>
      </c>
      <c r="C1161" s="106" t="s">
        <v>185</v>
      </c>
      <c r="D1161" s="107" t="n">
        <v>167</v>
      </c>
      <c r="E1161" s="107" t="n">
        <v>126.92</v>
      </c>
      <c r="F1161" s="130" t="n">
        <v>0.62</v>
      </c>
      <c r="G1161" s="106" t="s">
        <v>1411</v>
      </c>
      <c r="H1161" s="106" t="n">
        <v>0</v>
      </c>
      <c r="I1161" s="106" t="s">
        <v>6793</v>
      </c>
      <c r="J1161" s="106" t="s">
        <v>6794</v>
      </c>
      <c r="K1161" s="106" t="s">
        <v>6799</v>
      </c>
      <c r="L1161" s="106" t="s">
        <v>6793</v>
      </c>
      <c r="M1161" s="117"/>
      <c r="N1161" s="106" t="n">
        <v>0</v>
      </c>
      <c r="O1161" s="106"/>
      <c r="P1161" s="27" t="s">
        <v>6795</v>
      </c>
    </row>
    <row r="1162" customFormat="false" ht="22.35" hidden="false" customHeight="false" outlineLevel="0" collapsed="false">
      <c r="A1162" s="106" t="s">
        <v>7858</v>
      </c>
      <c r="B1162" s="106" t="s">
        <v>7101</v>
      </c>
      <c r="C1162" s="106"/>
      <c r="D1162" s="107" t="n">
        <v>164</v>
      </c>
      <c r="E1162" s="107" t="n">
        <v>124.64</v>
      </c>
      <c r="F1162" s="130" t="n">
        <v>0.9</v>
      </c>
      <c r="G1162" s="106" t="s">
        <v>1411</v>
      </c>
      <c r="H1162" s="106" t="n">
        <v>0</v>
      </c>
      <c r="I1162" s="106" t="s">
        <v>6793</v>
      </c>
      <c r="J1162" s="106" t="s">
        <v>6793</v>
      </c>
      <c r="K1162" s="106" t="s">
        <v>6793</v>
      </c>
      <c r="L1162" s="106" t="s">
        <v>6793</v>
      </c>
      <c r="M1162" s="117"/>
      <c r="N1162" s="106" t="n">
        <v>0</v>
      </c>
      <c r="O1162" s="106"/>
      <c r="P1162" s="27" t="s">
        <v>7447</v>
      </c>
    </row>
    <row r="1163" customFormat="false" ht="15" hidden="false" customHeight="false" outlineLevel="0" collapsed="false">
      <c r="A1163" s="106" t="s">
        <v>7859</v>
      </c>
      <c r="B1163" s="106" t="s">
        <v>6792</v>
      </c>
      <c r="C1163" s="106" t="s">
        <v>185</v>
      </c>
      <c r="D1163" s="107" t="n">
        <v>162</v>
      </c>
      <c r="E1163" s="107" t="n">
        <v>123.12</v>
      </c>
      <c r="F1163" s="130" t="n">
        <v>0.62</v>
      </c>
      <c r="G1163" s="106" t="s">
        <v>1411</v>
      </c>
      <c r="H1163" s="106" t="n">
        <v>0</v>
      </c>
      <c r="I1163" s="106" t="s">
        <v>6793</v>
      </c>
      <c r="J1163" s="106" t="s">
        <v>6794</v>
      </c>
      <c r="K1163" s="106" t="s">
        <v>6799</v>
      </c>
      <c r="L1163" s="106" t="s">
        <v>6793</v>
      </c>
      <c r="M1163" s="117"/>
      <c r="N1163" s="106" t="n">
        <v>0</v>
      </c>
      <c r="O1163" s="106"/>
      <c r="P1163" s="27" t="s">
        <v>6795</v>
      </c>
    </row>
    <row r="1164" customFormat="false" ht="22.35" hidden="false" customHeight="false" outlineLevel="0" collapsed="false">
      <c r="A1164" s="106" t="s">
        <v>7860</v>
      </c>
      <c r="B1164" s="106" t="s">
        <v>7101</v>
      </c>
      <c r="C1164" s="106"/>
      <c r="D1164" s="107" t="n">
        <v>159</v>
      </c>
      <c r="E1164" s="107" t="n">
        <v>120.84</v>
      </c>
      <c r="F1164" s="130" t="n">
        <v>0.8</v>
      </c>
      <c r="G1164" s="106" t="s">
        <v>1411</v>
      </c>
      <c r="H1164" s="106" t="n">
        <v>0</v>
      </c>
      <c r="I1164" s="106" t="s">
        <v>6793</v>
      </c>
      <c r="J1164" s="106" t="s">
        <v>6799</v>
      </c>
      <c r="K1164" s="106" t="s">
        <v>6793</v>
      </c>
      <c r="L1164" s="106" t="s">
        <v>6793</v>
      </c>
      <c r="M1164" s="117"/>
      <c r="N1164" s="106" t="n">
        <v>0</v>
      </c>
      <c r="O1164" s="106"/>
      <c r="P1164" s="27" t="s">
        <v>7447</v>
      </c>
    </row>
    <row r="1165" customFormat="false" ht="22.35" hidden="false" customHeight="false" outlineLevel="0" collapsed="false">
      <c r="A1165" s="106" t="s">
        <v>4960</v>
      </c>
      <c r="B1165" s="106" t="s">
        <v>7101</v>
      </c>
      <c r="C1165" s="106" t="s">
        <v>560</v>
      </c>
      <c r="D1165" s="107" t="n">
        <v>537</v>
      </c>
      <c r="E1165" s="107" t="n">
        <v>120</v>
      </c>
      <c r="F1165" s="130" t="n">
        <v>1</v>
      </c>
      <c r="G1165" s="106" t="s">
        <v>1411</v>
      </c>
      <c r="H1165" s="106" t="n">
        <v>2.5</v>
      </c>
      <c r="I1165" s="106" t="s">
        <v>6793</v>
      </c>
      <c r="J1165" s="106" t="s">
        <v>6793</v>
      </c>
      <c r="K1165" s="106" t="s">
        <v>6793</v>
      </c>
      <c r="L1165" s="106" t="s">
        <v>6793</v>
      </c>
      <c r="M1165" s="117" t="n">
        <v>0.0285714285714285</v>
      </c>
      <c r="N1165" s="106" t="n">
        <v>4</v>
      </c>
      <c r="O1165" s="106" t="n">
        <v>0</v>
      </c>
      <c r="P1165" s="27" t="s">
        <v>7861</v>
      </c>
    </row>
    <row r="1166" customFormat="false" ht="22.35" hidden="false" customHeight="false" outlineLevel="0" collapsed="false">
      <c r="A1166" s="106" t="s">
        <v>7862</v>
      </c>
      <c r="B1166" s="106" t="s">
        <v>7101</v>
      </c>
      <c r="C1166" s="106" t="s">
        <v>696</v>
      </c>
      <c r="D1166" s="107" t="n">
        <v>155</v>
      </c>
      <c r="E1166" s="107" t="n">
        <v>117.8</v>
      </c>
      <c r="F1166" s="130" t="n">
        <v>1</v>
      </c>
      <c r="G1166" s="106" t="s">
        <v>1411</v>
      </c>
      <c r="H1166" s="106" t="n">
        <v>0</v>
      </c>
      <c r="I1166" s="106" t="s">
        <v>6793</v>
      </c>
      <c r="J1166" s="106" t="s">
        <v>6793</v>
      </c>
      <c r="K1166" s="106" t="s">
        <v>6793</v>
      </c>
      <c r="L1166" s="106" t="s">
        <v>6793</v>
      </c>
      <c r="M1166" s="117"/>
      <c r="N1166" s="106" t="n">
        <v>0</v>
      </c>
      <c r="O1166" s="106"/>
      <c r="P1166" s="27" t="s">
        <v>7447</v>
      </c>
    </row>
    <row r="1167" customFormat="false" ht="22.35" hidden="false" customHeight="false" outlineLevel="0" collapsed="false">
      <c r="A1167" s="106" t="s">
        <v>5309</v>
      </c>
      <c r="B1167" s="106" t="s">
        <v>7101</v>
      </c>
      <c r="C1167" s="106" t="s">
        <v>185</v>
      </c>
      <c r="D1167" s="107" t="n">
        <v>154</v>
      </c>
      <c r="E1167" s="107" t="n">
        <v>117.04</v>
      </c>
      <c r="F1167" s="130" t="n">
        <v>1</v>
      </c>
      <c r="G1167" s="106" t="s">
        <v>1411</v>
      </c>
      <c r="H1167" s="106" t="n">
        <v>0</v>
      </c>
      <c r="I1167" s="106" t="s">
        <v>6793</v>
      </c>
      <c r="J1167" s="106" t="s">
        <v>6793</v>
      </c>
      <c r="K1167" s="106" t="s">
        <v>6793</v>
      </c>
      <c r="L1167" s="106" t="s">
        <v>6793</v>
      </c>
      <c r="M1167" s="117"/>
      <c r="N1167" s="106" t="n">
        <v>5</v>
      </c>
      <c r="O1167" s="106" t="n">
        <v>0</v>
      </c>
      <c r="P1167" s="27" t="s">
        <v>7447</v>
      </c>
    </row>
    <row r="1168" customFormat="false" ht="22.35" hidden="false" customHeight="false" outlineLevel="0" collapsed="false">
      <c r="A1168" s="106" t="s">
        <v>5489</v>
      </c>
      <c r="B1168" s="106" t="s">
        <v>7101</v>
      </c>
      <c r="C1168" s="106" t="s">
        <v>696</v>
      </c>
      <c r="D1168" s="107" t="n">
        <v>154</v>
      </c>
      <c r="E1168" s="107" t="n">
        <v>117.04</v>
      </c>
      <c r="F1168" s="130" t="n">
        <v>1</v>
      </c>
      <c r="G1168" s="106" t="s">
        <v>1411</v>
      </c>
      <c r="H1168" s="106" t="n">
        <v>0</v>
      </c>
      <c r="I1168" s="106" t="s">
        <v>6793</v>
      </c>
      <c r="J1168" s="106" t="s">
        <v>6793</v>
      </c>
      <c r="K1168" s="106" t="s">
        <v>6793</v>
      </c>
      <c r="L1168" s="106" t="s">
        <v>6793</v>
      </c>
      <c r="M1168" s="117"/>
      <c r="N1168" s="106" t="n">
        <v>2</v>
      </c>
      <c r="O1168" s="106" t="n">
        <v>0</v>
      </c>
      <c r="P1168" s="27" t="s">
        <v>7447</v>
      </c>
    </row>
    <row r="1169" customFormat="false" ht="22.35" hidden="false" customHeight="false" outlineLevel="0" collapsed="false">
      <c r="A1169" s="106" t="s">
        <v>7863</v>
      </c>
      <c r="B1169" s="106" t="s">
        <v>7101</v>
      </c>
      <c r="C1169" s="106" t="s">
        <v>479</v>
      </c>
      <c r="D1169" s="107" t="n">
        <v>152</v>
      </c>
      <c r="E1169" s="107" t="n">
        <v>115.52</v>
      </c>
      <c r="F1169" s="130" t="n">
        <v>1</v>
      </c>
      <c r="G1169" s="106" t="s">
        <v>1411</v>
      </c>
      <c r="H1169" s="106" t="n">
        <v>0</v>
      </c>
      <c r="I1169" s="106" t="s">
        <v>6793</v>
      </c>
      <c r="J1169" s="106" t="s">
        <v>6793</v>
      </c>
      <c r="K1169" s="106" t="s">
        <v>6793</v>
      </c>
      <c r="L1169" s="106" t="s">
        <v>6793</v>
      </c>
      <c r="M1169" s="117"/>
      <c r="N1169" s="106" t="n">
        <v>0</v>
      </c>
      <c r="O1169" s="106"/>
      <c r="P1169" s="27" t="s">
        <v>7447</v>
      </c>
    </row>
    <row r="1170" customFormat="false" ht="15" hidden="false" customHeight="false" outlineLevel="0" collapsed="false">
      <c r="A1170" s="106" t="s">
        <v>7864</v>
      </c>
      <c r="B1170" s="106" t="s">
        <v>6792</v>
      </c>
      <c r="C1170" s="106"/>
      <c r="D1170" s="107" t="n">
        <v>152</v>
      </c>
      <c r="E1170" s="107" t="n">
        <v>115.52</v>
      </c>
      <c r="F1170" s="130" t="n">
        <v>0.7</v>
      </c>
      <c r="G1170" s="106" t="s">
        <v>1411</v>
      </c>
      <c r="H1170" s="106" t="n">
        <v>0</v>
      </c>
      <c r="I1170" s="106" t="s">
        <v>6794</v>
      </c>
      <c r="J1170" s="106" t="s">
        <v>6793</v>
      </c>
      <c r="K1170" s="106" t="s">
        <v>6793</v>
      </c>
      <c r="L1170" s="106" t="s">
        <v>6793</v>
      </c>
      <c r="M1170" s="117"/>
      <c r="N1170" s="106" t="n">
        <v>0</v>
      </c>
      <c r="O1170" s="106"/>
      <c r="P1170" s="27" t="s">
        <v>6885</v>
      </c>
    </row>
    <row r="1171" customFormat="false" ht="15" hidden="false" customHeight="false" outlineLevel="0" collapsed="false">
      <c r="A1171" s="106" t="s">
        <v>7865</v>
      </c>
      <c r="B1171" s="106" t="s">
        <v>6792</v>
      </c>
      <c r="C1171" s="106"/>
      <c r="D1171" s="107" t="n">
        <v>149</v>
      </c>
      <c r="E1171" s="107" t="n">
        <v>113.24</v>
      </c>
      <c r="F1171" s="130" t="n">
        <v>0.55</v>
      </c>
      <c r="G1171" s="106" t="s">
        <v>1411</v>
      </c>
      <c r="H1171" s="106" t="n">
        <v>0</v>
      </c>
      <c r="I1171" s="106" t="s">
        <v>6794</v>
      </c>
      <c r="J1171" s="106" t="s">
        <v>6793</v>
      </c>
      <c r="K1171" s="106" t="s">
        <v>6793</v>
      </c>
      <c r="L1171" s="106" t="s">
        <v>6794</v>
      </c>
      <c r="M1171" s="117"/>
      <c r="N1171" s="106" t="n">
        <v>0</v>
      </c>
      <c r="O1171" s="106"/>
      <c r="P1171" s="27" t="s">
        <v>7653</v>
      </c>
    </row>
    <row r="1172" customFormat="false" ht="32.8" hidden="false" customHeight="false" outlineLevel="0" collapsed="false">
      <c r="A1172" s="106" t="s">
        <v>7866</v>
      </c>
      <c r="B1172" s="106" t="s">
        <v>7101</v>
      </c>
      <c r="C1172" s="106" t="s">
        <v>185</v>
      </c>
      <c r="D1172" s="107" t="n">
        <v>149</v>
      </c>
      <c r="E1172" s="107" t="n">
        <v>113.24</v>
      </c>
      <c r="F1172" s="130" t="n">
        <v>1</v>
      </c>
      <c r="G1172" s="106" t="s">
        <v>1411</v>
      </c>
      <c r="H1172" s="106" t="n">
        <v>1.5</v>
      </c>
      <c r="I1172" s="106" t="s">
        <v>6793</v>
      </c>
      <c r="J1172" s="106" t="s">
        <v>6793</v>
      </c>
      <c r="K1172" s="106" t="s">
        <v>6793</v>
      </c>
      <c r="L1172" s="106" t="s">
        <v>6793</v>
      </c>
      <c r="M1172" s="117"/>
      <c r="N1172" s="106" t="n">
        <v>0</v>
      </c>
      <c r="O1172" s="106"/>
      <c r="P1172" s="27" t="s">
        <v>7613</v>
      </c>
    </row>
    <row r="1173" customFormat="false" ht="22.35" hidden="false" customHeight="false" outlineLevel="0" collapsed="false">
      <c r="A1173" s="106" t="s">
        <v>5337</v>
      </c>
      <c r="B1173" s="106" t="s">
        <v>7101</v>
      </c>
      <c r="C1173" s="106" t="s">
        <v>560</v>
      </c>
      <c r="D1173" s="107" t="n">
        <v>148</v>
      </c>
      <c r="E1173" s="107" t="n">
        <v>112.48</v>
      </c>
      <c r="F1173" s="130" t="n">
        <v>1</v>
      </c>
      <c r="G1173" s="106" t="s">
        <v>1411</v>
      </c>
      <c r="H1173" s="106" t="n">
        <v>1</v>
      </c>
      <c r="I1173" s="106" t="s">
        <v>6793</v>
      </c>
      <c r="J1173" s="106" t="s">
        <v>6793</v>
      </c>
      <c r="K1173" s="106" t="s">
        <v>6793</v>
      </c>
      <c r="L1173" s="106" t="s">
        <v>6793</v>
      </c>
      <c r="M1173" s="117"/>
      <c r="N1173" s="106" t="n">
        <v>4</v>
      </c>
      <c r="O1173" s="106" t="n">
        <v>0</v>
      </c>
      <c r="P1173" s="27" t="s">
        <v>7515</v>
      </c>
    </row>
    <row r="1174" customFormat="false" ht="22.35" hidden="false" customHeight="false" outlineLevel="0" collapsed="false">
      <c r="A1174" s="106" t="s">
        <v>7867</v>
      </c>
      <c r="B1174" s="106" t="s">
        <v>7101</v>
      </c>
      <c r="C1174" s="106"/>
      <c r="D1174" s="107" t="n">
        <v>145</v>
      </c>
      <c r="E1174" s="107" t="n">
        <v>110.2</v>
      </c>
      <c r="F1174" s="130" t="n">
        <v>0.95</v>
      </c>
      <c r="G1174" s="106" t="s">
        <v>1411</v>
      </c>
      <c r="H1174" s="106" t="n">
        <v>0</v>
      </c>
      <c r="I1174" s="106" t="s">
        <v>6793</v>
      </c>
      <c r="J1174" s="106" t="s">
        <v>6793</v>
      </c>
      <c r="K1174" s="106" t="s">
        <v>6793</v>
      </c>
      <c r="L1174" s="106" t="s">
        <v>6793</v>
      </c>
      <c r="M1174" s="117"/>
      <c r="N1174" s="106" t="n">
        <v>0</v>
      </c>
      <c r="O1174" s="106"/>
      <c r="P1174" s="27" t="s">
        <v>7447</v>
      </c>
    </row>
    <row r="1175" customFormat="false" ht="32.8" hidden="false" customHeight="false" outlineLevel="0" collapsed="false">
      <c r="A1175" s="106" t="s">
        <v>5625</v>
      </c>
      <c r="B1175" s="106" t="s">
        <v>7101</v>
      </c>
      <c r="C1175" s="106" t="s">
        <v>479</v>
      </c>
      <c r="D1175" s="107" t="n">
        <v>144</v>
      </c>
      <c r="E1175" s="107" t="n">
        <v>109.44</v>
      </c>
      <c r="F1175" s="130" t="n">
        <v>1</v>
      </c>
      <c r="G1175" s="106" t="s">
        <v>1411</v>
      </c>
      <c r="H1175" s="106" t="n">
        <v>1.5</v>
      </c>
      <c r="I1175" s="106" t="s">
        <v>6793</v>
      </c>
      <c r="J1175" s="106" t="s">
        <v>6793</v>
      </c>
      <c r="K1175" s="106" t="s">
        <v>6793</v>
      </c>
      <c r="L1175" s="106" t="s">
        <v>6793</v>
      </c>
      <c r="M1175" s="117"/>
      <c r="N1175" s="106" t="n">
        <v>1</v>
      </c>
      <c r="O1175" s="106" t="n">
        <v>0</v>
      </c>
      <c r="P1175" s="27" t="s">
        <v>7503</v>
      </c>
    </row>
    <row r="1176" customFormat="false" ht="22.35" hidden="false" customHeight="false" outlineLevel="0" collapsed="false">
      <c r="A1176" s="106" t="s">
        <v>5963</v>
      </c>
      <c r="B1176" s="106" t="s">
        <v>7101</v>
      </c>
      <c r="C1176" s="106" t="s">
        <v>479</v>
      </c>
      <c r="D1176" s="107" t="n">
        <v>143</v>
      </c>
      <c r="E1176" s="107" t="n">
        <v>108.68</v>
      </c>
      <c r="F1176" s="130" t="n">
        <v>1</v>
      </c>
      <c r="G1176" s="106" t="s">
        <v>1411</v>
      </c>
      <c r="H1176" s="106" t="n">
        <v>0</v>
      </c>
      <c r="I1176" s="106" t="s">
        <v>6793</v>
      </c>
      <c r="J1176" s="106" t="s">
        <v>6793</v>
      </c>
      <c r="K1176" s="106" t="s">
        <v>6793</v>
      </c>
      <c r="L1176" s="106" t="s">
        <v>6793</v>
      </c>
      <c r="M1176" s="117"/>
      <c r="N1176" s="106" t="n">
        <v>1</v>
      </c>
      <c r="O1176" s="106" t="n">
        <v>0</v>
      </c>
      <c r="P1176" s="27" t="s">
        <v>7447</v>
      </c>
    </row>
    <row r="1177" customFormat="false" ht="22.35" hidden="false" customHeight="false" outlineLevel="0" collapsed="false">
      <c r="A1177" s="106" t="s">
        <v>7868</v>
      </c>
      <c r="B1177" s="106" t="s">
        <v>7101</v>
      </c>
      <c r="C1177" s="106" t="s">
        <v>696</v>
      </c>
      <c r="D1177" s="107" t="n">
        <v>142</v>
      </c>
      <c r="E1177" s="107" t="n">
        <v>107.92</v>
      </c>
      <c r="F1177" s="130" t="n">
        <v>1</v>
      </c>
      <c r="G1177" s="106" t="s">
        <v>1411</v>
      </c>
      <c r="H1177" s="106" t="n">
        <v>0</v>
      </c>
      <c r="I1177" s="106" t="s">
        <v>6793</v>
      </c>
      <c r="J1177" s="106" t="s">
        <v>6793</v>
      </c>
      <c r="K1177" s="106" t="s">
        <v>6793</v>
      </c>
      <c r="L1177" s="106" t="s">
        <v>6793</v>
      </c>
      <c r="M1177" s="117"/>
      <c r="N1177" s="106" t="n">
        <v>0</v>
      </c>
      <c r="O1177" s="106"/>
      <c r="P1177" s="27" t="s">
        <v>7447</v>
      </c>
    </row>
    <row r="1178" customFormat="false" ht="15" hidden="false" customHeight="false" outlineLevel="0" collapsed="false">
      <c r="A1178" s="106" t="s">
        <v>5788</v>
      </c>
      <c r="B1178" s="106" t="s">
        <v>6792</v>
      </c>
      <c r="C1178" s="106"/>
      <c r="D1178" s="107" t="n">
        <v>141</v>
      </c>
      <c r="E1178" s="107" t="n">
        <v>107.16</v>
      </c>
      <c r="F1178" s="130" t="n">
        <v>0.7</v>
      </c>
      <c r="G1178" s="106" t="s">
        <v>1411</v>
      </c>
      <c r="H1178" s="106" t="n">
        <v>0</v>
      </c>
      <c r="I1178" s="106" t="s">
        <v>6794</v>
      </c>
      <c r="J1178" s="106" t="s">
        <v>6793</v>
      </c>
      <c r="K1178" s="106" t="s">
        <v>6793</v>
      </c>
      <c r="L1178" s="106" t="s">
        <v>6793</v>
      </c>
      <c r="M1178" s="117"/>
      <c r="N1178" s="106" t="n">
        <v>1</v>
      </c>
      <c r="O1178" s="106" t="n">
        <v>0</v>
      </c>
      <c r="P1178" s="27" t="s">
        <v>6983</v>
      </c>
    </row>
    <row r="1179" customFormat="false" ht="22.35" hidden="false" customHeight="false" outlineLevel="0" collapsed="false">
      <c r="A1179" s="106" t="s">
        <v>7869</v>
      </c>
      <c r="B1179" s="106" t="s">
        <v>7101</v>
      </c>
      <c r="C1179" s="106" t="s">
        <v>560</v>
      </c>
      <c r="D1179" s="107" t="n">
        <v>141</v>
      </c>
      <c r="E1179" s="107" t="n">
        <v>107.16</v>
      </c>
      <c r="F1179" s="130" t="n">
        <v>0.85</v>
      </c>
      <c r="G1179" s="106" t="s">
        <v>1411</v>
      </c>
      <c r="H1179" s="106" t="n">
        <v>0</v>
      </c>
      <c r="I1179" s="106" t="s">
        <v>6793</v>
      </c>
      <c r="J1179" s="106" t="s">
        <v>6799</v>
      </c>
      <c r="K1179" s="106" t="s">
        <v>6793</v>
      </c>
      <c r="L1179" s="106" t="s">
        <v>6793</v>
      </c>
      <c r="M1179" s="117"/>
      <c r="N1179" s="106" t="n">
        <v>0</v>
      </c>
      <c r="O1179" s="106"/>
      <c r="P1179" s="27" t="s">
        <v>7447</v>
      </c>
    </row>
    <row r="1180" customFormat="false" ht="32.8" hidden="false" customHeight="false" outlineLevel="0" collapsed="false">
      <c r="A1180" s="106" t="s">
        <v>5805</v>
      </c>
      <c r="B1180" s="106" t="s">
        <v>7101</v>
      </c>
      <c r="C1180" s="106" t="s">
        <v>696</v>
      </c>
      <c r="D1180" s="107" t="n">
        <v>140</v>
      </c>
      <c r="E1180" s="107" t="n">
        <v>106.4</v>
      </c>
      <c r="F1180" s="130" t="n">
        <v>1</v>
      </c>
      <c r="G1180" s="106" t="s">
        <v>1411</v>
      </c>
      <c r="H1180" s="106" t="n">
        <v>1.5</v>
      </c>
      <c r="I1180" s="106" t="s">
        <v>6793</v>
      </c>
      <c r="J1180" s="106" t="s">
        <v>6793</v>
      </c>
      <c r="K1180" s="106" t="s">
        <v>6793</v>
      </c>
      <c r="L1180" s="106" t="s">
        <v>6793</v>
      </c>
      <c r="M1180" s="117"/>
      <c r="N1180" s="106" t="n">
        <v>1</v>
      </c>
      <c r="O1180" s="106" t="n">
        <v>0</v>
      </c>
      <c r="P1180" s="27" t="s">
        <v>7606</v>
      </c>
    </row>
    <row r="1181" customFormat="false" ht="22.35" hidden="false" customHeight="false" outlineLevel="0" collapsed="false">
      <c r="A1181" s="106" t="s">
        <v>7870</v>
      </c>
      <c r="B1181" s="106" t="s">
        <v>7101</v>
      </c>
      <c r="C1181" s="106" t="s">
        <v>696</v>
      </c>
      <c r="D1181" s="107" t="n">
        <v>140</v>
      </c>
      <c r="E1181" s="107" t="n">
        <v>106.4</v>
      </c>
      <c r="F1181" s="130" t="n">
        <v>1</v>
      </c>
      <c r="G1181" s="106" t="s">
        <v>1411</v>
      </c>
      <c r="H1181" s="106" t="n">
        <v>0</v>
      </c>
      <c r="I1181" s="106" t="s">
        <v>6793</v>
      </c>
      <c r="J1181" s="106" t="s">
        <v>6793</v>
      </c>
      <c r="K1181" s="106" t="s">
        <v>6793</v>
      </c>
      <c r="L1181" s="106" t="s">
        <v>6793</v>
      </c>
      <c r="M1181" s="117"/>
      <c r="N1181" s="106" t="n">
        <v>0</v>
      </c>
      <c r="O1181" s="106"/>
      <c r="P1181" s="27" t="s">
        <v>7447</v>
      </c>
    </row>
    <row r="1182" customFormat="false" ht="15" hidden="false" customHeight="false" outlineLevel="0" collapsed="false">
      <c r="A1182" s="106" t="s">
        <v>7871</v>
      </c>
      <c r="B1182" s="106" t="s">
        <v>6792</v>
      </c>
      <c r="C1182" s="106"/>
      <c r="D1182" s="107" t="n">
        <v>138</v>
      </c>
      <c r="E1182" s="107" t="n">
        <v>104.88</v>
      </c>
      <c r="F1182" s="130" t="n">
        <v>0.7</v>
      </c>
      <c r="G1182" s="106" t="s">
        <v>1411</v>
      </c>
      <c r="H1182" s="106" t="n">
        <v>0</v>
      </c>
      <c r="I1182" s="106" t="s">
        <v>6794</v>
      </c>
      <c r="J1182" s="106" t="s">
        <v>6793</v>
      </c>
      <c r="K1182" s="106" t="s">
        <v>6793</v>
      </c>
      <c r="L1182" s="106" t="s">
        <v>6793</v>
      </c>
      <c r="M1182" s="117"/>
      <c r="N1182" s="106" t="n">
        <v>0</v>
      </c>
      <c r="O1182" s="106"/>
      <c r="P1182" s="27" t="s">
        <v>6885</v>
      </c>
    </row>
    <row r="1183" customFormat="false" ht="15" hidden="false" customHeight="false" outlineLevel="0" collapsed="false">
      <c r="A1183" s="106" t="s">
        <v>5782</v>
      </c>
      <c r="B1183" s="106" t="s">
        <v>6792</v>
      </c>
      <c r="C1183" s="106" t="s">
        <v>560</v>
      </c>
      <c r="D1183" s="107" t="n">
        <v>136</v>
      </c>
      <c r="E1183" s="107" t="n">
        <v>103.36</v>
      </c>
      <c r="F1183" s="130" t="n">
        <v>0.85</v>
      </c>
      <c r="G1183" s="106" t="s">
        <v>1411</v>
      </c>
      <c r="H1183" s="106" t="n">
        <v>0</v>
      </c>
      <c r="I1183" s="106" t="s">
        <v>6793</v>
      </c>
      <c r="J1183" s="106" t="s">
        <v>6793</v>
      </c>
      <c r="K1183" s="106" t="s">
        <v>6793</v>
      </c>
      <c r="L1183" s="106" t="s">
        <v>6794</v>
      </c>
      <c r="M1183" s="117"/>
      <c r="N1183" s="106" t="n">
        <v>1</v>
      </c>
      <c r="O1183" s="106" t="n">
        <v>0</v>
      </c>
      <c r="P1183" s="27" t="s">
        <v>7569</v>
      </c>
    </row>
    <row r="1184" customFormat="false" ht="22.35" hidden="false" customHeight="false" outlineLevel="0" collapsed="false">
      <c r="A1184" s="106" t="s">
        <v>5624</v>
      </c>
      <c r="B1184" s="106" t="s">
        <v>7101</v>
      </c>
      <c r="C1184" s="106"/>
      <c r="D1184" s="107" t="n">
        <v>134</v>
      </c>
      <c r="E1184" s="107" t="n">
        <v>101.84</v>
      </c>
      <c r="F1184" s="130" t="n">
        <v>0.95</v>
      </c>
      <c r="G1184" s="106" t="s">
        <v>1411</v>
      </c>
      <c r="H1184" s="106" t="n">
        <v>0</v>
      </c>
      <c r="I1184" s="106" t="s">
        <v>6793</v>
      </c>
      <c r="J1184" s="106" t="s">
        <v>6793</v>
      </c>
      <c r="K1184" s="106" t="s">
        <v>6793</v>
      </c>
      <c r="L1184" s="106" t="s">
        <v>6793</v>
      </c>
      <c r="M1184" s="117"/>
      <c r="N1184" s="106" t="n">
        <v>1</v>
      </c>
      <c r="O1184" s="106" t="n">
        <v>0</v>
      </c>
      <c r="P1184" s="27" t="s">
        <v>7447</v>
      </c>
    </row>
    <row r="1185" customFormat="false" ht="32.8" hidden="false" customHeight="false" outlineLevel="0" collapsed="false">
      <c r="A1185" s="106" t="s">
        <v>7872</v>
      </c>
      <c r="B1185" s="106" t="s">
        <v>7101</v>
      </c>
      <c r="C1185" s="106" t="s">
        <v>185</v>
      </c>
      <c r="D1185" s="107" t="n">
        <v>134</v>
      </c>
      <c r="E1185" s="107" t="n">
        <v>101.84</v>
      </c>
      <c r="F1185" s="130" t="n">
        <v>1</v>
      </c>
      <c r="G1185" s="106" t="s">
        <v>1411</v>
      </c>
      <c r="H1185" s="106" t="n">
        <v>1.5</v>
      </c>
      <c r="I1185" s="106" t="s">
        <v>6793</v>
      </c>
      <c r="J1185" s="106" t="s">
        <v>6793</v>
      </c>
      <c r="K1185" s="106" t="s">
        <v>6793</v>
      </c>
      <c r="L1185" s="106" t="s">
        <v>6793</v>
      </c>
      <c r="M1185" s="117"/>
      <c r="N1185" s="106" t="n">
        <v>0</v>
      </c>
      <c r="O1185" s="106"/>
      <c r="P1185" s="27" t="s">
        <v>7613</v>
      </c>
    </row>
    <row r="1186" customFormat="false" ht="22.35" hidden="false" customHeight="false" outlineLevel="0" collapsed="false">
      <c r="A1186" s="106" t="s">
        <v>7873</v>
      </c>
      <c r="B1186" s="106" t="s">
        <v>7101</v>
      </c>
      <c r="C1186" s="106"/>
      <c r="D1186" s="107" t="n">
        <v>133</v>
      </c>
      <c r="E1186" s="107" t="n">
        <v>101.08</v>
      </c>
      <c r="F1186" s="130" t="n">
        <v>0.95</v>
      </c>
      <c r="G1186" s="106" t="s">
        <v>1411</v>
      </c>
      <c r="H1186" s="106" t="n">
        <v>0</v>
      </c>
      <c r="I1186" s="106" t="s">
        <v>6793</v>
      </c>
      <c r="J1186" s="106" t="s">
        <v>6793</v>
      </c>
      <c r="K1186" s="106" t="s">
        <v>6793</v>
      </c>
      <c r="L1186" s="106" t="s">
        <v>6793</v>
      </c>
      <c r="M1186" s="117"/>
      <c r="N1186" s="106" t="n">
        <v>0</v>
      </c>
      <c r="O1186" s="106"/>
      <c r="P1186" s="27" t="s">
        <v>7447</v>
      </c>
    </row>
    <row r="1187" customFormat="false" ht="22.35" hidden="false" customHeight="false" outlineLevel="0" collapsed="false">
      <c r="A1187" s="106" t="s">
        <v>5418</v>
      </c>
      <c r="B1187" s="106" t="s">
        <v>7101</v>
      </c>
      <c r="C1187" s="106" t="s">
        <v>560</v>
      </c>
      <c r="D1187" s="107" t="n">
        <v>132</v>
      </c>
      <c r="E1187" s="107" t="n">
        <v>100.32</v>
      </c>
      <c r="F1187" s="130" t="n">
        <v>1</v>
      </c>
      <c r="G1187" s="106" t="s">
        <v>1411</v>
      </c>
      <c r="H1187" s="106" t="n">
        <v>0</v>
      </c>
      <c r="I1187" s="106" t="s">
        <v>6793</v>
      </c>
      <c r="J1187" s="106" t="s">
        <v>6793</v>
      </c>
      <c r="K1187" s="106" t="s">
        <v>6793</v>
      </c>
      <c r="L1187" s="106" t="s">
        <v>6793</v>
      </c>
      <c r="M1187" s="117"/>
      <c r="N1187" s="106" t="n">
        <v>3</v>
      </c>
      <c r="O1187" s="106" t="n">
        <v>100</v>
      </c>
      <c r="P1187" s="27" t="s">
        <v>7447</v>
      </c>
    </row>
    <row r="1188" customFormat="false" ht="22.35" hidden="false" customHeight="false" outlineLevel="0" collapsed="false">
      <c r="A1188" s="106" t="s">
        <v>7874</v>
      </c>
      <c r="B1188" s="106" t="s">
        <v>7101</v>
      </c>
      <c r="C1188" s="106" t="s">
        <v>479</v>
      </c>
      <c r="D1188" s="107" t="n">
        <v>130</v>
      </c>
      <c r="E1188" s="107" t="n">
        <v>98.8</v>
      </c>
      <c r="F1188" s="130" t="n">
        <v>1</v>
      </c>
      <c r="G1188" s="106" t="s">
        <v>1411</v>
      </c>
      <c r="H1188" s="106" t="n">
        <v>0</v>
      </c>
      <c r="I1188" s="106" t="s">
        <v>6793</v>
      </c>
      <c r="J1188" s="106" t="s">
        <v>6793</v>
      </c>
      <c r="K1188" s="106" t="s">
        <v>6793</v>
      </c>
      <c r="L1188" s="106" t="s">
        <v>6793</v>
      </c>
      <c r="M1188" s="117"/>
      <c r="N1188" s="106" t="n">
        <v>0</v>
      </c>
      <c r="O1188" s="106"/>
      <c r="P1188" s="27" t="s">
        <v>7875</v>
      </c>
    </row>
    <row r="1189" customFormat="false" ht="15" hidden="false" customHeight="false" outlineLevel="0" collapsed="false">
      <c r="A1189" s="106" t="s">
        <v>7876</v>
      </c>
      <c r="B1189" s="106" t="s">
        <v>6792</v>
      </c>
      <c r="C1189" s="106"/>
      <c r="D1189" s="107" t="n">
        <v>130</v>
      </c>
      <c r="E1189" s="107" t="n">
        <v>98.8</v>
      </c>
      <c r="F1189" s="130" t="n">
        <v>0.7</v>
      </c>
      <c r="G1189" s="106" t="s">
        <v>1411</v>
      </c>
      <c r="H1189" s="106" t="n">
        <v>0</v>
      </c>
      <c r="I1189" s="106" t="s">
        <v>6794</v>
      </c>
      <c r="J1189" s="106" t="s">
        <v>6793</v>
      </c>
      <c r="K1189" s="106" t="s">
        <v>6793</v>
      </c>
      <c r="L1189" s="106" t="s">
        <v>6793</v>
      </c>
      <c r="M1189" s="117"/>
      <c r="N1189" s="106" t="n">
        <v>0</v>
      </c>
      <c r="O1189" s="106"/>
      <c r="P1189" s="27" t="s">
        <v>6885</v>
      </c>
    </row>
    <row r="1190" customFormat="false" ht="22.35" hidden="false" customHeight="false" outlineLevel="0" collapsed="false">
      <c r="A1190" s="106" t="s">
        <v>5287</v>
      </c>
      <c r="B1190" s="106" t="s">
        <v>7101</v>
      </c>
      <c r="C1190" s="106" t="s">
        <v>185</v>
      </c>
      <c r="D1190" s="107" t="n">
        <v>127</v>
      </c>
      <c r="E1190" s="107" t="n">
        <v>96.52</v>
      </c>
      <c r="F1190" s="130" t="n">
        <v>1</v>
      </c>
      <c r="G1190" s="106" t="s">
        <v>1411</v>
      </c>
      <c r="H1190" s="106" t="n">
        <v>0</v>
      </c>
      <c r="I1190" s="106" t="s">
        <v>6793</v>
      </c>
      <c r="J1190" s="106" t="s">
        <v>6793</v>
      </c>
      <c r="K1190" s="106" t="s">
        <v>6793</v>
      </c>
      <c r="L1190" s="106" t="s">
        <v>6793</v>
      </c>
      <c r="M1190" s="117"/>
      <c r="N1190" s="106" t="n">
        <v>7</v>
      </c>
      <c r="O1190" s="106" t="n">
        <v>28.57</v>
      </c>
      <c r="P1190" s="27" t="s">
        <v>7877</v>
      </c>
    </row>
    <row r="1191" customFormat="false" ht="15" hidden="false" customHeight="false" outlineLevel="0" collapsed="false">
      <c r="A1191" s="106" t="s">
        <v>7878</v>
      </c>
      <c r="B1191" s="106" t="s">
        <v>6792</v>
      </c>
      <c r="C1191" s="106" t="s">
        <v>185</v>
      </c>
      <c r="D1191" s="107" t="n">
        <v>123</v>
      </c>
      <c r="E1191" s="107" t="n">
        <v>93.48</v>
      </c>
      <c r="F1191" s="130" t="n">
        <v>0.45</v>
      </c>
      <c r="G1191" s="106" t="s">
        <v>1411</v>
      </c>
      <c r="H1191" s="106" t="n">
        <v>0</v>
      </c>
      <c r="I1191" s="106" t="s">
        <v>6794</v>
      </c>
      <c r="J1191" s="106" t="s">
        <v>6794</v>
      </c>
      <c r="K1191" s="106" t="s">
        <v>6793</v>
      </c>
      <c r="L1191" s="106" t="s">
        <v>6793</v>
      </c>
      <c r="M1191" s="117"/>
      <c r="N1191" s="106" t="n">
        <v>0</v>
      </c>
      <c r="O1191" s="106"/>
      <c r="P1191" s="27" t="s">
        <v>6805</v>
      </c>
    </row>
    <row r="1192" customFormat="false" ht="22.35" hidden="false" customHeight="false" outlineLevel="0" collapsed="false">
      <c r="A1192" s="106" t="s">
        <v>7879</v>
      </c>
      <c r="B1192" s="106" t="s">
        <v>7101</v>
      </c>
      <c r="C1192" s="106" t="s">
        <v>185</v>
      </c>
      <c r="D1192" s="107" t="n">
        <v>121</v>
      </c>
      <c r="E1192" s="107" t="n">
        <v>91.96</v>
      </c>
      <c r="F1192" s="130" t="n">
        <v>1</v>
      </c>
      <c r="G1192" s="106" t="s">
        <v>1411</v>
      </c>
      <c r="H1192" s="106" t="n">
        <v>0</v>
      </c>
      <c r="I1192" s="106" t="s">
        <v>6793</v>
      </c>
      <c r="J1192" s="106" t="s">
        <v>6793</v>
      </c>
      <c r="K1192" s="106" t="s">
        <v>6793</v>
      </c>
      <c r="L1192" s="106" t="s">
        <v>6793</v>
      </c>
      <c r="M1192" s="117"/>
      <c r="N1192" s="106" t="n">
        <v>0</v>
      </c>
      <c r="O1192" s="106"/>
      <c r="P1192" s="27" t="s">
        <v>7880</v>
      </c>
    </row>
    <row r="1193" customFormat="false" ht="22.35" hidden="false" customHeight="false" outlineLevel="0" collapsed="false">
      <c r="A1193" s="106" t="s">
        <v>7881</v>
      </c>
      <c r="B1193" s="106" t="s">
        <v>7101</v>
      </c>
      <c r="C1193" s="106"/>
      <c r="D1193" s="107" t="n">
        <v>121</v>
      </c>
      <c r="E1193" s="107" t="n">
        <v>91.96</v>
      </c>
      <c r="F1193" s="130" t="n">
        <v>0.95</v>
      </c>
      <c r="G1193" s="106" t="s">
        <v>1411</v>
      </c>
      <c r="H1193" s="106" t="n">
        <v>0</v>
      </c>
      <c r="I1193" s="106" t="s">
        <v>6793</v>
      </c>
      <c r="J1193" s="106" t="s">
        <v>6793</v>
      </c>
      <c r="K1193" s="106" t="s">
        <v>6793</v>
      </c>
      <c r="L1193" s="106" t="s">
        <v>6793</v>
      </c>
      <c r="M1193" s="117"/>
      <c r="N1193" s="106" t="n">
        <v>0</v>
      </c>
      <c r="O1193" s="106"/>
      <c r="P1193" s="27" t="s">
        <v>7882</v>
      </c>
    </row>
    <row r="1194" customFormat="false" ht="22.35" hidden="false" customHeight="false" outlineLevel="0" collapsed="false">
      <c r="A1194" s="106" t="s">
        <v>5244</v>
      </c>
      <c r="B1194" s="106" t="s">
        <v>6792</v>
      </c>
      <c r="C1194" s="106" t="s">
        <v>185</v>
      </c>
      <c r="D1194" s="107" t="n">
        <v>118</v>
      </c>
      <c r="E1194" s="107" t="n">
        <v>89.68</v>
      </c>
      <c r="F1194" s="130" t="n">
        <v>1</v>
      </c>
      <c r="G1194" s="106" t="s">
        <v>1411</v>
      </c>
      <c r="H1194" s="106" t="n">
        <v>-2</v>
      </c>
      <c r="I1194" s="106" t="s">
        <v>6793</v>
      </c>
      <c r="J1194" s="106" t="s">
        <v>6793</v>
      </c>
      <c r="K1194" s="106" t="s">
        <v>6793</v>
      </c>
      <c r="L1194" s="106" t="s">
        <v>6793</v>
      </c>
      <c r="M1194" s="117"/>
      <c r="N1194" s="106" t="n">
        <v>18</v>
      </c>
      <c r="O1194" s="106" t="n">
        <v>0</v>
      </c>
      <c r="P1194" s="27" t="s">
        <v>7883</v>
      </c>
    </row>
    <row r="1195" customFormat="false" ht="22.35" hidden="false" customHeight="false" outlineLevel="0" collapsed="false">
      <c r="A1195" s="106" t="s">
        <v>7884</v>
      </c>
      <c r="B1195" s="106" t="s">
        <v>7101</v>
      </c>
      <c r="C1195" s="106" t="s">
        <v>185</v>
      </c>
      <c r="D1195" s="107" t="n">
        <v>117</v>
      </c>
      <c r="E1195" s="107" t="n">
        <v>88.92</v>
      </c>
      <c r="F1195" s="130" t="n">
        <v>0.85</v>
      </c>
      <c r="G1195" s="106" t="s">
        <v>1411</v>
      </c>
      <c r="H1195" s="106" t="n">
        <v>0</v>
      </c>
      <c r="I1195" s="106" t="s">
        <v>6793</v>
      </c>
      <c r="J1195" s="106" t="s">
        <v>6799</v>
      </c>
      <c r="K1195" s="106" t="s">
        <v>6793</v>
      </c>
      <c r="L1195" s="106" t="s">
        <v>6793</v>
      </c>
      <c r="M1195" s="117"/>
      <c r="N1195" s="106" t="n">
        <v>0</v>
      </c>
      <c r="O1195" s="106"/>
      <c r="P1195" s="27" t="s">
        <v>7885</v>
      </c>
    </row>
    <row r="1196" customFormat="false" ht="15" hidden="false" customHeight="false" outlineLevel="0" collapsed="false">
      <c r="A1196" s="106" t="s">
        <v>7886</v>
      </c>
      <c r="B1196" s="106" t="s">
        <v>6792</v>
      </c>
      <c r="C1196" s="106"/>
      <c r="D1196" s="107" t="n">
        <v>116</v>
      </c>
      <c r="E1196" s="107" t="n">
        <v>88.16</v>
      </c>
      <c r="F1196" s="130" t="n">
        <v>0.8</v>
      </c>
      <c r="G1196" s="106" t="s">
        <v>1411</v>
      </c>
      <c r="H1196" s="106" t="n">
        <v>0</v>
      </c>
      <c r="I1196" s="106" t="s">
        <v>6793</v>
      </c>
      <c r="J1196" s="106" t="s">
        <v>6793</v>
      </c>
      <c r="K1196" s="106" t="s">
        <v>6793</v>
      </c>
      <c r="L1196" s="106" t="s">
        <v>6794</v>
      </c>
      <c r="M1196" s="117"/>
      <c r="N1196" s="106" t="n">
        <v>0</v>
      </c>
      <c r="O1196" s="106"/>
      <c r="P1196" s="27" t="s">
        <v>7754</v>
      </c>
    </row>
    <row r="1197" customFormat="false" ht="15" hidden="false" customHeight="false" outlineLevel="0" collapsed="false">
      <c r="A1197" s="106" t="s">
        <v>7887</v>
      </c>
      <c r="B1197" s="106" t="s">
        <v>6792</v>
      </c>
      <c r="C1197" s="106"/>
      <c r="D1197" s="107" t="n">
        <v>111</v>
      </c>
      <c r="E1197" s="107" t="n">
        <v>84.36</v>
      </c>
      <c r="F1197" s="130" t="n">
        <v>0.32</v>
      </c>
      <c r="G1197" s="106" t="s">
        <v>1411</v>
      </c>
      <c r="H1197" s="106" t="n">
        <v>0</v>
      </c>
      <c r="I1197" s="106" t="s">
        <v>6794</v>
      </c>
      <c r="J1197" s="106" t="s">
        <v>6794</v>
      </c>
      <c r="K1197" s="106" t="s">
        <v>6793</v>
      </c>
      <c r="L1197" s="106" t="s">
        <v>6799</v>
      </c>
      <c r="M1197" s="117"/>
      <c r="N1197" s="106" t="n">
        <v>0</v>
      </c>
      <c r="O1197" s="106"/>
      <c r="P1197" s="27" t="s">
        <v>6805</v>
      </c>
    </row>
    <row r="1198" customFormat="false" ht="22.35" hidden="false" customHeight="false" outlineLevel="0" collapsed="false">
      <c r="A1198" s="106" t="s">
        <v>5799</v>
      </c>
      <c r="B1198" s="106" t="s">
        <v>7101</v>
      </c>
      <c r="C1198" s="106" t="s">
        <v>479</v>
      </c>
      <c r="D1198" s="107" t="n">
        <v>110</v>
      </c>
      <c r="E1198" s="107" t="n">
        <v>83.6</v>
      </c>
      <c r="F1198" s="130" t="n">
        <v>1</v>
      </c>
      <c r="G1198" s="106" t="s">
        <v>1411</v>
      </c>
      <c r="H1198" s="106" t="n">
        <v>0</v>
      </c>
      <c r="I1198" s="106" t="s">
        <v>6793</v>
      </c>
      <c r="J1198" s="106" t="s">
        <v>6793</v>
      </c>
      <c r="K1198" s="106" t="s">
        <v>6793</v>
      </c>
      <c r="L1198" s="106" t="s">
        <v>6793</v>
      </c>
      <c r="M1198" s="117"/>
      <c r="N1198" s="106" t="n">
        <v>1</v>
      </c>
      <c r="O1198" s="106" t="n">
        <v>0</v>
      </c>
      <c r="P1198" s="27" t="s">
        <v>7888</v>
      </c>
    </row>
    <row r="1199" customFormat="false" ht="22.35" hidden="false" customHeight="false" outlineLevel="0" collapsed="false">
      <c r="A1199" s="106" t="s">
        <v>5783</v>
      </c>
      <c r="B1199" s="106" t="s">
        <v>7101</v>
      </c>
      <c r="C1199" s="106" t="s">
        <v>560</v>
      </c>
      <c r="D1199" s="107" t="n">
        <v>109</v>
      </c>
      <c r="E1199" s="107" t="n">
        <v>82.84</v>
      </c>
      <c r="F1199" s="130" t="n">
        <v>1</v>
      </c>
      <c r="G1199" s="106" t="s">
        <v>1411</v>
      </c>
      <c r="H1199" s="106" t="n">
        <v>0</v>
      </c>
      <c r="I1199" s="106" t="s">
        <v>6793</v>
      </c>
      <c r="J1199" s="106" t="s">
        <v>6793</v>
      </c>
      <c r="K1199" s="106" t="s">
        <v>6793</v>
      </c>
      <c r="L1199" s="106" t="s">
        <v>6793</v>
      </c>
      <c r="M1199" s="117"/>
      <c r="N1199" s="106" t="n">
        <v>1</v>
      </c>
      <c r="O1199" s="106" t="n">
        <v>0</v>
      </c>
      <c r="P1199" s="27" t="s">
        <v>7889</v>
      </c>
    </row>
    <row r="1200" customFormat="false" ht="22.35" hidden="false" customHeight="false" outlineLevel="0" collapsed="false">
      <c r="A1200" s="106" t="s">
        <v>5539</v>
      </c>
      <c r="B1200" s="106" t="s">
        <v>7101</v>
      </c>
      <c r="C1200" s="106" t="s">
        <v>185</v>
      </c>
      <c r="D1200" s="107" t="n">
        <v>108</v>
      </c>
      <c r="E1200" s="107" t="n">
        <v>82.08</v>
      </c>
      <c r="F1200" s="130" t="n">
        <v>1</v>
      </c>
      <c r="G1200" s="106" t="s">
        <v>1411</v>
      </c>
      <c r="H1200" s="106" t="n">
        <v>1.5</v>
      </c>
      <c r="I1200" s="106" t="s">
        <v>6793</v>
      </c>
      <c r="J1200" s="106" t="s">
        <v>6793</v>
      </c>
      <c r="K1200" s="106" t="s">
        <v>6793</v>
      </c>
      <c r="L1200" s="106" t="s">
        <v>6793</v>
      </c>
      <c r="M1200" s="117"/>
      <c r="N1200" s="106" t="n">
        <v>2</v>
      </c>
      <c r="O1200" s="106" t="n">
        <v>0</v>
      </c>
      <c r="P1200" s="27" t="s">
        <v>7890</v>
      </c>
    </row>
    <row r="1201" customFormat="false" ht="22.35" hidden="false" customHeight="false" outlineLevel="0" collapsed="false">
      <c r="A1201" s="106" t="s">
        <v>7891</v>
      </c>
      <c r="B1201" s="106" t="s">
        <v>7101</v>
      </c>
      <c r="C1201" s="106" t="s">
        <v>185</v>
      </c>
      <c r="D1201" s="107" t="n">
        <v>107</v>
      </c>
      <c r="E1201" s="107" t="n">
        <v>81.32</v>
      </c>
      <c r="F1201" s="130" t="n">
        <v>1</v>
      </c>
      <c r="G1201" s="106" t="s">
        <v>1411</v>
      </c>
      <c r="H1201" s="106" t="n">
        <v>0</v>
      </c>
      <c r="I1201" s="106" t="s">
        <v>6793</v>
      </c>
      <c r="J1201" s="106" t="s">
        <v>6793</v>
      </c>
      <c r="K1201" s="106" t="s">
        <v>6793</v>
      </c>
      <c r="L1201" s="106" t="s">
        <v>6793</v>
      </c>
      <c r="M1201" s="117"/>
      <c r="N1201" s="106" t="n">
        <v>0</v>
      </c>
      <c r="O1201" s="106"/>
      <c r="P1201" s="27" t="s">
        <v>7892</v>
      </c>
    </row>
    <row r="1202" customFormat="false" ht="15" hidden="false" customHeight="false" outlineLevel="0" collapsed="false">
      <c r="A1202" s="106" t="s">
        <v>7893</v>
      </c>
      <c r="B1202" s="106" t="s">
        <v>6792</v>
      </c>
      <c r="C1202" s="106" t="s">
        <v>479</v>
      </c>
      <c r="D1202" s="107" t="n">
        <v>107</v>
      </c>
      <c r="E1202" s="107" t="n">
        <v>81.32</v>
      </c>
      <c r="F1202" s="130" t="n">
        <v>0.62</v>
      </c>
      <c r="G1202" s="106" t="s">
        <v>1411</v>
      </c>
      <c r="H1202" s="106" t="n">
        <v>0</v>
      </c>
      <c r="I1202" s="106" t="s">
        <v>6793</v>
      </c>
      <c r="J1202" s="106" t="s">
        <v>6794</v>
      </c>
      <c r="K1202" s="106" t="s">
        <v>6799</v>
      </c>
      <c r="L1202" s="106" t="s">
        <v>6793</v>
      </c>
      <c r="M1202" s="117"/>
      <c r="N1202" s="106" t="n">
        <v>0</v>
      </c>
      <c r="O1202" s="106"/>
      <c r="P1202" s="27" t="s">
        <v>6795</v>
      </c>
    </row>
    <row r="1203" customFormat="false" ht="22.35" hidden="false" customHeight="false" outlineLevel="0" collapsed="false">
      <c r="A1203" s="106" t="s">
        <v>7894</v>
      </c>
      <c r="B1203" s="106" t="s">
        <v>7101</v>
      </c>
      <c r="C1203" s="106" t="s">
        <v>185</v>
      </c>
      <c r="D1203" s="107" t="n">
        <v>105</v>
      </c>
      <c r="E1203" s="107" t="n">
        <v>79.8</v>
      </c>
      <c r="F1203" s="130" t="n">
        <v>0.88</v>
      </c>
      <c r="G1203" s="106" t="s">
        <v>1411</v>
      </c>
      <c r="H1203" s="106" t="n">
        <v>0</v>
      </c>
      <c r="I1203" s="106" t="s">
        <v>6799</v>
      </c>
      <c r="J1203" s="106" t="s">
        <v>6793</v>
      </c>
      <c r="K1203" s="106" t="s">
        <v>6793</v>
      </c>
      <c r="L1203" s="106" t="s">
        <v>6793</v>
      </c>
      <c r="M1203" s="117"/>
      <c r="N1203" s="106" t="n">
        <v>0</v>
      </c>
      <c r="O1203" s="106"/>
      <c r="P1203" s="27" t="s">
        <v>7895</v>
      </c>
    </row>
    <row r="1204" customFormat="false" ht="22.35" hidden="false" customHeight="false" outlineLevel="0" collapsed="false">
      <c r="A1204" s="106" t="s">
        <v>7896</v>
      </c>
      <c r="B1204" s="106" t="s">
        <v>7101</v>
      </c>
      <c r="C1204" s="106" t="s">
        <v>185</v>
      </c>
      <c r="D1204" s="107" t="n">
        <v>104</v>
      </c>
      <c r="E1204" s="107" t="n">
        <v>79.04</v>
      </c>
      <c r="F1204" s="130" t="n">
        <v>1</v>
      </c>
      <c r="G1204" s="106" t="s">
        <v>1411</v>
      </c>
      <c r="H1204" s="106" t="n">
        <v>0</v>
      </c>
      <c r="I1204" s="106" t="s">
        <v>6793</v>
      </c>
      <c r="J1204" s="106" t="s">
        <v>6793</v>
      </c>
      <c r="K1204" s="106" t="s">
        <v>6793</v>
      </c>
      <c r="L1204" s="106" t="s">
        <v>6793</v>
      </c>
      <c r="M1204" s="117"/>
      <c r="N1204" s="106" t="n">
        <v>0</v>
      </c>
      <c r="O1204" s="106"/>
      <c r="P1204" s="27" t="s">
        <v>7897</v>
      </c>
    </row>
    <row r="1205" customFormat="false" ht="22.35" hidden="false" customHeight="false" outlineLevel="0" collapsed="false">
      <c r="A1205" s="106" t="s">
        <v>7898</v>
      </c>
      <c r="B1205" s="106" t="s">
        <v>7101</v>
      </c>
      <c r="C1205" s="106"/>
      <c r="D1205" s="107" t="n">
        <v>103</v>
      </c>
      <c r="E1205" s="107" t="n">
        <v>78.28</v>
      </c>
      <c r="F1205" s="130" t="n">
        <v>0.8</v>
      </c>
      <c r="G1205" s="106" t="s">
        <v>1411</v>
      </c>
      <c r="H1205" s="106" t="n">
        <v>0</v>
      </c>
      <c r="I1205" s="106" t="s">
        <v>6793</v>
      </c>
      <c r="J1205" s="106" t="s">
        <v>6799</v>
      </c>
      <c r="K1205" s="106" t="s">
        <v>6793</v>
      </c>
      <c r="L1205" s="106" t="s">
        <v>6793</v>
      </c>
      <c r="M1205" s="117"/>
      <c r="N1205" s="106" t="n">
        <v>0</v>
      </c>
      <c r="O1205" s="106"/>
      <c r="P1205" s="27" t="s">
        <v>7899</v>
      </c>
    </row>
    <row r="1206" customFormat="false" ht="22.35" hidden="false" customHeight="false" outlineLevel="0" collapsed="false">
      <c r="A1206" s="106" t="s">
        <v>7900</v>
      </c>
      <c r="B1206" s="106" t="s">
        <v>7101</v>
      </c>
      <c r="C1206" s="106"/>
      <c r="D1206" s="107" t="n">
        <v>101</v>
      </c>
      <c r="E1206" s="107" t="n">
        <v>76.76</v>
      </c>
      <c r="F1206" s="130" t="n">
        <v>0.82</v>
      </c>
      <c r="G1206" s="106" t="s">
        <v>1411</v>
      </c>
      <c r="H1206" s="106" t="n">
        <v>0</v>
      </c>
      <c r="I1206" s="106" t="s">
        <v>6799</v>
      </c>
      <c r="J1206" s="106" t="s">
        <v>6793</v>
      </c>
      <c r="K1206" s="106" t="s">
        <v>6793</v>
      </c>
      <c r="L1206" s="106" t="s">
        <v>6793</v>
      </c>
      <c r="M1206" s="117"/>
      <c r="N1206" s="106" t="n">
        <v>0</v>
      </c>
      <c r="O1206" s="106"/>
      <c r="P1206" s="27" t="s">
        <v>7901</v>
      </c>
    </row>
    <row r="1207" customFormat="false" ht="22.35" hidden="false" customHeight="false" outlineLevel="0" collapsed="false">
      <c r="A1207" s="106" t="s">
        <v>7902</v>
      </c>
      <c r="B1207" s="106" t="s">
        <v>7101</v>
      </c>
      <c r="C1207" s="106"/>
      <c r="D1207" s="107" t="n">
        <v>101</v>
      </c>
      <c r="E1207" s="107" t="n">
        <v>76.76</v>
      </c>
      <c r="F1207" s="130" t="n">
        <v>0.8</v>
      </c>
      <c r="G1207" s="106" t="s">
        <v>1411</v>
      </c>
      <c r="H1207" s="106" t="n">
        <v>0</v>
      </c>
      <c r="I1207" s="106" t="s">
        <v>6793</v>
      </c>
      <c r="J1207" s="106" t="s">
        <v>6799</v>
      </c>
      <c r="K1207" s="106" t="s">
        <v>6793</v>
      </c>
      <c r="L1207" s="106" t="s">
        <v>6793</v>
      </c>
      <c r="M1207" s="117"/>
      <c r="N1207" s="106" t="n">
        <v>0</v>
      </c>
      <c r="O1207" s="106"/>
      <c r="P1207" s="27" t="s">
        <v>7903</v>
      </c>
    </row>
    <row r="1208" customFormat="false" ht="15" hidden="false" customHeight="false" outlineLevel="0" collapsed="false">
      <c r="A1208" s="106" t="s">
        <v>7904</v>
      </c>
      <c r="B1208" s="106" t="s">
        <v>6792</v>
      </c>
      <c r="C1208" s="106"/>
      <c r="D1208" s="107" t="n">
        <v>100</v>
      </c>
      <c r="E1208" s="107" t="n">
        <v>76</v>
      </c>
      <c r="F1208" s="130" t="n">
        <v>0.7</v>
      </c>
      <c r="G1208" s="106" t="s">
        <v>1411</v>
      </c>
      <c r="H1208" s="106" t="n">
        <v>0</v>
      </c>
      <c r="I1208" s="106" t="s">
        <v>6794</v>
      </c>
      <c r="J1208" s="106" t="s">
        <v>6793</v>
      </c>
      <c r="K1208" s="106" t="s">
        <v>6793</v>
      </c>
      <c r="L1208" s="106" t="s">
        <v>6793</v>
      </c>
      <c r="M1208" s="117"/>
      <c r="N1208" s="106" t="n">
        <v>0</v>
      </c>
      <c r="O1208" s="106"/>
      <c r="P1208" s="27" t="s">
        <v>6885</v>
      </c>
    </row>
    <row r="1209" customFormat="false" ht="22.35" hidden="false" customHeight="false" outlineLevel="0" collapsed="false">
      <c r="A1209" s="106" t="s">
        <v>5752</v>
      </c>
      <c r="B1209" s="106" t="s">
        <v>7101</v>
      </c>
      <c r="C1209" s="106"/>
      <c r="D1209" s="107" t="n">
        <v>96</v>
      </c>
      <c r="E1209" s="107" t="n">
        <v>72.96</v>
      </c>
      <c r="F1209" s="130" t="n">
        <v>0.8</v>
      </c>
      <c r="G1209" s="106" t="s">
        <v>1411</v>
      </c>
      <c r="H1209" s="106" t="n">
        <v>0</v>
      </c>
      <c r="I1209" s="106" t="s">
        <v>6793</v>
      </c>
      <c r="J1209" s="106" t="s">
        <v>6799</v>
      </c>
      <c r="K1209" s="106" t="s">
        <v>6793</v>
      </c>
      <c r="L1209" s="106" t="s">
        <v>6793</v>
      </c>
      <c r="M1209" s="117"/>
      <c r="N1209" s="106" t="n">
        <v>1</v>
      </c>
      <c r="O1209" s="106" t="n">
        <v>0</v>
      </c>
      <c r="P1209" s="27" t="s">
        <v>7905</v>
      </c>
    </row>
    <row r="1210" customFormat="false" ht="22.35" hidden="false" customHeight="false" outlineLevel="0" collapsed="false">
      <c r="A1210" s="106" t="s">
        <v>7906</v>
      </c>
      <c r="B1210" s="106" t="s">
        <v>7101</v>
      </c>
      <c r="C1210" s="106" t="s">
        <v>185</v>
      </c>
      <c r="D1210" s="107" t="n">
        <v>91</v>
      </c>
      <c r="E1210" s="107" t="n">
        <v>69.16</v>
      </c>
      <c r="F1210" s="130" t="n">
        <v>0.88</v>
      </c>
      <c r="G1210" s="106" t="s">
        <v>1411</v>
      </c>
      <c r="H1210" s="106" t="n">
        <v>0</v>
      </c>
      <c r="I1210" s="106" t="s">
        <v>6799</v>
      </c>
      <c r="J1210" s="106" t="s">
        <v>6793</v>
      </c>
      <c r="K1210" s="106" t="s">
        <v>6793</v>
      </c>
      <c r="L1210" s="106" t="s">
        <v>6793</v>
      </c>
      <c r="M1210" s="117"/>
      <c r="N1210" s="106" t="n">
        <v>0</v>
      </c>
      <c r="O1210" s="106"/>
      <c r="P1210" s="27" t="s">
        <v>7907</v>
      </c>
    </row>
    <row r="1211" customFormat="false" ht="22.35" hidden="false" customHeight="false" outlineLevel="0" collapsed="false">
      <c r="A1211" s="106" t="s">
        <v>5502</v>
      </c>
      <c r="B1211" s="106" t="s">
        <v>7101</v>
      </c>
      <c r="C1211" s="106" t="s">
        <v>696</v>
      </c>
      <c r="D1211" s="107" t="n">
        <v>90</v>
      </c>
      <c r="E1211" s="107" t="n">
        <v>68.4</v>
      </c>
      <c r="F1211" s="130" t="n">
        <v>1</v>
      </c>
      <c r="G1211" s="106" t="s">
        <v>1411</v>
      </c>
      <c r="H1211" s="106" t="n">
        <v>0</v>
      </c>
      <c r="I1211" s="106" t="s">
        <v>6793</v>
      </c>
      <c r="J1211" s="106" t="s">
        <v>6793</v>
      </c>
      <c r="K1211" s="106" t="s">
        <v>6793</v>
      </c>
      <c r="L1211" s="106" t="s">
        <v>6793</v>
      </c>
      <c r="M1211" s="117"/>
      <c r="N1211" s="106" t="n">
        <v>2</v>
      </c>
      <c r="O1211" s="106" t="n">
        <v>0</v>
      </c>
      <c r="P1211" s="27" t="s">
        <v>7908</v>
      </c>
    </row>
    <row r="1212" customFormat="false" ht="22.35" hidden="false" customHeight="false" outlineLevel="0" collapsed="false">
      <c r="A1212" s="106" t="s">
        <v>7909</v>
      </c>
      <c r="B1212" s="106" t="s">
        <v>7101</v>
      </c>
      <c r="C1212" s="106" t="s">
        <v>560</v>
      </c>
      <c r="D1212" s="107" t="n">
        <v>89</v>
      </c>
      <c r="E1212" s="107" t="n">
        <v>67.64</v>
      </c>
      <c r="F1212" s="130" t="n">
        <v>1</v>
      </c>
      <c r="G1212" s="106" t="s">
        <v>1411</v>
      </c>
      <c r="H1212" s="106" t="n">
        <v>0</v>
      </c>
      <c r="I1212" s="106" t="s">
        <v>6793</v>
      </c>
      <c r="J1212" s="106" t="s">
        <v>6793</v>
      </c>
      <c r="K1212" s="106" t="s">
        <v>6793</v>
      </c>
      <c r="L1212" s="106" t="s">
        <v>6793</v>
      </c>
      <c r="M1212" s="117"/>
      <c r="N1212" s="106" t="n">
        <v>0</v>
      </c>
      <c r="O1212" s="106"/>
      <c r="P1212" s="27" t="s">
        <v>7908</v>
      </c>
    </row>
    <row r="1213" customFormat="false" ht="22.35" hidden="false" customHeight="false" outlineLevel="0" collapsed="false">
      <c r="A1213" s="106" t="s">
        <v>5491</v>
      </c>
      <c r="B1213" s="106" t="s">
        <v>7101</v>
      </c>
      <c r="C1213" s="106" t="s">
        <v>185</v>
      </c>
      <c r="D1213" s="107" t="n">
        <v>87</v>
      </c>
      <c r="E1213" s="107" t="n">
        <v>66.12</v>
      </c>
      <c r="F1213" s="130" t="n">
        <v>1</v>
      </c>
      <c r="G1213" s="106" t="s">
        <v>1411</v>
      </c>
      <c r="H1213" s="106" t="n">
        <v>0</v>
      </c>
      <c r="I1213" s="106" t="s">
        <v>6793</v>
      </c>
      <c r="J1213" s="106" t="s">
        <v>6793</v>
      </c>
      <c r="K1213" s="106" t="s">
        <v>6793</v>
      </c>
      <c r="L1213" s="106" t="s">
        <v>6793</v>
      </c>
      <c r="M1213" s="117"/>
      <c r="N1213" s="106" t="n">
        <v>2</v>
      </c>
      <c r="O1213" s="106" t="n">
        <v>50</v>
      </c>
      <c r="P1213" s="27" t="s">
        <v>7910</v>
      </c>
    </row>
    <row r="1214" customFormat="false" ht="22.35" hidden="false" customHeight="false" outlineLevel="0" collapsed="false">
      <c r="A1214" s="106" t="s">
        <v>7911</v>
      </c>
      <c r="B1214" s="106" t="s">
        <v>7101</v>
      </c>
      <c r="C1214" s="106"/>
      <c r="D1214" s="107" t="n">
        <v>86</v>
      </c>
      <c r="E1214" s="107" t="n">
        <v>65.36</v>
      </c>
      <c r="F1214" s="130" t="n">
        <v>0.95</v>
      </c>
      <c r="G1214" s="106" t="s">
        <v>1411</v>
      </c>
      <c r="H1214" s="106" t="n">
        <v>0</v>
      </c>
      <c r="I1214" s="106" t="s">
        <v>6793</v>
      </c>
      <c r="J1214" s="106" t="s">
        <v>6793</v>
      </c>
      <c r="K1214" s="106" t="s">
        <v>6793</v>
      </c>
      <c r="L1214" s="106" t="s">
        <v>6793</v>
      </c>
      <c r="M1214" s="117"/>
      <c r="N1214" s="106" t="n">
        <v>0</v>
      </c>
      <c r="O1214" s="106"/>
      <c r="P1214" s="27" t="s">
        <v>7912</v>
      </c>
    </row>
    <row r="1215" customFormat="false" ht="22.35" hidden="false" customHeight="false" outlineLevel="0" collapsed="false">
      <c r="A1215" s="106" t="s">
        <v>7913</v>
      </c>
      <c r="B1215" s="106" t="s">
        <v>7101</v>
      </c>
      <c r="C1215" s="106"/>
      <c r="D1215" s="107" t="n">
        <v>84</v>
      </c>
      <c r="E1215" s="107" t="n">
        <v>63.84</v>
      </c>
      <c r="F1215" s="130" t="n">
        <v>0.9</v>
      </c>
      <c r="G1215" s="106" t="s">
        <v>1411</v>
      </c>
      <c r="H1215" s="106" t="n">
        <v>0</v>
      </c>
      <c r="I1215" s="106" t="s">
        <v>6793</v>
      </c>
      <c r="J1215" s="106" t="s">
        <v>6793</v>
      </c>
      <c r="K1215" s="106" t="s">
        <v>6793</v>
      </c>
      <c r="L1215" s="106" t="s">
        <v>6793</v>
      </c>
      <c r="M1215" s="117"/>
      <c r="N1215" s="106" t="n">
        <v>0</v>
      </c>
      <c r="O1215" s="106"/>
      <c r="P1215" s="27" t="s">
        <v>7914</v>
      </c>
    </row>
    <row r="1216" customFormat="false" ht="22.35" hidden="false" customHeight="false" outlineLevel="0" collapsed="false">
      <c r="A1216" s="106" t="s">
        <v>7915</v>
      </c>
      <c r="B1216" s="106" t="s">
        <v>6792</v>
      </c>
      <c r="C1216" s="106"/>
      <c r="D1216" s="107" t="n">
        <v>83</v>
      </c>
      <c r="E1216" s="107" t="n">
        <v>63.08</v>
      </c>
      <c r="F1216" s="130" t="n">
        <v>0.6</v>
      </c>
      <c r="G1216" s="106" t="s">
        <v>1411</v>
      </c>
      <c r="H1216" s="106" t="n">
        <v>0</v>
      </c>
      <c r="I1216" s="106" t="s">
        <v>6793</v>
      </c>
      <c r="J1216" s="106" t="s">
        <v>6794</v>
      </c>
      <c r="K1216" s="106" t="s">
        <v>6793</v>
      </c>
      <c r="L1216" s="106" t="s">
        <v>6793</v>
      </c>
      <c r="M1216" s="117"/>
      <c r="N1216" s="106" t="n">
        <v>0</v>
      </c>
      <c r="O1216" s="106"/>
      <c r="P1216" s="27" t="s">
        <v>7610</v>
      </c>
    </row>
    <row r="1217" customFormat="false" ht="15" hidden="false" customHeight="false" outlineLevel="0" collapsed="false">
      <c r="A1217" s="106" t="s">
        <v>7916</v>
      </c>
      <c r="B1217" s="106" t="s">
        <v>6792</v>
      </c>
      <c r="C1217" s="106"/>
      <c r="D1217" s="107" t="n">
        <v>82</v>
      </c>
      <c r="E1217" s="107" t="n">
        <v>62.32</v>
      </c>
      <c r="F1217" s="130" t="n">
        <v>0.58</v>
      </c>
      <c r="G1217" s="106" t="s">
        <v>1411</v>
      </c>
      <c r="H1217" s="106" t="n">
        <v>0</v>
      </c>
      <c r="I1217" s="106" t="s">
        <v>6793</v>
      </c>
      <c r="J1217" s="106" t="s">
        <v>6794</v>
      </c>
      <c r="K1217" s="106" t="s">
        <v>6799</v>
      </c>
      <c r="L1217" s="106" t="s">
        <v>6793</v>
      </c>
      <c r="M1217" s="117"/>
      <c r="N1217" s="106" t="n">
        <v>0</v>
      </c>
      <c r="O1217" s="106"/>
      <c r="P1217" s="27" t="s">
        <v>6795</v>
      </c>
    </row>
    <row r="1218" customFormat="false" ht="22.35" hidden="false" customHeight="false" outlineLevel="0" collapsed="false">
      <c r="A1218" s="106" t="s">
        <v>7917</v>
      </c>
      <c r="B1218" s="106" t="s">
        <v>7101</v>
      </c>
      <c r="C1218" s="106" t="s">
        <v>422</v>
      </c>
      <c r="D1218" s="107" t="n">
        <v>79</v>
      </c>
      <c r="E1218" s="107" t="n">
        <v>60.04</v>
      </c>
      <c r="F1218" s="130" t="n">
        <v>1</v>
      </c>
      <c r="G1218" s="106" t="s">
        <v>1411</v>
      </c>
      <c r="H1218" s="106" t="n">
        <v>0</v>
      </c>
      <c r="I1218" s="106" t="s">
        <v>6793</v>
      </c>
      <c r="J1218" s="106" t="s">
        <v>6793</v>
      </c>
      <c r="K1218" s="106" t="s">
        <v>6793</v>
      </c>
      <c r="L1218" s="106" t="s">
        <v>6793</v>
      </c>
      <c r="M1218" s="117"/>
      <c r="N1218" s="106" t="n">
        <v>0</v>
      </c>
      <c r="O1218" s="106"/>
      <c r="P1218" s="27" t="s">
        <v>7918</v>
      </c>
    </row>
    <row r="1219" customFormat="false" ht="22.35" hidden="false" customHeight="false" outlineLevel="0" collapsed="false">
      <c r="A1219" s="106" t="s">
        <v>7919</v>
      </c>
      <c r="B1219" s="106" t="s">
        <v>7101</v>
      </c>
      <c r="C1219" s="106"/>
      <c r="D1219" s="107" t="n">
        <v>75</v>
      </c>
      <c r="E1219" s="107" t="n">
        <v>57</v>
      </c>
      <c r="F1219" s="130" t="n">
        <v>0.9</v>
      </c>
      <c r="G1219" s="106" t="s">
        <v>1411</v>
      </c>
      <c r="H1219" s="106" t="n">
        <v>0</v>
      </c>
      <c r="I1219" s="106" t="s">
        <v>6793</v>
      </c>
      <c r="J1219" s="106" t="s">
        <v>6793</v>
      </c>
      <c r="K1219" s="106" t="s">
        <v>6793</v>
      </c>
      <c r="L1219" s="106" t="s">
        <v>6793</v>
      </c>
      <c r="M1219" s="117"/>
      <c r="N1219" s="106" t="n">
        <v>0</v>
      </c>
      <c r="O1219" s="106"/>
      <c r="P1219" s="27" t="s">
        <v>7920</v>
      </c>
    </row>
    <row r="1220" customFormat="false" ht="22.35" hidden="false" customHeight="false" outlineLevel="0" collapsed="false">
      <c r="A1220" s="106" t="s">
        <v>7921</v>
      </c>
      <c r="B1220" s="106" t="s">
        <v>7101</v>
      </c>
      <c r="C1220" s="106" t="s">
        <v>560</v>
      </c>
      <c r="D1220" s="107" t="n">
        <v>72</v>
      </c>
      <c r="E1220" s="107" t="n">
        <v>54.72</v>
      </c>
      <c r="F1220" s="130" t="n">
        <v>1</v>
      </c>
      <c r="G1220" s="106" t="s">
        <v>1411</v>
      </c>
      <c r="H1220" s="106" t="n">
        <v>0</v>
      </c>
      <c r="I1220" s="106" t="s">
        <v>6793</v>
      </c>
      <c r="J1220" s="106" t="s">
        <v>6793</v>
      </c>
      <c r="K1220" s="106" t="s">
        <v>6793</v>
      </c>
      <c r="L1220" s="106" t="s">
        <v>6793</v>
      </c>
      <c r="M1220" s="117"/>
      <c r="N1220" s="106" t="n">
        <v>0</v>
      </c>
      <c r="O1220" s="106"/>
      <c r="P1220" s="27" t="s">
        <v>7922</v>
      </c>
    </row>
    <row r="1221" customFormat="false" ht="15" hidden="false" customHeight="false" outlineLevel="0" collapsed="false">
      <c r="A1221" s="106" t="s">
        <v>7923</v>
      </c>
      <c r="B1221" s="106" t="s">
        <v>6792</v>
      </c>
      <c r="C1221" s="106" t="s">
        <v>696</v>
      </c>
      <c r="D1221" s="107" t="n">
        <v>71</v>
      </c>
      <c r="E1221" s="107" t="n">
        <v>53.96</v>
      </c>
      <c r="F1221" s="130" t="n">
        <v>0.62</v>
      </c>
      <c r="G1221" s="106" t="s">
        <v>1411</v>
      </c>
      <c r="H1221" s="106" t="n">
        <v>0</v>
      </c>
      <c r="I1221" s="106" t="s">
        <v>6793</v>
      </c>
      <c r="J1221" s="106" t="s">
        <v>6794</v>
      </c>
      <c r="K1221" s="106" t="s">
        <v>6799</v>
      </c>
      <c r="L1221" s="106" t="s">
        <v>6793</v>
      </c>
      <c r="M1221" s="117"/>
      <c r="N1221" s="106" t="n">
        <v>0</v>
      </c>
      <c r="O1221" s="106"/>
      <c r="P1221" s="27" t="s">
        <v>6795</v>
      </c>
    </row>
    <row r="1222" customFormat="false" ht="22.35" hidden="false" customHeight="false" outlineLevel="0" collapsed="false">
      <c r="A1222" s="106" t="s">
        <v>7924</v>
      </c>
      <c r="B1222" s="106" t="s">
        <v>7101</v>
      </c>
      <c r="C1222" s="106"/>
      <c r="D1222" s="107" t="n">
        <v>64</v>
      </c>
      <c r="E1222" s="107" t="n">
        <v>48.64</v>
      </c>
      <c r="F1222" s="130" t="n">
        <v>0.95</v>
      </c>
      <c r="G1222" s="106" t="s">
        <v>1411</v>
      </c>
      <c r="H1222" s="106" t="n">
        <v>0</v>
      </c>
      <c r="I1222" s="106" t="s">
        <v>6793</v>
      </c>
      <c r="J1222" s="106" t="s">
        <v>6793</v>
      </c>
      <c r="K1222" s="106" t="s">
        <v>6793</v>
      </c>
      <c r="L1222" s="106" t="s">
        <v>6793</v>
      </c>
      <c r="M1222" s="117"/>
      <c r="N1222" s="106" t="n">
        <v>0</v>
      </c>
      <c r="O1222" s="106"/>
      <c r="P1222" s="27" t="s">
        <v>7925</v>
      </c>
    </row>
    <row r="1223" customFormat="false" ht="22.35" hidden="false" customHeight="false" outlineLevel="0" collapsed="false">
      <c r="A1223" s="106" t="s">
        <v>7926</v>
      </c>
      <c r="B1223" s="106" t="s">
        <v>7101</v>
      </c>
      <c r="C1223" s="106"/>
      <c r="D1223" s="107" t="n">
        <v>63</v>
      </c>
      <c r="E1223" s="107" t="n">
        <v>47.88</v>
      </c>
      <c r="F1223" s="130" t="n">
        <v>0.9</v>
      </c>
      <c r="G1223" s="106" t="s">
        <v>1411</v>
      </c>
      <c r="H1223" s="106" t="n">
        <v>0</v>
      </c>
      <c r="I1223" s="106" t="s">
        <v>6793</v>
      </c>
      <c r="J1223" s="106" t="s">
        <v>6793</v>
      </c>
      <c r="K1223" s="106" t="s">
        <v>6793</v>
      </c>
      <c r="L1223" s="106" t="s">
        <v>6793</v>
      </c>
      <c r="M1223" s="117"/>
      <c r="N1223" s="106" t="n">
        <v>0</v>
      </c>
      <c r="O1223" s="106"/>
      <c r="P1223" s="27" t="s">
        <v>7927</v>
      </c>
    </row>
    <row r="1224" customFormat="false" ht="15" hidden="false" customHeight="false" outlineLevel="0" collapsed="false">
      <c r="A1224" s="106" t="s">
        <v>7928</v>
      </c>
      <c r="B1224" s="106" t="s">
        <v>6792</v>
      </c>
      <c r="C1224" s="106" t="s">
        <v>185</v>
      </c>
      <c r="D1224" s="107" t="n">
        <v>62</v>
      </c>
      <c r="E1224" s="107" t="n">
        <v>47.12</v>
      </c>
      <c r="F1224" s="130" t="n">
        <v>0.75</v>
      </c>
      <c r="G1224" s="106" t="s">
        <v>1411</v>
      </c>
      <c r="H1224" s="106" t="n">
        <v>0</v>
      </c>
      <c r="I1224" s="106" t="s">
        <v>6794</v>
      </c>
      <c r="J1224" s="106" t="s">
        <v>6793</v>
      </c>
      <c r="K1224" s="106" t="s">
        <v>6793</v>
      </c>
      <c r="L1224" s="106" t="s">
        <v>6793</v>
      </c>
      <c r="M1224" s="117"/>
      <c r="N1224" s="106" t="n">
        <v>0</v>
      </c>
      <c r="O1224" s="106"/>
      <c r="P1224" s="27" t="s">
        <v>6983</v>
      </c>
    </row>
    <row r="1225" customFormat="false" ht="22.35" hidden="false" customHeight="false" outlineLevel="0" collapsed="false">
      <c r="A1225" s="106" t="s">
        <v>7929</v>
      </c>
      <c r="B1225" s="106" t="s">
        <v>7101</v>
      </c>
      <c r="C1225" s="106" t="s">
        <v>560</v>
      </c>
      <c r="D1225" s="107" t="n">
        <v>55</v>
      </c>
      <c r="E1225" s="107" t="n">
        <v>41.8</v>
      </c>
      <c r="F1225" s="130" t="n">
        <v>1</v>
      </c>
      <c r="G1225" s="106" t="s">
        <v>1411</v>
      </c>
      <c r="H1225" s="106" t="n">
        <v>0</v>
      </c>
      <c r="I1225" s="106" t="s">
        <v>6793</v>
      </c>
      <c r="J1225" s="106" t="s">
        <v>6793</v>
      </c>
      <c r="K1225" s="106" t="s">
        <v>6793</v>
      </c>
      <c r="L1225" s="106" t="s">
        <v>6793</v>
      </c>
      <c r="M1225" s="117"/>
      <c r="N1225" s="106" t="n">
        <v>0</v>
      </c>
      <c r="O1225" s="106"/>
      <c r="P1225" s="27" t="s">
        <v>7930</v>
      </c>
    </row>
    <row r="1226" customFormat="false" ht="22.35" hidden="false" customHeight="false" outlineLevel="0" collapsed="false">
      <c r="A1226" s="106" t="s">
        <v>7931</v>
      </c>
      <c r="B1226" s="106" t="s">
        <v>7101</v>
      </c>
      <c r="C1226" s="106"/>
      <c r="D1226" s="107" t="n">
        <v>50</v>
      </c>
      <c r="E1226" s="107" t="n">
        <v>38</v>
      </c>
      <c r="F1226" s="130" t="n">
        <v>0.9</v>
      </c>
      <c r="G1226" s="106" t="s">
        <v>1411</v>
      </c>
      <c r="H1226" s="106" t="n">
        <v>0</v>
      </c>
      <c r="I1226" s="106" t="s">
        <v>6793</v>
      </c>
      <c r="J1226" s="106" t="s">
        <v>6793</v>
      </c>
      <c r="K1226" s="106" t="s">
        <v>6793</v>
      </c>
      <c r="L1226" s="106" t="s">
        <v>6793</v>
      </c>
      <c r="M1226" s="117"/>
      <c r="N1226" s="106" t="n">
        <v>0</v>
      </c>
      <c r="O1226" s="106"/>
      <c r="P1226" s="27" t="s">
        <v>7932</v>
      </c>
    </row>
    <row r="1227" customFormat="false" ht="15" hidden="false" customHeight="false" outlineLevel="0" collapsed="false">
      <c r="A1227" s="106" t="s">
        <v>7933</v>
      </c>
      <c r="B1227" s="106" t="s">
        <v>6792</v>
      </c>
      <c r="C1227" s="106" t="s">
        <v>185</v>
      </c>
      <c r="D1227" s="107" t="n">
        <v>50</v>
      </c>
      <c r="E1227" s="107" t="n">
        <v>38</v>
      </c>
      <c r="F1227" s="130" t="n">
        <v>0.62</v>
      </c>
      <c r="G1227" s="106" t="s">
        <v>1411</v>
      </c>
      <c r="H1227" s="106" t="n">
        <v>0</v>
      </c>
      <c r="I1227" s="106" t="s">
        <v>6793</v>
      </c>
      <c r="J1227" s="106" t="s">
        <v>6794</v>
      </c>
      <c r="K1227" s="106" t="s">
        <v>6799</v>
      </c>
      <c r="L1227" s="106" t="s">
        <v>6793</v>
      </c>
      <c r="M1227" s="117"/>
      <c r="N1227" s="106" t="n">
        <v>0</v>
      </c>
      <c r="O1227" s="106"/>
      <c r="P1227" s="27" t="s">
        <v>6795</v>
      </c>
    </row>
    <row r="1228" customFormat="false" ht="22.35" hidden="false" customHeight="false" outlineLevel="0" collapsed="false">
      <c r="A1228" s="106" t="s">
        <v>5252</v>
      </c>
      <c r="B1228" s="106" t="s">
        <v>7101</v>
      </c>
      <c r="C1228" s="106" t="s">
        <v>560</v>
      </c>
      <c r="D1228" s="107" t="n">
        <v>15</v>
      </c>
      <c r="E1228" s="107" t="n">
        <v>11.4</v>
      </c>
      <c r="F1228" s="130" t="n">
        <v>1</v>
      </c>
      <c r="G1228" s="106" t="s">
        <v>1411</v>
      </c>
      <c r="H1228" s="106" t="n">
        <v>0</v>
      </c>
      <c r="I1228" s="106" t="s">
        <v>6793</v>
      </c>
      <c r="J1228" s="106" t="s">
        <v>6793</v>
      </c>
      <c r="K1228" s="106" t="s">
        <v>6793</v>
      </c>
      <c r="L1228" s="106" t="s">
        <v>6793</v>
      </c>
      <c r="M1228" s="117"/>
      <c r="N1228" s="106" t="n">
        <v>15</v>
      </c>
      <c r="O1228" s="106" t="n">
        <v>13.33</v>
      </c>
      <c r="P1228" s="27" t="s">
        <v>7934</v>
      </c>
    </row>
    <row r="1229" customFormat="false" ht="22.35" hidden="false" customHeight="false" outlineLevel="0" collapsed="false">
      <c r="A1229" s="106" t="s">
        <v>5331</v>
      </c>
      <c r="B1229" s="106" t="s">
        <v>7101</v>
      </c>
      <c r="C1229" s="106" t="s">
        <v>560</v>
      </c>
      <c r="D1229" s="107" t="n">
        <v>229</v>
      </c>
      <c r="E1229" s="107" t="n">
        <v>0</v>
      </c>
      <c r="F1229" s="130" t="n">
        <v>1</v>
      </c>
      <c r="G1229" s="106" t="s">
        <v>1411</v>
      </c>
      <c r="H1229" s="106" t="n">
        <v>1</v>
      </c>
      <c r="I1229" s="106" t="s">
        <v>6793</v>
      </c>
      <c r="J1229" s="106" t="s">
        <v>6793</v>
      </c>
      <c r="K1229" s="106" t="s">
        <v>6793</v>
      </c>
      <c r="L1229" s="106" t="s">
        <v>6793</v>
      </c>
      <c r="M1229" s="117"/>
      <c r="N1229" s="106" t="n">
        <v>4</v>
      </c>
      <c r="O1229" s="106" t="n">
        <v>0</v>
      </c>
      <c r="P1229" s="27" t="s">
        <v>7935</v>
      </c>
    </row>
    <row r="1230" customFormat="false" ht="22.35" hidden="false" customHeight="false" outlineLevel="0" collapsed="false">
      <c r="A1230" s="106" t="s">
        <v>5249</v>
      </c>
      <c r="B1230" s="106" t="s">
        <v>7101</v>
      </c>
      <c r="C1230" s="106" t="s">
        <v>560</v>
      </c>
      <c r="D1230" s="107"/>
      <c r="E1230" s="107" t="n">
        <v>0</v>
      </c>
      <c r="F1230" s="130" t="n">
        <v>1</v>
      </c>
      <c r="G1230" s="106" t="s">
        <v>1411</v>
      </c>
      <c r="H1230" s="106" t="n">
        <v>1.5</v>
      </c>
      <c r="I1230" s="106" t="s">
        <v>6793</v>
      </c>
      <c r="J1230" s="106" t="s">
        <v>6793</v>
      </c>
      <c r="K1230" s="106" t="s">
        <v>6793</v>
      </c>
      <c r="L1230" s="106" t="s">
        <v>6793</v>
      </c>
      <c r="M1230" s="117"/>
      <c r="N1230" s="106" t="n">
        <v>16</v>
      </c>
      <c r="O1230" s="106" t="n">
        <v>6.25</v>
      </c>
      <c r="P1230" s="27" t="s">
        <v>7936</v>
      </c>
    </row>
    <row r="1231" customFormat="false" ht="22.35" hidden="false" customHeight="false" outlineLevel="0" collapsed="false">
      <c r="A1231" s="106" t="s">
        <v>5259</v>
      </c>
      <c r="B1231" s="106" t="s">
        <v>7101</v>
      </c>
      <c r="C1231" s="106" t="s">
        <v>560</v>
      </c>
      <c r="D1231" s="107"/>
      <c r="E1231" s="107" t="n">
        <v>0</v>
      </c>
      <c r="F1231" s="130" t="n">
        <v>1</v>
      </c>
      <c r="G1231" s="106" t="s">
        <v>1411</v>
      </c>
      <c r="H1231" s="106" t="n">
        <v>1.5</v>
      </c>
      <c r="I1231" s="106" t="s">
        <v>6793</v>
      </c>
      <c r="J1231" s="106" t="s">
        <v>6793</v>
      </c>
      <c r="K1231" s="106" t="s">
        <v>6793</v>
      </c>
      <c r="L1231" s="106" t="s">
        <v>6793</v>
      </c>
      <c r="M1231" s="117"/>
      <c r="N1231" s="106" t="n">
        <v>13</v>
      </c>
      <c r="O1231" s="106" t="n">
        <v>23.08</v>
      </c>
      <c r="P1231" s="27" t="s">
        <v>7936</v>
      </c>
    </row>
    <row r="1232" customFormat="false" ht="22.35" hidden="false" customHeight="false" outlineLevel="0" collapsed="false">
      <c r="A1232" s="106" t="s">
        <v>5242</v>
      </c>
      <c r="B1232" s="106" t="s">
        <v>7101</v>
      </c>
      <c r="C1232" s="106" t="s">
        <v>560</v>
      </c>
      <c r="D1232" s="107"/>
      <c r="E1232" s="107" t="n">
        <v>0</v>
      </c>
      <c r="F1232" s="130" t="n">
        <v>1</v>
      </c>
      <c r="G1232" s="106" t="s">
        <v>1411</v>
      </c>
      <c r="H1232" s="106" t="n">
        <v>0</v>
      </c>
      <c r="I1232" s="106" t="s">
        <v>6793</v>
      </c>
      <c r="J1232" s="106" t="s">
        <v>6793</v>
      </c>
      <c r="K1232" s="106" t="s">
        <v>6793</v>
      </c>
      <c r="L1232" s="106" t="s">
        <v>6793</v>
      </c>
      <c r="M1232" s="117"/>
      <c r="N1232" s="106" t="n">
        <v>19</v>
      </c>
      <c r="O1232" s="106" t="n">
        <v>10.53</v>
      </c>
      <c r="P1232" s="27" t="s">
        <v>7937</v>
      </c>
    </row>
    <row r="1233" customFormat="false" ht="22.35" hidden="false" customHeight="false" outlineLevel="0" collapsed="false">
      <c r="A1233" s="106" t="s">
        <v>5270</v>
      </c>
      <c r="B1233" s="106" t="s">
        <v>7101</v>
      </c>
      <c r="C1233" s="106"/>
      <c r="D1233" s="107"/>
      <c r="E1233" s="107" t="n">
        <v>0</v>
      </c>
      <c r="F1233" s="130" t="n">
        <v>0.9</v>
      </c>
      <c r="G1233" s="106" t="s">
        <v>1411</v>
      </c>
      <c r="H1233" s="106" t="n">
        <v>0</v>
      </c>
      <c r="I1233" s="106" t="s">
        <v>6793</v>
      </c>
      <c r="J1233" s="106" t="s">
        <v>6793</v>
      </c>
      <c r="K1233" s="106" t="s">
        <v>6793</v>
      </c>
      <c r="L1233" s="106" t="s">
        <v>6793</v>
      </c>
      <c r="M1233" s="117"/>
      <c r="N1233" s="106" t="n">
        <v>10</v>
      </c>
      <c r="O1233" s="106" t="n">
        <v>0</v>
      </c>
      <c r="P1233" s="27" t="s">
        <v>7938</v>
      </c>
    </row>
    <row r="1234" customFormat="false" ht="22.35" hidden="false" customHeight="false" outlineLevel="0" collapsed="false">
      <c r="A1234" s="106" t="s">
        <v>5218</v>
      </c>
      <c r="B1234" s="106" t="s">
        <v>7101</v>
      </c>
      <c r="C1234" s="106"/>
      <c r="D1234" s="107"/>
      <c r="E1234" s="107" t="n">
        <v>0</v>
      </c>
      <c r="F1234" s="130" t="n">
        <v>0.95</v>
      </c>
      <c r="G1234" s="106" t="s">
        <v>342</v>
      </c>
      <c r="H1234" s="106" t="n">
        <v>4</v>
      </c>
      <c r="I1234" s="106" t="s">
        <v>6793</v>
      </c>
      <c r="J1234" s="106" t="s">
        <v>6793</v>
      </c>
      <c r="K1234" s="106" t="s">
        <v>6793</v>
      </c>
      <c r="L1234" s="106" t="s">
        <v>6793</v>
      </c>
      <c r="M1234" s="117"/>
      <c r="N1234" s="106" t="n">
        <v>113</v>
      </c>
      <c r="O1234" s="106" t="n">
        <v>9.73</v>
      </c>
      <c r="P1234" s="27" t="s">
        <v>7939</v>
      </c>
    </row>
    <row r="1235" customFormat="false" ht="22.35" hidden="false" customHeight="false" outlineLevel="0" collapsed="false">
      <c r="A1235" s="106" t="s">
        <v>5243</v>
      </c>
      <c r="B1235" s="106" t="s">
        <v>7101</v>
      </c>
      <c r="C1235" s="106" t="s">
        <v>696</v>
      </c>
      <c r="D1235" s="107"/>
      <c r="E1235" s="107" t="n">
        <v>0</v>
      </c>
      <c r="F1235" s="130" t="n">
        <v>1</v>
      </c>
      <c r="G1235" s="106" t="s">
        <v>1411</v>
      </c>
      <c r="H1235" s="106" t="n">
        <v>1.5</v>
      </c>
      <c r="I1235" s="106" t="s">
        <v>6793</v>
      </c>
      <c r="J1235" s="106" t="s">
        <v>6793</v>
      </c>
      <c r="K1235" s="106" t="s">
        <v>6793</v>
      </c>
      <c r="L1235" s="106" t="s">
        <v>6793</v>
      </c>
      <c r="M1235" s="117"/>
      <c r="N1235" s="106" t="n">
        <v>18</v>
      </c>
      <c r="O1235" s="106" t="n">
        <v>27.78</v>
      </c>
      <c r="P1235" s="27" t="s">
        <v>7936</v>
      </c>
    </row>
    <row r="1236" customFormat="false" ht="22.35" hidden="false" customHeight="false" outlineLevel="0" collapsed="false">
      <c r="A1236" s="106" t="s">
        <v>6577</v>
      </c>
      <c r="B1236" s="106" t="s">
        <v>7101</v>
      </c>
      <c r="C1236" s="106"/>
      <c r="D1236" s="107" t="n">
        <v>527</v>
      </c>
      <c r="E1236" s="107" t="n">
        <v>0</v>
      </c>
      <c r="F1236" s="130" t="n">
        <v>0.95</v>
      </c>
      <c r="G1236" s="106" t="s">
        <v>1411</v>
      </c>
      <c r="H1236" s="106" t="n">
        <v>1</v>
      </c>
      <c r="I1236" s="106" t="s">
        <v>6793</v>
      </c>
      <c r="J1236" s="106" t="s">
        <v>6793</v>
      </c>
      <c r="K1236" s="106" t="s">
        <v>6793</v>
      </c>
      <c r="L1236" s="106" t="s">
        <v>6793</v>
      </c>
      <c r="M1236" s="117"/>
      <c r="N1236" s="106" t="n">
        <v>1</v>
      </c>
      <c r="O1236" s="106" t="n">
        <v>0</v>
      </c>
      <c r="P1236" s="27" t="s">
        <v>7940</v>
      </c>
    </row>
    <row r="1237" customFormat="false" ht="22.35" hidden="false" customHeight="false" outlineLevel="0" collapsed="false">
      <c r="A1237" s="106" t="s">
        <v>4972</v>
      </c>
      <c r="B1237" s="106" t="s">
        <v>7101</v>
      </c>
      <c r="C1237" s="106"/>
      <c r="D1237" s="107" t="n">
        <v>537</v>
      </c>
      <c r="E1237" s="107" t="n">
        <v>0</v>
      </c>
      <c r="F1237" s="130" t="n">
        <v>0.82</v>
      </c>
      <c r="G1237" s="106" t="s">
        <v>1411</v>
      </c>
      <c r="H1237" s="106" t="n">
        <v>2.5</v>
      </c>
      <c r="I1237" s="106" t="s">
        <v>6799</v>
      </c>
      <c r="J1237" s="106" t="s">
        <v>6793</v>
      </c>
      <c r="K1237" s="106" t="s">
        <v>6793</v>
      </c>
      <c r="L1237" s="106" t="s">
        <v>6793</v>
      </c>
      <c r="M1237" s="117" t="n">
        <v>0.0135593220338983</v>
      </c>
      <c r="N1237" s="106" t="n">
        <v>0</v>
      </c>
      <c r="O1237" s="106"/>
      <c r="P1237" s="27" t="s">
        <v>7941</v>
      </c>
    </row>
    <row r="1238" customFormat="false" ht="22.35" hidden="false" customHeight="false" outlineLevel="0" collapsed="false">
      <c r="A1238" s="106" t="s">
        <v>4534</v>
      </c>
      <c r="B1238" s="106" t="s">
        <v>7101</v>
      </c>
      <c r="C1238" s="106" t="s">
        <v>560</v>
      </c>
      <c r="D1238" s="107" t="n">
        <v>580</v>
      </c>
      <c r="E1238" s="107" t="n">
        <v>0</v>
      </c>
      <c r="F1238" s="130" t="n">
        <v>1</v>
      </c>
      <c r="G1238" s="106" t="s">
        <v>1411</v>
      </c>
      <c r="H1238" s="106" t="n">
        <v>1</v>
      </c>
      <c r="I1238" s="106" t="s">
        <v>6793</v>
      </c>
      <c r="J1238" s="106" t="s">
        <v>6793</v>
      </c>
      <c r="K1238" s="106" t="s">
        <v>6793</v>
      </c>
      <c r="L1238" s="106" t="s">
        <v>6793</v>
      </c>
      <c r="M1238" s="117"/>
      <c r="N1238" s="106" t="n">
        <v>2</v>
      </c>
      <c r="O1238" s="106" t="n">
        <v>50</v>
      </c>
      <c r="P1238" s="27" t="s">
        <v>7935</v>
      </c>
    </row>
    <row r="1239" customFormat="false" ht="22.35" hidden="false" customHeight="false" outlineLevel="0" collapsed="false">
      <c r="A1239" s="106" t="s">
        <v>5258</v>
      </c>
      <c r="B1239" s="106" t="s">
        <v>7101</v>
      </c>
      <c r="C1239" s="106" t="s">
        <v>560</v>
      </c>
      <c r="D1239" s="107" t="n">
        <v>479</v>
      </c>
      <c r="E1239" s="107" t="n">
        <v>0</v>
      </c>
      <c r="F1239" s="130" t="n">
        <v>1</v>
      </c>
      <c r="G1239" s="106" t="s">
        <v>1411</v>
      </c>
      <c r="H1239" s="106" t="n">
        <v>0</v>
      </c>
      <c r="I1239" s="106" t="s">
        <v>6793</v>
      </c>
      <c r="J1239" s="106" t="s">
        <v>6793</v>
      </c>
      <c r="K1239" s="106" t="s">
        <v>6793</v>
      </c>
      <c r="L1239" s="106" t="s">
        <v>6793</v>
      </c>
      <c r="M1239" s="117"/>
      <c r="N1239" s="106" t="n">
        <v>13</v>
      </c>
      <c r="O1239" s="106" t="n">
        <v>15.38</v>
      </c>
      <c r="P1239" s="27" t="s">
        <v>7937</v>
      </c>
    </row>
    <row r="1240" customFormat="false" ht="22.35" hidden="false" customHeight="false" outlineLevel="0" collapsed="false">
      <c r="A1240" s="106" t="s">
        <v>5291</v>
      </c>
      <c r="B1240" s="106" t="s">
        <v>7101</v>
      </c>
      <c r="C1240" s="106" t="s">
        <v>560</v>
      </c>
      <c r="D1240" s="107" t="n">
        <v>463</v>
      </c>
      <c r="E1240" s="107" t="n">
        <v>0</v>
      </c>
      <c r="F1240" s="130" t="n">
        <v>1</v>
      </c>
      <c r="G1240" s="106" t="s">
        <v>1411</v>
      </c>
      <c r="H1240" s="106" t="n">
        <v>1.5</v>
      </c>
      <c r="I1240" s="106" t="s">
        <v>6793</v>
      </c>
      <c r="J1240" s="106" t="s">
        <v>6793</v>
      </c>
      <c r="K1240" s="106" t="s">
        <v>6793</v>
      </c>
      <c r="L1240" s="106" t="s">
        <v>6793</v>
      </c>
      <c r="M1240" s="117"/>
      <c r="N1240" s="106" t="n">
        <v>7</v>
      </c>
      <c r="O1240" s="106" t="n">
        <v>0</v>
      </c>
      <c r="P1240" s="27" t="s">
        <v>7936</v>
      </c>
    </row>
    <row r="1241" customFormat="false" ht="22.35" hidden="false" customHeight="false" outlineLevel="0" collapsed="false">
      <c r="A1241" s="106" t="s">
        <v>5247</v>
      </c>
      <c r="B1241" s="106" t="s">
        <v>7101</v>
      </c>
      <c r="C1241" s="106" t="s">
        <v>185</v>
      </c>
      <c r="D1241" s="107"/>
      <c r="E1241" s="107" t="n">
        <v>0</v>
      </c>
      <c r="F1241" s="130" t="n">
        <v>1</v>
      </c>
      <c r="G1241" s="106" t="s">
        <v>1411</v>
      </c>
      <c r="H1241" s="106" t="n">
        <v>1.5</v>
      </c>
      <c r="I1241" s="106" t="s">
        <v>6793</v>
      </c>
      <c r="J1241" s="106" t="s">
        <v>6793</v>
      </c>
      <c r="K1241" s="106" t="s">
        <v>6793</v>
      </c>
      <c r="L1241" s="106" t="s">
        <v>6793</v>
      </c>
      <c r="M1241" s="117"/>
      <c r="N1241" s="106" t="n">
        <v>17</v>
      </c>
      <c r="O1241" s="106" t="n">
        <v>5.88</v>
      </c>
      <c r="P1241" s="27" t="s">
        <v>7936</v>
      </c>
    </row>
    <row r="1242" customFormat="false" ht="22.35" hidden="false" customHeight="false" outlineLevel="0" collapsed="false">
      <c r="A1242" s="106" t="s">
        <v>5635</v>
      </c>
      <c r="B1242" s="106" t="s">
        <v>7101</v>
      </c>
      <c r="C1242" s="106" t="s">
        <v>560</v>
      </c>
      <c r="D1242" s="107" t="n">
        <v>428</v>
      </c>
      <c r="E1242" s="107" t="n">
        <v>0</v>
      </c>
      <c r="F1242" s="130" t="n">
        <v>1</v>
      </c>
      <c r="G1242" s="106" t="s">
        <v>1411</v>
      </c>
      <c r="H1242" s="106" t="n">
        <v>1</v>
      </c>
      <c r="I1242" s="106" t="s">
        <v>6793</v>
      </c>
      <c r="J1242" s="106" t="s">
        <v>6793</v>
      </c>
      <c r="K1242" s="106" t="s">
        <v>6793</v>
      </c>
      <c r="L1242" s="106" t="s">
        <v>6793</v>
      </c>
      <c r="M1242" s="117"/>
      <c r="N1242" s="106" t="n">
        <v>1</v>
      </c>
      <c r="O1242" s="106" t="n">
        <v>0</v>
      </c>
      <c r="P1242" s="27" t="s">
        <v>7935</v>
      </c>
    </row>
    <row r="1243" customFormat="false" ht="22.35" hidden="false" customHeight="false" outlineLevel="0" collapsed="false">
      <c r="A1243" s="106" t="s">
        <v>5447</v>
      </c>
      <c r="B1243" s="106" t="s">
        <v>7101</v>
      </c>
      <c r="C1243" s="106" t="s">
        <v>560</v>
      </c>
      <c r="D1243" s="107" t="n">
        <v>375</v>
      </c>
      <c r="E1243" s="107" t="n">
        <v>0</v>
      </c>
      <c r="F1243" s="130" t="n">
        <v>1</v>
      </c>
      <c r="G1243" s="106" t="s">
        <v>1411</v>
      </c>
      <c r="H1243" s="106" t="n">
        <v>0</v>
      </c>
      <c r="I1243" s="106" t="s">
        <v>6793</v>
      </c>
      <c r="J1243" s="106" t="s">
        <v>6793</v>
      </c>
      <c r="K1243" s="106" t="s">
        <v>6793</v>
      </c>
      <c r="L1243" s="106" t="s">
        <v>6793</v>
      </c>
      <c r="M1243" s="117"/>
      <c r="N1243" s="106" t="n">
        <v>2</v>
      </c>
      <c r="O1243" s="106" t="n">
        <v>50</v>
      </c>
      <c r="P1243" s="27" t="s">
        <v>7937</v>
      </c>
    </row>
    <row r="1244" customFormat="false" ht="22.35" hidden="false" customHeight="false" outlineLevel="0" collapsed="false">
      <c r="A1244" s="106" t="s">
        <v>5250</v>
      </c>
      <c r="B1244" s="106" t="s">
        <v>7101</v>
      </c>
      <c r="C1244" s="106" t="s">
        <v>479</v>
      </c>
      <c r="D1244" s="107"/>
      <c r="E1244" s="107" t="n">
        <v>0</v>
      </c>
      <c r="F1244" s="130" t="n">
        <v>1</v>
      </c>
      <c r="G1244" s="106" t="s">
        <v>1411</v>
      </c>
      <c r="H1244" s="106" t="n">
        <v>1.5</v>
      </c>
      <c r="I1244" s="106" t="s">
        <v>6793</v>
      </c>
      <c r="J1244" s="106" t="s">
        <v>6793</v>
      </c>
      <c r="K1244" s="106" t="s">
        <v>6793</v>
      </c>
      <c r="L1244" s="106" t="s">
        <v>6793</v>
      </c>
      <c r="M1244" s="117"/>
      <c r="N1244" s="106" t="n">
        <v>16</v>
      </c>
      <c r="O1244" s="106" t="n">
        <v>6.25</v>
      </c>
      <c r="P1244" s="27" t="s">
        <v>7936</v>
      </c>
    </row>
    <row r="1245" customFormat="false" ht="15" hidden="false" customHeight="false" outlineLevel="0" collapsed="false">
      <c r="A1245" s="106" t="s">
        <v>7942</v>
      </c>
      <c r="B1245" s="106" t="s">
        <v>7082</v>
      </c>
      <c r="C1245" s="106" t="s">
        <v>560</v>
      </c>
      <c r="D1245" s="107" t="n">
        <v>557</v>
      </c>
      <c r="E1245" s="107" t="n">
        <v>0</v>
      </c>
      <c r="F1245" s="130" t="n">
        <v>1</v>
      </c>
      <c r="G1245" s="106" t="s">
        <v>1411</v>
      </c>
      <c r="H1245" s="106" t="n">
        <v>1</v>
      </c>
      <c r="I1245" s="106" t="s">
        <v>6793</v>
      </c>
      <c r="J1245" s="106" t="s">
        <v>6793</v>
      </c>
      <c r="K1245" s="106" t="s">
        <v>6793</v>
      </c>
      <c r="L1245" s="106" t="s">
        <v>6793</v>
      </c>
      <c r="M1245" s="117"/>
      <c r="N1245" s="106" t="n">
        <v>0</v>
      </c>
      <c r="O1245" s="106"/>
      <c r="P1245" s="27" t="s">
        <v>7083</v>
      </c>
    </row>
    <row r="1246" customFormat="false" ht="15" hidden="false" customHeight="false" outlineLevel="0" collapsed="false">
      <c r="A1246" s="106" t="s">
        <v>7943</v>
      </c>
      <c r="B1246" s="106" t="s">
        <v>6792</v>
      </c>
      <c r="C1246" s="106" t="s">
        <v>560</v>
      </c>
      <c r="D1246" s="107" t="n">
        <v>496</v>
      </c>
      <c r="E1246" s="107" t="n">
        <v>0</v>
      </c>
      <c r="F1246" s="130" t="n">
        <v>0.75</v>
      </c>
      <c r="G1246" s="106" t="s">
        <v>1411</v>
      </c>
      <c r="H1246" s="106" t="n">
        <v>0</v>
      </c>
      <c r="I1246" s="106" t="s">
        <v>6794</v>
      </c>
      <c r="J1246" s="106" t="s">
        <v>6793</v>
      </c>
      <c r="K1246" s="106" t="s">
        <v>6793</v>
      </c>
      <c r="L1246" s="106" t="s">
        <v>6793</v>
      </c>
      <c r="M1246" s="117"/>
      <c r="N1246" s="106" t="n">
        <v>0</v>
      </c>
      <c r="O1246" s="106"/>
      <c r="P1246" s="27" t="s">
        <v>6983</v>
      </c>
    </row>
    <row r="1247" customFormat="false" ht="22.35" hidden="false" customHeight="false" outlineLevel="0" collapsed="false">
      <c r="A1247" s="106" t="s">
        <v>6699</v>
      </c>
      <c r="B1247" s="106" t="s">
        <v>7101</v>
      </c>
      <c r="C1247" s="106" t="s">
        <v>560</v>
      </c>
      <c r="D1247" s="107" t="n">
        <v>351</v>
      </c>
      <c r="E1247" s="107" t="n">
        <v>0</v>
      </c>
      <c r="F1247" s="130" t="n">
        <v>1</v>
      </c>
      <c r="G1247" s="106" t="s">
        <v>1411</v>
      </c>
      <c r="H1247" s="106" t="n">
        <v>1</v>
      </c>
      <c r="I1247" s="106" t="s">
        <v>6793</v>
      </c>
      <c r="J1247" s="106" t="s">
        <v>6793</v>
      </c>
      <c r="K1247" s="106" t="s">
        <v>6793</v>
      </c>
      <c r="L1247" s="106" t="s">
        <v>6793</v>
      </c>
      <c r="M1247" s="117"/>
      <c r="N1247" s="106" t="n">
        <v>1</v>
      </c>
      <c r="O1247" s="106" t="n">
        <v>0</v>
      </c>
      <c r="P1247" s="27" t="s">
        <v>7935</v>
      </c>
    </row>
    <row r="1248" customFormat="false" ht="22.35" hidden="false" customHeight="false" outlineLevel="0" collapsed="false">
      <c r="A1248" s="106" t="s">
        <v>5257</v>
      </c>
      <c r="B1248" s="106" t="s">
        <v>7101</v>
      </c>
      <c r="C1248" s="106" t="s">
        <v>422</v>
      </c>
      <c r="D1248" s="107"/>
      <c r="E1248" s="107" t="n">
        <v>0</v>
      </c>
      <c r="F1248" s="130" t="n">
        <v>1</v>
      </c>
      <c r="G1248" s="106" t="s">
        <v>1411</v>
      </c>
      <c r="H1248" s="106" t="n">
        <v>1.5</v>
      </c>
      <c r="I1248" s="106" t="s">
        <v>6793</v>
      </c>
      <c r="J1248" s="106" t="s">
        <v>6793</v>
      </c>
      <c r="K1248" s="106" t="s">
        <v>6793</v>
      </c>
      <c r="L1248" s="106" t="s">
        <v>6793</v>
      </c>
      <c r="M1248" s="117"/>
      <c r="N1248" s="106" t="n">
        <v>13</v>
      </c>
      <c r="O1248" s="106" t="n">
        <v>0</v>
      </c>
      <c r="P1248" s="27" t="s">
        <v>7936</v>
      </c>
    </row>
    <row r="1249" customFormat="false" ht="22.35" hidden="false" customHeight="false" outlineLevel="0" collapsed="false">
      <c r="A1249" s="106" t="s">
        <v>4968</v>
      </c>
      <c r="B1249" s="106" t="s">
        <v>7101</v>
      </c>
      <c r="C1249" s="106" t="s">
        <v>479</v>
      </c>
      <c r="D1249" s="107" t="n">
        <v>621</v>
      </c>
      <c r="E1249" s="107" t="n">
        <v>0</v>
      </c>
      <c r="F1249" s="130" t="n">
        <v>1</v>
      </c>
      <c r="G1249" s="106" t="s">
        <v>342</v>
      </c>
      <c r="H1249" s="106" t="n">
        <v>4</v>
      </c>
      <c r="I1249" s="106" t="s">
        <v>6793</v>
      </c>
      <c r="J1249" s="106" t="s">
        <v>6793</v>
      </c>
      <c r="K1249" s="106" t="s">
        <v>6793</v>
      </c>
      <c r="L1249" s="106" t="s">
        <v>6793</v>
      </c>
      <c r="M1249" s="117" t="n">
        <v>0.0429447852760736</v>
      </c>
      <c r="N1249" s="106" t="n">
        <v>0</v>
      </c>
      <c r="O1249" s="106"/>
      <c r="P1249" s="27" t="s">
        <v>7944</v>
      </c>
    </row>
    <row r="1250" customFormat="false" ht="22.35" hidden="false" customHeight="false" outlineLevel="0" collapsed="false">
      <c r="A1250" s="106" t="s">
        <v>4984</v>
      </c>
      <c r="B1250" s="106" t="s">
        <v>7101</v>
      </c>
      <c r="C1250" s="106" t="s">
        <v>479</v>
      </c>
      <c r="D1250" s="107" t="n">
        <v>598</v>
      </c>
      <c r="E1250" s="107" t="n">
        <v>0</v>
      </c>
      <c r="F1250" s="130" t="n">
        <v>1</v>
      </c>
      <c r="G1250" s="106" t="s">
        <v>188</v>
      </c>
      <c r="H1250" s="106" t="n">
        <v>7</v>
      </c>
      <c r="I1250" s="106" t="s">
        <v>6793</v>
      </c>
      <c r="J1250" s="106" t="s">
        <v>6793</v>
      </c>
      <c r="K1250" s="106" t="s">
        <v>6793</v>
      </c>
      <c r="L1250" s="106" t="s">
        <v>6793</v>
      </c>
      <c r="M1250" s="117" t="n">
        <v>0.044862518089725</v>
      </c>
      <c r="N1250" s="106" t="n">
        <v>28</v>
      </c>
      <c r="O1250" s="106" t="n">
        <v>28.57</v>
      </c>
      <c r="P1250" s="27" t="s">
        <v>7945</v>
      </c>
    </row>
    <row r="1251" customFormat="false" ht="22.35" hidden="false" customHeight="false" outlineLevel="0" collapsed="false">
      <c r="A1251" s="106" t="s">
        <v>5256</v>
      </c>
      <c r="B1251" s="106" t="s">
        <v>7101</v>
      </c>
      <c r="C1251" s="106" t="s">
        <v>422</v>
      </c>
      <c r="D1251" s="107"/>
      <c r="E1251" s="107" t="n">
        <v>0</v>
      </c>
      <c r="F1251" s="130" t="n">
        <v>1</v>
      </c>
      <c r="G1251" s="106" t="s">
        <v>1411</v>
      </c>
      <c r="H1251" s="106" t="n">
        <v>0</v>
      </c>
      <c r="I1251" s="106" t="s">
        <v>6793</v>
      </c>
      <c r="J1251" s="106" t="s">
        <v>6793</v>
      </c>
      <c r="K1251" s="106" t="s">
        <v>6793</v>
      </c>
      <c r="L1251" s="106" t="s">
        <v>6793</v>
      </c>
      <c r="M1251" s="117"/>
      <c r="N1251" s="106" t="n">
        <v>14</v>
      </c>
      <c r="O1251" s="106" t="n">
        <v>14.29</v>
      </c>
      <c r="P1251" s="27" t="s">
        <v>7937</v>
      </c>
    </row>
    <row r="1252" customFormat="false" ht="15" hidden="false" customHeight="false" outlineLevel="0" collapsed="false">
      <c r="A1252" s="106" t="s">
        <v>7946</v>
      </c>
      <c r="B1252" s="106" t="s">
        <v>6792</v>
      </c>
      <c r="C1252" s="106" t="s">
        <v>185</v>
      </c>
      <c r="D1252" s="107" t="n">
        <v>565</v>
      </c>
      <c r="E1252" s="107" t="n">
        <v>0</v>
      </c>
      <c r="F1252" s="130" t="n">
        <v>0.62</v>
      </c>
      <c r="G1252" s="106" t="s">
        <v>1411</v>
      </c>
      <c r="H1252" s="106" t="n">
        <v>0.5</v>
      </c>
      <c r="I1252" s="106" t="s">
        <v>6793</v>
      </c>
      <c r="J1252" s="106" t="s">
        <v>6794</v>
      </c>
      <c r="K1252" s="106" t="s">
        <v>6799</v>
      </c>
      <c r="L1252" s="106" t="s">
        <v>6793</v>
      </c>
      <c r="M1252" s="117"/>
      <c r="N1252" s="106" t="n">
        <v>0</v>
      </c>
      <c r="O1252" s="106"/>
      <c r="P1252" s="27" t="s">
        <v>6795</v>
      </c>
    </row>
    <row r="1253" customFormat="false" ht="22.35" hidden="false" customHeight="false" outlineLevel="0" collapsed="false">
      <c r="A1253" s="106" t="s">
        <v>3884</v>
      </c>
      <c r="B1253" s="106" t="s">
        <v>7101</v>
      </c>
      <c r="C1253" s="106" t="s">
        <v>185</v>
      </c>
      <c r="D1253" s="107" t="n">
        <v>479</v>
      </c>
      <c r="E1253" s="107" t="n">
        <v>0</v>
      </c>
      <c r="F1253" s="130" t="n">
        <v>1</v>
      </c>
      <c r="G1253" s="106" t="s">
        <v>1411</v>
      </c>
      <c r="H1253" s="106" t="n">
        <v>1</v>
      </c>
      <c r="I1253" s="106" t="s">
        <v>6793</v>
      </c>
      <c r="J1253" s="106" t="s">
        <v>6793</v>
      </c>
      <c r="K1253" s="106" t="s">
        <v>6793</v>
      </c>
      <c r="L1253" s="106" t="s">
        <v>6793</v>
      </c>
      <c r="M1253" s="117"/>
      <c r="N1253" s="106" t="n">
        <v>3</v>
      </c>
      <c r="O1253" s="106" t="n">
        <v>33.33</v>
      </c>
      <c r="P1253" s="27" t="s">
        <v>7935</v>
      </c>
    </row>
    <row r="1254" customFormat="false" ht="22.35" hidden="false" customHeight="false" outlineLevel="0" collapsed="false">
      <c r="A1254" s="106" t="s">
        <v>7947</v>
      </c>
      <c r="B1254" s="106" t="s">
        <v>7101</v>
      </c>
      <c r="C1254" s="106" t="s">
        <v>185</v>
      </c>
      <c r="D1254" s="107" t="n">
        <v>550</v>
      </c>
      <c r="E1254" s="107" t="n">
        <v>0</v>
      </c>
      <c r="F1254" s="130" t="n">
        <v>1</v>
      </c>
      <c r="G1254" s="106" t="s">
        <v>1411</v>
      </c>
      <c r="H1254" s="106" t="n">
        <v>0.5</v>
      </c>
      <c r="I1254" s="106" t="s">
        <v>6793</v>
      </c>
      <c r="J1254" s="106" t="s">
        <v>6793</v>
      </c>
      <c r="K1254" s="106" t="s">
        <v>6793</v>
      </c>
      <c r="L1254" s="106" t="s">
        <v>6793</v>
      </c>
      <c r="M1254" s="117"/>
      <c r="N1254" s="106" t="n">
        <v>0</v>
      </c>
      <c r="O1254" s="106"/>
      <c r="P1254" s="27" t="s">
        <v>7948</v>
      </c>
    </row>
    <row r="1255" customFormat="false" ht="15" hidden="false" customHeight="false" outlineLevel="0" collapsed="false">
      <c r="A1255" s="106" t="s">
        <v>7949</v>
      </c>
      <c r="B1255" s="106" t="s">
        <v>6792</v>
      </c>
      <c r="C1255" s="106"/>
      <c r="D1255" s="107" t="n">
        <v>575</v>
      </c>
      <c r="E1255" s="107" t="n">
        <v>0</v>
      </c>
      <c r="F1255" s="130" t="n">
        <v>0.7</v>
      </c>
      <c r="G1255" s="106" t="s">
        <v>1411</v>
      </c>
      <c r="H1255" s="106" t="n">
        <v>0</v>
      </c>
      <c r="I1255" s="106" t="s">
        <v>6794</v>
      </c>
      <c r="J1255" s="106" t="s">
        <v>6793</v>
      </c>
      <c r="K1255" s="106" t="s">
        <v>6793</v>
      </c>
      <c r="L1255" s="106" t="s">
        <v>6793</v>
      </c>
      <c r="M1255" s="117"/>
      <c r="N1255" s="106" t="n">
        <v>0</v>
      </c>
      <c r="O1255" s="106"/>
      <c r="P1255" s="27" t="s">
        <v>6885</v>
      </c>
    </row>
    <row r="1256" customFormat="false" ht="22.35" hidden="false" customHeight="false" outlineLevel="0" collapsed="false">
      <c r="A1256" s="106" t="s">
        <v>5332</v>
      </c>
      <c r="B1256" s="106" t="s">
        <v>7101</v>
      </c>
      <c r="C1256" s="106" t="s">
        <v>185</v>
      </c>
      <c r="D1256" s="107" t="n">
        <v>685</v>
      </c>
      <c r="E1256" s="107" t="n">
        <v>0</v>
      </c>
      <c r="F1256" s="130" t="n">
        <v>1</v>
      </c>
      <c r="G1256" s="106" t="s">
        <v>1411</v>
      </c>
      <c r="H1256" s="106" t="n">
        <v>1</v>
      </c>
      <c r="I1256" s="106" t="s">
        <v>6793</v>
      </c>
      <c r="J1256" s="106" t="s">
        <v>6793</v>
      </c>
      <c r="K1256" s="106" t="s">
        <v>6793</v>
      </c>
      <c r="L1256" s="106" t="s">
        <v>6793</v>
      </c>
      <c r="M1256" s="117"/>
      <c r="N1256" s="106" t="n">
        <v>4</v>
      </c>
      <c r="O1256" s="106" t="n">
        <v>0</v>
      </c>
      <c r="P1256" s="27" t="s">
        <v>7935</v>
      </c>
    </row>
  </sheetData>
  <autoFilter ref="A4:P12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2026-10-08T19:23:17Z</dcterms:created>
  <dc:creator>openpyxl</dc:creator>
  <dc:description/>
  <dc:language>en-US</dc:language>
  <cp:lastModifiedBy/>
  <dcterms:modified xsi:type="dcterms:W3CDTF">2026-10-08T19:23:23Z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