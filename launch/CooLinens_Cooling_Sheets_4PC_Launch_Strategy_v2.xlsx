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Economics" sheetId="2" state="visible" r:id="rId4"/>
    <sheet name="Batch1_Plan" sheetId="3" state="visible" r:id="rId5"/>
    <sheet name="Preferred_Backup" sheetId="4" state="visible" r:id="rId6"/>
    <sheet name="Roadmap" sheetId="5" state="visible" r:id="rId7"/>
    <sheet name="Launch_Targets" sheetId="6" state="visible" r:id="rId8"/>
    <sheet name="Open_Items" sheetId="7" state="visible" r:id="rId9"/>
    <sheet name="Batch2_Candidates" sheetId="8" state="visible" r:id="rId10"/>
    <sheet name="Negatives_Day1" sheetId="9" state="visible" r:id="rId11"/>
    <sheet name="PAT_Shortlist" sheetId="10" state="visible" r:id="rId12"/>
    <sheet name="Brand_Compare" sheetId="11" state="visible" r:id="rId13"/>
    <sheet name="Sleephoria_Monthly" sheetId="12" state="visible" r:id="rId14"/>
    <sheet name="Decolure_Monthly" sheetId="13" state="visible" r:id="rId15"/>
    <sheet name="KW_Sleephoria" sheetId="14" state="visible" r:id="rId16"/>
    <sheet name="KW_Decolure" sheetId="15" state="visible" r:id="rId17"/>
    <sheet name="Rank_History" sheetId="16" state="visible" r:id="rId18"/>
    <sheet name="Competitors" sheetId="17" state="visible" r:id="rId19"/>
    <sheet name="Market_KW" sheetId="18" state="visible" r:id="rId20"/>
    <sheet name="MKL_Intake"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<sst xmlns="http://schemas.openxmlformats.org/spreadsheetml/2006/main" count="3084" uniqueCount="1588">
  <si>
    <t xml:space="preserve">CooLinens Cooling Sheets 4PC — Data-Backed PPC Launch Strategy (DRAFT v2)</t>
  </si>
  <si>
    <t xml:space="preserve">Go-live 15 Oct 2026 · US · Parent B0H6K5RPX6 · Prepared 8 Oct 2026 for the 10 Oct review · v2 = v1 + full historical analysis (see CooLinens_Cooling_Sheets_4PC_Historical_Analysis_v1.xlsx) · MKL integration pending (see MKL_Intake)</t>
  </si>
  <si>
    <t xml:space="preserve">1. Bottom line</t>
  </si>
  <si>
    <t xml:space="preserve">• Benchmark = Sleephoria Cooling Sheets 4PC (same COGS to within $0.30/size, same 12 colours, same sizes, same list price today: Queen $79.99 / King $84.99). Decolure is a $38 microfiber tier — use it for "what not to do", not for economics.</t>
  </si>
  <si>
    <t xml:space="preserve">• CooLinens is therefore a near-twin of Sleephoria, not a premium tier above it. Because the two are the same product at the same price, the main launch risk is the two listings bidding against each other on the same keywords. (v1 cited Decolure's session collapse after Sleephoria's launch; the historical analysis shows Decolure's decline started in Jul 2025, before Sleephoria's ads — that rationale is withdrawn.) SOP-33 requires a declared owner per shared keyword root before ranking-size spend.</t>
  </si>
  <si>
    <t xml:space="preserve">• Proposal: CooLinens leads the QUEEN cluster (biggest size: 41% of CooLinens stock, ~35–42% of category units) where Sleephoria is weak (organic 45–69) — and Sleephoria keeps the roots it already wins (head term #11–18, King #8–18, Twin #5, Cal King #3–9, "hot sleepers" #5–7). Two of our listings on page 1 &gt; two listings bidding against each other.</t>
  </si>
  <si>
    <t xml:space="preserve">• Day 0 = 12 single-keyword SP Exact campaigns on the Queen Graphite child (B0H6K1MKQW, 373 FBA units; Graphite converted 13% vs 3.7% for other colours at Sleephoria). Fixed bids, all placement modifiers 0, no broad/phrase/auto/SB/SD/PAT on day 1 (SOP-22 P3.4).</t>
  </si>
  <si>
    <t xml:space="preserve">• Queen terms open as a SOP-33 P5 probe (50 → 100 clicks), are declared ~22 Oct, then scale to ranking size before the BFCM pre-event window (13 Nov). Day-0 budget ≈ $130/day (~$910/wk); post-declaration ≈ $175/day (~$1,220/wk) inside a declared $1,750/wk envelope, leaving ~$530/wk for Batch 2 / Phase 2. Projected blended ACoS ≈ 41% at 9% CVR. Queen ranking rows ≈ $113/day vs a Sleephoria-equivalent $135/day (cross-check). Every number is a live formula on editable inputs.</t>
  </si>
  <si>
    <t xml:space="preserve">2. What the history says (numbers in the benchmark tabs)</t>
  </si>
  <si>
    <t xml:space="preserve">• Sleephoria launch curve (ad months 1→2→3): TACoS 24% → 15% → 10%, margin 3% → 11% → 17%; first ~20% margin in ad month 5. Spend $17.6k → $11.5k → $6.4k. CPC $4.87 → $4.24 → $2.49.</t>
  </si>
  <si>
    <t xml:space="preserve">• Top-10 on the head terms took ~12 days at ~$790/day, CPC ~$5, ACoS ~50% (with Prime Big Deal Days tailwind and some prior organic history). Rank decayed within 2–4 weeks whenever spend fell below ~$70/day or CVR collapsed (Dec–Jan and Jun–Jul).</t>
  </si>
  <si>
    <t xml:space="preserve">• Plan to NON-BRAND benchmarks: Sleephoria non-brand ACoS 31.5%, CVR 10.6%, CPC $2.24 (its blended figures lean on branded search at 14% ACoS, which CooLinens will not have).</t>
  </si>
  <si>
    <t xml:space="preserve">• Profitable carry-over roots: cooling sheets queen (28.9% ACoS, 11.9% CVR), twin/cal king cooling terms (21–30%), cool sheets queen (22.8%), queen cooling sheets (23%), cooling sheet set (30%). Waste: king variants ("king cooling sheets" 60%, $4.17 CPC), "cold …" phrasings, fan/comforter/fitted-only/colour-only terms.</t>
  </si>
  <si>
    <t xml:space="preserve">• Decolure: non-brand cooling traffic never beat break-even (51.6% ACoS); off-season starvation ($130–1,100/month) erased top-10 positions; Sep-26 exact push at $2.43 CPC failed to recover rank in the off-season; broad match ran 209% ACoS.</t>
  </si>
  <si>
    <t xml:space="preserve">2b. New in v2 — what the full history adds</t>
  </si>
  <si>
    <t xml:space="preserve">• Inventory was the biggest single cause of lost sales and rank: Sleephoria's May–Jul 2026 near whole-brand stockout cut sales/day 42% and pushed Queen out of the top 100 at peak season; Queen has not recovered. Preferred/backup per size + a 21-day switch rule are now in the plan (Preferred_Backup), and a re-order for the Mar–Jul peak is an open item.</t>
  </si>
  <si>
    <t xml:space="preserve">• Seasonality: the 15 Oct–31 Jan window is ~35% of peak demand (SQP); Jan is the trough; March nearly doubles. Plan = launch push → Dec–Jan floor (≥ $70–100/day on Queen hero exacts) → second sized push in Feb–Mar ahead of the Apr–Jul peak.</t>
  </si>
  <si>
    <t xml:space="preserve">• Taper earlier: Sleephoria cut CPC 40% after reaching rank with no sales loss. Generic size heads (KRIMANO pattern; Decolure 'queen size sheet set' 26% ACoS) and branded exact join Batch 2. Head-term and King bidding stay gated; TOS modifiers stay at 0 until CVR evidence (Decolure +170% TOS → 76% ACoS, no rank).</t>
  </si>
  <si>
    <t xml:space="preserve">3. Market &amp; competitors</t>
  </si>
  <si>
    <t xml:space="preserve">• Off-season launch: weekly "cooling sheets" searches fell 23.9k → 17.0k (18 Sep → 6 Oct). Expect the first 90 days to be slower than Sleephoria's Oct–Dec 2025 run; Jan was −62% for Sleephoria.</t>
  </si>
  <si>
    <t xml:space="preserve">• Premium cooling-tech rivals (REST, Breescape, SHEEX, Elegear) buy position rather than earn it (REST: 78% of traffic paid, top-10 organic on 1 of 301 cooling keywords). Organic leaders are bamboo sets (Bedsure PureWoven, Love's cabin, Pure Bamboo). Head terms are ~50% ad traffic and fragmented (top-3 conversion share 4.2%).</t>
  </si>
  <si>
    <t xml:space="preserve">• Gaps: Queen-modifier cluster (no sibling in top 30); low-saturation terms ("cooling bedding", "hot sleepers must haves", twin/cal king terms with 0 rivals in organic top 10). PAT targets for Phase 3–4: REST, Breescape, SHEEX, Cozy Bliss, Elegear, DOWNCOOL, KARISSA MAE — priced $90–262 vs our $79.99.</t>
  </si>
  <si>
    <t xml:space="preserve">4. Decisions needed before go-live (detail in Open_Items)</t>
  </si>
  <si>
    <t xml:space="preserve">• (1) PPC Lead + brand owner: Queen-root ownership CooLinens vs Sleephoria, and what happens to Sleephoria's planned 9 Nov Queen push. (2) O3 FAR-BEHIND review gate vs 24 Vine reviews. (3) Launch CODE RED vs BFCM precedence. (4) Confirm listing indexing (G5) for all batch-1 terms. (5) Confirm fabric/claims (affects bamboo/Tencel/Coolmax keywords and negatives). (6) BFCM deal (Sleephoria PBDD: TACoS 7.7% with a deal vs 17% without).</t>
  </si>
  <si>
    <t xml:space="preserve">5. How to use this workbook</t>
  </si>
  <si>
    <t xml:space="preserve">Blue text = editable inputs · black = formulas · yellow fill = key assumptions to confirm. Economics and Batch1_Plan recalculate from the inputs. Benchmark/keyword/competitor tabs are data extracts (sources noted on each tab). When the MKL arrives it slots into MKL_Intake and drives Batch 2 + the negative list.</t>
  </si>
  <si>
    <t xml:space="preserve">Sources: Sellerboard (Ecotero account), Ecotero command center (ppc_* / traffic_* tools, products 45, 48, 69), DataDive niches &amp; Rank Radar (read-only), team SOPs 06/12–19/22/23/28–30/32/33 + config/thresholds.yml in this repo. No live campaign was changed.</t>
  </si>
  <si>
    <t xml:space="preserve">CooLinens unit economics &amp; bid ceilings (PROVISIONAL spine — SOP-22 P2.3 / rule M1)</t>
  </si>
  <si>
    <t xml:space="preserve">Blue = inputs. Price from Ali Muhammad's 6 Oct launch note; FBA fee &amp; COGS from Sellerboard (Ecotero) 8 Oct 2026; referral 15%. Tag PROVISIONAL until per-variation margin lands (no fee data in command center yet).</t>
  </si>
  <si>
    <t xml:space="preserve">Input</t>
  </si>
  <si>
    <t xml:space="preserve">Value</t>
  </si>
  <si>
    <t xml:space="preserve">Source / rationale</t>
  </si>
  <si>
    <t xml:space="preserve">Launch CVR (base)</t>
  </si>
  <si>
    <t xml:space="preserve">Sleephoria non-brand CVR 10.6% (Dec-25→Oct-26); Sep-26 at $77.58 ASP = 9.4%. New listing with 24 Vine reviews → 9% base.</t>
  </si>
  <si>
    <t xml:space="preserve">Launch CVR (downside)</t>
  </si>
  <si>
    <t xml:space="preserve">Sleephoria Oct-26 with stockouts = 6.2%; market SQP CVR on cooling terms ≈ 3–4%.</t>
  </si>
  <si>
    <t xml:space="preserve">Refund + storage allowance ($/unit)</t>
  </si>
  <si>
    <t xml:space="preserve">Sleephoria refund rate 5.4% lifetime; storage ~ $1/unit. Not in the per-unit fee estimate.</t>
  </si>
  <si>
    <t xml:space="preserve">Target ACoS factor (× BE)</t>
  </si>
  <si>
    <t xml:space="preserve">SOP-22 rule M1: TargetACOS = 50% × BE_ACOS</t>
  </si>
  <si>
    <t xml:space="preserve">Max acceptable ACoS factor (× BE)</t>
  </si>
  <si>
    <t xml:space="preserve">SOP-22 rule M1: MaxAccACOS = 75% × BE_ACOS</t>
  </si>
  <si>
    <t xml:space="preserve">Account reference Expected CPC</t>
  </si>
  <si>
    <t xml:space="preserve">SOP-12/22: use $2.80 PROVISIONAL when no per-term Expected CPC exists</t>
  </si>
  <si>
    <t xml:space="preserve">Launch CPC premium (× Sleephoria hist CPC)</t>
  </si>
  <si>
    <t xml:space="preserve">Sleephoria launch CPC was $4.87 vs $2.24 steady non-brand; new brand + TOS competition. Assumption.</t>
  </si>
  <si>
    <t xml:space="preserve">CPC floor</t>
  </si>
  <si>
    <t xml:space="preserve">Assumption: below this, head-term exacts did not serve at Sleephoria/Decolure.</t>
  </si>
  <si>
    <t xml:space="preserve">Target purchase share at target rank</t>
  </si>
  <si>
    <t xml:space="preserve">DSTR input. Market is fragmented (top-3 conversion share 4.2%); Sleephoria held 0.4–1.7% share at rank 11–45. 8% = launch headroom to out-sell the rank-10 incumbents (ad + organic). Assumption — calibrate after week 2.</t>
  </si>
  <si>
    <t xml:space="preserve">Default market purchase rate (purchases ÷ searches)</t>
  </si>
  <si>
    <t xml:space="preserve">SQP Jul–Sep 2026 median across cooling terms (term-specific rates used where available).</t>
  </si>
  <si>
    <t xml:space="preserve">Capped-test / probe clicks (tranche 1)</t>
  </si>
  <si>
    <t xml:space="preserve">SOP-33 P5 tranche 1 = 50 clicks (tranche 2 up to 100)</t>
  </si>
  <si>
    <t xml:space="preserve">Capped-test window (days)</t>
  </si>
  <si>
    <t xml:space="preserve">SOP-22 WE-1 capped test over 14 days</t>
  </si>
  <si>
    <t xml:space="preserve">Minimum daily budget per campaign</t>
  </si>
  <si>
    <t xml:space="preserve">Assumption; avoid early budget-outs (Sleephoria/Decolure decisions log).</t>
  </si>
  <si>
    <t xml:space="preserve">Weekly envelope (declared)</t>
  </si>
  <si>
    <t xml:space="preserve">Declared envelope for the batch-1 plan; G7: budgets must sum ≤ 110% of envelope.</t>
  </si>
  <si>
    <t xml:space="preserve">Per-size economics</t>
  </si>
  <si>
    <t xml:space="preserve">Size</t>
  </si>
  <si>
    <t xml:space="preserve">Price</t>
  </si>
  <si>
    <t xml:space="preserve">Referral %</t>
  </si>
  <si>
    <t xml:space="preserve">Referral $</t>
  </si>
  <si>
    <t xml:space="preserve">FBA fee</t>
  </si>
  <si>
    <t xml:space="preserve">COGS (landed)</t>
  </si>
  <si>
    <t xml:space="preserve">Allowance</t>
  </si>
  <si>
    <t xml:space="preserve">Margin / order</t>
  </si>
  <si>
    <t xml:space="preserve">BE ACoS</t>
  </si>
  <si>
    <t xml:space="preserve">Target ACoS</t>
  </si>
  <si>
    <t xml:space="preserve">Max acc. ACoS</t>
  </si>
  <si>
    <t xml:space="preserve">Max profitable CPC (base CVR)</t>
  </si>
  <si>
    <t xml:space="preserve">Max profitable CPC (downside CVR)</t>
  </si>
  <si>
    <t xml:space="preserve">Target CPC (base CVR)</t>
  </si>
  <si>
    <t xml:space="preserve">Margin class</t>
  </si>
  <si>
    <t xml:space="preserve">FBA stock 8 Oct</t>
  </si>
  <si>
    <t xml:space="preserve">Stock share</t>
  </si>
  <si>
    <t xml:space="preserve">Sleephoria units share L90D</t>
  </si>
  <si>
    <t xml:space="preserve">Sleephoria NP/unit L90D</t>
  </si>
  <si>
    <t xml:space="preserve">Twin</t>
  </si>
  <si>
    <t xml:space="preserve">Full</t>
  </si>
  <si>
    <t xml:space="preserve">Queen</t>
  </si>
  <si>
    <t xml:space="preserve">King</t>
  </si>
  <si>
    <t xml:space="preserve">Cal King</t>
  </si>
  <si>
    <t xml:space="preserve">Notes</t>
  </si>
  <si>
    <t xml:space="preserve">BE ACoS here (≈31–38%) is higher than Sleephoria's command-center figure (~31%) only because it uses today's list prices; Sleephoria at the same $79.99/$84.99 has the same math.</t>
  </si>
  <si>
    <t xml:space="preserve">Margin class RICH (&gt; $15/order) on every size → THIN-margin CPC cap (margin ÷ 3) does not apply.</t>
  </si>
  <si>
    <t xml:space="preserve">Ceiling read (SOP-23): Expected CPC ÷ max profitable CPC ≤0.8 SAFE · 0.8–1.0 AT-CEILING · 1.0–1.5 PUSH-ONLY · &gt;1.5 UNJUSTIFIABLE outside a sized push.</t>
  </si>
  <si>
    <t xml:space="preserve">Full has the thinnest margin and the lowest Sleephoria NP/unit → do not lead with Full; King is the best Sleephoria profit engine but its keywords are the most expensive (CPC $3.3–4.9).</t>
  </si>
  <si>
    <t xml:space="preserve">Batch 1 — Day-0 single-keyword SP Exact plan (go-live 15 Oct 2026)</t>
  </si>
  <si>
    <t xml:space="preserve">SOP-22 P3: one campaign / one keyword / one ad group · fixed bids · TOS/ROS/PP modifiers 0 · advertised SKU = D2 preferred variation. Blue = inputs; black = formulas (edit Economics inputs to re-size).</t>
  </si>
  <si>
    <t xml:space="preserve">#</t>
  </si>
  <si>
    <t xml:space="preserve">Keyword</t>
  </si>
  <si>
    <t xml:space="preserve">Type</t>
  </si>
  <si>
    <t xml:space="preserve">Sibling status (SOP-33)</t>
  </si>
  <si>
    <t xml:space="preserve">Objective</t>
  </si>
  <si>
    <t xml:space="preserve">Campaign name (SOP-12 App. A)</t>
  </si>
  <si>
    <t xml:space="preserve">Advertised SKU (D2)</t>
  </si>
  <si>
    <t xml:space="preserve">ASIN</t>
  </si>
  <si>
    <t xml:space="preserve">Wk SV (6 Oct)</t>
  </si>
  <si>
    <t xml:space="preserve">DD monthly SV</t>
  </si>
  <si>
    <t xml:space="preserve">SV tier</t>
  </si>
  <si>
    <t xml:space="preserve">Rivals organic top-10</t>
  </si>
  <si>
    <t xml:space="preserve">Ad share of traffic</t>
  </si>
  <si>
    <t xml:space="preserve">Sleephoria org rank</t>
  </si>
  <si>
    <t xml:space="preserve">Decolure org rank</t>
  </si>
  <si>
    <t xml:space="preserve">Sleephoria hist clicks</t>
  </si>
  <si>
    <t xml:space="preserve">Sleephoria hist CPC</t>
  </si>
  <si>
    <t xml:space="preserve">Sleephoria hist CVR</t>
  </si>
  <si>
    <t xml:space="preserve">Sleephoria hist ACoS</t>
  </si>
  <si>
    <t xml:space="preserve">Expected CPC = start bid</t>
  </si>
  <si>
    <t xml:space="preserve">Market purchase rate</t>
  </si>
  <si>
    <t xml:space="preserve">DSTR (orders/day)</t>
  </si>
  <si>
    <t xml:space="preserve">CVR used</t>
  </si>
  <si>
    <t xml:space="preserve">Clicks/day — Day 0 (probe/cap)</t>
  </si>
  <si>
    <t xml:space="preserve">Daily budget — Day 0</t>
  </si>
  <si>
    <t xml:space="preserve">Clicks/day — post-declaration</t>
  </si>
  <si>
    <t xml:space="preserve">Daily budget — post-declaration</t>
  </si>
  <si>
    <t xml:space="preserve">Projected ACoS</t>
  </si>
  <si>
    <t xml:space="preserve">Weekly loss ceiling (post-decl.)</t>
  </si>
  <si>
    <t xml:space="preserve">Max profitable CPC</t>
  </si>
  <si>
    <t xml:space="preserve">Ceiling read</t>
  </si>
  <si>
    <t xml:space="preserve">Target organic rank</t>
  </si>
  <si>
    <t xml:space="preserve">Rationale / evidence</t>
  </si>
  <si>
    <t xml:space="preserve">cooling sheets queen</t>
  </si>
  <si>
    <t xml:space="preserve">Ranking</t>
  </si>
  <si>
    <t xml:space="preserve">Shared root — Sleephoria live, organic 35–45 (not owner-grade)</t>
  </si>
  <si>
    <t xml:space="preserve">CLCS4-SP-cooling sheets queen-VHSV-Exact-Rank-Fix-Q-GRAPHITE</t>
  </si>
  <si>
    <t xml:space="preserve">CL-COOLING-SHEET-QUEEN-GRAPHITE</t>
  </si>
  <si>
    <t xml:space="preserve">B0H6K1MKQW</t>
  </si>
  <si>
    <t xml:space="preserve">VHSV</t>
  </si>
  <si>
    <t xml:space="preserve">Largest size term (DD 41.3k/mo). Sleephoria 28.9% ACoS / 11.9% CVR here — proven converter. Sleephoria fell from #5 to 35–45 → open gap.</t>
  </si>
  <si>
    <t xml:space="preserve">queen sheets cooling</t>
  </si>
  <si>
    <t xml:space="preserve">Shared root — Sleephoria organic 69</t>
  </si>
  <si>
    <t xml:space="preserve">CLCS4-SP-queen sheets cooling-HSV-Exact-Rank-Fix-Q-GRAPHITE</t>
  </si>
  <si>
    <t xml:space="preserve">HSV</t>
  </si>
  <si>
    <t xml:space="preserve">DD ~7.9k/mo; SQP purchase rate 3.1% (highest of queen terms). No sibling in top 30.</t>
  </si>
  <si>
    <t xml:space="preserve">queen cooling sheets</t>
  </si>
  <si>
    <t xml:space="preserve">Shared root — Sleephoria organic 45, Decolure 130</t>
  </si>
  <si>
    <t xml:space="preserve">CLCS4-SP-queen cooling sheets-HSV-Exact-Rank-Fix-Q-GRAPHITE</t>
  </si>
  <si>
    <t xml:space="preserve">DD 7.0k/mo; Sleephoria 23% ACoS / 12.8% CVR when served.</t>
  </si>
  <si>
    <t xml:space="preserve">cooling bed sheets queen</t>
  </si>
  <si>
    <t xml:space="preserve">Shared root — Sleephoria organic 18 (borderline)</t>
  </si>
  <si>
    <t xml:space="preserve">CLCS4-SP-cooling bed sheets queen-HSV-Exact-Rank-Fix-Q-GRAPHITE</t>
  </si>
  <si>
    <t xml:space="preserve">DD 4.8k/mo; Decolure ranked top-10 here in 2025 on a $38 product. Watch CVR (Sleephoria 4.7% on 86 clicks).</t>
  </si>
  <si>
    <t xml:space="preserve">queen size cooling sheets</t>
  </si>
  <si>
    <t xml:space="preserve">Shared root — Sleephoria organic 48</t>
  </si>
  <si>
    <t xml:space="preserve">CLCS4-SP-queen size cooling sheets-HSV-Exact-Rank-Fix-Q-GRAPHITE</t>
  </si>
  <si>
    <t xml:space="preserve">Gap term; Sleephoria wasted $113 here (1 order / 37 clicks) — start at Expected CPC, no TOS modifier.</t>
  </si>
  <si>
    <t xml:space="preserve">cooling queen sheets</t>
  </si>
  <si>
    <t xml:space="preserve">Shared root — Sleephoria organic 24</t>
  </si>
  <si>
    <t xml:space="preserve">CLCS4-SP-cooling queen sheets-HSV-Exact-Rank-Fix-Q-GRAPHITE</t>
  </si>
  <si>
    <t xml:space="preserve">Sleephoria 38% ACoS / 11.1% CVR (234 clicks) — growth-acceptable.</t>
  </si>
  <si>
    <t xml:space="preserve">cooling sheet set</t>
  </si>
  <si>
    <t xml:space="preserve">Discovery (capped)</t>
  </si>
  <si>
    <t xml:space="preserve">Weakly held — Sleephoria organic 38</t>
  </si>
  <si>
    <t xml:space="preserve">Discovery</t>
  </si>
  <si>
    <t xml:space="preserve">CLCS4-SP-cooling sheet set-HSV-Exact-Disc-Fix-Q-GRAPHITE</t>
  </si>
  <si>
    <t xml:space="preserve">Set-intent term matches 4-piece; Sleephoria 30.2% ACoS. Premium rival Breescape #10.</t>
  </si>
  <si>
    <t xml:space="preserve">best cooling sheets</t>
  </si>
  <si>
    <t xml:space="preserve">Weakly held — Sleephoria organic 34</t>
  </si>
  <si>
    <t xml:space="preserve">CLCS4-SP-best cooling sheets-HSV-Exact-Disc-Fix-Q-GRAPHITE</t>
  </si>
  <si>
    <t xml:space="preserve">Comparison shoppers; REST #17. Sleephoria 37% ACoS / 5.2% CVR → keep capped.</t>
  </si>
  <si>
    <t xml:space="preserve">cooling bedding</t>
  </si>
  <si>
    <t xml:space="preserve">Unowned — neither sibling ranks</t>
  </si>
  <si>
    <t xml:space="preserve">CLCS4-SP-cooling bedding-HSV-Exact-Disc-Fix-Q-GRAPHITE</t>
  </si>
  <si>
    <t xml:space="preserve">NR</t>
  </si>
  <si>
    <t xml:space="preserve">DD 4.9k/mo; 0 rivals in organic top 10. Uncontested.</t>
  </si>
  <si>
    <t xml:space="preserve">hot sleepers must haves</t>
  </si>
  <si>
    <t xml:space="preserve">Unowned — Sleephoria organic 130</t>
  </si>
  <si>
    <t xml:space="preserve">CLCS4-SP-hot sleepers must haves-HSV-Exact-Disc-Fix-Q-GRAPHITE</t>
  </si>
  <si>
    <t xml:space="preserve">DD 3.8k/mo; 0 rivals organic top 10, 72% ad traffic. Gift/listicle intent — test only.</t>
  </si>
  <si>
    <t xml:space="preserve">cooling sheets</t>
  </si>
  <si>
    <t xml:space="preserve">Probe (sibling-owned)</t>
  </si>
  <si>
    <t xml:space="preserve">Sleephoria-owned — organic 11–18</t>
  </si>
  <si>
    <t xml:space="preserve">CLCS4-SP-cooling sheets-VHSV-Exact-Disc-Fix-Q-GRAPHITE</t>
  </si>
  <si>
    <t xml:space="preserve">Head term (DD 129k/mo). Capped probe only: collect CooLinens CVR for SOP-33 ceiling test; no ranking spend.</t>
  </si>
  <si>
    <t xml:space="preserve">cooling bed sheets</t>
  </si>
  <si>
    <t xml:space="preserve">Sleephoria-owned — organic 15–18</t>
  </si>
  <si>
    <t xml:space="preserve">CLCS4-SP-cooling bed sheets-VHSV-Exact-Disc-Fix-Q-GRAPHITE</t>
  </si>
  <si>
    <t xml:space="preserve">DD 21k/mo. Capped probe only.</t>
  </si>
  <si>
    <t xml:space="preserve">TOTAL</t>
  </si>
  <si>
    <t xml:space="preserve">Weekly budget — Day 0</t>
  </si>
  <si>
    <t xml:space="preserve">Weekly budget — post-declaration</t>
  </si>
  <si>
    <t xml:space="preserve">Declared weekly envelope</t>
  </si>
  <si>
    <t xml:space="preserve">G7 check: post-declaration budgets ≤ 110% of envelope</t>
  </si>
  <si>
    <t xml:space="preserve">Projected weekly ad sales — post-declaration (clicks × CVR × price)</t>
  </si>
  <si>
    <t xml:space="preserve">Projected blended ACoS — post-declaration</t>
  </si>
  <si>
    <t xml:space="preserve">Cross-check: Sleephoria launch-month spend/day (Oct-25)</t>
  </si>
  <si>
    <t xml:space="preserve">Cross-check: Queen share of Sleephoria cooling spend (Cooling+Queen $8,873 ÷ Cooling $40,089)</t>
  </si>
  <si>
    <t xml:space="preserve">Cross-check: Sleephoria-equivalent Queen spend/day</t>
  </si>
  <si>
    <t xml:space="preserve">Queen ranking rows — post-declaration $/day (this plan)</t>
  </si>
  <si>
    <t xml:space="preserve">Day 0: Ranking rows run at probe level (tranche 1 = 50 clicks over 14 days, bid = Expected CPC) until the SOP-33 owner declaration (target ~22 Oct). Post-declaration = DSTR ÷ CVR clicks/day (SOP-23 M2), floored at the probe rate.</t>
  </si>
  <si>
    <t xml:space="preserve">DSTR = weekly SV ÷ 7 × market purchase rate (SQP Jul–Sep 2026 where available) × target purchase share. Sleephoria empirical cross-check: top-10 in ~12 days at ~$790/day across ~100 campaigns, CPC ~$5, ACoS ~50% (with PBDD tailwind). If ranks have not moved by week 3, the SOP-23 sizing is too light — escalate, do not silently add spend.</t>
  </si>
  <si>
    <t xml:space="preserve">Placements: TOS / ROS / PP modifiers start at 0 (SOP-22 P3.9). First TOS raise only after ≥15 clicks/7d with TOS CVR &gt; ROS CVR and CPA ≤ ceiling, ≤ +20 pts per move, one move per 14 days (thresholds.yml W6). Off-Amazon: exclude (Sleephoria $661, 0 orders).</t>
  </si>
  <si>
    <t xml:space="preserve">Budgets: Sleephoria's branded and King ranking campaigns ran out of budget before noon — check D6 (ranking campaigns must not cap before 20:00) daily during week 1; budget relief ≤ +25% once/week is pre-authorised.</t>
  </si>
  <si>
    <t xml:space="preserve">Halo: none on day 0. Sleephoria colour test: Graphite 13% CVR vs 3.7% for all other colours → hero-only. Re-point to Queen Cool Grey (B0H6JWNCK3, 280 FBA) only if Queen Graphite DOH &lt; 21.</t>
  </si>
  <si>
    <t xml:space="preserve">Not on day 0 (SOP-22 P3.4/F1): broad, phrase, auto, SB/SBV/SD, PAT/conquest, own-brand defence (no branded search yet).</t>
  </si>
  <si>
    <t xml:space="preserve">Preferred (D2) and backup advertised variation per size</t>
  </si>
  <si>
    <t xml:space="preserve">Evidence: Sleephoria &amp; Decolure colour demand by unit share (hero-only ads distort per-SKU CVR/NP), CooLinens FBA 8 Oct 2026. Switch to backup when preferred cover &lt; 21 days (trailing-7d velocity) or below the unit floor with nothing receivable in 10 days; switch back at ≥ 45 days cover.</t>
  </si>
  <si>
    <t xml:space="preserve">size</t>
  </si>
  <si>
    <t xml:space="preserve">preferred_sku</t>
  </si>
  <si>
    <t xml:space="preserve">preferred_asin</t>
  </si>
  <si>
    <t xml:space="preserve">preferred_fba_2026-10-08</t>
  </si>
  <si>
    <t xml:space="preserve">preferred_inbound</t>
  </si>
  <si>
    <t xml:space="preserve">proj_vel_u_day (SL analogue, hero)</t>
  </si>
  <si>
    <t xml:space="preserve">preferred_DOH_base</t>
  </si>
  <si>
    <t xml:space="preserve">preferred_DOH_hero_x1.5</t>
  </si>
  <si>
    <t xml:space="preserve">backup_sku</t>
  </si>
  <si>
    <t xml:space="preserve">backup_asin</t>
  </si>
  <si>
    <t xml:space="preserve">backup_fba_2026-10-08</t>
  </si>
  <si>
    <t xml:space="preserve">backup_inbound</t>
  </si>
  <si>
    <t xml:space="preserve">backup_DOH_if_it_inherits_hero_velocity</t>
  </si>
  <si>
    <t xml:space="preserve">SL_share_in_size_pref_pct</t>
  </si>
  <si>
    <t xml:space="preserve">SL_share_in_size_backup_pct</t>
  </si>
  <si>
    <t xml:space="preserve">BM_share_in_size_pref_pct</t>
  </si>
  <si>
    <t xml:space="preserve">BM_share_in_size_backup_pct</t>
  </si>
  <si>
    <t xml:space="preserve">switch_to_backup_when</t>
  </si>
  <si>
    <t xml:space="preserve">switch_back_when</t>
  </si>
  <si>
    <t xml:space="preserve">rationale</t>
  </si>
  <si>
    <t xml:space="preserve">CL-COOLING-SHEET-QUEEN-COOL-GREY</t>
  </si>
  <si>
    <t xml:space="preserve">B0H6JWNCK3</t>
  </si>
  <si>
    <t xml:space="preserve">preferred available FBA DOH &lt; 21 at trailing-7d velocity OR preferred FBA &lt; 76 units, with no inbound receivable within 10 days</t>
  </si>
  <si>
    <t xml:space="preserve">preferred available FBA &gt;= 45 DOH (received, not just shipped)</t>
  </si>
  <si>
    <t xml:space="preserve">Graphite = #1 Queen colour in SL (20% of Queen units, 1,021 u) and BM (BM-QUEEN-GRAPHITE-GREY #1 SKU, 25.6% of BM Queen); deepest CL stock. Cool Grey = #2 in both brands (SL 14%, BM 14.8%) and 2nd-deepest CL stock. Both colours carry ad-landing traffic so their unit-session % (2.4-2.8%) understates true preference.</t>
  </si>
  <si>
    <t xml:space="preserve">CL-COOLING-SHEET-KING-GRAPHITE</t>
  </si>
  <si>
    <t xml:space="preserve">B0H6JXBD3K</t>
  </si>
  <si>
    <t xml:space="preserve">CL-COOLING-SHEET-KING-COOL-GREY</t>
  </si>
  <si>
    <t xml:space="preserve">B0H6K77BRL</t>
  </si>
  <si>
    <t xml:space="preserve">preferred available FBA DOH &lt; 21 at trailing-7d velocity OR preferred FBA &lt; 49 units, with no inbound receivable within 10 days</t>
  </si>
  <si>
    <t xml:space="preserve">Graphite #1 King colour SL (19.9%, 26.5% in Jul-Oct 2026) and in BM (17.5%); Cool Grey #2 in SL (12.1%) and #1 in BM (19.5%). CL King Light Grey (#3 SL, best King CVR 6.6%) has only 42 units, too thin for a backup.</t>
  </si>
  <si>
    <t xml:space="preserve">CalKing</t>
  </si>
  <si>
    <t xml:space="preserve">CL-COOLING-SHEET-CAL-KING-GRAPHITE</t>
  </si>
  <si>
    <t xml:space="preserve">B0H6JV73R5</t>
  </si>
  <si>
    <t xml:space="preserve">CL-COOLING-SHEET-CAL-KING-MIDNIGHT-BLACK</t>
  </si>
  <si>
    <t xml:space="preserve">B0H6JZG4W5</t>
  </si>
  <si>
    <t xml:space="preserve">preferred available FBA DOH &lt; 21 at trailing-7d velocity OR preferred FBA &lt; 15 units, with no inbound receivable within 10 days</t>
  </si>
  <si>
    <t xml:space="preserve">Graphite #1 Cal King in SL (20.8%) and BM (14.6%). Cool Grey is #2 by demand (SL 13.3%, BM 16.2%) but CL holds only 24 units; Midnight Black (SL 9.2%, BM 11.9%, CVR 5.1%) has 42 units, so it is the stock-feasible backup; Cool Grey is tertiary.</t>
  </si>
  <si>
    <t xml:space="preserve">CL-COOLING-SHEET-FULL-COOL-GREY</t>
  </si>
  <si>
    <t xml:space="preserve">B0H6K4KPGJ</t>
  </si>
  <si>
    <t xml:space="preserve">CL-COOLING-SHEET-FULL-GRAPHITE</t>
  </si>
  <si>
    <t xml:space="preserve">B0H6K1C7N1</t>
  </si>
  <si>
    <t xml:space="preserve">preferred available FBA DOH &lt; 21 at trailing-7d velocity OR preferred FBA &lt; 16 units, with no inbound receivable within 10 days</t>
  </si>
  <si>
    <t xml:space="preserve">SL Full Cool Grey #1 (16.5%) but it was the advertised Full child; Graphite #2 SL (10.9%) and #1 BM Full (14.2%). In Jul-Oct 2026 Full colours are near-even (Midnight Black 13.2%, Cool Grey 10.1%, Graphite 9.6%). Preferred = Cool Grey on CL stock depth (90 vs 54); Graphite backup keeps the dark-grey hero family; Midnight Black (66 u) tertiary.</t>
  </si>
  <si>
    <t xml:space="preserve">CL-COOLING-SHEET-TWIN-GRAPHITE</t>
  </si>
  <si>
    <t xml:space="preserve">B0H6K1TJWV</t>
  </si>
  <si>
    <t xml:space="preserve">CL-COOLING-SHEET-TWIN-NAVY-BLUE</t>
  </si>
  <si>
    <t xml:space="preserve">B0H6K777C2</t>
  </si>
  <si>
    <t xml:space="preserve">Graphite #1 Twin in SL (21.9%) and BM (14.3%). Navy Blue #2 SL (16.3%, 19.6% in Jul-Oct 2026, best Twin CVR 7.4%). White (48 u) is a stock-deeper tertiary. Both Twin preferred and backup are thin (41/35 u).</t>
  </si>
  <si>
    <t xml:space="preserve">Phase roadmap &amp; dated checkpoints</t>
  </si>
  <si>
    <t xml:space="preserve">Dates follow SOP-22 phases, SOP-33 arbitration and the SOP-32 BFCM window (Black Friday 27 Nov 2026, Cyber Monday 30 Nov 2026).</t>
  </si>
  <si>
    <t xml:space="preserve">Date</t>
  </si>
  <si>
    <t xml:space="preserve">Phase / gate</t>
  </si>
  <si>
    <t xml:space="preserve">Actions</t>
  </si>
  <si>
    <t xml:space="preserve">Owner</t>
  </si>
  <si>
    <t xml:space="preserve">Artifact (SOP)</t>
  </si>
  <si>
    <t xml:space="preserve">8–10 Oct</t>
  </si>
  <si>
    <t xml:space="preserve">Pre-launch (P1, day −5)</t>
  </si>
  <si>
    <t xml:space="preserve">Strategy review (this file); MKL intake → G12 hygiene; G5 indexing check of all 12 terms on B0H6K1MKQW; G6 inventory; G11 sibling scan; event-window row; envelope G7.</t>
  </si>
  <si>
    <t xml:space="preserve">PPC Lead, launch operator</t>
  </si>
  <si>
    <t xml:space="preserve">Countersigned P1 checklist; blocker list</t>
  </si>
  <si>
    <t xml:space="preserve">10 Oct</t>
  </si>
  <si>
    <t xml:space="preserve">Pre-launch</t>
  </si>
  <si>
    <t xml:space="preserve">PPC Lead rulings on Open_Items 1–4. SOP-33 finding opened on shared Queen/head roots; ceiling test (CooLinens margin × best family CVR × depth).</t>
  </si>
  <si>
    <t xml:space="preserve">PPC Lead, Brand owner</t>
  </si>
  <si>
    <t xml:space="preserve">S-series finding + composite card</t>
  </si>
  <si>
    <t xml:space="preserve">13 Oct</t>
  </si>
  <si>
    <t xml:space="preserve">Pre-launch (P2)</t>
  </si>
  <si>
    <t xml:space="preserve">Clone Command Workbook; T0 cells AOV/Margin/BE/Target/MaxAcc/ExpectedCPC/Envelope = PROVISIONAL. Build day-0 bulk (12 campaigns). Pre-load walls: "coolinens" negative phrase in Sleephoria/Decolure discovery; sibling ASINs as negative ASIN in all CooLinens auto later.</t>
  </si>
  <si>
    <t xml:space="preserve">PPC Specialist</t>
  </si>
  <si>
    <t xml:space="preserve">Bulk file + T3 registry + T6 predictions (one per term)</t>
  </si>
  <si>
    <t xml:space="preserve">15 Oct (Day 0)</t>
  </si>
  <si>
    <t xml:space="preserve">Phase 1 — Batch 1</t>
  </si>
  <si>
    <t xml:space="preserve">12 single-keyword exacts live on Queen Graphite; fixed bids = Expected CPC; modifiers 0; Queen ranking terms at probe tranche 1; daily D1–D7 checks start.</t>
  </si>
  <si>
    <t xml:space="preserve">P3 standup record</t>
  </si>
  <si>
    <t xml:space="preserve">20–22 Oct</t>
  </si>
  <si>
    <t xml:space="preserve">Phase 1 — Probe read</t>
  </si>
  <si>
    <t xml:space="preserve">Tranche 1 (50 clicks) read; extend to 100 clicks if CVR verdict needed. Six-step structural inspection (SOP-33 P7). Declaration: Queen roots → CooLinens (proposed); Sleephoria Queen terms → DEFEND AT FLOOR; walls confirmed same day.</t>
  </si>
  <si>
    <t xml:space="preserve">PPC Lead + Brand owner</t>
  </si>
  <si>
    <t xml:space="preserve">Declaration record (6 fields, 3 numeric re-arbitration triggers)</t>
  </si>
  <si>
    <t xml:space="preserve">23 Oct</t>
  </si>
  <si>
    <t xml:space="preserve">Phase 1 — Ranking push</t>
  </si>
  <si>
    <t xml:space="preserve">Scale Queen exacts to post-declaration size (Batch1_Plan col AB). Sizing worksheet per push (SOP-23), 3-week horizon, stop-loss S-R5.</t>
  </si>
  <si>
    <t xml:space="preserve">SOP-23 sizing worksheet</t>
  </si>
  <si>
    <t xml:space="preserve">28 Oct</t>
  </si>
  <si>
    <t xml:space="preserve">BFCM T-30</t>
  </si>
  <si>
    <t xml:space="preserve">BFCM event plan due (SOP-32): must NAME the CooLinens push, any Phase 2 standup, caps (baseline × lift), deal (recommend coupon / Prime-exclusive discount).</t>
  </si>
  <si>
    <t xml:space="preserve">PPC Lead</t>
  </si>
  <si>
    <t xml:space="preserve">Event plan v1</t>
  </si>
  <si>
    <t xml:space="preserve">29 Oct</t>
  </si>
  <si>
    <t xml:space="preserve">Phase 1 — Batch 2</t>
  </si>
  <si>
    <t xml:space="preserve">14-day pass: Queen tail Class-2 consolidated exact (see Batch2_Candidates) funded from released budget + unspent envelope (envelope-neutral). MKL-driven additions.</t>
  </si>
  <si>
    <t xml:space="preserve">P5 progression log</t>
  </si>
  <si>
    <t xml:space="preserve">5 Nov</t>
  </si>
  <si>
    <t xml:space="preserve">Honeymoon exit (illustrative 21 days)</t>
  </si>
  <si>
    <t xml:space="preserve">No efficiency tightening before this date (SOP-22 P4.3). After: weekly steering per README cadence.</t>
  </si>
  <si>
    <t xml:space="preserve">T5 row</t>
  </si>
  <si>
    <t xml:space="preserve">5–12 Nov</t>
  </si>
  <si>
    <t xml:space="preserve">Phase 2 entry (if P7 passes AND named in event plan)</t>
  </si>
  <si>
    <t xml:space="preserve">Auto close-match (low bid) + family broad (Queen root, down-only) + harvest register. If not named in the event plan → defer to ≥15 Dec.</t>
  </si>
  <si>
    <t xml:space="preserve">P7 phase-advance record</t>
  </si>
  <si>
    <t xml:space="preserve">9 Nov</t>
  </si>
  <si>
    <t xml:space="preserve">Sibling conflict</t>
  </si>
  <si>
    <t xml:space="preserve">Sleephoria Queen "wave 1" push was scheduled — must be cancelled or redirected per the declaration (cannot open on an undeclared/non-owned root, SOP-33 P3).</t>
  </si>
  <si>
    <t xml:space="preserve">Sleephoria plan amendment</t>
  </si>
  <si>
    <t xml:space="preserve">13 Nov</t>
  </si>
  <si>
    <t xml:space="preserve">BFCM pre-event window (T-14)</t>
  </si>
  <si>
    <t xml:space="preserve">Freeze: no new tests/batches/standups unless named. Pushes must already be live and funded. Bids hold; modifiers stay 0. Inventory cover &gt; window + 14 days.</t>
  </si>
  <si>
    <t xml:space="preserve">All</t>
  </si>
  <si>
    <t xml:space="preserve">Freeze list + baseline snapshot</t>
  </si>
  <si>
    <t xml:space="preserve">27–30 Nov</t>
  </si>
  <si>
    <t xml:space="preserve">BFCM</t>
  </si>
  <si>
    <t xml:space="preserve">Amplify only (caps per M9). Pacing correction if &gt;15% deviation.</t>
  </si>
  <si>
    <t xml:space="preserve">Daily logs</t>
  </si>
  <si>
    <t xml:space="preserve">to ~14 Dec</t>
  </si>
  <si>
    <t xml:space="preserve">Settle / exclusion</t>
  </si>
  <si>
    <t xml:space="preserve">Window + 14 days excluded from trend reads; rank gained in-window starts its 2-week clock only after exclusion.</t>
  </si>
  <si>
    <t xml:space="preserve">—</t>
  </si>
  <si>
    <t xml:space="preserve">Dec → Jan</t>
  </si>
  <si>
    <t xml:space="preserve">Off-season hold (demand trough, SQP index 0.55–0.62)</t>
  </si>
  <si>
    <t xml:space="preserve">Do NOT starve: Sleephoria at $53/day in Jan lost queen (67) and king-size (101); Decolure's Dec-23 cut erased its launch. Keep Queen hero exacts at a floor ≥ $70–100/day; taper 15–25%/cycle only after 2 consecutive weeks at target rank (Sleephoria cut CPC 40% with no sales loss).</t>
  </si>
  <si>
    <t xml:space="preserve">Monthly review pack</t>
  </si>
  <si>
    <t xml:space="preserve">By 31 Oct</t>
  </si>
  <si>
    <t xml:space="preserve">Re-order decision</t>
  </si>
  <si>
    <t xml:space="preserve">CooLinens has NO inbound. June demand runs ~2.8× the launch window; Queen Graphite 373 units ≈ 69–103 days at launch velocity. Size a re-order to land by early Mar (Twin 41 / Cal King 66 Graphite units are thin from day 1). Sleephoria's stockout landed on peak season and cost the summer.</t>
  </si>
  <si>
    <t xml:space="preserve">Brand owner / Ops</t>
  </si>
  <si>
    <t xml:space="preserve">PO + inbound plan</t>
  </si>
  <si>
    <t xml:space="preserve">Feb → Mar</t>
  </si>
  <si>
    <t xml:space="preserve">Second sized push (SOP-23)</t>
  </si>
  <si>
    <t xml:space="preserve">Demand nearly doubles in March (SQP 0.59 → 0.94); Sleephoria's best economics were Feb–May (TACoS 5%, ACoS 24.5%). Re-size Queen ranking exacts on fresh DSTR; re-entry to top 10 historically cost ~$20/day/term.</t>
  </si>
  <si>
    <t xml:space="preserve">SOP-23 sizing worksheet v2</t>
  </si>
  <si>
    <t xml:space="preserve">Jan 2027+</t>
  </si>
  <si>
    <t xml:space="preserve">Phase 3–4 (post handoff)</t>
  </si>
  <si>
    <t xml:space="preserve">PAT/conquest (PAT_Shortlist), SB brand defence (once branded search exists), SBV if SP CPC ≥ 1.5× ceiling. P10 11-field handoff packet → KDR weekly system.</t>
  </si>
  <si>
    <t xml:space="preserve">P10 packet, P12 co-sign</t>
  </si>
  <si>
    <t xml:space="preserve">Launch targets &amp; stop rules</t>
  </si>
  <si>
    <t xml:space="preserve">Calibrated on Sleephoria's Oct-25 → Feb-26 curve, discounted for an off-season, new-brand start. SOP-22 §3 launch TACoS band 15–25% (F2).</t>
  </si>
  <si>
    <t xml:space="preserve">When</t>
  </si>
  <si>
    <t xml:space="preserve">Metric</t>
  </si>
  <si>
    <t xml:space="preserve">Target / rule</t>
  </si>
  <si>
    <t xml:space="preserve">Basis</t>
  </si>
  <si>
    <t xml:space="preserve">Wk 1–2 (15–28 Oct)</t>
  </si>
  <si>
    <t xml:space="preserve">Delivery</t>
  </si>
  <si>
    <t xml:space="preserve">Every batch-1 exact ≥ 15 clicks / 7 days; no ranking campaign out of budget before 20:00 (D6)</t>
  </si>
  <si>
    <t xml:space="preserve">SOP-22 G2; thresholds D6</t>
  </si>
  <si>
    <t xml:space="preserve">Wk 1–2</t>
  </si>
  <si>
    <t xml:space="preserve">Conversion</t>
  </si>
  <si>
    <t xml:space="preserve">Queen Graphite CVR ≥ 8% on ≥ 50 probe clicks (verdict at 100)</t>
  </si>
  <si>
    <t xml:space="preserve">Sleephoria non-brand 10.6%; Sep-26 at $77.58 = 9.4%</t>
  </si>
  <si>
    <t xml:space="preserve">Efficiency</t>
  </si>
  <si>
    <t xml:space="preserve">Ranking terms ACoS ≤ 80% (ranking envelope 50–80%); blended ≤ 60%</t>
  </si>
  <si>
    <t xml:space="preserve">SOP-23 F1; Sleephoria launch 48.8%</t>
  </si>
  <si>
    <t xml:space="preserve">Rank</t>
  </si>
  <si>
    <t xml:space="preserve">"cooling sheets queen" organic ≤ 50</t>
  </si>
  <si>
    <t xml:space="preserve">Sleephoria went 34–101 → 4 in ~10 days with ~$790/day</t>
  </si>
  <si>
    <t xml:space="preserve">Wk 3–4 (to 11 Nov)</t>
  </si>
  <si>
    <t xml:space="preserve">Queen ranking cluster organic top 20 on ≥ 3 of 6 terms</t>
  </si>
  <si>
    <t xml:space="preserve">Batch1_Plan target ranks</t>
  </si>
  <si>
    <t xml:space="preserve">Wk 3–4</t>
  </si>
  <si>
    <t xml:space="preserve">Volume / TACoS</t>
  </si>
  <si>
    <t xml:space="preserve">≥ 10 units/day total; TACoS ≤ 30%</t>
  </si>
  <si>
    <t xml:space="preserve">Sleephoria month-1 TACoS 24.5%; off-season discount</t>
  </si>
  <si>
    <t xml:space="preserve">Wk 6 (26 Nov, pre-BFCM)</t>
  </si>
  <si>
    <t xml:space="preserve">"cooling sheets queen" top 15; cluster top 20 on ≥ 5 of 6</t>
  </si>
  <si>
    <t xml:space="preserve">Wk 6</t>
  </si>
  <si>
    <t xml:space="preserve">TACoS</t>
  </si>
  <si>
    <t xml:space="preserve">≤ 25% (top of launch band)</t>
  </si>
  <si>
    <t xml:space="preserve">SOP-22 F2</t>
  </si>
  <si>
    <t xml:space="preserve">Wk 8–10 (Dec)</t>
  </si>
  <si>
    <t xml:space="preserve">Rank → taper</t>
  </si>
  <si>
    <t xml:space="preserve">Top 10 on target terms 2 consecutive weeks → TAPER ~10%/week</t>
  </si>
  <si>
    <t xml:space="preserve">SOP-23 S-R6 / M3</t>
  </si>
  <si>
    <t xml:space="preserve">Wk 8–10</t>
  </si>
  <si>
    <t xml:space="preserve">ACoS ≤ 40%; TACoS ≤ 15%; NP/unit ≥ $7</t>
  </si>
  <si>
    <t xml:space="preserve">Sleephoria ad month 2–3: TACoS 15% → 10%, NP/unit $7.25 → $10.51</t>
  </si>
  <si>
    <t xml:space="preserve">Wk 12–16 (Jan–Feb)</t>
  </si>
  <si>
    <t xml:space="preserve">Seasonal context</t>
  </si>
  <si>
    <t xml:space="preserve">Jan is the demand trough (SQP index 0.55; purchases 0.48). Judge Jan on rank held + TACoS, not on unit growth.</t>
  </si>
  <si>
    <t xml:space="preserve">Historical_Analysis: Seasonality</t>
  </si>
  <si>
    <t xml:space="preserve">Steady state</t>
  </si>
  <si>
    <t xml:space="preserve">TACoS ≤ 12%; ACoS ≤ Max acceptable (≈ 28% Queen); NP/unit ≥ $10; spend floor ≥ $70/day on Queen hero exacts</t>
  </si>
  <si>
    <t xml:space="preserve">Sleephoria months 4–7 TACoS 4–7%; rank decay below ~$70/day</t>
  </si>
  <si>
    <t xml:space="preserve">Continuous</t>
  </si>
  <si>
    <t xml:space="preserve">Sibling guard</t>
  </si>
  <si>
    <t xml:space="preserve">Sleephoria Queen units/day ≥ 85% of pre-launch baseline (136 units / 28d = 4.9/day) and Sleephoria sessions not −25% vs 4-week pre-launch baseline</t>
  </si>
  <si>
    <t xml:space="preserve">SOP-33 re-arbitration triggers (numeric)</t>
  </si>
  <si>
    <t xml:space="preserve">Stop-loss</t>
  </si>
  <si>
    <t xml:space="preserve">Push stop only when ALL: clicks delivered + CVR ≥ benchmark + rank velocity ≈ 0 → concede to Conversions at max profitable CPC</t>
  </si>
  <si>
    <t xml:space="preserve">SOP-23 S-R5</t>
  </si>
  <si>
    <t xml:space="preserve">Circuit break</t>
  </si>
  <si>
    <t xml:space="preserve">Any campaign ≥ 3× target CPA, 0 orders, ≥ 5 days → pause</t>
  </si>
  <si>
    <t xml:space="preserve">thresholds D7</t>
  </si>
  <si>
    <t xml:space="preserve">Inventory</t>
  </si>
  <si>
    <t xml:space="preserve">Re-point the advertised child to the BACKUP when preferred cover &lt; 21 days or below the unit floor (Preferred_Backup); G6 RED at ≤ 14 days</t>
  </si>
  <si>
    <t xml:space="preserve">Median cover 14 days before observed stockouts = 17.5 days; Sleephoria never re-pointed and lost peak season</t>
  </si>
  <si>
    <t xml:space="preserve">Open items &amp; rulings required before go-live</t>
  </si>
  <si>
    <t xml:space="preserve">Owner decides; this file proposes.</t>
  </si>
  <si>
    <t xml:space="preserve">Item</t>
  </si>
  <si>
    <t xml:space="preserve">Proposal</t>
  </si>
  <si>
    <t xml:space="preserve">Decision owner</t>
  </si>
  <si>
    <t xml:space="preserve">Impact</t>
  </si>
  <si>
    <t xml:space="preserve">Sibling ownership of Queen roots (SOP-33)</t>
  </si>
  <si>
    <t xml:space="preserve">CooLinens = owner of Queen roots; Sleephoria keeps head/King/Twin/Cal King/hot-sleeper roots; Sleephoria Queen terms → DEFEND AT FLOOR</t>
  </si>
  <si>
    <t xml:space="preserve">Blocks ranking-size spend on Queen terms</t>
  </si>
  <si>
    <t xml:space="preserve">Sleephoria Queen "wave 1" push scheduled 9 Nov</t>
  </si>
  <si>
    <t xml:space="preserve">Cancel or redirect to King cluster (Sleephoria King CVR 12–16%)</t>
  </si>
  <si>
    <t xml:space="preserve">Two pushes on one root = self-bidding</t>
  </si>
  <si>
    <t xml:space="preserve">O3 FAR-BEHIND review gate (24 Vine reviews vs top-5 median far higher)</t>
  </si>
  <si>
    <t xml:space="preserve">Waive for launch: Sleephoria ranked top-10 with ~39 Vine reviews in Oct-25</t>
  </si>
  <si>
    <t xml:space="preserve">SOP-23 bars ranking pushes otherwise</t>
  </si>
  <si>
    <t xml:space="preserve">Mechanical CODE RED (launch TACoS) vs BFCM Recovery Mode precedence (AM-16)</t>
  </si>
  <si>
    <t xml:space="preserve">Record CODE RED; Event Mode governs the launch exacts named in the BFCM plan</t>
  </si>
  <si>
    <t xml:space="preserve">Needed before 28 Oct event plan</t>
  </si>
  <si>
    <t xml:space="preserve">SOP-33 P3.5 "no new exact instance" on undeclared roots vs P5 probe / SOP-22 I-11 capped test</t>
  </si>
  <si>
    <t xml:space="preserve">Treat day-0 Queen exacts as the P5 probe (capped)</t>
  </si>
  <si>
    <t xml:space="preserve">Otherwise Queen terms cannot go live on 15 Oct</t>
  </si>
  <si>
    <t xml:space="preserve">thresholds.yml vs v4.0 conflicts (G2 clicks 15 vs 10; harvest 3 vs 2 orders; TOS share floor 30% vs 20%; objective mix)</t>
  </si>
  <si>
    <t xml:space="preserve">Use SOP/v4.0 values for launch; thresholds.yml after handoff</t>
  </si>
  <si>
    <t xml:space="preserve">G5 indexing of all 12 batch-1 terms on B0H6K1MKQW</t>
  </si>
  <si>
    <t xml:space="preserve">Check this week (listing was made live 7 Oct for creator outreach)</t>
  </si>
  <si>
    <t xml:space="preserve">Launch operator</t>
  </si>
  <si>
    <t xml:space="preserve">Unindexed terms cannot enter batch 1</t>
  </si>
  <si>
    <t xml:space="preserve">Fabric &amp; claims (bamboo / Tencel / Coolmax / Q-Max?)</t>
  </si>
  <si>
    <t xml:space="preserve">Confirm; drives material keywords and negatives</t>
  </si>
  <si>
    <t xml:space="preserve">Brand owner</t>
  </si>
  <si>
    <t xml:space="preserve">Decolure "bamboo" terms failed (60–118% ACoS)</t>
  </si>
  <si>
    <t xml:space="preserve">BFCM deal</t>
  </si>
  <si>
    <t xml:space="preserve">Coupon or Prime-exclusive discount on Queen/King Graphite</t>
  </si>
  <si>
    <t xml:space="preserve">PBDD 2026: TACoS 7.7% with deal vs 17% without</t>
  </si>
  <si>
    <t xml:space="preserve">CooLinens fee data missing in command center</t>
  </si>
  <si>
    <t xml:space="preserve">Load fees so BE ACoS can be computed natively (spine is PROVISIONAL)</t>
  </si>
  <si>
    <t xml:space="preserve">Data owner</t>
  </si>
  <si>
    <t xml:space="preserve">Creatives final by 15 Oct (Nat)</t>
  </si>
  <si>
    <t xml:space="preserve">Launch exacts only once main/secondary/A+ are final — price/image changes reset CVR reads (G9)</t>
  </si>
  <si>
    <t xml:space="preserve">Creative</t>
  </si>
  <si>
    <t xml:space="preserve">Sleephoria Aug–Sep price + image changes preceded CVR slide</t>
  </si>
  <si>
    <t xml:space="preserve">Re-order for the Mar–Jul peak (no CooLinens inbound)</t>
  </si>
  <si>
    <t xml:space="preserve">Place PO sized to land by early March; prioritise Queen/King Graphite + Cool Grey and thin Twin/Cal King SKUs</t>
  </si>
  <si>
    <t xml:space="preserve">Stockout at peak was the costliest event in Sleephoria history</t>
  </si>
  <si>
    <t xml:space="preserve">MKL</t>
  </si>
  <si>
    <t xml:space="preserve">Merge on arrival (MKL_Intake); re-score relevancy against live listing; finalise Batch 2 + negatives</t>
  </si>
  <si>
    <t xml:space="preserve">PPC team</t>
  </si>
  <si>
    <t xml:space="preserve">G12 requires MKL refreshed within 30 days</t>
  </si>
  <si>
    <t xml:space="preserve">Batch 2 / Phase 2 candidates (from history + market data; finalise after MKL)</t>
  </si>
  <si>
    <t xml:space="preserve">Funded only from released budget + unspent envelope (SOP-22 P5). Graduation bar into exact = 3 orders (S-H1).</t>
  </si>
  <si>
    <t xml:space="preserve">Term / surface</t>
  </si>
  <si>
    <t xml:space="preserve">Bucket</t>
  </si>
  <si>
    <t xml:space="preserve">Historical evidence</t>
  </si>
  <si>
    <t xml:space="preserve">Proposed owner</t>
  </si>
  <si>
    <t xml:space="preserve">queen sheet set cooling</t>
  </si>
  <si>
    <t xml:space="preserve">Queen tail (Class-2 consolidated exact)</t>
  </si>
  <si>
    <t xml:space="preserve">Sleephoria 8.5% ACoS on 8 clicks / 3 orders; Decolure 52%</t>
  </si>
  <si>
    <t xml:space="preserve">CooLinens (if Queen declared)</t>
  </si>
  <si>
    <t xml:space="preserve">cooling queen sheet set</t>
  </si>
  <si>
    <t xml:space="preserve">Queen tail</t>
  </si>
  <si>
    <t xml:space="preserve">Low data at Sleephoria</t>
  </si>
  <si>
    <t xml:space="preserve">CooLinens</t>
  </si>
  <si>
    <t xml:space="preserve">queen cooling sheet set</t>
  </si>
  <si>
    <t xml:space="preserve">Low data</t>
  </si>
  <si>
    <t xml:space="preserve">cooling sheets queen size</t>
  </si>
  <si>
    <t xml:space="preserve">Sleephoria 38.6% ACoS, 5.8% CVR (504 clicks) — bid conservatively</t>
  </si>
  <si>
    <t xml:space="preserve">sheets queen cooling</t>
  </si>
  <si>
    <t xml:space="preserve">Sleephoria org 35–41</t>
  </si>
  <si>
    <t xml:space="preserve">queen size sheets cooling</t>
  </si>
  <si>
    <t xml:space="preserve">Sleephoria 36% ACoS</t>
  </si>
  <si>
    <t xml:space="preserve">cool sheets queen</t>
  </si>
  <si>
    <t xml:space="preserve">Sleephoria 22.8% ACoS, 15% CVR; Decolure 17.8%</t>
  </si>
  <si>
    <t xml:space="preserve">queen bed sheets cooling</t>
  </si>
  <si>
    <t xml:space="preserve">Sleephoria org 14, 35.5% ACoS → shared; probe only</t>
  </si>
  <si>
    <t xml:space="preserve">Sleephoria-held — probe</t>
  </si>
  <si>
    <t xml:space="preserve">cooling sheets queen deep pockets</t>
  </si>
  <si>
    <t xml:space="preserve">Low data; Decolure 0 orders / 32 clicks</t>
  </si>
  <si>
    <t xml:space="preserve">CooLinens — capped</t>
  </si>
  <si>
    <t xml:space="preserve">cooling bedding set</t>
  </si>
  <si>
    <t xml:space="preserve">DD 1.3k/mo; 1 rival top 10</t>
  </si>
  <si>
    <t xml:space="preserve">Unowned</t>
  </si>
  <si>
    <t xml:space="preserve">deep pocket cooling sheets</t>
  </si>
  <si>
    <t xml:space="preserve">Sleephoria 53.6% ACoS (23 clicks)</t>
  </si>
  <si>
    <t xml:space="preserve">Unowned — capped</t>
  </si>
  <si>
    <t xml:space="preserve">cooling sheets for hot sleepers</t>
  </si>
  <si>
    <t xml:space="preserve">Sleephoria WASTE (1 order / 80 clicks) — low bid only</t>
  </si>
  <si>
    <t xml:space="preserve">Sleephoria org 21–29</t>
  </si>
  <si>
    <t xml:space="preserve">Auto close-match (Queen Graphite)</t>
  </si>
  <si>
    <t xml:space="preserve">Phase 2 discovery</t>
  </si>
  <si>
    <t xml:space="preserve">Sleephoria auto catch-all: 6.3% ACoS at $0.41 CPC; Decolure auto 38.5% at $0.57</t>
  </si>
  <si>
    <t xml:space="preserve">n/a — negatives: graduated exacts + sibling brands + sibling ASINs</t>
  </si>
  <si>
    <t xml:space="preserve">Family broad "cooling sheets queen" (down-only, modifiers 0)</t>
  </si>
  <si>
    <t xml:space="preserve">Decolure broad 209% ACoS → keep tightly capped, negatives pre-loaded</t>
  </si>
  <si>
    <t xml:space="preserve">n/a</t>
  </si>
  <si>
    <t xml:space="preserve">Phrase "queen cooling" root</t>
  </si>
  <si>
    <t xml:space="preserve">Phase 2 (only once ≥1 validated exact on the root)</t>
  </si>
  <si>
    <t xml:space="preserve">SOP-13 P1.1</t>
  </si>
  <si>
    <t xml:space="preserve">queen sheet set / queen sheets / sheets queen size bed set (generic size heads)</t>
  </si>
  <si>
    <t xml:space="preserve">Capped test (Batch 2 / Phase 2)</t>
  </si>
  <si>
    <t xml:space="preserve">KRIMANO bought SP on generic size heads then converted to organic (88 org top-10 kw); Decolure "queen size sheet set" exact = consistent winner at 26.3%; generic heads = 42% of rival traffic</t>
  </si>
  <si>
    <t xml:space="preserve">CooLinens — capped, down-only, Queen Graphite</t>
  </si>
  <si>
    <t xml:space="preserve">coolinens / coolinens cooling sheets (branded exact)</t>
  </si>
  <si>
    <t xml:space="preserve">Branded defence (from week 2–3, once branded search terms appear)</t>
  </si>
  <si>
    <t xml:space="preserve">Sleephoria branded campaign profitable 13 of 13 months at ~14% ACoS / 20% CVR</t>
  </si>
  <si>
    <t xml:space="preserve">&lt;MKL additions&gt;</t>
  </si>
  <si>
    <t xml:space="preserve">Pending MKL</t>
  </si>
  <si>
    <t xml:space="preserve">Insert MKL-scored terms here (relevancy + syntax tag required, G12)</t>
  </si>
  <si>
    <t xml:space="preserve">Negative &amp; wall architecture (SOP-29) — pre-load at each structure event</t>
  </si>
  <si>
    <t xml:space="preserve">Exact campaigns get NO keyword pre-load. These apply to every broad / phrase / auto surface when Phase 2 opens, plus the sibling walls which go in on day 0.</t>
  </si>
  <si>
    <t xml:space="preserve">Term / ASIN set</t>
  </si>
  <si>
    <t xml:space="preserve">Match</t>
  </si>
  <si>
    <t xml:space="preserve">Scope</t>
  </si>
  <si>
    <t xml:space="preserve">Evidence / reason</t>
  </si>
  <si>
    <t xml:space="preserve">sleephoria</t>
  </si>
  <si>
    <t xml:space="preserve">Negative phrase</t>
  </si>
  <si>
    <t xml:space="preserve">All CooLinens discovery surfaces</t>
  </si>
  <si>
    <t xml:space="preserve">Sibling brand wall (SOP-29 P7)</t>
  </si>
  <si>
    <t xml:space="preserve">decolure</t>
  </si>
  <si>
    <t xml:space="preserve">Sibling brand wall</t>
  </si>
  <si>
    <t xml:space="preserve">coolinens</t>
  </si>
  <si>
    <t xml:space="preserve">All Sleephoria + Decolure non-branded discovery (day 0)</t>
  </si>
  <si>
    <t xml:space="preserve">Reverse wall — stop siblings buying CooLinens brand traffic</t>
  </si>
  <si>
    <t xml:space="preserve">Sleephoria &amp; Decolure child ASINs</t>
  </si>
  <si>
    <t xml:space="preserve">Negative ASIN</t>
  </si>
  <si>
    <t xml:space="preserve">CooLinens auto / PAT (when opened)</t>
  </si>
  <si>
    <t xml:space="preserve">Self-cannibalisation wall</t>
  </si>
  <si>
    <t xml:space="preserve">CooLinens child ASINs</t>
  </si>
  <si>
    <t xml:space="preserve">Sleephoria + Decolure auto / PAT</t>
  </si>
  <si>
    <t xml:space="preserve">Reverse wall</t>
  </si>
  <si>
    <t xml:space="preserve">Declared CooLinens Queen roots (e.g. "cooling sheets queen")</t>
  </si>
  <si>
    <t xml:space="preserve">Negative exact (then phrase on root)</t>
  </si>
  <si>
    <t xml:space="preserve">Sleephoria discovery, same day as declaration</t>
  </si>
  <si>
    <t xml:space="preserve">SOP-33 wall; Sleephoria keeps model-specific variants at DEFEND AT FLOOR</t>
  </si>
  <si>
    <t xml:space="preserve">Graduated exacts</t>
  </si>
  <si>
    <t xml:space="preserve">Negative exact</t>
  </si>
  <si>
    <t xml:space="preserve">Every broad/phrase/auto that could serve them</t>
  </si>
  <si>
    <t xml:space="preserve">Isolation (SOP-12 P1.9)</t>
  </si>
  <si>
    <t xml:space="preserve">fan</t>
  </si>
  <si>
    <t xml:space="preserve">Sleephoria: "under the sheets cooling fan", "bed cooling fan under sheets" — 0 orders</t>
  </si>
  <si>
    <t xml:space="preserve">bed jet / bed cooling system</t>
  </si>
  <si>
    <t xml:space="preserve">Sleephoria 0–1 orders; device intent</t>
  </si>
  <si>
    <t xml:space="preserve">comforter</t>
  </si>
  <si>
    <t xml:space="preserve">Sleephoria + Decolure 0-order spend; separate Sleephoria product</t>
  </si>
  <si>
    <t xml:space="preserve">blanket</t>
  </si>
  <si>
    <t xml:space="preserve">Decolure $22, 0 orders</t>
  </si>
  <si>
    <t xml:space="preserve">duvet / quilt</t>
  </si>
  <si>
    <t xml:space="preserve">Adjacent product</t>
  </si>
  <si>
    <t xml:space="preserve">pillow / pillowcase</t>
  </si>
  <si>
    <t xml:space="preserve">Adjacent product (CooLinens pillowcase is a separate listing)</t>
  </si>
  <si>
    <t xml:space="preserve">mattress topper / mattress pad / protector</t>
  </si>
  <si>
    <t xml:space="preserve">cooling fitted sheet (+ queen/king)</t>
  </si>
  <si>
    <t xml:space="preserve">Fitted-only intent; Sleephoria 25 clicks / 0 orders</t>
  </si>
  <si>
    <t xml:space="preserve">bed set / bedding set / comforter set</t>
  </si>
  <si>
    <t xml:space="preserve">Decolure "bed set", "queen bedding sets" 0 orders</t>
  </si>
  <si>
    <t xml:space="preserve">silk / satin</t>
  </si>
  <si>
    <t xml:space="preserve">Decolure "silk bed sheets", "silk sheets king" 0 orders; sibling satin products</t>
  </si>
  <si>
    <t xml:space="preserve">purple sheets</t>
  </si>
  <si>
    <t xml:space="preserve">Brand/colour ambiguity — Sleephoria 25 clicks / 0 orders</t>
  </si>
  <si>
    <t xml:space="preserve">twin xl / split king / full xl / olympic queen / crib / toddler / rv / bunk</t>
  </si>
  <si>
    <t xml:space="preserve">Sizes CooLinens does not sell</t>
  </si>
  <si>
    <t xml:space="preserve">* (wildcard search term)</t>
  </si>
  <si>
    <t xml:space="preserve">Auto</t>
  </si>
  <si>
    <t xml:space="preserve">Sleephoria 182 clicks / 2 orders; Decolure $18, 0 orders</t>
  </si>
  <si>
    <t xml:space="preserve">summer bedding sets queen / queen sheet set / deep pocket queen sheets</t>
  </si>
  <si>
    <t xml:space="preserve">Decolure generic terms at 110–180% ACoS</t>
  </si>
  <si>
    <t xml:space="preserve">Competitor brands: bedsure, breescape, rest, sheex, mellow, elegear, bedelite, degrees of comfort, comfort spaces, love's cabin</t>
  </si>
  <si>
    <t xml:space="preserve">Discovery (lift only when conquest phase opens)</t>
  </si>
  <si>
    <t xml:space="preserve">"bedsure cooling sheets" 20 clicks / 0 orders at Sleephoria</t>
  </si>
  <si>
    <t xml:space="preserve">cotton / percale / linen / flannel / jersey</t>
  </si>
  <si>
    <t xml:space="preserve">CONFIRM FABRIC FIRST — material mismatch negatives</t>
  </si>
  <si>
    <t xml:space="preserve">Watch, not negate: king cooling sheets, cold sheets, cold bed sheets, black cooling sheets, cooling bed set</t>
  </si>
  <si>
    <t xml:space="preserve">Bid down / TOS-only</t>
  </si>
  <si>
    <t xml:space="preserve">Relevant but uneconomic at Sleephoria (60–78% ACoS); not CooLinens roots at launch</t>
  </si>
  <si>
    <t xml:space="preserve">Reactive negation (after launch): ≥ 2× target CPA spend, 0 orders, ≥ 10 clicks, 60-day window (thresholds.yml W4a; SOP-29 AM-1 — v4.0 value not specified). Never negate an in-window converter.</t>
  </si>
  <si>
    <t xml:space="preserve">PAT / conquest shortlist — Phase 3–4 only (NOT at launch, SOP-22 §5)</t>
  </si>
  <si>
    <t xml:space="preserve">SOP-16 S-C1: we must win ≥ 2 of price / rating / review count (or rival OOS). Enter CooLinens rating once Vine reviews settle (yellow cell).</t>
  </si>
  <si>
    <t xml:space="preserve">CooLinens Queen price</t>
  </si>
  <si>
    <t xml:space="preserve">CooLinens rating (enter)</t>
  </si>
  <si>
    <t xml:space="preserve">CooLinens review count (enter)</t>
  </si>
  <si>
    <t xml:space="preserve">Rival</t>
  </si>
  <si>
    <t xml:space="preserve">ASINs</t>
  </si>
  <si>
    <t xml:space="preserve">Rival price</t>
  </si>
  <si>
    <t xml:space="preserve">Rival rating</t>
  </si>
  <si>
    <t xml:space="preserve">Rival reviews</t>
  </si>
  <si>
    <t xml:space="preserve">We win price?</t>
  </si>
  <si>
    <t xml:space="preserve">We win rating?</t>
  </si>
  <si>
    <t xml:space="preserve">We win reviews?</t>
  </si>
  <si>
    <t xml:space="preserve">Wins (of 3)</t>
  </si>
  <si>
    <t xml:space="preserve">S-C1 gate</t>
  </si>
  <si>
    <t xml:space="preserve">Recommendation</t>
  </si>
  <si>
    <t xml:space="preserve">Breescape</t>
  </si>
  <si>
    <t xml:space="preserve">B0DSPZJKTB / B0DSPZ9151 / B0DSPZSVFL</t>
  </si>
  <si>
    <t xml:space="preserve">Target</t>
  </si>
  <si>
    <t xml:space="preserve">Breescape (old parents)</t>
  </si>
  <si>
    <t xml:space="preserve">B0DSPYXPSP / B0DSQ26RH3</t>
  </si>
  <si>
    <t xml:space="preserve">REST Evercool+</t>
  </si>
  <si>
    <t xml:space="preserve">B0BLYSGFRW / B0C56ZNQVQ / B0D9JJSNC5 / B0D25LDRPS</t>
  </si>
  <si>
    <t xml:space="preserve">SHEEX</t>
  </si>
  <si>
    <t xml:space="preserve">B00EWJS3PO</t>
  </si>
  <si>
    <t xml:space="preserve">Target (price only — needs rating win)</t>
  </si>
  <si>
    <t xml:space="preserve">Cozy Bliss Premium (3pc, no flat)</t>
  </si>
  <si>
    <t xml:space="preserve">B0DMNQDZNB / B0DMNP5BC8</t>
  </si>
  <si>
    <t xml:space="preserve">Target (3pc vs our 4pc)</t>
  </si>
  <si>
    <t xml:space="preserve">Dream Valley (3pc King)</t>
  </si>
  <si>
    <t xml:space="preserve">B0D3WMGX6P</t>
  </si>
  <si>
    <t xml:space="preserve">Degrees of Comfort PolarEdge Pro</t>
  </si>
  <si>
    <t xml:space="preserve">B0DYS4HVM3</t>
  </si>
  <si>
    <t xml:space="preserve">DOWNCOOL</t>
  </si>
  <si>
    <t xml:space="preserve">B0F93XMMQY</t>
  </si>
  <si>
    <t xml:space="preserve">Elegear</t>
  </si>
  <si>
    <t xml:space="preserve">B0GCHG6VG6 / B0GCHRGYZZ</t>
  </si>
  <si>
    <t xml:space="preserve">KARISSA MAE</t>
  </si>
  <si>
    <t xml:space="preserve">B0G1CSCQTB</t>
  </si>
  <si>
    <t xml:space="preserve">Pillcase legacy listings</t>
  </si>
  <si>
    <t xml:space="preserve">B0FLDYD61P / B0GZ243WW5</t>
  </si>
  <si>
    <t xml:space="preserve">TWK</t>
  </si>
  <si>
    <t xml:space="preserve">B0DYT2QWLC</t>
  </si>
  <si>
    <t xml:space="preserve">Test</t>
  </si>
  <si>
    <t xml:space="preserve">Brookstone fitted only</t>
  </si>
  <si>
    <t xml:space="preserve">B0CTKL3YJ2</t>
  </si>
  <si>
    <t xml:space="preserve">Test (fitted-only shopper)</t>
  </si>
  <si>
    <t xml:space="preserve">Degrees of Comfort Coolmax</t>
  </si>
  <si>
    <t xml:space="preserve">B08YS6WZRR</t>
  </si>
  <si>
    <t xml:space="preserve">AVOID</t>
  </si>
  <si>
    <t xml:space="preserve">Comfort Spaces</t>
  </si>
  <si>
    <t xml:space="preserve">B08R6MTY36</t>
  </si>
  <si>
    <t xml:space="preserve">Love's cabin</t>
  </si>
  <si>
    <t xml:space="preserve">B0DN1DVKH5</t>
  </si>
  <si>
    <t xml:space="preserve">Bedsure PureWoven</t>
  </si>
  <si>
    <t xml:space="preserve">B07YKCZHGK</t>
  </si>
  <si>
    <t xml:space="preserve">CGK microfiber</t>
  </si>
  <si>
    <t xml:space="preserve">B01M16WBW1</t>
  </si>
  <si>
    <t xml:space="preserve">Pure Bamboo</t>
  </si>
  <si>
    <t xml:space="preserve">B07DZTQ4JC</t>
  </si>
  <si>
    <t xml:space="preserve">Test only</t>
  </si>
  <si>
    <t xml:space="preserve">Sleephoria vs Decolure — what is repeatable</t>
  </si>
  <si>
    <t xml:space="preserve">Sellerboard (Ecotero account) + Ecotero command center. Sleephoria PPC data from 3 Oct 2025; Decolure PPC detail from Sep 2025 (launch Oct 2023 not in PPC data).</t>
  </si>
  <si>
    <t xml:space="preserve">Dimension</t>
  </si>
  <si>
    <t xml:space="preserve">Sleephoria 4PC</t>
  </si>
  <si>
    <t xml:space="preserve">Decolure 4PC</t>
  </si>
  <si>
    <t xml:space="preserve">Carry-over to CooLinens</t>
  </si>
  <si>
    <t xml:space="preserve">Price tier (Queen)</t>
  </si>
  <si>
    <t xml:space="preserve">$64.99 → $79.99 now</t>
  </si>
  <si>
    <t xml:space="preserve">~$38</t>
  </si>
  <si>
    <t xml:space="preserve">Sleephoria</t>
  </si>
  <si>
    <t xml:space="preserve">COGS / unit</t>
  </si>
  <si>
    <t xml:space="preserve">$26.31</t>
  </si>
  <si>
    <t xml:space="preserve">$15.81</t>
  </si>
  <si>
    <t xml:space="preserve">CooLinens = Sleephoria</t>
  </si>
  <si>
    <t xml:space="preserve">Amazon fees / unit</t>
  </si>
  <si>
    <t xml:space="preserve">$19.19</t>
  </si>
  <si>
    <t xml:space="preserve">$19.13</t>
  </si>
  <si>
    <t xml:space="preserve">Fees same $ → price drives profit</t>
  </si>
  <si>
    <t xml:space="preserve">NP / unit (L12M)</t>
  </si>
  <si>
    <t xml:space="preserve">$11.24</t>
  </si>
  <si>
    <t xml:space="preserve">−$4.68</t>
  </si>
  <si>
    <t xml:space="preserve">TACoS (L12M)</t>
  </si>
  <si>
    <t xml:space="preserve">9.6%</t>
  </si>
  <si>
    <t xml:space="preserve">16.2%</t>
  </si>
  <si>
    <t xml:space="preserve">Ad months 1–3 TACoS</t>
  </si>
  <si>
    <t xml:space="preserve">24% → 15% → 10%</t>
  </si>
  <si>
    <t xml:space="preserve">30% → 21% → 22%</t>
  </si>
  <si>
    <t xml:space="preserve">Sleephoria curve = template</t>
  </si>
  <si>
    <t xml:space="preserve">Ad months 1–3 margin</t>
  </si>
  <si>
    <t xml:space="preserve">3% → 11% → 17%</t>
  </si>
  <si>
    <t xml:space="preserve">−12% → −4% → −21%</t>
  </si>
  <si>
    <t xml:space="preserve">Non-brand ACoS / CVR / CPC</t>
  </si>
  <si>
    <t xml:space="preserve">31.5% / 10.6% / $2.24</t>
  </si>
  <si>
    <t xml:space="preserve">51.6% / 6.6% / $1.36</t>
  </si>
  <si>
    <t xml:space="preserve">Plan to Sleephoria non-brand</t>
  </si>
  <si>
    <t xml:space="preserve">Branded share of keyword ad sales</t>
  </si>
  <si>
    <t xml:space="preserve">~40% at 14% ACoS</t>
  </si>
  <si>
    <t xml:space="preserve">small</t>
  </si>
  <si>
    <t xml:space="preserve">Not available to CooLinens at launch</t>
  </si>
  <si>
    <t xml:space="preserve">Best structure</t>
  </si>
  <si>
    <t xml:space="preserve">Single-kw exact per size on hero child + low-bid auto/broad harvest + branded defence</t>
  </si>
  <si>
    <t xml:space="preserve">Own-ASIN defence + LTSF autos (multi-product, blurs reads)</t>
  </si>
  <si>
    <t xml:space="preserve">Single-kw exact on hero child</t>
  </si>
  <si>
    <t xml:space="preserve">Worst structure</t>
  </si>
  <si>
    <t xml:space="preserve">Single-kw exact on "king cooling sheets" (57.9% ACoS, $4.86 CPC)</t>
  </si>
  <si>
    <t xml:space="preserve">Exact ranking pushes off-season (59.5% ACoS); broad 209%</t>
  </si>
  <si>
    <t xml:space="preserve">Gate King; no off-season rank buying</t>
  </si>
  <si>
    <t xml:space="preserve">Hero colour</t>
  </si>
  <si>
    <t xml:space="preserve">Graphite 13% CVR vs 3.7% others</t>
  </si>
  <si>
    <t xml:space="preserve">Graphite-Grey #1 seller</t>
  </si>
  <si>
    <t xml:space="preserve">Graphite hero</t>
  </si>
  <si>
    <t xml:space="preserve">Placement</t>
  </si>
  <si>
    <t xml:space="preserve">TOS 12.5% CVR @ $3.31 vs ROS 9.4% @ $1.58, PP 8.2% @ $1.36</t>
  </si>
  <si>
    <t xml:space="preserve">Exact TOS 10.5% CVR @ $2.89 (~68% ACoS)</t>
  </si>
  <si>
    <t xml:space="preserve">TOS for ranking only; ROS/PP 0%</t>
  </si>
  <si>
    <t xml:space="preserve">Rank decay trigger</t>
  </si>
  <si>
    <t xml:space="preserve">Spend &lt; ~$70/day or CVR collapse → top-10 lost in 2–4 weeks</t>
  </si>
  <si>
    <t xml:space="preserve">$130–1,100/month off-season erased top-10</t>
  </si>
  <si>
    <t xml:space="preserve">Hold a floor through winter</t>
  </si>
  <si>
    <t xml:space="preserve">Seasonality</t>
  </si>
  <si>
    <t xml:space="preserve">Jan sales −62% vs Dec; BFCM efficient (ACoS 25%, CVR 16%)</t>
  </si>
  <si>
    <t xml:space="preserve">Sessions 44k (Jul-25) → 4–5k: season end + 70% spend cut (decline began before Sleephoria launched)</t>
  </si>
  <si>
    <t xml:space="preserve">Launch window ≈ 35% of peak demand (SQP); Mar step-up; Jun–Jul peak</t>
  </si>
  <si>
    <t xml:space="preserve">Events</t>
  </si>
  <si>
    <t xml:space="preserve">same account reading</t>
  </si>
  <si>
    <t xml:space="preserve">Run a BFCM deal</t>
  </si>
  <si>
    <t xml:space="preserve">Stockouts</t>
  </si>
  <si>
    <t xml:space="preserve">May–Jul 2026 hero OOS ≈ −$40–60k/month; King Graphite OOS since 6 Oct</t>
  </si>
  <si>
    <t xml:space="preserve">21 SKUs at 0 FBA incl. #1 SKU</t>
  </si>
  <si>
    <t xml:space="preserve">Pause/re-point at DOH &lt; 21</t>
  </si>
  <si>
    <t xml:space="preserve">Size mix (units)</t>
  </si>
  <si>
    <t xml:space="preserve">Queen 42%, King 26%, Full 15%, Twin 9%, Cal King 8%</t>
  </si>
  <si>
    <t xml:space="preserve">Queen 48%, King 27%, Full 12%, Cal King 8%, Twin 6%</t>
  </si>
  <si>
    <t xml:space="preserve">Queen lead; CooLinens stock 41/23/14/11/10 matches</t>
  </si>
  <si>
    <t xml:space="preserve">Sleephoria Monthly</t>
  </si>
  <si>
    <t xml:space="preserve">Sellerboard (total business) + command-center PPC (7-day attribution, includes sibling-variation halo). PPC data starts 3 Oct 2025.</t>
  </si>
  <si>
    <t xml:space="preserve">Month</t>
  </si>
  <si>
    <t xml:space="preserve">Sales $</t>
  </si>
  <si>
    <t xml:space="preserve">Units</t>
  </si>
  <si>
    <t xml:space="preserve">Orders</t>
  </si>
  <si>
    <t xml:space="preserve">Refund %</t>
  </si>
  <si>
    <t xml:space="preserve">Ad spend $</t>
  </si>
  <si>
    <t xml:space="preserve">TACoS %</t>
  </si>
  <si>
    <t xml:space="preserve">COGS $</t>
  </si>
  <si>
    <t xml:space="preserve">Amazon fees $</t>
  </si>
  <si>
    <t xml:space="preserve">Net profit $</t>
  </si>
  <si>
    <t xml:space="preserve">Margin %</t>
  </si>
  <si>
    <t xml:space="preserve">NP / unit</t>
  </si>
  <si>
    <t xml:space="preserve">ASP</t>
  </si>
  <si>
    <t xml:space="preserve">Sessions</t>
  </si>
  <si>
    <t xml:space="preserve">Unit session %</t>
  </si>
  <si>
    <t xml:space="preserve">LTSF $</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</si>
  <si>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</si>
  <si>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</si>
  <si>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</si>
  <si>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</si>
  <si>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</si>
  <si>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</si>
  <si>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</si>
  <si>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</si>
  <si>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</si>
  <si>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</si>
  <si>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</si>
  <si>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</si>
  <si>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</si>
  <si>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</si>
  <si>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</si>
  <si>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2026-10-MTD</t>
  </si>
  <si>
    <t xml:space="preserve">PPC trajectory (Ecotero command center)</t>
  </si>
  <si>
    <t xml:space="preserve">PPC spend</t>
  </si>
  <si>
    <t xml:space="preserve">Ad sales</t>
  </si>
  <si>
    <t xml:space="preserve">ACoS %</t>
  </si>
  <si>
    <t xml:space="preserve">Impressions</t>
  </si>
  <si>
    <t xml:space="preserve">Clicks</t>
  </si>
  <si>
    <t xml:space="preserve">CTR %</t>
  </si>
  <si>
    <t xml:space="preserve">CPC</t>
  </si>
  <si>
    <t xml:space="preserve">CVR %</t>
  </si>
  <si>
    <t xml:space="preserve">Spend/day</t>
  </si>
  <si>
    <t xml:space="preserve">2026-10</t>
  </si>
  <si>
    <t xml:space="preserve">Decolure Monthly</t>
  </si>
  <si>
    <t xml:space="preserve">Sellerboard (total business), Oct 2023 → Oct 2026 MTD. PPC detail per month in Decolure PPC section below.</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</si>
  <si>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</si>
  <si>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</si>
  <si>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</si>
  <si>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</si>
  <si>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</si>
  <si>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</si>
  <si>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</si>
  <si>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</si>
  <si>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</si>
  <si>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</si>
  <si>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</si>
  <si>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</si>
  <si>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</si>
  <si>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</si>
  <si>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</si>
  <si>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</si>
  <si>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</si>
  <si>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</si>
  <si>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</si>
  <si>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</si>
  <si>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</si>
  <si>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From</t>
  </si>
  <si>
    <t xml:space="preserve">To</t>
  </si>
  <si>
    <t xml:space="preserve">2025-04-27</t>
  </si>
  <si>
    <t xml:space="preserve">2025-05-31</t>
  </si>
  <si>
    <t xml:space="preserve">2025-06-01</t>
  </si>
  <si>
    <t xml:space="preserve">2025-06-30</t>
  </si>
  <si>
    <t xml:space="preserve">2025-07-01</t>
  </si>
  <si>
    <t xml:space="preserve">2025-07-31</t>
  </si>
  <si>
    <t xml:space="preserve">2025-08-01</t>
  </si>
  <si>
    <t xml:space="preserve">2025-08-31</t>
  </si>
  <si>
    <t xml:space="preserve">2025-09-01</t>
  </si>
  <si>
    <t xml:space="preserve">2025-09-30</t>
  </si>
  <si>
    <t xml:space="preserve">2025-10-01</t>
  </si>
  <si>
    <t xml:space="preserve">2025-10-31</t>
  </si>
  <si>
    <t xml:space="preserve">2025-11-01</t>
  </si>
  <si>
    <t xml:space="preserve">2025-11-30</t>
  </si>
  <si>
    <t xml:space="preserve">2025-12-01</t>
  </si>
  <si>
    <t xml:space="preserve">2025-12-31</t>
  </si>
  <si>
    <t xml:space="preserve">2026-01-01</t>
  </si>
  <si>
    <t xml:space="preserve">2026-01-31</t>
  </si>
  <si>
    <t xml:space="preserve">2026-02-01</t>
  </si>
  <si>
    <t xml:space="preserve">2026-02-28</t>
  </si>
  <si>
    <t xml:space="preserve">2026-03-01</t>
  </si>
  <si>
    <t xml:space="preserve">2026-03-31</t>
  </si>
  <si>
    <t xml:space="preserve">2026-04-01</t>
  </si>
  <si>
    <t xml:space="preserve">2026-04-30</t>
  </si>
  <si>
    <t xml:space="preserve">2026-05-01</t>
  </si>
  <si>
    <t xml:space="preserve">2026-05-31</t>
  </si>
  <si>
    <t xml:space="preserve">2026-06-01</t>
  </si>
  <si>
    <t xml:space="preserve">2026-06-30</t>
  </si>
  <si>
    <t xml:space="preserve">2026-07-01</t>
  </si>
  <si>
    <t xml:space="preserve">2026-07-31</t>
  </si>
  <si>
    <t xml:space="preserve">2026-08-01</t>
  </si>
  <si>
    <t xml:space="preserve">2026-08-31</t>
  </si>
  <si>
    <t xml:space="preserve">2026-09-01</t>
  </si>
  <si>
    <t xml:space="preserve">2026-09-30</t>
  </si>
  <si>
    <t xml:space="preserve">2026-10-01</t>
  </si>
  <si>
    <t xml:space="preserve">2026-10-08</t>
  </si>
  <si>
    <t xml:space="preserve">TOTAL_2024-01-01</t>
  </si>
  <si>
    <t xml:space="preserve">Sleephoria search terms — non-brand, relevant (29 Dec 2025 → 7 Oct 2026)</t>
  </si>
  <si>
    <t xml:space="preserve">Class: PROFITABLE ≤31% ACoS · GROWTH 31–45% · MARGINAL 45–60% · WASTE &gt;60% w/ $20+ spend, or ≥15 clicks &amp; 0 orders · LOW-DATA otherwise. Launch push (Oct–Dec 2025) has no search-term detail.</t>
  </si>
  <si>
    <t xml:space="preserve">Relevancy</t>
  </si>
  <si>
    <t xml:space="preserve">Syntax</t>
  </si>
  <si>
    <t xml:space="preserve">Search volume</t>
  </si>
  <si>
    <t xml:space="preserve">Spend $</t>
  </si>
  <si>
    <t xml:space="preserve">Median organic rank</t>
  </si>
  <si>
    <t xml:space="preserve">Class</t>
  </si>
  <si>
    <t xml:space="preserve">cooling sheets full size</t>
  </si>
  <si>
    <t xml:space="preserve">Highly Relevant</t>
  </si>
  <si>
    <t xml:space="preserve">Cooling|Full</t>
  </si>
  <si>
    <t xml:space="preserve">GROWTH-ACCEPTABLE</t>
  </si>
  <si>
    <t xml:space="preserve">Cooling|Queen</t>
  </si>
  <si>
    <t xml:space="preserve">PROFITABLE</t>
  </si>
  <si>
    <t xml:space="preserve">king size cooling sheets</t>
  </si>
  <si>
    <t xml:space="preserve">Cooling|King</t>
  </si>
  <si>
    <t xml:space="preserve">cooling sheets king size</t>
  </si>
  <si>
    <t xml:space="preserve">king cooling sheets</t>
  </si>
  <si>
    <t xml:space="preserve">WASTE</t>
  </si>
  <si>
    <t xml:space="preserve">california king cooling sheets</t>
  </si>
  <si>
    <t xml:space="preserve">Cooling|California King</t>
  </si>
  <si>
    <t xml:space="preserve">twin cooling sheets</t>
  </si>
  <si>
    <t xml:space="preserve">Cooling|Twin</t>
  </si>
  <si>
    <t xml:space="preserve">Cooling</t>
  </si>
  <si>
    <t xml:space="preserve">cal king cooling sheets</t>
  </si>
  <si>
    <t xml:space="preserve">cooling sheets full</t>
  </si>
  <si>
    <t xml:space="preserve">MARGINAL(45-60)</t>
  </si>
  <si>
    <t xml:space="preserve">cooling sheets king</t>
  </si>
  <si>
    <t xml:space="preserve">cali king cooling sheets</t>
  </si>
  <si>
    <t xml:space="preserve">cooling sheets twin</t>
  </si>
  <si>
    <t xml:space="preserve">stay cool sheets</t>
  </si>
  <si>
    <t xml:space="preserve">cooling full size sheets</t>
  </si>
  <si>
    <t xml:space="preserve">cold sheets for hot sleepers</t>
  </si>
  <si>
    <t xml:space="preserve">cooling king sheets</t>
  </si>
  <si>
    <t xml:space="preserve">cooling bed sheets king</t>
  </si>
  <si>
    <t xml:space="preserve">cool sheets for hot sleepers</t>
  </si>
  <si>
    <t xml:space="preserve">full size sheets cooling</t>
  </si>
  <si>
    <t xml:space="preserve">king size bed sheets cooling</t>
  </si>
  <si>
    <t xml:space="preserve">cooling bed sheets full</t>
  </si>
  <si>
    <t xml:space="preserve">twin size cooling sheets</t>
  </si>
  <si>
    <t xml:space="preserve">black cooling sheets</t>
  </si>
  <si>
    <t xml:space="preserve">king sheets cooling</t>
  </si>
  <si>
    <t xml:space="preserve">cool queen sheets</t>
  </si>
  <si>
    <t xml:space="preserve">best cooling sheets for hot sleepers</t>
  </si>
  <si>
    <t xml:space="preserve">cooling sheets for night sweats</t>
  </si>
  <si>
    <t xml:space="preserve">cold bed sheets</t>
  </si>
  <si>
    <t xml:space="preserve">full size cooling sheets</t>
  </si>
  <si>
    <t xml:space="preserve">king size cool sheets</t>
  </si>
  <si>
    <t xml:space="preserve">Lower Relevant</t>
  </si>
  <si>
    <t xml:space="preserve">cooling queen size sheets</t>
  </si>
  <si>
    <t xml:space="preserve">cool sheets full</t>
  </si>
  <si>
    <t xml:space="preserve">king size sheets set cooling</t>
  </si>
  <si>
    <t xml:space="preserve">king size cooling sheet</t>
  </si>
  <si>
    <t xml:space="preserve">cooling bed sheets full size</t>
  </si>
  <si>
    <t xml:space="preserve">cooling deep pocket queen sheets</t>
  </si>
  <si>
    <t xml:space="preserve">king size sheets cooling</t>
  </si>
  <si>
    <t xml:space="preserve">cooling king size sheets</t>
  </si>
  <si>
    <t xml:space="preserve">california king cool sheets</t>
  </si>
  <si>
    <t xml:space="preserve">cooling bed sheets for hot sleepers</t>
  </si>
  <si>
    <t xml:space="preserve">cooling sheets california king</t>
  </si>
  <si>
    <t xml:space="preserve">cold bed sheets queen</t>
  </si>
  <si>
    <t xml:space="preserve">king cooling sheet</t>
  </si>
  <si>
    <t xml:space="preserve">cold sheets</t>
  </si>
  <si>
    <t xml:space="preserve">cool bed sheets king size</t>
  </si>
  <si>
    <t xml:space="preserve">california king cooling sheet</t>
  </si>
  <si>
    <t xml:space="preserve">king bed sheets cooling</t>
  </si>
  <si>
    <t xml:space="preserve">twin cooling sheet</t>
  </si>
  <si>
    <t xml:space="preserve">king size cooling sheets set</t>
  </si>
  <si>
    <t xml:space="preserve">cold sheets queen</t>
  </si>
  <si>
    <t xml:space="preserve">cooling full sheets</t>
  </si>
  <si>
    <t xml:space="preserve">breathable cooling sheets</t>
  </si>
  <si>
    <t xml:space="preserve">california king sheet sets cooling</t>
  </si>
  <si>
    <t xml:space="preserve">cool sheets king size</t>
  </si>
  <si>
    <t xml:space="preserve">cooling queen sheet</t>
  </si>
  <si>
    <t xml:space="preserve">deep pocket queen sheets cooling</t>
  </si>
  <si>
    <t xml:space="preserve">purple cooling sheets</t>
  </si>
  <si>
    <t xml:space="preserve">deep pocket king sheet set cooling</t>
  </si>
  <si>
    <t xml:space="preserve">queen bed cooling sheets</t>
  </si>
  <si>
    <t xml:space="preserve">king sheet set cooling</t>
  </si>
  <si>
    <t xml:space="preserve">deep pocket cooling queen sheets</t>
  </si>
  <si>
    <t xml:space="preserve">cooling bed set</t>
  </si>
  <si>
    <t xml:space="preserve">queen cooling sheets deep pockets</t>
  </si>
  <si>
    <t xml:space="preserve">cooling sheets cal king</t>
  </si>
  <si>
    <t xml:space="preserve">cooling sheets king size for hot sleepers</t>
  </si>
  <si>
    <t xml:space="preserve">soft cooling sheets</t>
  </si>
  <si>
    <t xml:space="preserve">LOW-DATA</t>
  </si>
  <si>
    <t xml:space="preserve">cool sheets king</t>
  </si>
  <si>
    <t xml:space="preserve">cooling sheets hot sleepers</t>
  </si>
  <si>
    <t xml:space="preserve">cooling bed sheet</t>
  </si>
  <si>
    <t xml:space="preserve">cooling california king sheets</t>
  </si>
  <si>
    <t xml:space="preserve">deep pocket cooling king sheet set</t>
  </si>
  <si>
    <t xml:space="preserve">king size cooling sheets deep pocket set</t>
  </si>
  <si>
    <t xml:space="preserve">cal king cool sheets</t>
  </si>
  <si>
    <t xml:space="preserve">king cooling sheets deep pocket</t>
  </si>
  <si>
    <t xml:space="preserve">cooling bed sheets king size</t>
  </si>
  <si>
    <t xml:space="preserve">cooling bed set king</t>
  </si>
  <si>
    <t xml:space="preserve">cooling sheet full size</t>
  </si>
  <si>
    <t xml:space="preserve">cool sheets queen size</t>
  </si>
  <si>
    <t xml:space="preserve">cool sheets</t>
  </si>
  <si>
    <t xml:space="preserve">full cooling sheets</t>
  </si>
  <si>
    <t xml:space="preserve">cooling king bed sheets</t>
  </si>
  <si>
    <t xml:space="preserve">cooling sheets deep pocket</t>
  </si>
  <si>
    <t xml:space="preserve">bed sheets queen size cooling</t>
  </si>
  <si>
    <t xml:space="preserve">queen size cooling bed sheets</t>
  </si>
  <si>
    <t xml:space="preserve">king size sheets set deep pockets cooling</t>
  </si>
  <si>
    <t xml:space="preserve">cooling fitted sheet</t>
  </si>
  <si>
    <t xml:space="preserve">Generic</t>
  </si>
  <si>
    <t xml:space="preserve">cooling sheet set king</t>
  </si>
  <si>
    <t xml:space="preserve">cooling sheets king size deep pocket</t>
  </si>
  <si>
    <t xml:space="preserve">cooling queen bed sheets</t>
  </si>
  <si>
    <t xml:space="preserve">cooling sheet queen</t>
  </si>
  <si>
    <t xml:space="preserve">cooling sheets set</t>
  </si>
  <si>
    <t xml:space="preserve">best cool sheets for hot sleepers</t>
  </si>
  <si>
    <t xml:space="preserve">cooling sheets in full-size</t>
  </si>
  <si>
    <t xml:space="preserve">king bed cooling sheets</t>
  </si>
  <si>
    <t xml:space="preserve">cool sheets full size</t>
  </si>
  <si>
    <t xml:space="preserve">the best cooling sheets</t>
  </si>
  <si>
    <t xml:space="preserve">moisture wicking cooling sheets</t>
  </si>
  <si>
    <t xml:space="preserve">cooling bed set queen</t>
  </si>
  <si>
    <t xml:space="preserve">cooling bed sheets queen size</t>
  </si>
  <si>
    <t xml:space="preserve">Decolure search terms — classified union (Sep 2025 → 8 Oct 2026)</t>
  </si>
  <si>
    <t xml:space="preserve">Search terms carry other Decolure products' sales in shared campaigns (own-ASIN rows inflated). Clean non-brand benchmark: 51.6% ACoS / 6.6% CVR / $1.36 CPC.</t>
  </si>
  <si>
    <t xml:space="preserve">decolure bamboo sheets</t>
  </si>
  <si>
    <t xml:space="preserve">Branded</t>
  </si>
  <si>
    <t xml:space="preserve">bed sheets cooling</t>
  </si>
  <si>
    <t xml:space="preserve">decolure cooling sheets</t>
  </si>
  <si>
    <t xml:space="preserve">bamboo sheets</t>
  </si>
  <si>
    <t xml:space="preserve">Relevant</t>
  </si>
  <si>
    <t xml:space="preserve">Bamboo</t>
  </si>
  <si>
    <t xml:space="preserve">deep pocket queen sheet set</t>
  </si>
  <si>
    <t xml:space="preserve">sheets cooling</t>
  </si>
  <si>
    <t xml:space="preserve">decolure cooling sheets queen</t>
  </si>
  <si>
    <t xml:space="preserve">queen sheets</t>
  </si>
  <si>
    <t xml:space="preserve">king cooling sheet set</t>
  </si>
  <si>
    <t xml:space="preserve">queen bed set</t>
  </si>
  <si>
    <t xml:space="preserve">king sheets bamboo cooling</t>
  </si>
  <si>
    <t xml:space="preserve">Bamboo|Cooling</t>
  </si>
  <si>
    <t xml:space="preserve">queen sheet set</t>
  </si>
  <si>
    <t xml:space="preserve">sheets queen size bed set</t>
  </si>
  <si>
    <t xml:space="preserve">chair covers for dining chairs</t>
  </si>
  <si>
    <t xml:space="preserve">Not Relevant</t>
  </si>
  <si>
    <t xml:space="preserve">red satin sheets</t>
  </si>
  <si>
    <t xml:space="preserve">bamboo sheets king size</t>
  </si>
  <si>
    <t xml:space="preserve">Bamboo|King</t>
  </si>
  <si>
    <t xml:space="preserve">silk sheets</t>
  </si>
  <si>
    <t xml:space="preserve">cooling soft sheets</t>
  </si>
  <si>
    <t xml:space="preserve">summer bedding sets queen</t>
  </si>
  <si>
    <t xml:space="preserve">sheets king size cooling</t>
  </si>
  <si>
    <t xml:space="preserve">king size sheets bamboo cooling</t>
  </si>
  <si>
    <t xml:space="preserve">bamboo cooling sheets queen</t>
  </si>
  <si>
    <t xml:space="preserve">satin sheets queen size</t>
  </si>
  <si>
    <t xml:space="preserve">queen bed sheets</t>
  </si>
  <si>
    <t xml:space="preserve">bamboo sheets queen size</t>
  </si>
  <si>
    <t xml:space="preserve">Bamboo|Queen</t>
  </si>
  <si>
    <t xml:space="preserve">bed sheet cooling</t>
  </si>
  <si>
    <t xml:space="preserve">bedelite bamboo viscose sheets - 100% organically grown, up to 18" deep pocket queen sheet set, all round elastic &amp; corner straps, luxury silky soft cooling sheets for hot sleepers, 4 pieces, white</t>
  </si>
  <si>
    <t xml:space="preserve">bed sheets king size cooling</t>
  </si>
  <si>
    <t xml:space="preserve">queen bedding sets</t>
  </si>
  <si>
    <t xml:space="preserve">satin sheets</t>
  </si>
  <si>
    <t xml:space="preserve">silk sheets queen</t>
  </si>
  <si>
    <t xml:space="preserve">queen comforter set</t>
  </si>
  <si>
    <t xml:space="preserve">GROWTH-ACCEPTABLE(low orders)</t>
  </si>
  <si>
    <t xml:space="preserve">bed sheets king cooling</t>
  </si>
  <si>
    <t xml:space="preserve">california king sheet sets</t>
  </si>
  <si>
    <t xml:space="preserve">silk bed sheets</t>
  </si>
  <si>
    <t xml:space="preserve">chair covers</t>
  </si>
  <si>
    <t xml:space="preserve">queen size sheets</t>
  </si>
  <si>
    <t xml:space="preserve">gold satin sheets</t>
  </si>
  <si>
    <t xml:space="preserve">queen size 4 piece sheet set - comfy breathable &amp; cooling sheets - hotel luxury bed sheets for women &amp; men - deep pockets, easy-fit, extra soft and wrinkle free sheets - white oeko-tex bed sheet set</t>
  </si>
  <si>
    <t xml:space="preserve">bed sheets queen size</t>
  </si>
  <si>
    <t xml:space="preserve">bed set</t>
  </si>
  <si>
    <t xml:space="preserve">deep pocket queen sheets</t>
  </si>
  <si>
    <t xml:space="preserve">bed sheets</t>
  </si>
  <si>
    <t xml:space="preserve">bed set queen size</t>
  </si>
  <si>
    <t xml:space="preserve">queen sheets set cooling</t>
  </si>
  <si>
    <t xml:space="preserve">queen size comforter sets</t>
  </si>
  <si>
    <t xml:space="preserve">cooling blanket</t>
  </si>
  <si>
    <t xml:space="preserve">queen size sheet set</t>
  </si>
  <si>
    <t xml:space="preserve">queen sheets deep pocket</t>
  </si>
  <si>
    <t xml:space="preserve">queen size bed sheets cooling</t>
  </si>
  <si>
    <t xml:space="preserve">cooling comforter set</t>
  </si>
  <si>
    <t xml:space="preserve">king size sheets</t>
  </si>
  <si>
    <t xml:space="preserve">queen comforter set cooling</t>
  </si>
  <si>
    <t xml:space="preserve">comforters queen size</t>
  </si>
  <si>
    <t xml:space="preserve">king size comforter set cooling</t>
  </si>
  <si>
    <t xml:space="preserve">*</t>
  </si>
  <si>
    <t xml:space="preserve">bedding</t>
  </si>
  <si>
    <t xml:space="preserve">full size comforter sets</t>
  </si>
  <si>
    <t xml:space="preserve">dining chair covers set of 6</t>
  </si>
  <si>
    <t xml:space="preserve">satin sheets king</t>
  </si>
  <si>
    <t xml:space="preserve">cooling comforter</t>
  </si>
  <si>
    <t xml:space="preserve">sheet &amp; pillowcase sets</t>
  </si>
  <si>
    <t xml:space="preserve">silk sheets king</t>
  </si>
  <si>
    <t xml:space="preserve">cooling pillow</t>
  </si>
  <si>
    <t xml:space="preserve">sleep sanctuary</t>
  </si>
  <si>
    <t xml:space="preserve">decolure sheets</t>
  </si>
  <si>
    <t xml:space="preserve">decolure satin bed sheets</t>
  </si>
  <si>
    <t xml:space="preserve">decolure bamboo sheets king size</t>
  </si>
  <si>
    <t xml:space="preserve">decolure stone bath mat</t>
  </si>
  <si>
    <t xml:space="preserve">cooling queen comforters</t>
  </si>
  <si>
    <t xml:space="preserve">12 inch sheets queen</t>
  </si>
  <si>
    <t xml:space="preserve">juego de sábanas para cama queen</t>
  </si>
  <si>
    <t xml:space="preserve">100% bamboo viscose sheets california king</t>
  </si>
  <si>
    <t xml:space="preserve">Organic rank history — Sleephoria (DataDive Rank Radar B0FTSWF3M7, monthly median) &amp; Decolure (command-center crawl)</t>
  </si>
  <si>
    <t xml:space="preserve">Rank 101/999 = not ranked in top 100. Sleephoria spend context: Oct-25 $608/day, Jan-26 $53/day, Jul-26 $65/day, Aug–Sep-26 $212–247/day.</t>
  </si>
  <si>
    <t xml:space="preserve">Keyword (Sleephoria)</t>
  </si>
  <si>
    <t xml:space="preserve">DataDive SV</t>
  </si>
  <si>
    <t xml:space="preserve">top10_days_last30</t>
  </si>
  <si>
    <t xml:space="preserve">first_top20</t>
  </si>
  <si>
    <t xml:space="preserve">first_top10</t>
  </si>
  <si>
    <t xml:space="preserve">best</t>
  </si>
  <si>
    <t xml:space="preserve">2025-10-07</t>
  </si>
  <si>
    <t xml:space="preserve">2025-10-13</t>
  </si>
  <si>
    <t xml:space="preserve">(1, '2026-04-22')</t>
  </si>
  <si>
    <t xml:space="preserve">2025-10-11</t>
  </si>
  <si>
    <t xml:space="preserve">2025-10-12</t>
  </si>
  <si>
    <t xml:space="preserve">(2, '2025-10-23')</t>
  </si>
  <si>
    <t xml:space="preserve">(2, '2026-03-22')</t>
  </si>
  <si>
    <t xml:space="preserve">2025-10-10</t>
  </si>
  <si>
    <t xml:space="preserve">(1, '2026-03-21')</t>
  </si>
  <si>
    <t xml:space="preserve">bed cooling system</t>
  </si>
  <si>
    <t xml:space="preserve">2026-02-12</t>
  </si>
  <si>
    <t xml:space="preserve">2026-09-21</t>
  </si>
  <si>
    <t xml:space="preserve">(7, '2026-09-21')</t>
  </si>
  <si>
    <t xml:space="preserve">2025-10-14</t>
  </si>
  <si>
    <t xml:space="preserve">(2, '2026-03-23')</t>
  </si>
  <si>
    <t xml:space="preserve">2025-10-09</t>
  </si>
  <si>
    <t xml:space="preserve">(2, '2026-04-02')</t>
  </si>
  <si>
    <t xml:space="preserve">2025-10-15</t>
  </si>
  <si>
    <t xml:space="preserve">(4, '2025-10-17')</t>
  </si>
  <si>
    <t xml:space="preserve">(3, '2025-11-08')</t>
  </si>
  <si>
    <t xml:space="preserve">(12, '2026-09-21')</t>
  </si>
  <si>
    <t xml:space="preserve">(4, '2026-03-19')</t>
  </si>
  <si>
    <t xml:space="preserve">(5, '2026-02-14')</t>
  </si>
  <si>
    <t xml:space="preserve">(5, '2025-11-13')</t>
  </si>
  <si>
    <t xml:space="preserve">(82, '2026-08-06')</t>
  </si>
  <si>
    <t xml:space="preserve">(89, '2026-10-06')</t>
  </si>
  <si>
    <t xml:space="preserve">bed cooling</t>
  </si>
  <si>
    <t xml:space="preserve">(44, '2026-10-07')</t>
  </si>
  <si>
    <t xml:space="preserve">oeko-tex sheets</t>
  </si>
  <si>
    <t xml:space="preserve">2025-10-16</t>
  </si>
  <si>
    <t xml:space="preserve">(2, '2026-03-20')</t>
  </si>
  <si>
    <t xml:space="preserve">(4, '2025-10-15')</t>
  </si>
  <si>
    <t xml:space="preserve">cooling bed</t>
  </si>
  <si>
    <t xml:space="preserve">(67, '2026-09-20')</t>
  </si>
  <si>
    <t xml:space="preserve">(1, '2025-10-20')</t>
  </si>
  <si>
    <t xml:space="preserve">2025-10-04</t>
  </si>
  <si>
    <t xml:space="preserve">2025-10-05</t>
  </si>
  <si>
    <t xml:space="preserve">(1, '2026-02-10')</t>
  </si>
  <si>
    <t xml:space="preserve">cooling fitted sheet queen</t>
  </si>
  <si>
    <t xml:space="preserve">(90, '2026-09-28')</t>
  </si>
  <si>
    <t xml:space="preserve">2026-03-16</t>
  </si>
  <si>
    <t xml:space="preserve">(9, '2026-10-01')</t>
  </si>
  <si>
    <t xml:space="preserve">2025-10-17</t>
  </si>
  <si>
    <t xml:space="preserve">2025-10-28</t>
  </si>
  <si>
    <t xml:space="preserve">(4, '2025-11-07')</t>
  </si>
  <si>
    <t xml:space="preserve">(4, '2026-04-05')</t>
  </si>
  <si>
    <t xml:space="preserve">(4, '2025-10-20')</t>
  </si>
  <si>
    <t xml:space="preserve">(2, '2026-03-18')</t>
  </si>
  <si>
    <t xml:space="preserve">cooling sheet</t>
  </si>
  <si>
    <t xml:space="preserve">(2, '2026-02-26')</t>
  </si>
  <si>
    <t xml:space="preserve">2025-11-11</t>
  </si>
  <si>
    <t xml:space="preserve">(4, '2026-03-15')</t>
  </si>
  <si>
    <t xml:space="preserve">cooling fitted sheet king</t>
  </si>
  <si>
    <t xml:space="preserve">2026-08-21</t>
  </si>
  <si>
    <t xml:space="preserve">(16, '2026-08-21')</t>
  </si>
  <si>
    <t xml:space="preserve">(2, '2026-09-17')</t>
  </si>
  <si>
    <t xml:space="preserve">(9, '2025-10-20')</t>
  </si>
  <si>
    <t xml:space="preserve">(1, '2026-04-21')</t>
  </si>
  <si>
    <t xml:space="preserve">(5, '2025-10-16')</t>
  </si>
  <si>
    <t xml:space="preserve">(5, '2026-09-27')</t>
  </si>
  <si>
    <t xml:space="preserve">(7, '2025-10-18')</t>
  </si>
  <si>
    <t xml:space="preserve">(2, '2025-10-18')</t>
  </si>
  <si>
    <t xml:space="preserve">Decolure rank summary (1 Apr 2025 → 7 Oct 2026)</t>
  </si>
  <si>
    <t xml:space="preserve">Keyword (Decolure)</t>
  </si>
  <si>
    <t xml:space="preserve">Best rank</t>
  </si>
  <si>
    <t xml:space="preserve">Best date</t>
  </si>
  <si>
    <t xml:space="preserve">Days top 10</t>
  </si>
  <si>
    <t xml:space="preserve">Days top 20</t>
  </si>
  <si>
    <t xml:space="preserve">Monthly median rank (Apr-25 → Oct-26)</t>
  </si>
  <si>
    <t xml:space="preserve">2025-04-25</t>
  </si>
  <si>
    <t xml:space="preserve">2025-04:9;2025-05:9;2025-06:19;2025-07:20;2025-08:31;2025-09:39;2025-10:51;2025-11:40;2025-12:19;2026-01:28;2026-02:35;2026-03:37;2026-04:58;2026-05:74;2026-06:124;2026-07:134;2026-08:NR;2026-09:NR;2026-10:144</t>
  </si>
  <si>
    <t xml:space="preserve">2025-04:12;2025-05:6;2025-06:8;2025-07:12;2025-08:23;2025-09:25;2025-10:41;2025-11:66;2025-12:82;2026-01:98;2026-02:89;2026-03:20;2026-04:23;2026-05:24;2026-06:30;2026-07:46;2026-08:NR;2026-09:129;2026-10:104</t>
  </si>
  <si>
    <t xml:space="preserve">2025-04:58;2025-05:22;2025-06:18;2025-07:19;2025-08:18;2025-09:24;2025-10:37;2025-11:62;2025-12:80;2026-01:80;2026-02:58;2026-03:50;2026-04:56;2026-05:85;2026-06:NR;2026-07:NR;2026-08:NR;2026-09:113;2026-10:72</t>
  </si>
  <si>
    <t xml:space="preserve">2025-05-03</t>
  </si>
  <si>
    <t xml:space="preserve">2025-04:21;2025-05:9;2025-06:14;2025-07:18;2025-08:20;2025-09:77;2025-10:92;2025-11:37;2025-12:43;2026-01:42;2026-02:59;2026-03:37;2026-04:43;2026-05:62;2026-06:NR;2026-07:NR;2026-08:NR;2026-09:NR;2026-10:95</t>
  </si>
  <si>
    <t xml:space="preserve">2025-04-26</t>
  </si>
  <si>
    <t xml:space="preserve">2025-04:24;2025-05:6;2025-06:9;2025-07:29;2025-08:37;2025-09:41;2025-10:51;2025-11:25;2025-12:51;2026-01:65;2026-02:63;2026-03:68;2026-04:66;2026-05:127;2026-06:115;2026-07:104;2026-08:69;2026-09:64;2026-10:75</t>
  </si>
  <si>
    <t xml:space="preserve">2025-08-08</t>
  </si>
  <si>
    <t xml:space="preserve">2025-04:21;2025-05:11;2025-06:15;2025-07:11;2025-08:8;2025-09:9;2025-10:11;2025-11:12;2025-12:NR;2026-01:NR;2026-02:NR;2026-03:NR;2026-04:37;2026-05:63;2026-06:62;2026-07:65;2026-08:31;2026-09:47;2026-10:54</t>
  </si>
  <si>
    <t xml:space="preserve">2025-04:11;2025-05:6;2025-06:7;2025-07:8;2025-08:13;2025-09:19;2025-10:71;2025-11:27;2025-12:28;2026-01:27;2026-02:38;2026-03:30;2026-04:35;2026-05:23;2026-06:29;2026-07:49;2026-08:NR;2026-09:NR;2026-10:96</t>
  </si>
  <si>
    <t xml:space="preserve">2025-06-03</t>
  </si>
  <si>
    <t xml:space="preserve">2025-04:12;2025-05:10;2025-06:9;2025-07:12;2025-08:17;2025-09:12;2025-10:51;2025-11:39;2025-12:29;2026-01:30;2026-02:34;2026-03:23;2026-04:21;2026-05:20;2026-06:23;2026-07:39;2026-08:NR;2026-09:126;2026-10:122</t>
  </si>
  <si>
    <t xml:space="preserve">2025-06-18</t>
  </si>
  <si>
    <t xml:space="preserve">2025-04:8;2025-05:6;2025-06:6;2025-07:11;2025-08:18;2025-09:22;2025-10:39;2025-11:27;2025-12:30;2026-01:41;2026-02:77;2026-03:17;2026-04:16;2026-05:16;2026-06:19;2026-07:35;2026-08:NR;2026-09:131;2026-10:115</t>
  </si>
  <si>
    <t xml:space="preserve">bamboo cooling sheets</t>
  </si>
  <si>
    <t xml:space="preserve">2025-04:27;2025-05:21;2025-06:18;2025-07:22;2025-08:26;2025-09:35;2025-10:74;2025-11:73;2025-12:64;2026-01:50;2026-02:71;2026-03:67;2026-04:64;2026-05:61;2026-06:52;2026-07:46;2026-08:47;2026-09:NR;2026-10:141</t>
  </si>
  <si>
    <t xml:space="preserve">2025-04:NR;2025-05:NR;2025-06:NR;2025-07:NR;2025-08:NR;2025-09:NR;2025-10:NR;2025-11:NR;2025-12:NR;2026-01:NR;2026-02:76;2026-03:71;2026-04:72;2026-05:30;2026-06:40;2026-07:NR;2026-08:NR;2026-09:NR;2026-10:NR</t>
  </si>
  <si>
    <t xml:space="preserve">2025-12-30</t>
  </si>
  <si>
    <t xml:space="preserve">2025-04:NR;2025-05:NR;2025-06:NR;2025-07:NR;2025-08:NR;2025-09:72;2025-10:60;2025-11:92;2025-12:NR;2026-01:78;2026-02:93;2026-03:103;2026-04:101;2026-05:119;2026-06:NR;2026-07:101;2026-08:NR;2026-09:NR;2026-10:NR</t>
  </si>
  <si>
    <t xml:space="preserve">2025-04:59;2025-05:45;2025-06:53;2025-07:73;2025-08:104;2025-09:102;2025-10:113;2025-11:108;2025-12:111;2026-01:82;2026-02:93;2026-03:106;2026-04:113;2026-05:104;2026-06:79;2026-07:103;2026-08:NR;2026-09:NR;2026-10:138</t>
  </si>
  <si>
    <t xml:space="preserve">2026-04-07</t>
  </si>
  <si>
    <t xml:space="preserve">2025-04:NR;2025-05:NR;2025-06:NR;2025-07:NR;2025-08:NR;2025-09:48;2025-10:91;2025-11:98;2025-12:89;2026-01:91;2026-02:98;2026-03:106;2026-04:60;2026-05:63;2026-06:NR;2026-07:NR;2026-08:NR;2026-09:571;2026-10:99</t>
  </si>
  <si>
    <t xml:space="preserve">,,,</t>
  </si>
  <si>
    <t xml:space="preserve">2025-04:13;2025-05:13;2025-06:23;2025-07:31;2025-08:45;2025-09:48;2025-10:66;2025-11:52;2025-12:39;2026-01:35;2026-02:52;2026-03:34;2026-04:12;2026-05:10;2026-06:12;2026-07:19;2026-08:NR;2026-09:NR;2026-10:123</t>
  </si>
  <si>
    <t xml:space="preserve">2025-04:14;2025-05:13;2025-06:14;2025-07:19;2025-08:20;2025-09:25;2025-10:61;2025-11:52;2025-12:50;2026-01:43;2026-02:48;2026-03:39;2026-04:18;2026-05:14;2026-06:19;2026-07:41;2026-08:NR;2026-09:NR;2026-10:NR</t>
  </si>
  <si>
    <t xml:space="preserve">2025-04-23</t>
  </si>
  <si>
    <t xml:space="preserve">2025-04:16;2025-05:10;2025-06:16;2025-07:9;2025-08:9;2025-09:81;2025-10:105;2025-11:109;2025-12:NR;2026-01:NR;2026-02:NR;2026-03:80;2026-04:78;2026-05:100;2026-06:85;2026-07:NR;2026-08:NR;2026-09:94;2026-10:68</t>
  </si>
  <si>
    <t xml:space="preserve">2025-04-02</t>
  </si>
  <si>
    <t xml:space="preserve">2025-04:14;2025-05:11;2025-06:11;2025-07:15;2025-08:15;2025-09:24;2025-10:48;2025-11:22;2025-12:24;2026-01:62;2026-02:42;2026-03:37;2026-04:84;2026-05:135;2026-06:77;2026-07:94;2026-08:66;2026-09:72;2026-10:66</t>
  </si>
  <si>
    <t xml:space="preserve">2025-04-28</t>
  </si>
  <si>
    <t xml:space="preserve">2025-04:27;2025-05:8;2025-06:15;2025-07:15;2025-08:9;2025-09:10;2025-10:16;2025-11:22;2025-12:18;2026-01:20;2026-02:15;2026-03:24;2026-04:46;2026-05:77;2026-06:61;2026-07:73;2026-08:50;2026-09:72;2026-10:84</t>
  </si>
  <si>
    <t xml:space="preserve">2026-09-24</t>
  </si>
  <si>
    <t xml:space="preserve">2025-04:NR;2025-05:NR;2025-06:NR;2025-07:NR;2025-08:NR;2025-09:NR;2025-10:NR;2025-11:NR;2025-12:NR;2026-01:NR;2026-02:NR;2026-03:NR;2026-04:33;2026-05:64;2026-06:43;2026-07:43;2026-08:41;2026-09:47;2026-10:35</t>
  </si>
  <si>
    <t xml:space="preserve">cooling sheets for hot sleepers queen</t>
  </si>
  <si>
    <t xml:space="preserve">microfiber sheets</t>
  </si>
  <si>
    <t xml:space="preserve">2025-04:NR;2025-05:NR;2025-06:NR;2025-07:NR;2025-08:NR;2025-09:NR;2025-10:NR;2025-11:NR;2025-12:NR;2026-01:NR;2026-02:NR;2026-03:NR;2026-04:NR;2026-05:NR;2026-06:NR;2026-07:NR;2026-08:NR;2026-09:NR;2026-10:NR</t>
  </si>
  <si>
    <t xml:space="preserve">Cooling-sheet competitor set (de-duplicated by parent)</t>
  </si>
  <si>
    <t xml:space="preserve">Sources: command-center hub snapshot 5 Oct 2026, ASINsight exports 28–29 Sep 2026, DataDive niches (May &amp; 5 Oct 2026). Traffic = ASINsight 7-day impression-like figure, not sales. PREMIUM = $60+ Queen.</t>
  </si>
  <si>
    <t xml:space="preserve">brand</t>
  </si>
  <si>
    <t xml:space="preserve">parent_asin</t>
  </si>
  <si>
    <t xml:space="preserve">main_child</t>
  </si>
  <si>
    <t xml:space="preserve">type</t>
  </si>
  <si>
    <t xml:space="preserve">material_claim</t>
  </si>
  <si>
    <t xml:space="preserve">queen_or_ref_price</t>
  </si>
  <si>
    <t xml:space="preserve">band</t>
  </si>
  <si>
    <t xml:space="preserve">rating</t>
  </si>
  <si>
    <t xml:space="preserve">reviews</t>
  </si>
  <si>
    <t xml:space="preserve">bsr_latest</t>
  </si>
  <si>
    <t xml:space="preserve">est_sales</t>
  </si>
  <si>
    <t xml:space="preserve">est_revenue</t>
  </si>
  <si>
    <t xml:space="preserve">asinsight_7d_traffic</t>
  </si>
  <si>
    <t xml:space="preserve">ad_share_of_traffic</t>
  </si>
  <si>
    <t xml:space="preserve">sp_keywords</t>
  </si>
  <si>
    <t xml:space="preserve">notes</t>
  </si>
  <si>
    <t xml:space="preserve">B0HC6866B7 (+B0C56VXVB3)</t>
  </si>
  <si>
    <t xml:space="preserve">B0BLYSGFRW (King) / hub B0D9JJSNC5</t>
  </si>
  <si>
    <t xml:space="preserve">4pc + 3pc Starter (no flat)</t>
  </si>
  <si>
    <t xml:space="preserve">Evercool+ cooling yarn + silver ionic yarn</t>
  </si>
  <si>
    <t xml:space="preserve">King $261.75 (list $349); 4/6pc $164.25; Twin starter $141.75</t>
  </si>
  <si>
    <t xml:space="preserve">PREMIUM</t>
  </si>
  <si>
    <t xml:space="preserve">4.3</t>
  </si>
  <si>
    <t xml:space="preserve">1133</t>
  </si>
  <si>
    <t xml:space="preserve">8557 (Oct-05)</t>
  </si>
  <si>
    <t xml:space="preserve">35/wk hub; 3946/mo DD May (King child)</t>
  </si>
  <si>
    <t xml:space="preserve">$1.03M/mo DD May</t>
  </si>
  <si>
    <t xml:space="preserve">522593</t>
  </si>
  <si>
    <t xml:space="preserve">0.78</t>
  </si>
  <si>
    <t xml:space="preserve">3278</t>
  </si>
  <si>
    <t xml:space="preserve">hot sleeper/night sweats/sensitive skin; SB on 3623 kw</t>
  </si>
  <si>
    <t xml:space="preserve">B0H41M1N4B (+B0DSPY326Y/B0H2797BXF)</t>
  </si>
  <si>
    <t xml:space="preserve">B0DSPZJKTB (King) / B0DSPZ9151 (Q)</t>
  </si>
  <si>
    <t xml:space="preserve">4pc</t>
  </si>
  <si>
    <t xml:space="preserve">BlendTek Dry&amp;Cool Q-Max&gt;0.46; 18in pocket</t>
  </si>
  <si>
    <t xml:space="preserve">Q $159.99 (May); King $149.99 list $179.99 (Oct)</t>
  </si>
  <si>
    <t xml:space="preserve">4.2 (old parents 3.8/72)</t>
  </si>
  <si>
    <t xml:space="preserve">593</t>
  </si>
  <si>
    <t xml:space="preserve">62365</t>
  </si>
  <si>
    <t xml:space="preserve">35/wk hub; ~1540/mo DD May</t>
  </si>
  <si>
    <t xml:space="preserve">$246k/mo DD May (Q)</t>
  </si>
  <si>
    <t xml:space="preserve">107224</t>
  </si>
  <si>
    <t xml:space="preserve">0.47</t>
  </si>
  <si>
    <t xml:space="preserve">529</t>
  </si>
  <si>
    <t xml:space="preserve">SBV on 1163 kw; DD May 134 adv kw/44 TOS</t>
  </si>
  <si>
    <t xml:space="preserve">B081KX96XD</t>
  </si>
  <si>
    <t xml:space="preserve">B00EWJS3PO (Q) / B00EWJHJU4</t>
  </si>
  <si>
    <t xml:space="preserve">performance moisture-wicking fabric</t>
  </si>
  <si>
    <t xml:space="preserve">Q $149 (Oct); $239.20 (May)</t>
  </si>
  <si>
    <t xml:space="preserve">4.5</t>
  </si>
  <si>
    <t xml:space="preserve">3254</t>
  </si>
  <si>
    <t xml:space="preserve">101244</t>
  </si>
  <si>
    <t xml:space="preserve">5/wk hub; 556/mo DD May</t>
  </si>
  <si>
    <t xml:space="preserve">$133k/mo DD May</t>
  </si>
  <si>
    <t xml:space="preserve">unmeasured</t>
  </si>
  <si>
    <t xml:space="preserve">0 (DD May)</t>
  </si>
  <si>
    <t xml:space="preserve">no ASINsight export; top10 on 0/178 cooling kw (May)</t>
  </si>
  <si>
    <t xml:space="preserve">B0H7YWGBW3</t>
  </si>
  <si>
    <t xml:space="preserve">B0GCHG6VG6 (Q) / hero B0GCHRGYZZ</t>
  </si>
  <si>
    <t xml:space="preserve">silver-infused Arc-Chill 3.0; 18in</t>
  </si>
  <si>
    <t xml:space="preserve">Q $89.99 (Oct); $86.44 (May)</t>
  </si>
  <si>
    <t xml:space="preserve">4.4</t>
  </si>
  <si>
    <t xml:space="preserve">129</t>
  </si>
  <si>
    <t xml:space="preserve">179108</t>
  </si>
  <si>
    <t xml:space="preserve">5/wk hub; 276/mo DD May</t>
  </si>
  <si>
    <t xml:space="preserve">$23.9k DD May</t>
  </si>
  <si>
    <t xml:space="preserve">15624</t>
  </si>
  <si>
    <t xml:space="preserve">0.39</t>
  </si>
  <si>
    <t xml:space="preserve">159</t>
  </si>
  <si>
    <t xml:space="preserve">SB 292 kw; organic top10 on 1 cooling kw</t>
  </si>
  <si>
    <t xml:space="preserve">Bedsure Cooling (Chill Cool)</t>
  </si>
  <si>
    <t xml:space="preserve">B0CPDTJ5NN</t>
  </si>
  <si>
    <t xml:space="preserve">B0CPDR1RQ9 (King) / B0DGX391VC (CalK) / hub B0DGWZTTRL</t>
  </si>
  <si>
    <t xml:space="preserve">synthetic Chill Cool; 18in</t>
  </si>
  <si>
    <t xml:space="preserve">King $75.99 / CalK $82.99 (May); hub child $139.99</t>
  </si>
  <si>
    <t xml:space="preserve">PREMIUM (King)</t>
  </si>
  <si>
    <t xml:space="preserve">4.2-4.4</t>
  </si>
  <si>
    <t xml:space="preserve">401-508</t>
  </si>
  <si>
    <t xml:space="preserve">435989 (Oct) vs 44575 (May)</t>
  </si>
  <si>
    <t xml:space="preserve">1104/mo DD May</t>
  </si>
  <si>
    <t xml:space="preserve">$83.9k DD May</t>
  </si>
  <si>
    <t xml:space="preserve">170 (export incomplete)</t>
  </si>
  <si>
    <t xml:space="preserve">ASINsight export only 22 kw - unmeasured</t>
  </si>
  <si>
    <t xml:space="preserve">Bedsure PureWoven bamboo</t>
  </si>
  <si>
    <t xml:space="preserve">B0BZ8T5BJ6</t>
  </si>
  <si>
    <t xml:space="preserve">B07YKCZHGK (Q)</t>
  </si>
  <si>
    <t xml:space="preserve">100% rayon from bamboo</t>
  </si>
  <si>
    <t xml:space="preserve">Q $64.59-67.99</t>
  </si>
  <si>
    <t xml:space="preserve">PREMIUM (edge)</t>
  </si>
  <si>
    <t xml:space="preserve">64995</t>
  </si>
  <si>
    <t xml:space="preserve">258</t>
  </si>
  <si>
    <t xml:space="preserve">809/wk hub; 29688/mo DD Oct</t>
  </si>
  <si>
    <t xml:space="preserve">$1.63M DD Oct</t>
  </si>
  <si>
    <t xml:space="preserve">2166046</t>
  </si>
  <si>
    <t xml:space="preserve">0.41</t>
  </si>
  <si>
    <t xml:space="preserve">4052</t>
  </si>
  <si>
    <t xml:space="preserve">cooling sheets org #2 + AC; avoid PAT</t>
  </si>
  <si>
    <t xml:space="preserve">Bedsure PureWoven Cooling</t>
  </si>
  <si>
    <t xml:space="preserve">B0FB8XS4D1</t>
  </si>
  <si>
    <t xml:space="preserve">B0FB8XR43Q (Q)</t>
  </si>
  <si>
    <t xml:space="preserve">bamboo viscose 18in for hot sleepers</t>
  </si>
  <si>
    <t xml:space="preserve">Q $89.99 (list $119.99)</t>
  </si>
  <si>
    <t xml:space="preserve">568</t>
  </si>
  <si>
    <t xml:space="preserve">13496</t>
  </si>
  <si>
    <t xml:space="preserve">92/wk hub; 3062/mo DD Oct</t>
  </si>
  <si>
    <t xml:space="preserve">$276k DD Oct</t>
  </si>
  <si>
    <t xml:space="preserve">840292</t>
  </si>
  <si>
    <t xml:space="preserve">0.86</t>
  </si>
  <si>
    <t xml:space="preserve">2689</t>
  </si>
  <si>
    <t xml:space="preserve">cooling sheets queen SP#2</t>
  </si>
  <si>
    <t xml:space="preserve">B0CZQ52MTQ</t>
  </si>
  <si>
    <t xml:space="preserve">B07DZTQ4JC / hero B07MZ4GKZH</t>
  </si>
  <si>
    <t xml:space="preserve">bamboo viscose</t>
  </si>
  <si>
    <t xml:space="preserve">$109.99 (hub child)</t>
  </si>
  <si>
    <t xml:space="preserve">21857</t>
  </si>
  <si>
    <t xml:space="preserve">247</t>
  </si>
  <si>
    <t xml:space="preserve">809/wk hub</t>
  </si>
  <si>
    <t xml:space="preserve">2565055</t>
  </si>
  <si>
    <t xml:space="preserve">0.54</t>
  </si>
  <si>
    <t xml:space="preserve">3955</t>
  </si>
  <si>
    <t xml:space="preserve">cooling sheets org 11/SP 19</t>
  </si>
  <si>
    <t xml:space="preserve">B0DN1GGFL7</t>
  </si>
  <si>
    <t xml:space="preserve">B0DN1DVKH5 (Q)</t>
  </si>
  <si>
    <t xml:space="preserve">rayon from bamboo 16in</t>
  </si>
  <si>
    <t xml:space="preserve">Q $37.99 (list $44.99)</t>
  </si>
  <si>
    <t xml:space="preserve">BUDGET</t>
  </si>
  <si>
    <t xml:space="preserve">1856</t>
  </si>
  <si>
    <t xml:space="preserve">628</t>
  </si>
  <si>
    <t xml:space="preserve">924/wk hub; 21959/mo DD Oct</t>
  </si>
  <si>
    <t xml:space="preserve">$834k DD Oct</t>
  </si>
  <si>
    <t xml:space="preserve">906346</t>
  </si>
  <si>
    <t xml:space="preserve">low (cooling ad traffic 3.3k)</t>
  </si>
  <si>
    <t xml:space="preserve">85 cooling kw</t>
  </si>
  <si>
    <t xml:space="preserve">organic top10 on 81 cooling kw; avoid</t>
  </si>
  <si>
    <t xml:space="preserve">BC Bella Coterie</t>
  </si>
  <si>
    <t xml:space="preserve">B0H29V113N</t>
  </si>
  <si>
    <t xml:space="preserve">B08L86VLZB (King)</t>
  </si>
  <si>
    <t xml:space="preserve">bamboo viscose 18in</t>
  </si>
  <si>
    <t xml:space="preserve">King $134.99</t>
  </si>
  <si>
    <t xml:space="preserve">5859</t>
  </si>
  <si>
    <t xml:space="preserve">2249</t>
  </si>
  <si>
    <t xml:space="preserve">81/wk hub; 10255/mo DD Oct</t>
  </si>
  <si>
    <t xml:space="preserve">$1.38M DD Oct</t>
  </si>
  <si>
    <t xml:space="preserve">591713</t>
  </si>
  <si>
    <t xml:space="preserve">155 cooling kw</t>
  </si>
  <si>
    <t xml:space="preserve">DD Oct 327 adv kw (68%)/58 TOS</t>
  </si>
  <si>
    <t xml:space="preserve">Hotel Sheets Direct</t>
  </si>
  <si>
    <t xml:space="preserve">B0G5N99X9R</t>
  </si>
  <si>
    <t xml:space="preserve">B01N9L2O9P (Q)</t>
  </si>
  <si>
    <t xml:space="preserve">viscose from bamboo</t>
  </si>
  <si>
    <t xml:space="preserve">Q $79.99</t>
  </si>
  <si>
    <t xml:space="preserve">37169</t>
  </si>
  <si>
    <t xml:space="preserve">5122</t>
  </si>
  <si>
    <t xml:space="preserve">185/wk hub</t>
  </si>
  <si>
    <t xml:space="preserve">451969</t>
  </si>
  <si>
    <t xml:space="preserve">112 cooling kw</t>
  </si>
  <si>
    <t xml:space="preserve">37k reviews - avoid</t>
  </si>
  <si>
    <t xml:space="preserve">Bambaw</t>
  </si>
  <si>
    <t xml:space="preserve">B07K6SYX8L</t>
  </si>
  <si>
    <t xml:space="preserve">B0DR99Q37Y (Q)</t>
  </si>
  <si>
    <t xml:space="preserve">viscose from bamboo 16in</t>
  </si>
  <si>
    <t xml:space="preserve">Q $89.99</t>
  </si>
  <si>
    <t xml:space="preserve">2736</t>
  </si>
  <si>
    <t xml:space="preserve">17710</t>
  </si>
  <si>
    <t xml:space="preserve">173/wk hub; 2543/mo DD Oct</t>
  </si>
  <si>
    <t xml:space="preserve">$471k DD Oct</t>
  </si>
  <si>
    <t xml:space="preserve">407949</t>
  </si>
  <si>
    <t xml:space="preserve">134 cooling kw</t>
  </si>
  <si>
    <t xml:space="preserve">cooling sheets org 24/SP 6</t>
  </si>
  <si>
    <t xml:space="preserve">KRIMANO</t>
  </si>
  <si>
    <t xml:space="preserve">B0FT7L9RSX</t>
  </si>
  <si>
    <t xml:space="preserve">B0FT7LZ2CD / B0FT7LV7PP</t>
  </si>
  <si>
    <t xml:space="preserve">organic viscose bamboo 17in</t>
  </si>
  <si>
    <t xml:space="preserve">Q $79.99-89.99</t>
  </si>
  <si>
    <t xml:space="preserve">252</t>
  </si>
  <si>
    <t xml:space="preserve">5790</t>
  </si>
  <si>
    <t xml:space="preserve">173/wk hub</t>
  </si>
  <si>
    <t xml:space="preserve">390744</t>
  </si>
  <si>
    <t xml:space="preserve">97 cooling kw</t>
  </si>
  <si>
    <t xml:space="preserve">king size cooling sheets org 4-5</t>
  </si>
  <si>
    <t xml:space="preserve">TRUE BAMBOO</t>
  </si>
  <si>
    <t xml:space="preserve">B0HHQ97HBL</t>
  </si>
  <si>
    <t xml:space="preserve">B0H5WYMXJK (King)</t>
  </si>
  <si>
    <t xml:space="preserve">bamboo</t>
  </si>
  <si>
    <t xml:space="preserve">King $99.99</t>
  </si>
  <si>
    <t xml:space="preserve">155</t>
  </si>
  <si>
    <t xml:space="preserve">7509</t>
  </si>
  <si>
    <t xml:space="preserve">92/wk hub</t>
  </si>
  <si>
    <t xml:space="preserve">605126</t>
  </si>
  <si>
    <t xml:space="preserve">118 cooling kw</t>
  </si>
  <si>
    <t xml:space="preserve">cooling sheets queen org 7/SP 7</t>
  </si>
  <si>
    <t xml:space="preserve">B0GT172Y8L</t>
  </si>
  <si>
    <t xml:space="preserve">unverified</t>
  </si>
  <si>
    <t xml:space="preserve">unverified (bamboo-led keyword profile)</t>
  </si>
  <si>
    <t xml:space="preserve">$119.99</t>
  </si>
  <si>
    <t xml:space="preserve">472</t>
  </si>
  <si>
    <t xml:space="preserve">15394</t>
  </si>
  <si>
    <t xml:space="preserve">35/wk hub</t>
  </si>
  <si>
    <t xml:space="preserve">243610</t>
  </si>
  <si>
    <t xml:space="preserve">3224</t>
  </si>
  <si>
    <t xml:space="preserve">ads-only on cooling (0 org top10)</t>
  </si>
  <si>
    <t xml:space="preserve">Pillcase (Tencel+bamboo)</t>
  </si>
  <si>
    <t xml:space="preserve">B0H1GGHHVN / B0HK71WHZW / B0HJYG8V9Q / B0FLDYD61P</t>
  </si>
  <si>
    <t xml:space="preserve">B0HFZQRXXQ (Q)</t>
  </si>
  <si>
    <t xml:space="preserve">Tencel lyocell + bamboo viscose 18in</t>
  </si>
  <si>
    <t xml:space="preserve">Q $79 (list $109); $99 white; old King $109.99-199</t>
  </si>
  <si>
    <t xml:space="preserve">4.9 (old 2.3-2.6)</t>
  </si>
  <si>
    <t xml:space="preserve">203-294 (old 24-35)</t>
  </si>
  <si>
    <t xml:space="preserve">23295</t>
  </si>
  <si>
    <t xml:space="preserve">216953+116001+57075</t>
  </si>
  <si>
    <t xml:space="preserve">few SP</t>
  </si>
  <si>
    <t xml:space="preserve">low ad; B0HJYG8V9Q org #3 on cooling sheets king size</t>
  </si>
  <si>
    <t xml:space="preserve">B0HHQG3RSW</t>
  </si>
  <si>
    <t xml:space="preserve">B0H35S6VLR (Q)</t>
  </si>
  <si>
    <t xml:space="preserve">viscose bamboo 18in</t>
  </si>
  <si>
    <t xml:space="preserve">Q $62.10 (list $69); old King $109.99-199 3.6/37</t>
  </si>
  <si>
    <t xml:space="preserve">4.8</t>
  </si>
  <si>
    <t xml:space="preserve">131</t>
  </si>
  <si>
    <t xml:space="preserve">93032</t>
  </si>
  <si>
    <t xml:space="preserve">82471</t>
  </si>
  <si>
    <t xml:space="preserve">13 cooling kw</t>
  </si>
  <si>
    <t xml:space="preserve">California Design Den</t>
  </si>
  <si>
    <t xml:space="preserve">B0HFBJPD56</t>
  </si>
  <si>
    <t xml:space="preserve">B0GWHFGLVL (Q)</t>
  </si>
  <si>
    <t xml:space="preserve">viscose bamboo</t>
  </si>
  <si>
    <t xml:space="preserve">4.7</t>
  </si>
  <si>
    <t xml:space="preserve">66</t>
  </si>
  <si>
    <t xml:space="preserve">22545</t>
  </si>
  <si>
    <t xml:space="preserve">18/wk hub</t>
  </si>
  <si>
    <t xml:space="preserve">103642</t>
  </si>
  <si>
    <t xml:space="preserve">72 cooling kw</t>
  </si>
  <si>
    <t xml:space="preserve">BEDELITE</t>
  </si>
  <si>
    <t xml:space="preserve">B0GT98GVQN</t>
  </si>
  <si>
    <t xml:space="preserve">B0GT8Z4X5D (Q)</t>
  </si>
  <si>
    <t xml:space="preserve">Q $89.90</t>
  </si>
  <si>
    <t xml:space="preserve">4.6</t>
  </si>
  <si>
    <t xml:space="preserve">108</t>
  </si>
  <si>
    <t xml:space="preserve">90451</t>
  </si>
  <si>
    <t xml:space="preserve">212120</t>
  </si>
  <si>
    <t xml:space="preserve">62 cooling kw</t>
  </si>
  <si>
    <t xml:space="preserve">SP#1 cool sheets for hot sleepers</t>
  </si>
  <si>
    <t xml:space="preserve">SONORO KATE</t>
  </si>
  <si>
    <t xml:space="preserve">B0F4852T9V / B0F29FQLFD</t>
  </si>
  <si>
    <t xml:space="preserve">B0F4873G4H / B0F29F1JM5</t>
  </si>
  <si>
    <t xml:space="preserve">viscose bamboo 18-24in</t>
  </si>
  <si>
    <t xml:space="preserve">$79.99 / $59.99</t>
  </si>
  <si>
    <t xml:space="preserve">PREMIUM/edge</t>
  </si>
  <si>
    <t xml:space="preserve">3767-3909</t>
  </si>
  <si>
    <t xml:space="preserve">10779 / 32866</t>
  </si>
  <si>
    <t xml:space="preserve">104 + 81/wk hub</t>
  </si>
  <si>
    <t xml:space="preserve">185157+114504</t>
  </si>
  <si>
    <t xml:space="preserve">mostly organic</t>
  </si>
  <si>
    <t xml:space="preserve">21-37 cooling kw</t>
  </si>
  <si>
    <t xml:space="preserve">Shilucheng (4 parents)</t>
  </si>
  <si>
    <t xml:space="preserve">B0HJSVWNRS / B09PYQ2VQL / B0F2TDDFGJ / B098JT1RF2</t>
  </si>
  <si>
    <t xml:space="preserve">B0FWY1TGFK (Q $29.74)</t>
  </si>
  <si>
    <t xml:space="preserve">rayon-bamboo blend / viscose</t>
  </si>
  <si>
    <t xml:space="preserve">Q $29.74; others $37.90-74.99</t>
  </si>
  <si>
    <t xml:space="preserve">BUDGET (mostly)</t>
  </si>
  <si>
    <t xml:space="preserve">4.3-4.5</t>
  </si>
  <si>
    <t xml:space="preserve">24339 (B0FWY1TGFK)</t>
  </si>
  <si>
    <t xml:space="preserve">5219</t>
  </si>
  <si>
    <t xml:space="preserve">92/wk hub; 11904/mo DD Mar</t>
  </si>
  <si>
    <t xml:space="preserve">135323 (+55k/42k/23k)</t>
  </si>
  <si>
    <t xml:space="preserve">42-55 cooling kw</t>
  </si>
  <si>
    <t xml:space="preserve">avoid B0FWY1TGFK</t>
  </si>
  <si>
    <t xml:space="preserve">B0DXT68BBR</t>
  </si>
  <si>
    <t xml:space="preserve">B08YS6WZRR (Q)</t>
  </si>
  <si>
    <t xml:space="preserve">Coolmax polyester</t>
  </si>
  <si>
    <t xml:space="preserve">Q $28.49 (list $29.99)</t>
  </si>
  <si>
    <t xml:space="preserve">4.1</t>
  </si>
  <si>
    <t xml:space="preserve">7324</t>
  </si>
  <si>
    <t xml:space="preserve">38796</t>
  </si>
  <si>
    <t xml:space="preserve">35/wk hub; 1431-1533/mo DD May</t>
  </si>
  <si>
    <t xml:space="preserve">$48.6k DD May</t>
  </si>
  <si>
    <t xml:space="preserve">strong organic: top10 on 20-25 cooling kw (May); PolarEdge Pro B0DYS4HVM3 Q $148.99 4.3/59 BSR 806589</t>
  </si>
  <si>
    <t xml:space="preserve">Comfort Spaces Coolmax fitted</t>
  </si>
  <si>
    <t xml:space="preserve">B0DCGL5646</t>
  </si>
  <si>
    <t xml:space="preserve">B08R6MTY36 (Q)</t>
  </si>
  <si>
    <t xml:space="preserve">fitted only</t>
  </si>
  <si>
    <t xml:space="preserve">Coolmax</t>
  </si>
  <si>
    <t xml:space="preserve">$28.49</t>
  </si>
  <si>
    <t xml:space="preserve">23009</t>
  </si>
  <si>
    <t xml:space="preserve">2001</t>
  </si>
  <si>
    <t xml:space="preserve">347/wk hub</t>
  </si>
  <si>
    <t xml:space="preserve">fitted-only demand leader; avoid</t>
  </si>
  <si>
    <t xml:space="preserve">Amazon Basics Cooling</t>
  </si>
  <si>
    <t xml:space="preserve">B0FX4P92L8 (Full)</t>
  </si>
  <si>
    <t xml:space="preserve">100% recycled polyester 15in</t>
  </si>
  <si>
    <t xml:space="preserve">Full $49.99</t>
  </si>
  <si>
    <t xml:space="preserve">mid</t>
  </si>
  <si>
    <t xml:space="preserve">23</t>
  </si>
  <si>
    <t xml:space="preserve">8889 (May)</t>
  </si>
  <si>
    <t xml:space="preserve">5213/mo DD May</t>
  </si>
  <si>
    <t xml:space="preserve">$261k DD May</t>
  </si>
  <si>
    <t xml:space="preserve">0</t>
  </si>
  <si>
    <t xml:space="preserve">top10 on 25 cooling kw (May); 1P - avoid</t>
  </si>
  <si>
    <t xml:space="preserve">Cozy Bliss Premium Cooling</t>
  </si>
  <si>
    <t xml:space="preserve">B0DMNQDZNB (Q) / B0DMNP5BC8 (K)</t>
  </si>
  <si>
    <t xml:space="preserve">3pc no flat</t>
  </si>
  <si>
    <t xml:space="preserve">Q-Max&gt;0.45 18in</t>
  </si>
  <si>
    <t xml:space="preserve">Q $89.99; King $99.99</t>
  </si>
  <si>
    <t xml:space="preserve">436</t>
  </si>
  <si>
    <t xml:space="preserve">92159 (May)</t>
  </si>
  <si>
    <t xml:space="preserve">653/mo DD May</t>
  </si>
  <si>
    <t xml:space="preserve">$58.8k DD May</t>
  </si>
  <si>
    <t xml:space="preserve">PAT target: 3pc at higher price</t>
  </si>
  <si>
    <t xml:space="preserve">B0F93XRVSZ</t>
  </si>
  <si>
    <t xml:space="preserve">B0F93XMMQY (Q) / B0GFHLLGJ1 (Full)</t>
  </si>
  <si>
    <t xml:space="preserve">Q-Max&gt;0.4 15in</t>
  </si>
  <si>
    <t xml:space="preserve">Q $79.99 (May); Full $54.99</t>
  </si>
  <si>
    <t xml:space="preserve">PREMIUM (Q)</t>
  </si>
  <si>
    <t xml:space="preserve">4.1 (Q 24 rev); 4.5 (Full 91); parent 4.2/6</t>
  </si>
  <si>
    <t xml:space="preserve">24-91</t>
  </si>
  <si>
    <t xml:space="preserve">92100 (Full May); 2798999 (hub Sep-14)</t>
  </si>
  <si>
    <t xml:space="preserve">585/mo Full DD May</t>
  </si>
  <si>
    <t xml:space="preserve">$32k</t>
  </si>
  <si>
    <t xml:space="preserve">OMERAI</t>
  </si>
  <si>
    <t xml:space="preserve">B0HDC7BMTC</t>
  </si>
  <si>
    <t xml:space="preserve">B0FX8K1CG9 / old B09SPRMT9F</t>
  </si>
  <si>
    <t xml:space="preserve">$59.99 (new); old Q $109.99</t>
  </si>
  <si>
    <t xml:space="preserve">mid/PREMIUM</t>
  </si>
  <si>
    <t xml:space="preserve">4.6 (3 rev); old 4.2/320</t>
  </si>
  <si>
    <t xml:space="preserve">3-320</t>
  </si>
  <si>
    <t xml:space="preserve">170691</t>
  </si>
  <si>
    <t xml:space="preserve">5/wk hub</t>
  </si>
  <si>
    <t xml:space="preserve">13712 (Sep-18)</t>
  </si>
  <si>
    <t xml:space="preserve">0.11</t>
  </si>
  <si>
    <t xml:space="preserve">CGK Unlimited Cooling</t>
  </si>
  <si>
    <t xml:space="preserve">B0FT4VV426</t>
  </si>
  <si>
    <t xml:space="preserve">B0FT575735 / B0FT4TC7NV</t>
  </si>
  <si>
    <t xml:space="preserve">3pc Twin XL</t>
  </si>
  <si>
    <t xml:space="preserve">poly cooling</t>
  </si>
  <si>
    <t xml:space="preserve">$57.99 TwinXL</t>
  </si>
  <si>
    <t xml:space="preserve">4.1-4.2</t>
  </si>
  <si>
    <t xml:space="preserve">50-117</t>
  </si>
  <si>
    <t xml:space="preserve">364130</t>
  </si>
  <si>
    <t xml:space="preserve">5/wk hub; 238/mo DD May</t>
  </si>
  <si>
    <t xml:space="preserve">59 adv kw (DD May)</t>
  </si>
  <si>
    <t xml:space="preserve">CGK microfiber B01M16WBW1 $24.99 461815 rev BSR 2 with 337 adv kw - avoid</t>
  </si>
  <si>
    <t xml:space="preserve">Brookstone cooling fitted</t>
  </si>
  <si>
    <t xml:space="preserve">B0CXB579TZ</t>
  </si>
  <si>
    <t xml:space="preserve">$69.99</t>
  </si>
  <si>
    <t xml:space="preserve">PREMIUM (fitted)</t>
  </si>
  <si>
    <t xml:space="preserve">183</t>
  </si>
  <si>
    <t xml:space="preserve">574513</t>
  </si>
  <si>
    <t xml:space="preserve">HOT SLEEPER SHEETS</t>
  </si>
  <si>
    <t xml:space="preserve">B0D3M9TXW7 / B0D3XQM7DL (Q)</t>
  </si>
  <si>
    <t xml:space="preserve">viscose bamboo 16in</t>
  </si>
  <si>
    <t xml:space="preserve">Q $51.29-65.99</t>
  </si>
  <si>
    <t xml:space="preserve">4.4-4.5</t>
  </si>
  <si>
    <t xml:space="preserve">478-671</t>
  </si>
  <si>
    <t xml:space="preserve">41741-45396</t>
  </si>
  <si>
    <t xml:space="preserve">1273-1541/mo DD</t>
  </si>
  <si>
    <t xml:space="preserve">$84-92k</t>
  </si>
  <si>
    <t xml:space="preserve">MR&amp;HM</t>
  </si>
  <si>
    <t xml:space="preserve">B0DL5NCTYF (Q)</t>
  </si>
  <si>
    <t xml:space="preserve">rayon bamboo + polyester 15in</t>
  </si>
  <si>
    <t xml:space="preserve">Q $36.99-40.99</t>
  </si>
  <si>
    <t xml:space="preserve">600</t>
  </si>
  <si>
    <t xml:space="preserve">24811-36016</t>
  </si>
  <si>
    <t xml:space="preserve">2012-2174/mo DD</t>
  </si>
  <si>
    <t xml:space="preserve">$80-82k</t>
  </si>
  <si>
    <t xml:space="preserve">37 adv kw (DD May)</t>
  </si>
  <si>
    <t xml:space="preserve">SISTER Sleephoria</t>
  </si>
  <si>
    <t xml:space="preserve">B0F7LXFGLX</t>
  </si>
  <si>
    <t xml:space="preserve">B0F7LY3K8C (Q) / B0F7M19VYV</t>
  </si>
  <si>
    <t xml:space="preserve">BreezeWeave</t>
  </si>
  <si>
    <t xml:space="preserve">Q $64.99 (May)</t>
  </si>
  <si>
    <t xml:space="preserve">842</t>
  </si>
  <si>
    <t xml:space="preserve">42927 (May)</t>
  </si>
  <si>
    <t xml:space="preserve">1470/mo DD May</t>
  </si>
  <si>
    <t xml:space="preserve">$95.5k DD May</t>
  </si>
  <si>
    <t xml:space="preserve">38974 (Oct-06)</t>
  </si>
  <si>
    <t xml:space="preserve">traffic 54433 (Sep-18) -&gt; 38974 (Oct-06)</t>
  </si>
  <si>
    <t xml:space="preserve">SISTER Decolure</t>
  </si>
  <si>
    <t xml:space="preserve">B0CWJ2ZQJR</t>
  </si>
  <si>
    <t xml:space="preserve">B0C9LQWPC7 (Q) / hero B0C9LS5H2T</t>
  </si>
  <si>
    <t xml:space="preserve">bamboo viscose microfiber</t>
  </si>
  <si>
    <t xml:space="preserve">Q $37.95 (May); $49.95 (Oct DD - shown FBM/0 sellers)</t>
  </si>
  <si>
    <t xml:space="preserve">4.2-4.3</t>
  </si>
  <si>
    <t xml:space="preserve">1304-1418</t>
  </si>
  <si>
    <t xml:space="preserve">104996 (May) -&gt; 176326-189815 (Oct)</t>
  </si>
  <si>
    <t xml:space="preserve">477/mo May -&gt; 209-212/mo Oct</t>
  </si>
  <si>
    <t xml:space="preserve">$10.5k Oct</t>
  </si>
  <si>
    <t xml:space="preserve">13066 (Oct-06)</t>
  </si>
  <si>
    <t xml:space="preserve">DD Oct flags B0C9LQWPC7 as FBM/0 active sellers - check stock</t>
  </si>
  <si>
    <t xml:space="preserve">Top-100 cooling-sheet market keywords</t>
  </si>
  <si>
    <t xml:space="preserve">Wk SV = weekly searches (ASINsight 6 Oct 2026, off-season). DD = DataDive monthly SV (May niches = peak season). Rivals = 28 mapped rivals of Sleephoria. S45/D48 = Sleephoria / Decolure organic &amp; SP rank.</t>
  </si>
  <si>
    <t xml:space="preserve">Theme</t>
  </si>
  <si>
    <t xml:space="preserve">Wk SV</t>
  </si>
  <si>
    <t xml:space="preserve">DD monthly SV (May)</t>
  </si>
  <si>
    <t xml:space="preserve">Ad share</t>
  </si>
  <si>
    <t xml:space="preserve">Rivals present</t>
  </si>
  <si>
    <t xml:space="preserve">Rivals org top 10</t>
  </si>
  <si>
    <t xml:space="preserve">Rivals org top 20</t>
  </si>
  <si>
    <t xml:space="preserve">Rivals w/ SP</t>
  </si>
  <si>
    <t xml:space="preserve">Leader</t>
  </si>
  <si>
    <t xml:space="preserve">Sleephoria org</t>
  </si>
  <si>
    <t xml:space="preserve">Sleephoria SP</t>
  </si>
  <si>
    <t xml:space="preserve">Decolure org</t>
  </si>
  <si>
    <t xml:space="preserve">Decolure SP</t>
  </si>
  <si>
    <t xml:space="preserve">REST org</t>
  </si>
  <si>
    <t xml:space="preserve">REST SP</t>
  </si>
  <si>
    <t xml:space="preserve">Breescape org</t>
  </si>
  <si>
    <t xml:space="preserve">Breescape SP</t>
  </si>
  <si>
    <t xml:space="preserve">Bedsure PW org</t>
  </si>
  <si>
    <t xml:space="preserve">Bedsure PW SP</t>
  </si>
  <si>
    <t xml:space="preserve">cooling core</t>
  </si>
  <si>
    <t xml:space="preserve">Bedsure</t>
  </si>
  <si>
    <t xml:space="preserve">cooling + size</t>
  </si>
  <si>
    <t xml:space="preserve">REST</t>
  </si>
  <si>
    <t xml:space="preserve">hot sleepers / night sweats</t>
  </si>
  <si>
    <t xml:space="preserve">fitted sheet queen</t>
  </si>
  <si>
    <t xml:space="preserve">fitted-only</t>
  </si>
  <si>
    <t xml:space="preserve">cooling + set terms</t>
  </si>
  <si>
    <t xml:space="preserve">cool care</t>
  </si>
  <si>
    <t xml:space="preserve">sabanas frias</t>
  </si>
  <si>
    <t xml:space="preserve">cooling</t>
  </si>
  <si>
    <t xml:space="preserve">twin fitted sheet</t>
  </si>
  <si>
    <t xml:space="preserve">california king fitted sheet</t>
  </si>
  <si>
    <t xml:space="preserve">cooling bedsheets</t>
  </si>
  <si>
    <t xml:space="preserve">sheets for hot sleepers</t>
  </si>
  <si>
    <t xml:space="preserve">white cooling sheets</t>
  </si>
  <si>
    <t xml:space="preserve">best sheets for hot sleepers</t>
  </si>
  <si>
    <t xml:space="preserve">sabanas frias queen</t>
  </si>
  <si>
    <t xml:space="preserve">king sheets deep pocket cooling</t>
  </si>
  <si>
    <t xml:space="preserve">king size sheets set</t>
  </si>
  <si>
    <t xml:space="preserve">generic: size + sheets</t>
  </si>
  <si>
    <t xml:space="preserve">sheets</t>
  </si>
  <si>
    <t xml:space="preserve">generic: sheets/other</t>
  </si>
  <si>
    <t xml:space="preserve">full size sheets</t>
  </si>
  <si>
    <t xml:space="preserve">sheets king size</t>
  </si>
  <si>
    <t xml:space="preserve">king bed sheets</t>
  </si>
  <si>
    <t xml:space="preserve">bedsure cooling sheets</t>
  </si>
  <si>
    <t xml:space="preserve">competitor brand</t>
  </si>
  <si>
    <t xml:space="preserve">breescape cooling sheets</t>
  </si>
  <si>
    <t xml:space="preserve">rest evercool cooling comforter</t>
  </si>
  <si>
    <t xml:space="preserve">rest evercool cooling sheets</t>
  </si>
  <si>
    <t xml:space="preserve">bed jet cooling system</t>
  </si>
  <si>
    <t xml:space="preserve">love's cabin 4 piece queen sheet set, 100% rayon derived from bamboo, cooling &amp; breathable, soft sil</t>
  </si>
  <si>
    <t xml:space="preserve">rest cooling sheets</t>
  </si>
  <si>
    <t xml:space="preserve">bedsure bamboo cooling sheets</t>
  </si>
  <si>
    <t xml:space="preserve">mellow cooling sheets</t>
  </si>
  <si>
    <t xml:space="preserve">MKL intake — paste the Master Keyword List here when shared</t>
  </si>
  <si>
    <t xml:space="preserve">G12: every term needs a syntax tag + relevancy score, MKL refreshed ≤ 30 days. The MKL will (1) confirm/replace batch-1 terms, (2) feed Batch 2, (3) extend negatives, (4) add relevancy re-scored against the live CooLinens listing.</t>
  </si>
  <si>
    <t xml:space="preserve">Relevancy (score)</t>
  </si>
  <si>
    <t xml:space="preserve">Syntax tag</t>
  </si>
  <si>
    <t xml:space="preserve">Root</t>
  </si>
  <si>
    <t xml:space="preserve">Indexed on B0H6K1MKQW? (Y/N)</t>
  </si>
  <si>
    <t xml:space="preserve">Proposed owner (CooLinens / Sleephoria / shared)</t>
  </si>
  <si>
    <t xml:space="preserve">Batch (1 / 2 / Phase 2 / negative)</t>
  </si>
  <si>
    <t xml:space="preserve">Highly Relevant (9)</t>
  </si>
  <si>
    <t xml:space="preserve">Y</t>
  </si>
  <si>
    <t xml:space="preserve">CooLinens (proposed)</t>
  </si>
  <si>
    <t xml:space="preserve">1</t>
  </si>
  <si>
    <t xml:space="preserve">Example row — replace with MKL data</t>
  </si>
</sst>
</file>

<file path=xl/styles.xml><?xml version="1.0" encoding="utf-8"?>
<styleSheet xmlns="http://schemas.openxmlformats.org/spreadsheetml/2006/main">
  <numFmts count="14">
    <numFmt numFmtId="164" formatCode="General"/>
    <numFmt numFmtId="165" formatCode="0.0%"/>
    <numFmt numFmtId="166" formatCode="\$#,##0.00"/>
    <numFmt numFmtId="167" formatCode="0%"/>
    <numFmt numFmtId="168" formatCode="0.00\x"/>
    <numFmt numFmtId="169" formatCode="0"/>
    <numFmt numFmtId="170" formatCode="\$#,##0"/>
    <numFmt numFmtId="171" formatCode="@"/>
    <numFmt numFmtId="172" formatCode="#,##0"/>
    <numFmt numFmtId="173" formatCode="0.00%"/>
    <numFmt numFmtId="174" formatCode="0.00"/>
    <numFmt numFmtId="175" formatCode="0.0"/>
    <numFmt numFmtId="176" formatCode="#,##0.00"/>
    <numFmt numFmtId="177"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sz val="11"/>
      <color theme="1"/>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sz val="10"/>
      <color rgb="FF008000"/>
      <name val="Arial"/>
      <family val="0"/>
      <charset val="1"/>
    </font>
  </fonts>
  <fills count="7">
    <fill>
      <patternFill patternType="none"/>
    </fill>
    <fill>
      <patternFill patternType="gray125"/>
    </fill>
    <fill>
      <patternFill patternType="solid">
        <fgColor rgb="FFD9E1F2"/>
        <bgColor rgb="FFE2EFDA"/>
      </patternFill>
    </fill>
    <fill>
      <patternFill patternType="solid">
        <fgColor rgb="FF1F3864"/>
        <bgColor rgb="FF333333"/>
      </patternFill>
    </fill>
    <fill>
      <patternFill patternType="solid">
        <fgColor rgb="FFFFFF00"/>
        <bgColor rgb="FFFFFF00"/>
      </patternFill>
    </fill>
    <fill>
      <patternFill patternType="solid">
        <fgColor rgb="FFE2EFDA"/>
        <bgColor rgb="FFD9E1F2"/>
      </patternFill>
    </fill>
    <fill>
      <patternFill patternType="solid">
        <fgColor rgb="FFFCE4D6"/>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8" fontId="10" fillId="4" borderId="0" xfId="0" applyFont="true" applyBorder="false" applyAlignment="false" applyProtection="false">
      <alignment horizontal="general" vertical="bottom" textRotation="0" wrapText="false" indent="0" shrinkToFit="false"/>
      <protection locked="true" hidden="false"/>
    </xf>
    <xf numFmtId="169" fontId="10" fillId="4" borderId="0" xfId="0" applyFont="true" applyBorder="false" applyAlignment="false" applyProtection="false">
      <alignment horizontal="general" vertical="bottom" textRotation="0" wrapText="false" indent="0" shrinkToFit="false"/>
      <protection locked="true" hidden="false"/>
    </xf>
    <xf numFmtId="170" fontId="10"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2" fontId="8" fillId="0"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73" fontId="10" fillId="0" borderId="1" xfId="0" applyFont="true" applyBorder="true" applyAlignment="true" applyProtection="false">
      <alignment horizontal="general" vertical="top" textRotation="0" wrapText="false" indent="0" shrinkToFit="false"/>
      <protection locked="true" hidden="false"/>
    </xf>
    <xf numFmtId="174" fontId="8" fillId="0" borderId="1" xfId="0" applyFont="true" applyBorder="true" applyAlignment="true" applyProtection="false">
      <alignment horizontal="general" vertical="top" textRotation="0" wrapText="false" indent="0" shrinkToFit="false"/>
      <protection locked="true" hidden="false"/>
    </xf>
    <xf numFmtId="175" fontId="8"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2" borderId="1" xfId="0" applyFont="true" applyBorder="true" applyAlignment="true" applyProtection="false">
      <alignment horizontal="general" vertical="top" textRotation="0" wrapText="false" indent="0" shrinkToFit="false"/>
      <protection locked="true" hidden="false"/>
    </xf>
    <xf numFmtId="173" fontId="12" fillId="0" borderId="1" xfId="0" applyFont="true" applyBorder="true" applyAlignment="true" applyProtection="false">
      <alignment horizontal="general" vertical="top" textRotation="0" wrapText="false" indent="0" shrinkToFit="false"/>
      <protection locked="true" hidden="false"/>
    </xf>
    <xf numFmtId="164" fontId="10" fillId="6"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5"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6" fontId="8" fillId="0" borderId="1" xfId="0" applyFont="true" applyBorder="true" applyAlignment="false" applyProtection="false">
      <alignment horizontal="general" vertical="bottom" textRotation="0" wrapText="false" indent="0" shrinkToFit="false"/>
      <protection locked="true" hidden="false"/>
    </xf>
    <xf numFmtId="177"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5" t="s">
        <v>3</v>
      </c>
    </row>
    <row r="6" customFormat="false" ht="35.05" hidden="false" customHeight="false" outlineLevel="0" collapsed="false">
      <c r="A6" s="5" t="s">
        <v>4</v>
      </c>
    </row>
    <row r="7" customFormat="false" ht="23.85" hidden="false" customHeight="false" outlineLevel="0" collapsed="false">
      <c r="A7" s="5" t="s">
        <v>5</v>
      </c>
    </row>
    <row r="8" customFormat="false" ht="23.85" hidden="false" customHeight="false" outlineLevel="0" collapsed="false">
      <c r="A8" s="5" t="s">
        <v>6</v>
      </c>
    </row>
    <row r="9" customFormat="false" ht="35.05" hidden="false" customHeight="false" outlineLevel="0" collapsed="false">
      <c r="A9" s="5" t="s">
        <v>7</v>
      </c>
    </row>
    <row r="10" customFormat="false" ht="15" hidden="false" customHeight="false" outlineLevel="0" collapsed="false">
      <c r="A10" s="4" t="s">
        <v>8</v>
      </c>
    </row>
    <row r="11" customFormat="false" ht="15" hidden="false" customHeight="false" outlineLevel="0" collapsed="false">
      <c r="A11" s="5" t="s">
        <v>9</v>
      </c>
    </row>
    <row r="12" customFormat="false" ht="23.85" hidden="false" customHeight="false" outlineLevel="0" collapsed="false">
      <c r="A12" s="5" t="s">
        <v>10</v>
      </c>
    </row>
    <row r="13" customFormat="false" ht="15" hidden="false" customHeight="false" outlineLevel="0" collapsed="false">
      <c r="A13" s="5" t="s">
        <v>11</v>
      </c>
    </row>
    <row r="14" customFormat="false" ht="23.85" hidden="false" customHeight="false" outlineLevel="0" collapsed="false">
      <c r="A14" s="5" t="s">
        <v>12</v>
      </c>
    </row>
    <row r="15" customFormat="false" ht="23.85" hidden="false" customHeight="false" outlineLevel="0" collapsed="false">
      <c r="A15" s="5" t="s">
        <v>13</v>
      </c>
    </row>
    <row r="16" customFormat="false" ht="15" hidden="false" customHeight="false" outlineLevel="0" collapsed="false">
      <c r="A16" s="4" t="s">
        <v>14</v>
      </c>
    </row>
    <row r="17" customFormat="false" ht="23.85" hidden="false" customHeight="false" outlineLevel="0" collapsed="false">
      <c r="A17" s="5" t="s">
        <v>15</v>
      </c>
    </row>
    <row r="18" customFormat="false" ht="23.85" hidden="false" customHeight="false" outlineLevel="0" collapsed="false">
      <c r="A18" s="5" t="s">
        <v>16</v>
      </c>
    </row>
    <row r="19" customFormat="false" ht="23.85" hidden="false" customHeight="false" outlineLevel="0" collapsed="false">
      <c r="A19" s="5" t="s">
        <v>17</v>
      </c>
    </row>
    <row r="20" customFormat="false" ht="15" hidden="false" customHeight="false" outlineLevel="0" collapsed="false">
      <c r="A20" s="4" t="s">
        <v>18</v>
      </c>
    </row>
    <row r="21" customFormat="false" ht="15" hidden="false" customHeight="false" outlineLevel="0" collapsed="false">
      <c r="A21" s="5" t="s">
        <v>19</v>
      </c>
    </row>
    <row r="22" customFormat="false" ht="23.85" hidden="false" customHeight="false" outlineLevel="0" collapsed="false">
      <c r="A22" s="5" t="s">
        <v>20</v>
      </c>
    </row>
    <row r="23" customFormat="false" ht="23.85" hidden="false" customHeight="false" outlineLevel="0" collapsed="false">
      <c r="A23" s="5" t="s">
        <v>21</v>
      </c>
    </row>
    <row r="24" customFormat="false" ht="15" hidden="false" customHeight="false" outlineLevel="0" collapsed="false">
      <c r="A24" s="4" t="s">
        <v>22</v>
      </c>
    </row>
    <row r="25" customFormat="false" ht="35.05" hidden="false" customHeight="false" outlineLevel="0" collapsed="false">
      <c r="A25" s="5" t="s">
        <v>23</v>
      </c>
    </row>
    <row r="26" customFormat="false" ht="15" hidden="false" customHeight="false" outlineLevel="0" collapsed="false">
      <c r="A26" s="4" t="s">
        <v>24</v>
      </c>
    </row>
    <row r="27" customFormat="false" ht="23.85" hidden="false" customHeight="false" outlineLevel="0" collapsed="false">
      <c r="A27" s="5" t="s">
        <v>25</v>
      </c>
    </row>
    <row r="28" customFormat="false" ht="22.35" hidden="false" customHeight="false" outlineLevel="0" collapsed="false">
      <c r="A28" s="6"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5" min="3" style="0" width="11"/>
    <col collapsed="false" customWidth="true" hidden="false" outlineLevel="0" max="6" min="6" style="0" width="13"/>
    <col collapsed="false" customWidth="true" hidden="false" outlineLevel="0" max="7" min="7" style="0" width="11"/>
    <col collapsed="false" customWidth="true" hidden="false" outlineLevel="0" max="8" min="8" style="0" width="13"/>
    <col collapsed="false" customWidth="true" hidden="false" outlineLevel="0" max="11" min="9" style="0" width="11"/>
    <col collapsed="false" customWidth="true" hidden="false" outlineLevel="0" max="13" min="12" style="0" width="15"/>
    <col collapsed="false" customWidth="true" hidden="false" outlineLevel="0" max="14" min="14" style="0" width="13"/>
    <col collapsed="false" customWidth="true" hidden="false" outlineLevel="0" max="16" min="15" style="0" width="12"/>
    <col collapsed="false" customWidth="true" hidden="false" outlineLevel="0" max="17" min="17" style="0" width="11"/>
    <col collapsed="false" customWidth="true" hidden="false" outlineLevel="0" max="19" min="18" style="0" width="14"/>
  </cols>
  <sheetData>
    <row r="1" customFormat="false" ht="17.35" hidden="false" customHeight="false" outlineLevel="0" collapsed="false">
      <c r="A1" s="1" t="s">
        <v>27</v>
      </c>
      <c r="B1" s="3"/>
      <c r="C1" s="3"/>
      <c r="D1" s="3"/>
      <c r="E1" s="3"/>
      <c r="F1" s="3"/>
      <c r="G1" s="3"/>
      <c r="H1" s="3"/>
      <c r="I1" s="3"/>
      <c r="J1" s="3"/>
      <c r="K1" s="3"/>
      <c r="L1" s="3"/>
      <c r="M1" s="3"/>
      <c r="N1" s="3"/>
      <c r="O1" s="3"/>
      <c r="P1" s="3"/>
      <c r="Q1" s="3"/>
      <c r="R1" s="3"/>
      <c r="S1" s="3"/>
    </row>
    <row r="2" customFormat="false" ht="15" hidden="false" customHeight="false" outlineLevel="0" collapsed="false">
      <c r="A2" s="2" t="s">
        <v>28</v>
      </c>
      <c r="B2" s="3"/>
      <c r="C2" s="3"/>
      <c r="D2" s="3"/>
      <c r="E2" s="3"/>
      <c r="F2" s="3"/>
      <c r="G2" s="3"/>
      <c r="H2" s="3"/>
      <c r="I2" s="3"/>
      <c r="J2" s="3"/>
      <c r="K2" s="3"/>
      <c r="L2" s="3"/>
      <c r="M2" s="3"/>
      <c r="N2" s="3"/>
      <c r="O2" s="3"/>
      <c r="P2" s="3"/>
      <c r="Q2" s="3"/>
      <c r="R2" s="3"/>
      <c r="S2" s="3"/>
    </row>
    <row r="3" customFormat="false" ht="15" hidden="false" customHeight="false" outlineLevel="0" collapsed="false">
      <c r="A3" s="3"/>
      <c r="B3" s="3"/>
      <c r="C3" s="3"/>
      <c r="D3" s="3"/>
      <c r="E3" s="3"/>
      <c r="F3" s="3"/>
      <c r="G3" s="3"/>
      <c r="H3" s="3"/>
      <c r="I3" s="3"/>
      <c r="J3" s="3"/>
      <c r="K3" s="3"/>
      <c r="L3" s="3"/>
      <c r="M3" s="3"/>
      <c r="N3" s="3"/>
      <c r="O3" s="3"/>
      <c r="P3" s="3"/>
      <c r="Q3" s="3"/>
      <c r="R3" s="3"/>
      <c r="S3" s="3"/>
    </row>
    <row r="4" customFormat="false" ht="31.5" hidden="false" customHeight="true" outlineLevel="0" collapsed="false">
      <c r="A4" s="7" t="s">
        <v>29</v>
      </c>
      <c r="B4" s="7" t="s">
        <v>30</v>
      </c>
      <c r="C4" s="7" t="s">
        <v>31</v>
      </c>
      <c r="D4" s="3"/>
      <c r="E4" s="3"/>
      <c r="F4" s="3"/>
      <c r="G4" s="3"/>
      <c r="H4" s="3"/>
      <c r="I4" s="3"/>
      <c r="J4" s="3"/>
      <c r="K4" s="3"/>
      <c r="L4" s="3"/>
      <c r="M4" s="3"/>
      <c r="N4" s="3"/>
      <c r="O4" s="3"/>
      <c r="P4" s="3"/>
      <c r="Q4" s="3"/>
      <c r="R4" s="3"/>
      <c r="S4" s="3"/>
    </row>
    <row r="5" customFormat="false" ht="15" hidden="false" customHeight="false" outlineLevel="0" collapsed="false">
      <c r="A5" s="8" t="s">
        <v>32</v>
      </c>
      <c r="B5" s="9" t="n">
        <v>0.09</v>
      </c>
      <c r="C5" s="2" t="s">
        <v>33</v>
      </c>
      <c r="D5" s="3"/>
      <c r="E5" s="3"/>
      <c r="F5" s="3"/>
      <c r="G5" s="3"/>
      <c r="H5" s="3"/>
      <c r="I5" s="3"/>
      <c r="J5" s="3"/>
      <c r="K5" s="3"/>
      <c r="L5" s="3"/>
      <c r="M5" s="3"/>
      <c r="N5" s="3"/>
      <c r="O5" s="3"/>
      <c r="P5" s="3"/>
      <c r="Q5" s="3"/>
      <c r="R5" s="3"/>
      <c r="S5" s="3"/>
    </row>
    <row r="6" customFormat="false" ht="15" hidden="false" customHeight="false" outlineLevel="0" collapsed="false">
      <c r="A6" s="8" t="s">
        <v>34</v>
      </c>
      <c r="B6" s="9" t="n">
        <v>0.06</v>
      </c>
      <c r="C6" s="2" t="s">
        <v>35</v>
      </c>
      <c r="D6" s="3"/>
      <c r="E6" s="3"/>
      <c r="F6" s="3"/>
      <c r="G6" s="3"/>
      <c r="H6" s="3"/>
      <c r="I6" s="3"/>
      <c r="J6" s="3"/>
      <c r="K6" s="3"/>
      <c r="L6" s="3"/>
      <c r="M6" s="3"/>
      <c r="N6" s="3"/>
      <c r="O6" s="3"/>
      <c r="P6" s="3"/>
      <c r="Q6" s="3"/>
      <c r="R6" s="3"/>
      <c r="S6" s="3"/>
    </row>
    <row r="7" customFormat="false" ht="15" hidden="false" customHeight="false" outlineLevel="0" collapsed="false">
      <c r="A7" s="8" t="s">
        <v>36</v>
      </c>
      <c r="B7" s="10" t="n">
        <v>3.5</v>
      </c>
      <c r="C7" s="2" t="s">
        <v>37</v>
      </c>
      <c r="D7" s="3"/>
      <c r="E7" s="3"/>
      <c r="F7" s="3"/>
      <c r="G7" s="3"/>
      <c r="H7" s="3"/>
      <c r="I7" s="3"/>
      <c r="J7" s="3"/>
      <c r="K7" s="3"/>
      <c r="L7" s="3"/>
      <c r="M7" s="3"/>
      <c r="N7" s="3"/>
      <c r="O7" s="3"/>
      <c r="P7" s="3"/>
      <c r="Q7" s="3"/>
      <c r="R7" s="3"/>
      <c r="S7" s="3"/>
    </row>
    <row r="8" customFormat="false" ht="15" hidden="false" customHeight="false" outlineLevel="0" collapsed="false">
      <c r="A8" s="8" t="s">
        <v>38</v>
      </c>
      <c r="B8" s="11" t="n">
        <v>0.5</v>
      </c>
      <c r="C8" s="2" t="s">
        <v>39</v>
      </c>
      <c r="D8" s="3"/>
      <c r="E8" s="3"/>
      <c r="F8" s="3"/>
      <c r="G8" s="3"/>
      <c r="H8" s="3"/>
      <c r="I8" s="3"/>
      <c r="J8" s="3"/>
      <c r="K8" s="3"/>
      <c r="L8" s="3"/>
      <c r="M8" s="3"/>
      <c r="N8" s="3"/>
      <c r="O8" s="3"/>
      <c r="P8" s="3"/>
      <c r="Q8" s="3"/>
      <c r="R8" s="3"/>
      <c r="S8" s="3"/>
    </row>
    <row r="9" customFormat="false" ht="15" hidden="false" customHeight="false" outlineLevel="0" collapsed="false">
      <c r="A9" s="8" t="s">
        <v>40</v>
      </c>
      <c r="B9" s="11" t="n">
        <v>0.75</v>
      </c>
      <c r="C9" s="2" t="s">
        <v>41</v>
      </c>
      <c r="D9" s="3"/>
      <c r="E9" s="3"/>
      <c r="F9" s="3"/>
      <c r="G9" s="3"/>
      <c r="H9" s="3"/>
      <c r="I9" s="3"/>
      <c r="J9" s="3"/>
      <c r="K9" s="3"/>
      <c r="L9" s="3"/>
      <c r="M9" s="3"/>
      <c r="N9" s="3"/>
      <c r="O9" s="3"/>
      <c r="P9" s="3"/>
      <c r="Q9" s="3"/>
      <c r="R9" s="3"/>
      <c r="S9" s="3"/>
    </row>
    <row r="10" customFormat="false" ht="15" hidden="false" customHeight="false" outlineLevel="0" collapsed="false">
      <c r="A10" s="8" t="s">
        <v>42</v>
      </c>
      <c r="B10" s="10" t="n">
        <v>2.8</v>
      </c>
      <c r="C10" s="2" t="s">
        <v>43</v>
      </c>
      <c r="D10" s="3"/>
      <c r="E10" s="3"/>
      <c r="F10" s="3"/>
      <c r="G10" s="3"/>
      <c r="H10" s="3"/>
      <c r="I10" s="3"/>
      <c r="J10" s="3"/>
      <c r="K10" s="3"/>
      <c r="L10" s="3"/>
      <c r="M10" s="3"/>
      <c r="N10" s="3"/>
      <c r="O10" s="3"/>
      <c r="P10" s="3"/>
      <c r="Q10" s="3"/>
      <c r="R10" s="3"/>
      <c r="S10" s="3"/>
    </row>
    <row r="11" customFormat="false" ht="15" hidden="false" customHeight="false" outlineLevel="0" collapsed="false">
      <c r="A11" s="8" t="s">
        <v>44</v>
      </c>
      <c r="B11" s="12" t="n">
        <v>1.25</v>
      </c>
      <c r="C11" s="2" t="s">
        <v>45</v>
      </c>
      <c r="D11" s="3"/>
      <c r="E11" s="3"/>
      <c r="F11" s="3"/>
      <c r="G11" s="3"/>
      <c r="H11" s="3"/>
      <c r="I11" s="3"/>
      <c r="J11" s="3"/>
      <c r="K11" s="3"/>
      <c r="L11" s="3"/>
      <c r="M11" s="3"/>
      <c r="N11" s="3"/>
      <c r="O11" s="3"/>
      <c r="P11" s="3"/>
      <c r="Q11" s="3"/>
      <c r="R11" s="3"/>
      <c r="S11" s="3"/>
    </row>
    <row r="12" customFormat="false" ht="15" hidden="false" customHeight="false" outlineLevel="0" collapsed="false">
      <c r="A12" s="8" t="s">
        <v>46</v>
      </c>
      <c r="B12" s="10" t="n">
        <v>1.5</v>
      </c>
      <c r="C12" s="2" t="s">
        <v>47</v>
      </c>
      <c r="D12" s="3"/>
      <c r="E12" s="3"/>
      <c r="F12" s="3"/>
      <c r="G12" s="3"/>
      <c r="H12" s="3"/>
      <c r="I12" s="3"/>
      <c r="J12" s="3"/>
      <c r="K12" s="3"/>
      <c r="L12" s="3"/>
      <c r="M12" s="3"/>
      <c r="N12" s="3"/>
      <c r="O12" s="3"/>
      <c r="P12" s="3"/>
      <c r="Q12" s="3"/>
      <c r="R12" s="3"/>
      <c r="S12" s="3"/>
    </row>
    <row r="13" customFormat="false" ht="15" hidden="false" customHeight="false" outlineLevel="0" collapsed="false">
      <c r="A13" s="8" t="s">
        <v>48</v>
      </c>
      <c r="B13" s="9" t="n">
        <v>0.08</v>
      </c>
      <c r="C13" s="2" t="s">
        <v>49</v>
      </c>
      <c r="D13" s="3"/>
      <c r="E13" s="3"/>
      <c r="F13" s="3"/>
      <c r="G13" s="3"/>
      <c r="H13" s="3"/>
      <c r="I13" s="3"/>
      <c r="J13" s="3"/>
      <c r="K13" s="3"/>
      <c r="L13" s="3"/>
      <c r="M13" s="3"/>
      <c r="N13" s="3"/>
      <c r="O13" s="3"/>
      <c r="P13" s="3"/>
      <c r="Q13" s="3"/>
      <c r="R13" s="3"/>
      <c r="S13" s="3"/>
    </row>
    <row r="14" customFormat="false" ht="15" hidden="false" customHeight="false" outlineLevel="0" collapsed="false">
      <c r="A14" s="8" t="s">
        <v>50</v>
      </c>
      <c r="B14" s="9" t="n">
        <v>0.017</v>
      </c>
      <c r="C14" s="2" t="s">
        <v>51</v>
      </c>
      <c r="D14" s="3"/>
      <c r="E14" s="3"/>
      <c r="F14" s="3"/>
      <c r="G14" s="3"/>
      <c r="H14" s="3"/>
      <c r="I14" s="3"/>
      <c r="J14" s="3"/>
      <c r="K14" s="3"/>
      <c r="L14" s="3"/>
      <c r="M14" s="3"/>
      <c r="N14" s="3"/>
      <c r="O14" s="3"/>
      <c r="P14" s="3"/>
      <c r="Q14" s="3"/>
      <c r="R14" s="3"/>
      <c r="S14" s="3"/>
    </row>
    <row r="15" customFormat="false" ht="15" hidden="false" customHeight="false" outlineLevel="0" collapsed="false">
      <c r="A15" s="8" t="s">
        <v>52</v>
      </c>
      <c r="B15" s="13" t="n">
        <v>50</v>
      </c>
      <c r="C15" s="2" t="s">
        <v>53</v>
      </c>
      <c r="D15" s="3"/>
      <c r="E15" s="3"/>
      <c r="F15" s="3"/>
      <c r="G15" s="3"/>
      <c r="H15" s="3"/>
      <c r="I15" s="3"/>
      <c r="J15" s="3"/>
      <c r="K15" s="3"/>
      <c r="L15" s="3"/>
      <c r="M15" s="3"/>
      <c r="N15" s="3"/>
      <c r="O15" s="3"/>
      <c r="P15" s="3"/>
      <c r="Q15" s="3"/>
      <c r="R15" s="3"/>
      <c r="S15" s="3"/>
    </row>
    <row r="16" customFormat="false" ht="15" hidden="false" customHeight="false" outlineLevel="0" collapsed="false">
      <c r="A16" s="8" t="s">
        <v>54</v>
      </c>
      <c r="B16" s="13" t="n">
        <v>14</v>
      </c>
      <c r="C16" s="2" t="s">
        <v>55</v>
      </c>
      <c r="D16" s="3"/>
      <c r="E16" s="3"/>
      <c r="F16" s="3"/>
      <c r="G16" s="3"/>
      <c r="H16" s="3"/>
      <c r="I16" s="3"/>
      <c r="J16" s="3"/>
      <c r="K16" s="3"/>
      <c r="L16" s="3"/>
      <c r="M16" s="3"/>
      <c r="N16" s="3"/>
      <c r="O16" s="3"/>
      <c r="P16" s="3"/>
      <c r="Q16" s="3"/>
      <c r="R16" s="3"/>
      <c r="S16" s="3"/>
    </row>
    <row r="17" customFormat="false" ht="15" hidden="false" customHeight="false" outlineLevel="0" collapsed="false">
      <c r="A17" s="8" t="s">
        <v>56</v>
      </c>
      <c r="B17" s="14" t="n">
        <v>10</v>
      </c>
      <c r="C17" s="2" t="s">
        <v>57</v>
      </c>
      <c r="D17" s="3"/>
      <c r="E17" s="3"/>
      <c r="F17" s="3"/>
      <c r="G17" s="3"/>
      <c r="H17" s="3"/>
      <c r="I17" s="3"/>
      <c r="J17" s="3"/>
      <c r="K17" s="3"/>
      <c r="L17" s="3"/>
      <c r="M17" s="3"/>
      <c r="N17" s="3"/>
      <c r="O17" s="3"/>
      <c r="P17" s="3"/>
      <c r="Q17" s="3"/>
      <c r="R17" s="3"/>
      <c r="S17" s="3"/>
    </row>
    <row r="18" customFormat="false" ht="15" hidden="false" customHeight="false" outlineLevel="0" collapsed="false">
      <c r="A18" s="8" t="s">
        <v>58</v>
      </c>
      <c r="B18" s="14" t="n">
        <v>1750</v>
      </c>
      <c r="C18" s="2" t="s">
        <v>59</v>
      </c>
      <c r="D18" s="3"/>
      <c r="E18" s="3"/>
      <c r="F18" s="3"/>
      <c r="G18" s="3"/>
      <c r="H18" s="3"/>
      <c r="I18" s="3"/>
      <c r="J18" s="3"/>
      <c r="K18" s="3"/>
      <c r="L18" s="3"/>
      <c r="M18" s="3"/>
      <c r="N18" s="3"/>
      <c r="O18" s="3"/>
      <c r="P18" s="3"/>
      <c r="Q18" s="3"/>
      <c r="R18" s="3"/>
      <c r="S18" s="3"/>
    </row>
    <row r="19" customFormat="false" ht="15" hidden="false" customHeight="false" outlineLevel="0" collapsed="false">
      <c r="A19" s="3"/>
      <c r="B19" s="3"/>
      <c r="C19" s="3"/>
      <c r="D19" s="3"/>
      <c r="E19" s="3"/>
      <c r="F19" s="3"/>
      <c r="G19" s="3"/>
      <c r="H19" s="3"/>
      <c r="I19" s="3"/>
      <c r="J19" s="3"/>
      <c r="K19" s="3"/>
      <c r="L19" s="3"/>
      <c r="M19" s="3"/>
      <c r="N19" s="3"/>
      <c r="O19" s="3"/>
      <c r="P19" s="3"/>
      <c r="Q19" s="3"/>
      <c r="R19" s="3"/>
      <c r="S19" s="3"/>
    </row>
    <row r="20" customFormat="false" ht="15" hidden="false" customHeight="false" outlineLevel="0" collapsed="false">
      <c r="A20" s="15" t="s">
        <v>60</v>
      </c>
      <c r="B20" s="3"/>
      <c r="C20" s="3"/>
      <c r="D20" s="3"/>
      <c r="E20" s="3"/>
      <c r="F20" s="3"/>
      <c r="G20" s="3"/>
      <c r="H20" s="3"/>
      <c r="I20" s="3"/>
      <c r="J20" s="3"/>
      <c r="K20" s="3"/>
      <c r="L20" s="3"/>
      <c r="M20" s="3"/>
      <c r="N20" s="3"/>
      <c r="O20" s="3"/>
      <c r="P20" s="3"/>
      <c r="Q20" s="3"/>
      <c r="R20" s="3"/>
      <c r="S20" s="3"/>
    </row>
    <row r="21" customFormat="false" ht="31.5" hidden="false" customHeight="true" outlineLevel="0" collapsed="false">
      <c r="A21" s="7" t="s">
        <v>61</v>
      </c>
      <c r="B21" s="7" t="s">
        <v>62</v>
      </c>
      <c r="C21" s="7" t="s">
        <v>63</v>
      </c>
      <c r="D21" s="7" t="s">
        <v>64</v>
      </c>
      <c r="E21" s="7" t="s">
        <v>65</v>
      </c>
      <c r="F21" s="7" t="s">
        <v>66</v>
      </c>
      <c r="G21" s="7" t="s">
        <v>67</v>
      </c>
      <c r="H21" s="7" t="s">
        <v>68</v>
      </c>
      <c r="I21" s="7" t="s">
        <v>69</v>
      </c>
      <c r="J21" s="7" t="s">
        <v>70</v>
      </c>
      <c r="K21" s="7" t="s">
        <v>71</v>
      </c>
      <c r="L21" s="7" t="s">
        <v>72</v>
      </c>
      <c r="M21" s="7" t="s">
        <v>73</v>
      </c>
      <c r="N21" s="7" t="s">
        <v>74</v>
      </c>
      <c r="O21" s="7" t="s">
        <v>75</v>
      </c>
      <c r="P21" s="7" t="s">
        <v>76</v>
      </c>
      <c r="Q21" s="7" t="s">
        <v>77</v>
      </c>
      <c r="R21" s="7" t="s">
        <v>78</v>
      </c>
      <c r="S21" s="7" t="s">
        <v>79</v>
      </c>
    </row>
    <row r="22" customFormat="false" ht="15" hidden="false" customHeight="false" outlineLevel="0" collapsed="false">
      <c r="A22" s="16" t="s">
        <v>80</v>
      </c>
      <c r="B22" s="17" t="n">
        <v>62.99</v>
      </c>
      <c r="C22" s="18" t="n">
        <v>0.15</v>
      </c>
      <c r="D22" s="19" t="n">
        <f aca="false">B22*C22</f>
        <v>9.4485</v>
      </c>
      <c r="E22" s="17" t="n">
        <v>7.9</v>
      </c>
      <c r="F22" s="17" t="n">
        <v>19.94</v>
      </c>
      <c r="G22" s="20" t="n">
        <f aca="false">Economics!$B$7</f>
        <v>3.5</v>
      </c>
      <c r="H22" s="19" t="n">
        <f aca="false">B22-D22-E22-F22-G22</f>
        <v>22.2015</v>
      </c>
      <c r="I22" s="21" t="n">
        <f aca="false">IF(B22&gt;0,H22/B22,0)</f>
        <v>0.352460708048897</v>
      </c>
      <c r="J22" s="21" t="n">
        <f aca="false">I22*Economics!$B$8</f>
        <v>0.176230354024448</v>
      </c>
      <c r="K22" s="21" t="n">
        <f aca="false">I22*Economics!$B$9</f>
        <v>0.264345531036672</v>
      </c>
      <c r="L22" s="19" t="n">
        <f aca="false">H22*Economics!$B$5</f>
        <v>1.998135</v>
      </c>
      <c r="M22" s="19" t="n">
        <f aca="false">H22*Economics!$B$6</f>
        <v>1.33209</v>
      </c>
      <c r="N22" s="19" t="n">
        <f aca="false">B22*J22*Economics!$B$5</f>
        <v>0.9990675</v>
      </c>
      <c r="O22" s="22" t="str">
        <f aca="false">IF(H22&lt;6,"THIN",IF(H22&lt;=15,"STANDARD","RICH"))</f>
        <v>RICH</v>
      </c>
      <c r="P22" s="23" t="n">
        <v>387</v>
      </c>
      <c r="Q22" s="21" t="n">
        <f aca="false">P22/SUM($P$22:$P$26)</f>
        <v>0.103864734299517</v>
      </c>
      <c r="R22" s="24" t="n">
        <v>0.115</v>
      </c>
      <c r="S22" s="17" t="n">
        <v>15.69</v>
      </c>
    </row>
    <row r="23" customFormat="false" ht="15" hidden="false" customHeight="false" outlineLevel="0" collapsed="false">
      <c r="A23" s="16" t="s">
        <v>81</v>
      </c>
      <c r="B23" s="17" t="n">
        <v>67.99</v>
      </c>
      <c r="C23" s="18" t="n">
        <v>0.15</v>
      </c>
      <c r="D23" s="19" t="n">
        <f aca="false">B23*C23</f>
        <v>10.1985</v>
      </c>
      <c r="E23" s="17" t="n">
        <v>8.31</v>
      </c>
      <c r="F23" s="17" t="n">
        <v>24.61</v>
      </c>
      <c r="G23" s="20" t="n">
        <f aca="false">Economics!$B$7</f>
        <v>3.5</v>
      </c>
      <c r="H23" s="19" t="n">
        <f aca="false">B23-D23-E23-F23-G23</f>
        <v>21.3715</v>
      </c>
      <c r="I23" s="21" t="n">
        <f aca="false">IF(B23&gt;0,H23/B23,0)</f>
        <v>0.31433299014561</v>
      </c>
      <c r="J23" s="21" t="n">
        <f aca="false">I23*Economics!$B$8</f>
        <v>0.157166495072805</v>
      </c>
      <c r="K23" s="21" t="n">
        <f aca="false">I23*Economics!$B$9</f>
        <v>0.235749742609207</v>
      </c>
      <c r="L23" s="19" t="n">
        <f aca="false">H23*Economics!$B$5</f>
        <v>1.923435</v>
      </c>
      <c r="M23" s="19" t="n">
        <f aca="false">H23*Economics!$B$6</f>
        <v>1.28229</v>
      </c>
      <c r="N23" s="19" t="n">
        <f aca="false">B23*J23*Economics!$B$5</f>
        <v>0.9617175</v>
      </c>
      <c r="O23" s="22" t="str">
        <f aca="false">IF(H23&lt;6,"THIN",IF(H23&lt;=15,"STANDARD","RICH"))</f>
        <v>RICH</v>
      </c>
      <c r="P23" s="23" t="n">
        <v>530</v>
      </c>
      <c r="Q23" s="21" t="n">
        <f aca="false">P23/SUM($P$22:$P$26)</f>
        <v>0.142243692968331</v>
      </c>
      <c r="R23" s="24" t="n">
        <v>0.139</v>
      </c>
      <c r="S23" s="17" t="n">
        <v>10.38</v>
      </c>
    </row>
    <row r="24" customFormat="false" ht="15" hidden="false" customHeight="false" outlineLevel="0" collapsed="false">
      <c r="A24" s="16" t="s">
        <v>82</v>
      </c>
      <c r="B24" s="17" t="n">
        <v>79.99</v>
      </c>
      <c r="C24" s="18" t="n">
        <v>0.15</v>
      </c>
      <c r="D24" s="19" t="n">
        <f aca="false">B24*C24</f>
        <v>11.9985</v>
      </c>
      <c r="E24" s="17" t="n">
        <v>8.5</v>
      </c>
      <c r="F24" s="17" t="n">
        <v>25.88</v>
      </c>
      <c r="G24" s="20" t="n">
        <f aca="false">Economics!$B$7</f>
        <v>3.5</v>
      </c>
      <c r="H24" s="19" t="n">
        <f aca="false">B24-D24-E24-F24-G24</f>
        <v>30.1115</v>
      </c>
      <c r="I24" s="21" t="n">
        <f aca="false">IF(B24&gt;0,H24/B24,0)</f>
        <v>0.376440805100638</v>
      </c>
      <c r="J24" s="21" t="n">
        <f aca="false">I24*Economics!$B$8</f>
        <v>0.188220402550319</v>
      </c>
      <c r="K24" s="21" t="n">
        <f aca="false">I24*Economics!$B$9</f>
        <v>0.282330603825478</v>
      </c>
      <c r="L24" s="19" t="n">
        <f aca="false">H24*Economics!$B$5</f>
        <v>2.710035</v>
      </c>
      <c r="M24" s="19" t="n">
        <f aca="false">H24*Economics!$B$6</f>
        <v>1.80669</v>
      </c>
      <c r="N24" s="19" t="n">
        <f aca="false">B24*J24*Economics!$B$5</f>
        <v>1.3550175</v>
      </c>
      <c r="O24" s="22" t="str">
        <f aca="false">IF(H24&lt;6,"THIN",IF(H24&lt;=15,"STANDARD","RICH"))</f>
        <v>RICH</v>
      </c>
      <c r="P24" s="23" t="n">
        <v>1541</v>
      </c>
      <c r="Q24" s="21" t="n">
        <f aca="false">P24/SUM($P$22:$P$26)</f>
        <v>0.41358024691358</v>
      </c>
      <c r="R24" s="24" t="n">
        <v>0.343</v>
      </c>
      <c r="S24" s="17" t="n">
        <v>11.68</v>
      </c>
    </row>
    <row r="25" customFormat="false" ht="15" hidden="false" customHeight="false" outlineLevel="0" collapsed="false">
      <c r="A25" s="16" t="s">
        <v>83</v>
      </c>
      <c r="B25" s="17" t="n">
        <v>84.99</v>
      </c>
      <c r="C25" s="18" t="n">
        <v>0.15</v>
      </c>
      <c r="D25" s="19" t="n">
        <f aca="false">B25*C25</f>
        <v>12.7485</v>
      </c>
      <c r="E25" s="17" t="n">
        <v>8.9</v>
      </c>
      <c r="F25" s="17" t="n">
        <v>30.02</v>
      </c>
      <c r="G25" s="20" t="n">
        <f aca="false">Economics!$B$7</f>
        <v>3.5</v>
      </c>
      <c r="H25" s="19" t="n">
        <f aca="false">B25-D25-E25-F25-G25</f>
        <v>29.8215</v>
      </c>
      <c r="I25" s="21" t="n">
        <f aca="false">IF(B25&gt;0,H25/B25,0)</f>
        <v>0.350882456759619</v>
      </c>
      <c r="J25" s="21" t="n">
        <f aca="false">I25*Economics!$B$8</f>
        <v>0.175441228379809</v>
      </c>
      <c r="K25" s="21" t="n">
        <f aca="false">I25*Economics!$B$9</f>
        <v>0.263161842569714</v>
      </c>
      <c r="L25" s="19" t="n">
        <f aca="false">H25*Economics!$B$5</f>
        <v>2.683935</v>
      </c>
      <c r="M25" s="19" t="n">
        <f aca="false">H25*Economics!$B$6</f>
        <v>1.78929</v>
      </c>
      <c r="N25" s="19" t="n">
        <f aca="false">B25*J25*Economics!$B$5</f>
        <v>1.3419675</v>
      </c>
      <c r="O25" s="22" t="str">
        <f aca="false">IF(H25&lt;6,"THIN",IF(H25&lt;=15,"STANDARD","RICH"))</f>
        <v>RICH</v>
      </c>
      <c r="P25" s="23" t="n">
        <v>873</v>
      </c>
      <c r="Q25" s="21" t="n">
        <f aca="false">P25/SUM($P$22:$P$26)</f>
        <v>0.234299516908213</v>
      </c>
      <c r="R25" s="24" t="n">
        <v>0.29</v>
      </c>
      <c r="S25" s="17" t="n">
        <v>15.03</v>
      </c>
    </row>
    <row r="26" customFormat="false" ht="15" hidden="false" customHeight="false" outlineLevel="0" collapsed="false">
      <c r="A26" s="16" t="s">
        <v>84</v>
      </c>
      <c r="B26" s="17" t="n">
        <v>86.99</v>
      </c>
      <c r="C26" s="18" t="n">
        <v>0.15</v>
      </c>
      <c r="D26" s="19" t="n">
        <f aca="false">B26*C26</f>
        <v>13.0485</v>
      </c>
      <c r="E26" s="17" t="n">
        <v>8.73</v>
      </c>
      <c r="F26" s="17" t="n">
        <v>31.62</v>
      </c>
      <c r="G26" s="20" t="n">
        <f aca="false">Economics!$B$7</f>
        <v>3.5</v>
      </c>
      <c r="H26" s="19" t="n">
        <f aca="false">B26-D26-E26-F26-G26</f>
        <v>30.0915</v>
      </c>
      <c r="I26" s="21" t="n">
        <f aca="false">IF(B26&gt;0,H26/B26,0)</f>
        <v>0.345919071157604</v>
      </c>
      <c r="J26" s="21" t="n">
        <f aca="false">I26*Economics!$B$8</f>
        <v>0.172959535578802</v>
      </c>
      <c r="K26" s="21" t="n">
        <f aca="false">I26*Economics!$B$9</f>
        <v>0.259439303368203</v>
      </c>
      <c r="L26" s="19" t="n">
        <f aca="false">H26*Economics!$B$5</f>
        <v>2.708235</v>
      </c>
      <c r="M26" s="19" t="n">
        <f aca="false">H26*Economics!$B$6</f>
        <v>1.80549</v>
      </c>
      <c r="N26" s="19" t="n">
        <f aca="false">B26*J26*Economics!$B$5</f>
        <v>1.3541175</v>
      </c>
      <c r="O26" s="22" t="str">
        <f aca="false">IF(H26&lt;6,"THIN",IF(H26&lt;=15,"STANDARD","RICH"))</f>
        <v>RICH</v>
      </c>
      <c r="P26" s="23" t="n">
        <v>395</v>
      </c>
      <c r="Q26" s="21" t="n">
        <f aca="false">P26/SUM($P$22:$P$26)</f>
        <v>0.10601180891036</v>
      </c>
      <c r="R26" s="24" t="n">
        <v>0.114</v>
      </c>
      <c r="S26" s="17" t="n">
        <v>19.59</v>
      </c>
    </row>
    <row r="27" customFormat="false" ht="15" hidden="false" customHeight="false" outlineLevel="0" collapsed="false">
      <c r="A27" s="3"/>
      <c r="B27" s="3"/>
      <c r="C27" s="3"/>
      <c r="D27" s="3"/>
      <c r="E27" s="3"/>
      <c r="F27" s="3"/>
      <c r="G27" s="3"/>
      <c r="H27" s="3"/>
      <c r="I27" s="3"/>
      <c r="J27" s="3"/>
      <c r="K27" s="3"/>
      <c r="L27" s="3"/>
      <c r="M27" s="3"/>
      <c r="N27" s="3"/>
      <c r="O27" s="3"/>
      <c r="P27" s="3"/>
      <c r="Q27" s="3"/>
      <c r="R27" s="3"/>
      <c r="S27" s="3"/>
    </row>
    <row r="28" customFormat="false" ht="15" hidden="false" customHeight="false" outlineLevel="0" collapsed="false">
      <c r="A28" s="15" t="s">
        <v>85</v>
      </c>
      <c r="B28" s="3"/>
      <c r="C28" s="3"/>
      <c r="D28" s="3"/>
      <c r="E28" s="3"/>
      <c r="F28" s="3"/>
      <c r="G28" s="3"/>
      <c r="H28" s="3"/>
      <c r="I28" s="3"/>
      <c r="J28" s="3"/>
      <c r="K28" s="3"/>
      <c r="L28" s="3"/>
      <c r="M28" s="3"/>
      <c r="N28" s="3"/>
      <c r="O28" s="3"/>
      <c r="P28" s="3"/>
      <c r="Q28" s="3"/>
      <c r="R28" s="3"/>
      <c r="S28" s="3"/>
    </row>
    <row r="29" customFormat="false" ht="15" hidden="false" customHeight="false" outlineLevel="0" collapsed="false">
      <c r="A29" s="2" t="s">
        <v>86</v>
      </c>
      <c r="B29" s="3"/>
      <c r="C29" s="3"/>
      <c r="D29" s="3"/>
      <c r="E29" s="3"/>
      <c r="F29" s="3"/>
      <c r="G29" s="3"/>
      <c r="H29" s="3"/>
      <c r="I29" s="3"/>
      <c r="J29" s="3"/>
      <c r="K29" s="3"/>
      <c r="L29" s="3"/>
      <c r="M29" s="3"/>
      <c r="N29" s="3"/>
      <c r="O29" s="3"/>
      <c r="P29" s="3"/>
      <c r="Q29" s="3"/>
      <c r="R29" s="3"/>
      <c r="S29" s="3"/>
    </row>
    <row r="30" customFormat="false" ht="15" hidden="false" customHeight="false" outlineLevel="0" collapsed="false">
      <c r="A30" s="2" t="s">
        <v>87</v>
      </c>
      <c r="B30" s="3"/>
      <c r="C30" s="3"/>
      <c r="D30" s="3"/>
      <c r="E30" s="3"/>
      <c r="F30" s="3"/>
      <c r="G30" s="3"/>
      <c r="H30" s="3"/>
      <c r="I30" s="3"/>
      <c r="J30" s="3"/>
      <c r="K30" s="3"/>
      <c r="L30" s="3"/>
      <c r="M30" s="3"/>
      <c r="N30" s="3"/>
      <c r="O30" s="3"/>
      <c r="P30" s="3"/>
      <c r="Q30" s="3"/>
      <c r="R30" s="3"/>
      <c r="S30" s="3"/>
    </row>
    <row r="31" customFormat="false" ht="15" hidden="false" customHeight="false" outlineLevel="0" collapsed="false">
      <c r="A31" s="2" t="s">
        <v>88</v>
      </c>
      <c r="B31" s="3"/>
      <c r="C31" s="3"/>
      <c r="D31" s="3"/>
      <c r="E31" s="3"/>
      <c r="F31" s="3"/>
      <c r="G31" s="3"/>
      <c r="H31" s="3"/>
      <c r="I31" s="3"/>
      <c r="J31" s="3"/>
      <c r="K31" s="3"/>
      <c r="L31" s="3"/>
      <c r="M31" s="3"/>
      <c r="N31" s="3"/>
      <c r="O31" s="3"/>
      <c r="P31" s="3"/>
      <c r="Q31" s="3"/>
      <c r="R31" s="3"/>
      <c r="S31" s="3"/>
    </row>
    <row r="32" customFormat="false" ht="15" hidden="false" customHeight="false" outlineLevel="0" collapsed="false">
      <c r="A32" s="2" t="s">
        <v>89</v>
      </c>
      <c r="B32" s="3"/>
      <c r="C32" s="3"/>
      <c r="D32" s="3"/>
      <c r="E32" s="3"/>
      <c r="F32" s="3"/>
      <c r="G32" s="3"/>
      <c r="H32" s="3"/>
      <c r="I32" s="3"/>
      <c r="J32" s="3"/>
      <c r="K32" s="3"/>
      <c r="L32" s="3"/>
      <c r="M32" s="3"/>
      <c r="N32" s="3"/>
      <c r="O32" s="3"/>
      <c r="P32" s="3"/>
      <c r="Q32" s="3"/>
      <c r="R32" s="3"/>
      <c r="S3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18"/>
    <col collapsed="false" customWidth="true" hidden="false" outlineLevel="0" max="4" min="4" style="0" width="34"/>
    <col collapsed="false" customWidth="true" hidden="false" outlineLevel="0" max="5" min="5" style="0" width="12"/>
    <col collapsed="false" customWidth="true" hidden="false" outlineLevel="0" max="6" min="6" style="0" width="52"/>
    <col collapsed="false" customWidth="true" hidden="false" outlineLevel="0" max="7" min="7" style="0" width="34"/>
    <col collapsed="false" customWidth="true" hidden="false" outlineLevel="0" max="8" min="8" style="0" width="13"/>
    <col collapsed="false" customWidth="true" hidden="false" outlineLevel="0" max="9" min="9" style="0" width="8"/>
    <col collapsed="false" customWidth="true" hidden="false" outlineLevel="0" max="11" min="10" style="0" width="10"/>
    <col collapsed="false" customWidth="true" hidden="false" outlineLevel="0" max="12" min="12" style="0" width="8"/>
    <col collapsed="false" customWidth="true" hidden="false" outlineLevel="0" max="17" min="13" style="0" width="9"/>
    <col collapsed="false" customWidth="true" hidden="false" outlineLevel="0" max="20" min="18" style="0" width="10"/>
    <col collapsed="false" customWidth="true" hidden="false" outlineLevel="0" max="21" min="21" style="0" width="11"/>
    <col collapsed="false" customWidth="true" hidden="false" outlineLevel="0" max="23" min="22" style="0" width="10"/>
    <col collapsed="false" customWidth="true" hidden="false" outlineLevel="0" max="24" min="24" style="0" width="8"/>
    <col collapsed="false" customWidth="true" hidden="false" outlineLevel="0" max="27" min="25" style="0" width="11"/>
    <col collapsed="false" customWidth="true" hidden="false" outlineLevel="0" max="28" min="28" style="0" width="12"/>
    <col collapsed="false" customWidth="true" hidden="false" outlineLevel="0" max="29" min="29" style="0" width="9"/>
    <col collapsed="false" customWidth="true" hidden="false" outlineLevel="0" max="30" min="30" style="0" width="10"/>
    <col collapsed="false" customWidth="true" hidden="false" outlineLevel="0" max="31" min="31" style="0" width="9"/>
    <col collapsed="false" customWidth="true" hidden="false" outlineLevel="0" max="32" min="32" style="0" width="12"/>
    <col collapsed="false" customWidth="true" hidden="false" outlineLevel="0" max="33" min="33" style="0" width="11"/>
    <col collapsed="false" customWidth="true" hidden="false" outlineLevel="0" max="34" min="34" style="0" width="14"/>
    <col collapsed="false" customWidth="true" hidden="false" outlineLevel="0" max="35" min="35" style="0" width="9"/>
    <col collapsed="false" customWidth="true" hidden="false" outlineLevel="0" max="36" min="36" style="0" width="70"/>
  </cols>
  <sheetData>
    <row r="1" customFormat="false" ht="17.35" hidden="false" customHeight="false" outlineLevel="0" collapsed="false">
      <c r="A1" s="1" t="s">
        <v>90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customFormat="false" ht="15" hidden="false" customHeight="false" outlineLevel="0" collapsed="false">
      <c r="A2" s="2" t="s">
        <v>91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row>
    <row r="4" customFormat="false" ht="31.5" hidden="false" customHeight="true" outlineLevel="0" collapsed="false">
      <c r="A4" s="7" t="s">
        <v>92</v>
      </c>
      <c r="B4" s="7" t="s">
        <v>93</v>
      </c>
      <c r="C4" s="7" t="s">
        <v>94</v>
      </c>
      <c r="D4" s="7" t="s">
        <v>95</v>
      </c>
      <c r="E4" s="7" t="s">
        <v>96</v>
      </c>
      <c r="F4" s="7" t="s">
        <v>97</v>
      </c>
      <c r="G4" s="7" t="s">
        <v>98</v>
      </c>
      <c r="H4" s="7" t="s">
        <v>99</v>
      </c>
      <c r="I4" s="7" t="s">
        <v>61</v>
      </c>
      <c r="J4" s="7" t="s">
        <v>100</v>
      </c>
      <c r="K4" s="7" t="s">
        <v>101</v>
      </c>
      <c r="L4" s="7" t="s">
        <v>102</v>
      </c>
      <c r="M4" s="7" t="s">
        <v>103</v>
      </c>
      <c r="N4" s="7" t="s">
        <v>104</v>
      </c>
      <c r="O4" s="7" t="s">
        <v>105</v>
      </c>
      <c r="P4" s="7" t="s">
        <v>106</v>
      </c>
      <c r="Q4" s="7" t="s">
        <v>107</v>
      </c>
      <c r="R4" s="7" t="s">
        <v>108</v>
      </c>
      <c r="S4" s="7" t="s">
        <v>109</v>
      </c>
      <c r="T4" s="7" t="s">
        <v>110</v>
      </c>
      <c r="U4" s="7" t="s">
        <v>111</v>
      </c>
      <c r="V4" s="7" t="s">
        <v>112</v>
      </c>
      <c r="W4" s="7" t="s">
        <v>113</v>
      </c>
      <c r="X4" s="7" t="s">
        <v>114</v>
      </c>
      <c r="Y4" s="7" t="s">
        <v>115</v>
      </c>
      <c r="Z4" s="7" t="s">
        <v>116</v>
      </c>
      <c r="AA4" s="7" t="s">
        <v>117</v>
      </c>
      <c r="AB4" s="7" t="s">
        <v>118</v>
      </c>
      <c r="AC4" s="7" t="s">
        <v>62</v>
      </c>
      <c r="AD4" s="7" t="s">
        <v>119</v>
      </c>
      <c r="AE4" s="7" t="s">
        <v>69</v>
      </c>
      <c r="AF4" s="7" t="s">
        <v>120</v>
      </c>
      <c r="AG4" s="7" t="s">
        <v>121</v>
      </c>
      <c r="AH4" s="7" t="s">
        <v>122</v>
      </c>
      <c r="AI4" s="7" t="s">
        <v>123</v>
      </c>
      <c r="AJ4" s="7" t="s">
        <v>124</v>
      </c>
    </row>
    <row r="5" customFormat="false" ht="23.85" hidden="false" customHeight="false" outlineLevel="0" collapsed="false">
      <c r="A5" s="25" t="n">
        <v>1</v>
      </c>
      <c r="B5" s="25" t="s">
        <v>125</v>
      </c>
      <c r="C5" s="26" t="s">
        <v>126</v>
      </c>
      <c r="D5" s="27" t="s">
        <v>127</v>
      </c>
      <c r="E5" s="25" t="s">
        <v>126</v>
      </c>
      <c r="F5" s="27" t="s">
        <v>128</v>
      </c>
      <c r="G5" s="25" t="s">
        <v>129</v>
      </c>
      <c r="H5" s="25" t="s">
        <v>130</v>
      </c>
      <c r="I5" s="25" t="s">
        <v>82</v>
      </c>
      <c r="J5" s="28" t="n">
        <v>7904</v>
      </c>
      <c r="K5" s="28" t="n">
        <v>41329</v>
      </c>
      <c r="L5" s="25" t="s">
        <v>131</v>
      </c>
      <c r="M5" s="25" t="n">
        <v>4</v>
      </c>
      <c r="N5" s="29" t="n">
        <v>0.451</v>
      </c>
      <c r="O5" s="25" t="n">
        <v>45</v>
      </c>
      <c r="P5" s="25" t="n">
        <v>110</v>
      </c>
      <c r="Q5" s="25" t="n">
        <v>2552</v>
      </c>
      <c r="R5" s="30" t="n">
        <v>2.24</v>
      </c>
      <c r="S5" s="31" t="n">
        <v>0.1187</v>
      </c>
      <c r="T5" s="31" t="n">
        <v>0.289</v>
      </c>
      <c r="U5" s="32" t="n">
        <f aca="false">IF(R5="",Economics!$B$10,MAX(Economics!$B$12,R5*Economics!$B$11))</f>
        <v>2.8</v>
      </c>
      <c r="V5" s="33" t="n">
        <v>0.0175</v>
      </c>
      <c r="W5" s="34" t="n">
        <f aca="false">IF(C5="Ranking",J5/7*V5*Economics!$B$13,0)</f>
        <v>1.5808</v>
      </c>
      <c r="X5" s="31" t="n">
        <f aca="false">Economics!$B$5</f>
        <v>0.09</v>
      </c>
      <c r="Y5" s="35" t="n">
        <f aca="false">Economics!$B$15/Economics!$B$16</f>
        <v>3.57142857142857</v>
      </c>
      <c r="Z5" s="36" t="n">
        <f aca="false">MAX(Economics!$B$17,Y5*U5)</f>
        <v>10</v>
      </c>
      <c r="AA5" s="35" t="n">
        <f aca="false">IF(C5="Ranking",MAX(W5/X5,Economics!$B$15/Economics!$B$16),Economics!$B$15/Economics!$B$16)</f>
        <v>17.5644444444444</v>
      </c>
      <c r="AB5" s="36" t="n">
        <f aca="false">MAX(Economics!$B$17,AA5*U5)</f>
        <v>49.1804444444445</v>
      </c>
      <c r="AC5" s="32" t="n">
        <f aca="false">INDEX(Economics!$B$22:$B$26,MATCH(I5,Economics!$A$22:$A$26,0))</f>
        <v>79.99</v>
      </c>
      <c r="AD5" s="31" t="n">
        <f aca="false">U5/(AC5*X5)</f>
        <v>0.388937506077149</v>
      </c>
      <c r="AE5" s="31" t="n">
        <f aca="false">INDEX(Economics!$I$22:$I$26,MATCH(I5,Economics!$A$22:$A$26,0))</f>
        <v>0.376440805100638</v>
      </c>
      <c r="AF5" s="36" t="n">
        <f aca="false">MAX(0,(AD5-AE5)*AA5*7*X5*AC5)</f>
        <v>11.0612967111111</v>
      </c>
      <c r="AG5" s="32" t="n">
        <f aca="false">INDEX(Economics!$L$22:$L$26,MATCH(I5,Economics!$A$22:$A$26,0))</f>
        <v>2.710035</v>
      </c>
      <c r="AH5" s="37" t="str">
        <f aca="false">IF(U5/AG5&lt;=0.8,"SAFE",IF(U5/AG5&lt;=1,"AT-CEILING",IF(U5/AG5&lt;=1.5,"PUSH-ONLY","UNJUSTIFIABLE")))</f>
        <v>PUSH-ONLY</v>
      </c>
      <c r="AI5" s="38" t="n">
        <v>10</v>
      </c>
      <c r="AJ5" s="27" t="s">
        <v>132</v>
      </c>
    </row>
    <row r="6" customFormat="false" ht="23.85" hidden="false" customHeight="false" outlineLevel="0" collapsed="false">
      <c r="A6" s="25" t="n">
        <v>2</v>
      </c>
      <c r="B6" s="25" t="s">
        <v>133</v>
      </c>
      <c r="C6" s="26" t="s">
        <v>126</v>
      </c>
      <c r="D6" s="27" t="s">
        <v>134</v>
      </c>
      <c r="E6" s="25" t="s">
        <v>126</v>
      </c>
      <c r="F6" s="27" t="s">
        <v>135</v>
      </c>
      <c r="G6" s="25" t="s">
        <v>129</v>
      </c>
      <c r="H6" s="25" t="s">
        <v>130</v>
      </c>
      <c r="I6" s="25" t="s">
        <v>82</v>
      </c>
      <c r="J6" s="28" t="n">
        <v>1212</v>
      </c>
      <c r="K6" s="28" t="n">
        <v>7935</v>
      </c>
      <c r="L6" s="25" t="s">
        <v>136</v>
      </c>
      <c r="M6" s="25" t="n">
        <v>2</v>
      </c>
      <c r="N6" s="29" t="n">
        <v>0.365</v>
      </c>
      <c r="O6" s="25" t="n">
        <v>69</v>
      </c>
      <c r="P6" s="25" t="n">
        <v>127</v>
      </c>
      <c r="Q6" s="25" t="n">
        <v>55</v>
      </c>
      <c r="R6" s="30" t="n">
        <v>2.42</v>
      </c>
      <c r="S6" s="31" t="n">
        <v>0.0909</v>
      </c>
      <c r="T6" s="31" t="n">
        <v>0.37</v>
      </c>
      <c r="U6" s="32" t="n">
        <f aca="false">IF(R6="",Economics!$B$10,MAX(Economics!$B$12,R6*Economics!$B$11))</f>
        <v>3.025</v>
      </c>
      <c r="V6" s="33" t="n">
        <v>0.0307</v>
      </c>
      <c r="W6" s="34" t="n">
        <f aca="false">IF(C6="Ranking",J6/7*V6*Economics!$B$13,0)</f>
        <v>0.425238857142857</v>
      </c>
      <c r="X6" s="31" t="n">
        <f aca="false">Economics!$B$5</f>
        <v>0.09</v>
      </c>
      <c r="Y6" s="35" t="n">
        <f aca="false">Economics!$B$15/Economics!$B$16</f>
        <v>3.57142857142857</v>
      </c>
      <c r="Z6" s="36" t="n">
        <f aca="false">MAX(Economics!$B$17,Y6*U6)</f>
        <v>10.8035714285714</v>
      </c>
      <c r="AA6" s="35" t="n">
        <f aca="false">IF(C6="Ranking",MAX(W6/X6,Economics!$B$15/Economics!$B$16),Economics!$B$15/Economics!$B$16)</f>
        <v>4.72487619047619</v>
      </c>
      <c r="AB6" s="36" t="n">
        <f aca="false">MAX(Economics!$B$17,AA6*U6)</f>
        <v>14.2927504761905</v>
      </c>
      <c r="AC6" s="32" t="n">
        <f aca="false">INDEX(Economics!$B$22:$B$26,MATCH(I6,Economics!$A$22:$A$26,0))</f>
        <v>79.99</v>
      </c>
      <c r="AD6" s="31" t="n">
        <f aca="false">U6/(AC6*X6)</f>
        <v>0.420191412815491</v>
      </c>
      <c r="AE6" s="31" t="n">
        <f aca="false">INDEX(Economics!$I$22:$I$26,MATCH(I6,Economics!$A$22:$A$26,0))</f>
        <v>0.376440805100638</v>
      </c>
      <c r="AF6" s="36" t="n">
        <f aca="false">MAX(0,(AD6-AE6)*AA6*7*X6*AC6)</f>
        <v>10.4171944053333</v>
      </c>
      <c r="AG6" s="32" t="n">
        <f aca="false">INDEX(Economics!$L$22:$L$26,MATCH(I6,Economics!$A$22:$A$26,0))</f>
        <v>2.710035</v>
      </c>
      <c r="AH6" s="37" t="str">
        <f aca="false">IF(U6/AG6&lt;=0.8,"SAFE",IF(U6/AG6&lt;=1,"AT-CEILING",IF(U6/AG6&lt;=1.5,"PUSH-ONLY","UNJUSTIFIABLE")))</f>
        <v>PUSH-ONLY</v>
      </c>
      <c r="AI6" s="38" t="n">
        <v>10</v>
      </c>
      <c r="AJ6" s="27" t="s">
        <v>137</v>
      </c>
    </row>
    <row r="7" customFormat="false" ht="23.85" hidden="false" customHeight="false" outlineLevel="0" collapsed="false">
      <c r="A7" s="25" t="n">
        <v>3</v>
      </c>
      <c r="B7" s="25" t="s">
        <v>138</v>
      </c>
      <c r="C7" s="26" t="s">
        <v>126</v>
      </c>
      <c r="D7" s="27" t="s">
        <v>139</v>
      </c>
      <c r="E7" s="25" t="s">
        <v>126</v>
      </c>
      <c r="F7" s="27" t="s">
        <v>140</v>
      </c>
      <c r="G7" s="25" t="s">
        <v>129</v>
      </c>
      <c r="H7" s="25" t="s">
        <v>130</v>
      </c>
      <c r="I7" s="25" t="s">
        <v>82</v>
      </c>
      <c r="J7" s="28" t="n">
        <v>1127</v>
      </c>
      <c r="K7" s="28" t="n">
        <v>6994</v>
      </c>
      <c r="L7" s="25" t="s">
        <v>136</v>
      </c>
      <c r="M7" s="25" t="n">
        <v>2</v>
      </c>
      <c r="N7" s="29" t="n">
        <v>0.367</v>
      </c>
      <c r="O7" s="25" t="n">
        <v>45</v>
      </c>
      <c r="P7" s="25" t="n">
        <v>130</v>
      </c>
      <c r="Q7" s="25" t="n">
        <v>78</v>
      </c>
      <c r="R7" s="30" t="n">
        <v>2.38</v>
      </c>
      <c r="S7" s="31" t="n">
        <v>0.1282</v>
      </c>
      <c r="T7" s="31" t="n">
        <v>0.23</v>
      </c>
      <c r="U7" s="32" t="n">
        <f aca="false">IF(R7="",Economics!$B$10,MAX(Economics!$B$12,R7*Economics!$B$11))</f>
        <v>2.975</v>
      </c>
      <c r="V7" s="33" t="n">
        <v>0.0288</v>
      </c>
      <c r="W7" s="34" t="n">
        <f aca="false">IF(C7="Ranking",J7/7*V7*Economics!$B$13,0)</f>
        <v>0.370944</v>
      </c>
      <c r="X7" s="31" t="n">
        <f aca="false">Economics!$B$5</f>
        <v>0.09</v>
      </c>
      <c r="Y7" s="35" t="n">
        <f aca="false">Economics!$B$15/Economics!$B$16</f>
        <v>3.57142857142857</v>
      </c>
      <c r="Z7" s="36" t="n">
        <f aca="false">MAX(Economics!$B$17,Y7*U7)</f>
        <v>10.625</v>
      </c>
      <c r="AA7" s="35" t="n">
        <f aca="false">IF(C7="Ranking",MAX(W7/X7,Economics!$B$15/Economics!$B$16),Economics!$B$15/Economics!$B$16)</f>
        <v>4.1216</v>
      </c>
      <c r="AB7" s="36" t="n">
        <f aca="false">MAX(Economics!$B$17,AA7*U7)</f>
        <v>12.26176</v>
      </c>
      <c r="AC7" s="32" t="n">
        <f aca="false">INDEX(Economics!$B$22:$B$26,MATCH(I7,Economics!$A$22:$A$26,0))</f>
        <v>79.99</v>
      </c>
      <c r="AD7" s="31" t="n">
        <f aca="false">U7/(AC7*X7)</f>
        <v>0.41324610020697</v>
      </c>
      <c r="AE7" s="31" t="n">
        <f aca="false">INDEX(Economics!$I$22:$I$26,MATCH(I7,Economics!$A$22:$A$26,0))</f>
        <v>0.376440805100638</v>
      </c>
      <c r="AF7" s="36" t="n">
        <f aca="false">MAX(0,(AD7-AE7)*AA7*7*X7*AC7)</f>
        <v>7.64455820799996</v>
      </c>
      <c r="AG7" s="32" t="n">
        <f aca="false">INDEX(Economics!$L$22:$L$26,MATCH(I7,Economics!$A$22:$A$26,0))</f>
        <v>2.710035</v>
      </c>
      <c r="AH7" s="37" t="str">
        <f aca="false">IF(U7/AG7&lt;=0.8,"SAFE",IF(U7/AG7&lt;=1,"AT-CEILING",IF(U7/AG7&lt;=1.5,"PUSH-ONLY","UNJUSTIFIABLE")))</f>
        <v>PUSH-ONLY</v>
      </c>
      <c r="AI7" s="38" t="n">
        <v>10</v>
      </c>
      <c r="AJ7" s="27" t="s">
        <v>141</v>
      </c>
    </row>
    <row r="8" customFormat="false" ht="23.85" hidden="false" customHeight="false" outlineLevel="0" collapsed="false">
      <c r="A8" s="25" t="n">
        <v>4</v>
      </c>
      <c r="B8" s="25" t="s">
        <v>142</v>
      </c>
      <c r="C8" s="26" t="s">
        <v>126</v>
      </c>
      <c r="D8" s="27" t="s">
        <v>143</v>
      </c>
      <c r="E8" s="25" t="s">
        <v>126</v>
      </c>
      <c r="F8" s="27" t="s">
        <v>144</v>
      </c>
      <c r="G8" s="25" t="s">
        <v>129</v>
      </c>
      <c r="H8" s="25" t="s">
        <v>130</v>
      </c>
      <c r="I8" s="25" t="s">
        <v>82</v>
      </c>
      <c r="J8" s="28" t="n">
        <v>598</v>
      </c>
      <c r="K8" s="28" t="n">
        <v>4766</v>
      </c>
      <c r="L8" s="25" t="s">
        <v>136</v>
      </c>
      <c r="M8" s="25" t="n">
        <v>4</v>
      </c>
      <c r="N8" s="29" t="n">
        <v>0.305</v>
      </c>
      <c r="O8" s="25" t="n">
        <v>18</v>
      </c>
      <c r="P8" s="25" t="n">
        <v>140</v>
      </c>
      <c r="Q8" s="25" t="n">
        <v>86</v>
      </c>
      <c r="R8" s="30" t="n">
        <v>1.96</v>
      </c>
      <c r="S8" s="31" t="n">
        <v>0.0465</v>
      </c>
      <c r="T8" s="31" t="n">
        <v>0.569</v>
      </c>
      <c r="U8" s="32" t="n">
        <f aca="false">IF(R8="",Economics!$B$10,MAX(Economics!$B$12,R8*Economics!$B$11))</f>
        <v>2.45</v>
      </c>
      <c r="V8" s="33" t="n">
        <v>0.0156</v>
      </c>
      <c r="W8" s="34" t="n">
        <f aca="false">IF(C8="Ranking",J8/7*V8*Economics!$B$13,0)</f>
        <v>0.106614857142857</v>
      </c>
      <c r="X8" s="31" t="n">
        <f aca="false">Economics!$B$5</f>
        <v>0.09</v>
      </c>
      <c r="Y8" s="35" t="n">
        <f aca="false">Economics!$B$15/Economics!$B$16</f>
        <v>3.57142857142857</v>
      </c>
      <c r="Z8" s="36" t="n">
        <f aca="false">MAX(Economics!$B$17,Y8*U8)</f>
        <v>10</v>
      </c>
      <c r="AA8" s="35" t="n">
        <f aca="false">IF(C8="Ranking",MAX(W8/X8,Economics!$B$15/Economics!$B$16),Economics!$B$15/Economics!$B$16)</f>
        <v>3.57142857142857</v>
      </c>
      <c r="AB8" s="36" t="n">
        <f aca="false">MAX(Economics!$B$17,AA8*U8)</f>
        <v>10</v>
      </c>
      <c r="AC8" s="32" t="n">
        <f aca="false">INDEX(Economics!$B$22:$B$26,MATCH(I8,Economics!$A$22:$A$26,0))</f>
        <v>79.99</v>
      </c>
      <c r="AD8" s="31" t="n">
        <f aca="false">U8/(AC8*X8)</f>
        <v>0.340320317817505</v>
      </c>
      <c r="AE8" s="31" t="n">
        <f aca="false">INDEX(Economics!$I$22:$I$26,MATCH(I8,Economics!$A$22:$A$26,0))</f>
        <v>0.376440805100638</v>
      </c>
      <c r="AF8" s="36" t="n">
        <f aca="false">MAX(0,(AD8-AE8)*AA8*7*X8*AC8)</f>
        <v>0</v>
      </c>
      <c r="AG8" s="32" t="n">
        <f aca="false">INDEX(Economics!$L$22:$L$26,MATCH(I8,Economics!$A$22:$A$26,0))</f>
        <v>2.710035</v>
      </c>
      <c r="AH8" s="37" t="str">
        <f aca="false">IF(U8/AG8&lt;=0.8,"SAFE",IF(U8/AG8&lt;=1,"AT-CEILING",IF(U8/AG8&lt;=1.5,"PUSH-ONLY","UNJUSTIFIABLE")))</f>
        <v>AT-CEILING</v>
      </c>
      <c r="AI8" s="38" t="n">
        <v>15</v>
      </c>
      <c r="AJ8" s="27" t="s">
        <v>145</v>
      </c>
    </row>
    <row r="9" customFormat="false" ht="23.85" hidden="false" customHeight="false" outlineLevel="0" collapsed="false">
      <c r="A9" s="25" t="n">
        <v>5</v>
      </c>
      <c r="B9" s="25" t="s">
        <v>146</v>
      </c>
      <c r="C9" s="26" t="s">
        <v>126</v>
      </c>
      <c r="D9" s="27" t="s">
        <v>147</v>
      </c>
      <c r="E9" s="25" t="s">
        <v>126</v>
      </c>
      <c r="F9" s="27" t="s">
        <v>148</v>
      </c>
      <c r="G9" s="25" t="s">
        <v>129</v>
      </c>
      <c r="H9" s="25" t="s">
        <v>130</v>
      </c>
      <c r="I9" s="25" t="s">
        <v>82</v>
      </c>
      <c r="J9" s="28" t="n">
        <v>572</v>
      </c>
      <c r="K9" s="28" t="n">
        <v>3107</v>
      </c>
      <c r="L9" s="25" t="s">
        <v>136</v>
      </c>
      <c r="M9" s="25" t="n">
        <v>2</v>
      </c>
      <c r="N9" s="29" t="n">
        <v>0.349</v>
      </c>
      <c r="O9" s="25" t="n">
        <v>48</v>
      </c>
      <c r="P9" s="25" t="n">
        <v>142</v>
      </c>
      <c r="Q9" s="25" t="n">
        <v>37</v>
      </c>
      <c r="R9" s="30" t="n">
        <v>3.05</v>
      </c>
      <c r="S9" s="31" t="n">
        <v>0.027</v>
      </c>
      <c r="T9" s="31" t="n">
        <v>1.413</v>
      </c>
      <c r="U9" s="32" t="n">
        <f aca="false">IF(R9="",Economics!$B$10,MAX(Economics!$B$12,R9*Economics!$B$11))</f>
        <v>3.8125</v>
      </c>
      <c r="V9" s="33" t="n">
        <v>0.0275</v>
      </c>
      <c r="W9" s="34" t="n">
        <f aca="false">IF(C9="Ranking",J9/7*V9*Economics!$B$13,0)</f>
        <v>0.179771428571429</v>
      </c>
      <c r="X9" s="31" t="n">
        <f aca="false">Economics!$B$5</f>
        <v>0.09</v>
      </c>
      <c r="Y9" s="35" t="n">
        <f aca="false">Economics!$B$15/Economics!$B$16</f>
        <v>3.57142857142857</v>
      </c>
      <c r="Z9" s="36" t="n">
        <f aca="false">MAX(Economics!$B$17,Y9*U9)</f>
        <v>13.6160714285714</v>
      </c>
      <c r="AA9" s="35" t="n">
        <f aca="false">IF(C9="Ranking",MAX(W9/X9,Economics!$B$15/Economics!$B$16),Economics!$B$15/Economics!$B$16)</f>
        <v>3.57142857142857</v>
      </c>
      <c r="AB9" s="36" t="n">
        <f aca="false">MAX(Economics!$B$17,AA9*U9)</f>
        <v>13.6160714285714</v>
      </c>
      <c r="AC9" s="32" t="n">
        <f aca="false">INDEX(Economics!$B$22:$B$26,MATCH(I9,Economics!$A$22:$A$26,0))</f>
        <v>79.99</v>
      </c>
      <c r="AD9" s="31" t="n">
        <f aca="false">U9/(AC9*X9)</f>
        <v>0.529580086399689</v>
      </c>
      <c r="AE9" s="31" t="n">
        <f aca="false">INDEX(Economics!$I$22:$I$26,MATCH(I9,Economics!$A$22:$A$26,0))</f>
        <v>0.376440805100638</v>
      </c>
      <c r="AF9" s="36" t="n">
        <f aca="false">MAX(0,(AD9-AE9)*AA9*7*X9*AC9)</f>
        <v>27.561625</v>
      </c>
      <c r="AG9" s="32" t="n">
        <f aca="false">INDEX(Economics!$L$22:$L$26,MATCH(I9,Economics!$A$22:$A$26,0))</f>
        <v>2.710035</v>
      </c>
      <c r="AH9" s="37" t="str">
        <f aca="false">IF(U9/AG9&lt;=0.8,"SAFE",IF(U9/AG9&lt;=1,"AT-CEILING",IF(U9/AG9&lt;=1.5,"PUSH-ONLY","UNJUSTIFIABLE")))</f>
        <v>PUSH-ONLY</v>
      </c>
      <c r="AI9" s="38" t="n">
        <v>15</v>
      </c>
      <c r="AJ9" s="27" t="s">
        <v>149</v>
      </c>
    </row>
    <row r="10" customFormat="false" ht="23.85" hidden="false" customHeight="false" outlineLevel="0" collapsed="false">
      <c r="A10" s="25" t="n">
        <v>6</v>
      </c>
      <c r="B10" s="25" t="s">
        <v>150</v>
      </c>
      <c r="C10" s="26" t="s">
        <v>126</v>
      </c>
      <c r="D10" s="27" t="s">
        <v>151</v>
      </c>
      <c r="E10" s="25" t="s">
        <v>126</v>
      </c>
      <c r="F10" s="27" t="s">
        <v>152</v>
      </c>
      <c r="G10" s="25" t="s">
        <v>129</v>
      </c>
      <c r="H10" s="25" t="s">
        <v>130</v>
      </c>
      <c r="I10" s="25" t="s">
        <v>82</v>
      </c>
      <c r="J10" s="28" t="n">
        <v>592</v>
      </c>
      <c r="K10" s="28" t="n">
        <v>3027</v>
      </c>
      <c r="L10" s="25" t="s">
        <v>136</v>
      </c>
      <c r="M10" s="25" t="n">
        <v>2</v>
      </c>
      <c r="N10" s="29" t="n">
        <v>0.311</v>
      </c>
      <c r="O10" s="25" t="n">
        <v>24</v>
      </c>
      <c r="P10" s="25" t="n">
        <v>124</v>
      </c>
      <c r="Q10" s="25" t="n">
        <v>234</v>
      </c>
      <c r="R10" s="30" t="n">
        <v>2.95</v>
      </c>
      <c r="S10" s="31" t="n">
        <v>0.1111</v>
      </c>
      <c r="T10" s="31" t="n">
        <v>0.38</v>
      </c>
      <c r="U10" s="32" t="n">
        <f aca="false">IF(R10="",Economics!$B$10,MAX(Economics!$B$12,R10*Economics!$B$11))</f>
        <v>3.6875</v>
      </c>
      <c r="V10" s="33" t="n">
        <v>0.0186</v>
      </c>
      <c r="W10" s="34" t="n">
        <f aca="false">IF(C10="Ranking",J10/7*V10*Economics!$B$13,0)</f>
        <v>0.125842285714286</v>
      </c>
      <c r="X10" s="31" t="n">
        <f aca="false">Economics!$B$5</f>
        <v>0.09</v>
      </c>
      <c r="Y10" s="35" t="n">
        <f aca="false">Economics!$B$15/Economics!$B$16</f>
        <v>3.57142857142857</v>
      </c>
      <c r="Z10" s="36" t="n">
        <f aca="false">MAX(Economics!$B$17,Y10*U10)</f>
        <v>13.1696428571429</v>
      </c>
      <c r="AA10" s="35" t="n">
        <f aca="false">IF(C10="Ranking",MAX(W10/X10,Economics!$B$15/Economics!$B$16),Economics!$B$15/Economics!$B$16)</f>
        <v>3.57142857142857</v>
      </c>
      <c r="AB10" s="36" t="n">
        <f aca="false">MAX(Economics!$B$17,AA10*U10)</f>
        <v>13.1696428571429</v>
      </c>
      <c r="AC10" s="32" t="n">
        <f aca="false">INDEX(Economics!$B$22:$B$26,MATCH(I10,Economics!$A$22:$A$26,0))</f>
        <v>79.99</v>
      </c>
      <c r="AD10" s="31" t="n">
        <f aca="false">U10/(AC10*X10)</f>
        <v>0.512216804878388</v>
      </c>
      <c r="AE10" s="31" t="n">
        <f aca="false">INDEX(Economics!$I$22:$I$26,MATCH(I10,Economics!$A$22:$A$26,0))</f>
        <v>0.376440805100638</v>
      </c>
      <c r="AF10" s="36" t="n">
        <f aca="false">MAX(0,(AD10-AE10)*AA10*7*X10*AC10)</f>
        <v>24.436625</v>
      </c>
      <c r="AG10" s="32" t="n">
        <f aca="false">INDEX(Economics!$L$22:$L$26,MATCH(I10,Economics!$A$22:$A$26,0))</f>
        <v>2.710035</v>
      </c>
      <c r="AH10" s="37" t="str">
        <f aca="false">IF(U10/AG10&lt;=0.8,"SAFE",IF(U10/AG10&lt;=1,"AT-CEILING",IF(U10/AG10&lt;=1.5,"PUSH-ONLY","UNJUSTIFIABLE")))</f>
        <v>PUSH-ONLY</v>
      </c>
      <c r="AI10" s="38" t="n">
        <v>15</v>
      </c>
      <c r="AJ10" s="27" t="s">
        <v>153</v>
      </c>
    </row>
    <row r="11" customFormat="false" ht="23.85" hidden="false" customHeight="false" outlineLevel="0" collapsed="false">
      <c r="A11" s="25" t="n">
        <v>7</v>
      </c>
      <c r="B11" s="25" t="s">
        <v>154</v>
      </c>
      <c r="C11" s="39" t="s">
        <v>155</v>
      </c>
      <c r="D11" s="27" t="s">
        <v>156</v>
      </c>
      <c r="E11" s="25" t="s">
        <v>157</v>
      </c>
      <c r="F11" s="27" t="s">
        <v>158</v>
      </c>
      <c r="G11" s="25" t="s">
        <v>129</v>
      </c>
      <c r="H11" s="25" t="s">
        <v>130</v>
      </c>
      <c r="I11" s="25" t="s">
        <v>82</v>
      </c>
      <c r="J11" s="28" t="n">
        <v>337</v>
      </c>
      <c r="K11" s="28" t="n">
        <v>3289</v>
      </c>
      <c r="L11" s="25" t="s">
        <v>136</v>
      </c>
      <c r="M11" s="25" t="n">
        <v>3</v>
      </c>
      <c r="N11" s="29" t="n">
        <v>0.415</v>
      </c>
      <c r="O11" s="25" t="n">
        <v>38</v>
      </c>
      <c r="P11" s="25" t="n">
        <v>135</v>
      </c>
      <c r="Q11" s="25" t="n">
        <v>61</v>
      </c>
      <c r="R11" s="30" t="n">
        <v>2.35</v>
      </c>
      <c r="S11" s="31" t="n">
        <v>0.0984</v>
      </c>
      <c r="T11" s="31" t="n">
        <v>0.302</v>
      </c>
      <c r="U11" s="32" t="n">
        <f aca="false">IF(R11="",Economics!$B$10,MAX(Economics!$B$12,R11*Economics!$B$11))</f>
        <v>2.9375</v>
      </c>
      <c r="V11" s="33" t="n">
        <v>0.0066</v>
      </c>
      <c r="W11" s="34" t="n">
        <f aca="false">IF(C11="Ranking",J11/7*V11*Economics!$B$13,0)</f>
        <v>0</v>
      </c>
      <c r="X11" s="31" t="n">
        <f aca="false">Economics!$B$5</f>
        <v>0.09</v>
      </c>
      <c r="Y11" s="35" t="n">
        <f aca="false">Economics!$B$15/Economics!$B$16</f>
        <v>3.57142857142857</v>
      </c>
      <c r="Z11" s="36" t="n">
        <f aca="false">MAX(Economics!$B$17,Y11*U11)</f>
        <v>10.4910714285714</v>
      </c>
      <c r="AA11" s="35" t="n">
        <f aca="false">IF(C11="Ranking",MAX(W11/X11,Economics!$B$15/Economics!$B$16),Economics!$B$15/Economics!$B$16)</f>
        <v>3.57142857142857</v>
      </c>
      <c r="AB11" s="36" t="n">
        <f aca="false">MAX(Economics!$B$17,AA11*U11)</f>
        <v>10.4910714285714</v>
      </c>
      <c r="AC11" s="32" t="n">
        <f aca="false">INDEX(Economics!$B$22:$B$26,MATCH(I11,Economics!$A$22:$A$26,0))</f>
        <v>79.99</v>
      </c>
      <c r="AD11" s="31" t="n">
        <f aca="false">U11/(AC11*X11)</f>
        <v>0.40803711575058</v>
      </c>
      <c r="AE11" s="31" t="n">
        <f aca="false">INDEX(Economics!$I$22:$I$26,MATCH(I11,Economics!$A$22:$A$26,0))</f>
        <v>0.376440805100638</v>
      </c>
      <c r="AF11" s="36" t="n">
        <f aca="false">MAX(0,(AD11-AE11)*AA11*7*X11*AC11)</f>
        <v>5.68662499999998</v>
      </c>
      <c r="AG11" s="32" t="n">
        <f aca="false">INDEX(Economics!$L$22:$L$26,MATCH(I11,Economics!$A$22:$A$26,0))</f>
        <v>2.710035</v>
      </c>
      <c r="AH11" s="37" t="str">
        <f aca="false">IF(U11/AG11&lt;=0.8,"SAFE",IF(U11/AG11&lt;=1,"AT-CEILING",IF(U11/AG11&lt;=1.5,"PUSH-ONLY","UNJUSTIFIABLE")))</f>
        <v>PUSH-ONLY</v>
      </c>
      <c r="AI11" s="38" t="n">
        <v>20</v>
      </c>
      <c r="AJ11" s="27" t="s">
        <v>159</v>
      </c>
    </row>
    <row r="12" customFormat="false" ht="23.85" hidden="false" customHeight="false" outlineLevel="0" collapsed="false">
      <c r="A12" s="25" t="n">
        <v>8</v>
      </c>
      <c r="B12" s="25" t="s">
        <v>160</v>
      </c>
      <c r="C12" s="39" t="s">
        <v>155</v>
      </c>
      <c r="D12" s="27" t="s">
        <v>161</v>
      </c>
      <c r="E12" s="25" t="s">
        <v>157</v>
      </c>
      <c r="F12" s="27" t="s">
        <v>162</v>
      </c>
      <c r="G12" s="25" t="s">
        <v>129</v>
      </c>
      <c r="H12" s="25" t="s">
        <v>130</v>
      </c>
      <c r="I12" s="25" t="s">
        <v>82</v>
      </c>
      <c r="J12" s="28" t="n">
        <v>259</v>
      </c>
      <c r="K12" s="28" t="n">
        <v>2716</v>
      </c>
      <c r="L12" s="25" t="s">
        <v>136</v>
      </c>
      <c r="M12" s="25" t="n">
        <v>4</v>
      </c>
      <c r="N12" s="29" t="n">
        <v>0.253</v>
      </c>
      <c r="O12" s="25" t="n">
        <v>34</v>
      </c>
      <c r="P12" s="25" t="n">
        <v>140</v>
      </c>
      <c r="Q12" s="25" t="n">
        <v>211</v>
      </c>
      <c r="R12" s="30" t="n">
        <v>1.32</v>
      </c>
      <c r="S12" s="31" t="n">
        <v>0.0521</v>
      </c>
      <c r="T12" s="31" t="n">
        <v>0.373</v>
      </c>
      <c r="U12" s="32" t="n">
        <f aca="false">IF(R12="",Economics!$B$10,MAX(Economics!$B$12,R12*Economics!$B$11))</f>
        <v>1.65</v>
      </c>
      <c r="V12" s="33" t="n">
        <v>0.0056</v>
      </c>
      <c r="W12" s="34" t="n">
        <f aca="false">IF(C12="Ranking",J12/7*V12*Economics!$B$13,0)</f>
        <v>0</v>
      </c>
      <c r="X12" s="31" t="n">
        <f aca="false">Economics!$B$5</f>
        <v>0.09</v>
      </c>
      <c r="Y12" s="35" t="n">
        <f aca="false">Economics!$B$15/Economics!$B$16</f>
        <v>3.57142857142857</v>
      </c>
      <c r="Z12" s="36" t="n">
        <f aca="false">MAX(Economics!$B$17,Y12*U12)</f>
        <v>10</v>
      </c>
      <c r="AA12" s="35" t="n">
        <f aca="false">IF(C12="Ranking",MAX(W12/X12,Economics!$B$15/Economics!$B$16),Economics!$B$15/Economics!$B$16)</f>
        <v>3.57142857142857</v>
      </c>
      <c r="AB12" s="36" t="n">
        <f aca="false">MAX(Economics!$B$17,AA12*U12)</f>
        <v>10</v>
      </c>
      <c r="AC12" s="32" t="n">
        <f aca="false">INDEX(Economics!$B$22:$B$26,MATCH(I12,Economics!$A$22:$A$26,0))</f>
        <v>79.99</v>
      </c>
      <c r="AD12" s="31" t="n">
        <f aca="false">U12/(AC12*X12)</f>
        <v>0.229195316081177</v>
      </c>
      <c r="AE12" s="31" t="n">
        <f aca="false">INDEX(Economics!$I$22:$I$26,MATCH(I12,Economics!$A$22:$A$26,0))</f>
        <v>0.376440805100638</v>
      </c>
      <c r="AF12" s="36" t="n">
        <f aca="false">MAX(0,(AD12-AE12)*AA12*7*X12*AC12)</f>
        <v>0</v>
      </c>
      <c r="AG12" s="32" t="n">
        <f aca="false">INDEX(Economics!$L$22:$L$26,MATCH(I12,Economics!$A$22:$A$26,0))</f>
        <v>2.710035</v>
      </c>
      <c r="AH12" s="37" t="str">
        <f aca="false">IF(U12/AG12&lt;=0.8,"SAFE",IF(U12/AG12&lt;=1,"AT-CEILING",IF(U12/AG12&lt;=1.5,"PUSH-ONLY","UNJUSTIFIABLE")))</f>
        <v>SAFE</v>
      </c>
      <c r="AI12" s="38" t="n">
        <v>20</v>
      </c>
      <c r="AJ12" s="27" t="s">
        <v>163</v>
      </c>
    </row>
    <row r="13" customFormat="false" ht="15" hidden="false" customHeight="false" outlineLevel="0" collapsed="false">
      <c r="A13" s="25" t="n">
        <v>9</v>
      </c>
      <c r="B13" s="25" t="s">
        <v>164</v>
      </c>
      <c r="C13" s="39" t="s">
        <v>155</v>
      </c>
      <c r="D13" s="27" t="s">
        <v>165</v>
      </c>
      <c r="E13" s="25" t="s">
        <v>157</v>
      </c>
      <c r="F13" s="27" t="s">
        <v>166</v>
      </c>
      <c r="G13" s="25" t="s">
        <v>129</v>
      </c>
      <c r="H13" s="25" t="s">
        <v>130</v>
      </c>
      <c r="I13" s="25" t="s">
        <v>82</v>
      </c>
      <c r="J13" s="28" t="n">
        <v>494</v>
      </c>
      <c r="K13" s="28" t="n">
        <v>4862</v>
      </c>
      <c r="L13" s="25" t="s">
        <v>136</v>
      </c>
      <c r="M13" s="25" t="n">
        <v>0</v>
      </c>
      <c r="N13" s="29" t="n">
        <v>0.406</v>
      </c>
      <c r="O13" s="25" t="s">
        <v>167</v>
      </c>
      <c r="P13" s="25" t="s">
        <v>167</v>
      </c>
      <c r="Q13" s="25" t="n">
        <v>2</v>
      </c>
      <c r="R13" s="30"/>
      <c r="S13" s="31"/>
      <c r="T13" s="31"/>
      <c r="U13" s="32" t="n">
        <f aca="false">IF(R13="",Economics!$B$10,MAX(Economics!$B$12,R13*Economics!$B$11))</f>
        <v>2.8</v>
      </c>
      <c r="V13" s="40" t="n">
        <f aca="false">Economics!$B$14</f>
        <v>0.017</v>
      </c>
      <c r="W13" s="34" t="n">
        <f aca="false">IF(C13="Ranking",J13/7*V13*Economics!$B$13,0)</f>
        <v>0</v>
      </c>
      <c r="X13" s="31" t="n">
        <f aca="false">Economics!$B$5</f>
        <v>0.09</v>
      </c>
      <c r="Y13" s="35" t="n">
        <f aca="false">Economics!$B$15/Economics!$B$16</f>
        <v>3.57142857142857</v>
      </c>
      <c r="Z13" s="36" t="n">
        <f aca="false">MAX(Economics!$B$17,Y13*U13)</f>
        <v>10</v>
      </c>
      <c r="AA13" s="35" t="n">
        <f aca="false">IF(C13="Ranking",MAX(W13/X13,Economics!$B$15/Economics!$B$16),Economics!$B$15/Economics!$B$16)</f>
        <v>3.57142857142857</v>
      </c>
      <c r="AB13" s="36" t="n">
        <f aca="false">MAX(Economics!$B$17,AA13*U13)</f>
        <v>10</v>
      </c>
      <c r="AC13" s="32" t="n">
        <f aca="false">INDEX(Economics!$B$22:$B$26,MATCH(I13,Economics!$A$22:$A$26,0))</f>
        <v>79.99</v>
      </c>
      <c r="AD13" s="31" t="n">
        <f aca="false">U13/(AC13*X13)</f>
        <v>0.388937506077149</v>
      </c>
      <c r="AE13" s="31" t="n">
        <f aca="false">INDEX(Economics!$I$22:$I$26,MATCH(I13,Economics!$A$22:$A$26,0))</f>
        <v>0.376440805100638</v>
      </c>
      <c r="AF13" s="36" t="n">
        <f aca="false">MAX(0,(AD13-AE13)*AA13*7*X13*AC13)</f>
        <v>2.24912499999998</v>
      </c>
      <c r="AG13" s="32" t="n">
        <f aca="false">INDEX(Economics!$L$22:$L$26,MATCH(I13,Economics!$A$22:$A$26,0))</f>
        <v>2.710035</v>
      </c>
      <c r="AH13" s="37" t="str">
        <f aca="false">IF(U13/AG13&lt;=0.8,"SAFE",IF(U13/AG13&lt;=1,"AT-CEILING",IF(U13/AG13&lt;=1.5,"PUSH-ONLY","UNJUSTIFIABLE")))</f>
        <v>PUSH-ONLY</v>
      </c>
      <c r="AI13" s="38" t="n">
        <v>20</v>
      </c>
      <c r="AJ13" s="27" t="s">
        <v>168</v>
      </c>
    </row>
    <row r="14" customFormat="false" ht="23.85" hidden="false" customHeight="false" outlineLevel="0" collapsed="false">
      <c r="A14" s="25" t="n">
        <v>10</v>
      </c>
      <c r="B14" s="25" t="s">
        <v>169</v>
      </c>
      <c r="C14" s="39" t="s">
        <v>155</v>
      </c>
      <c r="D14" s="27" t="s">
        <v>170</v>
      </c>
      <c r="E14" s="25" t="s">
        <v>157</v>
      </c>
      <c r="F14" s="27" t="s">
        <v>171</v>
      </c>
      <c r="G14" s="25" t="s">
        <v>129</v>
      </c>
      <c r="H14" s="25" t="s">
        <v>130</v>
      </c>
      <c r="I14" s="25" t="s">
        <v>82</v>
      </c>
      <c r="J14" s="28" t="n">
        <v>463</v>
      </c>
      <c r="K14" s="28" t="n">
        <v>3837</v>
      </c>
      <c r="L14" s="25" t="s">
        <v>136</v>
      </c>
      <c r="M14" s="25" t="n">
        <v>0</v>
      </c>
      <c r="N14" s="29" t="n">
        <v>0.718</v>
      </c>
      <c r="O14" s="25" t="n">
        <v>130</v>
      </c>
      <c r="P14" s="25" t="s">
        <v>167</v>
      </c>
      <c r="Q14" s="25" t="n">
        <v>2</v>
      </c>
      <c r="R14" s="30"/>
      <c r="S14" s="31"/>
      <c r="T14" s="31"/>
      <c r="U14" s="32" t="n">
        <f aca="false">IF(R14="",Economics!$B$10,MAX(Economics!$B$12,R14*Economics!$B$11))</f>
        <v>2.8</v>
      </c>
      <c r="V14" s="33" t="n">
        <v>0.0056</v>
      </c>
      <c r="W14" s="34" t="n">
        <f aca="false">IF(C14="Ranking",J14/7*V14*Economics!$B$13,0)</f>
        <v>0</v>
      </c>
      <c r="X14" s="31" t="n">
        <f aca="false">Economics!$B$5</f>
        <v>0.09</v>
      </c>
      <c r="Y14" s="35" t="n">
        <f aca="false">Economics!$B$15/Economics!$B$16</f>
        <v>3.57142857142857</v>
      </c>
      <c r="Z14" s="36" t="n">
        <f aca="false">MAX(Economics!$B$17,Y14*U14)</f>
        <v>10</v>
      </c>
      <c r="AA14" s="35" t="n">
        <f aca="false">IF(C14="Ranking",MAX(W14/X14,Economics!$B$15/Economics!$B$16),Economics!$B$15/Economics!$B$16)</f>
        <v>3.57142857142857</v>
      </c>
      <c r="AB14" s="36" t="n">
        <f aca="false">MAX(Economics!$B$17,AA14*U14)</f>
        <v>10</v>
      </c>
      <c r="AC14" s="32" t="n">
        <f aca="false">INDEX(Economics!$B$22:$B$26,MATCH(I14,Economics!$A$22:$A$26,0))</f>
        <v>79.99</v>
      </c>
      <c r="AD14" s="31" t="n">
        <f aca="false">U14/(AC14*X14)</f>
        <v>0.388937506077149</v>
      </c>
      <c r="AE14" s="31" t="n">
        <f aca="false">INDEX(Economics!$I$22:$I$26,MATCH(I14,Economics!$A$22:$A$26,0))</f>
        <v>0.376440805100638</v>
      </c>
      <c r="AF14" s="36" t="n">
        <f aca="false">MAX(0,(AD14-AE14)*AA14*7*X14*AC14)</f>
        <v>2.24912499999998</v>
      </c>
      <c r="AG14" s="32" t="n">
        <f aca="false">INDEX(Economics!$L$22:$L$26,MATCH(I14,Economics!$A$22:$A$26,0))</f>
        <v>2.710035</v>
      </c>
      <c r="AH14" s="37" t="str">
        <f aca="false">IF(U14/AG14&lt;=0.8,"SAFE",IF(U14/AG14&lt;=1,"AT-CEILING",IF(U14/AG14&lt;=1.5,"PUSH-ONLY","UNJUSTIFIABLE")))</f>
        <v>PUSH-ONLY</v>
      </c>
      <c r="AI14" s="38" t="n">
        <v>20</v>
      </c>
      <c r="AJ14" s="27" t="s">
        <v>172</v>
      </c>
    </row>
    <row r="15" customFormat="false" ht="23.85" hidden="false" customHeight="false" outlineLevel="0" collapsed="false">
      <c r="A15" s="25" t="n">
        <v>11</v>
      </c>
      <c r="B15" s="25" t="s">
        <v>173</v>
      </c>
      <c r="C15" s="41" t="s">
        <v>174</v>
      </c>
      <c r="D15" s="27" t="s">
        <v>175</v>
      </c>
      <c r="E15" s="25" t="s">
        <v>157</v>
      </c>
      <c r="F15" s="27" t="s">
        <v>176</v>
      </c>
      <c r="G15" s="25" t="s">
        <v>129</v>
      </c>
      <c r="H15" s="25" t="s">
        <v>130</v>
      </c>
      <c r="I15" s="25" t="s">
        <v>82</v>
      </c>
      <c r="J15" s="28" t="n">
        <v>16968</v>
      </c>
      <c r="K15" s="28" t="n">
        <v>129480</v>
      </c>
      <c r="L15" s="25" t="s">
        <v>131</v>
      </c>
      <c r="M15" s="25" t="n">
        <v>3</v>
      </c>
      <c r="N15" s="29" t="n">
        <v>0.509</v>
      </c>
      <c r="O15" s="25" t="n">
        <v>13</v>
      </c>
      <c r="P15" s="25" t="n">
        <v>132</v>
      </c>
      <c r="Q15" s="25" t="n">
        <v>485</v>
      </c>
      <c r="R15" s="30" t="n">
        <v>2.01</v>
      </c>
      <c r="S15" s="31" t="n">
        <v>0.0948</v>
      </c>
      <c r="T15" s="31" t="n">
        <v>0.295</v>
      </c>
      <c r="U15" s="32" t="n">
        <f aca="false">IF(R15="",Economics!$B$10,MAX(Economics!$B$12,R15*Economics!$B$11))</f>
        <v>2.5125</v>
      </c>
      <c r="V15" s="33" t="n">
        <v>0.0073</v>
      </c>
      <c r="W15" s="34" t="n">
        <f aca="false">IF(C15="Ranking",J15/7*V15*Economics!$B$13,0)</f>
        <v>0</v>
      </c>
      <c r="X15" s="31" t="n">
        <f aca="false">Economics!$B$5</f>
        <v>0.09</v>
      </c>
      <c r="Y15" s="35" t="n">
        <f aca="false">Economics!$B$15/Economics!$B$16</f>
        <v>3.57142857142857</v>
      </c>
      <c r="Z15" s="36" t="n">
        <f aca="false">MAX(Economics!$B$17,Y15*U15)</f>
        <v>10</v>
      </c>
      <c r="AA15" s="35" t="n">
        <f aca="false">IF(C15="Ranking",MAX(W15/X15,Economics!$B$15/Economics!$B$16),Economics!$B$15/Economics!$B$16)</f>
        <v>3.57142857142857</v>
      </c>
      <c r="AB15" s="36" t="n">
        <f aca="false">MAX(Economics!$B$17,AA15*U15)</f>
        <v>10</v>
      </c>
      <c r="AC15" s="32" t="n">
        <f aca="false">INDEX(Economics!$B$22:$B$26,MATCH(I15,Economics!$A$22:$A$26,0))</f>
        <v>79.99</v>
      </c>
      <c r="AD15" s="31" t="n">
        <f aca="false">U15/(AC15*X15)</f>
        <v>0.349001958578156</v>
      </c>
      <c r="AE15" s="31" t="n">
        <f aca="false">INDEX(Economics!$I$22:$I$26,MATCH(I15,Economics!$A$22:$A$26,0))</f>
        <v>0.376440805100638</v>
      </c>
      <c r="AF15" s="36" t="n">
        <f aca="false">MAX(0,(AD15-AE15)*AA15*7*X15*AC15)</f>
        <v>0</v>
      </c>
      <c r="AG15" s="32" t="n">
        <f aca="false">INDEX(Economics!$L$22:$L$26,MATCH(I15,Economics!$A$22:$A$26,0))</f>
        <v>2.710035</v>
      </c>
      <c r="AH15" s="37" t="str">
        <f aca="false">IF(U15/AG15&lt;=0.8,"SAFE",IF(U15/AG15&lt;=1,"AT-CEILING",IF(U15/AG15&lt;=1.5,"PUSH-ONLY","UNJUSTIFIABLE")))</f>
        <v>AT-CEILING</v>
      </c>
      <c r="AI15" s="38"/>
      <c r="AJ15" s="27" t="s">
        <v>177</v>
      </c>
    </row>
    <row r="16" customFormat="false" ht="23.85" hidden="false" customHeight="false" outlineLevel="0" collapsed="false">
      <c r="A16" s="25" t="n">
        <v>12</v>
      </c>
      <c r="B16" s="25" t="s">
        <v>178</v>
      </c>
      <c r="C16" s="41" t="s">
        <v>174</v>
      </c>
      <c r="D16" s="27" t="s">
        <v>179</v>
      </c>
      <c r="E16" s="25" t="s">
        <v>157</v>
      </c>
      <c r="F16" s="27" t="s">
        <v>180</v>
      </c>
      <c r="G16" s="25" t="s">
        <v>129</v>
      </c>
      <c r="H16" s="25" t="s">
        <v>130</v>
      </c>
      <c r="I16" s="25" t="s">
        <v>82</v>
      </c>
      <c r="J16" s="28" t="n">
        <v>3632</v>
      </c>
      <c r="K16" s="28" t="n">
        <v>21134</v>
      </c>
      <c r="L16" s="25" t="s">
        <v>131</v>
      </c>
      <c r="M16" s="25" t="n">
        <v>4</v>
      </c>
      <c r="N16" s="29" t="n">
        <v>0.425</v>
      </c>
      <c r="O16" s="25" t="n">
        <v>18</v>
      </c>
      <c r="P16" s="25" t="n">
        <v>92</v>
      </c>
      <c r="Q16" s="25" t="n">
        <v>259</v>
      </c>
      <c r="R16" s="30" t="n">
        <v>2.45</v>
      </c>
      <c r="S16" s="31" t="n">
        <v>0.0772</v>
      </c>
      <c r="T16" s="31" t="n">
        <v>0.421</v>
      </c>
      <c r="U16" s="32" t="n">
        <f aca="false">IF(R16="",Economics!$B$10,MAX(Economics!$B$12,R16*Economics!$B$11))</f>
        <v>3.0625</v>
      </c>
      <c r="V16" s="33" t="n">
        <v>0.0074</v>
      </c>
      <c r="W16" s="34" t="n">
        <f aca="false">IF(C16="Ranking",J16/7*V16*Economics!$B$13,0)</f>
        <v>0</v>
      </c>
      <c r="X16" s="31" t="n">
        <f aca="false">Economics!$B$5</f>
        <v>0.09</v>
      </c>
      <c r="Y16" s="35" t="n">
        <f aca="false">Economics!$B$15/Economics!$B$16</f>
        <v>3.57142857142857</v>
      </c>
      <c r="Z16" s="36" t="n">
        <f aca="false">MAX(Economics!$B$17,Y16*U16)</f>
        <v>10.9375</v>
      </c>
      <c r="AA16" s="35" t="n">
        <f aca="false">IF(C16="Ranking",MAX(W16/X16,Economics!$B$15/Economics!$B$16),Economics!$B$15/Economics!$B$16)</f>
        <v>3.57142857142857</v>
      </c>
      <c r="AB16" s="36" t="n">
        <f aca="false">MAX(Economics!$B$17,AA16*U16)</f>
        <v>10.9375</v>
      </c>
      <c r="AC16" s="32" t="n">
        <f aca="false">INDEX(Economics!$B$22:$B$26,MATCH(I16,Economics!$A$22:$A$26,0))</f>
        <v>79.99</v>
      </c>
      <c r="AD16" s="31" t="n">
        <f aca="false">U16/(AC16*X16)</f>
        <v>0.425400397271881</v>
      </c>
      <c r="AE16" s="31" t="n">
        <f aca="false">INDEX(Economics!$I$22:$I$26,MATCH(I16,Economics!$A$22:$A$26,0))</f>
        <v>0.376440805100638</v>
      </c>
      <c r="AF16" s="36" t="n">
        <f aca="false">MAX(0,(AD16-AE16)*AA16*7*X16*AC16)</f>
        <v>8.81162499999998</v>
      </c>
      <c r="AG16" s="32" t="n">
        <f aca="false">INDEX(Economics!$L$22:$L$26,MATCH(I16,Economics!$A$22:$A$26,0))</f>
        <v>2.710035</v>
      </c>
      <c r="AH16" s="37" t="str">
        <f aca="false">IF(U16/AG16&lt;=0.8,"SAFE",IF(U16/AG16&lt;=1,"AT-CEILING",IF(U16/AG16&lt;=1.5,"PUSH-ONLY","UNJUSTIFIABLE")))</f>
        <v>PUSH-ONLY</v>
      </c>
      <c r="AI16" s="38"/>
      <c r="AJ16" s="27" t="s">
        <v>181</v>
      </c>
    </row>
    <row r="17" customFormat="false" ht="15" hidden="false" customHeight="false" outlineLevel="0" collapsed="false">
      <c r="A17" s="3"/>
      <c r="B17" s="42" t="s">
        <v>182</v>
      </c>
      <c r="C17" s="3"/>
      <c r="D17" s="3"/>
      <c r="E17" s="3"/>
      <c r="F17" s="3"/>
      <c r="G17" s="3"/>
      <c r="H17" s="3"/>
      <c r="I17" s="3"/>
      <c r="J17" s="3"/>
      <c r="K17" s="3"/>
      <c r="L17" s="3"/>
      <c r="M17" s="3"/>
      <c r="N17" s="3"/>
      <c r="O17" s="3"/>
      <c r="P17" s="3"/>
      <c r="Q17" s="3"/>
      <c r="R17" s="3"/>
      <c r="S17" s="3"/>
      <c r="T17" s="3"/>
      <c r="U17" s="3"/>
      <c r="V17" s="3"/>
      <c r="W17" s="3"/>
      <c r="X17" s="3"/>
      <c r="Y17" s="43" t="n">
        <f aca="false">SUM(Y5:Y16)</f>
        <v>42.8571428571429</v>
      </c>
      <c r="Z17" s="44" t="n">
        <f aca="false">SUM(Z5:Z16)</f>
        <v>129.642857142857</v>
      </c>
      <c r="AA17" s="43" t="n">
        <f aca="false">SUM(AA5:AA16)</f>
        <v>58.5537777777778</v>
      </c>
      <c r="AB17" s="44" t="n">
        <f aca="false">SUM(AB5:AB16)</f>
        <v>173.949240634921</v>
      </c>
      <c r="AC17" s="3"/>
      <c r="AD17" s="3"/>
      <c r="AE17" s="3"/>
      <c r="AF17" s="44" t="n">
        <f aca="false">SUM(AF5:AF16)</f>
        <v>100.117799324444</v>
      </c>
      <c r="AG17" s="3"/>
      <c r="AH17" s="3"/>
      <c r="AI17" s="3"/>
      <c r="AJ17" s="3"/>
    </row>
    <row r="18" customFormat="false" ht="1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customFormat="false" ht="15" hidden="false" customHeight="false" outlineLevel="0" collapsed="false">
      <c r="A19" s="3"/>
      <c r="B19" s="42" t="s">
        <v>183</v>
      </c>
      <c r="C19" s="45" t="n">
        <f aca="false">Z17*7</f>
        <v>907.5</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row>
    <row r="20" customFormat="false" ht="15" hidden="false" customHeight="false" outlineLevel="0" collapsed="false">
      <c r="A20" s="3"/>
      <c r="B20" s="42" t="s">
        <v>184</v>
      </c>
      <c r="C20" s="45" t="n">
        <f aca="false">AB17*7</f>
        <v>1217.64468444444</v>
      </c>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row>
    <row r="21" customFormat="false" ht="15" hidden="false" customHeight="false" outlineLevel="0" collapsed="false">
      <c r="A21" s="3"/>
      <c r="B21" s="42" t="s">
        <v>185</v>
      </c>
      <c r="C21" s="45" t="n">
        <f aca="false">Economics!$B$18</f>
        <v>1750</v>
      </c>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row>
    <row r="22" customFormat="false" ht="15" hidden="false" customHeight="false" outlineLevel="0" collapsed="false">
      <c r="A22" s="3"/>
      <c r="B22" s="42" t="s">
        <v>186</v>
      </c>
      <c r="C22" s="46" t="str">
        <f aca="false">IF(C20&lt;=1.1*C21,"PASS","FAIL — raise envelope or drop terms")</f>
        <v>PASS</v>
      </c>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row>
    <row r="23" customFormat="false" ht="15" hidden="false" customHeight="false" outlineLevel="0" collapsed="false">
      <c r="A23" s="3"/>
      <c r="B23" s="42" t="s">
        <v>187</v>
      </c>
      <c r="C23" s="45" t="n">
        <f aca="false">SUMPRODUCT(AA5:AA16,X5:X16,AC5:AC16)*7</f>
        <v>2950.7415112</v>
      </c>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row>
    <row r="24" customFormat="false" ht="15" hidden="false" customHeight="false" outlineLevel="0" collapsed="false">
      <c r="A24" s="3"/>
      <c r="B24" s="42" t="s">
        <v>188</v>
      </c>
      <c r="C24" s="47" t="n">
        <f aca="false">IF(C23&gt;0,C20/C23,0)</f>
        <v>0.412657184583158</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customFormat="false" ht="15" hidden="false" customHeight="false" outlineLevel="0" collapsed="false">
      <c r="A25" s="3"/>
      <c r="B25" s="42" t="s">
        <v>189</v>
      </c>
      <c r="C25" s="45" t="n">
        <f aca="false">608</f>
        <v>608</v>
      </c>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row>
    <row r="26" customFormat="false" ht="15" hidden="false" customHeight="false" outlineLevel="0" collapsed="false">
      <c r="A26" s="3"/>
      <c r="B26" s="42" t="s">
        <v>190</v>
      </c>
      <c r="C26" s="47" t="n">
        <f aca="false">8873/40089</f>
        <v>0.221332535109382</v>
      </c>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customFormat="false" ht="15" hidden="false" customHeight="false" outlineLevel="0" collapsed="false">
      <c r="A27" s="3"/>
      <c r="B27" s="42" t="s">
        <v>191</v>
      </c>
      <c r="C27" s="45" t="n">
        <f aca="false">C25*C26</f>
        <v>134.570181346504</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customFormat="false" ht="15" hidden="false" customHeight="false" outlineLevel="0" collapsed="false">
      <c r="A28" s="3"/>
      <c r="B28" s="42" t="s">
        <v>192</v>
      </c>
      <c r="C28" s="45" t="n">
        <f aca="false">SUMIF(C5:C16,"Ranking",AB5:AB16)</f>
        <v>112.520669206349</v>
      </c>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customFormat="false" ht="1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customFormat="false" ht="15" hidden="false" customHeight="false" outlineLevel="0" collapsed="false">
      <c r="A31" s="3"/>
      <c r="B31" s="2" t="s">
        <v>193</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row>
    <row r="32" customFormat="false" ht="15" hidden="false" customHeight="false" outlineLevel="0" collapsed="false">
      <c r="A32" s="3"/>
      <c r="B32" s="2" t="s">
        <v>194</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customFormat="false" ht="15" hidden="false" customHeight="false" outlineLevel="0" collapsed="false">
      <c r="A33" s="3"/>
      <c r="B33" s="2" t="s">
        <v>195</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row>
    <row r="34" customFormat="false" ht="15" hidden="false" customHeight="false" outlineLevel="0" collapsed="false">
      <c r="A34" s="3"/>
      <c r="B34" s="2" t="s">
        <v>196</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row>
    <row r="35" customFormat="false" ht="15" hidden="false" customHeight="false" outlineLevel="0" collapsed="false">
      <c r="A35" s="3"/>
      <c r="B35" s="2" t="s">
        <v>197</v>
      </c>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row>
    <row r="36" customFormat="false" ht="15" hidden="false" customHeight="false" outlineLevel="0" collapsed="false">
      <c r="A36" s="3"/>
      <c r="B36" s="2" t="s">
        <v>198</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3"/>
    <col collapsed="false" customWidth="true" hidden="false" outlineLevel="0" max="4" min="4" style="0" width="12"/>
    <col collapsed="false" customWidth="true" hidden="false" outlineLevel="0" max="5" min="5" style="0" width="10"/>
    <col collapsed="false" customWidth="true" hidden="false" outlineLevel="0" max="6" min="6" style="0" width="14"/>
    <col collapsed="false" customWidth="true" hidden="false" outlineLevel="0" max="8" min="7" style="0" width="12"/>
    <col collapsed="false" customWidth="true" hidden="false" outlineLevel="0" max="9" min="9" style="0" width="34"/>
    <col collapsed="false" customWidth="true" hidden="false" outlineLevel="0" max="10" min="10" style="0" width="13"/>
    <col collapsed="false" customWidth="true" hidden="false" outlineLevel="0" max="11" min="11" style="0" width="12"/>
    <col collapsed="false" customWidth="true" hidden="false" outlineLevel="0" max="12" min="12" style="0" width="10"/>
    <col collapsed="false" customWidth="true" hidden="false" outlineLevel="0" max="20" min="13" style="0" width="16"/>
  </cols>
  <sheetData>
    <row r="1" customFormat="false" ht="17.35" hidden="false" customHeight="false" outlineLevel="0" collapsed="false">
      <c r="A1" s="1" t="s">
        <v>199</v>
      </c>
      <c r="B1" s="3"/>
      <c r="C1" s="3"/>
      <c r="D1" s="3"/>
      <c r="E1" s="3"/>
      <c r="F1" s="3"/>
      <c r="G1" s="3"/>
      <c r="H1" s="3"/>
      <c r="I1" s="3"/>
      <c r="J1" s="3"/>
      <c r="K1" s="3"/>
      <c r="L1" s="3"/>
      <c r="M1" s="3"/>
      <c r="N1" s="3"/>
      <c r="O1" s="3"/>
      <c r="P1" s="3"/>
      <c r="Q1" s="3"/>
      <c r="R1" s="3"/>
      <c r="S1" s="3"/>
      <c r="T1" s="3"/>
    </row>
    <row r="2" customFormat="false" ht="15" hidden="false" customHeight="false" outlineLevel="0" collapsed="false">
      <c r="A2" s="2" t="s">
        <v>200</v>
      </c>
      <c r="B2" s="3"/>
      <c r="C2" s="3"/>
      <c r="D2" s="3"/>
      <c r="E2" s="3"/>
      <c r="F2" s="3"/>
      <c r="G2" s="3"/>
      <c r="H2" s="3"/>
      <c r="I2" s="3"/>
      <c r="J2" s="3"/>
      <c r="K2" s="3"/>
      <c r="L2" s="3"/>
      <c r="M2" s="3"/>
      <c r="N2" s="3"/>
      <c r="O2" s="3"/>
      <c r="P2" s="3"/>
      <c r="Q2" s="3"/>
      <c r="R2" s="3"/>
      <c r="S2" s="3"/>
      <c r="T2" s="3"/>
    </row>
    <row r="3" customFormat="false" ht="15" hidden="false" customHeight="false" outlineLevel="0" collapsed="false">
      <c r="A3" s="3"/>
      <c r="B3" s="3"/>
      <c r="C3" s="3"/>
      <c r="D3" s="3"/>
      <c r="E3" s="3"/>
      <c r="F3" s="3"/>
      <c r="G3" s="3"/>
      <c r="H3" s="3"/>
      <c r="I3" s="3"/>
      <c r="J3" s="3"/>
      <c r="K3" s="3"/>
      <c r="L3" s="3"/>
      <c r="M3" s="3"/>
      <c r="N3" s="3"/>
      <c r="O3" s="3"/>
      <c r="P3" s="3"/>
      <c r="Q3" s="3"/>
      <c r="R3" s="3"/>
      <c r="S3" s="3"/>
      <c r="T3" s="3"/>
    </row>
    <row r="4" customFormat="false" ht="31.5" hidden="false" customHeight="true" outlineLevel="0" collapsed="false">
      <c r="A4" s="7" t="s">
        <v>201</v>
      </c>
      <c r="B4" s="7" t="s">
        <v>202</v>
      </c>
      <c r="C4" s="7" t="s">
        <v>203</v>
      </c>
      <c r="D4" s="7" t="s">
        <v>204</v>
      </c>
      <c r="E4" s="7" t="s">
        <v>205</v>
      </c>
      <c r="F4" s="7" t="s">
        <v>206</v>
      </c>
      <c r="G4" s="7" t="s">
        <v>207</v>
      </c>
      <c r="H4" s="7" t="s">
        <v>208</v>
      </c>
      <c r="I4" s="7" t="s">
        <v>209</v>
      </c>
      <c r="J4" s="7" t="s">
        <v>210</v>
      </c>
      <c r="K4" s="7" t="s">
        <v>211</v>
      </c>
      <c r="L4" s="7" t="s">
        <v>212</v>
      </c>
      <c r="M4" s="7" t="s">
        <v>213</v>
      </c>
      <c r="N4" s="7" t="s">
        <v>214</v>
      </c>
      <c r="O4" s="7" t="s">
        <v>215</v>
      </c>
      <c r="P4" s="7" t="s">
        <v>216</v>
      </c>
      <c r="Q4" s="7" t="s">
        <v>217</v>
      </c>
      <c r="R4" s="7" t="s">
        <v>218</v>
      </c>
      <c r="S4" s="7" t="s">
        <v>219</v>
      </c>
      <c r="T4" s="7" t="s">
        <v>220</v>
      </c>
    </row>
    <row r="5" customFormat="false" ht="225.35" hidden="false" customHeight="false" outlineLevel="0" collapsed="false">
      <c r="A5" s="27" t="s">
        <v>82</v>
      </c>
      <c r="B5" s="27" t="s">
        <v>129</v>
      </c>
      <c r="C5" s="27" t="s">
        <v>130</v>
      </c>
      <c r="D5" s="27" t="n">
        <v>373</v>
      </c>
      <c r="E5" s="27" t="n">
        <v>0</v>
      </c>
      <c r="F5" s="27" t="n">
        <v>3.62</v>
      </c>
      <c r="G5" s="27" t="n">
        <v>103</v>
      </c>
      <c r="H5" s="27" t="n">
        <v>69</v>
      </c>
      <c r="I5" s="27" t="s">
        <v>221</v>
      </c>
      <c r="J5" s="27" t="s">
        <v>222</v>
      </c>
      <c r="K5" s="27" t="n">
        <v>280</v>
      </c>
      <c r="L5" s="27" t="n">
        <v>0</v>
      </c>
      <c r="M5" s="27" t="n">
        <v>77</v>
      </c>
      <c r="N5" s="27" t="n">
        <v>20</v>
      </c>
      <c r="O5" s="27" t="n">
        <v>14</v>
      </c>
      <c r="P5" s="27" t="n">
        <v>25.6</v>
      </c>
      <c r="Q5" s="27" t="n">
        <v>14.8</v>
      </c>
      <c r="R5" s="27" t="s">
        <v>223</v>
      </c>
      <c r="S5" s="27" t="s">
        <v>224</v>
      </c>
      <c r="T5" s="27" t="s">
        <v>225</v>
      </c>
    </row>
    <row r="6" customFormat="false" ht="147" hidden="false" customHeight="false" outlineLevel="0" collapsed="false">
      <c r="A6" s="27" t="s">
        <v>83</v>
      </c>
      <c r="B6" s="27" t="s">
        <v>226</v>
      </c>
      <c r="C6" s="27" t="s">
        <v>227</v>
      </c>
      <c r="D6" s="27" t="n">
        <v>174</v>
      </c>
      <c r="E6" s="27" t="n">
        <v>0</v>
      </c>
      <c r="F6" s="27" t="n">
        <v>2.31</v>
      </c>
      <c r="G6" s="27" t="n">
        <v>75</v>
      </c>
      <c r="H6" s="27" t="n">
        <v>50</v>
      </c>
      <c r="I6" s="27" t="s">
        <v>228</v>
      </c>
      <c r="J6" s="27" t="s">
        <v>229</v>
      </c>
      <c r="K6" s="27" t="n">
        <v>146</v>
      </c>
      <c r="L6" s="27" t="n">
        <v>0</v>
      </c>
      <c r="M6" s="27" t="n">
        <v>63</v>
      </c>
      <c r="N6" s="27" t="n">
        <v>19.9</v>
      </c>
      <c r="O6" s="27" t="n">
        <v>12.1</v>
      </c>
      <c r="P6" s="27" t="n">
        <v>17.5</v>
      </c>
      <c r="Q6" s="27" t="n">
        <v>19.5</v>
      </c>
      <c r="R6" s="27" t="s">
        <v>230</v>
      </c>
      <c r="S6" s="27" t="s">
        <v>224</v>
      </c>
      <c r="T6" s="27" t="s">
        <v>231</v>
      </c>
    </row>
    <row r="7" customFormat="false" ht="169.4" hidden="false" customHeight="false" outlineLevel="0" collapsed="false">
      <c r="A7" s="27" t="s">
        <v>232</v>
      </c>
      <c r="B7" s="27" t="s">
        <v>233</v>
      </c>
      <c r="C7" s="27" t="s">
        <v>234</v>
      </c>
      <c r="D7" s="27" t="n">
        <v>66</v>
      </c>
      <c r="E7" s="27" t="n">
        <v>0</v>
      </c>
      <c r="F7" s="27" t="n">
        <v>0.53</v>
      </c>
      <c r="G7" s="27" t="n">
        <v>124</v>
      </c>
      <c r="H7" s="27" t="n">
        <v>82</v>
      </c>
      <c r="I7" s="27" t="s">
        <v>235</v>
      </c>
      <c r="J7" s="27" t="s">
        <v>236</v>
      </c>
      <c r="K7" s="27" t="n">
        <v>42</v>
      </c>
      <c r="L7" s="27" t="n">
        <v>0</v>
      </c>
      <c r="M7" s="27" t="n">
        <v>79</v>
      </c>
      <c r="N7" s="27" t="n">
        <v>20.8</v>
      </c>
      <c r="O7" s="27" t="n">
        <v>9.2</v>
      </c>
      <c r="P7" s="27" t="n">
        <v>14.6</v>
      </c>
      <c r="Q7" s="27" t="n">
        <v>11.9</v>
      </c>
      <c r="R7" s="27" t="s">
        <v>237</v>
      </c>
      <c r="S7" s="27" t="s">
        <v>224</v>
      </c>
      <c r="T7" s="27" t="s">
        <v>238</v>
      </c>
    </row>
    <row r="8" customFormat="false" ht="236.55" hidden="false" customHeight="false" outlineLevel="0" collapsed="false">
      <c r="A8" s="27" t="s">
        <v>81</v>
      </c>
      <c r="B8" s="27" t="s">
        <v>239</v>
      </c>
      <c r="C8" s="27" t="s">
        <v>240</v>
      </c>
      <c r="D8" s="27" t="n">
        <v>90</v>
      </c>
      <c r="E8" s="27" t="n">
        <v>0</v>
      </c>
      <c r="F8" s="27" t="n">
        <v>0.77</v>
      </c>
      <c r="G8" s="27" t="n">
        <v>117</v>
      </c>
      <c r="H8" s="27" t="n">
        <v>78</v>
      </c>
      <c r="I8" s="27" t="s">
        <v>241</v>
      </c>
      <c r="J8" s="27" t="s">
        <v>242</v>
      </c>
      <c r="K8" s="27" t="n">
        <v>54</v>
      </c>
      <c r="L8" s="27" t="n">
        <v>0</v>
      </c>
      <c r="M8" s="27" t="n">
        <v>70</v>
      </c>
      <c r="N8" s="27" t="n">
        <v>16.5</v>
      </c>
      <c r="O8" s="27" t="n">
        <v>10.9</v>
      </c>
      <c r="P8" s="27" t="n">
        <v>12.5</v>
      </c>
      <c r="Q8" s="27" t="n">
        <v>14.2</v>
      </c>
      <c r="R8" s="27" t="s">
        <v>243</v>
      </c>
      <c r="S8" s="27" t="s">
        <v>224</v>
      </c>
      <c r="T8" s="27" t="s">
        <v>244</v>
      </c>
    </row>
    <row r="9" customFormat="false" ht="147" hidden="false" customHeight="false" outlineLevel="0" collapsed="false">
      <c r="A9" s="27" t="s">
        <v>80</v>
      </c>
      <c r="B9" s="27" t="s">
        <v>245</v>
      </c>
      <c r="C9" s="27" t="s">
        <v>246</v>
      </c>
      <c r="D9" s="27" t="n">
        <v>41</v>
      </c>
      <c r="E9" s="27" t="n">
        <v>0</v>
      </c>
      <c r="F9" s="27" t="n">
        <v>0.73</v>
      </c>
      <c r="G9" s="27" t="n">
        <v>56</v>
      </c>
      <c r="H9" s="27" t="n">
        <v>37</v>
      </c>
      <c r="I9" s="27" t="s">
        <v>247</v>
      </c>
      <c r="J9" s="27" t="s">
        <v>248</v>
      </c>
      <c r="K9" s="27" t="n">
        <v>35</v>
      </c>
      <c r="L9" s="27" t="n">
        <v>1</v>
      </c>
      <c r="M9" s="27" t="n">
        <v>48</v>
      </c>
      <c r="N9" s="27" t="n">
        <v>21.9</v>
      </c>
      <c r="O9" s="27" t="n">
        <v>16.3</v>
      </c>
      <c r="P9" s="27" t="n">
        <v>14.3</v>
      </c>
      <c r="Q9" s="27" t="n">
        <v>9.2</v>
      </c>
      <c r="R9" s="27" t="s">
        <v>237</v>
      </c>
      <c r="S9" s="27" t="s">
        <v>224</v>
      </c>
      <c r="T9" s="27"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110"/>
    <col collapsed="false" customWidth="true" hidden="false" outlineLevel="0" max="4" min="4" style="0" width="22"/>
    <col collapsed="false" customWidth="true" hidden="false" outlineLevel="0" max="5" min="5" style="0" width="34"/>
  </cols>
  <sheetData>
    <row r="1" customFormat="false" ht="17.35" hidden="false" customHeight="false" outlineLevel="0" collapsed="false">
      <c r="A1" s="1" t="s">
        <v>250</v>
      </c>
      <c r="B1" s="3"/>
      <c r="C1" s="3"/>
      <c r="D1" s="3"/>
      <c r="E1" s="3"/>
    </row>
    <row r="2" customFormat="false" ht="15" hidden="false" customHeight="false" outlineLevel="0" collapsed="false">
      <c r="A2" s="2" t="s">
        <v>251</v>
      </c>
      <c r="B2" s="3"/>
      <c r="C2" s="3"/>
      <c r="D2" s="3"/>
      <c r="E2" s="3"/>
    </row>
    <row r="3" customFormat="false" ht="15" hidden="false" customHeight="false" outlineLevel="0" collapsed="false">
      <c r="A3" s="3"/>
      <c r="B3" s="3"/>
      <c r="C3" s="3"/>
      <c r="D3" s="3"/>
      <c r="E3" s="3"/>
    </row>
    <row r="4" customFormat="false" ht="31.5" hidden="false" customHeight="true" outlineLevel="0" collapsed="false">
      <c r="A4" s="7" t="s">
        <v>252</v>
      </c>
      <c r="B4" s="7" t="s">
        <v>253</v>
      </c>
      <c r="C4" s="7" t="s">
        <v>254</v>
      </c>
      <c r="D4" s="7" t="s">
        <v>255</v>
      </c>
      <c r="E4" s="7" t="s">
        <v>256</v>
      </c>
    </row>
    <row r="5" customFormat="false" ht="23.85" hidden="false" customHeight="false" outlineLevel="0" collapsed="false">
      <c r="A5" s="27" t="s">
        <v>257</v>
      </c>
      <c r="B5" s="27" t="s">
        <v>258</v>
      </c>
      <c r="C5" s="27" t="s">
        <v>259</v>
      </c>
      <c r="D5" s="27" t="s">
        <v>260</v>
      </c>
      <c r="E5" s="27" t="s">
        <v>261</v>
      </c>
    </row>
    <row r="6" customFormat="false" ht="23.85" hidden="false" customHeight="false" outlineLevel="0" collapsed="false">
      <c r="A6" s="27" t="s">
        <v>262</v>
      </c>
      <c r="B6" s="27" t="s">
        <v>263</v>
      </c>
      <c r="C6" s="27" t="s">
        <v>264</v>
      </c>
      <c r="D6" s="27" t="s">
        <v>265</v>
      </c>
      <c r="E6" s="27" t="s">
        <v>266</v>
      </c>
    </row>
    <row r="7" customFormat="false" ht="35.05" hidden="false" customHeight="false" outlineLevel="0" collapsed="false">
      <c r="A7" s="27" t="s">
        <v>267</v>
      </c>
      <c r="B7" s="27" t="s">
        <v>268</v>
      </c>
      <c r="C7" s="27" t="s">
        <v>269</v>
      </c>
      <c r="D7" s="27" t="s">
        <v>270</v>
      </c>
      <c r="E7" s="27" t="s">
        <v>271</v>
      </c>
    </row>
    <row r="8" customFormat="false" ht="23.85" hidden="false" customHeight="false" outlineLevel="0" collapsed="false">
      <c r="A8" s="27" t="s">
        <v>272</v>
      </c>
      <c r="B8" s="27" t="s">
        <v>273</v>
      </c>
      <c r="C8" s="27" t="s">
        <v>274</v>
      </c>
      <c r="D8" s="27" t="s">
        <v>270</v>
      </c>
      <c r="E8" s="27" t="s">
        <v>275</v>
      </c>
    </row>
    <row r="9" customFormat="false" ht="23.85" hidden="false" customHeight="false" outlineLevel="0" collapsed="false">
      <c r="A9" s="27" t="s">
        <v>276</v>
      </c>
      <c r="B9" s="27" t="s">
        <v>277</v>
      </c>
      <c r="C9" s="27" t="s">
        <v>278</v>
      </c>
      <c r="D9" s="27" t="s">
        <v>279</v>
      </c>
      <c r="E9" s="27" t="s">
        <v>280</v>
      </c>
    </row>
    <row r="10" customFormat="false" ht="23.85" hidden="false" customHeight="false" outlineLevel="0" collapsed="false">
      <c r="A10" s="27" t="s">
        <v>281</v>
      </c>
      <c r="B10" s="27" t="s">
        <v>282</v>
      </c>
      <c r="C10" s="27" t="s">
        <v>283</v>
      </c>
      <c r="D10" s="27" t="s">
        <v>270</v>
      </c>
      <c r="E10" s="27" t="s">
        <v>284</v>
      </c>
    </row>
    <row r="11" customFormat="false" ht="23.85" hidden="false" customHeight="false" outlineLevel="0" collapsed="false">
      <c r="A11" s="27" t="s">
        <v>285</v>
      </c>
      <c r="B11" s="27" t="s">
        <v>286</v>
      </c>
      <c r="C11" s="27" t="s">
        <v>287</v>
      </c>
      <c r="D11" s="27" t="s">
        <v>288</v>
      </c>
      <c r="E11" s="27" t="s">
        <v>289</v>
      </c>
    </row>
    <row r="12" customFormat="false" ht="23.85" hidden="false" customHeight="false" outlineLevel="0" collapsed="false">
      <c r="A12" s="27" t="s">
        <v>290</v>
      </c>
      <c r="B12" s="27" t="s">
        <v>291</v>
      </c>
      <c r="C12" s="27" t="s">
        <v>292</v>
      </c>
      <c r="D12" s="27" t="s">
        <v>270</v>
      </c>
      <c r="E12" s="27" t="s">
        <v>293</v>
      </c>
    </row>
    <row r="13" customFormat="false" ht="23.85" hidden="false" customHeight="false" outlineLevel="0" collapsed="false">
      <c r="A13" s="27" t="s">
        <v>294</v>
      </c>
      <c r="B13" s="27" t="s">
        <v>295</v>
      </c>
      <c r="C13" s="27" t="s">
        <v>296</v>
      </c>
      <c r="D13" s="27" t="s">
        <v>288</v>
      </c>
      <c r="E13" s="27" t="s">
        <v>297</v>
      </c>
    </row>
    <row r="14" customFormat="false" ht="23.85" hidden="false" customHeight="false" outlineLevel="0" collapsed="false">
      <c r="A14" s="27" t="s">
        <v>298</v>
      </c>
      <c r="B14" s="27" t="s">
        <v>299</v>
      </c>
      <c r="C14" s="27" t="s">
        <v>300</v>
      </c>
      <c r="D14" s="27" t="s">
        <v>270</v>
      </c>
      <c r="E14" s="27" t="s">
        <v>301</v>
      </c>
    </row>
    <row r="15" customFormat="false" ht="23.85" hidden="false" customHeight="false" outlineLevel="0" collapsed="false">
      <c r="A15" s="27" t="s">
        <v>302</v>
      </c>
      <c r="B15" s="27" t="s">
        <v>303</v>
      </c>
      <c r="C15" s="27" t="s">
        <v>304</v>
      </c>
      <c r="D15" s="27" t="s">
        <v>288</v>
      </c>
      <c r="E15" s="27" t="s">
        <v>305</v>
      </c>
    </row>
    <row r="16" customFormat="false" ht="23.85" hidden="false" customHeight="false" outlineLevel="0" collapsed="false">
      <c r="A16" s="27" t="s">
        <v>306</v>
      </c>
      <c r="B16" s="27" t="s">
        <v>307</v>
      </c>
      <c r="C16" s="27" t="s">
        <v>308</v>
      </c>
      <c r="D16" s="27" t="s">
        <v>309</v>
      </c>
      <c r="E16" s="27" t="s">
        <v>310</v>
      </c>
    </row>
    <row r="17" customFormat="false" ht="15" hidden="false" customHeight="false" outlineLevel="0" collapsed="false">
      <c r="A17" s="27" t="s">
        <v>311</v>
      </c>
      <c r="B17" s="27" t="s">
        <v>312</v>
      </c>
      <c r="C17" s="27" t="s">
        <v>313</v>
      </c>
      <c r="D17" s="27" t="s">
        <v>270</v>
      </c>
      <c r="E17" s="27" t="s">
        <v>314</v>
      </c>
    </row>
    <row r="18" customFormat="false" ht="15" hidden="false" customHeight="false" outlineLevel="0" collapsed="false">
      <c r="A18" s="27" t="s">
        <v>315</v>
      </c>
      <c r="B18" s="27" t="s">
        <v>316</v>
      </c>
      <c r="C18" s="27" t="s">
        <v>317</v>
      </c>
      <c r="D18" s="27" t="s">
        <v>288</v>
      </c>
      <c r="E18" s="27" t="s">
        <v>318</v>
      </c>
    </row>
    <row r="19" customFormat="false" ht="35.05" hidden="false" customHeight="false" outlineLevel="0" collapsed="false">
      <c r="A19" s="27" t="s">
        <v>319</v>
      </c>
      <c r="B19" s="27" t="s">
        <v>320</v>
      </c>
      <c r="C19" s="27" t="s">
        <v>321</v>
      </c>
      <c r="D19" s="27" t="s">
        <v>288</v>
      </c>
      <c r="E19" s="27" t="s">
        <v>322</v>
      </c>
    </row>
    <row r="20" customFormat="false" ht="35.05" hidden="false" customHeight="false" outlineLevel="0" collapsed="false">
      <c r="A20" s="27" t="s">
        <v>323</v>
      </c>
      <c r="B20" s="27" t="s">
        <v>324</v>
      </c>
      <c r="C20" s="27" t="s">
        <v>325</v>
      </c>
      <c r="D20" s="27" t="s">
        <v>326</v>
      </c>
      <c r="E20" s="27" t="s">
        <v>327</v>
      </c>
    </row>
    <row r="21" customFormat="false" ht="23.85" hidden="false" customHeight="false" outlineLevel="0" collapsed="false">
      <c r="A21" s="27" t="s">
        <v>328</v>
      </c>
      <c r="B21" s="27" t="s">
        <v>329</v>
      </c>
      <c r="C21" s="27" t="s">
        <v>330</v>
      </c>
      <c r="D21" s="27" t="s">
        <v>288</v>
      </c>
      <c r="E21" s="27" t="s">
        <v>331</v>
      </c>
    </row>
    <row r="22" customFormat="false" ht="23.85" hidden="false" customHeight="false" outlineLevel="0" collapsed="false">
      <c r="A22" s="27" t="s">
        <v>332</v>
      </c>
      <c r="B22" s="27" t="s">
        <v>333</v>
      </c>
      <c r="C22" s="27" t="s">
        <v>334</v>
      </c>
      <c r="D22" s="27" t="s">
        <v>288</v>
      </c>
      <c r="E22" s="27" t="s">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95"/>
    <col collapsed="false" customWidth="true" hidden="false" outlineLevel="0" max="4" min="4" style="0" width="60"/>
  </cols>
  <sheetData>
    <row r="1" customFormat="false" ht="17.35" hidden="false" customHeight="false" outlineLevel="0" collapsed="false">
      <c r="A1" s="1" t="s">
        <v>336</v>
      </c>
      <c r="B1" s="3"/>
      <c r="C1" s="3"/>
      <c r="D1" s="3"/>
    </row>
    <row r="2" customFormat="false" ht="15" hidden="false" customHeight="false" outlineLevel="0" collapsed="false">
      <c r="A2" s="2" t="s">
        <v>337</v>
      </c>
      <c r="B2" s="3"/>
      <c r="C2" s="3"/>
      <c r="D2" s="3"/>
    </row>
    <row r="3" customFormat="false" ht="15" hidden="false" customHeight="false" outlineLevel="0" collapsed="false">
      <c r="A3" s="3"/>
      <c r="B3" s="3"/>
      <c r="C3" s="3"/>
      <c r="D3" s="3"/>
    </row>
    <row r="4" customFormat="false" ht="31.5" hidden="false" customHeight="true" outlineLevel="0" collapsed="false">
      <c r="A4" s="7" t="s">
        <v>338</v>
      </c>
      <c r="B4" s="7" t="s">
        <v>339</v>
      </c>
      <c r="C4" s="7" t="s">
        <v>340</v>
      </c>
      <c r="D4" s="7" t="s">
        <v>341</v>
      </c>
    </row>
    <row r="5" customFormat="false" ht="15" hidden="false" customHeight="false" outlineLevel="0" collapsed="false">
      <c r="A5" s="48" t="s">
        <v>342</v>
      </c>
      <c r="B5" s="48" t="s">
        <v>343</v>
      </c>
      <c r="C5" s="48" t="s">
        <v>344</v>
      </c>
      <c r="D5" s="48" t="s">
        <v>345</v>
      </c>
    </row>
    <row r="6" customFormat="false" ht="15" hidden="false" customHeight="false" outlineLevel="0" collapsed="false">
      <c r="A6" s="48" t="s">
        <v>346</v>
      </c>
      <c r="B6" s="48" t="s">
        <v>347</v>
      </c>
      <c r="C6" s="48" t="s">
        <v>348</v>
      </c>
      <c r="D6" s="48" t="s">
        <v>349</v>
      </c>
    </row>
    <row r="7" customFormat="false" ht="15" hidden="false" customHeight="false" outlineLevel="0" collapsed="false">
      <c r="A7" s="48" t="s">
        <v>346</v>
      </c>
      <c r="B7" s="48" t="s">
        <v>350</v>
      </c>
      <c r="C7" s="48" t="s">
        <v>351</v>
      </c>
      <c r="D7" s="48" t="s">
        <v>352</v>
      </c>
    </row>
    <row r="8" customFormat="false" ht="15" hidden="false" customHeight="false" outlineLevel="0" collapsed="false">
      <c r="A8" s="48" t="s">
        <v>346</v>
      </c>
      <c r="B8" s="48" t="s">
        <v>353</v>
      </c>
      <c r="C8" s="48" t="s">
        <v>354</v>
      </c>
      <c r="D8" s="48" t="s">
        <v>355</v>
      </c>
    </row>
    <row r="9" customFormat="false" ht="15" hidden="false" customHeight="false" outlineLevel="0" collapsed="false">
      <c r="A9" s="48" t="s">
        <v>356</v>
      </c>
      <c r="B9" s="48" t="s">
        <v>353</v>
      </c>
      <c r="C9" s="48" t="s">
        <v>357</v>
      </c>
      <c r="D9" s="48" t="s">
        <v>358</v>
      </c>
    </row>
    <row r="10" customFormat="false" ht="15" hidden="false" customHeight="false" outlineLevel="0" collapsed="false">
      <c r="A10" s="48" t="s">
        <v>359</v>
      </c>
      <c r="B10" s="48" t="s">
        <v>360</v>
      </c>
      <c r="C10" s="48" t="s">
        <v>361</v>
      </c>
      <c r="D10" s="48" t="s">
        <v>362</v>
      </c>
    </row>
    <row r="11" customFormat="false" ht="15" hidden="false" customHeight="false" outlineLevel="0" collapsed="false">
      <c r="A11" s="48" t="s">
        <v>363</v>
      </c>
      <c r="B11" s="48" t="s">
        <v>353</v>
      </c>
      <c r="C11" s="48" t="s">
        <v>364</v>
      </c>
      <c r="D11" s="48" t="s">
        <v>318</v>
      </c>
    </row>
    <row r="12" customFormat="false" ht="15" hidden="false" customHeight="false" outlineLevel="0" collapsed="false">
      <c r="A12" s="48" t="s">
        <v>365</v>
      </c>
      <c r="B12" s="48" t="s">
        <v>366</v>
      </c>
      <c r="C12" s="48" t="s">
        <v>367</v>
      </c>
      <c r="D12" s="48" t="s">
        <v>368</v>
      </c>
    </row>
    <row r="13" customFormat="false" ht="15" hidden="false" customHeight="false" outlineLevel="0" collapsed="false">
      <c r="A13" s="48" t="s">
        <v>369</v>
      </c>
      <c r="B13" s="48" t="s">
        <v>370</v>
      </c>
      <c r="C13" s="48" t="s">
        <v>371</v>
      </c>
      <c r="D13" s="48" t="s">
        <v>372</v>
      </c>
    </row>
    <row r="14" customFormat="false" ht="15" hidden="false" customHeight="false" outlineLevel="0" collapsed="false">
      <c r="A14" s="48" t="s">
        <v>373</v>
      </c>
      <c r="B14" s="48" t="s">
        <v>350</v>
      </c>
      <c r="C14" s="48" t="s">
        <v>374</v>
      </c>
      <c r="D14" s="48" t="s">
        <v>375</v>
      </c>
    </row>
    <row r="15" customFormat="false" ht="15" hidden="false" customHeight="false" outlineLevel="0" collapsed="false">
      <c r="A15" s="48" t="s">
        <v>376</v>
      </c>
      <c r="B15" s="48" t="s">
        <v>377</v>
      </c>
      <c r="C15" s="48" t="s">
        <v>378</v>
      </c>
      <c r="D15" s="48" t="s">
        <v>379</v>
      </c>
    </row>
    <row r="16" customFormat="false" ht="15" hidden="false" customHeight="false" outlineLevel="0" collapsed="false">
      <c r="A16" s="48" t="s">
        <v>376</v>
      </c>
      <c r="B16" s="48" t="s">
        <v>380</v>
      </c>
      <c r="C16" s="48" t="s">
        <v>381</v>
      </c>
      <c r="D16" s="48" t="s">
        <v>382</v>
      </c>
    </row>
    <row r="17" customFormat="false" ht="15" hidden="false" customHeight="false" outlineLevel="0" collapsed="false">
      <c r="A17" s="48" t="s">
        <v>383</v>
      </c>
      <c r="B17" s="48" t="s">
        <v>384</v>
      </c>
      <c r="C17" s="48" t="s">
        <v>385</v>
      </c>
      <c r="D17" s="48" t="s">
        <v>386</v>
      </c>
    </row>
    <row r="18" customFormat="false" ht="15" hidden="false" customHeight="false" outlineLevel="0" collapsed="false">
      <c r="A18" s="48" t="s">
        <v>383</v>
      </c>
      <c r="B18" s="48" t="s">
        <v>387</v>
      </c>
      <c r="C18" s="48" t="s">
        <v>388</v>
      </c>
      <c r="D18" s="48" t="s">
        <v>389</v>
      </c>
    </row>
    <row r="19" customFormat="false" ht="15" hidden="false" customHeight="false" outlineLevel="0" collapsed="false">
      <c r="A19" s="48" t="s">
        <v>383</v>
      </c>
      <c r="B19" s="48" t="s">
        <v>390</v>
      </c>
      <c r="C19" s="48" t="s">
        <v>391</v>
      </c>
      <c r="D19" s="48" t="s">
        <v>392</v>
      </c>
    </row>
    <row r="20" customFormat="false" ht="15" hidden="false" customHeight="false" outlineLevel="0" collapsed="false">
      <c r="A20" s="48" t="s">
        <v>383</v>
      </c>
      <c r="B20" s="48" t="s">
        <v>393</v>
      </c>
      <c r="C20" s="48" t="s">
        <v>394</v>
      </c>
      <c r="D20" s="48" t="s">
        <v>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0"/>
    <col collapsed="false" customWidth="true" hidden="false" outlineLevel="0" max="3" min="3" style="0" width="70"/>
    <col collapsed="false" customWidth="true" hidden="false" outlineLevel="0" max="4" min="4" style="0" width="24"/>
    <col collapsed="false" customWidth="true" hidden="false" outlineLevel="0" max="5" min="5" style="0" width="50"/>
  </cols>
  <sheetData>
    <row r="1" customFormat="false" ht="17.35" hidden="false" customHeight="false" outlineLevel="0" collapsed="false">
      <c r="A1" s="1" t="s">
        <v>396</v>
      </c>
      <c r="B1" s="3"/>
      <c r="C1" s="3"/>
      <c r="D1" s="3"/>
      <c r="E1" s="3"/>
    </row>
    <row r="2" customFormat="false" ht="15" hidden="false" customHeight="false" outlineLevel="0" collapsed="false">
      <c r="A2" s="2" t="s">
        <v>397</v>
      </c>
      <c r="B2" s="3"/>
      <c r="C2" s="3"/>
      <c r="D2" s="3"/>
      <c r="E2" s="3"/>
    </row>
    <row r="3" customFormat="false" ht="15" hidden="false" customHeight="false" outlineLevel="0" collapsed="false">
      <c r="A3" s="3"/>
      <c r="B3" s="3"/>
      <c r="C3" s="3"/>
      <c r="D3" s="3"/>
      <c r="E3" s="3"/>
    </row>
    <row r="4" customFormat="false" ht="31.5" hidden="false" customHeight="true" outlineLevel="0" collapsed="false">
      <c r="A4" s="7" t="s">
        <v>92</v>
      </c>
      <c r="B4" s="7" t="s">
        <v>398</v>
      </c>
      <c r="C4" s="7" t="s">
        <v>399</v>
      </c>
      <c r="D4" s="7" t="s">
        <v>400</v>
      </c>
      <c r="E4" s="7" t="s">
        <v>401</v>
      </c>
    </row>
    <row r="5" customFormat="false" ht="23.85" hidden="false" customHeight="false" outlineLevel="0" collapsed="false">
      <c r="A5" s="27" t="n">
        <v>1</v>
      </c>
      <c r="B5" s="27" t="s">
        <v>402</v>
      </c>
      <c r="C5" s="27" t="s">
        <v>403</v>
      </c>
      <c r="D5" s="27" t="s">
        <v>279</v>
      </c>
      <c r="E5" s="27" t="s">
        <v>404</v>
      </c>
    </row>
    <row r="6" customFormat="false" ht="15" hidden="false" customHeight="false" outlineLevel="0" collapsed="false">
      <c r="A6" s="27" t="n">
        <v>2</v>
      </c>
      <c r="B6" s="27" t="s">
        <v>405</v>
      </c>
      <c r="C6" s="27" t="s">
        <v>406</v>
      </c>
      <c r="D6" s="27" t="s">
        <v>288</v>
      </c>
      <c r="E6" s="27" t="s">
        <v>407</v>
      </c>
    </row>
    <row r="7" customFormat="false" ht="23.85" hidden="false" customHeight="false" outlineLevel="0" collapsed="false">
      <c r="A7" s="27" t="n">
        <v>3</v>
      </c>
      <c r="B7" s="27" t="s">
        <v>408</v>
      </c>
      <c r="C7" s="27" t="s">
        <v>409</v>
      </c>
      <c r="D7" s="27" t="s">
        <v>288</v>
      </c>
      <c r="E7" s="27" t="s">
        <v>410</v>
      </c>
    </row>
    <row r="8" customFormat="false" ht="23.85" hidden="false" customHeight="false" outlineLevel="0" collapsed="false">
      <c r="A8" s="27" t="n">
        <v>4</v>
      </c>
      <c r="B8" s="27" t="s">
        <v>411</v>
      </c>
      <c r="C8" s="27" t="s">
        <v>412</v>
      </c>
      <c r="D8" s="27" t="s">
        <v>288</v>
      </c>
      <c r="E8" s="27" t="s">
        <v>413</v>
      </c>
    </row>
    <row r="9" customFormat="false" ht="23.85" hidden="false" customHeight="false" outlineLevel="0" collapsed="false">
      <c r="A9" s="27" t="n">
        <v>5</v>
      </c>
      <c r="B9" s="27" t="s">
        <v>414</v>
      </c>
      <c r="C9" s="27" t="s">
        <v>415</v>
      </c>
      <c r="D9" s="27" t="s">
        <v>288</v>
      </c>
      <c r="E9" s="27" t="s">
        <v>416</v>
      </c>
    </row>
    <row r="10" customFormat="false" ht="23.85" hidden="false" customHeight="false" outlineLevel="0" collapsed="false">
      <c r="A10" s="27" t="n">
        <v>6</v>
      </c>
      <c r="B10" s="27" t="s">
        <v>417</v>
      </c>
      <c r="C10" s="27" t="s">
        <v>418</v>
      </c>
      <c r="D10" s="27" t="s">
        <v>288</v>
      </c>
      <c r="E10" s="27" t="s">
        <v>318</v>
      </c>
    </row>
    <row r="11" customFormat="false" ht="15" hidden="false" customHeight="false" outlineLevel="0" collapsed="false">
      <c r="A11" s="27" t="n">
        <v>7</v>
      </c>
      <c r="B11" s="27" t="s">
        <v>419</v>
      </c>
      <c r="C11" s="27" t="s">
        <v>420</v>
      </c>
      <c r="D11" s="27" t="s">
        <v>421</v>
      </c>
      <c r="E11" s="27" t="s">
        <v>422</v>
      </c>
    </row>
    <row r="12" customFormat="false" ht="15" hidden="false" customHeight="false" outlineLevel="0" collapsed="false">
      <c r="A12" s="27" t="n">
        <v>8</v>
      </c>
      <c r="B12" s="27" t="s">
        <v>423</v>
      </c>
      <c r="C12" s="27" t="s">
        <v>424</v>
      </c>
      <c r="D12" s="27" t="s">
        <v>425</v>
      </c>
      <c r="E12" s="27" t="s">
        <v>426</v>
      </c>
    </row>
    <row r="13" customFormat="false" ht="15" hidden="false" customHeight="false" outlineLevel="0" collapsed="false">
      <c r="A13" s="27" t="n">
        <v>9</v>
      </c>
      <c r="B13" s="27" t="s">
        <v>427</v>
      </c>
      <c r="C13" s="27" t="s">
        <v>428</v>
      </c>
      <c r="D13" s="27" t="s">
        <v>425</v>
      </c>
      <c r="E13" s="27" t="s">
        <v>429</v>
      </c>
    </row>
    <row r="14" customFormat="false" ht="15" hidden="false" customHeight="false" outlineLevel="0" collapsed="false">
      <c r="A14" s="27" t="n">
        <v>10</v>
      </c>
      <c r="B14" s="27" t="s">
        <v>430</v>
      </c>
      <c r="C14" s="27" t="s">
        <v>431</v>
      </c>
      <c r="D14" s="27" t="s">
        <v>432</v>
      </c>
      <c r="E14" s="27" t="s">
        <v>318</v>
      </c>
    </row>
    <row r="15" customFormat="false" ht="23.85" hidden="false" customHeight="false" outlineLevel="0" collapsed="false">
      <c r="A15" s="27" t="n">
        <v>11</v>
      </c>
      <c r="B15" s="27" t="s">
        <v>433</v>
      </c>
      <c r="C15" s="27" t="s">
        <v>434</v>
      </c>
      <c r="D15" s="27" t="s">
        <v>435</v>
      </c>
      <c r="E15" s="27" t="s">
        <v>436</v>
      </c>
    </row>
    <row r="16" customFormat="false" ht="23.85" hidden="false" customHeight="false" outlineLevel="0" collapsed="false">
      <c r="A16" s="27" t="n">
        <v>12</v>
      </c>
      <c r="B16" s="27" t="s">
        <v>437</v>
      </c>
      <c r="C16" s="27" t="s">
        <v>438</v>
      </c>
      <c r="D16" s="27" t="s">
        <v>326</v>
      </c>
      <c r="E16" s="27" t="s">
        <v>439</v>
      </c>
    </row>
    <row r="17" customFormat="false" ht="23.85" hidden="false" customHeight="false" outlineLevel="0" collapsed="false">
      <c r="A17" s="27" t="n">
        <v>13</v>
      </c>
      <c r="B17" s="27" t="s">
        <v>440</v>
      </c>
      <c r="C17" s="27" t="s">
        <v>441</v>
      </c>
      <c r="D17" s="27" t="s">
        <v>442</v>
      </c>
      <c r="E17" s="27" t="s">
        <v>443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0"/>
    <col collapsed="false" customWidth="true" hidden="false" outlineLevel="0" max="3" min="3" style="0" width="80"/>
    <col collapsed="false" customWidth="true" hidden="false" outlineLevel="0" max="4" min="4" style="0" width="50"/>
  </cols>
  <sheetData>
    <row r="1" customFormat="false" ht="17.35" hidden="false" customHeight="false" outlineLevel="0" collapsed="false">
      <c r="A1" s="1" t="s">
        <v>444</v>
      </c>
      <c r="B1" s="3"/>
      <c r="C1" s="3"/>
      <c r="D1" s="3"/>
    </row>
    <row r="2" customFormat="false" ht="15" hidden="false" customHeight="false" outlineLevel="0" collapsed="false">
      <c r="A2" s="2" t="s">
        <v>445</v>
      </c>
      <c r="B2" s="3"/>
      <c r="C2" s="3"/>
      <c r="D2" s="3"/>
    </row>
    <row r="3" customFormat="false" ht="15" hidden="false" customHeight="false" outlineLevel="0" collapsed="false">
      <c r="A3" s="3"/>
      <c r="B3" s="3"/>
      <c r="C3" s="3"/>
      <c r="D3" s="3"/>
    </row>
    <row r="4" customFormat="false" ht="31.5" hidden="false" customHeight="true" outlineLevel="0" collapsed="false">
      <c r="A4" s="7" t="s">
        <v>446</v>
      </c>
      <c r="B4" s="7" t="s">
        <v>447</v>
      </c>
      <c r="C4" s="7" t="s">
        <v>448</v>
      </c>
      <c r="D4" s="7" t="s">
        <v>449</v>
      </c>
    </row>
    <row r="5" customFormat="false" ht="15" hidden="false" customHeight="false" outlineLevel="0" collapsed="false">
      <c r="A5" s="48" t="s">
        <v>450</v>
      </c>
      <c r="B5" s="48" t="s">
        <v>451</v>
      </c>
      <c r="C5" s="48" t="s">
        <v>452</v>
      </c>
      <c r="D5" s="48" t="s">
        <v>453</v>
      </c>
    </row>
    <row r="6" customFormat="false" ht="15" hidden="false" customHeight="false" outlineLevel="0" collapsed="false">
      <c r="A6" s="48" t="s">
        <v>454</v>
      </c>
      <c r="B6" s="48" t="s">
        <v>455</v>
      </c>
      <c r="C6" s="48" t="s">
        <v>456</v>
      </c>
      <c r="D6" s="48" t="s">
        <v>457</v>
      </c>
    </row>
    <row r="7" customFormat="false" ht="15" hidden="false" customHeight="false" outlineLevel="0" collapsed="false">
      <c r="A7" s="48" t="s">
        <v>458</v>
      </c>
      <c r="B7" s="48" t="s">
        <v>455</v>
      </c>
      <c r="C7" s="48" t="s">
        <v>459</v>
      </c>
      <c r="D7" s="48" t="s">
        <v>457</v>
      </c>
    </row>
    <row r="8" customFormat="false" ht="15" hidden="false" customHeight="false" outlineLevel="0" collapsed="false">
      <c r="A8" s="48" t="s">
        <v>460</v>
      </c>
      <c r="B8" s="48" t="s">
        <v>455</v>
      </c>
      <c r="C8" s="48" t="s">
        <v>461</v>
      </c>
      <c r="D8" s="48" t="s">
        <v>457</v>
      </c>
    </row>
    <row r="9" customFormat="false" ht="15" hidden="false" customHeight="false" outlineLevel="0" collapsed="false">
      <c r="A9" s="48" t="s">
        <v>462</v>
      </c>
      <c r="B9" s="48" t="s">
        <v>455</v>
      </c>
      <c r="C9" s="48" t="s">
        <v>463</v>
      </c>
      <c r="D9" s="48" t="s">
        <v>457</v>
      </c>
    </row>
    <row r="10" customFormat="false" ht="15" hidden="false" customHeight="false" outlineLevel="0" collapsed="false">
      <c r="A10" s="48" t="s">
        <v>464</v>
      </c>
      <c r="B10" s="48" t="s">
        <v>455</v>
      </c>
      <c r="C10" s="48" t="s">
        <v>465</v>
      </c>
      <c r="D10" s="48" t="s">
        <v>457</v>
      </c>
    </row>
    <row r="11" customFormat="false" ht="15" hidden="false" customHeight="false" outlineLevel="0" collapsed="false">
      <c r="A11" s="48" t="s">
        <v>466</v>
      </c>
      <c r="B11" s="48" t="s">
        <v>455</v>
      </c>
      <c r="C11" s="48" t="s">
        <v>467</v>
      </c>
      <c r="D11" s="48" t="s">
        <v>457</v>
      </c>
    </row>
    <row r="12" customFormat="false" ht="15" hidden="false" customHeight="false" outlineLevel="0" collapsed="false">
      <c r="A12" s="48" t="s">
        <v>468</v>
      </c>
      <c r="B12" s="48" t="s">
        <v>455</v>
      </c>
      <c r="C12" s="48" t="s">
        <v>469</v>
      </c>
      <c r="D12" s="48" t="s">
        <v>470</v>
      </c>
    </row>
    <row r="13" customFormat="false" ht="15" hidden="false" customHeight="false" outlineLevel="0" collapsed="false">
      <c r="A13" s="48" t="s">
        <v>471</v>
      </c>
      <c r="B13" s="48" t="s">
        <v>455</v>
      </c>
      <c r="C13" s="48" t="s">
        <v>472</v>
      </c>
      <c r="D13" s="48" t="s">
        <v>473</v>
      </c>
    </row>
    <row r="14" customFormat="false" ht="15" hidden="false" customHeight="false" outlineLevel="0" collapsed="false">
      <c r="A14" s="48" t="s">
        <v>474</v>
      </c>
      <c r="B14" s="48" t="s">
        <v>157</v>
      </c>
      <c r="C14" s="48" t="s">
        <v>475</v>
      </c>
      <c r="D14" s="48" t="s">
        <v>476</v>
      </c>
    </row>
    <row r="15" customFormat="false" ht="15" hidden="false" customHeight="false" outlineLevel="0" collapsed="false">
      <c r="A15" s="48" t="s">
        <v>477</v>
      </c>
      <c r="B15" s="48" t="s">
        <v>157</v>
      </c>
      <c r="C15" s="48" t="s">
        <v>478</v>
      </c>
      <c r="D15" s="48" t="s">
        <v>479</v>
      </c>
    </row>
    <row r="16" customFormat="false" ht="15" hidden="false" customHeight="false" outlineLevel="0" collapsed="false">
      <c r="A16" s="48" t="s">
        <v>480</v>
      </c>
      <c r="B16" s="48" t="s">
        <v>157</v>
      </c>
      <c r="C16" s="48" t="s">
        <v>481</v>
      </c>
      <c r="D16" s="48" t="s">
        <v>482</v>
      </c>
    </row>
    <row r="17" customFormat="false" ht="15" hidden="false" customHeight="false" outlineLevel="0" collapsed="false">
      <c r="A17" s="48" t="s">
        <v>483</v>
      </c>
      <c r="B17" s="48" t="s">
        <v>484</v>
      </c>
      <c r="C17" s="48" t="s">
        <v>485</v>
      </c>
      <c r="D17" s="48" t="s">
        <v>486</v>
      </c>
    </row>
    <row r="18" customFormat="false" ht="15" hidden="false" customHeight="false" outlineLevel="0" collapsed="false">
      <c r="A18" s="48" t="s">
        <v>487</v>
      </c>
      <c r="B18" s="48" t="s">
        <v>484</v>
      </c>
      <c r="C18" s="48" t="s">
        <v>488</v>
      </c>
      <c r="D18" s="48" t="s">
        <v>489</v>
      </c>
    </row>
    <row r="19" customFormat="false" ht="15" hidden="false" customHeight="false" outlineLevel="0" collapsed="false">
      <c r="A19" s="48" t="s">
        <v>490</v>
      </c>
      <c r="B19" s="48" t="s">
        <v>491</v>
      </c>
      <c r="C19" s="48" t="s">
        <v>492</v>
      </c>
      <c r="D19" s="48" t="s">
        <v>489</v>
      </c>
    </row>
    <row r="20" customFormat="false" ht="15" hidden="false" customHeight="false" outlineLevel="0" collapsed="false">
      <c r="A20" s="48" t="s">
        <v>493</v>
      </c>
      <c r="B20" s="48" t="s">
        <v>494</v>
      </c>
      <c r="C20" s="48" t="s">
        <v>495</v>
      </c>
      <c r="D20" s="48" t="s">
        <v>496</v>
      </c>
    </row>
    <row r="21" customFormat="false" ht="15" hidden="false" customHeight="false" outlineLevel="0" collapsed="false">
      <c r="A21" s="48" t="s">
        <v>497</v>
      </c>
      <c r="B21" s="48" t="s">
        <v>498</v>
      </c>
      <c r="C21" s="48" t="s">
        <v>499</v>
      </c>
      <c r="D21" s="48" t="s">
        <v>457</v>
      </c>
    </row>
    <row r="22" customFormat="false" ht="15" hidden="false" customHeight="false" outlineLevel="0" collapsed="false">
      <c r="A22" s="48" t="s">
        <v>500</v>
      </c>
      <c r="B22" s="48" t="s">
        <v>501</v>
      </c>
      <c r="C22" s="48" t="s">
        <v>502</v>
      </c>
      <c r="D22" s="48" t="s">
        <v>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2"/>
    <col collapsed="false" customWidth="true" hidden="false" outlineLevel="0" max="3" min="3" style="0" width="48"/>
    <col collapsed="false" customWidth="true" hidden="false" outlineLevel="0" max="4" min="4" style="0" width="80"/>
  </cols>
  <sheetData>
    <row r="1" customFormat="false" ht="17.35" hidden="false" customHeight="false" outlineLevel="0" collapsed="false">
      <c r="A1" s="1" t="s">
        <v>503</v>
      </c>
      <c r="B1" s="3"/>
      <c r="C1" s="3"/>
      <c r="D1" s="3"/>
    </row>
    <row r="2" customFormat="false" ht="15" hidden="false" customHeight="false" outlineLevel="0" collapsed="false">
      <c r="A2" s="2" t="s">
        <v>504</v>
      </c>
      <c r="B2" s="3"/>
      <c r="C2" s="3"/>
      <c r="D2" s="3"/>
    </row>
    <row r="3" customFormat="false" ht="15" hidden="false" customHeight="false" outlineLevel="0" collapsed="false">
      <c r="A3" s="3"/>
      <c r="B3" s="3"/>
      <c r="C3" s="3"/>
      <c r="D3" s="3"/>
    </row>
    <row r="4" customFormat="false" ht="31.5" hidden="false" customHeight="true" outlineLevel="0" collapsed="false">
      <c r="A4" s="7" t="s">
        <v>505</v>
      </c>
      <c r="B4" s="7" t="s">
        <v>506</v>
      </c>
      <c r="C4" s="7" t="s">
        <v>507</v>
      </c>
      <c r="D4" s="7" t="s">
        <v>508</v>
      </c>
    </row>
    <row r="5" customFormat="false" ht="15" hidden="false" customHeight="false" outlineLevel="0" collapsed="false">
      <c r="A5" s="48" t="s">
        <v>509</v>
      </c>
      <c r="B5" s="48" t="s">
        <v>510</v>
      </c>
      <c r="C5" s="48" t="s">
        <v>511</v>
      </c>
      <c r="D5" s="48" t="s">
        <v>512</v>
      </c>
    </row>
    <row r="6" customFormat="false" ht="15" hidden="false" customHeight="false" outlineLevel="0" collapsed="false">
      <c r="A6" s="48" t="s">
        <v>513</v>
      </c>
      <c r="B6" s="48" t="s">
        <v>510</v>
      </c>
      <c r="C6" s="48" t="s">
        <v>511</v>
      </c>
      <c r="D6" s="48" t="s">
        <v>514</v>
      </c>
    </row>
    <row r="7" customFormat="false" ht="15" hidden="false" customHeight="false" outlineLevel="0" collapsed="false">
      <c r="A7" s="48" t="s">
        <v>515</v>
      </c>
      <c r="B7" s="48" t="s">
        <v>510</v>
      </c>
      <c r="C7" s="48" t="s">
        <v>516</v>
      </c>
      <c r="D7" s="48" t="s">
        <v>517</v>
      </c>
    </row>
    <row r="8" customFormat="false" ht="15" hidden="false" customHeight="false" outlineLevel="0" collapsed="false">
      <c r="A8" s="48" t="s">
        <v>518</v>
      </c>
      <c r="B8" s="48" t="s">
        <v>519</v>
      </c>
      <c r="C8" s="48" t="s">
        <v>520</v>
      </c>
      <c r="D8" s="48" t="s">
        <v>521</v>
      </c>
    </row>
    <row r="9" customFormat="false" ht="15" hidden="false" customHeight="false" outlineLevel="0" collapsed="false">
      <c r="A9" s="48" t="s">
        <v>522</v>
      </c>
      <c r="B9" s="48" t="s">
        <v>519</v>
      </c>
      <c r="C9" s="48" t="s">
        <v>523</v>
      </c>
      <c r="D9" s="48" t="s">
        <v>524</v>
      </c>
    </row>
    <row r="10" customFormat="false" ht="15" hidden="false" customHeight="false" outlineLevel="0" collapsed="false">
      <c r="A10" s="48" t="s">
        <v>525</v>
      </c>
      <c r="B10" s="48" t="s">
        <v>526</v>
      </c>
      <c r="C10" s="48" t="s">
        <v>527</v>
      </c>
      <c r="D10" s="48" t="s">
        <v>528</v>
      </c>
    </row>
    <row r="11" customFormat="false" ht="15" hidden="false" customHeight="false" outlineLevel="0" collapsed="false">
      <c r="A11" s="48" t="s">
        <v>529</v>
      </c>
      <c r="B11" s="48" t="s">
        <v>530</v>
      </c>
      <c r="C11" s="48" t="s">
        <v>531</v>
      </c>
      <c r="D11" s="48" t="s">
        <v>532</v>
      </c>
    </row>
    <row r="12" customFormat="false" ht="15" hidden="false" customHeight="false" outlineLevel="0" collapsed="false">
      <c r="A12" s="48" t="s">
        <v>533</v>
      </c>
      <c r="B12" s="48" t="s">
        <v>510</v>
      </c>
      <c r="C12" s="48" t="s">
        <v>157</v>
      </c>
      <c r="D12" s="48" t="s">
        <v>534</v>
      </c>
    </row>
    <row r="13" customFormat="false" ht="15" hidden="false" customHeight="false" outlineLevel="0" collapsed="false">
      <c r="A13" s="48" t="s">
        <v>535</v>
      </c>
      <c r="B13" s="48" t="s">
        <v>510</v>
      </c>
      <c r="C13" s="48" t="s">
        <v>157</v>
      </c>
      <c r="D13" s="48" t="s">
        <v>536</v>
      </c>
    </row>
    <row r="14" customFormat="false" ht="15" hidden="false" customHeight="false" outlineLevel="0" collapsed="false">
      <c r="A14" s="48" t="s">
        <v>537</v>
      </c>
      <c r="B14" s="48" t="s">
        <v>510</v>
      </c>
      <c r="C14" s="48" t="s">
        <v>157</v>
      </c>
      <c r="D14" s="48" t="s">
        <v>538</v>
      </c>
    </row>
    <row r="15" customFormat="false" ht="15" hidden="false" customHeight="false" outlineLevel="0" collapsed="false">
      <c r="A15" s="48" t="s">
        <v>539</v>
      </c>
      <c r="B15" s="48" t="s">
        <v>510</v>
      </c>
      <c r="C15" s="48" t="s">
        <v>157</v>
      </c>
      <c r="D15" s="48" t="s">
        <v>540</v>
      </c>
    </row>
    <row r="16" customFormat="false" ht="15" hidden="false" customHeight="false" outlineLevel="0" collapsed="false">
      <c r="A16" s="48" t="s">
        <v>541</v>
      </c>
      <c r="B16" s="48" t="s">
        <v>510</v>
      </c>
      <c r="C16" s="48" t="s">
        <v>157</v>
      </c>
      <c r="D16" s="48" t="s">
        <v>542</v>
      </c>
    </row>
    <row r="17" customFormat="false" ht="15" hidden="false" customHeight="false" outlineLevel="0" collapsed="false">
      <c r="A17" s="48" t="s">
        <v>543</v>
      </c>
      <c r="B17" s="48" t="s">
        <v>510</v>
      </c>
      <c r="C17" s="48" t="s">
        <v>157</v>
      </c>
      <c r="D17" s="48" t="s">
        <v>544</v>
      </c>
    </row>
    <row r="18" customFormat="false" ht="15" hidden="false" customHeight="false" outlineLevel="0" collapsed="false">
      <c r="A18" s="48" t="s">
        <v>545</v>
      </c>
      <c r="B18" s="48" t="s">
        <v>510</v>
      </c>
      <c r="C18" s="48" t="s">
        <v>157</v>
      </c>
      <c r="D18" s="48" t="s">
        <v>542</v>
      </c>
    </row>
    <row r="19" customFormat="false" ht="15" hidden="false" customHeight="false" outlineLevel="0" collapsed="false">
      <c r="A19" s="48" t="s">
        <v>546</v>
      </c>
      <c r="B19" s="48" t="s">
        <v>530</v>
      </c>
      <c r="C19" s="48" t="s">
        <v>157</v>
      </c>
      <c r="D19" s="48" t="s">
        <v>547</v>
      </c>
    </row>
    <row r="20" customFormat="false" ht="15" hidden="false" customHeight="false" outlineLevel="0" collapsed="false">
      <c r="A20" s="48" t="s">
        <v>548</v>
      </c>
      <c r="B20" s="48" t="s">
        <v>510</v>
      </c>
      <c r="C20" s="48" t="s">
        <v>157</v>
      </c>
      <c r="D20" s="48" t="s">
        <v>549</v>
      </c>
    </row>
    <row r="21" customFormat="false" ht="15" hidden="false" customHeight="false" outlineLevel="0" collapsed="false">
      <c r="A21" s="48" t="s">
        <v>550</v>
      </c>
      <c r="B21" s="48" t="s">
        <v>510</v>
      </c>
      <c r="C21" s="48" t="s">
        <v>157</v>
      </c>
      <c r="D21" s="48" t="s">
        <v>551</v>
      </c>
    </row>
    <row r="22" customFormat="false" ht="15" hidden="false" customHeight="false" outlineLevel="0" collapsed="false">
      <c r="A22" s="48" t="s">
        <v>552</v>
      </c>
      <c r="B22" s="48" t="s">
        <v>530</v>
      </c>
      <c r="C22" s="48" t="s">
        <v>157</v>
      </c>
      <c r="D22" s="48" t="s">
        <v>553</v>
      </c>
    </row>
    <row r="23" customFormat="false" ht="15" hidden="false" customHeight="false" outlineLevel="0" collapsed="false">
      <c r="A23" s="48" t="s">
        <v>554</v>
      </c>
      <c r="B23" s="48" t="s">
        <v>510</v>
      </c>
      <c r="C23" s="48" t="s">
        <v>157</v>
      </c>
      <c r="D23" s="48" t="s">
        <v>555</v>
      </c>
    </row>
    <row r="24" customFormat="false" ht="15" hidden="false" customHeight="false" outlineLevel="0" collapsed="false">
      <c r="A24" s="48" t="s">
        <v>556</v>
      </c>
      <c r="B24" s="48" t="s">
        <v>530</v>
      </c>
      <c r="C24" s="48" t="s">
        <v>557</v>
      </c>
      <c r="D24" s="48" t="s">
        <v>558</v>
      </c>
    </row>
    <row r="25" customFormat="false" ht="15" hidden="false" customHeight="false" outlineLevel="0" collapsed="false">
      <c r="A25" s="48" t="s">
        <v>559</v>
      </c>
      <c r="B25" s="48" t="s">
        <v>530</v>
      </c>
      <c r="C25" s="48" t="s">
        <v>157</v>
      </c>
      <c r="D25" s="48" t="s">
        <v>560</v>
      </c>
    </row>
    <row r="26" customFormat="false" ht="15" hidden="false" customHeight="false" outlineLevel="0" collapsed="false">
      <c r="A26" s="48" t="s">
        <v>561</v>
      </c>
      <c r="B26" s="48" t="s">
        <v>510</v>
      </c>
      <c r="C26" s="48" t="s">
        <v>562</v>
      </c>
      <c r="D26" s="48" t="s">
        <v>563</v>
      </c>
    </row>
    <row r="27" customFormat="false" ht="15" hidden="false" customHeight="false" outlineLevel="0" collapsed="false">
      <c r="A27" s="48" t="s">
        <v>564</v>
      </c>
      <c r="B27" s="48" t="s">
        <v>510</v>
      </c>
      <c r="C27" s="48" t="s">
        <v>157</v>
      </c>
      <c r="D27" s="48" t="s">
        <v>565</v>
      </c>
    </row>
    <row r="28" customFormat="false" ht="15" hidden="false" customHeight="false" outlineLevel="0" collapsed="false">
      <c r="A28" s="48" t="s">
        <v>566</v>
      </c>
      <c r="B28" s="48" t="s">
        <v>567</v>
      </c>
      <c r="C28" s="48" t="s">
        <v>318</v>
      </c>
      <c r="D28" s="48" t="s">
        <v>568</v>
      </c>
    </row>
    <row r="29" customFormat="false" ht="15" hidden="false" customHeight="false" outlineLevel="0" collapsed="false">
      <c r="A29" s="3"/>
      <c r="B29" s="3"/>
      <c r="C29" s="3"/>
      <c r="D29" s="3"/>
    </row>
    <row r="30" customFormat="false" ht="15" hidden="false" customHeight="false" outlineLevel="0" collapsed="false">
      <c r="A30" s="2" t="s">
        <v>569</v>
      </c>
      <c r="B30" s="3"/>
      <c r="C30" s="3"/>
      <c r="D3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0"/>
    <col collapsed="false" customWidth="true" hidden="false" outlineLevel="0" max="4" min="3" style="0" width="11"/>
    <col collapsed="false" customWidth="true" hidden="false" outlineLevel="0" max="8" min="5" style="0" width="12"/>
    <col collapsed="false" customWidth="true" hidden="false" outlineLevel="0" max="9" min="9" style="0" width="10"/>
    <col collapsed="false" customWidth="true" hidden="false" outlineLevel="0" max="10" min="10" style="0" width="12"/>
    <col collapsed="false" customWidth="true" hidden="false" outlineLevel="0" max="11" min="11" style="0" width="34"/>
  </cols>
  <sheetData>
    <row r="1" customFormat="false" ht="17.35" hidden="false" customHeight="false" outlineLevel="0" collapsed="false">
      <c r="A1" s="1" t="s">
        <v>570</v>
      </c>
      <c r="B1" s="3"/>
      <c r="C1" s="3"/>
      <c r="D1" s="3"/>
      <c r="E1" s="3"/>
      <c r="F1" s="3"/>
      <c r="G1" s="3"/>
      <c r="H1" s="3"/>
      <c r="I1" s="3"/>
      <c r="J1" s="3"/>
      <c r="K1" s="3"/>
    </row>
    <row r="2" customFormat="false" ht="15" hidden="false" customHeight="false" outlineLevel="0" collapsed="false">
      <c r="A2" s="2" t="s">
        <v>571</v>
      </c>
      <c r="B2" s="3"/>
      <c r="C2" s="3"/>
      <c r="D2" s="3"/>
      <c r="E2" s="3"/>
      <c r="F2" s="3"/>
      <c r="G2" s="3"/>
      <c r="H2" s="3"/>
      <c r="I2" s="3"/>
      <c r="J2" s="3"/>
      <c r="K2" s="3"/>
    </row>
    <row r="3" customFormat="false" ht="15" hidden="false" customHeight="false" outlineLevel="0" collapsed="false">
      <c r="A3" s="3"/>
      <c r="B3" s="3"/>
      <c r="C3" s="3"/>
      <c r="D3" s="3"/>
      <c r="E3" s="3"/>
      <c r="F3" s="3"/>
      <c r="G3" s="3"/>
      <c r="H3" s="3"/>
      <c r="I3" s="3"/>
      <c r="J3" s="3"/>
      <c r="K3" s="3"/>
    </row>
    <row r="4" customFormat="false" ht="15" hidden="false" customHeight="false" outlineLevel="0" collapsed="false">
      <c r="A4" s="42" t="s">
        <v>572</v>
      </c>
      <c r="B4" s="49" t="n">
        <v>79.99</v>
      </c>
      <c r="C4" s="3"/>
      <c r="D4" s="3"/>
      <c r="E4" s="3"/>
      <c r="F4" s="3"/>
      <c r="G4" s="3"/>
      <c r="H4" s="3"/>
      <c r="I4" s="3"/>
      <c r="J4" s="3"/>
      <c r="K4" s="3"/>
    </row>
    <row r="5" customFormat="false" ht="15" hidden="false" customHeight="false" outlineLevel="0" collapsed="false">
      <c r="A5" s="42" t="s">
        <v>573</v>
      </c>
      <c r="B5" s="49" t="n">
        <v>4.4</v>
      </c>
      <c r="C5" s="3"/>
      <c r="D5" s="3"/>
      <c r="E5" s="3"/>
      <c r="F5" s="3"/>
      <c r="G5" s="3"/>
      <c r="H5" s="3"/>
      <c r="I5" s="3"/>
      <c r="J5" s="3"/>
      <c r="K5" s="3"/>
    </row>
    <row r="6" customFormat="false" ht="15" hidden="false" customHeight="false" outlineLevel="0" collapsed="false">
      <c r="A6" s="42" t="s">
        <v>574</v>
      </c>
      <c r="B6" s="49" t="n">
        <v>24</v>
      </c>
      <c r="C6" s="3"/>
      <c r="D6" s="3"/>
      <c r="E6" s="3"/>
      <c r="F6" s="3"/>
      <c r="G6" s="3"/>
      <c r="H6" s="3"/>
      <c r="I6" s="3"/>
      <c r="J6" s="3"/>
      <c r="K6" s="3"/>
    </row>
    <row r="7" customFormat="false" ht="15" hidden="false" customHeight="false" outlineLevel="0" collapsed="false">
      <c r="A7" s="3"/>
      <c r="B7" s="3"/>
      <c r="C7" s="3"/>
      <c r="D7" s="3"/>
      <c r="E7" s="3"/>
      <c r="F7" s="3"/>
      <c r="G7" s="3"/>
      <c r="H7" s="3"/>
      <c r="I7" s="3"/>
      <c r="J7" s="3"/>
      <c r="K7" s="3"/>
    </row>
    <row r="8" customFormat="false" ht="31.5" hidden="false" customHeight="true" outlineLevel="0" collapsed="false">
      <c r="A8" s="7" t="s">
        <v>575</v>
      </c>
      <c r="B8" s="7" t="s">
        <v>576</v>
      </c>
      <c r="C8" s="7" t="s">
        <v>577</v>
      </c>
      <c r="D8" s="7" t="s">
        <v>578</v>
      </c>
      <c r="E8" s="7" t="s">
        <v>579</v>
      </c>
      <c r="F8" s="7" t="s">
        <v>580</v>
      </c>
      <c r="G8" s="7" t="s">
        <v>581</v>
      </c>
      <c r="H8" s="7" t="s">
        <v>582</v>
      </c>
      <c r="I8" s="7" t="s">
        <v>583</v>
      </c>
      <c r="J8" s="7" t="s">
        <v>584</v>
      </c>
      <c r="K8" s="7" t="s">
        <v>585</v>
      </c>
    </row>
    <row r="9" customFormat="false" ht="15" hidden="false" customHeight="false" outlineLevel="0" collapsed="false">
      <c r="A9" s="48" t="s">
        <v>586</v>
      </c>
      <c r="B9" s="48" t="s">
        <v>587</v>
      </c>
      <c r="C9" s="17" t="n">
        <v>149.99</v>
      </c>
      <c r="D9" s="50" t="n">
        <v>4.2</v>
      </c>
      <c r="E9" s="50" t="n">
        <v>593</v>
      </c>
      <c r="F9" s="48" t="n">
        <f aca="false">IF(C9="","",IF($B$4&lt;C9,1,0))</f>
        <v>1</v>
      </c>
      <c r="G9" s="48" t="n">
        <f aca="false">IF(D9="","",IF($B$5&gt;D9,1,0))</f>
        <v>1</v>
      </c>
      <c r="H9" s="48" t="n">
        <f aca="false">IF(E9="","",IF($B$6&gt;E9,1,0))</f>
        <v>0</v>
      </c>
      <c r="I9" s="48" t="n">
        <f aca="false">SUM(F9:H9)</f>
        <v>2</v>
      </c>
      <c r="J9" s="48" t="str">
        <f aca="false">IF(I9&gt;=2,"PASS","FAIL")</f>
        <v>PASS</v>
      </c>
      <c r="K9" s="48" t="s">
        <v>588</v>
      </c>
    </row>
    <row r="10" customFormat="false" ht="15" hidden="false" customHeight="false" outlineLevel="0" collapsed="false">
      <c r="A10" s="48" t="s">
        <v>589</v>
      </c>
      <c r="B10" s="48" t="s">
        <v>590</v>
      </c>
      <c r="C10" s="17" t="n">
        <v>139.99</v>
      </c>
      <c r="D10" s="50" t="n">
        <v>3.8</v>
      </c>
      <c r="E10" s="50" t="n">
        <v>72</v>
      </c>
      <c r="F10" s="48" t="n">
        <f aca="false">IF(C10="","",IF($B$4&lt;C10,1,0))</f>
        <v>1</v>
      </c>
      <c r="G10" s="48" t="n">
        <f aca="false">IF(D10="","",IF($B$5&gt;D10,1,0))</f>
        <v>1</v>
      </c>
      <c r="H10" s="48" t="n">
        <f aca="false">IF(E10="","",IF($B$6&gt;E10,1,0))</f>
        <v>0</v>
      </c>
      <c r="I10" s="48" t="n">
        <f aca="false">SUM(F10:H10)</f>
        <v>2</v>
      </c>
      <c r="J10" s="48" t="str">
        <f aca="false">IF(I10&gt;=2,"PASS","FAIL")</f>
        <v>PASS</v>
      </c>
      <c r="K10" s="48" t="s">
        <v>588</v>
      </c>
    </row>
    <row r="11" customFormat="false" ht="15" hidden="false" customHeight="false" outlineLevel="0" collapsed="false">
      <c r="A11" s="48" t="s">
        <v>591</v>
      </c>
      <c r="B11" s="48" t="s">
        <v>592</v>
      </c>
      <c r="C11" s="17" t="n">
        <v>164.25</v>
      </c>
      <c r="D11" s="50" t="n">
        <v>4.3</v>
      </c>
      <c r="E11" s="50" t="n">
        <v>1133</v>
      </c>
      <c r="F11" s="48" t="n">
        <f aca="false">IF(C11="","",IF($B$4&lt;C11,1,0))</f>
        <v>1</v>
      </c>
      <c r="G11" s="48" t="n">
        <f aca="false">IF(D11="","",IF($B$5&gt;D11,1,0))</f>
        <v>1</v>
      </c>
      <c r="H11" s="48" t="n">
        <f aca="false">IF(E11="","",IF($B$6&gt;E11,1,0))</f>
        <v>0</v>
      </c>
      <c r="I11" s="48" t="n">
        <f aca="false">SUM(F11:H11)</f>
        <v>2</v>
      </c>
      <c r="J11" s="48" t="str">
        <f aca="false">IF(I11&gt;=2,"PASS","FAIL")</f>
        <v>PASS</v>
      </c>
      <c r="K11" s="48" t="s">
        <v>588</v>
      </c>
    </row>
    <row r="12" customFormat="false" ht="15" hidden="false" customHeight="false" outlineLevel="0" collapsed="false">
      <c r="A12" s="48" t="s">
        <v>593</v>
      </c>
      <c r="B12" s="48" t="s">
        <v>594</v>
      </c>
      <c r="C12" s="17" t="n">
        <v>149</v>
      </c>
      <c r="D12" s="50" t="n">
        <v>4.5</v>
      </c>
      <c r="E12" s="50" t="n">
        <v>3254</v>
      </c>
      <c r="F12" s="48" t="n">
        <f aca="false">IF(C12="","",IF($B$4&lt;C12,1,0))</f>
        <v>1</v>
      </c>
      <c r="G12" s="48" t="n">
        <f aca="false">IF(D12="","",IF($B$5&gt;D12,1,0))</f>
        <v>0</v>
      </c>
      <c r="H12" s="48" t="n">
        <f aca="false">IF(E12="","",IF($B$6&gt;E12,1,0))</f>
        <v>0</v>
      </c>
      <c r="I12" s="48" t="n">
        <f aca="false">SUM(F12:H12)</f>
        <v>1</v>
      </c>
      <c r="J12" s="48" t="str">
        <f aca="false">IF(I12&gt;=2,"PASS","FAIL")</f>
        <v>FAIL</v>
      </c>
      <c r="K12" s="48" t="s">
        <v>595</v>
      </c>
    </row>
    <row r="13" customFormat="false" ht="15" hidden="false" customHeight="false" outlineLevel="0" collapsed="false">
      <c r="A13" s="48" t="s">
        <v>596</v>
      </c>
      <c r="B13" s="48" t="s">
        <v>597</v>
      </c>
      <c r="C13" s="17" t="n">
        <v>89.99</v>
      </c>
      <c r="D13" s="50" t="n">
        <v>4.5</v>
      </c>
      <c r="E13" s="50" t="n">
        <v>436</v>
      </c>
      <c r="F13" s="48" t="n">
        <f aca="false">IF(C13="","",IF($B$4&lt;C13,1,0))</f>
        <v>1</v>
      </c>
      <c r="G13" s="48" t="n">
        <f aca="false">IF(D13="","",IF($B$5&gt;D13,1,0))</f>
        <v>0</v>
      </c>
      <c r="H13" s="48" t="n">
        <f aca="false">IF(E13="","",IF($B$6&gt;E13,1,0))</f>
        <v>0</v>
      </c>
      <c r="I13" s="48" t="n">
        <f aca="false">SUM(F13:H13)</f>
        <v>1</v>
      </c>
      <c r="J13" s="48" t="str">
        <f aca="false">IF(I13&gt;=2,"PASS","FAIL")</f>
        <v>FAIL</v>
      </c>
      <c r="K13" s="48" t="s">
        <v>598</v>
      </c>
    </row>
    <row r="14" customFormat="false" ht="15" hidden="false" customHeight="false" outlineLevel="0" collapsed="false">
      <c r="A14" s="48" t="s">
        <v>599</v>
      </c>
      <c r="B14" s="48" t="s">
        <v>600</v>
      </c>
      <c r="C14" s="17" t="n">
        <v>99</v>
      </c>
      <c r="D14" s="50"/>
      <c r="E14" s="50"/>
      <c r="F14" s="48" t="n">
        <f aca="false">IF(C14="","",IF($B$4&lt;C14,1,0))</f>
        <v>1</v>
      </c>
      <c r="G14" s="48" t="str">
        <f aca="false">IF(D14="","",IF($B$5&gt;D14,1,0))</f>
        <v/>
      </c>
      <c r="H14" s="48" t="str">
        <f aca="false">IF(E14="","",IF($B$6&gt;E14,1,0))</f>
        <v/>
      </c>
      <c r="I14" s="48" t="n">
        <f aca="false">SUM(F14:H14)</f>
        <v>1</v>
      </c>
      <c r="J14" s="48" t="str">
        <f aca="false">IF(I14&gt;=2,"PASS","FAIL")</f>
        <v>FAIL</v>
      </c>
      <c r="K14" s="48" t="s">
        <v>588</v>
      </c>
    </row>
    <row r="15" customFormat="false" ht="15" hidden="false" customHeight="false" outlineLevel="0" collapsed="false">
      <c r="A15" s="48" t="s">
        <v>601</v>
      </c>
      <c r="B15" s="48" t="s">
        <v>602</v>
      </c>
      <c r="C15" s="17" t="n">
        <v>148.99</v>
      </c>
      <c r="D15" s="50" t="n">
        <v>4.3</v>
      </c>
      <c r="E15" s="50" t="n">
        <v>59</v>
      </c>
      <c r="F15" s="48" t="n">
        <f aca="false">IF(C15="","",IF($B$4&lt;C15,1,0))</f>
        <v>1</v>
      </c>
      <c r="G15" s="48" t="n">
        <f aca="false">IF(D15="","",IF($B$5&gt;D15,1,0))</f>
        <v>1</v>
      </c>
      <c r="H15" s="48" t="n">
        <f aca="false">IF(E15="","",IF($B$6&gt;E15,1,0))</f>
        <v>0</v>
      </c>
      <c r="I15" s="48" t="n">
        <f aca="false">SUM(F15:H15)</f>
        <v>2</v>
      </c>
      <c r="J15" s="48" t="str">
        <f aca="false">IF(I15&gt;=2,"PASS","FAIL")</f>
        <v>PASS</v>
      </c>
      <c r="K15" s="48" t="s">
        <v>588</v>
      </c>
    </row>
    <row r="16" customFormat="false" ht="15" hidden="false" customHeight="false" outlineLevel="0" collapsed="false">
      <c r="A16" s="48" t="s">
        <v>603</v>
      </c>
      <c r="B16" s="48" t="s">
        <v>604</v>
      </c>
      <c r="C16" s="17" t="n">
        <v>79.99</v>
      </c>
      <c r="D16" s="50" t="n">
        <v>4.1</v>
      </c>
      <c r="E16" s="50" t="n">
        <v>24</v>
      </c>
      <c r="F16" s="48" t="n">
        <f aca="false">IF(C16="","",IF($B$4&lt;C16,1,0))</f>
        <v>0</v>
      </c>
      <c r="G16" s="48" t="n">
        <f aca="false">IF(D16="","",IF($B$5&gt;D16,1,0))</f>
        <v>1</v>
      </c>
      <c r="H16" s="48" t="n">
        <f aca="false">IF(E16="","",IF($B$6&gt;E16,1,0))</f>
        <v>0</v>
      </c>
      <c r="I16" s="48" t="n">
        <f aca="false">SUM(F16:H16)</f>
        <v>1</v>
      </c>
      <c r="J16" s="48" t="str">
        <f aca="false">IF(I16&gt;=2,"PASS","FAIL")</f>
        <v>FAIL</v>
      </c>
      <c r="K16" s="48" t="s">
        <v>588</v>
      </c>
    </row>
    <row r="17" customFormat="false" ht="15" hidden="false" customHeight="false" outlineLevel="0" collapsed="false">
      <c r="A17" s="48" t="s">
        <v>605</v>
      </c>
      <c r="B17" s="48" t="s">
        <v>606</v>
      </c>
      <c r="C17" s="17" t="n">
        <v>89.99</v>
      </c>
      <c r="D17" s="50" t="n">
        <v>4.4</v>
      </c>
      <c r="E17" s="50" t="n">
        <v>129</v>
      </c>
      <c r="F17" s="48" t="n">
        <f aca="false">IF(C17="","",IF($B$4&lt;C17,1,0))</f>
        <v>1</v>
      </c>
      <c r="G17" s="48" t="n">
        <f aca="false">IF(D17="","",IF($B$5&gt;D17,1,0))</f>
        <v>0</v>
      </c>
      <c r="H17" s="48" t="n">
        <f aca="false">IF(E17="","",IF($B$6&gt;E17,1,0))</f>
        <v>0</v>
      </c>
      <c r="I17" s="48" t="n">
        <f aca="false">SUM(F17:H17)</f>
        <v>1</v>
      </c>
      <c r="J17" s="48" t="str">
        <f aca="false">IF(I17&gt;=2,"PASS","FAIL")</f>
        <v>FAIL</v>
      </c>
      <c r="K17" s="48" t="s">
        <v>588</v>
      </c>
    </row>
    <row r="18" customFormat="false" ht="15" hidden="false" customHeight="false" outlineLevel="0" collapsed="false">
      <c r="A18" s="48" t="s">
        <v>607</v>
      </c>
      <c r="B18" s="48" t="s">
        <v>608</v>
      </c>
      <c r="C18" s="17" t="n">
        <v>119.99</v>
      </c>
      <c r="D18" s="50" t="n">
        <v>4.3</v>
      </c>
      <c r="E18" s="50" t="n">
        <v>472</v>
      </c>
      <c r="F18" s="48" t="n">
        <f aca="false">IF(C18="","",IF($B$4&lt;C18,1,0))</f>
        <v>1</v>
      </c>
      <c r="G18" s="48" t="n">
        <f aca="false">IF(D18="","",IF($B$5&gt;D18,1,0))</f>
        <v>1</v>
      </c>
      <c r="H18" s="48" t="n">
        <f aca="false">IF(E18="","",IF($B$6&gt;E18,1,0))</f>
        <v>0</v>
      </c>
      <c r="I18" s="48" t="n">
        <f aca="false">SUM(F18:H18)</f>
        <v>2</v>
      </c>
      <c r="J18" s="48" t="str">
        <f aca="false">IF(I18&gt;=2,"PASS","FAIL")</f>
        <v>PASS</v>
      </c>
      <c r="K18" s="48" t="s">
        <v>588</v>
      </c>
    </row>
    <row r="19" customFormat="false" ht="15" hidden="false" customHeight="false" outlineLevel="0" collapsed="false">
      <c r="A19" s="48" t="s">
        <v>609</v>
      </c>
      <c r="B19" s="48" t="s">
        <v>610</v>
      </c>
      <c r="C19" s="17" t="n">
        <v>79</v>
      </c>
      <c r="D19" s="50" t="n">
        <v>2.5</v>
      </c>
      <c r="E19" s="50" t="n">
        <v>250</v>
      </c>
      <c r="F19" s="48" t="n">
        <f aca="false">IF(C19="","",IF($B$4&lt;C19,1,0))</f>
        <v>0</v>
      </c>
      <c r="G19" s="48" t="n">
        <f aca="false">IF(D19="","",IF($B$5&gt;D19,1,0))</f>
        <v>1</v>
      </c>
      <c r="H19" s="48" t="n">
        <f aca="false">IF(E19="","",IF($B$6&gt;E19,1,0))</f>
        <v>0</v>
      </c>
      <c r="I19" s="48" t="n">
        <f aca="false">SUM(F19:H19)</f>
        <v>1</v>
      </c>
      <c r="J19" s="48" t="str">
        <f aca="false">IF(I19&gt;=2,"PASS","FAIL")</f>
        <v>FAIL</v>
      </c>
      <c r="K19" s="48" t="s">
        <v>588</v>
      </c>
    </row>
    <row r="20" customFormat="false" ht="15" hidden="false" customHeight="false" outlineLevel="0" collapsed="false">
      <c r="A20" s="48" t="s">
        <v>611</v>
      </c>
      <c r="B20" s="48" t="s">
        <v>612</v>
      </c>
      <c r="C20" s="17" t="n">
        <v>62.1</v>
      </c>
      <c r="D20" s="50" t="n">
        <v>3.6</v>
      </c>
      <c r="E20" s="50" t="n">
        <v>131</v>
      </c>
      <c r="F20" s="48" t="n">
        <f aca="false">IF(C20="","",IF($B$4&lt;C20,1,0))</f>
        <v>0</v>
      </c>
      <c r="G20" s="48" t="n">
        <f aca="false">IF(D20="","",IF($B$5&gt;D20,1,0))</f>
        <v>1</v>
      </c>
      <c r="H20" s="48" t="n">
        <f aca="false">IF(E20="","",IF($B$6&gt;E20,1,0))</f>
        <v>0</v>
      </c>
      <c r="I20" s="48" t="n">
        <f aca="false">SUM(F20:H20)</f>
        <v>1</v>
      </c>
      <c r="J20" s="48" t="str">
        <f aca="false">IF(I20&gt;=2,"PASS","FAIL")</f>
        <v>FAIL</v>
      </c>
      <c r="K20" s="48" t="s">
        <v>613</v>
      </c>
    </row>
    <row r="21" customFormat="false" ht="15" hidden="false" customHeight="false" outlineLevel="0" collapsed="false">
      <c r="A21" s="48" t="s">
        <v>614</v>
      </c>
      <c r="B21" s="48" t="s">
        <v>615</v>
      </c>
      <c r="C21" s="17" t="n">
        <v>69.99</v>
      </c>
      <c r="D21" s="50" t="n">
        <v>4.1</v>
      </c>
      <c r="E21" s="50" t="n">
        <v>183</v>
      </c>
      <c r="F21" s="48" t="n">
        <f aca="false">IF(C21="","",IF($B$4&lt;C21,1,0))</f>
        <v>0</v>
      </c>
      <c r="G21" s="48" t="n">
        <f aca="false">IF(D21="","",IF($B$5&gt;D21,1,0))</f>
        <v>1</v>
      </c>
      <c r="H21" s="48" t="n">
        <f aca="false">IF(E21="","",IF($B$6&gt;E21,1,0))</f>
        <v>0</v>
      </c>
      <c r="I21" s="48" t="n">
        <f aca="false">SUM(F21:H21)</f>
        <v>1</v>
      </c>
      <c r="J21" s="48" t="str">
        <f aca="false">IF(I21&gt;=2,"PASS","FAIL")</f>
        <v>FAIL</v>
      </c>
      <c r="K21" s="48" t="s">
        <v>616</v>
      </c>
    </row>
    <row r="22" customFormat="false" ht="15" hidden="false" customHeight="false" outlineLevel="0" collapsed="false">
      <c r="A22" s="48" t="s">
        <v>617</v>
      </c>
      <c r="B22" s="48" t="s">
        <v>618</v>
      </c>
      <c r="C22" s="17" t="n">
        <v>28.49</v>
      </c>
      <c r="D22" s="50" t="n">
        <v>4.1</v>
      </c>
      <c r="E22" s="50" t="n">
        <v>7324</v>
      </c>
      <c r="F22" s="48" t="n">
        <f aca="false">IF(C22="","",IF($B$4&lt;C22,1,0))</f>
        <v>0</v>
      </c>
      <c r="G22" s="48" t="n">
        <f aca="false">IF(D22="","",IF($B$5&gt;D22,1,0))</f>
        <v>1</v>
      </c>
      <c r="H22" s="48" t="n">
        <f aca="false">IF(E22="","",IF($B$6&gt;E22,1,0))</f>
        <v>0</v>
      </c>
      <c r="I22" s="48" t="n">
        <f aca="false">SUM(F22:H22)</f>
        <v>1</v>
      </c>
      <c r="J22" s="48" t="str">
        <f aca="false">IF(I22&gt;=2,"PASS","FAIL")</f>
        <v>FAIL</v>
      </c>
      <c r="K22" s="48" t="s">
        <v>619</v>
      </c>
    </row>
    <row r="23" customFormat="false" ht="15" hidden="false" customHeight="false" outlineLevel="0" collapsed="false">
      <c r="A23" s="48" t="s">
        <v>620</v>
      </c>
      <c r="B23" s="48" t="s">
        <v>621</v>
      </c>
      <c r="C23" s="17" t="n">
        <v>28.49</v>
      </c>
      <c r="D23" s="50" t="n">
        <v>4.1</v>
      </c>
      <c r="E23" s="50" t="n">
        <v>23009</v>
      </c>
      <c r="F23" s="48" t="n">
        <f aca="false">IF(C23="","",IF($B$4&lt;C23,1,0))</f>
        <v>0</v>
      </c>
      <c r="G23" s="48" t="n">
        <f aca="false">IF(D23="","",IF($B$5&gt;D23,1,0))</f>
        <v>1</v>
      </c>
      <c r="H23" s="48" t="n">
        <f aca="false">IF(E23="","",IF($B$6&gt;E23,1,0))</f>
        <v>0</v>
      </c>
      <c r="I23" s="48" t="n">
        <f aca="false">SUM(F23:H23)</f>
        <v>1</v>
      </c>
      <c r="J23" s="48" t="str">
        <f aca="false">IF(I23&gt;=2,"PASS","FAIL")</f>
        <v>FAIL</v>
      </c>
      <c r="K23" s="48" t="s">
        <v>619</v>
      </c>
    </row>
    <row r="24" customFormat="false" ht="15" hidden="false" customHeight="false" outlineLevel="0" collapsed="false">
      <c r="A24" s="48" t="s">
        <v>622</v>
      </c>
      <c r="B24" s="48" t="s">
        <v>623</v>
      </c>
      <c r="C24" s="17" t="n">
        <v>37.99</v>
      </c>
      <c r="D24" s="50" t="n">
        <v>4.4</v>
      </c>
      <c r="E24" s="50" t="n">
        <v>1856</v>
      </c>
      <c r="F24" s="48" t="n">
        <f aca="false">IF(C24="","",IF($B$4&lt;C24,1,0))</f>
        <v>0</v>
      </c>
      <c r="G24" s="48" t="n">
        <f aca="false">IF(D24="","",IF($B$5&gt;D24,1,0))</f>
        <v>0</v>
      </c>
      <c r="H24" s="48" t="n">
        <f aca="false">IF(E24="","",IF($B$6&gt;E24,1,0))</f>
        <v>0</v>
      </c>
      <c r="I24" s="48" t="n">
        <f aca="false">SUM(F24:H24)</f>
        <v>0</v>
      </c>
      <c r="J24" s="48" t="str">
        <f aca="false">IF(I24&gt;=2,"PASS","FAIL")</f>
        <v>FAIL</v>
      </c>
      <c r="K24" s="48" t="s">
        <v>619</v>
      </c>
    </row>
    <row r="25" customFormat="false" ht="15" hidden="false" customHeight="false" outlineLevel="0" collapsed="false">
      <c r="A25" s="48" t="s">
        <v>624</v>
      </c>
      <c r="B25" s="48" t="s">
        <v>625</v>
      </c>
      <c r="C25" s="17" t="n">
        <v>64.59</v>
      </c>
      <c r="D25" s="50" t="n">
        <v>4.4</v>
      </c>
      <c r="E25" s="50" t="n">
        <v>64995</v>
      </c>
      <c r="F25" s="48" t="n">
        <f aca="false">IF(C25="","",IF($B$4&lt;C25,1,0))</f>
        <v>0</v>
      </c>
      <c r="G25" s="48" t="n">
        <f aca="false">IF(D25="","",IF($B$5&gt;D25,1,0))</f>
        <v>0</v>
      </c>
      <c r="H25" s="48" t="n">
        <f aca="false">IF(E25="","",IF($B$6&gt;E25,1,0))</f>
        <v>0</v>
      </c>
      <c r="I25" s="48" t="n">
        <f aca="false">SUM(F25:H25)</f>
        <v>0</v>
      </c>
      <c r="J25" s="48" t="str">
        <f aca="false">IF(I25&gt;=2,"PASS","FAIL")</f>
        <v>FAIL</v>
      </c>
      <c r="K25" s="48" t="s">
        <v>619</v>
      </c>
    </row>
    <row r="26" customFormat="false" ht="15" hidden="false" customHeight="false" outlineLevel="0" collapsed="false">
      <c r="A26" s="48" t="s">
        <v>626</v>
      </c>
      <c r="B26" s="48" t="s">
        <v>627</v>
      </c>
      <c r="C26" s="17" t="n">
        <v>24.99</v>
      </c>
      <c r="D26" s="50" t="n">
        <v>4.5</v>
      </c>
      <c r="E26" s="50" t="n">
        <v>461815</v>
      </c>
      <c r="F26" s="48" t="n">
        <f aca="false">IF(C26="","",IF($B$4&lt;C26,1,0))</f>
        <v>0</v>
      </c>
      <c r="G26" s="48" t="n">
        <f aca="false">IF(D26="","",IF($B$5&gt;D26,1,0))</f>
        <v>0</v>
      </c>
      <c r="H26" s="48" t="n">
        <f aca="false">IF(E26="","",IF($B$6&gt;E26,1,0))</f>
        <v>0</v>
      </c>
      <c r="I26" s="48" t="n">
        <f aca="false">SUM(F26:H26)</f>
        <v>0</v>
      </c>
      <c r="J26" s="48" t="str">
        <f aca="false">IF(I26&gt;=2,"PASS","FAIL")</f>
        <v>FAIL</v>
      </c>
      <c r="K26" s="48" t="s">
        <v>619</v>
      </c>
    </row>
    <row r="27" customFormat="false" ht="15" hidden="false" customHeight="false" outlineLevel="0" collapsed="false">
      <c r="A27" s="48" t="s">
        <v>628</v>
      </c>
      <c r="B27" s="48" t="s">
        <v>629</v>
      </c>
      <c r="C27" s="17" t="n">
        <v>109.99</v>
      </c>
      <c r="D27" s="50" t="n">
        <v>4.5</v>
      </c>
      <c r="E27" s="50" t="n">
        <v>21857</v>
      </c>
      <c r="F27" s="48" t="n">
        <f aca="false">IF(C27="","",IF($B$4&lt;C27,1,0))</f>
        <v>1</v>
      </c>
      <c r="G27" s="48" t="n">
        <f aca="false">IF(D27="","",IF($B$5&gt;D27,1,0))</f>
        <v>0</v>
      </c>
      <c r="H27" s="48" t="n">
        <f aca="false">IF(E27="","",IF($B$6&gt;E27,1,0))</f>
        <v>0</v>
      </c>
      <c r="I27" s="48" t="n">
        <f aca="false">SUM(F27:H27)</f>
        <v>1</v>
      </c>
      <c r="J27" s="48" t="str">
        <f aca="false">IF(I27&gt;=2,"PASS","FAIL")</f>
        <v>FAIL</v>
      </c>
      <c r="K27" s="48" t="s">
        <v>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0"/>
    <col collapsed="false" customWidth="true" hidden="false" outlineLevel="0" max="3" min="3" style="0" width="55"/>
    <col collapsed="false" customWidth="true" hidden="false" outlineLevel="0" max="4" min="4" style="0" width="45"/>
  </cols>
  <sheetData>
    <row r="1" customFormat="false" ht="17.35" hidden="false" customHeight="false" outlineLevel="0" collapsed="false">
      <c r="A1" s="1" t="s">
        <v>631</v>
      </c>
      <c r="B1" s="3"/>
      <c r="C1" s="3"/>
      <c r="D1" s="3"/>
    </row>
    <row r="2" customFormat="false" ht="15" hidden="false" customHeight="false" outlineLevel="0" collapsed="false">
      <c r="A2" s="2" t="s">
        <v>632</v>
      </c>
      <c r="B2" s="3"/>
      <c r="C2" s="3"/>
      <c r="D2" s="3"/>
    </row>
    <row r="3" customFormat="false" ht="15" hidden="false" customHeight="false" outlineLevel="0" collapsed="false">
      <c r="A3" s="3"/>
      <c r="B3" s="3"/>
      <c r="C3" s="3"/>
      <c r="D3" s="3"/>
    </row>
    <row r="4" customFormat="false" ht="31.5" hidden="false" customHeight="true" outlineLevel="0" collapsed="false">
      <c r="A4" s="7" t="s">
        <v>633</v>
      </c>
      <c r="B4" s="7" t="s">
        <v>634</v>
      </c>
      <c r="C4" s="7" t="s">
        <v>635</v>
      </c>
      <c r="D4" s="7" t="s">
        <v>636</v>
      </c>
    </row>
    <row r="5" customFormat="false" ht="15" hidden="false" customHeight="false" outlineLevel="0" collapsed="false">
      <c r="A5" s="27" t="s">
        <v>637</v>
      </c>
      <c r="B5" s="27" t="s">
        <v>638</v>
      </c>
      <c r="C5" s="27" t="s">
        <v>639</v>
      </c>
      <c r="D5" s="27" t="s">
        <v>640</v>
      </c>
    </row>
    <row r="6" customFormat="false" ht="15" hidden="false" customHeight="false" outlineLevel="0" collapsed="false">
      <c r="A6" s="27" t="s">
        <v>641</v>
      </c>
      <c r="B6" s="27" t="s">
        <v>642</v>
      </c>
      <c r="C6" s="27" t="s">
        <v>643</v>
      </c>
      <c r="D6" s="27" t="s">
        <v>644</v>
      </c>
    </row>
    <row r="7" customFormat="false" ht="15" hidden="false" customHeight="false" outlineLevel="0" collapsed="false">
      <c r="A7" s="27" t="s">
        <v>645</v>
      </c>
      <c r="B7" s="27" t="s">
        <v>646</v>
      </c>
      <c r="C7" s="27" t="s">
        <v>647</v>
      </c>
      <c r="D7" s="27" t="s">
        <v>648</v>
      </c>
    </row>
    <row r="8" customFormat="false" ht="15" hidden="false" customHeight="false" outlineLevel="0" collapsed="false">
      <c r="A8" s="27" t="s">
        <v>649</v>
      </c>
      <c r="B8" s="27" t="s">
        <v>650</v>
      </c>
      <c r="C8" s="27" t="s">
        <v>651</v>
      </c>
      <c r="D8" s="27" t="s">
        <v>318</v>
      </c>
    </row>
    <row r="9" customFormat="false" ht="15" hidden="false" customHeight="false" outlineLevel="0" collapsed="false">
      <c r="A9" s="27" t="s">
        <v>652</v>
      </c>
      <c r="B9" s="27" t="s">
        <v>653</v>
      </c>
      <c r="C9" s="27" t="s">
        <v>654</v>
      </c>
      <c r="D9" s="27" t="s">
        <v>318</v>
      </c>
    </row>
    <row r="10" customFormat="false" ht="15" hidden="false" customHeight="false" outlineLevel="0" collapsed="false">
      <c r="A10" s="27" t="s">
        <v>655</v>
      </c>
      <c r="B10" s="27" t="s">
        <v>656</v>
      </c>
      <c r="C10" s="27" t="s">
        <v>657</v>
      </c>
      <c r="D10" s="27" t="s">
        <v>658</v>
      </c>
    </row>
    <row r="11" customFormat="false" ht="15" hidden="false" customHeight="false" outlineLevel="0" collapsed="false">
      <c r="A11" s="27" t="s">
        <v>659</v>
      </c>
      <c r="B11" s="27" t="s">
        <v>660</v>
      </c>
      <c r="C11" s="27" t="s">
        <v>661</v>
      </c>
      <c r="D11" s="27" t="s">
        <v>318</v>
      </c>
    </row>
    <row r="12" customFormat="false" ht="15" hidden="false" customHeight="false" outlineLevel="0" collapsed="false">
      <c r="A12" s="27" t="s">
        <v>662</v>
      </c>
      <c r="B12" s="27" t="s">
        <v>663</v>
      </c>
      <c r="C12" s="27" t="s">
        <v>664</v>
      </c>
      <c r="D12" s="27" t="s">
        <v>665</v>
      </c>
    </row>
    <row r="13" customFormat="false" ht="15" hidden="false" customHeight="false" outlineLevel="0" collapsed="false">
      <c r="A13" s="27" t="s">
        <v>666</v>
      </c>
      <c r="B13" s="27" t="s">
        <v>667</v>
      </c>
      <c r="C13" s="27" t="s">
        <v>668</v>
      </c>
      <c r="D13" s="27" t="s">
        <v>669</v>
      </c>
    </row>
    <row r="14" customFormat="false" ht="23.85" hidden="false" customHeight="false" outlineLevel="0" collapsed="false">
      <c r="A14" s="27" t="s">
        <v>670</v>
      </c>
      <c r="B14" s="27" t="s">
        <v>671</v>
      </c>
      <c r="C14" s="27" t="s">
        <v>672</v>
      </c>
      <c r="D14" s="27" t="s">
        <v>673</v>
      </c>
    </row>
    <row r="15" customFormat="false" ht="15" hidden="false" customHeight="false" outlineLevel="0" collapsed="false">
      <c r="A15" s="27" t="s">
        <v>674</v>
      </c>
      <c r="B15" s="27" t="s">
        <v>675</v>
      </c>
      <c r="C15" s="27" t="s">
        <v>676</v>
      </c>
      <c r="D15" s="27" t="s">
        <v>677</v>
      </c>
    </row>
    <row r="16" customFormat="false" ht="15" hidden="false" customHeight="false" outlineLevel="0" collapsed="false">
      <c r="A16" s="27" t="s">
        <v>678</v>
      </c>
      <c r="B16" s="27" t="s">
        <v>679</v>
      </c>
      <c r="C16" s="27" t="s">
        <v>680</v>
      </c>
      <c r="D16" s="27" t="s">
        <v>681</v>
      </c>
    </row>
    <row r="17" customFormat="false" ht="15" hidden="false" customHeight="false" outlineLevel="0" collapsed="false">
      <c r="A17" s="27" t="s">
        <v>682</v>
      </c>
      <c r="B17" s="27" t="s">
        <v>683</v>
      </c>
      <c r="C17" s="27" t="s">
        <v>684</v>
      </c>
      <c r="D17" s="27" t="s">
        <v>685</v>
      </c>
    </row>
    <row r="18" customFormat="false" ht="15" hidden="false" customHeight="false" outlineLevel="0" collapsed="false">
      <c r="A18" s="27" t="s">
        <v>686</v>
      </c>
      <c r="B18" s="27" t="s">
        <v>687</v>
      </c>
      <c r="C18" s="27" t="s">
        <v>688</v>
      </c>
      <c r="D18" s="27" t="s">
        <v>689</v>
      </c>
    </row>
    <row r="19" customFormat="false" ht="23.85" hidden="false" customHeight="false" outlineLevel="0" collapsed="false">
      <c r="A19" s="27" t="s">
        <v>690</v>
      </c>
      <c r="B19" s="27" t="s">
        <v>691</v>
      </c>
      <c r="C19" s="27" t="s">
        <v>692</v>
      </c>
      <c r="D19" s="27" t="s">
        <v>693</v>
      </c>
    </row>
    <row r="20" customFormat="false" ht="15" hidden="false" customHeight="false" outlineLevel="0" collapsed="false">
      <c r="A20" s="27" t="s">
        <v>694</v>
      </c>
      <c r="B20" s="27" t="s">
        <v>429</v>
      </c>
      <c r="C20" s="27" t="s">
        <v>695</v>
      </c>
      <c r="D20" s="27" t="s">
        <v>696</v>
      </c>
    </row>
    <row r="21" customFormat="false" ht="23.85" hidden="false" customHeight="false" outlineLevel="0" collapsed="false">
      <c r="A21" s="27" t="s">
        <v>697</v>
      </c>
      <c r="B21" s="27" t="s">
        <v>698</v>
      </c>
      <c r="C21" s="27" t="s">
        <v>699</v>
      </c>
      <c r="D21" s="27" t="s">
        <v>700</v>
      </c>
    </row>
    <row r="22" customFormat="false" ht="15" hidden="false" customHeight="false" outlineLevel="0" collapsed="false">
      <c r="A22" s="27" t="s">
        <v>701</v>
      </c>
      <c r="B22" s="27" t="s">
        <v>702</v>
      </c>
      <c r="C22" s="27" t="s">
        <v>703</v>
      </c>
      <c r="D22" s="27"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16" min="2" style="0" width="12"/>
  </cols>
  <sheetData>
    <row r="1" customFormat="false" ht="17.35" hidden="false" customHeight="false" outlineLevel="0" collapsed="false">
      <c r="A1" s="1" t="s">
        <v>705</v>
      </c>
      <c r="B1" s="3"/>
      <c r="C1" s="3"/>
      <c r="D1" s="3"/>
      <c r="E1" s="3"/>
      <c r="F1" s="3"/>
      <c r="G1" s="3"/>
      <c r="H1" s="3"/>
      <c r="I1" s="3"/>
      <c r="J1" s="3"/>
      <c r="K1" s="3"/>
      <c r="L1" s="3"/>
      <c r="M1" s="3"/>
      <c r="N1" s="3"/>
      <c r="O1" s="3"/>
      <c r="P1" s="3"/>
    </row>
    <row r="2" customFormat="false" ht="15" hidden="false" customHeight="false" outlineLevel="0" collapsed="false">
      <c r="A2" s="2" t="s">
        <v>706</v>
      </c>
      <c r="B2" s="3"/>
      <c r="C2" s="3"/>
      <c r="D2" s="3"/>
      <c r="E2" s="3"/>
      <c r="F2" s="3"/>
      <c r="G2" s="3"/>
      <c r="H2" s="3"/>
      <c r="I2" s="3"/>
      <c r="J2" s="3"/>
      <c r="K2" s="3"/>
      <c r="L2" s="3"/>
      <c r="M2" s="3"/>
      <c r="N2" s="3"/>
      <c r="O2" s="3"/>
      <c r="P2" s="3"/>
    </row>
    <row r="3" customFormat="false" ht="15" hidden="false" customHeight="false" outlineLevel="0" collapsed="false">
      <c r="A3" s="3"/>
      <c r="B3" s="3"/>
      <c r="C3" s="3"/>
      <c r="D3" s="3"/>
      <c r="E3" s="3"/>
      <c r="F3" s="3"/>
      <c r="G3" s="3"/>
      <c r="H3" s="3"/>
      <c r="I3" s="3"/>
      <c r="J3" s="3"/>
      <c r="K3" s="3"/>
      <c r="L3" s="3"/>
      <c r="M3" s="3"/>
      <c r="N3" s="3"/>
      <c r="O3" s="3"/>
      <c r="P3" s="3"/>
    </row>
    <row r="4" customFormat="false" ht="31.5" hidden="false" customHeight="true" outlineLevel="0" collapsed="false">
      <c r="A4" s="7" t="s">
        <v>707</v>
      </c>
      <c r="B4" s="7" t="s">
        <v>708</v>
      </c>
      <c r="C4" s="7" t="s">
        <v>709</v>
      </c>
      <c r="D4" s="7" t="s">
        <v>710</v>
      </c>
      <c r="E4" s="7" t="s">
        <v>711</v>
      </c>
      <c r="F4" s="7" t="s">
        <v>712</v>
      </c>
      <c r="G4" s="7" t="s">
        <v>713</v>
      </c>
      <c r="H4" s="7" t="s">
        <v>714</v>
      </c>
      <c r="I4" s="7" t="s">
        <v>715</v>
      </c>
      <c r="J4" s="7" t="s">
        <v>716</v>
      </c>
      <c r="K4" s="7" t="s">
        <v>717</v>
      </c>
      <c r="L4" s="7" t="s">
        <v>718</v>
      </c>
      <c r="M4" s="7" t="s">
        <v>719</v>
      </c>
      <c r="N4" s="7" t="s">
        <v>720</v>
      </c>
      <c r="O4" s="7" t="s">
        <v>721</v>
      </c>
      <c r="P4" s="7" t="s">
        <v>722</v>
      </c>
    </row>
    <row r="5" customFormat="false" ht="15" hidden="false" customHeight="false" outlineLevel="0" collapsed="false">
      <c r="A5" s="48" t="s">
        <v>723</v>
      </c>
      <c r="B5" s="51" t="n">
        <v>1919.68</v>
      </c>
      <c r="C5" s="51" t="n">
        <v>32</v>
      </c>
      <c r="D5" s="51" t="n">
        <v>32</v>
      </c>
      <c r="E5" s="51" t="n">
        <v>0</v>
      </c>
      <c r="F5" s="51" t="n">
        <v>0</v>
      </c>
      <c r="G5" s="51" t="n">
        <v>0</v>
      </c>
      <c r="H5" s="51" t="n">
        <v>-766.4</v>
      </c>
      <c r="I5" s="51" t="n">
        <v>-276.46</v>
      </c>
      <c r="J5" s="51" t="n">
        <v>-982.87</v>
      </c>
      <c r="K5" s="51" t="n">
        <v>-51.2</v>
      </c>
      <c r="L5" s="51" t="n">
        <v>-30.71</v>
      </c>
      <c r="M5" s="51" t="n">
        <v>59.99</v>
      </c>
      <c r="N5" s="51" t="n">
        <v>99</v>
      </c>
      <c r="O5" s="51" t="n">
        <v>32.32</v>
      </c>
      <c r="P5" s="51" t="n">
        <v>0</v>
      </c>
    </row>
    <row r="6" customFormat="false" ht="15" hidden="false" customHeight="false" outlineLevel="0" collapsed="false">
      <c r="A6" s="48" t="s">
        <v>724</v>
      </c>
      <c r="B6" s="51" t="n">
        <v>2849.53</v>
      </c>
      <c r="C6" s="51" t="n">
        <v>47</v>
      </c>
      <c r="D6" s="51" t="n">
        <v>44</v>
      </c>
      <c r="E6" s="51" t="n">
        <v>0</v>
      </c>
      <c r="F6" s="51" t="n">
        <v>0</v>
      </c>
      <c r="G6" s="51" t="n">
        <v>0</v>
      </c>
      <c r="H6" s="51" t="n">
        <v>-1163.85</v>
      </c>
      <c r="I6" s="51" t="n">
        <v>-876.2</v>
      </c>
      <c r="J6" s="51" t="n">
        <v>329.56</v>
      </c>
      <c r="K6" s="51" t="n">
        <v>11.57</v>
      </c>
      <c r="L6" s="51" t="n">
        <v>7.01</v>
      </c>
      <c r="M6" s="51" t="n">
        <v>60.63</v>
      </c>
      <c r="N6" s="51" t="n">
        <v>3834</v>
      </c>
      <c r="O6" s="51" t="n">
        <v>1.23</v>
      </c>
      <c r="P6" s="51" t="n">
        <v>0</v>
      </c>
    </row>
    <row r="7" customFormat="false" ht="15" hidden="false" customHeight="false" outlineLevel="0" collapsed="false">
      <c r="A7" s="48" t="s">
        <v>725</v>
      </c>
      <c r="B7" s="51" t="n">
        <v>4529.18</v>
      </c>
      <c r="C7" s="51" t="n">
        <v>82</v>
      </c>
      <c r="D7" s="51" t="n">
        <v>76</v>
      </c>
      <c r="E7" s="51" t="n">
        <v>4.9</v>
      </c>
      <c r="F7" s="51" t="n">
        <v>0</v>
      </c>
      <c r="G7" s="51" t="n">
        <v>0</v>
      </c>
      <c r="H7" s="51" t="n">
        <v>-1887.11</v>
      </c>
      <c r="I7" s="51" t="n">
        <v>-1576.26</v>
      </c>
      <c r="J7" s="51" t="n">
        <v>908.06</v>
      </c>
      <c r="K7" s="51" t="n">
        <v>20.05</v>
      </c>
      <c r="L7" s="51" t="n">
        <v>11.07</v>
      </c>
      <c r="M7" s="51" t="n">
        <v>55.23</v>
      </c>
      <c r="N7" s="51" t="n">
        <v>2887</v>
      </c>
      <c r="O7" s="51" t="n">
        <v>2.84</v>
      </c>
      <c r="P7" s="51" t="n">
        <v>0</v>
      </c>
    </row>
    <row r="8" customFormat="false" ht="15" hidden="false" customHeight="false" outlineLevel="0" collapsed="false">
      <c r="A8" s="48" t="s">
        <v>726</v>
      </c>
      <c r="B8" s="51" t="n">
        <v>72449.24</v>
      </c>
      <c r="C8" s="51" t="n">
        <v>1187</v>
      </c>
      <c r="D8" s="51" t="n">
        <v>1162</v>
      </c>
      <c r="E8" s="51" t="n">
        <v>2.8</v>
      </c>
      <c r="F8" s="51" t="n">
        <v>17635.66</v>
      </c>
      <c r="G8" s="51" t="n">
        <v>24.3</v>
      </c>
      <c r="H8" s="51" t="n">
        <v>-29594.06</v>
      </c>
      <c r="I8" s="51" t="n">
        <v>-21172.85</v>
      </c>
      <c r="J8" s="51" t="n">
        <v>2031.89</v>
      </c>
      <c r="K8" s="51" t="n">
        <v>2.8</v>
      </c>
      <c r="L8" s="51" t="n">
        <v>1.71</v>
      </c>
      <c r="M8" s="51" t="n">
        <v>61.04</v>
      </c>
      <c r="N8" s="51" t="n">
        <v>19407</v>
      </c>
      <c r="O8" s="51" t="n">
        <v>6.12</v>
      </c>
      <c r="P8" s="51" t="n">
        <v>0</v>
      </c>
    </row>
    <row r="9" customFormat="false" ht="15" hidden="false" customHeight="false" outlineLevel="0" collapsed="false">
      <c r="A9" s="48" t="s">
        <v>727</v>
      </c>
      <c r="B9" s="51" t="n">
        <v>76508.15</v>
      </c>
      <c r="C9" s="51" t="n">
        <v>1186</v>
      </c>
      <c r="D9" s="51" t="n">
        <v>1167</v>
      </c>
      <c r="E9" s="51" t="n">
        <v>5</v>
      </c>
      <c r="F9" s="51" t="n">
        <v>11480.77</v>
      </c>
      <c r="G9" s="51" t="n">
        <v>15</v>
      </c>
      <c r="H9" s="51" t="n">
        <v>-29318.28</v>
      </c>
      <c r="I9" s="51" t="n">
        <v>-24562.41</v>
      </c>
      <c r="J9" s="51" t="n">
        <v>8601.15</v>
      </c>
      <c r="K9" s="51" t="n">
        <v>11.24</v>
      </c>
      <c r="L9" s="51" t="n">
        <v>7.25</v>
      </c>
      <c r="M9" s="51" t="n">
        <v>64.51</v>
      </c>
      <c r="N9" s="51" t="n">
        <v>20061</v>
      </c>
      <c r="O9" s="51" t="n">
        <v>5.91</v>
      </c>
      <c r="P9" s="51" t="n">
        <v>0</v>
      </c>
    </row>
    <row r="10" customFormat="false" ht="15" hidden="false" customHeight="false" outlineLevel="0" collapsed="false">
      <c r="A10" s="48" t="s">
        <v>728</v>
      </c>
      <c r="B10" s="51" t="n">
        <v>63859.59</v>
      </c>
      <c r="C10" s="51" t="n">
        <v>1003</v>
      </c>
      <c r="D10" s="51" t="n">
        <v>988</v>
      </c>
      <c r="E10" s="51" t="n">
        <v>4.9</v>
      </c>
      <c r="F10" s="51" t="n">
        <v>6361.05</v>
      </c>
      <c r="G10" s="51" t="n">
        <v>10</v>
      </c>
      <c r="H10" s="51" t="n">
        <v>-24581.8</v>
      </c>
      <c r="I10" s="51" t="n">
        <v>-19960.92</v>
      </c>
      <c r="J10" s="51" t="n">
        <v>10539.7</v>
      </c>
      <c r="K10" s="51" t="n">
        <v>16.5</v>
      </c>
      <c r="L10" s="51" t="n">
        <v>10.51</v>
      </c>
      <c r="M10" s="51" t="n">
        <v>63.67</v>
      </c>
      <c r="N10" s="51" t="n">
        <v>15284</v>
      </c>
      <c r="O10" s="51" t="n">
        <v>6.56</v>
      </c>
      <c r="P10" s="51" t="n">
        <v>0</v>
      </c>
    </row>
    <row r="11" customFormat="false" ht="15" hidden="false" customHeight="false" outlineLevel="0" collapsed="false">
      <c r="A11" s="48" t="s">
        <v>729</v>
      </c>
      <c r="B11" s="51" t="n">
        <v>24375.16</v>
      </c>
      <c r="C11" s="51" t="n">
        <v>372</v>
      </c>
      <c r="D11" s="51" t="n">
        <v>358</v>
      </c>
      <c r="E11" s="51" t="n">
        <v>12.4</v>
      </c>
      <c r="F11" s="51" t="n">
        <v>1634.34</v>
      </c>
      <c r="G11" s="51" t="n">
        <v>6.7</v>
      </c>
      <c r="H11" s="51" t="n">
        <v>-9915.07</v>
      </c>
      <c r="I11" s="51" t="n">
        <v>-6942.95</v>
      </c>
      <c r="J11" s="51" t="n">
        <v>4013</v>
      </c>
      <c r="K11" s="51" t="n">
        <v>16.46</v>
      </c>
      <c r="L11" s="51" t="n">
        <v>10.79</v>
      </c>
      <c r="M11" s="51" t="n">
        <v>65.52</v>
      </c>
      <c r="N11" s="51" t="n">
        <v>9518</v>
      </c>
      <c r="O11" s="51" t="n">
        <v>3.91</v>
      </c>
      <c r="P11" s="51" t="n">
        <v>-0.73</v>
      </c>
    </row>
    <row r="12" customFormat="false" ht="15" hidden="false" customHeight="false" outlineLevel="0" collapsed="false">
      <c r="A12" s="48" t="s">
        <v>730</v>
      </c>
      <c r="B12" s="51" t="n">
        <v>57344.39</v>
      </c>
      <c r="C12" s="51" t="n">
        <v>866</v>
      </c>
      <c r="D12" s="51" t="n">
        <v>855</v>
      </c>
      <c r="E12" s="51" t="n">
        <v>4.5</v>
      </c>
      <c r="F12" s="51" t="n">
        <v>3290.88</v>
      </c>
      <c r="G12" s="51" t="n">
        <v>5.7</v>
      </c>
      <c r="H12" s="51" t="n">
        <v>-23646.14</v>
      </c>
      <c r="I12" s="51" t="n">
        <v>-15919.36</v>
      </c>
      <c r="J12" s="51" t="n">
        <v>12784.12</v>
      </c>
      <c r="K12" s="51" t="n">
        <v>22.29</v>
      </c>
      <c r="L12" s="51" t="n">
        <v>14.76</v>
      </c>
      <c r="M12" s="51" t="n">
        <v>66.22</v>
      </c>
      <c r="N12" s="51" t="n">
        <v>16412</v>
      </c>
      <c r="O12" s="51" t="n">
        <v>5.28</v>
      </c>
      <c r="P12" s="51" t="n">
        <v>-38.23</v>
      </c>
    </row>
    <row r="13" customFormat="false" ht="15" hidden="false" customHeight="false" outlineLevel="0" collapsed="false">
      <c r="A13" s="48" t="s">
        <v>731</v>
      </c>
      <c r="B13" s="51" t="n">
        <v>122501.4</v>
      </c>
      <c r="C13" s="51" t="n">
        <v>1873</v>
      </c>
      <c r="D13" s="51" t="n">
        <v>1845</v>
      </c>
      <c r="E13" s="51" t="n">
        <v>3.3</v>
      </c>
      <c r="F13" s="51" t="n">
        <v>5376.24</v>
      </c>
      <c r="G13" s="51" t="n">
        <v>4.4</v>
      </c>
      <c r="H13" s="51" t="n">
        <v>-51381.79</v>
      </c>
      <c r="I13" s="51" t="n">
        <v>-33656.62</v>
      </c>
      <c r="J13" s="51" t="n">
        <v>29172.14</v>
      </c>
      <c r="K13" s="51" t="n">
        <v>23.81</v>
      </c>
      <c r="L13" s="51" t="n">
        <v>15.58</v>
      </c>
      <c r="M13" s="51" t="n">
        <v>65.4</v>
      </c>
      <c r="N13" s="51" t="n">
        <v>59708</v>
      </c>
      <c r="O13" s="51" t="n">
        <v>3.14</v>
      </c>
      <c r="P13" s="51" t="n">
        <v>-22.36</v>
      </c>
    </row>
    <row r="14" customFormat="false" ht="15" hidden="false" customHeight="false" outlineLevel="0" collapsed="false">
      <c r="A14" s="48" t="s">
        <v>732</v>
      </c>
      <c r="B14" s="51" t="n">
        <v>103299.26</v>
      </c>
      <c r="C14" s="51" t="n">
        <v>1586</v>
      </c>
      <c r="D14" s="51" t="n">
        <v>1568</v>
      </c>
      <c r="E14" s="51" t="n">
        <v>7.4</v>
      </c>
      <c r="F14" s="51" t="n">
        <v>4159.69</v>
      </c>
      <c r="G14" s="51" t="n">
        <v>4</v>
      </c>
      <c r="H14" s="51" t="n">
        <v>-42411.57</v>
      </c>
      <c r="I14" s="51" t="n">
        <v>-29396.96</v>
      </c>
      <c r="J14" s="51" t="n">
        <v>21419.36</v>
      </c>
      <c r="K14" s="51" t="n">
        <v>20.74</v>
      </c>
      <c r="L14" s="51" t="n">
        <v>13.51</v>
      </c>
      <c r="M14" s="51" t="n">
        <v>65.13</v>
      </c>
      <c r="N14" s="51" t="n">
        <v>63352</v>
      </c>
      <c r="O14" s="51" t="n">
        <v>2.5</v>
      </c>
      <c r="P14" s="51" t="n">
        <v>-1.93</v>
      </c>
    </row>
    <row r="15" customFormat="false" ht="15" hidden="false" customHeight="false" outlineLevel="0" collapsed="false">
      <c r="A15" s="48" t="s">
        <v>733</v>
      </c>
      <c r="B15" s="51" t="n">
        <v>57946.17</v>
      </c>
      <c r="C15" s="51" t="n">
        <v>888</v>
      </c>
      <c r="D15" s="51" t="n">
        <v>871</v>
      </c>
      <c r="E15" s="51" t="n">
        <v>7.3</v>
      </c>
      <c r="F15" s="51" t="n">
        <v>4408.76</v>
      </c>
      <c r="G15" s="51" t="n">
        <v>7.6</v>
      </c>
      <c r="H15" s="51" t="n">
        <v>-23704.74</v>
      </c>
      <c r="I15" s="51" t="n">
        <v>-16611.15</v>
      </c>
      <c r="J15" s="51" t="n">
        <v>9986.32</v>
      </c>
      <c r="K15" s="51" t="n">
        <v>17.23</v>
      </c>
      <c r="L15" s="51" t="n">
        <v>11.25</v>
      </c>
      <c r="M15" s="51" t="n">
        <v>65.25</v>
      </c>
      <c r="N15" s="51" t="n">
        <v>22122</v>
      </c>
      <c r="O15" s="51" t="n">
        <v>4.01</v>
      </c>
      <c r="P15" s="51" t="n">
        <v>0</v>
      </c>
    </row>
    <row r="16" customFormat="false" ht="15" hidden="false" customHeight="false" outlineLevel="0" collapsed="false">
      <c r="A16" s="48" t="s">
        <v>734</v>
      </c>
      <c r="B16" s="51" t="n">
        <v>34284.34</v>
      </c>
      <c r="C16" s="51" t="n">
        <v>560</v>
      </c>
      <c r="D16" s="51" t="n">
        <v>548</v>
      </c>
      <c r="E16" s="51" t="n">
        <v>7.7</v>
      </c>
      <c r="F16" s="51" t="n">
        <v>4912.76</v>
      </c>
      <c r="G16" s="51" t="n">
        <v>14.3</v>
      </c>
      <c r="H16" s="51" t="n">
        <v>-14280.92</v>
      </c>
      <c r="I16" s="51" t="n">
        <v>-9543.07</v>
      </c>
      <c r="J16" s="51" t="n">
        <v>3494.75</v>
      </c>
      <c r="K16" s="51" t="n">
        <v>10.19</v>
      </c>
      <c r="L16" s="51" t="n">
        <v>6.24</v>
      </c>
      <c r="M16" s="51" t="n">
        <v>61.22</v>
      </c>
      <c r="N16" s="51" t="n">
        <v>21322</v>
      </c>
      <c r="O16" s="51" t="n">
        <v>2.63</v>
      </c>
      <c r="P16" s="51" t="n">
        <v>0</v>
      </c>
    </row>
    <row r="17" customFormat="false" ht="15" hidden="false" customHeight="false" outlineLevel="0" collapsed="false">
      <c r="A17" s="48" t="s">
        <v>735</v>
      </c>
      <c r="B17" s="51" t="n">
        <v>29850.38</v>
      </c>
      <c r="C17" s="51" t="n">
        <v>481</v>
      </c>
      <c r="D17" s="51" t="n">
        <v>464</v>
      </c>
      <c r="E17" s="51" t="n">
        <v>4.8</v>
      </c>
      <c r="F17" s="51" t="n">
        <v>2017.52</v>
      </c>
      <c r="G17" s="51" t="n">
        <v>6.8</v>
      </c>
      <c r="H17" s="51" t="n">
        <v>-12841.99</v>
      </c>
      <c r="I17" s="51" t="n">
        <v>-8349.52</v>
      </c>
      <c r="J17" s="51" t="n">
        <v>5560.19</v>
      </c>
      <c r="K17" s="51" t="n">
        <v>18.63</v>
      </c>
      <c r="L17" s="51" t="n">
        <v>11.56</v>
      </c>
      <c r="M17" s="51" t="n">
        <v>62.06</v>
      </c>
      <c r="N17" s="51" t="n">
        <v>11231</v>
      </c>
      <c r="O17" s="51" t="n">
        <v>4.28</v>
      </c>
      <c r="P17" s="51" t="n">
        <v>0</v>
      </c>
    </row>
    <row r="18" customFormat="false" ht="15" hidden="false" customHeight="false" outlineLevel="0" collapsed="false">
      <c r="A18" s="48" t="s">
        <v>736</v>
      </c>
      <c r="B18" s="51" t="n">
        <v>74434.59</v>
      </c>
      <c r="C18" s="51" t="n">
        <v>1051</v>
      </c>
      <c r="D18" s="51" t="n">
        <v>993</v>
      </c>
      <c r="E18" s="51" t="n">
        <v>4.4</v>
      </c>
      <c r="F18" s="51" t="n">
        <v>6551.12</v>
      </c>
      <c r="G18" s="51" t="n">
        <v>8.8</v>
      </c>
      <c r="H18" s="51" t="n">
        <v>-28294.07</v>
      </c>
      <c r="I18" s="51" t="n">
        <v>-22848.29</v>
      </c>
      <c r="J18" s="51" t="n">
        <v>14490.35</v>
      </c>
      <c r="K18" s="51" t="n">
        <v>19.47</v>
      </c>
      <c r="L18" s="51" t="n">
        <v>13.79</v>
      </c>
      <c r="M18" s="51" t="n">
        <v>70.82</v>
      </c>
      <c r="N18" s="51" t="n">
        <v>21766</v>
      </c>
      <c r="O18" s="51" t="n">
        <v>4.83</v>
      </c>
      <c r="P18" s="51" t="n">
        <v>0</v>
      </c>
    </row>
    <row r="19" customFormat="false" ht="15" hidden="false" customHeight="false" outlineLevel="0" collapsed="false">
      <c r="A19" s="48" t="s">
        <v>737</v>
      </c>
      <c r="B19" s="51" t="n">
        <v>63301.82</v>
      </c>
      <c r="C19" s="51" t="n">
        <v>816</v>
      </c>
      <c r="D19" s="51" t="n">
        <v>768</v>
      </c>
      <c r="E19" s="51" t="n">
        <v>7.5</v>
      </c>
      <c r="F19" s="51" t="n">
        <v>7403.09</v>
      </c>
      <c r="G19" s="51" t="n">
        <v>11.7</v>
      </c>
      <c r="H19" s="51" t="n">
        <v>-22294.73</v>
      </c>
      <c r="I19" s="51" t="n">
        <v>-18828.67</v>
      </c>
      <c r="J19" s="51" t="n">
        <v>11312.06</v>
      </c>
      <c r="K19" s="51" t="n">
        <v>17.87</v>
      </c>
      <c r="L19" s="51" t="n">
        <v>13.86</v>
      </c>
      <c r="M19" s="51" t="n">
        <v>77.58</v>
      </c>
      <c r="N19" s="51" t="n">
        <v>13671</v>
      </c>
      <c r="O19" s="51" t="n">
        <v>5.97</v>
      </c>
      <c r="P19" s="51" t="n">
        <v>-4.43</v>
      </c>
    </row>
    <row r="20" customFormat="false" ht="15" hidden="false" customHeight="false" outlineLevel="0" collapsed="false">
      <c r="A20" s="48" t="s">
        <v>738</v>
      </c>
      <c r="B20" s="51" t="n">
        <v>10268.7</v>
      </c>
      <c r="C20" s="51" t="n">
        <v>131</v>
      </c>
      <c r="D20" s="51" t="n">
        <v>131</v>
      </c>
      <c r="E20" s="51" t="n">
        <v>5.3</v>
      </c>
      <c r="F20" s="51" t="n">
        <v>1482.05</v>
      </c>
      <c r="G20" s="51" t="n">
        <v>14.4</v>
      </c>
      <c r="H20" s="51" t="n">
        <v>-3738.64</v>
      </c>
      <c r="I20" s="51" t="n">
        <v>-2653.33</v>
      </c>
      <c r="J20" s="51" t="n">
        <v>2012.62</v>
      </c>
      <c r="K20" s="51" t="n">
        <v>19.6</v>
      </c>
      <c r="L20" s="51" t="n">
        <v>15.36</v>
      </c>
      <c r="M20" s="51" t="n">
        <v>78.39</v>
      </c>
      <c r="N20" s="51" t="n">
        <v>2750</v>
      </c>
      <c r="O20" s="51" t="n">
        <v>4.76</v>
      </c>
      <c r="P20" s="51" t="n">
        <v>0</v>
      </c>
    </row>
    <row r="21" customFormat="false" ht="15" hidden="false" customHeight="false" outlineLevel="0" collapsed="false">
      <c r="A21" s="3"/>
      <c r="B21" s="3"/>
      <c r="C21" s="3"/>
      <c r="D21" s="3"/>
      <c r="E21" s="3"/>
      <c r="F21" s="3"/>
      <c r="G21" s="3"/>
      <c r="H21" s="3"/>
      <c r="I21" s="3"/>
      <c r="J21" s="3"/>
      <c r="K21" s="3"/>
      <c r="L21" s="3"/>
      <c r="M21" s="3"/>
      <c r="N21" s="3"/>
      <c r="O21" s="3"/>
      <c r="P21" s="3"/>
    </row>
    <row r="22" customFormat="false" ht="15" hidden="false" customHeight="false" outlineLevel="0" collapsed="false">
      <c r="A22" s="15" t="s">
        <v>739</v>
      </c>
      <c r="B22" s="3"/>
      <c r="C22" s="3"/>
      <c r="D22" s="3"/>
      <c r="E22" s="3"/>
      <c r="F22" s="3"/>
      <c r="G22" s="3"/>
      <c r="H22" s="3"/>
      <c r="I22" s="3"/>
      <c r="J22" s="3"/>
      <c r="K22" s="3"/>
      <c r="L22" s="3"/>
      <c r="M22" s="3"/>
      <c r="N22" s="3"/>
      <c r="O22" s="3"/>
      <c r="P22" s="3"/>
    </row>
    <row r="23" customFormat="false" ht="31.5" hidden="false" customHeight="true" outlineLevel="0" collapsed="false">
      <c r="A23" s="7" t="s">
        <v>707</v>
      </c>
      <c r="B23" s="7" t="s">
        <v>740</v>
      </c>
      <c r="C23" s="7" t="s">
        <v>741</v>
      </c>
      <c r="D23" s="7" t="s">
        <v>742</v>
      </c>
      <c r="E23" s="7" t="s">
        <v>713</v>
      </c>
      <c r="F23" s="7" t="s">
        <v>743</v>
      </c>
      <c r="G23" s="7" t="s">
        <v>744</v>
      </c>
      <c r="H23" s="7" t="s">
        <v>745</v>
      </c>
      <c r="I23" s="7" t="s">
        <v>746</v>
      </c>
      <c r="J23" s="7" t="s">
        <v>747</v>
      </c>
      <c r="K23" s="7" t="s">
        <v>710</v>
      </c>
      <c r="L23" s="7" t="s">
        <v>748</v>
      </c>
      <c r="M23" s="3"/>
      <c r="N23" s="3"/>
      <c r="O23" s="3"/>
      <c r="P23" s="3"/>
    </row>
    <row r="24" customFormat="false" ht="15" hidden="false" customHeight="false" outlineLevel="0" collapsed="false">
      <c r="A24" s="48" t="s">
        <v>726</v>
      </c>
      <c r="B24" s="51" t="n">
        <v>17636</v>
      </c>
      <c r="C24" s="51" t="n">
        <v>36174</v>
      </c>
      <c r="D24" s="51" t="n">
        <v>48.8</v>
      </c>
      <c r="E24" s="51" t="n">
        <v>24.5</v>
      </c>
      <c r="F24" s="48" t="n">
        <v>255511</v>
      </c>
      <c r="G24" s="48" t="n">
        <v>3621</v>
      </c>
      <c r="H24" s="51" t="n">
        <v>1.42</v>
      </c>
      <c r="I24" s="51" t="n">
        <v>4.87</v>
      </c>
      <c r="J24" s="51" t="n">
        <v>16.2</v>
      </c>
      <c r="K24" s="48" t="n">
        <v>587</v>
      </c>
      <c r="L24" s="51" t="n">
        <v>608</v>
      </c>
      <c r="M24" s="3"/>
      <c r="N24" s="3"/>
      <c r="O24" s="3"/>
      <c r="P24" s="3"/>
    </row>
    <row r="25" customFormat="false" ht="15" hidden="false" customHeight="false" outlineLevel="0" collapsed="false">
      <c r="A25" s="48" t="s">
        <v>727</v>
      </c>
      <c r="B25" s="51" t="n">
        <v>11481</v>
      </c>
      <c r="C25" s="51" t="n">
        <v>25610</v>
      </c>
      <c r="D25" s="51" t="n">
        <v>44.8</v>
      </c>
      <c r="E25" s="51" t="n">
        <v>15</v>
      </c>
      <c r="F25" s="48" t="n">
        <v>197132</v>
      </c>
      <c r="G25" s="48" t="n">
        <v>2709</v>
      </c>
      <c r="H25" s="51" t="n">
        <v>1.37</v>
      </c>
      <c r="I25" s="51" t="n">
        <v>4.24</v>
      </c>
      <c r="J25" s="51" t="n">
        <v>14.9</v>
      </c>
      <c r="K25" s="48" t="n">
        <v>403</v>
      </c>
      <c r="L25" s="51" t="n">
        <v>383</v>
      </c>
      <c r="M25" s="3"/>
      <c r="N25" s="3"/>
      <c r="O25" s="3"/>
      <c r="P25" s="3"/>
    </row>
    <row r="26" customFormat="false" ht="15" hidden="false" customHeight="false" outlineLevel="0" collapsed="false">
      <c r="A26" s="48" t="s">
        <v>728</v>
      </c>
      <c r="B26" s="51" t="n">
        <v>6361</v>
      </c>
      <c r="C26" s="51" t="n">
        <v>23684</v>
      </c>
      <c r="D26" s="51" t="n">
        <v>26.9</v>
      </c>
      <c r="E26" s="51" t="n">
        <v>10</v>
      </c>
      <c r="F26" s="48" t="n">
        <v>256525</v>
      </c>
      <c r="G26" s="48" t="n">
        <v>2554</v>
      </c>
      <c r="H26" s="51" t="n">
        <v>1</v>
      </c>
      <c r="I26" s="51" t="n">
        <v>2.49</v>
      </c>
      <c r="J26" s="51" t="n">
        <v>15.1</v>
      </c>
      <c r="K26" s="48" t="n">
        <v>386</v>
      </c>
      <c r="L26" s="51" t="n">
        <v>205</v>
      </c>
      <c r="M26" s="3"/>
      <c r="N26" s="3"/>
      <c r="O26" s="3"/>
      <c r="P26" s="3"/>
    </row>
    <row r="27" customFormat="false" ht="15" hidden="false" customHeight="false" outlineLevel="0" collapsed="false">
      <c r="A27" s="48" t="s">
        <v>729</v>
      </c>
      <c r="B27" s="51" t="n">
        <v>1634</v>
      </c>
      <c r="C27" s="51" t="n">
        <v>5355</v>
      </c>
      <c r="D27" s="51" t="n">
        <v>30.5</v>
      </c>
      <c r="E27" s="51" t="n">
        <v>6.7</v>
      </c>
      <c r="F27" s="48" t="n">
        <v>88155</v>
      </c>
      <c r="G27" s="48" t="n">
        <v>820</v>
      </c>
      <c r="H27" s="51" t="n">
        <v>0.93</v>
      </c>
      <c r="I27" s="51" t="n">
        <v>1.99</v>
      </c>
      <c r="J27" s="51" t="n">
        <v>11.1</v>
      </c>
      <c r="K27" s="48" t="n">
        <v>91</v>
      </c>
      <c r="L27" s="51" t="n">
        <v>53</v>
      </c>
      <c r="M27" s="3"/>
      <c r="N27" s="3"/>
      <c r="O27" s="3"/>
      <c r="P27" s="3"/>
    </row>
    <row r="28" customFormat="false" ht="15" hidden="false" customHeight="false" outlineLevel="0" collapsed="false">
      <c r="A28" s="48" t="s">
        <v>730</v>
      </c>
      <c r="B28" s="51" t="n">
        <v>3291</v>
      </c>
      <c r="C28" s="51" t="n">
        <v>13909</v>
      </c>
      <c r="D28" s="51" t="n">
        <v>23.7</v>
      </c>
      <c r="E28" s="51" t="n">
        <v>5.7</v>
      </c>
      <c r="F28" s="48" t="n">
        <v>119532</v>
      </c>
      <c r="G28" s="48" t="n">
        <v>1435</v>
      </c>
      <c r="H28" s="51" t="n">
        <v>1.2</v>
      </c>
      <c r="I28" s="51" t="n">
        <v>2.29</v>
      </c>
      <c r="J28" s="51" t="n">
        <v>15.4</v>
      </c>
      <c r="K28" s="48" t="n">
        <v>221</v>
      </c>
      <c r="L28" s="51" t="n">
        <v>118</v>
      </c>
      <c r="M28" s="3"/>
      <c r="N28" s="3"/>
      <c r="O28" s="3"/>
      <c r="P28" s="3"/>
    </row>
    <row r="29" customFormat="false" ht="15" hidden="false" customHeight="false" outlineLevel="0" collapsed="false">
      <c r="A29" s="48" t="s">
        <v>731</v>
      </c>
      <c r="B29" s="51" t="n">
        <v>5382</v>
      </c>
      <c r="C29" s="51" t="n">
        <v>24656</v>
      </c>
      <c r="D29" s="51" t="n">
        <v>21.8</v>
      </c>
      <c r="E29" s="51" t="n">
        <v>4.4</v>
      </c>
      <c r="F29" s="48" t="n">
        <v>158510</v>
      </c>
      <c r="G29" s="48" t="n">
        <v>2353</v>
      </c>
      <c r="H29" s="51" t="n">
        <v>1.48</v>
      </c>
      <c r="I29" s="51" t="n">
        <v>2.29</v>
      </c>
      <c r="J29" s="51" t="n">
        <v>16.5</v>
      </c>
      <c r="K29" s="48" t="n">
        <v>389</v>
      </c>
      <c r="L29" s="51" t="n">
        <v>174</v>
      </c>
      <c r="M29" s="3"/>
      <c r="N29" s="3"/>
      <c r="O29" s="3"/>
      <c r="P29" s="3"/>
    </row>
    <row r="30" customFormat="false" ht="15" hidden="false" customHeight="false" outlineLevel="0" collapsed="false">
      <c r="A30" s="48" t="s">
        <v>732</v>
      </c>
      <c r="B30" s="51" t="n">
        <v>4165</v>
      </c>
      <c r="C30" s="51" t="n">
        <v>15644</v>
      </c>
      <c r="D30" s="51" t="n">
        <v>26.6</v>
      </c>
      <c r="E30" s="51" t="n">
        <v>4</v>
      </c>
      <c r="F30" s="48" t="n">
        <v>158678</v>
      </c>
      <c r="G30" s="48" t="n">
        <v>2094</v>
      </c>
      <c r="H30" s="51" t="n">
        <v>1.32</v>
      </c>
      <c r="I30" s="51" t="n">
        <v>1.99</v>
      </c>
      <c r="J30" s="51" t="n">
        <v>12.2</v>
      </c>
      <c r="K30" s="48" t="n">
        <v>256</v>
      </c>
      <c r="L30" s="51" t="n">
        <v>139</v>
      </c>
      <c r="M30" s="3"/>
      <c r="N30" s="3"/>
      <c r="O30" s="3"/>
      <c r="P30" s="3"/>
    </row>
    <row r="31" customFormat="false" ht="15" hidden="false" customHeight="false" outlineLevel="0" collapsed="false">
      <c r="A31" s="48" t="s">
        <v>733</v>
      </c>
      <c r="B31" s="51" t="n">
        <v>4411</v>
      </c>
      <c r="C31" s="51" t="n">
        <v>16069</v>
      </c>
      <c r="D31" s="51" t="n">
        <v>27.5</v>
      </c>
      <c r="E31" s="51" t="n">
        <v>7.6</v>
      </c>
      <c r="F31" s="48" t="n">
        <v>306571</v>
      </c>
      <c r="G31" s="48" t="n">
        <v>2137</v>
      </c>
      <c r="H31" s="51" t="n">
        <v>0.7</v>
      </c>
      <c r="I31" s="51" t="n">
        <v>2.06</v>
      </c>
      <c r="J31" s="51" t="n">
        <v>12.1</v>
      </c>
      <c r="K31" s="48" t="n">
        <v>259</v>
      </c>
      <c r="L31" s="51" t="n">
        <v>142</v>
      </c>
      <c r="M31" s="3"/>
      <c r="N31" s="3"/>
      <c r="O31" s="3"/>
      <c r="P31" s="3"/>
    </row>
    <row r="32" customFormat="false" ht="15" hidden="false" customHeight="false" outlineLevel="0" collapsed="false">
      <c r="A32" s="48" t="s">
        <v>734</v>
      </c>
      <c r="B32" s="51" t="n">
        <v>4916</v>
      </c>
      <c r="C32" s="51" t="n">
        <v>13512</v>
      </c>
      <c r="D32" s="51" t="n">
        <v>36.4</v>
      </c>
      <c r="E32" s="51" t="n">
        <v>14.2</v>
      </c>
      <c r="F32" s="48" t="n">
        <v>230687</v>
      </c>
      <c r="G32" s="48" t="n">
        <v>2383</v>
      </c>
      <c r="H32" s="51" t="n">
        <v>1.03</v>
      </c>
      <c r="I32" s="51" t="n">
        <v>2.06</v>
      </c>
      <c r="J32" s="51" t="n">
        <v>9.9</v>
      </c>
      <c r="K32" s="48" t="n">
        <v>235</v>
      </c>
      <c r="L32" s="51" t="n">
        <v>164</v>
      </c>
      <c r="M32" s="3"/>
      <c r="N32" s="3"/>
      <c r="O32" s="3"/>
      <c r="P32" s="3"/>
    </row>
    <row r="33" customFormat="false" ht="15" hidden="false" customHeight="false" outlineLevel="0" collapsed="false">
      <c r="A33" s="48" t="s">
        <v>735</v>
      </c>
      <c r="B33" s="51" t="n">
        <v>2025</v>
      </c>
      <c r="C33" s="51" t="n">
        <v>8791</v>
      </c>
      <c r="D33" s="51" t="n">
        <v>23</v>
      </c>
      <c r="E33" s="51" t="n">
        <v>6.8</v>
      </c>
      <c r="F33" s="48" t="n">
        <v>131201</v>
      </c>
      <c r="G33" s="48" t="n">
        <v>1350</v>
      </c>
      <c r="H33" s="51" t="n">
        <v>1.03</v>
      </c>
      <c r="I33" s="51" t="n">
        <v>1.5</v>
      </c>
      <c r="J33" s="51" t="n">
        <v>11.2</v>
      </c>
      <c r="K33" s="48" t="n">
        <v>151</v>
      </c>
      <c r="L33" s="51" t="n">
        <v>65</v>
      </c>
      <c r="M33" s="3"/>
      <c r="N33" s="3"/>
      <c r="O33" s="3"/>
      <c r="P33" s="3"/>
    </row>
    <row r="34" customFormat="false" ht="15" hidden="false" customHeight="false" outlineLevel="0" collapsed="false">
      <c r="A34" s="48" t="s">
        <v>736</v>
      </c>
      <c r="B34" s="51" t="n">
        <v>6578</v>
      </c>
      <c r="C34" s="51" t="n">
        <v>28302</v>
      </c>
      <c r="D34" s="51" t="n">
        <v>23.2</v>
      </c>
      <c r="E34" s="51" t="n">
        <v>8.8</v>
      </c>
      <c r="F34" s="48" t="n">
        <v>477465</v>
      </c>
      <c r="G34" s="48" t="n">
        <v>3407</v>
      </c>
      <c r="H34" s="51" t="n">
        <v>0.71</v>
      </c>
      <c r="I34" s="51" t="n">
        <v>1.93</v>
      </c>
      <c r="J34" s="51" t="n">
        <v>11.7</v>
      </c>
      <c r="K34" s="48" t="n">
        <v>397</v>
      </c>
      <c r="L34" s="51" t="n">
        <v>212</v>
      </c>
      <c r="M34" s="3"/>
      <c r="N34" s="3"/>
      <c r="O34" s="3"/>
      <c r="P34" s="3"/>
    </row>
    <row r="35" customFormat="false" ht="15" hidden="false" customHeight="false" outlineLevel="0" collapsed="false">
      <c r="A35" s="48" t="s">
        <v>737</v>
      </c>
      <c r="B35" s="51" t="n">
        <v>7423</v>
      </c>
      <c r="C35" s="51" t="n">
        <v>26676</v>
      </c>
      <c r="D35" s="51" t="n">
        <v>27.8</v>
      </c>
      <c r="E35" s="51" t="n">
        <v>11.7</v>
      </c>
      <c r="F35" s="48" t="n">
        <v>509129</v>
      </c>
      <c r="G35" s="48" t="n">
        <v>3656</v>
      </c>
      <c r="H35" s="51" t="n">
        <v>0.72</v>
      </c>
      <c r="I35" s="51" t="n">
        <v>2.03</v>
      </c>
      <c r="J35" s="51" t="n">
        <v>9.4</v>
      </c>
      <c r="K35" s="48" t="n">
        <v>344</v>
      </c>
      <c r="L35" s="51" t="n">
        <v>247</v>
      </c>
      <c r="M35" s="3"/>
      <c r="N35" s="3"/>
      <c r="O35" s="3"/>
      <c r="P35" s="3"/>
    </row>
    <row r="36" customFormat="false" ht="15" hidden="false" customHeight="false" outlineLevel="0" collapsed="false">
      <c r="A36" s="48" t="s">
        <v>749</v>
      </c>
      <c r="B36" s="51" t="n">
        <v>1482</v>
      </c>
      <c r="C36" s="51" t="n">
        <v>3744</v>
      </c>
      <c r="D36" s="51" t="n">
        <v>39.6</v>
      </c>
      <c r="E36" s="51" t="n">
        <v>15.8</v>
      </c>
      <c r="F36" s="48" t="n">
        <v>170207</v>
      </c>
      <c r="G36" s="48" t="n">
        <v>793</v>
      </c>
      <c r="H36" s="51" t="n">
        <v>0.47</v>
      </c>
      <c r="I36" s="51" t="n">
        <v>1.87</v>
      </c>
      <c r="J36" s="51" t="n">
        <v>6.2</v>
      </c>
      <c r="K36" s="48" t="n">
        <v>49</v>
      </c>
      <c r="L36" s="51" t="n">
        <v>212</v>
      </c>
      <c r="M36" s="3"/>
      <c r="N36" s="3"/>
      <c r="O36" s="3"/>
      <c r="P3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16" min="2" style="0" width="12"/>
  </cols>
  <sheetData>
    <row r="1" customFormat="false" ht="17.35" hidden="false" customHeight="false" outlineLevel="0" collapsed="false">
      <c r="A1" s="1" t="s">
        <v>750</v>
      </c>
      <c r="B1" s="3"/>
      <c r="C1" s="3"/>
      <c r="D1" s="3"/>
      <c r="E1" s="3"/>
      <c r="F1" s="3"/>
      <c r="G1" s="3"/>
      <c r="H1" s="3"/>
      <c r="I1" s="3"/>
      <c r="J1" s="3"/>
      <c r="K1" s="3"/>
      <c r="L1" s="3"/>
      <c r="M1" s="3"/>
      <c r="N1" s="3"/>
      <c r="O1" s="3"/>
      <c r="P1" s="3"/>
    </row>
    <row r="2" customFormat="false" ht="15" hidden="false" customHeight="false" outlineLevel="0" collapsed="false">
      <c r="A2" s="2" t="s">
        <v>751</v>
      </c>
      <c r="B2" s="3"/>
      <c r="C2" s="3"/>
      <c r="D2" s="3"/>
      <c r="E2" s="3"/>
      <c r="F2" s="3"/>
      <c r="G2" s="3"/>
      <c r="H2" s="3"/>
      <c r="I2" s="3"/>
      <c r="J2" s="3"/>
      <c r="K2" s="3"/>
      <c r="L2" s="3"/>
      <c r="M2" s="3"/>
      <c r="N2" s="3"/>
      <c r="O2" s="3"/>
      <c r="P2" s="3"/>
    </row>
    <row r="3" customFormat="false" ht="15" hidden="false" customHeight="false" outlineLevel="0" collapsed="false">
      <c r="A3" s="3"/>
      <c r="B3" s="3"/>
      <c r="C3" s="3"/>
      <c r="D3" s="3"/>
      <c r="E3" s="3"/>
      <c r="F3" s="3"/>
      <c r="G3" s="3"/>
      <c r="H3" s="3"/>
      <c r="I3" s="3"/>
      <c r="J3" s="3"/>
      <c r="K3" s="3"/>
      <c r="L3" s="3"/>
      <c r="M3" s="3"/>
      <c r="N3" s="3"/>
      <c r="O3" s="3"/>
      <c r="P3" s="3"/>
    </row>
    <row r="4" customFormat="false" ht="31.5" hidden="false" customHeight="true" outlineLevel="0" collapsed="false">
      <c r="A4" s="7" t="s">
        <v>707</v>
      </c>
      <c r="B4" s="7" t="s">
        <v>708</v>
      </c>
      <c r="C4" s="7" t="s">
        <v>709</v>
      </c>
      <c r="D4" s="7" t="s">
        <v>710</v>
      </c>
      <c r="E4" s="7" t="s">
        <v>711</v>
      </c>
      <c r="F4" s="7" t="s">
        <v>712</v>
      </c>
      <c r="G4" s="7" t="s">
        <v>713</v>
      </c>
      <c r="H4" s="7" t="s">
        <v>714</v>
      </c>
      <c r="I4" s="7" t="s">
        <v>715</v>
      </c>
      <c r="J4" s="7" t="s">
        <v>716</v>
      </c>
      <c r="K4" s="7" t="s">
        <v>717</v>
      </c>
      <c r="L4" s="7" t="s">
        <v>718</v>
      </c>
      <c r="M4" s="7" t="s">
        <v>719</v>
      </c>
      <c r="N4" s="7" t="s">
        <v>720</v>
      </c>
      <c r="O4" s="7" t="s">
        <v>721</v>
      </c>
      <c r="P4" s="7" t="s">
        <v>722</v>
      </c>
    </row>
    <row r="5" customFormat="false" ht="15" hidden="false" customHeight="false" outlineLevel="0" collapsed="false">
      <c r="A5" s="48" t="s">
        <v>752</v>
      </c>
      <c r="B5" s="51" t="n">
        <v>1481.4</v>
      </c>
      <c r="C5" s="51" t="n">
        <v>255</v>
      </c>
      <c r="D5" s="51" t="n">
        <v>253</v>
      </c>
      <c r="E5" s="51" t="n">
        <v>0.4</v>
      </c>
      <c r="F5" s="51" t="n">
        <v>0</v>
      </c>
      <c r="G5" s="51" t="n">
        <v>0</v>
      </c>
      <c r="H5" s="51" t="n">
        <v>-2969.85</v>
      </c>
      <c r="I5" s="51" t="n">
        <v>299.19</v>
      </c>
      <c r="J5" s="51" t="n">
        <v>-1206.92</v>
      </c>
      <c r="K5" s="51" t="n">
        <v>-81.47</v>
      </c>
      <c r="L5" s="51" t="n">
        <v>-4.73</v>
      </c>
      <c r="M5" s="51" t="n">
        <v>5.81</v>
      </c>
      <c r="N5" s="51" t="n">
        <v>2781</v>
      </c>
      <c r="O5" s="51" t="n">
        <v>9.17</v>
      </c>
      <c r="P5" s="51" t="n">
        <v>0</v>
      </c>
    </row>
    <row r="6" customFormat="false" ht="15" hidden="false" customHeight="false" outlineLevel="0" collapsed="false">
      <c r="A6" s="48" t="s">
        <v>753</v>
      </c>
      <c r="B6" s="51" t="n">
        <v>31955.95</v>
      </c>
      <c r="C6" s="51" t="n">
        <v>1001</v>
      </c>
      <c r="D6" s="51" t="n">
        <v>990</v>
      </c>
      <c r="E6" s="51" t="n">
        <v>2</v>
      </c>
      <c r="F6" s="51" t="n">
        <v>9507.3</v>
      </c>
      <c r="G6" s="51" t="n">
        <v>29.8</v>
      </c>
      <c r="H6" s="51" t="n">
        <v>-11564.56</v>
      </c>
      <c r="I6" s="51" t="n">
        <v>-14096.53</v>
      </c>
      <c r="J6" s="51" t="n">
        <v>-3782.07</v>
      </c>
      <c r="K6" s="51" t="n">
        <v>-11.84</v>
      </c>
      <c r="L6" s="51" t="n">
        <v>-3.78</v>
      </c>
      <c r="M6" s="51" t="n">
        <v>31.92</v>
      </c>
      <c r="N6" s="51" t="n">
        <v>19164</v>
      </c>
      <c r="O6" s="51" t="n">
        <v>5.22</v>
      </c>
      <c r="P6" s="51" t="n">
        <v>0</v>
      </c>
    </row>
    <row r="7" customFormat="false" ht="15" hidden="false" customHeight="false" outlineLevel="0" collapsed="false">
      <c r="A7" s="48" t="s">
        <v>754</v>
      </c>
      <c r="B7" s="51" t="n">
        <v>24483.45</v>
      </c>
      <c r="C7" s="51" t="n">
        <v>731</v>
      </c>
      <c r="D7" s="51" t="n">
        <v>721</v>
      </c>
      <c r="E7" s="51" t="n">
        <v>5.6</v>
      </c>
      <c r="F7" s="51" t="n">
        <v>5039.02</v>
      </c>
      <c r="G7" s="51" t="n">
        <v>20.6</v>
      </c>
      <c r="H7" s="51" t="n">
        <v>-8482.92</v>
      </c>
      <c r="I7" s="51" t="n">
        <v>-10667.05</v>
      </c>
      <c r="J7" s="51" t="n">
        <v>-933.36</v>
      </c>
      <c r="K7" s="51" t="n">
        <v>-3.81</v>
      </c>
      <c r="L7" s="51" t="n">
        <v>-1.28</v>
      </c>
      <c r="M7" s="51" t="n">
        <v>33.49</v>
      </c>
      <c r="N7" s="51" t="n">
        <v>14109</v>
      </c>
      <c r="O7" s="51" t="n">
        <v>5.18</v>
      </c>
      <c r="P7" s="51" t="n">
        <v>0</v>
      </c>
    </row>
    <row r="8" customFormat="false" ht="15" hidden="false" customHeight="false" outlineLevel="0" collapsed="false">
      <c r="A8" s="48" t="s">
        <v>755</v>
      </c>
      <c r="B8" s="51" t="n">
        <v>4791.05</v>
      </c>
      <c r="C8" s="51" t="n">
        <v>141</v>
      </c>
      <c r="D8" s="51" t="n">
        <v>140</v>
      </c>
      <c r="E8" s="51" t="n">
        <v>20.6</v>
      </c>
      <c r="F8" s="51" t="n">
        <v>1053.05</v>
      </c>
      <c r="G8" s="51" t="n">
        <v>22</v>
      </c>
      <c r="H8" s="51" t="n">
        <v>-1738.5</v>
      </c>
      <c r="I8" s="51" t="n">
        <v>-2356.72</v>
      </c>
      <c r="J8" s="51" t="n">
        <v>-1011.09</v>
      </c>
      <c r="K8" s="51" t="n">
        <v>-21.1</v>
      </c>
      <c r="L8" s="51" t="n">
        <v>-7.17</v>
      </c>
      <c r="M8" s="51" t="n">
        <v>33.98</v>
      </c>
      <c r="N8" s="51" t="n">
        <v>3973</v>
      </c>
      <c r="O8" s="51" t="n">
        <v>3.55</v>
      </c>
      <c r="P8" s="51" t="n">
        <v>0</v>
      </c>
    </row>
    <row r="9" customFormat="false" ht="15" hidden="false" customHeight="false" outlineLevel="0" collapsed="false">
      <c r="A9" s="48" t="s">
        <v>756</v>
      </c>
      <c r="B9" s="51" t="n">
        <v>2991.75</v>
      </c>
      <c r="C9" s="51" t="n">
        <v>85</v>
      </c>
      <c r="D9" s="51" t="n">
        <v>85</v>
      </c>
      <c r="E9" s="51" t="n">
        <v>9.4</v>
      </c>
      <c r="F9" s="51" t="n">
        <v>149.75</v>
      </c>
      <c r="G9" s="51" t="n">
        <v>5</v>
      </c>
      <c r="H9" s="51" t="n">
        <v>-1015.03</v>
      </c>
      <c r="I9" s="51" t="n">
        <v>-1196.78</v>
      </c>
      <c r="J9" s="51" t="n">
        <v>473.89</v>
      </c>
      <c r="K9" s="51" t="n">
        <v>15.84</v>
      </c>
      <c r="L9" s="51" t="n">
        <v>5.58</v>
      </c>
      <c r="M9" s="51" t="n">
        <v>35.2</v>
      </c>
      <c r="N9" s="51" t="n">
        <v>2390</v>
      </c>
      <c r="O9" s="51" t="n">
        <v>3.56</v>
      </c>
      <c r="P9" s="51" t="n">
        <v>0</v>
      </c>
    </row>
    <row r="10" customFormat="false" ht="15" hidden="false" customHeight="false" outlineLevel="0" collapsed="false">
      <c r="A10" s="48" t="s">
        <v>757</v>
      </c>
      <c r="B10" s="51" t="n">
        <v>12372.1</v>
      </c>
      <c r="C10" s="51" t="n">
        <v>359</v>
      </c>
      <c r="D10" s="51" t="n">
        <v>352</v>
      </c>
      <c r="E10" s="51" t="n">
        <v>2.8</v>
      </c>
      <c r="F10" s="51" t="n">
        <v>4202.06</v>
      </c>
      <c r="G10" s="51" t="n">
        <v>34</v>
      </c>
      <c r="H10" s="51" t="n">
        <v>-4240.7</v>
      </c>
      <c r="I10" s="51" t="n">
        <v>-4414.17</v>
      </c>
      <c r="J10" s="51" t="n">
        <v>-1085.25</v>
      </c>
      <c r="K10" s="51" t="n">
        <v>-8.77</v>
      </c>
      <c r="L10" s="51" t="n">
        <v>-3.02</v>
      </c>
      <c r="M10" s="51" t="n">
        <v>34.46</v>
      </c>
      <c r="N10" s="51" t="n">
        <v>8538</v>
      </c>
      <c r="O10" s="51" t="n">
        <v>4.2</v>
      </c>
      <c r="P10" s="51" t="n">
        <v>0</v>
      </c>
    </row>
    <row r="11" customFormat="false" ht="15" hidden="false" customHeight="false" outlineLevel="0" collapsed="false">
      <c r="A11" s="48" t="s">
        <v>758</v>
      </c>
      <c r="B11" s="51" t="n">
        <v>60307.95</v>
      </c>
      <c r="C11" s="51" t="n">
        <v>1765</v>
      </c>
      <c r="D11" s="51" t="n">
        <v>1734</v>
      </c>
      <c r="E11" s="51" t="n">
        <v>2.3</v>
      </c>
      <c r="F11" s="51" t="n">
        <v>15658.42</v>
      </c>
      <c r="G11" s="51" t="n">
        <v>26</v>
      </c>
      <c r="H11" s="51" t="n">
        <v>-20339.32</v>
      </c>
      <c r="I11" s="51" t="n">
        <v>-21491.73</v>
      </c>
      <c r="J11" s="51" t="n">
        <v>-1656.46</v>
      </c>
      <c r="K11" s="51" t="n">
        <v>-2.75</v>
      </c>
      <c r="L11" s="51" t="n">
        <v>-0.94</v>
      </c>
      <c r="M11" s="51" t="n">
        <v>34.17</v>
      </c>
      <c r="N11" s="51" t="n">
        <v>37844</v>
      </c>
      <c r="O11" s="51" t="n">
        <v>4.66</v>
      </c>
      <c r="P11" s="51" t="n">
        <v>-45.11</v>
      </c>
    </row>
    <row r="12" customFormat="false" ht="15" hidden="false" customHeight="false" outlineLevel="0" collapsed="false">
      <c r="A12" s="48" t="s">
        <v>759</v>
      </c>
      <c r="B12" s="51" t="n">
        <v>64392.05</v>
      </c>
      <c r="C12" s="51" t="n">
        <v>1730</v>
      </c>
      <c r="D12" s="51" t="n">
        <v>1705</v>
      </c>
      <c r="E12" s="51" t="n">
        <v>4.5</v>
      </c>
      <c r="F12" s="51" t="n">
        <v>14035.14</v>
      </c>
      <c r="G12" s="51" t="n">
        <v>21.8</v>
      </c>
      <c r="H12" s="51" t="n">
        <v>-19914.84</v>
      </c>
      <c r="I12" s="51" t="n">
        <v>-22302.9</v>
      </c>
      <c r="J12" s="51" t="n">
        <v>5536.23</v>
      </c>
      <c r="K12" s="51" t="n">
        <v>8.6</v>
      </c>
      <c r="L12" s="51" t="n">
        <v>3.2</v>
      </c>
      <c r="M12" s="51" t="n">
        <v>37.22</v>
      </c>
      <c r="N12" s="51" t="n">
        <v>40645</v>
      </c>
      <c r="O12" s="51" t="n">
        <v>4.26</v>
      </c>
      <c r="P12" s="51" t="n">
        <v>-34.36</v>
      </c>
    </row>
    <row r="13" customFormat="false" ht="15" hidden="false" customHeight="false" outlineLevel="0" collapsed="false">
      <c r="A13" s="48" t="s">
        <v>760</v>
      </c>
      <c r="B13" s="51" t="n">
        <v>43550.2</v>
      </c>
      <c r="C13" s="51" t="n">
        <v>1359</v>
      </c>
      <c r="D13" s="51" t="n">
        <v>1342</v>
      </c>
      <c r="E13" s="51" t="n">
        <v>3.4</v>
      </c>
      <c r="F13" s="51" t="n">
        <v>7573.11</v>
      </c>
      <c r="G13" s="51" t="n">
        <v>17.4</v>
      </c>
      <c r="H13" s="51" t="n">
        <v>-16001.81</v>
      </c>
      <c r="I13" s="51" t="n">
        <v>-16281.12</v>
      </c>
      <c r="J13" s="51" t="n">
        <v>2367.06</v>
      </c>
      <c r="K13" s="51" t="n">
        <v>5.44</v>
      </c>
      <c r="L13" s="51" t="n">
        <v>1.74</v>
      </c>
      <c r="M13" s="51" t="n">
        <v>32.05</v>
      </c>
      <c r="N13" s="51" t="n">
        <v>27625</v>
      </c>
      <c r="O13" s="51" t="n">
        <v>4.92</v>
      </c>
      <c r="P13" s="51" t="n">
        <v>-22.02</v>
      </c>
    </row>
    <row r="14" customFormat="false" ht="15" hidden="false" customHeight="false" outlineLevel="0" collapsed="false">
      <c r="A14" s="48" t="s">
        <v>761</v>
      </c>
      <c r="B14" s="51" t="n">
        <v>64573.48</v>
      </c>
      <c r="C14" s="51" t="n">
        <v>1945</v>
      </c>
      <c r="D14" s="51" t="n">
        <v>1912</v>
      </c>
      <c r="E14" s="51" t="n">
        <v>3.4</v>
      </c>
      <c r="F14" s="51" t="n">
        <v>9173.96</v>
      </c>
      <c r="G14" s="51" t="n">
        <v>14.2</v>
      </c>
      <c r="H14" s="51" t="n">
        <v>-22972.08</v>
      </c>
      <c r="I14" s="51" t="n">
        <v>-24207.21</v>
      </c>
      <c r="J14" s="51" t="n">
        <v>5618.16</v>
      </c>
      <c r="K14" s="51" t="n">
        <v>8.7</v>
      </c>
      <c r="L14" s="51" t="n">
        <v>2.89</v>
      </c>
      <c r="M14" s="51" t="n">
        <v>33.2</v>
      </c>
      <c r="N14" s="51" t="n">
        <v>41965</v>
      </c>
      <c r="O14" s="51" t="n">
        <v>4.63</v>
      </c>
      <c r="P14" s="51" t="n">
        <v>-33.37</v>
      </c>
    </row>
    <row r="15" customFormat="false" ht="15" hidden="false" customHeight="false" outlineLevel="0" collapsed="false">
      <c r="A15" s="48" t="s">
        <v>762</v>
      </c>
      <c r="B15" s="51" t="n">
        <v>84561.93</v>
      </c>
      <c r="C15" s="51" t="n">
        <v>2353</v>
      </c>
      <c r="D15" s="51" t="n">
        <v>2325</v>
      </c>
      <c r="E15" s="51" t="n">
        <v>4.3</v>
      </c>
      <c r="F15" s="51" t="n">
        <v>16505.35</v>
      </c>
      <c r="G15" s="51" t="n">
        <v>19.5</v>
      </c>
      <c r="H15" s="51" t="n">
        <v>-28618.51</v>
      </c>
      <c r="I15" s="51" t="n">
        <v>-29485.63</v>
      </c>
      <c r="J15" s="51" t="n">
        <v>5828.1</v>
      </c>
      <c r="K15" s="51" t="n">
        <v>6.89</v>
      </c>
      <c r="L15" s="51" t="n">
        <v>2.48</v>
      </c>
      <c r="M15" s="51" t="n">
        <v>35.94</v>
      </c>
      <c r="N15" s="51" t="n">
        <v>50502</v>
      </c>
      <c r="O15" s="51" t="n">
        <v>4.66</v>
      </c>
      <c r="P15" s="51" t="n">
        <v>0</v>
      </c>
    </row>
    <row r="16" customFormat="false" ht="15" hidden="false" customHeight="false" outlineLevel="0" collapsed="false">
      <c r="A16" s="48" t="s">
        <v>763</v>
      </c>
      <c r="B16" s="51" t="n">
        <v>41068.5</v>
      </c>
      <c r="C16" s="51" t="n">
        <v>1072</v>
      </c>
      <c r="D16" s="51" t="n">
        <v>1052</v>
      </c>
      <c r="E16" s="51" t="n">
        <v>6.2</v>
      </c>
      <c r="F16" s="51" t="n">
        <v>7328.33</v>
      </c>
      <c r="G16" s="51" t="n">
        <v>17.8</v>
      </c>
      <c r="H16" s="51" t="n">
        <v>-13004.86</v>
      </c>
      <c r="I16" s="51" t="n">
        <v>-14159.45</v>
      </c>
      <c r="J16" s="51" t="n">
        <v>3625.33</v>
      </c>
      <c r="K16" s="51" t="n">
        <v>8.83</v>
      </c>
      <c r="L16" s="51" t="n">
        <v>3.38</v>
      </c>
      <c r="M16" s="51" t="n">
        <v>38.31</v>
      </c>
      <c r="N16" s="51" t="n">
        <v>25091</v>
      </c>
      <c r="O16" s="51" t="n">
        <v>4.27</v>
      </c>
      <c r="P16" s="51" t="n">
        <v>-21.06</v>
      </c>
    </row>
    <row r="17" customFormat="false" ht="15" hidden="false" customHeight="false" outlineLevel="0" collapsed="false">
      <c r="A17" s="48" t="s">
        <v>764</v>
      </c>
      <c r="B17" s="51" t="n">
        <v>32117.05</v>
      </c>
      <c r="C17" s="51" t="n">
        <v>874</v>
      </c>
      <c r="D17" s="51" t="n">
        <v>854</v>
      </c>
      <c r="E17" s="51" t="n">
        <v>4.3</v>
      </c>
      <c r="F17" s="51" t="n">
        <v>7957.35</v>
      </c>
      <c r="G17" s="51" t="n">
        <v>24.8</v>
      </c>
      <c r="H17" s="51" t="n">
        <v>-10201.27</v>
      </c>
      <c r="I17" s="51" t="n">
        <v>-12376.8</v>
      </c>
      <c r="J17" s="51" t="n">
        <v>129.62</v>
      </c>
      <c r="K17" s="51" t="n">
        <v>0.4</v>
      </c>
      <c r="L17" s="51" t="n">
        <v>0.15</v>
      </c>
      <c r="M17" s="51" t="n">
        <v>36.75</v>
      </c>
      <c r="N17" s="51" t="n">
        <v>21160</v>
      </c>
      <c r="O17" s="51" t="n">
        <v>4.13</v>
      </c>
      <c r="P17" s="51" t="n">
        <v>-59.96</v>
      </c>
    </row>
    <row r="18" customFormat="false" ht="15" hidden="false" customHeight="false" outlineLevel="0" collapsed="false">
      <c r="A18" s="48" t="s">
        <v>765</v>
      </c>
      <c r="B18" s="51" t="n">
        <v>24315.34</v>
      </c>
      <c r="C18" s="51" t="n">
        <v>712</v>
      </c>
      <c r="D18" s="51" t="n">
        <v>698</v>
      </c>
      <c r="E18" s="51" t="n">
        <v>4.1</v>
      </c>
      <c r="F18" s="51" t="n">
        <v>5127.84</v>
      </c>
      <c r="G18" s="51" t="n">
        <v>21.1</v>
      </c>
      <c r="H18" s="51" t="n">
        <v>-8444.15</v>
      </c>
      <c r="I18" s="51" t="n">
        <v>-14271.81</v>
      </c>
      <c r="J18" s="51" t="n">
        <v>-4761.13</v>
      </c>
      <c r="K18" s="51" t="n">
        <v>-19.58</v>
      </c>
      <c r="L18" s="51" t="n">
        <v>-6.69</v>
      </c>
      <c r="M18" s="51" t="n">
        <v>34.15</v>
      </c>
      <c r="N18" s="51" t="n">
        <v>17328</v>
      </c>
      <c r="O18" s="51" t="n">
        <v>4.11</v>
      </c>
      <c r="P18" s="51" t="n">
        <v>-83.74</v>
      </c>
    </row>
    <row r="19" customFormat="false" ht="15" hidden="false" customHeight="false" outlineLevel="0" collapsed="false">
      <c r="A19" s="48" t="s">
        <v>766</v>
      </c>
      <c r="B19" s="51" t="n">
        <v>44043.65</v>
      </c>
      <c r="C19" s="51" t="n">
        <v>1168</v>
      </c>
      <c r="D19" s="51" t="n">
        <v>1139</v>
      </c>
      <c r="E19" s="51" t="n">
        <v>4.3</v>
      </c>
      <c r="F19" s="51" t="n">
        <v>5530.84</v>
      </c>
      <c r="G19" s="51" t="n">
        <v>12.6</v>
      </c>
      <c r="H19" s="51" t="n">
        <v>-13820.3</v>
      </c>
      <c r="I19" s="51" t="n">
        <v>-19477.87</v>
      </c>
      <c r="J19" s="51" t="n">
        <v>-4983.67</v>
      </c>
      <c r="K19" s="51" t="n">
        <v>-11.32</v>
      </c>
      <c r="L19" s="51" t="n">
        <v>-4.27</v>
      </c>
      <c r="M19" s="51" t="n">
        <v>37.71</v>
      </c>
      <c r="N19" s="51" t="n">
        <v>18748</v>
      </c>
      <c r="O19" s="51" t="n">
        <v>6.23</v>
      </c>
      <c r="P19" s="51" t="n">
        <v>-605.25</v>
      </c>
    </row>
    <row r="20" customFormat="false" ht="15" hidden="false" customHeight="false" outlineLevel="0" collapsed="false">
      <c r="A20" s="48" t="s">
        <v>767</v>
      </c>
      <c r="B20" s="51" t="n">
        <v>16310.7</v>
      </c>
      <c r="C20" s="51" t="n">
        <v>427</v>
      </c>
      <c r="D20" s="51" t="n">
        <v>419</v>
      </c>
      <c r="E20" s="51" t="n">
        <v>11.7</v>
      </c>
      <c r="F20" s="51" t="n">
        <v>3759.92</v>
      </c>
      <c r="G20" s="51" t="n">
        <v>23.1</v>
      </c>
      <c r="H20" s="51" t="n">
        <v>-4932.48</v>
      </c>
      <c r="I20" s="51" t="n">
        <v>-11147.55</v>
      </c>
      <c r="J20" s="51" t="n">
        <v>-4994.82</v>
      </c>
      <c r="K20" s="51" t="n">
        <v>-30.62</v>
      </c>
      <c r="L20" s="51" t="n">
        <v>-11.7</v>
      </c>
      <c r="M20" s="51" t="n">
        <v>38.2</v>
      </c>
      <c r="N20" s="51" t="n">
        <v>13165</v>
      </c>
      <c r="O20" s="51" t="n">
        <v>3.24</v>
      </c>
      <c r="P20" s="51" t="n">
        <v>-1015.2</v>
      </c>
    </row>
    <row r="21" customFormat="false" ht="15" hidden="false" customHeight="false" outlineLevel="0" collapsed="false">
      <c r="A21" s="48" t="s">
        <v>768</v>
      </c>
      <c r="B21" s="51" t="n">
        <v>18133.02</v>
      </c>
      <c r="C21" s="51" t="n">
        <v>459</v>
      </c>
      <c r="D21" s="51" t="n">
        <v>454</v>
      </c>
      <c r="E21" s="51" t="n">
        <v>2</v>
      </c>
      <c r="F21" s="51" t="n">
        <v>2965.13</v>
      </c>
      <c r="G21" s="51" t="n">
        <v>16.4</v>
      </c>
      <c r="H21" s="51" t="n">
        <v>-5470.61</v>
      </c>
      <c r="I21" s="51" t="n">
        <v>-8178.77</v>
      </c>
      <c r="J21" s="51" t="n">
        <v>-1286.26</v>
      </c>
      <c r="K21" s="51" t="n">
        <v>-7.09</v>
      </c>
      <c r="L21" s="51" t="n">
        <v>-2.8</v>
      </c>
      <c r="M21" s="51" t="n">
        <v>39.51</v>
      </c>
      <c r="N21" s="51" t="n">
        <v>11025</v>
      </c>
      <c r="O21" s="51" t="n">
        <v>4.16</v>
      </c>
      <c r="P21" s="51" t="n">
        <v>-1333.02</v>
      </c>
    </row>
    <row r="22" customFormat="false" ht="15" hidden="false" customHeight="false" outlineLevel="0" collapsed="false">
      <c r="A22" s="48" t="s">
        <v>769</v>
      </c>
      <c r="B22" s="51" t="n">
        <v>29418.13</v>
      </c>
      <c r="C22" s="51" t="n">
        <v>782</v>
      </c>
      <c r="D22" s="51" t="n">
        <v>767</v>
      </c>
      <c r="E22" s="51" t="n">
        <v>5</v>
      </c>
      <c r="F22" s="51" t="n">
        <v>3928.19</v>
      </c>
      <c r="G22" s="51" t="n">
        <v>13.4</v>
      </c>
      <c r="H22" s="51" t="n">
        <v>-9347.34</v>
      </c>
      <c r="I22" s="51" t="n">
        <v>-14033.82</v>
      </c>
      <c r="J22" s="51" t="n">
        <v>-4158.03</v>
      </c>
      <c r="K22" s="51" t="n">
        <v>-14.13</v>
      </c>
      <c r="L22" s="51" t="n">
        <v>-5.32</v>
      </c>
      <c r="M22" s="51" t="n">
        <v>37.62</v>
      </c>
      <c r="N22" s="51" t="n">
        <v>18396</v>
      </c>
      <c r="O22" s="51" t="n">
        <v>4.25</v>
      </c>
      <c r="P22" s="51" t="n">
        <v>-3840.34</v>
      </c>
    </row>
    <row r="23" customFormat="false" ht="15" hidden="false" customHeight="false" outlineLevel="0" collapsed="false">
      <c r="A23" s="48" t="s">
        <v>770</v>
      </c>
      <c r="B23" s="51" t="n">
        <v>47636.17</v>
      </c>
      <c r="C23" s="51" t="n">
        <v>1823</v>
      </c>
      <c r="D23" s="51" t="n">
        <v>1771</v>
      </c>
      <c r="E23" s="51" t="n">
        <v>2.3</v>
      </c>
      <c r="F23" s="51" t="n">
        <v>4012.13</v>
      </c>
      <c r="G23" s="51" t="n">
        <v>8.4</v>
      </c>
      <c r="H23" s="51" t="n">
        <v>-21656.91</v>
      </c>
      <c r="I23" s="51" t="n">
        <v>-24624.97</v>
      </c>
      <c r="J23" s="51" t="n">
        <v>-4020.41</v>
      </c>
      <c r="K23" s="51" t="n">
        <v>-8.44</v>
      </c>
      <c r="L23" s="51" t="n">
        <v>-2.21</v>
      </c>
      <c r="M23" s="51" t="n">
        <v>26.13</v>
      </c>
      <c r="N23" s="51" t="n">
        <v>35322</v>
      </c>
      <c r="O23" s="51" t="n">
        <v>5.16</v>
      </c>
      <c r="P23" s="51" t="n">
        <v>-3747.88</v>
      </c>
    </row>
    <row r="24" customFormat="false" ht="15" hidden="false" customHeight="false" outlineLevel="0" collapsed="false">
      <c r="A24" s="48" t="s">
        <v>771</v>
      </c>
      <c r="B24" s="51" t="n">
        <v>62212.06</v>
      </c>
      <c r="C24" s="51" t="n">
        <v>2220</v>
      </c>
      <c r="D24" s="51" t="n">
        <v>2169</v>
      </c>
      <c r="E24" s="51" t="n">
        <v>5.5</v>
      </c>
      <c r="F24" s="51" t="n">
        <v>4320.69</v>
      </c>
      <c r="G24" s="51" t="n">
        <v>6.9</v>
      </c>
      <c r="H24" s="51" t="n">
        <v>-27840.68</v>
      </c>
      <c r="I24" s="51" t="n">
        <v>-27806.71</v>
      </c>
      <c r="J24" s="51" t="n">
        <v>108.87</v>
      </c>
      <c r="K24" s="51" t="n">
        <v>0.17</v>
      </c>
      <c r="L24" s="51" t="n">
        <v>0.05</v>
      </c>
      <c r="M24" s="51" t="n">
        <v>28.02</v>
      </c>
      <c r="N24" s="51" t="n">
        <v>51520</v>
      </c>
      <c r="O24" s="51" t="n">
        <v>4.31</v>
      </c>
      <c r="P24" s="51" t="n">
        <v>-2366.53</v>
      </c>
    </row>
    <row r="25" customFormat="false" ht="15" hidden="false" customHeight="false" outlineLevel="0" collapsed="false">
      <c r="A25" s="48" t="s">
        <v>772</v>
      </c>
      <c r="B25" s="51" t="n">
        <v>63623.02</v>
      </c>
      <c r="C25" s="51" t="n">
        <v>1780</v>
      </c>
      <c r="D25" s="51" t="n">
        <v>1748</v>
      </c>
      <c r="E25" s="51" t="n">
        <v>4.9</v>
      </c>
      <c r="F25" s="51" t="n">
        <v>4602.91</v>
      </c>
      <c r="G25" s="51" t="n">
        <v>7.2</v>
      </c>
      <c r="H25" s="51" t="n">
        <v>-22567.66</v>
      </c>
      <c r="I25" s="51" t="n">
        <v>-24365.69</v>
      </c>
      <c r="J25" s="51" t="n">
        <v>9841.25</v>
      </c>
      <c r="K25" s="51" t="n">
        <v>15.47</v>
      </c>
      <c r="L25" s="51" t="n">
        <v>5.53</v>
      </c>
      <c r="M25" s="51" t="n">
        <v>35.74</v>
      </c>
      <c r="N25" s="51" t="n">
        <v>51373</v>
      </c>
      <c r="O25" s="51" t="n">
        <v>3.46</v>
      </c>
      <c r="P25" s="51" t="n">
        <v>-1790.31</v>
      </c>
    </row>
    <row r="26" customFormat="false" ht="15" hidden="false" customHeight="false" outlineLevel="0" collapsed="false">
      <c r="A26" s="48" t="s">
        <v>723</v>
      </c>
      <c r="B26" s="51" t="n">
        <v>64334.35</v>
      </c>
      <c r="C26" s="51" t="n">
        <v>1806</v>
      </c>
      <c r="D26" s="51" t="n">
        <v>1767</v>
      </c>
      <c r="E26" s="51" t="n">
        <v>5.1</v>
      </c>
      <c r="F26" s="51" t="n">
        <v>5036.32</v>
      </c>
      <c r="G26" s="51" t="n">
        <v>7.8</v>
      </c>
      <c r="H26" s="51" t="n">
        <v>-24265.01</v>
      </c>
      <c r="I26" s="51" t="n">
        <v>-23348.68</v>
      </c>
      <c r="J26" s="51" t="n">
        <v>9132</v>
      </c>
      <c r="K26" s="51" t="n">
        <v>14.19</v>
      </c>
      <c r="L26" s="51" t="n">
        <v>5.06</v>
      </c>
      <c r="M26" s="51" t="n">
        <v>35.62</v>
      </c>
      <c r="N26" s="51" t="n">
        <v>44250</v>
      </c>
      <c r="O26" s="51" t="n">
        <v>4.08</v>
      </c>
      <c r="P26" s="51" t="n">
        <v>-1196.28</v>
      </c>
    </row>
    <row r="27" customFormat="false" ht="15" hidden="false" customHeight="false" outlineLevel="0" collapsed="false">
      <c r="A27" s="48" t="s">
        <v>724</v>
      </c>
      <c r="B27" s="51" t="n">
        <v>29829.15</v>
      </c>
      <c r="C27" s="51" t="n">
        <v>782</v>
      </c>
      <c r="D27" s="51" t="n">
        <v>762</v>
      </c>
      <c r="E27" s="51" t="n">
        <v>6.1</v>
      </c>
      <c r="F27" s="51" t="n">
        <v>2134.36</v>
      </c>
      <c r="G27" s="51" t="n">
        <v>7.2</v>
      </c>
      <c r="H27" s="51" t="n">
        <v>-10940.85</v>
      </c>
      <c r="I27" s="51" t="n">
        <v>-10857.72</v>
      </c>
      <c r="J27" s="51" t="n">
        <v>4512.6</v>
      </c>
      <c r="K27" s="51" t="n">
        <v>15.13</v>
      </c>
      <c r="L27" s="51" t="n">
        <v>5.77</v>
      </c>
      <c r="M27" s="51" t="n">
        <v>38.14</v>
      </c>
      <c r="N27" s="51" t="n">
        <v>19750</v>
      </c>
      <c r="O27" s="51" t="n">
        <v>3.96</v>
      </c>
      <c r="P27" s="51" t="n">
        <v>-699.88</v>
      </c>
    </row>
    <row r="28" customFormat="false" ht="15" hidden="false" customHeight="false" outlineLevel="0" collapsed="false">
      <c r="A28" s="48" t="s">
        <v>725</v>
      </c>
      <c r="B28" s="51" t="n">
        <v>11573.2</v>
      </c>
      <c r="C28" s="51" t="n">
        <v>298</v>
      </c>
      <c r="D28" s="51" t="n">
        <v>297</v>
      </c>
      <c r="E28" s="51" t="n">
        <v>8.1</v>
      </c>
      <c r="F28" s="51" t="n">
        <v>1250.66</v>
      </c>
      <c r="G28" s="51" t="n">
        <v>10.8</v>
      </c>
      <c r="H28" s="51" t="n">
        <v>-4127.58</v>
      </c>
      <c r="I28" s="51" t="n">
        <v>-4454.54</v>
      </c>
      <c r="J28" s="51" t="n">
        <v>1249.21</v>
      </c>
      <c r="K28" s="51" t="n">
        <v>10.79</v>
      </c>
      <c r="L28" s="51" t="n">
        <v>4.19</v>
      </c>
      <c r="M28" s="51" t="n">
        <v>38.84</v>
      </c>
      <c r="N28" s="51" t="n">
        <v>9519</v>
      </c>
      <c r="O28" s="51" t="n">
        <v>3.13</v>
      </c>
      <c r="P28" s="51" t="n">
        <v>-557.68</v>
      </c>
    </row>
    <row r="29" customFormat="false" ht="15" hidden="false" customHeight="false" outlineLevel="0" collapsed="false">
      <c r="A29" s="48" t="s">
        <v>726</v>
      </c>
      <c r="B29" s="51" t="n">
        <v>7080.28</v>
      </c>
      <c r="C29" s="51" t="n">
        <v>189</v>
      </c>
      <c r="D29" s="51" t="n">
        <v>184</v>
      </c>
      <c r="E29" s="51" t="n">
        <v>5.8</v>
      </c>
      <c r="F29" s="51" t="n">
        <v>1001.88</v>
      </c>
      <c r="G29" s="51" t="n">
        <v>14.2</v>
      </c>
      <c r="H29" s="51" t="n">
        <v>-2637.77</v>
      </c>
      <c r="I29" s="51" t="n">
        <v>-3109.41</v>
      </c>
      <c r="J29" s="51" t="n">
        <v>17.39</v>
      </c>
      <c r="K29" s="51" t="n">
        <v>0.25</v>
      </c>
      <c r="L29" s="51" t="n">
        <v>0.09</v>
      </c>
      <c r="M29" s="51" t="n">
        <v>37.46</v>
      </c>
      <c r="N29" s="51" t="n">
        <v>5770</v>
      </c>
      <c r="O29" s="51" t="n">
        <v>3.28</v>
      </c>
      <c r="P29" s="51" t="n">
        <v>-435.69</v>
      </c>
    </row>
    <row r="30" customFormat="false" ht="15" hidden="false" customHeight="false" outlineLevel="0" collapsed="false">
      <c r="A30" s="48" t="s">
        <v>727</v>
      </c>
      <c r="B30" s="51" t="n">
        <v>5912.31</v>
      </c>
      <c r="C30" s="51" t="n">
        <v>152</v>
      </c>
      <c r="D30" s="51" t="n">
        <v>151</v>
      </c>
      <c r="E30" s="51" t="n">
        <v>4.6</v>
      </c>
      <c r="F30" s="51" t="n">
        <v>579.67</v>
      </c>
      <c r="G30" s="51" t="n">
        <v>9.8</v>
      </c>
      <c r="H30" s="51" t="n">
        <v>-2049.85</v>
      </c>
      <c r="I30" s="51" t="n">
        <v>-3937.68</v>
      </c>
      <c r="J30" s="51" t="n">
        <v>-817.92</v>
      </c>
      <c r="K30" s="51" t="n">
        <v>-13.83</v>
      </c>
      <c r="L30" s="51" t="n">
        <v>-5.38</v>
      </c>
      <c r="M30" s="51" t="n">
        <v>38.9</v>
      </c>
      <c r="N30" s="51" t="n">
        <v>4245</v>
      </c>
      <c r="O30" s="51" t="n">
        <v>3.58</v>
      </c>
      <c r="P30" s="51" t="n">
        <v>-396.21</v>
      </c>
    </row>
    <row r="31" customFormat="false" ht="15" hidden="false" customHeight="false" outlineLevel="0" collapsed="false">
      <c r="A31" s="48" t="s">
        <v>728</v>
      </c>
      <c r="B31" s="51" t="n">
        <v>9145</v>
      </c>
      <c r="C31" s="51" t="n">
        <v>240</v>
      </c>
      <c r="D31" s="51" t="n">
        <v>230</v>
      </c>
      <c r="E31" s="51" t="n">
        <v>8.3</v>
      </c>
      <c r="F31" s="51" t="n">
        <v>830.33</v>
      </c>
      <c r="G31" s="51" t="n">
        <v>9.1</v>
      </c>
      <c r="H31" s="51" t="n">
        <v>-2916.75</v>
      </c>
      <c r="I31" s="51" t="n">
        <v>-5487.84</v>
      </c>
      <c r="J31" s="51" t="n">
        <v>-702.38</v>
      </c>
      <c r="K31" s="51" t="n">
        <v>-7.68</v>
      </c>
      <c r="L31" s="51" t="n">
        <v>-2.93</v>
      </c>
      <c r="M31" s="51" t="n">
        <v>38.1</v>
      </c>
      <c r="N31" s="51" t="n">
        <v>4956</v>
      </c>
      <c r="O31" s="51" t="n">
        <v>4.84</v>
      </c>
      <c r="P31" s="51" t="n">
        <v>-336.2</v>
      </c>
    </row>
    <row r="32" customFormat="false" ht="15" hidden="false" customHeight="false" outlineLevel="0" collapsed="false">
      <c r="A32" s="48" t="s">
        <v>729</v>
      </c>
      <c r="B32" s="51" t="n">
        <v>7288.23</v>
      </c>
      <c r="C32" s="51" t="n">
        <v>182</v>
      </c>
      <c r="D32" s="51" t="n">
        <v>181</v>
      </c>
      <c r="E32" s="51" t="n">
        <v>12.6</v>
      </c>
      <c r="F32" s="51" t="n">
        <v>622.03</v>
      </c>
      <c r="G32" s="51" t="n">
        <v>8.5</v>
      </c>
      <c r="H32" s="51" t="n">
        <v>-3663.63</v>
      </c>
      <c r="I32" s="51" t="n">
        <v>-3997.59</v>
      </c>
      <c r="J32" s="51" t="n">
        <v>-1612.27</v>
      </c>
      <c r="K32" s="51" t="n">
        <v>-22.12</v>
      </c>
      <c r="L32" s="51" t="n">
        <v>-8.86</v>
      </c>
      <c r="M32" s="51" t="n">
        <v>40.05</v>
      </c>
      <c r="N32" s="51" t="n">
        <v>4605</v>
      </c>
      <c r="O32" s="51" t="n">
        <v>3.95</v>
      </c>
      <c r="P32" s="51" t="n">
        <v>-324.52</v>
      </c>
    </row>
    <row r="33" customFormat="false" ht="15" hidden="false" customHeight="false" outlineLevel="0" collapsed="false">
      <c r="A33" s="48" t="s">
        <v>730</v>
      </c>
      <c r="B33" s="51" t="n">
        <v>7462.52</v>
      </c>
      <c r="C33" s="51" t="n">
        <v>192</v>
      </c>
      <c r="D33" s="51" t="n">
        <v>190</v>
      </c>
      <c r="E33" s="51" t="n">
        <v>6.2</v>
      </c>
      <c r="F33" s="51" t="n">
        <v>374.26</v>
      </c>
      <c r="G33" s="51" t="n">
        <v>5</v>
      </c>
      <c r="H33" s="51" t="n">
        <v>-4158.62</v>
      </c>
      <c r="I33" s="51" t="n">
        <v>-2688.91</v>
      </c>
      <c r="J33" s="51" t="n">
        <v>-24.15</v>
      </c>
      <c r="K33" s="51" t="n">
        <v>-0.32</v>
      </c>
      <c r="L33" s="51" t="n">
        <v>-0.13</v>
      </c>
      <c r="M33" s="51" t="n">
        <v>38.87</v>
      </c>
      <c r="N33" s="51" t="n">
        <v>4246</v>
      </c>
      <c r="O33" s="51" t="n">
        <v>4.52</v>
      </c>
      <c r="P33" s="51" t="n">
        <v>-437.65</v>
      </c>
    </row>
    <row r="34" customFormat="false" ht="15" hidden="false" customHeight="false" outlineLevel="0" collapsed="false">
      <c r="A34" s="48" t="s">
        <v>731</v>
      </c>
      <c r="B34" s="51" t="n">
        <v>10343.85</v>
      </c>
      <c r="C34" s="51" t="n">
        <v>269</v>
      </c>
      <c r="D34" s="51" t="n">
        <v>259</v>
      </c>
      <c r="E34" s="51" t="n">
        <v>4.8</v>
      </c>
      <c r="F34" s="51" t="n">
        <v>138.64</v>
      </c>
      <c r="G34" s="51" t="n">
        <v>1.3</v>
      </c>
      <c r="H34" s="51" t="n">
        <v>-4536.58</v>
      </c>
      <c r="I34" s="51" t="n">
        <v>-4466.54</v>
      </c>
      <c r="J34" s="51" t="n">
        <v>882.41</v>
      </c>
      <c r="K34" s="51" t="n">
        <v>8.53</v>
      </c>
      <c r="L34" s="51" t="n">
        <v>3.28</v>
      </c>
      <c r="M34" s="51" t="n">
        <v>38.45</v>
      </c>
      <c r="N34" s="51" t="n">
        <v>21974</v>
      </c>
      <c r="O34" s="51" t="n">
        <v>1.22</v>
      </c>
      <c r="P34" s="51" t="n">
        <v>-450.28</v>
      </c>
    </row>
    <row r="35" customFormat="false" ht="15" hidden="false" customHeight="false" outlineLevel="0" collapsed="false">
      <c r="A35" s="48" t="s">
        <v>732</v>
      </c>
      <c r="B35" s="51" t="n">
        <v>9148.92</v>
      </c>
      <c r="C35" s="51" t="n">
        <v>233</v>
      </c>
      <c r="D35" s="51" t="n">
        <v>231</v>
      </c>
      <c r="E35" s="51" t="n">
        <v>6</v>
      </c>
      <c r="F35" s="51" t="n">
        <v>684.82</v>
      </c>
      <c r="G35" s="51" t="n">
        <v>7.5</v>
      </c>
      <c r="H35" s="51" t="n">
        <v>-3713.2</v>
      </c>
      <c r="I35" s="51" t="n">
        <v>-4373</v>
      </c>
      <c r="J35" s="51" t="n">
        <v>36.73</v>
      </c>
      <c r="K35" s="51" t="n">
        <v>0.4</v>
      </c>
      <c r="L35" s="51" t="n">
        <v>0.16</v>
      </c>
      <c r="M35" s="51" t="n">
        <v>39.27</v>
      </c>
      <c r="N35" s="51" t="n">
        <v>7642</v>
      </c>
      <c r="O35" s="51" t="n">
        <v>3.05</v>
      </c>
      <c r="P35" s="51" t="n">
        <v>-575.91</v>
      </c>
    </row>
    <row r="36" customFormat="false" ht="15" hidden="false" customHeight="false" outlineLevel="0" collapsed="false">
      <c r="A36" s="48" t="s">
        <v>733</v>
      </c>
      <c r="B36" s="51" t="n">
        <v>13515.7</v>
      </c>
      <c r="C36" s="51" t="n">
        <v>349</v>
      </c>
      <c r="D36" s="51" t="n">
        <v>346</v>
      </c>
      <c r="E36" s="51" t="n">
        <v>3.7</v>
      </c>
      <c r="F36" s="51" t="n">
        <v>2723.39</v>
      </c>
      <c r="G36" s="51" t="n">
        <v>20.1</v>
      </c>
      <c r="H36" s="51" t="n">
        <v>-5511.75</v>
      </c>
      <c r="I36" s="51" t="n">
        <v>-6103.98</v>
      </c>
      <c r="J36" s="51" t="n">
        <v>-1118.07</v>
      </c>
      <c r="K36" s="51" t="n">
        <v>-8.27</v>
      </c>
      <c r="L36" s="51" t="n">
        <v>-3.2</v>
      </c>
      <c r="M36" s="51" t="n">
        <v>38.73</v>
      </c>
      <c r="N36" s="51" t="n">
        <v>12942</v>
      </c>
      <c r="O36" s="51" t="n">
        <v>2.7</v>
      </c>
      <c r="P36" s="51" t="n">
        <v>-991.13</v>
      </c>
    </row>
    <row r="37" customFormat="false" ht="15" hidden="false" customHeight="false" outlineLevel="0" collapsed="false">
      <c r="A37" s="48" t="s">
        <v>734</v>
      </c>
      <c r="B37" s="51" t="n">
        <v>20515.33</v>
      </c>
      <c r="C37" s="51" t="n">
        <v>557</v>
      </c>
      <c r="D37" s="51" t="n">
        <v>537</v>
      </c>
      <c r="E37" s="51" t="n">
        <v>3.2</v>
      </c>
      <c r="F37" s="51" t="n">
        <v>4837.37</v>
      </c>
      <c r="G37" s="51" t="n">
        <v>23.6</v>
      </c>
      <c r="H37" s="51" t="n">
        <v>-8453.18</v>
      </c>
      <c r="I37" s="51" t="n">
        <v>-8664.64</v>
      </c>
      <c r="J37" s="51" t="n">
        <v>-1824.42</v>
      </c>
      <c r="K37" s="51" t="n">
        <v>-8.89</v>
      </c>
      <c r="L37" s="51" t="n">
        <v>-3.28</v>
      </c>
      <c r="M37" s="51" t="n">
        <v>36.83</v>
      </c>
      <c r="N37" s="51" t="n">
        <v>17754</v>
      </c>
      <c r="O37" s="51" t="n">
        <v>3.14</v>
      </c>
      <c r="P37" s="51" t="n">
        <v>-1016.68</v>
      </c>
    </row>
    <row r="38" customFormat="false" ht="15" hidden="false" customHeight="false" outlineLevel="0" collapsed="false">
      <c r="A38" s="48" t="s">
        <v>735</v>
      </c>
      <c r="B38" s="51" t="n">
        <v>11922.15</v>
      </c>
      <c r="C38" s="51" t="n">
        <v>332</v>
      </c>
      <c r="D38" s="51" t="n">
        <v>325</v>
      </c>
      <c r="E38" s="51" t="n">
        <v>4.8</v>
      </c>
      <c r="F38" s="51" t="n">
        <v>3180.77</v>
      </c>
      <c r="G38" s="51" t="n">
        <v>26.7</v>
      </c>
      <c r="H38" s="51" t="n">
        <v>-4991.45</v>
      </c>
      <c r="I38" s="51" t="n">
        <v>-5519.03</v>
      </c>
      <c r="J38" s="51" t="n">
        <v>-2363.69</v>
      </c>
      <c r="K38" s="51" t="n">
        <v>-19.83</v>
      </c>
      <c r="L38" s="51" t="n">
        <v>-7.12</v>
      </c>
      <c r="M38" s="51" t="n">
        <v>35.91</v>
      </c>
      <c r="N38" s="51" t="n">
        <v>10119</v>
      </c>
      <c r="O38" s="51" t="n">
        <v>3.28</v>
      </c>
      <c r="P38" s="51" t="n">
        <v>-951.4</v>
      </c>
    </row>
    <row r="39" customFormat="false" ht="15" hidden="false" customHeight="false" outlineLevel="0" collapsed="false">
      <c r="A39" s="48" t="s">
        <v>736</v>
      </c>
      <c r="B39" s="51" t="n">
        <v>6058.49</v>
      </c>
      <c r="C39" s="51" t="n">
        <v>166</v>
      </c>
      <c r="D39" s="51" t="n">
        <v>158</v>
      </c>
      <c r="E39" s="51" t="n">
        <v>8.4</v>
      </c>
      <c r="F39" s="51" t="n">
        <v>595.66</v>
      </c>
      <c r="G39" s="51" t="n">
        <v>9.8</v>
      </c>
      <c r="H39" s="51" t="n">
        <v>-2511.75</v>
      </c>
      <c r="I39" s="51" t="n">
        <v>-6523.57</v>
      </c>
      <c r="J39" s="51" t="n">
        <v>-4036.55</v>
      </c>
      <c r="K39" s="51" t="n">
        <v>-66.63</v>
      </c>
      <c r="L39" s="51" t="n">
        <v>-24.32</v>
      </c>
      <c r="M39" s="51" t="n">
        <v>36.5</v>
      </c>
      <c r="N39" s="51" t="n">
        <v>3901</v>
      </c>
      <c r="O39" s="51" t="n">
        <v>4.26</v>
      </c>
      <c r="P39" s="51" t="n">
        <v>-754.28</v>
      </c>
    </row>
    <row r="40" customFormat="false" ht="15" hidden="false" customHeight="false" outlineLevel="0" collapsed="false">
      <c r="A40" s="48" t="s">
        <v>737</v>
      </c>
      <c r="B40" s="51" t="n">
        <v>6735.5</v>
      </c>
      <c r="C40" s="51" t="n">
        <v>172</v>
      </c>
      <c r="D40" s="51" t="n">
        <v>169</v>
      </c>
      <c r="E40" s="51" t="n">
        <v>7.6</v>
      </c>
      <c r="F40" s="51" t="n">
        <v>3033.74</v>
      </c>
      <c r="G40" s="51" t="n">
        <v>45</v>
      </c>
      <c r="H40" s="51" t="n">
        <v>-2811.53</v>
      </c>
      <c r="I40" s="51" t="n">
        <v>-3141.66</v>
      </c>
      <c r="J40" s="51" t="n">
        <v>-2619.88</v>
      </c>
      <c r="K40" s="51" t="n">
        <v>-38.9</v>
      </c>
      <c r="L40" s="51" t="n">
        <v>-15.23</v>
      </c>
      <c r="M40" s="51" t="n">
        <v>39.16</v>
      </c>
      <c r="N40" s="51" t="n">
        <v>4153</v>
      </c>
      <c r="O40" s="51" t="n">
        <v>4.14</v>
      </c>
      <c r="P40" s="51" t="n">
        <v>-193.06</v>
      </c>
    </row>
    <row r="41" customFormat="false" ht="15" hidden="false" customHeight="false" outlineLevel="0" collapsed="false">
      <c r="A41" s="48" t="s">
        <v>738</v>
      </c>
      <c r="B41" s="51" t="n">
        <v>1504.1</v>
      </c>
      <c r="C41" s="51" t="n">
        <v>38</v>
      </c>
      <c r="D41" s="51" t="n">
        <v>38</v>
      </c>
      <c r="E41" s="51" t="n">
        <v>0</v>
      </c>
      <c r="F41" s="51" t="n">
        <v>615.28</v>
      </c>
      <c r="G41" s="51" t="n">
        <v>40.9</v>
      </c>
      <c r="H41" s="51" t="n">
        <v>-608.8</v>
      </c>
      <c r="I41" s="51" t="n">
        <v>-506.47</v>
      </c>
      <c r="J41" s="51" t="n">
        <v>-226.45</v>
      </c>
      <c r="K41" s="51" t="n">
        <v>-15.06</v>
      </c>
      <c r="L41" s="51" t="n">
        <v>-5.96</v>
      </c>
      <c r="M41" s="51" t="n">
        <v>39.58</v>
      </c>
      <c r="N41" s="51" t="n">
        <v>792</v>
      </c>
      <c r="O41" s="51" t="n">
        <v>4.8</v>
      </c>
      <c r="P41" s="51" t="n">
        <v>0</v>
      </c>
    </row>
    <row r="42" customFormat="false" ht="15" hidden="false" customHeight="false" outlineLevel="0" collapsed="false">
      <c r="A42" s="3"/>
      <c r="B42" s="3"/>
      <c r="C42" s="3"/>
      <c r="D42" s="3"/>
      <c r="E42" s="3"/>
      <c r="F42" s="3"/>
      <c r="G42" s="3"/>
      <c r="H42" s="3"/>
      <c r="I42" s="3"/>
      <c r="J42" s="3"/>
      <c r="K42" s="3"/>
      <c r="L42" s="3"/>
      <c r="M42" s="3"/>
      <c r="N42" s="3"/>
      <c r="O42" s="3"/>
      <c r="P42" s="3"/>
    </row>
    <row r="43" customFormat="false" ht="15" hidden="false" customHeight="false" outlineLevel="0" collapsed="false">
      <c r="A43" s="15" t="s">
        <v>739</v>
      </c>
      <c r="B43" s="3"/>
      <c r="C43" s="3"/>
      <c r="D43" s="3"/>
      <c r="E43" s="3"/>
      <c r="F43" s="3"/>
      <c r="G43" s="3"/>
      <c r="H43" s="3"/>
      <c r="I43" s="3"/>
      <c r="J43" s="3"/>
      <c r="K43" s="3"/>
      <c r="L43" s="3"/>
      <c r="M43" s="3"/>
      <c r="N43" s="3"/>
      <c r="O43" s="3"/>
      <c r="P43" s="3"/>
    </row>
    <row r="44" customFormat="false" ht="31.5" hidden="false" customHeight="true" outlineLevel="0" collapsed="false">
      <c r="A44" s="7" t="s">
        <v>773</v>
      </c>
      <c r="B44" s="7" t="s">
        <v>774</v>
      </c>
      <c r="C44" s="7" t="s">
        <v>740</v>
      </c>
      <c r="D44" s="7" t="s">
        <v>741</v>
      </c>
      <c r="E44" s="7" t="s">
        <v>742</v>
      </c>
      <c r="F44" s="7" t="s">
        <v>713</v>
      </c>
      <c r="G44" s="7" t="s">
        <v>743</v>
      </c>
      <c r="H44" s="7" t="s">
        <v>744</v>
      </c>
      <c r="I44" s="7" t="s">
        <v>745</v>
      </c>
      <c r="J44" s="7" t="s">
        <v>746</v>
      </c>
      <c r="K44" s="7" t="s">
        <v>747</v>
      </c>
      <c r="L44" s="7" t="s">
        <v>710</v>
      </c>
      <c r="M44" s="3"/>
      <c r="N44" s="3"/>
      <c r="O44" s="3"/>
      <c r="P44" s="3"/>
    </row>
    <row r="45" customFormat="false" ht="15" hidden="false" customHeight="false" outlineLevel="0" collapsed="false">
      <c r="A45" s="48" t="s">
        <v>775</v>
      </c>
      <c r="B45" s="48" t="s">
        <v>776</v>
      </c>
      <c r="C45" s="51" t="n">
        <v>1328.05</v>
      </c>
      <c r="D45" s="51" t="n">
        <v>2514.05</v>
      </c>
      <c r="E45" s="51" t="n">
        <v>52.8</v>
      </c>
      <c r="F45" s="51" t="n">
        <v>1.88</v>
      </c>
      <c r="G45" s="48" t="n">
        <v>87901</v>
      </c>
      <c r="H45" s="48" t="n">
        <v>723</v>
      </c>
      <c r="I45" s="51" t="n">
        <v>0.82</v>
      </c>
      <c r="J45" s="51" t="n">
        <v>1.84</v>
      </c>
      <c r="K45" s="51" t="n">
        <v>9.82</v>
      </c>
      <c r="L45" s="48" t="n">
        <v>71</v>
      </c>
      <c r="M45" s="3"/>
      <c r="N45" s="3"/>
      <c r="O45" s="3"/>
      <c r="P45" s="3"/>
    </row>
    <row r="46" customFormat="false" ht="15" hidden="false" customHeight="false" outlineLevel="0" collapsed="false">
      <c r="A46" s="48" t="s">
        <v>777</v>
      </c>
      <c r="B46" s="48" t="s">
        <v>778</v>
      </c>
      <c r="C46" s="51" t="n">
        <v>3938.35</v>
      </c>
      <c r="D46" s="51" t="n">
        <v>6935.35</v>
      </c>
      <c r="E46" s="51" t="n">
        <v>56.8</v>
      </c>
      <c r="F46" s="51" t="n">
        <v>6.19</v>
      </c>
      <c r="G46" s="48" t="n">
        <v>244282</v>
      </c>
      <c r="H46" s="48" t="n">
        <v>2194</v>
      </c>
      <c r="I46" s="51" t="n">
        <v>0.9</v>
      </c>
      <c r="J46" s="51" t="n">
        <v>1.8</v>
      </c>
      <c r="K46" s="51" t="n">
        <v>7.98</v>
      </c>
      <c r="L46" s="48" t="n">
        <v>175</v>
      </c>
      <c r="M46" s="3"/>
      <c r="N46" s="3"/>
      <c r="O46" s="3"/>
      <c r="P46" s="3"/>
    </row>
    <row r="47" customFormat="false" ht="15" hidden="false" customHeight="false" outlineLevel="0" collapsed="false">
      <c r="A47" s="48" t="s">
        <v>779</v>
      </c>
      <c r="B47" s="48" t="s">
        <v>780</v>
      </c>
      <c r="C47" s="51" t="n">
        <v>4381.52</v>
      </c>
      <c r="D47" s="51" t="n">
        <v>8129.44</v>
      </c>
      <c r="E47" s="51" t="n">
        <v>53.9</v>
      </c>
      <c r="F47" s="51" t="n">
        <v>6.81</v>
      </c>
      <c r="G47" s="48" t="n">
        <v>280720</v>
      </c>
      <c r="H47" s="48" t="n">
        <v>2445</v>
      </c>
      <c r="I47" s="51" t="n">
        <v>0.87</v>
      </c>
      <c r="J47" s="51" t="n">
        <v>1.79</v>
      </c>
      <c r="K47" s="51" t="n">
        <v>8.63</v>
      </c>
      <c r="L47" s="48" t="n">
        <v>211</v>
      </c>
      <c r="M47" s="3"/>
      <c r="N47" s="3"/>
      <c r="O47" s="3"/>
      <c r="P47" s="3"/>
    </row>
    <row r="48" customFormat="false" ht="15" hidden="false" customHeight="false" outlineLevel="0" collapsed="false">
      <c r="A48" s="48" t="s">
        <v>781</v>
      </c>
      <c r="B48" s="48" t="s">
        <v>782</v>
      </c>
      <c r="C48" s="51" t="n">
        <v>1891.01</v>
      </c>
      <c r="D48" s="51" t="n">
        <v>3602.17</v>
      </c>
      <c r="E48" s="51" t="n">
        <v>52.5</v>
      </c>
      <c r="F48" s="51" t="n">
        <v>6.34</v>
      </c>
      <c r="G48" s="48" t="n">
        <v>145104</v>
      </c>
      <c r="H48" s="48" t="n">
        <v>1060</v>
      </c>
      <c r="I48" s="51" t="n">
        <v>0.73</v>
      </c>
      <c r="J48" s="51" t="n">
        <v>1.78</v>
      </c>
      <c r="K48" s="51" t="n">
        <v>8.4</v>
      </c>
      <c r="L48" s="48" t="n">
        <v>89</v>
      </c>
      <c r="M48" s="3"/>
      <c r="N48" s="3"/>
      <c r="O48" s="3"/>
      <c r="P48" s="3"/>
    </row>
    <row r="49" customFormat="false" ht="15" hidden="false" customHeight="false" outlineLevel="0" collapsed="false">
      <c r="A49" s="48" t="s">
        <v>783</v>
      </c>
      <c r="B49" s="48" t="s">
        <v>784</v>
      </c>
      <c r="C49" s="51" t="n">
        <v>1124.28</v>
      </c>
      <c r="D49" s="51" t="n">
        <v>2832.87</v>
      </c>
      <c r="E49" s="51" t="n">
        <v>39.7</v>
      </c>
      <c r="F49" s="51" t="n">
        <v>9.71</v>
      </c>
      <c r="G49" s="48" t="n">
        <v>87331</v>
      </c>
      <c r="H49" s="48" t="n">
        <v>550</v>
      </c>
      <c r="I49" s="51" t="n">
        <v>0.63</v>
      </c>
      <c r="J49" s="51" t="n">
        <v>2.04</v>
      </c>
      <c r="K49" s="51" t="n">
        <v>10.18</v>
      </c>
      <c r="L49" s="48" t="n">
        <v>56</v>
      </c>
      <c r="M49" s="3"/>
      <c r="N49" s="3"/>
      <c r="O49" s="3"/>
      <c r="P49" s="3"/>
    </row>
    <row r="50" customFormat="false" ht="15" hidden="false" customHeight="false" outlineLevel="0" collapsed="false">
      <c r="A50" s="48" t="s">
        <v>785</v>
      </c>
      <c r="B50" s="48" t="s">
        <v>786</v>
      </c>
      <c r="C50" s="51" t="n">
        <v>731.4</v>
      </c>
      <c r="D50" s="51" t="n">
        <v>1389.09</v>
      </c>
      <c r="E50" s="51" t="n">
        <v>52.7</v>
      </c>
      <c r="F50" s="51" t="n">
        <v>10.33</v>
      </c>
      <c r="G50" s="48" t="n">
        <v>54514</v>
      </c>
      <c r="H50" s="48" t="n">
        <v>325</v>
      </c>
      <c r="I50" s="51" t="n">
        <v>0.6</v>
      </c>
      <c r="J50" s="51" t="n">
        <v>2.25</v>
      </c>
      <c r="K50" s="51" t="n">
        <v>8.62</v>
      </c>
      <c r="L50" s="48" t="n">
        <v>28</v>
      </c>
      <c r="M50" s="3"/>
      <c r="N50" s="3"/>
      <c r="O50" s="3"/>
      <c r="P50" s="3"/>
    </row>
    <row r="51" customFormat="false" ht="15" hidden="false" customHeight="false" outlineLevel="0" collapsed="false">
      <c r="A51" s="48" t="s">
        <v>787</v>
      </c>
      <c r="B51" s="48" t="s">
        <v>788</v>
      </c>
      <c r="C51" s="51" t="n">
        <v>355.79</v>
      </c>
      <c r="D51" s="51" t="n">
        <v>1071.76</v>
      </c>
      <c r="E51" s="51" t="n">
        <v>33.2</v>
      </c>
      <c r="F51" s="51" t="n">
        <v>5.98</v>
      </c>
      <c r="G51" s="48" t="n">
        <v>37557</v>
      </c>
      <c r="H51" s="48" t="n">
        <v>186</v>
      </c>
      <c r="I51" s="51" t="n">
        <v>0.5</v>
      </c>
      <c r="J51" s="51" t="n">
        <v>1.91</v>
      </c>
      <c r="K51" s="51" t="n">
        <v>12.37</v>
      </c>
      <c r="L51" s="48" t="n">
        <v>23</v>
      </c>
      <c r="M51" s="3"/>
      <c r="N51" s="3"/>
      <c r="O51" s="3"/>
      <c r="P51" s="3"/>
    </row>
    <row r="52" customFormat="false" ht="15" hidden="false" customHeight="false" outlineLevel="0" collapsed="false">
      <c r="A52" s="48" t="s">
        <v>789</v>
      </c>
      <c r="B52" s="48" t="s">
        <v>790</v>
      </c>
      <c r="C52" s="51" t="n">
        <v>555.92</v>
      </c>
      <c r="D52" s="51" t="n">
        <v>1841.88</v>
      </c>
      <c r="E52" s="51" t="n">
        <v>30.2</v>
      </c>
      <c r="F52" s="51" t="n">
        <v>6</v>
      </c>
      <c r="G52" s="48" t="n">
        <v>52697</v>
      </c>
      <c r="H52" s="48" t="n">
        <v>308</v>
      </c>
      <c r="I52" s="51" t="n">
        <v>0.58</v>
      </c>
      <c r="J52" s="51" t="n">
        <v>1.8</v>
      </c>
      <c r="K52" s="51" t="n">
        <v>12.01</v>
      </c>
      <c r="L52" s="48" t="n">
        <v>37</v>
      </c>
      <c r="M52" s="3"/>
      <c r="N52" s="3"/>
      <c r="O52" s="3"/>
      <c r="P52" s="3"/>
    </row>
    <row r="53" customFormat="false" ht="15" hidden="false" customHeight="false" outlineLevel="0" collapsed="false">
      <c r="A53" s="48" t="s">
        <v>791</v>
      </c>
      <c r="B53" s="48" t="s">
        <v>792</v>
      </c>
      <c r="C53" s="51" t="n">
        <v>496.42</v>
      </c>
      <c r="D53" s="51" t="n">
        <v>1006.81</v>
      </c>
      <c r="E53" s="51" t="n">
        <v>49.3</v>
      </c>
      <c r="F53" s="51" t="n">
        <v>6.78</v>
      </c>
      <c r="G53" s="48" t="n">
        <v>50872</v>
      </c>
      <c r="H53" s="48" t="n">
        <v>280</v>
      </c>
      <c r="I53" s="51" t="n">
        <v>0.55</v>
      </c>
      <c r="J53" s="51" t="n">
        <v>1.77</v>
      </c>
      <c r="K53" s="51" t="n">
        <v>7.14</v>
      </c>
      <c r="L53" s="48" t="n">
        <v>20</v>
      </c>
      <c r="M53" s="3"/>
      <c r="N53" s="3"/>
      <c r="O53" s="3"/>
      <c r="P53" s="3"/>
    </row>
    <row r="54" customFormat="false" ht="15" hidden="false" customHeight="false" outlineLevel="0" collapsed="false">
      <c r="A54" s="48" t="s">
        <v>793</v>
      </c>
      <c r="B54" s="48" t="s">
        <v>794</v>
      </c>
      <c r="C54" s="51" t="n">
        <v>297.32</v>
      </c>
      <c r="D54" s="51" t="n">
        <v>1070.69</v>
      </c>
      <c r="E54" s="51" t="n">
        <v>27.8</v>
      </c>
      <c r="F54" s="51" t="n">
        <v>3.98</v>
      </c>
      <c r="G54" s="48" t="n">
        <v>25256</v>
      </c>
      <c r="H54" s="48" t="n">
        <v>182</v>
      </c>
      <c r="I54" s="51" t="n">
        <v>0.72</v>
      </c>
      <c r="J54" s="51" t="n">
        <v>1.63</v>
      </c>
      <c r="K54" s="51" t="n">
        <v>12.09</v>
      </c>
      <c r="L54" s="48" t="n">
        <v>22</v>
      </c>
      <c r="M54" s="3"/>
      <c r="N54" s="3"/>
      <c r="O54" s="3"/>
      <c r="P54" s="3"/>
    </row>
    <row r="55" customFormat="false" ht="15" hidden="false" customHeight="false" outlineLevel="0" collapsed="false">
      <c r="A55" s="48" t="s">
        <v>795</v>
      </c>
      <c r="B55" s="48" t="s">
        <v>796</v>
      </c>
      <c r="C55" s="51" t="n">
        <v>130.64</v>
      </c>
      <c r="D55" s="51" t="n">
        <v>645.76</v>
      </c>
      <c r="E55" s="51" t="n">
        <v>20.2</v>
      </c>
      <c r="F55" s="51" t="n">
        <v>1.26</v>
      </c>
      <c r="G55" s="48" t="n">
        <v>47891</v>
      </c>
      <c r="H55" s="48" t="n">
        <v>196</v>
      </c>
      <c r="I55" s="51" t="n">
        <v>0.41</v>
      </c>
      <c r="J55" s="51" t="n">
        <v>0.67</v>
      </c>
      <c r="K55" s="51" t="n">
        <v>8.16</v>
      </c>
      <c r="L55" s="48" t="n">
        <v>16</v>
      </c>
      <c r="M55" s="3"/>
      <c r="N55" s="3"/>
      <c r="O55" s="3"/>
      <c r="P55" s="3"/>
    </row>
    <row r="56" customFormat="false" ht="15" hidden="false" customHeight="false" outlineLevel="0" collapsed="false">
      <c r="A56" s="48" t="s">
        <v>797</v>
      </c>
      <c r="B56" s="48" t="s">
        <v>798</v>
      </c>
      <c r="C56" s="51" t="n">
        <v>679.7</v>
      </c>
      <c r="D56" s="51" t="n">
        <v>2548.76</v>
      </c>
      <c r="E56" s="51" t="n">
        <v>26.7</v>
      </c>
      <c r="F56" s="51" t="n">
        <v>7.36</v>
      </c>
      <c r="G56" s="48" t="n">
        <v>73023</v>
      </c>
      <c r="H56" s="48" t="n">
        <v>1036</v>
      </c>
      <c r="I56" s="51" t="n">
        <v>1.42</v>
      </c>
      <c r="J56" s="51" t="n">
        <v>0.66</v>
      </c>
      <c r="K56" s="51" t="n">
        <v>5.79</v>
      </c>
      <c r="L56" s="48" t="n">
        <v>60</v>
      </c>
      <c r="M56" s="3"/>
      <c r="N56" s="3"/>
      <c r="O56" s="3"/>
      <c r="P56" s="3"/>
    </row>
    <row r="57" customFormat="false" ht="15" hidden="false" customHeight="false" outlineLevel="0" collapsed="false">
      <c r="A57" s="48" t="s">
        <v>799</v>
      </c>
      <c r="B57" s="48" t="s">
        <v>800</v>
      </c>
      <c r="C57" s="51" t="n">
        <v>2722.21</v>
      </c>
      <c r="D57" s="51" t="n">
        <v>6335.67</v>
      </c>
      <c r="E57" s="51" t="n">
        <v>43</v>
      </c>
      <c r="F57" s="51" t="n">
        <v>19.53</v>
      </c>
      <c r="G57" s="48" t="n">
        <v>250300</v>
      </c>
      <c r="H57" s="48" t="n">
        <v>4508</v>
      </c>
      <c r="I57" s="51" t="n">
        <v>1.8</v>
      </c>
      <c r="J57" s="51" t="n">
        <v>0.6</v>
      </c>
      <c r="K57" s="51" t="n">
        <v>3.64</v>
      </c>
      <c r="L57" s="48" t="n">
        <v>164</v>
      </c>
      <c r="M57" s="3"/>
      <c r="N57" s="3"/>
      <c r="O57" s="3"/>
      <c r="P57" s="3"/>
    </row>
    <row r="58" customFormat="false" ht="15" hidden="false" customHeight="false" outlineLevel="0" collapsed="false">
      <c r="A58" s="48" t="s">
        <v>801</v>
      </c>
      <c r="B58" s="48" t="s">
        <v>802</v>
      </c>
      <c r="C58" s="51" t="n">
        <v>4830.98</v>
      </c>
      <c r="D58" s="51" t="n">
        <v>11812.24</v>
      </c>
      <c r="E58" s="51" t="n">
        <v>40.9</v>
      </c>
      <c r="F58" s="51" t="n">
        <v>23.38</v>
      </c>
      <c r="G58" s="48" t="n">
        <v>472957</v>
      </c>
      <c r="H58" s="48" t="n">
        <v>6616</v>
      </c>
      <c r="I58" s="51" t="n">
        <v>1.4</v>
      </c>
      <c r="J58" s="51" t="n">
        <v>0.73</v>
      </c>
      <c r="K58" s="51" t="n">
        <v>4.69</v>
      </c>
      <c r="L58" s="48" t="n">
        <v>310</v>
      </c>
      <c r="M58" s="3"/>
      <c r="N58" s="3"/>
      <c r="O58" s="3"/>
      <c r="P58" s="3"/>
    </row>
    <row r="59" customFormat="false" ht="15" hidden="false" customHeight="false" outlineLevel="0" collapsed="false">
      <c r="A59" s="48" t="s">
        <v>803</v>
      </c>
      <c r="B59" s="48" t="s">
        <v>804</v>
      </c>
      <c r="C59" s="51" t="n">
        <v>3169.46</v>
      </c>
      <c r="D59" s="51" t="n">
        <v>6833.5</v>
      </c>
      <c r="E59" s="51" t="n">
        <v>46.4</v>
      </c>
      <c r="F59" s="51" t="n">
        <v>26.34</v>
      </c>
      <c r="G59" s="48" t="n">
        <v>308532</v>
      </c>
      <c r="H59" s="48" t="n">
        <v>3865</v>
      </c>
      <c r="I59" s="51" t="n">
        <v>1.25</v>
      </c>
      <c r="J59" s="51" t="n">
        <v>0.82</v>
      </c>
      <c r="K59" s="51" t="n">
        <v>4.84</v>
      </c>
      <c r="L59" s="48" t="n">
        <v>187</v>
      </c>
      <c r="M59" s="3"/>
      <c r="N59" s="3"/>
      <c r="O59" s="3"/>
      <c r="P59" s="3"/>
    </row>
    <row r="60" customFormat="false" ht="15" hidden="false" customHeight="false" outlineLevel="0" collapsed="false">
      <c r="A60" s="48" t="s">
        <v>805</v>
      </c>
      <c r="B60" s="48" t="s">
        <v>806</v>
      </c>
      <c r="C60" s="51" t="n">
        <v>562.78</v>
      </c>
      <c r="D60" s="51" t="n">
        <v>1594.59</v>
      </c>
      <c r="E60" s="51" t="n">
        <v>35.3</v>
      </c>
      <c r="F60" s="51" t="n">
        <v>9.29</v>
      </c>
      <c r="G60" s="48" t="n">
        <v>80224</v>
      </c>
      <c r="H60" s="48" t="n">
        <v>643</v>
      </c>
      <c r="I60" s="51" t="n">
        <v>0.8</v>
      </c>
      <c r="J60" s="51" t="n">
        <v>0.88</v>
      </c>
      <c r="K60" s="51" t="n">
        <v>6.38</v>
      </c>
      <c r="L60" s="48" t="n">
        <v>41</v>
      </c>
      <c r="M60" s="3"/>
      <c r="N60" s="3"/>
      <c r="O60" s="3"/>
      <c r="P60" s="3"/>
    </row>
    <row r="61" customFormat="false" ht="15" hidden="false" customHeight="false" outlineLevel="0" collapsed="false">
      <c r="A61" s="48" t="s">
        <v>807</v>
      </c>
      <c r="B61" s="48" t="s">
        <v>808</v>
      </c>
      <c r="C61" s="51" t="n">
        <v>3010.79</v>
      </c>
      <c r="D61" s="51" t="n">
        <v>3950.97</v>
      </c>
      <c r="E61" s="51" t="n">
        <v>76.2</v>
      </c>
      <c r="F61" s="51" t="n">
        <v>44.45</v>
      </c>
      <c r="G61" s="48" t="n">
        <v>78317</v>
      </c>
      <c r="H61" s="48" t="n">
        <v>1237</v>
      </c>
      <c r="I61" s="51" t="n">
        <v>1.58</v>
      </c>
      <c r="J61" s="51" t="n">
        <v>2.43</v>
      </c>
      <c r="K61" s="51" t="n">
        <v>7.6</v>
      </c>
      <c r="L61" s="48" t="n">
        <v>94</v>
      </c>
      <c r="M61" s="3"/>
      <c r="N61" s="3"/>
      <c r="O61" s="3"/>
      <c r="P61" s="3"/>
    </row>
    <row r="62" customFormat="false" ht="15" hidden="false" customHeight="false" outlineLevel="0" collapsed="false">
      <c r="A62" s="48" t="s">
        <v>809</v>
      </c>
      <c r="B62" s="48" t="s">
        <v>810</v>
      </c>
      <c r="C62" s="51" t="n">
        <v>601.55</v>
      </c>
      <c r="D62" s="51" t="n">
        <v>848.04</v>
      </c>
      <c r="E62" s="51" t="n">
        <v>70.9</v>
      </c>
      <c r="F62" s="51" t="n">
        <v>47.05</v>
      </c>
      <c r="G62" s="48" t="n">
        <v>17510</v>
      </c>
      <c r="H62" s="48" t="n">
        <v>247</v>
      </c>
      <c r="I62" s="51" t="n">
        <v>1.41</v>
      </c>
      <c r="J62" s="51" t="n">
        <v>2.44</v>
      </c>
      <c r="K62" s="51" t="n">
        <v>8.1</v>
      </c>
      <c r="L62" s="48" t="n">
        <v>20</v>
      </c>
      <c r="M62" s="3"/>
      <c r="N62" s="3"/>
      <c r="O62" s="3"/>
      <c r="P62" s="3"/>
    </row>
    <row r="63" customFormat="false" ht="15" hidden="false" customHeight="false" outlineLevel="0" collapsed="false">
      <c r="A63" s="48" t="s">
        <v>811</v>
      </c>
      <c r="B63" s="48" t="s">
        <v>810</v>
      </c>
      <c r="C63" s="51" t="n">
        <v>30808.17</v>
      </c>
      <c r="D63" s="51" t="n">
        <v>64963.64</v>
      </c>
      <c r="E63" s="51" t="n">
        <v>47.4</v>
      </c>
      <c r="F63" s="51" t="n">
        <v>4.51</v>
      </c>
      <c r="G63" s="48" t="n">
        <v>2394988</v>
      </c>
      <c r="H63" s="48" t="n">
        <v>26601</v>
      </c>
      <c r="I63" s="51" t="n">
        <v>1.11</v>
      </c>
      <c r="J63" s="51" t="n">
        <v>1.16</v>
      </c>
      <c r="K63" s="51" t="n">
        <v>6.11</v>
      </c>
      <c r="L63" s="48" t="n">
        <v>1624</v>
      </c>
      <c r="M63" s="3"/>
      <c r="N63" s="3"/>
      <c r="O63" s="3"/>
      <c r="P6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3" min="3" style="0" width="18"/>
    <col collapsed="false" customWidth="true" hidden="false" outlineLevel="0" max="5" min="4" style="0" width="11"/>
    <col collapsed="false" customWidth="true" hidden="false" outlineLevel="0" max="6" min="6" style="0" width="9"/>
    <col collapsed="false" customWidth="true" hidden="false" outlineLevel="0" max="10" min="7" style="0" width="8"/>
    <col collapsed="false" customWidth="true" hidden="false" outlineLevel="0" max="12" min="11" style="0" width="10"/>
    <col collapsed="false" customWidth="true" hidden="false" outlineLevel="0" max="13" min="13" style="0" width="9"/>
    <col collapsed="false" customWidth="true" hidden="false" outlineLevel="0" max="14" min="14" style="0" width="10"/>
    <col collapsed="false" customWidth="true" hidden="false" outlineLevel="0" max="15" min="15" style="0" width="18"/>
  </cols>
  <sheetData>
    <row r="1" customFormat="false" ht="17.35" hidden="false" customHeight="false" outlineLevel="0" collapsed="false">
      <c r="A1" s="1" t="s">
        <v>812</v>
      </c>
      <c r="B1" s="3"/>
      <c r="C1" s="3"/>
      <c r="D1" s="3"/>
      <c r="E1" s="3"/>
      <c r="F1" s="3"/>
      <c r="G1" s="3"/>
      <c r="H1" s="3"/>
      <c r="I1" s="3"/>
      <c r="J1" s="3"/>
      <c r="K1" s="3"/>
      <c r="L1" s="3"/>
      <c r="M1" s="3"/>
      <c r="N1" s="3"/>
      <c r="O1" s="3"/>
    </row>
    <row r="2" customFormat="false" ht="15" hidden="false" customHeight="false" outlineLevel="0" collapsed="false">
      <c r="A2" s="2" t="s">
        <v>813</v>
      </c>
      <c r="B2" s="3"/>
      <c r="C2" s="3"/>
      <c r="D2" s="3"/>
      <c r="E2" s="3"/>
      <c r="F2" s="3"/>
      <c r="G2" s="3"/>
      <c r="H2" s="3"/>
      <c r="I2" s="3"/>
      <c r="J2" s="3"/>
      <c r="K2" s="3"/>
      <c r="L2" s="3"/>
      <c r="M2" s="3"/>
      <c r="N2" s="3"/>
      <c r="O2" s="3"/>
    </row>
    <row r="3" customFormat="false" ht="15" hidden="false" customHeight="false" outlineLevel="0" collapsed="false">
      <c r="A3" s="3"/>
      <c r="B3" s="3"/>
      <c r="C3" s="3"/>
      <c r="D3" s="3"/>
      <c r="E3" s="3"/>
      <c r="F3" s="3"/>
      <c r="G3" s="3"/>
      <c r="H3" s="3"/>
      <c r="I3" s="3"/>
      <c r="J3" s="3"/>
      <c r="K3" s="3"/>
      <c r="L3" s="3"/>
      <c r="M3" s="3"/>
      <c r="N3" s="3"/>
      <c r="O3" s="3"/>
    </row>
    <row r="4" customFormat="false" ht="31.5" hidden="false" customHeight="true" outlineLevel="0" collapsed="false">
      <c r="A4" s="7" t="s">
        <v>93</v>
      </c>
      <c r="B4" s="7" t="s">
        <v>814</v>
      </c>
      <c r="C4" s="7" t="s">
        <v>815</v>
      </c>
      <c r="D4" s="7" t="s">
        <v>816</v>
      </c>
      <c r="E4" s="7" t="s">
        <v>743</v>
      </c>
      <c r="F4" s="7" t="s">
        <v>744</v>
      </c>
      <c r="G4" s="7" t="s">
        <v>745</v>
      </c>
      <c r="H4" s="7" t="s">
        <v>746</v>
      </c>
      <c r="I4" s="7" t="s">
        <v>747</v>
      </c>
      <c r="J4" s="7" t="s">
        <v>710</v>
      </c>
      <c r="K4" s="7" t="s">
        <v>817</v>
      </c>
      <c r="L4" s="7" t="s">
        <v>708</v>
      </c>
      <c r="M4" s="7" t="s">
        <v>742</v>
      </c>
      <c r="N4" s="7" t="s">
        <v>818</v>
      </c>
      <c r="O4" s="7" t="s">
        <v>819</v>
      </c>
    </row>
    <row r="5" customFormat="false" ht="15" hidden="false" customHeight="false" outlineLevel="0" collapsed="false">
      <c r="A5" s="48" t="s">
        <v>820</v>
      </c>
      <c r="B5" s="48" t="s">
        <v>821</v>
      </c>
      <c r="C5" s="48" t="s">
        <v>822</v>
      </c>
      <c r="D5" s="48" t="n">
        <v>6228</v>
      </c>
      <c r="E5" s="48" t="n">
        <v>340921</v>
      </c>
      <c r="F5" s="48" t="n">
        <v>2305</v>
      </c>
      <c r="G5" s="48" t="n">
        <v>0.68</v>
      </c>
      <c r="H5" s="52" t="n">
        <v>2.49</v>
      </c>
      <c r="I5" s="48" t="n">
        <v>12.02</v>
      </c>
      <c r="J5" s="48" t="n">
        <v>277</v>
      </c>
      <c r="K5" s="53" t="n">
        <v>5739.76</v>
      </c>
      <c r="L5" s="53" t="n">
        <v>16455.32</v>
      </c>
      <c r="M5" s="48" t="n">
        <v>34.9</v>
      </c>
      <c r="N5" s="48" t="n">
        <v>11</v>
      </c>
      <c r="O5" s="48" t="s">
        <v>823</v>
      </c>
    </row>
    <row r="6" customFormat="false" ht="15" hidden="false" customHeight="false" outlineLevel="0" collapsed="false">
      <c r="A6" s="48" t="s">
        <v>125</v>
      </c>
      <c r="B6" s="48" t="s">
        <v>821</v>
      </c>
      <c r="C6" s="48" t="s">
        <v>824</v>
      </c>
      <c r="D6" s="48" t="n">
        <v>30225</v>
      </c>
      <c r="E6" s="48" t="n">
        <v>169257</v>
      </c>
      <c r="F6" s="48" t="n">
        <v>2552</v>
      </c>
      <c r="G6" s="48" t="n">
        <v>1.51</v>
      </c>
      <c r="H6" s="52" t="n">
        <v>2.24</v>
      </c>
      <c r="I6" s="48" t="n">
        <v>11.87</v>
      </c>
      <c r="J6" s="48" t="n">
        <v>303</v>
      </c>
      <c r="K6" s="53" t="n">
        <v>5718.99</v>
      </c>
      <c r="L6" s="53" t="n">
        <v>19776.51</v>
      </c>
      <c r="M6" s="48" t="n">
        <v>28.9</v>
      </c>
      <c r="N6" s="48" t="n">
        <v>23</v>
      </c>
      <c r="O6" s="48" t="s">
        <v>825</v>
      </c>
    </row>
    <row r="7" customFormat="false" ht="15" hidden="false" customHeight="false" outlineLevel="0" collapsed="false">
      <c r="A7" s="48" t="s">
        <v>826</v>
      </c>
      <c r="B7" s="48" t="s">
        <v>821</v>
      </c>
      <c r="C7" s="48" t="s">
        <v>827</v>
      </c>
      <c r="D7" s="48" t="n">
        <v>4967</v>
      </c>
      <c r="E7" s="48" t="n">
        <v>117767</v>
      </c>
      <c r="F7" s="48" t="n">
        <v>1029</v>
      </c>
      <c r="G7" s="48" t="n">
        <v>0.87</v>
      </c>
      <c r="H7" s="52" t="n">
        <v>3.91</v>
      </c>
      <c r="I7" s="48" t="n">
        <v>15.84</v>
      </c>
      <c r="J7" s="48" t="n">
        <v>163</v>
      </c>
      <c r="K7" s="53" t="n">
        <v>4023.11</v>
      </c>
      <c r="L7" s="53" t="n">
        <v>12083.33</v>
      </c>
      <c r="M7" s="48" t="n">
        <v>33.3</v>
      </c>
      <c r="N7" s="48" t="n">
        <v>13</v>
      </c>
      <c r="O7" s="48" t="s">
        <v>823</v>
      </c>
    </row>
    <row r="8" customFormat="false" ht="15" hidden="false" customHeight="false" outlineLevel="0" collapsed="false">
      <c r="A8" s="48" t="s">
        <v>828</v>
      </c>
      <c r="B8" s="48" t="s">
        <v>821</v>
      </c>
      <c r="C8" s="48" t="s">
        <v>827</v>
      </c>
      <c r="D8" s="48" t="n">
        <v>19413</v>
      </c>
      <c r="E8" s="48" t="n">
        <v>81032</v>
      </c>
      <c r="F8" s="48" t="n">
        <v>651</v>
      </c>
      <c r="G8" s="48" t="n">
        <v>0.8</v>
      </c>
      <c r="H8" s="52" t="n">
        <v>3.28</v>
      </c>
      <c r="I8" s="48" t="n">
        <v>11.06</v>
      </c>
      <c r="J8" s="48" t="n">
        <v>72</v>
      </c>
      <c r="K8" s="53" t="n">
        <v>2134.37</v>
      </c>
      <c r="L8" s="53" t="n">
        <v>5728.74</v>
      </c>
      <c r="M8" s="48" t="n">
        <v>37.3</v>
      </c>
      <c r="N8" s="48" t="n">
        <v>13</v>
      </c>
      <c r="O8" s="48" t="s">
        <v>823</v>
      </c>
    </row>
    <row r="9" customFormat="false" ht="15" hidden="false" customHeight="false" outlineLevel="0" collapsed="false">
      <c r="A9" s="48" t="s">
        <v>829</v>
      </c>
      <c r="B9" s="48" t="s">
        <v>821</v>
      </c>
      <c r="C9" s="48" t="s">
        <v>827</v>
      </c>
      <c r="D9" s="48" t="n">
        <v>3271</v>
      </c>
      <c r="E9" s="48" t="n">
        <v>22887</v>
      </c>
      <c r="F9" s="48" t="n">
        <v>300</v>
      </c>
      <c r="G9" s="48" t="n">
        <v>1.31</v>
      </c>
      <c r="H9" s="52" t="n">
        <v>4.17</v>
      </c>
      <c r="I9" s="48" t="n">
        <v>9</v>
      </c>
      <c r="J9" s="48" t="n">
        <v>27</v>
      </c>
      <c r="K9" s="53" t="n">
        <v>1251.08</v>
      </c>
      <c r="L9" s="53" t="n">
        <v>2073.73</v>
      </c>
      <c r="M9" s="48" t="n">
        <v>60.3</v>
      </c>
      <c r="N9" s="48" t="n">
        <v>34</v>
      </c>
      <c r="O9" s="48" t="s">
        <v>830</v>
      </c>
    </row>
    <row r="10" customFormat="false" ht="15" hidden="false" customHeight="false" outlineLevel="0" collapsed="false">
      <c r="A10" s="48" t="s">
        <v>831</v>
      </c>
      <c r="B10" s="48" t="s">
        <v>821</v>
      </c>
      <c r="C10" s="48" t="s">
        <v>832</v>
      </c>
      <c r="D10" s="48" t="n">
        <v>924</v>
      </c>
      <c r="E10" s="48" t="n">
        <v>8615</v>
      </c>
      <c r="F10" s="48" t="n">
        <v>324</v>
      </c>
      <c r="G10" s="48" t="n">
        <v>3.76</v>
      </c>
      <c r="H10" s="52" t="n">
        <v>3.69</v>
      </c>
      <c r="I10" s="48" t="n">
        <v>16.67</v>
      </c>
      <c r="J10" s="48" t="n">
        <v>54</v>
      </c>
      <c r="K10" s="53" t="n">
        <v>1196.48</v>
      </c>
      <c r="L10" s="53" t="n">
        <v>3934.45</v>
      </c>
      <c r="M10" s="48" t="n">
        <v>30.4</v>
      </c>
      <c r="N10" s="48" t="n">
        <v>6</v>
      </c>
      <c r="O10" s="48" t="s">
        <v>825</v>
      </c>
    </row>
    <row r="11" customFormat="false" ht="15" hidden="false" customHeight="false" outlineLevel="0" collapsed="false">
      <c r="A11" s="48" t="s">
        <v>833</v>
      </c>
      <c r="B11" s="48" t="s">
        <v>821</v>
      </c>
      <c r="C11" s="48" t="s">
        <v>834</v>
      </c>
      <c r="D11" s="48" t="n">
        <v>1305</v>
      </c>
      <c r="E11" s="48" t="n">
        <v>58405</v>
      </c>
      <c r="F11" s="48" t="n">
        <v>614</v>
      </c>
      <c r="G11" s="48" t="n">
        <v>1.05</v>
      </c>
      <c r="H11" s="52" t="n">
        <v>1.7</v>
      </c>
      <c r="I11" s="48" t="n">
        <v>10.75</v>
      </c>
      <c r="J11" s="48" t="n">
        <v>66</v>
      </c>
      <c r="K11" s="53" t="n">
        <v>1041.08</v>
      </c>
      <c r="L11" s="53" t="n">
        <v>3554.99</v>
      </c>
      <c r="M11" s="48" t="n">
        <v>29.3</v>
      </c>
      <c r="N11" s="48" t="n">
        <v>5</v>
      </c>
      <c r="O11" s="48" t="s">
        <v>825</v>
      </c>
    </row>
    <row r="12" customFormat="false" ht="15" hidden="false" customHeight="false" outlineLevel="0" collapsed="false">
      <c r="A12" s="48" t="s">
        <v>173</v>
      </c>
      <c r="B12" s="48" t="s">
        <v>821</v>
      </c>
      <c r="C12" s="48" t="s">
        <v>835</v>
      </c>
      <c r="D12" s="48" t="n">
        <v>77377</v>
      </c>
      <c r="E12" s="48" t="n">
        <v>43272</v>
      </c>
      <c r="F12" s="48" t="n">
        <v>485</v>
      </c>
      <c r="G12" s="48" t="n">
        <v>1.12</v>
      </c>
      <c r="H12" s="52" t="n">
        <v>2.01</v>
      </c>
      <c r="I12" s="48" t="n">
        <v>9.48</v>
      </c>
      <c r="J12" s="48" t="n">
        <v>46</v>
      </c>
      <c r="K12" s="53" t="n">
        <v>972.58</v>
      </c>
      <c r="L12" s="53" t="n">
        <v>3298.46</v>
      </c>
      <c r="M12" s="48" t="n">
        <v>29.5</v>
      </c>
      <c r="N12" s="48" t="n">
        <v>11</v>
      </c>
      <c r="O12" s="48" t="s">
        <v>825</v>
      </c>
    </row>
    <row r="13" customFormat="false" ht="15" hidden="false" customHeight="false" outlineLevel="0" collapsed="false">
      <c r="A13" s="48" t="s">
        <v>836</v>
      </c>
      <c r="B13" s="48" t="s">
        <v>821</v>
      </c>
      <c r="C13" s="48" t="s">
        <v>832</v>
      </c>
      <c r="D13" s="48" t="n">
        <v>672</v>
      </c>
      <c r="E13" s="48" t="n">
        <v>14214</v>
      </c>
      <c r="F13" s="48" t="n">
        <v>227</v>
      </c>
      <c r="G13" s="48" t="n">
        <v>1.6</v>
      </c>
      <c r="H13" s="52" t="n">
        <v>3.71</v>
      </c>
      <c r="I13" s="48" t="n">
        <v>17.18</v>
      </c>
      <c r="J13" s="48" t="n">
        <v>39</v>
      </c>
      <c r="K13" s="53" t="n">
        <v>842.189999999999</v>
      </c>
      <c r="L13" s="53" t="n">
        <v>2831.6</v>
      </c>
      <c r="M13" s="48" t="n">
        <v>29.7</v>
      </c>
      <c r="N13" s="48" t="n">
        <v>10</v>
      </c>
      <c r="O13" s="48" t="s">
        <v>825</v>
      </c>
    </row>
    <row r="14" customFormat="false" ht="15" hidden="false" customHeight="false" outlineLevel="0" collapsed="false">
      <c r="A14" s="48" t="s">
        <v>460</v>
      </c>
      <c r="B14" s="48" t="s">
        <v>821</v>
      </c>
      <c r="C14" s="48" t="s">
        <v>824</v>
      </c>
      <c r="D14" s="48" t="n">
        <v>924</v>
      </c>
      <c r="E14" s="48" t="n">
        <v>44222</v>
      </c>
      <c r="F14" s="48" t="n">
        <v>504</v>
      </c>
      <c r="G14" s="48" t="n">
        <v>1.14</v>
      </c>
      <c r="H14" s="52" t="n">
        <v>1.4</v>
      </c>
      <c r="I14" s="48" t="n">
        <v>5.75</v>
      </c>
      <c r="J14" s="48" t="n">
        <v>29</v>
      </c>
      <c r="K14" s="53" t="n">
        <v>705.93</v>
      </c>
      <c r="L14" s="53" t="n">
        <v>1828.63</v>
      </c>
      <c r="M14" s="48" t="n">
        <v>38.6</v>
      </c>
      <c r="N14" s="48" t="n">
        <v>20</v>
      </c>
      <c r="O14" s="48" t="s">
        <v>823</v>
      </c>
    </row>
    <row r="15" customFormat="false" ht="15" hidden="false" customHeight="false" outlineLevel="0" collapsed="false">
      <c r="A15" s="48" t="s">
        <v>150</v>
      </c>
      <c r="B15" s="48" t="s">
        <v>821</v>
      </c>
      <c r="C15" s="48" t="s">
        <v>824</v>
      </c>
      <c r="D15" s="48" t="n">
        <v>2635</v>
      </c>
      <c r="E15" s="48" t="n">
        <v>26834</v>
      </c>
      <c r="F15" s="48" t="n">
        <v>234</v>
      </c>
      <c r="G15" s="48" t="n">
        <v>0.87</v>
      </c>
      <c r="H15" s="52" t="n">
        <v>2.95</v>
      </c>
      <c r="I15" s="48" t="n">
        <v>11.11</v>
      </c>
      <c r="J15" s="48" t="n">
        <v>26</v>
      </c>
      <c r="K15" s="53" t="n">
        <v>690.27</v>
      </c>
      <c r="L15" s="53" t="n">
        <v>1814.7</v>
      </c>
      <c r="M15" s="48" t="n">
        <v>38</v>
      </c>
      <c r="N15" s="48" t="n">
        <v>20</v>
      </c>
      <c r="O15" s="48" t="s">
        <v>823</v>
      </c>
    </row>
    <row r="16" customFormat="false" ht="15" hidden="false" customHeight="false" outlineLevel="0" collapsed="false">
      <c r="A16" s="48" t="s">
        <v>178</v>
      </c>
      <c r="B16" s="48" t="s">
        <v>821</v>
      </c>
      <c r="C16" s="48" t="s">
        <v>835</v>
      </c>
      <c r="D16" s="48" t="n">
        <v>12715</v>
      </c>
      <c r="E16" s="48" t="n">
        <v>15682</v>
      </c>
      <c r="F16" s="48" t="n">
        <v>259</v>
      </c>
      <c r="G16" s="48" t="n">
        <v>1.65</v>
      </c>
      <c r="H16" s="52" t="n">
        <v>2.45</v>
      </c>
      <c r="I16" s="48" t="n">
        <v>7.72</v>
      </c>
      <c r="J16" s="48" t="n">
        <v>20</v>
      </c>
      <c r="K16" s="53" t="n">
        <v>635.41</v>
      </c>
      <c r="L16" s="53" t="n">
        <v>1508.3</v>
      </c>
      <c r="M16" s="48" t="n">
        <v>42.1</v>
      </c>
      <c r="N16" s="48" t="n">
        <v>13</v>
      </c>
      <c r="O16" s="48" t="s">
        <v>823</v>
      </c>
    </row>
    <row r="17" customFormat="false" ht="15" hidden="false" customHeight="false" outlineLevel="0" collapsed="false">
      <c r="A17" s="48" t="s">
        <v>837</v>
      </c>
      <c r="B17" s="48" t="s">
        <v>821</v>
      </c>
      <c r="C17" s="48" t="s">
        <v>822</v>
      </c>
      <c r="D17" s="48" t="n">
        <v>1216</v>
      </c>
      <c r="E17" s="48" t="n">
        <v>2764</v>
      </c>
      <c r="F17" s="48" t="n">
        <v>151</v>
      </c>
      <c r="G17" s="48" t="n">
        <v>5.46</v>
      </c>
      <c r="H17" s="52" t="n">
        <v>3.12</v>
      </c>
      <c r="I17" s="48" t="n">
        <v>11.26</v>
      </c>
      <c r="J17" s="48" t="n">
        <v>17</v>
      </c>
      <c r="K17" s="53" t="n">
        <v>471.61</v>
      </c>
      <c r="L17" s="53" t="n">
        <v>1042.83</v>
      </c>
      <c r="M17" s="48" t="n">
        <v>45.2</v>
      </c>
      <c r="N17" s="48" t="n">
        <v>10</v>
      </c>
      <c r="O17" s="48" t="s">
        <v>838</v>
      </c>
    </row>
    <row r="18" customFormat="false" ht="15" hidden="false" customHeight="false" outlineLevel="0" collapsed="false">
      <c r="A18" s="48" t="s">
        <v>839</v>
      </c>
      <c r="B18" s="48" t="s">
        <v>821</v>
      </c>
      <c r="C18" s="48" t="s">
        <v>827</v>
      </c>
      <c r="D18" s="48" t="n">
        <v>2630</v>
      </c>
      <c r="E18" s="48" t="n">
        <v>4646</v>
      </c>
      <c r="F18" s="48" t="n">
        <v>115</v>
      </c>
      <c r="G18" s="48" t="n">
        <v>2.48</v>
      </c>
      <c r="H18" s="52" t="n">
        <v>3.27</v>
      </c>
      <c r="I18" s="48" t="n">
        <v>9.57</v>
      </c>
      <c r="J18" s="48" t="n">
        <v>11</v>
      </c>
      <c r="K18" s="53" t="n">
        <v>376.43</v>
      </c>
      <c r="L18" s="53" t="n">
        <v>876.89</v>
      </c>
      <c r="M18" s="48" t="n">
        <v>42.9</v>
      </c>
      <c r="N18" s="48" t="n">
        <v>28</v>
      </c>
      <c r="O18" s="48" t="s">
        <v>823</v>
      </c>
    </row>
    <row r="19" customFormat="false" ht="15" hidden="false" customHeight="false" outlineLevel="0" collapsed="false">
      <c r="A19" s="48" t="s">
        <v>840</v>
      </c>
      <c r="B19" s="48" t="s">
        <v>821</v>
      </c>
      <c r="C19" s="48" t="s">
        <v>827</v>
      </c>
      <c r="D19" s="48" t="n">
        <v>402</v>
      </c>
      <c r="E19" s="48" t="n">
        <v>2480</v>
      </c>
      <c r="F19" s="48" t="n">
        <v>92</v>
      </c>
      <c r="G19" s="48" t="n">
        <v>3.71</v>
      </c>
      <c r="H19" s="52" t="n">
        <v>3.46</v>
      </c>
      <c r="I19" s="48" t="n">
        <v>17.39</v>
      </c>
      <c r="J19" s="48" t="n">
        <v>16</v>
      </c>
      <c r="K19" s="53" t="n">
        <v>318.01</v>
      </c>
      <c r="L19" s="53" t="n">
        <v>1169.34</v>
      </c>
      <c r="M19" s="48" t="n">
        <v>27.2</v>
      </c>
      <c r="N19" s="48"/>
      <c r="O19" s="48" t="s">
        <v>825</v>
      </c>
    </row>
    <row r="20" customFormat="false" ht="15" hidden="false" customHeight="false" outlineLevel="0" collapsed="false">
      <c r="A20" s="48" t="s">
        <v>841</v>
      </c>
      <c r="B20" s="48" t="s">
        <v>821</v>
      </c>
      <c r="C20" s="48" t="s">
        <v>834</v>
      </c>
      <c r="D20" s="48" t="n">
        <v>2976</v>
      </c>
      <c r="E20" s="48" t="n">
        <v>40277</v>
      </c>
      <c r="F20" s="48" t="n">
        <v>172</v>
      </c>
      <c r="G20" s="48" t="n">
        <v>0.43</v>
      </c>
      <c r="H20" s="52" t="n">
        <v>1.71</v>
      </c>
      <c r="I20" s="48" t="n">
        <v>13.37</v>
      </c>
      <c r="J20" s="48" t="n">
        <v>23</v>
      </c>
      <c r="K20" s="53" t="n">
        <v>293.71</v>
      </c>
      <c r="L20" s="53" t="n">
        <v>1392.64</v>
      </c>
      <c r="M20" s="48" t="n">
        <v>21.1</v>
      </c>
      <c r="N20" s="48" t="n">
        <v>4</v>
      </c>
      <c r="O20" s="48" t="s">
        <v>825</v>
      </c>
    </row>
    <row r="21" customFormat="false" ht="15" hidden="false" customHeight="false" outlineLevel="0" collapsed="false">
      <c r="A21" s="48" t="s">
        <v>466</v>
      </c>
      <c r="B21" s="48" t="s">
        <v>821</v>
      </c>
      <c r="C21" s="48" t="s">
        <v>824</v>
      </c>
      <c r="D21" s="48" t="n">
        <v>766</v>
      </c>
      <c r="E21" s="48" t="n">
        <v>2338</v>
      </c>
      <c r="F21" s="48" t="n">
        <v>120</v>
      </c>
      <c r="G21" s="48" t="n">
        <v>5.13</v>
      </c>
      <c r="H21" s="52" t="n">
        <v>2.39</v>
      </c>
      <c r="I21" s="48" t="n">
        <v>15</v>
      </c>
      <c r="J21" s="48" t="n">
        <v>18</v>
      </c>
      <c r="K21" s="53" t="n">
        <v>286.63</v>
      </c>
      <c r="L21" s="53" t="n">
        <v>1254.81</v>
      </c>
      <c r="M21" s="48" t="n">
        <v>22.8</v>
      </c>
      <c r="N21" s="48" t="n">
        <v>19</v>
      </c>
      <c r="O21" s="48" t="s">
        <v>825</v>
      </c>
    </row>
    <row r="22" customFormat="false" ht="15" hidden="false" customHeight="false" outlineLevel="0" collapsed="false">
      <c r="A22" s="48" t="s">
        <v>160</v>
      </c>
      <c r="B22" s="48" t="s">
        <v>821</v>
      </c>
      <c r="C22" s="48" t="s">
        <v>835</v>
      </c>
      <c r="D22" s="48" t="n">
        <v>1023</v>
      </c>
      <c r="E22" s="48" t="n">
        <v>9282</v>
      </c>
      <c r="F22" s="48" t="n">
        <v>211</v>
      </c>
      <c r="G22" s="48" t="n">
        <v>2.27</v>
      </c>
      <c r="H22" s="52" t="n">
        <v>1.32</v>
      </c>
      <c r="I22" s="48" t="n">
        <v>5.21</v>
      </c>
      <c r="J22" s="48" t="n">
        <v>11</v>
      </c>
      <c r="K22" s="53" t="n">
        <v>279.27</v>
      </c>
      <c r="L22" s="53" t="n">
        <v>747.89</v>
      </c>
      <c r="M22" s="48" t="n">
        <v>37.3</v>
      </c>
      <c r="N22" s="48" t="n">
        <v>23</v>
      </c>
      <c r="O22" s="48" t="s">
        <v>823</v>
      </c>
    </row>
    <row r="23" customFormat="false" ht="15" hidden="false" customHeight="false" outlineLevel="0" collapsed="false">
      <c r="A23" s="48" t="s">
        <v>842</v>
      </c>
      <c r="B23" s="48" t="s">
        <v>821</v>
      </c>
      <c r="C23" s="48"/>
      <c r="D23" s="48" t="n">
        <v>70</v>
      </c>
      <c r="E23" s="48" t="n">
        <v>2411</v>
      </c>
      <c r="F23" s="48" t="n">
        <v>113</v>
      </c>
      <c r="G23" s="48" t="n">
        <v>4.69</v>
      </c>
      <c r="H23" s="52" t="n">
        <v>2.43</v>
      </c>
      <c r="I23" s="48" t="n">
        <v>9.73</v>
      </c>
      <c r="J23" s="48" t="n">
        <v>11</v>
      </c>
      <c r="K23" s="53" t="n">
        <v>274.47</v>
      </c>
      <c r="L23" s="53" t="n">
        <v>732.89</v>
      </c>
      <c r="M23" s="48" t="n">
        <v>37.5</v>
      </c>
      <c r="N23" s="48"/>
      <c r="O23" s="48" t="s">
        <v>823</v>
      </c>
    </row>
    <row r="24" customFormat="false" ht="15" hidden="false" customHeight="false" outlineLevel="0" collapsed="false">
      <c r="A24" s="48" t="s">
        <v>843</v>
      </c>
      <c r="B24" s="48" t="s">
        <v>821</v>
      </c>
      <c r="C24" s="48" t="s">
        <v>822</v>
      </c>
      <c r="D24" s="48" t="n">
        <v>822</v>
      </c>
      <c r="E24" s="48" t="n">
        <v>13839</v>
      </c>
      <c r="F24" s="48" t="n">
        <v>155</v>
      </c>
      <c r="G24" s="48" t="n">
        <v>1.12</v>
      </c>
      <c r="H24" s="52" t="n">
        <v>1.59</v>
      </c>
      <c r="I24" s="48" t="n">
        <v>10.97</v>
      </c>
      <c r="J24" s="48" t="n">
        <v>17</v>
      </c>
      <c r="K24" s="53" t="n">
        <v>246.9</v>
      </c>
      <c r="L24" s="53" t="n">
        <v>948.79</v>
      </c>
      <c r="M24" s="48" t="n">
        <v>26</v>
      </c>
      <c r="N24" s="48" t="n">
        <v>13</v>
      </c>
      <c r="O24" s="48" t="s">
        <v>825</v>
      </c>
    </row>
    <row r="25" customFormat="false" ht="15" hidden="false" customHeight="false" outlineLevel="0" collapsed="false">
      <c r="A25" s="48" t="s">
        <v>844</v>
      </c>
      <c r="B25" s="48" t="s">
        <v>821</v>
      </c>
      <c r="C25" s="48" t="s">
        <v>835</v>
      </c>
      <c r="D25" s="48" t="n">
        <v>822</v>
      </c>
      <c r="E25" s="48" t="n">
        <v>7781</v>
      </c>
      <c r="F25" s="48" t="n">
        <v>103</v>
      </c>
      <c r="G25" s="48" t="n">
        <v>1.32</v>
      </c>
      <c r="H25" s="52" t="n">
        <v>2.34</v>
      </c>
      <c r="I25" s="48" t="n">
        <v>7.77</v>
      </c>
      <c r="J25" s="48" t="n">
        <v>8</v>
      </c>
      <c r="K25" s="53" t="n">
        <v>241.49</v>
      </c>
      <c r="L25" s="53" t="n">
        <v>644.92</v>
      </c>
      <c r="M25" s="48" t="n">
        <v>37.4</v>
      </c>
      <c r="N25" s="48" t="n">
        <v>15</v>
      </c>
      <c r="O25" s="48" t="s">
        <v>823</v>
      </c>
    </row>
    <row r="26" customFormat="false" ht="15" hidden="false" customHeight="false" outlineLevel="0" collapsed="false">
      <c r="A26" s="48" t="s">
        <v>845</v>
      </c>
      <c r="B26" s="48" t="s">
        <v>821</v>
      </c>
      <c r="C26" s="48" t="s">
        <v>827</v>
      </c>
      <c r="D26" s="48" t="n">
        <v>2637</v>
      </c>
      <c r="E26" s="48" t="n">
        <v>2197</v>
      </c>
      <c r="F26" s="48" t="n">
        <v>66</v>
      </c>
      <c r="G26" s="48" t="n">
        <v>3</v>
      </c>
      <c r="H26" s="52" t="n">
        <v>3.62</v>
      </c>
      <c r="I26" s="48" t="n">
        <v>9.09</v>
      </c>
      <c r="J26" s="48" t="n">
        <v>6</v>
      </c>
      <c r="K26" s="53" t="n">
        <v>239.17</v>
      </c>
      <c r="L26" s="53" t="n">
        <v>464.94</v>
      </c>
      <c r="M26" s="48" t="n">
        <v>51.4</v>
      </c>
      <c r="N26" s="48" t="n">
        <v>26</v>
      </c>
      <c r="O26" s="48" t="s">
        <v>838</v>
      </c>
    </row>
    <row r="27" customFormat="false" ht="15" hidden="false" customHeight="false" outlineLevel="0" collapsed="false">
      <c r="A27" s="48" t="s">
        <v>846</v>
      </c>
      <c r="B27" s="48" t="s">
        <v>821</v>
      </c>
      <c r="C27" s="48" t="s">
        <v>827</v>
      </c>
      <c r="D27" s="48" t="n">
        <v>1961</v>
      </c>
      <c r="E27" s="48" t="n">
        <v>8637</v>
      </c>
      <c r="F27" s="48" t="n">
        <v>69</v>
      </c>
      <c r="G27" s="48" t="n">
        <v>0.8</v>
      </c>
      <c r="H27" s="52" t="n">
        <v>3.39</v>
      </c>
      <c r="I27" s="48" t="n">
        <v>14.49</v>
      </c>
      <c r="J27" s="48" t="n">
        <v>10</v>
      </c>
      <c r="K27" s="53" t="n">
        <v>233.93</v>
      </c>
      <c r="L27" s="53" t="n">
        <v>829.9</v>
      </c>
      <c r="M27" s="48" t="n">
        <v>28.2</v>
      </c>
      <c r="N27" s="48" t="n">
        <v>47</v>
      </c>
      <c r="O27" s="48" t="s">
        <v>825</v>
      </c>
    </row>
    <row r="28" customFormat="false" ht="15" hidden="false" customHeight="false" outlineLevel="0" collapsed="false">
      <c r="A28" s="48" t="s">
        <v>847</v>
      </c>
      <c r="B28" s="48" t="s">
        <v>821</v>
      </c>
      <c r="C28" s="48" t="s">
        <v>835</v>
      </c>
      <c r="D28" s="48" t="n">
        <v>1961</v>
      </c>
      <c r="E28" s="48" t="n">
        <v>1974</v>
      </c>
      <c r="F28" s="48" t="n">
        <v>71</v>
      </c>
      <c r="G28" s="48" t="n">
        <v>3.6</v>
      </c>
      <c r="H28" s="52" t="n">
        <v>2.81</v>
      </c>
      <c r="I28" s="48" t="n">
        <v>9.86</v>
      </c>
      <c r="J28" s="48" t="n">
        <v>7</v>
      </c>
      <c r="K28" s="53" t="n">
        <v>199.69</v>
      </c>
      <c r="L28" s="53" t="n">
        <v>564.93</v>
      </c>
      <c r="M28" s="48" t="n">
        <v>35.3</v>
      </c>
      <c r="N28" s="48" t="n">
        <v>14</v>
      </c>
      <c r="O28" s="48" t="s">
        <v>823</v>
      </c>
    </row>
    <row r="29" customFormat="false" ht="15" hidden="false" customHeight="false" outlineLevel="0" collapsed="false">
      <c r="A29" s="48" t="s">
        <v>138</v>
      </c>
      <c r="B29" s="48" t="s">
        <v>821</v>
      </c>
      <c r="C29" s="48" t="s">
        <v>824</v>
      </c>
      <c r="D29" s="48" t="n">
        <v>4728</v>
      </c>
      <c r="E29" s="48" t="n">
        <v>9876</v>
      </c>
      <c r="F29" s="48" t="n">
        <v>78</v>
      </c>
      <c r="G29" s="48" t="n">
        <v>0.79</v>
      </c>
      <c r="H29" s="52" t="n">
        <v>2.38</v>
      </c>
      <c r="I29" s="48" t="n">
        <v>12.82</v>
      </c>
      <c r="J29" s="48" t="n">
        <v>10</v>
      </c>
      <c r="K29" s="53" t="n">
        <v>185.26</v>
      </c>
      <c r="L29" s="53" t="n">
        <v>804.9</v>
      </c>
      <c r="M29" s="48" t="n">
        <v>23</v>
      </c>
      <c r="N29" s="48" t="n">
        <v>29</v>
      </c>
      <c r="O29" s="48" t="s">
        <v>825</v>
      </c>
    </row>
    <row r="30" customFormat="false" ht="15" hidden="false" customHeight="false" outlineLevel="0" collapsed="false">
      <c r="A30" s="48" t="s">
        <v>142</v>
      </c>
      <c r="B30" s="48" t="s">
        <v>821</v>
      </c>
      <c r="C30" s="48" t="s">
        <v>824</v>
      </c>
      <c r="D30" s="48" t="n">
        <v>2976</v>
      </c>
      <c r="E30" s="48" t="n">
        <v>14580</v>
      </c>
      <c r="F30" s="48" t="n">
        <v>86</v>
      </c>
      <c r="G30" s="48" t="n">
        <v>0.59</v>
      </c>
      <c r="H30" s="52" t="n">
        <v>1.96</v>
      </c>
      <c r="I30" s="48" t="n">
        <v>4.65</v>
      </c>
      <c r="J30" s="48" t="n">
        <v>4</v>
      </c>
      <c r="K30" s="53" t="n">
        <v>168.66</v>
      </c>
      <c r="L30" s="53" t="n">
        <v>296.21</v>
      </c>
      <c r="M30" s="48" t="n">
        <v>56.9</v>
      </c>
      <c r="N30" s="48" t="n">
        <v>9</v>
      </c>
      <c r="O30" s="48" t="s">
        <v>838</v>
      </c>
    </row>
    <row r="31" customFormat="false" ht="15" hidden="false" customHeight="false" outlineLevel="0" collapsed="false">
      <c r="A31" s="48" t="s">
        <v>848</v>
      </c>
      <c r="B31" s="48" t="s">
        <v>821</v>
      </c>
      <c r="C31" s="48" t="s">
        <v>822</v>
      </c>
      <c r="D31" s="48" t="n">
        <v>1959</v>
      </c>
      <c r="E31" s="48" t="n">
        <v>29471</v>
      </c>
      <c r="F31" s="48" t="n">
        <v>112</v>
      </c>
      <c r="G31" s="48" t="n">
        <v>0.38</v>
      </c>
      <c r="H31" s="52" t="n">
        <v>1.45</v>
      </c>
      <c r="I31" s="48" t="n">
        <v>8.93</v>
      </c>
      <c r="J31" s="48" t="n">
        <v>10</v>
      </c>
      <c r="K31" s="53" t="n">
        <v>161.99</v>
      </c>
      <c r="L31" s="53" t="n">
        <v>596.55</v>
      </c>
      <c r="M31" s="48" t="n">
        <v>27.2</v>
      </c>
      <c r="N31" s="48" t="n">
        <v>20</v>
      </c>
      <c r="O31" s="48" t="s">
        <v>825</v>
      </c>
    </row>
    <row r="32" customFormat="false" ht="15" hidden="false" customHeight="false" outlineLevel="0" collapsed="false">
      <c r="A32" s="48" t="s">
        <v>480</v>
      </c>
      <c r="B32" s="48" t="s">
        <v>821</v>
      </c>
      <c r="C32" s="48" t="s">
        <v>835</v>
      </c>
      <c r="D32" s="48" t="n">
        <v>901</v>
      </c>
      <c r="E32" s="48" t="n">
        <v>6746</v>
      </c>
      <c r="F32" s="48" t="n">
        <v>80</v>
      </c>
      <c r="G32" s="48" t="n">
        <v>1.19</v>
      </c>
      <c r="H32" s="52" t="n">
        <v>1.96</v>
      </c>
      <c r="I32" s="48" t="n">
        <v>1.25</v>
      </c>
      <c r="J32" s="48" t="n">
        <v>1</v>
      </c>
      <c r="K32" s="53" t="n">
        <v>156.48</v>
      </c>
      <c r="L32" s="53" t="n">
        <v>54.99</v>
      </c>
      <c r="M32" s="48" t="n">
        <v>284.6</v>
      </c>
      <c r="N32" s="48" t="n">
        <v>19</v>
      </c>
      <c r="O32" s="48" t="s">
        <v>830</v>
      </c>
    </row>
    <row r="33" customFormat="false" ht="15" hidden="false" customHeight="false" outlineLevel="0" collapsed="false">
      <c r="A33" s="48" t="s">
        <v>849</v>
      </c>
      <c r="B33" s="48" t="s">
        <v>821</v>
      </c>
      <c r="C33" s="48" t="s">
        <v>827</v>
      </c>
      <c r="D33" s="48" t="n">
        <v>819</v>
      </c>
      <c r="E33" s="48" t="n">
        <v>6358</v>
      </c>
      <c r="F33" s="48" t="n">
        <v>50</v>
      </c>
      <c r="G33" s="48" t="n">
        <v>0.79</v>
      </c>
      <c r="H33" s="52" t="n">
        <v>2.91</v>
      </c>
      <c r="I33" s="48" t="n">
        <v>12</v>
      </c>
      <c r="J33" s="48" t="n">
        <v>6</v>
      </c>
      <c r="K33" s="53" t="n">
        <v>145.4</v>
      </c>
      <c r="L33" s="53" t="n">
        <v>494.94</v>
      </c>
      <c r="M33" s="48" t="n">
        <v>29.4</v>
      </c>
      <c r="N33" s="48" t="n">
        <v>34</v>
      </c>
      <c r="O33" s="48" t="s">
        <v>825</v>
      </c>
    </row>
    <row r="34" customFormat="false" ht="15" hidden="false" customHeight="false" outlineLevel="0" collapsed="false">
      <c r="A34" s="48" t="s">
        <v>154</v>
      </c>
      <c r="B34" s="48" t="s">
        <v>821</v>
      </c>
      <c r="C34" s="48" t="s">
        <v>835</v>
      </c>
      <c r="D34" s="48" t="n">
        <v>1669</v>
      </c>
      <c r="E34" s="48" t="n">
        <v>5586</v>
      </c>
      <c r="F34" s="48" t="n">
        <v>61</v>
      </c>
      <c r="G34" s="48" t="n">
        <v>1.09</v>
      </c>
      <c r="H34" s="52" t="n">
        <v>2.35</v>
      </c>
      <c r="I34" s="48" t="n">
        <v>9.84</v>
      </c>
      <c r="J34" s="48" t="n">
        <v>6</v>
      </c>
      <c r="K34" s="53" t="n">
        <v>143.3</v>
      </c>
      <c r="L34" s="53" t="n">
        <v>474.94</v>
      </c>
      <c r="M34" s="48" t="n">
        <v>30.2</v>
      </c>
      <c r="N34" s="48" t="n">
        <v>32</v>
      </c>
      <c r="O34" s="48" t="s">
        <v>825</v>
      </c>
    </row>
    <row r="35" customFormat="false" ht="15" hidden="false" customHeight="false" outlineLevel="0" collapsed="false">
      <c r="A35" s="48" t="s">
        <v>850</v>
      </c>
      <c r="B35" s="48" t="s">
        <v>821</v>
      </c>
      <c r="C35" s="48" t="s">
        <v>822</v>
      </c>
      <c r="D35" s="48" t="n">
        <v>924</v>
      </c>
      <c r="E35" s="48" t="n">
        <v>1355</v>
      </c>
      <c r="F35" s="48" t="n">
        <v>65</v>
      </c>
      <c r="G35" s="48" t="n">
        <v>4.8</v>
      </c>
      <c r="H35" s="52" t="n">
        <v>2.13</v>
      </c>
      <c r="I35" s="48" t="n">
        <v>6.15</v>
      </c>
      <c r="J35" s="48" t="n">
        <v>4</v>
      </c>
      <c r="K35" s="53" t="n">
        <v>138.34</v>
      </c>
      <c r="L35" s="53" t="n">
        <v>249.96</v>
      </c>
      <c r="M35" s="48" t="n">
        <v>55.3</v>
      </c>
      <c r="N35" s="48" t="n">
        <v>10</v>
      </c>
      <c r="O35" s="48" t="s">
        <v>838</v>
      </c>
    </row>
    <row r="36" customFormat="false" ht="15" hidden="false" customHeight="false" outlineLevel="0" collapsed="false">
      <c r="A36" s="48" t="s">
        <v>851</v>
      </c>
      <c r="B36" s="48" t="s">
        <v>821</v>
      </c>
      <c r="C36" s="48" t="s">
        <v>834</v>
      </c>
      <c r="D36" s="48" t="n">
        <v>319</v>
      </c>
      <c r="E36" s="48" t="n">
        <v>406</v>
      </c>
      <c r="F36" s="48" t="n">
        <v>54</v>
      </c>
      <c r="G36" s="48" t="n">
        <v>13.3</v>
      </c>
      <c r="H36" s="52" t="n">
        <v>2.49</v>
      </c>
      <c r="I36" s="48" t="n">
        <v>11.11</v>
      </c>
      <c r="J36" s="48" t="n">
        <v>6</v>
      </c>
      <c r="K36" s="53" t="n">
        <v>134.2</v>
      </c>
      <c r="L36" s="53" t="n">
        <v>299.94</v>
      </c>
      <c r="M36" s="48" t="n">
        <v>44.7</v>
      </c>
      <c r="N36" s="48" t="n">
        <v>5</v>
      </c>
      <c r="O36" s="48" t="s">
        <v>823</v>
      </c>
    </row>
    <row r="37" customFormat="false" ht="15" hidden="false" customHeight="false" outlineLevel="0" collapsed="false">
      <c r="A37" s="48" t="s">
        <v>133</v>
      </c>
      <c r="B37" s="48" t="s">
        <v>821</v>
      </c>
      <c r="C37" s="48" t="s">
        <v>824</v>
      </c>
      <c r="D37" s="48" t="n">
        <v>4964</v>
      </c>
      <c r="E37" s="48" t="n">
        <v>4751</v>
      </c>
      <c r="F37" s="48" t="n">
        <v>55</v>
      </c>
      <c r="G37" s="48" t="n">
        <v>1.16</v>
      </c>
      <c r="H37" s="52" t="n">
        <v>2.42</v>
      </c>
      <c r="I37" s="48" t="n">
        <v>9.09</v>
      </c>
      <c r="J37" s="48" t="n">
        <v>5</v>
      </c>
      <c r="K37" s="53" t="n">
        <v>133.36</v>
      </c>
      <c r="L37" s="53" t="n">
        <v>359.95</v>
      </c>
      <c r="M37" s="48" t="n">
        <v>37</v>
      </c>
      <c r="N37" s="48" t="n">
        <v>30</v>
      </c>
      <c r="O37" s="48" t="s">
        <v>823</v>
      </c>
    </row>
    <row r="38" customFormat="false" ht="15" hidden="false" customHeight="false" outlineLevel="0" collapsed="false">
      <c r="A38" s="48" t="s">
        <v>852</v>
      </c>
      <c r="B38" s="48" t="s">
        <v>821</v>
      </c>
      <c r="C38" s="48" t="s">
        <v>835</v>
      </c>
      <c r="D38" s="48" t="n">
        <v>924</v>
      </c>
      <c r="E38" s="48" t="n">
        <v>10199</v>
      </c>
      <c r="F38" s="48" t="n">
        <v>48</v>
      </c>
      <c r="G38" s="48" t="n">
        <v>0.47</v>
      </c>
      <c r="H38" s="52" t="n">
        <v>2.7</v>
      </c>
      <c r="I38" s="48" t="n">
        <v>6.25</v>
      </c>
      <c r="J38" s="48" t="n">
        <v>3</v>
      </c>
      <c r="K38" s="53" t="n">
        <v>129.84</v>
      </c>
      <c r="L38" s="53" t="n">
        <v>209.97</v>
      </c>
      <c r="M38" s="48" t="n">
        <v>61.8</v>
      </c>
      <c r="N38" s="48" t="n">
        <v>40</v>
      </c>
      <c r="O38" s="48" t="s">
        <v>830</v>
      </c>
    </row>
    <row r="39" customFormat="false" ht="15" hidden="false" customHeight="false" outlineLevel="0" collapsed="false">
      <c r="A39" s="48" t="s">
        <v>853</v>
      </c>
      <c r="B39" s="48" t="s">
        <v>821</v>
      </c>
      <c r="C39" s="48" t="s">
        <v>827</v>
      </c>
      <c r="D39" s="48" t="n">
        <v>4954</v>
      </c>
      <c r="E39" s="48" t="n">
        <v>725</v>
      </c>
      <c r="F39" s="48" t="n">
        <v>27</v>
      </c>
      <c r="G39" s="48" t="n">
        <v>3.72</v>
      </c>
      <c r="H39" s="52" t="n">
        <v>4.68</v>
      </c>
      <c r="I39" s="48" t="n">
        <v>18.52</v>
      </c>
      <c r="J39" s="48" t="n">
        <v>5</v>
      </c>
      <c r="K39" s="53" t="n">
        <v>126.39</v>
      </c>
      <c r="L39" s="53" t="n">
        <v>419.95</v>
      </c>
      <c r="M39" s="48" t="n">
        <v>30.1</v>
      </c>
      <c r="N39" s="48" t="n">
        <v>51</v>
      </c>
      <c r="O39" s="48" t="s">
        <v>825</v>
      </c>
    </row>
    <row r="40" customFormat="false" ht="15" hidden="false" customHeight="false" outlineLevel="0" collapsed="false">
      <c r="A40" s="48" t="s">
        <v>854</v>
      </c>
      <c r="B40" s="48" t="s">
        <v>821</v>
      </c>
      <c r="C40" s="48" t="s">
        <v>824</v>
      </c>
      <c r="D40" s="48" t="n">
        <v>489</v>
      </c>
      <c r="E40" s="48" t="n">
        <v>1154</v>
      </c>
      <c r="F40" s="48" t="n">
        <v>46</v>
      </c>
      <c r="G40" s="48" t="n">
        <v>3.99</v>
      </c>
      <c r="H40" s="52" t="n">
        <v>2.58</v>
      </c>
      <c r="I40" s="48" t="n">
        <v>13.04</v>
      </c>
      <c r="J40" s="48" t="n">
        <v>6</v>
      </c>
      <c r="K40" s="53" t="n">
        <v>118.74</v>
      </c>
      <c r="L40" s="53" t="n">
        <v>415.94</v>
      </c>
      <c r="M40" s="48" t="n">
        <v>28.5</v>
      </c>
      <c r="N40" s="48"/>
      <c r="O40" s="48" t="s">
        <v>825</v>
      </c>
    </row>
    <row r="41" customFormat="false" ht="15" hidden="false" customHeight="false" outlineLevel="0" collapsed="false">
      <c r="A41" s="48" t="s">
        <v>146</v>
      </c>
      <c r="B41" s="48" t="s">
        <v>821</v>
      </c>
      <c r="C41" s="48" t="s">
        <v>824</v>
      </c>
      <c r="D41" s="48" t="n">
        <v>2632</v>
      </c>
      <c r="E41" s="48" t="n">
        <v>7547</v>
      </c>
      <c r="F41" s="48" t="n">
        <v>37</v>
      </c>
      <c r="G41" s="48" t="n">
        <v>0.49</v>
      </c>
      <c r="H41" s="52" t="n">
        <v>3.05</v>
      </c>
      <c r="I41" s="48" t="n">
        <v>2.7</v>
      </c>
      <c r="J41" s="48" t="n">
        <v>1</v>
      </c>
      <c r="K41" s="53" t="n">
        <v>112.99</v>
      </c>
      <c r="L41" s="53" t="n">
        <v>79.99</v>
      </c>
      <c r="M41" s="48" t="n">
        <v>141.3</v>
      </c>
      <c r="N41" s="48" t="n">
        <v>15</v>
      </c>
      <c r="O41" s="48" t="s">
        <v>830</v>
      </c>
    </row>
    <row r="42" customFormat="false" ht="15" hidden="false" customHeight="false" outlineLevel="0" collapsed="false">
      <c r="A42" s="48" t="s">
        <v>468</v>
      </c>
      <c r="B42" s="48" t="s">
        <v>821</v>
      </c>
      <c r="C42" s="48" t="s">
        <v>824</v>
      </c>
      <c r="D42" s="48" t="n">
        <v>2630</v>
      </c>
      <c r="E42" s="48" t="n">
        <v>13827</v>
      </c>
      <c r="F42" s="48" t="n">
        <v>35</v>
      </c>
      <c r="G42" s="48" t="n">
        <v>0.25</v>
      </c>
      <c r="H42" s="52" t="n">
        <v>3.14</v>
      </c>
      <c r="I42" s="48" t="n">
        <v>11.43</v>
      </c>
      <c r="J42" s="48" t="n">
        <v>4</v>
      </c>
      <c r="K42" s="53" t="n">
        <v>109.97</v>
      </c>
      <c r="L42" s="53" t="n">
        <v>309.96</v>
      </c>
      <c r="M42" s="48" t="n">
        <v>35.5</v>
      </c>
      <c r="N42" s="48" t="n">
        <v>26</v>
      </c>
      <c r="O42" s="48" t="s">
        <v>823</v>
      </c>
    </row>
    <row r="43" customFormat="false" ht="15" hidden="false" customHeight="false" outlineLevel="0" collapsed="false">
      <c r="A43" s="48" t="s">
        <v>855</v>
      </c>
      <c r="B43" s="48" t="s">
        <v>821</v>
      </c>
      <c r="C43" s="48" t="s">
        <v>835</v>
      </c>
      <c r="D43" s="48" t="n">
        <v>575</v>
      </c>
      <c r="E43" s="48" t="n">
        <v>2242</v>
      </c>
      <c r="F43" s="48" t="n">
        <v>44</v>
      </c>
      <c r="G43" s="48" t="n">
        <v>1.96</v>
      </c>
      <c r="H43" s="52" t="n">
        <v>2.5</v>
      </c>
      <c r="I43" s="48" t="n">
        <v>11.36</v>
      </c>
      <c r="J43" s="48" t="n">
        <v>5</v>
      </c>
      <c r="K43" s="53" t="n">
        <v>109.96</v>
      </c>
      <c r="L43" s="53" t="n">
        <v>363.95</v>
      </c>
      <c r="M43" s="48" t="n">
        <v>30.2</v>
      </c>
      <c r="N43" s="48" t="n">
        <v>33</v>
      </c>
      <c r="O43" s="48" t="s">
        <v>825</v>
      </c>
    </row>
    <row r="44" customFormat="false" ht="15" hidden="false" customHeight="false" outlineLevel="0" collapsed="false">
      <c r="A44" s="48" t="s">
        <v>856</v>
      </c>
      <c r="B44" s="48" t="s">
        <v>821</v>
      </c>
      <c r="C44" s="48" t="s">
        <v>835</v>
      </c>
      <c r="D44" s="48" t="n">
        <v>439</v>
      </c>
      <c r="E44" s="48" t="n">
        <v>1243</v>
      </c>
      <c r="F44" s="48" t="n">
        <v>46</v>
      </c>
      <c r="G44" s="48" t="n">
        <v>3.7</v>
      </c>
      <c r="H44" s="52" t="n">
        <v>2.33</v>
      </c>
      <c r="I44" s="48" t="n">
        <v>8.7</v>
      </c>
      <c r="J44" s="48" t="n">
        <v>4</v>
      </c>
      <c r="K44" s="53" t="n">
        <v>107.34</v>
      </c>
      <c r="L44" s="53" t="n">
        <v>284.96</v>
      </c>
      <c r="M44" s="48" t="n">
        <v>37.7</v>
      </c>
      <c r="N44" s="48" t="n">
        <v>16</v>
      </c>
      <c r="O44" s="48" t="s">
        <v>823</v>
      </c>
    </row>
    <row r="45" customFormat="false" ht="15" hidden="false" customHeight="false" outlineLevel="0" collapsed="false">
      <c r="A45" s="48" t="s">
        <v>857</v>
      </c>
      <c r="B45" s="48" t="s">
        <v>821</v>
      </c>
      <c r="C45" s="48" t="s">
        <v>835</v>
      </c>
      <c r="D45" s="48" t="n">
        <v>924</v>
      </c>
      <c r="E45" s="48" t="n">
        <v>1360</v>
      </c>
      <c r="F45" s="48" t="n">
        <v>37</v>
      </c>
      <c r="G45" s="48" t="n">
        <v>2.72</v>
      </c>
      <c r="H45" s="52" t="n">
        <v>2.72</v>
      </c>
      <c r="I45" s="48" t="n">
        <v>5.41</v>
      </c>
      <c r="J45" s="48" t="n">
        <v>2</v>
      </c>
      <c r="K45" s="53" t="n">
        <v>100.57</v>
      </c>
      <c r="L45" s="53" t="n">
        <v>154.98</v>
      </c>
      <c r="M45" s="48" t="n">
        <v>64.9</v>
      </c>
      <c r="N45" s="48" t="n">
        <v>7</v>
      </c>
      <c r="O45" s="48" t="s">
        <v>830</v>
      </c>
    </row>
    <row r="46" customFormat="false" ht="15" hidden="false" customHeight="false" outlineLevel="0" collapsed="false">
      <c r="A46" s="48" t="s">
        <v>858</v>
      </c>
      <c r="B46" s="48" t="s">
        <v>821</v>
      </c>
      <c r="C46" s="48" t="s">
        <v>822</v>
      </c>
      <c r="D46" s="48" t="n">
        <v>1735</v>
      </c>
      <c r="E46" s="48" t="n">
        <v>1170</v>
      </c>
      <c r="F46" s="48" t="n">
        <v>45</v>
      </c>
      <c r="G46" s="48" t="n">
        <v>3.85</v>
      </c>
      <c r="H46" s="52" t="n">
        <v>2.23</v>
      </c>
      <c r="I46" s="48" t="n">
        <v>6.67</v>
      </c>
      <c r="J46" s="48" t="n">
        <v>3</v>
      </c>
      <c r="K46" s="53" t="n">
        <v>100.24</v>
      </c>
      <c r="L46" s="53" t="n">
        <v>184.97</v>
      </c>
      <c r="M46" s="48" t="n">
        <v>54.2</v>
      </c>
      <c r="N46" s="48" t="n">
        <v>15</v>
      </c>
      <c r="O46" s="48" t="s">
        <v>838</v>
      </c>
    </row>
    <row r="47" customFormat="false" ht="15" hidden="false" customHeight="false" outlineLevel="0" collapsed="false">
      <c r="A47" s="48" t="s">
        <v>859</v>
      </c>
      <c r="B47" s="48" t="s">
        <v>860</v>
      </c>
      <c r="C47" s="48"/>
      <c r="D47" s="48" t="n">
        <v>47</v>
      </c>
      <c r="E47" s="48" t="n">
        <v>62</v>
      </c>
      <c r="F47" s="48" t="n">
        <v>19</v>
      </c>
      <c r="G47" s="48" t="n">
        <v>30.65</v>
      </c>
      <c r="H47" s="52" t="n">
        <v>4.8</v>
      </c>
      <c r="I47" s="48" t="n">
        <v>10.53</v>
      </c>
      <c r="J47" s="48" t="n">
        <v>2</v>
      </c>
      <c r="K47" s="53" t="n">
        <v>91.22</v>
      </c>
      <c r="L47" s="53" t="n">
        <v>145.98</v>
      </c>
      <c r="M47" s="48" t="n">
        <v>62.5</v>
      </c>
      <c r="N47" s="48"/>
      <c r="O47" s="48" t="s">
        <v>830</v>
      </c>
    </row>
    <row r="48" customFormat="false" ht="15" hidden="false" customHeight="false" outlineLevel="0" collapsed="false">
      <c r="A48" s="48" t="s">
        <v>861</v>
      </c>
      <c r="B48" s="48" t="s">
        <v>821</v>
      </c>
      <c r="C48" s="48" t="s">
        <v>824</v>
      </c>
      <c r="D48" s="48" t="n">
        <v>512</v>
      </c>
      <c r="E48" s="48" t="n">
        <v>302</v>
      </c>
      <c r="F48" s="48" t="n">
        <v>28</v>
      </c>
      <c r="G48" s="48" t="n">
        <v>9.27</v>
      </c>
      <c r="H48" s="52" t="n">
        <v>3.15</v>
      </c>
      <c r="I48" s="48" t="n">
        <v>21.43</v>
      </c>
      <c r="J48" s="48" t="n">
        <v>6</v>
      </c>
      <c r="K48" s="53" t="n">
        <v>88.22</v>
      </c>
      <c r="L48" s="53" t="n">
        <v>419.94</v>
      </c>
      <c r="M48" s="48" t="n">
        <v>21</v>
      </c>
      <c r="N48" s="48"/>
      <c r="O48" s="48" t="s">
        <v>825</v>
      </c>
    </row>
    <row r="49" customFormat="false" ht="15" hidden="false" customHeight="false" outlineLevel="0" collapsed="false">
      <c r="A49" s="48" t="s">
        <v>862</v>
      </c>
      <c r="B49" s="48" t="s">
        <v>821</v>
      </c>
      <c r="C49" s="48"/>
      <c r="D49" s="48" t="n">
        <v>207</v>
      </c>
      <c r="E49" s="48" t="n">
        <v>183</v>
      </c>
      <c r="F49" s="48" t="n">
        <v>29</v>
      </c>
      <c r="G49" s="48" t="n">
        <v>15.85</v>
      </c>
      <c r="H49" s="52" t="n">
        <v>2.98</v>
      </c>
      <c r="I49" s="48" t="n">
        <v>6.9</v>
      </c>
      <c r="J49" s="48" t="n">
        <v>2</v>
      </c>
      <c r="K49" s="53" t="n">
        <v>86.43</v>
      </c>
      <c r="L49" s="53" t="n">
        <v>119.98</v>
      </c>
      <c r="M49" s="48" t="n">
        <v>72</v>
      </c>
      <c r="N49" s="48"/>
      <c r="O49" s="48" t="s">
        <v>830</v>
      </c>
    </row>
    <row r="50" customFormat="false" ht="15" hidden="false" customHeight="false" outlineLevel="0" collapsed="false">
      <c r="A50" s="48" t="s">
        <v>863</v>
      </c>
      <c r="B50" s="48" t="s">
        <v>821</v>
      </c>
      <c r="C50" s="48" t="s">
        <v>827</v>
      </c>
      <c r="D50" s="48" t="n">
        <v>3492</v>
      </c>
      <c r="E50" s="48" t="n">
        <v>1048</v>
      </c>
      <c r="F50" s="48" t="n">
        <v>30</v>
      </c>
      <c r="G50" s="48" t="n">
        <v>2.86</v>
      </c>
      <c r="H50" s="52" t="n">
        <v>2.59</v>
      </c>
      <c r="I50" s="48" t="n">
        <v>13.33</v>
      </c>
      <c r="J50" s="48" t="n">
        <v>4</v>
      </c>
      <c r="K50" s="53" t="n">
        <v>77.76</v>
      </c>
      <c r="L50" s="53" t="n">
        <v>339.96</v>
      </c>
      <c r="M50" s="48" t="n">
        <v>22.9</v>
      </c>
      <c r="N50" s="48" t="n">
        <v>60</v>
      </c>
      <c r="O50" s="48" t="s">
        <v>825</v>
      </c>
    </row>
    <row r="51" customFormat="false" ht="15" hidden="false" customHeight="false" outlineLevel="0" collapsed="false">
      <c r="A51" s="48" t="s">
        <v>864</v>
      </c>
      <c r="B51" s="48" t="s">
        <v>860</v>
      </c>
      <c r="C51" s="48"/>
      <c r="D51" s="48" t="n">
        <v>70</v>
      </c>
      <c r="E51" s="48" t="n">
        <v>69</v>
      </c>
      <c r="F51" s="48" t="n">
        <v>16</v>
      </c>
      <c r="G51" s="48" t="n">
        <v>23.19</v>
      </c>
      <c r="H51" s="52" t="n">
        <v>4.14</v>
      </c>
      <c r="I51" s="48" t="n">
        <v>6.25</v>
      </c>
      <c r="J51" s="48" t="n">
        <v>1</v>
      </c>
      <c r="K51" s="53" t="n">
        <v>66.27</v>
      </c>
      <c r="L51" s="53" t="n">
        <v>84.99</v>
      </c>
      <c r="M51" s="48" t="n">
        <v>78</v>
      </c>
      <c r="N51" s="48"/>
      <c r="O51" s="48" t="s">
        <v>830</v>
      </c>
    </row>
    <row r="52" customFormat="false" ht="15" hidden="false" customHeight="false" outlineLevel="0" collapsed="false">
      <c r="A52" s="48" t="s">
        <v>865</v>
      </c>
      <c r="B52" s="48" t="s">
        <v>821</v>
      </c>
      <c r="C52" s="48" t="s">
        <v>822</v>
      </c>
      <c r="D52" s="48" t="n">
        <v>598</v>
      </c>
      <c r="E52" s="48" t="n">
        <v>413</v>
      </c>
      <c r="F52" s="48" t="n">
        <v>28</v>
      </c>
      <c r="G52" s="48" t="n">
        <v>6.78</v>
      </c>
      <c r="H52" s="52" t="n">
        <v>2.35</v>
      </c>
      <c r="I52" s="48" t="n">
        <v>28.57</v>
      </c>
      <c r="J52" s="48" t="n">
        <v>8</v>
      </c>
      <c r="K52" s="53" t="n">
        <v>65.93</v>
      </c>
      <c r="L52" s="53" t="n">
        <v>491.92</v>
      </c>
      <c r="M52" s="48" t="n">
        <v>13.4</v>
      </c>
      <c r="N52" s="48" t="n">
        <v>20</v>
      </c>
      <c r="O52" s="48" t="s">
        <v>825</v>
      </c>
    </row>
    <row r="53" customFormat="false" ht="15" hidden="false" customHeight="false" outlineLevel="0" collapsed="false">
      <c r="A53" s="48" t="s">
        <v>866</v>
      </c>
      <c r="B53" s="48" t="s">
        <v>821</v>
      </c>
      <c r="C53" s="48" t="s">
        <v>824</v>
      </c>
      <c r="D53" s="48" t="n">
        <v>766</v>
      </c>
      <c r="E53" s="48" t="n">
        <v>8065</v>
      </c>
      <c r="F53" s="48" t="n">
        <v>34</v>
      </c>
      <c r="G53" s="48" t="n">
        <v>0.42</v>
      </c>
      <c r="H53" s="52" t="n">
        <v>1.83</v>
      </c>
      <c r="I53" s="48" t="n">
        <v>5.88</v>
      </c>
      <c r="J53" s="48" t="n">
        <v>2</v>
      </c>
      <c r="K53" s="53" t="n">
        <v>62.26</v>
      </c>
      <c r="L53" s="53" t="n">
        <v>159.98</v>
      </c>
      <c r="M53" s="48" t="n">
        <v>38.9</v>
      </c>
      <c r="N53" s="48" t="n">
        <v>62</v>
      </c>
      <c r="O53" s="48" t="s">
        <v>823</v>
      </c>
    </row>
    <row r="54" customFormat="false" ht="15" hidden="false" customHeight="false" outlineLevel="0" collapsed="false">
      <c r="A54" s="48" t="s">
        <v>867</v>
      </c>
      <c r="B54" s="48" t="s">
        <v>821</v>
      </c>
      <c r="C54" s="48" t="s">
        <v>827</v>
      </c>
      <c r="D54" s="48" t="n">
        <v>659</v>
      </c>
      <c r="E54" s="48" t="n">
        <v>235</v>
      </c>
      <c r="F54" s="48" t="n">
        <v>18</v>
      </c>
      <c r="G54" s="48" t="n">
        <v>7.66</v>
      </c>
      <c r="H54" s="52" t="n">
        <v>3.4</v>
      </c>
      <c r="I54" s="48" t="n">
        <v>0</v>
      </c>
      <c r="J54" s="48" t="n">
        <v>0</v>
      </c>
      <c r="K54" s="53" t="n">
        <v>61.24</v>
      </c>
      <c r="L54" s="53" t="n">
        <v>0</v>
      </c>
      <c r="M54" s="48"/>
      <c r="N54" s="48" t="n">
        <v>21</v>
      </c>
      <c r="O54" s="48" t="s">
        <v>830</v>
      </c>
    </row>
    <row r="55" customFormat="false" ht="15" hidden="false" customHeight="false" outlineLevel="0" collapsed="false">
      <c r="A55" s="48" t="s">
        <v>868</v>
      </c>
      <c r="B55" s="48" t="s">
        <v>821</v>
      </c>
      <c r="C55" s="48" t="s">
        <v>827</v>
      </c>
      <c r="D55" s="48" t="n">
        <v>1023</v>
      </c>
      <c r="E55" s="48" t="n">
        <v>231</v>
      </c>
      <c r="F55" s="48" t="n">
        <v>18</v>
      </c>
      <c r="G55" s="48" t="n">
        <v>7.79</v>
      </c>
      <c r="H55" s="52" t="n">
        <v>3.23</v>
      </c>
      <c r="I55" s="48" t="n">
        <v>5.56</v>
      </c>
      <c r="J55" s="48" t="n">
        <v>1</v>
      </c>
      <c r="K55" s="53" t="n">
        <v>58.14</v>
      </c>
      <c r="L55" s="53" t="n">
        <v>84.99</v>
      </c>
      <c r="M55" s="48" t="n">
        <v>68.4</v>
      </c>
      <c r="N55" s="48" t="n">
        <v>17</v>
      </c>
      <c r="O55" s="48" t="s">
        <v>830</v>
      </c>
    </row>
    <row r="56" customFormat="false" ht="15" hidden="false" customHeight="false" outlineLevel="0" collapsed="false">
      <c r="A56" s="48" t="s">
        <v>869</v>
      </c>
      <c r="B56" s="48" t="s">
        <v>821</v>
      </c>
      <c r="C56" s="48"/>
      <c r="D56" s="48" t="n">
        <v>38</v>
      </c>
      <c r="E56" s="48" t="n">
        <v>82</v>
      </c>
      <c r="F56" s="48" t="n">
        <v>14</v>
      </c>
      <c r="G56" s="48" t="n">
        <v>17.07</v>
      </c>
      <c r="H56" s="52" t="n">
        <v>4.13</v>
      </c>
      <c r="I56" s="48" t="n">
        <v>14.29</v>
      </c>
      <c r="J56" s="48" t="n">
        <v>2</v>
      </c>
      <c r="K56" s="53" t="n">
        <v>57.8</v>
      </c>
      <c r="L56" s="53" t="n">
        <v>161.98</v>
      </c>
      <c r="M56" s="48" t="n">
        <v>35.7</v>
      </c>
      <c r="N56" s="48"/>
      <c r="O56" s="48" t="s">
        <v>823</v>
      </c>
    </row>
    <row r="57" customFormat="false" ht="15" hidden="false" customHeight="false" outlineLevel="0" collapsed="false">
      <c r="A57" s="48" t="s">
        <v>870</v>
      </c>
      <c r="B57" s="48" t="s">
        <v>821</v>
      </c>
      <c r="C57" s="48" t="s">
        <v>835</v>
      </c>
      <c r="D57" s="48" t="n">
        <v>364</v>
      </c>
      <c r="E57" s="48" t="n">
        <v>1695</v>
      </c>
      <c r="F57" s="48" t="n">
        <v>29</v>
      </c>
      <c r="G57" s="48" t="n">
        <v>1.71</v>
      </c>
      <c r="H57" s="52" t="n">
        <v>1.9</v>
      </c>
      <c r="I57" s="48" t="n">
        <v>6.9</v>
      </c>
      <c r="J57" s="48" t="n">
        <v>2</v>
      </c>
      <c r="K57" s="53" t="n">
        <v>55.17</v>
      </c>
      <c r="L57" s="53" t="n">
        <v>129.98</v>
      </c>
      <c r="M57" s="48" t="n">
        <v>42.4</v>
      </c>
      <c r="N57" s="48" t="n">
        <v>6</v>
      </c>
      <c r="O57" s="48" t="s">
        <v>823</v>
      </c>
    </row>
    <row r="58" customFormat="false" ht="15" hidden="false" customHeight="false" outlineLevel="0" collapsed="false">
      <c r="A58" s="48" t="s">
        <v>871</v>
      </c>
      <c r="B58" s="48" t="s">
        <v>821</v>
      </c>
      <c r="C58" s="48" t="s">
        <v>832</v>
      </c>
      <c r="D58" s="48" t="n">
        <v>1025</v>
      </c>
      <c r="E58" s="48" t="n">
        <v>159</v>
      </c>
      <c r="F58" s="48" t="n">
        <v>19</v>
      </c>
      <c r="G58" s="48" t="n">
        <v>11.95</v>
      </c>
      <c r="H58" s="52" t="n">
        <v>2.9</v>
      </c>
      <c r="I58" s="48" t="n">
        <v>0</v>
      </c>
      <c r="J58" s="48" t="n">
        <v>0</v>
      </c>
      <c r="K58" s="53" t="n">
        <v>55.13</v>
      </c>
      <c r="L58" s="53" t="n">
        <v>0</v>
      </c>
      <c r="M58" s="48"/>
      <c r="N58" s="48" t="n">
        <v>6</v>
      </c>
      <c r="O58" s="48" t="s">
        <v>830</v>
      </c>
    </row>
    <row r="59" customFormat="false" ht="15" hidden="false" customHeight="false" outlineLevel="0" collapsed="false">
      <c r="A59" s="48" t="s">
        <v>872</v>
      </c>
      <c r="B59" s="48" t="s">
        <v>821</v>
      </c>
      <c r="C59" s="48"/>
      <c r="D59" s="48" t="n">
        <v>118</v>
      </c>
      <c r="E59" s="48" t="n">
        <v>303</v>
      </c>
      <c r="F59" s="48" t="n">
        <v>18</v>
      </c>
      <c r="G59" s="48" t="n">
        <v>5.94</v>
      </c>
      <c r="H59" s="52" t="n">
        <v>2.97</v>
      </c>
      <c r="I59" s="48" t="n">
        <v>0</v>
      </c>
      <c r="J59" s="48" t="n">
        <v>0</v>
      </c>
      <c r="K59" s="53" t="n">
        <v>53.51</v>
      </c>
      <c r="L59" s="53" t="n">
        <v>0</v>
      </c>
      <c r="M59" s="48"/>
      <c r="N59" s="48"/>
      <c r="O59" s="48" t="s">
        <v>830</v>
      </c>
    </row>
    <row r="60" customFormat="false" ht="15" hidden="false" customHeight="false" outlineLevel="0" collapsed="false">
      <c r="A60" s="48" t="s">
        <v>873</v>
      </c>
      <c r="B60" s="48" t="s">
        <v>860</v>
      </c>
      <c r="C60" s="48"/>
      <c r="D60" s="48" t="n">
        <v>59</v>
      </c>
      <c r="E60" s="48" t="n">
        <v>483</v>
      </c>
      <c r="F60" s="48" t="n">
        <v>13</v>
      </c>
      <c r="G60" s="48" t="n">
        <v>2.69</v>
      </c>
      <c r="H60" s="52" t="n">
        <v>4.1</v>
      </c>
      <c r="I60" s="48" t="n">
        <v>23.08</v>
      </c>
      <c r="J60" s="48" t="n">
        <v>3</v>
      </c>
      <c r="K60" s="53" t="n">
        <v>53.32</v>
      </c>
      <c r="L60" s="53" t="n">
        <v>226.97</v>
      </c>
      <c r="M60" s="48" t="n">
        <v>23.5</v>
      </c>
      <c r="N60" s="48"/>
      <c r="O60" s="48" t="s">
        <v>825</v>
      </c>
    </row>
    <row r="61" customFormat="false" ht="15" hidden="false" customHeight="false" outlineLevel="0" collapsed="false">
      <c r="A61" s="48" t="s">
        <v>874</v>
      </c>
      <c r="B61" s="48" t="s">
        <v>821</v>
      </c>
      <c r="C61" s="48" t="s">
        <v>835</v>
      </c>
      <c r="D61" s="48" t="n">
        <v>924</v>
      </c>
      <c r="E61" s="48" t="n">
        <v>653</v>
      </c>
      <c r="F61" s="48" t="n">
        <v>28</v>
      </c>
      <c r="G61" s="48" t="n">
        <v>4.29</v>
      </c>
      <c r="H61" s="52" t="n">
        <v>1.9</v>
      </c>
      <c r="I61" s="48" t="n">
        <v>0</v>
      </c>
      <c r="J61" s="48" t="n">
        <v>0</v>
      </c>
      <c r="K61" s="53" t="n">
        <v>53.19</v>
      </c>
      <c r="L61" s="53" t="n">
        <v>0</v>
      </c>
      <c r="M61" s="48"/>
      <c r="N61" s="48" t="n">
        <v>11</v>
      </c>
      <c r="O61" s="48" t="s">
        <v>830</v>
      </c>
    </row>
    <row r="62" customFormat="false" ht="15" hidden="false" customHeight="false" outlineLevel="0" collapsed="false">
      <c r="A62" s="48" t="s">
        <v>875</v>
      </c>
      <c r="B62" s="48" t="s">
        <v>821</v>
      </c>
      <c r="C62" s="48"/>
      <c r="D62" s="48" t="n">
        <v>15</v>
      </c>
      <c r="E62" s="48" t="n">
        <v>57</v>
      </c>
      <c r="F62" s="48" t="n">
        <v>15</v>
      </c>
      <c r="G62" s="48" t="n">
        <v>26.32</v>
      </c>
      <c r="H62" s="52" t="n">
        <v>3.52</v>
      </c>
      <c r="I62" s="48" t="n">
        <v>13.33</v>
      </c>
      <c r="J62" s="48" t="n">
        <v>2</v>
      </c>
      <c r="K62" s="53" t="n">
        <v>52.81</v>
      </c>
      <c r="L62" s="53" t="n">
        <v>254.97</v>
      </c>
      <c r="M62" s="48" t="n">
        <v>20.7</v>
      </c>
      <c r="N62" s="48"/>
      <c r="O62" s="48" t="s">
        <v>825</v>
      </c>
    </row>
    <row r="63" customFormat="false" ht="15" hidden="false" customHeight="false" outlineLevel="0" collapsed="false">
      <c r="A63" s="48" t="s">
        <v>876</v>
      </c>
      <c r="B63" s="48" t="s">
        <v>821</v>
      </c>
      <c r="C63" s="48"/>
      <c r="D63" s="48" t="n">
        <v>34</v>
      </c>
      <c r="E63" s="48" t="n">
        <v>44</v>
      </c>
      <c r="F63" s="48" t="n">
        <v>13</v>
      </c>
      <c r="G63" s="48" t="n">
        <v>29.55</v>
      </c>
      <c r="H63" s="52" t="n">
        <v>3.72</v>
      </c>
      <c r="I63" s="48" t="n">
        <v>0</v>
      </c>
      <c r="J63" s="48" t="n">
        <v>0</v>
      </c>
      <c r="K63" s="53" t="n">
        <v>48.31</v>
      </c>
      <c r="L63" s="53" t="n">
        <v>0</v>
      </c>
      <c r="M63" s="48"/>
      <c r="N63" s="48"/>
      <c r="O63" s="48" t="s">
        <v>830</v>
      </c>
    </row>
    <row r="64" customFormat="false" ht="15" hidden="false" customHeight="false" outlineLevel="0" collapsed="false">
      <c r="A64" s="48" t="s">
        <v>877</v>
      </c>
      <c r="B64" s="48" t="s">
        <v>821</v>
      </c>
      <c r="C64" s="48" t="s">
        <v>827</v>
      </c>
      <c r="D64" s="48" t="n">
        <v>1109</v>
      </c>
      <c r="E64" s="48" t="n">
        <v>126</v>
      </c>
      <c r="F64" s="48" t="n">
        <v>14</v>
      </c>
      <c r="G64" s="48" t="n">
        <v>11.11</v>
      </c>
      <c r="H64" s="52" t="n">
        <v>3.42</v>
      </c>
      <c r="I64" s="48" t="n">
        <v>28.57</v>
      </c>
      <c r="J64" s="48" t="n">
        <v>4</v>
      </c>
      <c r="K64" s="53" t="n">
        <v>47.92</v>
      </c>
      <c r="L64" s="53" t="n">
        <v>334.96</v>
      </c>
      <c r="M64" s="48" t="n">
        <v>14.3</v>
      </c>
      <c r="N64" s="48" t="n">
        <v>62</v>
      </c>
      <c r="O64" s="48" t="s">
        <v>825</v>
      </c>
    </row>
    <row r="65" customFormat="false" ht="15" hidden="false" customHeight="false" outlineLevel="0" collapsed="false">
      <c r="A65" s="48" t="s">
        <v>477</v>
      </c>
      <c r="B65" s="48" t="s">
        <v>821</v>
      </c>
      <c r="C65" s="48" t="s">
        <v>835</v>
      </c>
      <c r="D65" s="48" t="n">
        <v>901</v>
      </c>
      <c r="E65" s="48" t="n">
        <v>1673</v>
      </c>
      <c r="F65" s="48" t="n">
        <v>23</v>
      </c>
      <c r="G65" s="48" t="n">
        <v>1.37</v>
      </c>
      <c r="H65" s="52" t="n">
        <v>1.98</v>
      </c>
      <c r="I65" s="48" t="n">
        <v>4.35</v>
      </c>
      <c r="J65" s="48" t="n">
        <v>1</v>
      </c>
      <c r="K65" s="53" t="n">
        <v>45.52</v>
      </c>
      <c r="L65" s="53" t="n">
        <v>84.99</v>
      </c>
      <c r="M65" s="48" t="n">
        <v>53.6</v>
      </c>
      <c r="N65" s="48" t="n">
        <v>40</v>
      </c>
      <c r="O65" s="48" t="s">
        <v>838</v>
      </c>
    </row>
    <row r="66" customFormat="false" ht="15" hidden="false" customHeight="false" outlineLevel="0" collapsed="false">
      <c r="A66" s="48" t="s">
        <v>878</v>
      </c>
      <c r="B66" s="48" t="s">
        <v>860</v>
      </c>
      <c r="C66" s="48"/>
      <c r="D66" s="48" t="n">
        <v>82</v>
      </c>
      <c r="E66" s="48" t="n">
        <v>127</v>
      </c>
      <c r="F66" s="48" t="n">
        <v>18</v>
      </c>
      <c r="G66" s="48" t="n">
        <v>14.17</v>
      </c>
      <c r="H66" s="52" t="n">
        <v>2.35</v>
      </c>
      <c r="I66" s="48" t="n">
        <v>27.78</v>
      </c>
      <c r="J66" s="48" t="n">
        <v>5</v>
      </c>
      <c r="K66" s="53" t="n">
        <v>42.22</v>
      </c>
      <c r="L66" s="53" t="n">
        <v>221.95</v>
      </c>
      <c r="M66" s="48" t="n">
        <v>19</v>
      </c>
      <c r="N66" s="48"/>
      <c r="O66" s="48" t="s">
        <v>825</v>
      </c>
    </row>
    <row r="67" customFormat="false" ht="15" hidden="false" customHeight="false" outlineLevel="0" collapsed="false">
      <c r="A67" s="48" t="s">
        <v>879</v>
      </c>
      <c r="B67" s="48" t="s">
        <v>821</v>
      </c>
      <c r="C67" s="48" t="s">
        <v>827</v>
      </c>
      <c r="D67" s="48" t="n">
        <v>1023</v>
      </c>
      <c r="E67" s="48" t="n">
        <v>139</v>
      </c>
      <c r="F67" s="48" t="n">
        <v>13</v>
      </c>
      <c r="G67" s="48" t="n">
        <v>9.35</v>
      </c>
      <c r="H67" s="52" t="n">
        <v>3.12</v>
      </c>
      <c r="I67" s="48" t="n">
        <v>30.77</v>
      </c>
      <c r="J67" s="48" t="n">
        <v>4</v>
      </c>
      <c r="K67" s="53" t="n">
        <v>40.52</v>
      </c>
      <c r="L67" s="53" t="n">
        <v>314.96</v>
      </c>
      <c r="M67" s="48" t="n">
        <v>12.9</v>
      </c>
      <c r="N67" s="48" t="n">
        <v>33</v>
      </c>
      <c r="O67" s="48" t="s">
        <v>825</v>
      </c>
    </row>
    <row r="68" customFormat="false" ht="15" hidden="false" customHeight="false" outlineLevel="0" collapsed="false">
      <c r="A68" s="48" t="s">
        <v>880</v>
      </c>
      <c r="B68" s="48" t="s">
        <v>821</v>
      </c>
      <c r="C68" s="48" t="s">
        <v>824</v>
      </c>
      <c r="D68" s="48" t="n">
        <v>501</v>
      </c>
      <c r="E68" s="48" t="n">
        <v>627</v>
      </c>
      <c r="F68" s="48" t="n">
        <v>21</v>
      </c>
      <c r="G68" s="48" t="n">
        <v>3.35</v>
      </c>
      <c r="H68" s="52" t="n">
        <v>1.84</v>
      </c>
      <c r="I68" s="48" t="n">
        <v>19.05</v>
      </c>
      <c r="J68" s="48" t="n">
        <v>4</v>
      </c>
      <c r="K68" s="53" t="n">
        <v>38.69</v>
      </c>
      <c r="L68" s="53" t="n">
        <v>314.96</v>
      </c>
      <c r="M68" s="48" t="n">
        <v>12.3</v>
      </c>
      <c r="N68" s="48"/>
      <c r="O68" s="48" t="s">
        <v>825</v>
      </c>
    </row>
    <row r="69" customFormat="false" ht="15" hidden="false" customHeight="false" outlineLevel="0" collapsed="false">
      <c r="A69" s="48" t="s">
        <v>881</v>
      </c>
      <c r="B69" s="48" t="s">
        <v>821</v>
      </c>
      <c r="C69" s="48"/>
      <c r="D69" s="48" t="n">
        <v>72</v>
      </c>
      <c r="E69" s="48" t="n">
        <v>72</v>
      </c>
      <c r="F69" s="48" t="n">
        <v>16</v>
      </c>
      <c r="G69" s="48" t="n">
        <v>22.22</v>
      </c>
      <c r="H69" s="52" t="n">
        <v>2.41</v>
      </c>
      <c r="I69" s="48" t="n">
        <v>6.25</v>
      </c>
      <c r="J69" s="48" t="n">
        <v>1</v>
      </c>
      <c r="K69" s="53" t="n">
        <v>38.56</v>
      </c>
      <c r="L69" s="53" t="n">
        <v>64.99</v>
      </c>
      <c r="M69" s="48" t="n">
        <v>59.3</v>
      </c>
      <c r="N69" s="48"/>
      <c r="O69" s="48" t="s">
        <v>838</v>
      </c>
    </row>
    <row r="70" customFormat="false" ht="15" hidden="false" customHeight="false" outlineLevel="0" collapsed="false">
      <c r="A70" s="48" t="s">
        <v>882</v>
      </c>
      <c r="B70" s="48" t="s">
        <v>821</v>
      </c>
      <c r="C70" s="48" t="s">
        <v>835</v>
      </c>
      <c r="D70" s="48" t="n">
        <v>285</v>
      </c>
      <c r="E70" s="48" t="n">
        <v>1404</v>
      </c>
      <c r="F70" s="48" t="n">
        <v>14</v>
      </c>
      <c r="G70" s="48" t="n">
        <v>1</v>
      </c>
      <c r="H70" s="52" t="n">
        <v>2.74</v>
      </c>
      <c r="I70" s="48" t="n">
        <v>14.29</v>
      </c>
      <c r="J70" s="48" t="n">
        <v>2</v>
      </c>
      <c r="K70" s="53" t="n">
        <v>38.34</v>
      </c>
      <c r="L70" s="53" t="n">
        <v>134.98</v>
      </c>
      <c r="M70" s="48" t="n">
        <v>28.4</v>
      </c>
      <c r="N70" s="48"/>
      <c r="O70" s="48" t="s">
        <v>825</v>
      </c>
    </row>
    <row r="71" customFormat="false" ht="15" hidden="false" customHeight="false" outlineLevel="0" collapsed="false">
      <c r="A71" s="48" t="s">
        <v>883</v>
      </c>
      <c r="B71" s="48" t="s">
        <v>821</v>
      </c>
      <c r="C71" s="48" t="s">
        <v>832</v>
      </c>
      <c r="D71" s="48" t="n">
        <v>682</v>
      </c>
      <c r="E71" s="48" t="n">
        <v>66</v>
      </c>
      <c r="F71" s="48" t="n">
        <v>12</v>
      </c>
      <c r="G71" s="48" t="n">
        <v>18.18</v>
      </c>
      <c r="H71" s="52" t="n">
        <v>3.15</v>
      </c>
      <c r="I71" s="48" t="n">
        <v>8.33</v>
      </c>
      <c r="J71" s="48" t="n">
        <v>1</v>
      </c>
      <c r="K71" s="53" t="n">
        <v>37.85</v>
      </c>
      <c r="L71" s="53" t="n">
        <v>169.98</v>
      </c>
      <c r="M71" s="48" t="n">
        <v>22.3</v>
      </c>
      <c r="N71" s="48" t="n">
        <v>46</v>
      </c>
      <c r="O71" s="48" t="s">
        <v>825</v>
      </c>
    </row>
    <row r="72" customFormat="false" ht="15" hidden="false" customHeight="false" outlineLevel="0" collapsed="false">
      <c r="A72" s="48" t="s">
        <v>884</v>
      </c>
      <c r="B72" s="48" t="s">
        <v>821</v>
      </c>
      <c r="C72" s="48" t="s">
        <v>827</v>
      </c>
      <c r="D72" s="48" t="n">
        <v>646</v>
      </c>
      <c r="E72" s="48" t="n">
        <v>91</v>
      </c>
      <c r="F72" s="48" t="n">
        <v>13</v>
      </c>
      <c r="G72" s="48" t="n">
        <v>14.29</v>
      </c>
      <c r="H72" s="52" t="n">
        <v>2.81</v>
      </c>
      <c r="I72" s="48" t="n">
        <v>23.08</v>
      </c>
      <c r="J72" s="48" t="n">
        <v>3</v>
      </c>
      <c r="K72" s="53" t="n">
        <v>36.51</v>
      </c>
      <c r="L72" s="53" t="n">
        <v>204.97</v>
      </c>
      <c r="M72" s="48" t="n">
        <v>17.8</v>
      </c>
      <c r="N72" s="48" t="n">
        <v>22</v>
      </c>
      <c r="O72" s="48" t="s">
        <v>825</v>
      </c>
    </row>
    <row r="73" customFormat="false" ht="15" hidden="false" customHeight="false" outlineLevel="0" collapsed="false">
      <c r="A73" s="48" t="s">
        <v>885</v>
      </c>
      <c r="B73" s="48" t="s">
        <v>860</v>
      </c>
      <c r="C73" s="48"/>
      <c r="D73" s="48" t="n">
        <v>67</v>
      </c>
      <c r="E73" s="48" t="n">
        <v>307</v>
      </c>
      <c r="F73" s="48" t="n">
        <v>17</v>
      </c>
      <c r="G73" s="48" t="n">
        <v>5.54</v>
      </c>
      <c r="H73" s="52" t="n">
        <v>2.13</v>
      </c>
      <c r="I73" s="48" t="n">
        <v>5.88</v>
      </c>
      <c r="J73" s="48" t="n">
        <v>1</v>
      </c>
      <c r="K73" s="53" t="n">
        <v>36.23</v>
      </c>
      <c r="L73" s="53" t="n">
        <v>79.99</v>
      </c>
      <c r="M73" s="48" t="n">
        <v>45.3</v>
      </c>
      <c r="N73" s="48"/>
      <c r="O73" s="48" t="s">
        <v>838</v>
      </c>
    </row>
    <row r="74" customFormat="false" ht="15" hidden="false" customHeight="false" outlineLevel="0" collapsed="false">
      <c r="A74" s="48" t="s">
        <v>886</v>
      </c>
      <c r="B74" s="48" t="s">
        <v>821</v>
      </c>
      <c r="C74" s="48" t="s">
        <v>824</v>
      </c>
      <c r="D74" s="48" t="n">
        <v>766</v>
      </c>
      <c r="E74" s="48" t="n">
        <v>4070</v>
      </c>
      <c r="F74" s="48" t="n">
        <v>22</v>
      </c>
      <c r="G74" s="48" t="n">
        <v>0.54</v>
      </c>
      <c r="H74" s="52" t="n">
        <v>1.63</v>
      </c>
      <c r="I74" s="48" t="n">
        <v>4.55</v>
      </c>
      <c r="J74" s="48" t="n">
        <v>1</v>
      </c>
      <c r="K74" s="53" t="n">
        <v>35.8</v>
      </c>
      <c r="L74" s="53" t="n">
        <v>74.99</v>
      </c>
      <c r="M74" s="48" t="n">
        <v>47.7</v>
      </c>
      <c r="N74" s="48" t="n">
        <v>54</v>
      </c>
      <c r="O74" s="48" t="s">
        <v>838</v>
      </c>
    </row>
    <row r="75" customFormat="false" ht="15" hidden="false" customHeight="false" outlineLevel="0" collapsed="false">
      <c r="A75" s="48" t="s">
        <v>887</v>
      </c>
      <c r="B75" s="48" t="s">
        <v>821</v>
      </c>
      <c r="C75" s="48" t="s">
        <v>835</v>
      </c>
      <c r="D75" s="48" t="n">
        <v>344</v>
      </c>
      <c r="E75" s="48" t="n">
        <v>3212</v>
      </c>
      <c r="F75" s="48" t="n">
        <v>44</v>
      </c>
      <c r="G75" s="48" t="n">
        <v>1.37</v>
      </c>
      <c r="H75" s="52" t="n">
        <v>0.8</v>
      </c>
      <c r="I75" s="48" t="n">
        <v>4.55</v>
      </c>
      <c r="J75" s="48" t="n">
        <v>2</v>
      </c>
      <c r="K75" s="53" t="n">
        <v>35.11</v>
      </c>
      <c r="L75" s="53" t="n">
        <v>159.98</v>
      </c>
      <c r="M75" s="48" t="n">
        <v>21.9</v>
      </c>
      <c r="N75" s="48"/>
      <c r="O75" s="48" t="s">
        <v>825</v>
      </c>
    </row>
    <row r="76" customFormat="false" ht="15" hidden="false" customHeight="false" outlineLevel="0" collapsed="false">
      <c r="A76" s="48" t="s">
        <v>888</v>
      </c>
      <c r="B76" s="48" t="s">
        <v>821</v>
      </c>
      <c r="C76" s="48" t="s">
        <v>827</v>
      </c>
      <c r="D76" s="48" t="n">
        <v>636</v>
      </c>
      <c r="E76" s="48" t="n">
        <v>62</v>
      </c>
      <c r="F76" s="48" t="n">
        <v>11</v>
      </c>
      <c r="G76" s="48" t="n">
        <v>17.74</v>
      </c>
      <c r="H76" s="52" t="n">
        <v>3.13</v>
      </c>
      <c r="I76" s="48" t="n">
        <v>0</v>
      </c>
      <c r="J76" s="48" t="n">
        <v>0</v>
      </c>
      <c r="K76" s="53" t="n">
        <v>34.44</v>
      </c>
      <c r="L76" s="53" t="n">
        <v>0</v>
      </c>
      <c r="M76" s="48"/>
      <c r="N76" s="48"/>
      <c r="O76" s="48" t="s">
        <v>830</v>
      </c>
    </row>
    <row r="77" customFormat="false" ht="15" hidden="false" customHeight="false" outlineLevel="0" collapsed="false">
      <c r="A77" s="48" t="s">
        <v>889</v>
      </c>
      <c r="B77" s="48" t="s">
        <v>821</v>
      </c>
      <c r="C77" s="48" t="s">
        <v>824</v>
      </c>
      <c r="D77" s="48" t="n">
        <v>588</v>
      </c>
      <c r="E77" s="48" t="n">
        <v>456</v>
      </c>
      <c r="F77" s="48" t="n">
        <v>13</v>
      </c>
      <c r="G77" s="48" t="n">
        <v>2.85</v>
      </c>
      <c r="H77" s="52" t="n">
        <v>2.45</v>
      </c>
      <c r="I77" s="48" t="n">
        <v>0</v>
      </c>
      <c r="J77" s="48" t="n">
        <v>0</v>
      </c>
      <c r="K77" s="53" t="n">
        <v>31.9</v>
      </c>
      <c r="L77" s="53" t="n">
        <v>0</v>
      </c>
      <c r="M77" s="48"/>
      <c r="N77" s="48" t="n">
        <v>9</v>
      </c>
      <c r="O77" s="48" t="s">
        <v>830</v>
      </c>
    </row>
    <row r="78" customFormat="false" ht="15" hidden="false" customHeight="false" outlineLevel="0" collapsed="false">
      <c r="A78" s="48" t="s">
        <v>890</v>
      </c>
      <c r="B78" s="48" t="s">
        <v>821</v>
      </c>
      <c r="C78" s="48" t="s">
        <v>827</v>
      </c>
      <c r="D78" s="48" t="n">
        <v>1023</v>
      </c>
      <c r="E78" s="48" t="n">
        <v>185</v>
      </c>
      <c r="F78" s="48" t="n">
        <v>10</v>
      </c>
      <c r="G78" s="48" t="n">
        <v>5.41</v>
      </c>
      <c r="H78" s="52" t="n">
        <v>3.19</v>
      </c>
      <c r="I78" s="48" t="n">
        <v>0</v>
      </c>
      <c r="J78" s="48" t="n">
        <v>0</v>
      </c>
      <c r="K78" s="53" t="n">
        <v>31.89</v>
      </c>
      <c r="L78" s="53" t="n">
        <v>0</v>
      </c>
      <c r="M78" s="48"/>
      <c r="N78" s="48" t="n">
        <v>77</v>
      </c>
      <c r="O78" s="48" t="s">
        <v>830</v>
      </c>
    </row>
    <row r="79" customFormat="false" ht="15" hidden="false" customHeight="false" outlineLevel="0" collapsed="false">
      <c r="A79" s="48" t="s">
        <v>891</v>
      </c>
      <c r="B79" s="48" t="s">
        <v>821</v>
      </c>
      <c r="C79" s="48" t="s">
        <v>824</v>
      </c>
      <c r="D79" s="48" t="n">
        <v>677</v>
      </c>
      <c r="E79" s="48" t="n">
        <v>232</v>
      </c>
      <c r="F79" s="48" t="n">
        <v>14</v>
      </c>
      <c r="G79" s="48" t="n">
        <v>6.03</v>
      </c>
      <c r="H79" s="52" t="n">
        <v>2.25</v>
      </c>
      <c r="I79" s="48" t="n">
        <v>0</v>
      </c>
      <c r="J79" s="48" t="n">
        <v>0</v>
      </c>
      <c r="K79" s="53" t="n">
        <v>31.54</v>
      </c>
      <c r="L79" s="53" t="n">
        <v>0</v>
      </c>
      <c r="M79" s="48"/>
      <c r="N79" s="48" t="n">
        <v>47</v>
      </c>
      <c r="O79" s="48" t="s">
        <v>830</v>
      </c>
    </row>
    <row r="80" customFormat="false" ht="15" hidden="false" customHeight="false" outlineLevel="0" collapsed="false">
      <c r="A80" s="48" t="s">
        <v>892</v>
      </c>
      <c r="B80" s="48" t="s">
        <v>860</v>
      </c>
      <c r="C80" s="48" t="s">
        <v>835</v>
      </c>
      <c r="D80" s="48" t="n">
        <v>1109</v>
      </c>
      <c r="E80" s="48" t="n">
        <v>615</v>
      </c>
      <c r="F80" s="48" t="n">
        <v>12</v>
      </c>
      <c r="G80" s="48" t="n">
        <v>1.95</v>
      </c>
      <c r="H80" s="52" t="n">
        <v>2.62</v>
      </c>
      <c r="I80" s="48" t="n">
        <v>0</v>
      </c>
      <c r="J80" s="48" t="n">
        <v>0</v>
      </c>
      <c r="K80" s="53" t="n">
        <v>31.42</v>
      </c>
      <c r="L80" s="53" t="n">
        <v>0</v>
      </c>
      <c r="M80" s="48"/>
      <c r="N80" s="48" t="n">
        <v>87</v>
      </c>
      <c r="O80" s="48" t="s">
        <v>830</v>
      </c>
    </row>
    <row r="81" customFormat="false" ht="15" hidden="false" customHeight="false" outlineLevel="0" collapsed="false">
      <c r="A81" s="48" t="s">
        <v>893</v>
      </c>
      <c r="B81" s="48" t="s">
        <v>821</v>
      </c>
      <c r="C81" s="48" t="s">
        <v>824</v>
      </c>
      <c r="D81" s="48" t="n">
        <v>535</v>
      </c>
      <c r="E81" s="48" t="n">
        <v>1417</v>
      </c>
      <c r="F81" s="48" t="n">
        <v>15</v>
      </c>
      <c r="G81" s="48" t="n">
        <v>1.06</v>
      </c>
      <c r="H81" s="52" t="n">
        <v>1.96</v>
      </c>
      <c r="I81" s="48" t="n">
        <v>6.67</v>
      </c>
      <c r="J81" s="48" t="n">
        <v>1</v>
      </c>
      <c r="K81" s="53" t="n">
        <v>29.45</v>
      </c>
      <c r="L81" s="53" t="n">
        <v>79.99</v>
      </c>
      <c r="M81" s="48" t="n">
        <v>36.8</v>
      </c>
      <c r="N81" s="48" t="n">
        <v>74</v>
      </c>
      <c r="O81" s="48" t="s">
        <v>823</v>
      </c>
    </row>
    <row r="82" customFormat="false" ht="15" hidden="false" customHeight="false" outlineLevel="0" collapsed="false">
      <c r="A82" s="48" t="s">
        <v>894</v>
      </c>
      <c r="B82" s="48" t="s">
        <v>821</v>
      </c>
      <c r="C82" s="48" t="s">
        <v>832</v>
      </c>
      <c r="D82" s="48" t="n">
        <v>537</v>
      </c>
      <c r="E82" s="48" t="n">
        <v>1002</v>
      </c>
      <c r="F82" s="48" t="n">
        <v>14</v>
      </c>
      <c r="G82" s="48" t="n">
        <v>1.4</v>
      </c>
      <c r="H82" s="52" t="n">
        <v>2.08</v>
      </c>
      <c r="I82" s="48" t="n">
        <v>14.29</v>
      </c>
      <c r="J82" s="48" t="n">
        <v>2</v>
      </c>
      <c r="K82" s="53" t="n">
        <v>29.09</v>
      </c>
      <c r="L82" s="53" t="n">
        <v>164.98</v>
      </c>
      <c r="M82" s="48" t="n">
        <v>17.6</v>
      </c>
      <c r="N82" s="48"/>
      <c r="O82" s="48" t="s">
        <v>825</v>
      </c>
    </row>
    <row r="83" customFormat="false" ht="15" hidden="false" customHeight="false" outlineLevel="0" collapsed="false">
      <c r="A83" s="48" t="s">
        <v>464</v>
      </c>
      <c r="B83" s="48" t="s">
        <v>821</v>
      </c>
      <c r="C83" s="48" t="s">
        <v>824</v>
      </c>
      <c r="D83" s="48" t="n">
        <v>1023</v>
      </c>
      <c r="E83" s="48" t="n">
        <v>1201</v>
      </c>
      <c r="F83" s="48" t="n">
        <v>12</v>
      </c>
      <c r="G83" s="48" t="n">
        <v>1</v>
      </c>
      <c r="H83" s="52" t="n">
        <v>2.41</v>
      </c>
      <c r="I83" s="48" t="n">
        <v>8.33</v>
      </c>
      <c r="J83" s="48" t="n">
        <v>1</v>
      </c>
      <c r="K83" s="53" t="n">
        <v>28.91</v>
      </c>
      <c r="L83" s="53" t="n">
        <v>79.99</v>
      </c>
      <c r="M83" s="48" t="n">
        <v>36.1</v>
      </c>
      <c r="N83" s="48" t="n">
        <v>30</v>
      </c>
      <c r="O83" s="48" t="s">
        <v>823</v>
      </c>
    </row>
    <row r="84" customFormat="false" ht="15" hidden="false" customHeight="false" outlineLevel="0" collapsed="false">
      <c r="A84" s="48" t="s">
        <v>895</v>
      </c>
      <c r="B84" s="48" t="s">
        <v>821</v>
      </c>
      <c r="C84" s="48" t="s">
        <v>827</v>
      </c>
      <c r="D84" s="48" t="n">
        <v>479</v>
      </c>
      <c r="E84" s="48" t="n">
        <v>485</v>
      </c>
      <c r="F84" s="48" t="n">
        <v>13</v>
      </c>
      <c r="G84" s="48" t="n">
        <v>2.68</v>
      </c>
      <c r="H84" s="52" t="n">
        <v>2.19</v>
      </c>
      <c r="I84" s="48" t="n">
        <v>15.38</v>
      </c>
      <c r="J84" s="48" t="n">
        <v>2</v>
      </c>
      <c r="K84" s="53" t="n">
        <v>28.52</v>
      </c>
      <c r="L84" s="53" t="n">
        <v>144.98</v>
      </c>
      <c r="M84" s="48" t="n">
        <v>19.7</v>
      </c>
      <c r="N84" s="48"/>
      <c r="O84" s="48" t="s">
        <v>825</v>
      </c>
    </row>
    <row r="85" customFormat="false" ht="15" hidden="false" customHeight="false" outlineLevel="0" collapsed="false">
      <c r="A85" s="48" t="s">
        <v>896</v>
      </c>
      <c r="B85" s="48" t="s">
        <v>821</v>
      </c>
      <c r="C85" s="48" t="s">
        <v>835</v>
      </c>
      <c r="D85" s="48" t="n">
        <v>939</v>
      </c>
      <c r="E85" s="48" t="n">
        <v>262</v>
      </c>
      <c r="F85" s="48" t="n">
        <v>10</v>
      </c>
      <c r="G85" s="48" t="n">
        <v>3.82</v>
      </c>
      <c r="H85" s="52" t="n">
        <v>2.8</v>
      </c>
      <c r="I85" s="48" t="n">
        <v>0</v>
      </c>
      <c r="J85" s="48" t="n">
        <v>0</v>
      </c>
      <c r="K85" s="53" t="n">
        <v>27.99</v>
      </c>
      <c r="L85" s="53" t="n">
        <v>0</v>
      </c>
      <c r="M85" s="48"/>
      <c r="N85" s="48" t="n">
        <v>35</v>
      </c>
      <c r="O85" s="48" t="s">
        <v>897</v>
      </c>
    </row>
    <row r="86" customFormat="false" ht="15" hidden="false" customHeight="false" outlineLevel="0" collapsed="false">
      <c r="A86" s="48" t="s">
        <v>898</v>
      </c>
      <c r="B86" s="48" t="s">
        <v>821</v>
      </c>
      <c r="C86" s="48"/>
      <c r="D86" s="48" t="n">
        <v>248</v>
      </c>
      <c r="E86" s="48" t="n">
        <v>68</v>
      </c>
      <c r="F86" s="48" t="n">
        <v>10</v>
      </c>
      <c r="G86" s="48" t="n">
        <v>14.71</v>
      </c>
      <c r="H86" s="52" t="n">
        <v>2.8</v>
      </c>
      <c r="I86" s="48" t="n">
        <v>20</v>
      </c>
      <c r="J86" s="48" t="n">
        <v>2</v>
      </c>
      <c r="K86" s="53" t="n">
        <v>27.96</v>
      </c>
      <c r="L86" s="53" t="n">
        <v>149.98</v>
      </c>
      <c r="M86" s="48" t="n">
        <v>18.6</v>
      </c>
      <c r="N86" s="48"/>
      <c r="O86" s="48" t="s">
        <v>825</v>
      </c>
    </row>
    <row r="87" customFormat="false" ht="15" hidden="false" customHeight="false" outlineLevel="0" collapsed="false">
      <c r="A87" s="48" t="s">
        <v>899</v>
      </c>
      <c r="B87" s="48" t="s">
        <v>821</v>
      </c>
      <c r="C87" s="48" t="s">
        <v>835</v>
      </c>
      <c r="D87" s="48" t="n">
        <v>659</v>
      </c>
      <c r="E87" s="48" t="n">
        <v>86</v>
      </c>
      <c r="F87" s="48" t="n">
        <v>10</v>
      </c>
      <c r="G87" s="48" t="n">
        <v>11.63</v>
      </c>
      <c r="H87" s="52" t="n">
        <v>2.79</v>
      </c>
      <c r="I87" s="48" t="n">
        <v>20</v>
      </c>
      <c r="J87" s="48" t="n">
        <v>2</v>
      </c>
      <c r="K87" s="53" t="n">
        <v>27.85</v>
      </c>
      <c r="L87" s="53" t="n">
        <v>144.98</v>
      </c>
      <c r="M87" s="48" t="n">
        <v>19.2</v>
      </c>
      <c r="N87" s="48"/>
      <c r="O87" s="48" t="s">
        <v>825</v>
      </c>
    </row>
    <row r="88" customFormat="false" ht="15" hidden="false" customHeight="false" outlineLevel="0" collapsed="false">
      <c r="A88" s="48" t="s">
        <v>900</v>
      </c>
      <c r="B88" s="48" t="s">
        <v>821</v>
      </c>
      <c r="C88" s="48" t="s">
        <v>835</v>
      </c>
      <c r="D88" s="48" t="n">
        <v>672</v>
      </c>
      <c r="E88" s="48" t="n">
        <v>41</v>
      </c>
      <c r="F88" s="48" t="n">
        <v>10</v>
      </c>
      <c r="G88" s="48" t="n">
        <v>24.39</v>
      </c>
      <c r="H88" s="52" t="n">
        <v>2.75</v>
      </c>
      <c r="I88" s="48" t="n">
        <v>10</v>
      </c>
      <c r="J88" s="48" t="n">
        <v>1</v>
      </c>
      <c r="K88" s="53" t="n">
        <v>27.54</v>
      </c>
      <c r="L88" s="53" t="n">
        <v>84.99</v>
      </c>
      <c r="M88" s="48" t="n">
        <v>32.4</v>
      </c>
      <c r="N88" s="48" t="n">
        <v>18</v>
      </c>
      <c r="O88" s="48" t="s">
        <v>823</v>
      </c>
    </row>
    <row r="89" customFormat="false" ht="15" hidden="false" customHeight="false" outlineLevel="0" collapsed="false">
      <c r="A89" s="48" t="s">
        <v>901</v>
      </c>
      <c r="B89" s="48" t="s">
        <v>821</v>
      </c>
      <c r="C89" s="48" t="s">
        <v>832</v>
      </c>
      <c r="D89" s="48" t="n">
        <v>639</v>
      </c>
      <c r="E89" s="48" t="n">
        <v>3260</v>
      </c>
      <c r="F89" s="48" t="n">
        <v>13</v>
      </c>
      <c r="G89" s="48" t="n">
        <v>0.4</v>
      </c>
      <c r="H89" s="52" t="n">
        <v>2.05</v>
      </c>
      <c r="I89" s="48" t="n">
        <v>0</v>
      </c>
      <c r="J89" s="48" t="n">
        <v>0</v>
      </c>
      <c r="K89" s="53" t="n">
        <v>26.61</v>
      </c>
      <c r="L89" s="53" t="n">
        <v>0</v>
      </c>
      <c r="M89" s="48"/>
      <c r="N89" s="48" t="n">
        <v>10</v>
      </c>
      <c r="O89" s="48" t="s">
        <v>897</v>
      </c>
    </row>
    <row r="90" customFormat="false" ht="15" hidden="false" customHeight="false" outlineLevel="0" collapsed="false">
      <c r="A90" s="48" t="s">
        <v>902</v>
      </c>
      <c r="B90" s="48" t="s">
        <v>821</v>
      </c>
      <c r="C90" s="48" t="s">
        <v>827</v>
      </c>
      <c r="D90" s="48" t="n">
        <v>593</v>
      </c>
      <c r="E90" s="48" t="n">
        <v>62</v>
      </c>
      <c r="F90" s="48" t="n">
        <v>8</v>
      </c>
      <c r="G90" s="48" t="n">
        <v>12.9</v>
      </c>
      <c r="H90" s="52" t="n">
        <v>3.17</v>
      </c>
      <c r="I90" s="48" t="n">
        <v>12.5</v>
      </c>
      <c r="J90" s="48" t="n">
        <v>1</v>
      </c>
      <c r="K90" s="53" t="n">
        <v>25.36</v>
      </c>
      <c r="L90" s="53" t="n">
        <v>84.99</v>
      </c>
      <c r="M90" s="48" t="n">
        <v>29.8</v>
      </c>
      <c r="N90" s="48"/>
      <c r="O90" s="48" t="s">
        <v>825</v>
      </c>
    </row>
    <row r="91" customFormat="false" ht="15" hidden="false" customHeight="false" outlineLevel="0" collapsed="false">
      <c r="A91" s="48" t="s">
        <v>903</v>
      </c>
      <c r="B91" s="48" t="s">
        <v>821</v>
      </c>
      <c r="C91" s="48" t="s">
        <v>827</v>
      </c>
      <c r="D91" s="48" t="n">
        <v>601</v>
      </c>
      <c r="E91" s="48" t="n">
        <v>133</v>
      </c>
      <c r="F91" s="48" t="n">
        <v>9</v>
      </c>
      <c r="G91" s="48" t="n">
        <v>6.77</v>
      </c>
      <c r="H91" s="52" t="n">
        <v>2.81</v>
      </c>
      <c r="I91" s="48" t="n">
        <v>0</v>
      </c>
      <c r="J91" s="48" t="n">
        <v>0</v>
      </c>
      <c r="K91" s="53" t="n">
        <v>25.3</v>
      </c>
      <c r="L91" s="53" t="n">
        <v>0</v>
      </c>
      <c r="M91" s="48"/>
      <c r="N91" s="48" t="n">
        <v>61</v>
      </c>
      <c r="O91" s="48" t="s">
        <v>897</v>
      </c>
    </row>
    <row r="92" customFormat="false" ht="15" hidden="false" customHeight="false" outlineLevel="0" collapsed="false">
      <c r="A92" s="48" t="s">
        <v>904</v>
      </c>
      <c r="B92" s="48" t="s">
        <v>821</v>
      </c>
      <c r="C92" s="48"/>
      <c r="D92" s="48" t="n">
        <v>12</v>
      </c>
      <c r="E92" s="48" t="n">
        <v>21</v>
      </c>
      <c r="F92" s="48" t="n">
        <v>6</v>
      </c>
      <c r="G92" s="48" t="n">
        <v>28.57</v>
      </c>
      <c r="H92" s="52" t="n">
        <v>4.22</v>
      </c>
      <c r="I92" s="48" t="n">
        <v>16.67</v>
      </c>
      <c r="J92" s="48" t="n">
        <v>1</v>
      </c>
      <c r="K92" s="53" t="n">
        <v>25.29</v>
      </c>
      <c r="L92" s="53" t="n">
        <v>69.99</v>
      </c>
      <c r="M92" s="48" t="n">
        <v>36.1</v>
      </c>
      <c r="N92" s="48"/>
      <c r="O92" s="48" t="s">
        <v>823</v>
      </c>
    </row>
    <row r="93" customFormat="false" ht="15" hidden="false" customHeight="false" outlineLevel="0" collapsed="false">
      <c r="A93" s="48" t="s">
        <v>905</v>
      </c>
      <c r="B93" s="48" t="s">
        <v>821</v>
      </c>
      <c r="C93" s="48" t="s">
        <v>827</v>
      </c>
      <c r="D93" s="48" t="n">
        <v>651</v>
      </c>
      <c r="E93" s="48" t="n">
        <v>1456</v>
      </c>
      <c r="F93" s="48" t="n">
        <v>13</v>
      </c>
      <c r="G93" s="48" t="n">
        <v>0.89</v>
      </c>
      <c r="H93" s="52" t="n">
        <v>1.88</v>
      </c>
      <c r="I93" s="48" t="n">
        <v>7.69</v>
      </c>
      <c r="J93" s="48" t="n">
        <v>1</v>
      </c>
      <c r="K93" s="53" t="n">
        <v>24.41</v>
      </c>
      <c r="L93" s="53" t="n">
        <v>84.99</v>
      </c>
      <c r="M93" s="48" t="n">
        <v>28.7</v>
      </c>
      <c r="N93" s="48" t="n">
        <v>137</v>
      </c>
      <c r="O93" s="48" t="s">
        <v>825</v>
      </c>
    </row>
    <row r="94" customFormat="false" ht="15" hidden="false" customHeight="false" outlineLevel="0" collapsed="false">
      <c r="A94" s="48" t="s">
        <v>906</v>
      </c>
      <c r="B94" s="48" t="s">
        <v>821</v>
      </c>
      <c r="C94" s="48" t="s">
        <v>827</v>
      </c>
      <c r="D94" s="48" t="n">
        <v>424</v>
      </c>
      <c r="E94" s="48" t="n">
        <v>43</v>
      </c>
      <c r="F94" s="48" t="n">
        <v>7</v>
      </c>
      <c r="G94" s="48" t="n">
        <v>16.28</v>
      </c>
      <c r="H94" s="52" t="n">
        <v>3.47</v>
      </c>
      <c r="I94" s="48" t="n">
        <v>0</v>
      </c>
      <c r="J94" s="48" t="n">
        <v>0</v>
      </c>
      <c r="K94" s="53" t="n">
        <v>24.26</v>
      </c>
      <c r="L94" s="53" t="n">
        <v>0</v>
      </c>
      <c r="M94" s="48"/>
      <c r="N94" s="48"/>
      <c r="O94" s="48" t="s">
        <v>897</v>
      </c>
    </row>
    <row r="95" customFormat="false" ht="15" hidden="false" customHeight="false" outlineLevel="0" collapsed="false">
      <c r="A95" s="48" t="s">
        <v>907</v>
      </c>
      <c r="B95" s="48" t="s">
        <v>860</v>
      </c>
      <c r="C95" s="48" t="s">
        <v>827</v>
      </c>
      <c r="D95" s="48" t="n">
        <v>319</v>
      </c>
      <c r="E95" s="48" t="n">
        <v>84</v>
      </c>
      <c r="F95" s="48" t="n">
        <v>9</v>
      </c>
      <c r="G95" s="48" t="n">
        <v>10.71</v>
      </c>
      <c r="H95" s="52" t="n">
        <v>2.64</v>
      </c>
      <c r="I95" s="48" t="n">
        <v>22.22</v>
      </c>
      <c r="J95" s="48" t="n">
        <v>2</v>
      </c>
      <c r="K95" s="53" t="n">
        <v>23.72</v>
      </c>
      <c r="L95" s="53" t="n">
        <v>124.98</v>
      </c>
      <c r="M95" s="48" t="n">
        <v>19</v>
      </c>
      <c r="N95" s="48" t="n">
        <v>44</v>
      </c>
      <c r="O95" s="48" t="s">
        <v>825</v>
      </c>
    </row>
    <row r="96" customFormat="false" ht="15" hidden="false" customHeight="false" outlineLevel="0" collapsed="false">
      <c r="A96" s="48" t="s">
        <v>908</v>
      </c>
      <c r="B96" s="48" t="s">
        <v>860</v>
      </c>
      <c r="C96" s="48"/>
      <c r="D96" s="48" t="n">
        <v>55</v>
      </c>
      <c r="E96" s="48" t="n">
        <v>29</v>
      </c>
      <c r="F96" s="48" t="n">
        <v>8</v>
      </c>
      <c r="G96" s="48" t="n">
        <v>27.59</v>
      </c>
      <c r="H96" s="52" t="n">
        <v>2.91</v>
      </c>
      <c r="I96" s="48" t="n">
        <v>12.5</v>
      </c>
      <c r="J96" s="48" t="n">
        <v>1</v>
      </c>
      <c r="K96" s="53" t="n">
        <v>23.27</v>
      </c>
      <c r="L96" s="53" t="n">
        <v>60.99</v>
      </c>
      <c r="M96" s="48" t="n">
        <v>38.2</v>
      </c>
      <c r="N96" s="48"/>
      <c r="O96" s="48" t="s">
        <v>823</v>
      </c>
    </row>
    <row r="97" customFormat="false" ht="15" hidden="false" customHeight="false" outlineLevel="0" collapsed="false">
      <c r="A97" s="48" t="s">
        <v>909</v>
      </c>
      <c r="B97" s="48" t="s">
        <v>860</v>
      </c>
      <c r="C97" s="48"/>
      <c r="D97" s="48" t="n">
        <v>22</v>
      </c>
      <c r="E97" s="48" t="n">
        <v>51</v>
      </c>
      <c r="F97" s="48" t="n">
        <v>9</v>
      </c>
      <c r="G97" s="48" t="n">
        <v>17.65</v>
      </c>
      <c r="H97" s="52" t="n">
        <v>2.54</v>
      </c>
      <c r="I97" s="48" t="n">
        <v>11.11</v>
      </c>
      <c r="J97" s="48" t="n">
        <v>1</v>
      </c>
      <c r="K97" s="53" t="n">
        <v>22.82</v>
      </c>
      <c r="L97" s="53" t="n">
        <v>79.99</v>
      </c>
      <c r="M97" s="48" t="n">
        <v>28.5</v>
      </c>
      <c r="N97" s="48"/>
      <c r="O97" s="48" t="s">
        <v>825</v>
      </c>
    </row>
    <row r="98" customFormat="false" ht="15" hidden="false" customHeight="false" outlineLevel="0" collapsed="false">
      <c r="A98" s="48" t="s">
        <v>910</v>
      </c>
      <c r="B98" s="48" t="s">
        <v>821</v>
      </c>
      <c r="C98" s="48" t="s">
        <v>835</v>
      </c>
      <c r="D98" s="48" t="n">
        <v>2203</v>
      </c>
      <c r="E98" s="48" t="n">
        <v>108</v>
      </c>
      <c r="F98" s="48" t="n">
        <v>9</v>
      </c>
      <c r="G98" s="48" t="n">
        <v>8.33</v>
      </c>
      <c r="H98" s="52" t="n">
        <v>2.53</v>
      </c>
      <c r="I98" s="48" t="n">
        <v>0</v>
      </c>
      <c r="J98" s="48" t="n">
        <v>0</v>
      </c>
      <c r="K98" s="53" t="n">
        <v>22.73</v>
      </c>
      <c r="L98" s="53" t="n">
        <v>0</v>
      </c>
      <c r="M98" s="48"/>
      <c r="N98" s="48" t="n">
        <v>13</v>
      </c>
      <c r="O98" s="48" t="s">
        <v>897</v>
      </c>
    </row>
    <row r="99" customFormat="false" ht="15" hidden="false" customHeight="false" outlineLevel="0" collapsed="false">
      <c r="A99" s="48" t="s">
        <v>911</v>
      </c>
      <c r="B99" s="48" t="s">
        <v>821</v>
      </c>
      <c r="C99" s="48" t="s">
        <v>822</v>
      </c>
      <c r="D99" s="48" t="n">
        <v>590</v>
      </c>
      <c r="E99" s="48" t="n">
        <v>53</v>
      </c>
      <c r="F99" s="48" t="n">
        <v>9</v>
      </c>
      <c r="G99" s="48" t="n">
        <v>16.98</v>
      </c>
      <c r="H99" s="52" t="n">
        <v>2.34</v>
      </c>
      <c r="I99" s="48" t="n">
        <v>22.22</v>
      </c>
      <c r="J99" s="48" t="n">
        <v>2</v>
      </c>
      <c r="K99" s="53" t="n">
        <v>21.02</v>
      </c>
      <c r="L99" s="53" t="n">
        <v>169.98</v>
      </c>
      <c r="M99" s="48" t="n">
        <v>12.4</v>
      </c>
      <c r="N99" s="48" t="n">
        <v>15</v>
      </c>
      <c r="O99" s="48" t="s">
        <v>825</v>
      </c>
    </row>
    <row r="100" customFormat="false" ht="15" hidden="false" customHeight="false" outlineLevel="0" collapsed="false">
      <c r="A100" s="48" t="s">
        <v>912</v>
      </c>
      <c r="B100" s="48" t="s">
        <v>821</v>
      </c>
      <c r="C100" s="48" t="s">
        <v>827</v>
      </c>
      <c r="D100" s="48" t="n">
        <v>624</v>
      </c>
      <c r="E100" s="48" t="n">
        <v>207</v>
      </c>
      <c r="F100" s="48" t="n">
        <v>8</v>
      </c>
      <c r="G100" s="48" t="n">
        <v>3.86</v>
      </c>
      <c r="H100" s="52" t="n">
        <v>2.63</v>
      </c>
      <c r="I100" s="48" t="n">
        <v>12.5</v>
      </c>
      <c r="J100" s="48" t="n">
        <v>1</v>
      </c>
      <c r="K100" s="53" t="n">
        <v>21.02</v>
      </c>
      <c r="L100" s="53" t="n">
        <v>79.99</v>
      </c>
      <c r="M100" s="48" t="n">
        <v>26.3</v>
      </c>
      <c r="N100" s="48" t="n">
        <v>96</v>
      </c>
      <c r="O100" s="48" t="s">
        <v>825</v>
      </c>
    </row>
    <row r="101" customFormat="false" ht="15" hidden="false" customHeight="false" outlineLevel="0" collapsed="false">
      <c r="A101" s="48" t="s">
        <v>913</v>
      </c>
      <c r="B101" s="48" t="s">
        <v>821</v>
      </c>
      <c r="C101" s="48" t="s">
        <v>835</v>
      </c>
      <c r="D101" s="48" t="n">
        <v>489</v>
      </c>
      <c r="E101" s="48" t="n">
        <v>629</v>
      </c>
      <c r="F101" s="48" t="n">
        <v>12</v>
      </c>
      <c r="G101" s="48" t="n">
        <v>1.91</v>
      </c>
      <c r="H101" s="52" t="n">
        <v>1.74</v>
      </c>
      <c r="I101" s="48" t="n">
        <v>0</v>
      </c>
      <c r="J101" s="48" t="n">
        <v>0</v>
      </c>
      <c r="K101" s="53" t="n">
        <v>20.83</v>
      </c>
      <c r="L101" s="53" t="n">
        <v>0</v>
      </c>
      <c r="M101" s="48"/>
      <c r="N101" s="48"/>
      <c r="O101" s="48" t="s">
        <v>897</v>
      </c>
    </row>
    <row r="102" customFormat="false" ht="15" hidden="false" customHeight="false" outlineLevel="0" collapsed="false">
      <c r="A102" s="48" t="s">
        <v>914</v>
      </c>
      <c r="B102" s="48" t="s">
        <v>821</v>
      </c>
      <c r="C102" s="48" t="s">
        <v>824</v>
      </c>
      <c r="D102" s="48" t="n">
        <v>697</v>
      </c>
      <c r="E102" s="48" t="n">
        <v>81</v>
      </c>
      <c r="F102" s="48" t="n">
        <v>7</v>
      </c>
      <c r="G102" s="48" t="n">
        <v>8.64</v>
      </c>
      <c r="H102" s="52" t="n">
        <v>2.95</v>
      </c>
      <c r="I102" s="48" t="n">
        <v>14.29</v>
      </c>
      <c r="J102" s="48" t="n">
        <v>1</v>
      </c>
      <c r="K102" s="53" t="n">
        <v>20.68</v>
      </c>
      <c r="L102" s="53" t="n">
        <v>79.99</v>
      </c>
      <c r="M102" s="48" t="n">
        <v>25.9</v>
      </c>
      <c r="N102" s="48" t="n">
        <v>36</v>
      </c>
      <c r="O102" s="48" t="s">
        <v>825</v>
      </c>
    </row>
    <row r="103" customFormat="false" ht="15" hidden="false" customHeight="false" outlineLevel="0" collapsed="false">
      <c r="A103" s="48" t="s">
        <v>915</v>
      </c>
      <c r="B103" s="48" t="s">
        <v>821</v>
      </c>
      <c r="C103" s="48"/>
      <c r="D103" s="48" t="n">
        <v>127</v>
      </c>
      <c r="E103" s="48" t="n">
        <v>35</v>
      </c>
      <c r="F103" s="48" t="n">
        <v>7</v>
      </c>
      <c r="G103" s="48" t="n">
        <v>20</v>
      </c>
      <c r="H103" s="52" t="n">
        <v>2.92</v>
      </c>
      <c r="I103" s="48" t="n">
        <v>28.57</v>
      </c>
      <c r="J103" s="48" t="n">
        <v>2</v>
      </c>
      <c r="K103" s="53" t="n">
        <v>20.43</v>
      </c>
      <c r="L103" s="53" t="n">
        <v>154.98</v>
      </c>
      <c r="M103" s="48" t="n">
        <v>13.2</v>
      </c>
      <c r="N103" s="48"/>
      <c r="O103" s="48" t="s">
        <v>825</v>
      </c>
    </row>
    <row r="104" customFormat="false" ht="15" hidden="false" customHeight="false" outlineLevel="0" collapsed="false">
      <c r="A104" s="48" t="s">
        <v>916</v>
      </c>
      <c r="B104" s="48" t="s">
        <v>821</v>
      </c>
      <c r="C104" s="48" t="s">
        <v>827</v>
      </c>
      <c r="D104" s="48" t="n">
        <v>486</v>
      </c>
      <c r="E104" s="48" t="n">
        <v>20</v>
      </c>
      <c r="F104" s="48" t="n">
        <v>7</v>
      </c>
      <c r="G104" s="48" t="n">
        <v>35</v>
      </c>
      <c r="H104" s="52" t="n">
        <v>2.88</v>
      </c>
      <c r="I104" s="48" t="n">
        <v>14.29</v>
      </c>
      <c r="J104" s="48" t="n">
        <v>1</v>
      </c>
      <c r="K104" s="53" t="n">
        <v>20.14</v>
      </c>
      <c r="L104" s="53" t="n">
        <v>79.99</v>
      </c>
      <c r="M104" s="48" t="n">
        <v>25.2</v>
      </c>
      <c r="N104" s="48"/>
      <c r="O104" s="48" t="s">
        <v>825</v>
      </c>
    </row>
    <row r="105" customFormat="false" ht="15" hidden="false" customHeight="false" outlineLevel="0" collapsed="false">
      <c r="A105" s="48" t="s">
        <v>917</v>
      </c>
      <c r="B105" s="48" t="s">
        <v>860</v>
      </c>
      <c r="C105" s="48" t="s">
        <v>835</v>
      </c>
      <c r="D105" s="48" t="n">
        <v>2922</v>
      </c>
      <c r="E105" s="48" t="n">
        <v>380</v>
      </c>
      <c r="F105" s="48" t="n">
        <v>25</v>
      </c>
      <c r="G105" s="48" t="n">
        <v>6.58</v>
      </c>
      <c r="H105" s="52" t="n">
        <v>0.79</v>
      </c>
      <c r="I105" s="48" t="n">
        <v>0</v>
      </c>
      <c r="J105" s="48" t="n">
        <v>0</v>
      </c>
      <c r="K105" s="53" t="n">
        <v>19.82</v>
      </c>
      <c r="L105" s="53" t="n">
        <v>0</v>
      </c>
      <c r="M105" s="48"/>
      <c r="N105" s="48"/>
      <c r="O105" s="48" t="s">
        <v>830</v>
      </c>
    </row>
    <row r="106" customFormat="false" ht="15" hidden="false" customHeight="false" outlineLevel="0" collapsed="false">
      <c r="A106" s="48" t="s">
        <v>552</v>
      </c>
      <c r="B106" s="48" t="s">
        <v>918</v>
      </c>
      <c r="C106" s="48"/>
      <c r="D106" s="48" t="n">
        <v>4962</v>
      </c>
      <c r="E106" s="48" t="n">
        <v>1034</v>
      </c>
      <c r="F106" s="48" t="n">
        <v>25</v>
      </c>
      <c r="G106" s="48" t="n">
        <v>2.42</v>
      </c>
      <c r="H106" s="52" t="n">
        <v>0.78</v>
      </c>
      <c r="I106" s="48" t="n">
        <v>0</v>
      </c>
      <c r="J106" s="48" t="n">
        <v>0</v>
      </c>
      <c r="K106" s="53" t="n">
        <v>19.44</v>
      </c>
      <c r="L106" s="53" t="n">
        <v>0</v>
      </c>
      <c r="M106" s="48"/>
      <c r="N106" s="48"/>
      <c r="O106" s="48" t="s">
        <v>830</v>
      </c>
    </row>
    <row r="107" customFormat="false" ht="15" hidden="false" customHeight="false" outlineLevel="0" collapsed="false">
      <c r="A107" s="48" t="s">
        <v>919</v>
      </c>
      <c r="B107" s="48" t="s">
        <v>821</v>
      </c>
      <c r="C107" s="48" t="s">
        <v>827</v>
      </c>
      <c r="D107" s="48" t="n">
        <v>573</v>
      </c>
      <c r="E107" s="48" t="n">
        <v>27</v>
      </c>
      <c r="F107" s="48" t="n">
        <v>6</v>
      </c>
      <c r="G107" s="48" t="n">
        <v>22.22</v>
      </c>
      <c r="H107" s="52" t="n">
        <v>3.15</v>
      </c>
      <c r="I107" s="48" t="n">
        <v>0</v>
      </c>
      <c r="J107" s="48" t="n">
        <v>0</v>
      </c>
      <c r="K107" s="53" t="n">
        <v>18.88</v>
      </c>
      <c r="L107" s="53" t="n">
        <v>0</v>
      </c>
      <c r="M107" s="48"/>
      <c r="N107" s="48"/>
      <c r="O107" s="48" t="s">
        <v>897</v>
      </c>
    </row>
    <row r="108" customFormat="false" ht="15" hidden="false" customHeight="false" outlineLevel="0" collapsed="false">
      <c r="A108" s="48" t="s">
        <v>920</v>
      </c>
      <c r="B108" s="48" t="s">
        <v>821</v>
      </c>
      <c r="C108" s="48" t="s">
        <v>827</v>
      </c>
      <c r="D108" s="48" t="n">
        <v>822</v>
      </c>
      <c r="E108" s="48" t="n">
        <v>56</v>
      </c>
      <c r="F108" s="48" t="n">
        <v>6</v>
      </c>
      <c r="G108" s="48" t="n">
        <v>10.71</v>
      </c>
      <c r="H108" s="52" t="n">
        <v>3.11</v>
      </c>
      <c r="I108" s="48" t="n">
        <v>0</v>
      </c>
      <c r="J108" s="48" t="n">
        <v>0</v>
      </c>
      <c r="K108" s="53" t="n">
        <v>18.66</v>
      </c>
      <c r="L108" s="53" t="n">
        <v>0</v>
      </c>
      <c r="M108" s="48"/>
      <c r="N108" s="48" t="n">
        <v>62</v>
      </c>
      <c r="O108" s="48" t="s">
        <v>897</v>
      </c>
    </row>
    <row r="109" customFormat="false" ht="15" hidden="false" customHeight="false" outlineLevel="0" collapsed="false">
      <c r="A109" s="48" t="s">
        <v>921</v>
      </c>
      <c r="B109" s="48" t="s">
        <v>821</v>
      </c>
      <c r="C109" s="48" t="s">
        <v>824</v>
      </c>
      <c r="D109" s="48" t="n">
        <v>674</v>
      </c>
      <c r="E109" s="48" t="n">
        <v>207</v>
      </c>
      <c r="F109" s="48" t="n">
        <v>8</v>
      </c>
      <c r="G109" s="48" t="n">
        <v>3.86</v>
      </c>
      <c r="H109" s="52" t="n">
        <v>2.23</v>
      </c>
      <c r="I109" s="48" t="n">
        <v>25</v>
      </c>
      <c r="J109" s="48" t="n">
        <v>2</v>
      </c>
      <c r="K109" s="53" t="n">
        <v>17.85</v>
      </c>
      <c r="L109" s="53" t="n">
        <v>159.98</v>
      </c>
      <c r="M109" s="48" t="n">
        <v>11.2</v>
      </c>
      <c r="N109" s="48" t="n">
        <v>5</v>
      </c>
      <c r="O109" s="48" t="s">
        <v>825</v>
      </c>
    </row>
    <row r="110" customFormat="false" ht="15" hidden="false" customHeight="false" outlineLevel="0" collapsed="false">
      <c r="A110" s="48" t="s">
        <v>922</v>
      </c>
      <c r="B110" s="48" t="s">
        <v>821</v>
      </c>
      <c r="C110" s="48" t="s">
        <v>824</v>
      </c>
      <c r="D110" s="48" t="n">
        <v>337</v>
      </c>
      <c r="E110" s="48" t="n">
        <v>33</v>
      </c>
      <c r="F110" s="48" t="n">
        <v>7</v>
      </c>
      <c r="G110" s="48" t="n">
        <v>21.21</v>
      </c>
      <c r="H110" s="52" t="n">
        <v>2.48</v>
      </c>
      <c r="I110" s="48" t="n">
        <v>28.57</v>
      </c>
      <c r="J110" s="48" t="n">
        <v>2</v>
      </c>
      <c r="K110" s="53" t="n">
        <v>17.38</v>
      </c>
      <c r="L110" s="53" t="n">
        <v>144.98</v>
      </c>
      <c r="M110" s="48" t="n">
        <v>12</v>
      </c>
      <c r="N110" s="48"/>
      <c r="O110" s="48" t="s">
        <v>825</v>
      </c>
    </row>
    <row r="111" customFormat="false" ht="15" hidden="false" customHeight="false" outlineLevel="0" collapsed="false">
      <c r="A111" s="48" t="s">
        <v>923</v>
      </c>
      <c r="B111" s="48" t="s">
        <v>821</v>
      </c>
      <c r="C111" s="48" t="s">
        <v>835</v>
      </c>
      <c r="D111" s="48" t="n">
        <v>333</v>
      </c>
      <c r="E111" s="48" t="n">
        <v>251</v>
      </c>
      <c r="F111" s="48" t="n">
        <v>7</v>
      </c>
      <c r="G111" s="48" t="n">
        <v>2.79</v>
      </c>
      <c r="H111" s="52" t="n">
        <v>2.44</v>
      </c>
      <c r="I111" s="48" t="n">
        <v>0</v>
      </c>
      <c r="J111" s="48" t="n">
        <v>0</v>
      </c>
      <c r="K111" s="53" t="n">
        <v>17.08</v>
      </c>
      <c r="L111" s="53" t="n">
        <v>0</v>
      </c>
      <c r="M111" s="48"/>
      <c r="N111" s="48"/>
      <c r="O111" s="48" t="s">
        <v>897</v>
      </c>
    </row>
    <row r="112" customFormat="false" ht="15" hidden="false" customHeight="false" outlineLevel="0" collapsed="false">
      <c r="A112" s="48" t="s">
        <v>450</v>
      </c>
      <c r="B112" s="48" t="s">
        <v>821</v>
      </c>
      <c r="C112" s="48" t="s">
        <v>824</v>
      </c>
      <c r="D112" s="48" t="n">
        <v>1023</v>
      </c>
      <c r="E112" s="48" t="n">
        <v>412</v>
      </c>
      <c r="F112" s="48" t="n">
        <v>8</v>
      </c>
      <c r="G112" s="48" t="n">
        <v>1.94</v>
      </c>
      <c r="H112" s="52" t="n">
        <v>2.11</v>
      </c>
      <c r="I112" s="48" t="n">
        <v>37.5</v>
      </c>
      <c r="J112" s="48" t="n">
        <v>3</v>
      </c>
      <c r="K112" s="53" t="n">
        <v>16.9</v>
      </c>
      <c r="L112" s="53" t="n">
        <v>197.93</v>
      </c>
      <c r="M112" s="48" t="n">
        <v>8.5</v>
      </c>
      <c r="N112" s="48" t="n">
        <v>43</v>
      </c>
      <c r="O112" s="48" t="s">
        <v>825</v>
      </c>
    </row>
    <row r="113" customFormat="false" ht="15" hidden="false" customHeight="false" outlineLevel="0" collapsed="false">
      <c r="A113" s="48" t="s">
        <v>924</v>
      </c>
      <c r="B113" s="48" t="s">
        <v>821</v>
      </c>
      <c r="C113" s="48"/>
      <c r="D113" s="48" t="n">
        <v>47</v>
      </c>
      <c r="E113" s="48" t="n">
        <v>47</v>
      </c>
      <c r="F113" s="48" t="n">
        <v>6</v>
      </c>
      <c r="G113" s="48" t="n">
        <v>12.77</v>
      </c>
      <c r="H113" s="52" t="n">
        <v>2.8</v>
      </c>
      <c r="I113" s="48" t="n">
        <v>16.67</v>
      </c>
      <c r="J113" s="48" t="n">
        <v>1</v>
      </c>
      <c r="K113" s="53" t="n">
        <v>16.79</v>
      </c>
      <c r="L113" s="53" t="n">
        <v>49.95</v>
      </c>
      <c r="M113" s="48" t="n">
        <v>33.6</v>
      </c>
      <c r="N113" s="48"/>
      <c r="O113" s="48" t="s">
        <v>823</v>
      </c>
    </row>
    <row r="114" customFormat="false" ht="15" hidden="false" customHeight="false" outlineLevel="0" collapsed="false">
      <c r="A114" s="48" t="s">
        <v>925</v>
      </c>
      <c r="B114" s="48" t="s">
        <v>860</v>
      </c>
      <c r="C114" s="48"/>
      <c r="D114" s="48"/>
      <c r="E114" s="48" t="n">
        <v>358</v>
      </c>
      <c r="F114" s="48" t="n">
        <v>26</v>
      </c>
      <c r="G114" s="48" t="n">
        <v>7.26</v>
      </c>
      <c r="H114" s="52" t="n">
        <v>0.64</v>
      </c>
      <c r="I114" s="48" t="n">
        <v>0</v>
      </c>
      <c r="J114" s="48" t="n">
        <v>0</v>
      </c>
      <c r="K114" s="53" t="n">
        <v>16.63</v>
      </c>
      <c r="L114" s="53" t="n">
        <v>0</v>
      </c>
      <c r="M114" s="48"/>
      <c r="N114" s="48"/>
      <c r="O114" s="48" t="s">
        <v>830</v>
      </c>
    </row>
    <row r="115" customFormat="false" ht="15" hidden="false" customHeight="false" outlineLevel="0" collapsed="false">
      <c r="A115" s="48" t="s">
        <v>926</v>
      </c>
      <c r="B115" s="48" t="s">
        <v>821</v>
      </c>
      <c r="C115" s="48" t="s">
        <v>827</v>
      </c>
      <c r="D115" s="48" t="n">
        <v>463</v>
      </c>
      <c r="E115" s="48" t="n">
        <v>223</v>
      </c>
      <c r="F115" s="48" t="n">
        <v>7</v>
      </c>
      <c r="G115" s="48" t="n">
        <v>3.14</v>
      </c>
      <c r="H115" s="52" t="n">
        <v>2.29</v>
      </c>
      <c r="I115" s="48" t="n">
        <v>0</v>
      </c>
      <c r="J115" s="48" t="n">
        <v>0</v>
      </c>
      <c r="K115" s="53" t="n">
        <v>16.05</v>
      </c>
      <c r="L115" s="53" t="n">
        <v>0</v>
      </c>
      <c r="M115" s="48"/>
      <c r="N115" s="48"/>
      <c r="O115" s="48" t="s">
        <v>897</v>
      </c>
    </row>
    <row r="116" customFormat="false" ht="15" hidden="false" customHeight="false" outlineLevel="0" collapsed="false">
      <c r="A116" s="48" t="s">
        <v>927</v>
      </c>
      <c r="B116" s="48" t="s">
        <v>821</v>
      </c>
      <c r="C116" s="48"/>
      <c r="D116" s="48" t="n">
        <v>22</v>
      </c>
      <c r="E116" s="48" t="n">
        <v>18</v>
      </c>
      <c r="F116" s="48" t="n">
        <v>6</v>
      </c>
      <c r="G116" s="48" t="n">
        <v>33.33</v>
      </c>
      <c r="H116" s="52" t="n">
        <v>2.64</v>
      </c>
      <c r="I116" s="48" t="n">
        <v>50</v>
      </c>
      <c r="J116" s="48" t="n">
        <v>3</v>
      </c>
      <c r="K116" s="53" t="n">
        <v>15.83</v>
      </c>
      <c r="L116" s="53" t="n">
        <v>209.97</v>
      </c>
      <c r="M116" s="48" t="n">
        <v>7.5</v>
      </c>
      <c r="N116" s="48"/>
      <c r="O116" s="48" t="s">
        <v>825</v>
      </c>
    </row>
    <row r="117" customFormat="false" ht="15" hidden="false" customHeight="false" outlineLevel="0" collapsed="false">
      <c r="A117" s="48" t="s">
        <v>928</v>
      </c>
      <c r="B117" s="48" t="s">
        <v>860</v>
      </c>
      <c r="C117" s="48"/>
      <c r="D117" s="48" t="n">
        <v>49</v>
      </c>
      <c r="E117" s="48" t="n">
        <v>1820</v>
      </c>
      <c r="F117" s="48" t="n">
        <v>10</v>
      </c>
      <c r="G117" s="48" t="n">
        <v>0.55</v>
      </c>
      <c r="H117" s="52" t="n">
        <v>1.58</v>
      </c>
      <c r="I117" s="48" t="n">
        <v>0</v>
      </c>
      <c r="J117" s="48" t="n">
        <v>0</v>
      </c>
      <c r="K117" s="53" t="n">
        <v>15.79</v>
      </c>
      <c r="L117" s="53" t="n">
        <v>0</v>
      </c>
      <c r="M117" s="48"/>
      <c r="N117" s="48"/>
      <c r="O117" s="48" t="s">
        <v>897</v>
      </c>
    </row>
    <row r="118" customFormat="false" ht="15" hidden="false" customHeight="false" outlineLevel="0" collapsed="false">
      <c r="A118" s="48" t="s">
        <v>929</v>
      </c>
      <c r="B118" s="48" t="s">
        <v>821</v>
      </c>
      <c r="C118" s="48"/>
      <c r="D118" s="48" t="n">
        <v>27</v>
      </c>
      <c r="E118" s="48" t="n">
        <v>123</v>
      </c>
      <c r="F118" s="48" t="n">
        <v>6</v>
      </c>
      <c r="G118" s="48" t="n">
        <v>4.88</v>
      </c>
      <c r="H118" s="52" t="n">
        <v>2.58</v>
      </c>
      <c r="I118" s="48" t="n">
        <v>0</v>
      </c>
      <c r="J118" s="48" t="n">
        <v>0</v>
      </c>
      <c r="K118" s="53" t="n">
        <v>15.5</v>
      </c>
      <c r="L118" s="53" t="n">
        <v>0</v>
      </c>
      <c r="M118" s="48"/>
      <c r="N118" s="48"/>
      <c r="O118" s="48" t="s">
        <v>897</v>
      </c>
    </row>
    <row r="119" customFormat="false" ht="15" hidden="false" customHeight="false" outlineLevel="0" collapsed="false">
      <c r="A119" s="48" t="s">
        <v>930</v>
      </c>
      <c r="B119" s="48" t="s">
        <v>860</v>
      </c>
      <c r="C119" s="48" t="s">
        <v>824</v>
      </c>
      <c r="D119" s="48" t="n">
        <v>639</v>
      </c>
      <c r="E119" s="48" t="n">
        <v>68</v>
      </c>
      <c r="F119" s="48" t="n">
        <v>8</v>
      </c>
      <c r="G119" s="48" t="n">
        <v>11.76</v>
      </c>
      <c r="H119" s="52" t="n">
        <v>1.93</v>
      </c>
      <c r="I119" s="48" t="n">
        <v>0</v>
      </c>
      <c r="J119" s="48" t="n">
        <v>0</v>
      </c>
      <c r="K119" s="53" t="n">
        <v>15.43</v>
      </c>
      <c r="L119" s="53" t="n">
        <v>0</v>
      </c>
      <c r="M119" s="48"/>
      <c r="N119" s="48"/>
      <c r="O119" s="48" t="s">
        <v>897</v>
      </c>
    </row>
    <row r="120" customFormat="false" ht="15" hidden="false" customHeight="false" outlineLevel="0" collapsed="false">
      <c r="A120" s="48" t="s">
        <v>931</v>
      </c>
      <c r="B120" s="48" t="s">
        <v>821</v>
      </c>
      <c r="C120" s="48" t="s">
        <v>824</v>
      </c>
      <c r="D120" s="48" t="n">
        <v>491</v>
      </c>
      <c r="E120" s="48" t="n">
        <v>105</v>
      </c>
      <c r="F120" s="48" t="n">
        <v>6</v>
      </c>
      <c r="G120" s="48" t="n">
        <v>5.71</v>
      </c>
      <c r="H120" s="52" t="n">
        <v>2.55</v>
      </c>
      <c r="I120" s="48" t="n">
        <v>0</v>
      </c>
      <c r="J120" s="48" t="n">
        <v>0</v>
      </c>
      <c r="K120" s="53" t="n">
        <v>15.29</v>
      </c>
      <c r="L120" s="53" t="n">
        <v>0</v>
      </c>
      <c r="M120" s="48"/>
      <c r="N120" s="48"/>
      <c r="O120" s="48" t="s">
        <v>897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8"/>
    <col collapsed="false" customWidth="true" hidden="false" outlineLevel="0" max="4" min="4" style="0" width="11"/>
    <col collapsed="false" customWidth="true" hidden="false" outlineLevel="0" max="5" min="5" style="0" width="9"/>
    <col collapsed="false" customWidth="true" hidden="false" outlineLevel="0" max="9" min="6" style="0" width="8"/>
    <col collapsed="false" customWidth="true" hidden="false" outlineLevel="0" max="11" min="10" style="0" width="10"/>
    <col collapsed="false" customWidth="true" hidden="false" outlineLevel="0" max="12" min="12" style="0" width="9"/>
    <col collapsed="false" customWidth="true" hidden="false" outlineLevel="0" max="13" min="13" style="0" width="10"/>
    <col collapsed="false" customWidth="true" hidden="false" outlineLevel="0" max="14" min="14" style="0" width="20"/>
  </cols>
  <sheetData>
    <row r="1" customFormat="false" ht="17.35" hidden="false" customHeight="false" outlineLevel="0" collapsed="false">
      <c r="A1" s="1" t="s">
        <v>932</v>
      </c>
      <c r="B1" s="3"/>
      <c r="C1" s="3"/>
      <c r="D1" s="3"/>
      <c r="E1" s="3"/>
      <c r="F1" s="3"/>
      <c r="G1" s="3"/>
      <c r="H1" s="3"/>
      <c r="I1" s="3"/>
      <c r="J1" s="3"/>
      <c r="K1" s="3"/>
      <c r="L1" s="3"/>
      <c r="M1" s="3"/>
      <c r="N1" s="3"/>
    </row>
    <row r="2" customFormat="false" ht="15" hidden="false" customHeight="false" outlineLevel="0" collapsed="false">
      <c r="A2" s="2" t="s">
        <v>933</v>
      </c>
      <c r="B2" s="3"/>
      <c r="C2" s="3"/>
      <c r="D2" s="3"/>
      <c r="E2" s="3"/>
      <c r="F2" s="3"/>
      <c r="G2" s="3"/>
      <c r="H2" s="3"/>
      <c r="I2" s="3"/>
      <c r="J2" s="3"/>
      <c r="K2" s="3"/>
      <c r="L2" s="3"/>
      <c r="M2" s="3"/>
      <c r="N2" s="3"/>
    </row>
    <row r="3" customFormat="false" ht="15" hidden="false" customHeight="false" outlineLevel="0" collapsed="false">
      <c r="A3" s="3"/>
      <c r="B3" s="3"/>
      <c r="C3" s="3"/>
      <c r="D3" s="3"/>
      <c r="E3" s="3"/>
      <c r="F3" s="3"/>
      <c r="G3" s="3"/>
      <c r="H3" s="3"/>
      <c r="I3" s="3"/>
      <c r="J3" s="3"/>
      <c r="K3" s="3"/>
      <c r="L3" s="3"/>
      <c r="M3" s="3"/>
      <c r="N3" s="3"/>
    </row>
    <row r="4" customFormat="false" ht="31.5" hidden="false" customHeight="true" outlineLevel="0" collapsed="false">
      <c r="A4" s="7" t="s">
        <v>93</v>
      </c>
      <c r="B4" s="7" t="s">
        <v>814</v>
      </c>
      <c r="C4" s="7" t="s">
        <v>815</v>
      </c>
      <c r="D4" s="7" t="s">
        <v>816</v>
      </c>
      <c r="E4" s="7" t="s">
        <v>744</v>
      </c>
      <c r="F4" s="7" t="s">
        <v>745</v>
      </c>
      <c r="G4" s="7" t="s">
        <v>746</v>
      </c>
      <c r="H4" s="7" t="s">
        <v>747</v>
      </c>
      <c r="I4" s="7" t="s">
        <v>710</v>
      </c>
      <c r="J4" s="7" t="s">
        <v>817</v>
      </c>
      <c r="K4" s="7" t="s">
        <v>708</v>
      </c>
      <c r="L4" s="7" t="s">
        <v>742</v>
      </c>
      <c r="M4" s="7" t="s">
        <v>818</v>
      </c>
      <c r="N4" s="7" t="s">
        <v>819</v>
      </c>
    </row>
    <row r="5" customFormat="false" ht="15" hidden="false" customHeight="false" outlineLevel="0" collapsed="false">
      <c r="A5" s="48" t="s">
        <v>125</v>
      </c>
      <c r="B5" s="48" t="s">
        <v>821</v>
      </c>
      <c r="C5" s="48" t="s">
        <v>824</v>
      </c>
      <c r="D5" s="48" t="n">
        <v>30225</v>
      </c>
      <c r="E5" s="48" t="n">
        <v>2048</v>
      </c>
      <c r="F5" s="48" t="n">
        <v>1.5</v>
      </c>
      <c r="G5" s="52" t="n">
        <v>1.21</v>
      </c>
      <c r="H5" s="48" t="n">
        <v>6.93</v>
      </c>
      <c r="I5" s="48" t="n">
        <v>142</v>
      </c>
      <c r="J5" s="53" t="n">
        <v>2487.18</v>
      </c>
      <c r="K5" s="53" t="n">
        <v>5412.95</v>
      </c>
      <c r="L5" s="48" t="n">
        <v>45.9</v>
      </c>
      <c r="M5" s="48" t="n">
        <v>29</v>
      </c>
      <c r="N5" s="48" t="s">
        <v>838</v>
      </c>
    </row>
    <row r="6" customFormat="false" ht="15" hidden="false" customHeight="false" outlineLevel="0" collapsed="false">
      <c r="A6" s="48" t="s">
        <v>820</v>
      </c>
      <c r="B6" s="48" t="s">
        <v>821</v>
      </c>
      <c r="C6" s="48" t="s">
        <v>822</v>
      </c>
      <c r="D6" s="48" t="n">
        <v>6228</v>
      </c>
      <c r="E6" s="48" t="n">
        <v>488</v>
      </c>
      <c r="F6" s="48" t="n">
        <v>1.2</v>
      </c>
      <c r="G6" s="52" t="n">
        <v>1.3</v>
      </c>
      <c r="H6" s="48" t="n">
        <v>6.56</v>
      </c>
      <c r="I6" s="48" t="n">
        <v>32</v>
      </c>
      <c r="J6" s="53" t="n">
        <v>635.51</v>
      </c>
      <c r="K6" s="53" t="n">
        <v>1174.87</v>
      </c>
      <c r="L6" s="48" t="n">
        <v>54.1</v>
      </c>
      <c r="M6" s="48" t="n">
        <v>57</v>
      </c>
      <c r="N6" s="48" t="s">
        <v>838</v>
      </c>
    </row>
    <row r="7" customFormat="false" ht="15" hidden="false" customHeight="false" outlineLevel="0" collapsed="false">
      <c r="A7" s="48" t="s">
        <v>934</v>
      </c>
      <c r="B7" s="48" t="s">
        <v>935</v>
      </c>
      <c r="C7" s="48"/>
      <c r="D7" s="48" t="n">
        <v>1023</v>
      </c>
      <c r="E7" s="48" t="n">
        <v>235</v>
      </c>
      <c r="F7" s="48" t="n">
        <v>0.57</v>
      </c>
      <c r="G7" s="52" t="n">
        <v>2.39</v>
      </c>
      <c r="H7" s="48" t="n">
        <v>11.06</v>
      </c>
      <c r="I7" s="48" t="n">
        <v>26</v>
      </c>
      <c r="J7" s="53" t="n">
        <v>561.15</v>
      </c>
      <c r="K7" s="53" t="n">
        <v>1485.77</v>
      </c>
      <c r="L7" s="48" t="n">
        <v>37.8</v>
      </c>
      <c r="M7" s="48"/>
      <c r="N7" s="48" t="s">
        <v>823</v>
      </c>
    </row>
    <row r="8" customFormat="false" ht="15" hidden="false" customHeight="false" outlineLevel="0" collapsed="false">
      <c r="A8" s="48" t="s">
        <v>863</v>
      </c>
      <c r="B8" s="48" t="s">
        <v>821</v>
      </c>
      <c r="C8" s="48" t="s">
        <v>827</v>
      </c>
      <c r="D8" s="48" t="n">
        <v>3492</v>
      </c>
      <c r="E8" s="48" t="n">
        <v>147</v>
      </c>
      <c r="F8" s="48" t="n">
        <v>4.26</v>
      </c>
      <c r="G8" s="52" t="n">
        <v>2.3</v>
      </c>
      <c r="H8" s="48" t="n">
        <v>6.12</v>
      </c>
      <c r="I8" s="48" t="n">
        <v>9</v>
      </c>
      <c r="J8" s="53" t="n">
        <v>337.65</v>
      </c>
      <c r="K8" s="53" t="n">
        <v>351.55</v>
      </c>
      <c r="L8" s="48" t="n">
        <v>96</v>
      </c>
      <c r="M8" s="48" t="n">
        <v>76</v>
      </c>
      <c r="N8" s="48" t="s">
        <v>830</v>
      </c>
    </row>
    <row r="9" customFormat="false" ht="15" hidden="false" customHeight="false" outlineLevel="0" collapsed="false">
      <c r="A9" s="48" t="s">
        <v>841</v>
      </c>
      <c r="B9" s="48" t="s">
        <v>821</v>
      </c>
      <c r="C9" s="48" t="s">
        <v>834</v>
      </c>
      <c r="D9" s="48" t="n">
        <v>2976</v>
      </c>
      <c r="E9" s="48" t="n">
        <v>296</v>
      </c>
      <c r="F9" s="48" t="n">
        <v>0.32</v>
      </c>
      <c r="G9" s="52" t="n">
        <v>1.13</v>
      </c>
      <c r="H9" s="48" t="n">
        <v>6.42</v>
      </c>
      <c r="I9" s="48" t="n">
        <v>19</v>
      </c>
      <c r="J9" s="53" t="n">
        <v>335.36</v>
      </c>
      <c r="K9" s="53" t="n">
        <v>888.31</v>
      </c>
      <c r="L9" s="48" t="n">
        <v>37.8</v>
      </c>
      <c r="M9" s="48" t="n">
        <v>24</v>
      </c>
      <c r="N9" s="48" t="s">
        <v>823</v>
      </c>
    </row>
    <row r="10" customFormat="false" ht="15" hidden="false" customHeight="false" outlineLevel="0" collapsed="false">
      <c r="A10" s="48" t="s">
        <v>173</v>
      </c>
      <c r="B10" s="48" t="s">
        <v>821</v>
      </c>
      <c r="C10" s="48" t="s">
        <v>835</v>
      </c>
      <c r="D10" s="48" t="n">
        <v>77377</v>
      </c>
      <c r="E10" s="48" t="n">
        <v>376</v>
      </c>
      <c r="F10" s="48" t="n">
        <v>2.32</v>
      </c>
      <c r="G10" s="52" t="n">
        <v>0.77</v>
      </c>
      <c r="H10" s="48" t="n">
        <v>2.93</v>
      </c>
      <c r="I10" s="48" t="n">
        <v>11</v>
      </c>
      <c r="J10" s="53" t="n">
        <v>291.07</v>
      </c>
      <c r="K10" s="53" t="n">
        <v>468.54</v>
      </c>
      <c r="L10" s="48" t="n">
        <v>62.1</v>
      </c>
      <c r="M10" s="48" t="n">
        <v>37</v>
      </c>
      <c r="N10" s="48" t="s">
        <v>830</v>
      </c>
    </row>
    <row r="11" customFormat="false" ht="15" hidden="false" customHeight="false" outlineLevel="0" collapsed="false">
      <c r="A11" s="48" t="s">
        <v>468</v>
      </c>
      <c r="B11" s="48" t="s">
        <v>821</v>
      </c>
      <c r="C11" s="48" t="s">
        <v>824</v>
      </c>
      <c r="D11" s="48" t="n">
        <v>2630</v>
      </c>
      <c r="E11" s="48" t="n">
        <v>204</v>
      </c>
      <c r="F11" s="48" t="n">
        <v>0.76</v>
      </c>
      <c r="G11" s="52" t="n">
        <v>1.27</v>
      </c>
      <c r="H11" s="48" t="n">
        <v>4.9</v>
      </c>
      <c r="I11" s="48" t="n">
        <v>10</v>
      </c>
      <c r="J11" s="53" t="n">
        <v>259.29</v>
      </c>
      <c r="K11" s="53" t="n">
        <v>349.45</v>
      </c>
      <c r="L11" s="48" t="n">
        <v>74.2</v>
      </c>
      <c r="M11" s="48" t="n">
        <v>24</v>
      </c>
      <c r="N11" s="48" t="s">
        <v>830</v>
      </c>
    </row>
    <row r="12" customFormat="false" ht="15" hidden="false" customHeight="false" outlineLevel="0" collapsed="false">
      <c r="A12" s="48" t="s">
        <v>828</v>
      </c>
      <c r="B12" s="48" t="s">
        <v>821</v>
      </c>
      <c r="C12" s="48" t="s">
        <v>827</v>
      </c>
      <c r="D12" s="48" t="n">
        <v>19413</v>
      </c>
      <c r="E12" s="48" t="n">
        <v>160</v>
      </c>
      <c r="F12" s="48" t="n">
        <v>6.01</v>
      </c>
      <c r="G12" s="52" t="n">
        <v>1.37</v>
      </c>
      <c r="H12" s="48" t="n">
        <v>5</v>
      </c>
      <c r="I12" s="48" t="n">
        <v>8</v>
      </c>
      <c r="J12" s="53" t="n">
        <v>218.82</v>
      </c>
      <c r="K12" s="53" t="n">
        <v>363.64</v>
      </c>
      <c r="L12" s="48" t="n">
        <v>60.2</v>
      </c>
      <c r="M12" s="48" t="n">
        <v>42</v>
      </c>
      <c r="N12" s="48" t="s">
        <v>830</v>
      </c>
    </row>
    <row r="13" customFormat="false" ht="15" hidden="false" customHeight="false" outlineLevel="0" collapsed="false">
      <c r="A13" s="48" t="s">
        <v>936</v>
      </c>
      <c r="B13" s="48" t="s">
        <v>821</v>
      </c>
      <c r="C13" s="48" t="s">
        <v>835</v>
      </c>
      <c r="D13" s="48" t="n">
        <v>1023</v>
      </c>
      <c r="E13" s="48" t="n">
        <v>52</v>
      </c>
      <c r="F13" s="48" t="n">
        <v>10.79</v>
      </c>
      <c r="G13" s="52" t="n">
        <v>3.44</v>
      </c>
      <c r="H13" s="48" t="n">
        <v>3.85</v>
      </c>
      <c r="I13" s="48" t="n">
        <v>2</v>
      </c>
      <c r="J13" s="53" t="n">
        <v>178.83</v>
      </c>
      <c r="K13" s="53" t="n">
        <v>77.9</v>
      </c>
      <c r="L13" s="48" t="n">
        <v>229.6</v>
      </c>
      <c r="M13" s="48" t="n">
        <v>26</v>
      </c>
      <c r="N13" s="48" t="s">
        <v>830</v>
      </c>
    </row>
    <row r="14" customFormat="false" ht="15" hidden="false" customHeight="false" outlineLevel="0" collapsed="false">
      <c r="A14" s="48" t="s">
        <v>937</v>
      </c>
      <c r="B14" s="48" t="s">
        <v>935</v>
      </c>
      <c r="C14" s="48"/>
      <c r="D14" s="48" t="n">
        <v>25</v>
      </c>
      <c r="E14" s="48" t="n">
        <v>130</v>
      </c>
      <c r="F14" s="48" t="n">
        <v>2.29</v>
      </c>
      <c r="G14" s="52" t="n">
        <v>1.37</v>
      </c>
      <c r="H14" s="48" t="n">
        <v>13.08</v>
      </c>
      <c r="I14" s="48" t="n">
        <v>17</v>
      </c>
      <c r="J14" s="53" t="n">
        <v>177.74</v>
      </c>
      <c r="K14" s="53" t="n">
        <v>900.28</v>
      </c>
      <c r="L14" s="48" t="n">
        <v>19.7</v>
      </c>
      <c r="M14" s="48"/>
      <c r="N14" s="48" t="s">
        <v>825</v>
      </c>
    </row>
    <row r="15" customFormat="false" ht="15" hidden="false" customHeight="false" outlineLevel="0" collapsed="false">
      <c r="A15" s="48" t="s">
        <v>938</v>
      </c>
      <c r="B15" s="48" t="s">
        <v>939</v>
      </c>
      <c r="C15" s="48" t="s">
        <v>940</v>
      </c>
      <c r="D15" s="48" t="n">
        <v>116207</v>
      </c>
      <c r="E15" s="48" t="n">
        <v>225</v>
      </c>
      <c r="F15" s="48" t="n">
        <v>3.28</v>
      </c>
      <c r="G15" s="52" t="n">
        <v>0.7</v>
      </c>
      <c r="H15" s="48" t="n">
        <v>6.67</v>
      </c>
      <c r="I15" s="48" t="n">
        <v>15</v>
      </c>
      <c r="J15" s="53" t="n">
        <v>156.66</v>
      </c>
      <c r="K15" s="53" t="n">
        <v>624.56</v>
      </c>
      <c r="L15" s="48" t="n">
        <v>25.1</v>
      </c>
      <c r="M15" s="48" t="n">
        <v>95</v>
      </c>
      <c r="N15" s="48" t="s">
        <v>825</v>
      </c>
    </row>
    <row r="16" customFormat="false" ht="15" hidden="false" customHeight="false" outlineLevel="0" collapsed="false">
      <c r="A16" s="48" t="s">
        <v>450</v>
      </c>
      <c r="B16" s="48" t="s">
        <v>821</v>
      </c>
      <c r="C16" s="48" t="s">
        <v>824</v>
      </c>
      <c r="D16" s="48" t="n">
        <v>1023</v>
      </c>
      <c r="E16" s="48" t="n">
        <v>33</v>
      </c>
      <c r="F16" s="48" t="n">
        <v>2.76</v>
      </c>
      <c r="G16" s="52" t="n">
        <v>4.22</v>
      </c>
      <c r="H16" s="48" t="n">
        <v>21.21</v>
      </c>
      <c r="I16" s="48" t="n">
        <v>7</v>
      </c>
      <c r="J16" s="53" t="n">
        <v>139.14</v>
      </c>
      <c r="K16" s="53" t="n">
        <v>265.65</v>
      </c>
      <c r="L16" s="48" t="n">
        <v>52.4</v>
      </c>
      <c r="M16" s="48" t="n">
        <v>52</v>
      </c>
      <c r="N16" s="48" t="s">
        <v>838</v>
      </c>
    </row>
    <row r="17" customFormat="false" ht="15" hidden="false" customHeight="false" outlineLevel="0" collapsed="false">
      <c r="A17" s="48" t="s">
        <v>866</v>
      </c>
      <c r="B17" s="48" t="s">
        <v>821</v>
      </c>
      <c r="C17" s="48"/>
      <c r="D17" s="48" t="n">
        <v>245</v>
      </c>
      <c r="E17" s="48" t="n">
        <v>37</v>
      </c>
      <c r="F17" s="48" t="n">
        <v>10.57</v>
      </c>
      <c r="G17" s="52" t="n">
        <v>3.65</v>
      </c>
      <c r="H17" s="48" t="n">
        <v>13.51</v>
      </c>
      <c r="I17" s="48" t="n">
        <v>5</v>
      </c>
      <c r="J17" s="53" t="n">
        <v>135.2</v>
      </c>
      <c r="K17" s="53" t="n">
        <v>234.75</v>
      </c>
      <c r="L17" s="48" t="n">
        <v>57.6</v>
      </c>
      <c r="M17" s="48" t="n">
        <v>89</v>
      </c>
      <c r="N17" s="48" t="s">
        <v>838</v>
      </c>
    </row>
    <row r="18" customFormat="false" ht="15" hidden="false" customHeight="false" outlineLevel="0" collapsed="false">
      <c r="A18" s="48" t="s">
        <v>941</v>
      </c>
      <c r="B18" s="48" t="s">
        <v>918</v>
      </c>
      <c r="C18" s="48"/>
      <c r="D18" s="48" t="n">
        <v>4356</v>
      </c>
      <c r="E18" s="48" t="n">
        <v>90</v>
      </c>
      <c r="F18" s="48" t="n">
        <v>0.99</v>
      </c>
      <c r="G18" s="52" t="n">
        <v>1.44</v>
      </c>
      <c r="H18" s="48" t="n">
        <v>2.22</v>
      </c>
      <c r="I18" s="48" t="n">
        <v>2</v>
      </c>
      <c r="J18" s="53" t="n">
        <v>130.03</v>
      </c>
      <c r="K18" s="53" t="n">
        <v>72.1</v>
      </c>
      <c r="L18" s="48" t="n">
        <v>180.3</v>
      </c>
      <c r="M18" s="48"/>
      <c r="N18" s="48" t="s">
        <v>830</v>
      </c>
    </row>
    <row r="19" customFormat="false" ht="15" hidden="false" customHeight="false" outlineLevel="0" collapsed="false">
      <c r="A19" s="48" t="s">
        <v>178</v>
      </c>
      <c r="B19" s="48" t="s">
        <v>821</v>
      </c>
      <c r="C19" s="48" t="s">
        <v>835</v>
      </c>
      <c r="D19" s="48" t="n">
        <v>12715</v>
      </c>
      <c r="E19" s="48" t="n">
        <v>87</v>
      </c>
      <c r="F19" s="48" t="n">
        <v>6.37</v>
      </c>
      <c r="G19" s="52" t="n">
        <v>1.29</v>
      </c>
      <c r="H19" s="48" t="n">
        <v>9.2</v>
      </c>
      <c r="I19" s="48" t="n">
        <v>8</v>
      </c>
      <c r="J19" s="53" t="n">
        <v>112.02</v>
      </c>
      <c r="K19" s="53" t="n">
        <v>319.6</v>
      </c>
      <c r="L19" s="48" t="n">
        <v>35.1</v>
      </c>
      <c r="M19" s="48" t="n">
        <v>26</v>
      </c>
      <c r="N19" s="48" t="s">
        <v>823</v>
      </c>
    </row>
    <row r="20" customFormat="false" ht="15" hidden="false" customHeight="false" outlineLevel="0" collapsed="false">
      <c r="A20" s="48" t="s">
        <v>942</v>
      </c>
      <c r="B20" s="48" t="s">
        <v>821</v>
      </c>
      <c r="C20" s="48" t="s">
        <v>835</v>
      </c>
      <c r="D20" s="48" t="n">
        <v>924</v>
      </c>
      <c r="E20" s="48" t="n">
        <v>35</v>
      </c>
      <c r="F20" s="48" t="n">
        <v>7.04</v>
      </c>
      <c r="G20" s="52" t="n">
        <v>3.16</v>
      </c>
      <c r="H20" s="48" t="n">
        <v>5.71</v>
      </c>
      <c r="I20" s="48" t="n">
        <v>2</v>
      </c>
      <c r="J20" s="53" t="n">
        <v>110.67</v>
      </c>
      <c r="K20" s="53" t="n">
        <v>81.9</v>
      </c>
      <c r="L20" s="48" t="n">
        <v>135.1</v>
      </c>
      <c r="M20" s="48" t="n">
        <v>36</v>
      </c>
      <c r="N20" s="48" t="s">
        <v>830</v>
      </c>
    </row>
    <row r="21" customFormat="false" ht="15" hidden="false" customHeight="false" outlineLevel="0" collapsed="false">
      <c r="A21" s="48" t="s">
        <v>943</v>
      </c>
      <c r="B21" s="48" t="s">
        <v>935</v>
      </c>
      <c r="C21" s="48"/>
      <c r="D21" s="48" t="n">
        <v>11</v>
      </c>
      <c r="E21" s="48" t="n">
        <v>37</v>
      </c>
      <c r="F21" s="48" t="n">
        <v>1.71</v>
      </c>
      <c r="G21" s="52" t="n">
        <v>2.73</v>
      </c>
      <c r="H21" s="48" t="n">
        <v>18.92</v>
      </c>
      <c r="I21" s="48" t="n">
        <v>7</v>
      </c>
      <c r="J21" s="53" t="n">
        <v>101.02</v>
      </c>
      <c r="K21" s="53" t="n">
        <v>425.06</v>
      </c>
      <c r="L21" s="48" t="n">
        <v>23.8</v>
      </c>
      <c r="M21" s="48"/>
      <c r="N21" s="48" t="s">
        <v>825</v>
      </c>
    </row>
    <row r="22" customFormat="false" ht="15" hidden="false" customHeight="false" outlineLevel="0" collapsed="false">
      <c r="A22" s="48" t="s">
        <v>142</v>
      </c>
      <c r="B22" s="48" t="s">
        <v>821</v>
      </c>
      <c r="C22" s="48" t="s">
        <v>824</v>
      </c>
      <c r="D22" s="48" t="n">
        <v>2976</v>
      </c>
      <c r="E22" s="48" t="n">
        <v>46</v>
      </c>
      <c r="F22" s="48" t="n">
        <v>7.67</v>
      </c>
      <c r="G22" s="52" t="n">
        <v>2.12</v>
      </c>
      <c r="H22" s="48" t="n">
        <v>4.35</v>
      </c>
      <c r="I22" s="48" t="n">
        <v>2</v>
      </c>
      <c r="J22" s="53" t="n">
        <v>97.33</v>
      </c>
      <c r="K22" s="53" t="n">
        <v>75.9</v>
      </c>
      <c r="L22" s="48" t="n">
        <v>128.2</v>
      </c>
      <c r="M22" s="48" t="n">
        <v>21</v>
      </c>
      <c r="N22" s="48" t="s">
        <v>830</v>
      </c>
    </row>
    <row r="23" customFormat="false" ht="15" hidden="false" customHeight="false" outlineLevel="0" collapsed="false">
      <c r="A23" s="48" t="s">
        <v>513</v>
      </c>
      <c r="B23" s="48" t="s">
        <v>935</v>
      </c>
      <c r="C23" s="48"/>
      <c r="D23" s="48" t="n">
        <v>355</v>
      </c>
      <c r="E23" s="48" t="n">
        <v>75</v>
      </c>
      <c r="F23" s="48" t="n">
        <v>1.66</v>
      </c>
      <c r="G23" s="52" t="n">
        <v>1.28</v>
      </c>
      <c r="H23" s="48" t="n">
        <v>12</v>
      </c>
      <c r="I23" s="48" t="n">
        <v>9</v>
      </c>
      <c r="J23" s="53" t="n">
        <v>96.22</v>
      </c>
      <c r="K23" s="53" t="n">
        <v>314.12</v>
      </c>
      <c r="L23" s="48" t="n">
        <v>30.6</v>
      </c>
      <c r="M23" s="48"/>
      <c r="N23" s="48" t="s">
        <v>823</v>
      </c>
    </row>
    <row r="24" customFormat="false" ht="15" hidden="false" customHeight="false" outlineLevel="0" collapsed="false">
      <c r="A24" s="48" t="s">
        <v>138</v>
      </c>
      <c r="B24" s="48" t="s">
        <v>821</v>
      </c>
      <c r="C24" s="48" t="s">
        <v>824</v>
      </c>
      <c r="D24" s="48" t="n">
        <v>4728</v>
      </c>
      <c r="E24" s="48" t="n">
        <v>88</v>
      </c>
      <c r="F24" s="48" t="n">
        <v>1.56</v>
      </c>
      <c r="G24" s="52" t="n">
        <v>1.04</v>
      </c>
      <c r="H24" s="48" t="n">
        <v>4.55</v>
      </c>
      <c r="I24" s="48" t="n">
        <v>4</v>
      </c>
      <c r="J24" s="53" t="n">
        <v>91.91</v>
      </c>
      <c r="K24" s="53" t="n">
        <v>139.84</v>
      </c>
      <c r="L24" s="48" t="n">
        <v>65.7</v>
      </c>
      <c r="M24" s="48" t="n">
        <v>21</v>
      </c>
      <c r="N24" s="48" t="s">
        <v>830</v>
      </c>
    </row>
    <row r="25" customFormat="false" ht="15" hidden="false" customHeight="false" outlineLevel="0" collapsed="false">
      <c r="A25" s="48" t="s">
        <v>879</v>
      </c>
      <c r="B25" s="48" t="s">
        <v>821</v>
      </c>
      <c r="C25" s="48"/>
      <c r="D25" s="48" t="n">
        <v>203</v>
      </c>
      <c r="E25" s="48" t="n">
        <v>25</v>
      </c>
      <c r="F25" s="48" t="n">
        <v>10.2</v>
      </c>
      <c r="G25" s="52" t="n">
        <v>3.54</v>
      </c>
      <c r="H25" s="48" t="n">
        <v>16</v>
      </c>
      <c r="I25" s="48" t="n">
        <v>4</v>
      </c>
      <c r="J25" s="53" t="n">
        <v>88.49</v>
      </c>
      <c r="K25" s="53" t="n">
        <v>153.8</v>
      </c>
      <c r="L25" s="48" t="n">
        <v>57.5</v>
      </c>
      <c r="M25" s="48" t="n">
        <v>69</v>
      </c>
      <c r="N25" s="48" t="s">
        <v>838</v>
      </c>
    </row>
    <row r="26" customFormat="false" ht="15" hidden="false" customHeight="false" outlineLevel="0" collapsed="false">
      <c r="A26" s="48" t="s">
        <v>837</v>
      </c>
      <c r="B26" s="48" t="s">
        <v>821</v>
      </c>
      <c r="C26" s="48" t="s">
        <v>822</v>
      </c>
      <c r="D26" s="48" t="n">
        <v>1216</v>
      </c>
      <c r="E26" s="48" t="n">
        <v>67</v>
      </c>
      <c r="F26" s="48" t="n">
        <v>8.63</v>
      </c>
      <c r="G26" s="52" t="n">
        <v>1.26</v>
      </c>
      <c r="H26" s="48" t="n">
        <v>7.46</v>
      </c>
      <c r="I26" s="48" t="n">
        <v>5</v>
      </c>
      <c r="J26" s="53" t="n">
        <v>84.7</v>
      </c>
      <c r="K26" s="53" t="n">
        <v>177.93</v>
      </c>
      <c r="L26" s="48" t="n">
        <v>47.6</v>
      </c>
      <c r="M26" s="48" t="n">
        <v>46</v>
      </c>
      <c r="N26" s="48" t="s">
        <v>838</v>
      </c>
    </row>
    <row r="27" customFormat="false" ht="15" hidden="false" customHeight="false" outlineLevel="0" collapsed="false">
      <c r="A27" s="48" t="s">
        <v>146</v>
      </c>
      <c r="B27" s="48" t="s">
        <v>821</v>
      </c>
      <c r="C27" s="48" t="s">
        <v>824</v>
      </c>
      <c r="D27" s="48" t="n">
        <v>2632</v>
      </c>
      <c r="E27" s="48" t="n">
        <v>67</v>
      </c>
      <c r="F27" s="48" t="n">
        <v>1.14</v>
      </c>
      <c r="G27" s="52" t="n">
        <v>1.24</v>
      </c>
      <c r="H27" s="48" t="n">
        <v>4.48</v>
      </c>
      <c r="I27" s="48" t="n">
        <v>3</v>
      </c>
      <c r="J27" s="53" t="n">
        <v>82.81</v>
      </c>
      <c r="K27" s="53" t="n">
        <v>111.95</v>
      </c>
      <c r="L27" s="48" t="n">
        <v>74</v>
      </c>
      <c r="M27" s="48" t="n">
        <v>25</v>
      </c>
      <c r="N27" s="48" t="s">
        <v>830</v>
      </c>
    </row>
    <row r="28" customFormat="false" ht="15" hidden="false" customHeight="false" outlineLevel="0" collapsed="false">
      <c r="A28" s="48" t="s">
        <v>454</v>
      </c>
      <c r="B28" s="48" t="s">
        <v>821</v>
      </c>
      <c r="C28" s="48" t="s">
        <v>824</v>
      </c>
      <c r="D28" s="48" t="n">
        <v>1023</v>
      </c>
      <c r="E28" s="48" t="n">
        <v>40</v>
      </c>
      <c r="F28" s="48" t="n">
        <v>1.6</v>
      </c>
      <c r="G28" s="52" t="n">
        <v>1.91</v>
      </c>
      <c r="H28" s="48" t="n">
        <v>5</v>
      </c>
      <c r="I28" s="48" t="n">
        <v>2</v>
      </c>
      <c r="J28" s="53" t="n">
        <v>76.57</v>
      </c>
      <c r="K28" s="53" t="n">
        <v>90.9</v>
      </c>
      <c r="L28" s="48" t="n">
        <v>84.2</v>
      </c>
      <c r="M28" s="48" t="n">
        <v>37</v>
      </c>
      <c r="N28" s="48" t="s">
        <v>830</v>
      </c>
    </row>
    <row r="29" customFormat="false" ht="15" hidden="false" customHeight="false" outlineLevel="0" collapsed="false">
      <c r="A29" s="48" t="s">
        <v>836</v>
      </c>
      <c r="B29" s="48" t="s">
        <v>821</v>
      </c>
      <c r="C29" s="48" t="s">
        <v>832</v>
      </c>
      <c r="D29" s="48" t="n">
        <v>672</v>
      </c>
      <c r="E29" s="48" t="n">
        <v>48</v>
      </c>
      <c r="F29" s="48" t="n">
        <v>3.77</v>
      </c>
      <c r="G29" s="52" t="n">
        <v>1.59</v>
      </c>
      <c r="H29" s="48" t="n">
        <v>4.17</v>
      </c>
      <c r="I29" s="48" t="n">
        <v>2</v>
      </c>
      <c r="J29" s="53" t="n">
        <v>76.29</v>
      </c>
      <c r="K29" s="53" t="n">
        <v>71.91</v>
      </c>
      <c r="L29" s="48" t="n">
        <v>106.1</v>
      </c>
      <c r="M29" s="48" t="n">
        <v>42</v>
      </c>
      <c r="N29" s="48" t="s">
        <v>830</v>
      </c>
    </row>
    <row r="30" customFormat="false" ht="15" hidden="false" customHeight="false" outlineLevel="0" collapsed="false">
      <c r="A30" s="48" t="s">
        <v>133</v>
      </c>
      <c r="B30" s="48" t="s">
        <v>821</v>
      </c>
      <c r="C30" s="48" t="s">
        <v>824</v>
      </c>
      <c r="D30" s="48" t="n">
        <v>4964</v>
      </c>
      <c r="E30" s="48" t="n">
        <v>45</v>
      </c>
      <c r="F30" s="48" t="n">
        <v>5.47</v>
      </c>
      <c r="G30" s="52" t="n">
        <v>1.62</v>
      </c>
      <c r="H30" s="48" t="n">
        <v>8.89</v>
      </c>
      <c r="I30" s="48" t="n">
        <v>4</v>
      </c>
      <c r="J30" s="53" t="n">
        <v>72.97</v>
      </c>
      <c r="K30" s="53" t="n">
        <v>151.8</v>
      </c>
      <c r="L30" s="48" t="n">
        <v>48.1</v>
      </c>
      <c r="M30" s="48" t="n">
        <v>57</v>
      </c>
      <c r="N30" s="48" t="s">
        <v>838</v>
      </c>
    </row>
    <row r="31" customFormat="false" ht="15" hidden="false" customHeight="false" outlineLevel="0" collapsed="false">
      <c r="A31" s="48" t="s">
        <v>944</v>
      </c>
      <c r="B31" s="48" t="s">
        <v>918</v>
      </c>
      <c r="C31" s="48"/>
      <c r="D31" s="48" t="n">
        <v>141869</v>
      </c>
      <c r="E31" s="48" t="n">
        <v>115</v>
      </c>
      <c r="F31" s="48" t="n">
        <v>4.07</v>
      </c>
      <c r="G31" s="52" t="n">
        <v>0.62</v>
      </c>
      <c r="H31" s="48" t="n">
        <v>5.22</v>
      </c>
      <c r="I31" s="48" t="n">
        <v>6</v>
      </c>
      <c r="J31" s="53" t="n">
        <v>71.22</v>
      </c>
      <c r="K31" s="53" t="n">
        <v>217.8</v>
      </c>
      <c r="L31" s="48" t="n">
        <v>32.7</v>
      </c>
      <c r="M31" s="48"/>
      <c r="N31" s="48" t="s">
        <v>823</v>
      </c>
    </row>
    <row r="32" customFormat="false" ht="15" hidden="false" customHeight="false" outlineLevel="0" collapsed="false">
      <c r="A32" s="48" t="s">
        <v>460</v>
      </c>
      <c r="B32" s="48" t="s">
        <v>821</v>
      </c>
      <c r="C32" s="48" t="s">
        <v>824</v>
      </c>
      <c r="D32" s="48" t="n">
        <v>924</v>
      </c>
      <c r="E32" s="48" t="n">
        <v>65</v>
      </c>
      <c r="F32" s="48" t="n">
        <v>3.16</v>
      </c>
      <c r="G32" s="52" t="n">
        <v>1</v>
      </c>
      <c r="H32" s="48" t="n">
        <v>3.08</v>
      </c>
      <c r="I32" s="48" t="n">
        <v>2</v>
      </c>
      <c r="J32" s="53" t="n">
        <v>65.13</v>
      </c>
      <c r="K32" s="53" t="n">
        <v>74</v>
      </c>
      <c r="L32" s="48" t="n">
        <v>88</v>
      </c>
      <c r="M32" s="48" t="n">
        <v>32</v>
      </c>
      <c r="N32" s="48" t="s">
        <v>830</v>
      </c>
    </row>
    <row r="33" customFormat="false" ht="15" hidden="false" customHeight="false" outlineLevel="0" collapsed="false">
      <c r="A33" s="48" t="s">
        <v>945</v>
      </c>
      <c r="B33" s="48" t="s">
        <v>821</v>
      </c>
      <c r="C33" s="48" t="s">
        <v>827</v>
      </c>
      <c r="D33" s="48" t="n">
        <v>644</v>
      </c>
      <c r="E33" s="48" t="n">
        <v>18</v>
      </c>
      <c r="F33" s="48" t="n">
        <v>8.22</v>
      </c>
      <c r="G33" s="52" t="n">
        <v>3.53</v>
      </c>
      <c r="H33" s="48" t="n">
        <v>0</v>
      </c>
      <c r="I33" s="48" t="n">
        <v>0</v>
      </c>
      <c r="J33" s="53" t="n">
        <v>63.55</v>
      </c>
      <c r="K33" s="53" t="n">
        <v>0</v>
      </c>
      <c r="L33" s="48"/>
      <c r="M33" s="48" t="n">
        <v>104</v>
      </c>
      <c r="N33" s="48" t="s">
        <v>830</v>
      </c>
    </row>
    <row r="34" customFormat="false" ht="15" hidden="false" customHeight="false" outlineLevel="0" collapsed="false">
      <c r="A34" s="48" t="s">
        <v>850</v>
      </c>
      <c r="B34" s="48" t="s">
        <v>821</v>
      </c>
      <c r="C34" s="48" t="s">
        <v>822</v>
      </c>
      <c r="D34" s="48" t="n">
        <v>924</v>
      </c>
      <c r="E34" s="48" t="n">
        <v>28</v>
      </c>
      <c r="F34" s="48" t="n">
        <v>22.4</v>
      </c>
      <c r="G34" s="52" t="n">
        <v>2.18</v>
      </c>
      <c r="H34" s="48" t="n">
        <v>10.71</v>
      </c>
      <c r="I34" s="48" t="n">
        <v>3</v>
      </c>
      <c r="J34" s="53" t="n">
        <v>60.96</v>
      </c>
      <c r="K34" s="53" t="n">
        <v>107.85</v>
      </c>
      <c r="L34" s="48" t="n">
        <v>56.5</v>
      </c>
      <c r="M34" s="48" t="n">
        <v>46</v>
      </c>
      <c r="N34" s="48" t="s">
        <v>838</v>
      </c>
    </row>
    <row r="35" customFormat="false" ht="15" hidden="false" customHeight="false" outlineLevel="0" collapsed="false">
      <c r="A35" s="48" t="s">
        <v>946</v>
      </c>
      <c r="B35" s="48" t="s">
        <v>918</v>
      </c>
      <c r="C35" s="48"/>
      <c r="D35" s="48" t="n">
        <v>18413</v>
      </c>
      <c r="E35" s="48" t="n">
        <v>104</v>
      </c>
      <c r="F35" s="48" t="n">
        <v>3.19</v>
      </c>
      <c r="G35" s="52" t="n">
        <v>0.58</v>
      </c>
      <c r="H35" s="48" t="n">
        <v>2.88</v>
      </c>
      <c r="I35" s="48" t="n">
        <v>3</v>
      </c>
      <c r="J35" s="53" t="n">
        <v>59.9</v>
      </c>
      <c r="K35" s="53" t="n">
        <v>111.95</v>
      </c>
      <c r="L35" s="48" t="n">
        <v>53.5</v>
      </c>
      <c r="M35" s="48"/>
      <c r="N35" s="48" t="s">
        <v>838</v>
      </c>
    </row>
    <row r="36" customFormat="false" ht="15" hidden="false" customHeight="false" outlineLevel="0" collapsed="false">
      <c r="A36" s="48" t="s">
        <v>947</v>
      </c>
      <c r="B36" s="48" t="s">
        <v>821</v>
      </c>
      <c r="C36" s="48" t="s">
        <v>948</v>
      </c>
      <c r="D36" s="48" t="n">
        <v>412</v>
      </c>
      <c r="E36" s="48" t="n">
        <v>10</v>
      </c>
      <c r="F36" s="48" t="n">
        <v>20.41</v>
      </c>
      <c r="G36" s="52" t="n">
        <v>5.92</v>
      </c>
      <c r="H36" s="48" t="n">
        <v>10</v>
      </c>
      <c r="I36" s="48" t="n">
        <v>1</v>
      </c>
      <c r="J36" s="53" t="n">
        <v>59.16</v>
      </c>
      <c r="K36" s="53" t="n">
        <v>75.9</v>
      </c>
      <c r="L36" s="48" t="n">
        <v>77.9</v>
      </c>
      <c r="M36" s="48" t="n">
        <v>48</v>
      </c>
      <c r="N36" s="48" t="s">
        <v>830</v>
      </c>
    </row>
    <row r="37" customFormat="false" ht="15" hidden="false" customHeight="false" outlineLevel="0" collapsed="false">
      <c r="A37" s="48" t="s">
        <v>949</v>
      </c>
      <c r="B37" s="48" t="s">
        <v>918</v>
      </c>
      <c r="C37" s="48"/>
      <c r="D37" s="48" t="n">
        <v>113557</v>
      </c>
      <c r="E37" s="48" t="n">
        <v>84</v>
      </c>
      <c r="F37" s="48" t="n">
        <v>0.49</v>
      </c>
      <c r="G37" s="52" t="n">
        <v>0.69</v>
      </c>
      <c r="H37" s="48" t="n">
        <v>1.19</v>
      </c>
      <c r="I37" s="48" t="n">
        <v>1</v>
      </c>
      <c r="J37" s="53" t="n">
        <v>57.69</v>
      </c>
      <c r="K37" s="53" t="n">
        <v>37.95</v>
      </c>
      <c r="L37" s="48" t="n">
        <v>152</v>
      </c>
      <c r="M37" s="48"/>
      <c r="N37" s="48" t="s">
        <v>830</v>
      </c>
    </row>
    <row r="38" customFormat="false" ht="15" hidden="false" customHeight="false" outlineLevel="0" collapsed="false">
      <c r="A38" s="48" t="s">
        <v>891</v>
      </c>
      <c r="B38" s="48" t="s">
        <v>821</v>
      </c>
      <c r="C38" s="48"/>
      <c r="D38" s="48" t="n">
        <v>111</v>
      </c>
      <c r="E38" s="48" t="n">
        <v>20</v>
      </c>
      <c r="F38" s="48" t="n">
        <v>16.26</v>
      </c>
      <c r="G38" s="52" t="n">
        <v>2.86</v>
      </c>
      <c r="H38" s="48" t="n">
        <v>0</v>
      </c>
      <c r="I38" s="48" t="n">
        <v>0</v>
      </c>
      <c r="J38" s="53" t="n">
        <v>57.15</v>
      </c>
      <c r="K38" s="53" t="n">
        <v>0</v>
      </c>
      <c r="L38" s="48"/>
      <c r="M38" s="48" t="n">
        <v>132</v>
      </c>
      <c r="N38" s="48" t="s">
        <v>830</v>
      </c>
    </row>
    <row r="39" customFormat="false" ht="15" hidden="false" customHeight="false" outlineLevel="0" collapsed="false">
      <c r="A39" s="48" t="s">
        <v>950</v>
      </c>
      <c r="B39" s="48" t="s">
        <v>918</v>
      </c>
      <c r="C39" s="48"/>
      <c r="D39" s="48" t="n">
        <v>40723</v>
      </c>
      <c r="E39" s="48" t="n">
        <v>81</v>
      </c>
      <c r="F39" s="48" t="n">
        <v>0.85</v>
      </c>
      <c r="G39" s="52" t="n">
        <v>0.7</v>
      </c>
      <c r="H39" s="48" t="n">
        <v>6.17</v>
      </c>
      <c r="I39" s="48" t="n">
        <v>5</v>
      </c>
      <c r="J39" s="53" t="n">
        <v>56.55</v>
      </c>
      <c r="K39" s="53" t="n">
        <v>187.85</v>
      </c>
      <c r="L39" s="48" t="n">
        <v>30.1</v>
      </c>
      <c r="M39" s="48"/>
      <c r="N39" s="48" t="s">
        <v>823</v>
      </c>
    </row>
    <row r="40" customFormat="false" ht="15" hidden="false" customHeight="false" outlineLevel="0" collapsed="false">
      <c r="A40" s="48" t="s">
        <v>951</v>
      </c>
      <c r="B40" s="48" t="s">
        <v>952</v>
      </c>
      <c r="C40" s="48"/>
      <c r="D40" s="48"/>
      <c r="E40" s="48" t="n">
        <v>117</v>
      </c>
      <c r="F40" s="48" t="n">
        <v>0.57</v>
      </c>
      <c r="G40" s="52" t="n">
        <v>0.45</v>
      </c>
      <c r="H40" s="48" t="n">
        <v>11.97</v>
      </c>
      <c r="I40" s="48" t="n">
        <v>14</v>
      </c>
      <c r="J40" s="53" t="n">
        <v>52.53</v>
      </c>
      <c r="K40" s="53" t="n">
        <v>405.85</v>
      </c>
      <c r="L40" s="48" t="n">
        <v>12.9</v>
      </c>
      <c r="M40" s="48"/>
      <c r="N40" s="48" t="s">
        <v>825</v>
      </c>
    </row>
    <row r="41" customFormat="false" ht="15" hidden="false" customHeight="false" outlineLevel="0" collapsed="false">
      <c r="A41" s="48" t="s">
        <v>953</v>
      </c>
      <c r="B41" s="48" t="s">
        <v>952</v>
      </c>
      <c r="C41" s="48"/>
      <c r="D41" s="48"/>
      <c r="E41" s="48" t="n">
        <v>117</v>
      </c>
      <c r="F41" s="48" t="n">
        <v>2.03</v>
      </c>
      <c r="G41" s="52" t="n">
        <v>0.45</v>
      </c>
      <c r="H41" s="48" t="n">
        <v>7.69</v>
      </c>
      <c r="I41" s="48" t="n">
        <v>9</v>
      </c>
      <c r="J41" s="53" t="n">
        <v>52.28</v>
      </c>
      <c r="K41" s="53" t="n">
        <v>255.4</v>
      </c>
      <c r="L41" s="48" t="n">
        <v>20.5</v>
      </c>
      <c r="M41" s="48"/>
      <c r="N41" s="48" t="s">
        <v>825</v>
      </c>
    </row>
    <row r="42" customFormat="false" ht="15" hidden="false" customHeight="false" outlineLevel="0" collapsed="false">
      <c r="A42" s="48" t="s">
        <v>890</v>
      </c>
      <c r="B42" s="48" t="s">
        <v>821</v>
      </c>
      <c r="C42" s="48" t="s">
        <v>827</v>
      </c>
      <c r="D42" s="48" t="n">
        <v>1023</v>
      </c>
      <c r="E42" s="48" t="n">
        <v>17</v>
      </c>
      <c r="F42" s="48" t="n">
        <v>12.32</v>
      </c>
      <c r="G42" s="52" t="n">
        <v>2.96</v>
      </c>
      <c r="H42" s="48" t="n">
        <v>0</v>
      </c>
      <c r="I42" s="48" t="n">
        <v>0</v>
      </c>
      <c r="J42" s="53" t="n">
        <v>50.31</v>
      </c>
      <c r="K42" s="53" t="n">
        <v>0</v>
      </c>
      <c r="L42" s="48"/>
      <c r="M42" s="48" t="n">
        <v>63</v>
      </c>
      <c r="N42" s="48" t="s">
        <v>830</v>
      </c>
    </row>
    <row r="43" customFormat="false" ht="15" hidden="false" customHeight="false" outlineLevel="0" collapsed="false">
      <c r="A43" s="48" t="s">
        <v>839</v>
      </c>
      <c r="B43" s="48" t="s">
        <v>821</v>
      </c>
      <c r="C43" s="48" t="s">
        <v>827</v>
      </c>
      <c r="D43" s="48" t="n">
        <v>2630</v>
      </c>
      <c r="E43" s="48" t="n">
        <v>28</v>
      </c>
      <c r="F43" s="48" t="n">
        <v>10.89</v>
      </c>
      <c r="G43" s="52" t="n">
        <v>1.78</v>
      </c>
      <c r="H43" s="48" t="n">
        <v>17.86</v>
      </c>
      <c r="I43" s="48" t="n">
        <v>5</v>
      </c>
      <c r="J43" s="53" t="n">
        <v>49.89</v>
      </c>
      <c r="K43" s="53" t="n">
        <v>211.75</v>
      </c>
      <c r="L43" s="48" t="n">
        <v>23.6</v>
      </c>
      <c r="M43" s="48" t="n">
        <v>56</v>
      </c>
      <c r="N43" s="48" t="s">
        <v>825</v>
      </c>
    </row>
    <row r="44" customFormat="false" ht="15" hidden="false" customHeight="false" outlineLevel="0" collapsed="false">
      <c r="A44" s="48" t="s">
        <v>855</v>
      </c>
      <c r="B44" s="48" t="s">
        <v>821</v>
      </c>
      <c r="C44" s="48" t="s">
        <v>835</v>
      </c>
      <c r="D44" s="48" t="n">
        <v>575</v>
      </c>
      <c r="E44" s="48" t="n">
        <v>18</v>
      </c>
      <c r="F44" s="48" t="n">
        <v>11.61</v>
      </c>
      <c r="G44" s="52" t="n">
        <v>2.76</v>
      </c>
      <c r="H44" s="48" t="n">
        <v>0</v>
      </c>
      <c r="I44" s="48" t="n">
        <v>0</v>
      </c>
      <c r="J44" s="53" t="n">
        <v>49.66</v>
      </c>
      <c r="K44" s="53" t="n">
        <v>0</v>
      </c>
      <c r="L44" s="48"/>
      <c r="M44" s="48"/>
      <c r="N44" s="48" t="s">
        <v>830</v>
      </c>
    </row>
    <row r="45" customFormat="false" ht="15" hidden="false" customHeight="false" outlineLevel="0" collapsed="false">
      <c r="A45" s="48" t="s">
        <v>954</v>
      </c>
      <c r="B45" s="48" t="s">
        <v>939</v>
      </c>
      <c r="C45" s="48" t="s">
        <v>955</v>
      </c>
      <c r="D45" s="48" t="n">
        <v>21541</v>
      </c>
      <c r="E45" s="48" t="n">
        <v>64</v>
      </c>
      <c r="F45" s="48" t="n">
        <v>5.34</v>
      </c>
      <c r="G45" s="52" t="n">
        <v>0.76</v>
      </c>
      <c r="H45" s="48" t="n">
        <v>9.38</v>
      </c>
      <c r="I45" s="48" t="n">
        <v>6</v>
      </c>
      <c r="J45" s="53" t="n">
        <v>48.67</v>
      </c>
      <c r="K45" s="53" t="n">
        <v>233.69</v>
      </c>
      <c r="L45" s="48" t="n">
        <v>20.8</v>
      </c>
      <c r="M45" s="48" t="n">
        <v>94</v>
      </c>
      <c r="N45" s="48" t="s">
        <v>825</v>
      </c>
    </row>
    <row r="46" customFormat="false" ht="15" hidden="false" customHeight="false" outlineLevel="0" collapsed="false">
      <c r="A46" s="48" t="s">
        <v>833</v>
      </c>
      <c r="B46" s="48" t="s">
        <v>821</v>
      </c>
      <c r="C46" s="48" t="s">
        <v>834</v>
      </c>
      <c r="D46" s="48" t="n">
        <v>1305</v>
      </c>
      <c r="E46" s="48" t="n">
        <v>26</v>
      </c>
      <c r="F46" s="48" t="n">
        <v>2.12</v>
      </c>
      <c r="G46" s="52" t="n">
        <v>1.84</v>
      </c>
      <c r="H46" s="48" t="n">
        <v>7.69</v>
      </c>
      <c r="I46" s="48" t="n">
        <v>2</v>
      </c>
      <c r="J46" s="53" t="n">
        <v>47.78</v>
      </c>
      <c r="K46" s="53" t="n">
        <v>93.93</v>
      </c>
      <c r="L46" s="48" t="n">
        <v>50.9</v>
      </c>
      <c r="M46" s="48" t="n">
        <v>23</v>
      </c>
      <c r="N46" s="48" t="s">
        <v>838</v>
      </c>
    </row>
    <row r="47" customFormat="false" ht="15" hidden="false" customHeight="false" outlineLevel="0" collapsed="false">
      <c r="A47" s="48" t="s">
        <v>956</v>
      </c>
      <c r="B47" s="48" t="s">
        <v>952</v>
      </c>
      <c r="C47" s="48"/>
      <c r="D47" s="48" t="n">
        <v>51852</v>
      </c>
      <c r="E47" s="48" t="n">
        <v>84</v>
      </c>
      <c r="F47" s="48" t="n">
        <v>3.38</v>
      </c>
      <c r="G47" s="52" t="n">
        <v>0.55</v>
      </c>
      <c r="H47" s="48" t="n">
        <v>7.14</v>
      </c>
      <c r="I47" s="48" t="n">
        <v>6</v>
      </c>
      <c r="J47" s="53" t="n">
        <v>46.51</v>
      </c>
      <c r="K47" s="53" t="n">
        <v>176</v>
      </c>
      <c r="L47" s="48" t="n">
        <v>26.4</v>
      </c>
      <c r="M47" s="48"/>
      <c r="N47" s="48" t="s">
        <v>825</v>
      </c>
    </row>
    <row r="48" customFormat="false" ht="15" hidden="false" customHeight="false" outlineLevel="0" collapsed="false">
      <c r="A48" s="48" t="s">
        <v>957</v>
      </c>
      <c r="B48" s="48" t="s">
        <v>821</v>
      </c>
      <c r="C48" s="48" t="s">
        <v>835</v>
      </c>
      <c r="D48" s="48" t="n">
        <v>401</v>
      </c>
      <c r="E48" s="48" t="n">
        <v>12</v>
      </c>
      <c r="F48" s="48" t="n">
        <v>13.64</v>
      </c>
      <c r="G48" s="52" t="n">
        <v>3.73</v>
      </c>
      <c r="H48" s="48" t="n">
        <v>0</v>
      </c>
      <c r="I48" s="48" t="n">
        <v>0</v>
      </c>
      <c r="J48" s="53" t="n">
        <v>44.72</v>
      </c>
      <c r="K48" s="53" t="n">
        <v>0</v>
      </c>
      <c r="L48" s="48"/>
      <c r="M48" s="48"/>
      <c r="N48" s="48" t="s">
        <v>897</v>
      </c>
    </row>
    <row r="49" customFormat="false" ht="15" hidden="false" customHeight="false" outlineLevel="0" collapsed="false">
      <c r="A49" s="48" t="s">
        <v>958</v>
      </c>
      <c r="B49" s="48" t="s">
        <v>860</v>
      </c>
      <c r="C49" s="48"/>
      <c r="D49" s="48" t="n">
        <v>1817</v>
      </c>
      <c r="E49" s="48" t="n">
        <v>71</v>
      </c>
      <c r="F49" s="48" t="n">
        <v>6.51</v>
      </c>
      <c r="G49" s="52" t="n">
        <v>0.59</v>
      </c>
      <c r="H49" s="48" t="n">
        <v>1.41</v>
      </c>
      <c r="I49" s="48" t="n">
        <v>1</v>
      </c>
      <c r="J49" s="53" t="n">
        <v>41.68</v>
      </c>
      <c r="K49" s="53" t="n">
        <v>37.95</v>
      </c>
      <c r="L49" s="48" t="n">
        <v>109.8</v>
      </c>
      <c r="M49" s="48"/>
      <c r="N49" s="48" t="s">
        <v>830</v>
      </c>
    </row>
    <row r="50" customFormat="false" ht="15" hidden="false" customHeight="false" outlineLevel="0" collapsed="false">
      <c r="A50" s="48" t="s">
        <v>959</v>
      </c>
      <c r="B50" s="48" t="s">
        <v>821</v>
      </c>
      <c r="C50" s="48" t="s">
        <v>827</v>
      </c>
      <c r="D50" s="48" t="n">
        <v>369</v>
      </c>
      <c r="E50" s="48" t="n">
        <v>11</v>
      </c>
      <c r="F50" s="48" t="n">
        <v>22.45</v>
      </c>
      <c r="G50" s="52" t="n">
        <v>3.72</v>
      </c>
      <c r="H50" s="48" t="n">
        <v>9.09</v>
      </c>
      <c r="I50" s="48" t="n">
        <v>1</v>
      </c>
      <c r="J50" s="53" t="n">
        <v>40.87</v>
      </c>
      <c r="K50" s="53" t="n">
        <v>39.95</v>
      </c>
      <c r="L50" s="48" t="n">
        <v>102.3</v>
      </c>
      <c r="M50" s="48"/>
      <c r="N50" s="48" t="s">
        <v>830</v>
      </c>
    </row>
    <row r="51" customFormat="false" ht="15" hidden="false" customHeight="false" outlineLevel="0" collapsed="false">
      <c r="A51" s="48" t="s">
        <v>960</v>
      </c>
      <c r="B51" s="48" t="s">
        <v>821</v>
      </c>
      <c r="C51" s="48" t="s">
        <v>948</v>
      </c>
      <c r="D51" s="48" t="n">
        <v>308</v>
      </c>
      <c r="E51" s="48" t="n">
        <v>10</v>
      </c>
      <c r="F51" s="48" t="n">
        <v>17.54</v>
      </c>
      <c r="G51" s="52" t="n">
        <v>4.06</v>
      </c>
      <c r="H51" s="48" t="n">
        <v>0</v>
      </c>
      <c r="I51" s="48" t="n">
        <v>0</v>
      </c>
      <c r="J51" s="53" t="n">
        <v>40.65</v>
      </c>
      <c r="K51" s="53" t="n">
        <v>0</v>
      </c>
      <c r="L51" s="48"/>
      <c r="M51" s="48"/>
      <c r="N51" s="48" t="s">
        <v>897</v>
      </c>
    </row>
    <row r="52" customFormat="false" ht="15" hidden="false" customHeight="false" outlineLevel="0" collapsed="false">
      <c r="A52" s="48" t="s">
        <v>961</v>
      </c>
      <c r="B52" s="48" t="s">
        <v>821</v>
      </c>
      <c r="C52" s="48" t="s">
        <v>948</v>
      </c>
      <c r="D52" s="48" t="n">
        <v>2271</v>
      </c>
      <c r="E52" s="48" t="n">
        <v>33</v>
      </c>
      <c r="F52" s="48" t="n">
        <v>8.51</v>
      </c>
      <c r="G52" s="52" t="n">
        <v>1.15</v>
      </c>
      <c r="H52" s="48" t="n">
        <v>6.06</v>
      </c>
      <c r="I52" s="48" t="n">
        <v>2</v>
      </c>
      <c r="J52" s="53" t="n">
        <v>37.91</v>
      </c>
      <c r="K52" s="53" t="n">
        <v>73.99</v>
      </c>
      <c r="L52" s="48" t="n">
        <v>51.2</v>
      </c>
      <c r="M52" s="48" t="n">
        <v>66</v>
      </c>
      <c r="N52" s="48" t="s">
        <v>838</v>
      </c>
    </row>
    <row r="53" customFormat="false" ht="15" hidden="false" customHeight="false" outlineLevel="0" collapsed="false">
      <c r="A53" s="48" t="s">
        <v>962</v>
      </c>
      <c r="B53" s="48" t="s">
        <v>952</v>
      </c>
      <c r="C53" s="48"/>
      <c r="D53" s="48" t="n">
        <v>7792</v>
      </c>
      <c r="E53" s="48" t="n">
        <v>77</v>
      </c>
      <c r="F53" s="48" t="n">
        <v>3.13</v>
      </c>
      <c r="G53" s="52" t="n">
        <v>0.48</v>
      </c>
      <c r="H53" s="48" t="n">
        <v>10.39</v>
      </c>
      <c r="I53" s="48" t="n">
        <v>8</v>
      </c>
      <c r="J53" s="53" t="n">
        <v>37.16</v>
      </c>
      <c r="K53" s="53" t="n">
        <v>222.85</v>
      </c>
      <c r="L53" s="48" t="n">
        <v>16.7</v>
      </c>
      <c r="M53" s="48"/>
      <c r="N53" s="48" t="s">
        <v>825</v>
      </c>
    </row>
    <row r="54" customFormat="false" ht="15" hidden="false" customHeight="false" outlineLevel="0" collapsed="false">
      <c r="A54" s="48" t="s">
        <v>471</v>
      </c>
      <c r="B54" s="48" t="s">
        <v>821</v>
      </c>
      <c r="C54" s="48" t="s">
        <v>824</v>
      </c>
      <c r="D54" s="48" t="n">
        <v>695</v>
      </c>
      <c r="E54" s="48" t="n">
        <v>32</v>
      </c>
      <c r="F54" s="48" t="n">
        <v>6.25</v>
      </c>
      <c r="G54" s="52" t="n">
        <v>1.13</v>
      </c>
      <c r="H54" s="48" t="n">
        <v>0</v>
      </c>
      <c r="I54" s="48" t="n">
        <v>0</v>
      </c>
      <c r="J54" s="53" t="n">
        <v>36.3</v>
      </c>
      <c r="K54" s="53" t="n">
        <v>0</v>
      </c>
      <c r="L54" s="48"/>
      <c r="M54" s="48" t="n">
        <v>125</v>
      </c>
      <c r="N54" s="48" t="s">
        <v>830</v>
      </c>
    </row>
    <row r="55" customFormat="false" ht="15" hidden="false" customHeight="false" outlineLevel="0" collapsed="false">
      <c r="A55" s="48" t="s">
        <v>963</v>
      </c>
      <c r="B55" s="48" t="s">
        <v>918</v>
      </c>
      <c r="C55" s="48"/>
      <c r="D55" s="48" t="n">
        <v>56962</v>
      </c>
      <c r="E55" s="48" t="n">
        <v>62</v>
      </c>
      <c r="F55" s="48" t="n">
        <v>3.66</v>
      </c>
      <c r="G55" s="52" t="n">
        <v>0.58</v>
      </c>
      <c r="H55" s="48" t="n">
        <v>6.45</v>
      </c>
      <c r="I55" s="48" t="n">
        <v>4</v>
      </c>
      <c r="J55" s="53" t="n">
        <v>36.02</v>
      </c>
      <c r="K55" s="53" t="n">
        <v>151.8</v>
      </c>
      <c r="L55" s="48" t="n">
        <v>23.7</v>
      </c>
      <c r="M55" s="48"/>
      <c r="N55" s="48" t="s">
        <v>825</v>
      </c>
    </row>
    <row r="56" customFormat="false" ht="15" hidden="false" customHeight="false" outlineLevel="0" collapsed="false">
      <c r="A56" s="48" t="s">
        <v>964</v>
      </c>
      <c r="B56" s="48" t="s">
        <v>939</v>
      </c>
      <c r="C56" s="48" t="s">
        <v>965</v>
      </c>
      <c r="D56" s="48" t="n">
        <v>30200</v>
      </c>
      <c r="E56" s="48" t="n">
        <v>59</v>
      </c>
      <c r="F56" s="48" t="n">
        <v>4.28</v>
      </c>
      <c r="G56" s="52" t="n">
        <v>0.6</v>
      </c>
      <c r="H56" s="48" t="n">
        <v>16.95</v>
      </c>
      <c r="I56" s="48" t="n">
        <v>10</v>
      </c>
      <c r="J56" s="53" t="n">
        <v>35.27</v>
      </c>
      <c r="K56" s="53" t="n">
        <v>424.74</v>
      </c>
      <c r="L56" s="48" t="n">
        <v>8.3</v>
      </c>
      <c r="M56" s="48" t="n">
        <v>97</v>
      </c>
      <c r="N56" s="48" t="s">
        <v>825</v>
      </c>
    </row>
    <row r="57" customFormat="false" ht="15" hidden="false" customHeight="false" outlineLevel="0" collapsed="false">
      <c r="A57" s="48" t="s">
        <v>477</v>
      </c>
      <c r="B57" s="48" t="s">
        <v>821</v>
      </c>
      <c r="C57" s="48" t="s">
        <v>835</v>
      </c>
      <c r="D57" s="48" t="n">
        <v>901</v>
      </c>
      <c r="E57" s="48" t="n">
        <v>16</v>
      </c>
      <c r="F57" s="48" t="n">
        <v>27.59</v>
      </c>
      <c r="G57" s="52" t="n">
        <v>2.2</v>
      </c>
      <c r="H57" s="48" t="n">
        <v>0</v>
      </c>
      <c r="I57" s="48" t="n">
        <v>0</v>
      </c>
      <c r="J57" s="53" t="n">
        <v>35.24</v>
      </c>
      <c r="K57" s="53" t="n">
        <v>0</v>
      </c>
      <c r="L57" s="48"/>
      <c r="M57" s="48" t="n">
        <v>118</v>
      </c>
      <c r="N57" s="48" t="s">
        <v>830</v>
      </c>
    </row>
    <row r="58" customFormat="false" ht="15" hidden="false" customHeight="false" outlineLevel="0" collapsed="false">
      <c r="A58" s="48" t="s">
        <v>843</v>
      </c>
      <c r="B58" s="48" t="s">
        <v>821</v>
      </c>
      <c r="C58" s="48" t="s">
        <v>822</v>
      </c>
      <c r="D58" s="48" t="n">
        <v>822</v>
      </c>
      <c r="E58" s="48" t="n">
        <v>32</v>
      </c>
      <c r="F58" s="48" t="n">
        <v>8.23</v>
      </c>
      <c r="G58" s="52" t="n">
        <v>1.09</v>
      </c>
      <c r="H58" s="48" t="n">
        <v>9.38</v>
      </c>
      <c r="I58" s="48" t="n">
        <v>3</v>
      </c>
      <c r="J58" s="53" t="n">
        <v>34.93</v>
      </c>
      <c r="K58" s="53" t="n">
        <v>145.8</v>
      </c>
      <c r="L58" s="48" t="n">
        <v>24</v>
      </c>
      <c r="M58" s="48" t="n">
        <v>81</v>
      </c>
      <c r="N58" s="48" t="s">
        <v>825</v>
      </c>
    </row>
    <row r="59" customFormat="false" ht="15" hidden="false" customHeight="false" outlineLevel="0" collapsed="false">
      <c r="A59" s="48" t="s">
        <v>966</v>
      </c>
      <c r="B59" s="48" t="s">
        <v>939</v>
      </c>
      <c r="C59" s="48" t="s">
        <v>835</v>
      </c>
      <c r="D59" s="48" t="n">
        <v>250</v>
      </c>
      <c r="E59" s="48" t="n">
        <v>9</v>
      </c>
      <c r="F59" s="48" t="n">
        <v>26.47</v>
      </c>
      <c r="G59" s="52" t="n">
        <v>3.75</v>
      </c>
      <c r="H59" s="48" t="n">
        <v>11.11</v>
      </c>
      <c r="I59" s="48" t="n">
        <v>1</v>
      </c>
      <c r="J59" s="53" t="n">
        <v>33.71</v>
      </c>
      <c r="K59" s="53" t="n">
        <v>35.95</v>
      </c>
      <c r="L59" s="48" t="n">
        <v>93.8</v>
      </c>
      <c r="M59" s="48"/>
      <c r="N59" s="48" t="s">
        <v>830</v>
      </c>
    </row>
    <row r="60" customFormat="false" ht="15" hidden="false" customHeight="false" outlineLevel="0" collapsed="false">
      <c r="A60" s="48" t="s">
        <v>967</v>
      </c>
      <c r="B60" s="48" t="s">
        <v>935</v>
      </c>
      <c r="C60" s="48"/>
      <c r="D60" s="48" t="n">
        <v>2177</v>
      </c>
      <c r="E60" s="48" t="n">
        <v>28</v>
      </c>
      <c r="F60" s="48" t="n">
        <v>1.13</v>
      </c>
      <c r="G60" s="52" t="n">
        <v>1.17</v>
      </c>
      <c r="H60" s="48" t="n">
        <v>3.57</v>
      </c>
      <c r="I60" s="48" t="n">
        <v>1</v>
      </c>
      <c r="J60" s="53" t="n">
        <v>32.89</v>
      </c>
      <c r="K60" s="53" t="n">
        <v>35.95</v>
      </c>
      <c r="L60" s="48" t="n">
        <v>91.5</v>
      </c>
      <c r="M60" s="48"/>
      <c r="N60" s="48" t="s">
        <v>830</v>
      </c>
    </row>
    <row r="61" customFormat="false" ht="15" hidden="false" customHeight="false" outlineLevel="0" collapsed="false">
      <c r="A61" s="48" t="s">
        <v>968</v>
      </c>
      <c r="B61" s="48" t="s">
        <v>821</v>
      </c>
      <c r="C61" s="48" t="s">
        <v>827</v>
      </c>
      <c r="D61" s="48" t="n">
        <v>580</v>
      </c>
      <c r="E61" s="48" t="n">
        <v>13</v>
      </c>
      <c r="F61" s="48" t="n">
        <v>20.31</v>
      </c>
      <c r="G61" s="52" t="n">
        <v>2.52</v>
      </c>
      <c r="H61" s="48" t="n">
        <v>7.69</v>
      </c>
      <c r="I61" s="48" t="n">
        <v>1</v>
      </c>
      <c r="J61" s="53" t="n">
        <v>32.72</v>
      </c>
      <c r="K61" s="53" t="n">
        <v>39.95</v>
      </c>
      <c r="L61" s="48" t="n">
        <v>81.9</v>
      </c>
      <c r="M61" s="48"/>
      <c r="N61" s="48" t="s">
        <v>830</v>
      </c>
    </row>
    <row r="62" customFormat="false" ht="15" hidden="false" customHeight="false" outlineLevel="0" collapsed="false">
      <c r="A62" s="48" t="s">
        <v>969</v>
      </c>
      <c r="B62" s="48" t="s">
        <v>918</v>
      </c>
      <c r="C62" s="48"/>
      <c r="D62" s="48" t="n">
        <v>27749</v>
      </c>
      <c r="E62" s="48" t="n">
        <v>55</v>
      </c>
      <c r="F62" s="48" t="n">
        <v>2.34</v>
      </c>
      <c r="G62" s="52" t="n">
        <v>0.59</v>
      </c>
      <c r="H62" s="48" t="n">
        <v>0</v>
      </c>
      <c r="I62" s="48" t="n">
        <v>0</v>
      </c>
      <c r="J62" s="53" t="n">
        <v>32.27</v>
      </c>
      <c r="K62" s="53" t="n">
        <v>0</v>
      </c>
      <c r="L62" s="48"/>
      <c r="M62" s="48"/>
      <c r="N62" s="48" t="s">
        <v>830</v>
      </c>
    </row>
    <row r="63" customFormat="false" ht="15" hidden="false" customHeight="false" outlineLevel="0" collapsed="false">
      <c r="A63" s="48" t="s">
        <v>852</v>
      </c>
      <c r="B63" s="48" t="s">
        <v>821</v>
      </c>
      <c r="C63" s="48" t="s">
        <v>835</v>
      </c>
      <c r="D63" s="48" t="n">
        <v>924</v>
      </c>
      <c r="E63" s="48" t="n">
        <v>23</v>
      </c>
      <c r="F63" s="48" t="n">
        <v>1.23</v>
      </c>
      <c r="G63" s="52" t="n">
        <v>1.37</v>
      </c>
      <c r="H63" s="48" t="n">
        <v>0</v>
      </c>
      <c r="I63" s="48" t="n">
        <v>0</v>
      </c>
      <c r="J63" s="53" t="n">
        <v>31.62</v>
      </c>
      <c r="K63" s="53" t="n">
        <v>0</v>
      </c>
      <c r="L63" s="48"/>
      <c r="M63" s="48" t="n">
        <v>43</v>
      </c>
      <c r="N63" s="48" t="s">
        <v>830</v>
      </c>
    </row>
    <row r="64" customFormat="false" ht="15" hidden="false" customHeight="false" outlineLevel="0" collapsed="false">
      <c r="A64" s="48" t="s">
        <v>970</v>
      </c>
      <c r="B64" s="48" t="s">
        <v>952</v>
      </c>
      <c r="C64" s="48"/>
      <c r="D64" s="48" t="n">
        <v>30210</v>
      </c>
      <c r="E64" s="48" t="n">
        <v>57</v>
      </c>
      <c r="F64" s="48" t="n">
        <v>3.76</v>
      </c>
      <c r="G64" s="52" t="n">
        <v>0.55</v>
      </c>
      <c r="H64" s="48" t="n">
        <v>7.02</v>
      </c>
      <c r="I64" s="48" t="n">
        <v>4</v>
      </c>
      <c r="J64" s="53" t="n">
        <v>31.59</v>
      </c>
      <c r="K64" s="53" t="n">
        <v>135.01</v>
      </c>
      <c r="L64" s="48" t="n">
        <v>23.4</v>
      </c>
      <c r="M64" s="48"/>
      <c r="N64" s="48" t="s">
        <v>825</v>
      </c>
    </row>
    <row r="65" customFormat="false" ht="15" hidden="false" customHeight="false" outlineLevel="0" collapsed="false">
      <c r="A65" s="48" t="s">
        <v>892</v>
      </c>
      <c r="B65" s="48" t="s">
        <v>860</v>
      </c>
      <c r="C65" s="48"/>
      <c r="D65" s="48" t="n">
        <v>1109</v>
      </c>
      <c r="E65" s="48" t="n">
        <v>49</v>
      </c>
      <c r="F65" s="48" t="n">
        <v>8.39</v>
      </c>
      <c r="G65" s="52" t="n">
        <v>0.62</v>
      </c>
      <c r="H65" s="48" t="n">
        <v>0</v>
      </c>
      <c r="I65" s="48" t="n">
        <v>0</v>
      </c>
      <c r="J65" s="53" t="n">
        <v>30.22</v>
      </c>
      <c r="K65" s="53" t="n">
        <v>0</v>
      </c>
      <c r="L65" s="48"/>
      <c r="M65" s="48" t="n">
        <v>19</v>
      </c>
      <c r="N65" s="48" t="s">
        <v>830</v>
      </c>
    </row>
    <row r="66" customFormat="false" ht="15" hidden="false" customHeight="false" outlineLevel="0" collapsed="false">
      <c r="A66" s="48" t="s">
        <v>971</v>
      </c>
      <c r="B66" s="48" t="s">
        <v>952</v>
      </c>
      <c r="C66" s="48"/>
      <c r="D66" s="48" t="n">
        <v>15189</v>
      </c>
      <c r="E66" s="48" t="n">
        <v>58</v>
      </c>
      <c r="F66" s="48" t="n">
        <v>2.35</v>
      </c>
      <c r="G66" s="52" t="n">
        <v>0.52</v>
      </c>
      <c r="H66" s="48" t="n">
        <v>3.45</v>
      </c>
      <c r="I66" s="48" t="n">
        <v>2</v>
      </c>
      <c r="J66" s="53" t="n">
        <v>29.97</v>
      </c>
      <c r="K66" s="53" t="n">
        <v>63.44</v>
      </c>
      <c r="L66" s="48" t="n">
        <v>47.2</v>
      </c>
      <c r="M66" s="48"/>
      <c r="N66" s="48" t="s">
        <v>838</v>
      </c>
    </row>
    <row r="67" customFormat="false" ht="15" hidden="false" customHeight="false" outlineLevel="0" collapsed="false">
      <c r="A67" s="48" t="s">
        <v>972</v>
      </c>
      <c r="B67" s="48" t="s">
        <v>952</v>
      </c>
      <c r="C67" s="48"/>
      <c r="D67" s="48" t="n">
        <v>186091</v>
      </c>
      <c r="E67" s="48" t="n">
        <v>49</v>
      </c>
      <c r="F67" s="48" t="n">
        <v>4.84</v>
      </c>
      <c r="G67" s="52" t="n">
        <v>0.59</v>
      </c>
      <c r="H67" s="48" t="n">
        <v>4.08</v>
      </c>
      <c r="I67" s="48" t="n">
        <v>2</v>
      </c>
      <c r="J67" s="53" t="n">
        <v>28.77</v>
      </c>
      <c r="K67" s="53" t="n">
        <v>74</v>
      </c>
      <c r="L67" s="48" t="n">
        <v>38.9</v>
      </c>
      <c r="M67" s="48"/>
      <c r="N67" s="48" t="s">
        <v>973</v>
      </c>
    </row>
    <row r="68" customFormat="false" ht="15" hidden="false" customHeight="false" outlineLevel="0" collapsed="false">
      <c r="A68" s="48" t="s">
        <v>974</v>
      </c>
      <c r="B68" s="48" t="s">
        <v>939</v>
      </c>
      <c r="C68" s="48"/>
      <c r="D68" s="48" t="n">
        <v>37</v>
      </c>
      <c r="E68" s="48" t="n">
        <v>6</v>
      </c>
      <c r="F68" s="48" t="n">
        <v>26.09</v>
      </c>
      <c r="G68" s="52" t="n">
        <v>4.76</v>
      </c>
      <c r="H68" s="48" t="n">
        <v>0</v>
      </c>
      <c r="I68" s="48" t="n">
        <v>0</v>
      </c>
      <c r="J68" s="53" t="n">
        <v>28.55</v>
      </c>
      <c r="K68" s="53" t="n">
        <v>0</v>
      </c>
      <c r="L68" s="48"/>
      <c r="M68" s="48"/>
      <c r="N68" s="48" t="s">
        <v>897</v>
      </c>
    </row>
    <row r="69" customFormat="false" ht="15" hidden="false" customHeight="false" outlineLevel="0" collapsed="false">
      <c r="A69" s="48" t="s">
        <v>975</v>
      </c>
      <c r="B69" s="48" t="s">
        <v>918</v>
      </c>
      <c r="C69" s="48"/>
      <c r="D69" s="48" t="n">
        <v>43812</v>
      </c>
      <c r="E69" s="48" t="n">
        <v>51</v>
      </c>
      <c r="F69" s="48" t="n">
        <v>4.64</v>
      </c>
      <c r="G69" s="52" t="n">
        <v>0.54</v>
      </c>
      <c r="H69" s="48" t="n">
        <v>3.92</v>
      </c>
      <c r="I69" s="48" t="n">
        <v>2</v>
      </c>
      <c r="J69" s="53" t="n">
        <v>27.76</v>
      </c>
      <c r="K69" s="53" t="n">
        <v>77.9</v>
      </c>
      <c r="L69" s="48" t="n">
        <v>35.6</v>
      </c>
      <c r="M69" s="48"/>
      <c r="N69" s="48" t="s">
        <v>973</v>
      </c>
    </row>
    <row r="70" customFormat="false" ht="15" hidden="false" customHeight="false" outlineLevel="0" collapsed="false">
      <c r="A70" s="48" t="s">
        <v>976</v>
      </c>
      <c r="B70" s="48" t="s">
        <v>952</v>
      </c>
      <c r="C70" s="48"/>
      <c r="D70" s="48" t="n">
        <v>12374</v>
      </c>
      <c r="E70" s="48" t="n">
        <v>53</v>
      </c>
      <c r="F70" s="48" t="n">
        <v>2.71</v>
      </c>
      <c r="G70" s="52" t="n">
        <v>0.52</v>
      </c>
      <c r="H70" s="48" t="n">
        <v>1.89</v>
      </c>
      <c r="I70" s="48" t="n">
        <v>1</v>
      </c>
      <c r="J70" s="53" t="n">
        <v>27.72</v>
      </c>
      <c r="K70" s="53" t="n">
        <v>17.95</v>
      </c>
      <c r="L70" s="48" t="n">
        <v>154.4</v>
      </c>
      <c r="M70" s="48"/>
      <c r="N70" s="48" t="s">
        <v>830</v>
      </c>
    </row>
    <row r="71" customFormat="false" ht="15" hidden="false" customHeight="false" outlineLevel="0" collapsed="false">
      <c r="A71" s="48" t="s">
        <v>466</v>
      </c>
      <c r="B71" s="48" t="s">
        <v>821</v>
      </c>
      <c r="C71" s="48" t="s">
        <v>824</v>
      </c>
      <c r="D71" s="48" t="n">
        <v>766</v>
      </c>
      <c r="E71" s="48" t="n">
        <v>27</v>
      </c>
      <c r="F71" s="48" t="n">
        <v>12.39</v>
      </c>
      <c r="G71" s="52" t="n">
        <v>1</v>
      </c>
      <c r="H71" s="48" t="n">
        <v>14.81</v>
      </c>
      <c r="I71" s="48" t="n">
        <v>4</v>
      </c>
      <c r="J71" s="53" t="n">
        <v>27.09</v>
      </c>
      <c r="K71" s="53" t="n">
        <v>151.77</v>
      </c>
      <c r="L71" s="48" t="n">
        <v>17.8</v>
      </c>
      <c r="M71" s="48" t="n">
        <v>34</v>
      </c>
      <c r="N71" s="48" t="s">
        <v>825</v>
      </c>
    </row>
    <row r="72" customFormat="false" ht="15" hidden="false" customHeight="false" outlineLevel="0" collapsed="false">
      <c r="A72" s="48" t="s">
        <v>977</v>
      </c>
      <c r="B72" s="48" t="s">
        <v>952</v>
      </c>
      <c r="C72" s="48"/>
      <c r="D72" s="48"/>
      <c r="E72" s="48" t="n">
        <v>60</v>
      </c>
      <c r="F72" s="48" t="n">
        <v>0.81</v>
      </c>
      <c r="G72" s="52" t="n">
        <v>0.44</v>
      </c>
      <c r="H72" s="48" t="n">
        <v>6.67</v>
      </c>
      <c r="I72" s="48" t="n">
        <v>4</v>
      </c>
      <c r="J72" s="53" t="n">
        <v>26.64</v>
      </c>
      <c r="K72" s="53" t="n">
        <v>86.96</v>
      </c>
      <c r="L72" s="48" t="n">
        <v>30.6</v>
      </c>
      <c r="M72" s="48"/>
      <c r="N72" s="48" t="s">
        <v>973</v>
      </c>
    </row>
    <row r="73" customFormat="false" ht="15" hidden="false" customHeight="false" outlineLevel="0" collapsed="false">
      <c r="A73" s="48" t="s">
        <v>978</v>
      </c>
      <c r="B73" s="48" t="s">
        <v>918</v>
      </c>
      <c r="C73" s="48"/>
      <c r="D73" s="48" t="n">
        <v>25566</v>
      </c>
      <c r="E73" s="48" t="n">
        <v>43</v>
      </c>
      <c r="F73" s="48" t="n">
        <v>5.42</v>
      </c>
      <c r="G73" s="52" t="n">
        <v>0.61</v>
      </c>
      <c r="H73" s="48" t="n">
        <v>2.33</v>
      </c>
      <c r="I73" s="48" t="n">
        <v>1</v>
      </c>
      <c r="J73" s="53" t="n">
        <v>26.23</v>
      </c>
      <c r="K73" s="53" t="n">
        <v>37.95</v>
      </c>
      <c r="L73" s="48" t="n">
        <v>69.1</v>
      </c>
      <c r="M73" s="48"/>
      <c r="N73" s="48" t="s">
        <v>830</v>
      </c>
    </row>
    <row r="74" customFormat="false" ht="15" hidden="false" customHeight="false" outlineLevel="0" collapsed="false">
      <c r="A74" s="48" t="s">
        <v>858</v>
      </c>
      <c r="B74" s="48" t="s">
        <v>821</v>
      </c>
      <c r="C74" s="48" t="s">
        <v>822</v>
      </c>
      <c r="D74" s="48" t="n">
        <v>1735</v>
      </c>
      <c r="E74" s="48" t="n">
        <v>25</v>
      </c>
      <c r="F74" s="48" t="n">
        <v>19.23</v>
      </c>
      <c r="G74" s="52" t="n">
        <v>1.05</v>
      </c>
      <c r="H74" s="48" t="n">
        <v>8</v>
      </c>
      <c r="I74" s="48" t="n">
        <v>2</v>
      </c>
      <c r="J74" s="53" t="n">
        <v>26.21</v>
      </c>
      <c r="K74" s="53" t="n">
        <v>73.9</v>
      </c>
      <c r="L74" s="48" t="n">
        <v>35.5</v>
      </c>
      <c r="M74" s="48" t="n">
        <v>62</v>
      </c>
      <c r="N74" s="48" t="s">
        <v>973</v>
      </c>
    </row>
    <row r="75" customFormat="false" ht="15" hidden="false" customHeight="false" outlineLevel="0" collapsed="false">
      <c r="A75" s="48" t="s">
        <v>979</v>
      </c>
      <c r="B75" s="48" t="s">
        <v>952</v>
      </c>
      <c r="C75" s="48"/>
      <c r="D75" s="48"/>
      <c r="E75" s="48" t="n">
        <v>59</v>
      </c>
      <c r="F75" s="48" t="n">
        <v>2.46</v>
      </c>
      <c r="G75" s="52" t="n">
        <v>0.43</v>
      </c>
      <c r="H75" s="48" t="n">
        <v>27.12</v>
      </c>
      <c r="I75" s="48" t="n">
        <v>16</v>
      </c>
      <c r="J75" s="53" t="n">
        <v>25.29</v>
      </c>
      <c r="K75" s="53" t="n">
        <v>532.64</v>
      </c>
      <c r="L75" s="48" t="n">
        <v>4.7</v>
      </c>
      <c r="M75" s="48"/>
      <c r="N75" s="48" t="s">
        <v>825</v>
      </c>
    </row>
    <row r="76" customFormat="false" ht="15" hidden="false" customHeight="false" outlineLevel="0" collapsed="false">
      <c r="A76" s="48" t="s">
        <v>980</v>
      </c>
      <c r="B76" s="48" t="s">
        <v>952</v>
      </c>
      <c r="C76" s="48"/>
      <c r="D76" s="48" t="n">
        <v>94713</v>
      </c>
      <c r="E76" s="48" t="n">
        <v>41</v>
      </c>
      <c r="F76" s="48" t="n">
        <v>3.14</v>
      </c>
      <c r="G76" s="52" t="n">
        <v>0.59</v>
      </c>
      <c r="H76" s="48" t="n">
        <v>4.88</v>
      </c>
      <c r="I76" s="48" t="n">
        <v>2</v>
      </c>
      <c r="J76" s="53" t="n">
        <v>24.04</v>
      </c>
      <c r="K76" s="53" t="n">
        <v>75.9</v>
      </c>
      <c r="L76" s="48" t="n">
        <v>31.7</v>
      </c>
      <c r="M76" s="48"/>
      <c r="N76" s="48" t="s">
        <v>973</v>
      </c>
    </row>
    <row r="77" customFormat="false" ht="15" hidden="false" customHeight="false" outlineLevel="0" collapsed="false">
      <c r="A77" s="48" t="s">
        <v>981</v>
      </c>
      <c r="B77" s="48" t="s">
        <v>918</v>
      </c>
      <c r="C77" s="48"/>
      <c r="D77" s="48" t="n">
        <v>39916</v>
      </c>
      <c r="E77" s="48" t="n">
        <v>41</v>
      </c>
      <c r="F77" s="48" t="n">
        <v>6.04</v>
      </c>
      <c r="G77" s="52" t="n">
        <v>0.58</v>
      </c>
      <c r="H77" s="48" t="n">
        <v>2.44</v>
      </c>
      <c r="I77" s="48" t="n">
        <v>1</v>
      </c>
      <c r="J77" s="53" t="n">
        <v>23.77</v>
      </c>
      <c r="K77" s="53" t="n">
        <v>37.95</v>
      </c>
      <c r="L77" s="48" t="n">
        <v>62.6</v>
      </c>
      <c r="M77" s="48"/>
      <c r="N77" s="48" t="s">
        <v>830</v>
      </c>
    </row>
    <row r="78" customFormat="false" ht="15" hidden="false" customHeight="false" outlineLevel="0" collapsed="false">
      <c r="A78" s="48" t="s">
        <v>847</v>
      </c>
      <c r="B78" s="48" t="s">
        <v>821</v>
      </c>
      <c r="C78" s="48" t="s">
        <v>835</v>
      </c>
      <c r="D78" s="48" t="n">
        <v>1961</v>
      </c>
      <c r="E78" s="48" t="n">
        <v>13</v>
      </c>
      <c r="F78" s="48" t="n">
        <v>2.34</v>
      </c>
      <c r="G78" s="52" t="n">
        <v>1.82</v>
      </c>
      <c r="H78" s="48" t="n">
        <v>15.38</v>
      </c>
      <c r="I78" s="48" t="n">
        <v>2</v>
      </c>
      <c r="J78" s="53" t="n">
        <v>23.63</v>
      </c>
      <c r="K78" s="53" t="n">
        <v>77.9</v>
      </c>
      <c r="L78" s="48" t="n">
        <v>30.3</v>
      </c>
      <c r="M78" s="48" t="n">
        <v>55</v>
      </c>
      <c r="N78" s="48" t="s">
        <v>973</v>
      </c>
    </row>
    <row r="79" customFormat="false" ht="15" hidden="false" customHeight="false" outlineLevel="0" collapsed="false">
      <c r="A79" s="48" t="s">
        <v>982</v>
      </c>
      <c r="B79" s="48" t="s">
        <v>918</v>
      </c>
      <c r="C79" s="48"/>
      <c r="D79" s="48" t="n">
        <v>16092</v>
      </c>
      <c r="E79" s="48" t="n">
        <v>41</v>
      </c>
      <c r="F79" s="48" t="n">
        <v>3.15</v>
      </c>
      <c r="G79" s="52" t="n">
        <v>0.58</v>
      </c>
      <c r="H79" s="48" t="n">
        <v>0</v>
      </c>
      <c r="I79" s="48" t="n">
        <v>0</v>
      </c>
      <c r="J79" s="53" t="n">
        <v>23.58</v>
      </c>
      <c r="K79" s="53" t="n">
        <v>0</v>
      </c>
      <c r="L79" s="48"/>
      <c r="M79" s="48"/>
      <c r="N79" s="48" t="s">
        <v>830</v>
      </c>
    </row>
    <row r="80" customFormat="false" ht="15" hidden="false" customHeight="false" outlineLevel="0" collapsed="false">
      <c r="A80" s="48" t="s">
        <v>983</v>
      </c>
      <c r="B80" s="48" t="s">
        <v>918</v>
      </c>
      <c r="C80" s="48"/>
      <c r="D80" s="48" t="n">
        <v>44089</v>
      </c>
      <c r="E80" s="48" t="n">
        <v>40</v>
      </c>
      <c r="F80" s="48" t="n">
        <v>4.66</v>
      </c>
      <c r="G80" s="52" t="n">
        <v>0.59</v>
      </c>
      <c r="H80" s="48" t="n">
        <v>0</v>
      </c>
      <c r="I80" s="48" t="n">
        <v>0</v>
      </c>
      <c r="J80" s="53" t="n">
        <v>23.55</v>
      </c>
      <c r="K80" s="53" t="n">
        <v>0</v>
      </c>
      <c r="L80" s="48"/>
      <c r="M80" s="48"/>
      <c r="N80" s="48" t="s">
        <v>830</v>
      </c>
    </row>
    <row r="81" customFormat="false" ht="15" hidden="false" customHeight="false" outlineLevel="0" collapsed="false">
      <c r="A81" s="48" t="s">
        <v>984</v>
      </c>
      <c r="B81" s="48" t="s">
        <v>918</v>
      </c>
      <c r="C81" s="48"/>
      <c r="D81" s="48" t="n">
        <v>158688</v>
      </c>
      <c r="E81" s="48" t="n">
        <v>43</v>
      </c>
      <c r="F81" s="48" t="n">
        <v>0.18</v>
      </c>
      <c r="G81" s="52" t="n">
        <v>0.54</v>
      </c>
      <c r="H81" s="48" t="n">
        <v>4.65</v>
      </c>
      <c r="I81" s="48" t="n">
        <v>2</v>
      </c>
      <c r="J81" s="53" t="n">
        <v>23.24</v>
      </c>
      <c r="K81" s="53" t="n">
        <v>75.9</v>
      </c>
      <c r="L81" s="48" t="n">
        <v>30.6</v>
      </c>
      <c r="M81" s="48"/>
      <c r="N81" s="48" t="s">
        <v>973</v>
      </c>
    </row>
    <row r="82" customFormat="false" ht="15" hidden="false" customHeight="false" outlineLevel="0" collapsed="false">
      <c r="A82" s="48" t="s">
        <v>985</v>
      </c>
      <c r="B82" s="48" t="s">
        <v>918</v>
      </c>
      <c r="C82" s="48"/>
      <c r="D82" s="48" t="n">
        <v>12710</v>
      </c>
      <c r="E82" s="48" t="n">
        <v>39</v>
      </c>
      <c r="F82" s="48" t="n">
        <v>3.41</v>
      </c>
      <c r="G82" s="52" t="n">
        <v>0.59</v>
      </c>
      <c r="H82" s="48" t="n">
        <v>0</v>
      </c>
      <c r="I82" s="48" t="n">
        <v>0</v>
      </c>
      <c r="J82" s="53" t="n">
        <v>22.84</v>
      </c>
      <c r="K82" s="53" t="n">
        <v>0</v>
      </c>
      <c r="L82" s="48"/>
      <c r="M82" s="48"/>
      <c r="N82" s="48" t="s">
        <v>830</v>
      </c>
    </row>
    <row r="83" customFormat="false" ht="15" hidden="false" customHeight="false" outlineLevel="0" collapsed="false">
      <c r="A83" s="48" t="s">
        <v>986</v>
      </c>
      <c r="B83" s="48" t="s">
        <v>821</v>
      </c>
      <c r="C83" s="48" t="s">
        <v>824</v>
      </c>
      <c r="D83" s="48" t="n">
        <v>392</v>
      </c>
      <c r="E83" s="48" t="n">
        <v>12</v>
      </c>
      <c r="F83" s="48" t="n">
        <v>24</v>
      </c>
      <c r="G83" s="52" t="n">
        <v>1.89</v>
      </c>
      <c r="H83" s="48" t="n">
        <v>16.67</v>
      </c>
      <c r="I83" s="48" t="n">
        <v>2</v>
      </c>
      <c r="J83" s="53" t="n">
        <v>22.66</v>
      </c>
      <c r="K83" s="53" t="n">
        <v>112.94</v>
      </c>
      <c r="L83" s="48" t="n">
        <v>20.1</v>
      </c>
      <c r="M83" s="48"/>
      <c r="N83" s="48" t="s">
        <v>825</v>
      </c>
    </row>
    <row r="84" customFormat="false" ht="15" hidden="false" customHeight="false" outlineLevel="0" collapsed="false">
      <c r="A84" s="48" t="s">
        <v>987</v>
      </c>
      <c r="B84" s="48" t="s">
        <v>952</v>
      </c>
      <c r="C84" s="48"/>
      <c r="D84" s="48" t="n">
        <v>36126</v>
      </c>
      <c r="E84" s="48" t="n">
        <v>39</v>
      </c>
      <c r="F84" s="48" t="n">
        <v>3.57</v>
      </c>
      <c r="G84" s="52" t="n">
        <v>0.58</v>
      </c>
      <c r="H84" s="48" t="n">
        <v>0</v>
      </c>
      <c r="I84" s="48" t="n">
        <v>0</v>
      </c>
      <c r="J84" s="53" t="n">
        <v>22.57</v>
      </c>
      <c r="K84" s="53" t="n">
        <v>0</v>
      </c>
      <c r="L84" s="48"/>
      <c r="M84" s="48"/>
      <c r="N84" s="48" t="s">
        <v>830</v>
      </c>
    </row>
    <row r="85" customFormat="false" ht="15" hidden="false" customHeight="false" outlineLevel="0" collapsed="false">
      <c r="A85" s="48" t="s">
        <v>826</v>
      </c>
      <c r="B85" s="48" t="s">
        <v>821</v>
      </c>
      <c r="C85" s="48" t="s">
        <v>827</v>
      </c>
      <c r="D85" s="48" t="n">
        <v>4967</v>
      </c>
      <c r="E85" s="48" t="n">
        <v>38</v>
      </c>
      <c r="F85" s="48" t="n">
        <v>10.7</v>
      </c>
      <c r="G85" s="52" t="n">
        <v>0.59</v>
      </c>
      <c r="H85" s="48" t="n">
        <v>0</v>
      </c>
      <c r="I85" s="48" t="n">
        <v>0</v>
      </c>
      <c r="J85" s="53" t="n">
        <v>22.42</v>
      </c>
      <c r="K85" s="53" t="n">
        <v>0</v>
      </c>
      <c r="L85" s="48"/>
      <c r="M85" s="48" t="n">
        <v>26</v>
      </c>
      <c r="N85" s="48" t="s">
        <v>830</v>
      </c>
    </row>
    <row r="86" customFormat="false" ht="15" hidden="false" customHeight="false" outlineLevel="0" collapsed="false">
      <c r="A86" s="48" t="s">
        <v>988</v>
      </c>
      <c r="B86" s="48" t="s">
        <v>952</v>
      </c>
      <c r="C86" s="48"/>
      <c r="D86" s="48"/>
      <c r="E86" s="48" t="n">
        <v>37</v>
      </c>
      <c r="F86" s="48" t="n">
        <v>2.04</v>
      </c>
      <c r="G86" s="52" t="n">
        <v>0.59</v>
      </c>
      <c r="H86" s="48" t="n">
        <v>0</v>
      </c>
      <c r="I86" s="48" t="n">
        <v>0</v>
      </c>
      <c r="J86" s="53" t="n">
        <v>21.83</v>
      </c>
      <c r="K86" s="53" t="n">
        <v>0</v>
      </c>
      <c r="L86" s="48"/>
      <c r="M86" s="48"/>
      <c r="N86" s="48" t="s">
        <v>830</v>
      </c>
    </row>
    <row r="87" customFormat="false" ht="15" hidden="false" customHeight="false" outlineLevel="0" collapsed="false">
      <c r="A87" s="48" t="s">
        <v>989</v>
      </c>
      <c r="B87" s="48" t="s">
        <v>918</v>
      </c>
      <c r="C87" s="48"/>
      <c r="D87" s="48" t="n">
        <v>9249</v>
      </c>
      <c r="E87" s="48" t="n">
        <v>34</v>
      </c>
      <c r="F87" s="48" t="n">
        <v>13.23</v>
      </c>
      <c r="G87" s="52" t="n">
        <v>0.62</v>
      </c>
      <c r="H87" s="48" t="n">
        <v>14.71</v>
      </c>
      <c r="I87" s="48" t="n">
        <v>5</v>
      </c>
      <c r="J87" s="53" t="n">
        <v>21.19</v>
      </c>
      <c r="K87" s="53" t="n">
        <v>185.95</v>
      </c>
      <c r="L87" s="48" t="n">
        <v>11.4</v>
      </c>
      <c r="M87" s="48"/>
      <c r="N87" s="48" t="s">
        <v>825</v>
      </c>
    </row>
    <row r="88" customFormat="false" ht="15" hidden="false" customHeight="false" outlineLevel="0" collapsed="false">
      <c r="A88" s="48" t="s">
        <v>990</v>
      </c>
      <c r="B88" s="48" t="s">
        <v>918</v>
      </c>
      <c r="C88" s="48"/>
      <c r="D88" s="48" t="n">
        <v>19613</v>
      </c>
      <c r="E88" s="48" t="n">
        <v>36</v>
      </c>
      <c r="F88" s="48" t="n">
        <v>3.43</v>
      </c>
      <c r="G88" s="52" t="n">
        <v>0.59</v>
      </c>
      <c r="H88" s="48" t="n">
        <v>0</v>
      </c>
      <c r="I88" s="48" t="n">
        <v>0</v>
      </c>
      <c r="J88" s="53" t="n">
        <v>21.16</v>
      </c>
      <c r="K88" s="53" t="n">
        <v>0</v>
      </c>
      <c r="L88" s="48"/>
      <c r="M88" s="48"/>
      <c r="N88" s="48" t="s">
        <v>830</v>
      </c>
    </row>
    <row r="89" customFormat="false" ht="15" hidden="false" customHeight="false" outlineLevel="0" collapsed="false">
      <c r="A89" s="48" t="s">
        <v>991</v>
      </c>
      <c r="B89" s="48" t="s">
        <v>821</v>
      </c>
      <c r="C89" s="48" t="s">
        <v>824</v>
      </c>
      <c r="D89" s="48" t="n">
        <v>649</v>
      </c>
      <c r="E89" s="48" t="n">
        <v>15</v>
      </c>
      <c r="F89" s="48" t="n">
        <v>8.93</v>
      </c>
      <c r="G89" s="52" t="n">
        <v>1.39</v>
      </c>
      <c r="H89" s="48" t="n">
        <v>20</v>
      </c>
      <c r="I89" s="48" t="n">
        <v>3</v>
      </c>
      <c r="J89" s="53" t="n">
        <v>20.79</v>
      </c>
      <c r="K89" s="53" t="n">
        <v>113.84</v>
      </c>
      <c r="L89" s="48" t="n">
        <v>18.3</v>
      </c>
      <c r="M89" s="48" t="n">
        <v>34</v>
      </c>
      <c r="N89" s="48" t="s">
        <v>825</v>
      </c>
    </row>
    <row r="90" customFormat="false" ht="15" hidden="false" customHeight="false" outlineLevel="0" collapsed="false">
      <c r="A90" s="48" t="s">
        <v>829</v>
      </c>
      <c r="B90" s="48" t="s">
        <v>821</v>
      </c>
      <c r="C90" s="48" t="s">
        <v>827</v>
      </c>
      <c r="D90" s="48" t="n">
        <v>3271</v>
      </c>
      <c r="E90" s="48" t="n">
        <v>20</v>
      </c>
      <c r="F90" s="48" t="n">
        <v>12.35</v>
      </c>
      <c r="G90" s="52" t="n">
        <v>1.03</v>
      </c>
      <c r="H90" s="48" t="n">
        <v>0</v>
      </c>
      <c r="I90" s="48" t="n">
        <v>0</v>
      </c>
      <c r="J90" s="53" t="n">
        <v>20.62</v>
      </c>
      <c r="K90" s="53" t="n">
        <v>0</v>
      </c>
      <c r="L90" s="48"/>
      <c r="M90" s="48" t="n">
        <v>66</v>
      </c>
      <c r="N90" s="48" t="s">
        <v>830</v>
      </c>
    </row>
    <row r="91" customFormat="false" ht="15" hidden="false" customHeight="false" outlineLevel="0" collapsed="false">
      <c r="A91" s="48" t="s">
        <v>992</v>
      </c>
      <c r="B91" s="48" t="s">
        <v>952</v>
      </c>
      <c r="C91" s="48"/>
      <c r="D91" s="48" t="n">
        <v>1245</v>
      </c>
      <c r="E91" s="48" t="n">
        <v>34</v>
      </c>
      <c r="F91" s="48" t="n">
        <v>10.4</v>
      </c>
      <c r="G91" s="52" t="n">
        <v>0.59</v>
      </c>
      <c r="H91" s="48" t="n">
        <v>0</v>
      </c>
      <c r="I91" s="48" t="n">
        <v>0</v>
      </c>
      <c r="J91" s="53" t="n">
        <v>20.06</v>
      </c>
      <c r="K91" s="53" t="n">
        <v>0</v>
      </c>
      <c r="L91" s="48"/>
      <c r="M91" s="48"/>
      <c r="N91" s="48" t="s">
        <v>830</v>
      </c>
    </row>
    <row r="92" customFormat="false" ht="15" hidden="false" customHeight="false" outlineLevel="0" collapsed="false">
      <c r="A92" s="48" t="s">
        <v>474</v>
      </c>
      <c r="B92" s="48" t="s">
        <v>860</v>
      </c>
      <c r="C92" s="48"/>
      <c r="D92" s="48" t="n">
        <v>1093</v>
      </c>
      <c r="E92" s="48" t="n">
        <v>34</v>
      </c>
      <c r="F92" s="48" t="n">
        <v>9.97</v>
      </c>
      <c r="G92" s="52" t="n">
        <v>0.58</v>
      </c>
      <c r="H92" s="48" t="n">
        <v>2.94</v>
      </c>
      <c r="I92" s="48" t="n">
        <v>1</v>
      </c>
      <c r="J92" s="53" t="n">
        <v>19.79</v>
      </c>
      <c r="K92" s="53" t="n">
        <v>46.95</v>
      </c>
      <c r="L92" s="48" t="n">
        <v>42.2</v>
      </c>
      <c r="M92" s="48" t="n">
        <v>81</v>
      </c>
      <c r="N92" s="48" t="s">
        <v>973</v>
      </c>
    </row>
    <row r="93" customFormat="false" ht="15" hidden="false" customHeight="false" outlineLevel="0" collapsed="false">
      <c r="A93" s="48" t="s">
        <v>993</v>
      </c>
      <c r="B93" s="48" t="s">
        <v>918</v>
      </c>
      <c r="C93" s="48"/>
      <c r="D93" s="48" t="n">
        <v>33249</v>
      </c>
      <c r="E93" s="48" t="n">
        <v>34</v>
      </c>
      <c r="F93" s="48" t="n">
        <v>5.27</v>
      </c>
      <c r="G93" s="52" t="n">
        <v>0.58</v>
      </c>
      <c r="H93" s="48" t="n">
        <v>0</v>
      </c>
      <c r="I93" s="48" t="n">
        <v>0</v>
      </c>
      <c r="J93" s="53" t="n">
        <v>19.58</v>
      </c>
      <c r="K93" s="53" t="n">
        <v>0</v>
      </c>
      <c r="L93" s="48"/>
      <c r="M93" s="48"/>
      <c r="N93" s="48" t="s">
        <v>830</v>
      </c>
    </row>
    <row r="94" customFormat="false" ht="15" hidden="false" customHeight="false" outlineLevel="0" collapsed="false">
      <c r="A94" s="48" t="s">
        <v>994</v>
      </c>
      <c r="B94" s="48" t="s">
        <v>952</v>
      </c>
      <c r="C94" s="48"/>
      <c r="D94" s="48" t="n">
        <v>908</v>
      </c>
      <c r="E94" s="48" t="n">
        <v>33</v>
      </c>
      <c r="F94" s="48" t="n">
        <v>12.13</v>
      </c>
      <c r="G94" s="52" t="n">
        <v>0.59</v>
      </c>
      <c r="H94" s="48" t="n">
        <v>6.06</v>
      </c>
      <c r="I94" s="48" t="n">
        <v>2</v>
      </c>
      <c r="J94" s="53" t="n">
        <v>19.43</v>
      </c>
      <c r="K94" s="53" t="n">
        <v>75.9</v>
      </c>
      <c r="L94" s="48" t="n">
        <v>25.6</v>
      </c>
      <c r="M94" s="48"/>
      <c r="N94" s="48" t="s">
        <v>825</v>
      </c>
    </row>
    <row r="95" customFormat="false" ht="15" hidden="false" customHeight="false" outlineLevel="0" collapsed="false">
      <c r="A95" s="48" t="s">
        <v>995</v>
      </c>
      <c r="B95" s="48" t="s">
        <v>952</v>
      </c>
      <c r="C95" s="48"/>
      <c r="D95" s="48" t="n">
        <v>89804</v>
      </c>
      <c r="E95" s="48" t="n">
        <v>33</v>
      </c>
      <c r="F95" s="48" t="n">
        <v>2.92</v>
      </c>
      <c r="G95" s="52" t="n">
        <v>0.59</v>
      </c>
      <c r="H95" s="48" t="n">
        <v>9.09</v>
      </c>
      <c r="I95" s="48" t="n">
        <v>3</v>
      </c>
      <c r="J95" s="53" t="n">
        <v>19.4</v>
      </c>
      <c r="K95" s="53" t="n">
        <v>113.85</v>
      </c>
      <c r="L95" s="48" t="n">
        <v>17</v>
      </c>
      <c r="M95" s="48"/>
      <c r="N95" s="48" t="s">
        <v>825</v>
      </c>
    </row>
    <row r="96" customFormat="false" ht="15" hidden="false" customHeight="false" outlineLevel="0" collapsed="false">
      <c r="A96" s="48" t="s">
        <v>996</v>
      </c>
      <c r="B96" s="48" t="s">
        <v>952</v>
      </c>
      <c r="C96" s="48"/>
      <c r="D96" s="48" t="n">
        <v>1224</v>
      </c>
      <c r="E96" s="48" t="n">
        <v>32</v>
      </c>
      <c r="F96" s="48" t="n">
        <v>11.72</v>
      </c>
      <c r="G96" s="52" t="n">
        <v>0.59</v>
      </c>
      <c r="H96" s="48" t="n">
        <v>3.13</v>
      </c>
      <c r="I96" s="48" t="n">
        <v>1</v>
      </c>
      <c r="J96" s="53" t="n">
        <v>18.84</v>
      </c>
      <c r="K96" s="53" t="n">
        <v>39.95</v>
      </c>
      <c r="L96" s="48" t="n">
        <v>47.2</v>
      </c>
      <c r="M96" s="48"/>
      <c r="N96" s="48" t="s">
        <v>838</v>
      </c>
    </row>
    <row r="97" customFormat="false" ht="15" hidden="false" customHeight="false" outlineLevel="0" collapsed="false">
      <c r="A97" s="48" t="s">
        <v>997</v>
      </c>
      <c r="B97" s="48" t="s">
        <v>952</v>
      </c>
      <c r="C97" s="48"/>
      <c r="D97" s="48"/>
      <c r="E97" s="48" t="n">
        <v>52</v>
      </c>
      <c r="F97" s="48" t="n">
        <v>6.08</v>
      </c>
      <c r="G97" s="52" t="n">
        <v>0.35</v>
      </c>
      <c r="H97" s="48" t="n">
        <v>0</v>
      </c>
      <c r="I97" s="48" t="n">
        <v>0</v>
      </c>
      <c r="J97" s="53" t="n">
        <v>18.01</v>
      </c>
      <c r="K97" s="53" t="n">
        <v>0</v>
      </c>
      <c r="L97" s="48"/>
      <c r="M97" s="48"/>
      <c r="N97" s="48" t="s">
        <v>830</v>
      </c>
    </row>
    <row r="98" customFormat="false" ht="15" hidden="false" customHeight="false" outlineLevel="0" collapsed="false">
      <c r="A98" s="48" t="s">
        <v>998</v>
      </c>
      <c r="B98" s="48" t="s">
        <v>918</v>
      </c>
      <c r="C98" s="48"/>
      <c r="D98" s="48" t="n">
        <v>56164</v>
      </c>
      <c r="E98" s="48" t="n">
        <v>32</v>
      </c>
      <c r="F98" s="48" t="n">
        <v>4.04</v>
      </c>
      <c r="G98" s="52" t="n">
        <v>0.56</v>
      </c>
      <c r="H98" s="48" t="n">
        <v>3.13</v>
      </c>
      <c r="I98" s="48" t="n">
        <v>1</v>
      </c>
      <c r="J98" s="53" t="n">
        <v>17.89</v>
      </c>
      <c r="K98" s="53" t="n">
        <v>33.96</v>
      </c>
      <c r="L98" s="48" t="n">
        <v>52.7</v>
      </c>
      <c r="M98" s="48"/>
      <c r="N98" s="48" t="s">
        <v>838</v>
      </c>
    </row>
    <row r="99" customFormat="false" ht="15" hidden="false" customHeight="false" outlineLevel="0" collapsed="false">
      <c r="A99" s="48" t="s">
        <v>930</v>
      </c>
      <c r="B99" s="48" t="s">
        <v>860</v>
      </c>
      <c r="C99" s="48"/>
      <c r="D99" s="48" t="n">
        <v>639</v>
      </c>
      <c r="E99" s="48" t="n">
        <v>27</v>
      </c>
      <c r="F99" s="48" t="n">
        <v>23.08</v>
      </c>
      <c r="G99" s="52" t="n">
        <v>0.66</v>
      </c>
      <c r="H99" s="48" t="n">
        <v>11.11</v>
      </c>
      <c r="I99" s="48" t="n">
        <v>3</v>
      </c>
      <c r="J99" s="53" t="n">
        <v>17.82</v>
      </c>
      <c r="K99" s="53" t="n">
        <v>111.95</v>
      </c>
      <c r="L99" s="48" t="n">
        <v>15.9</v>
      </c>
      <c r="M99" s="48" t="n">
        <v>48</v>
      </c>
      <c r="N99" s="48" t="s">
        <v>825</v>
      </c>
    </row>
    <row r="100" customFormat="false" ht="15" hidden="false" customHeight="false" outlineLevel="0" collapsed="false">
      <c r="A100" s="48" t="s">
        <v>999</v>
      </c>
      <c r="B100" s="48" t="s">
        <v>952</v>
      </c>
      <c r="C100" s="48"/>
      <c r="D100" s="48" t="n">
        <v>33924</v>
      </c>
      <c r="E100" s="48" t="n">
        <v>30</v>
      </c>
      <c r="F100" s="48" t="n">
        <v>4.68</v>
      </c>
      <c r="G100" s="52" t="n">
        <v>0.59</v>
      </c>
      <c r="H100" s="48" t="n">
        <v>3.33</v>
      </c>
      <c r="I100" s="48" t="n">
        <v>1</v>
      </c>
      <c r="J100" s="53" t="n">
        <v>17.61</v>
      </c>
      <c r="K100" s="53" t="n">
        <v>35.95</v>
      </c>
      <c r="L100" s="48" t="n">
        <v>49</v>
      </c>
      <c r="M100" s="48"/>
      <c r="N100" s="48" t="s">
        <v>838</v>
      </c>
    </row>
    <row r="101" customFormat="false" ht="15" hidden="false" customHeight="false" outlineLevel="0" collapsed="false">
      <c r="A101" s="48" t="s">
        <v>1000</v>
      </c>
      <c r="B101" s="48" t="s">
        <v>952</v>
      </c>
      <c r="C101" s="48"/>
      <c r="D101" s="48"/>
      <c r="E101" s="48" t="n">
        <v>40</v>
      </c>
      <c r="F101" s="48" t="n">
        <v>0.18</v>
      </c>
      <c r="G101" s="52" t="n">
        <v>0.44</v>
      </c>
      <c r="H101" s="48" t="n">
        <v>7.5</v>
      </c>
      <c r="I101" s="48" t="n">
        <v>3</v>
      </c>
      <c r="J101" s="53" t="n">
        <v>17.57</v>
      </c>
      <c r="K101" s="53" t="n">
        <v>85.97</v>
      </c>
      <c r="L101" s="48" t="n">
        <v>20.4</v>
      </c>
      <c r="M101" s="48"/>
      <c r="N101" s="48" t="s">
        <v>825</v>
      </c>
    </row>
    <row r="102" customFormat="false" ht="15" hidden="false" customHeight="false" outlineLevel="0" collapsed="false">
      <c r="A102" s="48" t="s">
        <v>1001</v>
      </c>
      <c r="B102" s="48" t="s">
        <v>952</v>
      </c>
      <c r="C102" s="48"/>
      <c r="D102" s="48" t="n">
        <v>4280</v>
      </c>
      <c r="E102" s="48" t="n">
        <v>36</v>
      </c>
      <c r="F102" s="48" t="n">
        <v>10.84</v>
      </c>
      <c r="G102" s="52" t="n">
        <v>0.44</v>
      </c>
      <c r="H102" s="48" t="n">
        <v>13.89</v>
      </c>
      <c r="I102" s="48" t="n">
        <v>5</v>
      </c>
      <c r="J102" s="53" t="n">
        <v>15.86</v>
      </c>
      <c r="K102" s="53" t="n">
        <v>156.78</v>
      </c>
      <c r="L102" s="48" t="n">
        <v>10.1</v>
      </c>
      <c r="M102" s="48"/>
      <c r="N102" s="48" t="s">
        <v>825</v>
      </c>
    </row>
    <row r="103" customFormat="false" ht="15" hidden="false" customHeight="false" outlineLevel="0" collapsed="false">
      <c r="A103" s="48" t="s">
        <v>1002</v>
      </c>
      <c r="B103" s="48" t="s">
        <v>952</v>
      </c>
      <c r="C103" s="48"/>
      <c r="D103" s="48" t="n">
        <v>49657</v>
      </c>
      <c r="E103" s="48" t="n">
        <v>27</v>
      </c>
      <c r="F103" s="48" t="n">
        <v>4.23</v>
      </c>
      <c r="G103" s="52" t="n">
        <v>0.59</v>
      </c>
      <c r="H103" s="48" t="n">
        <v>0</v>
      </c>
      <c r="I103" s="48" t="n">
        <v>0</v>
      </c>
      <c r="J103" s="53" t="n">
        <v>15.82</v>
      </c>
      <c r="K103" s="53" t="n">
        <v>0</v>
      </c>
      <c r="L103" s="48"/>
      <c r="M103" s="48"/>
      <c r="N103" s="48" t="s">
        <v>830</v>
      </c>
    </row>
    <row r="104" customFormat="false" ht="15" hidden="false" customHeight="false" outlineLevel="0" collapsed="false">
      <c r="A104" s="48" t="s">
        <v>1003</v>
      </c>
      <c r="B104" s="48" t="s">
        <v>918</v>
      </c>
      <c r="C104" s="48"/>
      <c r="D104" s="48" t="n">
        <v>35049</v>
      </c>
      <c r="E104" s="48" t="n">
        <v>28</v>
      </c>
      <c r="F104" s="48" t="n">
        <v>2.59</v>
      </c>
      <c r="G104" s="52" t="n">
        <v>0.54</v>
      </c>
      <c r="H104" s="48" t="n">
        <v>7.14</v>
      </c>
      <c r="I104" s="48" t="n">
        <v>2</v>
      </c>
      <c r="J104" s="53" t="n">
        <v>15.05</v>
      </c>
      <c r="K104" s="53" t="n">
        <v>90.9</v>
      </c>
      <c r="L104" s="48" t="n">
        <v>16.6</v>
      </c>
      <c r="M104" s="48"/>
      <c r="N104" s="48" t="s">
        <v>825</v>
      </c>
    </row>
    <row r="105" customFormat="false" ht="15" hidden="false" customHeight="false" outlineLevel="0" collapsed="false">
      <c r="A105" s="48" t="s">
        <v>1004</v>
      </c>
      <c r="B105" s="48" t="s">
        <v>952</v>
      </c>
      <c r="C105" s="48"/>
      <c r="D105" s="48" t="n">
        <v>4026</v>
      </c>
      <c r="E105" s="48" t="n">
        <v>28</v>
      </c>
      <c r="F105" s="48" t="n">
        <v>4.22</v>
      </c>
      <c r="G105" s="52" t="n">
        <v>0.52</v>
      </c>
      <c r="H105" s="48" t="n">
        <v>0</v>
      </c>
      <c r="I105" s="48" t="n">
        <v>0</v>
      </c>
      <c r="J105" s="53" t="n">
        <v>14.65</v>
      </c>
      <c r="K105" s="53" t="n">
        <v>0</v>
      </c>
      <c r="L105" s="48"/>
      <c r="M105" s="48"/>
      <c r="N105" s="48" t="s">
        <v>830</v>
      </c>
    </row>
    <row r="106" customFormat="false" ht="15" hidden="false" customHeight="false" outlineLevel="0" collapsed="false">
      <c r="A106" s="48" t="s">
        <v>1005</v>
      </c>
      <c r="B106" s="48" t="s">
        <v>952</v>
      </c>
      <c r="C106" s="48"/>
      <c r="D106" s="48" t="n">
        <v>38522</v>
      </c>
      <c r="E106" s="48" t="n">
        <v>27</v>
      </c>
      <c r="F106" s="48" t="n">
        <v>3.94</v>
      </c>
      <c r="G106" s="52" t="n">
        <v>0.53</v>
      </c>
      <c r="H106" s="48" t="n">
        <v>3.7</v>
      </c>
      <c r="I106" s="48" t="n">
        <v>1</v>
      </c>
      <c r="J106" s="53" t="n">
        <v>14.37</v>
      </c>
      <c r="K106" s="53" t="n">
        <v>39.95</v>
      </c>
      <c r="L106" s="48" t="n">
        <v>36</v>
      </c>
      <c r="M106" s="48"/>
      <c r="N106" s="48" t="s">
        <v>973</v>
      </c>
    </row>
    <row r="107" customFormat="false" ht="15" hidden="false" customHeight="false" outlineLevel="0" collapsed="false">
      <c r="A107" s="48" t="s">
        <v>1006</v>
      </c>
      <c r="B107" s="48" t="s">
        <v>935</v>
      </c>
      <c r="C107" s="48"/>
      <c r="D107" s="48"/>
      <c r="E107" s="48" t="n">
        <v>30</v>
      </c>
      <c r="F107" s="48" t="n">
        <v>17.05</v>
      </c>
      <c r="G107" s="52" t="n">
        <v>0.45</v>
      </c>
      <c r="H107" s="48" t="n">
        <v>16.67</v>
      </c>
      <c r="I107" s="48" t="n">
        <v>5</v>
      </c>
      <c r="J107" s="53" t="n">
        <v>13.5</v>
      </c>
      <c r="K107" s="53" t="n">
        <v>106.84</v>
      </c>
      <c r="L107" s="48" t="n">
        <v>12.6</v>
      </c>
      <c r="M107" s="48"/>
      <c r="N107" s="48" t="s">
        <v>825</v>
      </c>
    </row>
    <row r="108" customFormat="false" ht="15" hidden="false" customHeight="false" outlineLevel="0" collapsed="false">
      <c r="A108" s="48" t="s">
        <v>1007</v>
      </c>
      <c r="B108" s="48" t="s">
        <v>935</v>
      </c>
      <c r="C108" s="48"/>
      <c r="D108" s="48" t="n">
        <v>200</v>
      </c>
      <c r="E108" s="48" t="n">
        <v>22</v>
      </c>
      <c r="F108" s="48" t="n">
        <v>9.82</v>
      </c>
      <c r="G108" s="52" t="n">
        <v>0.59</v>
      </c>
      <c r="H108" s="48" t="n">
        <v>22.73</v>
      </c>
      <c r="I108" s="48" t="n">
        <v>5</v>
      </c>
      <c r="J108" s="53" t="n">
        <v>13.08</v>
      </c>
      <c r="K108" s="53" t="n">
        <v>182.03</v>
      </c>
      <c r="L108" s="48" t="n">
        <v>7.2</v>
      </c>
      <c r="M108" s="48"/>
      <c r="N108" s="48" t="s">
        <v>825</v>
      </c>
    </row>
    <row r="109" customFormat="false" ht="15" hidden="false" customHeight="false" outlineLevel="0" collapsed="false">
      <c r="A109" s="48" t="s">
        <v>1008</v>
      </c>
      <c r="B109" s="48" t="s">
        <v>935</v>
      </c>
      <c r="C109" s="48"/>
      <c r="D109" s="48" t="n">
        <v>294</v>
      </c>
      <c r="E109" s="48" t="n">
        <v>25</v>
      </c>
      <c r="F109" s="48" t="n">
        <v>13.02</v>
      </c>
      <c r="G109" s="52" t="n">
        <v>0.42</v>
      </c>
      <c r="H109" s="48" t="n">
        <v>44</v>
      </c>
      <c r="I109" s="48" t="n">
        <v>11</v>
      </c>
      <c r="J109" s="53" t="n">
        <v>10.6</v>
      </c>
      <c r="K109" s="53" t="n">
        <v>328.34</v>
      </c>
      <c r="L109" s="48" t="n">
        <v>3.2</v>
      </c>
      <c r="M109" s="48"/>
      <c r="N109" s="48" t="s">
        <v>825</v>
      </c>
    </row>
    <row r="110" customFormat="false" ht="15" hidden="false" customHeight="false" outlineLevel="0" collapsed="false">
      <c r="A110" s="48" t="s">
        <v>1009</v>
      </c>
      <c r="B110" s="48" t="s">
        <v>935</v>
      </c>
      <c r="C110" s="48"/>
      <c r="D110" s="48" t="n">
        <v>232</v>
      </c>
      <c r="E110" s="48" t="n">
        <v>9</v>
      </c>
      <c r="F110" s="48" t="n">
        <v>23.68</v>
      </c>
      <c r="G110" s="52" t="n">
        <v>0.77</v>
      </c>
      <c r="H110" s="48" t="n">
        <v>33.33</v>
      </c>
      <c r="I110" s="48" t="n">
        <v>3</v>
      </c>
      <c r="J110" s="53" t="n">
        <v>6.9</v>
      </c>
      <c r="K110" s="53" t="n">
        <v>219.22</v>
      </c>
      <c r="L110" s="48" t="n">
        <v>3.1</v>
      </c>
      <c r="M110" s="48"/>
      <c r="N110" s="48" t="s">
        <v>825</v>
      </c>
    </row>
    <row r="111" customFormat="false" ht="15" hidden="false" customHeight="false" outlineLevel="0" collapsed="false">
      <c r="A111" s="48" t="s">
        <v>509</v>
      </c>
      <c r="B111" s="48" t="s">
        <v>935</v>
      </c>
      <c r="C111" s="48"/>
      <c r="D111" s="48" t="n">
        <v>538</v>
      </c>
      <c r="E111" s="48" t="n">
        <v>7</v>
      </c>
      <c r="F111" s="48" t="n">
        <v>15.91</v>
      </c>
      <c r="G111" s="52" t="n">
        <v>0.52</v>
      </c>
      <c r="H111" s="48" t="n">
        <v>28.57</v>
      </c>
      <c r="I111" s="48" t="n">
        <v>2</v>
      </c>
      <c r="J111" s="53" t="n">
        <v>3.61</v>
      </c>
      <c r="K111" s="53" t="n">
        <v>119.94</v>
      </c>
      <c r="L111" s="48" t="n">
        <v>3</v>
      </c>
      <c r="M111" s="48"/>
      <c r="N111" s="48" t="s">
        <v>825</v>
      </c>
    </row>
    <row r="112" customFormat="false" ht="15" hidden="false" customHeight="false" outlineLevel="0" collapsed="false">
      <c r="A112" s="48" t="s">
        <v>1010</v>
      </c>
      <c r="B112" s="48" t="s">
        <v>935</v>
      </c>
      <c r="C112" s="48"/>
      <c r="D112" s="48"/>
      <c r="E112" s="48" t="n">
        <v>8</v>
      </c>
      <c r="F112" s="48" t="n">
        <v>61.54</v>
      </c>
      <c r="G112" s="52" t="n">
        <v>0.45</v>
      </c>
      <c r="H112" s="48" t="n">
        <v>37.5</v>
      </c>
      <c r="I112" s="48" t="n">
        <v>3</v>
      </c>
      <c r="J112" s="53" t="n">
        <v>3.6</v>
      </c>
      <c r="K112" s="53" t="n">
        <v>134.93</v>
      </c>
      <c r="L112" s="48" t="n">
        <v>2.7</v>
      </c>
      <c r="M112" s="48"/>
      <c r="N112" s="48" t="s">
        <v>825</v>
      </c>
    </row>
    <row r="113" customFormat="false" ht="15" hidden="false" customHeight="false" outlineLevel="0" collapsed="false">
      <c r="A113" s="48" t="s">
        <v>1011</v>
      </c>
      <c r="B113" s="48" t="s">
        <v>952</v>
      </c>
      <c r="C113" s="48"/>
      <c r="D113" s="48"/>
      <c r="E113" s="48" t="n">
        <v>3</v>
      </c>
      <c r="F113" s="48" t="n">
        <v>13.64</v>
      </c>
      <c r="G113" s="52" t="n">
        <v>0.59</v>
      </c>
      <c r="H113" s="48" t="n">
        <v>100</v>
      </c>
      <c r="I113" s="48" t="n">
        <v>3</v>
      </c>
      <c r="J113" s="53" t="n">
        <v>1.77</v>
      </c>
      <c r="K113" s="53" t="n">
        <v>115.85</v>
      </c>
      <c r="L113" s="48" t="n">
        <v>1.5</v>
      </c>
      <c r="M113" s="48"/>
      <c r="N113" s="48" t="s">
        <v>825</v>
      </c>
    </row>
    <row r="114" customFormat="false" ht="15" hidden="false" customHeight="false" outlineLevel="0" collapsed="false">
      <c r="A114" s="48" t="s">
        <v>1012</v>
      </c>
      <c r="B114" s="48" t="s">
        <v>939</v>
      </c>
      <c r="C114" s="48"/>
      <c r="D114" s="48"/>
      <c r="E114" s="48" t="n">
        <v>2</v>
      </c>
      <c r="F114" s="48" t="n">
        <v>100</v>
      </c>
      <c r="G114" s="52" t="n">
        <v>0.52</v>
      </c>
      <c r="H114" s="48" t="n">
        <v>200</v>
      </c>
      <c r="I114" s="48" t="n">
        <v>4</v>
      </c>
      <c r="J114" s="53" t="n">
        <v>1.04</v>
      </c>
      <c r="K114" s="53" t="n">
        <v>151.8</v>
      </c>
      <c r="L114" s="48" t="n">
        <v>0.7</v>
      </c>
      <c r="M114" s="48"/>
      <c r="N114" s="48" t="s">
        <v>825</v>
      </c>
    </row>
    <row r="115" customFormat="false" ht="15" hidden="false" customHeight="false" outlineLevel="0" collapsed="false">
      <c r="A115" s="48" t="s">
        <v>1013</v>
      </c>
      <c r="B115" s="48" t="s">
        <v>918</v>
      </c>
      <c r="C115" s="48"/>
      <c r="D115" s="48"/>
      <c r="E115" s="48" t="n">
        <v>1</v>
      </c>
      <c r="F115" s="48" t="n">
        <v>100</v>
      </c>
      <c r="G115" s="52" t="n">
        <v>0.59</v>
      </c>
      <c r="H115" s="48" t="n">
        <v>300</v>
      </c>
      <c r="I115" s="48" t="n">
        <v>3</v>
      </c>
      <c r="J115" s="53" t="n">
        <v>0.59</v>
      </c>
      <c r="K115" s="53" t="n">
        <v>124.85</v>
      </c>
      <c r="L115" s="48" t="n">
        <v>0.5</v>
      </c>
      <c r="M115" s="48"/>
      <c r="N115" s="48" t="s">
        <v>825</v>
      </c>
    </row>
    <row r="116" customFormat="false" ht="15" hidden="false" customHeight="false" outlineLevel="0" collapsed="false">
      <c r="A116" s="48" t="s">
        <v>1014</v>
      </c>
      <c r="B116" s="48" t="s">
        <v>939</v>
      </c>
      <c r="C116" s="48"/>
      <c r="D116" s="48"/>
      <c r="E116" s="48" t="n">
        <v>1</v>
      </c>
      <c r="F116" s="48" t="n">
        <v>14.29</v>
      </c>
      <c r="G116" s="52" t="n">
        <v>0.45</v>
      </c>
      <c r="H116" s="48" t="n">
        <v>200</v>
      </c>
      <c r="I116" s="48" t="n">
        <v>2</v>
      </c>
      <c r="J116" s="53" t="n">
        <v>0.45</v>
      </c>
      <c r="K116" s="53" t="n">
        <v>169.98</v>
      </c>
      <c r="L116" s="48" t="n">
        <v>0.3</v>
      </c>
      <c r="M116" s="48"/>
      <c r="N116" s="48" t="s">
        <v>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15" min="3" style="0" width="8"/>
    <col collapsed="false" customWidth="true" hidden="false" outlineLevel="0" max="16" min="16" style="0" width="10"/>
    <col collapsed="false" customWidth="true" hidden="false" outlineLevel="0" max="18" min="17" style="0" width="12"/>
    <col collapsed="false" customWidth="true" hidden="false" outlineLevel="0" max="19" min="19" style="0" width="16"/>
  </cols>
  <sheetData>
    <row r="1" customFormat="false" ht="17.35" hidden="false" customHeight="false" outlineLevel="0" collapsed="false">
      <c r="A1" s="1" t="s">
        <v>1015</v>
      </c>
      <c r="B1" s="3"/>
      <c r="C1" s="3"/>
      <c r="D1" s="3"/>
      <c r="E1" s="3"/>
      <c r="F1" s="3"/>
      <c r="G1" s="3"/>
      <c r="H1" s="3"/>
      <c r="I1" s="3"/>
      <c r="J1" s="3"/>
      <c r="K1" s="3"/>
      <c r="L1" s="3"/>
      <c r="M1" s="3"/>
      <c r="N1" s="3"/>
      <c r="O1" s="3"/>
      <c r="P1" s="3"/>
      <c r="Q1" s="3"/>
      <c r="R1" s="3"/>
      <c r="S1" s="3"/>
    </row>
    <row r="2" customFormat="false" ht="15" hidden="false" customHeight="false" outlineLevel="0" collapsed="false">
      <c r="A2" s="2" t="s">
        <v>1016</v>
      </c>
      <c r="B2" s="3"/>
      <c r="C2" s="3"/>
      <c r="D2" s="3"/>
      <c r="E2" s="3"/>
      <c r="F2" s="3"/>
      <c r="G2" s="3"/>
      <c r="H2" s="3"/>
      <c r="I2" s="3"/>
      <c r="J2" s="3"/>
      <c r="K2" s="3"/>
      <c r="L2" s="3"/>
      <c r="M2" s="3"/>
      <c r="N2" s="3"/>
      <c r="O2" s="3"/>
      <c r="P2" s="3"/>
      <c r="Q2" s="3"/>
      <c r="R2" s="3"/>
      <c r="S2" s="3"/>
    </row>
    <row r="3" customFormat="false" ht="15" hidden="false" customHeight="false" outlineLevel="0" collapsed="false">
      <c r="A3" s="3"/>
      <c r="B3" s="3"/>
      <c r="C3" s="3"/>
      <c r="D3" s="3"/>
      <c r="E3" s="3"/>
      <c r="F3" s="3"/>
      <c r="G3" s="3"/>
      <c r="H3" s="3"/>
      <c r="I3" s="3"/>
      <c r="J3" s="3"/>
      <c r="K3" s="3"/>
      <c r="L3" s="3"/>
      <c r="M3" s="3"/>
      <c r="N3" s="3"/>
      <c r="O3" s="3"/>
      <c r="P3" s="3"/>
      <c r="Q3" s="3"/>
      <c r="R3" s="3"/>
      <c r="S3" s="3"/>
    </row>
    <row r="4" customFormat="false" ht="31.5" hidden="false" customHeight="true" outlineLevel="0" collapsed="false">
      <c r="A4" s="7" t="s">
        <v>1017</v>
      </c>
      <c r="B4" s="7" t="s">
        <v>1018</v>
      </c>
      <c r="C4" s="7" t="s">
        <v>726</v>
      </c>
      <c r="D4" s="7" t="s">
        <v>727</v>
      </c>
      <c r="E4" s="7" t="s">
        <v>728</v>
      </c>
      <c r="F4" s="7" t="s">
        <v>729</v>
      </c>
      <c r="G4" s="7" t="s">
        <v>730</v>
      </c>
      <c r="H4" s="7" t="s">
        <v>731</v>
      </c>
      <c r="I4" s="7" t="s">
        <v>732</v>
      </c>
      <c r="J4" s="7" t="s">
        <v>733</v>
      </c>
      <c r="K4" s="7" t="s">
        <v>734</v>
      </c>
      <c r="L4" s="7" t="s">
        <v>735</v>
      </c>
      <c r="M4" s="7" t="s">
        <v>736</v>
      </c>
      <c r="N4" s="7" t="s">
        <v>737</v>
      </c>
      <c r="O4" s="7" t="s">
        <v>749</v>
      </c>
      <c r="P4" s="7" t="s">
        <v>1019</v>
      </c>
      <c r="Q4" s="7" t="s">
        <v>1020</v>
      </c>
      <c r="R4" s="7" t="s">
        <v>1021</v>
      </c>
      <c r="S4" s="7" t="s">
        <v>1022</v>
      </c>
    </row>
    <row r="5" customFormat="false" ht="15" hidden="false" customHeight="false" outlineLevel="0" collapsed="false">
      <c r="A5" s="48" t="s">
        <v>173</v>
      </c>
      <c r="B5" s="48" t="n">
        <v>116610</v>
      </c>
      <c r="C5" s="48" t="n">
        <v>5</v>
      </c>
      <c r="D5" s="48" t="n">
        <v>6</v>
      </c>
      <c r="E5" s="48" t="n">
        <v>12</v>
      </c>
      <c r="F5" s="48" t="n">
        <v>14</v>
      </c>
      <c r="G5" s="48" t="n">
        <v>4.5</v>
      </c>
      <c r="H5" s="48" t="n">
        <v>3</v>
      </c>
      <c r="I5" s="48" t="n">
        <v>4</v>
      </c>
      <c r="J5" s="48" t="n">
        <v>19</v>
      </c>
      <c r="K5" s="48" t="n">
        <v>42</v>
      </c>
      <c r="L5" s="48" t="n">
        <v>101</v>
      </c>
      <c r="M5" s="48" t="n">
        <v>9</v>
      </c>
      <c r="N5" s="48" t="n">
        <v>16</v>
      </c>
      <c r="O5" s="48" t="n">
        <v>18</v>
      </c>
      <c r="P5" s="48" t="n">
        <v>1</v>
      </c>
      <c r="Q5" s="48" t="s">
        <v>1023</v>
      </c>
      <c r="R5" s="48" t="s">
        <v>1024</v>
      </c>
      <c r="S5" s="48" t="s">
        <v>1025</v>
      </c>
    </row>
    <row r="6" customFormat="false" ht="15" hidden="false" customHeight="false" outlineLevel="0" collapsed="false">
      <c r="A6" s="48" t="s">
        <v>125</v>
      </c>
      <c r="B6" s="48" t="n">
        <v>39490</v>
      </c>
      <c r="C6" s="48" t="n">
        <v>5</v>
      </c>
      <c r="D6" s="48" t="n">
        <v>5</v>
      </c>
      <c r="E6" s="48" t="n">
        <v>18</v>
      </c>
      <c r="F6" s="48" t="n">
        <v>67</v>
      </c>
      <c r="G6" s="48" t="n">
        <v>11</v>
      </c>
      <c r="H6" s="48" t="n">
        <v>8</v>
      </c>
      <c r="I6" s="48" t="n">
        <v>9.5</v>
      </c>
      <c r="J6" s="48" t="n">
        <v>24</v>
      </c>
      <c r="K6" s="48" t="n">
        <v>42</v>
      </c>
      <c r="L6" s="48" t="n">
        <v>101</v>
      </c>
      <c r="M6" s="48" t="n">
        <v>39</v>
      </c>
      <c r="N6" s="48" t="n">
        <v>33</v>
      </c>
      <c r="O6" s="48" t="n">
        <v>45</v>
      </c>
      <c r="P6" s="48" t="n">
        <v>0</v>
      </c>
      <c r="Q6" s="48" t="s">
        <v>1026</v>
      </c>
      <c r="R6" s="48" t="s">
        <v>1027</v>
      </c>
      <c r="S6" s="48" t="s">
        <v>1028</v>
      </c>
    </row>
    <row r="7" customFormat="false" ht="15" hidden="false" customHeight="false" outlineLevel="0" collapsed="false">
      <c r="A7" s="48" t="s">
        <v>828</v>
      </c>
      <c r="B7" s="48" t="n">
        <v>25230</v>
      </c>
      <c r="C7" s="48" t="n">
        <v>8</v>
      </c>
      <c r="D7" s="48" t="n">
        <v>5</v>
      </c>
      <c r="E7" s="48" t="n">
        <v>90</v>
      </c>
      <c r="F7" s="48" t="n">
        <v>17</v>
      </c>
      <c r="G7" s="48" t="n">
        <v>6</v>
      </c>
      <c r="H7" s="48" t="n">
        <v>5</v>
      </c>
      <c r="I7" s="48" t="n">
        <v>6</v>
      </c>
      <c r="J7" s="48" t="n">
        <v>14</v>
      </c>
      <c r="K7" s="48" t="n">
        <v>24</v>
      </c>
      <c r="L7" s="48" t="n">
        <v>46</v>
      </c>
      <c r="M7" s="48" t="n">
        <v>47</v>
      </c>
      <c r="N7" s="48" t="n">
        <v>11</v>
      </c>
      <c r="O7" s="48" t="n">
        <v>17</v>
      </c>
      <c r="P7" s="48" t="n">
        <v>16</v>
      </c>
      <c r="Q7" s="48" t="s">
        <v>1026</v>
      </c>
      <c r="R7" s="48" t="s">
        <v>1027</v>
      </c>
      <c r="S7" s="48" t="s">
        <v>1029</v>
      </c>
    </row>
    <row r="8" customFormat="false" ht="15" hidden="false" customHeight="false" outlineLevel="0" collapsed="false">
      <c r="A8" s="48" t="s">
        <v>178</v>
      </c>
      <c r="B8" s="48" t="n">
        <v>15460</v>
      </c>
      <c r="C8" s="48" t="n">
        <v>5</v>
      </c>
      <c r="D8" s="48" t="n">
        <v>6</v>
      </c>
      <c r="E8" s="48" t="n">
        <v>11</v>
      </c>
      <c r="F8" s="48" t="n">
        <v>12</v>
      </c>
      <c r="G8" s="48" t="n">
        <v>9</v>
      </c>
      <c r="H8" s="48" t="n">
        <v>5</v>
      </c>
      <c r="I8" s="48" t="n">
        <v>4</v>
      </c>
      <c r="J8" s="48" t="n">
        <v>17</v>
      </c>
      <c r="K8" s="48" t="n">
        <v>22.5</v>
      </c>
      <c r="L8" s="48" t="n">
        <v>39</v>
      </c>
      <c r="M8" s="48" t="n">
        <v>20</v>
      </c>
      <c r="N8" s="48" t="n">
        <v>16.5</v>
      </c>
      <c r="O8" s="48" t="n">
        <v>18</v>
      </c>
      <c r="P8" s="48" t="n">
        <v>1</v>
      </c>
      <c r="Q8" s="48" t="s">
        <v>1030</v>
      </c>
      <c r="R8" s="48" t="s">
        <v>1027</v>
      </c>
      <c r="S8" s="48" t="s">
        <v>1031</v>
      </c>
    </row>
    <row r="9" customFormat="false" ht="15" hidden="false" customHeight="false" outlineLevel="0" collapsed="false">
      <c r="A9" s="48" t="s">
        <v>1032</v>
      </c>
      <c r="B9" s="48" t="n">
        <v>11955</v>
      </c>
      <c r="C9" s="48"/>
      <c r="D9" s="48"/>
      <c r="E9" s="48"/>
      <c r="F9" s="48"/>
      <c r="G9" s="48"/>
      <c r="H9" s="48"/>
      <c r="I9" s="48"/>
      <c r="J9" s="48"/>
      <c r="K9" s="48"/>
      <c r="L9" s="48" t="n">
        <v>101</v>
      </c>
      <c r="M9" s="48" t="n">
        <v>101</v>
      </c>
      <c r="N9" s="48" t="n">
        <v>101</v>
      </c>
      <c r="O9" s="48" t="n">
        <v>101</v>
      </c>
      <c r="P9" s="48" t="n">
        <v>0</v>
      </c>
      <c r="Q9" s="48"/>
      <c r="R9" s="48"/>
      <c r="S9" s="48"/>
    </row>
    <row r="10" customFormat="false" ht="15" hidden="false" customHeight="false" outlineLevel="0" collapsed="false">
      <c r="A10" s="48" t="s">
        <v>853</v>
      </c>
      <c r="B10" s="48" t="n">
        <v>6385</v>
      </c>
      <c r="C10" s="48" t="n">
        <v>41.5</v>
      </c>
      <c r="D10" s="48" t="n">
        <v>30.5</v>
      </c>
      <c r="E10" s="48" t="n">
        <v>101</v>
      </c>
      <c r="F10" s="48" t="n">
        <v>77</v>
      </c>
      <c r="G10" s="48" t="n">
        <v>37.5</v>
      </c>
      <c r="H10" s="48" t="n">
        <v>31</v>
      </c>
      <c r="I10" s="48" t="n">
        <v>30</v>
      </c>
      <c r="J10" s="48" t="n">
        <v>56</v>
      </c>
      <c r="K10" s="48" t="n">
        <v>83.5</v>
      </c>
      <c r="L10" s="48" t="n">
        <v>101</v>
      </c>
      <c r="M10" s="48" t="n">
        <v>101</v>
      </c>
      <c r="N10" s="48" t="n">
        <v>29</v>
      </c>
      <c r="O10" s="48" t="n">
        <v>10</v>
      </c>
      <c r="P10" s="48" t="n">
        <v>9</v>
      </c>
      <c r="Q10" s="48" t="s">
        <v>1033</v>
      </c>
      <c r="R10" s="48" t="s">
        <v>1034</v>
      </c>
      <c r="S10" s="48" t="s">
        <v>1035</v>
      </c>
    </row>
    <row r="11" customFormat="false" ht="15" hidden="false" customHeight="false" outlineLevel="0" collapsed="false">
      <c r="A11" s="48" t="s">
        <v>820</v>
      </c>
      <c r="B11" s="48" t="n">
        <v>6126</v>
      </c>
      <c r="C11" s="48" t="n">
        <v>8</v>
      </c>
      <c r="D11" s="48" t="n">
        <v>4.5</v>
      </c>
      <c r="E11" s="48" t="n">
        <v>17</v>
      </c>
      <c r="F11" s="48" t="n">
        <v>12</v>
      </c>
      <c r="G11" s="48" t="n">
        <v>5</v>
      </c>
      <c r="H11" s="48" t="n">
        <v>5</v>
      </c>
      <c r="I11" s="48" t="n">
        <v>5</v>
      </c>
      <c r="J11" s="48" t="n">
        <v>5</v>
      </c>
      <c r="K11" s="48" t="n">
        <v>75</v>
      </c>
      <c r="L11" s="48" t="n">
        <v>24</v>
      </c>
      <c r="M11" s="48" t="n">
        <v>19</v>
      </c>
      <c r="N11" s="48" t="n">
        <v>17</v>
      </c>
      <c r="O11" s="48" t="n">
        <v>21</v>
      </c>
      <c r="P11" s="48" t="n">
        <v>2</v>
      </c>
      <c r="Q11" s="48" t="s">
        <v>1024</v>
      </c>
      <c r="R11" s="48" t="s">
        <v>1036</v>
      </c>
      <c r="S11" s="48" t="s">
        <v>1037</v>
      </c>
    </row>
    <row r="12" customFormat="false" ht="15" hidden="false" customHeight="false" outlineLevel="0" collapsed="false">
      <c r="A12" s="48" t="s">
        <v>826</v>
      </c>
      <c r="B12" s="48" t="n">
        <v>5975</v>
      </c>
      <c r="C12" s="48" t="n">
        <v>8</v>
      </c>
      <c r="D12" s="48" t="n">
        <v>8</v>
      </c>
      <c r="E12" s="48" t="n">
        <v>101</v>
      </c>
      <c r="F12" s="48" t="n">
        <v>18</v>
      </c>
      <c r="G12" s="48" t="n">
        <v>7</v>
      </c>
      <c r="H12" s="48" t="n">
        <v>7</v>
      </c>
      <c r="I12" s="48" t="n">
        <v>6</v>
      </c>
      <c r="J12" s="48" t="n">
        <v>10</v>
      </c>
      <c r="K12" s="48" t="n">
        <v>34</v>
      </c>
      <c r="L12" s="48" t="n">
        <v>31</v>
      </c>
      <c r="M12" s="48" t="n">
        <v>27</v>
      </c>
      <c r="N12" s="48" t="n">
        <v>8.5</v>
      </c>
      <c r="O12" s="48" t="n">
        <v>4</v>
      </c>
      <c r="P12" s="48" t="n">
        <v>24</v>
      </c>
      <c r="Q12" s="48" t="s">
        <v>1038</v>
      </c>
      <c r="R12" s="48" t="s">
        <v>1036</v>
      </c>
      <c r="S12" s="48" t="s">
        <v>1039</v>
      </c>
    </row>
    <row r="13" customFormat="false" ht="15" hidden="false" customHeight="false" outlineLevel="0" collapsed="false">
      <c r="A13" s="48" t="s">
        <v>133</v>
      </c>
      <c r="B13" s="48" t="n">
        <v>5790</v>
      </c>
      <c r="C13" s="48" t="n">
        <v>13</v>
      </c>
      <c r="D13" s="48" t="n">
        <v>8</v>
      </c>
      <c r="E13" s="48" t="n">
        <v>17</v>
      </c>
      <c r="F13" s="48" t="n">
        <v>49</v>
      </c>
      <c r="G13" s="48" t="n">
        <v>11</v>
      </c>
      <c r="H13" s="48" t="n">
        <v>11</v>
      </c>
      <c r="I13" s="48" t="n">
        <v>18</v>
      </c>
      <c r="J13" s="48" t="n">
        <v>39</v>
      </c>
      <c r="K13" s="48" t="n">
        <v>59</v>
      </c>
      <c r="L13" s="48" t="n">
        <v>101</v>
      </c>
      <c r="M13" s="48" t="n">
        <v>101</v>
      </c>
      <c r="N13" s="48" t="n">
        <v>48</v>
      </c>
      <c r="O13" s="48" t="n">
        <v>64</v>
      </c>
      <c r="P13" s="48" t="n">
        <v>0</v>
      </c>
      <c r="Q13" s="48" t="s">
        <v>1027</v>
      </c>
      <c r="R13" s="48" t="s">
        <v>1040</v>
      </c>
      <c r="S13" s="48" t="s">
        <v>1041</v>
      </c>
    </row>
    <row r="14" customFormat="false" ht="15" hidden="false" customHeight="false" outlineLevel="0" collapsed="false">
      <c r="A14" s="48" t="s">
        <v>138</v>
      </c>
      <c r="B14" s="48" t="n">
        <v>5358</v>
      </c>
      <c r="C14" s="48" t="n">
        <v>5.5</v>
      </c>
      <c r="D14" s="48" t="n">
        <v>5</v>
      </c>
      <c r="E14" s="48" t="n">
        <v>12</v>
      </c>
      <c r="F14" s="48" t="n">
        <v>56</v>
      </c>
      <c r="G14" s="48" t="n">
        <v>10</v>
      </c>
      <c r="H14" s="48" t="n">
        <v>11</v>
      </c>
      <c r="I14" s="48" t="n">
        <v>18</v>
      </c>
      <c r="J14" s="48" t="n">
        <v>49</v>
      </c>
      <c r="K14" s="48" t="n">
        <v>46.5</v>
      </c>
      <c r="L14" s="48" t="n">
        <v>101</v>
      </c>
      <c r="M14" s="48" t="n">
        <v>101</v>
      </c>
      <c r="N14" s="48" t="n">
        <v>39</v>
      </c>
      <c r="O14" s="48" t="n">
        <v>13</v>
      </c>
      <c r="P14" s="48" t="n">
        <v>0</v>
      </c>
      <c r="Q14" s="48" t="s">
        <v>1030</v>
      </c>
      <c r="R14" s="48" t="s">
        <v>1027</v>
      </c>
      <c r="S14" s="48" t="s">
        <v>1042</v>
      </c>
    </row>
    <row r="15" customFormat="false" ht="15" hidden="false" customHeight="false" outlineLevel="0" collapsed="false">
      <c r="A15" s="48" t="s">
        <v>863</v>
      </c>
      <c r="B15" s="48" t="n">
        <v>5292</v>
      </c>
      <c r="C15" s="48" t="n">
        <v>101</v>
      </c>
      <c r="D15" s="48" t="n">
        <v>101</v>
      </c>
      <c r="E15" s="48" t="n">
        <v>101</v>
      </c>
      <c r="F15" s="48"/>
      <c r="G15" s="48"/>
      <c r="H15" s="48"/>
      <c r="I15" s="48"/>
      <c r="J15" s="48"/>
      <c r="K15" s="48" t="n">
        <v>63</v>
      </c>
      <c r="L15" s="48" t="n">
        <v>101</v>
      </c>
      <c r="M15" s="48" t="n">
        <v>101</v>
      </c>
      <c r="N15" s="48" t="n">
        <v>55.5</v>
      </c>
      <c r="O15" s="48" t="n">
        <v>51</v>
      </c>
      <c r="P15" s="48" t="n">
        <v>0</v>
      </c>
      <c r="Q15" s="48" t="s">
        <v>1034</v>
      </c>
      <c r="R15" s="48"/>
      <c r="S15" s="48" t="s">
        <v>1043</v>
      </c>
    </row>
    <row r="16" customFormat="false" ht="15" hidden="false" customHeight="false" outlineLevel="0" collapsed="false">
      <c r="A16" s="48" t="s">
        <v>839</v>
      </c>
      <c r="B16" s="48" t="n">
        <v>5075</v>
      </c>
      <c r="C16" s="48" t="n">
        <v>25</v>
      </c>
      <c r="D16" s="48" t="n">
        <v>15</v>
      </c>
      <c r="E16" s="48" t="n">
        <v>101</v>
      </c>
      <c r="F16" s="48" t="n">
        <v>24</v>
      </c>
      <c r="G16" s="48" t="n">
        <v>10</v>
      </c>
      <c r="H16" s="48" t="n">
        <v>8</v>
      </c>
      <c r="I16" s="48" t="n">
        <v>15</v>
      </c>
      <c r="J16" s="48" t="n">
        <v>27</v>
      </c>
      <c r="K16" s="48" t="n">
        <v>43.5</v>
      </c>
      <c r="L16" s="48" t="n">
        <v>101</v>
      </c>
      <c r="M16" s="48" t="n">
        <v>83</v>
      </c>
      <c r="N16" s="48" t="n">
        <v>19</v>
      </c>
      <c r="O16" s="48" t="n">
        <v>22</v>
      </c>
      <c r="P16" s="48" t="n">
        <v>4</v>
      </c>
      <c r="Q16" s="48" t="s">
        <v>1038</v>
      </c>
      <c r="R16" s="48" t="s">
        <v>1040</v>
      </c>
      <c r="S16" s="48" t="s">
        <v>1044</v>
      </c>
    </row>
    <row r="17" customFormat="false" ht="15" hidden="false" customHeight="false" outlineLevel="0" collapsed="false">
      <c r="A17" s="48" t="s">
        <v>829</v>
      </c>
      <c r="B17" s="48" t="n">
        <v>4713</v>
      </c>
      <c r="C17" s="48" t="n">
        <v>14</v>
      </c>
      <c r="D17" s="48" t="n">
        <v>15.5</v>
      </c>
      <c r="E17" s="48" t="n">
        <v>101</v>
      </c>
      <c r="F17" s="48" t="n">
        <v>48</v>
      </c>
      <c r="G17" s="48" t="n">
        <v>10</v>
      </c>
      <c r="H17" s="48" t="n">
        <v>11</v>
      </c>
      <c r="I17" s="48" t="n">
        <v>16</v>
      </c>
      <c r="J17" s="48" t="n">
        <v>24</v>
      </c>
      <c r="K17" s="48" t="n">
        <v>39</v>
      </c>
      <c r="L17" s="48" t="n">
        <v>85</v>
      </c>
      <c r="M17" s="48" t="n">
        <v>82</v>
      </c>
      <c r="N17" s="48" t="n">
        <v>19</v>
      </c>
      <c r="O17" s="48" t="n">
        <v>17</v>
      </c>
      <c r="P17" s="48" t="n">
        <v>5</v>
      </c>
      <c r="Q17" s="48" t="s">
        <v>1027</v>
      </c>
      <c r="R17" s="48" t="s">
        <v>1024</v>
      </c>
      <c r="S17" s="48" t="s">
        <v>1045</v>
      </c>
    </row>
    <row r="18" customFormat="false" ht="15" hidden="false" customHeight="false" outlineLevel="0" collapsed="false">
      <c r="A18" s="48" t="s">
        <v>142</v>
      </c>
      <c r="B18" s="48" t="n">
        <v>4300</v>
      </c>
      <c r="C18" s="48" t="n">
        <v>5</v>
      </c>
      <c r="D18" s="48" t="n">
        <v>4</v>
      </c>
      <c r="E18" s="48" t="n">
        <v>8</v>
      </c>
      <c r="F18" s="48" t="n">
        <v>13</v>
      </c>
      <c r="G18" s="48" t="n">
        <v>7</v>
      </c>
      <c r="H18" s="48" t="n">
        <v>5</v>
      </c>
      <c r="I18" s="48" t="n">
        <v>4</v>
      </c>
      <c r="J18" s="48" t="n">
        <v>10</v>
      </c>
      <c r="K18" s="48" t="n">
        <v>57</v>
      </c>
      <c r="L18" s="48" t="n">
        <v>101</v>
      </c>
      <c r="M18" s="48" t="n">
        <v>53</v>
      </c>
      <c r="N18" s="48" t="n">
        <v>12</v>
      </c>
      <c r="O18" s="48" t="n">
        <v>9</v>
      </c>
      <c r="P18" s="48" t="n">
        <v>11</v>
      </c>
      <c r="Q18" s="48" t="s">
        <v>1038</v>
      </c>
      <c r="R18" s="48" t="s">
        <v>1026</v>
      </c>
      <c r="S18" s="48" t="s">
        <v>1031</v>
      </c>
    </row>
    <row r="19" customFormat="false" ht="15" hidden="false" customHeight="false" outlineLevel="0" collapsed="false">
      <c r="A19" s="48" t="s">
        <v>845</v>
      </c>
      <c r="B19" s="48" t="n">
        <v>4030</v>
      </c>
      <c r="C19" s="48" t="n">
        <v>10</v>
      </c>
      <c r="D19" s="48" t="n">
        <v>10</v>
      </c>
      <c r="E19" s="48" t="n">
        <v>101</v>
      </c>
      <c r="F19" s="48" t="n">
        <v>46</v>
      </c>
      <c r="G19" s="48" t="n">
        <v>14</v>
      </c>
      <c r="H19" s="48" t="n">
        <v>9</v>
      </c>
      <c r="I19" s="48" t="n">
        <v>10</v>
      </c>
      <c r="J19" s="48" t="n">
        <v>22</v>
      </c>
      <c r="K19" s="48" t="n">
        <v>40.5</v>
      </c>
      <c r="L19" s="48" t="n">
        <v>101</v>
      </c>
      <c r="M19" s="48" t="n">
        <v>69</v>
      </c>
      <c r="N19" s="48" t="n">
        <v>20</v>
      </c>
      <c r="O19" s="48" t="n">
        <v>17</v>
      </c>
      <c r="P19" s="48" t="n">
        <v>2</v>
      </c>
      <c r="Q19" s="48" t="s">
        <v>1030</v>
      </c>
      <c r="R19" s="48" t="s">
        <v>1024</v>
      </c>
      <c r="S19" s="48" t="s">
        <v>1046</v>
      </c>
    </row>
    <row r="20" customFormat="false" ht="15" hidden="false" customHeight="false" outlineLevel="0" collapsed="false">
      <c r="A20" s="48" t="s">
        <v>169</v>
      </c>
      <c r="B20" s="48" t="n">
        <v>3865</v>
      </c>
      <c r="C20" s="48"/>
      <c r="D20" s="48"/>
      <c r="E20" s="48"/>
      <c r="F20" s="48"/>
      <c r="G20" s="48"/>
      <c r="H20" s="48"/>
      <c r="I20" s="48"/>
      <c r="J20" s="48"/>
      <c r="K20" s="48"/>
      <c r="L20" s="48" t="n">
        <v>101</v>
      </c>
      <c r="M20" s="48" t="n">
        <v>101</v>
      </c>
      <c r="N20" s="48" t="n">
        <v>101</v>
      </c>
      <c r="O20" s="48" t="n">
        <v>101</v>
      </c>
      <c r="P20" s="48" t="n">
        <v>0</v>
      </c>
      <c r="Q20" s="48"/>
      <c r="R20" s="48"/>
      <c r="S20" s="48" t="s">
        <v>1047</v>
      </c>
    </row>
    <row r="21" customFormat="false" ht="15" hidden="false" customHeight="false" outlineLevel="0" collapsed="false">
      <c r="A21" s="48" t="s">
        <v>917</v>
      </c>
      <c r="B21" s="48" t="n">
        <v>3701</v>
      </c>
      <c r="C21" s="48"/>
      <c r="D21" s="48"/>
      <c r="E21" s="48"/>
      <c r="F21" s="48"/>
      <c r="G21" s="48"/>
      <c r="H21" s="48"/>
      <c r="I21" s="48"/>
      <c r="J21" s="48"/>
      <c r="K21" s="48" t="n">
        <v>101</v>
      </c>
      <c r="L21" s="48" t="n">
        <v>101</v>
      </c>
      <c r="M21" s="48" t="n">
        <v>101</v>
      </c>
      <c r="N21" s="48" t="n">
        <v>101</v>
      </c>
      <c r="O21" s="48" t="n">
        <v>101</v>
      </c>
      <c r="P21" s="48" t="n">
        <v>0</v>
      </c>
      <c r="Q21" s="48"/>
      <c r="R21" s="48"/>
      <c r="S21" s="48" t="s">
        <v>1048</v>
      </c>
    </row>
    <row r="22" customFormat="false" ht="15" hidden="false" customHeight="false" outlineLevel="0" collapsed="false">
      <c r="A22" s="48" t="s">
        <v>1049</v>
      </c>
      <c r="B22" s="48" t="n">
        <v>3606</v>
      </c>
      <c r="C22" s="48"/>
      <c r="D22" s="48"/>
      <c r="E22" s="48"/>
      <c r="F22" s="48"/>
      <c r="G22" s="48"/>
      <c r="H22" s="48"/>
      <c r="I22" s="48"/>
      <c r="J22" s="48"/>
      <c r="K22" s="48"/>
      <c r="L22" s="48" t="n">
        <v>101</v>
      </c>
      <c r="M22" s="48" t="n">
        <v>101</v>
      </c>
      <c r="N22" s="48" t="n">
        <v>71</v>
      </c>
      <c r="O22" s="48" t="n">
        <v>69</v>
      </c>
      <c r="P22" s="48" t="n">
        <v>0</v>
      </c>
      <c r="Q22" s="48"/>
      <c r="R22" s="48"/>
      <c r="S22" s="48" t="s">
        <v>1050</v>
      </c>
    </row>
    <row r="23" customFormat="false" ht="15" hidden="false" customHeight="false" outlineLevel="0" collapsed="false">
      <c r="A23" s="48" t="s">
        <v>1051</v>
      </c>
      <c r="B23" s="48" t="n">
        <v>3203</v>
      </c>
      <c r="C23" s="48"/>
      <c r="D23" s="48"/>
      <c r="E23" s="48"/>
      <c r="F23" s="48"/>
      <c r="G23" s="48"/>
      <c r="H23" s="48"/>
      <c r="I23" s="48"/>
      <c r="J23" s="48"/>
      <c r="K23" s="48"/>
      <c r="L23" s="48" t="n">
        <v>101</v>
      </c>
      <c r="M23" s="48" t="n">
        <v>101</v>
      </c>
      <c r="N23" s="48" t="n">
        <v>101</v>
      </c>
      <c r="O23" s="48" t="n">
        <v>101</v>
      </c>
      <c r="P23" s="48" t="n">
        <v>0</v>
      </c>
      <c r="Q23" s="48"/>
      <c r="R23" s="48"/>
      <c r="S23" s="48"/>
    </row>
    <row r="24" customFormat="false" ht="15" hidden="false" customHeight="false" outlineLevel="0" collapsed="false">
      <c r="A24" s="48" t="s">
        <v>146</v>
      </c>
      <c r="B24" s="48" t="n">
        <v>2948</v>
      </c>
      <c r="C24" s="48" t="n">
        <v>8</v>
      </c>
      <c r="D24" s="48" t="n">
        <v>5</v>
      </c>
      <c r="E24" s="48" t="n">
        <v>8</v>
      </c>
      <c r="F24" s="48" t="n">
        <v>54</v>
      </c>
      <c r="G24" s="48" t="n">
        <v>7</v>
      </c>
      <c r="H24" s="48" t="n">
        <v>6</v>
      </c>
      <c r="I24" s="48" t="n">
        <v>8</v>
      </c>
      <c r="J24" s="48" t="n">
        <v>18</v>
      </c>
      <c r="K24" s="48" t="n">
        <v>34</v>
      </c>
      <c r="L24" s="48" t="n">
        <v>93</v>
      </c>
      <c r="M24" s="48" t="n">
        <v>35</v>
      </c>
      <c r="N24" s="48" t="n">
        <v>36</v>
      </c>
      <c r="O24" s="48" t="n">
        <v>39</v>
      </c>
      <c r="P24" s="48" t="n">
        <v>2</v>
      </c>
      <c r="Q24" s="48" t="s">
        <v>1027</v>
      </c>
      <c r="R24" s="48" t="s">
        <v>1052</v>
      </c>
      <c r="S24" s="48" t="s">
        <v>1053</v>
      </c>
    </row>
    <row r="25" customFormat="false" ht="15" hidden="false" customHeight="false" outlineLevel="0" collapsed="false">
      <c r="A25" s="48" t="s">
        <v>150</v>
      </c>
      <c r="B25" s="48" t="n">
        <v>2892</v>
      </c>
      <c r="C25" s="48" t="n">
        <v>5</v>
      </c>
      <c r="D25" s="48" t="n">
        <v>6</v>
      </c>
      <c r="E25" s="48" t="n">
        <v>13</v>
      </c>
      <c r="F25" s="48" t="n">
        <v>50</v>
      </c>
      <c r="G25" s="48" t="n">
        <v>15.5</v>
      </c>
      <c r="H25" s="48" t="n">
        <v>11</v>
      </c>
      <c r="I25" s="48" t="n">
        <v>18</v>
      </c>
      <c r="J25" s="48" t="n">
        <v>51</v>
      </c>
      <c r="K25" s="48" t="n">
        <v>30.5</v>
      </c>
      <c r="L25" s="48" t="n">
        <v>101</v>
      </c>
      <c r="M25" s="48" t="n">
        <v>54</v>
      </c>
      <c r="N25" s="48" t="n">
        <v>17.5</v>
      </c>
      <c r="O25" s="48" t="n">
        <v>15</v>
      </c>
      <c r="P25" s="48" t="n">
        <v>9</v>
      </c>
      <c r="Q25" s="48" t="s">
        <v>1027</v>
      </c>
      <c r="R25" s="48" t="s">
        <v>1024</v>
      </c>
      <c r="S25" s="48" t="s">
        <v>1054</v>
      </c>
    </row>
    <row r="26" customFormat="false" ht="15" hidden="false" customHeight="false" outlineLevel="0" collapsed="false">
      <c r="A26" s="48" t="s">
        <v>1055</v>
      </c>
      <c r="B26" s="48" t="n">
        <v>2826</v>
      </c>
      <c r="C26" s="48"/>
      <c r="D26" s="48"/>
      <c r="E26" s="48"/>
      <c r="F26" s="48"/>
      <c r="G26" s="48"/>
      <c r="H26" s="48"/>
      <c r="I26" s="48"/>
      <c r="J26" s="48"/>
      <c r="K26" s="48"/>
      <c r="L26" s="48" t="n">
        <v>101</v>
      </c>
      <c r="M26" s="48" t="n">
        <v>101</v>
      </c>
      <c r="N26" s="48" t="n">
        <v>101</v>
      </c>
      <c r="O26" s="48" t="n">
        <v>101</v>
      </c>
      <c r="P26" s="48" t="n">
        <v>0</v>
      </c>
      <c r="Q26" s="48"/>
      <c r="R26" s="48"/>
      <c r="S26" s="48" t="s">
        <v>1056</v>
      </c>
    </row>
    <row r="27" customFormat="false" ht="15" hidden="false" customHeight="false" outlineLevel="0" collapsed="false">
      <c r="A27" s="48" t="s">
        <v>910</v>
      </c>
      <c r="B27" s="48" t="n">
        <v>2709</v>
      </c>
      <c r="C27" s="48" t="n">
        <v>5</v>
      </c>
      <c r="D27" s="48" t="n">
        <v>6</v>
      </c>
      <c r="E27" s="48" t="n">
        <v>8</v>
      </c>
      <c r="F27" s="48" t="n">
        <v>24</v>
      </c>
      <c r="G27" s="48" t="n">
        <v>6</v>
      </c>
      <c r="H27" s="48" t="n">
        <v>6</v>
      </c>
      <c r="I27" s="48" t="n">
        <v>6</v>
      </c>
      <c r="J27" s="48" t="n">
        <v>10</v>
      </c>
      <c r="K27" s="48" t="n">
        <v>31</v>
      </c>
      <c r="L27" s="48" t="n">
        <v>37</v>
      </c>
      <c r="M27" s="48" t="n">
        <v>39</v>
      </c>
      <c r="N27" s="48" t="n">
        <v>19</v>
      </c>
      <c r="O27" s="48" t="n">
        <v>11</v>
      </c>
      <c r="P27" s="48" t="n">
        <v>10</v>
      </c>
      <c r="Q27" s="48" t="s">
        <v>1030</v>
      </c>
      <c r="R27" s="48" t="s">
        <v>1027</v>
      </c>
      <c r="S27" s="48" t="s">
        <v>1057</v>
      </c>
    </row>
    <row r="28" customFormat="false" ht="15" hidden="false" customHeight="false" outlineLevel="0" collapsed="false">
      <c r="A28" s="48" t="s">
        <v>841</v>
      </c>
      <c r="B28" s="48" t="n">
        <v>2689</v>
      </c>
      <c r="C28" s="48" t="n">
        <v>4</v>
      </c>
      <c r="D28" s="48" t="n">
        <v>4</v>
      </c>
      <c r="E28" s="48" t="n">
        <v>101</v>
      </c>
      <c r="F28" s="48" t="n">
        <v>10</v>
      </c>
      <c r="G28" s="48" t="n">
        <v>2</v>
      </c>
      <c r="H28" s="48" t="n">
        <v>2</v>
      </c>
      <c r="I28" s="48" t="n">
        <v>2</v>
      </c>
      <c r="J28" s="48" t="n">
        <v>3</v>
      </c>
      <c r="K28" s="48" t="n">
        <v>8</v>
      </c>
      <c r="L28" s="48" t="n">
        <v>6</v>
      </c>
      <c r="M28" s="48" t="n">
        <v>3</v>
      </c>
      <c r="N28" s="48" t="n">
        <v>4</v>
      </c>
      <c r="O28" s="48" t="n">
        <v>5</v>
      </c>
      <c r="P28" s="48" t="n">
        <v>30</v>
      </c>
      <c r="Q28" s="48" t="s">
        <v>1058</v>
      </c>
      <c r="R28" s="48" t="s">
        <v>1059</v>
      </c>
      <c r="S28" s="48" t="s">
        <v>1060</v>
      </c>
    </row>
    <row r="29" customFormat="false" ht="15" hidden="false" customHeight="false" outlineLevel="0" collapsed="false">
      <c r="A29" s="48" t="s">
        <v>1061</v>
      </c>
      <c r="B29" s="48" t="n">
        <v>2641</v>
      </c>
      <c r="C29" s="48"/>
      <c r="D29" s="48"/>
      <c r="E29" s="48"/>
      <c r="F29" s="48"/>
      <c r="G29" s="48"/>
      <c r="H29" s="48"/>
      <c r="I29" s="48"/>
      <c r="J29" s="48"/>
      <c r="K29" s="48" t="n">
        <v>101</v>
      </c>
      <c r="L29" s="48" t="n">
        <v>101</v>
      </c>
      <c r="M29" s="48" t="n">
        <v>101</v>
      </c>
      <c r="N29" s="48" t="n">
        <v>101</v>
      </c>
      <c r="O29" s="48" t="n">
        <v>101</v>
      </c>
      <c r="P29" s="48" t="n">
        <v>0</v>
      </c>
      <c r="Q29" s="48"/>
      <c r="R29" s="48"/>
      <c r="S29" s="48" t="s">
        <v>1062</v>
      </c>
    </row>
    <row r="30" customFormat="false" ht="15" hidden="false" customHeight="false" outlineLevel="0" collapsed="false">
      <c r="A30" s="48" t="s">
        <v>450</v>
      </c>
      <c r="B30" s="48" t="n">
        <v>2597</v>
      </c>
      <c r="C30" s="48" t="n">
        <v>56.5</v>
      </c>
      <c r="D30" s="48" t="n">
        <v>36</v>
      </c>
      <c r="E30" s="48" t="n">
        <v>43</v>
      </c>
      <c r="F30" s="48" t="n">
        <v>92</v>
      </c>
      <c r="G30" s="48" t="n">
        <v>34.5</v>
      </c>
      <c r="H30" s="48" t="n">
        <v>28</v>
      </c>
      <c r="I30" s="48" t="n">
        <v>30</v>
      </c>
      <c r="J30" s="48" t="n">
        <v>59</v>
      </c>
      <c r="K30" s="48" t="n">
        <v>101</v>
      </c>
      <c r="L30" s="48" t="n">
        <v>101</v>
      </c>
      <c r="M30" s="48" t="n">
        <v>101</v>
      </c>
      <c r="N30" s="48" t="n">
        <v>73</v>
      </c>
      <c r="O30" s="48" t="n">
        <v>28</v>
      </c>
      <c r="P30" s="48" t="n">
        <v>1</v>
      </c>
      <c r="Q30" s="48" t="s">
        <v>1063</v>
      </c>
      <c r="R30" s="48" t="s">
        <v>809</v>
      </c>
      <c r="S30" s="48" t="s">
        <v>1064</v>
      </c>
    </row>
    <row r="31" customFormat="false" ht="15" hidden="false" customHeight="false" outlineLevel="0" collapsed="false">
      <c r="A31" s="48" t="s">
        <v>154</v>
      </c>
      <c r="B31" s="48" t="n">
        <v>2566</v>
      </c>
      <c r="C31" s="48" t="n">
        <v>34</v>
      </c>
      <c r="D31" s="48" t="n">
        <v>11.5</v>
      </c>
      <c r="E31" s="48" t="n">
        <v>9</v>
      </c>
      <c r="F31" s="48" t="n">
        <v>42</v>
      </c>
      <c r="G31" s="48" t="n">
        <v>21</v>
      </c>
      <c r="H31" s="48" t="n">
        <v>15</v>
      </c>
      <c r="I31" s="48" t="n">
        <v>13.5</v>
      </c>
      <c r="J31" s="48" t="n">
        <v>56</v>
      </c>
      <c r="K31" s="48" t="n">
        <v>87.5</v>
      </c>
      <c r="L31" s="48" t="n">
        <v>101</v>
      </c>
      <c r="M31" s="48" t="n">
        <v>52</v>
      </c>
      <c r="N31" s="48" t="n">
        <v>35</v>
      </c>
      <c r="O31" s="48" t="n">
        <v>38</v>
      </c>
      <c r="P31" s="48" t="n">
        <v>2</v>
      </c>
      <c r="Q31" s="48" t="s">
        <v>1065</v>
      </c>
      <c r="R31" s="48" t="s">
        <v>1066</v>
      </c>
      <c r="S31" s="48" t="s">
        <v>1067</v>
      </c>
    </row>
    <row r="32" customFormat="false" ht="15" hidden="false" customHeight="false" outlineLevel="0" collapsed="false">
      <c r="A32" s="48" t="s">
        <v>468</v>
      </c>
      <c r="B32" s="48" t="n">
        <v>2560</v>
      </c>
      <c r="C32" s="48" t="n">
        <v>10</v>
      </c>
      <c r="D32" s="48" t="n">
        <v>9</v>
      </c>
      <c r="E32" s="48" t="n">
        <v>17</v>
      </c>
      <c r="F32" s="48" t="n">
        <v>67</v>
      </c>
      <c r="G32" s="48" t="n">
        <v>16</v>
      </c>
      <c r="H32" s="48" t="n">
        <v>14</v>
      </c>
      <c r="I32" s="48" t="n">
        <v>7.5</v>
      </c>
      <c r="J32" s="48" t="n">
        <v>22</v>
      </c>
      <c r="K32" s="48" t="n">
        <v>60.5</v>
      </c>
      <c r="L32" s="48" t="n">
        <v>84</v>
      </c>
      <c r="M32" s="48" t="n">
        <v>75</v>
      </c>
      <c r="N32" s="48" t="n">
        <v>33</v>
      </c>
      <c r="O32" s="48" t="n">
        <v>30</v>
      </c>
      <c r="P32" s="48" t="n">
        <v>0</v>
      </c>
      <c r="Q32" s="48" t="s">
        <v>1036</v>
      </c>
      <c r="R32" s="48" t="s">
        <v>1040</v>
      </c>
      <c r="S32" s="48" t="s">
        <v>1068</v>
      </c>
    </row>
    <row r="33" customFormat="false" ht="15" hidden="false" customHeight="false" outlineLevel="0" collapsed="false">
      <c r="A33" s="48" t="s">
        <v>858</v>
      </c>
      <c r="B33" s="48" t="n">
        <v>2174</v>
      </c>
      <c r="C33" s="48" t="n">
        <v>20.5</v>
      </c>
      <c r="D33" s="48" t="n">
        <v>8</v>
      </c>
      <c r="E33" s="48" t="n">
        <v>28</v>
      </c>
      <c r="F33" s="48" t="n">
        <v>17</v>
      </c>
      <c r="G33" s="48" t="n">
        <v>11</v>
      </c>
      <c r="H33" s="48" t="n">
        <v>8</v>
      </c>
      <c r="I33" s="48" t="n">
        <v>9</v>
      </c>
      <c r="J33" s="48" t="n">
        <v>9</v>
      </c>
      <c r="K33" s="48" t="n">
        <v>90</v>
      </c>
      <c r="L33" s="48" t="n">
        <v>38</v>
      </c>
      <c r="M33" s="48" t="n">
        <v>29</v>
      </c>
      <c r="N33" s="48" t="n">
        <v>27.5</v>
      </c>
      <c r="O33" s="48" t="n">
        <v>20</v>
      </c>
      <c r="P33" s="48" t="n">
        <v>3</v>
      </c>
      <c r="Q33" s="48" t="s">
        <v>1036</v>
      </c>
      <c r="R33" s="48" t="s">
        <v>1052</v>
      </c>
      <c r="S33" s="48" t="s">
        <v>1069</v>
      </c>
    </row>
    <row r="34" customFormat="false" ht="15" hidden="false" customHeight="false" outlineLevel="0" collapsed="false">
      <c r="A34" s="48" t="s">
        <v>847</v>
      </c>
      <c r="B34" s="48" t="n">
        <v>2161</v>
      </c>
      <c r="C34" s="48" t="n">
        <v>24</v>
      </c>
      <c r="D34" s="48" t="n">
        <v>11</v>
      </c>
      <c r="E34" s="48" t="n">
        <v>8</v>
      </c>
      <c r="F34" s="48" t="n">
        <v>9</v>
      </c>
      <c r="G34" s="48" t="n">
        <v>9</v>
      </c>
      <c r="H34" s="48" t="n">
        <v>7</v>
      </c>
      <c r="I34" s="48" t="n">
        <v>8</v>
      </c>
      <c r="J34" s="48" t="n">
        <v>13</v>
      </c>
      <c r="K34" s="48" t="n">
        <v>27</v>
      </c>
      <c r="L34" s="48" t="n">
        <v>61</v>
      </c>
      <c r="M34" s="48" t="n">
        <v>41</v>
      </c>
      <c r="N34" s="48" t="n">
        <v>18</v>
      </c>
      <c r="O34" s="48" t="n">
        <v>13</v>
      </c>
      <c r="P34" s="48" t="n">
        <v>9</v>
      </c>
      <c r="Q34" s="48" t="s">
        <v>1026</v>
      </c>
      <c r="R34" s="48" t="s">
        <v>1024</v>
      </c>
      <c r="S34" s="48" t="s">
        <v>1070</v>
      </c>
    </row>
    <row r="35" customFormat="false" ht="15" hidden="false" customHeight="false" outlineLevel="0" collapsed="false">
      <c r="A35" s="48" t="s">
        <v>1071</v>
      </c>
      <c r="B35" s="48" t="n">
        <v>2137</v>
      </c>
      <c r="C35" s="48" t="n">
        <v>8.5</v>
      </c>
      <c r="D35" s="48" t="n">
        <v>7</v>
      </c>
      <c r="E35" s="48" t="n">
        <v>14</v>
      </c>
      <c r="F35" s="48" t="n">
        <v>16</v>
      </c>
      <c r="G35" s="48" t="n">
        <v>10</v>
      </c>
      <c r="H35" s="48" t="n">
        <v>6</v>
      </c>
      <c r="I35" s="48" t="n">
        <v>9</v>
      </c>
      <c r="J35" s="48" t="n">
        <v>23</v>
      </c>
      <c r="K35" s="48" t="n">
        <v>51</v>
      </c>
      <c r="L35" s="48" t="n">
        <v>101</v>
      </c>
      <c r="M35" s="48" t="n">
        <v>24</v>
      </c>
      <c r="N35" s="48" t="n">
        <v>15.5</v>
      </c>
      <c r="O35" s="48" t="n">
        <v>15</v>
      </c>
      <c r="P35" s="48" t="n">
        <v>0</v>
      </c>
      <c r="Q35" s="48" t="s">
        <v>1036</v>
      </c>
      <c r="R35" s="48" t="s">
        <v>1036</v>
      </c>
      <c r="S35" s="48" t="s">
        <v>1072</v>
      </c>
    </row>
    <row r="36" customFormat="false" ht="15" hidden="false" customHeight="false" outlineLevel="0" collapsed="false">
      <c r="A36" s="48" t="s">
        <v>160</v>
      </c>
      <c r="B36" s="48" t="n">
        <v>1821</v>
      </c>
      <c r="C36" s="48" t="n">
        <v>35.5</v>
      </c>
      <c r="D36" s="48" t="n">
        <v>14</v>
      </c>
      <c r="E36" s="48" t="n">
        <v>20</v>
      </c>
      <c r="F36" s="48" t="n">
        <v>32</v>
      </c>
      <c r="G36" s="48" t="n">
        <v>10.5</v>
      </c>
      <c r="H36" s="48" t="n">
        <v>9</v>
      </c>
      <c r="I36" s="48" t="n">
        <v>15.5</v>
      </c>
      <c r="J36" s="48" t="n">
        <v>22</v>
      </c>
      <c r="K36" s="48" t="n">
        <v>68</v>
      </c>
      <c r="L36" s="48" t="n">
        <v>52</v>
      </c>
      <c r="M36" s="48" t="n">
        <v>48</v>
      </c>
      <c r="N36" s="48" t="n">
        <v>23</v>
      </c>
      <c r="O36" s="48" t="n">
        <v>16</v>
      </c>
      <c r="P36" s="48" t="n">
        <v>8</v>
      </c>
      <c r="Q36" s="48" t="s">
        <v>1065</v>
      </c>
      <c r="R36" s="48" t="s">
        <v>1073</v>
      </c>
      <c r="S36" s="48" t="s">
        <v>1074</v>
      </c>
    </row>
    <row r="37" customFormat="false" ht="15" hidden="false" customHeight="false" outlineLevel="0" collapsed="false">
      <c r="A37" s="48" t="s">
        <v>1075</v>
      </c>
      <c r="B37" s="48" t="n">
        <v>1768</v>
      </c>
      <c r="C37" s="48"/>
      <c r="D37" s="48"/>
      <c r="E37" s="48"/>
      <c r="F37" s="48"/>
      <c r="G37" s="48"/>
      <c r="H37" s="48"/>
      <c r="I37" s="48"/>
      <c r="J37" s="48" t="n">
        <v>101</v>
      </c>
      <c r="K37" s="48"/>
      <c r="L37" s="48" t="n">
        <v>101</v>
      </c>
      <c r="M37" s="48" t="n">
        <v>101</v>
      </c>
      <c r="N37" s="48" t="n">
        <v>101</v>
      </c>
      <c r="O37" s="48" t="n">
        <v>101</v>
      </c>
      <c r="P37" s="48" t="n">
        <v>0</v>
      </c>
      <c r="Q37" s="48" t="s">
        <v>1076</v>
      </c>
      <c r="R37" s="48"/>
      <c r="S37" s="48" t="s">
        <v>1077</v>
      </c>
    </row>
    <row r="38" customFormat="false" ht="15" hidden="false" customHeight="false" outlineLevel="0" collapsed="false">
      <c r="A38" s="48" t="s">
        <v>846</v>
      </c>
      <c r="B38" s="48" t="n">
        <v>1725</v>
      </c>
      <c r="C38" s="48" t="n">
        <v>9</v>
      </c>
      <c r="D38" s="48" t="n">
        <v>11.5</v>
      </c>
      <c r="E38" s="48" t="n">
        <v>73</v>
      </c>
      <c r="F38" s="48" t="n">
        <v>101</v>
      </c>
      <c r="G38" s="48" t="n">
        <v>34.5</v>
      </c>
      <c r="H38" s="48" t="n">
        <v>35</v>
      </c>
      <c r="I38" s="48" t="n">
        <v>41</v>
      </c>
      <c r="J38" s="48" t="n">
        <v>55</v>
      </c>
      <c r="K38" s="48" t="n">
        <v>45.5</v>
      </c>
      <c r="L38" s="48" t="n">
        <v>101</v>
      </c>
      <c r="M38" s="48" t="n">
        <v>76</v>
      </c>
      <c r="N38" s="48" t="n">
        <v>10.5</v>
      </c>
      <c r="O38" s="48" t="n">
        <v>16</v>
      </c>
      <c r="P38" s="48" t="n">
        <v>14</v>
      </c>
      <c r="Q38" s="48" t="s">
        <v>1027</v>
      </c>
      <c r="R38" s="48" t="s">
        <v>1052</v>
      </c>
      <c r="S38" s="48" t="s">
        <v>1078</v>
      </c>
    </row>
    <row r="39" customFormat="false" ht="15" hidden="false" customHeight="false" outlineLevel="0" collapsed="false">
      <c r="A39" s="48" t="s">
        <v>877</v>
      </c>
      <c r="B39" s="48" t="n">
        <v>1692</v>
      </c>
      <c r="C39" s="48" t="n">
        <v>20.5</v>
      </c>
      <c r="D39" s="48" t="n">
        <v>23</v>
      </c>
      <c r="E39" s="48" t="n">
        <v>101</v>
      </c>
      <c r="F39" s="48" t="n">
        <v>101</v>
      </c>
      <c r="G39" s="48" t="n">
        <v>51</v>
      </c>
      <c r="H39" s="48" t="n">
        <v>49</v>
      </c>
      <c r="I39" s="48" t="n">
        <v>54</v>
      </c>
      <c r="J39" s="48" t="n">
        <v>62</v>
      </c>
      <c r="K39" s="48" t="n">
        <v>58</v>
      </c>
      <c r="L39" s="48" t="n">
        <v>101</v>
      </c>
      <c r="M39" s="48" t="n">
        <v>101</v>
      </c>
      <c r="N39" s="48" t="n">
        <v>26</v>
      </c>
      <c r="O39" s="48" t="n">
        <v>19</v>
      </c>
      <c r="P39" s="48" t="n">
        <v>3</v>
      </c>
      <c r="Q39" s="48" t="s">
        <v>1040</v>
      </c>
      <c r="R39" s="48" t="s">
        <v>1052</v>
      </c>
      <c r="S39" s="48" t="s">
        <v>1079</v>
      </c>
    </row>
    <row r="40" customFormat="false" ht="15" hidden="false" customHeight="false" outlineLevel="0" collapsed="false">
      <c r="A40" s="48" t="s">
        <v>837</v>
      </c>
      <c r="B40" s="48" t="n">
        <v>1586</v>
      </c>
      <c r="C40" s="48" t="n">
        <v>6</v>
      </c>
      <c r="D40" s="48" t="n">
        <v>6</v>
      </c>
      <c r="E40" s="48" t="n">
        <v>81</v>
      </c>
      <c r="F40" s="48" t="n">
        <v>13</v>
      </c>
      <c r="G40" s="48" t="n">
        <v>6</v>
      </c>
      <c r="H40" s="48" t="n">
        <v>8</v>
      </c>
      <c r="I40" s="48" t="n">
        <v>6</v>
      </c>
      <c r="J40" s="48" t="n">
        <v>5</v>
      </c>
      <c r="K40" s="48" t="n">
        <v>101</v>
      </c>
      <c r="L40" s="48" t="n">
        <v>17</v>
      </c>
      <c r="M40" s="48" t="n">
        <v>11</v>
      </c>
      <c r="N40" s="48" t="n">
        <v>17.5</v>
      </c>
      <c r="O40" s="48" t="n">
        <v>18</v>
      </c>
      <c r="P40" s="48" t="n">
        <v>8</v>
      </c>
      <c r="Q40" s="48" t="s">
        <v>1027</v>
      </c>
      <c r="R40" s="48" t="s">
        <v>1040</v>
      </c>
      <c r="S40" s="48" t="s">
        <v>1080</v>
      </c>
    </row>
    <row r="41" customFormat="false" ht="15" hidden="false" customHeight="false" outlineLevel="0" collapsed="false">
      <c r="A41" s="48" t="s">
        <v>848</v>
      </c>
      <c r="B41" s="48" t="n">
        <v>1519</v>
      </c>
      <c r="C41" s="48" t="n">
        <v>31.5</v>
      </c>
      <c r="D41" s="48" t="n">
        <v>11.5</v>
      </c>
      <c r="E41" s="48" t="n">
        <v>30</v>
      </c>
      <c r="F41" s="48" t="n">
        <v>29</v>
      </c>
      <c r="G41" s="48" t="n">
        <v>12.5</v>
      </c>
      <c r="H41" s="48" t="n">
        <v>11</v>
      </c>
      <c r="I41" s="48" t="n">
        <v>12</v>
      </c>
      <c r="J41" s="48" t="n">
        <v>14</v>
      </c>
      <c r="K41" s="48" t="n">
        <v>92.5</v>
      </c>
      <c r="L41" s="48" t="n">
        <v>56</v>
      </c>
      <c r="M41" s="48" t="n">
        <v>36</v>
      </c>
      <c r="N41" s="48" t="n">
        <v>35</v>
      </c>
      <c r="O41" s="48" t="n">
        <v>33</v>
      </c>
      <c r="P41" s="48" t="n">
        <v>0</v>
      </c>
      <c r="Q41" s="48" t="s">
        <v>1052</v>
      </c>
      <c r="R41" s="48" t="s">
        <v>1052</v>
      </c>
      <c r="S41" s="48" t="s">
        <v>1081</v>
      </c>
    </row>
    <row r="42" customFormat="false" ht="15" hidden="false" customHeight="false" outlineLevel="0" collapsed="false">
      <c r="A42" s="48" t="s">
        <v>477</v>
      </c>
      <c r="B42" s="48" t="n">
        <v>1505</v>
      </c>
      <c r="C42" s="48" t="n">
        <v>20</v>
      </c>
      <c r="D42" s="48" t="n">
        <v>23</v>
      </c>
      <c r="E42" s="48" t="n">
        <v>30</v>
      </c>
      <c r="F42" s="48" t="n">
        <v>101</v>
      </c>
      <c r="G42" s="48" t="n">
        <v>92.5</v>
      </c>
      <c r="H42" s="48" t="n">
        <v>25</v>
      </c>
      <c r="I42" s="48" t="n">
        <v>26</v>
      </c>
      <c r="J42" s="48" t="n">
        <v>49</v>
      </c>
      <c r="K42" s="48" t="n">
        <v>63</v>
      </c>
      <c r="L42" s="48" t="n">
        <v>101</v>
      </c>
      <c r="M42" s="48" t="n">
        <v>101</v>
      </c>
      <c r="N42" s="48" t="n">
        <v>42</v>
      </c>
      <c r="O42" s="48" t="n">
        <v>14</v>
      </c>
      <c r="P42" s="48" t="n">
        <v>6</v>
      </c>
      <c r="Q42" s="48" t="s">
        <v>1027</v>
      </c>
      <c r="R42" s="48" t="s">
        <v>1040</v>
      </c>
      <c r="S42" s="48" t="s">
        <v>1082</v>
      </c>
    </row>
    <row r="43" customFormat="false" ht="15" hidden="false" customHeight="false" outlineLevel="0" collapsed="false">
      <c r="A43" s="48" t="s">
        <v>890</v>
      </c>
      <c r="B43" s="48" t="n">
        <v>1485</v>
      </c>
      <c r="C43" s="48" t="n">
        <v>31</v>
      </c>
      <c r="D43" s="48" t="n">
        <v>40</v>
      </c>
      <c r="E43" s="48" t="n">
        <v>101</v>
      </c>
      <c r="F43" s="48" t="n">
        <v>101</v>
      </c>
      <c r="G43" s="48" t="n">
        <v>91.5</v>
      </c>
      <c r="H43" s="48" t="n">
        <v>71</v>
      </c>
      <c r="I43" s="48" t="n">
        <v>94.5</v>
      </c>
      <c r="J43" s="48" t="n">
        <v>101</v>
      </c>
      <c r="K43" s="48" t="n">
        <v>63.5</v>
      </c>
      <c r="L43" s="48" t="n">
        <v>101</v>
      </c>
      <c r="M43" s="48" t="n">
        <v>101</v>
      </c>
      <c r="N43" s="48" t="n">
        <v>68</v>
      </c>
      <c r="O43" s="48" t="n">
        <v>77</v>
      </c>
      <c r="P43" s="48" t="n">
        <v>0</v>
      </c>
      <c r="Q43" s="48" t="s">
        <v>1040</v>
      </c>
      <c r="R43" s="48" t="s">
        <v>1065</v>
      </c>
      <c r="S43" s="48" t="s">
        <v>1083</v>
      </c>
    </row>
    <row r="44" customFormat="false" ht="15" hidden="false" customHeight="false" outlineLevel="0" collapsed="false">
      <c r="A44" s="48" t="s">
        <v>942</v>
      </c>
      <c r="B44" s="48" t="n">
        <v>1459</v>
      </c>
      <c r="C44" s="48" t="n">
        <v>7.5</v>
      </c>
      <c r="D44" s="48" t="n">
        <v>8</v>
      </c>
      <c r="E44" s="48" t="n">
        <v>9</v>
      </c>
      <c r="F44" s="48" t="n">
        <v>20</v>
      </c>
      <c r="G44" s="48" t="n">
        <v>9</v>
      </c>
      <c r="H44" s="48" t="n">
        <v>5</v>
      </c>
      <c r="I44" s="48" t="n">
        <v>4.5</v>
      </c>
      <c r="J44" s="48" t="n">
        <v>19</v>
      </c>
      <c r="K44" s="48" t="n">
        <v>67.5</v>
      </c>
      <c r="L44" s="48" t="n">
        <v>101</v>
      </c>
      <c r="M44" s="48" t="n">
        <v>9</v>
      </c>
      <c r="N44" s="48" t="n">
        <v>9.5</v>
      </c>
      <c r="O44" s="48" t="n">
        <v>12</v>
      </c>
      <c r="P44" s="48" t="n">
        <v>15</v>
      </c>
      <c r="Q44" s="48" t="s">
        <v>1024</v>
      </c>
      <c r="R44" s="48" t="s">
        <v>1040</v>
      </c>
      <c r="S44" s="48" t="s">
        <v>1084</v>
      </c>
    </row>
    <row r="45" customFormat="false" ht="15" hidden="false" customHeight="false" outlineLevel="0" collapsed="false">
      <c r="A45" s="3"/>
      <c r="B45" s="3"/>
      <c r="C45" s="3"/>
      <c r="D45" s="3"/>
      <c r="E45" s="3"/>
      <c r="F45" s="3"/>
      <c r="G45" s="3"/>
      <c r="H45" s="3"/>
      <c r="I45" s="3"/>
      <c r="J45" s="3"/>
      <c r="K45" s="3"/>
      <c r="L45" s="3"/>
      <c r="M45" s="3"/>
      <c r="N45" s="3"/>
      <c r="O45" s="3"/>
      <c r="P45" s="3"/>
      <c r="Q45" s="3"/>
      <c r="R45" s="3"/>
      <c r="S45" s="3"/>
    </row>
    <row r="46" customFormat="false" ht="15" hidden="false" customHeight="false" outlineLevel="0" collapsed="false">
      <c r="A46" s="15" t="s">
        <v>1085</v>
      </c>
      <c r="B46" s="3"/>
      <c r="C46" s="3"/>
      <c r="D46" s="3"/>
      <c r="E46" s="3"/>
      <c r="F46" s="3"/>
      <c r="G46" s="3"/>
      <c r="H46" s="3"/>
      <c r="I46" s="3"/>
      <c r="J46" s="3"/>
      <c r="K46" s="3"/>
      <c r="L46" s="3"/>
      <c r="M46" s="3"/>
      <c r="N46" s="3"/>
      <c r="O46" s="3"/>
      <c r="P46" s="3"/>
      <c r="Q46" s="3"/>
      <c r="R46" s="3"/>
      <c r="S46" s="3"/>
    </row>
    <row r="47" customFormat="false" ht="31.5" hidden="false" customHeight="true" outlineLevel="0" collapsed="false">
      <c r="A47" s="7" t="s">
        <v>1086</v>
      </c>
      <c r="B47" s="7" t="s">
        <v>1087</v>
      </c>
      <c r="C47" s="7" t="s">
        <v>1088</v>
      </c>
      <c r="D47" s="7" t="s">
        <v>1089</v>
      </c>
      <c r="E47" s="7" t="s">
        <v>1090</v>
      </c>
      <c r="F47" s="7" t="s">
        <v>1091</v>
      </c>
      <c r="G47" s="3"/>
      <c r="H47" s="3"/>
      <c r="I47" s="3"/>
      <c r="J47" s="3"/>
      <c r="K47" s="3"/>
      <c r="L47" s="3"/>
      <c r="M47" s="3"/>
      <c r="N47" s="3"/>
      <c r="O47" s="3"/>
      <c r="P47" s="3"/>
      <c r="Q47" s="3"/>
      <c r="R47" s="3"/>
      <c r="S47" s="3"/>
    </row>
    <row r="48" customFormat="false" ht="15" hidden="false" customHeight="false" outlineLevel="0" collapsed="false">
      <c r="A48" s="48" t="s">
        <v>173</v>
      </c>
      <c r="B48" s="48" t="n">
        <v>4</v>
      </c>
      <c r="C48" s="48" t="s">
        <v>1092</v>
      </c>
      <c r="D48" s="48" t="n">
        <v>38</v>
      </c>
      <c r="E48" s="48" t="n">
        <v>114</v>
      </c>
      <c r="F48" s="48" t="s">
        <v>1093</v>
      </c>
      <c r="G48" s="3"/>
      <c r="H48" s="3"/>
      <c r="I48" s="3"/>
      <c r="J48" s="3"/>
      <c r="K48" s="3"/>
      <c r="L48" s="3"/>
      <c r="M48" s="3"/>
      <c r="N48" s="3"/>
      <c r="O48" s="3"/>
      <c r="P48" s="3"/>
      <c r="Q48" s="3"/>
      <c r="R48" s="3"/>
      <c r="S48" s="3"/>
    </row>
    <row r="49" customFormat="false" ht="15" hidden="false" customHeight="false" outlineLevel="0" collapsed="false">
      <c r="A49" s="48" t="s">
        <v>125</v>
      </c>
      <c r="B49" s="48" t="n">
        <v>3</v>
      </c>
      <c r="C49" s="48" t="s">
        <v>1092</v>
      </c>
      <c r="D49" s="48" t="n">
        <v>73</v>
      </c>
      <c r="E49" s="48" t="n">
        <v>166</v>
      </c>
      <c r="F49" s="48" t="s">
        <v>1094</v>
      </c>
      <c r="G49" s="3"/>
      <c r="H49" s="3"/>
      <c r="I49" s="3"/>
      <c r="J49" s="3"/>
      <c r="K49" s="3"/>
      <c r="L49" s="3"/>
      <c r="M49" s="3"/>
      <c r="N49" s="3"/>
      <c r="O49" s="3"/>
      <c r="P49" s="3"/>
      <c r="Q49" s="3"/>
      <c r="R49" s="3"/>
      <c r="S49" s="3"/>
    </row>
    <row r="50" customFormat="false" ht="15" hidden="false" customHeight="false" outlineLevel="0" collapsed="false">
      <c r="A50" s="48" t="s">
        <v>839</v>
      </c>
      <c r="B50" s="48" t="n">
        <v>10</v>
      </c>
      <c r="C50" s="48" t="s">
        <v>775</v>
      </c>
      <c r="D50" s="48" t="n">
        <v>1</v>
      </c>
      <c r="E50" s="48" t="n">
        <v>90</v>
      </c>
      <c r="F50" s="48" t="s">
        <v>1095</v>
      </c>
      <c r="G50" s="3"/>
      <c r="H50" s="3"/>
      <c r="I50" s="3"/>
      <c r="J50" s="3"/>
      <c r="K50" s="3"/>
      <c r="L50" s="3"/>
      <c r="M50" s="3"/>
      <c r="N50" s="3"/>
      <c r="O50" s="3"/>
      <c r="P50" s="3"/>
      <c r="Q50" s="3"/>
      <c r="R50" s="3"/>
      <c r="S50" s="3"/>
    </row>
    <row r="51" customFormat="false" ht="15" hidden="false" customHeight="false" outlineLevel="0" collapsed="false">
      <c r="A51" s="48" t="s">
        <v>828</v>
      </c>
      <c r="B51" s="48" t="n">
        <v>5</v>
      </c>
      <c r="C51" s="48" t="s">
        <v>1096</v>
      </c>
      <c r="D51" s="48" t="n">
        <v>29</v>
      </c>
      <c r="E51" s="48" t="n">
        <v>105</v>
      </c>
      <c r="F51" s="48" t="s">
        <v>1097</v>
      </c>
      <c r="G51" s="3"/>
      <c r="H51" s="3"/>
      <c r="I51" s="3"/>
      <c r="J51" s="3"/>
      <c r="K51" s="3"/>
      <c r="L51" s="3"/>
      <c r="M51" s="3"/>
      <c r="N51" s="3"/>
      <c r="O51" s="3"/>
      <c r="P51" s="3"/>
      <c r="Q51" s="3"/>
      <c r="R51" s="3"/>
      <c r="S51" s="3"/>
    </row>
    <row r="52" customFormat="false" ht="15" hidden="false" customHeight="false" outlineLevel="0" collapsed="false">
      <c r="A52" s="48" t="s">
        <v>820</v>
      </c>
      <c r="B52" s="48" t="n">
        <v>4</v>
      </c>
      <c r="C52" s="48" t="s">
        <v>1098</v>
      </c>
      <c r="D52" s="48" t="n">
        <v>63</v>
      </c>
      <c r="E52" s="48" t="n">
        <v>92</v>
      </c>
      <c r="F52" s="48" t="s">
        <v>1099</v>
      </c>
      <c r="G52" s="3"/>
      <c r="H52" s="3"/>
      <c r="I52" s="3"/>
      <c r="J52" s="3"/>
      <c r="K52" s="3"/>
      <c r="L52" s="3"/>
      <c r="M52" s="3"/>
      <c r="N52" s="3"/>
      <c r="O52" s="3"/>
      <c r="P52" s="3"/>
      <c r="Q52" s="3"/>
      <c r="R52" s="3"/>
      <c r="S52" s="3"/>
    </row>
    <row r="53" customFormat="false" ht="15" hidden="false" customHeight="false" outlineLevel="0" collapsed="false">
      <c r="A53" s="48" t="s">
        <v>841</v>
      </c>
      <c r="B53" s="48" t="n">
        <v>3</v>
      </c>
      <c r="C53" s="48" t="s">
        <v>1100</v>
      </c>
      <c r="D53" s="48" t="n">
        <v>102</v>
      </c>
      <c r="E53" s="48" t="n">
        <v>193</v>
      </c>
      <c r="F53" s="48" t="s">
        <v>1101</v>
      </c>
      <c r="G53" s="3"/>
      <c r="H53" s="3"/>
      <c r="I53" s="3"/>
      <c r="J53" s="3"/>
      <c r="K53" s="3"/>
      <c r="L53" s="3"/>
      <c r="M53" s="3"/>
      <c r="N53" s="3"/>
      <c r="O53" s="3"/>
      <c r="P53" s="3"/>
      <c r="Q53" s="3"/>
      <c r="R53" s="3"/>
      <c r="S53" s="3"/>
    </row>
    <row r="54" customFormat="false" ht="15" hidden="false" customHeight="false" outlineLevel="0" collapsed="false">
      <c r="A54" s="48" t="s">
        <v>178</v>
      </c>
      <c r="B54" s="48" t="n">
        <v>3</v>
      </c>
      <c r="C54" s="48" t="s">
        <v>1092</v>
      </c>
      <c r="D54" s="48" t="n">
        <v>95</v>
      </c>
      <c r="E54" s="48" t="n">
        <v>182</v>
      </c>
      <c r="F54" s="48" t="s">
        <v>1102</v>
      </c>
      <c r="G54" s="3"/>
      <c r="H54" s="3"/>
      <c r="I54" s="3"/>
      <c r="J54" s="3"/>
      <c r="K54" s="3"/>
      <c r="L54" s="3"/>
      <c r="M54" s="3"/>
      <c r="N54" s="3"/>
      <c r="O54" s="3"/>
      <c r="P54" s="3"/>
      <c r="Q54" s="3"/>
      <c r="R54" s="3"/>
      <c r="S54" s="3"/>
    </row>
    <row r="55" customFormat="false" ht="15" hidden="false" customHeight="false" outlineLevel="0" collapsed="false">
      <c r="A55" s="48" t="s">
        <v>142</v>
      </c>
      <c r="B55" s="48" t="n">
        <v>6</v>
      </c>
      <c r="C55" s="48" t="s">
        <v>1103</v>
      </c>
      <c r="D55" s="48" t="n">
        <v>73</v>
      </c>
      <c r="E55" s="48" t="n">
        <v>249</v>
      </c>
      <c r="F55" s="48" t="s">
        <v>1104</v>
      </c>
      <c r="G55" s="3"/>
      <c r="H55" s="3"/>
      <c r="I55" s="3"/>
      <c r="J55" s="3"/>
      <c r="K55" s="3"/>
      <c r="L55" s="3"/>
      <c r="M55" s="3"/>
      <c r="N55" s="3"/>
      <c r="O55" s="3"/>
      <c r="P55" s="3"/>
      <c r="Q55" s="3"/>
      <c r="R55" s="3"/>
      <c r="S55" s="3"/>
    </row>
    <row r="56" customFormat="false" ht="15" hidden="false" customHeight="false" outlineLevel="0" collapsed="false">
      <c r="A56" s="48" t="s">
        <v>138</v>
      </c>
      <c r="B56" s="48" t="n">
        <v>4</v>
      </c>
      <c r="C56" s="48" t="s">
        <v>1105</v>
      </c>
      <c r="D56" s="48" t="n">
        <v>103</v>
      </c>
      <c r="E56" s="48" t="n">
        <v>260</v>
      </c>
      <c r="F56" s="48" t="s">
        <v>1106</v>
      </c>
      <c r="G56" s="3"/>
      <c r="H56" s="3"/>
      <c r="I56" s="3"/>
      <c r="J56" s="3"/>
      <c r="K56" s="3"/>
      <c r="L56" s="3"/>
      <c r="M56" s="3"/>
      <c r="N56" s="3"/>
      <c r="O56" s="3"/>
      <c r="P56" s="3"/>
      <c r="Q56" s="3"/>
      <c r="R56" s="3"/>
      <c r="S56" s="3"/>
    </row>
    <row r="57" customFormat="false" ht="15" hidden="false" customHeight="false" outlineLevel="0" collapsed="false">
      <c r="A57" s="48" t="s">
        <v>1107</v>
      </c>
      <c r="B57" s="48" t="n">
        <v>6</v>
      </c>
      <c r="C57" s="48" t="s">
        <v>775</v>
      </c>
      <c r="D57" s="48" t="n">
        <v>12</v>
      </c>
      <c r="E57" s="48" t="n">
        <v>65</v>
      </c>
      <c r="F57" s="48" t="s">
        <v>1108</v>
      </c>
      <c r="G57" s="3"/>
      <c r="H57" s="3"/>
      <c r="I57" s="3"/>
      <c r="J57" s="3"/>
      <c r="K57" s="3"/>
      <c r="L57" s="3"/>
      <c r="M57" s="3"/>
      <c r="N57" s="3"/>
      <c r="O57" s="3"/>
      <c r="P57" s="3"/>
      <c r="Q57" s="3"/>
      <c r="R57" s="3"/>
      <c r="S57" s="3"/>
    </row>
    <row r="58" customFormat="false" ht="15" hidden="false" customHeight="false" outlineLevel="0" collapsed="false">
      <c r="A58" s="48" t="s">
        <v>480</v>
      </c>
      <c r="B58" s="48" t="n">
        <v>23</v>
      </c>
      <c r="C58" s="48" t="s">
        <v>796</v>
      </c>
      <c r="D58" s="48" t="n">
        <v>0</v>
      </c>
      <c r="E58" s="48" t="n">
        <v>0</v>
      </c>
      <c r="F58" s="48" t="s">
        <v>1109</v>
      </c>
      <c r="G58" s="3"/>
      <c r="H58" s="3"/>
      <c r="I58" s="3"/>
      <c r="J58" s="3"/>
      <c r="K58" s="3"/>
      <c r="L58" s="3"/>
      <c r="M58" s="3"/>
      <c r="N58" s="3"/>
      <c r="O58" s="3"/>
      <c r="P58" s="3"/>
      <c r="Q58" s="3"/>
      <c r="R58" s="3"/>
      <c r="S58" s="3"/>
    </row>
    <row r="59" customFormat="false" ht="15" hidden="false" customHeight="false" outlineLevel="0" collapsed="false">
      <c r="A59" s="48" t="s">
        <v>938</v>
      </c>
      <c r="B59" s="48" t="n">
        <v>27</v>
      </c>
      <c r="C59" s="48" t="s">
        <v>1110</v>
      </c>
      <c r="D59" s="48" t="n">
        <v>0</v>
      </c>
      <c r="E59" s="48" t="n">
        <v>0</v>
      </c>
      <c r="F59" s="48" t="s">
        <v>1111</v>
      </c>
      <c r="G59" s="3"/>
      <c r="H59" s="3"/>
      <c r="I59" s="3"/>
      <c r="J59" s="3"/>
      <c r="K59" s="3"/>
      <c r="L59" s="3"/>
      <c r="M59" s="3"/>
      <c r="N59" s="3"/>
      <c r="O59" s="3"/>
      <c r="P59" s="3"/>
      <c r="Q59" s="3"/>
      <c r="R59" s="3"/>
      <c r="S59" s="3"/>
    </row>
    <row r="60" customFormat="false" ht="15" hidden="false" customHeight="false" outlineLevel="0" collapsed="false">
      <c r="A60" s="48" t="s">
        <v>964</v>
      </c>
      <c r="B60" s="48" t="n">
        <v>10</v>
      </c>
      <c r="C60" s="48" t="s">
        <v>1092</v>
      </c>
      <c r="D60" s="48" t="n">
        <v>1</v>
      </c>
      <c r="E60" s="48" t="n">
        <v>1</v>
      </c>
      <c r="F60" s="48" t="s">
        <v>1112</v>
      </c>
      <c r="G60" s="3"/>
      <c r="H60" s="3"/>
      <c r="I60" s="3"/>
      <c r="J60" s="3"/>
      <c r="K60" s="3"/>
      <c r="L60" s="3"/>
      <c r="M60" s="3"/>
      <c r="N60" s="3"/>
      <c r="O60" s="3"/>
      <c r="P60" s="3"/>
      <c r="Q60" s="3"/>
      <c r="R60" s="3"/>
      <c r="S60" s="3"/>
    </row>
    <row r="61" customFormat="false" ht="15" hidden="false" customHeight="false" outlineLevel="0" collapsed="false">
      <c r="A61" s="48" t="s">
        <v>954</v>
      </c>
      <c r="B61" s="48" t="n">
        <v>42</v>
      </c>
      <c r="C61" s="48" t="s">
        <v>1113</v>
      </c>
      <c r="D61" s="48" t="n">
        <v>0</v>
      </c>
      <c r="E61" s="48" t="n">
        <v>0</v>
      </c>
      <c r="F61" s="48" t="s">
        <v>1114</v>
      </c>
      <c r="G61" s="3"/>
      <c r="H61" s="3"/>
      <c r="I61" s="3"/>
      <c r="J61" s="3"/>
      <c r="K61" s="3"/>
      <c r="L61" s="3"/>
      <c r="M61" s="3"/>
      <c r="N61" s="3"/>
      <c r="O61" s="3"/>
      <c r="P61" s="3"/>
      <c r="Q61" s="3"/>
      <c r="R61" s="3"/>
      <c r="S61" s="3"/>
    </row>
    <row r="62" customFormat="false" ht="15" hidden="false" customHeight="false" outlineLevel="0" collapsed="false">
      <c r="A62" s="48" t="s">
        <v>944</v>
      </c>
      <c r="B62" s="48"/>
      <c r="C62" s="48"/>
      <c r="D62" s="48"/>
      <c r="E62" s="48"/>
      <c r="F62" s="48" t="s">
        <v>1115</v>
      </c>
      <c r="G62" s="3"/>
      <c r="H62" s="3"/>
      <c r="I62" s="3"/>
      <c r="J62" s="3"/>
      <c r="K62" s="3"/>
      <c r="L62" s="3"/>
      <c r="M62" s="3"/>
      <c r="N62" s="3"/>
      <c r="O62" s="3"/>
      <c r="P62" s="3"/>
      <c r="Q62" s="3"/>
      <c r="R62" s="3"/>
      <c r="S62" s="3"/>
    </row>
    <row r="63" customFormat="false" ht="15" hidden="false" customHeight="false" outlineLevel="0" collapsed="false">
      <c r="A63" s="48" t="s">
        <v>950</v>
      </c>
      <c r="B63" s="48"/>
      <c r="C63" s="48"/>
      <c r="D63" s="48"/>
      <c r="E63" s="48"/>
      <c r="F63" s="48" t="s">
        <v>1115</v>
      </c>
      <c r="G63" s="3"/>
      <c r="H63" s="3"/>
      <c r="I63" s="3"/>
      <c r="J63" s="3"/>
      <c r="K63" s="3"/>
      <c r="L63" s="3"/>
      <c r="M63" s="3"/>
      <c r="N63" s="3"/>
      <c r="O63" s="3"/>
      <c r="P63" s="3"/>
      <c r="Q63" s="3"/>
      <c r="R63" s="3"/>
      <c r="S63" s="3"/>
    </row>
    <row r="64" customFormat="false" ht="15" hidden="false" customHeight="false" outlineLevel="0" collapsed="false">
      <c r="A64" s="48" t="s">
        <v>460</v>
      </c>
      <c r="B64" s="48" t="n">
        <v>7</v>
      </c>
      <c r="C64" s="48" t="s">
        <v>1092</v>
      </c>
      <c r="D64" s="48" t="n">
        <v>50</v>
      </c>
      <c r="E64" s="48" t="n">
        <v>178</v>
      </c>
      <c r="F64" s="48" t="s">
        <v>1116</v>
      </c>
      <c r="G64" s="3"/>
      <c r="H64" s="3"/>
      <c r="I64" s="3"/>
      <c r="J64" s="3"/>
      <c r="K64" s="3"/>
      <c r="L64" s="3"/>
      <c r="M64" s="3"/>
      <c r="N64" s="3"/>
      <c r="O64" s="3"/>
      <c r="P64" s="3"/>
      <c r="Q64" s="3"/>
      <c r="R64" s="3"/>
      <c r="S64" s="3"/>
    </row>
    <row r="65" customFormat="false" ht="15" hidden="false" customHeight="false" outlineLevel="0" collapsed="false">
      <c r="A65" s="48" t="s">
        <v>468</v>
      </c>
      <c r="B65" s="48" t="n">
        <v>9</v>
      </c>
      <c r="C65" s="48" t="s">
        <v>1092</v>
      </c>
      <c r="D65" s="48" t="n">
        <v>7</v>
      </c>
      <c r="E65" s="48" t="n">
        <v>214</v>
      </c>
      <c r="F65" s="48" t="s">
        <v>1117</v>
      </c>
      <c r="G65" s="3"/>
      <c r="H65" s="3"/>
      <c r="I65" s="3"/>
      <c r="J65" s="3"/>
      <c r="K65" s="3"/>
      <c r="L65" s="3"/>
      <c r="M65" s="3"/>
      <c r="N65" s="3"/>
      <c r="O65" s="3"/>
      <c r="P65" s="3"/>
      <c r="Q65" s="3"/>
      <c r="R65" s="3"/>
      <c r="S65" s="3"/>
    </row>
    <row r="66" customFormat="false" ht="15" hidden="false" customHeight="false" outlineLevel="0" collapsed="false">
      <c r="A66" s="48" t="s">
        <v>863</v>
      </c>
      <c r="B66" s="48" t="n">
        <v>6</v>
      </c>
      <c r="C66" s="48" t="s">
        <v>1118</v>
      </c>
      <c r="D66" s="48" t="n">
        <v>74</v>
      </c>
      <c r="E66" s="48" t="n">
        <v>151</v>
      </c>
      <c r="F66" s="48" t="s">
        <v>1119</v>
      </c>
      <c r="G66" s="3"/>
      <c r="H66" s="3"/>
      <c r="I66" s="3"/>
      <c r="J66" s="3"/>
      <c r="K66" s="3"/>
      <c r="L66" s="3"/>
      <c r="M66" s="3"/>
      <c r="N66" s="3"/>
      <c r="O66" s="3"/>
      <c r="P66" s="3"/>
      <c r="Q66" s="3"/>
      <c r="R66" s="3"/>
      <c r="S66" s="3"/>
    </row>
    <row r="67" customFormat="false" ht="15" hidden="false" customHeight="false" outlineLevel="0" collapsed="false">
      <c r="A67" s="48" t="s">
        <v>837</v>
      </c>
      <c r="B67" s="48" t="n">
        <v>5</v>
      </c>
      <c r="C67" s="48" t="s">
        <v>1120</v>
      </c>
      <c r="D67" s="48" t="n">
        <v>41</v>
      </c>
      <c r="E67" s="48" t="n">
        <v>166</v>
      </c>
      <c r="F67" s="48" t="s">
        <v>1121</v>
      </c>
      <c r="G67" s="3"/>
      <c r="H67" s="3"/>
      <c r="I67" s="3"/>
      <c r="J67" s="3"/>
      <c r="K67" s="3"/>
      <c r="L67" s="3"/>
      <c r="M67" s="3"/>
      <c r="N67" s="3"/>
      <c r="O67" s="3"/>
      <c r="P67" s="3"/>
      <c r="Q67" s="3"/>
      <c r="R67" s="3"/>
      <c r="S67" s="3"/>
    </row>
    <row r="68" customFormat="false" ht="15" hidden="false" customHeight="false" outlineLevel="0" collapsed="false">
      <c r="A68" s="48" t="s">
        <v>833</v>
      </c>
      <c r="B68" s="48" t="n">
        <v>5</v>
      </c>
      <c r="C68" s="48" t="s">
        <v>1122</v>
      </c>
      <c r="D68" s="48" t="n">
        <v>87</v>
      </c>
      <c r="E68" s="48" t="n">
        <v>238</v>
      </c>
      <c r="F68" s="48" t="s">
        <v>1123</v>
      </c>
      <c r="G68" s="3"/>
      <c r="H68" s="3"/>
      <c r="I68" s="3"/>
      <c r="J68" s="3"/>
      <c r="K68" s="3"/>
      <c r="L68" s="3"/>
      <c r="M68" s="3"/>
      <c r="N68" s="3"/>
      <c r="O68" s="3"/>
      <c r="P68" s="3"/>
      <c r="Q68" s="3"/>
      <c r="R68" s="3"/>
      <c r="S68" s="3"/>
    </row>
    <row r="69" customFormat="false" ht="15" hidden="false" customHeight="false" outlineLevel="0" collapsed="false">
      <c r="A69" s="48" t="s">
        <v>836</v>
      </c>
      <c r="B69" s="48" t="n">
        <v>10</v>
      </c>
      <c r="C69" s="48" t="s">
        <v>1124</v>
      </c>
      <c r="D69" s="48" t="n">
        <v>1</v>
      </c>
      <c r="E69" s="48" t="n">
        <v>6</v>
      </c>
      <c r="F69" s="48" t="s">
        <v>1125</v>
      </c>
      <c r="G69" s="3"/>
      <c r="H69" s="3"/>
      <c r="I69" s="3"/>
      <c r="J69" s="3"/>
      <c r="K69" s="3"/>
      <c r="L69" s="3"/>
      <c r="M69" s="3"/>
      <c r="N69" s="3"/>
      <c r="O69" s="3"/>
      <c r="P69" s="3"/>
      <c r="Q69" s="3"/>
      <c r="R69" s="3"/>
      <c r="S69" s="3"/>
    </row>
    <row r="70" customFormat="false" ht="15" hidden="false" customHeight="false" outlineLevel="0" collapsed="false">
      <c r="A70" s="48" t="s">
        <v>855</v>
      </c>
      <c r="B70" s="48"/>
      <c r="C70" s="48"/>
      <c r="D70" s="48"/>
      <c r="E70" s="48"/>
      <c r="F70" s="48" t="s">
        <v>1115</v>
      </c>
      <c r="G70" s="3"/>
      <c r="H70" s="3"/>
      <c r="I70" s="3"/>
      <c r="J70" s="3"/>
      <c r="K70" s="3"/>
      <c r="L70" s="3"/>
      <c r="M70" s="3"/>
      <c r="N70" s="3"/>
      <c r="O70" s="3"/>
      <c r="P70" s="3"/>
      <c r="Q70" s="3"/>
      <c r="R70" s="3"/>
      <c r="S70" s="3"/>
    </row>
    <row r="71" customFormat="false" ht="15" hidden="false" customHeight="false" outlineLevel="0" collapsed="false">
      <c r="A71" s="48" t="s">
        <v>1126</v>
      </c>
      <c r="B71" s="48"/>
      <c r="C71" s="48"/>
      <c r="D71" s="48"/>
      <c r="E71" s="48"/>
      <c r="F71" s="48" t="s">
        <v>1115</v>
      </c>
      <c r="G71" s="3"/>
      <c r="H71" s="3"/>
      <c r="I71" s="3"/>
      <c r="J71" s="3"/>
      <c r="K71" s="3"/>
      <c r="L71" s="3"/>
      <c r="M71" s="3"/>
      <c r="N71" s="3"/>
      <c r="O71" s="3"/>
      <c r="P71" s="3"/>
      <c r="Q71" s="3"/>
      <c r="R71" s="3"/>
      <c r="S71" s="3"/>
    </row>
    <row r="72" customFormat="false" ht="15" hidden="false" customHeight="false" outlineLevel="0" collapsed="false">
      <c r="A72" s="48" t="s">
        <v>1127</v>
      </c>
      <c r="B72" s="48"/>
      <c r="C72" s="48"/>
      <c r="D72" s="48" t="n">
        <v>0</v>
      </c>
      <c r="E72" s="48" t="n">
        <v>0</v>
      </c>
      <c r="F72" s="48" t="s">
        <v>1128</v>
      </c>
      <c r="G72" s="3"/>
      <c r="H72" s="3"/>
      <c r="I72" s="3"/>
      <c r="J72" s="3"/>
      <c r="K72" s="3"/>
      <c r="L72" s="3"/>
      <c r="M72" s="3"/>
      <c r="N72" s="3"/>
      <c r="O72" s="3"/>
      <c r="P72" s="3"/>
      <c r="Q72" s="3"/>
      <c r="R72" s="3"/>
      <c r="S72" s="3"/>
    </row>
    <row r="73" customFormat="false" ht="15" hidden="false" customHeight="false" outlineLevel="0" collapsed="false">
      <c r="A73" s="48" t="s">
        <v>949</v>
      </c>
      <c r="B73" s="48"/>
      <c r="C73" s="48"/>
      <c r="D73" s="48"/>
      <c r="E73" s="48"/>
      <c r="F73" s="48" t="s">
        <v>1115</v>
      </c>
      <c r="G73" s="3"/>
      <c r="H73" s="3"/>
      <c r="I73" s="3"/>
      <c r="J73" s="3"/>
      <c r="K73" s="3"/>
      <c r="L73" s="3"/>
      <c r="M73" s="3"/>
      <c r="N73" s="3"/>
      <c r="O73" s="3"/>
      <c r="P73" s="3"/>
      <c r="Q73" s="3"/>
      <c r="R73" s="3"/>
      <c r="S7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26"/>
    <col collapsed="false" customWidth="true" hidden="false" outlineLevel="0" max="6" min="5" style="0" width="30"/>
    <col collapsed="false" customWidth="true" hidden="false" outlineLevel="0" max="7" min="7" style="0" width="10"/>
    <col collapsed="false" customWidth="true" hidden="false" outlineLevel="0" max="8" min="8" style="0" width="7"/>
    <col collapsed="false" customWidth="true" hidden="false" outlineLevel="0" max="9" min="9" style="0" width="9"/>
    <col collapsed="false" customWidth="true" hidden="false" outlineLevel="0" max="10" min="10" style="0" width="14"/>
    <col collapsed="false" customWidth="true" hidden="false" outlineLevel="0" max="11" min="11" style="0" width="18"/>
    <col collapsed="false" customWidth="true" hidden="false" outlineLevel="0" max="12" min="12" style="0" width="14"/>
    <col collapsed="false" customWidth="true" hidden="false" outlineLevel="0" max="13" min="13" style="0" width="12"/>
    <col collapsed="false" customWidth="true" hidden="false" outlineLevel="0" max="15" min="14" style="0" width="10"/>
    <col collapsed="false" customWidth="true" hidden="false" outlineLevel="0" max="16" min="16" style="0" width="60"/>
  </cols>
  <sheetData>
    <row r="1" customFormat="false" ht="17.35" hidden="false" customHeight="false" outlineLevel="0" collapsed="false">
      <c r="A1" s="1" t="s">
        <v>1129</v>
      </c>
      <c r="B1" s="3"/>
      <c r="C1" s="3"/>
      <c r="D1" s="3"/>
      <c r="E1" s="3"/>
      <c r="F1" s="3"/>
      <c r="G1" s="3"/>
      <c r="H1" s="3"/>
      <c r="I1" s="3"/>
      <c r="J1" s="3"/>
      <c r="K1" s="3"/>
      <c r="L1" s="3"/>
      <c r="M1" s="3"/>
      <c r="N1" s="3"/>
      <c r="O1" s="3"/>
      <c r="P1" s="3"/>
    </row>
    <row r="2" customFormat="false" ht="15" hidden="false" customHeight="false" outlineLevel="0" collapsed="false">
      <c r="A2" s="2" t="s">
        <v>1130</v>
      </c>
      <c r="B2" s="3"/>
      <c r="C2" s="3"/>
      <c r="D2" s="3"/>
      <c r="E2" s="3"/>
      <c r="F2" s="3"/>
      <c r="G2" s="3"/>
      <c r="H2" s="3"/>
      <c r="I2" s="3"/>
      <c r="J2" s="3"/>
      <c r="K2" s="3"/>
      <c r="L2" s="3"/>
      <c r="M2" s="3"/>
      <c r="N2" s="3"/>
      <c r="O2" s="3"/>
      <c r="P2" s="3"/>
    </row>
    <row r="3" customFormat="false" ht="15" hidden="false" customHeight="false" outlineLevel="0" collapsed="false">
      <c r="A3" s="3"/>
      <c r="B3" s="3"/>
      <c r="C3" s="3"/>
      <c r="D3" s="3"/>
      <c r="E3" s="3"/>
      <c r="F3" s="3"/>
      <c r="G3" s="3"/>
      <c r="H3" s="3"/>
      <c r="I3" s="3"/>
      <c r="J3" s="3"/>
      <c r="K3" s="3"/>
      <c r="L3" s="3"/>
      <c r="M3" s="3"/>
      <c r="N3" s="3"/>
      <c r="O3" s="3"/>
      <c r="P3" s="3"/>
    </row>
    <row r="4" customFormat="false" ht="31.5" hidden="false" customHeight="true" outlineLevel="0" collapsed="false">
      <c r="A4" s="7" t="s">
        <v>1131</v>
      </c>
      <c r="B4" s="7" t="s">
        <v>1132</v>
      </c>
      <c r="C4" s="7" t="s">
        <v>1133</v>
      </c>
      <c r="D4" s="7" t="s">
        <v>1134</v>
      </c>
      <c r="E4" s="7" t="s">
        <v>1135</v>
      </c>
      <c r="F4" s="7" t="s">
        <v>1136</v>
      </c>
      <c r="G4" s="7" t="s">
        <v>1137</v>
      </c>
      <c r="H4" s="7" t="s">
        <v>1138</v>
      </c>
      <c r="I4" s="7" t="s">
        <v>1139</v>
      </c>
      <c r="J4" s="7" t="s">
        <v>1140</v>
      </c>
      <c r="K4" s="7" t="s">
        <v>1141</v>
      </c>
      <c r="L4" s="7" t="s">
        <v>1142</v>
      </c>
      <c r="M4" s="7" t="s">
        <v>1143</v>
      </c>
      <c r="N4" s="7" t="s">
        <v>1144</v>
      </c>
      <c r="O4" s="7" t="s">
        <v>1145</v>
      </c>
      <c r="P4" s="7" t="s">
        <v>1146</v>
      </c>
    </row>
    <row r="5" customFormat="false" ht="23.85" hidden="false" customHeight="false" outlineLevel="0" collapsed="false">
      <c r="A5" s="27" t="s">
        <v>591</v>
      </c>
      <c r="B5" s="27" t="s">
        <v>1147</v>
      </c>
      <c r="C5" s="27" t="s">
        <v>1148</v>
      </c>
      <c r="D5" s="27" t="s">
        <v>1149</v>
      </c>
      <c r="E5" s="27" t="s">
        <v>1150</v>
      </c>
      <c r="F5" s="27" t="s">
        <v>1151</v>
      </c>
      <c r="G5" s="27" t="s">
        <v>1152</v>
      </c>
      <c r="H5" s="27" t="s">
        <v>1153</v>
      </c>
      <c r="I5" s="27" t="s">
        <v>1154</v>
      </c>
      <c r="J5" s="27" t="s">
        <v>1155</v>
      </c>
      <c r="K5" s="27" t="s">
        <v>1156</v>
      </c>
      <c r="L5" s="27" t="s">
        <v>1157</v>
      </c>
      <c r="M5" s="27" t="s">
        <v>1158</v>
      </c>
      <c r="N5" s="27" t="s">
        <v>1159</v>
      </c>
      <c r="O5" s="27" t="s">
        <v>1160</v>
      </c>
      <c r="P5" s="27" t="s">
        <v>1161</v>
      </c>
    </row>
    <row r="6" customFormat="false" ht="35.05" hidden="false" customHeight="false" outlineLevel="0" collapsed="false">
      <c r="A6" s="27" t="s">
        <v>586</v>
      </c>
      <c r="B6" s="27" t="s">
        <v>1162</v>
      </c>
      <c r="C6" s="27" t="s">
        <v>1163</v>
      </c>
      <c r="D6" s="27" t="s">
        <v>1164</v>
      </c>
      <c r="E6" s="27" t="s">
        <v>1165</v>
      </c>
      <c r="F6" s="27" t="s">
        <v>1166</v>
      </c>
      <c r="G6" s="27" t="s">
        <v>1152</v>
      </c>
      <c r="H6" s="27" t="s">
        <v>1167</v>
      </c>
      <c r="I6" s="27" t="s">
        <v>1168</v>
      </c>
      <c r="J6" s="27" t="s">
        <v>1169</v>
      </c>
      <c r="K6" s="27" t="s">
        <v>1170</v>
      </c>
      <c r="L6" s="27" t="s">
        <v>1171</v>
      </c>
      <c r="M6" s="27" t="s">
        <v>1172</v>
      </c>
      <c r="N6" s="27" t="s">
        <v>1173</v>
      </c>
      <c r="O6" s="27" t="s">
        <v>1174</v>
      </c>
      <c r="P6" s="27" t="s">
        <v>1175</v>
      </c>
    </row>
    <row r="7" customFormat="false" ht="23.85" hidden="false" customHeight="false" outlineLevel="0" collapsed="false">
      <c r="A7" s="27" t="s">
        <v>593</v>
      </c>
      <c r="B7" s="27" t="s">
        <v>1176</v>
      </c>
      <c r="C7" s="27" t="s">
        <v>1177</v>
      </c>
      <c r="D7" s="27" t="s">
        <v>1164</v>
      </c>
      <c r="E7" s="27" t="s">
        <v>1178</v>
      </c>
      <c r="F7" s="27" t="s">
        <v>1179</v>
      </c>
      <c r="G7" s="27" t="s">
        <v>1152</v>
      </c>
      <c r="H7" s="27" t="s">
        <v>1180</v>
      </c>
      <c r="I7" s="27" t="s">
        <v>1181</v>
      </c>
      <c r="J7" s="27" t="s">
        <v>1182</v>
      </c>
      <c r="K7" s="27" t="s">
        <v>1183</v>
      </c>
      <c r="L7" s="27" t="s">
        <v>1184</v>
      </c>
      <c r="M7" s="27" t="s">
        <v>1185</v>
      </c>
      <c r="N7" s="27"/>
      <c r="O7" s="27" t="s">
        <v>1186</v>
      </c>
      <c r="P7" s="27" t="s">
        <v>1187</v>
      </c>
    </row>
    <row r="8" customFormat="false" ht="23.85" hidden="false" customHeight="false" outlineLevel="0" collapsed="false">
      <c r="A8" s="27" t="s">
        <v>605</v>
      </c>
      <c r="B8" s="27" t="s">
        <v>1188</v>
      </c>
      <c r="C8" s="27" t="s">
        <v>1189</v>
      </c>
      <c r="D8" s="27" t="s">
        <v>1164</v>
      </c>
      <c r="E8" s="27" t="s">
        <v>1190</v>
      </c>
      <c r="F8" s="27" t="s">
        <v>1191</v>
      </c>
      <c r="G8" s="27" t="s">
        <v>1152</v>
      </c>
      <c r="H8" s="27" t="s">
        <v>1192</v>
      </c>
      <c r="I8" s="27" t="s">
        <v>1193</v>
      </c>
      <c r="J8" s="27" t="s">
        <v>1194</v>
      </c>
      <c r="K8" s="27" t="s">
        <v>1195</v>
      </c>
      <c r="L8" s="27" t="s">
        <v>1196</v>
      </c>
      <c r="M8" s="27" t="s">
        <v>1197</v>
      </c>
      <c r="N8" s="27" t="s">
        <v>1198</v>
      </c>
      <c r="O8" s="27" t="s">
        <v>1199</v>
      </c>
      <c r="P8" s="27" t="s">
        <v>1200</v>
      </c>
    </row>
    <row r="9" customFormat="false" ht="35.05" hidden="false" customHeight="false" outlineLevel="0" collapsed="false">
      <c r="A9" s="27" t="s">
        <v>1201</v>
      </c>
      <c r="B9" s="27" t="s">
        <v>1202</v>
      </c>
      <c r="C9" s="27" t="s">
        <v>1203</v>
      </c>
      <c r="D9" s="27" t="s">
        <v>1164</v>
      </c>
      <c r="E9" s="27" t="s">
        <v>1204</v>
      </c>
      <c r="F9" s="27" t="s">
        <v>1205</v>
      </c>
      <c r="G9" s="27" t="s">
        <v>1206</v>
      </c>
      <c r="H9" s="27" t="s">
        <v>1207</v>
      </c>
      <c r="I9" s="27" t="s">
        <v>1208</v>
      </c>
      <c r="J9" s="27" t="s">
        <v>1209</v>
      </c>
      <c r="K9" s="27" t="s">
        <v>1210</v>
      </c>
      <c r="L9" s="27" t="s">
        <v>1211</v>
      </c>
      <c r="M9" s="27" t="s">
        <v>1212</v>
      </c>
      <c r="N9" s="27"/>
      <c r="O9" s="27"/>
      <c r="P9" s="27" t="s">
        <v>1213</v>
      </c>
    </row>
    <row r="10" customFormat="false" ht="23.85" hidden="false" customHeight="false" outlineLevel="0" collapsed="false">
      <c r="A10" s="27" t="s">
        <v>1214</v>
      </c>
      <c r="B10" s="27" t="s">
        <v>1215</v>
      </c>
      <c r="C10" s="27" t="s">
        <v>1216</v>
      </c>
      <c r="D10" s="27" t="s">
        <v>1164</v>
      </c>
      <c r="E10" s="27" t="s">
        <v>1217</v>
      </c>
      <c r="F10" s="27" t="s">
        <v>1218</v>
      </c>
      <c r="G10" s="27" t="s">
        <v>1219</v>
      </c>
      <c r="H10" s="27" t="s">
        <v>1192</v>
      </c>
      <c r="I10" s="27" t="s">
        <v>1220</v>
      </c>
      <c r="J10" s="27" t="s">
        <v>1221</v>
      </c>
      <c r="K10" s="27" t="s">
        <v>1222</v>
      </c>
      <c r="L10" s="27" t="s">
        <v>1223</v>
      </c>
      <c r="M10" s="27" t="s">
        <v>1224</v>
      </c>
      <c r="N10" s="27" t="s">
        <v>1225</v>
      </c>
      <c r="O10" s="27" t="s">
        <v>1226</v>
      </c>
      <c r="P10" s="27" t="s">
        <v>1227</v>
      </c>
    </row>
    <row r="11" customFormat="false" ht="23.85" hidden="false" customHeight="false" outlineLevel="0" collapsed="false">
      <c r="A11" s="27" t="s">
        <v>1228</v>
      </c>
      <c r="B11" s="27" t="s">
        <v>1229</v>
      </c>
      <c r="C11" s="27" t="s">
        <v>1230</v>
      </c>
      <c r="D11" s="27" t="s">
        <v>1164</v>
      </c>
      <c r="E11" s="27" t="s">
        <v>1231</v>
      </c>
      <c r="F11" s="27" t="s">
        <v>1232</v>
      </c>
      <c r="G11" s="27" t="s">
        <v>1152</v>
      </c>
      <c r="H11" s="27" t="s">
        <v>1180</v>
      </c>
      <c r="I11" s="27" t="s">
        <v>1233</v>
      </c>
      <c r="J11" s="27" t="s">
        <v>1234</v>
      </c>
      <c r="K11" s="27" t="s">
        <v>1235</v>
      </c>
      <c r="L11" s="27" t="s">
        <v>1236</v>
      </c>
      <c r="M11" s="27" t="s">
        <v>1237</v>
      </c>
      <c r="N11" s="27" t="s">
        <v>1238</v>
      </c>
      <c r="O11" s="27" t="s">
        <v>1239</v>
      </c>
      <c r="P11" s="27" t="s">
        <v>1240</v>
      </c>
    </row>
    <row r="12" customFormat="false" ht="23.85" hidden="false" customHeight="false" outlineLevel="0" collapsed="false">
      <c r="A12" s="27" t="s">
        <v>628</v>
      </c>
      <c r="B12" s="27" t="s">
        <v>1241</v>
      </c>
      <c r="C12" s="27" t="s">
        <v>1242</v>
      </c>
      <c r="D12" s="27" t="s">
        <v>1164</v>
      </c>
      <c r="E12" s="27" t="s">
        <v>1243</v>
      </c>
      <c r="F12" s="27" t="s">
        <v>1244</v>
      </c>
      <c r="G12" s="27" t="s">
        <v>1152</v>
      </c>
      <c r="H12" s="27" t="s">
        <v>1180</v>
      </c>
      <c r="I12" s="27" t="s">
        <v>1245</v>
      </c>
      <c r="J12" s="27" t="s">
        <v>1246</v>
      </c>
      <c r="K12" s="27" t="s">
        <v>1247</v>
      </c>
      <c r="L12" s="27"/>
      <c r="M12" s="27" t="s">
        <v>1248</v>
      </c>
      <c r="N12" s="27" t="s">
        <v>1249</v>
      </c>
      <c r="O12" s="27" t="s">
        <v>1250</v>
      </c>
      <c r="P12" s="27" t="s">
        <v>1251</v>
      </c>
    </row>
    <row r="13" customFormat="false" ht="35.05" hidden="false" customHeight="false" outlineLevel="0" collapsed="false">
      <c r="A13" s="27" t="s">
        <v>622</v>
      </c>
      <c r="B13" s="27" t="s">
        <v>1252</v>
      </c>
      <c r="C13" s="27" t="s">
        <v>1253</v>
      </c>
      <c r="D13" s="27" t="s">
        <v>1164</v>
      </c>
      <c r="E13" s="27" t="s">
        <v>1254</v>
      </c>
      <c r="F13" s="27" t="s">
        <v>1255</v>
      </c>
      <c r="G13" s="27" t="s">
        <v>1256</v>
      </c>
      <c r="H13" s="27" t="s">
        <v>1192</v>
      </c>
      <c r="I13" s="27" t="s">
        <v>1257</v>
      </c>
      <c r="J13" s="27" t="s">
        <v>1258</v>
      </c>
      <c r="K13" s="27" t="s">
        <v>1259</v>
      </c>
      <c r="L13" s="27" t="s">
        <v>1260</v>
      </c>
      <c r="M13" s="27" t="s">
        <v>1261</v>
      </c>
      <c r="N13" s="27" t="s">
        <v>1262</v>
      </c>
      <c r="O13" s="27" t="s">
        <v>1263</v>
      </c>
      <c r="P13" s="27" t="s">
        <v>1264</v>
      </c>
    </row>
    <row r="14" customFormat="false" ht="23.85" hidden="false" customHeight="false" outlineLevel="0" collapsed="false">
      <c r="A14" s="27" t="s">
        <v>1265</v>
      </c>
      <c r="B14" s="27" t="s">
        <v>1266</v>
      </c>
      <c r="C14" s="27" t="s">
        <v>1267</v>
      </c>
      <c r="D14" s="27" t="s">
        <v>1164</v>
      </c>
      <c r="E14" s="27" t="s">
        <v>1268</v>
      </c>
      <c r="F14" s="27" t="s">
        <v>1269</v>
      </c>
      <c r="G14" s="27" t="s">
        <v>1152</v>
      </c>
      <c r="H14" s="27" t="s">
        <v>1192</v>
      </c>
      <c r="I14" s="27" t="s">
        <v>1270</v>
      </c>
      <c r="J14" s="27" t="s">
        <v>1271</v>
      </c>
      <c r="K14" s="27" t="s">
        <v>1272</v>
      </c>
      <c r="L14" s="27" t="s">
        <v>1273</v>
      </c>
      <c r="M14" s="27" t="s">
        <v>1274</v>
      </c>
      <c r="N14" s="27"/>
      <c r="O14" s="27" t="s">
        <v>1275</v>
      </c>
      <c r="P14" s="27" t="s">
        <v>1276</v>
      </c>
    </row>
    <row r="15" customFormat="false" ht="23.85" hidden="false" customHeight="false" outlineLevel="0" collapsed="false">
      <c r="A15" s="27" t="s">
        <v>1277</v>
      </c>
      <c r="B15" s="27" t="s">
        <v>1278</v>
      </c>
      <c r="C15" s="27" t="s">
        <v>1279</v>
      </c>
      <c r="D15" s="27" t="s">
        <v>1164</v>
      </c>
      <c r="E15" s="27" t="s">
        <v>1280</v>
      </c>
      <c r="F15" s="27" t="s">
        <v>1281</v>
      </c>
      <c r="G15" s="27" t="s">
        <v>1152</v>
      </c>
      <c r="H15" s="27" t="s">
        <v>1192</v>
      </c>
      <c r="I15" s="27" t="s">
        <v>1282</v>
      </c>
      <c r="J15" s="27" t="s">
        <v>1283</v>
      </c>
      <c r="K15" s="27" t="s">
        <v>1284</v>
      </c>
      <c r="L15" s="27"/>
      <c r="M15" s="27" t="s">
        <v>1285</v>
      </c>
      <c r="N15" s="27"/>
      <c r="O15" s="27" t="s">
        <v>1286</v>
      </c>
      <c r="P15" s="27" t="s">
        <v>1287</v>
      </c>
    </row>
    <row r="16" customFormat="false" ht="23.85" hidden="false" customHeight="false" outlineLevel="0" collapsed="false">
      <c r="A16" s="27" t="s">
        <v>1288</v>
      </c>
      <c r="B16" s="27" t="s">
        <v>1289</v>
      </c>
      <c r="C16" s="27" t="s">
        <v>1290</v>
      </c>
      <c r="D16" s="27" t="s">
        <v>1164</v>
      </c>
      <c r="E16" s="27" t="s">
        <v>1291</v>
      </c>
      <c r="F16" s="27" t="s">
        <v>1292</v>
      </c>
      <c r="G16" s="27" t="s">
        <v>1152</v>
      </c>
      <c r="H16" s="27" t="s">
        <v>1153</v>
      </c>
      <c r="I16" s="27" t="s">
        <v>1293</v>
      </c>
      <c r="J16" s="27" t="s">
        <v>1294</v>
      </c>
      <c r="K16" s="27" t="s">
        <v>1295</v>
      </c>
      <c r="L16" s="27" t="s">
        <v>1296</v>
      </c>
      <c r="M16" s="27" t="s">
        <v>1297</v>
      </c>
      <c r="N16" s="27"/>
      <c r="O16" s="27" t="s">
        <v>1298</v>
      </c>
      <c r="P16" s="27" t="s">
        <v>1299</v>
      </c>
    </row>
    <row r="17" customFormat="false" ht="23.85" hidden="false" customHeight="false" outlineLevel="0" collapsed="false">
      <c r="A17" s="27" t="s">
        <v>1300</v>
      </c>
      <c r="B17" s="27" t="s">
        <v>1301</v>
      </c>
      <c r="C17" s="27" t="s">
        <v>1302</v>
      </c>
      <c r="D17" s="27" t="s">
        <v>1164</v>
      </c>
      <c r="E17" s="27" t="s">
        <v>1303</v>
      </c>
      <c r="F17" s="27" t="s">
        <v>1304</v>
      </c>
      <c r="G17" s="27" t="s">
        <v>1152</v>
      </c>
      <c r="H17" s="27" t="s">
        <v>1180</v>
      </c>
      <c r="I17" s="27" t="s">
        <v>1305</v>
      </c>
      <c r="J17" s="27" t="s">
        <v>1306</v>
      </c>
      <c r="K17" s="27" t="s">
        <v>1307</v>
      </c>
      <c r="L17" s="27"/>
      <c r="M17" s="27" t="s">
        <v>1308</v>
      </c>
      <c r="N17" s="27"/>
      <c r="O17" s="27" t="s">
        <v>1309</v>
      </c>
      <c r="P17" s="27" t="s">
        <v>1310</v>
      </c>
    </row>
    <row r="18" customFormat="false" ht="23.85" hidden="false" customHeight="false" outlineLevel="0" collapsed="false">
      <c r="A18" s="27" t="s">
        <v>1311</v>
      </c>
      <c r="B18" s="27" t="s">
        <v>1312</v>
      </c>
      <c r="C18" s="27" t="s">
        <v>1313</v>
      </c>
      <c r="D18" s="27" t="s">
        <v>1164</v>
      </c>
      <c r="E18" s="27" t="s">
        <v>1314</v>
      </c>
      <c r="F18" s="27" t="s">
        <v>1315</v>
      </c>
      <c r="G18" s="27" t="s">
        <v>1152</v>
      </c>
      <c r="H18" s="27" t="s">
        <v>1180</v>
      </c>
      <c r="I18" s="27" t="s">
        <v>1316</v>
      </c>
      <c r="J18" s="27" t="s">
        <v>1317</v>
      </c>
      <c r="K18" s="27" t="s">
        <v>1318</v>
      </c>
      <c r="L18" s="27"/>
      <c r="M18" s="27" t="s">
        <v>1319</v>
      </c>
      <c r="N18" s="27"/>
      <c r="O18" s="27" t="s">
        <v>1320</v>
      </c>
      <c r="P18" s="27" t="s">
        <v>1321</v>
      </c>
    </row>
    <row r="19" customFormat="false" ht="23.85" hidden="false" customHeight="false" outlineLevel="0" collapsed="false">
      <c r="A19" s="27" t="s">
        <v>607</v>
      </c>
      <c r="B19" s="27" t="s">
        <v>1322</v>
      </c>
      <c r="C19" s="27" t="s">
        <v>608</v>
      </c>
      <c r="D19" s="27" t="s">
        <v>1323</v>
      </c>
      <c r="E19" s="27" t="s">
        <v>1324</v>
      </c>
      <c r="F19" s="27" t="s">
        <v>1325</v>
      </c>
      <c r="G19" s="27" t="s">
        <v>1152</v>
      </c>
      <c r="H19" s="27" t="s">
        <v>1153</v>
      </c>
      <c r="I19" s="27" t="s">
        <v>1326</v>
      </c>
      <c r="J19" s="27" t="s">
        <v>1327</v>
      </c>
      <c r="K19" s="27" t="s">
        <v>1328</v>
      </c>
      <c r="L19" s="27"/>
      <c r="M19" s="27" t="s">
        <v>1329</v>
      </c>
      <c r="N19" s="27" t="s">
        <v>1238</v>
      </c>
      <c r="O19" s="27" t="s">
        <v>1330</v>
      </c>
      <c r="P19" s="27" t="s">
        <v>1331</v>
      </c>
    </row>
    <row r="20" customFormat="false" ht="35.05" hidden="false" customHeight="false" outlineLevel="0" collapsed="false">
      <c r="A20" s="27" t="s">
        <v>1332</v>
      </c>
      <c r="B20" s="27" t="s">
        <v>1333</v>
      </c>
      <c r="C20" s="27" t="s">
        <v>1334</v>
      </c>
      <c r="D20" s="27" t="s">
        <v>1164</v>
      </c>
      <c r="E20" s="27" t="s">
        <v>1335</v>
      </c>
      <c r="F20" s="27" t="s">
        <v>1336</v>
      </c>
      <c r="G20" s="27" t="s">
        <v>1152</v>
      </c>
      <c r="H20" s="27" t="s">
        <v>1337</v>
      </c>
      <c r="I20" s="27" t="s">
        <v>1338</v>
      </c>
      <c r="J20" s="27" t="s">
        <v>1339</v>
      </c>
      <c r="K20" s="27" t="s">
        <v>1328</v>
      </c>
      <c r="L20" s="27"/>
      <c r="M20" s="27" t="s">
        <v>1340</v>
      </c>
      <c r="N20" s="27"/>
      <c r="O20" s="27" t="s">
        <v>1341</v>
      </c>
      <c r="P20" s="27" t="s">
        <v>1342</v>
      </c>
    </row>
    <row r="21" customFormat="false" ht="23.85" hidden="false" customHeight="false" outlineLevel="0" collapsed="false">
      <c r="A21" s="27" t="s">
        <v>611</v>
      </c>
      <c r="B21" s="27" t="s">
        <v>1343</v>
      </c>
      <c r="C21" s="27" t="s">
        <v>1344</v>
      </c>
      <c r="D21" s="27" t="s">
        <v>1164</v>
      </c>
      <c r="E21" s="27" t="s">
        <v>1345</v>
      </c>
      <c r="F21" s="27" t="s">
        <v>1346</v>
      </c>
      <c r="G21" s="27" t="s">
        <v>1219</v>
      </c>
      <c r="H21" s="27" t="s">
        <v>1347</v>
      </c>
      <c r="I21" s="27" t="s">
        <v>1348</v>
      </c>
      <c r="J21" s="27" t="s">
        <v>1349</v>
      </c>
      <c r="K21" s="27" t="s">
        <v>1328</v>
      </c>
      <c r="L21" s="27"/>
      <c r="M21" s="27" t="s">
        <v>1350</v>
      </c>
      <c r="N21" s="27"/>
      <c r="O21" s="27" t="s">
        <v>1351</v>
      </c>
      <c r="P21" s="27"/>
    </row>
    <row r="22" customFormat="false" ht="23.85" hidden="false" customHeight="false" outlineLevel="0" collapsed="false">
      <c r="A22" s="27" t="s">
        <v>1352</v>
      </c>
      <c r="B22" s="27" t="s">
        <v>1353</v>
      </c>
      <c r="C22" s="27" t="s">
        <v>1354</v>
      </c>
      <c r="D22" s="27" t="s">
        <v>1164</v>
      </c>
      <c r="E22" s="27" t="s">
        <v>1355</v>
      </c>
      <c r="F22" s="27" t="s">
        <v>1292</v>
      </c>
      <c r="G22" s="27" t="s">
        <v>1152</v>
      </c>
      <c r="H22" s="27" t="s">
        <v>1356</v>
      </c>
      <c r="I22" s="27" t="s">
        <v>1357</v>
      </c>
      <c r="J22" s="27" t="s">
        <v>1358</v>
      </c>
      <c r="K22" s="27" t="s">
        <v>1359</v>
      </c>
      <c r="L22" s="27"/>
      <c r="M22" s="27" t="s">
        <v>1360</v>
      </c>
      <c r="N22" s="27"/>
      <c r="O22" s="27" t="s">
        <v>1361</v>
      </c>
      <c r="P22" s="27"/>
    </row>
    <row r="23" customFormat="false" ht="23.85" hidden="false" customHeight="false" outlineLevel="0" collapsed="false">
      <c r="A23" s="27" t="s">
        <v>1362</v>
      </c>
      <c r="B23" s="27" t="s">
        <v>1363</v>
      </c>
      <c r="C23" s="27" t="s">
        <v>1364</v>
      </c>
      <c r="D23" s="27" t="s">
        <v>1164</v>
      </c>
      <c r="E23" s="27" t="s">
        <v>1243</v>
      </c>
      <c r="F23" s="27" t="s">
        <v>1365</v>
      </c>
      <c r="G23" s="27" t="s">
        <v>1152</v>
      </c>
      <c r="H23" s="27" t="s">
        <v>1366</v>
      </c>
      <c r="I23" s="27" t="s">
        <v>1367</v>
      </c>
      <c r="J23" s="27" t="s">
        <v>1368</v>
      </c>
      <c r="K23" s="27" t="s">
        <v>1328</v>
      </c>
      <c r="L23" s="27"/>
      <c r="M23" s="27" t="s">
        <v>1369</v>
      </c>
      <c r="N23" s="27"/>
      <c r="O23" s="27" t="s">
        <v>1370</v>
      </c>
      <c r="P23" s="27" t="s">
        <v>1371</v>
      </c>
    </row>
    <row r="24" customFormat="false" ht="23.85" hidden="false" customHeight="false" outlineLevel="0" collapsed="false">
      <c r="A24" s="27" t="s">
        <v>1372</v>
      </c>
      <c r="B24" s="27" t="s">
        <v>1373</v>
      </c>
      <c r="C24" s="27" t="s">
        <v>1374</v>
      </c>
      <c r="D24" s="27" t="s">
        <v>1164</v>
      </c>
      <c r="E24" s="27" t="s">
        <v>1375</v>
      </c>
      <c r="F24" s="27" t="s">
        <v>1376</v>
      </c>
      <c r="G24" s="27" t="s">
        <v>1377</v>
      </c>
      <c r="H24" s="27" t="s">
        <v>1180</v>
      </c>
      <c r="I24" s="27" t="s">
        <v>1378</v>
      </c>
      <c r="J24" s="27" t="s">
        <v>1379</v>
      </c>
      <c r="K24" s="27" t="s">
        <v>1380</v>
      </c>
      <c r="L24" s="27"/>
      <c r="M24" s="27" t="s">
        <v>1381</v>
      </c>
      <c r="N24" s="27" t="s">
        <v>1382</v>
      </c>
      <c r="O24" s="27" t="s">
        <v>1383</v>
      </c>
      <c r="P24" s="27"/>
    </row>
    <row r="25" customFormat="false" ht="35.05" hidden="false" customHeight="false" outlineLevel="0" collapsed="false">
      <c r="A25" s="27" t="s">
        <v>1384</v>
      </c>
      <c r="B25" s="27" t="s">
        <v>1385</v>
      </c>
      <c r="C25" s="27" t="s">
        <v>1386</v>
      </c>
      <c r="D25" s="27" t="s">
        <v>1164</v>
      </c>
      <c r="E25" s="27" t="s">
        <v>1387</v>
      </c>
      <c r="F25" s="27" t="s">
        <v>1388</v>
      </c>
      <c r="G25" s="27" t="s">
        <v>1389</v>
      </c>
      <c r="H25" s="27" t="s">
        <v>1390</v>
      </c>
      <c r="I25" s="27" t="s">
        <v>1391</v>
      </c>
      <c r="J25" s="27" t="s">
        <v>1392</v>
      </c>
      <c r="K25" s="27" t="s">
        <v>1393</v>
      </c>
      <c r="L25" s="27"/>
      <c r="M25" s="27" t="s">
        <v>1394</v>
      </c>
      <c r="N25" s="27"/>
      <c r="O25" s="27" t="s">
        <v>1395</v>
      </c>
      <c r="P25" s="27" t="s">
        <v>1396</v>
      </c>
    </row>
    <row r="26" customFormat="false" ht="23.85" hidden="false" customHeight="false" outlineLevel="0" collapsed="false">
      <c r="A26" s="27" t="s">
        <v>617</v>
      </c>
      <c r="B26" s="27" t="s">
        <v>1397</v>
      </c>
      <c r="C26" s="27" t="s">
        <v>1398</v>
      </c>
      <c r="D26" s="27" t="s">
        <v>1164</v>
      </c>
      <c r="E26" s="27" t="s">
        <v>1399</v>
      </c>
      <c r="F26" s="27" t="s">
        <v>1400</v>
      </c>
      <c r="G26" s="27" t="s">
        <v>1256</v>
      </c>
      <c r="H26" s="27" t="s">
        <v>1401</v>
      </c>
      <c r="I26" s="27" t="s">
        <v>1402</v>
      </c>
      <c r="J26" s="27" t="s">
        <v>1403</v>
      </c>
      <c r="K26" s="27" t="s">
        <v>1404</v>
      </c>
      <c r="L26" s="27" t="s">
        <v>1405</v>
      </c>
      <c r="M26" s="27" t="s">
        <v>1185</v>
      </c>
      <c r="N26" s="27"/>
      <c r="O26" s="27" t="s">
        <v>1186</v>
      </c>
      <c r="P26" s="27" t="s">
        <v>1406</v>
      </c>
    </row>
    <row r="27" customFormat="false" ht="23.85" hidden="false" customHeight="false" outlineLevel="0" collapsed="false">
      <c r="A27" s="27" t="s">
        <v>1407</v>
      </c>
      <c r="B27" s="27" t="s">
        <v>1408</v>
      </c>
      <c r="C27" s="27" t="s">
        <v>1409</v>
      </c>
      <c r="D27" s="27" t="s">
        <v>1410</v>
      </c>
      <c r="E27" s="27" t="s">
        <v>1411</v>
      </c>
      <c r="F27" s="27" t="s">
        <v>1412</v>
      </c>
      <c r="G27" s="27" t="s">
        <v>1256</v>
      </c>
      <c r="H27" s="27" t="s">
        <v>1401</v>
      </c>
      <c r="I27" s="27" t="s">
        <v>1413</v>
      </c>
      <c r="J27" s="27" t="s">
        <v>1414</v>
      </c>
      <c r="K27" s="27" t="s">
        <v>1415</v>
      </c>
      <c r="L27" s="27"/>
      <c r="M27" s="27" t="s">
        <v>1185</v>
      </c>
      <c r="N27" s="27"/>
      <c r="O27" s="27"/>
      <c r="P27" s="27" t="s">
        <v>1416</v>
      </c>
    </row>
    <row r="28" customFormat="false" ht="15" hidden="false" customHeight="false" outlineLevel="0" collapsed="false">
      <c r="A28" s="27" t="s">
        <v>1417</v>
      </c>
      <c r="B28" s="27"/>
      <c r="C28" s="27" t="s">
        <v>1418</v>
      </c>
      <c r="D28" s="27" t="s">
        <v>1164</v>
      </c>
      <c r="E28" s="27" t="s">
        <v>1419</v>
      </c>
      <c r="F28" s="27" t="s">
        <v>1420</v>
      </c>
      <c r="G28" s="27" t="s">
        <v>1421</v>
      </c>
      <c r="H28" s="27" t="s">
        <v>1356</v>
      </c>
      <c r="I28" s="27" t="s">
        <v>1422</v>
      </c>
      <c r="J28" s="27" t="s">
        <v>1423</v>
      </c>
      <c r="K28" s="27" t="s">
        <v>1424</v>
      </c>
      <c r="L28" s="27" t="s">
        <v>1425</v>
      </c>
      <c r="M28" s="27" t="s">
        <v>1185</v>
      </c>
      <c r="N28" s="27"/>
      <c r="O28" s="27" t="s">
        <v>1426</v>
      </c>
      <c r="P28" s="27" t="s">
        <v>1427</v>
      </c>
    </row>
    <row r="29" customFormat="false" ht="23.85" hidden="false" customHeight="false" outlineLevel="0" collapsed="false">
      <c r="A29" s="27" t="s">
        <v>1428</v>
      </c>
      <c r="B29" s="27"/>
      <c r="C29" s="27" t="s">
        <v>1429</v>
      </c>
      <c r="D29" s="27" t="s">
        <v>1430</v>
      </c>
      <c r="E29" s="27" t="s">
        <v>1431</v>
      </c>
      <c r="F29" s="27" t="s">
        <v>1432</v>
      </c>
      <c r="G29" s="27" t="s">
        <v>1152</v>
      </c>
      <c r="H29" s="27" t="s">
        <v>1180</v>
      </c>
      <c r="I29" s="27" t="s">
        <v>1433</v>
      </c>
      <c r="J29" s="27" t="s">
        <v>1434</v>
      </c>
      <c r="K29" s="27" t="s">
        <v>1435</v>
      </c>
      <c r="L29" s="27" t="s">
        <v>1436</v>
      </c>
      <c r="M29" s="27" t="s">
        <v>1185</v>
      </c>
      <c r="N29" s="27"/>
      <c r="O29" s="27" t="s">
        <v>1426</v>
      </c>
      <c r="P29" s="27" t="s">
        <v>1437</v>
      </c>
    </row>
    <row r="30" customFormat="false" ht="68.65" hidden="false" customHeight="false" outlineLevel="0" collapsed="false">
      <c r="A30" s="27" t="s">
        <v>603</v>
      </c>
      <c r="B30" s="27" t="s">
        <v>1438</v>
      </c>
      <c r="C30" s="27" t="s">
        <v>1439</v>
      </c>
      <c r="D30" s="27" t="s">
        <v>1164</v>
      </c>
      <c r="E30" s="27" t="s">
        <v>1440</v>
      </c>
      <c r="F30" s="27" t="s">
        <v>1441</v>
      </c>
      <c r="G30" s="27" t="s">
        <v>1442</v>
      </c>
      <c r="H30" s="27" t="s">
        <v>1443</v>
      </c>
      <c r="I30" s="27" t="s">
        <v>1444</v>
      </c>
      <c r="J30" s="27" t="s">
        <v>1445</v>
      </c>
      <c r="K30" s="27" t="s">
        <v>1446</v>
      </c>
      <c r="L30" s="27" t="s">
        <v>1447</v>
      </c>
      <c r="M30" s="27" t="s">
        <v>1185</v>
      </c>
      <c r="N30" s="27"/>
      <c r="O30" s="27" t="s">
        <v>1426</v>
      </c>
      <c r="P30" s="27"/>
    </row>
    <row r="31" customFormat="false" ht="35.05" hidden="false" customHeight="false" outlineLevel="0" collapsed="false">
      <c r="A31" s="27" t="s">
        <v>1448</v>
      </c>
      <c r="B31" s="27" t="s">
        <v>1449</v>
      </c>
      <c r="C31" s="27" t="s">
        <v>1450</v>
      </c>
      <c r="D31" s="27" t="s">
        <v>1164</v>
      </c>
      <c r="E31" s="27" t="s">
        <v>1323</v>
      </c>
      <c r="F31" s="27" t="s">
        <v>1451</v>
      </c>
      <c r="G31" s="27" t="s">
        <v>1452</v>
      </c>
      <c r="H31" s="27" t="s">
        <v>1453</v>
      </c>
      <c r="I31" s="27" t="s">
        <v>1454</v>
      </c>
      <c r="J31" s="27" t="s">
        <v>1455</v>
      </c>
      <c r="K31" s="27" t="s">
        <v>1456</v>
      </c>
      <c r="L31" s="27"/>
      <c r="M31" s="27" t="s">
        <v>1457</v>
      </c>
      <c r="N31" s="27" t="s">
        <v>1458</v>
      </c>
      <c r="O31" s="27" t="s">
        <v>1193</v>
      </c>
      <c r="P31" s="27"/>
    </row>
    <row r="32" customFormat="false" ht="23.85" hidden="false" customHeight="false" outlineLevel="0" collapsed="false">
      <c r="A32" s="27" t="s">
        <v>1459</v>
      </c>
      <c r="B32" s="27" t="s">
        <v>1460</v>
      </c>
      <c r="C32" s="27" t="s">
        <v>1461</v>
      </c>
      <c r="D32" s="27" t="s">
        <v>1462</v>
      </c>
      <c r="E32" s="27" t="s">
        <v>1463</v>
      </c>
      <c r="F32" s="27" t="s">
        <v>1464</v>
      </c>
      <c r="G32" s="27" t="s">
        <v>1421</v>
      </c>
      <c r="H32" s="27" t="s">
        <v>1465</v>
      </c>
      <c r="I32" s="27" t="s">
        <v>1466</v>
      </c>
      <c r="J32" s="27" t="s">
        <v>1467</v>
      </c>
      <c r="K32" s="27" t="s">
        <v>1468</v>
      </c>
      <c r="L32" s="27"/>
      <c r="M32" s="27" t="s">
        <v>1185</v>
      </c>
      <c r="N32" s="27"/>
      <c r="O32" s="27" t="s">
        <v>1469</v>
      </c>
      <c r="P32" s="27" t="s">
        <v>1470</v>
      </c>
    </row>
    <row r="33" customFormat="false" ht="23.85" hidden="false" customHeight="false" outlineLevel="0" collapsed="false">
      <c r="A33" s="27" t="s">
        <v>1471</v>
      </c>
      <c r="B33" s="27" t="s">
        <v>1472</v>
      </c>
      <c r="C33" s="27" t="s">
        <v>615</v>
      </c>
      <c r="D33" s="27" t="s">
        <v>1410</v>
      </c>
      <c r="E33" s="27" t="s">
        <v>1323</v>
      </c>
      <c r="F33" s="27" t="s">
        <v>1473</v>
      </c>
      <c r="G33" s="27" t="s">
        <v>1474</v>
      </c>
      <c r="H33" s="27" t="s">
        <v>1401</v>
      </c>
      <c r="I33" s="27" t="s">
        <v>1475</v>
      </c>
      <c r="J33" s="27" t="s">
        <v>1476</v>
      </c>
      <c r="K33" s="27" t="s">
        <v>1456</v>
      </c>
      <c r="L33" s="27"/>
      <c r="M33" s="27" t="s">
        <v>1185</v>
      </c>
      <c r="N33" s="27"/>
      <c r="O33" s="27"/>
      <c r="P33" s="27"/>
    </row>
    <row r="34" customFormat="false" ht="23.85" hidden="false" customHeight="false" outlineLevel="0" collapsed="false">
      <c r="A34" s="27" t="s">
        <v>1477</v>
      </c>
      <c r="B34" s="27"/>
      <c r="C34" s="27" t="s">
        <v>1478</v>
      </c>
      <c r="D34" s="27" t="s">
        <v>1164</v>
      </c>
      <c r="E34" s="27" t="s">
        <v>1479</v>
      </c>
      <c r="F34" s="27" t="s">
        <v>1480</v>
      </c>
      <c r="G34" s="27" t="s">
        <v>1421</v>
      </c>
      <c r="H34" s="27" t="s">
        <v>1481</v>
      </c>
      <c r="I34" s="27" t="s">
        <v>1482</v>
      </c>
      <c r="J34" s="27" t="s">
        <v>1483</v>
      </c>
      <c r="K34" s="27" t="s">
        <v>1484</v>
      </c>
      <c r="L34" s="27" t="s">
        <v>1485</v>
      </c>
      <c r="M34" s="27" t="s">
        <v>1185</v>
      </c>
      <c r="N34" s="27"/>
      <c r="O34" s="27" t="s">
        <v>1426</v>
      </c>
      <c r="P34" s="27"/>
    </row>
    <row r="35" customFormat="false" ht="23.85" hidden="false" customHeight="false" outlineLevel="0" collapsed="false">
      <c r="A35" s="27" t="s">
        <v>1486</v>
      </c>
      <c r="B35" s="27"/>
      <c r="C35" s="27" t="s">
        <v>1487</v>
      </c>
      <c r="D35" s="27" t="s">
        <v>1164</v>
      </c>
      <c r="E35" s="27" t="s">
        <v>1488</v>
      </c>
      <c r="F35" s="27" t="s">
        <v>1489</v>
      </c>
      <c r="G35" s="27" t="s">
        <v>1256</v>
      </c>
      <c r="H35" s="27" t="s">
        <v>1192</v>
      </c>
      <c r="I35" s="27" t="s">
        <v>1490</v>
      </c>
      <c r="J35" s="27" t="s">
        <v>1491</v>
      </c>
      <c r="K35" s="27" t="s">
        <v>1492</v>
      </c>
      <c r="L35" s="27" t="s">
        <v>1493</v>
      </c>
      <c r="M35" s="27" t="s">
        <v>1185</v>
      </c>
      <c r="N35" s="27"/>
      <c r="O35" s="27" t="s">
        <v>1494</v>
      </c>
      <c r="P35" s="27"/>
    </row>
    <row r="36" customFormat="false" ht="23.85" hidden="false" customHeight="false" outlineLevel="0" collapsed="false">
      <c r="A36" s="27" t="s">
        <v>1495</v>
      </c>
      <c r="B36" s="27" t="s">
        <v>1496</v>
      </c>
      <c r="C36" s="27" t="s">
        <v>1497</v>
      </c>
      <c r="D36" s="27" t="s">
        <v>1164</v>
      </c>
      <c r="E36" s="27" t="s">
        <v>1498</v>
      </c>
      <c r="F36" s="27" t="s">
        <v>1499</v>
      </c>
      <c r="G36" s="27" t="s">
        <v>1219</v>
      </c>
      <c r="H36" s="27" t="s">
        <v>1153</v>
      </c>
      <c r="I36" s="27" t="s">
        <v>1500</v>
      </c>
      <c r="J36" s="27" t="s">
        <v>1501</v>
      </c>
      <c r="K36" s="27" t="s">
        <v>1502</v>
      </c>
      <c r="L36" s="27" t="s">
        <v>1503</v>
      </c>
      <c r="M36" s="27" t="s">
        <v>1504</v>
      </c>
      <c r="N36" s="27"/>
      <c r="O36" s="27"/>
      <c r="P36" s="27" t="s">
        <v>1505</v>
      </c>
    </row>
    <row r="37" customFormat="false" ht="35.05" hidden="false" customHeight="false" outlineLevel="0" collapsed="false">
      <c r="A37" s="27" t="s">
        <v>1506</v>
      </c>
      <c r="B37" s="27" t="s">
        <v>1507</v>
      </c>
      <c r="C37" s="27" t="s">
        <v>1508</v>
      </c>
      <c r="D37" s="27" t="s">
        <v>1164</v>
      </c>
      <c r="E37" s="27" t="s">
        <v>1509</v>
      </c>
      <c r="F37" s="27" t="s">
        <v>1510</v>
      </c>
      <c r="G37" s="27" t="s">
        <v>1256</v>
      </c>
      <c r="H37" s="27" t="s">
        <v>1511</v>
      </c>
      <c r="I37" s="27" t="s">
        <v>1512</v>
      </c>
      <c r="J37" s="27" t="s">
        <v>1513</v>
      </c>
      <c r="K37" s="27" t="s">
        <v>1514</v>
      </c>
      <c r="L37" s="27" t="s">
        <v>1515</v>
      </c>
      <c r="M37" s="27" t="s">
        <v>1516</v>
      </c>
      <c r="N37" s="27"/>
      <c r="O37" s="27"/>
      <c r="P37" s="27" t="s">
        <v>1517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9"/>
    <col collapsed="false" customWidth="true" hidden="false" outlineLevel="0" max="4" min="4" style="0" width="11"/>
    <col collapsed="false" customWidth="true" hidden="false" outlineLevel="0" max="5" min="5" style="0" width="13"/>
    <col collapsed="false" customWidth="true" hidden="false" outlineLevel="0" max="10" min="6" style="0" width="8"/>
    <col collapsed="false" customWidth="true" hidden="false" outlineLevel="0" max="11" min="11" style="0" width="16"/>
    <col collapsed="false" customWidth="true" hidden="false" outlineLevel="0" max="21" min="12" style="0" width="8"/>
  </cols>
  <sheetData>
    <row r="1" customFormat="false" ht="17.35" hidden="false" customHeight="false" outlineLevel="0" collapsed="false">
      <c r="A1" s="1" t="s">
        <v>1518</v>
      </c>
      <c r="B1" s="3"/>
      <c r="C1" s="3"/>
      <c r="D1" s="3"/>
      <c r="E1" s="3"/>
      <c r="F1" s="3"/>
      <c r="G1" s="3"/>
      <c r="H1" s="3"/>
      <c r="I1" s="3"/>
      <c r="J1" s="3"/>
      <c r="K1" s="3"/>
      <c r="L1" s="3"/>
      <c r="M1" s="3"/>
      <c r="N1" s="3"/>
      <c r="O1" s="3"/>
      <c r="P1" s="3"/>
      <c r="Q1" s="3"/>
      <c r="R1" s="3"/>
      <c r="S1" s="3"/>
      <c r="T1" s="3"/>
      <c r="U1" s="3"/>
    </row>
    <row r="2" customFormat="false" ht="15" hidden="false" customHeight="false" outlineLevel="0" collapsed="false">
      <c r="A2" s="2" t="s">
        <v>1519</v>
      </c>
      <c r="B2" s="3"/>
      <c r="C2" s="3"/>
      <c r="D2" s="3"/>
      <c r="E2" s="3"/>
      <c r="F2" s="3"/>
      <c r="G2" s="3"/>
      <c r="H2" s="3"/>
      <c r="I2" s="3"/>
      <c r="J2" s="3"/>
      <c r="K2" s="3"/>
      <c r="L2" s="3"/>
      <c r="M2" s="3"/>
      <c r="N2" s="3"/>
      <c r="O2" s="3"/>
      <c r="P2" s="3"/>
      <c r="Q2" s="3"/>
      <c r="R2" s="3"/>
      <c r="S2" s="3"/>
      <c r="T2" s="3"/>
      <c r="U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row>
    <row r="4" customFormat="false" ht="31.5" hidden="false" customHeight="true" outlineLevel="0" collapsed="false">
      <c r="A4" s="7" t="s">
        <v>93</v>
      </c>
      <c r="B4" s="7" t="s">
        <v>1520</v>
      </c>
      <c r="C4" s="7" t="s">
        <v>1521</v>
      </c>
      <c r="D4" s="7" t="s">
        <v>1522</v>
      </c>
      <c r="E4" s="7" t="s">
        <v>814</v>
      </c>
      <c r="F4" s="7" t="s">
        <v>1523</v>
      </c>
      <c r="G4" s="7" t="s">
        <v>1524</v>
      </c>
      <c r="H4" s="7" t="s">
        <v>1525</v>
      </c>
      <c r="I4" s="7" t="s">
        <v>1526</v>
      </c>
      <c r="J4" s="7" t="s">
        <v>1527</v>
      </c>
      <c r="K4" s="7" t="s">
        <v>1528</v>
      </c>
      <c r="L4" s="7" t="s">
        <v>1529</v>
      </c>
      <c r="M4" s="7" t="s">
        <v>1530</v>
      </c>
      <c r="N4" s="7" t="s">
        <v>1531</v>
      </c>
      <c r="O4" s="7" t="s">
        <v>1532</v>
      </c>
      <c r="P4" s="7" t="s">
        <v>1533</v>
      </c>
      <c r="Q4" s="7" t="s">
        <v>1534</v>
      </c>
      <c r="R4" s="7" t="s">
        <v>1535</v>
      </c>
      <c r="S4" s="7" t="s">
        <v>1536</v>
      </c>
      <c r="T4" s="7" t="s">
        <v>1537</v>
      </c>
      <c r="U4" s="7" t="s">
        <v>1538</v>
      </c>
    </row>
    <row r="5" customFormat="false" ht="15" hidden="false" customHeight="false" outlineLevel="0" collapsed="false">
      <c r="A5" s="48" t="s">
        <v>173</v>
      </c>
      <c r="B5" s="48" t="s">
        <v>1539</v>
      </c>
      <c r="C5" s="53" t="n">
        <v>16968</v>
      </c>
      <c r="D5" s="53" t="n">
        <v>129480</v>
      </c>
      <c r="E5" s="48" t="s">
        <v>821</v>
      </c>
      <c r="F5" s="54" t="n">
        <v>0.509</v>
      </c>
      <c r="G5" s="48" t="n">
        <v>27</v>
      </c>
      <c r="H5" s="48" t="n">
        <v>3</v>
      </c>
      <c r="I5" s="48" t="n">
        <v>5</v>
      </c>
      <c r="J5" s="48" t="n">
        <v>20</v>
      </c>
      <c r="K5" s="48" t="s">
        <v>1540</v>
      </c>
      <c r="L5" s="48" t="n">
        <v>13</v>
      </c>
      <c r="M5" s="48" t="n">
        <v>23</v>
      </c>
      <c r="N5" s="48" t="n">
        <v>132</v>
      </c>
      <c r="O5" s="48" t="n">
        <v>18</v>
      </c>
      <c r="P5" s="48" t="n">
        <v>36</v>
      </c>
      <c r="Q5" s="48" t="n">
        <v>18</v>
      </c>
      <c r="R5" s="48" t="n">
        <v>27</v>
      </c>
      <c r="S5" s="48" t="n">
        <v>8</v>
      </c>
      <c r="T5" s="48" t="n">
        <v>2</v>
      </c>
      <c r="U5" s="48" t="n">
        <v>10</v>
      </c>
    </row>
    <row r="6" customFormat="false" ht="15" hidden="false" customHeight="false" outlineLevel="0" collapsed="false">
      <c r="A6" s="48" t="s">
        <v>125</v>
      </c>
      <c r="B6" s="48" t="s">
        <v>1541</v>
      </c>
      <c r="C6" s="53" t="n">
        <v>7904</v>
      </c>
      <c r="D6" s="53" t="n">
        <v>41329</v>
      </c>
      <c r="E6" s="48" t="s">
        <v>821</v>
      </c>
      <c r="F6" s="54" t="n">
        <v>0.451</v>
      </c>
      <c r="G6" s="48" t="n">
        <v>28</v>
      </c>
      <c r="H6" s="48" t="n">
        <v>4</v>
      </c>
      <c r="I6" s="48" t="n">
        <v>6</v>
      </c>
      <c r="J6" s="48" t="n">
        <v>24</v>
      </c>
      <c r="K6" s="48" t="s">
        <v>1540</v>
      </c>
      <c r="L6" s="48" t="n">
        <v>45</v>
      </c>
      <c r="M6" s="48" t="n">
        <v>3</v>
      </c>
      <c r="N6" s="48" t="n">
        <v>110</v>
      </c>
      <c r="O6" s="48" t="n">
        <v>3</v>
      </c>
      <c r="P6" s="48" t="n">
        <v>77</v>
      </c>
      <c r="Q6" s="48" t="n">
        <v>16</v>
      </c>
      <c r="R6" s="48" t="n">
        <v>40</v>
      </c>
      <c r="S6" s="48" t="n">
        <v>15</v>
      </c>
      <c r="T6" s="48" t="n">
        <v>6</v>
      </c>
      <c r="U6" s="48" t="n">
        <v>4</v>
      </c>
    </row>
    <row r="7" customFormat="false" ht="15" hidden="false" customHeight="false" outlineLevel="0" collapsed="false">
      <c r="A7" s="48" t="s">
        <v>828</v>
      </c>
      <c r="B7" s="48" t="s">
        <v>1541</v>
      </c>
      <c r="C7" s="53" t="n">
        <v>5684</v>
      </c>
      <c r="D7" s="53" t="n">
        <v>33283</v>
      </c>
      <c r="E7" s="48" t="s">
        <v>821</v>
      </c>
      <c r="F7" s="54" t="n">
        <v>0.4</v>
      </c>
      <c r="G7" s="48" t="n">
        <v>27</v>
      </c>
      <c r="H7" s="48" t="n">
        <v>2</v>
      </c>
      <c r="I7" s="48" t="n">
        <v>5</v>
      </c>
      <c r="J7" s="48" t="n">
        <v>23</v>
      </c>
      <c r="K7" s="48" t="s">
        <v>628</v>
      </c>
      <c r="L7" s="48" t="n">
        <v>18</v>
      </c>
      <c r="M7" s="48" t="n">
        <v>1</v>
      </c>
      <c r="N7" s="48" t="n">
        <v>98</v>
      </c>
      <c r="O7" s="48" t="n">
        <v>4</v>
      </c>
      <c r="P7" s="48" t="n">
        <v>42</v>
      </c>
      <c r="Q7" s="48" t="n">
        <v>2</v>
      </c>
      <c r="R7" s="48" t="n">
        <v>21</v>
      </c>
      <c r="S7" s="48" t="n">
        <v>6</v>
      </c>
      <c r="T7" s="48" t="n">
        <v>70</v>
      </c>
      <c r="U7" s="48" t="n">
        <v>23</v>
      </c>
    </row>
    <row r="8" customFormat="false" ht="15" hidden="false" customHeight="false" outlineLevel="0" collapsed="false">
      <c r="A8" s="48" t="s">
        <v>178</v>
      </c>
      <c r="B8" s="48" t="s">
        <v>1539</v>
      </c>
      <c r="C8" s="53" t="n">
        <v>3632</v>
      </c>
      <c r="D8" s="53" t="n">
        <v>21134</v>
      </c>
      <c r="E8" s="48" t="s">
        <v>821</v>
      </c>
      <c r="F8" s="54" t="n">
        <v>0.425</v>
      </c>
      <c r="G8" s="48" t="n">
        <v>27</v>
      </c>
      <c r="H8" s="48" t="n">
        <v>4</v>
      </c>
      <c r="I8" s="48" t="n">
        <v>5</v>
      </c>
      <c r="J8" s="48" t="n">
        <v>16</v>
      </c>
      <c r="K8" s="48" t="s">
        <v>1540</v>
      </c>
      <c r="L8" s="48" t="n">
        <v>18</v>
      </c>
      <c r="M8" s="48" t="n">
        <v>20</v>
      </c>
      <c r="N8" s="48" t="n">
        <v>92</v>
      </c>
      <c r="O8" s="48" t="n">
        <v>2</v>
      </c>
      <c r="P8" s="48" t="n">
        <v>51</v>
      </c>
      <c r="Q8" s="48" t="n">
        <v>11</v>
      </c>
      <c r="R8" s="48" t="n">
        <v>43</v>
      </c>
      <c r="S8" s="48" t="n">
        <v>15</v>
      </c>
      <c r="T8" s="48" t="n">
        <v>2</v>
      </c>
      <c r="U8" s="48" t="n">
        <v>11</v>
      </c>
    </row>
    <row r="9" customFormat="false" ht="15" hidden="false" customHeight="false" outlineLevel="0" collapsed="false">
      <c r="A9" s="48" t="s">
        <v>820</v>
      </c>
      <c r="B9" s="48" t="s">
        <v>1541</v>
      </c>
      <c r="C9" s="53" t="n">
        <v>1263</v>
      </c>
      <c r="D9" s="53" t="n">
        <v>6214</v>
      </c>
      <c r="E9" s="48" t="s">
        <v>821</v>
      </c>
      <c r="F9" s="54" t="n">
        <v>0.345</v>
      </c>
      <c r="G9" s="48" t="n">
        <v>22</v>
      </c>
      <c r="H9" s="48" t="n">
        <v>1</v>
      </c>
      <c r="I9" s="48" t="n">
        <v>4</v>
      </c>
      <c r="J9" s="48" t="n">
        <v>16</v>
      </c>
      <c r="K9" s="48" t="s">
        <v>1540</v>
      </c>
      <c r="L9" s="48" t="n">
        <v>22</v>
      </c>
      <c r="M9" s="48"/>
      <c r="N9" s="48" t="n">
        <v>86</v>
      </c>
      <c r="O9" s="48"/>
      <c r="P9" s="48" t="n">
        <v>24</v>
      </c>
      <c r="Q9" s="48" t="n">
        <v>12</v>
      </c>
      <c r="R9" s="48" t="n">
        <v>37</v>
      </c>
      <c r="S9" s="48" t="n">
        <v>7</v>
      </c>
      <c r="T9" s="48" t="n">
        <v>15</v>
      </c>
      <c r="U9" s="48" t="n">
        <v>10</v>
      </c>
    </row>
    <row r="10" customFormat="false" ht="15" hidden="false" customHeight="false" outlineLevel="0" collapsed="false">
      <c r="A10" s="48" t="s">
        <v>853</v>
      </c>
      <c r="B10" s="48" t="s">
        <v>1541</v>
      </c>
      <c r="C10" s="53" t="n">
        <v>1289</v>
      </c>
      <c r="D10" s="53" t="n">
        <v>8083</v>
      </c>
      <c r="E10" s="48" t="s">
        <v>939</v>
      </c>
      <c r="F10" s="54" t="n">
        <v>0.279</v>
      </c>
      <c r="G10" s="48" t="n">
        <v>26</v>
      </c>
      <c r="H10" s="48" t="n">
        <v>3</v>
      </c>
      <c r="I10" s="48" t="n">
        <v>6</v>
      </c>
      <c r="J10" s="48" t="n">
        <v>12</v>
      </c>
      <c r="K10" s="48" t="s">
        <v>1540</v>
      </c>
      <c r="L10" s="48" t="n">
        <v>27</v>
      </c>
      <c r="M10" s="48"/>
      <c r="N10" s="48" t="n">
        <v>111</v>
      </c>
      <c r="O10" s="48"/>
      <c r="P10" s="48" t="n">
        <v>77</v>
      </c>
      <c r="Q10" s="48" t="n">
        <v>8</v>
      </c>
      <c r="R10" s="48" t="n">
        <v>23</v>
      </c>
      <c r="S10" s="48" t="n">
        <v>8</v>
      </c>
      <c r="T10" s="48" t="n">
        <v>5</v>
      </c>
      <c r="U10" s="48" t="n">
        <v>20</v>
      </c>
    </row>
    <row r="11" customFormat="false" ht="15" hidden="false" customHeight="false" outlineLevel="0" collapsed="false">
      <c r="A11" s="48" t="s">
        <v>826</v>
      </c>
      <c r="B11" s="48" t="s">
        <v>1541</v>
      </c>
      <c r="C11" s="53" t="n">
        <v>1112</v>
      </c>
      <c r="D11" s="53" t="n">
        <v>7525</v>
      </c>
      <c r="E11" s="48" t="s">
        <v>821</v>
      </c>
      <c r="F11" s="54" t="n">
        <v>0.335</v>
      </c>
      <c r="G11" s="48" t="n">
        <v>27</v>
      </c>
      <c r="H11" s="48" t="n">
        <v>3</v>
      </c>
      <c r="I11" s="48" t="n">
        <v>4</v>
      </c>
      <c r="J11" s="48" t="n">
        <v>16</v>
      </c>
      <c r="K11" s="48" t="s">
        <v>1540</v>
      </c>
      <c r="L11" s="48" t="n">
        <v>17</v>
      </c>
      <c r="M11" s="48"/>
      <c r="N11" s="48" t="n">
        <v>65</v>
      </c>
      <c r="O11" s="48"/>
      <c r="P11" s="48" t="n">
        <v>102</v>
      </c>
      <c r="Q11" s="48" t="n">
        <v>20</v>
      </c>
      <c r="R11" s="48" t="n">
        <v>11</v>
      </c>
      <c r="S11" s="48" t="n">
        <v>14</v>
      </c>
      <c r="T11" s="48" t="n">
        <v>10</v>
      </c>
      <c r="U11" s="48" t="n">
        <v>23</v>
      </c>
    </row>
    <row r="12" customFormat="false" ht="15" hidden="false" customHeight="false" outlineLevel="0" collapsed="false">
      <c r="A12" s="48" t="s">
        <v>133</v>
      </c>
      <c r="B12" s="48" t="s">
        <v>1541</v>
      </c>
      <c r="C12" s="53" t="n">
        <v>1212</v>
      </c>
      <c r="D12" s="53"/>
      <c r="E12" s="48" t="s">
        <v>821</v>
      </c>
      <c r="F12" s="54" t="n">
        <v>0.365</v>
      </c>
      <c r="G12" s="48" t="n">
        <v>25</v>
      </c>
      <c r="H12" s="48" t="n">
        <v>2</v>
      </c>
      <c r="I12" s="48" t="n">
        <v>3</v>
      </c>
      <c r="J12" s="48" t="n">
        <v>14</v>
      </c>
      <c r="K12" s="48" t="s">
        <v>1540</v>
      </c>
      <c r="L12" s="48" t="n">
        <v>69</v>
      </c>
      <c r="M12" s="48" t="n">
        <v>11</v>
      </c>
      <c r="N12" s="48" t="n">
        <v>127</v>
      </c>
      <c r="O12" s="48"/>
      <c r="P12" s="48" t="n">
        <v>51</v>
      </c>
      <c r="Q12" s="48" t="n">
        <v>12</v>
      </c>
      <c r="R12" s="48" t="n">
        <v>40</v>
      </c>
      <c r="S12" s="48" t="n">
        <v>9</v>
      </c>
      <c r="T12" s="48" t="n">
        <v>9</v>
      </c>
      <c r="U12" s="48" t="n">
        <v>20</v>
      </c>
    </row>
    <row r="13" customFormat="false" ht="15" hidden="false" customHeight="false" outlineLevel="0" collapsed="false">
      <c r="A13" s="48" t="s">
        <v>138</v>
      </c>
      <c r="B13" s="48" t="s">
        <v>1541</v>
      </c>
      <c r="C13" s="53" t="n">
        <v>1127</v>
      </c>
      <c r="D13" s="53" t="n">
        <v>6994</v>
      </c>
      <c r="E13" s="48" t="s">
        <v>939</v>
      </c>
      <c r="F13" s="54" t="n">
        <v>0.367</v>
      </c>
      <c r="G13" s="48" t="n">
        <v>26</v>
      </c>
      <c r="H13" s="48" t="n">
        <v>2</v>
      </c>
      <c r="I13" s="48" t="n">
        <v>3</v>
      </c>
      <c r="J13" s="48" t="n">
        <v>15</v>
      </c>
      <c r="K13" s="48" t="s">
        <v>1540</v>
      </c>
      <c r="L13" s="48" t="n">
        <v>45</v>
      </c>
      <c r="M13" s="48"/>
      <c r="N13" s="48" t="n">
        <v>130</v>
      </c>
      <c r="O13" s="48"/>
      <c r="P13" s="48" t="n">
        <v>130</v>
      </c>
      <c r="Q13" s="48" t="n">
        <v>12</v>
      </c>
      <c r="R13" s="48" t="n">
        <v>30</v>
      </c>
      <c r="S13" s="48" t="n">
        <v>9</v>
      </c>
      <c r="T13" s="48" t="n">
        <v>4</v>
      </c>
      <c r="U13" s="48" t="n">
        <v>11</v>
      </c>
    </row>
    <row r="14" customFormat="false" ht="15" hidden="false" customHeight="false" outlineLevel="0" collapsed="false">
      <c r="A14" s="48" t="s">
        <v>839</v>
      </c>
      <c r="B14" s="48" t="s">
        <v>1541</v>
      </c>
      <c r="C14" s="53" t="n">
        <v>654</v>
      </c>
      <c r="D14" s="53" t="n">
        <v>4445</v>
      </c>
      <c r="E14" s="48" t="s">
        <v>821</v>
      </c>
      <c r="F14" s="54" t="n">
        <v>0.354</v>
      </c>
      <c r="G14" s="48" t="n">
        <v>26</v>
      </c>
      <c r="H14" s="48" t="n">
        <v>2</v>
      </c>
      <c r="I14" s="48" t="n">
        <v>6</v>
      </c>
      <c r="J14" s="48" t="n">
        <v>15</v>
      </c>
      <c r="K14" s="48" t="s">
        <v>1542</v>
      </c>
      <c r="L14" s="48" t="n">
        <v>37</v>
      </c>
      <c r="M14" s="48"/>
      <c r="N14" s="48" t="n">
        <v>76</v>
      </c>
      <c r="O14" s="48"/>
      <c r="P14" s="48" t="n">
        <v>21</v>
      </c>
      <c r="Q14" s="48" t="n">
        <v>12</v>
      </c>
      <c r="R14" s="48" t="n">
        <v>13</v>
      </c>
      <c r="S14" s="48" t="n">
        <v>21</v>
      </c>
      <c r="T14" s="48" t="n">
        <v>4</v>
      </c>
      <c r="U14" s="48" t="n">
        <v>26</v>
      </c>
    </row>
    <row r="15" customFormat="false" ht="15" hidden="false" customHeight="false" outlineLevel="0" collapsed="false">
      <c r="A15" s="48" t="s">
        <v>863</v>
      </c>
      <c r="B15" s="48" t="s">
        <v>1541</v>
      </c>
      <c r="C15" s="53" t="n">
        <v>842</v>
      </c>
      <c r="D15" s="53" t="n">
        <v>6530</v>
      </c>
      <c r="E15" s="48" t="s">
        <v>939</v>
      </c>
      <c r="F15" s="54" t="n">
        <v>0.326</v>
      </c>
      <c r="G15" s="48" t="n">
        <v>26</v>
      </c>
      <c r="H15" s="48" t="n">
        <v>3</v>
      </c>
      <c r="I15" s="48" t="n">
        <v>4</v>
      </c>
      <c r="J15" s="48" t="n">
        <v>8</v>
      </c>
      <c r="K15" s="48" t="s">
        <v>1540</v>
      </c>
      <c r="L15" s="48" t="n">
        <v>65</v>
      </c>
      <c r="M15" s="48" t="n">
        <v>12</v>
      </c>
      <c r="N15" s="48" t="n">
        <v>50</v>
      </c>
      <c r="O15" s="48"/>
      <c r="P15" s="48" t="n">
        <v>142</v>
      </c>
      <c r="Q15" s="48"/>
      <c r="R15" s="48" t="n">
        <v>52</v>
      </c>
      <c r="S15" s="48" t="n">
        <v>6</v>
      </c>
      <c r="T15" s="48" t="n">
        <v>5</v>
      </c>
      <c r="U15" s="48" t="n">
        <v>7</v>
      </c>
    </row>
    <row r="16" customFormat="false" ht="15" hidden="false" customHeight="false" outlineLevel="0" collapsed="false">
      <c r="A16" s="48" t="s">
        <v>845</v>
      </c>
      <c r="B16" s="48" t="s">
        <v>1541</v>
      </c>
      <c r="C16" s="53" t="n">
        <v>607</v>
      </c>
      <c r="D16" s="53" t="n">
        <v>2768</v>
      </c>
      <c r="E16" s="48" t="s">
        <v>821</v>
      </c>
      <c r="F16" s="54" t="n">
        <v>0.271</v>
      </c>
      <c r="G16" s="48" t="n">
        <v>26</v>
      </c>
      <c r="H16" s="48" t="n">
        <v>2</v>
      </c>
      <c r="I16" s="48" t="n">
        <v>5</v>
      </c>
      <c r="J16" s="48" t="n">
        <v>14</v>
      </c>
      <c r="K16" s="48" t="s">
        <v>1540</v>
      </c>
      <c r="L16" s="48" t="n">
        <v>37</v>
      </c>
      <c r="M16" s="48"/>
      <c r="N16" s="48" t="n">
        <v>111</v>
      </c>
      <c r="O16" s="48"/>
      <c r="P16" s="48" t="n">
        <v>85</v>
      </c>
      <c r="Q16" s="48" t="n">
        <v>3</v>
      </c>
      <c r="R16" s="48" t="n">
        <v>20</v>
      </c>
      <c r="S16" s="48" t="n">
        <v>18</v>
      </c>
      <c r="T16" s="48" t="n">
        <v>3</v>
      </c>
      <c r="U16" s="48" t="n">
        <v>19</v>
      </c>
    </row>
    <row r="17" customFormat="false" ht="15" hidden="false" customHeight="false" outlineLevel="0" collapsed="false">
      <c r="A17" s="48" t="s">
        <v>829</v>
      </c>
      <c r="B17" s="48" t="s">
        <v>1541</v>
      </c>
      <c r="C17" s="53" t="n">
        <v>642</v>
      </c>
      <c r="D17" s="53" t="n">
        <v>5237</v>
      </c>
      <c r="E17" s="48" t="s">
        <v>821</v>
      </c>
      <c r="F17" s="54" t="n">
        <v>0.315</v>
      </c>
      <c r="G17" s="48" t="n">
        <v>26</v>
      </c>
      <c r="H17" s="48" t="n">
        <v>4</v>
      </c>
      <c r="I17" s="48" t="n">
        <v>7</v>
      </c>
      <c r="J17" s="48" t="n">
        <v>10</v>
      </c>
      <c r="K17" s="48" t="s">
        <v>1540</v>
      </c>
      <c r="L17" s="48" t="n">
        <v>37</v>
      </c>
      <c r="M17" s="48"/>
      <c r="N17" s="48" t="n">
        <v>73</v>
      </c>
      <c r="O17" s="48"/>
      <c r="P17" s="48" t="n">
        <v>40</v>
      </c>
      <c r="Q17" s="48" t="n">
        <v>27</v>
      </c>
      <c r="R17" s="48" t="n">
        <v>15</v>
      </c>
      <c r="S17" s="48" t="n">
        <v>4</v>
      </c>
      <c r="T17" s="48" t="n">
        <v>4</v>
      </c>
      <c r="U17" s="48" t="n">
        <v>11</v>
      </c>
    </row>
    <row r="18" customFormat="false" ht="15" hidden="false" customHeight="false" outlineLevel="0" collapsed="false">
      <c r="A18" s="48" t="s">
        <v>468</v>
      </c>
      <c r="B18" s="48" t="s">
        <v>1541</v>
      </c>
      <c r="C18" s="53" t="n">
        <v>506</v>
      </c>
      <c r="D18" s="53"/>
      <c r="E18" s="48" t="s">
        <v>821</v>
      </c>
      <c r="F18" s="54" t="n">
        <v>0.394</v>
      </c>
      <c r="G18" s="48" t="n">
        <v>26</v>
      </c>
      <c r="H18" s="48" t="n">
        <v>3</v>
      </c>
      <c r="I18" s="48" t="n">
        <v>4</v>
      </c>
      <c r="J18" s="48" t="n">
        <v>16</v>
      </c>
      <c r="K18" s="48" t="s">
        <v>1540</v>
      </c>
      <c r="L18" s="48" t="n">
        <v>14</v>
      </c>
      <c r="M18" s="48"/>
      <c r="N18" s="48" t="n">
        <v>105</v>
      </c>
      <c r="O18" s="48"/>
      <c r="P18" s="48" t="n">
        <v>85</v>
      </c>
      <c r="Q18" s="48" t="n">
        <v>29</v>
      </c>
      <c r="R18" s="48" t="n">
        <v>63</v>
      </c>
      <c r="S18" s="48" t="n">
        <v>21</v>
      </c>
      <c r="T18" s="48" t="n">
        <v>3</v>
      </c>
      <c r="U18" s="48" t="n">
        <v>19</v>
      </c>
    </row>
    <row r="19" customFormat="false" ht="15" hidden="false" customHeight="false" outlineLevel="0" collapsed="false">
      <c r="A19" s="48" t="s">
        <v>142</v>
      </c>
      <c r="B19" s="48" t="s">
        <v>1541</v>
      </c>
      <c r="C19" s="53" t="n">
        <v>598</v>
      </c>
      <c r="D19" s="53" t="n">
        <v>4766</v>
      </c>
      <c r="E19" s="48" t="s">
        <v>821</v>
      </c>
      <c r="F19" s="54" t="n">
        <v>0.305</v>
      </c>
      <c r="G19" s="48" t="n">
        <v>26</v>
      </c>
      <c r="H19" s="48" t="n">
        <v>4</v>
      </c>
      <c r="I19" s="48" t="n">
        <v>5</v>
      </c>
      <c r="J19" s="48" t="n">
        <v>14</v>
      </c>
      <c r="K19" s="48" t="s">
        <v>1540</v>
      </c>
      <c r="L19" s="48" t="n">
        <v>18</v>
      </c>
      <c r="M19" s="48" t="n">
        <v>4</v>
      </c>
      <c r="N19" s="48" t="n">
        <v>140</v>
      </c>
      <c r="O19" s="48"/>
      <c r="P19" s="48" t="n">
        <v>41</v>
      </c>
      <c r="Q19" s="48" t="n">
        <v>10</v>
      </c>
      <c r="R19" s="48" t="n">
        <v>33</v>
      </c>
      <c r="S19" s="48" t="n">
        <v>5</v>
      </c>
      <c r="T19" s="48" t="n">
        <v>4</v>
      </c>
      <c r="U19" s="48" t="n">
        <v>4</v>
      </c>
    </row>
    <row r="20" customFormat="false" ht="15" hidden="false" customHeight="false" outlineLevel="0" collapsed="false">
      <c r="A20" s="48" t="s">
        <v>150</v>
      </c>
      <c r="B20" s="48" t="s">
        <v>1541</v>
      </c>
      <c r="C20" s="53" t="n">
        <v>592</v>
      </c>
      <c r="D20" s="53"/>
      <c r="E20" s="48" t="s">
        <v>821</v>
      </c>
      <c r="F20" s="54" t="n">
        <v>0.311</v>
      </c>
      <c r="G20" s="48" t="n">
        <v>26</v>
      </c>
      <c r="H20" s="48" t="n">
        <v>2</v>
      </c>
      <c r="I20" s="48" t="n">
        <v>5</v>
      </c>
      <c r="J20" s="48" t="n">
        <v>14</v>
      </c>
      <c r="K20" s="48" t="s">
        <v>1540</v>
      </c>
      <c r="L20" s="48" t="n">
        <v>24</v>
      </c>
      <c r="M20" s="48" t="n">
        <v>5</v>
      </c>
      <c r="N20" s="48" t="n">
        <v>124</v>
      </c>
      <c r="O20" s="48"/>
      <c r="P20" s="48" t="n">
        <v>79</v>
      </c>
      <c r="Q20" s="48" t="n">
        <v>11</v>
      </c>
      <c r="R20" s="48" t="n">
        <v>50</v>
      </c>
      <c r="S20" s="48" t="n">
        <v>20</v>
      </c>
      <c r="T20" s="48" t="n">
        <v>5</v>
      </c>
      <c r="U20" s="48" t="n">
        <v>21</v>
      </c>
    </row>
    <row r="21" customFormat="false" ht="15" hidden="false" customHeight="false" outlineLevel="0" collapsed="false">
      <c r="A21" s="48" t="s">
        <v>846</v>
      </c>
      <c r="B21" s="48" t="s">
        <v>1541</v>
      </c>
      <c r="C21" s="53" t="n">
        <v>401</v>
      </c>
      <c r="D21" s="53" t="n">
        <v>3231</v>
      </c>
      <c r="E21" s="48" t="s">
        <v>821</v>
      </c>
      <c r="F21" s="54" t="n">
        <v>0.382</v>
      </c>
      <c r="G21" s="48" t="n">
        <v>25</v>
      </c>
      <c r="H21" s="48" t="n">
        <v>4</v>
      </c>
      <c r="I21" s="48" t="n">
        <v>7</v>
      </c>
      <c r="J21" s="48" t="n">
        <v>14</v>
      </c>
      <c r="K21" s="48" t="s">
        <v>1540</v>
      </c>
      <c r="L21" s="48" t="n">
        <v>24</v>
      </c>
      <c r="M21" s="48"/>
      <c r="N21" s="48" t="n">
        <v>110</v>
      </c>
      <c r="O21" s="48"/>
      <c r="P21" s="48" t="n">
        <v>24</v>
      </c>
      <c r="Q21" s="48" t="n">
        <v>12</v>
      </c>
      <c r="R21" s="48" t="n">
        <v>12</v>
      </c>
      <c r="S21" s="48" t="n">
        <v>11</v>
      </c>
      <c r="T21" s="48" t="n">
        <v>3</v>
      </c>
      <c r="U21" s="48" t="n">
        <v>4</v>
      </c>
    </row>
    <row r="22" customFormat="false" ht="15" hidden="false" customHeight="false" outlineLevel="0" collapsed="false">
      <c r="A22" s="48" t="s">
        <v>146</v>
      </c>
      <c r="B22" s="48" t="s">
        <v>1541</v>
      </c>
      <c r="C22" s="53" t="n">
        <v>572</v>
      </c>
      <c r="D22" s="53"/>
      <c r="E22" s="48" t="s">
        <v>821</v>
      </c>
      <c r="F22" s="54" t="n">
        <v>0.349</v>
      </c>
      <c r="G22" s="48" t="n">
        <v>27</v>
      </c>
      <c r="H22" s="48" t="n">
        <v>2</v>
      </c>
      <c r="I22" s="48" t="n">
        <v>4</v>
      </c>
      <c r="J22" s="48" t="n">
        <v>14</v>
      </c>
      <c r="K22" s="48" t="s">
        <v>1540</v>
      </c>
      <c r="L22" s="48" t="n">
        <v>48</v>
      </c>
      <c r="M22" s="48" t="n">
        <v>4</v>
      </c>
      <c r="N22" s="48" t="n">
        <v>142</v>
      </c>
      <c r="O22" s="48"/>
      <c r="P22" s="48" t="n">
        <v>74</v>
      </c>
      <c r="Q22" s="48" t="n">
        <v>1</v>
      </c>
      <c r="R22" s="48" t="n">
        <v>44</v>
      </c>
      <c r="S22" s="48" t="n">
        <v>11</v>
      </c>
      <c r="T22" s="48" t="n">
        <v>5</v>
      </c>
      <c r="U22" s="48" t="n">
        <v>27</v>
      </c>
    </row>
    <row r="23" customFormat="false" ht="15" hidden="false" customHeight="false" outlineLevel="0" collapsed="false">
      <c r="A23" s="48" t="s">
        <v>847</v>
      </c>
      <c r="B23" s="48" t="s">
        <v>1543</v>
      </c>
      <c r="C23" s="53" t="n">
        <v>409</v>
      </c>
      <c r="D23" s="53" t="n">
        <v>3167</v>
      </c>
      <c r="E23" s="48" t="s">
        <v>821</v>
      </c>
      <c r="F23" s="54" t="n">
        <v>0.353</v>
      </c>
      <c r="G23" s="48" t="n">
        <v>27</v>
      </c>
      <c r="H23" s="48" t="n">
        <v>2</v>
      </c>
      <c r="I23" s="48" t="n">
        <v>3</v>
      </c>
      <c r="J23" s="48" t="n">
        <v>11</v>
      </c>
      <c r="K23" s="48" t="s">
        <v>1540</v>
      </c>
      <c r="L23" s="48" t="n">
        <v>7</v>
      </c>
      <c r="M23" s="48" t="n">
        <v>1</v>
      </c>
      <c r="N23" s="48" t="n">
        <v>93</v>
      </c>
      <c r="O23" s="48"/>
      <c r="P23" s="48" t="n">
        <v>55</v>
      </c>
      <c r="Q23" s="48" t="n">
        <v>11</v>
      </c>
      <c r="R23" s="48" t="n">
        <v>31</v>
      </c>
      <c r="S23" s="48" t="n">
        <v>4</v>
      </c>
      <c r="T23" s="48" t="n">
        <v>1</v>
      </c>
      <c r="U23" s="48" t="n">
        <v>16</v>
      </c>
    </row>
    <row r="24" customFormat="false" ht="15" hidden="false" customHeight="false" outlineLevel="0" collapsed="false">
      <c r="A24" s="48" t="s">
        <v>841</v>
      </c>
      <c r="B24" s="48" t="s">
        <v>1541</v>
      </c>
      <c r="C24" s="53" t="n">
        <v>651</v>
      </c>
      <c r="D24" s="53" t="n">
        <v>3771</v>
      </c>
      <c r="E24" s="48" t="s">
        <v>821</v>
      </c>
      <c r="F24" s="54" t="n">
        <v>0.658</v>
      </c>
      <c r="G24" s="48" t="n">
        <v>18</v>
      </c>
      <c r="H24" s="48" t="n">
        <v>0</v>
      </c>
      <c r="I24" s="48" t="n">
        <v>1</v>
      </c>
      <c r="J24" s="48" t="n">
        <v>11</v>
      </c>
      <c r="K24" s="48" t="s">
        <v>1542</v>
      </c>
      <c r="L24" s="48" t="n">
        <v>11</v>
      </c>
      <c r="M24" s="48" t="n">
        <v>11</v>
      </c>
      <c r="N24" s="48" t="n">
        <v>68</v>
      </c>
      <c r="O24" s="48" t="n">
        <v>3</v>
      </c>
      <c r="P24" s="48" t="n">
        <v>110</v>
      </c>
      <c r="Q24" s="48" t="n">
        <v>12</v>
      </c>
      <c r="R24" s="48" t="n">
        <v>17</v>
      </c>
      <c r="S24" s="48"/>
      <c r="T24" s="48" t="n">
        <v>84</v>
      </c>
      <c r="U24" s="48" t="n">
        <v>7</v>
      </c>
    </row>
    <row r="25" customFormat="false" ht="15" hidden="false" customHeight="false" outlineLevel="0" collapsed="false">
      <c r="A25" s="48" t="s">
        <v>877</v>
      </c>
      <c r="B25" s="48" t="s">
        <v>1541</v>
      </c>
      <c r="C25" s="53" t="n">
        <v>253</v>
      </c>
      <c r="D25" s="53" t="n">
        <v>2142</v>
      </c>
      <c r="E25" s="48" t="s">
        <v>821</v>
      </c>
      <c r="F25" s="54" t="n">
        <v>0.369</v>
      </c>
      <c r="G25" s="48" t="n">
        <v>25</v>
      </c>
      <c r="H25" s="48" t="n">
        <v>3</v>
      </c>
      <c r="I25" s="48" t="n">
        <v>6</v>
      </c>
      <c r="J25" s="48" t="n">
        <v>14</v>
      </c>
      <c r="K25" s="48" t="s">
        <v>1540</v>
      </c>
      <c r="L25" s="48" t="n">
        <v>45</v>
      </c>
      <c r="M25" s="48" t="n">
        <v>8</v>
      </c>
      <c r="N25" s="48" t="n">
        <v>98</v>
      </c>
      <c r="O25" s="48"/>
      <c r="P25" s="48" t="n">
        <v>24</v>
      </c>
      <c r="Q25" s="48" t="n">
        <v>25</v>
      </c>
      <c r="R25" s="48" t="n">
        <v>17</v>
      </c>
      <c r="S25" s="48" t="n">
        <v>2</v>
      </c>
      <c r="T25" s="48" t="n">
        <v>7</v>
      </c>
      <c r="U25" s="48" t="n">
        <v>8</v>
      </c>
    </row>
    <row r="26" customFormat="false" ht="15" hidden="false" customHeight="false" outlineLevel="0" collapsed="false">
      <c r="A26" s="48" t="s">
        <v>1544</v>
      </c>
      <c r="B26" s="48" t="s">
        <v>1545</v>
      </c>
      <c r="C26" s="53" t="n">
        <v>10450</v>
      </c>
      <c r="D26" s="53"/>
      <c r="E26" s="48" t="s">
        <v>821</v>
      </c>
      <c r="F26" s="54" t="n">
        <v>0.387</v>
      </c>
      <c r="G26" s="48" t="n">
        <v>13</v>
      </c>
      <c r="H26" s="48" t="n">
        <v>0</v>
      </c>
      <c r="I26" s="48" t="n">
        <v>0</v>
      </c>
      <c r="J26" s="48" t="n">
        <v>10</v>
      </c>
      <c r="K26" s="48" t="s">
        <v>628</v>
      </c>
      <c r="L26" s="48"/>
      <c r="M26" s="48"/>
      <c r="N26" s="48"/>
      <c r="O26" s="48"/>
      <c r="P26" s="48" t="n">
        <v>143</v>
      </c>
      <c r="Q26" s="48" t="n">
        <v>28</v>
      </c>
      <c r="R26" s="48"/>
      <c r="S26" s="48"/>
      <c r="T26" s="48" t="n">
        <v>64</v>
      </c>
      <c r="U26" s="48" t="n">
        <v>2</v>
      </c>
    </row>
    <row r="27" customFormat="false" ht="15" hidden="false" customHeight="false" outlineLevel="0" collapsed="false">
      <c r="A27" s="48" t="s">
        <v>154</v>
      </c>
      <c r="B27" s="48" t="s">
        <v>1546</v>
      </c>
      <c r="C27" s="53" t="n">
        <v>337</v>
      </c>
      <c r="D27" s="53" t="n">
        <v>3289</v>
      </c>
      <c r="E27" s="48" t="s">
        <v>821</v>
      </c>
      <c r="F27" s="54" t="n">
        <v>0.415</v>
      </c>
      <c r="G27" s="48" t="n">
        <v>26</v>
      </c>
      <c r="H27" s="48" t="n">
        <v>3</v>
      </c>
      <c r="I27" s="48" t="n">
        <v>7</v>
      </c>
      <c r="J27" s="48" t="n">
        <v>15</v>
      </c>
      <c r="K27" s="48" t="s">
        <v>628</v>
      </c>
      <c r="L27" s="48" t="n">
        <v>38</v>
      </c>
      <c r="M27" s="48" t="n">
        <v>8</v>
      </c>
      <c r="N27" s="48" t="n">
        <v>135</v>
      </c>
      <c r="O27" s="48"/>
      <c r="P27" s="48" t="n">
        <v>66</v>
      </c>
      <c r="Q27" s="48" t="n">
        <v>3</v>
      </c>
      <c r="R27" s="48" t="n">
        <v>10</v>
      </c>
      <c r="S27" s="48" t="n">
        <v>16</v>
      </c>
      <c r="T27" s="48" t="n">
        <v>1</v>
      </c>
      <c r="U27" s="48" t="n">
        <v>15</v>
      </c>
    </row>
    <row r="28" customFormat="false" ht="15" hidden="false" customHeight="false" outlineLevel="0" collapsed="false">
      <c r="A28" s="48" t="s">
        <v>910</v>
      </c>
      <c r="B28" s="48" t="s">
        <v>1539</v>
      </c>
      <c r="C28" s="53" t="n">
        <v>393</v>
      </c>
      <c r="D28" s="53" t="n">
        <v>3411</v>
      </c>
      <c r="E28" s="48" t="s">
        <v>821</v>
      </c>
      <c r="F28" s="54" t="n">
        <v>0.296</v>
      </c>
      <c r="G28" s="48" t="n">
        <v>26</v>
      </c>
      <c r="H28" s="48" t="n">
        <v>2</v>
      </c>
      <c r="I28" s="48" t="n">
        <v>5</v>
      </c>
      <c r="J28" s="48" t="n">
        <v>14</v>
      </c>
      <c r="K28" s="48" t="s">
        <v>1540</v>
      </c>
      <c r="L28" s="48" t="n">
        <v>13</v>
      </c>
      <c r="M28" s="48"/>
      <c r="N28" s="48" t="n">
        <v>110</v>
      </c>
      <c r="O28" s="48"/>
      <c r="P28" s="48" t="n">
        <v>22</v>
      </c>
      <c r="Q28" s="48" t="n">
        <v>7</v>
      </c>
      <c r="R28" s="48" t="n">
        <v>17</v>
      </c>
      <c r="S28" s="48" t="n">
        <v>5</v>
      </c>
      <c r="T28" s="48" t="n">
        <v>1</v>
      </c>
      <c r="U28" s="48" t="n">
        <v>18</v>
      </c>
    </row>
    <row r="29" customFormat="false" ht="15" hidden="false" customHeight="false" outlineLevel="0" collapsed="false">
      <c r="A29" s="48" t="s">
        <v>160</v>
      </c>
      <c r="B29" s="48" t="s">
        <v>1539</v>
      </c>
      <c r="C29" s="53" t="n">
        <v>259</v>
      </c>
      <c r="D29" s="53"/>
      <c r="E29" s="48" t="s">
        <v>821</v>
      </c>
      <c r="F29" s="54" t="n">
        <v>0.253</v>
      </c>
      <c r="G29" s="48" t="n">
        <v>26</v>
      </c>
      <c r="H29" s="48" t="n">
        <v>4</v>
      </c>
      <c r="I29" s="48" t="n">
        <v>8</v>
      </c>
      <c r="J29" s="48" t="n">
        <v>10</v>
      </c>
      <c r="K29" s="48" t="s">
        <v>628</v>
      </c>
      <c r="L29" s="48" t="n">
        <v>34</v>
      </c>
      <c r="M29" s="48" t="n">
        <v>3</v>
      </c>
      <c r="N29" s="48" t="n">
        <v>140</v>
      </c>
      <c r="O29" s="48"/>
      <c r="P29" s="48" t="n">
        <v>17</v>
      </c>
      <c r="Q29" s="48" t="n">
        <v>3</v>
      </c>
      <c r="R29" s="48" t="n">
        <v>24</v>
      </c>
      <c r="S29" s="48" t="n">
        <v>8</v>
      </c>
      <c r="T29" s="48" t="n">
        <v>1</v>
      </c>
      <c r="U29" s="48" t="n">
        <v>3</v>
      </c>
    </row>
    <row r="30" customFormat="false" ht="15" hidden="false" customHeight="false" outlineLevel="0" collapsed="false">
      <c r="A30" s="48" t="s">
        <v>917</v>
      </c>
      <c r="B30" s="48" t="s">
        <v>1545</v>
      </c>
      <c r="C30" s="53" t="n">
        <v>760</v>
      </c>
      <c r="D30" s="53"/>
      <c r="E30" s="48" t="s">
        <v>939</v>
      </c>
      <c r="F30" s="54" t="n">
        <v>0.68</v>
      </c>
      <c r="G30" s="48" t="n">
        <v>24</v>
      </c>
      <c r="H30" s="48" t="n">
        <v>0</v>
      </c>
      <c r="I30" s="48" t="n">
        <v>0</v>
      </c>
      <c r="J30" s="48" t="n">
        <v>11</v>
      </c>
      <c r="K30" s="48" t="s">
        <v>1540</v>
      </c>
      <c r="L30" s="48" t="n">
        <v>117</v>
      </c>
      <c r="M30" s="48"/>
      <c r="N30" s="48"/>
      <c r="O30" s="48"/>
      <c r="P30" s="48" t="n">
        <v>95</v>
      </c>
      <c r="Q30" s="48" t="n">
        <v>21</v>
      </c>
      <c r="R30" s="48" t="n">
        <v>116</v>
      </c>
      <c r="S30" s="48" t="n">
        <v>11</v>
      </c>
      <c r="T30" s="48" t="n">
        <v>37</v>
      </c>
      <c r="U30" s="48" t="n">
        <v>11</v>
      </c>
    </row>
    <row r="31" customFormat="false" ht="15" hidden="false" customHeight="false" outlineLevel="0" collapsed="false">
      <c r="A31" s="48" t="s">
        <v>858</v>
      </c>
      <c r="B31" s="48" t="s">
        <v>1541</v>
      </c>
      <c r="C31" s="53" t="n">
        <v>390</v>
      </c>
      <c r="D31" s="53" t="n">
        <v>2745</v>
      </c>
      <c r="E31" s="48" t="s">
        <v>821</v>
      </c>
      <c r="F31" s="54" t="n">
        <v>0.464</v>
      </c>
      <c r="G31" s="48" t="n">
        <v>21</v>
      </c>
      <c r="H31" s="48" t="n">
        <v>1</v>
      </c>
      <c r="I31" s="48" t="n">
        <v>2</v>
      </c>
      <c r="J31" s="48" t="n">
        <v>11</v>
      </c>
      <c r="K31" s="48" t="s">
        <v>1542</v>
      </c>
      <c r="L31" s="48" t="n">
        <v>23</v>
      </c>
      <c r="M31" s="48"/>
      <c r="N31" s="48" t="n">
        <v>92</v>
      </c>
      <c r="O31" s="48"/>
      <c r="P31" s="48" t="n">
        <v>96</v>
      </c>
      <c r="Q31" s="48" t="n">
        <v>6</v>
      </c>
      <c r="R31" s="48" t="n">
        <v>48</v>
      </c>
      <c r="S31" s="48" t="n">
        <v>8</v>
      </c>
      <c r="T31" s="48" t="n">
        <v>11</v>
      </c>
      <c r="U31" s="48" t="n">
        <v>17</v>
      </c>
    </row>
    <row r="32" customFormat="false" ht="15" hidden="false" customHeight="false" outlineLevel="0" collapsed="false">
      <c r="A32" s="48" t="s">
        <v>450</v>
      </c>
      <c r="B32" s="48" t="s">
        <v>1541</v>
      </c>
      <c r="C32" s="53" t="n">
        <v>452</v>
      </c>
      <c r="D32" s="53" t="n">
        <v>1246</v>
      </c>
      <c r="E32" s="48" t="s">
        <v>939</v>
      </c>
      <c r="F32" s="54" t="n">
        <v>0.401</v>
      </c>
      <c r="G32" s="48" t="n">
        <v>26</v>
      </c>
      <c r="H32" s="48" t="n">
        <v>2</v>
      </c>
      <c r="I32" s="48" t="n">
        <v>3</v>
      </c>
      <c r="J32" s="48" t="n">
        <v>15</v>
      </c>
      <c r="K32" s="48" t="s">
        <v>1540</v>
      </c>
      <c r="L32" s="48" t="n">
        <v>30</v>
      </c>
      <c r="M32" s="48" t="n">
        <v>11</v>
      </c>
      <c r="N32" s="48" t="n">
        <v>81</v>
      </c>
      <c r="O32" s="48" t="n">
        <v>1</v>
      </c>
      <c r="P32" s="48" t="n">
        <v>109</v>
      </c>
      <c r="Q32" s="48" t="n">
        <v>22</v>
      </c>
      <c r="R32" s="48" t="n">
        <v>38</v>
      </c>
      <c r="S32" s="48" t="n">
        <v>12</v>
      </c>
      <c r="T32" s="48" t="n">
        <v>10</v>
      </c>
      <c r="U32" s="48" t="n">
        <v>11</v>
      </c>
    </row>
    <row r="33" customFormat="false" ht="15" hidden="false" customHeight="false" outlineLevel="0" collapsed="false">
      <c r="A33" s="48" t="s">
        <v>1071</v>
      </c>
      <c r="B33" s="48" t="s">
        <v>1539</v>
      </c>
      <c r="C33" s="53" t="n">
        <v>198</v>
      </c>
      <c r="D33" s="53" t="n">
        <v>3233</v>
      </c>
      <c r="E33" s="48" t="s">
        <v>821</v>
      </c>
      <c r="F33" s="54" t="n">
        <v>0.499</v>
      </c>
      <c r="G33" s="48" t="n">
        <v>25</v>
      </c>
      <c r="H33" s="48" t="n">
        <v>3</v>
      </c>
      <c r="I33" s="48" t="n">
        <v>5</v>
      </c>
      <c r="J33" s="48" t="n">
        <v>17</v>
      </c>
      <c r="K33" s="48" t="s">
        <v>1542</v>
      </c>
      <c r="L33" s="48" t="n">
        <v>13</v>
      </c>
      <c r="M33" s="48" t="n">
        <v>12</v>
      </c>
      <c r="N33" s="48"/>
      <c r="O33" s="48"/>
      <c r="P33" s="48" t="n">
        <v>17</v>
      </c>
      <c r="Q33" s="48" t="n">
        <v>11</v>
      </c>
      <c r="R33" s="48" t="n">
        <v>10</v>
      </c>
      <c r="S33" s="48" t="n">
        <v>5</v>
      </c>
      <c r="T33" s="48" t="n">
        <v>3</v>
      </c>
      <c r="U33" s="48" t="n">
        <v>12</v>
      </c>
    </row>
    <row r="34" customFormat="false" ht="15" hidden="false" customHeight="false" outlineLevel="0" collapsed="false">
      <c r="A34" s="48" t="s">
        <v>871</v>
      </c>
      <c r="B34" s="48" t="s">
        <v>1541</v>
      </c>
      <c r="C34" s="53" t="n">
        <v>170</v>
      </c>
      <c r="D34" s="53"/>
      <c r="E34" s="48" t="s">
        <v>821</v>
      </c>
      <c r="F34" s="54" t="n">
        <v>0.494</v>
      </c>
      <c r="G34" s="48" t="n">
        <v>23</v>
      </c>
      <c r="H34" s="48" t="n">
        <v>2</v>
      </c>
      <c r="I34" s="48" t="n">
        <v>3</v>
      </c>
      <c r="J34" s="48" t="n">
        <v>14</v>
      </c>
      <c r="K34" s="48" t="s">
        <v>1540</v>
      </c>
      <c r="L34" s="48" t="n">
        <v>9</v>
      </c>
      <c r="M34" s="48"/>
      <c r="N34" s="48" t="n">
        <v>38</v>
      </c>
      <c r="O34" s="48"/>
      <c r="P34" s="48" t="n">
        <v>21</v>
      </c>
      <c r="Q34" s="48" t="n">
        <v>2</v>
      </c>
      <c r="R34" s="48" t="n">
        <v>48</v>
      </c>
      <c r="S34" s="48" t="n">
        <v>4</v>
      </c>
      <c r="T34" s="48" t="n">
        <v>54</v>
      </c>
      <c r="U34" s="48" t="n">
        <v>10</v>
      </c>
    </row>
    <row r="35" customFormat="false" ht="15" hidden="false" customHeight="false" outlineLevel="0" collapsed="false">
      <c r="A35" s="48" t="s">
        <v>945</v>
      </c>
      <c r="B35" s="48" t="s">
        <v>1541</v>
      </c>
      <c r="C35" s="53" t="n">
        <v>161</v>
      </c>
      <c r="D35" s="53"/>
      <c r="E35" s="48" t="s">
        <v>939</v>
      </c>
      <c r="F35" s="54" t="n">
        <v>0.448</v>
      </c>
      <c r="G35" s="48" t="n">
        <v>27</v>
      </c>
      <c r="H35" s="48" t="n">
        <v>3</v>
      </c>
      <c r="I35" s="48" t="n">
        <v>7</v>
      </c>
      <c r="J35" s="48" t="n">
        <v>15</v>
      </c>
      <c r="K35" s="48" t="s">
        <v>1540</v>
      </c>
      <c r="L35" s="48" t="n">
        <v>87</v>
      </c>
      <c r="M35" s="48" t="n">
        <v>3</v>
      </c>
      <c r="N35" s="48" t="n">
        <v>90</v>
      </c>
      <c r="O35" s="48" t="n">
        <v>3</v>
      </c>
      <c r="P35" s="48" t="n">
        <v>14</v>
      </c>
      <c r="Q35" s="48"/>
      <c r="R35" s="48" t="n">
        <v>9</v>
      </c>
      <c r="S35" s="48" t="n">
        <v>9</v>
      </c>
      <c r="T35" s="48" t="n">
        <v>3</v>
      </c>
      <c r="U35" s="48" t="n">
        <v>20</v>
      </c>
    </row>
    <row r="36" customFormat="false" ht="15" hidden="false" customHeight="false" outlineLevel="0" collapsed="false">
      <c r="A36" s="48" t="s">
        <v>1547</v>
      </c>
      <c r="B36" s="48" t="s">
        <v>1539</v>
      </c>
      <c r="C36" s="53" t="n">
        <v>3901</v>
      </c>
      <c r="D36" s="53"/>
      <c r="E36" s="48"/>
      <c r="F36" s="54" t="n">
        <v>1</v>
      </c>
      <c r="G36" s="48" t="n">
        <v>1</v>
      </c>
      <c r="H36" s="48" t="n">
        <v>0</v>
      </c>
      <c r="I36" s="48" t="n">
        <v>0</v>
      </c>
      <c r="J36" s="48" t="n">
        <v>1</v>
      </c>
      <c r="K36" s="48" t="s">
        <v>1542</v>
      </c>
      <c r="L36" s="48"/>
      <c r="M36" s="48"/>
      <c r="N36" s="48"/>
      <c r="O36" s="48"/>
      <c r="P36" s="48"/>
      <c r="Q36" s="48" t="n">
        <v>2</v>
      </c>
      <c r="R36" s="48"/>
      <c r="S36" s="48"/>
      <c r="T36" s="48"/>
      <c r="U36" s="48"/>
    </row>
    <row r="37" customFormat="false" ht="15" hidden="false" customHeight="false" outlineLevel="0" collapsed="false">
      <c r="A37" s="48" t="s">
        <v>896</v>
      </c>
      <c r="B37" s="48" t="s">
        <v>1539</v>
      </c>
      <c r="C37" s="53" t="n">
        <v>170</v>
      </c>
      <c r="D37" s="53" t="n">
        <v>1100</v>
      </c>
      <c r="E37" s="48" t="s">
        <v>821</v>
      </c>
      <c r="F37" s="54" t="n">
        <v>0.416</v>
      </c>
      <c r="G37" s="48" t="n">
        <v>25</v>
      </c>
      <c r="H37" s="48" t="n">
        <v>4</v>
      </c>
      <c r="I37" s="48" t="n">
        <v>6</v>
      </c>
      <c r="J37" s="48" t="n">
        <v>11</v>
      </c>
      <c r="K37" s="48" t="s">
        <v>1540</v>
      </c>
      <c r="L37" s="48" t="n">
        <v>43</v>
      </c>
      <c r="M37" s="48" t="n">
        <v>4</v>
      </c>
      <c r="N37" s="48" t="n">
        <v>134</v>
      </c>
      <c r="O37" s="48" t="n">
        <v>10</v>
      </c>
      <c r="P37" s="48" t="n">
        <v>119</v>
      </c>
      <c r="Q37" s="48" t="n">
        <v>8</v>
      </c>
      <c r="R37" s="48" t="n">
        <v>65</v>
      </c>
      <c r="S37" s="48" t="n">
        <v>14</v>
      </c>
      <c r="T37" s="48" t="n">
        <v>1</v>
      </c>
      <c r="U37" s="48" t="n">
        <v>19</v>
      </c>
    </row>
    <row r="38" customFormat="false" ht="15" hidden="false" customHeight="false" outlineLevel="0" collapsed="false">
      <c r="A38" s="48" t="s">
        <v>879</v>
      </c>
      <c r="B38" s="48" t="s">
        <v>1541</v>
      </c>
      <c r="C38" s="53" t="n">
        <v>203</v>
      </c>
      <c r="D38" s="53" t="n">
        <v>1525</v>
      </c>
      <c r="E38" s="48" t="s">
        <v>821</v>
      </c>
      <c r="F38" s="54" t="n">
        <v>0.348</v>
      </c>
      <c r="G38" s="48" t="n">
        <v>26</v>
      </c>
      <c r="H38" s="48" t="n">
        <v>1</v>
      </c>
      <c r="I38" s="48" t="n">
        <v>4</v>
      </c>
      <c r="J38" s="48" t="n">
        <v>16</v>
      </c>
      <c r="K38" s="48" t="s">
        <v>1540</v>
      </c>
      <c r="L38" s="48" t="n">
        <v>45</v>
      </c>
      <c r="M38" s="48" t="n">
        <v>4</v>
      </c>
      <c r="N38" s="48" t="n">
        <v>84</v>
      </c>
      <c r="O38" s="48" t="n">
        <v>5</v>
      </c>
      <c r="P38" s="48" t="n">
        <v>55</v>
      </c>
      <c r="Q38" s="48"/>
      <c r="R38" s="48" t="n">
        <v>40</v>
      </c>
      <c r="S38" s="48" t="n">
        <v>17</v>
      </c>
      <c r="T38" s="48" t="n">
        <v>6</v>
      </c>
      <c r="U38" s="48" t="n">
        <v>26</v>
      </c>
    </row>
    <row r="39" customFormat="false" ht="15" hidden="false" customHeight="false" outlineLevel="0" collapsed="false">
      <c r="A39" s="48" t="s">
        <v>890</v>
      </c>
      <c r="B39" s="48" t="s">
        <v>1541</v>
      </c>
      <c r="C39" s="53" t="n">
        <v>279</v>
      </c>
      <c r="D39" s="53"/>
      <c r="E39" s="48" t="s">
        <v>939</v>
      </c>
      <c r="F39" s="54" t="n">
        <v>0.4</v>
      </c>
      <c r="G39" s="48" t="n">
        <v>26</v>
      </c>
      <c r="H39" s="48" t="n">
        <v>2</v>
      </c>
      <c r="I39" s="48" t="n">
        <v>3</v>
      </c>
      <c r="J39" s="48" t="n">
        <v>17</v>
      </c>
      <c r="K39" s="48" t="s">
        <v>1540</v>
      </c>
      <c r="L39" s="48" t="n">
        <v>88</v>
      </c>
      <c r="M39" s="48" t="n">
        <v>1</v>
      </c>
      <c r="N39" s="48" t="n">
        <v>102</v>
      </c>
      <c r="O39" s="48" t="n">
        <v>7</v>
      </c>
      <c r="P39" s="48" t="n">
        <v>96</v>
      </c>
      <c r="Q39" s="48" t="n">
        <v>27</v>
      </c>
      <c r="R39" s="48" t="n">
        <v>45</v>
      </c>
      <c r="S39" s="48" t="n">
        <v>3</v>
      </c>
      <c r="T39" s="48" t="n">
        <v>78</v>
      </c>
      <c r="U39" s="48" t="n">
        <v>12</v>
      </c>
    </row>
    <row r="40" customFormat="false" ht="15" hidden="false" customHeight="false" outlineLevel="0" collapsed="false">
      <c r="A40" s="48" t="s">
        <v>936</v>
      </c>
      <c r="B40" s="48" t="s">
        <v>1539</v>
      </c>
      <c r="C40" s="53" t="n">
        <v>217</v>
      </c>
      <c r="D40" s="53" t="n">
        <v>1879</v>
      </c>
      <c r="E40" s="48" t="s">
        <v>821</v>
      </c>
      <c r="F40" s="54" t="n">
        <v>0.408</v>
      </c>
      <c r="G40" s="48" t="n">
        <v>26</v>
      </c>
      <c r="H40" s="48" t="n">
        <v>5</v>
      </c>
      <c r="I40" s="48" t="n">
        <v>6</v>
      </c>
      <c r="J40" s="48" t="n">
        <v>11</v>
      </c>
      <c r="K40" s="48" t="s">
        <v>1540</v>
      </c>
      <c r="L40" s="48" t="n">
        <v>10</v>
      </c>
      <c r="M40" s="48"/>
      <c r="N40" s="48" t="n">
        <v>101</v>
      </c>
      <c r="O40" s="48" t="n">
        <v>2</v>
      </c>
      <c r="P40" s="48" t="n">
        <v>23</v>
      </c>
      <c r="Q40" s="48" t="n">
        <v>27</v>
      </c>
      <c r="R40" s="48" t="n">
        <v>39</v>
      </c>
      <c r="S40" s="48" t="n">
        <v>10</v>
      </c>
      <c r="T40" s="48" t="n">
        <v>2</v>
      </c>
      <c r="U40" s="48" t="n">
        <v>12</v>
      </c>
    </row>
    <row r="41" customFormat="false" ht="15" hidden="false" customHeight="false" outlineLevel="0" collapsed="false">
      <c r="A41" s="48" t="s">
        <v>892</v>
      </c>
      <c r="B41" s="48" t="s">
        <v>1546</v>
      </c>
      <c r="C41" s="53" t="n">
        <v>248</v>
      </c>
      <c r="D41" s="53" t="n">
        <v>2320</v>
      </c>
      <c r="E41" s="48" t="s">
        <v>939</v>
      </c>
      <c r="F41" s="54" t="n">
        <v>0.542</v>
      </c>
      <c r="G41" s="48" t="n">
        <v>25</v>
      </c>
      <c r="H41" s="48" t="n">
        <v>2</v>
      </c>
      <c r="I41" s="48" t="n">
        <v>3</v>
      </c>
      <c r="J41" s="48" t="n">
        <v>11</v>
      </c>
      <c r="K41" s="48" t="s">
        <v>1542</v>
      </c>
      <c r="L41" s="48" t="n">
        <v>42</v>
      </c>
      <c r="M41" s="48"/>
      <c r="N41" s="48" t="n">
        <v>131</v>
      </c>
      <c r="O41" s="48"/>
      <c r="P41" s="48" t="n">
        <v>87</v>
      </c>
      <c r="Q41" s="48" t="n">
        <v>5</v>
      </c>
      <c r="R41" s="48" t="n">
        <v>42</v>
      </c>
      <c r="S41" s="48" t="n">
        <v>18</v>
      </c>
      <c r="T41" s="48" t="n">
        <v>9</v>
      </c>
      <c r="U41" s="48" t="n">
        <v>4</v>
      </c>
    </row>
    <row r="42" customFormat="false" ht="15" hidden="false" customHeight="false" outlineLevel="0" collapsed="false">
      <c r="A42" s="48" t="s">
        <v>942</v>
      </c>
      <c r="B42" s="48" t="s">
        <v>1539</v>
      </c>
      <c r="C42" s="53" t="n">
        <v>136</v>
      </c>
      <c r="D42" s="53"/>
      <c r="E42" s="48" t="s">
        <v>821</v>
      </c>
      <c r="F42" s="54" t="n">
        <v>0.479</v>
      </c>
      <c r="G42" s="48" t="n">
        <v>25</v>
      </c>
      <c r="H42" s="48" t="n">
        <v>2</v>
      </c>
      <c r="I42" s="48" t="n">
        <v>7</v>
      </c>
      <c r="J42" s="48" t="n">
        <v>17</v>
      </c>
      <c r="K42" s="48" t="s">
        <v>1540</v>
      </c>
      <c r="L42" s="48" t="n">
        <v>9</v>
      </c>
      <c r="M42" s="48" t="n">
        <v>4</v>
      </c>
      <c r="N42" s="48" t="n">
        <v>130</v>
      </c>
      <c r="O42" s="48" t="n">
        <v>1</v>
      </c>
      <c r="P42" s="48" t="n">
        <v>92</v>
      </c>
      <c r="Q42" s="48" t="n">
        <v>1</v>
      </c>
      <c r="R42" s="48" t="n">
        <v>22</v>
      </c>
      <c r="S42" s="48" t="n">
        <v>4</v>
      </c>
      <c r="T42" s="48" t="n">
        <v>1</v>
      </c>
      <c r="U42" s="48" t="n">
        <v>17</v>
      </c>
    </row>
    <row r="43" customFormat="false" ht="15" hidden="false" customHeight="false" outlineLevel="0" collapsed="false">
      <c r="A43" s="48" t="s">
        <v>169</v>
      </c>
      <c r="B43" s="48" t="s">
        <v>1543</v>
      </c>
      <c r="C43" s="53" t="n">
        <v>463</v>
      </c>
      <c r="D43" s="53" t="n">
        <v>3837</v>
      </c>
      <c r="E43" s="48" t="s">
        <v>939</v>
      </c>
      <c r="F43" s="54" t="n">
        <v>0.718</v>
      </c>
      <c r="G43" s="48" t="n">
        <v>14</v>
      </c>
      <c r="H43" s="48" t="n">
        <v>0</v>
      </c>
      <c r="I43" s="48" t="n">
        <v>1</v>
      </c>
      <c r="J43" s="48" t="n">
        <v>6</v>
      </c>
      <c r="K43" s="48" t="s">
        <v>1542</v>
      </c>
      <c r="L43" s="48" t="n">
        <v>130</v>
      </c>
      <c r="M43" s="48"/>
      <c r="N43" s="48"/>
      <c r="O43" s="48"/>
      <c r="P43" s="48" t="n">
        <v>80</v>
      </c>
      <c r="Q43" s="48" t="n">
        <v>11</v>
      </c>
      <c r="R43" s="48" t="n">
        <v>104</v>
      </c>
      <c r="S43" s="48"/>
      <c r="T43" s="48" t="n">
        <v>11</v>
      </c>
      <c r="U43" s="48" t="n">
        <v>9</v>
      </c>
    </row>
    <row r="44" customFormat="false" ht="15" hidden="false" customHeight="false" outlineLevel="0" collapsed="false">
      <c r="A44" s="48" t="s">
        <v>849</v>
      </c>
      <c r="B44" s="48" t="s">
        <v>1541</v>
      </c>
      <c r="C44" s="53" t="n">
        <v>136</v>
      </c>
      <c r="D44" s="53" t="n">
        <v>1547</v>
      </c>
      <c r="E44" s="48" t="s">
        <v>821</v>
      </c>
      <c r="F44" s="54" t="n">
        <v>0.278</v>
      </c>
      <c r="G44" s="48" t="n">
        <v>26</v>
      </c>
      <c r="H44" s="48" t="n">
        <v>3</v>
      </c>
      <c r="I44" s="48" t="n">
        <v>6</v>
      </c>
      <c r="J44" s="48" t="n">
        <v>14</v>
      </c>
      <c r="K44" s="48" t="s">
        <v>1540</v>
      </c>
      <c r="L44" s="48" t="n">
        <v>39</v>
      </c>
      <c r="M44" s="48" t="n">
        <v>19</v>
      </c>
      <c r="N44" s="48" t="n">
        <v>127</v>
      </c>
      <c r="O44" s="48"/>
      <c r="P44" s="48" t="n">
        <v>48</v>
      </c>
      <c r="Q44" s="48" t="n">
        <v>3</v>
      </c>
      <c r="R44" s="48" t="n">
        <v>19</v>
      </c>
      <c r="S44" s="48" t="n">
        <v>9</v>
      </c>
      <c r="T44" s="48" t="n">
        <v>3</v>
      </c>
      <c r="U44" s="48" t="n">
        <v>27</v>
      </c>
    </row>
    <row r="45" customFormat="false" ht="15" hidden="false" customHeight="false" outlineLevel="0" collapsed="false">
      <c r="A45" s="48" t="s">
        <v>460</v>
      </c>
      <c r="B45" s="48" t="s">
        <v>1541</v>
      </c>
      <c r="C45" s="53" t="n">
        <v>209</v>
      </c>
      <c r="D45" s="53" t="n">
        <v>1668</v>
      </c>
      <c r="E45" s="48" t="s">
        <v>821</v>
      </c>
      <c r="F45" s="54" t="n">
        <v>0.31</v>
      </c>
      <c r="G45" s="48" t="n">
        <v>26</v>
      </c>
      <c r="H45" s="48" t="n">
        <v>3</v>
      </c>
      <c r="I45" s="48" t="n">
        <v>5</v>
      </c>
      <c r="J45" s="48" t="n">
        <v>15</v>
      </c>
      <c r="K45" s="48" t="s">
        <v>1540</v>
      </c>
      <c r="L45" s="48" t="n">
        <v>46</v>
      </c>
      <c r="M45" s="48" t="n">
        <v>10</v>
      </c>
      <c r="N45" s="48" t="n">
        <v>122</v>
      </c>
      <c r="O45" s="48"/>
      <c r="P45" s="48" t="n">
        <v>31</v>
      </c>
      <c r="Q45" s="48" t="n">
        <v>1</v>
      </c>
      <c r="R45" s="48" t="n">
        <v>39</v>
      </c>
      <c r="S45" s="48" t="n">
        <v>12</v>
      </c>
      <c r="T45" s="48" t="n">
        <v>5</v>
      </c>
      <c r="U45" s="48" t="n">
        <v>4</v>
      </c>
    </row>
    <row r="46" customFormat="false" ht="15" hidden="false" customHeight="false" outlineLevel="0" collapsed="false">
      <c r="A46" s="48" t="s">
        <v>848</v>
      </c>
      <c r="B46" s="48" t="s">
        <v>1541</v>
      </c>
      <c r="C46" s="53" t="n">
        <v>192</v>
      </c>
      <c r="D46" s="53"/>
      <c r="E46" s="48" t="s">
        <v>821</v>
      </c>
      <c r="F46" s="54" t="n">
        <v>0.441</v>
      </c>
      <c r="G46" s="48" t="n">
        <v>20</v>
      </c>
      <c r="H46" s="48" t="n">
        <v>2</v>
      </c>
      <c r="I46" s="48" t="n">
        <v>3</v>
      </c>
      <c r="J46" s="48" t="n">
        <v>8</v>
      </c>
      <c r="K46" s="48" t="s">
        <v>1540</v>
      </c>
      <c r="L46" s="48" t="n">
        <v>39</v>
      </c>
      <c r="M46" s="48"/>
      <c r="N46" s="48" t="n">
        <v>101</v>
      </c>
      <c r="O46" s="48"/>
      <c r="P46" s="48" t="n">
        <v>119</v>
      </c>
      <c r="Q46" s="48" t="n">
        <v>3</v>
      </c>
      <c r="R46" s="48" t="n">
        <v>43</v>
      </c>
      <c r="S46" s="48"/>
      <c r="T46" s="48" t="n">
        <v>8</v>
      </c>
      <c r="U46" s="48" t="n">
        <v>3</v>
      </c>
    </row>
    <row r="47" customFormat="false" ht="15" hidden="false" customHeight="false" outlineLevel="0" collapsed="false">
      <c r="A47" s="48" t="s">
        <v>837</v>
      </c>
      <c r="B47" s="48" t="s">
        <v>1541</v>
      </c>
      <c r="C47" s="53" t="n">
        <v>167</v>
      </c>
      <c r="D47" s="53" t="n">
        <v>1679</v>
      </c>
      <c r="E47" s="48" t="s">
        <v>821</v>
      </c>
      <c r="F47" s="54" t="n">
        <v>0.482</v>
      </c>
      <c r="G47" s="48" t="n">
        <v>21</v>
      </c>
      <c r="H47" s="48" t="n">
        <v>2</v>
      </c>
      <c r="I47" s="48" t="n">
        <v>3</v>
      </c>
      <c r="J47" s="48" t="n">
        <v>10</v>
      </c>
      <c r="K47" s="48" t="s">
        <v>1542</v>
      </c>
      <c r="L47" s="48" t="n">
        <v>10</v>
      </c>
      <c r="M47" s="48"/>
      <c r="N47" s="48" t="n">
        <v>63</v>
      </c>
      <c r="O47" s="48"/>
      <c r="P47" s="48" t="n">
        <v>69</v>
      </c>
      <c r="Q47" s="48" t="n">
        <v>25</v>
      </c>
      <c r="R47" s="48" t="n">
        <v>80</v>
      </c>
      <c r="S47" s="48" t="n">
        <v>4</v>
      </c>
      <c r="T47" s="48" t="n">
        <v>17</v>
      </c>
      <c r="U47" s="48" t="n">
        <v>7</v>
      </c>
    </row>
    <row r="48" customFormat="false" ht="15" hidden="false" customHeight="false" outlineLevel="0" collapsed="false">
      <c r="A48" s="48" t="s">
        <v>1548</v>
      </c>
      <c r="B48" s="48" t="s">
        <v>1539</v>
      </c>
      <c r="C48" s="53" t="n">
        <v>220</v>
      </c>
      <c r="D48" s="53" t="n">
        <v>977</v>
      </c>
      <c r="E48" s="48" t="s">
        <v>860</v>
      </c>
      <c r="F48" s="54" t="n">
        <v>0.34</v>
      </c>
      <c r="G48" s="48" t="n">
        <v>18</v>
      </c>
      <c r="H48" s="48" t="n">
        <v>2</v>
      </c>
      <c r="I48" s="48" t="n">
        <v>2</v>
      </c>
      <c r="J48" s="48" t="n">
        <v>14</v>
      </c>
      <c r="K48" s="48" t="s">
        <v>1540</v>
      </c>
      <c r="L48" s="48" t="n">
        <v>19</v>
      </c>
      <c r="M48" s="48" t="n">
        <v>1</v>
      </c>
      <c r="N48" s="48" t="n">
        <v>132</v>
      </c>
      <c r="O48" s="48"/>
      <c r="P48" s="48" t="n">
        <v>85</v>
      </c>
      <c r="Q48" s="48" t="n">
        <v>6</v>
      </c>
      <c r="R48" s="48" t="n">
        <v>45</v>
      </c>
      <c r="S48" s="48" t="n">
        <v>2</v>
      </c>
      <c r="T48" s="48" t="n">
        <v>1</v>
      </c>
      <c r="U48" s="48" t="n">
        <v>8</v>
      </c>
    </row>
    <row r="49" customFormat="false" ht="15" hidden="false" customHeight="false" outlineLevel="0" collapsed="false">
      <c r="A49" s="48" t="s">
        <v>1549</v>
      </c>
      <c r="B49" s="48" t="s">
        <v>1539</v>
      </c>
      <c r="C49" s="53" t="n">
        <v>1918</v>
      </c>
      <c r="D49" s="53"/>
      <c r="E49" s="48" t="s">
        <v>860</v>
      </c>
      <c r="F49" s="54" t="n">
        <v>0.943</v>
      </c>
      <c r="G49" s="48" t="n">
        <v>7</v>
      </c>
      <c r="H49" s="48" t="n">
        <v>0</v>
      </c>
      <c r="I49" s="48" t="n">
        <v>0</v>
      </c>
      <c r="J49" s="48" t="n">
        <v>6</v>
      </c>
      <c r="K49" s="48" t="s">
        <v>1542</v>
      </c>
      <c r="L49" s="48"/>
      <c r="M49" s="48"/>
      <c r="N49" s="48"/>
      <c r="O49" s="48"/>
      <c r="P49" s="48" t="n">
        <v>109</v>
      </c>
      <c r="Q49" s="48" t="n">
        <v>14</v>
      </c>
      <c r="R49" s="48"/>
      <c r="S49" s="48" t="n">
        <v>18</v>
      </c>
      <c r="T49" s="48" t="n">
        <v>41</v>
      </c>
      <c r="U49" s="48" t="n">
        <v>21</v>
      </c>
    </row>
    <row r="50" customFormat="false" ht="15" hidden="false" customHeight="false" outlineLevel="0" collapsed="false">
      <c r="A50" s="48" t="s">
        <v>844</v>
      </c>
      <c r="B50" s="48" t="s">
        <v>1543</v>
      </c>
      <c r="C50" s="53" t="n">
        <v>122</v>
      </c>
      <c r="D50" s="53" t="n">
        <v>1478</v>
      </c>
      <c r="E50" s="48" t="s">
        <v>821</v>
      </c>
      <c r="F50" s="54" t="n">
        <v>0.443</v>
      </c>
      <c r="G50" s="48" t="n">
        <v>24</v>
      </c>
      <c r="H50" s="48" t="n">
        <v>3</v>
      </c>
      <c r="I50" s="48" t="n">
        <v>5</v>
      </c>
      <c r="J50" s="48" t="n">
        <v>15</v>
      </c>
      <c r="K50" s="48" t="s">
        <v>1542</v>
      </c>
      <c r="L50" s="48" t="n">
        <v>5</v>
      </c>
      <c r="M50" s="48" t="n">
        <v>1</v>
      </c>
      <c r="N50" s="48" t="n">
        <v>74</v>
      </c>
      <c r="O50" s="48"/>
      <c r="P50" s="48" t="n">
        <v>19</v>
      </c>
      <c r="Q50" s="48" t="n">
        <v>7</v>
      </c>
      <c r="R50" s="48" t="n">
        <v>9</v>
      </c>
      <c r="S50" s="48" t="n">
        <v>9</v>
      </c>
      <c r="T50" s="48" t="n">
        <v>1</v>
      </c>
      <c r="U50" s="48" t="n">
        <v>11</v>
      </c>
    </row>
    <row r="51" customFormat="false" ht="15" hidden="false" customHeight="false" outlineLevel="0" collapsed="false">
      <c r="A51" s="48" t="s">
        <v>852</v>
      </c>
      <c r="B51" s="48" t="s">
        <v>1539</v>
      </c>
      <c r="C51" s="53" t="n">
        <v>147</v>
      </c>
      <c r="D51" s="53"/>
      <c r="E51" s="48" t="s">
        <v>821</v>
      </c>
      <c r="F51" s="54" t="n">
        <v>0.499</v>
      </c>
      <c r="G51" s="48" t="n">
        <v>18</v>
      </c>
      <c r="H51" s="48" t="n">
        <v>1</v>
      </c>
      <c r="I51" s="48" t="n">
        <v>3</v>
      </c>
      <c r="J51" s="48" t="n">
        <v>10</v>
      </c>
      <c r="K51" s="48" t="s">
        <v>1540</v>
      </c>
      <c r="L51" s="48" t="n">
        <v>30</v>
      </c>
      <c r="M51" s="48" t="n">
        <v>1</v>
      </c>
      <c r="N51" s="48" t="n">
        <v>54</v>
      </c>
      <c r="O51" s="48"/>
      <c r="P51" s="48" t="n">
        <v>112</v>
      </c>
      <c r="Q51" s="48"/>
      <c r="R51" s="48" t="n">
        <v>52</v>
      </c>
      <c r="S51" s="48" t="n">
        <v>21</v>
      </c>
      <c r="T51" s="48" t="n">
        <v>15</v>
      </c>
      <c r="U51" s="48" t="n">
        <v>19</v>
      </c>
    </row>
    <row r="52" customFormat="false" ht="15" hidden="false" customHeight="false" outlineLevel="0" collapsed="false">
      <c r="A52" s="48" t="s">
        <v>1550</v>
      </c>
      <c r="B52" s="48" t="s">
        <v>1545</v>
      </c>
      <c r="C52" s="53" t="n">
        <v>9402</v>
      </c>
      <c r="D52" s="53"/>
      <c r="E52" s="48" t="s">
        <v>860</v>
      </c>
      <c r="F52" s="54" t="n">
        <v>0.969</v>
      </c>
      <c r="G52" s="48" t="n">
        <v>6</v>
      </c>
      <c r="H52" s="48" t="n">
        <v>0</v>
      </c>
      <c r="I52" s="48" t="n">
        <v>0</v>
      </c>
      <c r="J52" s="48" t="n">
        <v>3</v>
      </c>
      <c r="K52" s="48" t="s">
        <v>628</v>
      </c>
      <c r="L52" s="48"/>
      <c r="M52" s="48"/>
      <c r="N52" s="48"/>
      <c r="O52" s="48"/>
      <c r="P52" s="48"/>
      <c r="Q52" s="48" t="n">
        <v>27</v>
      </c>
      <c r="R52" s="48"/>
      <c r="S52" s="48"/>
      <c r="T52" s="48" t="n">
        <v>65</v>
      </c>
      <c r="U52" s="48"/>
    </row>
    <row r="53" customFormat="false" ht="15" hidden="false" customHeight="false" outlineLevel="0" collapsed="false">
      <c r="A53" s="48" t="s">
        <v>464</v>
      </c>
      <c r="B53" s="48" t="s">
        <v>1541</v>
      </c>
      <c r="C53" s="53" t="n">
        <v>226</v>
      </c>
      <c r="D53" s="53" t="n">
        <v>1615</v>
      </c>
      <c r="E53" s="48" t="s">
        <v>821</v>
      </c>
      <c r="F53" s="54" t="n">
        <v>0.415</v>
      </c>
      <c r="G53" s="48" t="n">
        <v>26</v>
      </c>
      <c r="H53" s="48" t="n">
        <v>3</v>
      </c>
      <c r="I53" s="48" t="n">
        <v>5</v>
      </c>
      <c r="J53" s="48" t="n">
        <v>15</v>
      </c>
      <c r="K53" s="48" t="s">
        <v>1540</v>
      </c>
      <c r="L53" s="48" t="n">
        <v>60</v>
      </c>
      <c r="M53" s="48" t="n">
        <v>2</v>
      </c>
      <c r="N53" s="48" t="n">
        <v>134</v>
      </c>
      <c r="O53" s="48"/>
      <c r="P53" s="48" t="n">
        <v>82</v>
      </c>
      <c r="Q53" s="48" t="n">
        <v>15</v>
      </c>
      <c r="R53" s="48" t="n">
        <v>40</v>
      </c>
      <c r="S53" s="48" t="n">
        <v>25</v>
      </c>
      <c r="T53" s="48" t="n">
        <v>6</v>
      </c>
      <c r="U53" s="48" t="n">
        <v>19</v>
      </c>
    </row>
    <row r="54" customFormat="false" ht="15" hidden="false" customHeight="false" outlineLevel="0" collapsed="false">
      <c r="A54" s="48" t="s">
        <v>474</v>
      </c>
      <c r="B54" s="48" t="s">
        <v>1546</v>
      </c>
      <c r="C54" s="53" t="n">
        <v>239</v>
      </c>
      <c r="D54" s="53" t="n">
        <v>1327</v>
      </c>
      <c r="E54" s="48" t="s">
        <v>860</v>
      </c>
      <c r="F54" s="54" t="n">
        <v>0.57</v>
      </c>
      <c r="G54" s="48" t="n">
        <v>21</v>
      </c>
      <c r="H54" s="48" t="n">
        <v>1</v>
      </c>
      <c r="I54" s="48" t="n">
        <v>2</v>
      </c>
      <c r="J54" s="48" t="n">
        <v>10</v>
      </c>
      <c r="K54" s="48" t="s">
        <v>1542</v>
      </c>
      <c r="L54" s="48" t="n">
        <v>74</v>
      </c>
      <c r="M54" s="48" t="n">
        <v>10</v>
      </c>
      <c r="N54" s="48"/>
      <c r="O54" s="48"/>
      <c r="P54" s="48" t="n">
        <v>60</v>
      </c>
      <c r="Q54" s="48" t="n">
        <v>1</v>
      </c>
      <c r="R54" s="48" t="n">
        <v>37</v>
      </c>
      <c r="S54" s="48" t="n">
        <v>11</v>
      </c>
      <c r="T54" s="48" t="n">
        <v>9</v>
      </c>
      <c r="U54" s="48" t="n">
        <v>29</v>
      </c>
    </row>
    <row r="55" customFormat="false" ht="15" hidden="false" customHeight="false" outlineLevel="0" collapsed="false">
      <c r="A55" s="48" t="s">
        <v>868</v>
      </c>
      <c r="B55" s="48" t="s">
        <v>1541</v>
      </c>
      <c r="C55" s="53" t="n">
        <v>139</v>
      </c>
      <c r="D55" s="53" t="n">
        <v>576</v>
      </c>
      <c r="E55" s="48" t="s">
        <v>821</v>
      </c>
      <c r="F55" s="54" t="n">
        <v>0.269</v>
      </c>
      <c r="G55" s="48" t="n">
        <v>26</v>
      </c>
      <c r="H55" s="48" t="n">
        <v>2</v>
      </c>
      <c r="I55" s="48" t="n">
        <v>4</v>
      </c>
      <c r="J55" s="48" t="n">
        <v>16</v>
      </c>
      <c r="K55" s="48" t="s">
        <v>1540</v>
      </c>
      <c r="L55" s="48" t="n">
        <v>23</v>
      </c>
      <c r="M55" s="48" t="n">
        <v>3</v>
      </c>
      <c r="N55" s="48" t="n">
        <v>51</v>
      </c>
      <c r="O55" s="48"/>
      <c r="P55" s="48" t="n">
        <v>92</v>
      </c>
      <c r="Q55" s="48" t="n">
        <v>1</v>
      </c>
      <c r="R55" s="48" t="n">
        <v>32</v>
      </c>
      <c r="S55" s="48" t="n">
        <v>7</v>
      </c>
      <c r="T55" s="48" t="n">
        <v>3</v>
      </c>
      <c r="U55" s="48" t="n">
        <v>23</v>
      </c>
    </row>
    <row r="56" customFormat="false" ht="15" hidden="false" customHeight="false" outlineLevel="0" collapsed="false">
      <c r="A56" s="48" t="s">
        <v>920</v>
      </c>
      <c r="B56" s="48" t="s">
        <v>1541</v>
      </c>
      <c r="C56" s="53" t="n">
        <v>178</v>
      </c>
      <c r="D56" s="53" t="n">
        <v>2034</v>
      </c>
      <c r="E56" s="48" t="s">
        <v>821</v>
      </c>
      <c r="F56" s="54" t="n">
        <v>0.436</v>
      </c>
      <c r="G56" s="48" t="n">
        <v>26</v>
      </c>
      <c r="H56" s="48" t="n">
        <v>3</v>
      </c>
      <c r="I56" s="48" t="n">
        <v>6</v>
      </c>
      <c r="J56" s="48" t="n">
        <v>12</v>
      </c>
      <c r="K56" s="48" t="s">
        <v>1540</v>
      </c>
      <c r="L56" s="48" t="n">
        <v>59</v>
      </c>
      <c r="M56" s="48"/>
      <c r="N56" s="48" t="n">
        <v>118</v>
      </c>
      <c r="O56" s="48" t="n">
        <v>7</v>
      </c>
      <c r="P56" s="48" t="n">
        <v>107</v>
      </c>
      <c r="Q56" s="48"/>
      <c r="R56" s="48" t="n">
        <v>10</v>
      </c>
      <c r="S56" s="48" t="n">
        <v>10</v>
      </c>
      <c r="T56" s="48" t="n">
        <v>8</v>
      </c>
      <c r="U56" s="48" t="n">
        <v>8</v>
      </c>
    </row>
    <row r="57" customFormat="false" ht="15" hidden="false" customHeight="false" outlineLevel="0" collapsed="false">
      <c r="A57" s="48" t="s">
        <v>164</v>
      </c>
      <c r="B57" s="48" t="s">
        <v>1539</v>
      </c>
      <c r="C57" s="53" t="n">
        <v>494</v>
      </c>
      <c r="D57" s="53" t="n">
        <v>4862</v>
      </c>
      <c r="E57" s="48" t="s">
        <v>860</v>
      </c>
      <c r="F57" s="54" t="n">
        <v>0.406</v>
      </c>
      <c r="G57" s="48" t="n">
        <v>18</v>
      </c>
      <c r="H57" s="48" t="n">
        <v>0</v>
      </c>
      <c r="I57" s="48" t="n">
        <v>1</v>
      </c>
      <c r="J57" s="48" t="n">
        <v>7</v>
      </c>
      <c r="K57" s="48" t="s">
        <v>1540</v>
      </c>
      <c r="L57" s="48"/>
      <c r="M57" s="48"/>
      <c r="N57" s="48"/>
      <c r="O57" s="48"/>
      <c r="P57" s="48" t="n">
        <v>59</v>
      </c>
      <c r="Q57" s="48" t="n">
        <v>11</v>
      </c>
      <c r="R57" s="48" t="n">
        <v>74</v>
      </c>
      <c r="S57" s="48" t="n">
        <v>8</v>
      </c>
      <c r="T57" s="48" t="n">
        <v>14</v>
      </c>
      <c r="U57" s="48" t="n">
        <v>7</v>
      </c>
    </row>
    <row r="58" customFormat="false" ht="15" hidden="false" customHeight="false" outlineLevel="0" collapsed="false">
      <c r="A58" s="48" t="s">
        <v>831</v>
      </c>
      <c r="B58" s="48" t="s">
        <v>1541</v>
      </c>
      <c r="C58" s="53" t="n">
        <v>150</v>
      </c>
      <c r="D58" s="53" t="n">
        <v>1007</v>
      </c>
      <c r="E58" s="48" t="s">
        <v>821</v>
      </c>
      <c r="F58" s="54" t="n">
        <v>0.428</v>
      </c>
      <c r="G58" s="48" t="n">
        <v>23</v>
      </c>
      <c r="H58" s="48" t="n">
        <v>0</v>
      </c>
      <c r="I58" s="48" t="n">
        <v>2</v>
      </c>
      <c r="J58" s="48" t="n">
        <v>12</v>
      </c>
      <c r="K58" s="48" t="s">
        <v>1540</v>
      </c>
      <c r="L58" s="48" t="n">
        <v>3</v>
      </c>
      <c r="M58" s="48" t="n">
        <v>8</v>
      </c>
      <c r="N58" s="48" t="n">
        <v>18</v>
      </c>
      <c r="O58" s="48"/>
      <c r="P58" s="48" t="n">
        <v>45</v>
      </c>
      <c r="Q58" s="48"/>
      <c r="R58" s="48" t="n">
        <v>52</v>
      </c>
      <c r="S58" s="48" t="n">
        <v>12</v>
      </c>
      <c r="T58" s="48" t="n">
        <v>49</v>
      </c>
      <c r="U58" s="48" t="n">
        <v>10</v>
      </c>
    </row>
    <row r="59" customFormat="false" ht="15" hidden="false" customHeight="false" outlineLevel="0" collapsed="false">
      <c r="A59" s="48" t="s">
        <v>480</v>
      </c>
      <c r="B59" s="48" t="s">
        <v>1543</v>
      </c>
      <c r="C59" s="53" t="n">
        <v>150</v>
      </c>
      <c r="D59" s="53" t="n">
        <v>2418</v>
      </c>
      <c r="E59" s="48" t="s">
        <v>821</v>
      </c>
      <c r="F59" s="54" t="n">
        <v>0.418</v>
      </c>
      <c r="G59" s="48" t="n">
        <v>26</v>
      </c>
      <c r="H59" s="48" t="n">
        <v>2</v>
      </c>
      <c r="I59" s="48" t="n">
        <v>7</v>
      </c>
      <c r="J59" s="48" t="n">
        <v>16</v>
      </c>
      <c r="K59" s="48" t="s">
        <v>1540</v>
      </c>
      <c r="L59" s="48" t="n">
        <v>29</v>
      </c>
      <c r="M59" s="48" t="n">
        <v>4</v>
      </c>
      <c r="N59" s="48" t="n">
        <v>108</v>
      </c>
      <c r="O59" s="48" t="n">
        <v>7</v>
      </c>
      <c r="P59" s="48" t="n">
        <v>11</v>
      </c>
      <c r="Q59" s="48" t="n">
        <v>2</v>
      </c>
      <c r="R59" s="48" t="n">
        <v>69</v>
      </c>
      <c r="S59" s="48" t="n">
        <v>7</v>
      </c>
      <c r="T59" s="48" t="n">
        <v>2</v>
      </c>
      <c r="U59" s="48" t="n">
        <v>23</v>
      </c>
    </row>
    <row r="60" customFormat="false" ht="15" hidden="false" customHeight="false" outlineLevel="0" collapsed="false">
      <c r="A60" s="48" t="s">
        <v>1551</v>
      </c>
      <c r="B60" s="48" t="s">
        <v>1545</v>
      </c>
      <c r="C60" s="53" t="n">
        <v>1259</v>
      </c>
      <c r="D60" s="53"/>
      <c r="E60" s="48" t="s">
        <v>860</v>
      </c>
      <c r="F60" s="54" t="n">
        <v>0.921</v>
      </c>
      <c r="G60" s="48" t="n">
        <v>9</v>
      </c>
      <c r="H60" s="48" t="n">
        <v>0</v>
      </c>
      <c r="I60" s="48" t="n">
        <v>0</v>
      </c>
      <c r="J60" s="48" t="n">
        <v>4</v>
      </c>
      <c r="K60" s="48" t="s">
        <v>1540</v>
      </c>
      <c r="L60" s="48"/>
      <c r="M60" s="48"/>
      <c r="N60" s="48"/>
      <c r="O60" s="48"/>
      <c r="P60" s="48" t="n">
        <v>89</v>
      </c>
      <c r="Q60" s="48"/>
      <c r="R60" s="48"/>
      <c r="S60" s="48"/>
      <c r="T60" s="48" t="n">
        <v>112</v>
      </c>
      <c r="U60" s="48" t="n">
        <v>15</v>
      </c>
    </row>
    <row r="61" customFormat="false" ht="15" hidden="false" customHeight="false" outlineLevel="0" collapsed="false">
      <c r="A61" s="48" t="s">
        <v>477</v>
      </c>
      <c r="B61" s="48" t="s">
        <v>1539</v>
      </c>
      <c r="C61" s="53" t="n">
        <v>178</v>
      </c>
      <c r="D61" s="53" t="n">
        <v>1626</v>
      </c>
      <c r="E61" s="48" t="s">
        <v>821</v>
      </c>
      <c r="F61" s="54" t="n">
        <v>0.463</v>
      </c>
      <c r="G61" s="48" t="n">
        <v>26</v>
      </c>
      <c r="H61" s="48" t="n">
        <v>2</v>
      </c>
      <c r="I61" s="48" t="n">
        <v>4</v>
      </c>
      <c r="J61" s="48" t="n">
        <v>12</v>
      </c>
      <c r="K61" s="48" t="s">
        <v>1540</v>
      </c>
      <c r="L61" s="48" t="n">
        <v>40</v>
      </c>
      <c r="M61" s="48" t="n">
        <v>4</v>
      </c>
      <c r="N61" s="48"/>
      <c r="O61" s="48" t="n">
        <v>2</v>
      </c>
      <c r="P61" s="48" t="n">
        <v>75</v>
      </c>
      <c r="Q61" s="48"/>
      <c r="R61" s="48" t="n">
        <v>72</v>
      </c>
      <c r="S61" s="48" t="n">
        <v>11</v>
      </c>
      <c r="T61" s="48" t="n">
        <v>9</v>
      </c>
      <c r="U61" s="48" t="n">
        <v>11</v>
      </c>
    </row>
    <row r="62" customFormat="false" ht="15" hidden="false" customHeight="false" outlineLevel="0" collapsed="false">
      <c r="A62" s="48" t="s">
        <v>462</v>
      </c>
      <c r="B62" s="48" t="s">
        <v>1541</v>
      </c>
      <c r="C62" s="53" t="n">
        <v>173</v>
      </c>
      <c r="D62" s="53" t="n">
        <v>1102</v>
      </c>
      <c r="E62" s="48" t="s">
        <v>821</v>
      </c>
      <c r="F62" s="54" t="n">
        <v>0.36</v>
      </c>
      <c r="G62" s="48" t="n">
        <v>25</v>
      </c>
      <c r="H62" s="48" t="n">
        <v>2</v>
      </c>
      <c r="I62" s="48" t="n">
        <v>3</v>
      </c>
      <c r="J62" s="48" t="n">
        <v>17</v>
      </c>
      <c r="K62" s="48" t="s">
        <v>1540</v>
      </c>
      <c r="L62" s="48" t="n">
        <v>35</v>
      </c>
      <c r="M62" s="48" t="n">
        <v>3</v>
      </c>
      <c r="N62" s="48" t="n">
        <v>122</v>
      </c>
      <c r="O62" s="48" t="n">
        <v>8</v>
      </c>
      <c r="P62" s="48" t="n">
        <v>122</v>
      </c>
      <c r="Q62" s="48" t="n">
        <v>12</v>
      </c>
      <c r="R62" s="48" t="n">
        <v>21</v>
      </c>
      <c r="S62" s="48" t="n">
        <v>12</v>
      </c>
      <c r="T62" s="48" t="n">
        <v>2</v>
      </c>
      <c r="U62" s="48" t="n">
        <v>12</v>
      </c>
    </row>
    <row r="63" customFormat="false" ht="15" hidden="false" customHeight="false" outlineLevel="0" collapsed="false">
      <c r="A63" s="48" t="s">
        <v>1061</v>
      </c>
      <c r="B63" s="48" t="s">
        <v>1545</v>
      </c>
      <c r="C63" s="53" t="n">
        <v>503</v>
      </c>
      <c r="D63" s="53" t="n">
        <v>4399</v>
      </c>
      <c r="E63" s="48" t="s">
        <v>939</v>
      </c>
      <c r="F63" s="54" t="n">
        <v>0.608</v>
      </c>
      <c r="G63" s="48" t="n">
        <v>19</v>
      </c>
      <c r="H63" s="48" t="n">
        <v>0</v>
      </c>
      <c r="I63" s="48" t="n">
        <v>0</v>
      </c>
      <c r="J63" s="48" t="n">
        <v>5</v>
      </c>
      <c r="K63" s="48" t="s">
        <v>1540</v>
      </c>
      <c r="L63" s="48" t="n">
        <v>124</v>
      </c>
      <c r="M63" s="48"/>
      <c r="N63" s="48"/>
      <c r="O63" s="48"/>
      <c r="P63" s="48" t="n">
        <v>43</v>
      </c>
      <c r="Q63" s="48" t="n">
        <v>9</v>
      </c>
      <c r="R63" s="48"/>
      <c r="S63" s="48"/>
      <c r="T63" s="48" t="n">
        <v>41</v>
      </c>
      <c r="U63" s="48" t="n">
        <v>9</v>
      </c>
    </row>
    <row r="64" customFormat="false" ht="15" hidden="false" customHeight="false" outlineLevel="0" collapsed="false">
      <c r="A64" s="48" t="s">
        <v>1552</v>
      </c>
      <c r="B64" s="48" t="s">
        <v>1539</v>
      </c>
      <c r="C64" s="53" t="n">
        <v>103</v>
      </c>
      <c r="D64" s="53" t="n">
        <v>1130</v>
      </c>
      <c r="E64" s="48" t="s">
        <v>821</v>
      </c>
      <c r="F64" s="54" t="n">
        <v>0.445</v>
      </c>
      <c r="G64" s="48" t="n">
        <v>27</v>
      </c>
      <c r="H64" s="48" t="n">
        <v>4</v>
      </c>
      <c r="I64" s="48" t="n">
        <v>5</v>
      </c>
      <c r="J64" s="48" t="n">
        <v>13</v>
      </c>
      <c r="K64" s="48" t="s">
        <v>1540</v>
      </c>
      <c r="L64" s="48" t="n">
        <v>17</v>
      </c>
      <c r="M64" s="48" t="n">
        <v>3</v>
      </c>
      <c r="N64" s="48" t="n">
        <v>98</v>
      </c>
      <c r="O64" s="48" t="n">
        <v>2</v>
      </c>
      <c r="P64" s="48" t="n">
        <v>54</v>
      </c>
      <c r="Q64" s="48" t="n">
        <v>12</v>
      </c>
      <c r="R64" s="48" t="n">
        <v>20</v>
      </c>
      <c r="S64" s="48" t="n">
        <v>12</v>
      </c>
      <c r="T64" s="48" t="n">
        <v>2</v>
      </c>
      <c r="U64" s="48" t="n">
        <v>12</v>
      </c>
    </row>
    <row r="65" customFormat="false" ht="15" hidden="false" customHeight="false" outlineLevel="0" collapsed="false">
      <c r="A65" s="48" t="s">
        <v>833</v>
      </c>
      <c r="B65" s="48" t="s">
        <v>1541</v>
      </c>
      <c r="C65" s="53" t="n">
        <v>231</v>
      </c>
      <c r="D65" s="53" t="n">
        <v>1281</v>
      </c>
      <c r="E65" s="48" t="s">
        <v>821</v>
      </c>
      <c r="F65" s="54" t="n">
        <v>0.629</v>
      </c>
      <c r="G65" s="48" t="n">
        <v>16</v>
      </c>
      <c r="H65" s="48" t="n">
        <v>0</v>
      </c>
      <c r="I65" s="48" t="n">
        <v>0</v>
      </c>
      <c r="J65" s="48" t="n">
        <v>10</v>
      </c>
      <c r="K65" s="48" t="s">
        <v>1542</v>
      </c>
      <c r="L65" s="48" t="n">
        <v>13</v>
      </c>
      <c r="M65" s="48"/>
      <c r="N65" s="48" t="n">
        <v>134</v>
      </c>
      <c r="O65" s="48"/>
      <c r="P65" s="48" t="n">
        <v>131</v>
      </c>
      <c r="Q65" s="48" t="n">
        <v>3</v>
      </c>
      <c r="R65" s="48" t="n">
        <v>27</v>
      </c>
      <c r="S65" s="48" t="n">
        <v>2</v>
      </c>
      <c r="T65" s="48" t="n">
        <v>58</v>
      </c>
      <c r="U65" s="48" t="n">
        <v>9</v>
      </c>
    </row>
    <row r="66" customFormat="false" ht="15" hidden="false" customHeight="false" outlineLevel="0" collapsed="false">
      <c r="A66" s="48" t="s">
        <v>874</v>
      </c>
      <c r="B66" s="48" t="s">
        <v>1539</v>
      </c>
      <c r="C66" s="53" t="n">
        <v>161</v>
      </c>
      <c r="D66" s="53" t="n">
        <v>1247</v>
      </c>
      <c r="E66" s="48" t="s">
        <v>821</v>
      </c>
      <c r="F66" s="54" t="n">
        <v>0.423</v>
      </c>
      <c r="G66" s="48" t="n">
        <v>23</v>
      </c>
      <c r="H66" s="48" t="n">
        <v>1</v>
      </c>
      <c r="I66" s="48" t="n">
        <v>4</v>
      </c>
      <c r="J66" s="48" t="n">
        <v>11</v>
      </c>
      <c r="K66" s="48" t="s">
        <v>1542</v>
      </c>
      <c r="L66" s="48" t="n">
        <v>4</v>
      </c>
      <c r="M66" s="48"/>
      <c r="N66" s="48" t="n">
        <v>19</v>
      </c>
      <c r="O66" s="48"/>
      <c r="P66" s="48" t="n">
        <v>25</v>
      </c>
      <c r="Q66" s="48" t="n">
        <v>8</v>
      </c>
      <c r="R66" s="48" t="n">
        <v>18</v>
      </c>
      <c r="S66" s="48" t="n">
        <v>15</v>
      </c>
      <c r="T66" s="48" t="n">
        <v>1</v>
      </c>
      <c r="U66" s="48" t="n">
        <v>22</v>
      </c>
    </row>
    <row r="67" customFormat="false" ht="15" hidden="false" customHeight="false" outlineLevel="0" collapsed="false">
      <c r="A67" s="48" t="s">
        <v>1553</v>
      </c>
      <c r="B67" s="48" t="s">
        <v>1543</v>
      </c>
      <c r="C67" s="53" t="n">
        <v>122</v>
      </c>
      <c r="D67" s="53"/>
      <c r="E67" s="48" t="s">
        <v>821</v>
      </c>
      <c r="F67" s="54" t="n">
        <v>0.395</v>
      </c>
      <c r="G67" s="48" t="n">
        <v>26</v>
      </c>
      <c r="H67" s="48" t="n">
        <v>2</v>
      </c>
      <c r="I67" s="48" t="n">
        <v>3</v>
      </c>
      <c r="J67" s="48" t="n">
        <v>17</v>
      </c>
      <c r="K67" s="48" t="s">
        <v>1540</v>
      </c>
      <c r="L67" s="48" t="n">
        <v>18</v>
      </c>
      <c r="M67" s="48"/>
      <c r="N67" s="48" t="n">
        <v>58</v>
      </c>
      <c r="O67" s="48"/>
      <c r="P67" s="48" t="n">
        <v>86</v>
      </c>
      <c r="Q67" s="48" t="n">
        <v>18</v>
      </c>
      <c r="R67" s="48" t="n">
        <v>60</v>
      </c>
      <c r="S67" s="48" t="n">
        <v>11</v>
      </c>
      <c r="T67" s="48" t="n">
        <v>1</v>
      </c>
      <c r="U67" s="48" t="n">
        <v>3</v>
      </c>
    </row>
    <row r="68" customFormat="false" ht="15" hidden="false" customHeight="false" outlineLevel="0" collapsed="false">
      <c r="A68" s="48" t="s">
        <v>855</v>
      </c>
      <c r="B68" s="48" t="s">
        <v>1543</v>
      </c>
      <c r="C68" s="53" t="n">
        <v>74</v>
      </c>
      <c r="D68" s="53" t="n">
        <v>902</v>
      </c>
      <c r="E68" s="48" t="s">
        <v>821</v>
      </c>
      <c r="F68" s="54" t="n">
        <v>0.306</v>
      </c>
      <c r="G68" s="48" t="n">
        <v>25</v>
      </c>
      <c r="H68" s="48" t="n">
        <v>3</v>
      </c>
      <c r="I68" s="48" t="n">
        <v>4</v>
      </c>
      <c r="J68" s="48" t="n">
        <v>16</v>
      </c>
      <c r="K68" s="48" t="s">
        <v>1540</v>
      </c>
      <c r="L68" s="48" t="n">
        <v>19</v>
      </c>
      <c r="M68" s="48" t="n">
        <v>10</v>
      </c>
      <c r="N68" s="48" t="n">
        <v>91</v>
      </c>
      <c r="O68" s="48" t="n">
        <v>3</v>
      </c>
      <c r="P68" s="48" t="n">
        <v>55</v>
      </c>
      <c r="Q68" s="48" t="n">
        <v>16</v>
      </c>
      <c r="R68" s="48" t="n">
        <v>23</v>
      </c>
      <c r="S68" s="48" t="n">
        <v>7</v>
      </c>
      <c r="T68" s="48" t="n">
        <v>1</v>
      </c>
      <c r="U68" s="48" t="n">
        <v>11</v>
      </c>
    </row>
    <row r="69" customFormat="false" ht="15" hidden="false" customHeight="false" outlineLevel="0" collapsed="false">
      <c r="A69" s="48" t="s">
        <v>1554</v>
      </c>
      <c r="B69" s="48" t="s">
        <v>1539</v>
      </c>
      <c r="C69" s="53" t="n">
        <v>80</v>
      </c>
      <c r="D69" s="53" t="n">
        <v>894</v>
      </c>
      <c r="E69" s="48" t="s">
        <v>821</v>
      </c>
      <c r="F69" s="54" t="n">
        <v>0.471</v>
      </c>
      <c r="G69" s="48" t="n">
        <v>24</v>
      </c>
      <c r="H69" s="48" t="n">
        <v>2</v>
      </c>
      <c r="I69" s="48" t="n">
        <v>4</v>
      </c>
      <c r="J69" s="48" t="n">
        <v>11</v>
      </c>
      <c r="K69" s="48" t="s">
        <v>1540</v>
      </c>
      <c r="L69" s="48" t="n">
        <v>52</v>
      </c>
      <c r="M69" s="48" t="n">
        <v>19</v>
      </c>
      <c r="N69" s="48" t="n">
        <v>46</v>
      </c>
      <c r="O69" s="48" t="n">
        <v>2</v>
      </c>
      <c r="P69" s="48" t="n">
        <v>48</v>
      </c>
      <c r="Q69" s="48"/>
      <c r="R69" s="48" t="n">
        <v>42</v>
      </c>
      <c r="S69" s="48" t="n">
        <v>1</v>
      </c>
      <c r="T69" s="48" t="n">
        <v>2</v>
      </c>
      <c r="U69" s="48" t="n">
        <v>17</v>
      </c>
    </row>
    <row r="70" customFormat="false" ht="15" hidden="false" customHeight="false" outlineLevel="0" collapsed="false">
      <c r="A70" s="48" t="s">
        <v>1555</v>
      </c>
      <c r="B70" s="48" t="s">
        <v>1543</v>
      </c>
      <c r="C70" s="53" t="n">
        <v>51</v>
      </c>
      <c r="D70" s="53" t="n">
        <v>1037</v>
      </c>
      <c r="E70" s="48" t="s">
        <v>821</v>
      </c>
      <c r="F70" s="54" t="n">
        <v>0.306</v>
      </c>
      <c r="G70" s="48" t="n">
        <v>26</v>
      </c>
      <c r="H70" s="48" t="n">
        <v>4</v>
      </c>
      <c r="I70" s="48" t="n">
        <v>6</v>
      </c>
      <c r="J70" s="48" t="n">
        <v>13</v>
      </c>
      <c r="K70" s="48" t="s">
        <v>1542</v>
      </c>
      <c r="L70" s="48" t="n">
        <v>54</v>
      </c>
      <c r="M70" s="48"/>
      <c r="N70" s="48" t="n">
        <v>120</v>
      </c>
      <c r="O70" s="48"/>
      <c r="P70" s="48" t="n">
        <v>23</v>
      </c>
      <c r="Q70" s="48" t="n">
        <v>7</v>
      </c>
      <c r="R70" s="48" t="n">
        <v>51</v>
      </c>
      <c r="S70" s="48" t="n">
        <v>17</v>
      </c>
      <c r="T70" s="48" t="n">
        <v>1</v>
      </c>
      <c r="U70" s="48" t="n">
        <v>7</v>
      </c>
    </row>
    <row r="71" customFormat="false" ht="15" hidden="false" customHeight="false" outlineLevel="0" collapsed="false">
      <c r="A71" s="48" t="s">
        <v>1556</v>
      </c>
      <c r="B71" s="48" t="s">
        <v>1541</v>
      </c>
      <c r="C71" s="53" t="n">
        <v>103</v>
      </c>
      <c r="D71" s="53" t="n">
        <v>612</v>
      </c>
      <c r="E71" s="48" t="s">
        <v>860</v>
      </c>
      <c r="F71" s="54" t="n">
        <v>0.323</v>
      </c>
      <c r="G71" s="48" t="n">
        <v>19</v>
      </c>
      <c r="H71" s="48" t="n">
        <v>1</v>
      </c>
      <c r="I71" s="48" t="n">
        <v>2</v>
      </c>
      <c r="J71" s="48" t="n">
        <v>14</v>
      </c>
      <c r="K71" s="48" t="s">
        <v>1540</v>
      </c>
      <c r="L71" s="48" t="n">
        <v>8</v>
      </c>
      <c r="M71" s="48" t="n">
        <v>2</v>
      </c>
      <c r="N71" s="48" t="n">
        <v>135</v>
      </c>
      <c r="O71" s="48"/>
      <c r="P71" s="48" t="n">
        <v>29</v>
      </c>
      <c r="Q71" s="48" t="n">
        <v>4</v>
      </c>
      <c r="R71" s="48" t="n">
        <v>49</v>
      </c>
      <c r="S71" s="48" t="n">
        <v>1</v>
      </c>
      <c r="T71" s="48" t="n">
        <v>9</v>
      </c>
      <c r="U71" s="48" t="n">
        <v>8</v>
      </c>
    </row>
    <row r="72" customFormat="false" ht="15" hidden="false" customHeight="false" outlineLevel="0" collapsed="false">
      <c r="A72" s="48" t="s">
        <v>866</v>
      </c>
      <c r="B72" s="48" t="s">
        <v>1541</v>
      </c>
      <c r="C72" s="53" t="n">
        <v>245</v>
      </c>
      <c r="D72" s="53" t="n">
        <v>806</v>
      </c>
      <c r="E72" s="48" t="s">
        <v>821</v>
      </c>
      <c r="F72" s="54" t="n">
        <v>0.417</v>
      </c>
      <c r="G72" s="48" t="n">
        <v>25</v>
      </c>
      <c r="H72" s="48" t="n">
        <v>2</v>
      </c>
      <c r="I72" s="48" t="n">
        <v>3</v>
      </c>
      <c r="J72" s="48" t="n">
        <v>14</v>
      </c>
      <c r="K72" s="48" t="s">
        <v>1540</v>
      </c>
      <c r="L72" s="48" t="n">
        <v>124</v>
      </c>
      <c r="M72" s="48" t="n">
        <v>19</v>
      </c>
      <c r="N72" s="48" t="n">
        <v>94</v>
      </c>
      <c r="O72" s="48" t="n">
        <v>1</v>
      </c>
      <c r="P72" s="48" t="n">
        <v>115</v>
      </c>
      <c r="Q72" s="48"/>
      <c r="R72" s="48" t="n">
        <v>83</v>
      </c>
      <c r="S72" s="48" t="n">
        <v>27</v>
      </c>
      <c r="T72" s="48" t="n">
        <v>21</v>
      </c>
      <c r="U72" s="48" t="n">
        <v>8</v>
      </c>
    </row>
    <row r="73" customFormat="false" ht="15" hidden="false" customHeight="false" outlineLevel="0" collapsed="false">
      <c r="A73" s="48" t="s">
        <v>458</v>
      </c>
      <c r="B73" s="48" t="s">
        <v>1541</v>
      </c>
      <c r="C73" s="53" t="n">
        <v>150</v>
      </c>
      <c r="D73" s="53" t="n">
        <v>969</v>
      </c>
      <c r="E73" s="48" t="s">
        <v>939</v>
      </c>
      <c r="F73" s="54" t="n">
        <v>0.309</v>
      </c>
      <c r="G73" s="48" t="n">
        <v>26</v>
      </c>
      <c r="H73" s="48" t="n">
        <v>2</v>
      </c>
      <c r="I73" s="48" t="n">
        <v>3</v>
      </c>
      <c r="J73" s="48" t="n">
        <v>18</v>
      </c>
      <c r="K73" s="48" t="s">
        <v>1540</v>
      </c>
      <c r="L73" s="48" t="n">
        <v>47</v>
      </c>
      <c r="M73" s="48" t="n">
        <v>11</v>
      </c>
      <c r="N73" s="48" t="n">
        <v>134</v>
      </c>
      <c r="O73" s="48" t="n">
        <v>12</v>
      </c>
      <c r="P73" s="48" t="n">
        <v>77</v>
      </c>
      <c r="Q73" s="48" t="n">
        <v>29</v>
      </c>
      <c r="R73" s="48" t="n">
        <v>44</v>
      </c>
      <c r="S73" s="48" t="n">
        <v>8</v>
      </c>
      <c r="T73" s="48" t="n">
        <v>4</v>
      </c>
      <c r="U73" s="48" t="n">
        <v>11</v>
      </c>
    </row>
    <row r="74" customFormat="false" ht="15" hidden="false" customHeight="false" outlineLevel="0" collapsed="false">
      <c r="A74" s="48" t="s">
        <v>1075</v>
      </c>
      <c r="B74" s="48" t="s">
        <v>1545</v>
      </c>
      <c r="C74" s="53" t="n">
        <v>421</v>
      </c>
      <c r="D74" s="53"/>
      <c r="E74" s="48" t="s">
        <v>939</v>
      </c>
      <c r="F74" s="54" t="n">
        <v>0.604</v>
      </c>
      <c r="G74" s="48" t="n">
        <v>21</v>
      </c>
      <c r="H74" s="48" t="n">
        <v>0</v>
      </c>
      <c r="I74" s="48" t="n">
        <v>1</v>
      </c>
      <c r="J74" s="48" t="n">
        <v>7</v>
      </c>
      <c r="K74" s="48" t="s">
        <v>1540</v>
      </c>
      <c r="L74" s="48" t="n">
        <v>120</v>
      </c>
      <c r="M74" s="48"/>
      <c r="N74" s="48"/>
      <c r="O74" s="48"/>
      <c r="P74" s="48" t="n">
        <v>118</v>
      </c>
      <c r="Q74" s="48" t="n">
        <v>12</v>
      </c>
      <c r="R74" s="48" t="n">
        <v>101</v>
      </c>
      <c r="S74" s="48"/>
      <c r="T74" s="48" t="n">
        <v>19</v>
      </c>
      <c r="U74" s="48" t="n">
        <v>4</v>
      </c>
    </row>
    <row r="75" customFormat="false" ht="15" hidden="false" customHeight="false" outlineLevel="0" collapsed="false">
      <c r="A75" s="48" t="s">
        <v>1557</v>
      </c>
      <c r="B75" s="48" t="s">
        <v>1541</v>
      </c>
      <c r="C75" s="53" t="n">
        <v>88</v>
      </c>
      <c r="D75" s="53"/>
      <c r="E75" s="48" t="s">
        <v>821</v>
      </c>
      <c r="F75" s="54" t="n">
        <v>0.374</v>
      </c>
      <c r="G75" s="48" t="n">
        <v>24</v>
      </c>
      <c r="H75" s="48" t="n">
        <v>2</v>
      </c>
      <c r="I75" s="48" t="n">
        <v>5</v>
      </c>
      <c r="J75" s="48" t="n">
        <v>12</v>
      </c>
      <c r="K75" s="48" t="s">
        <v>1540</v>
      </c>
      <c r="L75" s="48" t="n">
        <v>105</v>
      </c>
      <c r="M75" s="48"/>
      <c r="N75" s="48" t="n">
        <v>114</v>
      </c>
      <c r="O75" s="48" t="n">
        <v>1</v>
      </c>
      <c r="P75" s="48" t="n">
        <v>95</v>
      </c>
      <c r="Q75" s="48"/>
      <c r="R75" s="48" t="n">
        <v>46</v>
      </c>
      <c r="S75" s="48" t="n">
        <v>7</v>
      </c>
      <c r="T75" s="48" t="n">
        <v>7</v>
      </c>
      <c r="U75" s="48" t="n">
        <v>10</v>
      </c>
    </row>
    <row r="76" customFormat="false" ht="15" hidden="false" customHeight="false" outlineLevel="0" collapsed="false">
      <c r="A76" s="48" t="s">
        <v>901</v>
      </c>
      <c r="B76" s="48" t="s">
        <v>1541</v>
      </c>
      <c r="C76" s="53" t="n">
        <v>108</v>
      </c>
      <c r="D76" s="53"/>
      <c r="E76" s="48" t="s">
        <v>821</v>
      </c>
      <c r="F76" s="54" t="n">
        <v>0.489</v>
      </c>
      <c r="G76" s="48" t="n">
        <v>22</v>
      </c>
      <c r="H76" s="48" t="n">
        <v>3</v>
      </c>
      <c r="I76" s="48" t="n">
        <v>5</v>
      </c>
      <c r="J76" s="48" t="n">
        <v>11</v>
      </c>
      <c r="K76" s="48" t="s">
        <v>1540</v>
      </c>
      <c r="L76" s="48" t="n">
        <v>10</v>
      </c>
      <c r="M76" s="48"/>
      <c r="N76" s="48" t="n">
        <v>54</v>
      </c>
      <c r="O76" s="48"/>
      <c r="P76" s="48" t="n">
        <v>79</v>
      </c>
      <c r="Q76" s="48"/>
      <c r="R76" s="48" t="n">
        <v>30</v>
      </c>
      <c r="S76" s="48" t="n">
        <v>6</v>
      </c>
      <c r="T76" s="48" t="n">
        <v>3</v>
      </c>
      <c r="U76" s="48" t="n">
        <v>22</v>
      </c>
    </row>
    <row r="77" customFormat="false" ht="15" hidden="false" customHeight="false" outlineLevel="0" collapsed="false">
      <c r="A77" s="48" t="s">
        <v>857</v>
      </c>
      <c r="B77" s="48" t="s">
        <v>1539</v>
      </c>
      <c r="C77" s="53" t="n">
        <v>122</v>
      </c>
      <c r="D77" s="53"/>
      <c r="E77" s="48" t="s">
        <v>821</v>
      </c>
      <c r="F77" s="54" t="n">
        <v>0.334</v>
      </c>
      <c r="G77" s="48" t="n">
        <v>25</v>
      </c>
      <c r="H77" s="48" t="n">
        <v>3</v>
      </c>
      <c r="I77" s="48" t="n">
        <v>5</v>
      </c>
      <c r="J77" s="48" t="n">
        <v>10</v>
      </c>
      <c r="K77" s="48" t="s">
        <v>1542</v>
      </c>
      <c r="L77" s="48" t="n">
        <v>10</v>
      </c>
      <c r="M77" s="48" t="n">
        <v>2</v>
      </c>
      <c r="N77" s="48" t="n">
        <v>80</v>
      </c>
      <c r="O77" s="48"/>
      <c r="P77" s="48" t="n">
        <v>37</v>
      </c>
      <c r="Q77" s="48" t="n">
        <v>10</v>
      </c>
      <c r="R77" s="48" t="n">
        <v>17</v>
      </c>
      <c r="S77" s="48" t="n">
        <v>28</v>
      </c>
      <c r="T77" s="48" t="n">
        <v>1</v>
      </c>
      <c r="U77" s="48" t="n">
        <v>34</v>
      </c>
    </row>
    <row r="78" customFormat="false" ht="15" hidden="false" customHeight="false" outlineLevel="0" collapsed="false">
      <c r="A78" s="48" t="s">
        <v>843</v>
      </c>
      <c r="B78" s="48" t="s">
        <v>1541</v>
      </c>
      <c r="C78" s="53" t="n">
        <v>77</v>
      </c>
      <c r="D78" s="53" t="n">
        <v>898</v>
      </c>
      <c r="E78" s="48" t="s">
        <v>821</v>
      </c>
      <c r="F78" s="54" t="n">
        <v>0.454</v>
      </c>
      <c r="G78" s="48" t="n">
        <v>21</v>
      </c>
      <c r="H78" s="48" t="n">
        <v>1</v>
      </c>
      <c r="I78" s="48" t="n">
        <v>1</v>
      </c>
      <c r="J78" s="48" t="n">
        <v>13</v>
      </c>
      <c r="K78" s="48" t="s">
        <v>1542</v>
      </c>
      <c r="L78" s="48" t="n">
        <v>33</v>
      </c>
      <c r="M78" s="48"/>
      <c r="N78" s="48" t="n">
        <v>71</v>
      </c>
      <c r="O78" s="48"/>
      <c r="P78" s="48" t="n">
        <v>144</v>
      </c>
      <c r="Q78" s="48" t="n">
        <v>21</v>
      </c>
      <c r="R78" s="48" t="n">
        <v>41</v>
      </c>
      <c r="S78" s="48" t="n">
        <v>15</v>
      </c>
      <c r="T78" s="48" t="n">
        <v>33</v>
      </c>
      <c r="U78" s="48" t="n">
        <v>22</v>
      </c>
    </row>
    <row r="79" customFormat="false" ht="15" hidden="false" customHeight="false" outlineLevel="0" collapsed="false">
      <c r="A79" s="48" t="s">
        <v>471</v>
      </c>
      <c r="B79" s="48" t="s">
        <v>1541</v>
      </c>
      <c r="C79" s="53" t="n">
        <v>125</v>
      </c>
      <c r="D79" s="53" t="n">
        <v>1237</v>
      </c>
      <c r="E79" s="48" t="s">
        <v>821</v>
      </c>
      <c r="F79" s="54" t="n">
        <v>0.421</v>
      </c>
      <c r="G79" s="48" t="n">
        <v>25</v>
      </c>
      <c r="H79" s="48" t="n">
        <v>2</v>
      </c>
      <c r="I79" s="48" t="n">
        <v>3</v>
      </c>
      <c r="J79" s="48" t="n">
        <v>18</v>
      </c>
      <c r="K79" s="48" t="s">
        <v>1540</v>
      </c>
      <c r="L79" s="48" t="n">
        <v>53</v>
      </c>
      <c r="M79" s="48" t="n">
        <v>12</v>
      </c>
      <c r="N79" s="48" t="n">
        <v>119</v>
      </c>
      <c r="O79" s="48" t="n">
        <v>8</v>
      </c>
      <c r="P79" s="48" t="n">
        <v>110</v>
      </c>
      <c r="Q79" s="48" t="n">
        <v>2</v>
      </c>
      <c r="R79" s="48" t="n">
        <v>78</v>
      </c>
      <c r="S79" s="48" t="n">
        <v>16</v>
      </c>
      <c r="T79" s="48" t="n">
        <v>8</v>
      </c>
      <c r="U79" s="48" t="n">
        <v>20</v>
      </c>
    </row>
    <row r="80" customFormat="false" ht="15" hidden="false" customHeight="false" outlineLevel="0" collapsed="false">
      <c r="A80" s="48" t="s">
        <v>1558</v>
      </c>
      <c r="B80" s="48" t="s">
        <v>1559</v>
      </c>
      <c r="C80" s="53" t="n">
        <v>74908</v>
      </c>
      <c r="D80" s="53"/>
      <c r="E80" s="48" t="s">
        <v>918</v>
      </c>
      <c r="F80" s="54" t="n">
        <v>0.43</v>
      </c>
      <c r="G80" s="48" t="n">
        <v>23</v>
      </c>
      <c r="H80" s="48" t="n">
        <v>1</v>
      </c>
      <c r="I80" s="48" t="n">
        <v>3</v>
      </c>
      <c r="J80" s="48" t="n">
        <v>14</v>
      </c>
      <c r="K80" s="48" t="s">
        <v>628</v>
      </c>
      <c r="L80" s="48"/>
      <c r="M80" s="48"/>
      <c r="N80" s="48"/>
      <c r="O80" s="48"/>
      <c r="P80" s="48" t="n">
        <v>74</v>
      </c>
      <c r="Q80" s="48"/>
      <c r="R80" s="48" t="n">
        <v>70</v>
      </c>
      <c r="S80" s="48"/>
      <c r="T80" s="48" t="n">
        <v>15</v>
      </c>
      <c r="U80" s="48" t="n">
        <v>18</v>
      </c>
    </row>
    <row r="81" customFormat="false" ht="15" hidden="false" customHeight="false" outlineLevel="0" collapsed="false">
      <c r="A81" s="48" t="s">
        <v>1560</v>
      </c>
      <c r="B81" s="48" t="s">
        <v>1561</v>
      </c>
      <c r="C81" s="53" t="n">
        <v>34934</v>
      </c>
      <c r="D81" s="53"/>
      <c r="E81" s="48" t="s">
        <v>860</v>
      </c>
      <c r="F81" s="54" t="n">
        <v>0.478</v>
      </c>
      <c r="G81" s="48" t="n">
        <v>23</v>
      </c>
      <c r="H81" s="48" t="n">
        <v>1</v>
      </c>
      <c r="I81" s="48" t="n">
        <v>2</v>
      </c>
      <c r="J81" s="48" t="n">
        <v>15</v>
      </c>
      <c r="K81" s="48" t="s">
        <v>628</v>
      </c>
      <c r="L81" s="48"/>
      <c r="M81" s="48"/>
      <c r="N81" s="48"/>
      <c r="O81" s="48"/>
      <c r="P81" s="48" t="n">
        <v>119</v>
      </c>
      <c r="Q81" s="48" t="n">
        <v>3</v>
      </c>
      <c r="R81" s="48" t="n">
        <v>80</v>
      </c>
      <c r="S81" s="48" t="n">
        <v>28</v>
      </c>
      <c r="T81" s="48" t="n">
        <v>34</v>
      </c>
      <c r="U81" s="48" t="n">
        <v>11</v>
      </c>
    </row>
    <row r="82" customFormat="false" ht="15" hidden="false" customHeight="false" outlineLevel="0" collapsed="false">
      <c r="A82" s="48" t="s">
        <v>944</v>
      </c>
      <c r="B82" s="48" t="s">
        <v>1559</v>
      </c>
      <c r="C82" s="53" t="n">
        <v>51969</v>
      </c>
      <c r="D82" s="53"/>
      <c r="E82" s="48" t="s">
        <v>860</v>
      </c>
      <c r="F82" s="54" t="n">
        <v>0.472</v>
      </c>
      <c r="G82" s="48" t="n">
        <v>22</v>
      </c>
      <c r="H82" s="48" t="n">
        <v>1</v>
      </c>
      <c r="I82" s="48" t="n">
        <v>2</v>
      </c>
      <c r="J82" s="48" t="n">
        <v>14</v>
      </c>
      <c r="K82" s="48" t="s">
        <v>1311</v>
      </c>
      <c r="L82" s="48"/>
      <c r="M82" s="48"/>
      <c r="N82" s="48"/>
      <c r="O82" s="48"/>
      <c r="P82" s="48" t="n">
        <v>142</v>
      </c>
      <c r="Q82" s="48"/>
      <c r="R82" s="48" t="n">
        <v>117</v>
      </c>
      <c r="S82" s="48"/>
      <c r="T82" s="48" t="n">
        <v>25</v>
      </c>
      <c r="U82" s="48" t="n">
        <v>10</v>
      </c>
    </row>
    <row r="83" customFormat="false" ht="15" hidden="false" customHeight="false" outlineLevel="0" collapsed="false">
      <c r="A83" s="48" t="s">
        <v>949</v>
      </c>
      <c r="B83" s="48" t="s">
        <v>1559</v>
      </c>
      <c r="C83" s="53" t="n">
        <v>61335</v>
      </c>
      <c r="D83" s="53"/>
      <c r="E83" s="48" t="s">
        <v>918</v>
      </c>
      <c r="F83" s="54" t="n">
        <v>0.488</v>
      </c>
      <c r="G83" s="48" t="n">
        <v>20</v>
      </c>
      <c r="H83" s="48" t="n">
        <v>0</v>
      </c>
      <c r="I83" s="48" t="n">
        <v>0</v>
      </c>
      <c r="J83" s="48" t="n">
        <v>11</v>
      </c>
      <c r="K83" s="48" t="s">
        <v>628</v>
      </c>
      <c r="L83" s="48"/>
      <c r="M83" s="48"/>
      <c r="N83" s="48" t="n">
        <v>122</v>
      </c>
      <c r="O83" s="48" t="n">
        <v>16</v>
      </c>
      <c r="P83" s="48" t="n">
        <v>139</v>
      </c>
      <c r="Q83" s="48"/>
      <c r="R83" s="48"/>
      <c r="S83" s="48"/>
      <c r="T83" s="48" t="n">
        <v>27</v>
      </c>
      <c r="U83" s="48" t="n">
        <v>18</v>
      </c>
    </row>
    <row r="84" customFormat="false" ht="15" hidden="false" customHeight="false" outlineLevel="0" collapsed="false">
      <c r="A84" s="48" t="s">
        <v>984</v>
      </c>
      <c r="B84" s="48" t="s">
        <v>1561</v>
      </c>
      <c r="C84" s="53" t="n">
        <v>45439</v>
      </c>
      <c r="D84" s="53" t="n">
        <v>227467</v>
      </c>
      <c r="E84" s="48" t="s">
        <v>860</v>
      </c>
      <c r="F84" s="54" t="n">
        <v>0.488</v>
      </c>
      <c r="G84" s="48" t="n">
        <v>20</v>
      </c>
      <c r="H84" s="48" t="n">
        <v>2</v>
      </c>
      <c r="I84" s="48" t="n">
        <v>2</v>
      </c>
      <c r="J84" s="48" t="n">
        <v>13</v>
      </c>
      <c r="K84" s="48" t="s">
        <v>628</v>
      </c>
      <c r="L84" s="48"/>
      <c r="M84" s="48"/>
      <c r="N84" s="48"/>
      <c r="O84" s="48"/>
      <c r="P84" s="48" t="n">
        <v>94</v>
      </c>
      <c r="Q84" s="48" t="n">
        <v>9</v>
      </c>
      <c r="R84" s="48" t="n">
        <v>74</v>
      </c>
      <c r="S84" s="48" t="n">
        <v>22</v>
      </c>
      <c r="T84" s="48" t="n">
        <v>27</v>
      </c>
      <c r="U84" s="48" t="n">
        <v>12</v>
      </c>
    </row>
    <row r="85" customFormat="false" ht="15" hidden="false" customHeight="false" outlineLevel="0" collapsed="false">
      <c r="A85" s="48" t="s">
        <v>963</v>
      </c>
      <c r="B85" s="48" t="s">
        <v>1559</v>
      </c>
      <c r="C85" s="53" t="n">
        <v>33182</v>
      </c>
      <c r="D85" s="53"/>
      <c r="E85" s="48" t="s">
        <v>918</v>
      </c>
      <c r="F85" s="54" t="n">
        <v>0.483</v>
      </c>
      <c r="G85" s="48" t="n">
        <v>22</v>
      </c>
      <c r="H85" s="48" t="n">
        <v>1</v>
      </c>
      <c r="I85" s="48" t="n">
        <v>2</v>
      </c>
      <c r="J85" s="48" t="n">
        <v>17</v>
      </c>
      <c r="K85" s="48" t="s">
        <v>1311</v>
      </c>
      <c r="L85" s="48"/>
      <c r="M85" s="48"/>
      <c r="N85" s="48"/>
      <c r="O85" s="48"/>
      <c r="P85" s="48" t="n">
        <v>123</v>
      </c>
      <c r="Q85" s="48" t="n">
        <v>16</v>
      </c>
      <c r="R85" s="48"/>
      <c r="S85" s="48" t="n">
        <v>18</v>
      </c>
      <c r="T85" s="48" t="n">
        <v>24</v>
      </c>
      <c r="U85" s="48" t="n">
        <v>15</v>
      </c>
    </row>
    <row r="86" customFormat="false" ht="15" hidden="false" customHeight="false" outlineLevel="0" collapsed="false">
      <c r="A86" s="48" t="s">
        <v>950</v>
      </c>
      <c r="B86" s="48" t="s">
        <v>1559</v>
      </c>
      <c r="C86" s="53" t="n">
        <v>22586</v>
      </c>
      <c r="D86" s="53"/>
      <c r="E86" s="48" t="s">
        <v>860</v>
      </c>
      <c r="F86" s="54" t="n">
        <v>0.521</v>
      </c>
      <c r="G86" s="48" t="n">
        <v>21</v>
      </c>
      <c r="H86" s="48" t="n">
        <v>0</v>
      </c>
      <c r="I86" s="48" t="n">
        <v>1</v>
      </c>
      <c r="J86" s="48" t="n">
        <v>18</v>
      </c>
      <c r="K86" s="48" t="s">
        <v>1540</v>
      </c>
      <c r="L86" s="48"/>
      <c r="M86" s="48"/>
      <c r="N86" s="48"/>
      <c r="O86" s="48"/>
      <c r="P86" s="48"/>
      <c r="Q86" s="48" t="n">
        <v>15</v>
      </c>
      <c r="R86" s="48"/>
      <c r="S86" s="48"/>
      <c r="T86" s="48" t="n">
        <v>26</v>
      </c>
      <c r="U86" s="48" t="n">
        <v>6</v>
      </c>
    </row>
    <row r="87" customFormat="false" ht="15" hidden="false" customHeight="false" outlineLevel="0" collapsed="false">
      <c r="A87" s="48" t="s">
        <v>975</v>
      </c>
      <c r="B87" s="48" t="s">
        <v>1559</v>
      </c>
      <c r="C87" s="53" t="n">
        <v>12816</v>
      </c>
      <c r="D87" s="53"/>
      <c r="E87" s="48" t="s">
        <v>860</v>
      </c>
      <c r="F87" s="54" t="n">
        <v>0.504</v>
      </c>
      <c r="G87" s="48" t="n">
        <v>18</v>
      </c>
      <c r="H87" s="48" t="n">
        <v>2</v>
      </c>
      <c r="I87" s="48" t="n">
        <v>2</v>
      </c>
      <c r="J87" s="48" t="n">
        <v>12</v>
      </c>
      <c r="K87" s="48" t="s">
        <v>1540</v>
      </c>
      <c r="L87" s="48"/>
      <c r="M87" s="48"/>
      <c r="N87" s="48"/>
      <c r="O87" s="48"/>
      <c r="P87" s="48" t="n">
        <v>57</v>
      </c>
      <c r="Q87" s="48"/>
      <c r="R87" s="48"/>
      <c r="S87" s="48"/>
      <c r="T87" s="48" t="n">
        <v>33</v>
      </c>
      <c r="U87" s="48" t="n">
        <v>19</v>
      </c>
    </row>
    <row r="88" customFormat="false" ht="15" hidden="false" customHeight="false" outlineLevel="0" collapsed="false">
      <c r="A88" s="48" t="s">
        <v>1562</v>
      </c>
      <c r="B88" s="48" t="s">
        <v>1559</v>
      </c>
      <c r="C88" s="53" t="n">
        <v>26462</v>
      </c>
      <c r="D88" s="53"/>
      <c r="E88" s="48" t="s">
        <v>860</v>
      </c>
      <c r="F88" s="54" t="n">
        <v>0.533</v>
      </c>
      <c r="G88" s="48" t="n">
        <v>15</v>
      </c>
      <c r="H88" s="48" t="n">
        <v>0</v>
      </c>
      <c r="I88" s="48" t="n">
        <v>0</v>
      </c>
      <c r="J88" s="48" t="n">
        <v>11</v>
      </c>
      <c r="K88" s="48" t="s">
        <v>1311</v>
      </c>
      <c r="L88" s="48"/>
      <c r="M88" s="48"/>
      <c r="N88" s="48" t="n">
        <v>133</v>
      </c>
      <c r="O88" s="48"/>
      <c r="P88" s="48"/>
      <c r="Q88" s="48"/>
      <c r="R88" s="48"/>
      <c r="S88" s="48"/>
      <c r="T88" s="48" t="n">
        <v>72</v>
      </c>
      <c r="U88" s="48" t="n">
        <v>19</v>
      </c>
    </row>
    <row r="89" customFormat="false" ht="15" hidden="false" customHeight="false" outlineLevel="0" collapsed="false">
      <c r="A89" s="48" t="s">
        <v>998</v>
      </c>
      <c r="B89" s="48" t="s">
        <v>1561</v>
      </c>
      <c r="C89" s="53" t="n">
        <v>24387</v>
      </c>
      <c r="D89" s="53"/>
      <c r="E89" s="48" t="s">
        <v>860</v>
      </c>
      <c r="F89" s="54" t="n">
        <v>0.771</v>
      </c>
      <c r="G89" s="48" t="n">
        <v>12</v>
      </c>
      <c r="H89" s="48" t="n">
        <v>0</v>
      </c>
      <c r="I89" s="48" t="n">
        <v>0</v>
      </c>
      <c r="J89" s="48" t="n">
        <v>11</v>
      </c>
      <c r="K89" s="48" t="s">
        <v>628</v>
      </c>
      <c r="L89" s="48"/>
      <c r="M89" s="48"/>
      <c r="N89" s="48"/>
      <c r="O89" s="48"/>
      <c r="P89" s="48" t="n">
        <v>140</v>
      </c>
      <c r="Q89" s="48" t="n">
        <v>18</v>
      </c>
      <c r="R89" s="48"/>
      <c r="S89" s="48"/>
      <c r="T89" s="48" t="n">
        <v>91</v>
      </c>
      <c r="U89" s="48" t="n">
        <v>19</v>
      </c>
    </row>
    <row r="90" customFormat="false" ht="15" hidden="false" customHeight="false" outlineLevel="0" collapsed="false">
      <c r="A90" s="48" t="s">
        <v>1563</v>
      </c>
      <c r="B90" s="48" t="s">
        <v>1559</v>
      </c>
      <c r="C90" s="53" t="n">
        <v>8592</v>
      </c>
      <c r="D90" s="53"/>
      <c r="E90" s="48" t="s">
        <v>918</v>
      </c>
      <c r="F90" s="54" t="n">
        <v>0.348</v>
      </c>
      <c r="G90" s="48" t="n">
        <v>21</v>
      </c>
      <c r="H90" s="48" t="n">
        <v>0</v>
      </c>
      <c r="I90" s="48" t="n">
        <v>3</v>
      </c>
      <c r="J90" s="48" t="n">
        <v>17</v>
      </c>
      <c r="K90" s="48" t="s">
        <v>628</v>
      </c>
      <c r="L90" s="48"/>
      <c r="M90" s="48"/>
      <c r="N90" s="48"/>
      <c r="O90" s="48"/>
      <c r="P90" s="48" t="n">
        <v>31</v>
      </c>
      <c r="Q90" s="48" t="n">
        <v>12</v>
      </c>
      <c r="R90" s="48" t="n">
        <v>77</v>
      </c>
      <c r="S90" s="48" t="n">
        <v>18</v>
      </c>
      <c r="T90" s="48" t="n">
        <v>18</v>
      </c>
      <c r="U90" s="48" t="n">
        <v>6</v>
      </c>
    </row>
    <row r="91" customFormat="false" ht="15" hidden="false" customHeight="false" outlineLevel="0" collapsed="false">
      <c r="A91" s="48" t="s">
        <v>1564</v>
      </c>
      <c r="B91" s="48" t="s">
        <v>1559</v>
      </c>
      <c r="C91" s="53" t="n">
        <v>10436</v>
      </c>
      <c r="D91" s="53"/>
      <c r="E91" s="48" t="s">
        <v>918</v>
      </c>
      <c r="F91" s="54" t="n">
        <v>0.455</v>
      </c>
      <c r="G91" s="48" t="n">
        <v>20</v>
      </c>
      <c r="H91" s="48" t="n">
        <v>0</v>
      </c>
      <c r="I91" s="48" t="n">
        <v>2</v>
      </c>
      <c r="J91" s="48" t="n">
        <v>15</v>
      </c>
      <c r="K91" s="48" t="s">
        <v>628</v>
      </c>
      <c r="L91" s="48"/>
      <c r="M91" s="48"/>
      <c r="N91" s="48"/>
      <c r="O91" s="48"/>
      <c r="P91" s="48" t="n">
        <v>118</v>
      </c>
      <c r="Q91" s="48" t="n">
        <v>5</v>
      </c>
      <c r="R91" s="48" t="n">
        <v>131</v>
      </c>
      <c r="S91" s="48" t="n">
        <v>19</v>
      </c>
      <c r="T91" s="48" t="n">
        <v>16</v>
      </c>
      <c r="U91" s="48" t="n">
        <v>10</v>
      </c>
    </row>
    <row r="92" customFormat="false" ht="15" hidden="false" customHeight="false" outlineLevel="0" collapsed="false">
      <c r="A92" s="48" t="s">
        <v>981</v>
      </c>
      <c r="B92" s="48" t="s">
        <v>1559</v>
      </c>
      <c r="C92" s="53" t="n">
        <v>12964</v>
      </c>
      <c r="D92" s="53"/>
      <c r="E92" s="48" t="s">
        <v>860</v>
      </c>
      <c r="F92" s="54" t="n">
        <v>0.298</v>
      </c>
      <c r="G92" s="48" t="n">
        <v>19</v>
      </c>
      <c r="H92" s="48" t="n">
        <v>0</v>
      </c>
      <c r="I92" s="48" t="n">
        <v>1</v>
      </c>
      <c r="J92" s="48" t="n">
        <v>15</v>
      </c>
      <c r="K92" s="48" t="s">
        <v>1311</v>
      </c>
      <c r="L92" s="48"/>
      <c r="M92" s="48"/>
      <c r="N92" s="48"/>
      <c r="O92" s="48"/>
      <c r="P92" s="48" t="n">
        <v>142</v>
      </c>
      <c r="Q92" s="48" t="n">
        <v>21</v>
      </c>
      <c r="R92" s="48"/>
      <c r="S92" s="48"/>
      <c r="T92" s="48" t="n">
        <v>17</v>
      </c>
      <c r="U92" s="48" t="n">
        <v>7</v>
      </c>
    </row>
    <row r="93" customFormat="false" ht="15" hidden="false" customHeight="false" outlineLevel="0" collapsed="false">
      <c r="A93" s="48" t="s">
        <v>993</v>
      </c>
      <c r="B93" s="48" t="s">
        <v>1559</v>
      </c>
      <c r="C93" s="53" t="n">
        <v>10954</v>
      </c>
      <c r="D93" s="53"/>
      <c r="E93" s="48" t="s">
        <v>918</v>
      </c>
      <c r="F93" s="54" t="n">
        <v>0.421</v>
      </c>
      <c r="G93" s="48" t="n">
        <v>23</v>
      </c>
      <c r="H93" s="48" t="n">
        <v>1</v>
      </c>
      <c r="I93" s="48" t="n">
        <v>3</v>
      </c>
      <c r="J93" s="48" t="n">
        <v>14</v>
      </c>
      <c r="K93" s="48" t="s">
        <v>628</v>
      </c>
      <c r="L93" s="48"/>
      <c r="M93" s="48"/>
      <c r="N93" s="48"/>
      <c r="O93" s="48"/>
      <c r="P93" s="48" t="n">
        <v>136</v>
      </c>
      <c r="Q93" s="48"/>
      <c r="R93" s="48"/>
      <c r="S93" s="48"/>
      <c r="T93" s="48" t="n">
        <v>14</v>
      </c>
      <c r="U93" s="48" t="n">
        <v>19</v>
      </c>
    </row>
    <row r="94" customFormat="false" ht="15" hidden="false" customHeight="false" outlineLevel="0" collapsed="false">
      <c r="A94" s="48" t="s">
        <v>978</v>
      </c>
      <c r="B94" s="48" t="s">
        <v>1559</v>
      </c>
      <c r="C94" s="53" t="n">
        <v>14103</v>
      </c>
      <c r="D94" s="53"/>
      <c r="E94" s="48" t="s">
        <v>918</v>
      </c>
      <c r="F94" s="54" t="n">
        <v>0.408</v>
      </c>
      <c r="G94" s="48" t="n">
        <v>21</v>
      </c>
      <c r="H94" s="48" t="n">
        <v>0</v>
      </c>
      <c r="I94" s="48" t="n">
        <v>0</v>
      </c>
      <c r="J94" s="48" t="n">
        <v>15</v>
      </c>
      <c r="K94" s="48" t="s">
        <v>1311</v>
      </c>
      <c r="L94" s="48"/>
      <c r="M94" s="48"/>
      <c r="N94" s="48"/>
      <c r="O94" s="48"/>
      <c r="P94" s="48" t="n">
        <v>144</v>
      </c>
      <c r="Q94" s="48"/>
      <c r="R94" s="48"/>
      <c r="S94" s="48"/>
      <c r="T94" s="48" t="n">
        <v>40</v>
      </c>
      <c r="U94" s="48" t="n">
        <v>21</v>
      </c>
    </row>
    <row r="95" customFormat="false" ht="15" hidden="false" customHeight="false" outlineLevel="0" collapsed="false">
      <c r="A95" s="48" t="s">
        <v>1565</v>
      </c>
      <c r="B95" s="48" t="s">
        <v>1566</v>
      </c>
      <c r="C95" s="53" t="n">
        <v>1578</v>
      </c>
      <c r="D95" s="53" t="n">
        <v>7312</v>
      </c>
      <c r="E95" s="48" t="s">
        <v>935</v>
      </c>
      <c r="F95" s="54" t="n">
        <v>0.387</v>
      </c>
      <c r="G95" s="48" t="n">
        <v>19</v>
      </c>
      <c r="H95" s="48" t="n">
        <v>1</v>
      </c>
      <c r="I95" s="48" t="n">
        <v>2</v>
      </c>
      <c r="J95" s="48" t="n">
        <v>18</v>
      </c>
      <c r="K95" s="48" t="s">
        <v>1540</v>
      </c>
      <c r="L95" s="48" t="n">
        <v>70</v>
      </c>
      <c r="M95" s="48" t="n">
        <v>12</v>
      </c>
      <c r="N95" s="48" t="n">
        <v>127</v>
      </c>
      <c r="O95" s="48"/>
      <c r="P95" s="48" t="n">
        <v>56</v>
      </c>
      <c r="Q95" s="48" t="n">
        <v>11</v>
      </c>
      <c r="R95" s="48" t="n">
        <v>31</v>
      </c>
      <c r="S95" s="48" t="n">
        <v>11</v>
      </c>
      <c r="T95" s="48" t="n">
        <v>4</v>
      </c>
      <c r="U95" s="48" t="n">
        <v>1</v>
      </c>
    </row>
    <row r="96" customFormat="false" ht="15" hidden="false" customHeight="false" outlineLevel="0" collapsed="false">
      <c r="A96" s="48" t="s">
        <v>1567</v>
      </c>
      <c r="B96" s="48" t="s">
        <v>1566</v>
      </c>
      <c r="C96" s="53" t="n">
        <v>534</v>
      </c>
      <c r="D96" s="53"/>
      <c r="E96" s="48" t="s">
        <v>935</v>
      </c>
      <c r="F96" s="54" t="n">
        <v>0.421</v>
      </c>
      <c r="G96" s="48" t="n">
        <v>17</v>
      </c>
      <c r="H96" s="48" t="n">
        <v>1</v>
      </c>
      <c r="I96" s="48" t="n">
        <v>2</v>
      </c>
      <c r="J96" s="48" t="n">
        <v>14</v>
      </c>
      <c r="K96" s="48" t="s">
        <v>586</v>
      </c>
      <c r="L96" s="48" t="n">
        <v>24</v>
      </c>
      <c r="M96" s="48"/>
      <c r="N96" s="48" t="n">
        <v>112</v>
      </c>
      <c r="O96" s="48"/>
      <c r="P96" s="48" t="n">
        <v>45</v>
      </c>
      <c r="Q96" s="48" t="n">
        <v>4</v>
      </c>
      <c r="R96" s="48" t="n">
        <v>2</v>
      </c>
      <c r="S96" s="48" t="n">
        <v>2</v>
      </c>
      <c r="T96" s="48" t="n">
        <v>11</v>
      </c>
      <c r="U96" s="48" t="n">
        <v>7</v>
      </c>
    </row>
    <row r="97" customFormat="false" ht="15" hidden="false" customHeight="false" outlineLevel="0" collapsed="false">
      <c r="A97" s="48" t="s">
        <v>1568</v>
      </c>
      <c r="B97" s="48" t="s">
        <v>1566</v>
      </c>
      <c r="C97" s="53" t="n">
        <v>3705</v>
      </c>
      <c r="D97" s="53" t="n">
        <v>13388</v>
      </c>
      <c r="E97" s="48"/>
      <c r="F97" s="54" t="n">
        <v>0.737</v>
      </c>
      <c r="G97" s="48" t="n">
        <v>2</v>
      </c>
      <c r="H97" s="48" t="n">
        <v>0</v>
      </c>
      <c r="I97" s="48" t="n">
        <v>0</v>
      </c>
      <c r="J97" s="48" t="n">
        <v>2</v>
      </c>
      <c r="K97" s="48" t="s">
        <v>1542</v>
      </c>
      <c r="L97" s="48"/>
      <c r="M97" s="48"/>
      <c r="N97" s="48"/>
      <c r="O97" s="48"/>
      <c r="P97" s="48" t="n">
        <v>21</v>
      </c>
      <c r="Q97" s="48" t="n">
        <v>15</v>
      </c>
      <c r="R97" s="48"/>
      <c r="S97" s="48"/>
      <c r="T97" s="48"/>
      <c r="U97" s="48"/>
    </row>
    <row r="98" customFormat="false" ht="15" hidden="false" customHeight="false" outlineLevel="0" collapsed="false">
      <c r="A98" s="48" t="s">
        <v>552</v>
      </c>
      <c r="B98" s="48" t="s">
        <v>1566</v>
      </c>
      <c r="C98" s="53" t="n">
        <v>2775</v>
      </c>
      <c r="D98" s="53"/>
      <c r="E98" s="48" t="s">
        <v>860</v>
      </c>
      <c r="F98" s="54" t="n">
        <v>0.756</v>
      </c>
      <c r="G98" s="48" t="n">
        <v>15</v>
      </c>
      <c r="H98" s="48" t="n">
        <v>0</v>
      </c>
      <c r="I98" s="48" t="n">
        <v>0</v>
      </c>
      <c r="J98" s="48" t="n">
        <v>13</v>
      </c>
      <c r="K98" s="48" t="s">
        <v>628</v>
      </c>
      <c r="L98" s="48" t="n">
        <v>95</v>
      </c>
      <c r="M98" s="48" t="n">
        <v>2</v>
      </c>
      <c r="N98" s="48" t="n">
        <v>138</v>
      </c>
      <c r="O98" s="48"/>
      <c r="P98" s="48" t="n">
        <v>80</v>
      </c>
      <c r="Q98" s="48" t="n">
        <v>26</v>
      </c>
      <c r="R98" s="48"/>
      <c r="S98" s="48" t="n">
        <v>14</v>
      </c>
      <c r="T98" s="48" t="n">
        <v>59</v>
      </c>
      <c r="U98" s="48" t="n">
        <v>24</v>
      </c>
    </row>
    <row r="99" customFormat="false" ht="15" hidden="false" customHeight="false" outlineLevel="0" collapsed="false">
      <c r="A99" s="48" t="s">
        <v>1569</v>
      </c>
      <c r="B99" s="48" t="s">
        <v>1566</v>
      </c>
      <c r="C99" s="53" t="n">
        <v>469</v>
      </c>
      <c r="D99" s="53" t="n">
        <v>594</v>
      </c>
      <c r="E99" s="48" t="s">
        <v>935</v>
      </c>
      <c r="F99" s="54" t="n">
        <v>0.266</v>
      </c>
      <c r="G99" s="48" t="n">
        <v>15</v>
      </c>
      <c r="H99" s="48" t="n">
        <v>1</v>
      </c>
      <c r="I99" s="48" t="n">
        <v>2</v>
      </c>
      <c r="J99" s="48" t="n">
        <v>11</v>
      </c>
      <c r="K99" s="48" t="s">
        <v>1542</v>
      </c>
      <c r="L99" s="48" t="n">
        <v>31</v>
      </c>
      <c r="M99" s="48"/>
      <c r="N99" s="48" t="n">
        <v>104</v>
      </c>
      <c r="O99" s="48"/>
      <c r="P99" s="48" t="n">
        <v>4</v>
      </c>
      <c r="Q99" s="48" t="n">
        <v>1</v>
      </c>
      <c r="R99" s="48" t="n">
        <v>26</v>
      </c>
      <c r="S99" s="48" t="n">
        <v>12</v>
      </c>
      <c r="T99" s="48" t="n">
        <v>14</v>
      </c>
      <c r="U99" s="48" t="n">
        <v>10</v>
      </c>
    </row>
    <row r="100" customFormat="false" ht="15" hidden="false" customHeight="false" outlineLevel="0" collapsed="false">
      <c r="A100" s="48" t="s">
        <v>1570</v>
      </c>
      <c r="B100" s="48" t="s">
        <v>1566</v>
      </c>
      <c r="C100" s="53" t="n">
        <v>1457</v>
      </c>
      <c r="D100" s="53" t="n">
        <v>8225</v>
      </c>
      <c r="E100" s="48" t="s">
        <v>952</v>
      </c>
      <c r="F100" s="54" t="n">
        <v>0.577</v>
      </c>
      <c r="G100" s="48" t="n">
        <v>11</v>
      </c>
      <c r="H100" s="48" t="n">
        <v>0</v>
      </c>
      <c r="I100" s="48" t="n">
        <v>0</v>
      </c>
      <c r="J100" s="48" t="n">
        <v>10</v>
      </c>
      <c r="K100" s="48" t="s">
        <v>1542</v>
      </c>
      <c r="L100" s="48"/>
      <c r="M100" s="48" t="n">
        <v>7</v>
      </c>
      <c r="N100" s="48"/>
      <c r="O100" s="48"/>
      <c r="P100" s="48" t="n">
        <v>43</v>
      </c>
      <c r="Q100" s="48" t="n">
        <v>21</v>
      </c>
      <c r="R100" s="48" t="n">
        <v>72</v>
      </c>
      <c r="S100" s="48" t="n">
        <v>14</v>
      </c>
      <c r="T100" s="48"/>
      <c r="U100" s="48" t="n">
        <v>26</v>
      </c>
    </row>
    <row r="101" customFormat="false" ht="15" hidden="false" customHeight="false" outlineLevel="0" collapsed="false">
      <c r="A101" s="48" t="s">
        <v>1571</v>
      </c>
      <c r="B101" s="48" t="s">
        <v>1566</v>
      </c>
      <c r="C101" s="53" t="n">
        <v>294</v>
      </c>
      <c r="D101" s="53"/>
      <c r="E101" s="48"/>
      <c r="F101" s="54" t="n">
        <v>0.243</v>
      </c>
      <c r="G101" s="48" t="n">
        <v>21</v>
      </c>
      <c r="H101" s="48" t="n">
        <v>2</v>
      </c>
      <c r="I101" s="48" t="n">
        <v>2</v>
      </c>
      <c r="J101" s="48" t="n">
        <v>9</v>
      </c>
      <c r="K101" s="48" t="s">
        <v>622</v>
      </c>
      <c r="L101" s="48"/>
      <c r="M101" s="48"/>
      <c r="N101" s="48" t="n">
        <v>82</v>
      </c>
      <c r="O101" s="48"/>
      <c r="P101" s="48"/>
      <c r="Q101" s="48"/>
      <c r="R101" s="48"/>
      <c r="S101" s="48"/>
      <c r="T101" s="48" t="n">
        <v>9</v>
      </c>
      <c r="U101" s="48" t="n">
        <v>4</v>
      </c>
    </row>
    <row r="102" customFormat="false" ht="15" hidden="false" customHeight="false" outlineLevel="0" collapsed="false">
      <c r="A102" s="48" t="s">
        <v>1572</v>
      </c>
      <c r="B102" s="48" t="s">
        <v>1566</v>
      </c>
      <c r="C102" s="53" t="n">
        <v>290</v>
      </c>
      <c r="D102" s="53" t="n">
        <v>2716</v>
      </c>
      <c r="E102" s="48" t="s">
        <v>935</v>
      </c>
      <c r="F102" s="54" t="n">
        <v>0.384</v>
      </c>
      <c r="G102" s="48" t="n">
        <v>18</v>
      </c>
      <c r="H102" s="48" t="n">
        <v>1</v>
      </c>
      <c r="I102" s="48" t="n">
        <v>2</v>
      </c>
      <c r="J102" s="48" t="n">
        <v>13</v>
      </c>
      <c r="K102" s="48" t="s">
        <v>1542</v>
      </c>
      <c r="L102" s="48" t="n">
        <v>12</v>
      </c>
      <c r="M102" s="48" t="n">
        <v>26</v>
      </c>
      <c r="N102" s="48" t="n">
        <v>133</v>
      </c>
      <c r="O102" s="48" t="n">
        <v>6</v>
      </c>
      <c r="P102" s="48" t="n">
        <v>3</v>
      </c>
      <c r="Q102" s="48" t="n">
        <v>4</v>
      </c>
      <c r="R102" s="48" t="n">
        <v>24</v>
      </c>
      <c r="S102" s="48" t="n">
        <v>5</v>
      </c>
      <c r="T102" s="48" t="n">
        <v>16</v>
      </c>
      <c r="U102" s="48" t="n">
        <v>17</v>
      </c>
    </row>
    <row r="103" customFormat="false" ht="15" hidden="false" customHeight="false" outlineLevel="0" collapsed="false">
      <c r="A103" s="48" t="s">
        <v>1573</v>
      </c>
      <c r="B103" s="48" t="s">
        <v>1566</v>
      </c>
      <c r="C103" s="53" t="n">
        <v>215</v>
      </c>
      <c r="D103" s="53"/>
      <c r="E103" s="48" t="s">
        <v>935</v>
      </c>
      <c r="F103" s="54" t="n">
        <v>0.151</v>
      </c>
      <c r="G103" s="48" t="n">
        <v>24</v>
      </c>
      <c r="H103" s="48" t="n">
        <v>1</v>
      </c>
      <c r="I103" s="48" t="n">
        <v>2</v>
      </c>
      <c r="J103" s="48" t="n">
        <v>8</v>
      </c>
      <c r="K103" s="48" t="s">
        <v>1540</v>
      </c>
      <c r="L103" s="48"/>
      <c r="M103" s="48"/>
      <c r="N103" s="48" t="n">
        <v>96</v>
      </c>
      <c r="O103" s="48"/>
      <c r="P103" s="48"/>
      <c r="Q103" s="48"/>
      <c r="R103" s="48" t="n">
        <v>28</v>
      </c>
      <c r="S103" s="48"/>
      <c r="T103" s="48" t="n">
        <v>3</v>
      </c>
      <c r="U103" s="48" t="n">
        <v>16</v>
      </c>
    </row>
    <row r="104" customFormat="false" ht="15" hidden="false" customHeight="false" outlineLevel="0" collapsed="false">
      <c r="A104" s="48" t="s">
        <v>1574</v>
      </c>
      <c r="B104" s="48" t="s">
        <v>1566</v>
      </c>
      <c r="C104" s="53" t="n">
        <v>201</v>
      </c>
      <c r="D104" s="53"/>
      <c r="E104" s="48" t="s">
        <v>935</v>
      </c>
      <c r="F104" s="54" t="n">
        <v>0.387</v>
      </c>
      <c r="G104" s="48" t="n">
        <v>21</v>
      </c>
      <c r="H104" s="48" t="n">
        <v>2</v>
      </c>
      <c r="I104" s="48" t="n">
        <v>5</v>
      </c>
      <c r="J104" s="48" t="n">
        <v>11</v>
      </c>
      <c r="K104" s="48" t="s">
        <v>1540</v>
      </c>
      <c r="L104" s="48" t="n">
        <v>82</v>
      </c>
      <c r="M104" s="48"/>
      <c r="N104" s="48" t="n">
        <v>91</v>
      </c>
      <c r="O104" s="48"/>
      <c r="P104" s="48" t="n">
        <v>23</v>
      </c>
      <c r="Q104" s="48" t="n">
        <v>25</v>
      </c>
      <c r="R104" s="48" t="n">
        <v>19</v>
      </c>
      <c r="S104" s="48" t="n">
        <v>13</v>
      </c>
      <c r="T104" s="48" t="n">
        <v>3</v>
      </c>
      <c r="U104" s="48" t="n">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5" min="4" style="0" width="18"/>
    <col collapsed="false" customWidth="true" hidden="false" outlineLevel="0" max="6" min="6" style="0" width="10"/>
    <col collapsed="false" customWidth="true" hidden="false" outlineLevel="0" max="7" min="7" style="0" width="16"/>
    <col collapsed="false" customWidth="true" hidden="false" outlineLevel="0" max="8" min="8" style="0" width="22"/>
    <col collapsed="false" customWidth="true" hidden="false" outlineLevel="0" max="9" min="9" style="0" width="18"/>
    <col collapsed="false" customWidth="true" hidden="false" outlineLevel="0" max="10" min="10" style="0" width="40"/>
  </cols>
  <sheetData>
    <row r="1" customFormat="false" ht="17.35" hidden="false" customHeight="false" outlineLevel="0" collapsed="false">
      <c r="A1" s="1" t="s">
        <v>1575</v>
      </c>
      <c r="B1" s="3"/>
      <c r="C1" s="3"/>
      <c r="D1" s="3"/>
      <c r="E1" s="3"/>
      <c r="F1" s="3"/>
      <c r="G1" s="3"/>
      <c r="H1" s="3"/>
      <c r="I1" s="3"/>
      <c r="J1" s="3"/>
    </row>
    <row r="2" customFormat="false" ht="15" hidden="false" customHeight="false" outlineLevel="0" collapsed="false">
      <c r="A2" s="2" t="s">
        <v>1576</v>
      </c>
      <c r="B2" s="3"/>
      <c r="C2" s="3"/>
      <c r="D2" s="3"/>
      <c r="E2" s="3"/>
      <c r="F2" s="3"/>
      <c r="G2" s="3"/>
      <c r="H2" s="3"/>
      <c r="I2" s="3"/>
      <c r="J2" s="3"/>
    </row>
    <row r="3" customFormat="false" ht="15" hidden="false" customHeight="false" outlineLevel="0" collapsed="false">
      <c r="A3" s="3"/>
      <c r="B3" s="3"/>
      <c r="C3" s="3"/>
      <c r="D3" s="3"/>
      <c r="E3" s="3"/>
      <c r="F3" s="3"/>
      <c r="G3" s="3"/>
      <c r="H3" s="3"/>
      <c r="I3" s="3"/>
      <c r="J3" s="3"/>
    </row>
    <row r="4" customFormat="false" ht="31.5" hidden="false" customHeight="true" outlineLevel="0" collapsed="false">
      <c r="A4" s="7" t="s">
        <v>93</v>
      </c>
      <c r="B4" s="7" t="s">
        <v>816</v>
      </c>
      <c r="C4" s="7" t="s">
        <v>1577</v>
      </c>
      <c r="D4" s="7" t="s">
        <v>1578</v>
      </c>
      <c r="E4" s="7" t="s">
        <v>1579</v>
      </c>
      <c r="F4" s="7" t="s">
        <v>61</v>
      </c>
      <c r="G4" s="7" t="s">
        <v>1580</v>
      </c>
      <c r="H4" s="7" t="s">
        <v>1581</v>
      </c>
      <c r="I4" s="7" t="s">
        <v>1582</v>
      </c>
      <c r="J4" s="7" t="s">
        <v>85</v>
      </c>
    </row>
    <row r="5" customFormat="false" ht="15" hidden="false" customHeight="false" outlineLevel="0" collapsed="false">
      <c r="A5" s="55" t="s">
        <v>125</v>
      </c>
      <c r="B5" s="55" t="n">
        <v>41329</v>
      </c>
      <c r="C5" s="55" t="s">
        <v>1583</v>
      </c>
      <c r="D5" s="55" t="s">
        <v>824</v>
      </c>
      <c r="E5" s="55" t="s">
        <v>173</v>
      </c>
      <c r="F5" s="55" t="s">
        <v>82</v>
      </c>
      <c r="G5" s="55" t="s">
        <v>1584</v>
      </c>
      <c r="H5" s="55" t="s">
        <v>1585</v>
      </c>
      <c r="I5" s="55" t="s">
        <v>1586</v>
      </c>
      <c r="J5" s="55" t="s">
        <v>1587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2026-10-08T14:51:59Z</dcterms:created>
  <dc:creator>openpyxl</dc:creator>
  <dc:description/>
  <dc:language>en-US</dc:language>
  <cp:lastModifiedBy/>
  <dcterms:modified xsi:type="dcterms:W3CDTF">2026-10-08T14:51:59Z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